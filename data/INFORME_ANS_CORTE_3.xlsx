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CONTROL_ANS_INF\30-11-2025\"/>
    </mc:Choice>
  </mc:AlternateContent>
  <xr:revisionPtr revIDLastSave="0" documentId="13_ncr:1_{689D0DD0-3D41-41B8-AAA9-BC8964A6FEE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OS_ANS" sheetId="2" r:id="rId1"/>
    <sheet name="TD" sheetId="4" state="hidden" r:id="rId2"/>
  </sheets>
  <definedNames>
    <definedName name="SegmentaciónDeDatos_ACTIVIDAD">#N/A</definedName>
    <definedName name="SegmentaciónDeDatos_TIPO_DIRECCION">#N/A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4" l="1"/>
  <c r="K7" i="4"/>
  <c r="K5" i="4"/>
  <c r="K4" i="4"/>
  <c r="K3" i="4"/>
  <c r="K8" i="4" l="1"/>
</calcChain>
</file>

<file path=xl/sharedStrings.xml><?xml version="1.0" encoding="utf-8"?>
<sst xmlns="http://schemas.openxmlformats.org/spreadsheetml/2006/main" count="26304" uniqueCount="8728">
  <si>
    <t>PEDIDO</t>
  </si>
  <si>
    <t>PRODUCTO_ID</t>
  </si>
  <si>
    <t>TIPO_TRABAJO</t>
  </si>
  <si>
    <t>TIPO_ELEMENTO_ID</t>
  </si>
  <si>
    <t>FECHA_RECIBO</t>
  </si>
  <si>
    <t>FECHA_INICIO_ANS</t>
  </si>
  <si>
    <t>CLIENTEID</t>
  </si>
  <si>
    <t>NOMBRE_CLIENTE</t>
  </si>
  <si>
    <t>TELEFONO_CONTACTO</t>
  </si>
  <si>
    <t>CELULAR_CONTACTO</t>
  </si>
  <si>
    <t>DIRECCION</t>
  </si>
  <si>
    <t>MUNICIPIO</t>
  </si>
  <si>
    <t>INSTALACION</t>
  </si>
  <si>
    <t>AREA_TRABAJO</t>
  </si>
  <si>
    <t>ACTIVIDAD</t>
  </si>
  <si>
    <t>NOMBRE</t>
  </si>
  <si>
    <t>TIPO_DIRECCION</t>
  </si>
  <si>
    <t>DIAS_PACTADOS</t>
  </si>
  <si>
    <t>FECHA_LIMITE_ANS</t>
  </si>
  <si>
    <t>DIAS_TRANSCURRIDOS</t>
  </si>
  <si>
    <t>DIAS_RESTANTES</t>
  </si>
  <si>
    <t>ESTADO</t>
  </si>
  <si>
    <t>REPORTE_TECNICO</t>
  </si>
  <si>
    <t>TECNICO_EJECUTA</t>
  </si>
  <si>
    <t>ESTADO_FENIX</t>
  </si>
  <si>
    <t>ENERES</t>
  </si>
  <si>
    <t>NUEVO</t>
  </si>
  <si>
    <t>MEDELLÍN</t>
  </si>
  <si>
    <t>Medellín</t>
  </si>
  <si>
    <t>ALEGA</t>
  </si>
  <si>
    <t>METROSUR Vin. Leg. Ref. Concentrada</t>
  </si>
  <si>
    <t>Urbano</t>
  </si>
  <si>
    <t>A TIEMPO</t>
  </si>
  <si>
    <t>SIN DATO</t>
  </si>
  <si>
    <t>ABIERTO</t>
  </si>
  <si>
    <t>SIN DATOS</t>
  </si>
  <si>
    <t>MET Rev-Inst-Concentra E_CR014</t>
  </si>
  <si>
    <t>Revisor Instal. Regadas Metrosur</t>
  </si>
  <si>
    <t>Rural</t>
  </si>
  <si>
    <t>ENEDOM</t>
  </si>
  <si>
    <t>ARTER</t>
  </si>
  <si>
    <t>Habilitación Viviendas Metrosur</t>
  </si>
  <si>
    <t>ENENOR</t>
  </si>
  <si>
    <t>ALEGN</t>
  </si>
  <si>
    <t>ITAGUÍ</t>
  </si>
  <si>
    <t>Itaguí</t>
  </si>
  <si>
    <t>AEJDO</t>
  </si>
  <si>
    <t>VENCIDO</t>
  </si>
  <si>
    <t>9876543</t>
  </si>
  <si>
    <t>ENVIGADO</t>
  </si>
  <si>
    <t>ALERTA</t>
  </si>
  <si>
    <t>ENEPRE</t>
  </si>
  <si>
    <t>INPRE</t>
  </si>
  <si>
    <t>Energía Prepago Metrosur</t>
  </si>
  <si>
    <t>3808080</t>
  </si>
  <si>
    <t>Revisor Inst. Particulares Metrosur</t>
  </si>
  <si>
    <t>15/04/2025 09:46:48</t>
  </si>
  <si>
    <t>2025-11-04 17:01:57</t>
  </si>
  <si>
    <t>BEATRIZ ELENA ALARCON ALVAREZ</t>
  </si>
  <si>
    <t>3135002363</t>
  </si>
  <si>
    <t>RURAL_159117949900000302_159117949900000302</t>
  </si>
  <si>
    <t>LA ESTRELLA</t>
  </si>
  <si>
    <t>159117949900000302</t>
  </si>
  <si>
    <t>La Estrella</t>
  </si>
  <si>
    <t>2025-11-14 17:01:57</t>
  </si>
  <si>
    <t>15/04/2025 09:57:23</t>
  </si>
  <si>
    <t>2025-11-04 17:02:37</t>
  </si>
  <si>
    <t>RURAL_159117949900000303_159117949900000303</t>
  </si>
  <si>
    <t>159117949900000303</t>
  </si>
  <si>
    <t>2025-11-14 17:02:37</t>
  </si>
  <si>
    <t>21/04/2025 08:39:18</t>
  </si>
  <si>
    <t>2025-10-27 14:21:52</t>
  </si>
  <si>
    <t>JOSE LEONARDO SIERRA MARIN</t>
  </si>
  <si>
    <t>3218350100</t>
  </si>
  <si>
    <t>RURAL_159105840000000108_PROV.ALTO DE LOS SIERRAS</t>
  </si>
  <si>
    <t>159105840000000108</t>
  </si>
  <si>
    <t>2025-11-07 14:21:52</t>
  </si>
  <si>
    <t>CALDAS</t>
  </si>
  <si>
    <t>Caldas</t>
  </si>
  <si>
    <t>SABANETA</t>
  </si>
  <si>
    <t>Sabaneta</t>
  </si>
  <si>
    <t>ENECNX</t>
  </si>
  <si>
    <t>ACREV</t>
  </si>
  <si>
    <t>Revisor Puntos de Conexión Metrosur</t>
  </si>
  <si>
    <t>Envigado</t>
  </si>
  <si>
    <t>22/07/2025 14:09:03</t>
  </si>
  <si>
    <t>JULIO CESAR VASQUEZ MORALES</t>
  </si>
  <si>
    <t>3164211944</t>
  </si>
  <si>
    <t>CL 2 SUR CR 17 -60 (INTERIOR 9903 )</t>
  </si>
  <si>
    <t>040112007000609903</t>
  </si>
  <si>
    <t>22/07/2025 14:25:03</t>
  </si>
  <si>
    <t>JOHN RINGLER</t>
  </si>
  <si>
    <t>3005422425</t>
  </si>
  <si>
    <t>CL 2 SUR CR 17 -214 (INTERIOR 402 )</t>
  </si>
  <si>
    <t>040112007002140402</t>
  </si>
  <si>
    <t>ENEMRT</t>
  </si>
  <si>
    <t>ENEMVI</t>
  </si>
  <si>
    <t>29/07/2025 14:48:29</t>
  </si>
  <si>
    <t>2025-08-25 09:04:23</t>
  </si>
  <si>
    <t>CARLOS ALBERTO JARAMILLO MESA</t>
  </si>
  <si>
    <t>3113651861</t>
  </si>
  <si>
    <t>RURAL_147014002000000000_147014002000000000</t>
  </si>
  <si>
    <t>147014002000000000</t>
  </si>
  <si>
    <t>AMRTR</t>
  </si>
  <si>
    <t>MET-RMRT-Francisco J Dominguez</t>
  </si>
  <si>
    <t>19/08/2025 11:26:54</t>
  </si>
  <si>
    <t>2025-11-03 21:37:34</t>
  </si>
  <si>
    <t>JOHN DARIO SANCHEZ SANCHEZ</t>
  </si>
  <si>
    <t>3206894728</t>
  </si>
  <si>
    <t>CL 24 CR 65 F -12 (INTERIOR 301 )</t>
  </si>
  <si>
    <t>052614005600120301</t>
  </si>
  <si>
    <t>2025-11-12 21:37:34</t>
  </si>
  <si>
    <t>JESUS ENRIQUE BARRERA CANO</t>
  </si>
  <si>
    <t>29/08/2025 07:58:34</t>
  </si>
  <si>
    <t>2025-10-29 21:43:56</t>
  </si>
  <si>
    <t>RAUL ALBERTO GUTIERREZ VANEGAS</t>
  </si>
  <si>
    <t>3136608965</t>
  </si>
  <si>
    <t>CL 62 B CR 93 -13 (INTERIOR 104 )</t>
  </si>
  <si>
    <t>056912203000130104</t>
  </si>
  <si>
    <t>2025-11-10 21:43:56</t>
  </si>
  <si>
    <t>METR Mov Red Trans Anderson Castaño</t>
  </si>
  <si>
    <t>RETIR</t>
  </si>
  <si>
    <t>DIPRE</t>
  </si>
  <si>
    <t>06/09/2025 07:01:12</t>
  </si>
  <si>
    <t>2025-11-03 21:43:47</t>
  </si>
  <si>
    <t>ELKIN ADRIAN PIEDRAHITA ACOSTA</t>
  </si>
  <si>
    <t>3053039439</t>
  </si>
  <si>
    <t>CL 135 SUR CR 48 -64 (INTERIOR 602 )</t>
  </si>
  <si>
    <t>003415008000640602</t>
  </si>
  <si>
    <t>2025-11-12 21:43:47</t>
  </si>
  <si>
    <t>17/09/2025 15:53:27</t>
  </si>
  <si>
    <t>2025-11-04 17:04:04</t>
  </si>
  <si>
    <t>3153230297</t>
  </si>
  <si>
    <t>RURAL_159117949900000305_PROV.159117949900000301</t>
  </si>
  <si>
    <t>159117949900000305</t>
  </si>
  <si>
    <t>2025-11-14 17:04:04</t>
  </si>
  <si>
    <t>17/09/2025 16:26:09</t>
  </si>
  <si>
    <t>2025-11-04 17:05:10</t>
  </si>
  <si>
    <t>RURAL_159118200000000302_PROV CL 100 D SUR CR 48 B</t>
  </si>
  <si>
    <t>159118200000000302</t>
  </si>
  <si>
    <t>2025-11-14 17:05:10</t>
  </si>
  <si>
    <t>29/09/2025 16:32:56</t>
  </si>
  <si>
    <t>2025-10-23 16:38:30</t>
  </si>
  <si>
    <t>OTONIEL DE JESUS HOLGUIN GALLEGO</t>
  </si>
  <si>
    <t>3137869287</t>
  </si>
  <si>
    <t>RURAL_159161334000000002_PROV.159161334000000000</t>
  </si>
  <si>
    <t>159161334000000002</t>
  </si>
  <si>
    <t>2025-11-05 16:38:30</t>
  </si>
  <si>
    <t>MARTHA CECILIA BETANCUR POSADA</t>
  </si>
  <si>
    <t>4793495</t>
  </si>
  <si>
    <t>3104566607</t>
  </si>
  <si>
    <t>02/10/2025 09:48:33</t>
  </si>
  <si>
    <t>2025-11-05 08:42:46</t>
  </si>
  <si>
    <t>CARLOS ANDRES ARDILA AMAYA</t>
  </si>
  <si>
    <t>3008935231</t>
  </si>
  <si>
    <t>CR 129 CL 67 -45 (INTERIOR 190 )</t>
  </si>
  <si>
    <t>086229007000450190</t>
  </si>
  <si>
    <t>2025-11-14 08:42:46</t>
  </si>
  <si>
    <t>Mov Red Trans Dairo Gil</t>
  </si>
  <si>
    <t>21/10/2025 08:28:18</t>
  </si>
  <si>
    <t>2025-10-21 08:28:18</t>
  </si>
  <si>
    <t>EDWIN DARIO PEDRAZA CARO</t>
  </si>
  <si>
    <t>3135734404</t>
  </si>
  <si>
    <t>RURAL_159049596000000303_VEREDA CAMPO ALEGRE</t>
  </si>
  <si>
    <t>159049596000000303</t>
  </si>
  <si>
    <t>2025-10-31 08:28:18</t>
  </si>
  <si>
    <t>CAMBI</t>
  </si>
  <si>
    <t>ACAMN</t>
  </si>
  <si>
    <t>22/10/2025 13:02:51</t>
  </si>
  <si>
    <t>2025-10-22 13:02:51</t>
  </si>
  <si>
    <t>NATALIA ARANGO RESTREPO</t>
  </si>
  <si>
    <t>3246642705</t>
  </si>
  <si>
    <t>RURAL_159064500000000101_159064500000000101</t>
  </si>
  <si>
    <t>159064500000000101</t>
  </si>
  <si>
    <t>2025-11-04 13:02:51</t>
  </si>
  <si>
    <t>23/10/2025 07:57:21</t>
  </si>
  <si>
    <t>2025-10-23 07:57:21</t>
  </si>
  <si>
    <t>LUIS FERNANDO JARAMILLO ESPINOSA</t>
  </si>
  <si>
    <t>3023223099</t>
  </si>
  <si>
    <t>RURAL_159055040000000010_159055040000000010</t>
  </si>
  <si>
    <t>159055040000000010</t>
  </si>
  <si>
    <t>2025-11-05 07:57:21</t>
  </si>
  <si>
    <t>REUBI</t>
  </si>
  <si>
    <t>REEQU</t>
  </si>
  <si>
    <t>3137116637</t>
  </si>
  <si>
    <t>23/10/2025 16:21:44</t>
  </si>
  <si>
    <t>2025-10-23 16:21:44</t>
  </si>
  <si>
    <t>LUCIA DEL SOCORRO LOPERA PEÑA</t>
  </si>
  <si>
    <t>2789502</t>
  </si>
  <si>
    <t>3003573670</t>
  </si>
  <si>
    <t>CL 128 SUR CR 54 -103 (INTERIOR 301 )</t>
  </si>
  <si>
    <t>002518004001030301</t>
  </si>
  <si>
    <t>2025-11-04 16:21:44</t>
  </si>
  <si>
    <t>23/10/2025 16:35:20</t>
  </si>
  <si>
    <t>2025-10-23 16:35:20</t>
  </si>
  <si>
    <t>DIEGO ANDRES URREGO URREGO</t>
  </si>
  <si>
    <t>3194806148</t>
  </si>
  <si>
    <t>CL 142 SUR CR 51 -123 (INTERIOR 401 )</t>
  </si>
  <si>
    <t>004512001001230401</t>
  </si>
  <si>
    <t>2025-11-04 16:35:20</t>
  </si>
  <si>
    <t>23/10/2025 16:43:45</t>
  </si>
  <si>
    <t>2025-10-23 16:43:45</t>
  </si>
  <si>
    <t>JULIAN ALBERTO URREGO URREGO</t>
  </si>
  <si>
    <t>3150270350</t>
  </si>
  <si>
    <t>CL 142 SUR CR 51 -123 (INTERIOR 402 )</t>
  </si>
  <si>
    <t>004512001001230402</t>
  </si>
  <si>
    <t>2025-11-04 16:43:45</t>
  </si>
  <si>
    <t>29/10/2025 03:32:32</t>
  </si>
  <si>
    <t>2025-10-29 03:32:32</t>
  </si>
  <si>
    <t>YOHANA MARCELA ARREDONDO ORTIZ</t>
  </si>
  <si>
    <t>3016172206</t>
  </si>
  <si>
    <t>RURAL_161071208500000004_VEREDA URAPANES</t>
  </si>
  <si>
    <t>161071208500000004</t>
  </si>
  <si>
    <t>2025-11-11 03:32:32</t>
  </si>
  <si>
    <t>29/10/2025 04:12:14</t>
  </si>
  <si>
    <t>2025-10-29 04:12:14</t>
  </si>
  <si>
    <t>CARLOS NELSON HERNANDEZ GALLEGO</t>
  </si>
  <si>
    <t>2792264</t>
  </si>
  <si>
    <t>3014057006</t>
  </si>
  <si>
    <t>CR 62 A CL 74 SUR -84 (INTERIOR 111 )</t>
  </si>
  <si>
    <t>037622104000840111</t>
  </si>
  <si>
    <t>2025-11-06 04:12:14</t>
  </si>
  <si>
    <t>DIAG 74 B TRAN 32 EE -127</t>
  </si>
  <si>
    <t>053774202551270000</t>
  </si>
  <si>
    <t>29/10/2025 13:52:13</t>
  </si>
  <si>
    <t>2025-10-29 13:52:13</t>
  </si>
  <si>
    <t>LUZ ELENA PEREAÑEZ</t>
  </si>
  <si>
    <t>3127307591</t>
  </si>
  <si>
    <t>RURAL_161118237480000003_PROV.VEREDA LA CORRALA</t>
  </si>
  <si>
    <t>161118237480000003</t>
  </si>
  <si>
    <t>2025-11-11 13:52:13</t>
  </si>
  <si>
    <t>29/10/2025 14:06:21</t>
  </si>
  <si>
    <t>2025-10-29 14:06:21</t>
  </si>
  <si>
    <t>YAMILE ANDREA HENAO ATEHORTUA</t>
  </si>
  <si>
    <t>3244697953</t>
  </si>
  <si>
    <t>RURAL_161021516000000005_VEREDA LA CHUSCALA</t>
  </si>
  <si>
    <t>161021516000000005</t>
  </si>
  <si>
    <t>2025-11-11 14:06:21</t>
  </si>
  <si>
    <t>29/10/2025 14:20:23</t>
  </si>
  <si>
    <t>2025-10-29 14:20:23</t>
  </si>
  <si>
    <t>NELSON DE JESUS MONTOYA SANCHEZ</t>
  </si>
  <si>
    <t>3146466859</t>
  </si>
  <si>
    <t>CR 42 A CL 125 SUR -77 (INTERIOR 301 )</t>
  </si>
  <si>
    <t>002422105000770301</t>
  </si>
  <si>
    <t>2025-11-10 14:20:23</t>
  </si>
  <si>
    <t>29/10/2025 14:22:32</t>
  </si>
  <si>
    <t>2025-10-29 14:22:32</t>
  </si>
  <si>
    <t>CR 42 A CL 125 SUR -77 (INTERIOR 201 )</t>
  </si>
  <si>
    <t>002422105000770201</t>
  </si>
  <si>
    <t>2025-11-10 14:22:32</t>
  </si>
  <si>
    <t>29/10/2025 14:46:46</t>
  </si>
  <si>
    <t>2025-10-29 14:46:46</t>
  </si>
  <si>
    <t>MARIA TERESA VILLA BEDOYA</t>
  </si>
  <si>
    <t>3053281847</t>
  </si>
  <si>
    <t>CR 49 CL 125 SUR -96</t>
  </si>
  <si>
    <t>002429005000960000</t>
  </si>
  <si>
    <t>2025-11-10 14:46:46</t>
  </si>
  <si>
    <t>29/10/2025 15:01:34</t>
  </si>
  <si>
    <t>2025-10-29 15:01:34</t>
  </si>
  <si>
    <t>CR 49 CL 125 SUR -100</t>
  </si>
  <si>
    <t>002429005001000000</t>
  </si>
  <si>
    <t>2025-11-10 15:01:34</t>
  </si>
  <si>
    <t>3123618</t>
  </si>
  <si>
    <t>30/10/2025 06:58:11</t>
  </si>
  <si>
    <t>2025-10-30 06:58:11</t>
  </si>
  <si>
    <t>EMERSON EDUARDO ESPINOSA VELEZ</t>
  </si>
  <si>
    <t>3146638984</t>
  </si>
  <si>
    <t>CR 50 B CL 123 SUR -37 (INTERIOR 301 )</t>
  </si>
  <si>
    <t>002520203000370301</t>
  </si>
  <si>
    <t>2025-11-11 06:58:11</t>
  </si>
  <si>
    <t>30/10/2025 07:50:41</t>
  </si>
  <si>
    <t>2025-10-30 07:50:41</t>
  </si>
  <si>
    <t>CARLOS MAURO PALACIO CANO</t>
  </si>
  <si>
    <t>3007912950</t>
  </si>
  <si>
    <t>CR 48 CL 131 SUR -64 (INTERIOR 101 )</t>
  </si>
  <si>
    <t>003428001000640101</t>
  </si>
  <si>
    <t>2025-11-11 07:50:41</t>
  </si>
  <si>
    <t>30/10/2025 07:58:21</t>
  </si>
  <si>
    <t>2025-10-30 07:58:21</t>
  </si>
  <si>
    <t>JOSE BERNARDO ARBELAEZ ARBELAEZ</t>
  </si>
  <si>
    <t>3013530445</t>
  </si>
  <si>
    <t>CL 133 SUR CR 44 A -85 (INTERIOR 101 )</t>
  </si>
  <si>
    <t>003413004100850101</t>
  </si>
  <si>
    <t>2025-11-11 07:58:21</t>
  </si>
  <si>
    <t>30/10/2025 08:06:53</t>
  </si>
  <si>
    <t>2025-10-30 08:06:53</t>
  </si>
  <si>
    <t>MARIANA ORTIZ MUÑOZ</t>
  </si>
  <si>
    <t>3187412314</t>
  </si>
  <si>
    <t>CL 76 D SUR CR 49 -125 (INTERIOR 401 )</t>
  </si>
  <si>
    <t>037416409001250401</t>
  </si>
  <si>
    <t>2025-11-11 08:06:53</t>
  </si>
  <si>
    <t>30/10/2025 08:10:36</t>
  </si>
  <si>
    <t>2025-10-30 08:10:36</t>
  </si>
  <si>
    <t>CL 76 D SUR CR 49 -125 (INTERIOR 402 )</t>
  </si>
  <si>
    <t>037416409001250402</t>
  </si>
  <si>
    <t>2025-11-11 08:10:36</t>
  </si>
  <si>
    <t>30/10/2025 08:16:42</t>
  </si>
  <si>
    <t>2025-10-30 08:16:42</t>
  </si>
  <si>
    <t>CL 76 D SUR CR 49 -125 (INTERIOR 403 )</t>
  </si>
  <si>
    <t>037416409001250403</t>
  </si>
  <si>
    <t>2025-11-11 08:16:42</t>
  </si>
  <si>
    <t>30/10/2025 08:24:36</t>
  </si>
  <si>
    <t>2025-10-30 08:24:36</t>
  </si>
  <si>
    <t>CL 76 D SUR CR 49 -125 (INTERIOR 404 )</t>
  </si>
  <si>
    <t>037416409001250404</t>
  </si>
  <si>
    <t>2025-11-11 08:24:36</t>
  </si>
  <si>
    <t>30/10/2025 08:31:09</t>
  </si>
  <si>
    <t>2025-10-30 08:31:09</t>
  </si>
  <si>
    <t>JORGE DAVID GARCIA RAMIREZ</t>
  </si>
  <si>
    <t>3167764819</t>
  </si>
  <si>
    <t>CR 82 C CL 30 -63 (LC 101 )</t>
  </si>
  <si>
    <t>053822300000630101</t>
  </si>
  <si>
    <t>2025-11-11 08:31:09</t>
  </si>
  <si>
    <t>30/10/2025 08:46:16</t>
  </si>
  <si>
    <t>2025-10-30 08:46:16</t>
  </si>
  <si>
    <t>HECTOR DE JESUS TORRES QUICENO</t>
  </si>
  <si>
    <t>3017375950</t>
  </si>
  <si>
    <t>CL 16 CR 52 -110 (INTERIOR 101 )</t>
  </si>
  <si>
    <t>051516002001100101</t>
  </si>
  <si>
    <t>2025-11-11 08:46:16</t>
  </si>
  <si>
    <t>30/10/2025 08:52:38</t>
  </si>
  <si>
    <t>2025-10-30 08:52:38</t>
  </si>
  <si>
    <t>CR 48 CL 131 SUR -64 (INTERIOR 201 )</t>
  </si>
  <si>
    <t>003428001000640201</t>
  </si>
  <si>
    <t>2025-11-11 08:52:38</t>
  </si>
  <si>
    <t>30/10/2025 08:53:25</t>
  </si>
  <si>
    <t>2025-10-30 08:53:25</t>
  </si>
  <si>
    <t>CR 48 CL 131 SUR -64 (INTERIOR 301 )</t>
  </si>
  <si>
    <t>003428001000640301</t>
  </si>
  <si>
    <t>2025-11-11 08:53:25</t>
  </si>
  <si>
    <t>30/10/2025 08:56:18</t>
  </si>
  <si>
    <t>2025-10-30 08:56:18</t>
  </si>
  <si>
    <t>CR 48 CL 131 SUR -64 (INTERIOR 401 )</t>
  </si>
  <si>
    <t>003428001000640401</t>
  </si>
  <si>
    <t>2025-11-11 08:56:18</t>
  </si>
  <si>
    <t>AREA METROPOLITANA DEL VALLE DE ABURRA</t>
  </si>
  <si>
    <t>3856000</t>
  </si>
  <si>
    <t>3174274256</t>
  </si>
  <si>
    <t>CL 2 B CR 81 B -219 (INTERIOR 145 )</t>
  </si>
  <si>
    <t>050812201202190145</t>
  </si>
  <si>
    <t>31/10/2025 11:36:12</t>
  </si>
  <si>
    <t>2025-10-31 11:36:12</t>
  </si>
  <si>
    <t>SANDRA MILENA SIERRA BETANCUR</t>
  </si>
  <si>
    <t>2707845</t>
  </si>
  <si>
    <t>3017961883</t>
  </si>
  <si>
    <t>RURAL_159057090000000201_159057090000000201</t>
  </si>
  <si>
    <t>159057090000000201</t>
  </si>
  <si>
    <t>2025-11-13 11:36:12</t>
  </si>
  <si>
    <t>31/10/2025 11:36:37</t>
  </si>
  <si>
    <t>2025-10-31 11:36:37</t>
  </si>
  <si>
    <t>EMILSE PATRICIA OSORIO GARCIA</t>
  </si>
  <si>
    <t>3135103812</t>
  </si>
  <si>
    <t>CR 52 CL 143 SUR -171 (INTERIOR 106 )</t>
  </si>
  <si>
    <t>004522003001710106</t>
  </si>
  <si>
    <t>2025-11-10 11:36:37</t>
  </si>
  <si>
    <t>31/10/2025 15:21:12</t>
  </si>
  <si>
    <t>MAGNOLIA  SOLARTE DE LEON</t>
  </si>
  <si>
    <t>3117183959</t>
  </si>
  <si>
    <t>CR 70 CL 44 A -13 (INTERIOR 2000 )</t>
  </si>
  <si>
    <t>054720004100132000</t>
  </si>
  <si>
    <t>3104494046</t>
  </si>
  <si>
    <t>DIEGO ANDRES ZAPATA ALDANA</t>
  </si>
  <si>
    <t>3105018125</t>
  </si>
  <si>
    <t>05/11/2025 10:17:56</t>
  </si>
  <si>
    <t>2025-11-05 10:17:56</t>
  </si>
  <si>
    <t>BRAYAN CAMILO AGUDELO MANRIQUE</t>
  </si>
  <si>
    <t>3188679748</t>
  </si>
  <si>
    <t>RURAL_221012007000002124</t>
  </si>
  <si>
    <t>221012007000002124</t>
  </si>
  <si>
    <t>2025-11-12 10:17:56</t>
  </si>
  <si>
    <t>CARLOS ANDRES GOMEZ ARBOLEDA</t>
  </si>
  <si>
    <t>3148226825</t>
  </si>
  <si>
    <t>05/11/2025 10:24:24</t>
  </si>
  <si>
    <t>2025-11-05 10:24:24</t>
  </si>
  <si>
    <t>GUSTAVO ADOLFO ALVAREZ BOLIVAR</t>
  </si>
  <si>
    <t>6019975</t>
  </si>
  <si>
    <t>3114362912</t>
  </si>
  <si>
    <t>RURAL_161096107000000002_VEREDA LA SALADA PARTE BA</t>
  </si>
  <si>
    <t>161096107000000002</t>
  </si>
  <si>
    <t>2025-11-18 10:24:24</t>
  </si>
  <si>
    <t>05/11/2025 10:32:00</t>
  </si>
  <si>
    <t>JHON FREDDI RODAS</t>
  </si>
  <si>
    <t>3146776042</t>
  </si>
  <si>
    <t>CL 48 D CR 121 C -55</t>
  </si>
  <si>
    <t>084218401300550000</t>
  </si>
  <si>
    <t>05/11/2025 12:31:49</t>
  </si>
  <si>
    <t>YAMILET SANCHEZ CALLE</t>
  </si>
  <si>
    <t>3336082201</t>
  </si>
  <si>
    <t>CR 22 C CL 57 F -8 (INTERIOR 101 )</t>
  </si>
  <si>
    <t>055222307600080101</t>
  </si>
  <si>
    <t>05/11/2025 13:13:57</t>
  </si>
  <si>
    <t>2025-11-05 13:13:57</t>
  </si>
  <si>
    <t>ROSA ELENA PERTUZ SANTOS</t>
  </si>
  <si>
    <t>3043774276</t>
  </si>
  <si>
    <t>RURAL_159145030000000101_SAN MIGUEL</t>
  </si>
  <si>
    <t>159145030000000101</t>
  </si>
  <si>
    <t>0</t>
  </si>
  <si>
    <t>3104516986</t>
  </si>
  <si>
    <t>05/11/2025 15:50:11</t>
  </si>
  <si>
    <t>2025-11-05 15:50:11</t>
  </si>
  <si>
    <t>NORA CECILIA PALACIO VELEZ</t>
  </si>
  <si>
    <t>3007853976</t>
  </si>
  <si>
    <t>CR 43 CL 10 -9</t>
  </si>
  <si>
    <t>051423000000090000</t>
  </si>
  <si>
    <t>2025-11-14 15:50:11</t>
  </si>
  <si>
    <t>05/11/2025 15:55:08</t>
  </si>
  <si>
    <t>2025-11-05 15:55:08</t>
  </si>
  <si>
    <t>SARA GOMEZ MONSALVE</t>
  </si>
  <si>
    <t>3217259</t>
  </si>
  <si>
    <t>3174378336</t>
  </si>
  <si>
    <t>CR 43 CL 10 -15</t>
  </si>
  <si>
    <t>051423000000150000</t>
  </si>
  <si>
    <t>2025-11-14 15:55:08</t>
  </si>
  <si>
    <t>05/11/2025 16:15:51</t>
  </si>
  <si>
    <t>2025-11-05 16:15:51</t>
  </si>
  <si>
    <t>YOHN ESNIVER OSPINA BOTERO</t>
  </si>
  <si>
    <t>3216435914</t>
  </si>
  <si>
    <t>RURAL_159098777000000210_159098777000000210</t>
  </si>
  <si>
    <t>159098777000000210</t>
  </si>
  <si>
    <t>2025-11-18 16:15:51</t>
  </si>
  <si>
    <t>06/11/2025 07:24:56</t>
  </si>
  <si>
    <t>2025-11-06 07:24:56</t>
  </si>
  <si>
    <t>BLANCA ORFILIA CASTANO HENAO</t>
  </si>
  <si>
    <t>3137677943</t>
  </si>
  <si>
    <t>CL 113 SUR CR 54 -10 (INTERIOR 401 )</t>
  </si>
  <si>
    <t>001513004000100401</t>
  </si>
  <si>
    <t>2025-11-13 07:24:56</t>
  </si>
  <si>
    <t>06/11/2025 07:44:35</t>
  </si>
  <si>
    <t>2025-11-06 07:44:35</t>
  </si>
  <si>
    <t>CL 113 SUR CR 54 -10 (INTERIOR 301 )</t>
  </si>
  <si>
    <t>001513004000100301</t>
  </si>
  <si>
    <t>2025-11-13 07:44:35</t>
  </si>
  <si>
    <t>06/11/2025 07:47:42</t>
  </si>
  <si>
    <t>2025-11-06 07:47:42</t>
  </si>
  <si>
    <t>PAOLA ANDREA JARAMILLO AGUDELO</t>
  </si>
  <si>
    <t>CL 107 SUR CR 55 -13 (INTERIOR 105 )</t>
  </si>
  <si>
    <t>000517005000130105</t>
  </si>
  <si>
    <t>2025-11-13 07:47:42</t>
  </si>
  <si>
    <t>06/11/2025 10:27:41</t>
  </si>
  <si>
    <t>2025-11-06 10:27:41</t>
  </si>
  <si>
    <t>DIEGO MAURICIO SALAZAR SALAZAR</t>
  </si>
  <si>
    <t>3116708526</t>
  </si>
  <si>
    <t>RURAL_159139360000000000</t>
  </si>
  <si>
    <t>159139360000000000</t>
  </si>
  <si>
    <t>2025-11-19 10:27:41</t>
  </si>
  <si>
    <t>3 días 11:31</t>
  </si>
  <si>
    <t>Etiquetas de fila</t>
  </si>
  <si>
    <t>Cuenta de ESTADO</t>
  </si>
  <si>
    <t>Cuenta de TIPO_DIRECCION</t>
  </si>
  <si>
    <t>Total general</t>
  </si>
  <si>
    <t>Cuenta de ACTIVIDAD</t>
  </si>
  <si>
    <t>FORMULAS</t>
  </si>
  <si>
    <t>ALERTA_0 Días</t>
  </si>
  <si>
    <t>SIN FECHA</t>
  </si>
  <si>
    <t>TOTAL PEDIDOS</t>
  </si>
  <si>
    <t>CUMPLIDO</t>
  </si>
  <si>
    <t>SUR-ENE</t>
  </si>
  <si>
    <t>Metropolitana Sur</t>
  </si>
  <si>
    <t>23415807</t>
  </si>
  <si>
    <t>23415814</t>
  </si>
  <si>
    <t>23417245</t>
  </si>
  <si>
    <t>23494214</t>
  </si>
  <si>
    <t>23494246</t>
  </si>
  <si>
    <t>23499958</t>
  </si>
  <si>
    <t>2025-09-12 09:04:23</t>
  </si>
  <si>
    <t>23515825</t>
  </si>
  <si>
    <t>23526254</t>
  </si>
  <si>
    <t>ALECA</t>
  </si>
  <si>
    <t>23532908</t>
  </si>
  <si>
    <t>23541807</t>
  </si>
  <si>
    <t>23541866</t>
  </si>
  <si>
    <t>23551858</t>
  </si>
  <si>
    <t>23554344</t>
  </si>
  <si>
    <t>23569359</t>
  </si>
  <si>
    <t>23570588</t>
  </si>
  <si>
    <t>23571070</t>
  </si>
  <si>
    <t>23571820</t>
  </si>
  <si>
    <t>23571838</t>
  </si>
  <si>
    <t>23571847</t>
  </si>
  <si>
    <t>23575956</t>
  </si>
  <si>
    <t>23575998</t>
  </si>
  <si>
    <t>23576075</t>
  </si>
  <si>
    <t>29/10/2025 07:43:04</t>
  </si>
  <si>
    <t>2025-10-29 07:43:04</t>
  </si>
  <si>
    <t>ANA ISABEL ORTIZ ESPINAL</t>
  </si>
  <si>
    <t>3197195440</t>
  </si>
  <si>
    <t>RURAL_161025341000000000_161025341000000000</t>
  </si>
  <si>
    <t>161025341000000000</t>
  </si>
  <si>
    <t>2025-11-13 07:43:04</t>
  </si>
  <si>
    <t>23576705</t>
  </si>
  <si>
    <t>23576738</t>
  </si>
  <si>
    <t>23576770</t>
  </si>
  <si>
    <t>23576773</t>
  </si>
  <si>
    <t>23576815</t>
  </si>
  <si>
    <t>23576839</t>
  </si>
  <si>
    <t>29/10/2025 14:57:38</t>
  </si>
  <si>
    <t>2025-10-29 14:57:38</t>
  </si>
  <si>
    <t>CR 42 A CL 125 SUR -77 (INTERIOR 5 )</t>
  </si>
  <si>
    <t>002422105000770005</t>
  </si>
  <si>
    <t>2025-11-10 14:57:38</t>
  </si>
  <si>
    <t>23576848</t>
  </si>
  <si>
    <t>23577554</t>
  </si>
  <si>
    <t>23577621</t>
  </si>
  <si>
    <t>23577628</t>
  </si>
  <si>
    <t>23577712</t>
  </si>
  <si>
    <t>23577721</t>
  </si>
  <si>
    <t>23577734</t>
  </si>
  <si>
    <t>23577749</t>
  </si>
  <si>
    <t>23577763</t>
  </si>
  <si>
    <t>23577789</t>
  </si>
  <si>
    <t>23577803</t>
  </si>
  <si>
    <t>23577808</t>
  </si>
  <si>
    <t>23577814</t>
  </si>
  <si>
    <t>23579614</t>
  </si>
  <si>
    <t>23579615</t>
  </si>
  <si>
    <t>23579870</t>
  </si>
  <si>
    <t>23581904</t>
  </si>
  <si>
    <t>23581929</t>
  </si>
  <si>
    <t>23581943</t>
  </si>
  <si>
    <t>23582176</t>
  </si>
  <si>
    <t>23582253</t>
  </si>
  <si>
    <t>23582533</t>
  </si>
  <si>
    <t>23582546</t>
  </si>
  <si>
    <t>23582572</t>
  </si>
  <si>
    <t>23583170</t>
  </si>
  <si>
    <t>23583184</t>
  </si>
  <si>
    <t>23583188</t>
  </si>
  <si>
    <t>23583427</t>
  </si>
  <si>
    <t>COORDENADAX</t>
  </si>
  <si>
    <t>COORDENADAY</t>
  </si>
  <si>
    <t>AREA_OPERATIVA</t>
  </si>
  <si>
    <t>SUBZONA</t>
  </si>
  <si>
    <t>23111357</t>
  </si>
  <si>
    <t>20/05/2024 15:51:22</t>
  </si>
  <si>
    <t>2025-11-06 09:37:47</t>
  </si>
  <si>
    <t>LUZ MIRIAM MUÑOZ RAMIREZ</t>
  </si>
  <si>
    <t>3207261163</t>
  </si>
  <si>
    <t>CL 58 AA SUR CR 61 -10 (INTERIOR 301 )</t>
  </si>
  <si>
    <t>045618111000100301</t>
  </si>
  <si>
    <t>2025-11-18 09:37:47</t>
  </si>
  <si>
    <t>23460704</t>
  </si>
  <si>
    <t>10/06/2025 08:08:30</t>
  </si>
  <si>
    <t>2025-11-06 07:56:41</t>
  </si>
  <si>
    <t>JOHN FREDY CASTAÑEDA PALACIO</t>
  </si>
  <si>
    <t>3104629328</t>
  </si>
  <si>
    <t>CR 82 TRAN 45 C -54 (INTERIOR 501 )</t>
  </si>
  <si>
    <t>054822005300540501</t>
  </si>
  <si>
    <t>2025-11-18 07:56:41</t>
  </si>
  <si>
    <t>23512182</t>
  </si>
  <si>
    <t>13/08/2025 11:31:37</t>
  </si>
  <si>
    <t>2025-11-05 16:54:17</t>
  </si>
  <si>
    <t>SILVIA INES HIDALGO MANCO</t>
  </si>
  <si>
    <t>3106149430</t>
  </si>
  <si>
    <t>CR 90 CL 44 B -9 (INTERIOR 301 )</t>
  </si>
  <si>
    <t>054920004200090301</t>
  </si>
  <si>
    <t>2025-11-14 16:54:17</t>
  </si>
  <si>
    <t>23533508</t>
  </si>
  <si>
    <t>08/09/2025 10:08:37</t>
  </si>
  <si>
    <t>2025-11-06 08:17:18</t>
  </si>
  <si>
    <t>MARIA PAULA RESTREPO WAGNER</t>
  </si>
  <si>
    <t>3217167544</t>
  </si>
  <si>
    <t>CR 10 CL 19 SUR -629 (INTERIOR 29 PARCELACION DOS</t>
  </si>
  <si>
    <t>021120009006290029</t>
  </si>
  <si>
    <t>2025-11-18 08:17:18</t>
  </si>
  <si>
    <t>23564567</t>
  </si>
  <si>
    <t>15/10/2025 16:22:57</t>
  </si>
  <si>
    <t>2025-11-06 09:29:38</t>
  </si>
  <si>
    <t>FRANCISCO JAVIER MEJIA</t>
  </si>
  <si>
    <t>3142110184</t>
  </si>
  <si>
    <t>CL 135 A SUR CR 47 -44 (INTERIOR 502 )</t>
  </si>
  <si>
    <t>003415107000440502</t>
  </si>
  <si>
    <t>2025-11-18 09:29:38</t>
  </si>
  <si>
    <t>ARQUITECTURA Y CONCRETO S.A.S</t>
  </si>
  <si>
    <t>3146525634</t>
  </si>
  <si>
    <t>JOHN FREDY RODRIGUEZ BERRIO</t>
  </si>
  <si>
    <t>3136556144</t>
  </si>
  <si>
    <t>CL 59 CR 134 -102 (INTERIOR 100 )</t>
  </si>
  <si>
    <t>085319004001020100</t>
  </si>
  <si>
    <t>23583615</t>
  </si>
  <si>
    <t>06/11/2025 12:27:57</t>
  </si>
  <si>
    <t>2025-11-06 12:27:57</t>
  </si>
  <si>
    <t>YEFERSON ESTIVEN MONTOYA ORTIZ</t>
  </si>
  <si>
    <t>3195171138</t>
  </si>
  <si>
    <t>CL 128 SUR CR 40 -205 (INTERIOR 118 )</t>
  </si>
  <si>
    <t>002418000002050118</t>
  </si>
  <si>
    <t>2025-11-13 12:27:57</t>
  </si>
  <si>
    <t>23583485</t>
  </si>
  <si>
    <t>ALMACENES EXITO S.A.</t>
  </si>
  <si>
    <t>6049696</t>
  </si>
  <si>
    <t>3106576928</t>
  </si>
  <si>
    <t>CR 48 CL 32 B SUR -139 (INTERIOR 3872 )</t>
  </si>
  <si>
    <t>023428002201393872</t>
  </si>
  <si>
    <t>23583593</t>
  </si>
  <si>
    <t>06/11/2025 12:06:38</t>
  </si>
  <si>
    <t>DANIELA CASTRILLON MOLINA</t>
  </si>
  <si>
    <t>4767566</t>
  </si>
  <si>
    <t>3009843355</t>
  </si>
  <si>
    <t>RURAL_116005617701200001_116005617701200001</t>
  </si>
  <si>
    <t>116005617701200001</t>
  </si>
  <si>
    <t>6 días 21:49</t>
  </si>
  <si>
    <t>23238713</t>
  </si>
  <si>
    <t>08/10/2024 16:33:57</t>
  </si>
  <si>
    <t>2025-11-13 15:25:08</t>
  </si>
  <si>
    <t>LUZ ADRIANA ESTRADA MEJIA</t>
  </si>
  <si>
    <t>3003495348</t>
  </si>
  <si>
    <t>RURAL_163009087000000000_163009087000000000</t>
  </si>
  <si>
    <t>163009087000000000</t>
  </si>
  <si>
    <t>2025-12-01 15:25:08</t>
  </si>
  <si>
    <t>23252004</t>
  </si>
  <si>
    <t>22/10/2024 09:03:27</t>
  </si>
  <si>
    <t>2025-11-08 08:51:59</t>
  </si>
  <si>
    <t>DORINA PALMIERI</t>
  </si>
  <si>
    <t>3162963521</t>
  </si>
  <si>
    <t>CL 45 D CR 72 -19</t>
  </si>
  <si>
    <t>054715402000190000</t>
  </si>
  <si>
    <t>2025-11-19 08:51:59</t>
  </si>
  <si>
    <t>23252019</t>
  </si>
  <si>
    <t>22/10/2024 09:16:11</t>
  </si>
  <si>
    <t>2025-11-08 08:51:28</t>
  </si>
  <si>
    <t>CL 45 D CR 72 -11</t>
  </si>
  <si>
    <t>054715402000110000</t>
  </si>
  <si>
    <t>2025-11-19 08:51:28</t>
  </si>
  <si>
    <t>23253443</t>
  </si>
  <si>
    <t>23/10/2024 08:09:48</t>
  </si>
  <si>
    <t>2025-11-08 08:44:25</t>
  </si>
  <si>
    <t>CR 72 CL 44 A -59</t>
  </si>
  <si>
    <t>054722004100590000</t>
  </si>
  <si>
    <t>2025-11-19 08:44:25</t>
  </si>
  <si>
    <t>23293124</t>
  </si>
  <si>
    <t>29/11/2024 08:47:07</t>
  </si>
  <si>
    <t>2025-11-12 14:15:29</t>
  </si>
  <si>
    <t>CARLOS EMILIO MONSALVE QUINTERO</t>
  </si>
  <si>
    <t>5227491</t>
  </si>
  <si>
    <t>3206379324</t>
  </si>
  <si>
    <t>CR 9 A CL 44 AA -47</t>
  </si>
  <si>
    <t>054029104110470000</t>
  </si>
  <si>
    <t>2025-11-24 14:15:29</t>
  </si>
  <si>
    <t>23321173</t>
  </si>
  <si>
    <t>14/11/2025 12:31:32</t>
  </si>
  <si>
    <t>2025-11-14 12:31:32</t>
  </si>
  <si>
    <t>NATALIA ALVAREZ MALDONADO</t>
  </si>
  <si>
    <t>4890148</t>
  </si>
  <si>
    <t>3148545715</t>
  </si>
  <si>
    <t>CR 104 CL 31 A -39 (INTERIOR 301 )</t>
  </si>
  <si>
    <t>083024001100390301</t>
  </si>
  <si>
    <t>2025-11-24 12:31:32</t>
  </si>
  <si>
    <t>2 días 21:40</t>
  </si>
  <si>
    <t>3117902767</t>
  </si>
  <si>
    <t>23384199</t>
  </si>
  <si>
    <t>11/03/2025 11:48:58</t>
  </si>
  <si>
    <t>2025-11-14 08:55:13</t>
  </si>
  <si>
    <t>ROBERT DE JESUS CADENA ARENAS</t>
  </si>
  <si>
    <t>3128769226</t>
  </si>
  <si>
    <t>RURAL_122004210100000101</t>
  </si>
  <si>
    <t>122004210100000101</t>
  </si>
  <si>
    <t>2025-12-01 08:55:13</t>
  </si>
  <si>
    <t>3003949089</t>
  </si>
  <si>
    <t>23420270</t>
  </si>
  <si>
    <t>23/04/2025 12:21:00</t>
  </si>
  <si>
    <t>2025-11-07 12:35:24</t>
  </si>
  <si>
    <t>JOHANA ANDREA CORREA PEREZ</t>
  </si>
  <si>
    <t>CR 50 CL 146 SUR -398 (INTERIOR 301 )</t>
  </si>
  <si>
    <t>004520006003980301</t>
  </si>
  <si>
    <t>2025-11-14 12:35:24</t>
  </si>
  <si>
    <t>23422327</t>
  </si>
  <si>
    <t>25/04/2025 09:50:05</t>
  </si>
  <si>
    <t>2025-11-12 09:54:11</t>
  </si>
  <si>
    <t>LUIS FERNANDO SALAZAR ESPINOSA</t>
  </si>
  <si>
    <t>3135742816</t>
  </si>
  <si>
    <t>RURAL_161025394000000206</t>
  </si>
  <si>
    <t>161025394000000206</t>
  </si>
  <si>
    <t>2025-11-27 09:54:11</t>
  </si>
  <si>
    <t>23422371</t>
  </si>
  <si>
    <t>25/04/2025 10:12:11</t>
  </si>
  <si>
    <t>2025-11-12 09:54:35</t>
  </si>
  <si>
    <t>RURAL_161025394000000306</t>
  </si>
  <si>
    <t>161025394000000306</t>
  </si>
  <si>
    <t>2025-11-27 09:54:35</t>
  </si>
  <si>
    <t>23424424</t>
  </si>
  <si>
    <t>28/04/2025 14:10:45</t>
  </si>
  <si>
    <t>2025-11-12 09:55:02</t>
  </si>
  <si>
    <t>RURAL_161025394000000016</t>
  </si>
  <si>
    <t>161025394000000016</t>
  </si>
  <si>
    <t>2025-11-27 09:55:02</t>
  </si>
  <si>
    <t>23442481</t>
  </si>
  <si>
    <t>19/05/2025 16:37:59</t>
  </si>
  <si>
    <t>2025-11-12 21:40:47</t>
  </si>
  <si>
    <t>DAMASO VILLARREAL YEPES</t>
  </si>
  <si>
    <t>2305152</t>
  </si>
  <si>
    <t>3188222362</t>
  </si>
  <si>
    <t>RURAL_130023595050000003_PROV.130023595050000000</t>
  </si>
  <si>
    <t>130023595050000003</t>
  </si>
  <si>
    <t>2025-11-25 21:40:47</t>
  </si>
  <si>
    <t>23443065</t>
  </si>
  <si>
    <t>20/05/2025 09:46:34</t>
  </si>
  <si>
    <t>2025-11-07 10:20:07</t>
  </si>
  <si>
    <t>MILENA PATRICIA BARRAZA SARMIENTO</t>
  </si>
  <si>
    <t>3044852864</t>
  </si>
  <si>
    <t>RURAL_125000160000000012_125000160000000012</t>
  </si>
  <si>
    <t>125000160000000012</t>
  </si>
  <si>
    <t>2025-11-24 10:20:07</t>
  </si>
  <si>
    <t>4 días 21:49</t>
  </si>
  <si>
    <t>23472097</t>
  </si>
  <si>
    <t>24/06/2025 08:50:42</t>
  </si>
  <si>
    <t>2025-11-12 09:55:32</t>
  </si>
  <si>
    <t>ANDRES FELIPE MONTOYA ARANGO</t>
  </si>
  <si>
    <t>3213439465</t>
  </si>
  <si>
    <t>161083998000000000</t>
  </si>
  <si>
    <t>161083105000000001</t>
  </si>
  <si>
    <t>2025-11-27 09:55:32</t>
  </si>
  <si>
    <t>5 días 12:00</t>
  </si>
  <si>
    <t>23480587</t>
  </si>
  <si>
    <t>04/07/2025 17:12:02</t>
  </si>
  <si>
    <t>2025-11-12 09:55:39</t>
  </si>
  <si>
    <t>VERONICA MARIA CORRALES CASTAÑEDA</t>
  </si>
  <si>
    <t>3053511910</t>
  </si>
  <si>
    <t>RURAL_161021950000000001</t>
  </si>
  <si>
    <t>161021950000000001</t>
  </si>
  <si>
    <t>2025-11-25 09:55:39</t>
  </si>
  <si>
    <t>23482895</t>
  </si>
  <si>
    <t>08/07/2025 15:29:49</t>
  </si>
  <si>
    <t>2025-11-12 09:55:42</t>
  </si>
  <si>
    <t>JUAN CAMILO PULGARIN CARDONA</t>
  </si>
  <si>
    <t>3234371572</t>
  </si>
  <si>
    <t>RURAL_161129490000000001_PROV.161129490000000000</t>
  </si>
  <si>
    <t>161129490000000001</t>
  </si>
  <si>
    <t>2025-11-25 09:55:42</t>
  </si>
  <si>
    <t>4 días 09:55</t>
  </si>
  <si>
    <t>23491968</t>
  </si>
  <si>
    <t>18/07/2025 16:12:25</t>
  </si>
  <si>
    <t>2025-11-12 21:41:45</t>
  </si>
  <si>
    <t>GLORIA PATRICIA VASQUEZ MONTOYA</t>
  </si>
  <si>
    <t>3176861950</t>
  </si>
  <si>
    <t>CL 46 CR 29 -88 (INTERIOR 502 )</t>
  </si>
  <si>
    <t>054216009000880502</t>
  </si>
  <si>
    <t>2025-11-24 21:41:45</t>
  </si>
  <si>
    <t>2025-11-14 09:49:23</t>
  </si>
  <si>
    <t>2025-11-26 09:49:23</t>
  </si>
  <si>
    <t>2025-11-12 14:20:27</t>
  </si>
  <si>
    <t>2025-11-24 14:20:27</t>
  </si>
  <si>
    <t>23501630</t>
  </si>
  <si>
    <t>30/07/2025 16:17:59</t>
  </si>
  <si>
    <t>2025-11-11 08:54:01</t>
  </si>
  <si>
    <t>YEIDY ELENA GALLEGO GOMEZ</t>
  </si>
  <si>
    <t>3014235639</t>
  </si>
  <si>
    <t>CR 121 CL 57 -42 (INTERIOR 108 )</t>
  </si>
  <si>
    <t>085221007000420108</t>
  </si>
  <si>
    <t>2025-11-21 08:54:01</t>
  </si>
  <si>
    <t>3002991473</t>
  </si>
  <si>
    <t>2 días 09:27</t>
  </si>
  <si>
    <t>23513347</t>
  </si>
  <si>
    <t>14/08/2025 14:15:41</t>
  </si>
  <si>
    <t>2025-11-11 21:49:36</t>
  </si>
  <si>
    <t>NATALY OSORNO MONTOYA</t>
  </si>
  <si>
    <t>3166243689</t>
  </si>
  <si>
    <t>RURAL_161131970000000101</t>
  </si>
  <si>
    <t>161131970000000101</t>
  </si>
  <si>
    <t>2025-11-26 21:49:36</t>
  </si>
  <si>
    <t>23514199</t>
  </si>
  <si>
    <t>15/08/2025 08:47:17</t>
  </si>
  <si>
    <t>2025-11-13 09:52:08</t>
  </si>
  <si>
    <t>JHON JAIRO GARCIA GIRALDO</t>
  </si>
  <si>
    <t>3194628107</t>
  </si>
  <si>
    <t>RURAL_147048222000000001_147048222000000001</t>
  </si>
  <si>
    <t>147048222000000001</t>
  </si>
  <si>
    <t>2025-11-28 09:52:08</t>
  </si>
  <si>
    <t>23517392</t>
  </si>
  <si>
    <t>20/08/2025 14:45:55</t>
  </si>
  <si>
    <t>2025-11-12 09:58:00</t>
  </si>
  <si>
    <t>LILIANA MARIA ACEVEDO MARULANDA</t>
  </si>
  <si>
    <t>3008815414</t>
  </si>
  <si>
    <t>RURAL_161142030000000001_PROV.RURAL_16114203000000</t>
  </si>
  <si>
    <t>161142030000000001</t>
  </si>
  <si>
    <t>2025-11-27 09:58:00</t>
  </si>
  <si>
    <t>3 días 21:42</t>
  </si>
  <si>
    <t>4 días 21:42</t>
  </si>
  <si>
    <t>23525803</t>
  </si>
  <si>
    <t>28/08/2025 15:53:53</t>
  </si>
  <si>
    <t>2025-11-12 21:41:41</t>
  </si>
  <si>
    <t>IVAN DARIO CARDONA GUTIERREZ</t>
  </si>
  <si>
    <t>2877547</t>
  </si>
  <si>
    <t>3145861332</t>
  </si>
  <si>
    <t>CL 49 CR 13 -20 (INTERIOR 302 )</t>
  </si>
  <si>
    <t>054119003000200302</t>
  </si>
  <si>
    <t>2025-11-24 21:41:41</t>
  </si>
  <si>
    <t>23525819</t>
  </si>
  <si>
    <t>28/08/2025 16:05:42</t>
  </si>
  <si>
    <t>2025-11-08 11:58:23</t>
  </si>
  <si>
    <t>JOSE ALEJANDRO  GARCIA ALZATE</t>
  </si>
  <si>
    <t>3022960207</t>
  </si>
  <si>
    <t>CR 48 CL 62 -23</t>
  </si>
  <si>
    <t>056428002000230000</t>
  </si>
  <si>
    <t>2025-11-19 11:58:23</t>
  </si>
  <si>
    <t>23526471</t>
  </si>
  <si>
    <t>29/08/2025 10:43:36</t>
  </si>
  <si>
    <t>2025-11-12 09:58:24</t>
  </si>
  <si>
    <t>MARIA EUGENIA GAÑAN DE MORENO</t>
  </si>
  <si>
    <t>3126666718</t>
  </si>
  <si>
    <t>RURAL_161116317500000001_PROV.VEREDA LA CORRALA</t>
  </si>
  <si>
    <t>161116317500000001</t>
  </si>
  <si>
    <t>2025-11-27 09:58:24</t>
  </si>
  <si>
    <t>23526897</t>
  </si>
  <si>
    <t>03/10/2025 14:07:28</t>
  </si>
  <si>
    <t>2025-10-03 14:07:28</t>
  </si>
  <si>
    <t>CAROLINA GALLEGO ECHEVERRI</t>
  </si>
  <si>
    <t>3122685000</t>
  </si>
  <si>
    <t>RURAL_125004603720000000_125004603720000000</t>
  </si>
  <si>
    <t>125004603720000000</t>
  </si>
  <si>
    <t>2025-10-16 14:07:28</t>
  </si>
  <si>
    <t>23527471</t>
  </si>
  <si>
    <t>01/09/2025 08:40:16</t>
  </si>
  <si>
    <t>2025-11-12 08:49:43</t>
  </si>
  <si>
    <t>HECTOR FABIO CALLE MONTOYA</t>
  </si>
  <si>
    <t>4444444</t>
  </si>
  <si>
    <t>3122875444</t>
  </si>
  <si>
    <t>RURAL_159043436000000301</t>
  </si>
  <si>
    <t>159043436000000301</t>
  </si>
  <si>
    <t>2025-11-27 08:49:43</t>
  </si>
  <si>
    <t>23529748</t>
  </si>
  <si>
    <t>03/09/2025 07:04:43</t>
  </si>
  <si>
    <t>2025-11-09 21:42:55</t>
  </si>
  <si>
    <t>JAIME DE JESUS CORREA ANGEL</t>
  </si>
  <si>
    <t>6043053</t>
  </si>
  <si>
    <t>CR 50 CL 132 SUR -3 (INTERIOR 6 )</t>
  </si>
  <si>
    <t>003520002000030006</t>
  </si>
  <si>
    <t>2025-11-19 21:42:55</t>
  </si>
  <si>
    <t>23530703</t>
  </si>
  <si>
    <t>03/09/2025 16:36:11</t>
  </si>
  <si>
    <t>2025-11-13 23:45:15</t>
  </si>
  <si>
    <t>JUAN PABLO MONTOYA</t>
  </si>
  <si>
    <t>3162431326</t>
  </si>
  <si>
    <t>RURAL_159115068000000001_TABLAZA</t>
  </si>
  <si>
    <t>159115068000000001</t>
  </si>
  <si>
    <t>2025-11-28 23:45:15</t>
  </si>
  <si>
    <t>23533715</t>
  </si>
  <si>
    <t>08/09/2025 12:21:12</t>
  </si>
  <si>
    <t>2025-11-11 21:43:14</t>
  </si>
  <si>
    <t>YENNY STELLA GIRALDO ZAPATA</t>
  </si>
  <si>
    <t>4972410</t>
  </si>
  <si>
    <t>3002697208</t>
  </si>
  <si>
    <t>RURAL_163012401000000000_RURAL ITAGUI EL PEDREGAL</t>
  </si>
  <si>
    <t>163012401000000000</t>
  </si>
  <si>
    <t>2025-11-21 21:43:14</t>
  </si>
  <si>
    <t>23534946</t>
  </si>
  <si>
    <t>09/09/2025 14:34:41</t>
  </si>
  <si>
    <t>2025-11-09 21:43:01</t>
  </si>
  <si>
    <t>JESSICA BETANCOURT MESA</t>
  </si>
  <si>
    <t>3122609338</t>
  </si>
  <si>
    <t>CR 52 CL 79 SUR -263 (INTERIOR 501 )</t>
  </si>
  <si>
    <t>037522009002630501</t>
  </si>
  <si>
    <t>2025-11-14 21:43:01</t>
  </si>
  <si>
    <t>3 días 11:21</t>
  </si>
  <si>
    <t>23542749</t>
  </si>
  <si>
    <t>18/09/2025 13:15:56</t>
  </si>
  <si>
    <t>2025-11-12 21:49:40</t>
  </si>
  <si>
    <t>YENNY ALEJANDRA GUZMAN BETANCUR</t>
  </si>
  <si>
    <t>RURAL_161096293000000067_VEREDA SALADA PARTE BAJA</t>
  </si>
  <si>
    <t>161096293000000067</t>
  </si>
  <si>
    <t>2025-11-27 21:49:40</t>
  </si>
  <si>
    <t>23543388</t>
  </si>
  <si>
    <t>19/09/2025 09:06:20</t>
  </si>
  <si>
    <t>2025-11-12 21:49:36</t>
  </si>
  <si>
    <t>JULIANA  ALVAREZ</t>
  </si>
  <si>
    <t>3017902755</t>
  </si>
  <si>
    <t>RURAL_161095804000000303_VEREDA LA CLARA</t>
  </si>
  <si>
    <t>161095804000000303</t>
  </si>
  <si>
    <t>2025-11-27 21:49:36</t>
  </si>
  <si>
    <t>3 días 10:25</t>
  </si>
  <si>
    <t>23543674</t>
  </si>
  <si>
    <t>19/09/2025 12:51:35</t>
  </si>
  <si>
    <t>2025-11-10 08:31:14</t>
  </si>
  <si>
    <t>OSCAR DARIO CORREA VELEZ</t>
  </si>
  <si>
    <t>3004072</t>
  </si>
  <si>
    <t>3128171344</t>
  </si>
  <si>
    <t>CR 51 CL 129 SUR -59</t>
  </si>
  <si>
    <t>002521009000590000</t>
  </si>
  <si>
    <t>2025-11-20 08:31:14</t>
  </si>
  <si>
    <t>23545463</t>
  </si>
  <si>
    <t>22/09/2025 09:29:00</t>
  </si>
  <si>
    <t>2025-11-11 09:48:58</t>
  </si>
  <si>
    <t>LUZ MERY DE JESUS CARMONA VALENCIA</t>
  </si>
  <si>
    <t>3106713692</t>
  </si>
  <si>
    <t>RURAL_146015586400000001_PROV.RURAL_14601558640000</t>
  </si>
  <si>
    <t>146015586400000001</t>
  </si>
  <si>
    <t>2025-11-24 09:48:58</t>
  </si>
  <si>
    <t>23546592</t>
  </si>
  <si>
    <t>23/09/2025 09:24:05</t>
  </si>
  <si>
    <t>2025-11-12 09:58:28</t>
  </si>
  <si>
    <t>DIEGO ALFONSO LOPEZ CORREA</t>
  </si>
  <si>
    <t>3216384586</t>
  </si>
  <si>
    <t>RURAL_161025393000000009_161025393000000000_PRIMAV</t>
  </si>
  <si>
    <t>161025393000000009</t>
  </si>
  <si>
    <t>2025-11-25 09:58:28</t>
  </si>
  <si>
    <t>23546805</t>
  </si>
  <si>
    <t>23/09/2025 11:37:56</t>
  </si>
  <si>
    <t>2025-11-08 22:26:04</t>
  </si>
  <si>
    <t>METRO DE MEDELLIN LTDA.</t>
  </si>
  <si>
    <t>4548888</t>
  </si>
  <si>
    <t>3054260060</t>
  </si>
  <si>
    <t>CR 49 CL 37 SUR -130 (INTERIOR 120 )</t>
  </si>
  <si>
    <t>023429007001300120</t>
  </si>
  <si>
    <t>2025-11-19 22:26:04</t>
  </si>
  <si>
    <t>23547105</t>
  </si>
  <si>
    <t>23/09/2025 15:02:03</t>
  </si>
  <si>
    <t>2025-11-12 09:58:32</t>
  </si>
  <si>
    <t>LIBARDO DE JESUS ARRUBLA LOPEZ</t>
  </si>
  <si>
    <t>3122106406</t>
  </si>
  <si>
    <t>RURAL_161004600000000004_PROV.LA AGUACATALA</t>
  </si>
  <si>
    <t>161004600000000004</t>
  </si>
  <si>
    <t>2025-11-25 09:58:32</t>
  </si>
  <si>
    <t>23548922</t>
  </si>
  <si>
    <t>25/09/2025 10:16:44</t>
  </si>
  <si>
    <t>2025-11-12 09:58:59</t>
  </si>
  <si>
    <t>HUGO ERNESTO MONTOYA TORO</t>
  </si>
  <si>
    <t>3105361855</t>
  </si>
  <si>
    <t>RURAL_161083300000000012</t>
  </si>
  <si>
    <t>161083300000000012</t>
  </si>
  <si>
    <t>2025-11-27 09:58:59</t>
  </si>
  <si>
    <t>METROPLUS S.A</t>
  </si>
  <si>
    <t>5900236</t>
  </si>
  <si>
    <t>JHON EFREN QUINTERO GIRALDO</t>
  </si>
  <si>
    <t>4956083</t>
  </si>
  <si>
    <t>3106142344</t>
  </si>
  <si>
    <t>3 días 13:52</t>
  </si>
  <si>
    <t>4 días 09:30</t>
  </si>
  <si>
    <t>23560594</t>
  </si>
  <si>
    <t>09/10/2025 11:20:47</t>
  </si>
  <si>
    <t>2025-11-12 09:59:02</t>
  </si>
  <si>
    <t>ELKIN DE JESUS QUIRAMA JIMENEZ</t>
  </si>
  <si>
    <t>2783238</t>
  </si>
  <si>
    <t>RURAL_161015849499000002_VEREDA EL RAIZAL</t>
  </si>
  <si>
    <t>161015849499000002</t>
  </si>
  <si>
    <t>2025-11-25 09:59:02</t>
  </si>
  <si>
    <t>23561908</t>
  </si>
  <si>
    <t>11/10/2025 12:10:44</t>
  </si>
  <si>
    <t>2025-11-12 09:59:03</t>
  </si>
  <si>
    <t>LAURA DAHIANA ACEVEDO HENAO</t>
  </si>
  <si>
    <t>3128191227</t>
  </si>
  <si>
    <t>RURAL_161012406000000002_PROV.161012406000000000_V</t>
  </si>
  <si>
    <t>161012406000000002</t>
  </si>
  <si>
    <t>2025-11-25 09:59:03</t>
  </si>
  <si>
    <t>23563271</t>
  </si>
  <si>
    <t>15/10/2025 05:47:01</t>
  </si>
  <si>
    <t>2025-11-12 09:59:04</t>
  </si>
  <si>
    <t>MARIA LEONISA OSPINA SEPULVEDA</t>
  </si>
  <si>
    <t>3217366792</t>
  </si>
  <si>
    <t>RURAL_161027451000000001_VEREDA PRIMAVERA</t>
  </si>
  <si>
    <t>161027451000000001</t>
  </si>
  <si>
    <t>2025-11-25 09:59:04</t>
  </si>
  <si>
    <t>23563310</t>
  </si>
  <si>
    <t>15/10/2025 06:07:21</t>
  </si>
  <si>
    <t>2025-11-12 09:59:05</t>
  </si>
  <si>
    <t>JORGE ALBERTO RUIZ CHAVERRA</t>
  </si>
  <si>
    <t>3215330730</t>
  </si>
  <si>
    <t>RURAL_161027499000000001_VEREDA PRIMAVERA</t>
  </si>
  <si>
    <t>161027499000000001</t>
  </si>
  <si>
    <t>2025-11-25 09:59:05</t>
  </si>
  <si>
    <t>23563329</t>
  </si>
  <si>
    <t>15/10/2025 06:32:30</t>
  </si>
  <si>
    <t>2025-11-12 09:59:06</t>
  </si>
  <si>
    <t>ANGIE CAROLINA HENAO HERRERA</t>
  </si>
  <si>
    <t>3036595</t>
  </si>
  <si>
    <t>3234345894</t>
  </si>
  <si>
    <t>RURAL_161012413000000201_VEREDA EL CANELON</t>
  </si>
  <si>
    <t>161012413000000201</t>
  </si>
  <si>
    <t>2025-11-25 09:59:06</t>
  </si>
  <si>
    <t>23563426</t>
  </si>
  <si>
    <t>15/10/2025 07:49:40</t>
  </si>
  <si>
    <t>2025-11-14 11:05:32</t>
  </si>
  <si>
    <t>SERGIO LEON CORREA CORREA</t>
  </si>
  <si>
    <t>3023158341</t>
  </si>
  <si>
    <t>CL 38 SUR CR 33 -15 (INTERIOR 302 )</t>
  </si>
  <si>
    <t>023318003000150302</t>
  </si>
  <si>
    <t>2025-11-26 11:05:32</t>
  </si>
  <si>
    <t>23563994</t>
  </si>
  <si>
    <t>15/10/2025 11:38:26</t>
  </si>
  <si>
    <t>2025-11-12 09:59:07</t>
  </si>
  <si>
    <t>OLGA FABIOLA MOLINA</t>
  </si>
  <si>
    <t>3243642744</t>
  </si>
  <si>
    <t>RURAL_161023655000000309_161023655000000309_VEREDA</t>
  </si>
  <si>
    <t>161023655000000309</t>
  </si>
  <si>
    <t>2025-11-25 09:59:07</t>
  </si>
  <si>
    <t>23564416</t>
  </si>
  <si>
    <t>15/10/2025 14:50:59</t>
  </si>
  <si>
    <t>2025-11-12 09:59:08</t>
  </si>
  <si>
    <t>MARLENY DE LAS MISERICORDIAS MEDINA DE CADAVID</t>
  </si>
  <si>
    <t>3234164014</t>
  </si>
  <si>
    <t>RURAL_161099890000000204_LA SALADA PARTE BAJA</t>
  </si>
  <si>
    <t>161099890000000204</t>
  </si>
  <si>
    <t>2025-11-25 09:59:08</t>
  </si>
  <si>
    <t>23564525</t>
  </si>
  <si>
    <t>28/10/2025 15:10:51</t>
  </si>
  <si>
    <t>2025-11-11 10:27:36</t>
  </si>
  <si>
    <t>MARTA LUCIA DAVID ALCARAZ</t>
  </si>
  <si>
    <t>3113473222</t>
  </si>
  <si>
    <t>RURAL_122015796000000000</t>
  </si>
  <si>
    <t>122015796000000000</t>
  </si>
  <si>
    <t>2025-11-24 10:27:36</t>
  </si>
  <si>
    <t>23564550</t>
  </si>
  <si>
    <t>15/10/2025 16:07:26</t>
  </si>
  <si>
    <t>2025-11-10 15:14:12</t>
  </si>
  <si>
    <t>REINALDO MAYA RESTREPO</t>
  </si>
  <si>
    <t>3183112186</t>
  </si>
  <si>
    <t>RURAL_159054600000000102_PROV.RURAL_15905460000000</t>
  </si>
  <si>
    <t>159054600000000102</t>
  </si>
  <si>
    <t>2025-11-25 15:14:12</t>
  </si>
  <si>
    <t>23565001</t>
  </si>
  <si>
    <t>16/10/2025 08:49:13</t>
  </si>
  <si>
    <t>2025-11-12 09:59:09</t>
  </si>
  <si>
    <t>PAULA ANDREA ESPINOSA ANGEL</t>
  </si>
  <si>
    <t>3207374709</t>
  </si>
  <si>
    <t>RURAL_161123850100000009_161123850100000009</t>
  </si>
  <si>
    <t>161123850100000009</t>
  </si>
  <si>
    <t>2025-11-25 09:59:09</t>
  </si>
  <si>
    <t>23565552</t>
  </si>
  <si>
    <t>16/10/2025 12:57:11</t>
  </si>
  <si>
    <t>2025-11-12 09:59:10</t>
  </si>
  <si>
    <t>RIGOBERTO DE JESUS PEREZ CARDENAS</t>
  </si>
  <si>
    <t>2782464</t>
  </si>
  <si>
    <t>3016711530</t>
  </si>
  <si>
    <t>RURAL_161023686000000001_PROV.161023686000000000</t>
  </si>
  <si>
    <t>161023686000000001</t>
  </si>
  <si>
    <t>2025-11-25 09:59:10</t>
  </si>
  <si>
    <t>23566102</t>
  </si>
  <si>
    <t>16/10/2025 16:17:03</t>
  </si>
  <si>
    <t>2025-11-12 09:59:11</t>
  </si>
  <si>
    <t>ARACELLY PATIÑO SANCHEZ</t>
  </si>
  <si>
    <t>3122121381</t>
  </si>
  <si>
    <t>RURAL_161098416600000001_VDA LA CLARA YENDO HACIA</t>
  </si>
  <si>
    <t>161098416600000001</t>
  </si>
  <si>
    <t>2025-11-25 09:59:11</t>
  </si>
  <si>
    <t>23567454</t>
  </si>
  <si>
    <t>18/10/2025 04:44:35</t>
  </si>
  <si>
    <t>2025-11-07 09:58:43</t>
  </si>
  <si>
    <t>SOL PATRICIA OBANDO BETANCUR</t>
  </si>
  <si>
    <t>3383203</t>
  </si>
  <si>
    <t>3233879734</t>
  </si>
  <si>
    <t>RURAL_159118311000000202_MARIANO OSPINA</t>
  </si>
  <si>
    <t>159118311000000202</t>
  </si>
  <si>
    <t>2025-11-20 09:58:43</t>
  </si>
  <si>
    <t>23567556</t>
  </si>
  <si>
    <t>23/10/2025 15:27:13</t>
  </si>
  <si>
    <t>2025-11-14 14:31:17</t>
  </si>
  <si>
    <t>FERNEY DE JESUS JIMENEZ ARANZAZU</t>
  </si>
  <si>
    <t>3009088972</t>
  </si>
  <si>
    <t>CL 65 CR 18 B -18 (INTERIOR 301 )</t>
  </si>
  <si>
    <t>056115008200180301</t>
  </si>
  <si>
    <t>2025-11-24 14:31:17</t>
  </si>
  <si>
    <t>23567562</t>
  </si>
  <si>
    <t>23/10/2025 15:28:24</t>
  </si>
  <si>
    <t>2025-11-14 14:29:28</t>
  </si>
  <si>
    <t>CL 65 CR 18 B -18 (INTERIOR 303 )</t>
  </si>
  <si>
    <t>056115008200180303</t>
  </si>
  <si>
    <t>2025-11-24 14:29:28</t>
  </si>
  <si>
    <t>23567939</t>
  </si>
  <si>
    <t>20/10/2025 08:07:21</t>
  </si>
  <si>
    <t>2025-11-14 11:15:09</t>
  </si>
  <si>
    <t>CL 65 CR 35 -59 (INTERIOR 1 )</t>
  </si>
  <si>
    <t>056315005000590001</t>
  </si>
  <si>
    <t>2025-11-26 11:15:09</t>
  </si>
  <si>
    <t>23567957</t>
  </si>
  <si>
    <t>20/10/2025 08:16:57</t>
  </si>
  <si>
    <t>2025-11-12 09:59:12</t>
  </si>
  <si>
    <t>RURAL_161023686000000002_LA CHUSCALA</t>
  </si>
  <si>
    <t>161023686000000002</t>
  </si>
  <si>
    <t>2025-11-25 09:59:12</t>
  </si>
  <si>
    <t>23568717</t>
  </si>
  <si>
    <t>20/10/2025 15:55:32</t>
  </si>
  <si>
    <t>2025-11-12 09:59:13</t>
  </si>
  <si>
    <t>ROSALBA SUAREZ PADIERNA</t>
  </si>
  <si>
    <t>3219854592</t>
  </si>
  <si>
    <t>RURAL_161022720000000401_VEREDA LA CHUSCALA REVERS</t>
  </si>
  <si>
    <t>161022720000000401</t>
  </si>
  <si>
    <t>2025-11-25 09:59:13</t>
  </si>
  <si>
    <t>23568985</t>
  </si>
  <si>
    <t>21/10/2025 05:50:26</t>
  </si>
  <si>
    <t>2025-11-12 09:59:14</t>
  </si>
  <si>
    <t>FRANCY HERLEY MARIA HOLGUIN MESA</t>
  </si>
  <si>
    <t>3016636744</t>
  </si>
  <si>
    <t>RURAL_161145023000000101_VEREDA LA MIEL PARTE ALTA</t>
  </si>
  <si>
    <t>161145023000000101</t>
  </si>
  <si>
    <t>2025-11-25 09:59:14</t>
  </si>
  <si>
    <t>23568995</t>
  </si>
  <si>
    <t>21/10/2025 06:37:48</t>
  </si>
  <si>
    <t>2025-11-12 09:59:15</t>
  </si>
  <si>
    <t>JENNIFER ANDREA GONZALEZ PEREZ</t>
  </si>
  <si>
    <t>3226124062</t>
  </si>
  <si>
    <t>RURAL_161097304000000201</t>
  </si>
  <si>
    <t>161097304000000201</t>
  </si>
  <si>
    <t>2025-11-25 09:59:15</t>
  </si>
  <si>
    <t>23569381</t>
  </si>
  <si>
    <t>21/10/2025 08:39:16</t>
  </si>
  <si>
    <t>2025-11-12 09:59:17</t>
  </si>
  <si>
    <t>MARIA NATALY YEPES PEREZ</t>
  </si>
  <si>
    <t>3148821246</t>
  </si>
  <si>
    <t>RURAL_161099295000000201</t>
  </si>
  <si>
    <t>161099295000000201</t>
  </si>
  <si>
    <t>2025-11-25 09:59:17</t>
  </si>
  <si>
    <t>23569435</t>
  </si>
  <si>
    <t>21/10/2025 08:54:44</t>
  </si>
  <si>
    <t>2025-11-12 09:59:18</t>
  </si>
  <si>
    <t>LUIS ANGEL SUAREZ PADIERNA</t>
  </si>
  <si>
    <t>3216430131</t>
  </si>
  <si>
    <t>RURAL_161022720000000001_VEREDA LA CHUSCALA</t>
  </si>
  <si>
    <t>161022720000000001</t>
  </si>
  <si>
    <t>2025-11-25 09:59:18</t>
  </si>
  <si>
    <t>23571574</t>
  </si>
  <si>
    <t>23/10/2025 12:53:12</t>
  </si>
  <si>
    <t>2025-11-11 08:52:34</t>
  </si>
  <si>
    <t>AMADO DE JESUS MARTINEZ MARTINEZ</t>
  </si>
  <si>
    <t>3116170533</t>
  </si>
  <si>
    <t>RURAL_122003570000000301</t>
  </si>
  <si>
    <t>122003570000000301</t>
  </si>
  <si>
    <t>2025-11-26 08:52:34</t>
  </si>
  <si>
    <t>23572287</t>
  </si>
  <si>
    <t>24/10/2025 09:34:43</t>
  </si>
  <si>
    <t>2025-11-14 13:05:18</t>
  </si>
  <si>
    <t>CR 64 C CL 67 -336 (INTERIOR 1 )</t>
  </si>
  <si>
    <t>056624307003360001</t>
  </si>
  <si>
    <t>2025-11-26 13:05:18</t>
  </si>
  <si>
    <t>23572326</t>
  </si>
  <si>
    <t>14/11/2025 02:55:08</t>
  </si>
  <si>
    <t>2025-11-14 02:55:08</t>
  </si>
  <si>
    <t>ANA LUISA MARIO RIVERA</t>
  </si>
  <si>
    <t>2222222</t>
  </si>
  <si>
    <t>3156574846</t>
  </si>
  <si>
    <t>CL 77 A SUR CR 45 -72</t>
  </si>
  <si>
    <t>017417105000720000</t>
  </si>
  <si>
    <t>2025-11-21 02:55:08</t>
  </si>
  <si>
    <t>3 días 13:05</t>
  </si>
  <si>
    <t>23572681</t>
  </si>
  <si>
    <t>13/11/2025 07:34:16</t>
  </si>
  <si>
    <t>2025-11-13 07:34:16</t>
  </si>
  <si>
    <t>KARLA YARLEDI CARTAGENA MUÑOZ</t>
  </si>
  <si>
    <t>3006708847</t>
  </si>
  <si>
    <t>CL 39 DA CR 119 C -145 (INTERIOR 108 )</t>
  </si>
  <si>
    <t>083119419301450108</t>
  </si>
  <si>
    <t>APLIN</t>
  </si>
  <si>
    <t>2025-11-14 13:27:11</t>
  </si>
  <si>
    <t>2025-11-24 13:27:11</t>
  </si>
  <si>
    <t>3147328088</t>
  </si>
  <si>
    <t>2025-11-14 14:22:24</t>
  </si>
  <si>
    <t>2025-11-24 14:22:24</t>
  </si>
  <si>
    <t>2025-11-14 09:07:54</t>
  </si>
  <si>
    <t>2025-11-24 09:07:54</t>
  </si>
  <si>
    <t>2025-11-12 13:13:57</t>
  </si>
  <si>
    <t>3 días 07:51</t>
  </si>
  <si>
    <t>14/11/2025 05:02:13</t>
  </si>
  <si>
    <t>2025-11-14 05:02:13</t>
  </si>
  <si>
    <t>2025-11-21 05:02:13</t>
  </si>
  <si>
    <t>YURI ELENA BEDOYA MARIN</t>
  </si>
  <si>
    <t>2227735</t>
  </si>
  <si>
    <t>2025-11-14 09:42:08</t>
  </si>
  <si>
    <t>2025-11-27 09:42:08</t>
  </si>
  <si>
    <t>3005152429</t>
  </si>
  <si>
    <t>23584693</t>
  </si>
  <si>
    <t>07/11/2025 11:12:00</t>
  </si>
  <si>
    <t>2025-11-07 11:12:00</t>
  </si>
  <si>
    <t>FLOR MARIA RIOS ZAPATA</t>
  </si>
  <si>
    <t>3127876625</t>
  </si>
  <si>
    <t>RURAL_167071310000000102</t>
  </si>
  <si>
    <t>167071310000000102</t>
  </si>
  <si>
    <t>2025-11-24 11:12:00</t>
  </si>
  <si>
    <t>23584785</t>
  </si>
  <si>
    <t>07/11/2025 11:52:17</t>
  </si>
  <si>
    <t>2025-11-07 11:52:17</t>
  </si>
  <si>
    <t>JUAN CAMILO ROLDAN ATEHORTUA</t>
  </si>
  <si>
    <t>3117130291</t>
  </si>
  <si>
    <t>RURAL_114004480000000000_114004480000000000</t>
  </si>
  <si>
    <t>114004480000000000</t>
  </si>
  <si>
    <t>2025-11-28 11:52:17</t>
  </si>
  <si>
    <t>23584810</t>
  </si>
  <si>
    <t>07/11/2025 11:58:25</t>
  </si>
  <si>
    <t>2025-11-07 11:58:25</t>
  </si>
  <si>
    <t>ADRIANA DEL SOCORRO GONZALEZ MUNERA</t>
  </si>
  <si>
    <t>3157880298</t>
  </si>
  <si>
    <t>RURAL_161112302000000002_PROV VDA LA CORRALITA</t>
  </si>
  <si>
    <t>161112302000000002</t>
  </si>
  <si>
    <t>2025-11-20 11:58:25</t>
  </si>
  <si>
    <t>3116389498</t>
  </si>
  <si>
    <t>23585389</t>
  </si>
  <si>
    <t>08/11/2025 10:19:59</t>
  </si>
  <si>
    <t>2025-11-08 10:19:59</t>
  </si>
  <si>
    <t>GUSTAVO MEJIA HERRERA</t>
  </si>
  <si>
    <t>3207336498</t>
  </si>
  <si>
    <t>CL 87 SUR CR 62 -105 (INTERIOR 207 )</t>
  </si>
  <si>
    <t>038617002001050207</t>
  </si>
  <si>
    <t>2025-11-19 10:19:59</t>
  </si>
  <si>
    <t>23585598</t>
  </si>
  <si>
    <t>09/11/2025 13:42:37</t>
  </si>
  <si>
    <t>2025-11-09 13:42:37</t>
  </si>
  <si>
    <t>IVAN DE JESUS URIBE TORRES</t>
  </si>
  <si>
    <t>3128375548</t>
  </si>
  <si>
    <t>CL 65 CR 140 -37</t>
  </si>
  <si>
    <t>086415000000370000</t>
  </si>
  <si>
    <t>2025-11-25 13:42:37</t>
  </si>
  <si>
    <t>23585674</t>
  </si>
  <si>
    <t>10/11/2025 08:26:56</t>
  </si>
  <si>
    <t>2025-11-10 08:26:56</t>
  </si>
  <si>
    <t>RICARDO ANDRES CARDONA ESCUDERO</t>
  </si>
  <si>
    <t>3234898548</t>
  </si>
  <si>
    <t>CL 48 EE CR 99 DD -154 (INTERIOR 131 )</t>
  </si>
  <si>
    <t>054918559441540131</t>
  </si>
  <si>
    <t>2025-11-24 08:26:56</t>
  </si>
  <si>
    <t>23585742</t>
  </si>
  <si>
    <t>10/11/2025 09:47:40</t>
  </si>
  <si>
    <t>2025-11-10 09:47:40</t>
  </si>
  <si>
    <t>JUAN DAVID MARQUEZ RIOS</t>
  </si>
  <si>
    <t>2261158</t>
  </si>
  <si>
    <t>3134352365</t>
  </si>
  <si>
    <t>CR 17 A CL 54 -63 (INTERIOR 109 )</t>
  </si>
  <si>
    <t>055127104000630109</t>
  </si>
  <si>
    <t>2025-11-24 09:47:40</t>
  </si>
  <si>
    <t>23586005</t>
  </si>
  <si>
    <t>10/11/2025 11:39:37</t>
  </si>
  <si>
    <t>2025-11-13 15:07:51</t>
  </si>
  <si>
    <t>GABRIELA LOPEZ RUIZ</t>
  </si>
  <si>
    <t>3008203450</t>
  </si>
  <si>
    <t>CL 48 B CR 121 C -92 (INTERIOR 201 )</t>
  </si>
  <si>
    <t>084218201300920201</t>
  </si>
  <si>
    <t>2025-12-01 15:07:51</t>
  </si>
  <si>
    <t>23586048</t>
  </si>
  <si>
    <t>10/11/2025 12:28:36</t>
  </si>
  <si>
    <t>MELQUICEDEC GIRALDO MARTINEZ</t>
  </si>
  <si>
    <t>3104534546</t>
  </si>
  <si>
    <t>CR 50 CL 129 SUR -75</t>
  </si>
  <si>
    <t>002520009000750000</t>
  </si>
  <si>
    <t>23586172</t>
  </si>
  <si>
    <t>10/11/2025 15:25:35</t>
  </si>
  <si>
    <t>2025-11-10 15:25:36</t>
  </si>
  <si>
    <t>LUIS ALBEIRO LOPEZ PAEZ</t>
  </si>
  <si>
    <t>3187974250</t>
  </si>
  <si>
    <t>RURAL_116005368000000000_VEREDA_BELEN_AGUAS_FRIAS</t>
  </si>
  <si>
    <t>116005368000000000</t>
  </si>
  <si>
    <t>2025-12-01 15:25:36</t>
  </si>
  <si>
    <t>23586429</t>
  </si>
  <si>
    <t>11/11/2025 03:15:30</t>
  </si>
  <si>
    <t>2025-11-11 03:15:30</t>
  </si>
  <si>
    <t>VALENTINA MOLINA RESTREPO</t>
  </si>
  <si>
    <t>3012016846</t>
  </si>
  <si>
    <t>RURAL_159033400000000003_PROV.159033400000000003</t>
  </si>
  <si>
    <t>159033400000000003</t>
  </si>
  <si>
    <t>2025-11-24 03:15:30</t>
  </si>
  <si>
    <t>23586512</t>
  </si>
  <si>
    <t>11/11/2025 05:00:26</t>
  </si>
  <si>
    <t>2025-11-11 05:00:26</t>
  </si>
  <si>
    <t>JOSE FERNANDO VELEZ VELEZ</t>
  </si>
  <si>
    <t>3206459709</t>
  </si>
  <si>
    <t>RURAL_159144497000000204_PROV.TABLAZA EL LLANO</t>
  </si>
  <si>
    <t>159144497000000204</t>
  </si>
  <si>
    <t>2025-11-24 05:00:26</t>
  </si>
  <si>
    <t>23586611</t>
  </si>
  <si>
    <t>11/11/2025 07:10:23</t>
  </si>
  <si>
    <t>2025-11-11 07:10:23</t>
  </si>
  <si>
    <t>BEATRIZ EUGENIA SALAZAR TORO</t>
  </si>
  <si>
    <t>3206395611</t>
  </si>
  <si>
    <t>CL 110 SUR CR 54 -96 (INTERIOR 100 )</t>
  </si>
  <si>
    <t>001510004000960100</t>
  </si>
  <si>
    <t>2025-11-19 07:10:23</t>
  </si>
  <si>
    <t>4 días 07:51</t>
  </si>
  <si>
    <t>3 días 10:04</t>
  </si>
  <si>
    <t>LIYEN PATIÑO GALLEGO</t>
  </si>
  <si>
    <t>3165154829</t>
  </si>
  <si>
    <t>RURAL_114004489000000201_VEREDA JARDIN ALTAVISTA K</t>
  </si>
  <si>
    <t>114004489000000201</t>
  </si>
  <si>
    <t>RURAL_114004489000000102_VEREDA JARDIN ALTAVISTA K</t>
  </si>
  <si>
    <t>114004489000000102</t>
  </si>
  <si>
    <t>23587143</t>
  </si>
  <si>
    <t>11/11/2025 10:48:55</t>
  </si>
  <si>
    <t>2025-11-11 10:48:55</t>
  </si>
  <si>
    <t>KEVIN ANDRES OCAMPO MARTINEZ</t>
  </si>
  <si>
    <t>2797527</t>
  </si>
  <si>
    <t>3105225546</t>
  </si>
  <si>
    <t>RURAL_167043583000000000_CR 34 CL 81A SUR -50(122)</t>
  </si>
  <si>
    <t>167043583000000000</t>
  </si>
  <si>
    <t>2025-11-26 10:48:55</t>
  </si>
  <si>
    <t>3 días 10:52</t>
  </si>
  <si>
    <t>3 días 11:15</t>
  </si>
  <si>
    <t>23587250</t>
  </si>
  <si>
    <t>11/11/2025 11:22:48</t>
  </si>
  <si>
    <t>2025-11-11 11:22:48</t>
  </si>
  <si>
    <t>MARGY SOTO RUIZ</t>
  </si>
  <si>
    <t>3224088923</t>
  </si>
  <si>
    <t>RURAL_122012403200000001</t>
  </si>
  <si>
    <t>122012403200000001</t>
  </si>
  <si>
    <t>2025-11-26 11:22:48</t>
  </si>
  <si>
    <t>23587256</t>
  </si>
  <si>
    <t>11/11/2025 11:23:17</t>
  </si>
  <si>
    <t>2025-11-11 11:23:17</t>
  </si>
  <si>
    <t>IRENE DE JESUS USUGA RESTREPO</t>
  </si>
  <si>
    <t>4211735</t>
  </si>
  <si>
    <t>3012880097</t>
  </si>
  <si>
    <t>RURAL_122025457100000002_VDA EL PLAN SECTOR DON BO</t>
  </si>
  <si>
    <t>122025457100000002</t>
  </si>
  <si>
    <t>2025-11-26 11:23:17</t>
  </si>
  <si>
    <t>23587383</t>
  </si>
  <si>
    <t>11/11/2025 12:43:01</t>
  </si>
  <si>
    <t>2025-11-11 12:43:01</t>
  </si>
  <si>
    <t>ARGEMIRA BERRIO DE ACEVEDO</t>
  </si>
  <si>
    <t>3043776852</t>
  </si>
  <si>
    <t>CL 111 SUR CR 55 -88 (INTERIOR 1110 )</t>
  </si>
  <si>
    <t>001511005000881110</t>
  </si>
  <si>
    <t>2025-11-19 12:43:01</t>
  </si>
  <si>
    <t>23587405</t>
  </si>
  <si>
    <t>11/11/2025 13:11:48</t>
  </si>
  <si>
    <t>2025-11-11 13:11:48</t>
  </si>
  <si>
    <t>CRUZ ALBERTO VILLADA MOSQUERA</t>
  </si>
  <si>
    <t>3044371007</t>
  </si>
  <si>
    <t>CR 3 CL 56 -4</t>
  </si>
  <si>
    <t>055023006000040000</t>
  </si>
  <si>
    <t>2025-11-25 13:11:48</t>
  </si>
  <si>
    <t>23587430</t>
  </si>
  <si>
    <t>11/11/2025 13:32:25</t>
  </si>
  <si>
    <t>2025-11-11 13:32:25</t>
  </si>
  <si>
    <t>DIEGO ALEJANDRO PARRA CARDONA</t>
  </si>
  <si>
    <t>3023697730</t>
  </si>
  <si>
    <t>RURAL_159054830000000123_159054830000000123</t>
  </si>
  <si>
    <t>159054830000000123</t>
  </si>
  <si>
    <t>2025-11-24 13:32:25</t>
  </si>
  <si>
    <t>23587500</t>
  </si>
  <si>
    <t>11/11/2025 14:26:38</t>
  </si>
  <si>
    <t>2025-11-11 14:26:38</t>
  </si>
  <si>
    <t>YECENIA MARGARITA CASTAÑEDA DUARTE</t>
  </si>
  <si>
    <t>3784648</t>
  </si>
  <si>
    <t>3146148518</t>
  </si>
  <si>
    <t>RURAL_159135899000000001</t>
  </si>
  <si>
    <t>159135899000000001</t>
  </si>
  <si>
    <t>2025-11-24 14:26:38</t>
  </si>
  <si>
    <t>23587571</t>
  </si>
  <si>
    <t>11/11/2025 15:17:12</t>
  </si>
  <si>
    <t>2025-11-11 15:17:12</t>
  </si>
  <si>
    <t>JORGE ANDRES GUZMAN POSADA</t>
  </si>
  <si>
    <t>3045815447</t>
  </si>
  <si>
    <t>RURAL_147040488000000121</t>
  </si>
  <si>
    <t>147040488000000121</t>
  </si>
  <si>
    <t>2025-11-26 15:17:12</t>
  </si>
  <si>
    <t>23587588</t>
  </si>
  <si>
    <t>MARTHA TABAREZ</t>
  </si>
  <si>
    <t>2052011</t>
  </si>
  <si>
    <t>3113648855</t>
  </si>
  <si>
    <t>CL 58 D CR 92 A -88 (INTERIOR 211 )</t>
  </si>
  <si>
    <t>055918402100880211</t>
  </si>
  <si>
    <t>23587634</t>
  </si>
  <si>
    <t>11/11/2025 15:55:03</t>
  </si>
  <si>
    <t>MARIA CLARA MERCEDES VILLA DE GARCIA</t>
  </si>
  <si>
    <t>3148936416</t>
  </si>
  <si>
    <t>CL 26 SUR CR 22 -7 (INTERIOR 109 )</t>
  </si>
  <si>
    <t>022216002000070109</t>
  </si>
  <si>
    <t>23587781</t>
  </si>
  <si>
    <t>11/11/2025 20:53:16</t>
  </si>
  <si>
    <t>2025-11-11 20:53:16</t>
  </si>
  <si>
    <t>MARIO ANGEL MORA MUÑOZ</t>
  </si>
  <si>
    <t>2692803</t>
  </si>
  <si>
    <t>3002556795</t>
  </si>
  <si>
    <t>CL 56 A CR 16 -46 (INTERIOR 104 )</t>
  </si>
  <si>
    <t>055116106000460104</t>
  </si>
  <si>
    <t>2025-11-27 20:53:16</t>
  </si>
  <si>
    <t>23588038</t>
  </si>
  <si>
    <t>12/11/2025 08:02:36</t>
  </si>
  <si>
    <t>2025-11-12 08:02:36</t>
  </si>
  <si>
    <t>EDGAR JAVIER ESPAÑA GOMEZ</t>
  </si>
  <si>
    <t>2170970</t>
  </si>
  <si>
    <t>3113876611</t>
  </si>
  <si>
    <t>CR 36 CL 48 -36 (INTERIOR 201 )</t>
  </si>
  <si>
    <t>054326008000360201</t>
  </si>
  <si>
    <t>2025-11-24 08:02:36</t>
  </si>
  <si>
    <t>23588079</t>
  </si>
  <si>
    <t>12/11/2025 08:33:36</t>
  </si>
  <si>
    <t>2025-11-12 08:33:36</t>
  </si>
  <si>
    <t>SILVIA HERNANDEZ</t>
  </si>
  <si>
    <t>3222483</t>
  </si>
  <si>
    <t>3163420710</t>
  </si>
  <si>
    <t>RURAL_163001261600055000_CL 14 S- CR 58 -55</t>
  </si>
  <si>
    <t>163001261600055000</t>
  </si>
  <si>
    <t>2025-12-03 08:33:36</t>
  </si>
  <si>
    <t>3 días 09:02</t>
  </si>
  <si>
    <t>23588203</t>
  </si>
  <si>
    <t>12/11/2025 10:17:31</t>
  </si>
  <si>
    <t>2025-11-12 10:17:31</t>
  </si>
  <si>
    <t>OMAR DE JESUS PATIÑO ORTIZ</t>
  </si>
  <si>
    <t>3117976907</t>
  </si>
  <si>
    <t>RURAL_146024040000000001</t>
  </si>
  <si>
    <t>146024040000000002</t>
  </si>
  <si>
    <t>2025-11-27 10:17:31</t>
  </si>
  <si>
    <t>23588227</t>
  </si>
  <si>
    <t>12/11/2025 10:29:19</t>
  </si>
  <si>
    <t>2025-11-12 10:29:19</t>
  </si>
  <si>
    <t>CARLOS ALBERTO DIAZ FLOREZ</t>
  </si>
  <si>
    <t>2166071</t>
  </si>
  <si>
    <t>3105355914</t>
  </si>
  <si>
    <t>RURAL_125004484000000157_CR 3 CL 20C S-85 IN 157</t>
  </si>
  <si>
    <t>125004484000000157</t>
  </si>
  <si>
    <t>2025-11-27 10:29:19</t>
  </si>
  <si>
    <t>3102107000</t>
  </si>
  <si>
    <t>23588294</t>
  </si>
  <si>
    <t>12/11/2025 11:14:51</t>
  </si>
  <si>
    <t>2025-11-12 11:14:51</t>
  </si>
  <si>
    <t>MONICA DEL SOCORRO URIBE</t>
  </si>
  <si>
    <t>3113904079</t>
  </si>
  <si>
    <t>RURAL_167094650000000203_PROV.RURAL_16709465000000</t>
  </si>
  <si>
    <t>167094650000000203</t>
  </si>
  <si>
    <t>2025-11-27 11:14:51</t>
  </si>
  <si>
    <t>23588501</t>
  </si>
  <si>
    <t>12/11/2025 14:11:14</t>
  </si>
  <si>
    <t>2025-11-12 14:11:14</t>
  </si>
  <si>
    <t>GLORIA PATRICIA BRAN CANO</t>
  </si>
  <si>
    <t>3017179667</t>
  </si>
  <si>
    <t>RURAL_147047727300000000_147047727300000000_VDA EL</t>
  </si>
  <si>
    <t>147047727300000000</t>
  </si>
  <si>
    <t>2025-11-27 14:11:14</t>
  </si>
  <si>
    <t>3022050303</t>
  </si>
  <si>
    <t>23589122</t>
  </si>
  <si>
    <t>13/11/2025 08:06:09</t>
  </si>
  <si>
    <t>2025-11-13 08:06:09</t>
  </si>
  <si>
    <t>GLORIA AMPARO SANCHEZ MARIN</t>
  </si>
  <si>
    <t>3175616657</t>
  </si>
  <si>
    <t>CL 66 CR 140 -82 (INTERIOR 1145 )</t>
  </si>
  <si>
    <t>086416000000821145</t>
  </si>
  <si>
    <t>2025-11-25 08:06:09</t>
  </si>
  <si>
    <t>23589128</t>
  </si>
  <si>
    <t>13/11/2025 08:09:15</t>
  </si>
  <si>
    <t>2025-11-13 08:09:15</t>
  </si>
  <si>
    <t>ELKIN DARIO VASCO</t>
  </si>
  <si>
    <t>3147700798</t>
  </si>
  <si>
    <t>CL 65 A CR 144 -56 (INTERIOR 1147 )</t>
  </si>
  <si>
    <t>086415104000561147</t>
  </si>
  <si>
    <t>2025-11-25 08:09:15</t>
  </si>
  <si>
    <t>23589232</t>
  </si>
  <si>
    <t>13/11/2025 09:30:21</t>
  </si>
  <si>
    <t>2025-11-13 09:30:21</t>
  </si>
  <si>
    <t>DEISY PATRICIA BERRIO SALDARRIAGA</t>
  </si>
  <si>
    <t>3373451</t>
  </si>
  <si>
    <t>3117458672</t>
  </si>
  <si>
    <t>CL 55 SUR CR 63 -28 (INTERIOR 401 )</t>
  </si>
  <si>
    <t>045615003000280401</t>
  </si>
  <si>
    <t>2025-11-25 09:30:21</t>
  </si>
  <si>
    <t>23589234</t>
  </si>
  <si>
    <t>13/11/2025 09:31:09</t>
  </si>
  <si>
    <t>2025-11-13 09:31:09</t>
  </si>
  <si>
    <t>ELIZABETH BERRIO SALDARRIAGA</t>
  </si>
  <si>
    <t>3137057976</t>
  </si>
  <si>
    <t>CL 55 SUR CR 63 -28 (INTERIOR 301 )</t>
  </si>
  <si>
    <t>045615003000280301</t>
  </si>
  <si>
    <t>2025-11-25 09:31:09</t>
  </si>
  <si>
    <t>23589285</t>
  </si>
  <si>
    <t>13/11/2025 10:24:05</t>
  </si>
  <si>
    <t>2025-11-13 10:24:05</t>
  </si>
  <si>
    <t>MARYELIS DIAZ BERRIO</t>
  </si>
  <si>
    <t>3207233431</t>
  </si>
  <si>
    <t>CR 15 C CL 36 -43 (INTERIOR 201 )</t>
  </si>
  <si>
    <t>053125306000430201</t>
  </si>
  <si>
    <t>2025-11-25 10:24:05</t>
  </si>
  <si>
    <t>23589293</t>
  </si>
  <si>
    <t>13/11/2025 10:31:38</t>
  </si>
  <si>
    <t>2025-11-13 10:31:38</t>
  </si>
  <si>
    <t>JORGE ARMANDO MUÑOZ JIMENEZ</t>
  </si>
  <si>
    <t>3108256726</t>
  </si>
  <si>
    <t>CL 56 B CR 20 C -37</t>
  </si>
  <si>
    <t>055216200300370000</t>
  </si>
  <si>
    <t>2025-11-27 10:31:38</t>
  </si>
  <si>
    <t>23589320</t>
  </si>
  <si>
    <t>13/11/2025 11:07:15</t>
  </si>
  <si>
    <t>2025-11-13 11:07:15</t>
  </si>
  <si>
    <t>AIXA JANETH HERNANDEZ JARAMILLO</t>
  </si>
  <si>
    <t>3247376880</t>
  </si>
  <si>
    <t>CL 39 AC CR 115 B -59 (INTERIOR 203 )</t>
  </si>
  <si>
    <t>083119135200590203</t>
  </si>
  <si>
    <t>2025-12-01 11:07:15</t>
  </si>
  <si>
    <t>23589326</t>
  </si>
  <si>
    <t>13/11/2025 11:15:10</t>
  </si>
  <si>
    <t>2025-11-13 11:15:10</t>
  </si>
  <si>
    <t>CL 39 AC CR 115 B -59 (INTERIOR 103 )</t>
  </si>
  <si>
    <t>083119135200590103</t>
  </si>
  <si>
    <t>2025-12-01 11:15:10</t>
  </si>
  <si>
    <t>23589370</t>
  </si>
  <si>
    <t>13/11/2025 12:04:28</t>
  </si>
  <si>
    <t>2025-11-13 12:04:28</t>
  </si>
  <si>
    <t>INVERSIONES GOST SAS</t>
  </si>
  <si>
    <t>RURAL_125004425000001102_125004425000001102</t>
  </si>
  <si>
    <t>125004425000001102</t>
  </si>
  <si>
    <t>2025-11-28 12:04:28</t>
  </si>
  <si>
    <t>23589374</t>
  </si>
  <si>
    <t>13/11/2025 12:08:59</t>
  </si>
  <si>
    <t>2025-11-13 12:08:59</t>
  </si>
  <si>
    <t>OLGA LOPEZ GALLO</t>
  </si>
  <si>
    <t>3116081264</t>
  </si>
  <si>
    <t>CL 34 AA CR 125 -53 (INTERIOR 101 )</t>
  </si>
  <si>
    <t>083214115000530101</t>
  </si>
  <si>
    <t>2025-11-25 12:08:59</t>
  </si>
  <si>
    <t>23589386</t>
  </si>
  <si>
    <t>13/11/2025 12:33:39</t>
  </si>
  <si>
    <t>2025-11-13 12:33:39</t>
  </si>
  <si>
    <t>MARISELA MOLINA CARRASQUILLA</t>
  </si>
  <si>
    <t>2659282</t>
  </si>
  <si>
    <t>3167437142</t>
  </si>
  <si>
    <t>CL 29 CR 80 -20</t>
  </si>
  <si>
    <t>052819000000200000</t>
  </si>
  <si>
    <t>2025-11-25 12:33:39</t>
  </si>
  <si>
    <t>23589404</t>
  </si>
  <si>
    <t>13/11/2025 13:29:14</t>
  </si>
  <si>
    <t>2025-11-13 13:29:14</t>
  </si>
  <si>
    <t>MARIA NOELIA NOREÑA GRAJALES</t>
  </si>
  <si>
    <t>2146970</t>
  </si>
  <si>
    <t>3128794411</t>
  </si>
  <si>
    <t>CR 13 CL 55 -113 (INTERIOR 101 )</t>
  </si>
  <si>
    <t>055123005001130101-ENEPRE</t>
  </si>
  <si>
    <t>2025-12-01 13:29:14</t>
  </si>
  <si>
    <t>23589421</t>
  </si>
  <si>
    <t>13/11/2025 13:48:06</t>
  </si>
  <si>
    <t>2025-11-13 13:48:06</t>
  </si>
  <si>
    <t>JORGE ARMANDO GAVIRIA OSORIO</t>
  </si>
  <si>
    <t>3004827456</t>
  </si>
  <si>
    <t>CR 66 B CL 32 C -37 (INTERIOR 202 )</t>
  </si>
  <si>
    <t>053626202300370202</t>
  </si>
  <si>
    <t>2025-11-25 13:48:06</t>
  </si>
  <si>
    <t>23589425</t>
  </si>
  <si>
    <t>13/11/2025 13:48:56</t>
  </si>
  <si>
    <t>2025-11-13 13:48:56</t>
  </si>
  <si>
    <t>CR 66 B CL 32 C -37 (INTERIOR 301 )</t>
  </si>
  <si>
    <t>053626202300370301</t>
  </si>
  <si>
    <t>2025-11-25 13:48:56</t>
  </si>
  <si>
    <t>23589428</t>
  </si>
  <si>
    <t>13/11/2025 13:49:26</t>
  </si>
  <si>
    <t>2025-11-13 13:49:26</t>
  </si>
  <si>
    <t>CR 66 B CL 32 C -37 (INTERIOR 302 )</t>
  </si>
  <si>
    <t>053626202300370302</t>
  </si>
  <si>
    <t>2025-11-25 13:49:26</t>
  </si>
  <si>
    <t>23589445</t>
  </si>
  <si>
    <t>13/11/2025 14:04:01</t>
  </si>
  <si>
    <t>2025-11-13 14:04:01</t>
  </si>
  <si>
    <t>CR 66 B CL 32 C -37 (INTERIOR 402 )</t>
  </si>
  <si>
    <t>053626202300370402</t>
  </si>
  <si>
    <t>2025-11-25 14:04:01</t>
  </si>
  <si>
    <t>23589446</t>
  </si>
  <si>
    <t>13/11/2025 14:04:04</t>
  </si>
  <si>
    <t>2025-11-13 14:04:04</t>
  </si>
  <si>
    <t>CR 66 B CL 32 C -37 (INTERIOR 502 )</t>
  </si>
  <si>
    <t>053626202300370502</t>
  </si>
  <si>
    <t>2025-11-25 14:04:04</t>
  </si>
  <si>
    <t>23589447</t>
  </si>
  <si>
    <t>13/11/2025 14:04:23</t>
  </si>
  <si>
    <t>2025-11-13 14:04:23</t>
  </si>
  <si>
    <t>CR 66 B CL 32 C -37 (INTERIOR 401 )</t>
  </si>
  <si>
    <t>053626202300370401</t>
  </si>
  <si>
    <t>2025-11-25 14:04:23</t>
  </si>
  <si>
    <t>23589448</t>
  </si>
  <si>
    <t>13/11/2025 14:05:04</t>
  </si>
  <si>
    <t>2025-11-13 14:05:04</t>
  </si>
  <si>
    <t>CR 66 B CL 32 C -37 (INTERIOR 201 )</t>
  </si>
  <si>
    <t>053626202300370201</t>
  </si>
  <si>
    <t>2025-11-25 14:05:04</t>
  </si>
  <si>
    <t>23589455</t>
  </si>
  <si>
    <t>13/11/2025 14:09:54</t>
  </si>
  <si>
    <t>2025-11-13 14:09:54</t>
  </si>
  <si>
    <t>CR 66 B CL 32 C -37 (INTERIOR 501 )</t>
  </si>
  <si>
    <t>053626202300370501</t>
  </si>
  <si>
    <t>2025-11-25 14:09:54</t>
  </si>
  <si>
    <t>23589457</t>
  </si>
  <si>
    <t>13/11/2025 14:12:28</t>
  </si>
  <si>
    <t>2025-11-13 14:12:28</t>
  </si>
  <si>
    <t>DEICY NATALIA LOAIZA CORREA</t>
  </si>
  <si>
    <t>4175658</t>
  </si>
  <si>
    <t>3147334426</t>
  </si>
  <si>
    <t>CL 35 D CR 108 B -57 (INTERIOR 301 )</t>
  </si>
  <si>
    <t>083015408200570301</t>
  </si>
  <si>
    <t>2025-11-25 14:12:28</t>
  </si>
  <si>
    <t>23589470</t>
  </si>
  <si>
    <t>13/11/2025 14:32:33</t>
  </si>
  <si>
    <t>2025-11-13 14:32:33</t>
  </si>
  <si>
    <t>TARCILA ROSA VARGAS MARTINEZ</t>
  </si>
  <si>
    <t>3127850457</t>
  </si>
  <si>
    <t>CR 90 C CL 15 A -3 (INTERIOR 201 )</t>
  </si>
  <si>
    <t>051920305100030201</t>
  </si>
  <si>
    <t>2025-12-01 14:32:33</t>
  </si>
  <si>
    <t>23589504</t>
  </si>
  <si>
    <t>13/11/2025 15:04:40</t>
  </si>
  <si>
    <t>2025-11-13 15:04:40</t>
  </si>
  <si>
    <t>CR 66 B CL 32 C -37 (INTERIOR 601 )</t>
  </si>
  <si>
    <t>053626202300370601</t>
  </si>
  <si>
    <t>2025-11-25 15:04:40</t>
  </si>
  <si>
    <t>23589581</t>
  </si>
  <si>
    <t>13/11/2025 16:35:09</t>
  </si>
  <si>
    <t>2025-11-13 16:35:09</t>
  </si>
  <si>
    <t>WILSON FABER TAPIAS PUERTA</t>
  </si>
  <si>
    <t>3045660436</t>
  </si>
  <si>
    <t>CR 51 B CL 12 SUR -54 (INTERIOR 7000 )</t>
  </si>
  <si>
    <t>041521202000547000-ENEPRE</t>
  </si>
  <si>
    <t>2025-12-01 16:35:09</t>
  </si>
  <si>
    <t>23589615</t>
  </si>
  <si>
    <t>14/11/2025 02:55:48</t>
  </si>
  <si>
    <t>2025-11-14 02:55:48</t>
  </si>
  <si>
    <t>ANGELA MARITZA OSPINA SANCHEZ</t>
  </si>
  <si>
    <t>3127537661</t>
  </si>
  <si>
    <t>CL 59 A CR 21 C -45 (INTERIOR 105 )</t>
  </si>
  <si>
    <t>055219101300450105</t>
  </si>
  <si>
    <t>2025-11-24 02:55:48</t>
  </si>
  <si>
    <t>23589623</t>
  </si>
  <si>
    <t>14/11/2025 02:58:04</t>
  </si>
  <si>
    <t>2025-11-14 02:58:04</t>
  </si>
  <si>
    <t>ALBEIRO ANTONIO GALLEGO MARIN</t>
  </si>
  <si>
    <t>CL 66 CR 50 C -33 (INTERIOR 301 )</t>
  </si>
  <si>
    <t>056516000300330301</t>
  </si>
  <si>
    <t>2025-11-21 02:58:04</t>
  </si>
  <si>
    <t>23589648</t>
  </si>
  <si>
    <t>14/11/2025 03:11:19</t>
  </si>
  <si>
    <t>2025-11-14 03:11:19</t>
  </si>
  <si>
    <t>LUZ MARLENY VELASQUEZ BEDOYA</t>
  </si>
  <si>
    <t>3004215070</t>
  </si>
  <si>
    <t>CR 59 CL 69 C -16 (INTERIOR 201 )</t>
  </si>
  <si>
    <t>076529009300160201</t>
  </si>
  <si>
    <t>2025-11-21 03:11:19</t>
  </si>
  <si>
    <t>23589823</t>
  </si>
  <si>
    <t>14/11/2025 03:35:48</t>
  </si>
  <si>
    <t>2025-11-14 03:35:48</t>
  </si>
  <si>
    <t>MANUELA CORTES CANO</t>
  </si>
  <si>
    <t>3019225506</t>
  </si>
  <si>
    <t>CR 143 CL 68 -121</t>
  </si>
  <si>
    <t>086423008001210000</t>
  </si>
  <si>
    <t>2025-11-21 03:35:48</t>
  </si>
  <si>
    <t>NATALIA ANDREA MONSALVE ROJO</t>
  </si>
  <si>
    <t>3104242411</t>
  </si>
  <si>
    <t>23589850</t>
  </si>
  <si>
    <t>14/11/2025 03:47:00</t>
  </si>
  <si>
    <t>2025-11-14 03:47:00</t>
  </si>
  <si>
    <t>HUBER DE JESUS MURILLO RAMIREZ</t>
  </si>
  <si>
    <t>4796370</t>
  </si>
  <si>
    <t>CL 51 CR 82 -27</t>
  </si>
  <si>
    <t>055811002000270000</t>
  </si>
  <si>
    <t>2025-11-21 03:47:00</t>
  </si>
  <si>
    <t>23589867</t>
  </si>
  <si>
    <t>14/11/2025 03:54:55</t>
  </si>
  <si>
    <t>2025-11-14 03:54:55</t>
  </si>
  <si>
    <t>SMART COOKING S.A.S.</t>
  </si>
  <si>
    <t>6105080</t>
  </si>
  <si>
    <t>3225947141</t>
  </si>
  <si>
    <t>RURAL_159073639198000033_CR 49 A 98 A S-228(33)</t>
  </si>
  <si>
    <t>159073639198000033</t>
  </si>
  <si>
    <t>2025-11-21 03:54:55</t>
  </si>
  <si>
    <t>23589876</t>
  </si>
  <si>
    <t>14/11/2025 03:57:20</t>
  </si>
  <si>
    <t>2025-11-14 03:57:20</t>
  </si>
  <si>
    <t>JHONATAN VALENCIA GIRALDO</t>
  </si>
  <si>
    <t>3216422753</t>
  </si>
  <si>
    <t>CR 67 CL 25 A -82 (INTERIOR 301 )</t>
  </si>
  <si>
    <t>072627005100820301</t>
  </si>
  <si>
    <t>2025-11-24 03:57:20</t>
  </si>
  <si>
    <t>23589891</t>
  </si>
  <si>
    <t>14/11/2025 04:11:52</t>
  </si>
  <si>
    <t>2025-11-14 04:11:52</t>
  </si>
  <si>
    <t>NELSON DARIO GIRALDO GUERRA</t>
  </si>
  <si>
    <t>2025-11-21 04:11:52</t>
  </si>
  <si>
    <t>23589923</t>
  </si>
  <si>
    <t>14/11/2025 04:22:29</t>
  </si>
  <si>
    <t>2025-11-14 04:22:29</t>
  </si>
  <si>
    <t>CARLOS MAURICIO VALLEJO ZAPATA</t>
  </si>
  <si>
    <t>3154001099</t>
  </si>
  <si>
    <t>CL 21 CR 59 -51 (INTERIOR 101 )</t>
  </si>
  <si>
    <t>052511009000510101</t>
  </si>
  <si>
    <t>2025-11-21 04:22:29</t>
  </si>
  <si>
    <t>23589927</t>
  </si>
  <si>
    <t>14/11/2025 04:27:12</t>
  </si>
  <si>
    <t>2025-11-14 04:27:12</t>
  </si>
  <si>
    <t>SALANA INMOBILIARIA SAS</t>
  </si>
  <si>
    <t>6043293</t>
  </si>
  <si>
    <t>3122660946</t>
  </si>
  <si>
    <t>CR 42 CL 53 -212</t>
  </si>
  <si>
    <t>075422003002120000</t>
  </si>
  <si>
    <t>2025-11-21 04:27:12</t>
  </si>
  <si>
    <t>23589932</t>
  </si>
  <si>
    <t>14/11/2025 04:28:59</t>
  </si>
  <si>
    <t>2025-11-14 04:28:59</t>
  </si>
  <si>
    <t>2025-11-21 04:28:59</t>
  </si>
  <si>
    <t>23589935</t>
  </si>
  <si>
    <t>14/11/2025 04:30:05</t>
  </si>
  <si>
    <t>2025-11-14 04:30:05</t>
  </si>
  <si>
    <t>YHON STIVEN MUÑOZ SANCHEZ</t>
  </si>
  <si>
    <t>3005878053</t>
  </si>
  <si>
    <t>CR 119 C CL 62 B -9</t>
  </si>
  <si>
    <t>086129302200090000</t>
  </si>
  <si>
    <t>2025-11-21 04:30:05</t>
  </si>
  <si>
    <t>23589942</t>
  </si>
  <si>
    <t>14/11/2025 04:35:58</t>
  </si>
  <si>
    <t>2025-11-14 04:35:58</t>
  </si>
  <si>
    <t>CR 43 CL 32 A SUR -33</t>
  </si>
  <si>
    <t>023423002100330000</t>
  </si>
  <si>
    <t>2025-11-21 04:35:58</t>
  </si>
  <si>
    <t>23589948</t>
  </si>
  <si>
    <t>14/11/2025 04:37:45</t>
  </si>
  <si>
    <t>2025-11-14 04:37:45</t>
  </si>
  <si>
    <t>2025-11-21 04:37:45</t>
  </si>
  <si>
    <t>23589960</t>
  </si>
  <si>
    <t>14/11/2025 04:54:45</t>
  </si>
  <si>
    <t>2025-11-14 04:54:45</t>
  </si>
  <si>
    <t>PARROQUIA BEATA TERESA DE CALCUTA</t>
  </si>
  <si>
    <t>3128952928</t>
  </si>
  <si>
    <t>CR 52 D CL 75 AA SUR -309</t>
  </si>
  <si>
    <t>777522405113090000</t>
  </si>
  <si>
    <t>2025-11-21 04:54:45</t>
  </si>
  <si>
    <t>23589989</t>
  </si>
  <si>
    <t>14/11/2025 07:04:47</t>
  </si>
  <si>
    <t>2025-11-14 07:04:47</t>
  </si>
  <si>
    <t>VERONICA YANETH GARCIA RIOS</t>
  </si>
  <si>
    <t>3227222385</t>
  </si>
  <si>
    <t>RURAL_146023302000000201</t>
  </si>
  <si>
    <t>146023302000000201</t>
  </si>
  <si>
    <t>2025-12-01 07:04:47</t>
  </si>
  <si>
    <t>23590016</t>
  </si>
  <si>
    <t>14/11/2025 07:51:22</t>
  </si>
  <si>
    <t>2025-11-14 07:51:22</t>
  </si>
  <si>
    <t>3192228133</t>
  </si>
  <si>
    <t>CR 82 CL 9 SUR -450 (INTERIOR 383 )</t>
  </si>
  <si>
    <t>040822009004500383</t>
  </si>
  <si>
    <t>2025-11-26 07:51:22</t>
  </si>
  <si>
    <t>23590018</t>
  </si>
  <si>
    <t>14/11/2025 07:52:46</t>
  </si>
  <si>
    <t>2025-11-14 07:52:47</t>
  </si>
  <si>
    <t>JAIRO ALEX ALZATE VERA</t>
  </si>
  <si>
    <t>3113077370</t>
  </si>
  <si>
    <t>CL 75 A SUR CR 52 F -90 (INTERIOR 1312 BQ 3 )</t>
  </si>
  <si>
    <t>777515102600901312</t>
  </si>
  <si>
    <t>2025-11-21 07:52:47</t>
  </si>
  <si>
    <t>23590029</t>
  </si>
  <si>
    <t>14/11/2025 08:01:52</t>
  </si>
  <si>
    <t>2025-11-14 08:01:52</t>
  </si>
  <si>
    <t>CLAUDIA PATRICIA MUÑOZ PALACIO</t>
  </si>
  <si>
    <t>3005363779</t>
  </si>
  <si>
    <t>RURAL_103036965245000001_103036965245000001</t>
  </si>
  <si>
    <t>103036965245000001</t>
  </si>
  <si>
    <t>2025-12-01 08:01:52</t>
  </si>
  <si>
    <t>23590037</t>
  </si>
  <si>
    <t>14/11/2025 08:08:24</t>
  </si>
  <si>
    <t>2025-11-14 08:08:24</t>
  </si>
  <si>
    <t>PAULA ANDREA VELASQUEZ GIRALDO</t>
  </si>
  <si>
    <t>2260521</t>
  </si>
  <si>
    <t>3147621257</t>
  </si>
  <si>
    <t>CL 56 A CR 17 H -14 (INTERIOR 301 )</t>
  </si>
  <si>
    <t>055116107800140301</t>
  </si>
  <si>
    <t>2025-11-26 08:08:24</t>
  </si>
  <si>
    <t>14/11/2025 08:15:50</t>
  </si>
  <si>
    <t>2025-11-14 08:15:50</t>
  </si>
  <si>
    <t>2025-11-26 08:15:50</t>
  </si>
  <si>
    <t>23590048</t>
  </si>
  <si>
    <t>CARLOS ALBEIRO GONZALEZ GALLO</t>
  </si>
  <si>
    <t>3104998709</t>
  </si>
  <si>
    <t>CR 45 CL 49 -6 (INTERIOR 301 )</t>
  </si>
  <si>
    <t>054425009000060301</t>
  </si>
  <si>
    <t>23590049</t>
  </si>
  <si>
    <t>14/11/2025 08:18:05</t>
  </si>
  <si>
    <t>2025-11-14 08:18:05</t>
  </si>
  <si>
    <t>ISABEL CRISTINA CANO TORRES</t>
  </si>
  <si>
    <t>3053208373</t>
  </si>
  <si>
    <t>RURAL_147002404000000002_CRA 152 CA CL 59 -139_VER</t>
  </si>
  <si>
    <t>147002404000000002</t>
  </si>
  <si>
    <t>2025-11-27 08:18:05</t>
  </si>
  <si>
    <t>23590058</t>
  </si>
  <si>
    <t>14/11/2025 08:40:04</t>
  </si>
  <si>
    <t>2025-11-14 08:40:04</t>
  </si>
  <si>
    <t>FRANCISCO FABIO ARISTIZABAL ZULUAGA</t>
  </si>
  <si>
    <t>3235088415</t>
  </si>
  <si>
    <t>CR 72 A CL 31 -64 (INTERIOR 303 )</t>
  </si>
  <si>
    <t>053722101000640303</t>
  </si>
  <si>
    <t>2025-11-21 08:40:04</t>
  </si>
  <si>
    <t>23590059</t>
  </si>
  <si>
    <t>14/11/2025 08:41:15</t>
  </si>
  <si>
    <t>2025-11-14 08:41:15</t>
  </si>
  <si>
    <t>MAGNOLIA JARAMILLO RESTREPO</t>
  </si>
  <si>
    <t>5925287</t>
  </si>
  <si>
    <t>3137008386</t>
  </si>
  <si>
    <t>RURAL_114013451200000000_114013451200000000</t>
  </si>
  <si>
    <t>114013451200000000</t>
  </si>
  <si>
    <t>2025-11-21 08:41:15</t>
  </si>
  <si>
    <t>23590095</t>
  </si>
  <si>
    <t>14/11/2025 09:18:42</t>
  </si>
  <si>
    <t>2025-11-14 09:18:42</t>
  </si>
  <si>
    <t>NATALIA ANDREA SALAZAR OSORNO</t>
  </si>
  <si>
    <t>5572241</t>
  </si>
  <si>
    <t>3222924648</t>
  </si>
  <si>
    <t>CR 18 CL 48 -41 (INTERIOR 301 )</t>
  </si>
  <si>
    <t>054128008000410301</t>
  </si>
  <si>
    <t>2025-11-26 09:18:42</t>
  </si>
  <si>
    <t>23590103</t>
  </si>
  <si>
    <t>14/11/2025 09:22:43</t>
  </si>
  <si>
    <t>2025-11-14 09:22:44</t>
  </si>
  <si>
    <t>SANDRA HERNANDEZ RIOS</t>
  </si>
  <si>
    <t>3105997686</t>
  </si>
  <si>
    <t>CR 55 A CL 56 -83 (INTERIOR 301 )</t>
  </si>
  <si>
    <t>075525106000830301</t>
  </si>
  <si>
    <t>2025-11-26 09:22:44</t>
  </si>
  <si>
    <t>23590110</t>
  </si>
  <si>
    <t>14/11/2025 09:27:10</t>
  </si>
  <si>
    <t>2025-11-14 09:27:10</t>
  </si>
  <si>
    <t>LUZ ESTELLA CAMARGO RUIZ</t>
  </si>
  <si>
    <t>3007044858</t>
  </si>
  <si>
    <t>CL 34 AD CR 128 -27</t>
  </si>
  <si>
    <t>083214148000270000</t>
  </si>
  <si>
    <t>2025-11-24 09:27:10</t>
  </si>
  <si>
    <t>23590117</t>
  </si>
  <si>
    <t>14/11/2025 09:30:12</t>
  </si>
  <si>
    <t>2025-11-14 09:30:12</t>
  </si>
  <si>
    <t>LINA MARCELA SALAZAR OSORNO</t>
  </si>
  <si>
    <t>3006969296</t>
  </si>
  <si>
    <t>CR 18 CL 48 -41 (INTERIOR 302 )</t>
  </si>
  <si>
    <t>054128008000410302</t>
  </si>
  <si>
    <t>2025-11-26 09:30:12</t>
  </si>
  <si>
    <t>3217798274</t>
  </si>
  <si>
    <t>23590153</t>
  </si>
  <si>
    <t>14/11/2025 09:56:20</t>
  </si>
  <si>
    <t>2025-11-14 09:56:20</t>
  </si>
  <si>
    <t>CR 18 CL 48 -41 (INTERIOR 303 )</t>
  </si>
  <si>
    <t>054128008000410303</t>
  </si>
  <si>
    <t>2025-11-26 09:56:20</t>
  </si>
  <si>
    <t>23590217</t>
  </si>
  <si>
    <t>14/11/2025 10:25:10</t>
  </si>
  <si>
    <t>2025-11-14 10:25:10</t>
  </si>
  <si>
    <t>DAIRO ARIAS SERNA</t>
  </si>
  <si>
    <t>3146155117</t>
  </si>
  <si>
    <t>RURAL_159051310000000000_MONACO-CARRILERA</t>
  </si>
  <si>
    <t>159051310000000000</t>
  </si>
  <si>
    <t>2025-11-21 10:25:10</t>
  </si>
  <si>
    <t>23590218</t>
  </si>
  <si>
    <t>DIANA MARCELA RAMIREZ MANCO</t>
  </si>
  <si>
    <t>3116557889</t>
  </si>
  <si>
    <t>CR 67 E CL 58 C -7</t>
  </si>
  <si>
    <t>055627508300070000</t>
  </si>
  <si>
    <t>2025-11-28 10:25:10</t>
  </si>
  <si>
    <t>23590291</t>
  </si>
  <si>
    <t>14/11/2025 10:46:01</t>
  </si>
  <si>
    <t>2025-11-14 10:46:01</t>
  </si>
  <si>
    <t>WENDY VANESA MUÑOZ ORTIZ</t>
  </si>
  <si>
    <t>3193822714</t>
  </si>
  <si>
    <t>CL 39 B CR 110 -81 (INTERIOR 101 )</t>
  </si>
  <si>
    <t>083119200000810101</t>
  </si>
  <si>
    <t>2025-11-26 10:46:01</t>
  </si>
  <si>
    <t>23590314</t>
  </si>
  <si>
    <t>14/11/2025 10:52:35</t>
  </si>
  <si>
    <t>2025-11-14 10:52:35</t>
  </si>
  <si>
    <t>FLOR MARIA GUZMAN ESCOBAR</t>
  </si>
  <si>
    <t>3235867991</t>
  </si>
  <si>
    <t>CL 48 D CR 120 F -48 (INTERIOR 1 )</t>
  </si>
  <si>
    <t>084218400600480001</t>
  </si>
  <si>
    <t>2025-11-24 10:52:35</t>
  </si>
  <si>
    <t>23590323</t>
  </si>
  <si>
    <t>14/11/2025 10:57:23</t>
  </si>
  <si>
    <t>2025-11-14 10:57:23</t>
  </si>
  <si>
    <t>DIANA MARIA RENDON SUAREZ</t>
  </si>
  <si>
    <t>2327278</t>
  </si>
  <si>
    <t>3104627849</t>
  </si>
  <si>
    <t>RURAL_125004766200000016_125004766200000016</t>
  </si>
  <si>
    <t>125004766200000016</t>
  </si>
  <si>
    <t>2025-11-21 10:57:23</t>
  </si>
  <si>
    <t>23590366</t>
  </si>
  <si>
    <t>14/11/2025 11:10:31</t>
  </si>
  <si>
    <t>2025-11-14 11:10:31</t>
  </si>
  <si>
    <t>ANA CAROLINA CORREA VARGAS</t>
  </si>
  <si>
    <t>3215925214</t>
  </si>
  <si>
    <t>RURAL_147029412000000121_147029412000000121_LA CUC</t>
  </si>
  <si>
    <t>147029412000000121</t>
  </si>
  <si>
    <t>2025-12-01 11:10:31</t>
  </si>
  <si>
    <t>23590401</t>
  </si>
  <si>
    <t>14/11/2025 11:17:53</t>
  </si>
  <si>
    <t>2025-11-14 11:17:53</t>
  </si>
  <si>
    <t>MONICA JANETH GONZALEZ COBALEDA</t>
  </si>
  <si>
    <t>3215800008</t>
  </si>
  <si>
    <t>CL 62 CC CR 106 A -84 (INTERIOR 101 )</t>
  </si>
  <si>
    <t>086012336100840101</t>
  </si>
  <si>
    <t>2025-11-26 11:17:53</t>
  </si>
  <si>
    <t>23590411</t>
  </si>
  <si>
    <t>14/11/2025 11:21:30</t>
  </si>
  <si>
    <t>2025-11-14 11:21:30</t>
  </si>
  <si>
    <t>JUAN CARLOS ESPINAL VANEGAS</t>
  </si>
  <si>
    <t>4910228</t>
  </si>
  <si>
    <t>3163725494</t>
  </si>
  <si>
    <t>CL 57 A CR 124 C -74</t>
  </si>
  <si>
    <t>085217104300740000</t>
  </si>
  <si>
    <t>2025-11-26 11:21:30</t>
  </si>
  <si>
    <t>23590419</t>
  </si>
  <si>
    <t>14/11/2025 11:25:52</t>
  </si>
  <si>
    <t>2025-11-14 11:25:52</t>
  </si>
  <si>
    <t>INGRID TATIANA HERNANDEZ BETIN</t>
  </si>
  <si>
    <t>3205606377</t>
  </si>
  <si>
    <t>CL 62 B CR 94 B -65</t>
  </si>
  <si>
    <t>056912204200650000</t>
  </si>
  <si>
    <t>2025-11-26 11:25:52</t>
  </si>
  <si>
    <t>23590425</t>
  </si>
  <si>
    <t>14/11/2025 11:31:26</t>
  </si>
  <si>
    <t>2025-11-14 11:31:26</t>
  </si>
  <si>
    <t>HUMBERTO DE JESUS BETANCUR OCAMPO</t>
  </si>
  <si>
    <t>3278033</t>
  </si>
  <si>
    <t>3103744773</t>
  </si>
  <si>
    <t>CR 48 CL 131 SUR -31 (INTERIOR 5 )</t>
  </si>
  <si>
    <t>003428001000310005</t>
  </si>
  <si>
    <t>2025-11-21 11:31:26</t>
  </si>
  <si>
    <t>23590430</t>
  </si>
  <si>
    <t>14/11/2025 11:33:50</t>
  </si>
  <si>
    <t>2025-11-14 11:33:50</t>
  </si>
  <si>
    <t>SANDRA MILENA GOEZ BORJA</t>
  </si>
  <si>
    <t>3186912408</t>
  </si>
  <si>
    <t>CR 55 D CL 12 AA SUR -122 (INTERIOR 416 )</t>
  </si>
  <si>
    <t>041525402111220416</t>
  </si>
  <si>
    <t>2025-11-26 11:33:50</t>
  </si>
  <si>
    <t>23590439</t>
  </si>
  <si>
    <t>14/11/2025 11:42:18</t>
  </si>
  <si>
    <t>2025-11-14 11:42:18</t>
  </si>
  <si>
    <t>FREIMAN ALFONSO HERRERA BARBOSA</t>
  </si>
  <si>
    <t>3243951312</t>
  </si>
  <si>
    <t>CL 54 CR 54 -34</t>
  </si>
  <si>
    <t>055514004000340000</t>
  </si>
  <si>
    <t>2025-11-21 11:42:18</t>
  </si>
  <si>
    <t>3 días 11:42</t>
  </si>
  <si>
    <t>23590459</t>
  </si>
  <si>
    <t>14/11/2025 11:53:34</t>
  </si>
  <si>
    <t>2025-11-14 11:53:34</t>
  </si>
  <si>
    <t>HECTOR ABAD GARCIA BUITRAGO</t>
  </si>
  <si>
    <t>RURAL_146018074000000000_RURAL_PALMITAS</t>
  </si>
  <si>
    <t>146018074000000000</t>
  </si>
  <si>
    <t>2025-11-21 11:53:34</t>
  </si>
  <si>
    <t>23590465</t>
  </si>
  <si>
    <t>14/11/2025 11:57:46</t>
  </si>
  <si>
    <t>2025-11-14 11:57:46</t>
  </si>
  <si>
    <t>DANILO CORREA VARGAS</t>
  </si>
  <si>
    <t>3003040599</t>
  </si>
  <si>
    <t>CL 62 CR 127 -139 (INTERIOR 501 )</t>
  </si>
  <si>
    <t>086212007001390501</t>
  </si>
  <si>
    <t>2025-11-26 11:57:46</t>
  </si>
  <si>
    <t>23590493</t>
  </si>
  <si>
    <t>14/11/2025 12:25:47</t>
  </si>
  <si>
    <t>2025-11-14 12:25:47</t>
  </si>
  <si>
    <t>DORA LUCIA PULGARIN PEREZ</t>
  </si>
  <si>
    <t>3053299866</t>
  </si>
  <si>
    <t>CL 59 CR 85 -31 (INTERIOR 301 )</t>
  </si>
  <si>
    <t>055819005000310301</t>
  </si>
  <si>
    <t>2025-11-26 12:25:47</t>
  </si>
  <si>
    <t>23590579</t>
  </si>
  <si>
    <t>14/11/2025 13:24:11</t>
  </si>
  <si>
    <t>2025-11-14 13:24:11</t>
  </si>
  <si>
    <t>ESTEFANY CAROLINA FLOREZ MONTOYA</t>
  </si>
  <si>
    <t>3103954912</t>
  </si>
  <si>
    <t>RURAL_147006695300000001_147006695300000001_LA PAL</t>
  </si>
  <si>
    <t>147006695300000001</t>
  </si>
  <si>
    <t>2025-12-01 13:24:11</t>
  </si>
  <si>
    <t>23590581</t>
  </si>
  <si>
    <t>14/11/2025 13:25:32</t>
  </si>
  <si>
    <t>2025-11-14 13:25:32</t>
  </si>
  <si>
    <t>FABIOLA  TORO OCAMPO</t>
  </si>
  <si>
    <t>3122839375</t>
  </si>
  <si>
    <t>RURAL_167112042500000000_167112042500000000</t>
  </si>
  <si>
    <t>167112042500000000</t>
  </si>
  <si>
    <t>2025-12-02 13:25:32</t>
  </si>
  <si>
    <t>23590646</t>
  </si>
  <si>
    <t>14/11/2025 13:52:06</t>
  </si>
  <si>
    <t>2025-11-14 13:52:06</t>
  </si>
  <si>
    <t>RURAL_167112042000000000_167112042000000000</t>
  </si>
  <si>
    <t>167112042000000000</t>
  </si>
  <si>
    <t>2025-12-02 13:52:06</t>
  </si>
  <si>
    <t>23590703</t>
  </si>
  <si>
    <t>14/11/2025 14:15:42</t>
  </si>
  <si>
    <t>2025-11-14 14:15:42</t>
  </si>
  <si>
    <t>DARLYN PARRA RESTREPO</t>
  </si>
  <si>
    <t>3117736374</t>
  </si>
  <si>
    <t>CL 58 A SUR CR 62 B -49 (INTERIOR 201 )</t>
  </si>
  <si>
    <t>045618102200490201</t>
  </si>
  <si>
    <t>2025-11-24 14:15:42</t>
  </si>
  <si>
    <t>23590750</t>
  </si>
  <si>
    <t>14/11/2025 14:33:18</t>
  </si>
  <si>
    <t>2025-11-14 14:33:18</t>
  </si>
  <si>
    <t>LUZ MERY TORRES MONTES</t>
  </si>
  <si>
    <t>3004743703</t>
  </si>
  <si>
    <t>CR 52 A CL 77 -12 (INTERIOR 300 )</t>
  </si>
  <si>
    <t>077522107000120300-ENEPRE</t>
  </si>
  <si>
    <t>2025-12-02 14:33:18</t>
  </si>
  <si>
    <t>23249114</t>
  </si>
  <si>
    <t>18/10/2024 14:17:12</t>
  </si>
  <si>
    <t>2025-11-14 21:53:20</t>
  </si>
  <si>
    <t>BEATRIZ HELENA FLOREZ OSORIO</t>
  </si>
  <si>
    <t>2695827</t>
  </si>
  <si>
    <t>3157687304</t>
  </si>
  <si>
    <t>CL 45 CR 32 -20 (INTERIOR 301 )</t>
  </si>
  <si>
    <t>054315002000200301</t>
  </si>
  <si>
    <t>2025-11-26 21:53:20</t>
  </si>
  <si>
    <t>23388141</t>
  </si>
  <si>
    <t>16/03/2025 18:20:51</t>
  </si>
  <si>
    <t>2025-11-16 21:03:51</t>
  </si>
  <si>
    <t>JORGE ANDRES BETANCUR</t>
  </si>
  <si>
    <t>4264055</t>
  </si>
  <si>
    <t>3234925128</t>
  </si>
  <si>
    <t>CR 92 CL 58 AA -6 (INTERIOR 2143 )</t>
  </si>
  <si>
    <t>055922008110062143</t>
  </si>
  <si>
    <t>2025-11-24 21:03:51</t>
  </si>
  <si>
    <t>23388142</t>
  </si>
  <si>
    <t>16/03/2025 18:23:26</t>
  </si>
  <si>
    <t>2025-11-16 21:01:20</t>
  </si>
  <si>
    <t>CR 92 CL 58 AA -6 (INTERIOR 2145 )</t>
  </si>
  <si>
    <t>055922008110062145</t>
  </si>
  <si>
    <t>2025-11-24 21:01:20</t>
  </si>
  <si>
    <t>23388143</t>
  </si>
  <si>
    <t>16/03/2025 18:27:24</t>
  </si>
  <si>
    <t>2025-11-16 21:00:03</t>
  </si>
  <si>
    <t>CL 58 CR 92 A -50 (INTERIOR 108 )</t>
  </si>
  <si>
    <t>055918002100500108</t>
  </si>
  <si>
    <t>2025-11-24 21:00:03</t>
  </si>
  <si>
    <t>23388144</t>
  </si>
  <si>
    <t>16/03/2025 18:33:30</t>
  </si>
  <si>
    <t>2025-11-16 20:59:04</t>
  </si>
  <si>
    <t>CL 58 CR 92 A -50 (INTERIOR 111 )</t>
  </si>
  <si>
    <t>055918002100500111</t>
  </si>
  <si>
    <t>2025-11-24 20:59:04</t>
  </si>
  <si>
    <t>23491849</t>
  </si>
  <si>
    <t>18/07/2025 14:30:39</t>
  </si>
  <si>
    <t>2025-11-14 21:42:17</t>
  </si>
  <si>
    <t>NELSON DE JESUS MORENO DAVID</t>
  </si>
  <si>
    <t>3122699305</t>
  </si>
  <si>
    <t>CR 87 CL 58 CC -35 (INTERIOR 200 )</t>
  </si>
  <si>
    <t>055827008330350200</t>
  </si>
  <si>
    <t>2025-11-24 21:42:17</t>
  </si>
  <si>
    <t>23499068</t>
  </si>
  <si>
    <t>28/07/2025 16:12:35</t>
  </si>
  <si>
    <t>2025-11-14 17:25:23</t>
  </si>
  <si>
    <t>ZULMA EMILIANA VELEZ PALACIO</t>
  </si>
  <si>
    <t>3106114275</t>
  </si>
  <si>
    <t>RURAL_147048452000000111</t>
  </si>
  <si>
    <t>147048452000000111</t>
  </si>
  <si>
    <t>2025-11-27 17:25:23</t>
  </si>
  <si>
    <t>23499674</t>
  </si>
  <si>
    <t>29/07/2025 11:23:28</t>
  </si>
  <si>
    <t>2025-11-14 21:38:32</t>
  </si>
  <si>
    <t>MARIA ANGELA MARTINEZ VALENCIA</t>
  </si>
  <si>
    <t>3865578</t>
  </si>
  <si>
    <t>3234637678</t>
  </si>
  <si>
    <t>RURAL_167115920000000101</t>
  </si>
  <si>
    <t>167115920000000101</t>
  </si>
  <si>
    <t>2025-12-01 21:38:32</t>
  </si>
  <si>
    <t>23499711</t>
  </si>
  <si>
    <t>29/07/2025 11:38:11</t>
  </si>
  <si>
    <t>2025-11-14 21:53:05</t>
  </si>
  <si>
    <t>3206059525</t>
  </si>
  <si>
    <t>RURAL_167115920000000102</t>
  </si>
  <si>
    <t>167115920000000102</t>
  </si>
  <si>
    <t>2025-12-01 21:53:05</t>
  </si>
  <si>
    <t>23503045</t>
  </si>
  <si>
    <t>01/08/2025 08:51:18</t>
  </si>
  <si>
    <t>2025-11-15 21:38:44</t>
  </si>
  <si>
    <t>GIULIANY MEJIA RAMIREZ</t>
  </si>
  <si>
    <t>4961696</t>
  </si>
  <si>
    <t>3107012237</t>
  </si>
  <si>
    <t>CR 64 A CL 33 -17 (INTERIOR 402 )</t>
  </si>
  <si>
    <t>073624103000170402</t>
  </si>
  <si>
    <t>2025-11-26 21:38:44</t>
  </si>
  <si>
    <t>23507376</t>
  </si>
  <si>
    <t>06/08/2025 10:53:22</t>
  </si>
  <si>
    <t>2025-11-18 07:01:15</t>
  </si>
  <si>
    <t>WILSON FERNANDO ARANGO MARTINEZ</t>
  </si>
  <si>
    <t>CR 34 CL 7 -151</t>
  </si>
  <si>
    <t>050324007001510000</t>
  </si>
  <si>
    <t>2025-11-27 07:01:15</t>
  </si>
  <si>
    <t>23510720</t>
  </si>
  <si>
    <t>12/08/2025 08:57:49</t>
  </si>
  <si>
    <t>2025-11-15 11:44:02</t>
  </si>
  <si>
    <t>JUAN MAURICIO TORRES CAÑAS</t>
  </si>
  <si>
    <t>3319903</t>
  </si>
  <si>
    <t>3168297638</t>
  </si>
  <si>
    <t>CL 63 CR 61 -74 (INTERIOR 201 )</t>
  </si>
  <si>
    <t>076613001000740201</t>
  </si>
  <si>
    <t>2025-11-26 11:44:02</t>
  </si>
  <si>
    <t>23510722</t>
  </si>
  <si>
    <t>12/08/2025 08:58:38</t>
  </si>
  <si>
    <t>2025-11-15 11:45:16</t>
  </si>
  <si>
    <t>CL 63 CR 61 -74 (INTERIOR 301 )</t>
  </si>
  <si>
    <t>076613001000740301</t>
  </si>
  <si>
    <t>2025-11-26 11:45:16</t>
  </si>
  <si>
    <t>23513590</t>
  </si>
  <si>
    <t>14/08/2025 14:52:44</t>
  </si>
  <si>
    <t>2025-11-15 10:49:57</t>
  </si>
  <si>
    <t>JORGE ANDRES MARIN HINCAPIE</t>
  </si>
  <si>
    <t>3235128529</t>
  </si>
  <si>
    <t>CR 70 A CL 19 -34 (INTERIOR 102 )</t>
  </si>
  <si>
    <t>051720109000340102</t>
  </si>
  <si>
    <t>2025-11-26 10:49:57</t>
  </si>
  <si>
    <t>23534785</t>
  </si>
  <si>
    <t>09/09/2025 12:03:35</t>
  </si>
  <si>
    <t>2025-11-14 13:54:56</t>
  </si>
  <si>
    <t>FERNANDO DE JESUS SUCERQUIA HOLGUIN</t>
  </si>
  <si>
    <t>3146681181</t>
  </si>
  <si>
    <t>CL 39 CR 65 B -19 (INTERIOR 301 )</t>
  </si>
  <si>
    <t>073619005200190301</t>
  </si>
  <si>
    <t>2025-11-26 13:54:56</t>
  </si>
  <si>
    <t>23538565</t>
  </si>
  <si>
    <t>15/11/2025 10:15:56</t>
  </si>
  <si>
    <t>2025-11-15 10:15:56</t>
  </si>
  <si>
    <t>CAMPILLO MARIA NELIDA</t>
  </si>
  <si>
    <t>5799331</t>
  </si>
  <si>
    <t>3216635814</t>
  </si>
  <si>
    <t>CL 62 C CR 108 -27</t>
  </si>
  <si>
    <t>086012308000270000</t>
  </si>
  <si>
    <t>2025-11-21 10:15:56</t>
  </si>
  <si>
    <t>3 días 10:15</t>
  </si>
  <si>
    <t>23542405</t>
  </si>
  <si>
    <t>18/09/2025 08:44:58</t>
  </si>
  <si>
    <t>2025-11-15 21:51:28</t>
  </si>
  <si>
    <t>SHIRLEY QUINTERO DE AGUAS</t>
  </si>
  <si>
    <t>3206333548</t>
  </si>
  <si>
    <t>CL 62 B CR 94 B -58</t>
  </si>
  <si>
    <t>056912204200580000</t>
  </si>
  <si>
    <t>2025-11-26 21:51:28</t>
  </si>
  <si>
    <t>23542424</t>
  </si>
  <si>
    <t>18/09/2025 09:02:58</t>
  </si>
  <si>
    <t>2025-11-15 21:38:52</t>
  </si>
  <si>
    <t>CL 62 B CR 94 B -58 (INTERIOR 201 )</t>
  </si>
  <si>
    <t>056912204200580201</t>
  </si>
  <si>
    <t>2025-11-26 21:38:52</t>
  </si>
  <si>
    <t>23543349</t>
  </si>
  <si>
    <t>19/09/2025 08:21:35</t>
  </si>
  <si>
    <t>2025-11-15 21:39:27</t>
  </si>
  <si>
    <t>LILI JOHANA ECHAVARRIA AREIZA</t>
  </si>
  <si>
    <t>3574477</t>
  </si>
  <si>
    <t>3197647612</t>
  </si>
  <si>
    <t>CR 84 FF CL 21 -19</t>
  </si>
  <si>
    <t>052824661000190000</t>
  </si>
  <si>
    <t>2025-11-26 21:39:27</t>
  </si>
  <si>
    <t>23545685</t>
  </si>
  <si>
    <t>22/09/2025 11:35:52</t>
  </si>
  <si>
    <t>2025-11-15 21:39:44</t>
  </si>
  <si>
    <t>ROSA MARIA ORTIZ MONCADA</t>
  </si>
  <si>
    <t>3116014942</t>
  </si>
  <si>
    <t>CR 106 B CL 62 BB -15 (INTERIOR 201 )</t>
  </si>
  <si>
    <t>086026202220150201</t>
  </si>
  <si>
    <t>2025-11-26 21:39:44</t>
  </si>
  <si>
    <t>23545698</t>
  </si>
  <si>
    <t>22/09/2025 11:43:41</t>
  </si>
  <si>
    <t>2025-11-15 21:39:48</t>
  </si>
  <si>
    <t>CR 106 B CL 62 BB -15 (INTERIOR 301 )</t>
  </si>
  <si>
    <t>086026202220150301</t>
  </si>
  <si>
    <t>2025-11-26 21:39:48</t>
  </si>
  <si>
    <t>23546858</t>
  </si>
  <si>
    <t>23/09/2025 12:15:04</t>
  </si>
  <si>
    <t>2025-11-14 21:54:40</t>
  </si>
  <si>
    <t>YURIS YARIDIS GASPAR QUINTERO</t>
  </si>
  <si>
    <t>3187694014</t>
  </si>
  <si>
    <t>CL 62 CR 96 A -157 (INTERIOR 225 )</t>
  </si>
  <si>
    <t>056912006101570225</t>
  </si>
  <si>
    <t>2025-11-24 21:54:40</t>
  </si>
  <si>
    <t>23548028</t>
  </si>
  <si>
    <t>29/09/2025 11:55:57</t>
  </si>
  <si>
    <t>2025-11-14 16:34:11</t>
  </si>
  <si>
    <t>YURANY ALEJANDRA HENAO HOLGUIN</t>
  </si>
  <si>
    <t>3042446570</t>
  </si>
  <si>
    <t>CR 58 CL 48 -46 (INTERIOR 210 )</t>
  </si>
  <si>
    <t>074528008000460210</t>
  </si>
  <si>
    <t>2025-11-24 16:34:11</t>
  </si>
  <si>
    <t>23548265</t>
  </si>
  <si>
    <t>24/09/2025 14:52:22</t>
  </si>
  <si>
    <t>2025-11-14 21:53:11</t>
  </si>
  <si>
    <t>IVAN DE JESUS OCAMPO BONILLA</t>
  </si>
  <si>
    <t>3863361</t>
  </si>
  <si>
    <t>3174800620</t>
  </si>
  <si>
    <t>CL 51 CR 15 A -9 (INTERIOR 402 )</t>
  </si>
  <si>
    <t>055111005100090402</t>
  </si>
  <si>
    <t>2025-11-26 21:53:11</t>
  </si>
  <si>
    <t>23548266</t>
  </si>
  <si>
    <t>24/09/2025 14:52:44</t>
  </si>
  <si>
    <t>2025-11-14 21:38:36</t>
  </si>
  <si>
    <t>CL 51 CR 15 A -9 (INTERIOR 401 )</t>
  </si>
  <si>
    <t>055111005100090401</t>
  </si>
  <si>
    <t>2025-11-26 21:38:36</t>
  </si>
  <si>
    <t>23549164</t>
  </si>
  <si>
    <t>25/09/2025 12:47:37</t>
  </si>
  <si>
    <t>2025-11-15 21:40:12</t>
  </si>
  <si>
    <t>MARIA AUXILIADORA HERNANDEZ ARANGO</t>
  </si>
  <si>
    <t>3137753309</t>
  </si>
  <si>
    <t>RURAL_163021082000000001_RURAL ITAGUI LA MARIA</t>
  </si>
  <si>
    <t>163021082000000001</t>
  </si>
  <si>
    <t>2025-11-27 21:40:12</t>
  </si>
  <si>
    <t>23549862</t>
  </si>
  <si>
    <t>26/09/2025 09:24:59</t>
  </si>
  <si>
    <t>2025-11-14 21:54:48</t>
  </si>
  <si>
    <t>MARIELA RAMIREZ LOAIZA</t>
  </si>
  <si>
    <t>4929112</t>
  </si>
  <si>
    <t>3117952472</t>
  </si>
  <si>
    <t>CL 34 D CR 112 F -122 (INTERIOR 201 )</t>
  </si>
  <si>
    <t>083114402601220201</t>
  </si>
  <si>
    <t>2025-11-24 21:54:48</t>
  </si>
  <si>
    <t>23551784</t>
  </si>
  <si>
    <t>29/09/2025 15:48:28</t>
  </si>
  <si>
    <t>2025-11-14 21:53:27</t>
  </si>
  <si>
    <t>EMPRESA DE TRANSPORTE MASIVO VALLE DE ABURRA LTDA</t>
  </si>
  <si>
    <t>CR 49 CL 9 -69 (INTERIOR 120 )</t>
  </si>
  <si>
    <t>050429009000690120</t>
  </si>
  <si>
    <t>2025-11-26 21:53:27</t>
  </si>
  <si>
    <t>23551974</t>
  </si>
  <si>
    <t>14/11/2025 16:45:08</t>
  </si>
  <si>
    <t>2025-11-14 16:45:08</t>
  </si>
  <si>
    <t>CL 12 SUR CR 50 GG -</t>
  </si>
  <si>
    <t>041512000770000000</t>
  </si>
  <si>
    <t>2025-11-21 16:45:08</t>
  </si>
  <si>
    <t>23556111</t>
  </si>
  <si>
    <t>03/10/2025 15:32:56</t>
  </si>
  <si>
    <t>2025-11-17 11:15:44</t>
  </si>
  <si>
    <t>LUIS FERNANDO SANCHEZ CASTRO</t>
  </si>
  <si>
    <t>2052095</t>
  </si>
  <si>
    <t>CL 13 CR 83 A -21 (INTERIOR 201 )</t>
  </si>
  <si>
    <t>051813003100210201</t>
  </si>
  <si>
    <t>2025-11-26 11:15:44</t>
  </si>
  <si>
    <t>23563368</t>
  </si>
  <si>
    <t>15/10/2025 07:10:39</t>
  </si>
  <si>
    <t>2025-11-17 21:45:26</t>
  </si>
  <si>
    <t>SANDRA MILENA PALACIO GONZALEZ</t>
  </si>
  <si>
    <t>2883225</t>
  </si>
  <si>
    <t>3187070178</t>
  </si>
  <si>
    <t>CL 40 C SUR CR 60 D -22 (INTERIOR 301 )</t>
  </si>
  <si>
    <t>044610300400220301</t>
  </si>
  <si>
    <t>2025-11-26 21:45:26</t>
  </si>
  <si>
    <t>JOHN ALEXANDER RAMIREZ URREGO</t>
  </si>
  <si>
    <t>CR 25 CL 39 B SUR -101 (INTERIOR 9911 )</t>
  </si>
  <si>
    <t>023225009201019911</t>
  </si>
  <si>
    <t>23567921</t>
  </si>
  <si>
    <t>23/10/2025 15:29:41</t>
  </si>
  <si>
    <t>2025-11-18 06:05:56</t>
  </si>
  <si>
    <t>CL 65 CR 18 B -18 (INTERIOR 302 )</t>
  </si>
  <si>
    <t>056115008200180302</t>
  </si>
  <si>
    <t>2025-11-25 06:05:56</t>
  </si>
  <si>
    <t>23587321</t>
  </si>
  <si>
    <t>11/11/2025 11:46:12</t>
  </si>
  <si>
    <t>2025-11-11 11:46:12</t>
  </si>
  <si>
    <t>JENNIFER YANEZ POLO</t>
  </si>
  <si>
    <t>3137302195</t>
  </si>
  <si>
    <t>CL 61 AA CR 103 D -59 (INTERIOR 101 )</t>
  </si>
  <si>
    <t>086011113400590101</t>
  </si>
  <si>
    <t>2025-11-25 11:46:12</t>
  </si>
  <si>
    <t>23587656</t>
  </si>
  <si>
    <t>11/11/2025 16:14:40</t>
  </si>
  <si>
    <t>2025-11-11 16:14:40</t>
  </si>
  <si>
    <t>CARLOS ENRIQUE CORDOBA MOSQUERA</t>
  </si>
  <si>
    <t>3570097</t>
  </si>
  <si>
    <t>3116381859</t>
  </si>
  <si>
    <t>CR 93 CL 62 B -14</t>
  </si>
  <si>
    <t>056923002200140000</t>
  </si>
  <si>
    <t>2025-11-25 16:14:40</t>
  </si>
  <si>
    <t>23590739</t>
  </si>
  <si>
    <t>14/11/2025 14:26:55</t>
  </si>
  <si>
    <t>2025-11-14 14:26:55</t>
  </si>
  <si>
    <t>HUMBERTO DE JESUS QUIROZ GONZALEZ</t>
  </si>
  <si>
    <t>2775135</t>
  </si>
  <si>
    <t>3197538987</t>
  </si>
  <si>
    <t>CR 56 CL 46 -35 (INTERIOR 201 )</t>
  </si>
  <si>
    <t>074526006000350201</t>
  </si>
  <si>
    <t>2025-11-21 14:26:55</t>
  </si>
  <si>
    <t>23590764</t>
  </si>
  <si>
    <t>14/11/2025 14:42:30</t>
  </si>
  <si>
    <t>2025-11-14 14:42:30</t>
  </si>
  <si>
    <t>JORGE HERNANDO CASTRILLON BUSTAMANTE</t>
  </si>
  <si>
    <t>3723952</t>
  </si>
  <si>
    <t>CL 47 C CR 61 -105 (INTERIOR 151 )</t>
  </si>
  <si>
    <t>074617301001050151</t>
  </si>
  <si>
    <t>2025-11-26 14:42:30</t>
  </si>
  <si>
    <t>23590775</t>
  </si>
  <si>
    <t>14/11/2025 14:51:06</t>
  </si>
  <si>
    <t>2025-11-14 14:51:06</t>
  </si>
  <si>
    <t>2772552</t>
  </si>
  <si>
    <t>CL 47 C CR 61 -105 (INTERIOR 149 )</t>
  </si>
  <si>
    <t>074617301001050149</t>
  </si>
  <si>
    <t>2025-11-26 14:51:06</t>
  </si>
  <si>
    <t>23590794</t>
  </si>
  <si>
    <t>14/11/2025 15:00:24</t>
  </si>
  <si>
    <t>2025-11-14 15:00:24</t>
  </si>
  <si>
    <t>CL 47 C CR 61 -105 (INTERIOR 148 )</t>
  </si>
  <si>
    <t>074617301001050148</t>
  </si>
  <si>
    <t>2025-11-26 15:00:24</t>
  </si>
  <si>
    <t>23590849</t>
  </si>
  <si>
    <t>14/11/2025 15:41:08</t>
  </si>
  <si>
    <t>2025-11-14 15:41:08</t>
  </si>
  <si>
    <t>ALEJANDRO CALLE GIRALDO</t>
  </si>
  <si>
    <t>3113927920</t>
  </si>
  <si>
    <t>RURAL_122015996200000011_VDA LA TOMATERA CABANA</t>
  </si>
  <si>
    <t>122015996200000011</t>
  </si>
  <si>
    <t>2025-12-01 15:41:08</t>
  </si>
  <si>
    <t>23590862</t>
  </si>
  <si>
    <t>14/11/2025 15:52:12</t>
  </si>
  <si>
    <t>2025-11-14 15:52:12</t>
  </si>
  <si>
    <t>JORGE  VILLEGAS</t>
  </si>
  <si>
    <t>3133922</t>
  </si>
  <si>
    <t>3155111106</t>
  </si>
  <si>
    <t>CL 21 CR 57 -26 (INTERIOR 301 )</t>
  </si>
  <si>
    <t>052511007000260301</t>
  </si>
  <si>
    <t>2025-11-26 15:52:12</t>
  </si>
  <si>
    <t>23590871</t>
  </si>
  <si>
    <t>14/11/2025 15:59:57</t>
  </si>
  <si>
    <t>2025-11-14 15:59:57</t>
  </si>
  <si>
    <t>ALVARO DE JESUS TRUJILLO DELGADO</t>
  </si>
  <si>
    <t>3155113658</t>
  </si>
  <si>
    <t>RURAL_122023590000000001_VEREDA EL PLAN</t>
  </si>
  <si>
    <t>122023590000000001</t>
  </si>
  <si>
    <t>2025-11-27 15:59:57</t>
  </si>
  <si>
    <t>23590877</t>
  </si>
  <si>
    <t>ANGEL MARIA GRISALES RAMIREZ</t>
  </si>
  <si>
    <t>3127572010</t>
  </si>
  <si>
    <t>CL 67 A CR 118 -59 (INTERIOR 201 )</t>
  </si>
  <si>
    <t>086117108000590201</t>
  </si>
  <si>
    <t>23590897</t>
  </si>
  <si>
    <t>14/11/2025 16:22:21</t>
  </si>
  <si>
    <t>2025-11-14 16:22:21</t>
  </si>
  <si>
    <t>GERMAN ALONSO BARRERA SEPULVEDA</t>
  </si>
  <si>
    <t>3017085786</t>
  </si>
  <si>
    <t>RURAL_122004401500000002_VDA SANTA ELENA</t>
  </si>
  <si>
    <t>122004401500000002</t>
  </si>
  <si>
    <t>2025-11-27 16:22:21</t>
  </si>
  <si>
    <t>JORGE MARIO USUGA VELASQUEZ</t>
  </si>
  <si>
    <t>23591020</t>
  </si>
  <si>
    <t>14/11/2025 17:24:28</t>
  </si>
  <si>
    <t>2025-11-14 17:24:28</t>
  </si>
  <si>
    <t>ALLARD ADDINK</t>
  </si>
  <si>
    <t>3017072701</t>
  </si>
  <si>
    <t>CR 9 A CL 20 SUR -340 (LT 7 PARCELACION CEDRO VERD</t>
  </si>
  <si>
    <t>042029100003400007</t>
  </si>
  <si>
    <t>2025-11-21 17:24:28</t>
  </si>
  <si>
    <t>23591036</t>
  </si>
  <si>
    <t>14/11/2025 17:41:09</t>
  </si>
  <si>
    <t>2025-11-14 17:41:09</t>
  </si>
  <si>
    <t>LINA MARIA PEREZ MARTINEZ</t>
  </si>
  <si>
    <t>RURAL_126010300000000000_MEDELLIN LAS PALMAS</t>
  </si>
  <si>
    <t>126010300000000000</t>
  </si>
  <si>
    <t>2025-11-21 17:41:09</t>
  </si>
  <si>
    <t>23591049</t>
  </si>
  <si>
    <t>14/11/2025 19:26:59</t>
  </si>
  <si>
    <t>2025-11-14 19:26:59</t>
  </si>
  <si>
    <t>CARLOS ALBERTO RODAS MORENO</t>
  </si>
  <si>
    <t>3108354887</t>
  </si>
  <si>
    <t>CL 10 A CR 71 -64</t>
  </si>
  <si>
    <t>051710101000640000</t>
  </si>
  <si>
    <t>2025-11-21 19:26:59</t>
  </si>
  <si>
    <t>23591471</t>
  </si>
  <si>
    <t>18/11/2025 08:01:53</t>
  </si>
  <si>
    <t>2025-11-18 08:01:53</t>
  </si>
  <si>
    <t>ENERBIT S.A. E.S.P</t>
  </si>
  <si>
    <t>3044400567</t>
  </si>
  <si>
    <t>CR 30 CL 10 -335</t>
  </si>
  <si>
    <t>051320000003350000</t>
  </si>
  <si>
    <t>2025-11-24 08:01:53</t>
  </si>
  <si>
    <t>23591823</t>
  </si>
  <si>
    <t>18/11/2025 08:24:19</t>
  </si>
  <si>
    <t>2025-11-18 08:24:19</t>
  </si>
  <si>
    <t>DANIEL MARTINEZ RIOS</t>
  </si>
  <si>
    <t>3207319362</t>
  </si>
  <si>
    <t>CR 57 CL 74 -4</t>
  </si>
  <si>
    <t>077527004000040000</t>
  </si>
  <si>
    <t>2025-11-24 08:24:19</t>
  </si>
  <si>
    <t>23591825</t>
  </si>
  <si>
    <t>18/11/2025 08:24:21</t>
  </si>
  <si>
    <t>2025-11-18 08:24:21</t>
  </si>
  <si>
    <t>ADRIAN FRANCO</t>
  </si>
  <si>
    <t>3182631568</t>
  </si>
  <si>
    <t>CR 43 G CL 24 -</t>
  </si>
  <si>
    <t>052423704000000000</t>
  </si>
  <si>
    <t>2025-11-24 08:24:21</t>
  </si>
  <si>
    <t>23591851</t>
  </si>
  <si>
    <t>18/11/2025 08:25:37</t>
  </si>
  <si>
    <t>2025-11-18 08:25:37</t>
  </si>
  <si>
    <t>MARIO REINEL MARQUEZ ALZATE</t>
  </si>
  <si>
    <t>3013457906</t>
  </si>
  <si>
    <t>CR 89 C CL 27 -34</t>
  </si>
  <si>
    <t>052829307000340000</t>
  </si>
  <si>
    <t>2025-11-24 08:25:37</t>
  </si>
  <si>
    <t>2025-11-18 12:14:59</t>
  </si>
  <si>
    <t>2 días 21:42</t>
  </si>
  <si>
    <t>0 días 08:44</t>
  </si>
  <si>
    <t>23344306</t>
  </si>
  <si>
    <t>30/01/2025 09:33:08</t>
  </si>
  <si>
    <t>2025-11-13 13:49:12</t>
  </si>
  <si>
    <t>DORIAN HERLEY OROZCO HERNANDEZ</t>
  </si>
  <si>
    <t>3156587484</t>
  </si>
  <si>
    <t>CL 134 SUR CR 45 -25</t>
  </si>
  <si>
    <t>003414005000250000</t>
  </si>
  <si>
    <t>2025-11-25 13:49:12</t>
  </si>
  <si>
    <t>23344327</t>
  </si>
  <si>
    <t>30/01/2025 09:46:22</t>
  </si>
  <si>
    <t>2025-11-13 13:53:44</t>
  </si>
  <si>
    <t>CL 134 SUR CR 45 -47</t>
  </si>
  <si>
    <t>003414005000470000</t>
  </si>
  <si>
    <t>2025-11-25 13:53:44</t>
  </si>
  <si>
    <t>23344357</t>
  </si>
  <si>
    <t>30/01/2025 09:54:24</t>
  </si>
  <si>
    <t>2025-11-13 13:51:06</t>
  </si>
  <si>
    <t>CL 134 SUR CR 45 -57</t>
  </si>
  <si>
    <t>003414005000570000</t>
  </si>
  <si>
    <t>2025-11-25 13:51:06</t>
  </si>
  <si>
    <t>23406909</t>
  </si>
  <si>
    <t>22/10/2025 15:35:31</t>
  </si>
  <si>
    <t>2025-11-18 10:23:52</t>
  </si>
  <si>
    <t>EDUAR GENARO ZAPATA VALENCIA</t>
  </si>
  <si>
    <t>3164970803</t>
  </si>
  <si>
    <t>RURAL_122018570000000001</t>
  </si>
  <si>
    <t>122018570000000001</t>
  </si>
  <si>
    <t>2025-11-28 10:23:52</t>
  </si>
  <si>
    <t>3 días 10:51</t>
  </si>
  <si>
    <t>23482425</t>
  </si>
  <si>
    <t>08/07/2025 09:46:09</t>
  </si>
  <si>
    <t>2025-11-12 21:49:24</t>
  </si>
  <si>
    <t>LUZ MERY TAMAYO TOBON</t>
  </si>
  <si>
    <t>2786901</t>
  </si>
  <si>
    <t>3153840193</t>
  </si>
  <si>
    <t>CR 53 CL 113 B SUR -80</t>
  </si>
  <si>
    <t>001523003200800000</t>
  </si>
  <si>
    <t>2025-11-20 21:49:24</t>
  </si>
  <si>
    <t>2 días 09:55</t>
  </si>
  <si>
    <t>23495581</t>
  </si>
  <si>
    <t>23/07/2025 16:34:29</t>
  </si>
  <si>
    <t>2025-11-18 09:54:18</t>
  </si>
  <si>
    <t>MARIA JOHANNA CALDERON PALACIO</t>
  </si>
  <si>
    <t>5586487</t>
  </si>
  <si>
    <t>3004198565</t>
  </si>
  <si>
    <t>CR 88 CL 41 -40 (INTERIOR 101 )</t>
  </si>
  <si>
    <t>054828001000400101</t>
  </si>
  <si>
    <t>2025-11-27 09:54:18</t>
  </si>
  <si>
    <t>23518324</t>
  </si>
  <si>
    <t>21/08/2025 11:25:58</t>
  </si>
  <si>
    <t>2025-11-18 11:43:02</t>
  </si>
  <si>
    <t>MARIA ELPIDIA CORREA DE RESTREPO</t>
  </si>
  <si>
    <t>3122674832</t>
  </si>
  <si>
    <t>CL 58 CR 92 B -34 (INTERIOR 201 )</t>
  </si>
  <si>
    <t>055918002200340201</t>
  </si>
  <si>
    <t>2025-11-25 11:43:02</t>
  </si>
  <si>
    <t>3123361102</t>
  </si>
  <si>
    <t>23526333</t>
  </si>
  <si>
    <t>29/08/2025 09:10:31</t>
  </si>
  <si>
    <t>2025-11-12 21:49:17</t>
  </si>
  <si>
    <t>ALBERTO SOTO VARGAS</t>
  </si>
  <si>
    <t>2511555</t>
  </si>
  <si>
    <t>3113485977</t>
  </si>
  <si>
    <t>CR 49 CL 46 -35 (INTERIOR 201 )</t>
  </si>
  <si>
    <t>054429006000350201</t>
  </si>
  <si>
    <t>2025-11-24 21:49:17</t>
  </si>
  <si>
    <t>23535045</t>
  </si>
  <si>
    <t>09/09/2025 15:41:37</t>
  </si>
  <si>
    <t>2025-11-18 13:59:48</t>
  </si>
  <si>
    <t>ALEXIX FERNANDO MUÑOZ</t>
  </si>
  <si>
    <t>3023308713</t>
  </si>
  <si>
    <t>CL 59 C CR 18 B -75 (INTERIOR 1127 )</t>
  </si>
  <si>
    <t>055119308200751127</t>
  </si>
  <si>
    <t>2025-11-25 13:59:48</t>
  </si>
  <si>
    <t>4 días 11:57</t>
  </si>
  <si>
    <t>23546621</t>
  </si>
  <si>
    <t>23/09/2025 09:42:48</t>
  </si>
  <si>
    <t>2025-11-12 21:50:30</t>
  </si>
  <si>
    <t>PAULA CRISTINA ATEHORTUA BRAN</t>
  </si>
  <si>
    <t>3046822450</t>
  </si>
  <si>
    <t>RURAL_161117100000000001</t>
  </si>
  <si>
    <t>161117100000000001</t>
  </si>
  <si>
    <t>2025-11-25 21:50:30</t>
  </si>
  <si>
    <t>2 días 16:34</t>
  </si>
  <si>
    <t>4 días 10:01</t>
  </si>
  <si>
    <t>3 días 09:30</t>
  </si>
  <si>
    <t>23557109</t>
  </si>
  <si>
    <t>06/10/2025 11:40:04</t>
  </si>
  <si>
    <t>2025-11-13 12:59:16</t>
  </si>
  <si>
    <t>MARIA ELENA RENDON VANEGAS</t>
  </si>
  <si>
    <t>3147314587</t>
  </si>
  <si>
    <t>CL 109 SUR CR 55 -65 (INTERIOR 210 )</t>
  </si>
  <si>
    <t>000519005000650210</t>
  </si>
  <si>
    <t>2025-11-21 12:59:16</t>
  </si>
  <si>
    <t>23561956</t>
  </si>
  <si>
    <t>20/10/2025 16:05:02</t>
  </si>
  <si>
    <t>2025-11-18 14:01:24</t>
  </si>
  <si>
    <t>ANGELA MARIA ARANGO ARANGO</t>
  </si>
  <si>
    <t>3013290587</t>
  </si>
  <si>
    <t>CL 19 SUR CR 17 -1 (INTERIOR 1062 )</t>
  </si>
  <si>
    <t>041119007000011062</t>
  </si>
  <si>
    <t>2025-11-25 14:01:24</t>
  </si>
  <si>
    <t>23563210</t>
  </si>
  <si>
    <t>15/10/2025 04:50:29</t>
  </si>
  <si>
    <t>2025-11-18 12:18:21</t>
  </si>
  <si>
    <t>DARWIN ALEXIS PULGARIN PULGARIN</t>
  </si>
  <si>
    <t>3126268642</t>
  </si>
  <si>
    <t>RURAL_146014718600000000_CL 103 CR 230 -30 (INTERI</t>
  </si>
  <si>
    <t>146014718600000000</t>
  </si>
  <si>
    <t>2025-11-28 12:18:21</t>
  </si>
  <si>
    <t>23563380</t>
  </si>
  <si>
    <t>21/10/2025 15:47:24</t>
  </si>
  <si>
    <t>2025-11-18 13:57:50</t>
  </si>
  <si>
    <t>TERESA EMILIA CARDENAS GRANDA</t>
  </si>
  <si>
    <t>2222476</t>
  </si>
  <si>
    <t>3128157111</t>
  </si>
  <si>
    <t>CL 56 A CR 18 -15 (INTERIOR 201 )</t>
  </si>
  <si>
    <t>055116108000150201</t>
  </si>
  <si>
    <t>2025-11-25 13:57:50</t>
  </si>
  <si>
    <t>23565524</t>
  </si>
  <si>
    <t>16/10/2025 12:18:48</t>
  </si>
  <si>
    <t>2025-11-18 10:44:09</t>
  </si>
  <si>
    <t>MARIA EUGENIA ACEVEDO URREA</t>
  </si>
  <si>
    <t>3028390678</t>
  </si>
  <si>
    <t>CL 110 SUR CR 54 -86 (INTERIOR 101 )</t>
  </si>
  <si>
    <t>001510004000860101</t>
  </si>
  <si>
    <t>2025-11-25 10:44:09</t>
  </si>
  <si>
    <t>2 días 14:31</t>
  </si>
  <si>
    <t>2 días 14:29</t>
  </si>
  <si>
    <t>23567809</t>
  </si>
  <si>
    <t>20/10/2025 05:51:30</t>
  </si>
  <si>
    <t>2025-11-14 08:23:51</t>
  </si>
  <si>
    <t>FABIO NELSON VARGAS BEDOYA</t>
  </si>
  <si>
    <t>3137735745</t>
  </si>
  <si>
    <t>CR 50 CL 78 SUR -59 (INTERIOR 101 )</t>
  </si>
  <si>
    <t>037520008000590101</t>
  </si>
  <si>
    <t>2025-11-24 08:23:51</t>
  </si>
  <si>
    <t>2 días 13:43</t>
  </si>
  <si>
    <t>2 días 12:12</t>
  </si>
  <si>
    <t>23572756</t>
  </si>
  <si>
    <t>24/10/2025 17:12:55</t>
  </si>
  <si>
    <t>2025-11-18 11:07:22</t>
  </si>
  <si>
    <t>FERNANDO MONTOYA MORENO</t>
  </si>
  <si>
    <t>3204278792</t>
  </si>
  <si>
    <t>RURAL_146025369000000010_146025369000000010</t>
  </si>
  <si>
    <t>146025369000000010</t>
  </si>
  <si>
    <t>2025-11-28 11:07:22</t>
  </si>
  <si>
    <t>6 días 11:27</t>
  </si>
  <si>
    <t>23579370</t>
  </si>
  <si>
    <t>31/10/2025 09:25:17</t>
  </si>
  <si>
    <t>2025-11-11 09:15:58</t>
  </si>
  <si>
    <t>CR 52 CL 129 SUR -26</t>
  </si>
  <si>
    <t>002522009000260000</t>
  </si>
  <si>
    <t>2025-11-21 09:15:58</t>
  </si>
  <si>
    <t>23580684</t>
  </si>
  <si>
    <t>04/11/2025 12:01:40</t>
  </si>
  <si>
    <t>2025-11-18 14:06:35</t>
  </si>
  <si>
    <t>JUAN DAVID BETANCUR VERGARA</t>
  </si>
  <si>
    <t>2355088</t>
  </si>
  <si>
    <t>3013985112</t>
  </si>
  <si>
    <t>CL 28 CR 73 -10 (INTERIOR 201 )</t>
  </si>
  <si>
    <t>052718003000100201</t>
  </si>
  <si>
    <t>2025-12-03 14:06:35</t>
  </si>
  <si>
    <t>23582349</t>
  </si>
  <si>
    <t>18/11/2025 10:48:02</t>
  </si>
  <si>
    <t>2025-11-18 10:48:02</t>
  </si>
  <si>
    <t>LINA MARIA OCHOA FIGUEROA</t>
  </si>
  <si>
    <t>4089665</t>
  </si>
  <si>
    <t>CR 46 CL 7 -29</t>
  </si>
  <si>
    <t>050426007000290000</t>
  </si>
  <si>
    <t>2025-11-24 10:48:02</t>
  </si>
  <si>
    <t>3 días 09:47</t>
  </si>
  <si>
    <t>2 días 14:55</t>
  </si>
  <si>
    <t>3 días 11:51</t>
  </si>
  <si>
    <t>2 días 16:49</t>
  </si>
  <si>
    <t>6 días 11:14</t>
  </si>
  <si>
    <t>23588761</t>
  </si>
  <si>
    <t>12/11/2025 16:24:14</t>
  </si>
  <si>
    <t>2025-11-12 16:24:14</t>
  </si>
  <si>
    <t>ANGIE PAOLA CUARTAS GALLEGO</t>
  </si>
  <si>
    <t>3182304012</t>
  </si>
  <si>
    <t>RURAL_159001664000000001_SAN JOSE</t>
  </si>
  <si>
    <t>159001664000000001</t>
  </si>
  <si>
    <t>2025-11-25 16:24:14</t>
  </si>
  <si>
    <t>23588809</t>
  </si>
  <si>
    <t>12/11/2025 16:48:56</t>
  </si>
  <si>
    <t>2025-11-12 16:48:56</t>
  </si>
  <si>
    <t>ALEXANDER SIERRA VARGAS</t>
  </si>
  <si>
    <t>3014298465</t>
  </si>
  <si>
    <t>CL 81 SUR CR 69 -101</t>
  </si>
  <si>
    <t>038611009001010000</t>
  </si>
  <si>
    <t>2025-11-20 16:48:56</t>
  </si>
  <si>
    <t>3 días 09:31</t>
  </si>
  <si>
    <t>4 días 09:31</t>
  </si>
  <si>
    <t>3 días 10:24</t>
  </si>
  <si>
    <t>4 días 10:24</t>
  </si>
  <si>
    <t>4 días 12:33</t>
  </si>
  <si>
    <t>3 días 14:04</t>
  </si>
  <si>
    <t>3 días 14:09</t>
  </si>
  <si>
    <t>23589913</t>
  </si>
  <si>
    <t>14/11/2025 04:19:11</t>
  </si>
  <si>
    <t>2025-11-14 04:19:11</t>
  </si>
  <si>
    <t>PATRICIA VALLEJO VELEZ</t>
  </si>
  <si>
    <t>4985833</t>
  </si>
  <si>
    <t>3011921726</t>
  </si>
  <si>
    <t>RURAL_159056480000000001_PROV.159056480000000000_</t>
  </si>
  <si>
    <t>159056480000000001</t>
  </si>
  <si>
    <t>2025-11-27 04:19:11</t>
  </si>
  <si>
    <t>23590020</t>
  </si>
  <si>
    <t>14/11/2025 07:54:07</t>
  </si>
  <si>
    <t>2025-11-14 07:54:07</t>
  </si>
  <si>
    <t>4179092</t>
  </si>
  <si>
    <t>3113120737</t>
  </si>
  <si>
    <t>RURAL_161118237480000100_VEREDA LA CORRALA CONTIGU</t>
  </si>
  <si>
    <t>161118237480000100</t>
  </si>
  <si>
    <t>2025-11-27 07:54:07</t>
  </si>
  <si>
    <t>23590024</t>
  </si>
  <si>
    <t>14/11/2025 07:57:40</t>
  </si>
  <si>
    <t>2025-11-14 07:57:40</t>
  </si>
  <si>
    <t>LINA MARIA JARAMILLO ALVAREZ</t>
  </si>
  <si>
    <t>2813293</t>
  </si>
  <si>
    <t>RURAL_159065000000006001</t>
  </si>
  <si>
    <t>159065000000006001</t>
  </si>
  <si>
    <t>2025-11-27 07:57:40</t>
  </si>
  <si>
    <t>23590109</t>
  </si>
  <si>
    <t>14/11/2025 09:26:00</t>
  </si>
  <si>
    <t>2025-11-14 09:26:00</t>
  </si>
  <si>
    <t>BEATRIZ ANDREA RENDON OSPINA</t>
  </si>
  <si>
    <t>3146270297</t>
  </si>
  <si>
    <t>CR 44 A CL 126 SUR -37 (INTERIOR 9901 )</t>
  </si>
  <si>
    <t>002424106000379901</t>
  </si>
  <si>
    <t>2025-11-24 09:26:00</t>
  </si>
  <si>
    <t>23590160</t>
  </si>
  <si>
    <t>14/11/2025 10:01:59</t>
  </si>
  <si>
    <t>2025-11-14 10:01:59</t>
  </si>
  <si>
    <t>MARTHA INES VANEGAS RESTREPO</t>
  </si>
  <si>
    <t>CL 140 SUR CR 51 -31</t>
  </si>
  <si>
    <t>004510001000310000</t>
  </si>
  <si>
    <t>2025-11-26 10:01:59</t>
  </si>
  <si>
    <t>2 días 10:43</t>
  </si>
  <si>
    <t>2 días 11:17</t>
  </si>
  <si>
    <t>2 días 11:42</t>
  </si>
  <si>
    <t>2 días 11:43</t>
  </si>
  <si>
    <t>3 días 11:43</t>
  </si>
  <si>
    <t>3 días 13:43</t>
  </si>
  <si>
    <t>2 días 14:33</t>
  </si>
  <si>
    <t>2 días 14:51</t>
  </si>
  <si>
    <t>23590778</t>
  </si>
  <si>
    <t>14/11/2025 14:53:29</t>
  </si>
  <si>
    <t>2025-11-18 12:00:25</t>
  </si>
  <si>
    <t>YESID HIDALGO CASTRO</t>
  </si>
  <si>
    <t>3234940521</t>
  </si>
  <si>
    <t>RURAL_136029478020000001_CL58 CR102 A -196 INT200</t>
  </si>
  <si>
    <t>136029478020000001</t>
  </si>
  <si>
    <t>2025-11-28 12:00:25</t>
  </si>
  <si>
    <t>23590824</t>
  </si>
  <si>
    <t>14/11/2025 15:22:18</t>
  </si>
  <si>
    <t>2025-11-14 17:09:19</t>
  </si>
  <si>
    <t>LAURA VANESA RIVERA CASTRILLON</t>
  </si>
  <si>
    <t>3045422050</t>
  </si>
  <si>
    <t>CL 48 FA CR 100 AD -13 (INTERIOR 201 )</t>
  </si>
  <si>
    <t>084018610140130201</t>
  </si>
  <si>
    <t>2025-11-24 17:09:19</t>
  </si>
  <si>
    <t>23590826</t>
  </si>
  <si>
    <t>14/11/2025 15:23:28</t>
  </si>
  <si>
    <t>2025-11-14 15:23:28</t>
  </si>
  <si>
    <t>YURANI ATEHORTUA ATEHORTUA</t>
  </si>
  <si>
    <t>3052063337</t>
  </si>
  <si>
    <t>RURAL_161071503000000104_RURAL_161071503000000104</t>
  </si>
  <si>
    <t>161071503000000104</t>
  </si>
  <si>
    <t>2025-11-27 15:23:28</t>
  </si>
  <si>
    <t>2 días 15:40</t>
  </si>
  <si>
    <t>2 días 16:22</t>
  </si>
  <si>
    <t>23590899</t>
  </si>
  <si>
    <t>14/11/2025 16:23:30</t>
  </si>
  <si>
    <t>2025-11-14 16:23:30</t>
  </si>
  <si>
    <t>OLIMPO DE JESUS RAMIREZ AGUDELO</t>
  </si>
  <si>
    <t>3122839530</t>
  </si>
  <si>
    <t>CR 106 CL 55 -39 (INTERIOR 201 )</t>
  </si>
  <si>
    <t>085026005000390201</t>
  </si>
  <si>
    <t>2025-12-02 16:23:30</t>
  </si>
  <si>
    <t>2 días 16:58</t>
  </si>
  <si>
    <t>3 días 08:01</t>
  </si>
  <si>
    <t>3 días 08:24</t>
  </si>
  <si>
    <t>23591828</t>
  </si>
  <si>
    <t>18/11/2025 08:24:34</t>
  </si>
  <si>
    <t>2025-11-18 08:24:34</t>
  </si>
  <si>
    <t>LUIS EDUARDO MANCO GIRALDO</t>
  </si>
  <si>
    <t>3014123342</t>
  </si>
  <si>
    <t>CR 17 A CL 56 H -8 (INTERIOR 2143 )</t>
  </si>
  <si>
    <t>055127106800082143</t>
  </si>
  <si>
    <t>2025-11-25 08:24:34</t>
  </si>
  <si>
    <t>23591926</t>
  </si>
  <si>
    <t>18/11/2025 08:31:18</t>
  </si>
  <si>
    <t>2025-11-18 08:31:18</t>
  </si>
  <si>
    <t>OSCAR FERNANDO ZAPATA ZABALA</t>
  </si>
  <si>
    <t>3146304934</t>
  </si>
  <si>
    <t>CL 48 CR 32 -49 (INTERIOR 703 )</t>
  </si>
  <si>
    <t>054318002000490703</t>
  </si>
  <si>
    <t>2025-11-27 08:31:18</t>
  </si>
  <si>
    <t>23591947</t>
  </si>
  <si>
    <t>18/11/2025 08:44:32</t>
  </si>
  <si>
    <t>2025-11-18 08:44:32</t>
  </si>
  <si>
    <t>SOL MARIA BERRIO PALACIOS</t>
  </si>
  <si>
    <t>5285898</t>
  </si>
  <si>
    <t>3226539216</t>
  </si>
  <si>
    <t>CL 34 DD CR 112 -24 (INTERIOR 104 )</t>
  </si>
  <si>
    <t>083114442000240104</t>
  </si>
  <si>
    <t>2025-11-25 08:44:32</t>
  </si>
  <si>
    <t>23591949</t>
  </si>
  <si>
    <t>18/11/2025 08:44:52</t>
  </si>
  <si>
    <t>2025-11-18 08:44:52</t>
  </si>
  <si>
    <t>LUISA FERNANDA GUTIERREZ CANO</t>
  </si>
  <si>
    <t>3137586884</t>
  </si>
  <si>
    <t>RURAL_146023120000000001_RURAL_PALMITAS</t>
  </si>
  <si>
    <t>146023120000000001</t>
  </si>
  <si>
    <t>2025-11-28 08:44:52</t>
  </si>
  <si>
    <t>23591985</t>
  </si>
  <si>
    <t>18/11/2025 09:02:42</t>
  </si>
  <si>
    <t>2025-11-18 09:02:42</t>
  </si>
  <si>
    <t>CL 34 DD CR 112 -24 (INTERIOR 204 )</t>
  </si>
  <si>
    <t>083114442000240204</t>
  </si>
  <si>
    <t>2025-11-25 09:02:42</t>
  </si>
  <si>
    <t>23592013</t>
  </si>
  <si>
    <t>18/11/2025 09:10:57</t>
  </si>
  <si>
    <t>2025-11-18 09:10:57</t>
  </si>
  <si>
    <t>RAFAEL DARIO VILLADA GARCIA</t>
  </si>
  <si>
    <t>2805656</t>
  </si>
  <si>
    <t>3012935181</t>
  </si>
  <si>
    <t>RURAL_163006893000000003_DETRAS DE LA IGLESIA</t>
  </si>
  <si>
    <t>163006893000000003</t>
  </si>
  <si>
    <t>2025-11-28 09:10:57</t>
  </si>
  <si>
    <t>23592053</t>
  </si>
  <si>
    <t>18/11/2025 09:13:33</t>
  </si>
  <si>
    <t>2025-11-18 09:13:33</t>
  </si>
  <si>
    <t>RURAL_163006893000000004_DETRAS DE LA IGLESIA</t>
  </si>
  <si>
    <t>163006893000000004</t>
  </si>
  <si>
    <t>2025-11-28 09:13:33</t>
  </si>
  <si>
    <t>23592065</t>
  </si>
  <si>
    <t>18/11/2025 09:18:32</t>
  </si>
  <si>
    <t>2025-11-18 09:18:32</t>
  </si>
  <si>
    <t>RUBEN EMILIO MARTINEZ</t>
  </si>
  <si>
    <t>3128142771</t>
  </si>
  <si>
    <t>RURAL_161071515000000001_PROV.LA TOLVA URAPANES</t>
  </si>
  <si>
    <t>161071515000000001</t>
  </si>
  <si>
    <t>2025-11-28 09:18:32</t>
  </si>
  <si>
    <t>23592201</t>
  </si>
  <si>
    <t>18/11/2025 09:28:44</t>
  </si>
  <si>
    <t>2025-11-18 09:28:44</t>
  </si>
  <si>
    <t>CL 48 CR 32 -49 (INTERIOR 804 )</t>
  </si>
  <si>
    <t>054318002000490804</t>
  </si>
  <si>
    <t>2025-11-27 09:28:44</t>
  </si>
  <si>
    <t>23592207</t>
  </si>
  <si>
    <t>18/11/2025 09:31:54</t>
  </si>
  <si>
    <t>2025-11-18 09:31:54</t>
  </si>
  <si>
    <t>CL 48 CR 32 -49 (INTERIOR 803 )</t>
  </si>
  <si>
    <t>054318002000490803</t>
  </si>
  <si>
    <t>2025-11-27 09:31:54</t>
  </si>
  <si>
    <t>6 días 09:31</t>
  </si>
  <si>
    <t>23592214</t>
  </si>
  <si>
    <t>18/11/2025 09:34:04</t>
  </si>
  <si>
    <t>2025-11-18 09:34:04</t>
  </si>
  <si>
    <t>CL 48 CR 32 -49 (INTERIOR 704 )</t>
  </si>
  <si>
    <t>054318002000490704</t>
  </si>
  <si>
    <t>2025-11-27 09:34:04</t>
  </si>
  <si>
    <t>23592245</t>
  </si>
  <si>
    <t>18/11/2025 09:46:55</t>
  </si>
  <si>
    <t>2025-11-18 09:46:55</t>
  </si>
  <si>
    <t>CL 48 CR 32 -49 (INTERIOR 702 )</t>
  </si>
  <si>
    <t>054318002000490702</t>
  </si>
  <si>
    <t>2025-11-27 09:46:55</t>
  </si>
  <si>
    <t>23592246</t>
  </si>
  <si>
    <t>18/11/2025 09:47:32</t>
  </si>
  <si>
    <t>2025-11-18 09:47:32</t>
  </si>
  <si>
    <t>CL 48 CR 32 -49 (INTERIOR 802 )</t>
  </si>
  <si>
    <t>054318002000490802</t>
  </si>
  <si>
    <t>2025-11-27 09:47:32</t>
  </si>
  <si>
    <t>23592273</t>
  </si>
  <si>
    <t>18/11/2025 10:04:02</t>
  </si>
  <si>
    <t>2025-11-18 10:04:02</t>
  </si>
  <si>
    <t>CR 52 B CL 56 -</t>
  </si>
  <si>
    <t>075522206000000000</t>
  </si>
  <si>
    <t>2025-11-24 10:04:02</t>
  </si>
  <si>
    <t>23592277</t>
  </si>
  <si>
    <t>18/11/2025 10:06:53</t>
  </si>
  <si>
    <t>2025-11-18 10:06:53</t>
  </si>
  <si>
    <t>4898962</t>
  </si>
  <si>
    <t>CL 43 CR 83 -15</t>
  </si>
  <si>
    <t>054813003000150000</t>
  </si>
  <si>
    <t>2025-11-24 10:06:53</t>
  </si>
  <si>
    <t>23592291</t>
  </si>
  <si>
    <t>18/11/2025 10:13:18</t>
  </si>
  <si>
    <t>2025-11-18 10:13:18</t>
  </si>
  <si>
    <t>JORGE MARIO PANIAGUA GRANADA</t>
  </si>
  <si>
    <t>3226175702</t>
  </si>
  <si>
    <t>RURAL_161110136000000007</t>
  </si>
  <si>
    <t>161110136000000007</t>
  </si>
  <si>
    <t>2025-11-28 10:13:18</t>
  </si>
  <si>
    <t>23592299</t>
  </si>
  <si>
    <t>18/11/2025 10:15:16</t>
  </si>
  <si>
    <t>2025-11-18 10:15:16</t>
  </si>
  <si>
    <t>CARLOS ANDRES ALVAREZ</t>
  </si>
  <si>
    <t>3207017511</t>
  </si>
  <si>
    <t>RURAL_114007720000009906_PROV.114007720000009901</t>
  </si>
  <si>
    <t>114007720000009906</t>
  </si>
  <si>
    <t>2025-11-24 10:15:16</t>
  </si>
  <si>
    <t>23592313</t>
  </si>
  <si>
    <t>18/11/2025 10:19:52</t>
  </si>
  <si>
    <t>2025-11-18 10:19:52</t>
  </si>
  <si>
    <t>3104247383</t>
  </si>
  <si>
    <t>CR 50 CL 5 -115</t>
  </si>
  <si>
    <t>050520005001150000</t>
  </si>
  <si>
    <t>2025-11-24 10:19:52</t>
  </si>
  <si>
    <t>23592318</t>
  </si>
  <si>
    <t>18/11/2025 10:23:13</t>
  </si>
  <si>
    <t>2025-11-18 10:23:13</t>
  </si>
  <si>
    <t>DORA LIA CARVALHO MOLINA</t>
  </si>
  <si>
    <t>2147495</t>
  </si>
  <si>
    <t>3135157311</t>
  </si>
  <si>
    <t>CR 12 A CL 49 -20</t>
  </si>
  <si>
    <t>054122109000200000</t>
  </si>
  <si>
    <t>2025-11-24 10:23:13</t>
  </si>
  <si>
    <t>23592322</t>
  </si>
  <si>
    <t>18/11/2025 10:24:21</t>
  </si>
  <si>
    <t>2025-11-18 10:24:21</t>
  </si>
  <si>
    <t>CR 52 D CL 51 -</t>
  </si>
  <si>
    <t>075522401000000000</t>
  </si>
  <si>
    <t>2025-11-24 10:24:21</t>
  </si>
  <si>
    <t>0 días 10:24</t>
  </si>
  <si>
    <t>23592324</t>
  </si>
  <si>
    <t>18/11/2025 10:25:01</t>
  </si>
  <si>
    <t>2025-11-18 10:25:01</t>
  </si>
  <si>
    <t>JORGE ALIRIO PANIAGUA LEDERMA</t>
  </si>
  <si>
    <t>3103670989</t>
  </si>
  <si>
    <t>RURAL_161110136000000008</t>
  </si>
  <si>
    <t>161110136000000008</t>
  </si>
  <si>
    <t>2025-11-28 10:25:01</t>
  </si>
  <si>
    <t>23592349</t>
  </si>
  <si>
    <t>18/11/2025 10:37:08</t>
  </si>
  <si>
    <t>2025-11-18 10:37:08</t>
  </si>
  <si>
    <t>ERIKA MORALES MOSQUERA</t>
  </si>
  <si>
    <t>3135017675</t>
  </si>
  <si>
    <t>CR 94 CL 57 C -65 (INTERIOR 1150 )</t>
  </si>
  <si>
    <t>055924007300651150</t>
  </si>
  <si>
    <t>2025-11-25 10:37:08</t>
  </si>
  <si>
    <t>23592354</t>
  </si>
  <si>
    <t>18/11/2025 10:38:24</t>
  </si>
  <si>
    <t>2025-11-18 10:38:24</t>
  </si>
  <si>
    <t>NORBERTO MENA MENA</t>
  </si>
  <si>
    <t>3207781260</t>
  </si>
  <si>
    <t>CL 1 CR 82 -230 (INTERIOR 407 )</t>
  </si>
  <si>
    <t>050811002002300407</t>
  </si>
  <si>
    <t>2025-11-25 10:38:24</t>
  </si>
  <si>
    <t>4 días 10:46</t>
  </si>
  <si>
    <t>23592428</t>
  </si>
  <si>
    <t>18/11/2025 11:09:17</t>
  </si>
  <si>
    <t>2025-11-18 11:09:17</t>
  </si>
  <si>
    <t>LUZ ENAYDA HENAO ESCUDERO</t>
  </si>
  <si>
    <t>3015713414</t>
  </si>
  <si>
    <t>CL 35 D CR 107 -50</t>
  </si>
  <si>
    <t>083015407000500000</t>
  </si>
  <si>
    <t>2025-11-25 11:09:17</t>
  </si>
  <si>
    <t>0 días 11:13</t>
  </si>
  <si>
    <t>23592446</t>
  </si>
  <si>
    <t>18/11/2025 11:17:31</t>
  </si>
  <si>
    <t>2025-11-18 11:17:31</t>
  </si>
  <si>
    <t>GLORIA AMPARO URREGO RESTREPO</t>
  </si>
  <si>
    <t>3145361309</t>
  </si>
  <si>
    <t>CR 119 CL 39 DA -25 (INTERIOR 301 )</t>
  </si>
  <si>
    <t>083129009410250301</t>
  </si>
  <si>
    <t>2025-11-25 11:17:31</t>
  </si>
  <si>
    <t>4 días 11:17</t>
  </si>
  <si>
    <t>23592476</t>
  </si>
  <si>
    <t>18/11/2025 11:31:36</t>
  </si>
  <si>
    <t>2025-11-18 11:31:36</t>
  </si>
  <si>
    <t>EDWUIN HUMBERTO CARDONA QUICENO</t>
  </si>
  <si>
    <t>3043568913</t>
  </si>
  <si>
    <t>CR 132 CL 59 -15 (INTERIOR 205 )</t>
  </si>
  <si>
    <t>085322009000150205</t>
  </si>
  <si>
    <t>2025-11-24 11:31:36</t>
  </si>
  <si>
    <t>23592483</t>
  </si>
  <si>
    <t>18/11/2025 11:37:18</t>
  </si>
  <si>
    <t>2025-11-18 11:37:18</t>
  </si>
  <si>
    <t>PATRICIA MILENA GUERRA CARVAJAL</t>
  </si>
  <si>
    <t>3114288509</t>
  </si>
  <si>
    <t>CR 17 CL 57 -12 (INTERIOR 200 )</t>
  </si>
  <si>
    <t>055127007000120200</t>
  </si>
  <si>
    <t>2025-11-25 11:37:18</t>
  </si>
  <si>
    <t>0 días 11:37</t>
  </si>
  <si>
    <t>23592492</t>
  </si>
  <si>
    <t>18/11/2025 11:42:38</t>
  </si>
  <si>
    <t>2025-11-18 11:42:38</t>
  </si>
  <si>
    <t>CARLOS MIGUEL JURI MEJIA</t>
  </si>
  <si>
    <t>3194234770</t>
  </si>
  <si>
    <t>CR 50 CL 39 -64</t>
  </si>
  <si>
    <t>053520009000640000</t>
  </si>
  <si>
    <t>2025-11-24 11:42:38</t>
  </si>
  <si>
    <t>23592517</t>
  </si>
  <si>
    <t>18/11/2025 11:51:56</t>
  </si>
  <si>
    <t>2025-11-18 11:51:56</t>
  </si>
  <si>
    <t>VALENTINA GOMEZ JULIO</t>
  </si>
  <si>
    <t>3003149363</t>
  </si>
  <si>
    <t>CR 10 CL 55 -214 (INTERIOR 246 )</t>
  </si>
  <si>
    <t>055120005002140246</t>
  </si>
  <si>
    <t>2025-11-25 11:51:56</t>
  </si>
  <si>
    <t>23592518</t>
  </si>
  <si>
    <t>18/11/2025 11:52:53</t>
  </si>
  <si>
    <t>2025-11-18 11:52:53</t>
  </si>
  <si>
    <t>CR 17 CL 57 -12 (INTERIOR 201 )</t>
  </si>
  <si>
    <t>055127007000120201</t>
  </si>
  <si>
    <t>2025-11-25 11:52:53</t>
  </si>
  <si>
    <t>23592537</t>
  </si>
  <si>
    <t>18/11/2025 12:12:34</t>
  </si>
  <si>
    <t>2025-11-18 12:12:34</t>
  </si>
  <si>
    <t>JESUS DAVID  HERNANDEZ GALLEGO</t>
  </si>
  <si>
    <t>3042047868</t>
  </si>
  <si>
    <t>CL 67 B CR 117 HC -47 (INTERIOR 110 )</t>
  </si>
  <si>
    <t>086117207830470110</t>
  </si>
  <si>
    <t>2025-11-25 12:12:34</t>
  </si>
  <si>
    <t>0 días 12:12</t>
  </si>
  <si>
    <t>23592540</t>
  </si>
  <si>
    <t>18/11/2025 12:14:35</t>
  </si>
  <si>
    <t>2025-11-18 12:14:35</t>
  </si>
  <si>
    <t>YULIANA RODRIGUEZ ARBOLEDA</t>
  </si>
  <si>
    <t>2224246</t>
  </si>
  <si>
    <t>3003342962</t>
  </si>
  <si>
    <t>CR 3 CL 56 -23 (INTERIOR 108 )</t>
  </si>
  <si>
    <t>055023006000230108</t>
  </si>
  <si>
    <t>2025-11-25 12:14:35</t>
  </si>
  <si>
    <t>23592541</t>
  </si>
  <si>
    <t>18/11/2025 12:14:59</t>
  </si>
  <si>
    <t>FRANCISCO JAVIER LOPEZ NAVARRETE</t>
  </si>
  <si>
    <t>8888888</t>
  </si>
  <si>
    <t>3122430202</t>
  </si>
  <si>
    <t>CR 47 CL 48 -65 (INTERIOR 803 )</t>
  </si>
  <si>
    <t>054427008000650803</t>
  </si>
  <si>
    <t>2025-11-24 12:14:59</t>
  </si>
  <si>
    <t>3 días 12:14</t>
  </si>
  <si>
    <t>23592558</t>
  </si>
  <si>
    <t>18/11/2025 12:29:00</t>
  </si>
  <si>
    <t>2025-11-18 12:29:00</t>
  </si>
  <si>
    <t>WILLIAM DE JESUS TORO BEDOYA</t>
  </si>
  <si>
    <t>3133036167</t>
  </si>
  <si>
    <t>CR 68 CL 64 SUR -16 (INTERIOR 313 )</t>
  </si>
  <si>
    <t>046628004000160313</t>
  </si>
  <si>
    <t>2025-11-25 12:29:00</t>
  </si>
  <si>
    <t>CLAUDIA ANDREA GONZALEZ TORO</t>
  </si>
  <si>
    <t>2382262</t>
  </si>
  <si>
    <t>3007048992</t>
  </si>
  <si>
    <t>23592594</t>
  </si>
  <si>
    <t>18/11/2025 13:13:46</t>
  </si>
  <si>
    <t>2025-11-18 13:13:46</t>
  </si>
  <si>
    <t>DAVID IGNACIO PALACIO QUINTERO</t>
  </si>
  <si>
    <t>3128295134</t>
  </si>
  <si>
    <t>RURAL_161021853000000000_LA CHUSCALA</t>
  </si>
  <si>
    <t>161021853000000000</t>
  </si>
  <si>
    <t>2025-12-02 13:13:46</t>
  </si>
  <si>
    <t>0 días 13:13</t>
  </si>
  <si>
    <t>23592595</t>
  </si>
  <si>
    <t>RURAL_161021852800000000_LA CHUSCALA_LC</t>
  </si>
  <si>
    <t>161021852800000000</t>
  </si>
  <si>
    <t>23592596</t>
  </si>
  <si>
    <t>RURAL_161021853000009801_LA CHUSCALA</t>
  </si>
  <si>
    <t>161021853000009801</t>
  </si>
  <si>
    <t>23592603</t>
  </si>
  <si>
    <t>18/11/2025 13:20:13</t>
  </si>
  <si>
    <t>2025-11-18 13:20:13</t>
  </si>
  <si>
    <t>RURAL_161021853000009901_LA CHUSCALA</t>
  </si>
  <si>
    <t>161021853000009901</t>
  </si>
  <si>
    <t>2025-12-02 13:20:13</t>
  </si>
  <si>
    <t>23592611</t>
  </si>
  <si>
    <t>18/11/2025 13:31:27</t>
  </si>
  <si>
    <t>2025-11-18 13:31:27</t>
  </si>
  <si>
    <t>RURAL_161021853000009902_LA CHUSCALA</t>
  </si>
  <si>
    <t>161021853000009902</t>
  </si>
  <si>
    <t>2025-12-02 13:31:27</t>
  </si>
  <si>
    <t>23592638</t>
  </si>
  <si>
    <t>18/11/2025 14:04:26</t>
  </si>
  <si>
    <t>2025-11-18 14:04:26</t>
  </si>
  <si>
    <t>ANA MARIA SANCHEZ ZAPATA</t>
  </si>
  <si>
    <t>3015644720</t>
  </si>
  <si>
    <t>CR 99 CL 15 -41 (INTERIOR 102 )</t>
  </si>
  <si>
    <t>051929005000410102</t>
  </si>
  <si>
    <t>2025-11-25 14:04:26</t>
  </si>
  <si>
    <t>23592694</t>
  </si>
  <si>
    <t>18/11/2025 14:37:17</t>
  </si>
  <si>
    <t>2025-11-18 14:37:17</t>
  </si>
  <si>
    <t>SAMUEL DE JESUS VILLA</t>
  </si>
  <si>
    <t>3113234929</t>
  </si>
  <si>
    <t>CL 49 B CR 99 B -192 (INTERIOR 153 )</t>
  </si>
  <si>
    <t>054919209201920153</t>
  </si>
  <si>
    <t>2025-11-25 14:37:17</t>
  </si>
  <si>
    <t>23592718</t>
  </si>
  <si>
    <t>18/11/2025 14:50:34</t>
  </si>
  <si>
    <t>2025-11-18 14:50:34</t>
  </si>
  <si>
    <t>CONALTURA CONSTRUCCIÓN Y VIVIENDA S.A.S</t>
  </si>
  <si>
    <t>2662277</t>
  </si>
  <si>
    <t>3206260550</t>
  </si>
  <si>
    <t>CR 43 A CL 50 D SUR -106</t>
  </si>
  <si>
    <t>025423100401060000</t>
  </si>
  <si>
    <t>2025-11-24 14:50:34</t>
  </si>
  <si>
    <t>23592723</t>
  </si>
  <si>
    <t>18/11/2025 14:51:48</t>
  </si>
  <si>
    <t>2025-11-18 14:51:48</t>
  </si>
  <si>
    <t>LUIS SIGIFREDO SUCERQUIA CARO</t>
  </si>
  <si>
    <t>3105125858</t>
  </si>
  <si>
    <t>CR 13 CL 55 -96 (INTERIOR 9905 )</t>
  </si>
  <si>
    <t>055123005000969905</t>
  </si>
  <si>
    <t>2025-11-25 14:51:48</t>
  </si>
  <si>
    <t>4 días 14:51</t>
  </si>
  <si>
    <t>23592732</t>
  </si>
  <si>
    <t>18/11/2025 14:55:44</t>
  </si>
  <si>
    <t>2025-11-18 14:55:44</t>
  </si>
  <si>
    <t>OMAIRA ALEJANDRA CEBALLOS AGUDELO</t>
  </si>
  <si>
    <t>3003322731</t>
  </si>
  <si>
    <t>CR 118 CL 39 AD -87 (INTERIOR 204 )</t>
  </si>
  <si>
    <t>083128009140870204</t>
  </si>
  <si>
    <t>2025-11-25 14:55:44</t>
  </si>
  <si>
    <t>23180443</t>
  </si>
  <si>
    <t>12/08/2024 09:59:30</t>
  </si>
  <si>
    <t>2025-11-12 07:05:36</t>
  </si>
  <si>
    <t>MARIA CLAUDIA ESPINOSA VELASQUEZ</t>
  </si>
  <si>
    <t>3619529</t>
  </si>
  <si>
    <t>3205976053</t>
  </si>
  <si>
    <t>CL 52 SUR CR 57 A -23 (INTERIOR 101 )</t>
  </si>
  <si>
    <t>045512007100230101</t>
  </si>
  <si>
    <t>2025-11-24 07:05:36</t>
  </si>
  <si>
    <t>23326474</t>
  </si>
  <si>
    <t>16/01/2025 11:45:00</t>
  </si>
  <si>
    <t>2025-11-12 11:50:52</t>
  </si>
  <si>
    <t>JUAN FELIPE MESA MUÑOZ</t>
  </si>
  <si>
    <t>3135888488</t>
  </si>
  <si>
    <t>CL 11 A CR 43 B -32</t>
  </si>
  <si>
    <t>051411103200320000</t>
  </si>
  <si>
    <t>2025-11-24 11:50:52</t>
  </si>
  <si>
    <t>23442848</t>
  </si>
  <si>
    <t>20/05/2025 06:10:12</t>
  </si>
  <si>
    <t>2025-11-18 10:46:33</t>
  </si>
  <si>
    <t>ISABEL TATIANA DUQUE CANO</t>
  </si>
  <si>
    <t>3312122</t>
  </si>
  <si>
    <t>3002049670</t>
  </si>
  <si>
    <t>CL 46 E SUR CR 42 A -39 (INTERIOR 201 )</t>
  </si>
  <si>
    <t>024416502100390201</t>
  </si>
  <si>
    <t>2025-11-27 10:46:33</t>
  </si>
  <si>
    <t>23443336</t>
  </si>
  <si>
    <t>20/05/2025 12:59:23</t>
  </si>
  <si>
    <t>2025-11-12 21:54:06</t>
  </si>
  <si>
    <t>LEONARDO ANTONIO GALLEGO FRANCO</t>
  </si>
  <si>
    <t>CL 74 SUR CR 47 -53</t>
  </si>
  <si>
    <t>017414007000530000</t>
  </si>
  <si>
    <t>2025-11-24 21:54:06</t>
  </si>
  <si>
    <t>23479807</t>
  </si>
  <si>
    <t>04/07/2025 09:56:12</t>
  </si>
  <si>
    <t>2025-11-13 16:03:35</t>
  </si>
  <si>
    <t>IVER ALEX GIL</t>
  </si>
  <si>
    <t>3147724845</t>
  </si>
  <si>
    <t>CR 10 CL 19 SUR -196 (INTERIOR 122 )</t>
  </si>
  <si>
    <t>021120009001960122</t>
  </si>
  <si>
    <t>2025-11-25 16:03:35</t>
  </si>
  <si>
    <t>23483802</t>
  </si>
  <si>
    <t>09/07/2025 13:47:35</t>
  </si>
  <si>
    <t>2025-11-15 21:39:36</t>
  </si>
  <si>
    <t>JOHN ANDERSON SOTO GOMEZ</t>
  </si>
  <si>
    <t>3223543</t>
  </si>
  <si>
    <t>3232287141</t>
  </si>
  <si>
    <t>CL 52 A CR 56 -40 (INTERIOR 400 )</t>
  </si>
  <si>
    <t>055512106000400400</t>
  </si>
  <si>
    <t>2025-11-26 21:39:36</t>
  </si>
  <si>
    <t>23491822</t>
  </si>
  <si>
    <t>18/07/2025 14:08:29</t>
  </si>
  <si>
    <t>2025-11-18 11:49:14</t>
  </si>
  <si>
    <t>ORLANDO ANDRES GALLO RIAÑO</t>
  </si>
  <si>
    <t>3218758891</t>
  </si>
  <si>
    <t>CL 36 A SUR CR 47 -32</t>
  </si>
  <si>
    <t>023416107000320000</t>
  </si>
  <si>
    <t>2025-11-27 11:49:14</t>
  </si>
  <si>
    <t>23491854</t>
  </si>
  <si>
    <t>18/07/2025 14:33:31</t>
  </si>
  <si>
    <t>2025-11-13 14:08:51</t>
  </si>
  <si>
    <t>CARLOS ALBERTO ASPRILLA</t>
  </si>
  <si>
    <t>3005250755</t>
  </si>
  <si>
    <t>CR 42 CL 50 -95</t>
  </si>
  <si>
    <t>055422000000950000</t>
  </si>
  <si>
    <t>2025-11-25 14:08:51</t>
  </si>
  <si>
    <t>23543748</t>
  </si>
  <si>
    <t>19/09/2025 14:03:50</t>
  </si>
  <si>
    <t>2025-11-12 21:40:14</t>
  </si>
  <si>
    <t>MUNICIPIO SABANETA</t>
  </si>
  <si>
    <t>4486802</t>
  </si>
  <si>
    <t>3136365454</t>
  </si>
  <si>
    <t>CL 75 SUR CR 45 -77 (LC 1 )</t>
  </si>
  <si>
    <t>017415005000770001</t>
  </si>
  <si>
    <t>2025-11-24 21:40:14</t>
  </si>
  <si>
    <t>23543751</t>
  </si>
  <si>
    <t>19/09/2025 14:04:46</t>
  </si>
  <si>
    <t>2025-11-12 21:40:18</t>
  </si>
  <si>
    <t>CL 75 SUR CR 45 -73 (LC 2 )</t>
  </si>
  <si>
    <t>017415005000730002</t>
  </si>
  <si>
    <t>2025-11-24 21:40:18</t>
  </si>
  <si>
    <t>23543752</t>
  </si>
  <si>
    <t>19/09/2025 14:06:10</t>
  </si>
  <si>
    <t>2025-11-12 21:40:22</t>
  </si>
  <si>
    <t>CL 75 SUR CR 45 -69 (LC 3 )</t>
  </si>
  <si>
    <t>017415005000690003</t>
  </si>
  <si>
    <t>2025-11-24 21:40:22</t>
  </si>
  <si>
    <t>23543753</t>
  </si>
  <si>
    <t>19/09/2025 14:07:35</t>
  </si>
  <si>
    <t>2025-11-12 21:40:26</t>
  </si>
  <si>
    <t>CL 75 SUR CR 45 -65 (LC 4 )</t>
  </si>
  <si>
    <t>017415005000650004</t>
  </si>
  <si>
    <t>2025-11-24 21:40:26</t>
  </si>
  <si>
    <t>23543756</t>
  </si>
  <si>
    <t>19/09/2025 14:09:25</t>
  </si>
  <si>
    <t>2025-11-12 21:40:08</t>
  </si>
  <si>
    <t>CR 46 CL 75 SUR -20 (LC 5 )</t>
  </si>
  <si>
    <t>017426005000200005</t>
  </si>
  <si>
    <t>2025-11-24 21:40:08</t>
  </si>
  <si>
    <t>23547075</t>
  </si>
  <si>
    <t>23/09/2025 14:44:20</t>
  </si>
  <si>
    <t>2025-11-18 13:21:29</t>
  </si>
  <si>
    <t>ENVIASEO E.S.P.</t>
  </si>
  <si>
    <t>4487997</t>
  </si>
  <si>
    <t>3153493476</t>
  </si>
  <si>
    <t>RURAL_166035905300006000_VDA.EL VALLANO</t>
  </si>
  <si>
    <t>166035905300006000</t>
  </si>
  <si>
    <t>2025-12-02 13:21:29</t>
  </si>
  <si>
    <t>23551166</t>
  </si>
  <si>
    <t>29/09/2025 09:34:26</t>
  </si>
  <si>
    <t>2025-11-18 16:16:52</t>
  </si>
  <si>
    <t>CAROLINA ESPINAL HINCAPIE</t>
  </si>
  <si>
    <t>3014822740</t>
  </si>
  <si>
    <t>CL 44 A CR 73 -10 (INTERIOR 301 )</t>
  </si>
  <si>
    <t>054714103000100301</t>
  </si>
  <si>
    <t>2025-11-27 16:16:52</t>
  </si>
  <si>
    <t>23568041</t>
  </si>
  <si>
    <t>20/10/2025 08:59:56</t>
  </si>
  <si>
    <t>2025-11-14 18:39:51</t>
  </si>
  <si>
    <t>HERNANDO ARTURO VALENCIA OSORNO</t>
  </si>
  <si>
    <t>3122468437</t>
  </si>
  <si>
    <t>CR 55 CL 63 B -17</t>
  </si>
  <si>
    <t>076525003200170000</t>
  </si>
  <si>
    <t>2025-11-26 18:39:51</t>
  </si>
  <si>
    <t>23581492</t>
  </si>
  <si>
    <t>05/11/2025 07:04:17</t>
  </si>
  <si>
    <t>2025-11-18 07:54:43</t>
  </si>
  <si>
    <t>OCTAVIO PEREZ ALVAREZ</t>
  </si>
  <si>
    <t>2431419</t>
  </si>
  <si>
    <t>3152417618</t>
  </si>
  <si>
    <t>CR 53 A CL 62 -15</t>
  </si>
  <si>
    <t>076523102000150000</t>
  </si>
  <si>
    <t>2025-11-27 07:54:43</t>
  </si>
  <si>
    <t>23585726</t>
  </si>
  <si>
    <t>10/11/2025 09:31:04</t>
  </si>
  <si>
    <t>2025-11-10 09:31:04</t>
  </si>
  <si>
    <t>SERGIO IVAN ARENAS PAREJA</t>
  </si>
  <si>
    <t>6015645</t>
  </si>
  <si>
    <t>3116024406</t>
  </si>
  <si>
    <t>RURAL_126005900000000000_MEDELLIN LAS PALMAS</t>
  </si>
  <si>
    <t>126005900000000000</t>
  </si>
  <si>
    <t>2025-12-01 09:31:04</t>
  </si>
  <si>
    <t>23586202</t>
  </si>
  <si>
    <t>10/11/2025 15:55:48</t>
  </si>
  <si>
    <t>2025-11-10 15:55:48</t>
  </si>
  <si>
    <t>BEATRIZ AMPARO CANO NARANJO</t>
  </si>
  <si>
    <t>3104048515</t>
  </si>
  <si>
    <t>RURAL_146008512000000000_BOQUERON PALMITAS</t>
  </si>
  <si>
    <t>146008512000000000</t>
  </si>
  <si>
    <t>2025-12-01 15:55:48</t>
  </si>
  <si>
    <t>6 días 15:55</t>
  </si>
  <si>
    <t>23587134</t>
  </si>
  <si>
    <t>11/11/2025 10:44:03</t>
  </si>
  <si>
    <t>2025-11-11 10:44:03</t>
  </si>
  <si>
    <t>DIANA PATRICIA CALLE CALLE</t>
  </si>
  <si>
    <t>CL 36 CR 70 -15 (LC 4 )</t>
  </si>
  <si>
    <t>073716000000150004</t>
  </si>
  <si>
    <t>2025-11-21 10:44:03</t>
  </si>
  <si>
    <t>2 días 10:44</t>
  </si>
  <si>
    <t>23587135</t>
  </si>
  <si>
    <t>11/11/2025 10:44:05</t>
  </si>
  <si>
    <t>2025-11-11 10:44:05</t>
  </si>
  <si>
    <t>CL 36 CR 70 -13 (LC 3 )</t>
  </si>
  <si>
    <t>073716000000130003</t>
  </si>
  <si>
    <t>2025-11-21 10:44:05</t>
  </si>
  <si>
    <t>23587137</t>
  </si>
  <si>
    <t>11/11/2025 10:45:59</t>
  </si>
  <si>
    <t>2025-11-11 10:45:59</t>
  </si>
  <si>
    <t>LUIS ALFONSO ALVAREZ MUÑOZ</t>
  </si>
  <si>
    <t>3154468089</t>
  </si>
  <si>
    <t>RURAL_146018748000000000_RURAL_PALMITAS</t>
  </si>
  <si>
    <t>146018748000000000</t>
  </si>
  <si>
    <t>2025-12-02 10:45:59</t>
  </si>
  <si>
    <t>23587171</t>
  </si>
  <si>
    <t>11/11/2025 10:58:01</t>
  </si>
  <si>
    <t>2025-11-11 10:58:01</t>
  </si>
  <si>
    <t>CL 36 CR 70 -17 (LC 5 )</t>
  </si>
  <si>
    <t>073716000000170005</t>
  </si>
  <si>
    <t>2025-11-21 10:58:01</t>
  </si>
  <si>
    <t>23587172</t>
  </si>
  <si>
    <t>11/11/2025 10:58:19</t>
  </si>
  <si>
    <t>2025-11-11 10:58:19</t>
  </si>
  <si>
    <t>CL 36 CR 70 -19 (LC 6 )</t>
  </si>
  <si>
    <t>073716000000190006</t>
  </si>
  <si>
    <t>2025-11-21 10:58:19</t>
  </si>
  <si>
    <t>23587173</t>
  </si>
  <si>
    <t>11/11/2025 10:58:23</t>
  </si>
  <si>
    <t>2025-11-11 10:58:23</t>
  </si>
  <si>
    <t>CL 36 CR 70 -7 (PI 2 )</t>
  </si>
  <si>
    <t>073716000000070200</t>
  </si>
  <si>
    <t>2025-11-21 10:58:23</t>
  </si>
  <si>
    <t>23587174</t>
  </si>
  <si>
    <t>11/11/2025 10:58:30</t>
  </si>
  <si>
    <t>2025-11-11 10:58:30</t>
  </si>
  <si>
    <t>CL 36 CR 70 -11 (OF 1 )</t>
  </si>
  <si>
    <t>073716000000110001</t>
  </si>
  <si>
    <t>2025-11-21 10:58:30</t>
  </si>
  <si>
    <t>23587246</t>
  </si>
  <si>
    <t>11/11/2025 11:22:17</t>
  </si>
  <si>
    <t>2025-11-11 11:22:17</t>
  </si>
  <si>
    <t>CL 36 CR 70 -11 (OF 2 )</t>
  </si>
  <si>
    <t>073716000000110002</t>
  </si>
  <si>
    <t>2025-11-21 11:22:17</t>
  </si>
  <si>
    <t>23587258</t>
  </si>
  <si>
    <t>11/11/2025 11:23:28</t>
  </si>
  <si>
    <t>2025-11-11 11:23:28</t>
  </si>
  <si>
    <t>VICTOR ALONSO GOMEZ ARISTIZABAL</t>
  </si>
  <si>
    <t>5121421</t>
  </si>
  <si>
    <t>3148617813</t>
  </si>
  <si>
    <t>RURAL_147060499000000055</t>
  </si>
  <si>
    <t>147060499000000055</t>
  </si>
  <si>
    <t>2025-11-26 11:23:28</t>
  </si>
  <si>
    <t>23588014</t>
  </si>
  <si>
    <t>12/11/2025 07:23:30</t>
  </si>
  <si>
    <t>2025-11-12 07:23:30</t>
  </si>
  <si>
    <t>MARIA ERNESTINA CASTAÑO IDARRAGA</t>
  </si>
  <si>
    <t>3193253445</t>
  </si>
  <si>
    <t>CR 96 A CL 62 D -3 (INTERIOR 1180 )</t>
  </si>
  <si>
    <t>056926102400031180</t>
  </si>
  <si>
    <t>2025-11-26 07:23:30</t>
  </si>
  <si>
    <t>4 días 13:47</t>
  </si>
  <si>
    <t>23589250</t>
  </si>
  <si>
    <t>13/11/2025 09:44:13</t>
  </si>
  <si>
    <t>2025-11-13 09:44:13</t>
  </si>
  <si>
    <t>WALTER FERNANDO GARCIA QUIÑONES</t>
  </si>
  <si>
    <t>3206858786</t>
  </si>
  <si>
    <t>RURAL_136027800000000000_CL 58 CR 103F-128</t>
  </si>
  <si>
    <t>136027800000000000</t>
  </si>
  <si>
    <t>2025-12-04 09:44:13</t>
  </si>
  <si>
    <t>23589417</t>
  </si>
  <si>
    <t>13/11/2025 13:45:51</t>
  </si>
  <si>
    <t>2025-11-13 13:45:51</t>
  </si>
  <si>
    <t>CLAUDIO ALONSO SEGURO VARGAS</t>
  </si>
  <si>
    <t>3154493637</t>
  </si>
  <si>
    <t>RURAL_159161388000000005</t>
  </si>
  <si>
    <t>159161388000000005</t>
  </si>
  <si>
    <t>2025-11-28 13:45:51</t>
  </si>
  <si>
    <t>23589423</t>
  </si>
  <si>
    <t>13/11/2025 13:48:23</t>
  </si>
  <si>
    <t>2025-11-13 13:48:23</t>
  </si>
  <si>
    <t>CR 66 B CL 32 C -33 (LC 1 )</t>
  </si>
  <si>
    <t>053626202300330001</t>
  </si>
  <si>
    <t>2025-11-25 13:48:23</t>
  </si>
  <si>
    <t>23589514</t>
  </si>
  <si>
    <t>13/11/2025 15:12:05</t>
  </si>
  <si>
    <t>3104200871</t>
  </si>
  <si>
    <t>CR 52 D CL 75 AA SUR -221 (INTERIOR 5 )</t>
  </si>
  <si>
    <t>777522405112210005</t>
  </si>
  <si>
    <t>23589519</t>
  </si>
  <si>
    <t>13/11/2025 15:16:50</t>
  </si>
  <si>
    <t>CR 52 D CL 75 AA SUR -221 (INTERIOR 6 )</t>
  </si>
  <si>
    <t>777522405112210006</t>
  </si>
  <si>
    <t>23590002</t>
  </si>
  <si>
    <t>14/11/2025 07:24:47</t>
  </si>
  <si>
    <t>2025-11-14 07:24:47</t>
  </si>
  <si>
    <t>EMPRESA DE SERVICIS PUBLICOS DE SABANETA</t>
  </si>
  <si>
    <t>3215202060</t>
  </si>
  <si>
    <t>CL 75 B SUR CR 40 -20 (INTERIOR 6100 )</t>
  </si>
  <si>
    <t>017415200000206100</t>
  </si>
  <si>
    <t>2025-11-26 07:24:47</t>
  </si>
  <si>
    <t>23590338</t>
  </si>
  <si>
    <t>14/11/2025 11:02:50</t>
  </si>
  <si>
    <t>2025-11-14 11:02:50</t>
  </si>
  <si>
    <t>OVIDIO DE JESUS ESTRADA QUIROZ</t>
  </si>
  <si>
    <t>3011551570</t>
  </si>
  <si>
    <t>CL 53 CR 110 -582</t>
  </si>
  <si>
    <t>085113000005820000</t>
  </si>
  <si>
    <t>2025-11-28 11:02:50</t>
  </si>
  <si>
    <t>23590424</t>
  </si>
  <si>
    <t>14/11/2025 11:30:45</t>
  </si>
  <si>
    <t>2025-11-14 11:30:45</t>
  </si>
  <si>
    <t>DOLLY DEL SOCORRO RESTREPO ARROYABE</t>
  </si>
  <si>
    <t>3228276623</t>
  </si>
  <si>
    <t>RURAL_114014507600000202_VEREDA BELEN MANZANILLO</t>
  </si>
  <si>
    <t>114014507600000202</t>
  </si>
  <si>
    <t>2025-12-01 11:30:45</t>
  </si>
  <si>
    <t>23590499</t>
  </si>
  <si>
    <t>14/11/2025 12:33:23</t>
  </si>
  <si>
    <t>2025-11-14 12:33:23</t>
  </si>
  <si>
    <t>JAIME ANDRES GONZALEZ MARIN</t>
  </si>
  <si>
    <t>4767954</t>
  </si>
  <si>
    <t>3156637206</t>
  </si>
  <si>
    <t>CL 23 CR 84 BC -75 (INTERIOR 103 )</t>
  </si>
  <si>
    <t>052813004230750103</t>
  </si>
  <si>
    <t>2025-11-28 12:33:23</t>
  </si>
  <si>
    <t>23590588</t>
  </si>
  <si>
    <t>14/11/2025 13:31:20</t>
  </si>
  <si>
    <t>2025-11-14 13:31:20</t>
  </si>
  <si>
    <t>ANTIOQUEÑA DE REFRIFERACION LF SAS</t>
  </si>
  <si>
    <t>4082870</t>
  </si>
  <si>
    <t>3136718162</t>
  </si>
  <si>
    <t>CR 54 CL 39 -29</t>
  </si>
  <si>
    <t>053524009000290000</t>
  </si>
  <si>
    <t>2025-11-26 13:31:20</t>
  </si>
  <si>
    <t>23590623</t>
  </si>
  <si>
    <t>14/11/2025 13:47:18</t>
  </si>
  <si>
    <t>2025-11-14 13:47:18</t>
  </si>
  <si>
    <t>CR 101 CL 31 E -35</t>
  </si>
  <si>
    <t>083021001500350000</t>
  </si>
  <si>
    <t>2025-11-26 13:47:18</t>
  </si>
  <si>
    <t>23590692</t>
  </si>
  <si>
    <t>14/11/2025 14:13:58</t>
  </si>
  <si>
    <t>2025-11-14 14:13:58</t>
  </si>
  <si>
    <t>CARLOS MARIO AGUDELO MARIN</t>
  </si>
  <si>
    <t>4815210</t>
  </si>
  <si>
    <t>3044299850</t>
  </si>
  <si>
    <t>RURAL_146001904000000004</t>
  </si>
  <si>
    <t>146001904000000004</t>
  </si>
  <si>
    <t>2025-12-01 14:13:58</t>
  </si>
  <si>
    <t>23590850</t>
  </si>
  <si>
    <t>14/11/2025 15:41:47</t>
  </si>
  <si>
    <t>2025-11-14 15:41:47</t>
  </si>
  <si>
    <t>CARLOS EDUARDO CALLE RIOS</t>
  </si>
  <si>
    <t>RURAL_122015996200000012_VDA LA TOMATERA CAFE DE G</t>
  </si>
  <si>
    <t>122015996200000012</t>
  </si>
  <si>
    <t>2025-12-01 15:41:47</t>
  </si>
  <si>
    <t>23590854</t>
  </si>
  <si>
    <t>14/11/2025 15:44:16</t>
  </si>
  <si>
    <t>2025-11-14 15:44:16</t>
  </si>
  <si>
    <t>RURAL_122015996200000013_VDA LA TOMATERA TALLER EL</t>
  </si>
  <si>
    <t>122015996200000013</t>
  </si>
  <si>
    <t>2025-12-01 15:44:16</t>
  </si>
  <si>
    <t>23590856</t>
  </si>
  <si>
    <t>14/11/2025 15:46:02</t>
  </si>
  <si>
    <t>2025-11-14 15:46:02</t>
  </si>
  <si>
    <t>DIEGO ALEJANDRO CUERVO GOMEZ</t>
  </si>
  <si>
    <t>3206923668</t>
  </si>
  <si>
    <t>CR 96 A CL 62 D -5</t>
  </si>
  <si>
    <t>056926102400050000</t>
  </si>
  <si>
    <t>2025-11-28 15:46:02</t>
  </si>
  <si>
    <t>23590981</t>
  </si>
  <si>
    <t>14/11/2025 16:57:51</t>
  </si>
  <si>
    <t>HECTOR MARIO VASQUEZ MARIN</t>
  </si>
  <si>
    <t>3136592738</t>
  </si>
  <si>
    <t>CL 56 CR 52 -51</t>
  </si>
  <si>
    <t>055516002000510000</t>
  </si>
  <si>
    <t>23591433</t>
  </si>
  <si>
    <t>18/11/2025 07:57:26</t>
  </si>
  <si>
    <t>2025-11-18 07:57:26</t>
  </si>
  <si>
    <t>INVERBRAC S.A.S.</t>
  </si>
  <si>
    <t>2605555</t>
  </si>
  <si>
    <t>3168317038</t>
  </si>
  <si>
    <t>CR 7 CL 22 A SUR -72 (INTERIOR 1 PORTERIA )</t>
  </si>
  <si>
    <t>022027002100722001</t>
  </si>
  <si>
    <t>2025-11-27 07:57:26</t>
  </si>
  <si>
    <t>23591476</t>
  </si>
  <si>
    <t>18/11/2025 08:03:05</t>
  </si>
  <si>
    <t>2025-11-18 08:03:05</t>
  </si>
  <si>
    <t>CR 7 CL 22 A SUR -72 (INTERIOR 2 URBANISMO )</t>
  </si>
  <si>
    <t>022027002100722002</t>
  </si>
  <si>
    <t>2025-11-27 08:03:05</t>
  </si>
  <si>
    <t>23591698</t>
  </si>
  <si>
    <t>18/11/2025 08:19:13</t>
  </si>
  <si>
    <t>2025-11-18 08:19:13</t>
  </si>
  <si>
    <t>SAMIR MOJAMAD MOKDAD GALEANO</t>
  </si>
  <si>
    <t>3111277</t>
  </si>
  <si>
    <t>3104303930</t>
  </si>
  <si>
    <t>CL 9 C CR 15 -225 (INTERIOR 118 )</t>
  </si>
  <si>
    <t>050119305002250118</t>
  </si>
  <si>
    <t>2025-12-01 08:19:13</t>
  </si>
  <si>
    <t>23591846</t>
  </si>
  <si>
    <t>18/11/2025 08:25:26</t>
  </si>
  <si>
    <t>2025-11-18 08:25:26</t>
  </si>
  <si>
    <t>CL 9 C CR 15 -225 (INTERIOR 120 )</t>
  </si>
  <si>
    <t>050119305002250120</t>
  </si>
  <si>
    <t>2025-12-01 08:25:26</t>
  </si>
  <si>
    <t>23591931</t>
  </si>
  <si>
    <t>18/11/2025 08:34:45</t>
  </si>
  <si>
    <t>2025-11-18 08:34:45</t>
  </si>
  <si>
    <t>CR 7 CL 22 A SUR -72 (INTERIOR 3 PTAR )</t>
  </si>
  <si>
    <t>022027002100722003</t>
  </si>
  <si>
    <t>2025-11-27 08:34:45</t>
  </si>
  <si>
    <t>23591991</t>
  </si>
  <si>
    <t>18/11/2025 09:06:34</t>
  </si>
  <si>
    <t>2025-11-18 09:06:34</t>
  </si>
  <si>
    <t>HECTOR ELI ARROYAVE SANCHEZ</t>
  </si>
  <si>
    <t>3206685868</t>
  </si>
  <si>
    <t>CL 4 CR 58 -25 (INTERIOR 101 )</t>
  </si>
  <si>
    <t>050514008000250101</t>
  </si>
  <si>
    <t>2025-11-27 09:06:34</t>
  </si>
  <si>
    <t>23592055</t>
  </si>
  <si>
    <t>18/11/2025 09:14:28</t>
  </si>
  <si>
    <t>2025-11-18 09:14:28</t>
  </si>
  <si>
    <t>JUAN SEBASTIAN GARCIA</t>
  </si>
  <si>
    <t>2685408</t>
  </si>
  <si>
    <t>3187241134</t>
  </si>
  <si>
    <t>RURAL_122032430000000000_122032430000000000</t>
  </si>
  <si>
    <t>122032430000000000</t>
  </si>
  <si>
    <t>2025-12-09 09:14:28</t>
  </si>
  <si>
    <t>23592221</t>
  </si>
  <si>
    <t>18/11/2025 09:35:14</t>
  </si>
  <si>
    <t>2025-11-18 09:35:14</t>
  </si>
  <si>
    <t>JUAN DAVID VELEZ SIERRA</t>
  </si>
  <si>
    <t>4270158</t>
  </si>
  <si>
    <t>3113021778</t>
  </si>
  <si>
    <t>CL 61 CR 128 A -99 (INTERIOR 401 )</t>
  </si>
  <si>
    <t>086211008100990401</t>
  </si>
  <si>
    <t>2025-11-27 09:35:14</t>
  </si>
  <si>
    <t>23592225</t>
  </si>
  <si>
    <t>18/11/2025 09:36:03</t>
  </si>
  <si>
    <t>2025-11-18 09:36:03</t>
  </si>
  <si>
    <t>CL 48 CR 32 -49 (INTERIOR 801 )</t>
  </si>
  <si>
    <t>054318002000490801</t>
  </si>
  <si>
    <t>2025-11-27 09:36:03</t>
  </si>
  <si>
    <t>23592263</t>
  </si>
  <si>
    <t>18/11/2025 09:55:28</t>
  </si>
  <si>
    <t>2025-11-18 09:55:28</t>
  </si>
  <si>
    <t>GINA CRISTINA BARRIENTOS ARBOLEDA</t>
  </si>
  <si>
    <t>3146386097</t>
  </si>
  <si>
    <t>RURAL_103019235516600202_103019235516600202</t>
  </si>
  <si>
    <t>103019235516600202</t>
  </si>
  <si>
    <t>2025-12-09 09:55:28</t>
  </si>
  <si>
    <t>0 días 10:14</t>
  </si>
  <si>
    <t>23592325</t>
  </si>
  <si>
    <t>18/11/2025 10:25:22</t>
  </si>
  <si>
    <t>2025-11-18 10:25:22</t>
  </si>
  <si>
    <t>EDGAR DE JESUS ARENAS BONILLA</t>
  </si>
  <si>
    <t>3372987</t>
  </si>
  <si>
    <t>3117302345</t>
  </si>
  <si>
    <t>CR 62 CL 48 SUR -22</t>
  </si>
  <si>
    <t>044622008000220000</t>
  </si>
  <si>
    <t>2025-11-27 10:25:22</t>
  </si>
  <si>
    <t>23592344</t>
  </si>
  <si>
    <t>18/11/2025 10:34:28</t>
  </si>
  <si>
    <t>2025-11-18 10:34:28</t>
  </si>
  <si>
    <t>YALSY DE JESUS GIL BRAND</t>
  </si>
  <si>
    <t>3286079</t>
  </si>
  <si>
    <t>3203283467</t>
  </si>
  <si>
    <t>CR 25 A CL 56 -57</t>
  </si>
  <si>
    <t>055225106000570000</t>
  </si>
  <si>
    <t>2025-11-27 10:34:28</t>
  </si>
  <si>
    <t>23592382</t>
  </si>
  <si>
    <t>18/11/2025 10:51:51</t>
  </si>
  <si>
    <t>2025-11-18 10:51:51</t>
  </si>
  <si>
    <t>LEON ANGEL CORREA CHAVARRIA</t>
  </si>
  <si>
    <t>3005873610</t>
  </si>
  <si>
    <t>RURAL_122004401200009900_122004401200009900</t>
  </si>
  <si>
    <t>122004401200009900</t>
  </si>
  <si>
    <t>2025-12-02 10:51:51</t>
  </si>
  <si>
    <t>23592383</t>
  </si>
  <si>
    <t>18/11/2025 10:52:43</t>
  </si>
  <si>
    <t>2025-11-18 10:52:43</t>
  </si>
  <si>
    <t>NORA ALEJANDRA RUIZ VALENCIA</t>
  </si>
  <si>
    <t>3004543682</t>
  </si>
  <si>
    <t>CL 29 SUR CR 25 -2 (INTERIOR 301 )</t>
  </si>
  <si>
    <t>022219005000020301</t>
  </si>
  <si>
    <t>2025-11-27 10:52:43</t>
  </si>
  <si>
    <t>23592429</t>
  </si>
  <si>
    <t>18/11/2025 11:09:59</t>
  </si>
  <si>
    <t>2025-11-18 11:09:59</t>
  </si>
  <si>
    <t>LUZ DORIS SALDARRIAGA MUÑOZ</t>
  </si>
  <si>
    <t>3012617176</t>
  </si>
  <si>
    <t>CR 136 CL 63 -81 (INTERIOR 127 )</t>
  </si>
  <si>
    <t>086326003000810127</t>
  </si>
  <si>
    <t>2025-12-01 11:09:59</t>
  </si>
  <si>
    <t>23592474</t>
  </si>
  <si>
    <t>18/11/2025 11:31:19</t>
  </si>
  <si>
    <t>2025-11-18 11:31:19</t>
  </si>
  <si>
    <t>ANDRES FELIPE ALVAREZ GAÑAN</t>
  </si>
  <si>
    <t>3113685705</t>
  </si>
  <si>
    <t>CL 55 A CR 125 A -73 (INTERIOR 117 )</t>
  </si>
  <si>
    <t>085215105100730117</t>
  </si>
  <si>
    <t>2025-12-01 11:31:19</t>
  </si>
  <si>
    <t>23592538</t>
  </si>
  <si>
    <t>18/11/2025 12:13:42</t>
  </si>
  <si>
    <t>2025-11-18 12:13:42</t>
  </si>
  <si>
    <t>JUAN CAMILO BAENA GIRALDO</t>
  </si>
  <si>
    <t>2841155</t>
  </si>
  <si>
    <t>3008078930</t>
  </si>
  <si>
    <t>CL 57 DD CR 23 -115</t>
  </si>
  <si>
    <t>055217443001150000</t>
  </si>
  <si>
    <t>2025-12-01 12:13:42</t>
  </si>
  <si>
    <t>0 días 12:13</t>
  </si>
  <si>
    <t>23592569</t>
  </si>
  <si>
    <t>18/11/2025 12:46:47</t>
  </si>
  <si>
    <t>2025-11-18 12:46:47</t>
  </si>
  <si>
    <t>JORGE HERNAN PEREZ URIBE</t>
  </si>
  <si>
    <t>5438517</t>
  </si>
  <si>
    <t>3002681543</t>
  </si>
  <si>
    <t>CR 52 D CL 75 AA SUR -197</t>
  </si>
  <si>
    <t>777522405111970000</t>
  </si>
  <si>
    <t>2025-12-01 12:46:47</t>
  </si>
  <si>
    <t>23592575</t>
  </si>
  <si>
    <t>18/11/2025 12:55:08</t>
  </si>
  <si>
    <t>2025-11-18 12:55:08</t>
  </si>
  <si>
    <t>MAURICIO ALBERTO BONILLA OSORIO</t>
  </si>
  <si>
    <t>3113450499</t>
  </si>
  <si>
    <t>CL 31 CR 61 -120 (INTERIOR 106 )</t>
  </si>
  <si>
    <t>073611001001200106</t>
  </si>
  <si>
    <t>2025-11-27 12:55:08</t>
  </si>
  <si>
    <t>23592604</t>
  </si>
  <si>
    <t>18/11/2025 13:20:43</t>
  </si>
  <si>
    <t>2025-11-18 13:20:43</t>
  </si>
  <si>
    <t>ALVARO CORREA MOSQUERA</t>
  </si>
  <si>
    <t>3735256</t>
  </si>
  <si>
    <t>3226877423</t>
  </si>
  <si>
    <t>CR 55 D CL 44 -15 (INTERIOR 302 )</t>
  </si>
  <si>
    <t>074525404000150302</t>
  </si>
  <si>
    <t>2025-11-27 13:20:43</t>
  </si>
  <si>
    <t>23592625</t>
  </si>
  <si>
    <t>18/11/2025 13:50:54</t>
  </si>
  <si>
    <t>2025-11-18 13:50:54</t>
  </si>
  <si>
    <t>PROMATEL SAS</t>
  </si>
  <si>
    <t>4309000</t>
  </si>
  <si>
    <t>3156684905</t>
  </si>
  <si>
    <t>CR 50 CL 79 C SUR -250</t>
  </si>
  <si>
    <t>037520009302500000</t>
  </si>
  <si>
    <t>2025-12-01 13:50:54</t>
  </si>
  <si>
    <t>23592662</t>
  </si>
  <si>
    <t>18/11/2025 14:18:06</t>
  </si>
  <si>
    <t>2025-11-18 14:18:06</t>
  </si>
  <si>
    <t>LUIS ENRIQUE DE JESUS PULGARIN MARTINEZ</t>
  </si>
  <si>
    <t>3215879600</t>
  </si>
  <si>
    <t>CL 49 AA CR 99 E -72 (INTERIOR 9933 )</t>
  </si>
  <si>
    <t>054919119500729933</t>
  </si>
  <si>
    <t>2025-12-01 14:18:06</t>
  </si>
  <si>
    <t>23592879</t>
  </si>
  <si>
    <t>18/11/2025 15:57:21</t>
  </si>
  <si>
    <t>2025-11-18 15:57:21</t>
  </si>
  <si>
    <t>GLONDY FORERO LAVERDE</t>
  </si>
  <si>
    <t>3212266181</t>
  </si>
  <si>
    <t>CL 6 SUR CR 80 AC -36 (INTERIOR 301 )</t>
  </si>
  <si>
    <t>040816000130360301</t>
  </si>
  <si>
    <t>2025-11-27 15:57:21</t>
  </si>
  <si>
    <t>23592996</t>
  </si>
  <si>
    <t>18/11/2025 17:37:29</t>
  </si>
  <si>
    <t>2025-11-18 17:37:29</t>
  </si>
  <si>
    <t>ALEXANDER VALENCIA</t>
  </si>
  <si>
    <t>3168976</t>
  </si>
  <si>
    <t>3003296658</t>
  </si>
  <si>
    <t>CR 26 DD CL 37 -76 (INTERIOR 401 )</t>
  </si>
  <si>
    <t>053226447000760401</t>
  </si>
  <si>
    <t>2025-11-27 17:37:29</t>
  </si>
  <si>
    <t>23593018</t>
  </si>
  <si>
    <t>18/11/2025 20:33:28</t>
  </si>
  <si>
    <t>2025-11-18 20:33:29</t>
  </si>
  <si>
    <t>SOLUSING S.A.S</t>
  </si>
  <si>
    <t>4877474</t>
  </si>
  <si>
    <t>3146031707</t>
  </si>
  <si>
    <t>RURAL_103043302750000005_103043302750000005</t>
  </si>
  <si>
    <t>103043302750000005</t>
  </si>
  <si>
    <t>2025-12-09 20:33:29</t>
  </si>
  <si>
    <t>23593209</t>
  </si>
  <si>
    <t>19/11/2025 07:08:57</t>
  </si>
  <si>
    <t>2025-11-19 07:08:57</t>
  </si>
  <si>
    <t>DENIS CASTRILLON DURANGO</t>
  </si>
  <si>
    <t>3195678890</t>
  </si>
  <si>
    <t>RURAL_163014428000040000_RURAL ITAGUI EL PEDREGAL</t>
  </si>
  <si>
    <t>163014428000040000</t>
  </si>
  <si>
    <t>2025-12-03 07:08:57</t>
  </si>
  <si>
    <t>23380759</t>
  </si>
  <si>
    <t>07/03/2025 16:14:40</t>
  </si>
  <si>
    <t>2025-11-19 14:31:34</t>
  </si>
  <si>
    <t>YAMILE ANDREA MUÑOZ BURITICA</t>
  </si>
  <si>
    <t>3192415186</t>
  </si>
  <si>
    <t>CR 14 CC CL 48 A -10 (INTERIOR 201 )</t>
  </si>
  <si>
    <t>054124338100100201</t>
  </si>
  <si>
    <t>2025-11-28 14:31:34</t>
  </si>
  <si>
    <t>23483592</t>
  </si>
  <si>
    <t>09/07/2025 10:56:54</t>
  </si>
  <si>
    <t>2025-11-19 09:22:00</t>
  </si>
  <si>
    <t>JUAN DAVID CUARTAS FRANCO</t>
  </si>
  <si>
    <t>3667245</t>
  </si>
  <si>
    <t>3052529654</t>
  </si>
  <si>
    <t>RURAL_125002630000000106_PARC BALMORAL (CASA 106)</t>
  </si>
  <si>
    <t>125002630000000106</t>
  </si>
  <si>
    <t>2025-12-03 09:22:00</t>
  </si>
  <si>
    <t>23485436</t>
  </si>
  <si>
    <t>11/07/2025 08:10:25</t>
  </si>
  <si>
    <t>2025-11-19 12:08:16</t>
  </si>
  <si>
    <t>OLGA LUCIA MAZO CHAVARRIA</t>
  </si>
  <si>
    <t>5913330</t>
  </si>
  <si>
    <t>3148096726</t>
  </si>
  <si>
    <t>CR 91 B CL 35 A -22 (INTERIOR 301 )</t>
  </si>
  <si>
    <t>053921205100220301</t>
  </si>
  <si>
    <t>2025-11-28 12:08:16</t>
  </si>
  <si>
    <t>23485506</t>
  </si>
  <si>
    <t>11/07/2025 08:56:24</t>
  </si>
  <si>
    <t>2025-11-19 09:33:23</t>
  </si>
  <si>
    <t>ERMEN WILLIAM MOSQUERA MOSQUERA</t>
  </si>
  <si>
    <t>3053156565</t>
  </si>
  <si>
    <t>CR 120 CL 39 FC -29 (INTERIOR 110 )</t>
  </si>
  <si>
    <t>083220009630290110</t>
  </si>
  <si>
    <t>2025-11-26 09:33:23</t>
  </si>
  <si>
    <t>23489239</t>
  </si>
  <si>
    <t>30/10/2025 14:54:55</t>
  </si>
  <si>
    <t>2025-11-19 10:38:22</t>
  </si>
  <si>
    <t>ANA MARYELY ALVAREZ URREGO</t>
  </si>
  <si>
    <t>3245872114</t>
  </si>
  <si>
    <t>RURAL_146014901100000101</t>
  </si>
  <si>
    <t>146014901100000101</t>
  </si>
  <si>
    <t>2025-12-01 10:38:22</t>
  </si>
  <si>
    <t>23514299</t>
  </si>
  <si>
    <t>15/08/2025 09:43:34</t>
  </si>
  <si>
    <t>2025-11-19 14:23:48</t>
  </si>
  <si>
    <t>RODRIGO LEON MEJIA MEJIA</t>
  </si>
  <si>
    <t>3052621109</t>
  </si>
  <si>
    <t>CR 63 CL 27 -17 (INTERIOR 301 )</t>
  </si>
  <si>
    <t>072623007000170301</t>
  </si>
  <si>
    <t>2025-11-28 14:23:48</t>
  </si>
  <si>
    <t>23514709</t>
  </si>
  <si>
    <t>15/08/2025 15:33:41</t>
  </si>
  <si>
    <t>2025-11-19 13:29:08</t>
  </si>
  <si>
    <t>LILIANA DIAZ MOLINA</t>
  </si>
  <si>
    <t>3108239796</t>
  </si>
  <si>
    <t>RURAL_161131739000000001</t>
  </si>
  <si>
    <t>161131739000000001</t>
  </si>
  <si>
    <t>2025-12-03 13:29:08</t>
  </si>
  <si>
    <t>23514735</t>
  </si>
  <si>
    <t>15/08/2025 15:48:04</t>
  </si>
  <si>
    <t>2025-11-19 13:29:34</t>
  </si>
  <si>
    <t>HAMILTON CALLE RESTREPO</t>
  </si>
  <si>
    <t>3136180625</t>
  </si>
  <si>
    <t>RURAL_161131739000000004</t>
  </si>
  <si>
    <t>161131739000000004</t>
  </si>
  <si>
    <t>2025-12-03 13:29:34</t>
  </si>
  <si>
    <t>23520528</t>
  </si>
  <si>
    <t>22/08/2025 17:37:51</t>
  </si>
  <si>
    <t>2025-11-19 12:06:17</t>
  </si>
  <si>
    <t>3148298310</t>
  </si>
  <si>
    <t>CR 91 B CL 35 A -22 (INTERIOR 201 )</t>
  </si>
  <si>
    <t>053921205100220201</t>
  </si>
  <si>
    <t>2025-11-28 12:06:17</t>
  </si>
  <si>
    <t>23527934</t>
  </si>
  <si>
    <t>01/09/2025 14:05:26</t>
  </si>
  <si>
    <t>2025-11-19 14:23:24</t>
  </si>
  <si>
    <t>DEICY DAMARIS CARMONA ZULUAGA</t>
  </si>
  <si>
    <t>3234235935</t>
  </si>
  <si>
    <t>CR 112 CL 48 B -93 (INTERIOR 101 )</t>
  </si>
  <si>
    <t>084122008200930101</t>
  </si>
  <si>
    <t>2025-11-28 14:23:24</t>
  </si>
  <si>
    <t>23534535</t>
  </si>
  <si>
    <t>09/09/2025 08:45:09</t>
  </si>
  <si>
    <t>2025-11-18 16:58:03</t>
  </si>
  <si>
    <t>JOSE BERTOLDO CARDONA BASTIDAS</t>
  </si>
  <si>
    <t>4463426</t>
  </si>
  <si>
    <t>3041267153</t>
  </si>
  <si>
    <t>RURAL_146015339000000002_RURAL_PALMITAS</t>
  </si>
  <si>
    <t>146015339000000002</t>
  </si>
  <si>
    <t>2025-11-28 16:58:03</t>
  </si>
  <si>
    <t>23537551</t>
  </si>
  <si>
    <t>12/09/2025 07:17:44</t>
  </si>
  <si>
    <t>2025-11-19 08:21:09</t>
  </si>
  <si>
    <t>YONILIS JORDAN RIVAS</t>
  </si>
  <si>
    <t>3207290167</t>
  </si>
  <si>
    <t>CL 53 CR 2 C -39 (INTERIOR 211 )</t>
  </si>
  <si>
    <t>055013002300390211</t>
  </si>
  <si>
    <t>2025-11-26 08:21:09</t>
  </si>
  <si>
    <t>23551142</t>
  </si>
  <si>
    <t>29/09/2025 09:12:43</t>
  </si>
  <si>
    <t>2025-11-19 08:16:19</t>
  </si>
  <si>
    <t>ANDRES BOTERO GARCIA</t>
  </si>
  <si>
    <t>3105072582</t>
  </si>
  <si>
    <t>CL 60 CR 74 A -178</t>
  </si>
  <si>
    <t>056710004101780000</t>
  </si>
  <si>
    <t>2025-11-28 08:16:19</t>
  </si>
  <si>
    <t>23554465</t>
  </si>
  <si>
    <t>02/10/2025 10:54:27</t>
  </si>
  <si>
    <t>2025-11-19 09:29:00</t>
  </si>
  <si>
    <t>GLORIA ESTELA RAMIREZ QUICENO</t>
  </si>
  <si>
    <t>3779505</t>
  </si>
  <si>
    <t>3013181137</t>
  </si>
  <si>
    <t>CL 47 C CR 59 -20 (INTERIOR 199 )</t>
  </si>
  <si>
    <t>074517309000200199</t>
  </si>
  <si>
    <t>2025-11-26 09:29:00</t>
  </si>
  <si>
    <t>23555685</t>
  </si>
  <si>
    <t>03/10/2025 11:45:53</t>
  </si>
  <si>
    <t>2025-10-03 11:45:53</t>
  </si>
  <si>
    <t>CARMEN JULIA TORRES GIL</t>
  </si>
  <si>
    <t>3104111702</t>
  </si>
  <si>
    <t>CL 57 CR 7 -0 (INTERIOR 118 )</t>
  </si>
  <si>
    <t>055017007000000118</t>
  </si>
  <si>
    <t>2025-10-10 11:45:53</t>
  </si>
  <si>
    <t>23557213</t>
  </si>
  <si>
    <t>06/10/2025 12:40:50</t>
  </si>
  <si>
    <t>2025-11-19 11:42:32</t>
  </si>
  <si>
    <t>CONSORCIO REDES SYEMA</t>
  </si>
  <si>
    <t>3128508488</t>
  </si>
  <si>
    <t>CR 50 CL 98 SUR -183 (INTERIOR 5 )</t>
  </si>
  <si>
    <t>039520008001830005</t>
  </si>
  <si>
    <t>2025-11-28 11:42:32</t>
  </si>
  <si>
    <t>23563485</t>
  </si>
  <si>
    <t>15/10/2025 08:27:03</t>
  </si>
  <si>
    <t>2025-11-19 10:36:23</t>
  </si>
  <si>
    <t>LEIDY JOHANA GIL GONZALEZ</t>
  </si>
  <si>
    <t>3197087948</t>
  </si>
  <si>
    <t>RURAL_167118650000000000_VDA MARIA AUXILIADORA</t>
  </si>
  <si>
    <t>167118650000000000</t>
  </si>
  <si>
    <t>2025-11-28 10:36:23</t>
  </si>
  <si>
    <t>23564540</t>
  </si>
  <si>
    <t>29/10/2025 15:48:05</t>
  </si>
  <si>
    <t>2025-11-19 10:34:47</t>
  </si>
  <si>
    <t>LUZ MARINA CORREA MAZO</t>
  </si>
  <si>
    <t>3157351898</t>
  </si>
  <si>
    <t>CR 129 CL 67 -260 (INTERIOR 130 )</t>
  </si>
  <si>
    <t>086229007002600130</t>
  </si>
  <si>
    <t>2025-11-26 10:34:47</t>
  </si>
  <si>
    <t>23565027</t>
  </si>
  <si>
    <t>16/10/2025 09:06:34</t>
  </si>
  <si>
    <t>2025-11-19 11:37:07</t>
  </si>
  <si>
    <t>ILSE MARIA GUEVARA ALVAREZ</t>
  </si>
  <si>
    <t>3127714959</t>
  </si>
  <si>
    <t>CR 24 CL 56 E -12 (INTERIOR 9118 )</t>
  </si>
  <si>
    <t>055224006500129118</t>
  </si>
  <si>
    <t>2025-11-26 11:37:07</t>
  </si>
  <si>
    <t>23575271</t>
  </si>
  <si>
    <t>04/11/2025 10:40:40</t>
  </si>
  <si>
    <t>2025-11-19 10:40:49</t>
  </si>
  <si>
    <t>DELCY ISABEL FERNANDEZ CHICA</t>
  </si>
  <si>
    <t>3225444973</t>
  </si>
  <si>
    <t>RURAL_136028500000000101_136028500000000101</t>
  </si>
  <si>
    <t>136028500000000101</t>
  </si>
  <si>
    <t>2025-12-04 10:40:49</t>
  </si>
  <si>
    <t>23577806</t>
  </si>
  <si>
    <t>30/10/2025 08:53:12</t>
  </si>
  <si>
    <t>2025-11-19 11:42:08</t>
  </si>
  <si>
    <t>LUZ SOLARTE</t>
  </si>
  <si>
    <t>3054074506</t>
  </si>
  <si>
    <t>CR 60 D CL 42 SUR -31 (INTERIOR 201 )</t>
  </si>
  <si>
    <t>044620402000310201</t>
  </si>
  <si>
    <t>2025-11-28 11:42:08</t>
  </si>
  <si>
    <t>23579916</t>
  </si>
  <si>
    <t>18/11/2025 15:48:57</t>
  </si>
  <si>
    <t>2025-11-18 15:48:57</t>
  </si>
  <si>
    <t>LUIS FELIPE CARMONA ALVAREZ</t>
  </si>
  <si>
    <t>3154776393</t>
  </si>
  <si>
    <t>RURAL_190130200727000000_AA 51781</t>
  </si>
  <si>
    <t>190130200727000000</t>
  </si>
  <si>
    <t>2025-11-24 15:48:57</t>
  </si>
  <si>
    <t>23582502</t>
  </si>
  <si>
    <t>18/11/2025 15:47:30</t>
  </si>
  <si>
    <t>2025-11-18 15:47:30</t>
  </si>
  <si>
    <t>CL 23 SUR CR 27 -19</t>
  </si>
  <si>
    <t>022213007000190000</t>
  </si>
  <si>
    <t>2025-11-24 15:47:30</t>
  </si>
  <si>
    <t>2025-11-19 11:30:41</t>
  </si>
  <si>
    <t>2025-11-28 11:30:41</t>
  </si>
  <si>
    <t>19/11/2025 06:22:40</t>
  </si>
  <si>
    <t>2025-11-19 06:22:40</t>
  </si>
  <si>
    <t>2025-11-26 06:22:40</t>
  </si>
  <si>
    <t>23592740</t>
  </si>
  <si>
    <t>18/11/2025 15:01:26</t>
  </si>
  <si>
    <t>2025-11-18 15:01:26</t>
  </si>
  <si>
    <t>FELIX ANTONI JOHAN DE BRUIJN</t>
  </si>
  <si>
    <t>RURAL_126009500000000028_126009500000000028</t>
  </si>
  <si>
    <t>126009500000000028</t>
  </si>
  <si>
    <t>2025-11-24 15:01:26</t>
  </si>
  <si>
    <t>23592765</t>
  </si>
  <si>
    <t>18/11/2025 15:10:15</t>
  </si>
  <si>
    <t>2025-11-18 15:10:15</t>
  </si>
  <si>
    <t>DAYHANA GARCIA RIOS</t>
  </si>
  <si>
    <t>CR 82 CL 9 SUR -450 (INTERIOR 1178 )</t>
  </si>
  <si>
    <t>040822009004501178</t>
  </si>
  <si>
    <t>2025-11-24 15:10:15</t>
  </si>
  <si>
    <t>23592790</t>
  </si>
  <si>
    <t>18/11/2025 15:18:28</t>
  </si>
  <si>
    <t>2025-11-18 15:18:28</t>
  </si>
  <si>
    <t>ALBANY DE JESUS POSSO ANGULO</t>
  </si>
  <si>
    <t>3128702902</t>
  </si>
  <si>
    <t>CL 49 B CR 99 B -192 (INTERIOR 154 )</t>
  </si>
  <si>
    <t>054919209201920154</t>
  </si>
  <si>
    <t>2025-11-25 15:18:28</t>
  </si>
  <si>
    <t>23592849</t>
  </si>
  <si>
    <t>18/11/2025 15:43:29</t>
  </si>
  <si>
    <t>2025-11-18 15:43:29</t>
  </si>
  <si>
    <t>STIVEN ALEXANDER CANO PULGARIN</t>
  </si>
  <si>
    <t>3126243286</t>
  </si>
  <si>
    <t>CR 120 ED CL 48 D -41 (INTERIOR 201 )</t>
  </si>
  <si>
    <t>084220548400410201</t>
  </si>
  <si>
    <t>2025-11-25 15:43:29</t>
  </si>
  <si>
    <t>23592854</t>
  </si>
  <si>
    <t>18/11/2025 15:47:11</t>
  </si>
  <si>
    <t>2025-11-18 15:47:11</t>
  </si>
  <si>
    <t>BLANCA MARGARITA CANO ACEVEDO</t>
  </si>
  <si>
    <t>3113534174</t>
  </si>
  <si>
    <t>RURAL_147058586000000104_47058586000000104</t>
  </si>
  <si>
    <t>147058586000000104</t>
  </si>
  <si>
    <t>2025-11-24 15:47:11</t>
  </si>
  <si>
    <t>23592870</t>
  </si>
  <si>
    <t>18/11/2025 15:53:03</t>
  </si>
  <si>
    <t>2025-11-18 15:53:03</t>
  </si>
  <si>
    <t>DEYSI YURANNI PEREZ CEBALLOS</t>
  </si>
  <si>
    <t>3137840537</t>
  </si>
  <si>
    <t>CR 9 CL 56 -93 (INTERIOR 223 )</t>
  </si>
  <si>
    <t>055029006000930223</t>
  </si>
  <si>
    <t>2025-11-25 15:53:03</t>
  </si>
  <si>
    <t>23592900</t>
  </si>
  <si>
    <t>18/11/2025 16:12:00</t>
  </si>
  <si>
    <t>2025-11-18 16:12:00</t>
  </si>
  <si>
    <t>LIDY FERNANDA SANDOVAL DUQUE</t>
  </si>
  <si>
    <t>3107325994</t>
  </si>
  <si>
    <t>RURAL_122005130000000101_122005130000000101 MEDELL</t>
  </si>
  <si>
    <t>122005130000000101</t>
  </si>
  <si>
    <t>2025-11-28 16:12:00</t>
  </si>
  <si>
    <t>23592914</t>
  </si>
  <si>
    <t>18/11/2025 16:22:19</t>
  </si>
  <si>
    <t>2025-11-18 16:22:19</t>
  </si>
  <si>
    <t>CARLOS ESTEBAN URIBE LONDONO</t>
  </si>
  <si>
    <t>5779432</t>
  </si>
  <si>
    <t>3157144855</t>
  </si>
  <si>
    <t>RURAL_126010500000000052_MEDELLIN LAS PALMAS</t>
  </si>
  <si>
    <t>126010500000000052</t>
  </si>
  <si>
    <t>2025-11-24 16:22:19</t>
  </si>
  <si>
    <t>3 días 16:22</t>
  </si>
  <si>
    <t>23592938</t>
  </si>
  <si>
    <t>18/11/2025 16:44:33</t>
  </si>
  <si>
    <t>2025-11-18 16:44:33</t>
  </si>
  <si>
    <t>BEATRIZ EUGENIA CASTAÑO GALLEGO</t>
  </si>
  <si>
    <t>3113275871</t>
  </si>
  <si>
    <t>CL 59 A CR 80 A -204</t>
  </si>
  <si>
    <t>055819100102040000</t>
  </si>
  <si>
    <t>2025-12-03 16:44:33</t>
  </si>
  <si>
    <t>23592984</t>
  </si>
  <si>
    <t>18/11/2025 17:20:27</t>
  </si>
  <si>
    <t>2025-11-18 17:20:27</t>
  </si>
  <si>
    <t>MARYU LILIANA BAILARIN</t>
  </si>
  <si>
    <t>3012527688</t>
  </si>
  <si>
    <t>CR 106 A CL 36 -33 (INTERIOR 1001 )</t>
  </si>
  <si>
    <t>083026106000331001</t>
  </si>
  <si>
    <t>2025-11-25 17:20:27</t>
  </si>
  <si>
    <t>23592986</t>
  </si>
  <si>
    <t>18/11/2025 17:21:48</t>
  </si>
  <si>
    <t>2025-11-18 17:21:48</t>
  </si>
  <si>
    <t>ROBINSON DAMIAN TAMAYO GIRALDO</t>
  </si>
  <si>
    <t>3008841733</t>
  </si>
  <si>
    <t>RURAL_1630063600000001012_RURAL ITAGUI EL AJIZAL</t>
  </si>
  <si>
    <t>163006360000000101</t>
  </si>
  <si>
    <t>2025-11-28 17:21:48</t>
  </si>
  <si>
    <t>23592992</t>
  </si>
  <si>
    <t>18/11/2025 17:34:59</t>
  </si>
  <si>
    <t>2025-11-18 17:34:59</t>
  </si>
  <si>
    <t>MIGUEL RODRIGO PADILLA ARANA</t>
  </si>
  <si>
    <t>3136329425</t>
  </si>
  <si>
    <t>CR 55 B CL 72 A -211</t>
  </si>
  <si>
    <t>077525202102110000</t>
  </si>
  <si>
    <t>2025-11-24 17:34:59</t>
  </si>
  <si>
    <t>23593014</t>
  </si>
  <si>
    <t>18/11/2025 19:38:14</t>
  </si>
  <si>
    <t>2025-11-18 19:38:14</t>
  </si>
  <si>
    <t>RURAL_1630063600000002001_RURAL ITAGUI EL AJIZAL</t>
  </si>
  <si>
    <t>163006360000000200</t>
  </si>
  <si>
    <t>2025-11-28 19:38:14</t>
  </si>
  <si>
    <t>23593214</t>
  </si>
  <si>
    <t>19/11/2025 07:15:22</t>
  </si>
  <si>
    <t>2025-11-19 07:15:22</t>
  </si>
  <si>
    <t>ALEJANDRO ZAPATA CASTELLANOS</t>
  </si>
  <si>
    <t>3508999213</t>
  </si>
  <si>
    <t>CR 44 CL 28 -51</t>
  </si>
  <si>
    <t>052424008000510000</t>
  </si>
  <si>
    <t>2025-11-25 07:15:22</t>
  </si>
  <si>
    <t>23593250</t>
  </si>
  <si>
    <t>19/11/2025 07:45:12</t>
  </si>
  <si>
    <t>2025-11-19 07:45:12</t>
  </si>
  <si>
    <t>CESAR AUGUSTO ECHEVERRI ORTIZ</t>
  </si>
  <si>
    <t>5504764</t>
  </si>
  <si>
    <t>3015871892</t>
  </si>
  <si>
    <t>CR 16 A CL 50 -26 (INTERIOR 201 )</t>
  </si>
  <si>
    <t>055126100000260201</t>
  </si>
  <si>
    <t>2025-11-26 07:45:12</t>
  </si>
  <si>
    <t>23593261</t>
  </si>
  <si>
    <t>19/11/2025 07:55:18</t>
  </si>
  <si>
    <t>2025-11-19 07:55:18</t>
  </si>
  <si>
    <t>ESTEFANIA MORENO HENAO</t>
  </si>
  <si>
    <t>3222843042</t>
  </si>
  <si>
    <t>CL 49 CR 14 A -73</t>
  </si>
  <si>
    <t>054119004100730000</t>
  </si>
  <si>
    <t>2025-11-25 07:55:18</t>
  </si>
  <si>
    <t>23593265</t>
  </si>
  <si>
    <t>19/11/2025 08:00:33</t>
  </si>
  <si>
    <t>2025-11-19 08:00:33</t>
  </si>
  <si>
    <t>3125067446</t>
  </si>
  <si>
    <t>CL 45 E CR 14 D -40 (INTERIOR 301 )</t>
  </si>
  <si>
    <t>054115504400400301</t>
  </si>
  <si>
    <t>2025-11-28 08:00:33</t>
  </si>
  <si>
    <t>23593278</t>
  </si>
  <si>
    <t>19/11/2025 08:12:54</t>
  </si>
  <si>
    <t>2025-11-19 08:12:54</t>
  </si>
  <si>
    <t>2025-11-25 08:12:54</t>
  </si>
  <si>
    <t>23593280</t>
  </si>
  <si>
    <t>19/11/2025 08:13:08</t>
  </si>
  <si>
    <t>2025-11-19 08:13:08</t>
  </si>
  <si>
    <t>2025-11-25 08:13:08</t>
  </si>
  <si>
    <t>23593292</t>
  </si>
  <si>
    <t>19/11/2025 08:33:50</t>
  </si>
  <si>
    <t>2025-11-19 08:33:50</t>
  </si>
  <si>
    <t>CARLOS ALBERTO RODRIGUEZ MELO</t>
  </si>
  <si>
    <t>3193886273</t>
  </si>
  <si>
    <t>CR 10 ESTE CL 54 AA -0 (INTERIOR 102 )</t>
  </si>
  <si>
    <t>705120004110000102</t>
  </si>
  <si>
    <t>2025-11-26 08:33:50</t>
  </si>
  <si>
    <t>23593294</t>
  </si>
  <si>
    <t>19/11/2025 08:35:17</t>
  </si>
  <si>
    <t>2025-11-19 08:35:17</t>
  </si>
  <si>
    <t>2025-11-25 08:35:17</t>
  </si>
  <si>
    <t>FRANK OCTAVIO BETANCUR VELASQUEZ</t>
  </si>
  <si>
    <t>3016507099</t>
  </si>
  <si>
    <t>23593297</t>
  </si>
  <si>
    <t>19/11/2025 08:37:06</t>
  </si>
  <si>
    <t>2025-11-19 08:37:06</t>
  </si>
  <si>
    <t>ALEJANDRO  DUQUE</t>
  </si>
  <si>
    <t>3184051508</t>
  </si>
  <si>
    <t>CL 51 B CR 1 ESTE -255 (INTERIOR 509 )</t>
  </si>
  <si>
    <t>705011201002550509</t>
  </si>
  <si>
    <t>2025-11-26 08:37:06</t>
  </si>
  <si>
    <t>23593305</t>
  </si>
  <si>
    <t>19/11/2025 08:44:01</t>
  </si>
  <si>
    <t>2025-11-19 08:44:01</t>
  </si>
  <si>
    <t>RURAL_114000574000000102_MANZANILLO</t>
  </si>
  <si>
    <t>114000574000000102</t>
  </si>
  <si>
    <t>2025-12-03 08:44:01</t>
  </si>
  <si>
    <t>23593334</t>
  </si>
  <si>
    <t>19/11/2025 08:58:21</t>
  </si>
  <si>
    <t>2025-11-19 08:58:21</t>
  </si>
  <si>
    <t>YULY MARCELA ORTIZ CANO</t>
  </si>
  <si>
    <t>3147661572</t>
  </si>
  <si>
    <t>RURAL_146029800000000000_PALMITAS URGUITA</t>
  </si>
  <si>
    <t>146029800000000000</t>
  </si>
  <si>
    <t>2025-12-01 08:58:21</t>
  </si>
  <si>
    <t>23593337</t>
  </si>
  <si>
    <t>19/11/2025 08:58:47</t>
  </si>
  <si>
    <t>2025-11-19 08:58:47</t>
  </si>
  <si>
    <t>MARIA ELICENIA RODRIGUEZ RAMIREZ</t>
  </si>
  <si>
    <t>3122677150</t>
  </si>
  <si>
    <t>CL 26 CR 67 -2 (INTERIOR 1 )</t>
  </si>
  <si>
    <t>072616007000020001</t>
  </si>
  <si>
    <t>2025-11-26 08:58:47</t>
  </si>
  <si>
    <t>23593349</t>
  </si>
  <si>
    <t>19/11/2025 09:04:07</t>
  </si>
  <si>
    <t>2025-11-19 09:04:07</t>
  </si>
  <si>
    <t>CL 26 CR 67 -2 (INTERIOR 300 )</t>
  </si>
  <si>
    <t>072616007000020300</t>
  </si>
  <si>
    <t>2025-11-26 09:04:07</t>
  </si>
  <si>
    <t>23593350</t>
  </si>
  <si>
    <t>19/11/2025 09:04:16</t>
  </si>
  <si>
    <t>2025-11-19 09:04:16</t>
  </si>
  <si>
    <t>CL 26 CR 67 -2 (INTERIOR 200 )</t>
  </si>
  <si>
    <t>072616007000020200</t>
  </si>
  <si>
    <t>2025-11-26 09:04:16</t>
  </si>
  <si>
    <t>23593357</t>
  </si>
  <si>
    <t>19/11/2025 09:08:31</t>
  </si>
  <si>
    <t>2025-11-19 09:08:31</t>
  </si>
  <si>
    <t>CL 26 CR 67 -2 (INTERIOR 400 )</t>
  </si>
  <si>
    <t>072616007000020400</t>
  </si>
  <si>
    <t>2025-11-26 09:08:31</t>
  </si>
  <si>
    <t>23593366</t>
  </si>
  <si>
    <t>19/11/2025 09:14:00</t>
  </si>
  <si>
    <t>2025-11-19 09:14:00</t>
  </si>
  <si>
    <t>CARLOS ARTURO DIEZ TORO</t>
  </si>
  <si>
    <t>3016833033</t>
  </si>
  <si>
    <t>CR 15 AA CL 35 -3 (INTERIOR 201 )</t>
  </si>
  <si>
    <t>053125115000030201</t>
  </si>
  <si>
    <t>2025-11-28 09:14:00</t>
  </si>
  <si>
    <t>23593369</t>
  </si>
  <si>
    <t>19/11/2025 09:14:51</t>
  </si>
  <si>
    <t>2025-11-19 09:14:51</t>
  </si>
  <si>
    <t>3116115932</t>
  </si>
  <si>
    <t>2025-11-28 09:14:51</t>
  </si>
  <si>
    <t>23593376</t>
  </si>
  <si>
    <t>19/11/2025 09:20:35</t>
  </si>
  <si>
    <t>2025-11-19 09:20:35</t>
  </si>
  <si>
    <t>LUIS FERNANDO SUAREZ GARCIA</t>
  </si>
  <si>
    <t>5825761</t>
  </si>
  <si>
    <t>3014272395</t>
  </si>
  <si>
    <t>RURAL_053755009000330000_TRAN 40 DIAG 74 A -40</t>
  </si>
  <si>
    <t>053755009000330000</t>
  </si>
  <si>
    <t>2025-11-25 09:20:35</t>
  </si>
  <si>
    <t>23593383</t>
  </si>
  <si>
    <t>19/11/2025 09:24:31</t>
  </si>
  <si>
    <t>2025-11-19 09:24:31</t>
  </si>
  <si>
    <t>LUZ MARY IBARRA</t>
  </si>
  <si>
    <t>3244785078</t>
  </si>
  <si>
    <t>CR 15 AA CL 35 -19 (INTERIOR 201 )</t>
  </si>
  <si>
    <t>053125115000190201</t>
  </si>
  <si>
    <t>2025-11-28 09:24:31</t>
  </si>
  <si>
    <t>23593384</t>
  </si>
  <si>
    <t>19/11/2025 09:25:24</t>
  </si>
  <si>
    <t>2025-11-19 09:25:24</t>
  </si>
  <si>
    <t>MARIA EUGENIA GRISALES OBANDO</t>
  </si>
  <si>
    <t>3054777374</t>
  </si>
  <si>
    <t>CL 64 BF CR 117 H -67 (INTERIOR 302 )</t>
  </si>
  <si>
    <t>086114267800670302-ENEPRE</t>
  </si>
  <si>
    <t>2025-12-04 09:25:24</t>
  </si>
  <si>
    <t>23593387</t>
  </si>
  <si>
    <t>19/11/2025 09:27:13</t>
  </si>
  <si>
    <t>2025-11-19 09:27:13</t>
  </si>
  <si>
    <t>NICOLAS ALBEIRO AGUDELO BARRIENTOS</t>
  </si>
  <si>
    <t>3162760629</t>
  </si>
  <si>
    <t>RURAL_122014511800000001_VDA MAZO</t>
  </si>
  <si>
    <t>122014511800000001</t>
  </si>
  <si>
    <t>2025-12-01 09:27:13</t>
  </si>
  <si>
    <t>23593394</t>
  </si>
  <si>
    <t>19/11/2025 09:31:09</t>
  </si>
  <si>
    <t>2025-11-19 09:31:09</t>
  </si>
  <si>
    <t>MYRIAN ANGELICA RESTREPO RIOS</t>
  </si>
  <si>
    <t>3147839454</t>
  </si>
  <si>
    <t>TRAN 50 A SUR CR 63 -19 (INTERIOR 401 )</t>
  </si>
  <si>
    <t>045690103000190401</t>
  </si>
  <si>
    <t>2025-11-28 09:31:09</t>
  </si>
  <si>
    <t>23593415</t>
  </si>
  <si>
    <t>19/11/2025 09:50:07</t>
  </si>
  <si>
    <t>2025-11-19 09:50:07</t>
  </si>
  <si>
    <t>MARIA CONCEPCION ATEHORTUA SOTO</t>
  </si>
  <si>
    <t>3122988765</t>
  </si>
  <si>
    <t>RURAL_122034820000000001_VDA EL LLANO_SECTOR LOS P</t>
  </si>
  <si>
    <t>122034820000000001</t>
  </si>
  <si>
    <t>2025-12-01 09:50:07</t>
  </si>
  <si>
    <t>23593442</t>
  </si>
  <si>
    <t>19/11/2025 10:08:20</t>
  </si>
  <si>
    <t>2025-11-19 10:08:20</t>
  </si>
  <si>
    <t>JOHN FREDY GUTIERREZ MONTOYA</t>
  </si>
  <si>
    <t>3206983371</t>
  </si>
  <si>
    <t>CR 51 A CL 3 SUR -30</t>
  </si>
  <si>
    <t>040521103000300000</t>
  </si>
  <si>
    <t>2025-11-25 10:08:20</t>
  </si>
  <si>
    <t>23593444</t>
  </si>
  <si>
    <t>19/11/2025 10:11:38</t>
  </si>
  <si>
    <t>2025-11-19 10:11:38</t>
  </si>
  <si>
    <t>SEBASTIAN BERRIO MUÑOZ</t>
  </si>
  <si>
    <t>3203141868</t>
  </si>
  <si>
    <t>167036823000000301_167036823000000301</t>
  </si>
  <si>
    <t>900056310001846881</t>
  </si>
  <si>
    <t>2025-11-28 10:11:38</t>
  </si>
  <si>
    <t>23593450</t>
  </si>
  <si>
    <t>19/11/2025 10:13:40</t>
  </si>
  <si>
    <t>2025-11-19 10:13:40</t>
  </si>
  <si>
    <t>JUAN CARLOS AMAYA RAMIREZ</t>
  </si>
  <si>
    <t>5992224</t>
  </si>
  <si>
    <t>3044768471</t>
  </si>
  <si>
    <t>CR 52 AA CL 75 B SUR -94</t>
  </si>
  <si>
    <t>037522115200940000</t>
  </si>
  <si>
    <t>2025-11-25 10:13:40</t>
  </si>
  <si>
    <t>23593451</t>
  </si>
  <si>
    <t>19/11/2025 10:14:40</t>
  </si>
  <si>
    <t>2025-11-19 10:14:40</t>
  </si>
  <si>
    <t>LUZ STELLA GONZALEZ OCAMPO</t>
  </si>
  <si>
    <t>6162175</t>
  </si>
  <si>
    <t>3022922292</t>
  </si>
  <si>
    <t>CL 69 CR 52 F -19 (INTERIOR 201 )</t>
  </si>
  <si>
    <t>076519002600190201</t>
  </si>
  <si>
    <t>2025-11-26 10:14:40</t>
  </si>
  <si>
    <t>23593461</t>
  </si>
  <si>
    <t>19/11/2025 10:21:18</t>
  </si>
  <si>
    <t>2025-11-19 10:21:18</t>
  </si>
  <si>
    <t>DUBER HENEY RODRIGUEZ GUERRA</t>
  </si>
  <si>
    <t>3053732633</t>
  </si>
  <si>
    <t>CL 49 AA CR 99 CC -113 (INTERIOR 101 )</t>
  </si>
  <si>
    <t>054919119331130101</t>
  </si>
  <si>
    <t>2025-11-26 10:21:18</t>
  </si>
  <si>
    <t>23593466</t>
  </si>
  <si>
    <t>19/11/2025 10:24:33</t>
  </si>
  <si>
    <t>2025-11-19 10:24:33</t>
  </si>
  <si>
    <t>JERSON ADRIAN LOPEZ PACHECO</t>
  </si>
  <si>
    <t>3135972591</t>
  </si>
  <si>
    <t>CR 25 CL 10 B -190 (INTERIOR 125 )</t>
  </si>
  <si>
    <t>051225000201900125</t>
  </si>
  <si>
    <t>2025-11-25 10:24:33</t>
  </si>
  <si>
    <t>23593468</t>
  </si>
  <si>
    <t>19/11/2025 10:26:38</t>
  </si>
  <si>
    <t>2025-11-19 10:26:38</t>
  </si>
  <si>
    <t>WILLY ENRIQUE SANCHEZ AVILEZ</t>
  </si>
  <si>
    <t>3105357105</t>
  </si>
  <si>
    <t>CL 55 CR 106 D -230 (INTERIOR 1110 )</t>
  </si>
  <si>
    <t>085015006402301110</t>
  </si>
  <si>
    <t>2025-11-26 10:26:38</t>
  </si>
  <si>
    <t>23593484</t>
  </si>
  <si>
    <t>19/11/2025 10:38:00</t>
  </si>
  <si>
    <t>2025-11-19 10:38:00</t>
  </si>
  <si>
    <t>CARLOS ANDRES QUERUBIN RUIZ</t>
  </si>
  <si>
    <t>3016250313</t>
  </si>
  <si>
    <t>CL 56 CR 121 -77 (INTERIOR 9900 )</t>
  </si>
  <si>
    <t>085216001000779900</t>
  </si>
  <si>
    <t>2025-11-26 10:38:00</t>
  </si>
  <si>
    <t>23593496</t>
  </si>
  <si>
    <t>19/11/2025 10:43:33</t>
  </si>
  <si>
    <t>2025-11-19 10:43:33</t>
  </si>
  <si>
    <t>MARIA CLARA JARAMILLO LONDOÑO</t>
  </si>
  <si>
    <t>3157330236</t>
  </si>
  <si>
    <t>RURAL_122012090000000107_PROV.VEREDA EL PLACER</t>
  </si>
  <si>
    <t>122012090000000107</t>
  </si>
  <si>
    <t>2025-12-03 10:43:33</t>
  </si>
  <si>
    <t>23593501</t>
  </si>
  <si>
    <t>19/11/2025 10:44:27</t>
  </si>
  <si>
    <t>2025-11-19 10:44:27</t>
  </si>
  <si>
    <t>HEIDY VANESSA IBARGUEN MOSQUERA</t>
  </si>
  <si>
    <t>3237999240</t>
  </si>
  <si>
    <t>CR 118 CL 39 DA -59 (INTERIOR 112 )</t>
  </si>
  <si>
    <t>083128009410590112</t>
  </si>
  <si>
    <t>2025-11-26 10:44:27</t>
  </si>
  <si>
    <t>23593550</t>
  </si>
  <si>
    <t>19/11/2025 10:58:11</t>
  </si>
  <si>
    <t>2025-11-19 10:58:11</t>
  </si>
  <si>
    <t>FELIPE ERNEY MUÑOZ ALVAREZ</t>
  </si>
  <si>
    <t>3197776467</t>
  </si>
  <si>
    <t>CL 66 CR 140 -82 (INTERIOR 1146 )</t>
  </si>
  <si>
    <t>086416000000821146</t>
  </si>
  <si>
    <t>2025-11-28 10:58:11</t>
  </si>
  <si>
    <t>23593555</t>
  </si>
  <si>
    <t>19/11/2025 10:59:04</t>
  </si>
  <si>
    <t>2025-11-19 10:59:04</t>
  </si>
  <si>
    <t>ALEJANDRO LOPEZ HURTADO</t>
  </si>
  <si>
    <t>3212471</t>
  </si>
  <si>
    <t>3173636894</t>
  </si>
  <si>
    <t>RURAL_122012090000000108_PROV.VEREDA EL PLACER</t>
  </si>
  <si>
    <t>122012090000000108</t>
  </si>
  <si>
    <t>2025-12-03 10:59:04</t>
  </si>
  <si>
    <t>23593590</t>
  </si>
  <si>
    <t>19/11/2025 11:08:48</t>
  </si>
  <si>
    <t>2025-11-19 11:08:48</t>
  </si>
  <si>
    <t>CASA BRITANICA S.A.</t>
  </si>
  <si>
    <t>3227000</t>
  </si>
  <si>
    <t>3215077035</t>
  </si>
  <si>
    <t>CR 43 A CL 25 B SUR -176</t>
  </si>
  <si>
    <t>022423105201760000</t>
  </si>
  <si>
    <t>2025-11-25 11:08:48</t>
  </si>
  <si>
    <t>23593591</t>
  </si>
  <si>
    <t>19/11/2025 11:10:30</t>
  </si>
  <si>
    <t>2025-11-19 11:10:30</t>
  </si>
  <si>
    <t>DELCY DISNEY GARCIA GARCIA</t>
  </si>
  <si>
    <t>3015181195</t>
  </si>
  <si>
    <t>CL 52 A CR 18 -95</t>
  </si>
  <si>
    <t>055112108000950000</t>
  </si>
  <si>
    <t>2025-11-25 11:10:30</t>
  </si>
  <si>
    <t>23593603</t>
  </si>
  <si>
    <t>19/11/2025 11:13:22</t>
  </si>
  <si>
    <t>2025-11-19 11:13:23</t>
  </si>
  <si>
    <t>3014555317</t>
  </si>
  <si>
    <t>CL 30 SUR CR 48 -170 (INTERIOR 627 )</t>
  </si>
  <si>
    <t>023410008001700627</t>
  </si>
  <si>
    <t>2025-11-28 11:13:23</t>
  </si>
  <si>
    <t>23593606</t>
  </si>
  <si>
    <t>19/11/2025 11:14:01</t>
  </si>
  <si>
    <t>2025-11-19 11:14:01</t>
  </si>
  <si>
    <t>CL 30 SUR CR 48 -170 (INTERIOR 727 )</t>
  </si>
  <si>
    <t>023410008001700727</t>
  </si>
  <si>
    <t>2025-11-28 11:14:01</t>
  </si>
  <si>
    <t>23593609</t>
  </si>
  <si>
    <t>19/11/2025 11:14:31</t>
  </si>
  <si>
    <t>2025-11-19 11:14:31</t>
  </si>
  <si>
    <t>CL 30 SUR CR 48 -170 (INTERIOR 1227 )</t>
  </si>
  <si>
    <t>023410008001701227</t>
  </si>
  <si>
    <t>2025-11-28 11:14:31</t>
  </si>
  <si>
    <t>23593614</t>
  </si>
  <si>
    <t>19/11/2025 11:15:38</t>
  </si>
  <si>
    <t>2025-11-19 11:15:38</t>
  </si>
  <si>
    <t>CL 30 SUR CR 48 -170 (INTERIOR 927 )</t>
  </si>
  <si>
    <t>023410008001700927</t>
  </si>
  <si>
    <t>2025-11-28 11:15:38</t>
  </si>
  <si>
    <t>23593615</t>
  </si>
  <si>
    <t>19/11/2025 11:15:41</t>
  </si>
  <si>
    <t>2025-11-19 11:15:41</t>
  </si>
  <si>
    <t>CL 30 SUR CR 48 -170 (INTERIOR 1127 )</t>
  </si>
  <si>
    <t>023410008001701127</t>
  </si>
  <si>
    <t>2025-11-28 11:15:41</t>
  </si>
  <si>
    <t>23593625</t>
  </si>
  <si>
    <t>19/11/2025 11:18:01</t>
  </si>
  <si>
    <t>2025-11-19 11:18:01</t>
  </si>
  <si>
    <t>CL 30 SUR CR 48 -170 (INTERIOR 1027 )</t>
  </si>
  <si>
    <t>023410008001701027</t>
  </si>
  <si>
    <t>2025-11-28 11:18:01</t>
  </si>
  <si>
    <t>23593626</t>
  </si>
  <si>
    <t>19/11/2025 11:18:05</t>
  </si>
  <si>
    <t>2025-11-19 11:18:05</t>
  </si>
  <si>
    <t>CL 30 SUR CR 48 -170 (INTERIOR 827 )</t>
  </si>
  <si>
    <t>023410008001700827</t>
  </si>
  <si>
    <t>2025-11-28 11:18:05</t>
  </si>
  <si>
    <t>23593635</t>
  </si>
  <si>
    <t>19/11/2025 11:19:22</t>
  </si>
  <si>
    <t>2025-11-19 11:19:22</t>
  </si>
  <si>
    <t>3006512414</t>
  </si>
  <si>
    <t>CL 36 A SUR CR 46 A -81</t>
  </si>
  <si>
    <t>023416106100810000</t>
  </si>
  <si>
    <t>2025-11-25 11:19:22</t>
  </si>
  <si>
    <t>23593638</t>
  </si>
  <si>
    <t>19/11/2025 11:19:47</t>
  </si>
  <si>
    <t>2025-11-19 11:19:47</t>
  </si>
  <si>
    <t>ALIMENTOS LAMACIA S.A.S</t>
  </si>
  <si>
    <t>3155455910</t>
  </si>
  <si>
    <t>CL 60 SUR CR 44 -6</t>
  </si>
  <si>
    <t>016410004000060000</t>
  </si>
  <si>
    <t>2025-11-28 11:19:47</t>
  </si>
  <si>
    <t>23593643</t>
  </si>
  <si>
    <t>19/11/2025 11:21:15</t>
  </si>
  <si>
    <t>2025-11-19 11:21:15</t>
  </si>
  <si>
    <t>CL 66 CR 140 -82 (INTERIOR 1147 )</t>
  </si>
  <si>
    <t>086416000000821147</t>
  </si>
  <si>
    <t>2025-11-28 11:21:15</t>
  </si>
  <si>
    <t>23593652</t>
  </si>
  <si>
    <t>19/11/2025 11:27:45</t>
  </si>
  <si>
    <t>2025-11-19 11:27:45</t>
  </si>
  <si>
    <t>GLADYS DE JESUS RAMIREZ RODRIGUEZ</t>
  </si>
  <si>
    <t>3226597148</t>
  </si>
  <si>
    <t>RURAL_116005095000000020-116005095000000020</t>
  </si>
  <si>
    <t>116005095000000020</t>
  </si>
  <si>
    <t>2025-12-01 11:27:45</t>
  </si>
  <si>
    <t>23593666</t>
  </si>
  <si>
    <t>19/11/2025 11:33:10</t>
  </si>
  <si>
    <t>2025-11-19 11:33:10</t>
  </si>
  <si>
    <t>JAIME ALBERTO CASTAÑO ANGEL</t>
  </si>
  <si>
    <t>4978093</t>
  </si>
  <si>
    <t>3188277159</t>
  </si>
  <si>
    <t>CL 36 SUR CR 22 -138</t>
  </si>
  <si>
    <t>023216002001380000</t>
  </si>
  <si>
    <t>2025-11-25 11:33:10</t>
  </si>
  <si>
    <t>4 días 11:33</t>
  </si>
  <si>
    <t>23593687</t>
  </si>
  <si>
    <t>19/11/2025 11:46:11</t>
  </si>
  <si>
    <t>2025-11-19 11:46:11</t>
  </si>
  <si>
    <t>KELLY JOHANA PABON AGUDELO</t>
  </si>
  <si>
    <t>3002513807</t>
  </si>
  <si>
    <t>RURAL_117004494700000101_BELENCITO CORAZON</t>
  </si>
  <si>
    <t>117004494700000101</t>
  </si>
  <si>
    <t>2025-12-01 11:46:11</t>
  </si>
  <si>
    <t>23593697</t>
  </si>
  <si>
    <t>19/11/2025 11:52:33</t>
  </si>
  <si>
    <t>2025-11-19 11:52:33</t>
  </si>
  <si>
    <t>NELLY LORENA SERNA MURILLO</t>
  </si>
  <si>
    <t>3104366937</t>
  </si>
  <si>
    <t>CR 93 CL 62 B -8</t>
  </si>
  <si>
    <t>056923002200080000</t>
  </si>
  <si>
    <t>2025-11-28 11:52:33</t>
  </si>
  <si>
    <t>23593715</t>
  </si>
  <si>
    <t>19/11/2025 12:09:43</t>
  </si>
  <si>
    <t>2025-11-19 12:09:43</t>
  </si>
  <si>
    <t>JORGE ARMANDO SOTO GRAJALES</t>
  </si>
  <si>
    <t>3127470862</t>
  </si>
  <si>
    <t>RURAL_122012575000000000_122012575000000000</t>
  </si>
  <si>
    <t>122012575000000000</t>
  </si>
  <si>
    <t>2025-12-04 12:09:43</t>
  </si>
  <si>
    <t>23593717</t>
  </si>
  <si>
    <t>19/11/2025 12:11:11</t>
  </si>
  <si>
    <t>2025-11-19 12:11:11</t>
  </si>
  <si>
    <t>CR 93 CL 62 B -8 (INTERIOR 101 )</t>
  </si>
  <si>
    <t>056923002200080101</t>
  </si>
  <si>
    <t>2025-11-28 12:11:11</t>
  </si>
  <si>
    <t>23593718</t>
  </si>
  <si>
    <t>19/11/2025 12:11:50</t>
  </si>
  <si>
    <t>2025-11-19 12:11:50</t>
  </si>
  <si>
    <t>ANDERSON ALEXIS BUSTAMANTE ZAPATA</t>
  </si>
  <si>
    <t>CL 38 C CR 26 -5 (INTERIOR 301 )</t>
  </si>
  <si>
    <t>053218306000050301</t>
  </si>
  <si>
    <t>2025-11-28 12:11:50</t>
  </si>
  <si>
    <t>23593727</t>
  </si>
  <si>
    <t>19/11/2025 12:15:42</t>
  </si>
  <si>
    <t>2025-11-19 12:15:42</t>
  </si>
  <si>
    <t>CR 16 CL 65 B -78 (INTERIOR 302 )</t>
  </si>
  <si>
    <t>056126005200780302</t>
  </si>
  <si>
    <t>2025-11-28 12:15:42</t>
  </si>
  <si>
    <t>23593729</t>
  </si>
  <si>
    <t>19/11/2025 12:19:02</t>
  </si>
  <si>
    <t>2025-11-19 12:19:02</t>
  </si>
  <si>
    <t>CÁLCULO Y CONSTRUCCIONES SAS</t>
  </si>
  <si>
    <t>5604850</t>
  </si>
  <si>
    <t>3146813146</t>
  </si>
  <si>
    <t>CL 34 AD CR 116 F -50 (INTERIOR 5 )</t>
  </si>
  <si>
    <t>083114146600500005</t>
  </si>
  <si>
    <t>2025-11-28 12:19:02</t>
  </si>
  <si>
    <t>23593732</t>
  </si>
  <si>
    <t>19/11/2025 12:21:28</t>
  </si>
  <si>
    <t>2025-11-19 12:21:28</t>
  </si>
  <si>
    <t>BERTA LIA CORREA RESTREPO</t>
  </si>
  <si>
    <t>3117842915</t>
  </si>
  <si>
    <t>CR 81 A CL 44 A SUR -24 (INTERIOR 553 )</t>
  </si>
  <si>
    <t>044821104100240553</t>
  </si>
  <si>
    <t>2025-11-28 12:21:28</t>
  </si>
  <si>
    <t>23593742</t>
  </si>
  <si>
    <t>19/11/2025 12:24:55</t>
  </si>
  <si>
    <t>2025-11-19 12:24:55</t>
  </si>
  <si>
    <t>DIEGO ALEJANDRO QUIJANO LOPEZ</t>
  </si>
  <si>
    <t>3104698850</t>
  </si>
  <si>
    <t>RURAL_161110560000009900_VEREDA LA CORRALA CALDAS</t>
  </si>
  <si>
    <t>161110560000009900</t>
  </si>
  <si>
    <t>2025-12-03 12:24:55</t>
  </si>
  <si>
    <t>23593744</t>
  </si>
  <si>
    <t>19/11/2025 12:26:16</t>
  </si>
  <si>
    <t>2025-11-19 12:26:16</t>
  </si>
  <si>
    <t>DAVID CARO BERRIO</t>
  </si>
  <si>
    <t>3004709378</t>
  </si>
  <si>
    <t>CL 54 B CR 58 -14 (INTERIOR 1103 )</t>
  </si>
  <si>
    <t>075514208000141103</t>
  </si>
  <si>
    <t>2025-11-26 12:26:16</t>
  </si>
  <si>
    <t>23593749</t>
  </si>
  <si>
    <t>19/11/2025 12:26:42</t>
  </si>
  <si>
    <t>2025-11-19 12:26:42</t>
  </si>
  <si>
    <t>GUSTAVO ADOLFO TABORDA AGUDELO</t>
  </si>
  <si>
    <t>3015266708</t>
  </si>
  <si>
    <t>RURAL_163007734700000235_AJIZAL</t>
  </si>
  <si>
    <t>163007734700000235</t>
  </si>
  <si>
    <t>2025-12-01 12:26:42</t>
  </si>
  <si>
    <t>23593755</t>
  </si>
  <si>
    <t>19/11/2025 12:27:58</t>
  </si>
  <si>
    <t>2025-11-19 12:27:58</t>
  </si>
  <si>
    <t>ANA FABIOLA VILLEGAS GIRALDO</t>
  </si>
  <si>
    <t>3153494003</t>
  </si>
  <si>
    <t>RURAL_146019600000000001</t>
  </si>
  <si>
    <t>146019600000000001</t>
  </si>
  <si>
    <t>2025-12-01 12:27:58</t>
  </si>
  <si>
    <t>23593757</t>
  </si>
  <si>
    <t>19/11/2025 12:28:03</t>
  </si>
  <si>
    <t>2025-11-19 12:28:03</t>
  </si>
  <si>
    <t>LUZ OMAIRA ARIAS ZAPATA</t>
  </si>
  <si>
    <t>3015251161</t>
  </si>
  <si>
    <t>RURAL_122015795000000103</t>
  </si>
  <si>
    <t>122015795000000103</t>
  </si>
  <si>
    <t>2025-12-03 12:28:03</t>
  </si>
  <si>
    <t>23593762</t>
  </si>
  <si>
    <t>19/11/2025 12:37:14</t>
  </si>
  <si>
    <t>2025-11-19 12:37:14</t>
  </si>
  <si>
    <t>ANA DE JESUS GIRALDO MARTINEZ</t>
  </si>
  <si>
    <t>3017512131</t>
  </si>
  <si>
    <t>CR 30 CL 43 -28</t>
  </si>
  <si>
    <t>054320003000280000</t>
  </si>
  <si>
    <t>2025-11-28 12:37:14</t>
  </si>
  <si>
    <t>23593766</t>
  </si>
  <si>
    <t>19/11/2025 12:40:51</t>
  </si>
  <si>
    <t>2025-11-19 12:40:51</t>
  </si>
  <si>
    <t>JUAN PABLO RESTREPO RESTREPO</t>
  </si>
  <si>
    <t>3767335</t>
  </si>
  <si>
    <t>3045295931</t>
  </si>
  <si>
    <t>RURAL_163010038000000304_IGLESIA GOMEZ ABAJO</t>
  </si>
  <si>
    <t>163010038000000304</t>
  </si>
  <si>
    <t>2025-12-01 12:40:51</t>
  </si>
  <si>
    <t>23593767</t>
  </si>
  <si>
    <t>19/11/2025 12:41:32</t>
  </si>
  <si>
    <t>2025-11-19 12:41:32</t>
  </si>
  <si>
    <t>CARLOS ANDRES JIMENEZ USUGA</t>
  </si>
  <si>
    <t>2558548</t>
  </si>
  <si>
    <t>3106018193</t>
  </si>
  <si>
    <t>CR 50 B CL 6 SUR -40</t>
  </si>
  <si>
    <t>040520206000400000</t>
  </si>
  <si>
    <t>2025-11-25 12:41:32</t>
  </si>
  <si>
    <t>23593769</t>
  </si>
  <si>
    <t>19/11/2025 12:42:16</t>
  </si>
  <si>
    <t>2025-11-19 12:42:16</t>
  </si>
  <si>
    <t>CL 30 SUR CR 48 -170 (INTERIOR 1226 )</t>
  </si>
  <si>
    <t>023410008001801226</t>
  </si>
  <si>
    <t>2025-11-28 12:42:16</t>
  </si>
  <si>
    <t>23593771</t>
  </si>
  <si>
    <t>19/11/2025 12:43:39</t>
  </si>
  <si>
    <t>2025-11-19 12:43:39</t>
  </si>
  <si>
    <t>CARLOS DAVID TABORDA AGUDELO</t>
  </si>
  <si>
    <t>3168541399</t>
  </si>
  <si>
    <t>RURAL_163007734700000243_VDA_AJIZAL</t>
  </si>
  <si>
    <t>163007734700000243</t>
  </si>
  <si>
    <t>2025-12-01 12:43:39</t>
  </si>
  <si>
    <t>23593772</t>
  </si>
  <si>
    <t>19/11/2025 12:44:12</t>
  </si>
  <si>
    <t>2025-11-19 12:44:12</t>
  </si>
  <si>
    <t>LUZ ANGELA VELEZ COSSIO</t>
  </si>
  <si>
    <t>3168847010</t>
  </si>
  <si>
    <t>CR 55 A CL 57 A -46 (INTERIOR 101 )</t>
  </si>
  <si>
    <t>075525107100460101</t>
  </si>
  <si>
    <t>2025-11-26 12:44:12</t>
  </si>
  <si>
    <t>23593781</t>
  </si>
  <si>
    <t>19/11/2025 12:50:02</t>
  </si>
  <si>
    <t>2025-11-19 12:50:02</t>
  </si>
  <si>
    <t>CL 30 SUR CR 48 -170 (INTERIOR 1223 )</t>
  </si>
  <si>
    <t>023410008001801223</t>
  </si>
  <si>
    <t>2025-11-28 12:50:02</t>
  </si>
  <si>
    <t>23593782</t>
  </si>
  <si>
    <t>19/11/2025 12:50:22</t>
  </si>
  <si>
    <t>2025-11-19 12:50:22</t>
  </si>
  <si>
    <t>CL 30 SUR CR 48 -170 (INTERIOR 1224 )</t>
  </si>
  <si>
    <t>023410008001801224</t>
  </si>
  <si>
    <t>2025-11-28 12:50:22</t>
  </si>
  <si>
    <t>23593783</t>
  </si>
  <si>
    <t>19/11/2025 12:50:34</t>
  </si>
  <si>
    <t>2025-11-19 12:50:34</t>
  </si>
  <si>
    <t>CL 30 SUR CR 48 -170 (INTERIOR 1225 )</t>
  </si>
  <si>
    <t>023410008001801225</t>
  </si>
  <si>
    <t>2025-11-28 12:50:34</t>
  </si>
  <si>
    <t>23593784</t>
  </si>
  <si>
    <t>19/11/2025 12:51:32</t>
  </si>
  <si>
    <t>2025-11-19 12:51:32</t>
  </si>
  <si>
    <t>CL 30 SUR CR 48 -170 (INTERIOR 1221 )</t>
  </si>
  <si>
    <t>023410008001801221</t>
  </si>
  <si>
    <t>2025-11-28 12:51:32</t>
  </si>
  <si>
    <t>23593804</t>
  </si>
  <si>
    <t>19/11/2025 13:09:39</t>
  </si>
  <si>
    <t>2025-11-19 13:09:39</t>
  </si>
  <si>
    <t>CL 30 SUR CR 48 -170 (INTERIOR 1023 )</t>
  </si>
  <si>
    <t>023410008001801023</t>
  </si>
  <si>
    <t>2025-11-28 13:09:39</t>
  </si>
  <si>
    <t>23593805</t>
  </si>
  <si>
    <t>19/11/2025 13:10:17</t>
  </si>
  <si>
    <t>2025-11-19 13:10:17</t>
  </si>
  <si>
    <t>CL 30 SUR CR 48 -170 (INTERIOR 1021 )</t>
  </si>
  <si>
    <t>023410008001801021</t>
  </si>
  <si>
    <t>2025-11-28 13:10:17</t>
  </si>
  <si>
    <t>23593809</t>
  </si>
  <si>
    <t>19/11/2025 13:11:50</t>
  </si>
  <si>
    <t>2025-11-19 13:11:50</t>
  </si>
  <si>
    <t>CL 30 SUR CR 48 -170 (INTERIOR 1024 )</t>
  </si>
  <si>
    <t>023410008001801024</t>
  </si>
  <si>
    <t>2025-11-28 13:11:50</t>
  </si>
  <si>
    <t>23593811</t>
  </si>
  <si>
    <t>19/11/2025 13:11:56</t>
  </si>
  <si>
    <t>2025-11-19 13:11:56</t>
  </si>
  <si>
    <t>CL 30 SUR CR 48 -170 (INTERIOR 1022 )</t>
  </si>
  <si>
    <t>023410008001801022</t>
  </si>
  <si>
    <t>2025-11-28 13:11:56</t>
  </si>
  <si>
    <t>23593813</t>
  </si>
  <si>
    <t>19/11/2025 13:12:07</t>
  </si>
  <si>
    <t>2025-11-19 13:12:07</t>
  </si>
  <si>
    <t>CL 30 SUR CR 48 -170 (INTERIOR 621 )</t>
  </si>
  <si>
    <t>023410008001800621</t>
  </si>
  <si>
    <t>2025-11-28 13:12:07</t>
  </si>
  <si>
    <t>23593815</t>
  </si>
  <si>
    <t>19/11/2025 13:13:28</t>
  </si>
  <si>
    <t>2025-11-19 13:13:28</t>
  </si>
  <si>
    <t>CL 30 SUR CR 48 -170 (INTERIOR 624 )</t>
  </si>
  <si>
    <t>023410008001800624</t>
  </si>
  <si>
    <t>2025-11-28 13:13:28</t>
  </si>
  <si>
    <t>23593817</t>
  </si>
  <si>
    <t>19/11/2025 13:13:47</t>
  </si>
  <si>
    <t>2025-11-19 13:13:47</t>
  </si>
  <si>
    <t>CL 30 SUR CR 48 -170 (INTERIOR 623 )</t>
  </si>
  <si>
    <t>023410008001800623</t>
  </si>
  <si>
    <t>2025-11-28 13:13:47</t>
  </si>
  <si>
    <t>23593820</t>
  </si>
  <si>
    <t>19/11/2025 13:14:06</t>
  </si>
  <si>
    <t>2025-11-19 13:14:06</t>
  </si>
  <si>
    <t>CL 30 SUR CR 48 -170 (INTERIOR 622 )</t>
  </si>
  <si>
    <t>023410008001800622</t>
  </si>
  <si>
    <t>2025-11-28 13:14:06</t>
  </si>
  <si>
    <t>23593830</t>
  </si>
  <si>
    <t>19/11/2025 13:17:42</t>
  </si>
  <si>
    <t>2025-11-19 13:17:42</t>
  </si>
  <si>
    <t>JUDITH CATERINE PEREZ RODRIGUEZ</t>
  </si>
  <si>
    <t>3147405591</t>
  </si>
  <si>
    <t>RURAL_114014081000000001</t>
  </si>
  <si>
    <t>114014081000000001</t>
  </si>
  <si>
    <t>2025-12-01 13:17:42</t>
  </si>
  <si>
    <t>23593835</t>
  </si>
  <si>
    <t>19/11/2025 13:22:18</t>
  </si>
  <si>
    <t>2025-11-19 13:22:18</t>
  </si>
  <si>
    <t>LUIS CARLOS CORTES SANCHEZ</t>
  </si>
  <si>
    <t>3235101976</t>
  </si>
  <si>
    <t>CR 18 CL 52 -130 (INTERIOR 301 )</t>
  </si>
  <si>
    <t>055128002001300301</t>
  </si>
  <si>
    <t>2025-11-26 13:22:18</t>
  </si>
  <si>
    <t>23593838</t>
  </si>
  <si>
    <t>19/11/2025 13:23:34</t>
  </si>
  <si>
    <t>2025-11-19 13:23:34</t>
  </si>
  <si>
    <t>YOLANDA AMPARO MARTIMEZ QUINTANA</t>
  </si>
  <si>
    <t>3710990</t>
  </si>
  <si>
    <t>3005156070</t>
  </si>
  <si>
    <t>CL 28 B CR 54 B -38 (INTERIOR 301 )</t>
  </si>
  <si>
    <t>072518204200380301</t>
  </si>
  <si>
    <t>2025-11-28 13:23:34</t>
  </si>
  <si>
    <t>23593839</t>
  </si>
  <si>
    <t>19/11/2025 13:23:53</t>
  </si>
  <si>
    <t>2025-11-19 13:23:53</t>
  </si>
  <si>
    <t>YEYSON ARMANDO RIOS RIOS</t>
  </si>
  <si>
    <t>5388362</t>
  </si>
  <si>
    <t>3104683709</t>
  </si>
  <si>
    <t>RURAL_146024705000000123_146024705000000000</t>
  </si>
  <si>
    <t>146024705000000123</t>
  </si>
  <si>
    <t>2025-12-01 13:23:53</t>
  </si>
  <si>
    <t>23593851</t>
  </si>
  <si>
    <t>19/11/2025 13:33:22</t>
  </si>
  <si>
    <t>2025-11-19 13:33:22</t>
  </si>
  <si>
    <t>CL 30 SUR CR 48 -170 (INTERIOR 1123 )</t>
  </si>
  <si>
    <t>023410008001801123</t>
  </si>
  <si>
    <t>2025-11-28 13:33:22</t>
  </si>
  <si>
    <t>23593852</t>
  </si>
  <si>
    <t>19/11/2025 13:34:25</t>
  </si>
  <si>
    <t>2025-11-19 13:34:25</t>
  </si>
  <si>
    <t>CL 30 SUR CR 48 -170 (INTERIOR 1121 )</t>
  </si>
  <si>
    <t>023410008001801121</t>
  </si>
  <si>
    <t>2025-11-28 13:34:25</t>
  </si>
  <si>
    <t>23593853</t>
  </si>
  <si>
    <t>19/11/2025 13:34:28</t>
  </si>
  <si>
    <t>2025-11-19 13:34:28</t>
  </si>
  <si>
    <t>CL 30 SUR CR 48 -170 (INTERIOR 922 )</t>
  </si>
  <si>
    <t>023410008001800922</t>
  </si>
  <si>
    <t>2025-11-28 13:34:28</t>
  </si>
  <si>
    <t>23593854</t>
  </si>
  <si>
    <t>19/11/2025 13:35:07</t>
  </si>
  <si>
    <t>2025-11-19 13:35:07</t>
  </si>
  <si>
    <t>CL 30 SUR CR 48 -170 (INTERIOR 926 )</t>
  </si>
  <si>
    <t>023410008001800926</t>
  </si>
  <si>
    <t>2025-11-28 13:35:07</t>
  </si>
  <si>
    <t>23593855</t>
  </si>
  <si>
    <t>19/11/2025 13:35:39</t>
  </si>
  <si>
    <t>2025-11-19 13:35:39</t>
  </si>
  <si>
    <t>CL 30 SUR CR 48 -170 (INTERIOR 925 )</t>
  </si>
  <si>
    <t>023410008001800925</t>
  </si>
  <si>
    <t>2025-11-28 13:35:39</t>
  </si>
  <si>
    <t>23593856</t>
  </si>
  <si>
    <t>19/11/2025 13:36:51</t>
  </si>
  <si>
    <t>2025-11-19 13:36:51</t>
  </si>
  <si>
    <t>CL 30 SUR CR 48 -170 (INTERIOR 1025 )</t>
  </si>
  <si>
    <t>023410008001801025</t>
  </si>
  <si>
    <t>2025-11-28 13:36:51</t>
  </si>
  <si>
    <t>23593858</t>
  </si>
  <si>
    <t>19/11/2025 13:37:37</t>
  </si>
  <si>
    <t>2025-11-19 13:37:37</t>
  </si>
  <si>
    <t>CL 30 SUR CR 48 -170 (INTERIOR 1026 )</t>
  </si>
  <si>
    <t>023410008001801026</t>
  </si>
  <si>
    <t>2025-11-28 13:37:37</t>
  </si>
  <si>
    <t>23593859</t>
  </si>
  <si>
    <t>19/11/2025 13:38:06</t>
  </si>
  <si>
    <t>2025-11-19 13:38:06</t>
  </si>
  <si>
    <t>CL 30 SUR CR 48 -170 (INTERIOR 924 )</t>
  </si>
  <si>
    <t>023410008001800924</t>
  </si>
  <si>
    <t>2025-11-28 13:38:06</t>
  </si>
  <si>
    <t>23593861</t>
  </si>
  <si>
    <t>19/11/2025 13:38:38</t>
  </si>
  <si>
    <t>2025-11-19 13:38:38</t>
  </si>
  <si>
    <t>CL 30 SUR CR 48 -170 (INTERIOR 824 )</t>
  </si>
  <si>
    <t>023410008001800824</t>
  </si>
  <si>
    <t>2025-11-28 13:38:38</t>
  </si>
  <si>
    <t>23593862</t>
  </si>
  <si>
    <t>19/11/2025 13:39:10</t>
  </si>
  <si>
    <t>2025-11-19 13:39:10</t>
  </si>
  <si>
    <t>CL 30 SUR CR 48 -170 (INTERIOR 625 )</t>
  </si>
  <si>
    <t>023410008001800625</t>
  </si>
  <si>
    <t>2025-11-28 13:39:10</t>
  </si>
  <si>
    <t>23593863</t>
  </si>
  <si>
    <t>19/11/2025 13:40:16</t>
  </si>
  <si>
    <t>2025-11-19 13:40:16</t>
  </si>
  <si>
    <t>CL 30 SUR CR 48 -170 (INTERIOR 722 )</t>
  </si>
  <si>
    <t>023410008001800722</t>
  </si>
  <si>
    <t>2025-11-28 13:40:16</t>
  </si>
  <si>
    <t>23593868</t>
  </si>
  <si>
    <t>19/11/2025 13:41:06</t>
  </si>
  <si>
    <t>2025-11-19 13:41:06</t>
  </si>
  <si>
    <t>TERESITA GARCIA RESTREPO</t>
  </si>
  <si>
    <t>3135281239</t>
  </si>
  <si>
    <t>RURAL_159146310000000201_SAN MIGUEL</t>
  </si>
  <si>
    <t>159146310000000201</t>
  </si>
  <si>
    <t>2025-12-04 13:41:06</t>
  </si>
  <si>
    <t>23593870</t>
  </si>
  <si>
    <t>19/11/2025 13:43:42</t>
  </si>
  <si>
    <t>2025-11-19 13:43:42</t>
  </si>
  <si>
    <t>2025-11-26 13:43:42</t>
  </si>
  <si>
    <t>23593877</t>
  </si>
  <si>
    <t>19/11/2025 13:46:53</t>
  </si>
  <si>
    <t>2025-11-19 13:46:53</t>
  </si>
  <si>
    <t>CL 30 SUR CR 48 -170 (INTERIOR 721 )</t>
  </si>
  <si>
    <t>023410008001800721</t>
  </si>
  <si>
    <t>2025-11-28 13:46:53</t>
  </si>
  <si>
    <t>23593879</t>
  </si>
  <si>
    <t>19/11/2025 13:48:53</t>
  </si>
  <si>
    <t>2025-11-19 13:48:53</t>
  </si>
  <si>
    <t>AUTOMATISMOS ELECTRICOS E</t>
  </si>
  <si>
    <t>5598635</t>
  </si>
  <si>
    <t>3155900115</t>
  </si>
  <si>
    <t>CR 49 CL 81 SUR -110</t>
  </si>
  <si>
    <t>018429001001100000</t>
  </si>
  <si>
    <t>2025-11-25 13:48:53</t>
  </si>
  <si>
    <t>23593884</t>
  </si>
  <si>
    <t>19/11/2025 13:53:01</t>
  </si>
  <si>
    <t>2025-11-19 13:53:01</t>
  </si>
  <si>
    <t>CL 30 SUR CR 48 -170 (INTERIOR 723 )</t>
  </si>
  <si>
    <t>023410008001800723</t>
  </si>
  <si>
    <t>2025-11-28 13:53:01</t>
  </si>
  <si>
    <t>23593887</t>
  </si>
  <si>
    <t>19/11/2025 13:53:20</t>
  </si>
  <si>
    <t>2025-11-19 13:53:20</t>
  </si>
  <si>
    <t>CL 30 SUR CR 48 -170 (INTERIOR 822 )</t>
  </si>
  <si>
    <t>023410008001800822</t>
  </si>
  <si>
    <t>2025-11-28 13:53:20</t>
  </si>
  <si>
    <t>23593888</t>
  </si>
  <si>
    <t>19/11/2025 13:54:04</t>
  </si>
  <si>
    <t>2025-11-19 13:54:04</t>
  </si>
  <si>
    <t>NORA ELSY MONTOYA URREGO</t>
  </si>
  <si>
    <t>3008381530</t>
  </si>
  <si>
    <t>CL 62 CR 85 -326 (INTERIOR 101 )</t>
  </si>
  <si>
    <t>056812005003260101</t>
  </si>
  <si>
    <t>2025-12-04 13:54:04</t>
  </si>
  <si>
    <t>23593891</t>
  </si>
  <si>
    <t>19/11/2025 13:54:28</t>
  </si>
  <si>
    <t>2025-11-19 13:54:28</t>
  </si>
  <si>
    <t>INVERSIONES FERBIENES SAS</t>
  </si>
  <si>
    <t>CR 49 CL 81 SUR -90</t>
  </si>
  <si>
    <t>018429001000900000</t>
  </si>
  <si>
    <t>2025-11-25 13:54:28</t>
  </si>
  <si>
    <t>4 días 13:54</t>
  </si>
  <si>
    <t>23593916</t>
  </si>
  <si>
    <t>19/11/2025 14:03:23</t>
  </si>
  <si>
    <t>2025-11-19 14:03:23</t>
  </si>
  <si>
    <t>CL 30 SUR CR 48 -170 (INTERIOR 1124 )</t>
  </si>
  <si>
    <t>023410008001801124</t>
  </si>
  <si>
    <t>2025-11-28 14:03:23</t>
  </si>
  <si>
    <t>23593918</t>
  </si>
  <si>
    <t>19/11/2025 14:04:30</t>
  </si>
  <si>
    <t>2025-11-19 14:04:30</t>
  </si>
  <si>
    <t>CL 30 SUR CR 48 -170 (INTERIOR 1222 )</t>
  </si>
  <si>
    <t>023410008001801222</t>
  </si>
  <si>
    <t>2025-11-28 14:04:30</t>
  </si>
  <si>
    <t>23593919</t>
  </si>
  <si>
    <t>19/11/2025 14:04:51</t>
  </si>
  <si>
    <t>2025-11-19 14:04:51</t>
  </si>
  <si>
    <t>CL 30 SUR CR 48 -170 (INTERIOR 1125 )</t>
  </si>
  <si>
    <t>023410008001801125</t>
  </si>
  <si>
    <t>2025-11-28 14:04:51</t>
  </si>
  <si>
    <t>23593921</t>
  </si>
  <si>
    <t>19/11/2025 14:07:27</t>
  </si>
  <si>
    <t>2025-11-19 14:07:27</t>
  </si>
  <si>
    <t>CL 30 SUR CR 48 -170 (INTERIOR 1126 )</t>
  </si>
  <si>
    <t>023410008001801126</t>
  </si>
  <si>
    <t>2025-11-28 14:07:27</t>
  </si>
  <si>
    <t>23593926</t>
  </si>
  <si>
    <t>19/11/2025 14:13:54</t>
  </si>
  <si>
    <t>2025-11-19 14:13:54</t>
  </si>
  <si>
    <t>MARIA ELSY VASQUEZ RODRIGUEZ</t>
  </si>
  <si>
    <t>5287842</t>
  </si>
  <si>
    <t>3216109725</t>
  </si>
  <si>
    <t>RURAL_163014803800000002_RURAL ITAGUI EL PEDREGAL</t>
  </si>
  <si>
    <t>163014803800000002</t>
  </si>
  <si>
    <t>2025-12-01 14:13:54</t>
  </si>
  <si>
    <t>23593948</t>
  </si>
  <si>
    <t>19/11/2025 14:29:59</t>
  </si>
  <si>
    <t>2025-11-19 14:29:59</t>
  </si>
  <si>
    <t>CL 30 SUR CR 48 -170 (INTERIOR 821 )</t>
  </si>
  <si>
    <t>023410008001800821</t>
  </si>
  <si>
    <t>2025-11-28 14:29:59</t>
  </si>
  <si>
    <t>23593950</t>
  </si>
  <si>
    <t>19/11/2025 14:31:35</t>
  </si>
  <si>
    <t>2025-11-19 14:31:35</t>
  </si>
  <si>
    <t>CL 30 SUR CR 48 -170 (INTERIOR 725 )</t>
  </si>
  <si>
    <t>023410008001800725</t>
  </si>
  <si>
    <t>2025-11-28 14:31:35</t>
  </si>
  <si>
    <t>23593951</t>
  </si>
  <si>
    <t>CL 30 SUR CR 48 -170 (INTERIOR 823 )</t>
  </si>
  <si>
    <t>023410008001800823</t>
  </si>
  <si>
    <t>23593952</t>
  </si>
  <si>
    <t>CL 30 SUR CR 48 -170 (INTERIOR 923 )</t>
  </si>
  <si>
    <t>023410008001900923</t>
  </si>
  <si>
    <t>23593955</t>
  </si>
  <si>
    <t>19/11/2025 14:33:54</t>
  </si>
  <si>
    <t>2025-11-19 14:33:54</t>
  </si>
  <si>
    <t>CL 30 SUR CR 48 -170 (INTERIOR 826 )</t>
  </si>
  <si>
    <t>023410008001800826</t>
  </si>
  <si>
    <t>2025-11-28 14:33:54</t>
  </si>
  <si>
    <t>23593958</t>
  </si>
  <si>
    <t>19/11/2025 14:34:11</t>
  </si>
  <si>
    <t>2025-11-19 14:34:11</t>
  </si>
  <si>
    <t>CL 30 SUR CR 48 -170 (INTERIOR 1122 )</t>
  </si>
  <si>
    <t>023410008001801122</t>
  </si>
  <si>
    <t>2025-11-28 14:34:11</t>
  </si>
  <si>
    <t>23593959</t>
  </si>
  <si>
    <t>19/11/2025 14:34:13</t>
  </si>
  <si>
    <t>2025-11-19 14:34:13</t>
  </si>
  <si>
    <t>CL 30 SUR CR 48 -170 (INTERIOR 921 )</t>
  </si>
  <si>
    <t>023410008001800921</t>
  </si>
  <si>
    <t>2025-11-28 14:34:13</t>
  </si>
  <si>
    <t>23593960</t>
  </si>
  <si>
    <t>19/11/2025 14:34:20</t>
  </si>
  <si>
    <t>2025-11-19 14:34:20</t>
  </si>
  <si>
    <t>CL 30 SUR CR 48 -170 (INTERIOR 825 )</t>
  </si>
  <si>
    <t>023410008001800825</t>
  </si>
  <si>
    <t>2025-11-28 14:34:20</t>
  </si>
  <si>
    <t>23593963</t>
  </si>
  <si>
    <t>19/11/2025 14:35:22</t>
  </si>
  <si>
    <t>2025-11-19 14:35:22</t>
  </si>
  <si>
    <t>CL 30 SUR CR 48 -170 (INTERIOR 724 )</t>
  </si>
  <si>
    <t>023410008001800724</t>
  </si>
  <si>
    <t>2025-11-28 14:35:22</t>
  </si>
  <si>
    <t>23593978</t>
  </si>
  <si>
    <t>19/11/2025 14:48:54</t>
  </si>
  <si>
    <t>2025-11-19 14:48:54</t>
  </si>
  <si>
    <t>PROMOTORA LEAVING BOLIVARIANA</t>
  </si>
  <si>
    <t>3137637975</t>
  </si>
  <si>
    <t>CR 66 B CL 39 -29 (INTERIOR 5 )</t>
  </si>
  <si>
    <t>053626209000290005</t>
  </si>
  <si>
    <t>2025-11-28 14:48:54</t>
  </si>
  <si>
    <t>2 días 12:14</t>
  </si>
  <si>
    <t>2 días 12:09</t>
  </si>
  <si>
    <t>3 días 21:53</t>
  </si>
  <si>
    <t>4 días 21:53</t>
  </si>
  <si>
    <t>8 días 08:44</t>
  </si>
  <si>
    <t>5 días 21:40</t>
  </si>
  <si>
    <t>6 días 10:23</t>
  </si>
  <si>
    <t>3 días 12:25</t>
  </si>
  <si>
    <t>4 días 12:25</t>
  </si>
  <si>
    <t>23454026</t>
  </si>
  <si>
    <t>03/06/2025 09:24:36</t>
  </si>
  <si>
    <t>2025-11-19 21:41:02</t>
  </si>
  <si>
    <t>MARIA GLADYS CARDONA CARDENAS</t>
  </si>
  <si>
    <t>3215487612</t>
  </si>
  <si>
    <t>CR 2 CL 54 -190</t>
  </si>
  <si>
    <t>055022004001900000</t>
  </si>
  <si>
    <t>2025-11-26 21:41:02</t>
  </si>
  <si>
    <t>23454633</t>
  </si>
  <si>
    <t>03/06/2025 15:29:48</t>
  </si>
  <si>
    <t>2025-11-19 21:41:22</t>
  </si>
  <si>
    <t>ROSIO BUSTAMANTE MUÑOZ</t>
  </si>
  <si>
    <t>4338418</t>
  </si>
  <si>
    <t>3016118535</t>
  </si>
  <si>
    <t>DIAG 42 CL 36 A -71 (INTERIOR 201 )</t>
  </si>
  <si>
    <t>073472006100710201</t>
  </si>
  <si>
    <t>2025-11-26 21:41:22</t>
  </si>
  <si>
    <t>3 días 09:55</t>
  </si>
  <si>
    <t>3 días 21:39</t>
  </si>
  <si>
    <t>4 días 21:39</t>
  </si>
  <si>
    <t>2 días 21:41</t>
  </si>
  <si>
    <t>3 días 09:49</t>
  </si>
  <si>
    <t>4 días 09:49</t>
  </si>
  <si>
    <t>3 días 21:38</t>
  </si>
  <si>
    <t>4 días 21:38</t>
  </si>
  <si>
    <t>23506543</t>
  </si>
  <si>
    <t>05/08/2025 13:51:54</t>
  </si>
  <si>
    <t>2025-11-19 16:04:26</t>
  </si>
  <si>
    <t>ALBA CECILIA VARGAS FLOREZ</t>
  </si>
  <si>
    <t>3229898</t>
  </si>
  <si>
    <t>3012800705</t>
  </si>
  <si>
    <t>CL 1 C CR 66 -76 (INTERIOR 101 )</t>
  </si>
  <si>
    <t>050611306000760101</t>
  </si>
  <si>
    <t>2025-11-28 16:04:26</t>
  </si>
  <si>
    <t>23506565</t>
  </si>
  <si>
    <t>05/08/2025 14:05:44</t>
  </si>
  <si>
    <t>2025-11-19 16:01:57</t>
  </si>
  <si>
    <t>CL 1 C CR 66 -76 (INTERIOR 201 )</t>
  </si>
  <si>
    <t>050611306000760201</t>
  </si>
  <si>
    <t>2025-11-28 16:01:57</t>
  </si>
  <si>
    <t>3 días 11:44</t>
  </si>
  <si>
    <t>4 días 11:44</t>
  </si>
  <si>
    <t>3 días 11:45</t>
  </si>
  <si>
    <t>4 días 11:45</t>
  </si>
  <si>
    <t>3 días 10:49</t>
  </si>
  <si>
    <t>4 días 10:49</t>
  </si>
  <si>
    <t>4 días 09:52</t>
  </si>
  <si>
    <t>3 días 13:54</t>
  </si>
  <si>
    <t>2 días 13:59</t>
  </si>
  <si>
    <t>3 días 13:59</t>
  </si>
  <si>
    <t>4 días 11:21</t>
  </si>
  <si>
    <t>1 días 10:15</t>
  </si>
  <si>
    <t>3 días 11:57</t>
  </si>
  <si>
    <t>3 días 21:51</t>
  </si>
  <si>
    <t>4 días 21:51</t>
  </si>
  <si>
    <t>5 días 10:25</t>
  </si>
  <si>
    <t>23543495</t>
  </si>
  <si>
    <t>19/09/2025 10:23:20</t>
  </si>
  <si>
    <t>2025-11-19 21:40:58</t>
  </si>
  <si>
    <t>LUZ DARY MENDOZA PARRA</t>
  </si>
  <si>
    <t>3014890587</t>
  </si>
  <si>
    <t>RURAL_116005322810100059_CL 31C 110A 50(101)</t>
  </si>
  <si>
    <t>116005322810100059</t>
  </si>
  <si>
    <t>2025-12-01 21:40:58</t>
  </si>
  <si>
    <t>2 días 14:37</t>
  </si>
  <si>
    <t>23549099</t>
  </si>
  <si>
    <t>25/09/2025 12:23:23</t>
  </si>
  <si>
    <t>2025-11-19 21:42:21</t>
  </si>
  <si>
    <t>FRANKY ALDERNEY DAVID DAVID</t>
  </si>
  <si>
    <t>CL 48 FD CR 100 AE -49 (INTERIOR 201 )</t>
  </si>
  <si>
    <t>084018640150490201</t>
  </si>
  <si>
    <t>2025-11-26 21:42:21</t>
  </si>
  <si>
    <t>23549183</t>
  </si>
  <si>
    <t>25/09/2025 13:22:02</t>
  </si>
  <si>
    <t>2025-11-19 21:42:32</t>
  </si>
  <si>
    <t>CL 48 FD CR 100 AE -49 (INTERIOR 202 )</t>
  </si>
  <si>
    <t>084018640150490202</t>
  </si>
  <si>
    <t>2025-11-26 21:42:32</t>
  </si>
  <si>
    <t>23551824</t>
  </si>
  <si>
    <t>29/09/2025 16:11:13</t>
  </si>
  <si>
    <t>2025-11-19 21:42:03</t>
  </si>
  <si>
    <t>ADRIANA MARIA CORREA CASTAÑO</t>
  </si>
  <si>
    <t>4386858</t>
  </si>
  <si>
    <t>3008456777</t>
  </si>
  <si>
    <t>CR 119 B CL 60 B -19 (INTERIOR 201 )</t>
  </si>
  <si>
    <t>086129200200190201</t>
  </si>
  <si>
    <t>2025-11-26 21:42:03</t>
  </si>
  <si>
    <t>23551870</t>
  </si>
  <si>
    <t>29/09/2025 16:40:26</t>
  </si>
  <si>
    <t>2025-11-19 21:42:12</t>
  </si>
  <si>
    <t>CL 66 CR 140 -80</t>
  </si>
  <si>
    <t>086416000000800000</t>
  </si>
  <si>
    <t>2025-11-26 21:42:12</t>
  </si>
  <si>
    <t>23551882</t>
  </si>
  <si>
    <t>29/09/2025 16:45:33</t>
  </si>
  <si>
    <t>2025-11-19 21:42:08</t>
  </si>
  <si>
    <t>CR 119 B CL 60 B -19 (INTERIOR 301 )</t>
  </si>
  <si>
    <t>086129200200190301</t>
  </si>
  <si>
    <t>2025-11-26 21:42:08</t>
  </si>
  <si>
    <t>23552408</t>
  </si>
  <si>
    <t>30/09/2025 10:04:53</t>
  </si>
  <si>
    <t>2025-11-19 21:41:44</t>
  </si>
  <si>
    <t>LUZ AIDA  QUIRAMA CORRALES</t>
  </si>
  <si>
    <t>3337242010</t>
  </si>
  <si>
    <t>CR 107 B CL 48 B -2 (INTERIOR 209 )</t>
  </si>
  <si>
    <t>084027208200020209</t>
  </si>
  <si>
    <t>2025-11-26 21:41:44</t>
  </si>
  <si>
    <t>23552423</t>
  </si>
  <si>
    <t>30/09/2025 10:17:08</t>
  </si>
  <si>
    <t>2025-11-19 21:41:51</t>
  </si>
  <si>
    <t>CR 107 B CL 48 B -2 (INTERIOR 212 )</t>
  </si>
  <si>
    <t>084027208200020212</t>
  </si>
  <si>
    <t>2025-11-26 21:41:51</t>
  </si>
  <si>
    <t>23552435</t>
  </si>
  <si>
    <t>30/09/2025 10:26:07</t>
  </si>
  <si>
    <t>2025-11-19 21:41:48</t>
  </si>
  <si>
    <t>CR 107 B CL 48 B -2 (INTERIOR 211 )</t>
  </si>
  <si>
    <t>084027208200020211</t>
  </si>
  <si>
    <t>2025-11-26 21:41:48</t>
  </si>
  <si>
    <t>23552451</t>
  </si>
  <si>
    <t>30/09/2025 10:33:01</t>
  </si>
  <si>
    <t>2025-11-19 21:41:40</t>
  </si>
  <si>
    <t>CR 107 B CL 48 B -2 (INTERIOR 105 )</t>
  </si>
  <si>
    <t>084027208200020105</t>
  </si>
  <si>
    <t>2025-11-26 21:41:40</t>
  </si>
  <si>
    <t>3 días 10:01</t>
  </si>
  <si>
    <t>2 días 13:34</t>
  </si>
  <si>
    <t>5 días 13:34</t>
  </si>
  <si>
    <t>4 días 11:15</t>
  </si>
  <si>
    <t>2 días 14:01</t>
  </si>
  <si>
    <t>3 días 14:01</t>
  </si>
  <si>
    <t>3 días 21:45</t>
  </si>
  <si>
    <t>4 días 21:45</t>
  </si>
  <si>
    <t>2 días 13:57</t>
  </si>
  <si>
    <t>3 días 13:57</t>
  </si>
  <si>
    <t>3 días 11:05</t>
  </si>
  <si>
    <t>4 días 11:05</t>
  </si>
  <si>
    <t>4 días 10:34</t>
  </si>
  <si>
    <t>3 días 10:44</t>
  </si>
  <si>
    <t>2 días 06:05</t>
  </si>
  <si>
    <t>3 días 06:05</t>
  </si>
  <si>
    <t>3 días 18:39</t>
  </si>
  <si>
    <t>4 días 18:39</t>
  </si>
  <si>
    <t>4 días 08:52</t>
  </si>
  <si>
    <t>4 días 13:05</t>
  </si>
  <si>
    <t>1 días 02:55</t>
  </si>
  <si>
    <t>6 días 11:07</t>
  </si>
  <si>
    <t>5 días 16:20</t>
  </si>
  <si>
    <t>2 días 16:20</t>
  </si>
  <si>
    <t>2 días 16:18</t>
  </si>
  <si>
    <t>5 días 16:18</t>
  </si>
  <si>
    <t>2 días 15:48</t>
  </si>
  <si>
    <t>0 días 09:20</t>
  </si>
  <si>
    <t>2 días 09:25</t>
  </si>
  <si>
    <t>6 días 11:30</t>
  </si>
  <si>
    <t>3 días 12:55</t>
  </si>
  <si>
    <t>4 días 12:55</t>
  </si>
  <si>
    <t>3 días 14:55</t>
  </si>
  <si>
    <t>6 días 07:13</t>
  </si>
  <si>
    <t>6 días 10:48</t>
  </si>
  <si>
    <t>6 días 11:46</t>
  </si>
  <si>
    <t>3 días 11:49</t>
  </si>
  <si>
    <t>6 días 11:50</t>
  </si>
  <si>
    <t>1 días 11:50</t>
  </si>
  <si>
    <t>2 días 11:51</t>
  </si>
  <si>
    <t>6 días 12:43</t>
  </si>
  <si>
    <t>6 días 13:11</t>
  </si>
  <si>
    <t>6 días 14:26</t>
  </si>
  <si>
    <t>2 días 09:02</t>
  </si>
  <si>
    <t>2 días 10:12</t>
  </si>
  <si>
    <t>5 días 11:14</t>
  </si>
  <si>
    <t>5 días 16:48</t>
  </si>
  <si>
    <t>5 días 16:59</t>
  </si>
  <si>
    <t>4 días 10:31</t>
  </si>
  <si>
    <t>5 días 10:31</t>
  </si>
  <si>
    <t>3 días 07:24</t>
  </si>
  <si>
    <t>4 días 07:24</t>
  </si>
  <si>
    <t>3 días 07:54</t>
  </si>
  <si>
    <t>3 días 07:57</t>
  </si>
  <si>
    <t>3 días 08:08</t>
  </si>
  <si>
    <t>4 días 08:08</t>
  </si>
  <si>
    <t>3 días 08:15</t>
  </si>
  <si>
    <t>4 días 08:15</t>
  </si>
  <si>
    <t>3 días 09:18</t>
  </si>
  <si>
    <t>4 días 09:18</t>
  </si>
  <si>
    <t>3 días 09:22</t>
  </si>
  <si>
    <t>4 días 09:22</t>
  </si>
  <si>
    <t>4 días 09:47</t>
  </si>
  <si>
    <t>3 días 09:56</t>
  </si>
  <si>
    <t>4 días 09:56</t>
  </si>
  <si>
    <t>3 días 10:46</t>
  </si>
  <si>
    <t>3 días 11:17</t>
  </si>
  <si>
    <t>3 días 11:25</t>
  </si>
  <si>
    <t>4 días 11:25</t>
  </si>
  <si>
    <t>1 días 11:31</t>
  </si>
  <si>
    <t>3 días 11:33</t>
  </si>
  <si>
    <t>1 días 11:42</t>
  </si>
  <si>
    <t>3 días 13:31</t>
  </si>
  <si>
    <t>4 días 13:31</t>
  </si>
  <si>
    <t>3 días 13:47</t>
  </si>
  <si>
    <t>3 días 13:50</t>
  </si>
  <si>
    <t>1 días 14:26</t>
  </si>
  <si>
    <t>3 días 14:42</t>
  </si>
  <si>
    <t>4 días 14:42</t>
  </si>
  <si>
    <t>3 días 14:51</t>
  </si>
  <si>
    <t>3 días 15:00</t>
  </si>
  <si>
    <t>4 días 15:00</t>
  </si>
  <si>
    <t>6 días 15:46</t>
  </si>
  <si>
    <t>3 días 15:52</t>
  </si>
  <si>
    <t>4 días 15:52</t>
  </si>
  <si>
    <t>5 días 16:22</t>
  </si>
  <si>
    <t>3 días 16:58</t>
  </si>
  <si>
    <t>2 días 08:06</t>
  </si>
  <si>
    <t>2 días 08:24</t>
  </si>
  <si>
    <t>2 días 08:44</t>
  </si>
  <si>
    <t>3 días 08:44</t>
  </si>
  <si>
    <t>2 días 09:14</t>
  </si>
  <si>
    <t>2 días 09:31</t>
  </si>
  <si>
    <t>5 días 09:31</t>
  </si>
  <si>
    <t>2 días 10:13</t>
  </si>
  <si>
    <t>2 días 10:24</t>
  </si>
  <si>
    <t>2 días 10:34</t>
  </si>
  <si>
    <t>2 días 10:37</t>
  </si>
  <si>
    <t>3 días 10:37</t>
  </si>
  <si>
    <t>2 días 10:38</t>
  </si>
  <si>
    <t>3 días 10:38</t>
  </si>
  <si>
    <t>2 días 11:09</t>
  </si>
  <si>
    <t>3 días 11:09</t>
  </si>
  <si>
    <t>2 días 11:37</t>
  </si>
  <si>
    <t>3 días 11:37</t>
  </si>
  <si>
    <t>2 días 11:52</t>
  </si>
  <si>
    <t>3 días 11:52</t>
  </si>
  <si>
    <t>3 días 12:12</t>
  </si>
  <si>
    <t>2 días 12:29</t>
  </si>
  <si>
    <t>3 días 12:29</t>
  </si>
  <si>
    <t>6 días 12:53</t>
  </si>
  <si>
    <t>2 días 13:13</t>
  </si>
  <si>
    <t>2 días 13:51</t>
  </si>
  <si>
    <t>2 días 14:04</t>
  </si>
  <si>
    <t>2 días 14:07</t>
  </si>
  <si>
    <t>3 días 14:37</t>
  </si>
  <si>
    <t>2 días 15:18</t>
  </si>
  <si>
    <t>3 días 15:18</t>
  </si>
  <si>
    <t>2 días 15:43</t>
  </si>
  <si>
    <t>3 días 15:43</t>
  </si>
  <si>
    <t>2 días 15:50</t>
  </si>
  <si>
    <t>3 días 15:50</t>
  </si>
  <si>
    <t>2 días 15:53</t>
  </si>
  <si>
    <t>3 días 15:53</t>
  </si>
  <si>
    <t>2 días 17:20</t>
  </si>
  <si>
    <t>3 días 17:20</t>
  </si>
  <si>
    <t>0 días 07:08</t>
  </si>
  <si>
    <t>0 días 07:55</t>
  </si>
  <si>
    <t>9 días 08:44</t>
  </si>
  <si>
    <t>0 días 09:03</t>
  </si>
  <si>
    <t>0 días 10:11</t>
  </si>
  <si>
    <t>23593447</t>
  </si>
  <si>
    <t>19/11/2025 10:12:40</t>
  </si>
  <si>
    <t>2025-11-19 10:12:40</t>
  </si>
  <si>
    <t>WILLIAM RESTREPO OSPINA</t>
  </si>
  <si>
    <t>2431647</t>
  </si>
  <si>
    <t>RURAL_161115073000000201_RURAL CALDAS LA CORRALA</t>
  </si>
  <si>
    <t>161115073000000201</t>
  </si>
  <si>
    <t>2025-12-01 10:12:40</t>
  </si>
  <si>
    <t>0 días 10:12</t>
  </si>
  <si>
    <t>3 días 10:13</t>
  </si>
  <si>
    <t>0 días 10:26</t>
  </si>
  <si>
    <t>0 días 10:59</t>
  </si>
  <si>
    <t>6 días 11:13</t>
  </si>
  <si>
    <t>0 días 11:14</t>
  </si>
  <si>
    <t>6 días 11:15</t>
  </si>
  <si>
    <t>0 días 11:18</t>
  </si>
  <si>
    <t>0 días 11:19</t>
  </si>
  <si>
    <t>3 días 11:19</t>
  </si>
  <si>
    <t>0 días 11:21</t>
  </si>
  <si>
    <t>6 días 11:21</t>
  </si>
  <si>
    <t>0 días 11:33</t>
  </si>
  <si>
    <t>0 días 11:46</t>
  </si>
  <si>
    <t>7 días 11:46</t>
  </si>
  <si>
    <t>6 días 12:13</t>
  </si>
  <si>
    <t>0 días 12:26</t>
  </si>
  <si>
    <t>0 días 12:43</t>
  </si>
  <si>
    <t>7 días 12:43</t>
  </si>
  <si>
    <t>0 días 12:51</t>
  </si>
  <si>
    <t>0 días 13:10</t>
  </si>
  <si>
    <t>6 días 13:10</t>
  </si>
  <si>
    <t>0 días 13:11</t>
  </si>
  <si>
    <t>0 días 13:12</t>
  </si>
  <si>
    <t>6 días 13:12</t>
  </si>
  <si>
    <t>6 días 13:13</t>
  </si>
  <si>
    <t>0 días 13:14</t>
  </si>
  <si>
    <t>6 días 13:14</t>
  </si>
  <si>
    <t>0 días 13:17</t>
  </si>
  <si>
    <t>6 días 13:23</t>
  </si>
  <si>
    <t>0 días 13:39</t>
  </si>
  <si>
    <t>23593880</t>
  </si>
  <si>
    <t>19/11/2025 13:49:11</t>
  </si>
  <si>
    <t>2025-11-19 13:49:11</t>
  </si>
  <si>
    <t>CESAR AUGUSTO GALLEGO TORRES</t>
  </si>
  <si>
    <t>3142520510</t>
  </si>
  <si>
    <t>RURAL_161015840000000001_PROV.VEREDA EL RAIZAL SEC</t>
  </si>
  <si>
    <t>161015840000000001</t>
  </si>
  <si>
    <t>2025-12-01 13:49:11</t>
  </si>
  <si>
    <t>0 días 14:03</t>
  </si>
  <si>
    <t>23593969</t>
  </si>
  <si>
    <t>19/11/2025 14:41:26</t>
  </si>
  <si>
    <t>2025-11-19 14:41:26</t>
  </si>
  <si>
    <t>ASTRID ELIANA LONDOÑO SANCHEZ</t>
  </si>
  <si>
    <t>3146767023</t>
  </si>
  <si>
    <t>RURAL_122020300000000201_VDA BARRO BLANCO</t>
  </si>
  <si>
    <t>122020300000000201</t>
  </si>
  <si>
    <t>2025-12-01 14:41:26</t>
  </si>
  <si>
    <t>23594011</t>
  </si>
  <si>
    <t>19/11/2025 15:07:09</t>
  </si>
  <si>
    <t>2025-11-19 15:07:09</t>
  </si>
  <si>
    <t>JHON FREDY CHAVERRA MOSQUERA</t>
  </si>
  <si>
    <t>3012184288</t>
  </si>
  <si>
    <t>CL 65 CR 16 DD -99 (INTERIOR 3040 )</t>
  </si>
  <si>
    <t>056115006440993040</t>
  </si>
  <si>
    <t>2025-11-26 15:07:09</t>
  </si>
  <si>
    <t>23594031</t>
  </si>
  <si>
    <t>19/11/2025 15:18:03</t>
  </si>
  <si>
    <t>2025-11-19 15:18:03</t>
  </si>
  <si>
    <t>VERONICA BETANCOURT ARRUBLA</t>
  </si>
  <si>
    <t>3216228180</t>
  </si>
  <si>
    <t>RURAL_161113870000000002_PROV.RURAL_16111387000000</t>
  </si>
  <si>
    <t>161113870000000002</t>
  </si>
  <si>
    <t>2025-12-01 15:18:03</t>
  </si>
  <si>
    <t>23594040</t>
  </si>
  <si>
    <t>19/11/2025 15:21:38</t>
  </si>
  <si>
    <t>2025-11-19 15:21:38</t>
  </si>
  <si>
    <t>CR 55 A CL 57 A -46 (INTERIOR 401 )</t>
  </si>
  <si>
    <t>075525107100460401</t>
  </si>
  <si>
    <t>2025-11-26 15:21:38</t>
  </si>
  <si>
    <t>23594051</t>
  </si>
  <si>
    <t>19/11/2025 15:22:46</t>
  </si>
  <si>
    <t>2025-11-19 15:22:46</t>
  </si>
  <si>
    <t>3202860166</t>
  </si>
  <si>
    <t>CL 63 A CR 46 -52 (INTERIOR 301 )</t>
  </si>
  <si>
    <t>056413106000520301</t>
  </si>
  <si>
    <t>2025-11-28 15:22:46</t>
  </si>
  <si>
    <t>23594105</t>
  </si>
  <si>
    <t>19/11/2025 15:50:23</t>
  </si>
  <si>
    <t>2025-11-19 15:50:23</t>
  </si>
  <si>
    <t>JOHANA PATRICIA RODRIGUEZ CAÑAVERAL</t>
  </si>
  <si>
    <t>2771174</t>
  </si>
  <si>
    <t>3137872257</t>
  </si>
  <si>
    <t>CL 61 E CR 88 B -36 (INTERIOR 100 )</t>
  </si>
  <si>
    <t>056811508200360100</t>
  </si>
  <si>
    <t>2025-11-26 15:50:23</t>
  </si>
  <si>
    <t>23594136</t>
  </si>
  <si>
    <t>19/11/2025 16:02:42</t>
  </si>
  <si>
    <t>2025-11-19 16:02:43</t>
  </si>
  <si>
    <t>CL 61 E CR 88 B -36 (INTERIOR 101 )</t>
  </si>
  <si>
    <t>056811508200360101</t>
  </si>
  <si>
    <t>2025-11-26 16:02:43</t>
  </si>
  <si>
    <t>23594193</t>
  </si>
  <si>
    <t>19/11/2025 16:27:50</t>
  </si>
  <si>
    <t>2025-11-19 16:27:50</t>
  </si>
  <si>
    <t>MARTA ELCY VILLA CANO</t>
  </si>
  <si>
    <t>5058030</t>
  </si>
  <si>
    <t>3007260011</t>
  </si>
  <si>
    <t>CL 9 SUR CR 53 -81 (INTERIOR 201 )</t>
  </si>
  <si>
    <t>040519003000810201</t>
  </si>
  <si>
    <t>2025-11-26 16:27:50</t>
  </si>
  <si>
    <t>23594211</t>
  </si>
  <si>
    <t>19/11/2025 16:39:30</t>
  </si>
  <si>
    <t>2025-11-19 16:39:30</t>
  </si>
  <si>
    <t>DEISY JIMENEZ ROJAS</t>
  </si>
  <si>
    <t>3116985223</t>
  </si>
  <si>
    <t>CR 24 CL 56 E -22 (INTERIOR 150 )</t>
  </si>
  <si>
    <t>055224006500220150</t>
  </si>
  <si>
    <t>2025-11-26 16:39:30</t>
  </si>
  <si>
    <t>23594394</t>
  </si>
  <si>
    <t>19/11/2025 20:21:45</t>
  </si>
  <si>
    <t>2025-11-19 20:21:45</t>
  </si>
  <si>
    <t>YOVANNY RUIZ VARGAS</t>
  </si>
  <si>
    <t>CR 2 AH CL 46 -99</t>
  </si>
  <si>
    <t>054022186000990000</t>
  </si>
  <si>
    <t>2025-11-26 20:21:45</t>
  </si>
  <si>
    <t>BYB CONSTRUCTORES S.A.S</t>
  </si>
  <si>
    <t>3118500</t>
  </si>
  <si>
    <t>3007840247</t>
  </si>
  <si>
    <t>23583283</t>
  </si>
  <si>
    <t>13/11/2025 13:41:46</t>
  </si>
  <si>
    <t>2025-11-20 08:22:21</t>
  </si>
  <si>
    <t>MARIA MELBA RAMIREZ GUARIN</t>
  </si>
  <si>
    <t>2220228</t>
  </si>
  <si>
    <t>3013353512</t>
  </si>
  <si>
    <t>CL 53 CR 110 -539 (INTERIOR 279 )</t>
  </si>
  <si>
    <t>085113000005390279</t>
  </si>
  <si>
    <t>2025-11-27 08:22:21</t>
  </si>
  <si>
    <t>23593255</t>
  </si>
  <si>
    <t>19/11/2025 07:50:00</t>
  </si>
  <si>
    <t>2025-11-19 07:50:00</t>
  </si>
  <si>
    <t>MARIA EUGENIA SALDARRIAGA GAVIRIA</t>
  </si>
  <si>
    <t>3116384854</t>
  </si>
  <si>
    <t>CL 38 B CR 28 A -25 (INTERIOR 203 )</t>
  </si>
  <si>
    <t>053218208100250203</t>
  </si>
  <si>
    <t>2025-12-02 07:50:00</t>
  </si>
  <si>
    <t>23593681</t>
  </si>
  <si>
    <t>19/11/2025 11:39:06</t>
  </si>
  <si>
    <t>2025-11-19 11:39:06</t>
  </si>
  <si>
    <t>ADRIANA PATRICIA MOLINA SUAREZ</t>
  </si>
  <si>
    <t>4112026</t>
  </si>
  <si>
    <t>3052347532</t>
  </si>
  <si>
    <t>CR 80 B CL 35 A -3</t>
  </si>
  <si>
    <t>053820205100030000</t>
  </si>
  <si>
    <t>2025-12-02 11:39:06</t>
  </si>
  <si>
    <t>23593703</t>
  </si>
  <si>
    <t>19/11/2025 11:56:29</t>
  </si>
  <si>
    <t>2025-11-19 11:56:29</t>
  </si>
  <si>
    <t>MILDREY DURANGO DAVID</t>
  </si>
  <si>
    <t>3132792322</t>
  </si>
  <si>
    <t>RURAL_136029735311000000_CL 58C CR 98B-46 (IN 156)</t>
  </si>
  <si>
    <t>136029735311000000</t>
  </si>
  <si>
    <t>2025-12-10 11:56:29</t>
  </si>
  <si>
    <t>23593710</t>
  </si>
  <si>
    <t>19/11/2025 12:03:04</t>
  </si>
  <si>
    <t>2025-11-19 12:03:04</t>
  </si>
  <si>
    <t>RURAL_116005603001100000_CL 30 110 -4</t>
  </si>
  <si>
    <t>116005603001100000</t>
  </si>
  <si>
    <t>2025-12-10 12:03:04</t>
  </si>
  <si>
    <t>23594036</t>
  </si>
  <si>
    <t>19/11/2025 15:20:27</t>
  </si>
  <si>
    <t>2025-11-19 15:20:27</t>
  </si>
  <si>
    <t>BERTHA CECILIA MEZA CUETO</t>
  </si>
  <si>
    <t>3108909530</t>
  </si>
  <si>
    <t>RURAL_136029793900000000_CR 99A CL 57B -66</t>
  </si>
  <si>
    <t>136029793900000000</t>
  </si>
  <si>
    <t>2025-12-10 15:20:27</t>
  </si>
  <si>
    <t>23594085</t>
  </si>
  <si>
    <t>19/11/2025 15:39:50</t>
  </si>
  <si>
    <t>2025-11-19 15:39:50</t>
  </si>
  <si>
    <t>CL 58 CR 94 -95</t>
  </si>
  <si>
    <t>055918004000950000</t>
  </si>
  <si>
    <t>2025-12-02 15:39:50</t>
  </si>
  <si>
    <t>23594130</t>
  </si>
  <si>
    <t>19/11/2025 15:56:53</t>
  </si>
  <si>
    <t>2025-11-19 15:56:53</t>
  </si>
  <si>
    <t>FABIAN ALEXIS ECHAVARRIA GONZALEZ</t>
  </si>
  <si>
    <t>3128717998</t>
  </si>
  <si>
    <t>RURAL_147058700000000000_LA CUMBRE-TRAVESIAS</t>
  </si>
  <si>
    <t>147058700000000000</t>
  </si>
  <si>
    <t>2025-12-10 15:56:53</t>
  </si>
  <si>
    <t>23594200</t>
  </si>
  <si>
    <t>19/11/2025 16:34:11</t>
  </si>
  <si>
    <t>2025-11-19 16:34:11</t>
  </si>
  <si>
    <t>YESSICA MARIA OSPINA OSPINA</t>
  </si>
  <si>
    <t>3002835232</t>
  </si>
  <si>
    <t>RURAL_147045228500000000_147045228500000000</t>
  </si>
  <si>
    <t>147045228500000000</t>
  </si>
  <si>
    <t>2025-12-10 16:34:11</t>
  </si>
  <si>
    <t>22992507</t>
  </si>
  <si>
    <t>18/01/2024 13:22:43</t>
  </si>
  <si>
    <t>2025-11-20 09:37:14</t>
  </si>
  <si>
    <t>JONNATAN ANDRES ZAPATA GUTIERREZ</t>
  </si>
  <si>
    <t>3128887747</t>
  </si>
  <si>
    <t>CR 14 CL 55 -170 (INTERIOR 301 )</t>
  </si>
  <si>
    <t>055124005001700301</t>
  </si>
  <si>
    <t>2025-11-27 09:37:14</t>
  </si>
  <si>
    <t>23062258</t>
  </si>
  <si>
    <t>20/03/2024 14:15:59</t>
  </si>
  <si>
    <t>2025-11-20 09:51:49</t>
  </si>
  <si>
    <t>CAROLINA HERRERA LOPEZ</t>
  </si>
  <si>
    <t>2348401</t>
  </si>
  <si>
    <t>3002118170</t>
  </si>
  <si>
    <t>CL 38 CR 86 A -9 (INTERIOR 401 )</t>
  </si>
  <si>
    <t>053818006100090401</t>
  </si>
  <si>
    <t>2025-12-01 09:51:49</t>
  </si>
  <si>
    <t>23132469</t>
  </si>
  <si>
    <t>17/06/2024 14:02:51</t>
  </si>
  <si>
    <t>2025-11-20 09:28:18</t>
  </si>
  <si>
    <t>MANUEL JOSE LOPEZ QUINTERO</t>
  </si>
  <si>
    <t>3212183883</t>
  </si>
  <si>
    <t>CL 48 FF CR 100 AE -64 (INTERIOR 118 )</t>
  </si>
  <si>
    <t>084018660150640118</t>
  </si>
  <si>
    <t>2025-11-27 09:28:18</t>
  </si>
  <si>
    <t>23132480</t>
  </si>
  <si>
    <t>17/06/2024 14:11:10</t>
  </si>
  <si>
    <t>2025-11-20 09:23:17</t>
  </si>
  <si>
    <t>CL 48 FF CR 100 AE -64 (INTERIOR 128 )</t>
  </si>
  <si>
    <t>084018660150640128</t>
  </si>
  <si>
    <t>2025-11-27 09:23:17</t>
  </si>
  <si>
    <t>23160222</t>
  </si>
  <si>
    <t>18/07/2024 13:12:18</t>
  </si>
  <si>
    <t>2025-11-20 12:43:02</t>
  </si>
  <si>
    <t>DIDIER ALEXIS YEPES ZAPATA</t>
  </si>
  <si>
    <t>3126187384</t>
  </si>
  <si>
    <t>CR 24 CL 36 D SUR -155 (INTERIOR 118 )</t>
  </si>
  <si>
    <t>023224006401550118</t>
  </si>
  <si>
    <t>2025-12-01 12:43:02</t>
  </si>
  <si>
    <t>23295220</t>
  </si>
  <si>
    <t>02/12/2024 11:56:17</t>
  </si>
  <si>
    <t>2025-11-20 12:13:49</t>
  </si>
  <si>
    <t>JHON ANDERSON ESTEBAN ANAYA</t>
  </si>
  <si>
    <t>3215638249</t>
  </si>
  <si>
    <t>CL 49 B CR 99 EE -221 (INTERIOR 326 )</t>
  </si>
  <si>
    <t>054919209552210326</t>
  </si>
  <si>
    <t>2025-12-01 12:13:49</t>
  </si>
  <si>
    <t>23295228</t>
  </si>
  <si>
    <t>02/12/2024 12:00:31</t>
  </si>
  <si>
    <t>2025-11-20 12:13:16</t>
  </si>
  <si>
    <t>CL 49 B CR 99 EE -221 (INTERIOR 226 )</t>
  </si>
  <si>
    <t>054919209552210226</t>
  </si>
  <si>
    <t>2025-12-01 12:13:16</t>
  </si>
  <si>
    <t>23316686</t>
  </si>
  <si>
    <t>02/01/2025 17:16:25</t>
  </si>
  <si>
    <t>2025-11-19 16:58:05</t>
  </si>
  <si>
    <t>OLIVIA CARVAJAL RODRIGUEZ</t>
  </si>
  <si>
    <t>2170371</t>
  </si>
  <si>
    <t>3113582832</t>
  </si>
  <si>
    <t>CL 40 CR 26 C -40 (INTERIOR 101 )</t>
  </si>
  <si>
    <t>054210006300400101</t>
  </si>
  <si>
    <t>2025-11-28 16:58:05</t>
  </si>
  <si>
    <t>23404475</t>
  </si>
  <si>
    <t>02/04/2025 12:14:56</t>
  </si>
  <si>
    <t>2025-11-20 11:51:50</t>
  </si>
  <si>
    <t>ANA DELIA ISAZA ISAZA</t>
  </si>
  <si>
    <t>4719300</t>
  </si>
  <si>
    <t>3127599010</t>
  </si>
  <si>
    <t>CL 54 B CR 1 ESTE -14</t>
  </si>
  <si>
    <t>705014201000140000</t>
  </si>
  <si>
    <t>2025-11-27 11:51:50</t>
  </si>
  <si>
    <t>23466962</t>
  </si>
  <si>
    <t>16/06/2025 15:56:18</t>
  </si>
  <si>
    <t>2025-11-19 15:40:59</t>
  </si>
  <si>
    <t>VELEZ QUIROS ANDRES ALBERTO</t>
  </si>
  <si>
    <t>2785364</t>
  </si>
  <si>
    <t>3128346250</t>
  </si>
  <si>
    <t>CL 112 SUR CR 54 -24 (INTERIOR 103 )</t>
  </si>
  <si>
    <t>001512004000240103</t>
  </si>
  <si>
    <t>2025-11-28 15:40:59</t>
  </si>
  <si>
    <t>23467906</t>
  </si>
  <si>
    <t>17/06/2025 15:36:56</t>
  </si>
  <si>
    <t>2025-11-20 12:17:00</t>
  </si>
  <si>
    <t>JUAN ESTEBAN VELEZ EVANS</t>
  </si>
  <si>
    <t>2683620</t>
  </si>
  <si>
    <t>3176655401</t>
  </si>
  <si>
    <t>CL 7 D CR 43 C -95 (INTERIOR 101 )</t>
  </si>
  <si>
    <t>050417403300950101</t>
  </si>
  <si>
    <t>2025-12-01 12:17:00</t>
  </si>
  <si>
    <t>23506435</t>
  </si>
  <si>
    <t>05/08/2025 12:14:15</t>
  </si>
  <si>
    <t>2025-11-19 21:06:30</t>
  </si>
  <si>
    <t>LUIS FERNANDO LONDOÑO PEREZ</t>
  </si>
  <si>
    <t>3176403115</t>
  </si>
  <si>
    <t>CL 45 A CR 56 -113 (INTERIOR 301 )</t>
  </si>
  <si>
    <t>074515106001130301</t>
  </si>
  <si>
    <t>2025-11-28 21:06:30</t>
  </si>
  <si>
    <t>23509918</t>
  </si>
  <si>
    <t>11/08/2025 11:57:30</t>
  </si>
  <si>
    <t>2025-11-19 21:43:23</t>
  </si>
  <si>
    <t>MARIA SOLINA GONZALEZ SERNA</t>
  </si>
  <si>
    <t>3215915287</t>
  </si>
  <si>
    <t>CL 55 CR 6 F -71 (INTERIOR 100 )</t>
  </si>
  <si>
    <t>055015006600710100</t>
  </si>
  <si>
    <t>2025-11-28 21:43:23</t>
  </si>
  <si>
    <t>0 días 21:43</t>
  </si>
  <si>
    <t>23509935</t>
  </si>
  <si>
    <t>11/08/2025 12:10:42</t>
  </si>
  <si>
    <t>2025-11-19 21:43:14</t>
  </si>
  <si>
    <t>CL 55 CR 6 F -71 (INTERIOR 101 )</t>
  </si>
  <si>
    <t>055015006600710101</t>
  </si>
  <si>
    <t>2025-11-28 21:43:14</t>
  </si>
  <si>
    <t>23513780</t>
  </si>
  <si>
    <t>14/08/2025 16:05:49</t>
  </si>
  <si>
    <t>2025-11-19 15:48:07</t>
  </si>
  <si>
    <t>IRMA AURORA VALENCIA ZAPATA</t>
  </si>
  <si>
    <t>2994051</t>
  </si>
  <si>
    <t>3117290231</t>
  </si>
  <si>
    <t>RURAL_159161305000000103_PROV.159161305000000101</t>
  </si>
  <si>
    <t>159161305000000103</t>
  </si>
  <si>
    <t>2025-12-03 15:48:07</t>
  </si>
  <si>
    <t>23515869</t>
  </si>
  <si>
    <t>19/08/2025 11:50:46</t>
  </si>
  <si>
    <t>2025-11-20 10:20:22</t>
  </si>
  <si>
    <t>JOSE HERIBERTO ROLDAN</t>
  </si>
  <si>
    <t>4964747</t>
  </si>
  <si>
    <t>3128593511</t>
  </si>
  <si>
    <t>CL 48 F CR 99 CC -47 (INTERIOR 301 )</t>
  </si>
  <si>
    <t>054918609330470301</t>
  </si>
  <si>
    <t>2025-12-01 10:20:22</t>
  </si>
  <si>
    <t>23520030</t>
  </si>
  <si>
    <t>27/08/2025 16:44:09</t>
  </si>
  <si>
    <t>2025-11-19 21:41:06</t>
  </si>
  <si>
    <t>BEATRIZ QUINTERO MARTINEZ</t>
  </si>
  <si>
    <t>3137165557</t>
  </si>
  <si>
    <t>RURAL_116005312515300101</t>
  </si>
  <si>
    <t>116005312515300101</t>
  </si>
  <si>
    <t>2025-11-26 21:41:06</t>
  </si>
  <si>
    <t>23520066</t>
  </si>
  <si>
    <t>27/08/2025 16:46:26</t>
  </si>
  <si>
    <t>2025-11-19 21:41:12</t>
  </si>
  <si>
    <t>MARIA TERESA MARTINEZ BORJA</t>
  </si>
  <si>
    <t>RURAL_116005312515300102</t>
  </si>
  <si>
    <t>116005312515300102</t>
  </si>
  <si>
    <t>2025-11-26 21:41:12</t>
  </si>
  <si>
    <t>23520366</t>
  </si>
  <si>
    <t>27/08/2025 16:48:13</t>
  </si>
  <si>
    <t>2025-11-19 21:41:18</t>
  </si>
  <si>
    <t>HECTOR VARON MORENO</t>
  </si>
  <si>
    <t>3057423189</t>
  </si>
  <si>
    <t>RURAL_116005312515600105</t>
  </si>
  <si>
    <t>116005312515300001</t>
  </si>
  <si>
    <t>2025-11-26 21:41:18</t>
  </si>
  <si>
    <t>23520387</t>
  </si>
  <si>
    <t>27/08/2025 16:45:13</t>
  </si>
  <si>
    <t>2025-11-19 21:41:15</t>
  </si>
  <si>
    <t>RODOLFO QUINTERO MARTINEZ</t>
  </si>
  <si>
    <t>3218822019</t>
  </si>
  <si>
    <t>RURAL_116005312515300103</t>
  </si>
  <si>
    <t>116005312515300103</t>
  </si>
  <si>
    <t>2025-11-26 21:41:15</t>
  </si>
  <si>
    <t>23529256</t>
  </si>
  <si>
    <t>02/09/2025 15:14:48</t>
  </si>
  <si>
    <t>2025-11-19 21:44:12</t>
  </si>
  <si>
    <t>JUAN CARLOS USUGA ALVAREZ</t>
  </si>
  <si>
    <t>3128733689</t>
  </si>
  <si>
    <t>CR 22 CL 53 -104 (INTERIOR 102 )</t>
  </si>
  <si>
    <t>055222003001040102</t>
  </si>
  <si>
    <t>2025-11-28 21:44:12</t>
  </si>
  <si>
    <t>23532133</t>
  </si>
  <si>
    <t>20/11/2025 08:53:04</t>
  </si>
  <si>
    <t>2025-11-20 08:53:04</t>
  </si>
  <si>
    <t>SANDRA TERESA HERNANDEZ VALENCIA</t>
  </si>
  <si>
    <t>3207827347</t>
  </si>
  <si>
    <t>CR 18 A CL 56 A -25 (INTERIOR 210 )</t>
  </si>
  <si>
    <t>055128106100250210</t>
  </si>
  <si>
    <t>2025-11-27 08:53:04</t>
  </si>
  <si>
    <t>23532756</t>
  </si>
  <si>
    <t>20/11/2025 14:09:45</t>
  </si>
  <si>
    <t>2025-11-20 14:09:45</t>
  </si>
  <si>
    <t>ERNESTO DE JESUS TANGARIFE VALENCIA</t>
  </si>
  <si>
    <t>3053101040</t>
  </si>
  <si>
    <t>CL 38 A SUR CR 46 -119</t>
  </si>
  <si>
    <t>023418106001190000</t>
  </si>
  <si>
    <t>2025-11-26 14:09:45</t>
  </si>
  <si>
    <t>23535853</t>
  </si>
  <si>
    <t>20/11/2025 08:53:36</t>
  </si>
  <si>
    <t>2025-11-20 08:53:36</t>
  </si>
  <si>
    <t>BERTIN DE JESUS RIOS VILLADA</t>
  </si>
  <si>
    <t>3026230592</t>
  </si>
  <si>
    <t>CR 25 A CL 56 B -40 (INTERIOR 204 )</t>
  </si>
  <si>
    <t>055225106200400204</t>
  </si>
  <si>
    <t>2025-11-27 08:53:36</t>
  </si>
  <si>
    <t>23539710</t>
  </si>
  <si>
    <t>15/09/2025 14:53:53</t>
  </si>
  <si>
    <t>2025-11-19 21:40:49</t>
  </si>
  <si>
    <t>JEISON ADOLFO RUIZ ARANGO</t>
  </si>
  <si>
    <t>3113392042</t>
  </si>
  <si>
    <t>CR 132 CL 59 -19 (INTERIOR 201 )</t>
  </si>
  <si>
    <t>085322009000190201</t>
  </si>
  <si>
    <t>2025-11-28 21:40:49</t>
  </si>
  <si>
    <t>6 días 21:40</t>
  </si>
  <si>
    <t>23540684</t>
  </si>
  <si>
    <t>16/09/2025 11:27:36</t>
  </si>
  <si>
    <t>2025-11-19 21:40:11</t>
  </si>
  <si>
    <t>FABIAN DARIO GIRALDO ARISTIZABAL</t>
  </si>
  <si>
    <t>5000000</t>
  </si>
  <si>
    <t>3128800125</t>
  </si>
  <si>
    <t>CL 65 CR 45 A -66 (INTERIOR 101 )</t>
  </si>
  <si>
    <t>076415005100660101</t>
  </si>
  <si>
    <t>2025-11-28 21:40:11</t>
  </si>
  <si>
    <t>23540876</t>
  </si>
  <si>
    <t>16/09/2025 14:06:09</t>
  </si>
  <si>
    <t>2025-11-19 21:43:19</t>
  </si>
  <si>
    <t>MARIA TERESA RIVERA MEJIA</t>
  </si>
  <si>
    <t>3003023706</t>
  </si>
  <si>
    <t>CL 46 DD CR 2 AD -4 (INTERIOR 302 )</t>
  </si>
  <si>
    <t>054016442140040302</t>
  </si>
  <si>
    <t>2025-11-28 21:43:19</t>
  </si>
  <si>
    <t>23541409</t>
  </si>
  <si>
    <t>17/09/2025 10:33:52</t>
  </si>
  <si>
    <t>2025-11-19 21:43:27</t>
  </si>
  <si>
    <t>ORLANDO DE JESUS GIRALDO SALAZAR</t>
  </si>
  <si>
    <t>3011106618</t>
  </si>
  <si>
    <t>CR 56 A CL 54 A -8 (INTERIOR 101 )</t>
  </si>
  <si>
    <t>055526104100080101</t>
  </si>
  <si>
    <t>2025-11-28 21:43:27</t>
  </si>
  <si>
    <t>23541551</t>
  </si>
  <si>
    <t>17/09/2025 12:15:36</t>
  </si>
  <si>
    <t>2025-11-19 21:40:53</t>
  </si>
  <si>
    <t>WILLIAM DE JESUS HOYOS HOYOS</t>
  </si>
  <si>
    <t>3504244840</t>
  </si>
  <si>
    <t>CL 63 CR 142 -86 (INTERIOR 127 )</t>
  </si>
  <si>
    <t>086413002000860127</t>
  </si>
  <si>
    <t>2025-11-28 21:40:53</t>
  </si>
  <si>
    <t>23543902</t>
  </si>
  <si>
    <t>19/09/2025 16:09:26</t>
  </si>
  <si>
    <t>2025-11-19 21:42:17</t>
  </si>
  <si>
    <t>LUZ DARY ROMAN MESA</t>
  </si>
  <si>
    <t>3017029758</t>
  </si>
  <si>
    <t>CR 87 B CL 49 DD -130 (INTERIOR 220 )</t>
  </si>
  <si>
    <t>054827209441300220</t>
  </si>
  <si>
    <t>2025-11-28 21:42:17</t>
  </si>
  <si>
    <t>23546123</t>
  </si>
  <si>
    <t>22/09/2025 16:48:03</t>
  </si>
  <si>
    <t>2025-11-19 21:43:31</t>
  </si>
  <si>
    <t>LINA MARIA ALVAREZ HOLGUIN</t>
  </si>
  <si>
    <t>3429487</t>
  </si>
  <si>
    <t>3105386966</t>
  </si>
  <si>
    <t>CL 25 CR 79 -274</t>
  </si>
  <si>
    <t>052715009002740000</t>
  </si>
  <si>
    <t>2025-11-28 21:43:31</t>
  </si>
  <si>
    <t>23546766</t>
  </si>
  <si>
    <t>23/09/2025 11:07:37</t>
  </si>
  <si>
    <t>2025-11-19 21:44:04</t>
  </si>
  <si>
    <t>DIANA  AMPARO GUTIERREZ  ROJO</t>
  </si>
  <si>
    <t>2693588</t>
  </si>
  <si>
    <t>3136394237</t>
  </si>
  <si>
    <t>CL 47 D CR 1 -42 (INTERIOR 101 )</t>
  </si>
  <si>
    <t>054017401000420101</t>
  </si>
  <si>
    <t>2025-11-28 21:44:04</t>
  </si>
  <si>
    <t>23546835</t>
  </si>
  <si>
    <t>23/09/2025 11:59:50</t>
  </si>
  <si>
    <t>2025-11-19 21:44:08</t>
  </si>
  <si>
    <t>3127268599</t>
  </si>
  <si>
    <t>CL 47 D CR 1 -42 (INTERIOR 102 )</t>
  </si>
  <si>
    <t>054017401000420102</t>
  </si>
  <si>
    <t>2025-11-28 21:44:08</t>
  </si>
  <si>
    <t>23546988</t>
  </si>
  <si>
    <t>23/09/2025 13:56:54</t>
  </si>
  <si>
    <t>2025-11-20 15:32:03</t>
  </si>
  <si>
    <t>NESTOR EFREN ALVAREZ CALLE</t>
  </si>
  <si>
    <t>3146107784</t>
  </si>
  <si>
    <t>CL 34 AD CR 125 -20 (INTERIOR 301 )</t>
  </si>
  <si>
    <t>083214145000200301</t>
  </si>
  <si>
    <t>2025-12-01 15:32:03</t>
  </si>
  <si>
    <t>23553817</t>
  </si>
  <si>
    <t>01/10/2025 15:01:56</t>
  </si>
  <si>
    <t>2025-11-20 07:09:10</t>
  </si>
  <si>
    <t>LUZ MARINA GOMEZ BERGEN</t>
  </si>
  <si>
    <t>2646900</t>
  </si>
  <si>
    <t>3212570103</t>
  </si>
  <si>
    <t>CR 70 CL 45 E -25 (INTERIOR 201 )</t>
  </si>
  <si>
    <t>054720005500250201</t>
  </si>
  <si>
    <t>2025-12-01 07:09:10</t>
  </si>
  <si>
    <t>23553818</t>
  </si>
  <si>
    <t>2025-11-20 07:14:23</t>
  </si>
  <si>
    <t>CR 70 CL 45 E -25 (INTERIOR 202 )</t>
  </si>
  <si>
    <t>054720005500250202</t>
  </si>
  <si>
    <t>2025-12-01 07:14:23</t>
  </si>
  <si>
    <t>23553819</t>
  </si>
  <si>
    <t>01/10/2025 15:02:57</t>
  </si>
  <si>
    <t>2025-11-20 07:13:28</t>
  </si>
  <si>
    <t>CR 70 CL 45 E -25 (INTERIOR 203 )</t>
  </si>
  <si>
    <t>054720005500250203</t>
  </si>
  <si>
    <t>2025-12-01 07:13:28</t>
  </si>
  <si>
    <t>23553824</t>
  </si>
  <si>
    <t>01/10/2025 15:05:24</t>
  </si>
  <si>
    <t>2025-11-20 07:11:16</t>
  </si>
  <si>
    <t>CR 70 CL 45 E -25 (INTERIOR 301 )</t>
  </si>
  <si>
    <t>054720005500250301</t>
  </si>
  <si>
    <t>2025-12-01 07:11:16</t>
  </si>
  <si>
    <t>23554856</t>
  </si>
  <si>
    <t>20/11/2025 08:54:09</t>
  </si>
  <si>
    <t>2025-11-20 08:54:09</t>
  </si>
  <si>
    <t>YESENIA VELEZ HOLGUIN</t>
  </si>
  <si>
    <t>3016040071</t>
  </si>
  <si>
    <t>CR 108 CL 36 -27 (INTERIOR 3 )</t>
  </si>
  <si>
    <t>083028006000270003</t>
  </si>
  <si>
    <t>2025-11-27 08:54:09</t>
  </si>
  <si>
    <t>23557147</t>
  </si>
  <si>
    <t>06/10/2025 12:04:08</t>
  </si>
  <si>
    <t>2025-11-20 09:45:01</t>
  </si>
  <si>
    <t>ANGELO ANTONIO VILLADA HERNANDEZ</t>
  </si>
  <si>
    <t>3015109734</t>
  </si>
  <si>
    <t>CR 65 G CL 25 -70 (INTERIOR 301 )</t>
  </si>
  <si>
    <t>052625705000700301</t>
  </si>
  <si>
    <t>2025-11-27 09:45:01</t>
  </si>
  <si>
    <t>23557172</t>
  </si>
  <si>
    <t>06/10/2025 12:18:25</t>
  </si>
  <si>
    <t>2025-11-20 09:48:48</t>
  </si>
  <si>
    <t>CR 65 G CL 25 -70 (INTERIOR 201 )</t>
  </si>
  <si>
    <t>052625705000700201</t>
  </si>
  <si>
    <t>2025-11-27 09:48:48</t>
  </si>
  <si>
    <t>23557178</t>
  </si>
  <si>
    <t>06/10/2025 12:22:52</t>
  </si>
  <si>
    <t>2025-11-20 09:43:35</t>
  </si>
  <si>
    <t>CR 65 G CL 25 -70 (INTERIOR 401 )</t>
  </si>
  <si>
    <t>052625705000700401</t>
  </si>
  <si>
    <t>2025-11-27 09:43:35</t>
  </si>
  <si>
    <t>23558127</t>
  </si>
  <si>
    <t>07/10/2025 08:52:45</t>
  </si>
  <si>
    <t>2025-11-20 06:31:35</t>
  </si>
  <si>
    <t>OSCAR ALEXIS ARRIETA ROSA</t>
  </si>
  <si>
    <t>3024340895</t>
  </si>
  <si>
    <t>CR 75 CL 44 A -52 (INTERIOR 202 )</t>
  </si>
  <si>
    <t>054725004100520202</t>
  </si>
  <si>
    <t>2025-12-01 06:31:35</t>
  </si>
  <si>
    <t>23558137</t>
  </si>
  <si>
    <t>07/10/2025 08:58:18</t>
  </si>
  <si>
    <t>2025-11-20 06:33:38</t>
  </si>
  <si>
    <t>GERMAN ALBERTO GUEVARA GONZALEZ</t>
  </si>
  <si>
    <t>5788824</t>
  </si>
  <si>
    <t>CR 75 CL 44 A -52 (INTERIOR 801 )</t>
  </si>
  <si>
    <t>054725004100520801</t>
  </si>
  <si>
    <t>2025-12-01 06:33:38</t>
  </si>
  <si>
    <t>23558843</t>
  </si>
  <si>
    <t>16/10/2025 14:41:00</t>
  </si>
  <si>
    <t>2025-11-20 11:12:06</t>
  </si>
  <si>
    <t>JUAN JOSE RENDON ZAPATA</t>
  </si>
  <si>
    <t>4496979</t>
  </si>
  <si>
    <t>3217672968</t>
  </si>
  <si>
    <t>RURAL_146014630900000001_RURAL_PALMITAS</t>
  </si>
  <si>
    <t>146014630900000001</t>
  </si>
  <si>
    <t>2025-12-02 11:12:06</t>
  </si>
  <si>
    <t>23561827</t>
  </si>
  <si>
    <t>11/10/2025 08:40:58</t>
  </si>
  <si>
    <t>2025-11-20 13:39:37</t>
  </si>
  <si>
    <t>ORFELINA MORENO ANAYA</t>
  </si>
  <si>
    <t>3225084077</t>
  </si>
  <si>
    <t>CL 55 CR 106 D -230 (INTERIOR 248 )</t>
  </si>
  <si>
    <t>085015006402300248</t>
  </si>
  <si>
    <t>2025-11-27 13:39:37</t>
  </si>
  <si>
    <t>5 días 13:39</t>
  </si>
  <si>
    <t>23571669</t>
  </si>
  <si>
    <t>23/10/2025 14:29:55</t>
  </si>
  <si>
    <t>2025-11-20 13:16:35</t>
  </si>
  <si>
    <t>LEIDY JHOANA CARDENAS TUMIÑA</t>
  </si>
  <si>
    <t>3147814629</t>
  </si>
  <si>
    <t>CL 58 CR 94 -61 (INTERIOR 145 )</t>
  </si>
  <si>
    <t>055918004000610145</t>
  </si>
  <si>
    <t>2025-12-05 13:16:35</t>
  </si>
  <si>
    <t>23572188</t>
  </si>
  <si>
    <t>24/10/2025 08:16:07</t>
  </si>
  <si>
    <t>2025-11-20 09:52:20</t>
  </si>
  <si>
    <t>CRUZ ELENA CASTAÑO SOTO</t>
  </si>
  <si>
    <t>CR 102 CL 48 D -67 (INTERIOR 301 )</t>
  </si>
  <si>
    <t>084022008400670301</t>
  </si>
  <si>
    <t>2025-11-27 09:52:20</t>
  </si>
  <si>
    <t>5 días 09:52</t>
  </si>
  <si>
    <t>23572245</t>
  </si>
  <si>
    <t>24/10/2025 09:05:31</t>
  </si>
  <si>
    <t>2025-11-20 09:53:38</t>
  </si>
  <si>
    <t>CR 102 CL 48 D -67 (INTERIOR 302 )</t>
  </si>
  <si>
    <t>084022008400670302</t>
  </si>
  <si>
    <t>2025-11-27 09:53:38</t>
  </si>
  <si>
    <t>23576299</t>
  </si>
  <si>
    <t>29/10/2025 10:20:13</t>
  </si>
  <si>
    <t>2025-11-20 13:10:41</t>
  </si>
  <si>
    <t>NORA ELENA MONSALVE CASTAÑO</t>
  </si>
  <si>
    <t>4879801</t>
  </si>
  <si>
    <t>3127810074</t>
  </si>
  <si>
    <t>TRAN 32 C DIAG 74 D -65 (INTERIOR 201 )</t>
  </si>
  <si>
    <t>053792304400650201</t>
  </si>
  <si>
    <t>2025-12-01 13:10:41</t>
  </si>
  <si>
    <t>23576307</t>
  </si>
  <si>
    <t>29/10/2025 10:24:47</t>
  </si>
  <si>
    <t>2025-11-20 13:16:47</t>
  </si>
  <si>
    <t>TRAN 32 C DIAG 74 D -65 (INTERIOR 801 )</t>
  </si>
  <si>
    <t>053792304400650801</t>
  </si>
  <si>
    <t>2025-12-01 13:16:47</t>
  </si>
  <si>
    <t>23576308</t>
  </si>
  <si>
    <t>2025-11-20 13:17:22</t>
  </si>
  <si>
    <t>TRAN 32 C DIAG 74 D -65 (INTERIOR 901 )</t>
  </si>
  <si>
    <t>053792304400650901</t>
  </si>
  <si>
    <t>2025-12-01 13:17:22</t>
  </si>
  <si>
    <t>23576309</t>
  </si>
  <si>
    <t>29/10/2025 10:24:57</t>
  </si>
  <si>
    <t>2025-11-20 13:15:22</t>
  </si>
  <si>
    <t>TRAN 32 C DIAG 74 D -65 (INTERIOR 601 )</t>
  </si>
  <si>
    <t>053792304400650601</t>
  </si>
  <si>
    <t>2025-12-01 13:15:22</t>
  </si>
  <si>
    <t>7 días 13:15</t>
  </si>
  <si>
    <t>23576313</t>
  </si>
  <si>
    <t>29/10/2025 10:25:49</t>
  </si>
  <si>
    <t>2025-11-20 13:14:28</t>
  </si>
  <si>
    <t>TRAN 32 C DIAG 74 D -65 (INTERIOR 501 )</t>
  </si>
  <si>
    <t>053792304400650501</t>
  </si>
  <si>
    <t>2025-12-01 13:14:28</t>
  </si>
  <si>
    <t>23576322</t>
  </si>
  <si>
    <t>29/10/2025 10:27:34</t>
  </si>
  <si>
    <t>2025-11-20 13:13:44</t>
  </si>
  <si>
    <t>TRAN 32 C DIAG 74 D -65 (INTERIOR 401 )</t>
  </si>
  <si>
    <t>053792304400650401</t>
  </si>
  <si>
    <t>2025-12-01 13:13:44</t>
  </si>
  <si>
    <t>7 días 13:13</t>
  </si>
  <si>
    <t>23576331</t>
  </si>
  <si>
    <t>29/10/2025 10:37:54</t>
  </si>
  <si>
    <t>2025-11-20 13:15:50</t>
  </si>
  <si>
    <t>TRAN 32 C DIAG 74 D -65 (INTERIOR 701 )</t>
  </si>
  <si>
    <t>053792304400650701</t>
  </si>
  <si>
    <t>2025-12-01 13:15:50</t>
  </si>
  <si>
    <t>23576345</t>
  </si>
  <si>
    <t>29/10/2025 10:43:56</t>
  </si>
  <si>
    <t>2025-11-20 13:11:45</t>
  </si>
  <si>
    <t>TRAN 32 C DIAG 74 D -65 (INTERIOR 301 )</t>
  </si>
  <si>
    <t>053792304400650301</t>
  </si>
  <si>
    <t>2025-12-01 13:11:45</t>
  </si>
  <si>
    <t>7 días 13:11</t>
  </si>
  <si>
    <t>23578462</t>
  </si>
  <si>
    <t>30/10/2025 16:50:11</t>
  </si>
  <si>
    <t>2025-11-20 14:54:44</t>
  </si>
  <si>
    <t>CL 53 CR 55 A -31 (INTERIOR 1513 BQ 2 )</t>
  </si>
  <si>
    <t>075513005100311513</t>
  </si>
  <si>
    <t>2025-12-01 14:54:44</t>
  </si>
  <si>
    <t>23578466</t>
  </si>
  <si>
    <t>30/10/2025 16:51:38</t>
  </si>
  <si>
    <t>2025-11-20 14:54:45</t>
  </si>
  <si>
    <t>CL 53 CR 55 A -31 (INTERIOR 1514 BQ 2 )</t>
  </si>
  <si>
    <t>075513005100311514</t>
  </si>
  <si>
    <t>2025-12-01 14:54:45</t>
  </si>
  <si>
    <t>23578474</t>
  </si>
  <si>
    <t>30/10/2025 16:53:27</t>
  </si>
  <si>
    <t>CL 53 CR 55 A -31 (INTERIOR 1510 BQ 2 )</t>
  </si>
  <si>
    <t>075513005100311510</t>
  </si>
  <si>
    <t>23578489</t>
  </si>
  <si>
    <t>30/10/2025 16:57:56</t>
  </si>
  <si>
    <t>CL 53 CR 55 A -31 (INTERIOR 1512 BQ 2 )</t>
  </si>
  <si>
    <t>075513005100311512</t>
  </si>
  <si>
    <t>23578553</t>
  </si>
  <si>
    <t>30/10/2025 18:00:49</t>
  </si>
  <si>
    <t>CL 53 CR 55 A -31 (INTERIOR 1511 BQ 2 )</t>
  </si>
  <si>
    <t>075513005100311511</t>
  </si>
  <si>
    <t>23578578</t>
  </si>
  <si>
    <t>30/10/2025 19:01:50</t>
  </si>
  <si>
    <t>2025-11-20 14:54:46</t>
  </si>
  <si>
    <t>CL 53 CR 55 A -31 (INTERIOR 1515 BQ 2 )</t>
  </si>
  <si>
    <t>075513005100311515</t>
  </si>
  <si>
    <t>2025-12-01 14:54:46</t>
  </si>
  <si>
    <t>23578579</t>
  </si>
  <si>
    <t>30/10/2025 19:02:29</t>
  </si>
  <si>
    <t>CL 53 CR 55 A -31 (INTERIOR 1316 BQ 2 )</t>
  </si>
  <si>
    <t>075513005100311316</t>
  </si>
  <si>
    <t>23578583</t>
  </si>
  <si>
    <t>30/10/2025 19:05:40</t>
  </si>
  <si>
    <t>CL 53 CR 55 A -31 (INTERIOR 1509 BQ 2 )</t>
  </si>
  <si>
    <t>075513005100311509</t>
  </si>
  <si>
    <t>23578624</t>
  </si>
  <si>
    <t>30/10/2025 19:41:39</t>
  </si>
  <si>
    <t>CL 53 CR 55 A -31 (INTERIOR 1613 BQ 2 )</t>
  </si>
  <si>
    <t>075513005100311613</t>
  </si>
  <si>
    <t>23578637</t>
  </si>
  <si>
    <t>30/10/2025 19:47:25</t>
  </si>
  <si>
    <t>2025-11-20 14:54:47</t>
  </si>
  <si>
    <t>CL 53 CR 55 A -31 (INTERIOR 1610 BQ 2 )</t>
  </si>
  <si>
    <t>075513005100311610</t>
  </si>
  <si>
    <t>2025-12-01 14:54:47</t>
  </si>
  <si>
    <t>23578667</t>
  </si>
  <si>
    <t>30/10/2025 20:44:00</t>
  </si>
  <si>
    <t>CL 53 CR 55 A -31 (INTERIOR 1313 BQ 2 )</t>
  </si>
  <si>
    <t>075513005100311313</t>
  </si>
  <si>
    <t>23578668</t>
  </si>
  <si>
    <t>30/10/2025 20:43:59</t>
  </si>
  <si>
    <t>CL 53 CR 55 A -31 (INTERIOR 1409 BQ 2 )</t>
  </si>
  <si>
    <t>075513005100311409</t>
  </si>
  <si>
    <t>23578669</t>
  </si>
  <si>
    <t>CL 53 CR 55 A -31 (INTERIOR 1410 BQ 2 )</t>
  </si>
  <si>
    <t>075513005100311410</t>
  </si>
  <si>
    <t>23578670</t>
  </si>
  <si>
    <t>30/10/2025 20:44:23</t>
  </si>
  <si>
    <t>2025-11-20 14:54:48</t>
  </si>
  <si>
    <t>CL 53 CR 55 A -31 (INTERIOR 1413 BQ 2 )</t>
  </si>
  <si>
    <t>075513005100311413</t>
  </si>
  <si>
    <t>2025-12-01 14:54:48</t>
  </si>
  <si>
    <t>23578671</t>
  </si>
  <si>
    <t>30/10/2025 20:45:19</t>
  </si>
  <si>
    <t>CL 53 CR 55 A -31 (INTERIOR 1412 BQ 2 )</t>
  </si>
  <si>
    <t>075513005100311412</t>
  </si>
  <si>
    <t>23578672</t>
  </si>
  <si>
    <t>CL 53 CR 55 A -31 (INTERIOR 1411 BQ 2 )</t>
  </si>
  <si>
    <t>075513005100311411</t>
  </si>
  <si>
    <t>23578673</t>
  </si>
  <si>
    <t>30/10/2025 20:47:05</t>
  </si>
  <si>
    <t>CL 53 CR 55 A -31 (INTERIOR 1315 BQ 2 )</t>
  </si>
  <si>
    <t>075513005100311315</t>
  </si>
  <si>
    <t>23578674</t>
  </si>
  <si>
    <t>2025-11-20 14:54:49</t>
  </si>
  <si>
    <t>CL 53 CR 55 A -31 (INTERIOR 1516 BQ 2 )</t>
  </si>
  <si>
    <t>075513005100311516</t>
  </si>
  <si>
    <t>2025-12-01 14:54:49</t>
  </si>
  <si>
    <t>23578675</t>
  </si>
  <si>
    <t>CL 53 CR 55 A -31 (INTERIOR 1414 BQ 2 )</t>
  </si>
  <si>
    <t>075513005100311414</t>
  </si>
  <si>
    <t>23578676</t>
  </si>
  <si>
    <t>CL 53 CR 55 A -31 (INTERIOR 1415 BQ 2 )</t>
  </si>
  <si>
    <t>075513005100311415</t>
  </si>
  <si>
    <t>23578677</t>
  </si>
  <si>
    <t>30/10/2025 20:47:29</t>
  </si>
  <si>
    <t>CL 53 CR 55 A -31 (INTERIOR 1416 BQ 2 )</t>
  </si>
  <si>
    <t>075513005100311416</t>
  </si>
  <si>
    <t>23578678</t>
  </si>
  <si>
    <t>30/10/2025 20:49:47</t>
  </si>
  <si>
    <t>2025-11-20 14:54:50</t>
  </si>
  <si>
    <t>CL 53 CR 55 A -31 (INTERIOR 1609 BQ 2 )</t>
  </si>
  <si>
    <t>075513005100311609</t>
  </si>
  <si>
    <t>2025-12-01 14:54:50</t>
  </si>
  <si>
    <t>23578679</t>
  </si>
  <si>
    <t>CL 53 CR 55 A -31 (INTERIOR 1612 BQ 2 )</t>
  </si>
  <si>
    <t>075513005100311612</t>
  </si>
  <si>
    <t>23578680</t>
  </si>
  <si>
    <t>30/10/2025 20:58:07</t>
  </si>
  <si>
    <t>CL 53 CR 55 A -31 (INTERIOR 1314 BQ 2 )</t>
  </si>
  <si>
    <t>075513005100311314</t>
  </si>
  <si>
    <t>23579001</t>
  </si>
  <si>
    <t>31/10/2025 06:55:47</t>
  </si>
  <si>
    <t>2025-11-20 07:30:12</t>
  </si>
  <si>
    <t>LUCENA GOMEZ CARDONA</t>
  </si>
  <si>
    <t>3001433276</t>
  </si>
  <si>
    <t>CL 56 B CR 20 B -22 (INTERIOR 331 )</t>
  </si>
  <si>
    <t>055216200200220331</t>
  </si>
  <si>
    <t>2025-11-27 07:30:12</t>
  </si>
  <si>
    <t>23579839</t>
  </si>
  <si>
    <t>31/10/2025 14:58:24</t>
  </si>
  <si>
    <t>2025-11-20 13:18:04</t>
  </si>
  <si>
    <t>TRAN 32 C DIAG 74 D -65</t>
  </si>
  <si>
    <t>053792304400650000</t>
  </si>
  <si>
    <t>2025-12-01 13:18:04</t>
  </si>
  <si>
    <t>23581106</t>
  </si>
  <si>
    <t>04/11/2025 16:51:22</t>
  </si>
  <si>
    <t>2025-11-19 16:45:56</t>
  </si>
  <si>
    <t>LUCIA ELENA GUTIERREZ BEDOYA</t>
  </si>
  <si>
    <t>3022142311</t>
  </si>
  <si>
    <t>CR 87 CL 49 DD -43</t>
  </si>
  <si>
    <t>054827009440430000</t>
  </si>
  <si>
    <t>2025-12-04 16:45:56</t>
  </si>
  <si>
    <t>0 días 16:45</t>
  </si>
  <si>
    <t>23583714</t>
  </si>
  <si>
    <t>20/11/2025 11:19:25</t>
  </si>
  <si>
    <t>2025-11-20 11:19:25</t>
  </si>
  <si>
    <t>FRANCISCO MENA</t>
  </si>
  <si>
    <t>3177782156</t>
  </si>
  <si>
    <t>CL 50 CR 56 -54 (INTERIOR 201 )</t>
  </si>
  <si>
    <t>055510006000540201</t>
  </si>
  <si>
    <t>2025-11-26 11:19:25</t>
  </si>
  <si>
    <t>23584325</t>
  </si>
  <si>
    <t>07/11/2025 06:59:42</t>
  </si>
  <si>
    <t>2025-11-19 16:19:32</t>
  </si>
  <si>
    <t>ALVARO EDUARDO PEREZ TOBON</t>
  </si>
  <si>
    <t>2345542</t>
  </si>
  <si>
    <t>CL 49 F CR 81 A -24 (INTERIOR 401 )</t>
  </si>
  <si>
    <t>054819601100240401</t>
  </si>
  <si>
    <t>2025-11-28 16:19:32</t>
  </si>
  <si>
    <t>23584327</t>
  </si>
  <si>
    <t>07/11/2025 07:01:19</t>
  </si>
  <si>
    <t>2025-11-19 16:18:56</t>
  </si>
  <si>
    <t>CL 49 F CR 81 A -24 (INTERIOR 203 )</t>
  </si>
  <si>
    <t>054819601100240203</t>
  </si>
  <si>
    <t>2025-11-28 16:18:56</t>
  </si>
  <si>
    <t>23584328</t>
  </si>
  <si>
    <t>07/11/2025 07:01:37</t>
  </si>
  <si>
    <t>2025-11-19 16:22:03</t>
  </si>
  <si>
    <t>CL 49 F CR 81 A -24 (INTERIOR 202 )</t>
  </si>
  <si>
    <t>054819601100240202</t>
  </si>
  <si>
    <t>2025-11-28 16:22:03</t>
  </si>
  <si>
    <t>23584329</t>
  </si>
  <si>
    <t>07/11/2025 07:01:42</t>
  </si>
  <si>
    <t>2025-11-19 16:21:22</t>
  </si>
  <si>
    <t>CL 49 F CR 81 A -24 (INTERIOR 302 )</t>
  </si>
  <si>
    <t>054819601100240302</t>
  </si>
  <si>
    <t>2025-11-28 16:21:22</t>
  </si>
  <si>
    <t>23584330</t>
  </si>
  <si>
    <t>07/11/2025 07:01:55</t>
  </si>
  <si>
    <t>2025-11-19 16:20:12</t>
  </si>
  <si>
    <t>CL 49 F CR 81 A -24 (INTERIOR 301 )</t>
  </si>
  <si>
    <t>054819601100240301</t>
  </si>
  <si>
    <t>2025-11-28 16:20:12</t>
  </si>
  <si>
    <t>23584331</t>
  </si>
  <si>
    <t>07/11/2025 07:02:03</t>
  </si>
  <si>
    <t>2025-11-19 16:22:36</t>
  </si>
  <si>
    <t>CL 49 F CR 81 A -24 (INTERIOR 201 )</t>
  </si>
  <si>
    <t>054819601100240201</t>
  </si>
  <si>
    <t>2025-11-28 16:22:36</t>
  </si>
  <si>
    <t>23584334</t>
  </si>
  <si>
    <t>07/11/2025 07:02:42</t>
  </si>
  <si>
    <t>2025-11-19 16:20:42</t>
  </si>
  <si>
    <t>CL 49 F CR 81 A -24 (INTERIOR 303 )</t>
  </si>
  <si>
    <t>054819601100240303</t>
  </si>
  <si>
    <t>2025-11-28 16:20:42</t>
  </si>
  <si>
    <t>23585128</t>
  </si>
  <si>
    <t>19/11/2025 21:23:56</t>
  </si>
  <si>
    <t>2025-11-19 21:23:56</t>
  </si>
  <si>
    <t>LUZ MARINA AREIZA MAZO</t>
  </si>
  <si>
    <t>5914719</t>
  </si>
  <si>
    <t>RURAL_163017103000000000_RURAL ITAGUI LOS ZULETA</t>
  </si>
  <si>
    <t>163017103000000000</t>
  </si>
  <si>
    <t>2025-11-25 21:23:56</t>
  </si>
  <si>
    <t>23586836</t>
  </si>
  <si>
    <t>11/11/2025 08:24:22</t>
  </si>
  <si>
    <t>2025-11-20 10:11:09</t>
  </si>
  <si>
    <t>JOHN JAIRO MORENO CASAFUS</t>
  </si>
  <si>
    <t>2840073</t>
  </si>
  <si>
    <t>3052207377</t>
  </si>
  <si>
    <t>CL 59 B CR 24 -58 (INTERIOR 201 )</t>
  </si>
  <si>
    <t>055219204000580201</t>
  </si>
  <si>
    <t>2025-11-27 10:11:09</t>
  </si>
  <si>
    <t>5 días 10:11</t>
  </si>
  <si>
    <t>23587328</t>
  </si>
  <si>
    <t>11/11/2025 11:51:10</t>
  </si>
  <si>
    <t>2025-11-20 10:04:36</t>
  </si>
  <si>
    <t>LUZ MARY GIRALDO</t>
  </si>
  <si>
    <t>3146656238</t>
  </si>
  <si>
    <t>RURAL_116005491500000301</t>
  </si>
  <si>
    <t>116005491500000301</t>
  </si>
  <si>
    <t>2025-12-02 10:04:36</t>
  </si>
  <si>
    <t>23588016</t>
  </si>
  <si>
    <t>12/11/2025 07:26:04</t>
  </si>
  <si>
    <t>2025-11-20 14:19:11</t>
  </si>
  <si>
    <t>FLOR DENIS GRACIANO ZAPATA</t>
  </si>
  <si>
    <t>3148134876</t>
  </si>
  <si>
    <t>CL 58 CR 18 CC -7 (INTERIOR 201 )</t>
  </si>
  <si>
    <t>055118008330070201</t>
  </si>
  <si>
    <t>2025-12-01 14:19:11</t>
  </si>
  <si>
    <t>7 días 14:19</t>
  </si>
  <si>
    <t>23588262</t>
  </si>
  <si>
    <t>20/11/2025 10:59:54</t>
  </si>
  <si>
    <t>2025-11-20 10:59:54</t>
  </si>
  <si>
    <t>ALDERYS DEL SOCORRO VELEZ RUA</t>
  </si>
  <si>
    <t>5368469</t>
  </si>
  <si>
    <t>6045368469</t>
  </si>
  <si>
    <t>CL 36 CR 33 B -78 (INTERIOR 201 )</t>
  </si>
  <si>
    <t>053316003200780201</t>
  </si>
  <si>
    <t>2025-11-27 10:59:54</t>
  </si>
  <si>
    <t>23588305</t>
  </si>
  <si>
    <t>12/11/2025 11:22:09</t>
  </si>
  <si>
    <t>2025-11-20 14:24:43</t>
  </si>
  <si>
    <t>MARTHA LUZ RAMIREZ GARCIA</t>
  </si>
  <si>
    <t>3225989103</t>
  </si>
  <si>
    <t>CR 2 CL 54 -263 (INTERIOR 15 )</t>
  </si>
  <si>
    <t>055022004002630015</t>
  </si>
  <si>
    <t>2025-11-27 14:24:43</t>
  </si>
  <si>
    <t>23588551</t>
  </si>
  <si>
    <t>20/11/2025 08:52:31</t>
  </si>
  <si>
    <t>2025-11-20 08:52:31</t>
  </si>
  <si>
    <t>JESSICA MORENO MARTINEZ</t>
  </si>
  <si>
    <t>CL 54 CR 7 B -13 (INTERIOR 101 )</t>
  </si>
  <si>
    <t>055014007200130101</t>
  </si>
  <si>
    <t>2025-11-27 08:52:31</t>
  </si>
  <si>
    <t>23588583</t>
  </si>
  <si>
    <t>20/11/2025 06:35:44</t>
  </si>
  <si>
    <t>2025-11-20 06:35:44</t>
  </si>
  <si>
    <t>MARITZA ACEVEDO URIBE</t>
  </si>
  <si>
    <t>3006247180</t>
  </si>
  <si>
    <t>CR 143 CL 68 -162 (INTERIOR 201 )</t>
  </si>
  <si>
    <t>086423008001620201</t>
  </si>
  <si>
    <t>2025-11-27 06:35:44</t>
  </si>
  <si>
    <t>23589686</t>
  </si>
  <si>
    <t>14/11/2025 03:13:36</t>
  </si>
  <si>
    <t>2025-11-20 09:20:22</t>
  </si>
  <si>
    <t>JOHN CARLOS TABORDA ALZATE</t>
  </si>
  <si>
    <t>3017969654</t>
  </si>
  <si>
    <t>CL 48 D CR 110 -356 (INTERIOR 121 )</t>
  </si>
  <si>
    <t>084118400003560121</t>
  </si>
  <si>
    <t>2025-11-27 09:20:22</t>
  </si>
  <si>
    <t>23593335</t>
  </si>
  <si>
    <t>19/11/2025 08:59:26</t>
  </si>
  <si>
    <t>2025-11-20 06:49:01</t>
  </si>
  <si>
    <t>CECILIA DEL SOCORRO FLOREZ PALACIO</t>
  </si>
  <si>
    <t>3113398725</t>
  </si>
  <si>
    <t>RURAL_136028800000000101_OLAYA HERRERA</t>
  </si>
  <si>
    <t>136028800000000101</t>
  </si>
  <si>
    <t>2025-12-02 06:49:01</t>
  </si>
  <si>
    <t>23593965</t>
  </si>
  <si>
    <t>19/11/2025 14:38:26</t>
  </si>
  <si>
    <t>2025-11-19 14:38:26</t>
  </si>
  <si>
    <t>JHOAN RESTREPO PALACIO</t>
  </si>
  <si>
    <t>3126256252</t>
  </si>
  <si>
    <t>CL 3 A CR 80 A -26</t>
  </si>
  <si>
    <t>050813100100260000</t>
  </si>
  <si>
    <t>2025-11-25 14:38:26</t>
  </si>
  <si>
    <t>23593990</t>
  </si>
  <si>
    <t>19/11/2025 14:55:02</t>
  </si>
  <si>
    <t>2025-11-19 14:55:02</t>
  </si>
  <si>
    <t>JORGE ALVARO CARDONA BOTERO</t>
  </si>
  <si>
    <t>4449903</t>
  </si>
  <si>
    <t>3012790042</t>
  </si>
  <si>
    <t>CR 47 CL 75 -73 (INTERIOR 401 )</t>
  </si>
  <si>
    <t>077427005000730401</t>
  </si>
  <si>
    <t>2025-11-25 14:55:02</t>
  </si>
  <si>
    <t>23594024</t>
  </si>
  <si>
    <t>19/11/2025 15:15:21</t>
  </si>
  <si>
    <t>2025-11-19 15:15:21</t>
  </si>
  <si>
    <t>JESUS ALBEIRO GUERRA MESA</t>
  </si>
  <si>
    <t>3004349710</t>
  </si>
  <si>
    <t>CL 83 B CR 57 -96 ( )</t>
  </si>
  <si>
    <t>078513207000960401</t>
  </si>
  <si>
    <t>2025-11-28 15:15:21</t>
  </si>
  <si>
    <t>23594102</t>
  </si>
  <si>
    <t>19/11/2025 15:45:32</t>
  </si>
  <si>
    <t>2025-11-19 15:45:32</t>
  </si>
  <si>
    <t>ALEXANDRA MARIA SARRIAS ARBOLEDA</t>
  </si>
  <si>
    <t>5084930</t>
  </si>
  <si>
    <t>3228484421</t>
  </si>
  <si>
    <t>CL 65 BB CR 40 -11 (INTERIOR 201 )</t>
  </si>
  <si>
    <t>056415220000110201</t>
  </si>
  <si>
    <t>2025-11-28 15:45:32</t>
  </si>
  <si>
    <t>0 días 15:45</t>
  </si>
  <si>
    <t>6 días 15:45</t>
  </si>
  <si>
    <t>23594107</t>
  </si>
  <si>
    <t>GLORIA CECILIA AGUDELO PATIÑO</t>
  </si>
  <si>
    <t>3012421590</t>
  </si>
  <si>
    <t>TRAN 37 CR 66 A -100</t>
  </si>
  <si>
    <t>053697006101000000</t>
  </si>
  <si>
    <t>2025-11-28 15:50:23</t>
  </si>
  <si>
    <t>23594111</t>
  </si>
  <si>
    <t>JUAN PABLO MARIN RIOS</t>
  </si>
  <si>
    <t>3215586004</t>
  </si>
  <si>
    <t>RURAL_125004498600000000_CL 20C SUR CR 3 - 157</t>
  </si>
  <si>
    <t>125004498600000000</t>
  </si>
  <si>
    <t>2025-11-25 15:50:23</t>
  </si>
  <si>
    <t>23594127</t>
  </si>
  <si>
    <t>19/11/2025 15:54:50</t>
  </si>
  <si>
    <t>2025-11-19 15:54:50</t>
  </si>
  <si>
    <t>INVERSIONES MONTOYA ANDRADE S.A.S</t>
  </si>
  <si>
    <t>3104309060</t>
  </si>
  <si>
    <t>CR 49 CL 50 SUR -24</t>
  </si>
  <si>
    <t>015429000000240000</t>
  </si>
  <si>
    <t>2025-11-25 15:54:50</t>
  </si>
  <si>
    <t>23594145</t>
  </si>
  <si>
    <t>19/11/2025 16:06:10</t>
  </si>
  <si>
    <t>2025-11-19 16:06:10</t>
  </si>
  <si>
    <t>INMUEBLES SOSTENIBLES S.A.S</t>
  </si>
  <si>
    <t>3120700</t>
  </si>
  <si>
    <t>3046463544</t>
  </si>
  <si>
    <t>CL 9 B SUR CR 25 -30</t>
  </si>
  <si>
    <t>040219205000300000</t>
  </si>
  <si>
    <t>2025-11-25 16:06:10</t>
  </si>
  <si>
    <t>23594162</t>
  </si>
  <si>
    <t>19/11/2025 16:17:45</t>
  </si>
  <si>
    <t>2025-11-19 16:17:45</t>
  </si>
  <si>
    <t>JOSE IGNACIO ACOSTA BETANCUR</t>
  </si>
  <si>
    <t>3114399404</t>
  </si>
  <si>
    <t>CL 40 SUR CR 74 A -5</t>
  </si>
  <si>
    <t>044710004100050000</t>
  </si>
  <si>
    <t>2025-11-28 16:17:45</t>
  </si>
  <si>
    <t>23594218</t>
  </si>
  <si>
    <t>19/11/2025 16:42:13</t>
  </si>
  <si>
    <t>2025-11-19 16:42:13</t>
  </si>
  <si>
    <t>HECTOR FABIO OQUENDO LOPEZ</t>
  </si>
  <si>
    <t>3136360310</t>
  </si>
  <si>
    <t>RURAL_116005634000000104_116005634000000104</t>
  </si>
  <si>
    <t>116005634000000104</t>
  </si>
  <si>
    <t>2025-11-25 16:42:13</t>
  </si>
  <si>
    <t>23594336</t>
  </si>
  <si>
    <t>19/11/2025 17:30:15</t>
  </si>
  <si>
    <t>2025-11-19 17:30:15</t>
  </si>
  <si>
    <t>JULIAN ANDRES JARAMILLO QUINTERO</t>
  </si>
  <si>
    <t>3223898</t>
  </si>
  <si>
    <t>3217757424</t>
  </si>
  <si>
    <t>CR 82 A CL 35 -40</t>
  </si>
  <si>
    <t>053822105000400000</t>
  </si>
  <si>
    <t>2025-11-25 17:30:15</t>
  </si>
  <si>
    <t>23594350</t>
  </si>
  <si>
    <t>19/11/2025 17:35:00</t>
  </si>
  <si>
    <t>2025-11-19 17:35:00</t>
  </si>
  <si>
    <t>GUSTAVO DE JESUS NOREÑA NARANJO</t>
  </si>
  <si>
    <t>CL 34 B CR 94 -103</t>
  </si>
  <si>
    <t>053914204001030000</t>
  </si>
  <si>
    <t>2025-11-25 17:35:00</t>
  </si>
  <si>
    <t>23594378</t>
  </si>
  <si>
    <t>19/11/2025 17:48:50</t>
  </si>
  <si>
    <t>2025-11-19 17:48:51</t>
  </si>
  <si>
    <t>JAIRO ALBERTO MORENO MONTOYA</t>
  </si>
  <si>
    <t>CL 76 CR 52 D -22</t>
  </si>
  <si>
    <t>077516002400220000</t>
  </si>
  <si>
    <t>2025-11-25 17:48:51</t>
  </si>
  <si>
    <t>23594386</t>
  </si>
  <si>
    <t>19/11/2025 18:29:46</t>
  </si>
  <si>
    <t>2025-11-19 18:29:46</t>
  </si>
  <si>
    <t>PAULA ANDREA VELEZ SIERRA</t>
  </si>
  <si>
    <t>CL 61 CR 128 A -99 (INTERIOR 402 )</t>
  </si>
  <si>
    <t>086211008100990402</t>
  </si>
  <si>
    <t>2025-11-28 18:29:46</t>
  </si>
  <si>
    <t>23594698</t>
  </si>
  <si>
    <t>20/11/2025 07:05:29</t>
  </si>
  <si>
    <t>2025-11-20 07:05:29</t>
  </si>
  <si>
    <t>LUZ ADIELA LOPEZ GARCIA</t>
  </si>
  <si>
    <t>4642218</t>
  </si>
  <si>
    <t>3136322696</t>
  </si>
  <si>
    <t>CL 21 CR 81 C -144 (INTERIOR 301 )</t>
  </si>
  <si>
    <t>052811001301440301</t>
  </si>
  <si>
    <t>2025-11-26 07:05:29</t>
  </si>
  <si>
    <t>23594714</t>
  </si>
  <si>
    <t>20/11/2025 07:26:48</t>
  </si>
  <si>
    <t>2025-11-20 07:26:48</t>
  </si>
  <si>
    <t>LINA MARIA RESTREPO SALINAS</t>
  </si>
  <si>
    <t>3116314937</t>
  </si>
  <si>
    <t>163017848500000202_LOMA LOS ZULETA</t>
  </si>
  <si>
    <t>900053600001852053</t>
  </si>
  <si>
    <t>2025-11-27 07:26:48</t>
  </si>
  <si>
    <t>23594914</t>
  </si>
  <si>
    <t>20/11/2025 08:44:04</t>
  </si>
  <si>
    <t>2025-11-20 08:44:04</t>
  </si>
  <si>
    <t>ALINA MARIA MALDONADO JARAMILLO</t>
  </si>
  <si>
    <t>3245529072</t>
  </si>
  <si>
    <t>CR 53 CL 73 -35 (INTERIOR 211 )</t>
  </si>
  <si>
    <t>077523003000350211-ENEPRE</t>
  </si>
  <si>
    <t>2025-12-05 08:44:04</t>
  </si>
  <si>
    <t>23594951</t>
  </si>
  <si>
    <t>20/11/2025 09:03:12</t>
  </si>
  <si>
    <t>2025-11-20 09:03:12</t>
  </si>
  <si>
    <t>EVELYN ZAPATA MONTOYA</t>
  </si>
  <si>
    <t>3003193696</t>
  </si>
  <si>
    <t>CR 11 CL 54 -120 (INTERIOR 121 )</t>
  </si>
  <si>
    <t>055121004001200121</t>
  </si>
  <si>
    <t>2025-11-27 09:03:12</t>
  </si>
  <si>
    <t>23594956</t>
  </si>
  <si>
    <t>20/11/2025 09:05:58</t>
  </si>
  <si>
    <t>2025-11-20 09:05:58</t>
  </si>
  <si>
    <t>ERIKA SUJEY GOMEZ CATAÑO</t>
  </si>
  <si>
    <t>5805945</t>
  </si>
  <si>
    <t>3234212759</t>
  </si>
  <si>
    <t>CL 48 E CR 90 A -5 (INTERIOR 201 )</t>
  </si>
  <si>
    <t>054918500100050201-ENEPRE</t>
  </si>
  <si>
    <t>2025-12-05 09:05:58</t>
  </si>
  <si>
    <t>23594968</t>
  </si>
  <si>
    <t>20/11/2025 09:15:58</t>
  </si>
  <si>
    <t>2025-11-20 09:15:58</t>
  </si>
  <si>
    <t>EIDY YOLIMA MAZO VELEZ</t>
  </si>
  <si>
    <t>3142052998</t>
  </si>
  <si>
    <t>CR 99 B CL 15 B -14 (INTERIOR 202 )</t>
  </si>
  <si>
    <t>051929205200140202</t>
  </si>
  <si>
    <t>2025-11-27 09:15:58</t>
  </si>
  <si>
    <t>23594985</t>
  </si>
  <si>
    <t>20/11/2025 09:34:12</t>
  </si>
  <si>
    <t>2025-11-20 09:34:12</t>
  </si>
  <si>
    <t>CARLOS MARIO BALDRICH MUÑOZ</t>
  </si>
  <si>
    <t>4980793</t>
  </si>
  <si>
    <t>3007787401</t>
  </si>
  <si>
    <t>CR 79 CL 57 -80 (INTERIOR 101 )</t>
  </si>
  <si>
    <t>055729007000800101</t>
  </si>
  <si>
    <t>2025-12-01 09:34:12</t>
  </si>
  <si>
    <t>23594987</t>
  </si>
  <si>
    <t>20/11/2025 09:34:26</t>
  </si>
  <si>
    <t>2025-11-20 09:34:26</t>
  </si>
  <si>
    <t>MARIA DORIS GARCIA ZULUAGA</t>
  </si>
  <si>
    <t>2771094</t>
  </si>
  <si>
    <t>3052348158</t>
  </si>
  <si>
    <t>CL 68 CR 52 -35 (INTERIOR 601 )</t>
  </si>
  <si>
    <t>076518002000350601</t>
  </si>
  <si>
    <t>2025-12-01 09:34:26</t>
  </si>
  <si>
    <t>23595000</t>
  </si>
  <si>
    <t>20/11/2025 09:42:07</t>
  </si>
  <si>
    <t>2025-11-20 09:42:07</t>
  </si>
  <si>
    <t>CARMEN EMILIA PAMPLONA ARANGO</t>
  </si>
  <si>
    <t>3014506241</t>
  </si>
  <si>
    <t>CR 18 B CL 56 HG -63</t>
  </si>
  <si>
    <t>055128206870630000</t>
  </si>
  <si>
    <t>2025-12-05 09:42:07</t>
  </si>
  <si>
    <t>23595010</t>
  </si>
  <si>
    <t>20/11/2025 09:45:54</t>
  </si>
  <si>
    <t>2025-11-20 09:45:54</t>
  </si>
  <si>
    <t>MARLON JIMENEZ JARAMILLO</t>
  </si>
  <si>
    <t>3195099339</t>
  </si>
  <si>
    <t>CR 25 BB CL 54 -46</t>
  </si>
  <si>
    <t>055225224000460000</t>
  </si>
  <si>
    <t>2025-12-01 09:45:54</t>
  </si>
  <si>
    <t>23595019</t>
  </si>
  <si>
    <t>20/11/2025 09:51:02</t>
  </si>
  <si>
    <t>2025-11-20 09:51:02</t>
  </si>
  <si>
    <t>CR 25 BB CL 54 -46 (INTERIOR 201 )</t>
  </si>
  <si>
    <t>055225224000460201</t>
  </si>
  <si>
    <t>2025-12-01 09:51:02</t>
  </si>
  <si>
    <t>23595045</t>
  </si>
  <si>
    <t>20/11/2025 10:09:37</t>
  </si>
  <si>
    <t>2025-11-20 10:09:37</t>
  </si>
  <si>
    <t>ZUYIS MILENA DORADO MORALES</t>
  </si>
  <si>
    <t>3207047769</t>
  </si>
  <si>
    <t>CL 56 BD CR 21 -106 (INTERIOR 113 )</t>
  </si>
  <si>
    <t>055216241001060113</t>
  </si>
  <si>
    <t>2025-12-05 10:09:37</t>
  </si>
  <si>
    <t>23595053</t>
  </si>
  <si>
    <t>20/11/2025 10:12:18</t>
  </si>
  <si>
    <t>2025-11-20 10:12:18</t>
  </si>
  <si>
    <t>PABLO JOAQUIN SANCHEZ CAÑIZALES</t>
  </si>
  <si>
    <t>3224152390</t>
  </si>
  <si>
    <t>CL 39 A CR 114 -61 (INTERIOR 101 )</t>
  </si>
  <si>
    <t>083119104000610101</t>
  </si>
  <si>
    <t>2025-11-27 10:12:18</t>
  </si>
  <si>
    <t>23595058</t>
  </si>
  <si>
    <t>20/11/2025 10:14:04</t>
  </si>
  <si>
    <t>2025-11-20 10:14:04</t>
  </si>
  <si>
    <t>CARLOS ANDRES GARCIA CANO</t>
  </si>
  <si>
    <t>3045285074</t>
  </si>
  <si>
    <t>RURAL_147006682000000001_147006682000000001</t>
  </si>
  <si>
    <t>147006682000000001</t>
  </si>
  <si>
    <t>2025-12-02 10:14:04</t>
  </si>
  <si>
    <t>23595076</t>
  </si>
  <si>
    <t>20/11/2025 10:24:34</t>
  </si>
  <si>
    <t>2025-11-20 10:24:34</t>
  </si>
  <si>
    <t>RODRIGO ALBERTO ZAPATA CAÑAVERAL</t>
  </si>
  <si>
    <t>3177137677</t>
  </si>
  <si>
    <t>CL 39 AC CR 115 B -111 (INTERIOR 202 )</t>
  </si>
  <si>
    <t>083119135201110202</t>
  </si>
  <si>
    <t>2025-11-27 10:24:34</t>
  </si>
  <si>
    <t>5 días 10:24</t>
  </si>
  <si>
    <t>23595105</t>
  </si>
  <si>
    <t>20/11/2025 10:41:40</t>
  </si>
  <si>
    <t>2025-11-20 10:41:40</t>
  </si>
  <si>
    <t>DORA ISABEL RODRIGUEZ RESTREPO</t>
  </si>
  <si>
    <t>3104181759</t>
  </si>
  <si>
    <t>CL 39 AC CR 115 B -111 (INTERIOR 301 )</t>
  </si>
  <si>
    <t>083119135201110301</t>
  </si>
  <si>
    <t>2025-11-27 10:41:40</t>
  </si>
  <si>
    <t>23595117</t>
  </si>
  <si>
    <t>20/11/2025 10:46:24</t>
  </si>
  <si>
    <t>2025-11-20 10:46:24</t>
  </si>
  <si>
    <t>HENRY ALBERTO QUINTERO VALENCIA</t>
  </si>
  <si>
    <t>3128671550</t>
  </si>
  <si>
    <t>CL 28 CR 65 -9 (INTERIOR 101 )</t>
  </si>
  <si>
    <t>072618005000090101</t>
  </si>
  <si>
    <t>2025-12-01 10:46:24</t>
  </si>
  <si>
    <t>23595118</t>
  </si>
  <si>
    <t>20/11/2025 10:46:31</t>
  </si>
  <si>
    <t>2025-11-20 10:46:31</t>
  </si>
  <si>
    <t>LUIS EMILIO CASTAÑEDA USUGA</t>
  </si>
  <si>
    <t>2227879</t>
  </si>
  <si>
    <t>3117489510</t>
  </si>
  <si>
    <t>CL 45 A CR 24 -30 (INTERIOR 402 )</t>
  </si>
  <si>
    <t>054215104000300402</t>
  </si>
  <si>
    <t>2025-12-01 10:46:31</t>
  </si>
  <si>
    <t>23595125</t>
  </si>
  <si>
    <t>20/11/2025 10:48:59</t>
  </si>
  <si>
    <t>2025-11-20 10:48:59</t>
  </si>
  <si>
    <t>ADRIANA YANED TORO SEPULVEDA</t>
  </si>
  <si>
    <t>3005207592</t>
  </si>
  <si>
    <t>CL 139 SUR CR 52 -4 (INTERIOR 501 )</t>
  </si>
  <si>
    <t>003519002000040501</t>
  </si>
  <si>
    <t>2025-12-01 10:48:59</t>
  </si>
  <si>
    <t>7 días 10:48</t>
  </si>
  <si>
    <t>23595129</t>
  </si>
  <si>
    <t>20/11/2025 10:51:04</t>
  </si>
  <si>
    <t>2025-11-20 10:51:04</t>
  </si>
  <si>
    <t>LUZ MERY ZAPATA PELAEZ</t>
  </si>
  <si>
    <t>3014559775</t>
  </si>
  <si>
    <t>CL 65 A CR 144 -56 (INTERIOR 2236 )</t>
  </si>
  <si>
    <t>086415104000562236</t>
  </si>
  <si>
    <t>2025-12-01 10:51:04</t>
  </si>
  <si>
    <t>7 días 10:51</t>
  </si>
  <si>
    <t>23595169</t>
  </si>
  <si>
    <t>20/11/2025 11:12:45</t>
  </si>
  <si>
    <t>2025-11-20 11:12:45</t>
  </si>
  <si>
    <t>ADRIANA JINETH GALINDO FORERO</t>
  </si>
  <si>
    <t>3433839</t>
  </si>
  <si>
    <t>3174277750</t>
  </si>
  <si>
    <t>CR 74 CL 22 -47 (INTERIOR 202 )</t>
  </si>
  <si>
    <t>052724002000470202</t>
  </si>
  <si>
    <t>2025-12-01 11:12:45</t>
  </si>
  <si>
    <t>7 días 11:12</t>
  </si>
  <si>
    <t>23595170</t>
  </si>
  <si>
    <t>20/11/2025 11:13:14</t>
  </si>
  <si>
    <t>2025-11-20 11:13:14</t>
  </si>
  <si>
    <t>CL 139 SUR CR 52 -4 (INTERIOR 502 )</t>
  </si>
  <si>
    <t>003519002000040502</t>
  </si>
  <si>
    <t>2025-12-01 11:13:14</t>
  </si>
  <si>
    <t>23595171</t>
  </si>
  <si>
    <t>20/11/2025 11:13:37</t>
  </si>
  <si>
    <t>2025-11-20 11:13:37</t>
  </si>
  <si>
    <t>DURLEY RODRIGUEZ RESTREPO</t>
  </si>
  <si>
    <t>3734780</t>
  </si>
  <si>
    <t>3017914634</t>
  </si>
  <si>
    <t>CL 35 CR 51 -4 (INTERIOR 101 )</t>
  </si>
  <si>
    <t>073515001000040101</t>
  </si>
  <si>
    <t>2025-11-27 11:13:37</t>
  </si>
  <si>
    <t>5 días 11:13</t>
  </si>
  <si>
    <t>23595174</t>
  </si>
  <si>
    <t>20/11/2025 11:14:18</t>
  </si>
  <si>
    <t>2025-11-20 11:14:18</t>
  </si>
  <si>
    <t>BLANCA MARIELA DIOSA QUICENO</t>
  </si>
  <si>
    <t>3127873927</t>
  </si>
  <si>
    <t>CR 24 EE CL 39 A SUR -54 (INTERIOR 201 )</t>
  </si>
  <si>
    <t>023224559100540201</t>
  </si>
  <si>
    <t>2025-12-01 11:14:18</t>
  </si>
  <si>
    <t>23595177</t>
  </si>
  <si>
    <t>20/11/2025 11:18:20</t>
  </si>
  <si>
    <t>2025-11-20 11:18:20</t>
  </si>
  <si>
    <t>JAVIER ALBERTO CASTRILLON</t>
  </si>
  <si>
    <t>3011086793</t>
  </si>
  <si>
    <t>RURAL_167041832000000201_VEREDA PAN DE AZUCAR</t>
  </si>
  <si>
    <t>167041832000000201</t>
  </si>
  <si>
    <t>2025-12-02 11:18:20</t>
  </si>
  <si>
    <t>23595213</t>
  </si>
  <si>
    <t>20/11/2025 11:33:05</t>
  </si>
  <si>
    <t>2025-11-20 11:33:05</t>
  </si>
  <si>
    <t>JONNY RICHARD MORALES MORALES</t>
  </si>
  <si>
    <t>3117995908</t>
  </si>
  <si>
    <t>CL 45 CR 10 A -23 (INTERIOR 101 )</t>
  </si>
  <si>
    <t>054115000100230101</t>
  </si>
  <si>
    <t>2025-11-27 11:33:05</t>
  </si>
  <si>
    <t>23595221</t>
  </si>
  <si>
    <t>20/11/2025 11:37:08</t>
  </si>
  <si>
    <t>2025-11-20 11:37:08</t>
  </si>
  <si>
    <t>JUAN FERNANDO VELEZ OSORIO</t>
  </si>
  <si>
    <t>3135981769</t>
  </si>
  <si>
    <t>CL 136 SUR CR 48 -54 (INTERIOR 201 )</t>
  </si>
  <si>
    <t>003416008000540201</t>
  </si>
  <si>
    <t>2025-12-01 11:37:08</t>
  </si>
  <si>
    <t>23595242</t>
  </si>
  <si>
    <t>20/11/2025 11:46:31</t>
  </si>
  <si>
    <t>2025-11-20 11:46:31</t>
  </si>
  <si>
    <t>JHON FERNANDO OROZCO MARTINEZ</t>
  </si>
  <si>
    <t>3503752209</t>
  </si>
  <si>
    <t>CL 57 C CR 23 -184 (INTERIOR 301 )</t>
  </si>
  <si>
    <t>055217303001840301</t>
  </si>
  <si>
    <t>2025-11-27 11:46:31</t>
  </si>
  <si>
    <t>23595268</t>
  </si>
  <si>
    <t>20/11/2025 12:02:52</t>
  </si>
  <si>
    <t>2025-11-20 12:02:52</t>
  </si>
  <si>
    <t>JONHATAN VALENCIA OROZCO</t>
  </si>
  <si>
    <t>3017109763</t>
  </si>
  <si>
    <t>CL 46 CR 29 -68 (INTERIOR 201 )</t>
  </si>
  <si>
    <t>054216009000680201</t>
  </si>
  <si>
    <t>2025-11-27 12:02:52</t>
  </si>
  <si>
    <t>23595269</t>
  </si>
  <si>
    <t>20/11/2025 12:04:22</t>
  </si>
  <si>
    <t>2025-11-20 12:04:22</t>
  </si>
  <si>
    <t>IRAL TECHNOLOGY S.A.S.</t>
  </si>
  <si>
    <t>3207175025</t>
  </si>
  <si>
    <t>CL 30 A CR 80 -73 (INTERIOR 5 )</t>
  </si>
  <si>
    <t>053810100000730005</t>
  </si>
  <si>
    <t>2025-11-26 12:04:22</t>
  </si>
  <si>
    <t>23595273</t>
  </si>
  <si>
    <t>20/11/2025 12:07:17</t>
  </si>
  <si>
    <t>2025-11-20 12:07:17</t>
  </si>
  <si>
    <t>CL 136 SUR CR 48 -54 (INTERIOR 202 )</t>
  </si>
  <si>
    <t>003416008000540202</t>
  </si>
  <si>
    <t>2025-12-01 12:07:17</t>
  </si>
  <si>
    <t>23595277</t>
  </si>
  <si>
    <t>20/11/2025 12:12:15</t>
  </si>
  <si>
    <t>2025-11-20 12:12:15</t>
  </si>
  <si>
    <t>MARIO ALEJANDRO PINEDA ZULETA</t>
  </si>
  <si>
    <t>3508575159</t>
  </si>
  <si>
    <t>CR 42 CL 16 B SUR -20</t>
  </si>
  <si>
    <t>041422006200200000</t>
  </si>
  <si>
    <t>2025-11-26 12:12:15</t>
  </si>
  <si>
    <t>23595279</t>
  </si>
  <si>
    <t>20/11/2025 12:14:15</t>
  </si>
  <si>
    <t>2025-11-20 12:14:15</t>
  </si>
  <si>
    <t>CL 49 B CR 99 EE -221 (INTERIOR 327 )</t>
  </si>
  <si>
    <t>054919209552210327</t>
  </si>
  <si>
    <t>2025-12-01 12:14:15</t>
  </si>
  <si>
    <t>23595289</t>
  </si>
  <si>
    <t>20/11/2025 12:26:00</t>
  </si>
  <si>
    <t>2025-11-20 12:26:00</t>
  </si>
  <si>
    <t>MAURICIO ARMANDO VELEZ GALLEGO</t>
  </si>
  <si>
    <t>4977452</t>
  </si>
  <si>
    <t>3043508907</t>
  </si>
  <si>
    <t>CR 50 CL 134 A SUR -17 (INTERIOR 302 )</t>
  </si>
  <si>
    <t>003520004100170302</t>
  </si>
  <si>
    <t>2025-12-01 12:26:00</t>
  </si>
  <si>
    <t>23595318</t>
  </si>
  <si>
    <t>20/11/2025 12:51:34</t>
  </si>
  <si>
    <t>2025-11-20 12:51:34</t>
  </si>
  <si>
    <t>ALEXANDER LOZANO</t>
  </si>
  <si>
    <t>3222120</t>
  </si>
  <si>
    <t>3216367553</t>
  </si>
  <si>
    <t>CL 16 A SUR CR 9 E -50 (INTERIOR 114 )</t>
  </si>
  <si>
    <t>041016109500500114</t>
  </si>
  <si>
    <t>2025-11-26 12:51:34</t>
  </si>
  <si>
    <t>23595321</t>
  </si>
  <si>
    <t>20/11/2025 12:53:14</t>
  </si>
  <si>
    <t>2025-11-20 12:53:14</t>
  </si>
  <si>
    <t>MARILUZ AGUDELO PEREZ</t>
  </si>
  <si>
    <t>2225639</t>
  </si>
  <si>
    <t>3122429460</t>
  </si>
  <si>
    <t>CR 25 AA CL 56 EE -27 (INTERIOR 302 )</t>
  </si>
  <si>
    <t>055225116550270302</t>
  </si>
  <si>
    <t>2025-12-01 12:53:14</t>
  </si>
  <si>
    <t>23595328</t>
  </si>
  <si>
    <t>20/11/2025 13:03:17</t>
  </si>
  <si>
    <t>2025-11-20 13:03:18</t>
  </si>
  <si>
    <t>DEYSY CAROLINA MORENO ORTIZ</t>
  </si>
  <si>
    <t>4769638</t>
  </si>
  <si>
    <t>3004067155</t>
  </si>
  <si>
    <t>CR 83 C CL 21 -15 (INTERIOR 301 )</t>
  </si>
  <si>
    <t>052823301000150301</t>
  </si>
  <si>
    <t>2025-12-05 13:03:18</t>
  </si>
  <si>
    <t>23595346</t>
  </si>
  <si>
    <t>20/11/2025 13:15:36</t>
  </si>
  <si>
    <t>2025-11-20 13:15:36</t>
  </si>
  <si>
    <t>NACIRA TORREGLOSA DIAZ</t>
  </si>
  <si>
    <t>3104519146</t>
  </si>
  <si>
    <t>RURAL_163007734700000240_163007734700000240</t>
  </si>
  <si>
    <t>163007734700000240</t>
  </si>
  <si>
    <t>2025-12-02 13:15:36</t>
  </si>
  <si>
    <t>23595347</t>
  </si>
  <si>
    <t>20/11/2025 13:16:36</t>
  </si>
  <si>
    <t>2025-11-20 13:16:36</t>
  </si>
  <si>
    <t>JAMES HINCAPIE</t>
  </si>
  <si>
    <t>6044444</t>
  </si>
  <si>
    <t>CR 40 CL 52 -51</t>
  </si>
  <si>
    <t>055420002000510000</t>
  </si>
  <si>
    <t>2025-11-26 13:16:36</t>
  </si>
  <si>
    <t>23595360</t>
  </si>
  <si>
    <t>20/11/2025 13:25:48</t>
  </si>
  <si>
    <t>2025-11-20 13:25:48</t>
  </si>
  <si>
    <t>OMAIRA DEL SOCORRO AGUDELO HIGUITA</t>
  </si>
  <si>
    <t>3186285841</t>
  </si>
  <si>
    <t>CL 63 CR 18 C -70 (INTERIOR 330 )</t>
  </si>
  <si>
    <t>056113008300700330</t>
  </si>
  <si>
    <t>2025-12-01 13:25:48</t>
  </si>
  <si>
    <t>7 días 13:25</t>
  </si>
  <si>
    <t>23595390</t>
  </si>
  <si>
    <t>20/11/2025 13:44:41</t>
  </si>
  <si>
    <t>2025-11-20 13:44:41</t>
  </si>
  <si>
    <t>RUBEN DARIO POSADA GALLEGO</t>
  </si>
  <si>
    <t>3244617829</t>
  </si>
  <si>
    <t>CL 75 SUR CR 54 A -179</t>
  </si>
  <si>
    <t>037515004101790000</t>
  </si>
  <si>
    <t>2025-11-26 13:44:41</t>
  </si>
  <si>
    <t>23595407</t>
  </si>
  <si>
    <t>20/11/2025 13:52:39</t>
  </si>
  <si>
    <t>2025-11-20 13:52:39</t>
  </si>
  <si>
    <t>RUBEN DIAZ</t>
  </si>
  <si>
    <t>3214779690</t>
  </si>
  <si>
    <t>CR 33 CL 28 -10 (INTERIOR 405 )</t>
  </si>
  <si>
    <t>052323008000100405</t>
  </si>
  <si>
    <t>2025-11-26 13:52:39</t>
  </si>
  <si>
    <t>4 días 13:52</t>
  </si>
  <si>
    <t>23595431</t>
  </si>
  <si>
    <t>20/11/2025 13:58:08</t>
  </si>
  <si>
    <t>2025-11-20 13:58:08</t>
  </si>
  <si>
    <t>CL 136 SUR CR 48 -54 (INTERIOR 301 )</t>
  </si>
  <si>
    <t>003416008000540301</t>
  </si>
  <si>
    <t>2025-12-01 13:58:08</t>
  </si>
  <si>
    <t>23595433</t>
  </si>
  <si>
    <t>20/11/2025 13:58:43</t>
  </si>
  <si>
    <t>2025-11-20 13:58:43</t>
  </si>
  <si>
    <t>CL 136 SUR CR 48 -54 (INTERIOR 302 )</t>
  </si>
  <si>
    <t>003416008000540302</t>
  </si>
  <si>
    <t>2025-12-01 13:58:43</t>
  </si>
  <si>
    <t>23595440</t>
  </si>
  <si>
    <t>20/11/2025 14:01:32</t>
  </si>
  <si>
    <t>2025-11-20 14:01:32</t>
  </si>
  <si>
    <t>MIRIAM DEL SOCORRO HENAO PIEDRAHITA</t>
  </si>
  <si>
    <t>3117268685</t>
  </si>
  <si>
    <t>RURAL_147014950000000001_147014950000000001</t>
  </si>
  <si>
    <t>147014950000000001</t>
  </si>
  <si>
    <t>2025-12-04 14:01:32</t>
  </si>
  <si>
    <t>23595449</t>
  </si>
  <si>
    <t>20/11/2025 14:03:37</t>
  </si>
  <si>
    <t>2025-11-20 14:03:37</t>
  </si>
  <si>
    <t>DUBAN ALEXANDER MESA LOAIZA</t>
  </si>
  <si>
    <t>3137011809</t>
  </si>
  <si>
    <t>CR 51 A CL 46 -77 (INTERIOR 101 )</t>
  </si>
  <si>
    <t>074521106000770101</t>
  </si>
  <si>
    <t>2025-11-27 14:03:37</t>
  </si>
  <si>
    <t>5 días 14:03</t>
  </si>
  <si>
    <t>23595455</t>
  </si>
  <si>
    <t>20/11/2025 14:06:27</t>
  </si>
  <si>
    <t>2025-11-20 14:06:27</t>
  </si>
  <si>
    <t>MARTHA CECILIA OSORIO CARMONA</t>
  </si>
  <si>
    <t>3235939123</t>
  </si>
  <si>
    <t>RURAL_163015365000000000</t>
  </si>
  <si>
    <t>163015365000000000</t>
  </si>
  <si>
    <t>2025-12-02 14:06:27</t>
  </si>
  <si>
    <t>8 días 14:06</t>
  </si>
  <si>
    <t>23595456</t>
  </si>
  <si>
    <t>20/11/2025 14:06:56</t>
  </si>
  <si>
    <t>2025-11-20 14:06:56</t>
  </si>
  <si>
    <t>CR 51 A CL 46 -77 (INTERIOR 102 )</t>
  </si>
  <si>
    <t>074521106000770102</t>
  </si>
  <si>
    <t>2025-11-27 14:06:56</t>
  </si>
  <si>
    <t>23595466</t>
  </si>
  <si>
    <t>20/11/2025 14:16:34</t>
  </si>
  <si>
    <t>2025-11-20 14:16:34</t>
  </si>
  <si>
    <t>JOHN MARIO ARANGO OCAMPO</t>
  </si>
  <si>
    <t>3294635</t>
  </si>
  <si>
    <t>3218008176</t>
  </si>
  <si>
    <t>CL 40 A SUR CR 67 -68</t>
  </si>
  <si>
    <t>044610107000680000</t>
  </si>
  <si>
    <t>2025-11-26 14:16:34</t>
  </si>
  <si>
    <t>23595470</t>
  </si>
  <si>
    <t>20/11/2025 14:19:47</t>
  </si>
  <si>
    <t>2025-11-20 14:19:47</t>
  </si>
  <si>
    <t>EILER OSPINO QUINTERO</t>
  </si>
  <si>
    <t>3213529836</t>
  </si>
  <si>
    <t>RURAL_163015373000000000_RURAL ITAGUI EL PROGRESO</t>
  </si>
  <si>
    <t>163015373000000000</t>
  </si>
  <si>
    <t>2025-12-02 14:19:47</t>
  </si>
  <si>
    <t>23595472</t>
  </si>
  <si>
    <t>20/11/2025 14:20:43</t>
  </si>
  <si>
    <t>2025-11-20 14:20:43</t>
  </si>
  <si>
    <t>RURAL_163015373000000101</t>
  </si>
  <si>
    <t>163015373000000101</t>
  </si>
  <si>
    <t>2025-12-02 14:20:43</t>
  </si>
  <si>
    <t>23595474</t>
  </si>
  <si>
    <t>20/11/2025 14:21:56</t>
  </si>
  <si>
    <t>2025-11-20 14:21:56</t>
  </si>
  <si>
    <t>RURAL_163015373000000201_RURAL ITAGUI EL PROGRESO</t>
  </si>
  <si>
    <t>163015373000000201</t>
  </si>
  <si>
    <t>2025-12-02 14:21:56</t>
  </si>
  <si>
    <t>23595483</t>
  </si>
  <si>
    <t>20/11/2025 14:25:46</t>
  </si>
  <si>
    <t>2025-11-20 14:25:46</t>
  </si>
  <si>
    <t>RURAL_163015373000009901</t>
  </si>
  <si>
    <t>163015373000009901</t>
  </si>
  <si>
    <t>2025-12-02 14:25:46</t>
  </si>
  <si>
    <t>23595484</t>
  </si>
  <si>
    <t>20/11/2025 14:26:22</t>
  </si>
  <si>
    <t>2025-11-20 14:26:22</t>
  </si>
  <si>
    <t>CL 83 B CR 57 -96 (INTERIOR 301 )</t>
  </si>
  <si>
    <t>078513207000960301</t>
  </si>
  <si>
    <t>2025-12-01 14:26:22</t>
  </si>
  <si>
    <t>7 días 14:26</t>
  </si>
  <si>
    <t>23595485</t>
  </si>
  <si>
    <t>20/11/2025 14:26:48</t>
  </si>
  <si>
    <t>2025-11-20 14:26:48</t>
  </si>
  <si>
    <t>LUZ IRENE CARMONA GOMEZ</t>
  </si>
  <si>
    <t>3766707</t>
  </si>
  <si>
    <t>RURAL_163015784500000000_EL PROGRESO</t>
  </si>
  <si>
    <t>163015784500000000</t>
  </si>
  <si>
    <t>2025-12-02 14:26:48</t>
  </si>
  <si>
    <t>23595488</t>
  </si>
  <si>
    <t>20/11/2025 14:28:56</t>
  </si>
  <si>
    <t>2025-11-20 14:28:56</t>
  </si>
  <si>
    <t>RURAL_163015784600000000_EL PROGRESO</t>
  </si>
  <si>
    <t>163015784600000000</t>
  </si>
  <si>
    <t>2025-12-02 14:28:56</t>
  </si>
  <si>
    <t>23595517</t>
  </si>
  <si>
    <t>20/11/2025 14:51:16</t>
  </si>
  <si>
    <t>2025-11-20 14:51:16</t>
  </si>
  <si>
    <t>CL 136 SUR CR 48 -54 (INTERIOR 402 )</t>
  </si>
  <si>
    <t>003416008000540402</t>
  </si>
  <si>
    <t>2025-12-01 14:51:16</t>
  </si>
  <si>
    <t>23595523</t>
  </si>
  <si>
    <t>20/11/2025 14:53:37</t>
  </si>
  <si>
    <t>2025-11-20 14:53:37</t>
  </si>
  <si>
    <t>CL 136 SUR CR 48 -54 (INTERIOR 401 )</t>
  </si>
  <si>
    <t>003416008000540401</t>
  </si>
  <si>
    <t>2025-12-01 14:53:37</t>
  </si>
  <si>
    <t>23595562</t>
  </si>
  <si>
    <t>20/11/2025 15:08:53</t>
  </si>
  <si>
    <t>2025-11-20 15:08:53</t>
  </si>
  <si>
    <t>CL 136 SUR CR 48 -56 (INTERIOR 502 )</t>
  </si>
  <si>
    <t>003416008000560502</t>
  </si>
  <si>
    <t>2025-12-01 15:08:53</t>
  </si>
  <si>
    <t>23595568</t>
  </si>
  <si>
    <t>20/11/2025 15:12:45</t>
  </si>
  <si>
    <t>2025-11-20 15:12:45</t>
  </si>
  <si>
    <t>CL 136 SUR CR 48 -56 (INTERIOR 501 )</t>
  </si>
  <si>
    <t>003416008000560501</t>
  </si>
  <si>
    <t>2025-12-01 15:12:45</t>
  </si>
  <si>
    <t>0 días 09:37</t>
  </si>
  <si>
    <t>4 días 09:37</t>
  </si>
  <si>
    <t>0 días 09:51</t>
  </si>
  <si>
    <t>6 días 09:51</t>
  </si>
  <si>
    <t>10 días 09:37</t>
  </si>
  <si>
    <t>0 días 09:28</t>
  </si>
  <si>
    <t>4 días 09:28</t>
  </si>
  <si>
    <t>0 días 09:23</t>
  </si>
  <si>
    <t>4 días 09:23</t>
  </si>
  <si>
    <t>6 días 07:05</t>
  </si>
  <si>
    <t>1 días 07:05</t>
  </si>
  <si>
    <t>5 días 15:25</t>
  </si>
  <si>
    <t>6 días 15:25</t>
  </si>
  <si>
    <t>9 días 08:51</t>
  </si>
  <si>
    <t>6 días 14:15</t>
  </si>
  <si>
    <t>1 días 14:15</t>
  </si>
  <si>
    <t>5 días 16:58</t>
  </si>
  <si>
    <t>4 días 12:31</t>
  </si>
  <si>
    <t>1 días 12:31</t>
  </si>
  <si>
    <t>5 días 13:49</t>
  </si>
  <si>
    <t>2 días 13:49</t>
  </si>
  <si>
    <t>5 días 13:53</t>
  </si>
  <si>
    <t>2 días 13:53</t>
  </si>
  <si>
    <t>5 días 13:51</t>
  </si>
  <si>
    <t>5 días 14:31</t>
  </si>
  <si>
    <t>4 días 08:55</t>
  </si>
  <si>
    <t>6 días 08:55</t>
  </si>
  <si>
    <t>4 días 21:03</t>
  </si>
  <si>
    <t>1 días 21:03</t>
  </si>
  <si>
    <t>4 días 21:01</t>
  </si>
  <si>
    <t>1 días 21:01</t>
  </si>
  <si>
    <t>4 días 21:00</t>
  </si>
  <si>
    <t>1 días 21:00</t>
  </si>
  <si>
    <t>4 días 20:59</t>
  </si>
  <si>
    <t>1 días 20:59</t>
  </si>
  <si>
    <t>0 días 11:51</t>
  </si>
  <si>
    <t>4 días 11:51</t>
  </si>
  <si>
    <t>3 días 10:23</t>
  </si>
  <si>
    <t>5 días 10:23</t>
  </si>
  <si>
    <t>12 días 17:01</t>
  </si>
  <si>
    <t>12 días 17:02</t>
  </si>
  <si>
    <t>17 días 14:21</t>
  </si>
  <si>
    <t>9 días 12:35</t>
  </si>
  <si>
    <t>6 días 09:54</t>
  </si>
  <si>
    <t>4 días 09:54</t>
  </si>
  <si>
    <t>6 días 09:55</t>
  </si>
  <si>
    <t>9 días 10:20</t>
  </si>
  <si>
    <t>1 días 10:20</t>
  </si>
  <si>
    <t>6 días 21:54</t>
  </si>
  <si>
    <t>1 días 21:54</t>
  </si>
  <si>
    <t>3 días 21:41</t>
  </si>
  <si>
    <t>10 días 07:56</t>
  </si>
  <si>
    <t>5 días 15:40</t>
  </si>
  <si>
    <t>0 días 12:17</t>
  </si>
  <si>
    <t>6 días 12:17</t>
  </si>
  <si>
    <t>5 días 16:03</t>
  </si>
  <si>
    <t>2 días 16:03</t>
  </si>
  <si>
    <t>2 días 09:22</t>
  </si>
  <si>
    <t>8 días 09:22</t>
  </si>
  <si>
    <t>2 días 12:08</t>
  </si>
  <si>
    <t>5 días 12:08</t>
  </si>
  <si>
    <t>2 días 09:33</t>
  </si>
  <si>
    <t>3 días 09:33</t>
  </si>
  <si>
    <t>6 días 10:38</t>
  </si>
  <si>
    <t>4 días 11:49</t>
  </si>
  <si>
    <t>1 días 21:42</t>
  </si>
  <si>
    <t>5 días 14:08</t>
  </si>
  <si>
    <t>2 días 14:08</t>
  </si>
  <si>
    <t>6 días 21:41</t>
  </si>
  <si>
    <t>1 días 21:41</t>
  </si>
  <si>
    <t>6 días 14:20</t>
  </si>
  <si>
    <t>1 días 14:20</t>
  </si>
  <si>
    <t>3 días 09:54</t>
  </si>
  <si>
    <t>4 días 17:25</t>
  </si>
  <si>
    <t>6 días 21:38</t>
  </si>
  <si>
    <t>6 días 21:53</t>
  </si>
  <si>
    <t>61 días 09:04</t>
  </si>
  <si>
    <t>7 días 08:54</t>
  </si>
  <si>
    <t>0 días 08:54</t>
  </si>
  <si>
    <t>2 días 21:06</t>
  </si>
  <si>
    <t>5 días 21:06</t>
  </si>
  <si>
    <t>2 días 16:04</t>
  </si>
  <si>
    <t>5 días 16:04</t>
  </si>
  <si>
    <t>2 días 16:01</t>
  </si>
  <si>
    <t>5 días 16:01</t>
  </si>
  <si>
    <t>3 días 07:01</t>
  </si>
  <si>
    <t>4 días 07:01</t>
  </si>
  <si>
    <t>2 días 21:43</t>
  </si>
  <si>
    <t>5 días 21:43</t>
  </si>
  <si>
    <t>11 días 16:54</t>
  </si>
  <si>
    <t>7 días 21:49</t>
  </si>
  <si>
    <t>3 días 21:49</t>
  </si>
  <si>
    <t>8 días 15:48</t>
  </si>
  <si>
    <t>2 días 14:23</t>
  </si>
  <si>
    <t>5 días 14:23</t>
  </si>
  <si>
    <t>2 días 13:29</t>
  </si>
  <si>
    <t>8 días 13:29</t>
  </si>
  <si>
    <t>13 días 21:37</t>
  </si>
  <si>
    <t>0 días 10:20</t>
  </si>
  <si>
    <t>6 días 10:20</t>
  </si>
  <si>
    <t>6 días 09:58</t>
  </si>
  <si>
    <t>4 días 09:58</t>
  </si>
  <si>
    <t>2 días 12:06</t>
  </si>
  <si>
    <t>5 días 12:06</t>
  </si>
  <si>
    <t>0 días 13:44</t>
  </si>
  <si>
    <t>9 días 11:58</t>
  </si>
  <si>
    <t>15 días 21:43</t>
  </si>
  <si>
    <t>1 días 21:49</t>
  </si>
  <si>
    <t>32 días 14:07</t>
  </si>
  <si>
    <t>6 días 08:49</t>
  </si>
  <si>
    <t>4 días 08:49</t>
  </si>
  <si>
    <t>2 días 21:44</t>
  </si>
  <si>
    <t>5 días 21:44</t>
  </si>
  <si>
    <t>9 días 21:42</t>
  </si>
  <si>
    <t>5 días 23:45</t>
  </si>
  <si>
    <t>0 días 08:53</t>
  </si>
  <si>
    <t>4 días 08:53</t>
  </si>
  <si>
    <t>0 días 14:09</t>
  </si>
  <si>
    <t>13 días 21:43</t>
  </si>
  <si>
    <t>10 días 08:17</t>
  </si>
  <si>
    <t>7 días 21:43</t>
  </si>
  <si>
    <t>9 días 21:43</t>
  </si>
  <si>
    <t>2 días 08:21</t>
  </si>
  <si>
    <t>3 días 08:21</t>
  </si>
  <si>
    <t>4 días 10:15</t>
  </si>
  <si>
    <t>12 días 17:04</t>
  </si>
  <si>
    <t>12 días 17:05</t>
  </si>
  <si>
    <t>8 días 08:31</t>
  </si>
  <si>
    <t>1 días 21:40</t>
  </si>
  <si>
    <t>5 días 21:42</t>
  </si>
  <si>
    <t>5 días 15:13</t>
  </si>
  <si>
    <t>7 días 09:48</t>
  </si>
  <si>
    <t>1 días 09:48</t>
  </si>
  <si>
    <t>2 días 09:58</t>
  </si>
  <si>
    <t>6 días 21:50</t>
  </si>
  <si>
    <t>2 días 21:50</t>
  </si>
  <si>
    <t>9 días 22:26</t>
  </si>
  <si>
    <t>4 días 21:54</t>
  </si>
  <si>
    <t>0 días 15:32</t>
  </si>
  <si>
    <t>6 días 15:32</t>
  </si>
  <si>
    <t>3 días 13:21</t>
  </si>
  <si>
    <t>7 días 13:21</t>
  </si>
  <si>
    <t>4 días 16:34</t>
  </si>
  <si>
    <t>1 días 16:34</t>
  </si>
  <si>
    <t>4 días 21:40</t>
  </si>
  <si>
    <t>2 días 08:16</t>
  </si>
  <si>
    <t>5 días 08:16</t>
  </si>
  <si>
    <t>3 días 16:16</t>
  </si>
  <si>
    <t>4 días 16:16</t>
  </si>
  <si>
    <t>19 días 16:38</t>
  </si>
  <si>
    <t>4 días 16:45</t>
  </si>
  <si>
    <t>0 días 07:09</t>
  </si>
  <si>
    <t>6 días 07:09</t>
  </si>
  <si>
    <t>0 días 07:14</t>
  </si>
  <si>
    <t>6 días 07:14</t>
  </si>
  <si>
    <t>0 días 07:13</t>
  </si>
  <si>
    <t>0 días 07:11</t>
  </si>
  <si>
    <t>6 días 07:11</t>
  </si>
  <si>
    <t>11 días 08:42</t>
  </si>
  <si>
    <t>2 días 09:29</t>
  </si>
  <si>
    <t>3 días 09:29</t>
  </si>
  <si>
    <t>4 días 08:54</t>
  </si>
  <si>
    <t>32 días 11:45</t>
  </si>
  <si>
    <t>5 días 12:59</t>
  </si>
  <si>
    <t>0 días 12:59</t>
  </si>
  <si>
    <t>0 días 09:45</t>
  </si>
  <si>
    <t>4 días 09:45</t>
  </si>
  <si>
    <t>0 días 09:48</t>
  </si>
  <si>
    <t>4 días 09:48</t>
  </si>
  <si>
    <t>0 días 09:43</t>
  </si>
  <si>
    <t>4 días 09:43</t>
  </si>
  <si>
    <t>5 días 11:42</t>
  </si>
  <si>
    <t>0 días 06:31</t>
  </si>
  <si>
    <t>6 días 06:31</t>
  </si>
  <si>
    <t>0 días 06:33</t>
  </si>
  <si>
    <t>6 días 06:33</t>
  </si>
  <si>
    <t>0 días 11:12</t>
  </si>
  <si>
    <t>4 días 08:23</t>
  </si>
  <si>
    <t>6 días 09:59</t>
  </si>
  <si>
    <t>2 días 09:59</t>
  </si>
  <si>
    <t>4 días 13:39</t>
  </si>
  <si>
    <t>3 días 12:18</t>
  </si>
  <si>
    <t>5 días 12:18</t>
  </si>
  <si>
    <t>2 días 10:36</t>
  </si>
  <si>
    <t>5 días 10:36</t>
  </si>
  <si>
    <t>7 días 10:27</t>
  </si>
  <si>
    <t>1 días 10:27</t>
  </si>
  <si>
    <t>3 días 10:34</t>
  </si>
  <si>
    <t>8 días 15:14</t>
  </si>
  <si>
    <t>2 días 15:14</t>
  </si>
  <si>
    <t>10 días 09:29</t>
  </si>
  <si>
    <t>9 días 09:58</t>
  </si>
  <si>
    <t>4 días 14:31</t>
  </si>
  <si>
    <t>1 días 14:31</t>
  </si>
  <si>
    <t>4 días 14:29</t>
  </si>
  <si>
    <t>1 días 14:29</t>
  </si>
  <si>
    <t>1 días 08:23</t>
  </si>
  <si>
    <t>21 días 08:28</t>
  </si>
  <si>
    <t>20 días 13:02</t>
  </si>
  <si>
    <t>19 días 07:57</t>
  </si>
  <si>
    <t>7 días 08:52</t>
  </si>
  <si>
    <t>3 días 08:52</t>
  </si>
  <si>
    <t>0 días 13:16</t>
  </si>
  <si>
    <t>10 días 13:16</t>
  </si>
  <si>
    <t>19 días 16:21</t>
  </si>
  <si>
    <t>19 días 16:35</t>
  </si>
  <si>
    <t>19 días 16:43</t>
  </si>
  <si>
    <t>0 días 09:52</t>
  </si>
  <si>
    <t>0 días 09:53</t>
  </si>
  <si>
    <t>4 días 09:53</t>
  </si>
  <si>
    <t>4 días 02:55</t>
  </si>
  <si>
    <t>5 días 07:34</t>
  </si>
  <si>
    <t>3 días 11:07</t>
  </si>
  <si>
    <t>5 días 11:07</t>
  </si>
  <si>
    <t>2 días 10:40</t>
  </si>
  <si>
    <t>9 días 10:40</t>
  </si>
  <si>
    <t>15 días 03:32</t>
  </si>
  <si>
    <t>15 días 04:12</t>
  </si>
  <si>
    <t>15 días 07:43</t>
  </si>
  <si>
    <t>6 días 13:16</t>
  </si>
  <si>
    <t>6 días 13:17</t>
  </si>
  <si>
    <t>0 días 13:15</t>
  </si>
  <si>
    <t>6 días 13:15</t>
  </si>
  <si>
    <t>3 días 15:47</t>
  </si>
  <si>
    <t>15 días 13:52</t>
  </si>
  <si>
    <t>15 días 14:06</t>
  </si>
  <si>
    <t>15 días 14:20</t>
  </si>
  <si>
    <t>15 días 14:22</t>
  </si>
  <si>
    <t>15 días 14:46</t>
  </si>
  <si>
    <t>15 días 14:57</t>
  </si>
  <si>
    <t>15 días 15:01</t>
  </si>
  <si>
    <t>14 días 06:58</t>
  </si>
  <si>
    <t>14 días 07:50</t>
  </si>
  <si>
    <t>14 días 07:58</t>
  </si>
  <si>
    <t>14 días 08:06</t>
  </si>
  <si>
    <t>14 días 08:10</t>
  </si>
  <si>
    <t>14 días 08:16</t>
  </si>
  <si>
    <t>14 días 08:24</t>
  </si>
  <si>
    <t>14 días 08:31</t>
  </si>
  <si>
    <t>14 días 08:46</t>
  </si>
  <si>
    <t>14 días 08:52</t>
  </si>
  <si>
    <t>14 días 08:53</t>
  </si>
  <si>
    <t>14 días 08:56</t>
  </si>
  <si>
    <t>0 días 14:54</t>
  </si>
  <si>
    <t>6 días 14:54</t>
  </si>
  <si>
    <t>23578483</t>
  </si>
  <si>
    <t>30/10/2025 16:56:02</t>
  </si>
  <si>
    <t>2025-11-20 15:38:38</t>
  </si>
  <si>
    <t>CL 53 CR 55 A -31 (INTERIOR 2115 BQ 2 )</t>
  </si>
  <si>
    <t>075513005100312115</t>
  </si>
  <si>
    <t>2025-12-01 15:38:38</t>
  </si>
  <si>
    <t>0 días 15:38</t>
  </si>
  <si>
    <t>6 días 15:38</t>
  </si>
  <si>
    <t>23578585</t>
  </si>
  <si>
    <t>30/10/2025 19:06:22</t>
  </si>
  <si>
    <t>CL 53 CR 55 A -31 (INTERIOR 2214 BQ 2 )</t>
  </si>
  <si>
    <t>075513005100312214</t>
  </si>
  <si>
    <t>23578586</t>
  </si>
  <si>
    <t>CL 53 CR 55 A -31 (INTERIOR 2215 BQ 2 )</t>
  </si>
  <si>
    <t>075513005100312215</t>
  </si>
  <si>
    <t>23578587</t>
  </si>
  <si>
    <t>30/10/2025 19:06:23</t>
  </si>
  <si>
    <t>2025-11-20 15:38:39</t>
  </si>
  <si>
    <t>CL 53 CR 55 A -31 (INTERIOR 2216 BQ 2 )</t>
  </si>
  <si>
    <t>075513005100312216</t>
  </si>
  <si>
    <t>2025-12-01 15:38:39</t>
  </si>
  <si>
    <t>23578590</t>
  </si>
  <si>
    <t>30/10/2025 19:19:40</t>
  </si>
  <si>
    <t>CL 53 CR 55 A -31 (INTERIOR 2209 BQ 2 )</t>
  </si>
  <si>
    <t>075513005100312209</t>
  </si>
  <si>
    <t>23578591</t>
  </si>
  <si>
    <t>30/10/2025 19:19:45</t>
  </si>
  <si>
    <t>CL 53 CR 55 A -31 (INTERIOR 2212 BQ 2 )</t>
  </si>
  <si>
    <t>075513005100312212</t>
  </si>
  <si>
    <t>23578592</t>
  </si>
  <si>
    <t>2025-11-20 15:38:40</t>
  </si>
  <si>
    <t>CL 53 CR 55 A -31 (INTERIOR 2116 BQ 2 )</t>
  </si>
  <si>
    <t>075513005100312116</t>
  </si>
  <si>
    <t>2025-12-01 15:38:40</t>
  </si>
  <si>
    <t>23578593</t>
  </si>
  <si>
    <t>CL 53 CR 55 A -31 (INTERIOR 2210 BQ 2 )</t>
  </si>
  <si>
    <t>075513005100312210</t>
  </si>
  <si>
    <t>23578594</t>
  </si>
  <si>
    <t>30/10/2025 19:20:35</t>
  </si>
  <si>
    <t>CL 53 CR 55 A -31 (INTERIOR 2114 BQ 2 )</t>
  </si>
  <si>
    <t>075513005100312114</t>
  </si>
  <si>
    <t>23578595</t>
  </si>
  <si>
    <t>2025-11-20 15:38:41</t>
  </si>
  <si>
    <t>CL 53 CR 55 A -31 (INTERIOR 2111 BQ 2 )</t>
  </si>
  <si>
    <t>075513005100312111</t>
  </si>
  <si>
    <t>2025-12-01 15:38:41</t>
  </si>
  <si>
    <t>23578596</t>
  </si>
  <si>
    <t>30/10/2025 19:20:36</t>
  </si>
  <si>
    <t>CL 53 CR 55 A -31 (INTERIOR 2112 BQ 2 )</t>
  </si>
  <si>
    <t>075513005100312112</t>
  </si>
  <si>
    <t>23578597</t>
  </si>
  <si>
    <t>CL 53 CR 55 A -31 (INTERIOR 2113 BQ 2 )</t>
  </si>
  <si>
    <t>075513005100312113</t>
  </si>
  <si>
    <t>23578599</t>
  </si>
  <si>
    <t>30/10/2025 19:26:12</t>
  </si>
  <si>
    <t>CL 53 CR 55 A -31 (INTERIOR 2110 BQ 2 )</t>
  </si>
  <si>
    <t>075513005100312110</t>
  </si>
  <si>
    <t>23578600</t>
  </si>
  <si>
    <t>30/10/2025 19:26:15</t>
  </si>
  <si>
    <t>2025-11-20 15:38:42</t>
  </si>
  <si>
    <t>CL 53 CR 55 A -31 (INTERIOR 2016 BQ 2 )</t>
  </si>
  <si>
    <t>075513005100312016</t>
  </si>
  <si>
    <t>2025-12-01 15:38:42</t>
  </si>
  <si>
    <t>23578601</t>
  </si>
  <si>
    <t>30/10/2025 19:26:18</t>
  </si>
  <si>
    <t>CL 53 CR 55 A -31 (INTERIOR 2013 BQ 2 )</t>
  </si>
  <si>
    <t>075513005100312013</t>
  </si>
  <si>
    <t>23578602</t>
  </si>
  <si>
    <t>30/10/2025 19:26:22</t>
  </si>
  <si>
    <t>CL 53 CR 55 A -31 (INTERIOR 2015 BQ 2 )</t>
  </si>
  <si>
    <t>075513005100312015</t>
  </si>
  <si>
    <t>23578603</t>
  </si>
  <si>
    <t>CL 53 CR 55 A -31 (INTERIOR 2109 BQ 2 )</t>
  </si>
  <si>
    <t>075513005100312109</t>
  </si>
  <si>
    <t>23578605</t>
  </si>
  <si>
    <t>30/10/2025 19:28:42</t>
  </si>
  <si>
    <t>2025-11-20 15:38:43</t>
  </si>
  <si>
    <t>CL 53 CR 55 A -31 (INTERIOR 2012 BQ 2 )</t>
  </si>
  <si>
    <t>075513005100312012</t>
  </si>
  <si>
    <t>2025-12-01 15:38:43</t>
  </si>
  <si>
    <t>23578623</t>
  </si>
  <si>
    <t>30/10/2025 19:40:44</t>
  </si>
  <si>
    <t>CL 53 CR 55 A -31 (INTERIOR 2009 BQ 2 )</t>
  </si>
  <si>
    <t>075513005100312009</t>
  </si>
  <si>
    <t>23578644</t>
  </si>
  <si>
    <t>30/10/2025 19:55:27</t>
  </si>
  <si>
    <t>CL 53 CR 55 A -31 (INTERIOR 2213 BQ 2 )</t>
  </si>
  <si>
    <t>075513005100312213</t>
  </si>
  <si>
    <t>23578652</t>
  </si>
  <si>
    <t>30/10/2025 20:14:19</t>
  </si>
  <si>
    <t>2025-11-20 15:38:44</t>
  </si>
  <si>
    <t>CL 53 CR 55 A -31 (INTERIOR 1916 BQ 2 )</t>
  </si>
  <si>
    <t>075513005100311916</t>
  </si>
  <si>
    <t>2025-12-01 15:38:44</t>
  </si>
  <si>
    <t>23578653</t>
  </si>
  <si>
    <t>30/10/2025 20:14:22</t>
  </si>
  <si>
    <t>CL 53 CR 55 A -31 (INTERIOR 1915 BQ 2 )</t>
  </si>
  <si>
    <t>075513005100311915</t>
  </si>
  <si>
    <t>23578654</t>
  </si>
  <si>
    <t>30/10/2025 20:14:21</t>
  </si>
  <si>
    <t>CL 53 CR 55 A -31 (INTERIOR 2010 BQ 2 )</t>
  </si>
  <si>
    <t>075513005100312010</t>
  </si>
  <si>
    <t>23578655</t>
  </si>
  <si>
    <t>30/10/2025 20:14:45</t>
  </si>
  <si>
    <t>CL 53 CR 55 A -31 (INTERIOR 2011 BQ 2 )</t>
  </si>
  <si>
    <t>075513005100312011</t>
  </si>
  <si>
    <t>0 días 07:30</t>
  </si>
  <si>
    <t>4 días 07:30</t>
  </si>
  <si>
    <t>7 días 09:15</t>
  </si>
  <si>
    <t>0 días 09:15</t>
  </si>
  <si>
    <t>13 días 11:36</t>
  </si>
  <si>
    <t>0 días 13:18</t>
  </si>
  <si>
    <t>6 días 13:18</t>
  </si>
  <si>
    <t>4 días 13:27</t>
  </si>
  <si>
    <t>1 días 13:27</t>
  </si>
  <si>
    <t>3 días 15:48</t>
  </si>
  <si>
    <t>1 días 15:48</t>
  </si>
  <si>
    <t>3 días 14:06</t>
  </si>
  <si>
    <t>2 días 16:45</t>
  </si>
  <si>
    <t>9 días 16:45</t>
  </si>
  <si>
    <t>4 días 07:54</t>
  </si>
  <si>
    <t>11 días 10:17</t>
  </si>
  <si>
    <t>11 días 10:24</t>
  </si>
  <si>
    <t>4 días 14:22</t>
  </si>
  <si>
    <t>1 días 14:22</t>
  </si>
  <si>
    <t>4 días 09:07</t>
  </si>
  <si>
    <t>1 días 09:07</t>
  </si>
  <si>
    <t>11 días 13:13</t>
  </si>
  <si>
    <t>3 días 10:48</t>
  </si>
  <si>
    <t>1 días 10:48</t>
  </si>
  <si>
    <t>1 días 15:47</t>
  </si>
  <si>
    <t>11 días 15:50</t>
  </si>
  <si>
    <t>11 días 15:55</t>
  </si>
  <si>
    <t>11 días 16:15</t>
  </si>
  <si>
    <t>10 días 07:24</t>
  </si>
  <si>
    <t>10 días 07:44</t>
  </si>
  <si>
    <t>10 días 07:47</t>
  </si>
  <si>
    <t>0 días 08:22</t>
  </si>
  <si>
    <t>4 días 08:22</t>
  </si>
  <si>
    <t>10 días 10:27</t>
  </si>
  <si>
    <t>4 días 05:02</t>
  </si>
  <si>
    <t>4 días 09:42</t>
  </si>
  <si>
    <t>10 días 12:27</t>
  </si>
  <si>
    <t>2 días 16:19</t>
  </si>
  <si>
    <t>5 días 16:19</t>
  </si>
  <si>
    <t>2 días 16:21</t>
  </si>
  <si>
    <t>5 días 16:21</t>
  </si>
  <si>
    <t>9 días 09:25</t>
  </si>
  <si>
    <t>9 días 11:12</t>
  </si>
  <si>
    <t>1 días 11:12</t>
  </si>
  <si>
    <t>9 días 11:52</t>
  </si>
  <si>
    <t>5 días 11:52</t>
  </si>
  <si>
    <t>2 días 21:23</t>
  </si>
  <si>
    <t>0 días 08:52</t>
  </si>
  <si>
    <t>9 días 10:19</t>
  </si>
  <si>
    <t>9 días 13:42</t>
  </si>
  <si>
    <t>2 días 13:42</t>
  </si>
  <si>
    <t>8 días 08:26</t>
  </si>
  <si>
    <t>1 días 08:26</t>
  </si>
  <si>
    <t>8 días 09:31</t>
  </si>
  <si>
    <t>8 días 09:47</t>
  </si>
  <si>
    <t>1 días 09:47</t>
  </si>
  <si>
    <t>5 días 15:07</t>
  </si>
  <si>
    <t>6 días 15:07</t>
  </si>
  <si>
    <t>2 días 11:30</t>
  </si>
  <si>
    <t>5 días 11:30</t>
  </si>
  <si>
    <t>8 días 15:25</t>
  </si>
  <si>
    <t>8 días 15:55</t>
  </si>
  <si>
    <t>7 días 03:15</t>
  </si>
  <si>
    <t>1 días 03:15</t>
  </si>
  <si>
    <t>7 días 05:00</t>
  </si>
  <si>
    <t>1 días 05:00</t>
  </si>
  <si>
    <t>7 días 07:10</t>
  </si>
  <si>
    <t>4 días 10:11</t>
  </si>
  <si>
    <t>7 días 10:44</t>
  </si>
  <si>
    <t>7 días 10:45</t>
  </si>
  <si>
    <t>7 días 10:58</t>
  </si>
  <si>
    <t>7 días 11:22</t>
  </si>
  <si>
    <t>3 días 11:22</t>
  </si>
  <si>
    <t>7 días 11:23</t>
  </si>
  <si>
    <t>3 días 11:23</t>
  </si>
  <si>
    <t>2 días 11:46</t>
  </si>
  <si>
    <t>0 días 10:04</t>
  </si>
  <si>
    <t>7 días 10:04</t>
  </si>
  <si>
    <t>2 días 13:11</t>
  </si>
  <si>
    <t>7 días 13:32</t>
  </si>
  <si>
    <t>1 días 13:32</t>
  </si>
  <si>
    <t>7 días 15:17</t>
  </si>
  <si>
    <t>3 días 15:17</t>
  </si>
  <si>
    <t>2 días 06:22</t>
  </si>
  <si>
    <t>3 días 06:22</t>
  </si>
  <si>
    <t>7 días 16:14</t>
  </si>
  <si>
    <t>2 días 16:14</t>
  </si>
  <si>
    <t>7 días 20:53</t>
  </si>
  <si>
    <t>4 días 20:53</t>
  </si>
  <si>
    <t>6 días 07:23</t>
  </si>
  <si>
    <t>3 días 07:23</t>
  </si>
  <si>
    <t>0 días 14:19</t>
  </si>
  <si>
    <t>6 días 14:19</t>
  </si>
  <si>
    <t>6 días 08:02</t>
  </si>
  <si>
    <t>1 días 08:02</t>
  </si>
  <si>
    <t>6 días 08:33</t>
  </si>
  <si>
    <t>8 días 08:33</t>
  </si>
  <si>
    <t>6 días 10:12</t>
  </si>
  <si>
    <t>6 días 10:17</t>
  </si>
  <si>
    <t>4 días 10:17</t>
  </si>
  <si>
    <t>6 días 10:29</t>
  </si>
  <si>
    <t>4 días 10:29</t>
  </si>
  <si>
    <t>4 días 10:59</t>
  </si>
  <si>
    <t>4 días 11:14</t>
  </si>
  <si>
    <t>0 días 14:24</t>
  </si>
  <si>
    <t>4 días 14:24</t>
  </si>
  <si>
    <t>6 días 14:11</t>
  </si>
  <si>
    <t>4 días 14:11</t>
  </si>
  <si>
    <t>0 días 06:35</t>
  </si>
  <si>
    <t>4 días 06:35</t>
  </si>
  <si>
    <t>6 días 16:24</t>
  </si>
  <si>
    <t>2 días 16:24</t>
  </si>
  <si>
    <t>6 días 16:48</t>
  </si>
  <si>
    <t>5 días 08:06</t>
  </si>
  <si>
    <t>5 días 08:09</t>
  </si>
  <si>
    <t>2 días 08:09</t>
  </si>
  <si>
    <t>5 días 09:30</t>
  </si>
  <si>
    <t>2 días 09:30</t>
  </si>
  <si>
    <t>5 días 09:44</t>
  </si>
  <si>
    <t>9 días 09:44</t>
  </si>
  <si>
    <t>5 días 11:15</t>
  </si>
  <si>
    <t>5 días 12:04</t>
  </si>
  <si>
    <t>5 días 12:33</t>
  </si>
  <si>
    <t>2 días 12:33</t>
  </si>
  <si>
    <t>5 días 13:29</t>
  </si>
  <si>
    <t>6 días 13:29</t>
  </si>
  <si>
    <t>5 días 13:45</t>
  </si>
  <si>
    <t>5 días 13:48</t>
  </si>
  <si>
    <t>2 días 13:48</t>
  </si>
  <si>
    <t>5 días 14:04</t>
  </si>
  <si>
    <t>5 días 14:05</t>
  </si>
  <si>
    <t>2 días 14:05</t>
  </si>
  <si>
    <t>5 días 14:09</t>
  </si>
  <si>
    <t>2 días 14:09</t>
  </si>
  <si>
    <t>5 días 14:12</t>
  </si>
  <si>
    <t>2 días 14:12</t>
  </si>
  <si>
    <t>5 días 14:32</t>
  </si>
  <si>
    <t>6 días 14:32</t>
  </si>
  <si>
    <t>5 días 15:04</t>
  </si>
  <si>
    <t>2 días 15:04</t>
  </si>
  <si>
    <t>2025-11-20 15:46:10</t>
  </si>
  <si>
    <t>2025-12-01 15:46:10</t>
  </si>
  <si>
    <t>0 días 15:46</t>
  </si>
  <si>
    <t>2025-11-20 15:45:58</t>
  </si>
  <si>
    <t>2025-12-01 15:45:58</t>
  </si>
  <si>
    <t>5 días 16:35</t>
  </si>
  <si>
    <t>6 días 16:35</t>
  </si>
  <si>
    <t>4 días 02:58</t>
  </si>
  <si>
    <t>4 días 03:11</t>
  </si>
  <si>
    <t>4 días 09:20</t>
  </si>
  <si>
    <t>4 días 03:35</t>
  </si>
  <si>
    <t>4 días 03:47</t>
  </si>
  <si>
    <t>4 días 03:54</t>
  </si>
  <si>
    <t>4 días 03:57</t>
  </si>
  <si>
    <t>1 días 03:57</t>
  </si>
  <si>
    <t>4 días 04:11</t>
  </si>
  <si>
    <t>4 días 04:19</t>
  </si>
  <si>
    <t>4 días 04:22</t>
  </si>
  <si>
    <t>4 días 04:27</t>
  </si>
  <si>
    <t>4 días 04:28</t>
  </si>
  <si>
    <t>4 días 04:30</t>
  </si>
  <si>
    <t>4 días 04:35</t>
  </si>
  <si>
    <t>4 días 04:37</t>
  </si>
  <si>
    <t>4 días 04:54</t>
  </si>
  <si>
    <t>4 días 07:04</t>
  </si>
  <si>
    <t>6 días 07:04</t>
  </si>
  <si>
    <t>4 días 07:52</t>
  </si>
  <si>
    <t>0 días 07:52</t>
  </si>
  <si>
    <t>4 días 07:57</t>
  </si>
  <si>
    <t>4 días 08:01</t>
  </si>
  <si>
    <t>6 días 08:01</t>
  </si>
  <si>
    <t>4 días 08:18</t>
  </si>
  <si>
    <t>4 días 08:40</t>
  </si>
  <si>
    <t>4 días 08:41</t>
  </si>
  <si>
    <t>4 días 09:26</t>
  </si>
  <si>
    <t>1 días 09:26</t>
  </si>
  <si>
    <t>4 días 09:27</t>
  </si>
  <si>
    <t>1 días 09:27</t>
  </si>
  <si>
    <t>1 días 10:04</t>
  </si>
  <si>
    <t>4 días 10:25</t>
  </si>
  <si>
    <t>4 días 10:52</t>
  </si>
  <si>
    <t>1 días 10:52</t>
  </si>
  <si>
    <t>4 días 10:57</t>
  </si>
  <si>
    <t>4 días 11:02</t>
  </si>
  <si>
    <t>5 días 11:02</t>
  </si>
  <si>
    <t>4 días 11:10</t>
  </si>
  <si>
    <t>6 días 11:10</t>
  </si>
  <si>
    <t>4 días 11:30</t>
  </si>
  <si>
    <t>4 días 11:31</t>
  </si>
  <si>
    <t>4 días 11:42</t>
  </si>
  <si>
    <t>4 días 11:53</t>
  </si>
  <si>
    <t>0 días 11:53</t>
  </si>
  <si>
    <t>4 días 13:24</t>
  </si>
  <si>
    <t>6 días 13:24</t>
  </si>
  <si>
    <t>4 días 13:25</t>
  </si>
  <si>
    <t>7 días 13:52</t>
  </si>
  <si>
    <t>4 días 14:13</t>
  </si>
  <si>
    <t>6 días 14:13</t>
  </si>
  <si>
    <t>4 días 14:15</t>
  </si>
  <si>
    <t>4 días 14:26</t>
  </si>
  <si>
    <t>0 días 14:26</t>
  </si>
  <si>
    <t>4 días 14:33</t>
  </si>
  <si>
    <t>7 días 14:33</t>
  </si>
  <si>
    <t>3 días 12:00</t>
  </si>
  <si>
    <t>4 días 17:09</t>
  </si>
  <si>
    <t>1 días 17:09</t>
  </si>
  <si>
    <t>4 días 15:23</t>
  </si>
  <si>
    <t>4 días 15:41</t>
  </si>
  <si>
    <t>6 días 15:41</t>
  </si>
  <si>
    <t>4 días 15:44</t>
  </si>
  <si>
    <t>6 días 15:44</t>
  </si>
  <si>
    <t>4 días 15:46</t>
  </si>
  <si>
    <t>5 días 15:46</t>
  </si>
  <si>
    <t>4 días 15:59</t>
  </si>
  <si>
    <t>4 días 16:22</t>
  </si>
  <si>
    <t>4 días 16:23</t>
  </si>
  <si>
    <t>7 días 16:23</t>
  </si>
  <si>
    <t>4 días 17:24</t>
  </si>
  <si>
    <t>0 días 17:24</t>
  </si>
  <si>
    <t>4 días 17:41</t>
  </si>
  <si>
    <t>0 días 17:41</t>
  </si>
  <si>
    <t>4 días 19:26</t>
  </si>
  <si>
    <t>0 días 19:26</t>
  </si>
  <si>
    <t>1 días 08:01</t>
  </si>
  <si>
    <t>3 días 08:03</t>
  </si>
  <si>
    <t>4 días 08:03</t>
  </si>
  <si>
    <t>3 días 08:19</t>
  </si>
  <si>
    <t>6 días 08:19</t>
  </si>
  <si>
    <t>1 días 08:24</t>
  </si>
  <si>
    <t>3 días 08:25</t>
  </si>
  <si>
    <t>6 días 08:25</t>
  </si>
  <si>
    <t>1 días 08:25</t>
  </si>
  <si>
    <t>3 días 08:31</t>
  </si>
  <si>
    <t>4 días 08:31</t>
  </si>
  <si>
    <t>3 días 08:34</t>
  </si>
  <si>
    <t>4 días 08:34</t>
  </si>
  <si>
    <t>5 días 08:44</t>
  </si>
  <si>
    <t>3 días 09:06</t>
  </si>
  <si>
    <t>4 días 09:06</t>
  </si>
  <si>
    <t>3 días 09:10</t>
  </si>
  <si>
    <t>5 días 09:10</t>
  </si>
  <si>
    <t>3 días 09:13</t>
  </si>
  <si>
    <t>5 días 09:13</t>
  </si>
  <si>
    <t>3 días 09:14</t>
  </si>
  <si>
    <t>11 días 09:14</t>
  </si>
  <si>
    <t>5 días 09:18</t>
  </si>
  <si>
    <t>3 días 09:28</t>
  </si>
  <si>
    <t>3 días 09:34</t>
  </si>
  <si>
    <t>4 días 09:34</t>
  </si>
  <si>
    <t>3 días 09:35</t>
  </si>
  <si>
    <t>4 días 09:35</t>
  </si>
  <si>
    <t>3 días 09:36</t>
  </si>
  <si>
    <t>4 días 09:36</t>
  </si>
  <si>
    <t>3 días 09:46</t>
  </si>
  <si>
    <t>4 días 09:46</t>
  </si>
  <si>
    <t>11 días 09:55</t>
  </si>
  <si>
    <t>3 días 10:06</t>
  </si>
  <si>
    <t>1 días 10:06</t>
  </si>
  <si>
    <t>5 días 10:13</t>
  </si>
  <si>
    <t>3 días 10:19</t>
  </si>
  <si>
    <t>1 días 10:19</t>
  </si>
  <si>
    <t>1 días 10:23</t>
  </si>
  <si>
    <t>1 días 10:24</t>
  </si>
  <si>
    <t>6 días 11:09</t>
  </si>
  <si>
    <t>6 días 11:31</t>
  </si>
  <si>
    <t>3 días 12:13</t>
  </si>
  <si>
    <t>1 días 12:14</t>
  </si>
  <si>
    <t>3 días 12:46</t>
  </si>
  <si>
    <t>6 días 12:46</t>
  </si>
  <si>
    <t>3 días 13:13</t>
  </si>
  <si>
    <t>3 días 13:20</t>
  </si>
  <si>
    <t>7 días 13:20</t>
  </si>
  <si>
    <t>4 días 13:20</t>
  </si>
  <si>
    <t>7 días 13:31</t>
  </si>
  <si>
    <t>6 días 13:50</t>
  </si>
  <si>
    <t>3 días 14:18</t>
  </si>
  <si>
    <t>6 días 14:18</t>
  </si>
  <si>
    <t>3 días 14:50</t>
  </si>
  <si>
    <t>1 días 14:50</t>
  </si>
  <si>
    <t>3 días 15:01</t>
  </si>
  <si>
    <t>1 días 15:01</t>
  </si>
  <si>
    <t>3 días 15:10</t>
  </si>
  <si>
    <t>1 días 15:10</t>
  </si>
  <si>
    <t>3 días 15:57</t>
  </si>
  <si>
    <t>4 días 15:57</t>
  </si>
  <si>
    <t>3 días 16:12</t>
  </si>
  <si>
    <t>5 días 16:12</t>
  </si>
  <si>
    <t>1 días 16:22</t>
  </si>
  <si>
    <t>3 días 16:44</t>
  </si>
  <si>
    <t>8 días 16:44</t>
  </si>
  <si>
    <t>3 días 17:21</t>
  </si>
  <si>
    <t>5 días 17:21</t>
  </si>
  <si>
    <t>3 días 17:34</t>
  </si>
  <si>
    <t>1 días 17:34</t>
  </si>
  <si>
    <t>3 días 17:37</t>
  </si>
  <si>
    <t>4 días 17:37</t>
  </si>
  <si>
    <t>3 días 19:38</t>
  </si>
  <si>
    <t>5 días 19:38</t>
  </si>
  <si>
    <t>3 días 20:33</t>
  </si>
  <si>
    <t>11 días 20:33</t>
  </si>
  <si>
    <t>2 días 07:08</t>
  </si>
  <si>
    <t>8 días 07:08</t>
  </si>
  <si>
    <t>2 días 07:15</t>
  </si>
  <si>
    <t>2 días 07:45</t>
  </si>
  <si>
    <t>3 días 07:45</t>
  </si>
  <si>
    <t>2 días 07:50</t>
  </si>
  <si>
    <t>7 días 07:50</t>
  </si>
  <si>
    <t>2 días 07:55</t>
  </si>
  <si>
    <t>2 días 08:00</t>
  </si>
  <si>
    <t>5 días 08:00</t>
  </si>
  <si>
    <t>2 días 08:12</t>
  </si>
  <si>
    <t>2 días 08:13</t>
  </si>
  <si>
    <t>2 días 08:33</t>
  </si>
  <si>
    <t>3 días 08:33</t>
  </si>
  <si>
    <t>2 días 08:35</t>
  </si>
  <si>
    <t>2 días 08:37</t>
  </si>
  <si>
    <t>3 días 08:37</t>
  </si>
  <si>
    <t>2 días 08:58</t>
  </si>
  <si>
    <t>6 días 08:58</t>
  </si>
  <si>
    <t>0 días 06:49</t>
  </si>
  <si>
    <t>7 días 06:49</t>
  </si>
  <si>
    <t>3 días 08:58</t>
  </si>
  <si>
    <t>2 días 09:04</t>
  </si>
  <si>
    <t>3 días 09:04</t>
  </si>
  <si>
    <t>2 días 09:08</t>
  </si>
  <si>
    <t>3 días 09:08</t>
  </si>
  <si>
    <t>5 días 09:14</t>
  </si>
  <si>
    <t>2 días 09:20</t>
  </si>
  <si>
    <t>2 días 09:24</t>
  </si>
  <si>
    <t>5 días 09:24</t>
  </si>
  <si>
    <t>6 días 09:27</t>
  </si>
  <si>
    <t>2 días 09:50</t>
  </si>
  <si>
    <t>6 días 09:50</t>
  </si>
  <si>
    <t>2 días 10:08</t>
  </si>
  <si>
    <t>2 días 10:11</t>
  </si>
  <si>
    <t>2 días 10:14</t>
  </si>
  <si>
    <t>3 días 10:14</t>
  </si>
  <si>
    <t>2 días 10:21</t>
  </si>
  <si>
    <t>3 días 10:21</t>
  </si>
  <si>
    <t>2 días 10:26</t>
  </si>
  <si>
    <t>3 días 10:26</t>
  </si>
  <si>
    <t>8 días 10:43</t>
  </si>
  <si>
    <t>2 días 10:58</t>
  </si>
  <si>
    <t>5 días 10:58</t>
  </si>
  <si>
    <t>2 días 10:59</t>
  </si>
  <si>
    <t>8 días 10:59</t>
  </si>
  <si>
    <t>2 días 11:08</t>
  </si>
  <si>
    <t>2 días 11:10</t>
  </si>
  <si>
    <t>2 días 11:13</t>
  </si>
  <si>
    <t>2 días 11:14</t>
  </si>
  <si>
    <t>2 días 11:15</t>
  </si>
  <si>
    <t>2 días 11:18</t>
  </si>
  <si>
    <t>5 días 11:18</t>
  </si>
  <si>
    <t>2 días 11:19</t>
  </si>
  <si>
    <t>5 días 11:19</t>
  </si>
  <si>
    <t>2 días 11:21</t>
  </si>
  <si>
    <t>5 días 11:21</t>
  </si>
  <si>
    <t>2 días 11:27</t>
  </si>
  <si>
    <t>2 días 11:33</t>
  </si>
  <si>
    <t>2 días 11:39</t>
  </si>
  <si>
    <t>7 días 11:39</t>
  </si>
  <si>
    <t>2 días 11:56</t>
  </si>
  <si>
    <t>12 días 11:56</t>
  </si>
  <si>
    <t>2 días 12:03</t>
  </si>
  <si>
    <t>12 días 12:03</t>
  </si>
  <si>
    <t>9 días 12:09</t>
  </si>
  <si>
    <t>2 días 12:11</t>
  </si>
  <si>
    <t>5 días 12:11</t>
  </si>
  <si>
    <t>2 días 12:15</t>
  </si>
  <si>
    <t>5 días 12:15</t>
  </si>
  <si>
    <t>2 días 12:19</t>
  </si>
  <si>
    <t>5 días 12:19</t>
  </si>
  <si>
    <t>2 días 12:21</t>
  </si>
  <si>
    <t>5 días 12:21</t>
  </si>
  <si>
    <t>2 días 12:24</t>
  </si>
  <si>
    <t>8 días 12:24</t>
  </si>
  <si>
    <t>2 días 12:26</t>
  </si>
  <si>
    <t>3 días 12:26</t>
  </si>
  <si>
    <t>6 días 12:26</t>
  </si>
  <si>
    <t>2 días 12:27</t>
  </si>
  <si>
    <t>6 días 12:27</t>
  </si>
  <si>
    <t>2 días 12:28</t>
  </si>
  <si>
    <t>8 días 12:28</t>
  </si>
  <si>
    <t>2 días 12:37</t>
  </si>
  <si>
    <t>5 días 12:37</t>
  </si>
  <si>
    <t>2 días 12:40</t>
  </si>
  <si>
    <t>6 días 12:40</t>
  </si>
  <si>
    <t>2 días 12:41</t>
  </si>
  <si>
    <t>2 días 12:42</t>
  </si>
  <si>
    <t>5 días 12:42</t>
  </si>
  <si>
    <t>2 días 12:43</t>
  </si>
  <si>
    <t>2 días 12:44</t>
  </si>
  <si>
    <t>3 días 12:44</t>
  </si>
  <si>
    <t>2 días 12:50</t>
  </si>
  <si>
    <t>5 días 12:50</t>
  </si>
  <si>
    <t>2 días 12:51</t>
  </si>
  <si>
    <t>5 días 12:51</t>
  </si>
  <si>
    <t>2 días 13:09</t>
  </si>
  <si>
    <t>5 días 13:09</t>
  </si>
  <si>
    <t>2 días 13:10</t>
  </si>
  <si>
    <t>5 días 13:10</t>
  </si>
  <si>
    <t>5 días 13:11</t>
  </si>
  <si>
    <t>2 días 13:12</t>
  </si>
  <si>
    <t>5 días 13:12</t>
  </si>
  <si>
    <t>5 días 13:13</t>
  </si>
  <si>
    <t>2 días 13:14</t>
  </si>
  <si>
    <t>5 días 13:14</t>
  </si>
  <si>
    <t>2 días 13:17</t>
  </si>
  <si>
    <t>2 días 13:22</t>
  </si>
  <si>
    <t>3 días 13:22</t>
  </si>
  <si>
    <t>2 días 13:23</t>
  </si>
  <si>
    <t>5 días 13:23</t>
  </si>
  <si>
    <t>2 días 13:33</t>
  </si>
  <si>
    <t>5 días 13:33</t>
  </si>
  <si>
    <t>2 días 13:35</t>
  </si>
  <si>
    <t>5 días 13:35</t>
  </si>
  <si>
    <t>2 días 13:36</t>
  </si>
  <si>
    <t>5 días 13:36</t>
  </si>
  <si>
    <t>2 días 13:37</t>
  </si>
  <si>
    <t>5 días 13:37</t>
  </si>
  <si>
    <t>2 días 13:38</t>
  </si>
  <si>
    <t>5 días 13:38</t>
  </si>
  <si>
    <t>2 días 13:39</t>
  </si>
  <si>
    <t>2 días 13:40</t>
  </si>
  <si>
    <t>5 días 13:40</t>
  </si>
  <si>
    <t>2 días 13:41</t>
  </si>
  <si>
    <t>9 días 13:41</t>
  </si>
  <si>
    <t>2 días 13:46</t>
  </si>
  <si>
    <t>5 días 13:46</t>
  </si>
  <si>
    <t>6 días 13:49</t>
  </si>
  <si>
    <t>2 días 13:54</t>
  </si>
  <si>
    <t>9 días 13:54</t>
  </si>
  <si>
    <t>2 días 14:03</t>
  </si>
  <si>
    <t>5 días 14:07</t>
  </si>
  <si>
    <t>2 días 14:13</t>
  </si>
  <si>
    <t>5 días 14:29</t>
  </si>
  <si>
    <t>5 días 14:33</t>
  </si>
  <si>
    <t>2 días 14:34</t>
  </si>
  <si>
    <t>5 días 14:34</t>
  </si>
  <si>
    <t>2 días 14:35</t>
  </si>
  <si>
    <t>5 días 14:35</t>
  </si>
  <si>
    <t>2 días 14:38</t>
  </si>
  <si>
    <t>2 días 14:41</t>
  </si>
  <si>
    <t>6 días 14:41</t>
  </si>
  <si>
    <t>2 días 14:48</t>
  </si>
  <si>
    <t>5 días 14:48</t>
  </si>
  <si>
    <t>2 días 15:07</t>
  </si>
  <si>
    <t>3 días 15:07</t>
  </si>
  <si>
    <t>23594020</t>
  </si>
  <si>
    <t>19/11/2025 15:13:02</t>
  </si>
  <si>
    <t>2025-11-19 15:13:02</t>
  </si>
  <si>
    <t>TERRANUM DESARROLLO</t>
  </si>
  <si>
    <t>1111111</t>
  </si>
  <si>
    <t>3113858308</t>
  </si>
  <si>
    <t>DIAG 28 CL 16 -220 (INTERIOR 704 )</t>
  </si>
  <si>
    <t>051228006002200704</t>
  </si>
  <si>
    <t>2025-11-28 15:13:02</t>
  </si>
  <si>
    <t>2 días 15:13</t>
  </si>
  <si>
    <t>2 días 15:15</t>
  </si>
  <si>
    <t>5 días 15:15</t>
  </si>
  <si>
    <t>6 días 15:18</t>
  </si>
  <si>
    <t>2 días 15:20</t>
  </si>
  <si>
    <t>12 días 15:20</t>
  </si>
  <si>
    <t>2 días 15:21</t>
  </si>
  <si>
    <t>3 días 15:21</t>
  </si>
  <si>
    <t>23594043</t>
  </si>
  <si>
    <t>19/11/2025 15:22:03</t>
  </si>
  <si>
    <t>2025-11-19 15:22:03</t>
  </si>
  <si>
    <t>CL 30 SUR CR 48 -170 (INTERIOR 726 )</t>
  </si>
  <si>
    <t>023410008001800726</t>
  </si>
  <si>
    <t>2025-11-28 15:22:03</t>
  </si>
  <si>
    <t>2 días 15:22</t>
  </si>
  <si>
    <t>5 días 15:22</t>
  </si>
  <si>
    <t>23594063</t>
  </si>
  <si>
    <t>19/11/2025 15:27:50</t>
  </si>
  <si>
    <t>2025-11-19 15:27:50</t>
  </si>
  <si>
    <t>JORGE HERNAN URREA ORREGO</t>
  </si>
  <si>
    <t>3043286515</t>
  </si>
  <si>
    <t>TRAN 7 A CR 32 -155 (INTERIOR 301 )</t>
  </si>
  <si>
    <t>050317102001550301</t>
  </si>
  <si>
    <t>2025-11-28 15:27:50</t>
  </si>
  <si>
    <t>2 días 15:27</t>
  </si>
  <si>
    <t>5 días 15:27</t>
  </si>
  <si>
    <t>2 días 15:39</t>
  </si>
  <si>
    <t>7 días 15:39</t>
  </si>
  <si>
    <t>2 días 15:45</t>
  </si>
  <si>
    <t>5 días 15:45</t>
  </si>
  <si>
    <t>5 días 15:50</t>
  </si>
  <si>
    <t>2 días 15:54</t>
  </si>
  <si>
    <t>2 días 15:56</t>
  </si>
  <si>
    <t>12 días 15:56</t>
  </si>
  <si>
    <t>2 días 16:02</t>
  </si>
  <si>
    <t>3 días 16:02</t>
  </si>
  <si>
    <t>23594140</t>
  </si>
  <si>
    <t>19/11/2025 16:04:39</t>
  </si>
  <si>
    <t>2025-11-19 16:04:39</t>
  </si>
  <si>
    <t>PABLO EMILIO DANIELS GUTIERREZ</t>
  </si>
  <si>
    <t>3007320</t>
  </si>
  <si>
    <t>3145241759</t>
  </si>
  <si>
    <t>CL 32 AA CR 69 -29</t>
  </si>
  <si>
    <t>053612119000290000</t>
  </si>
  <si>
    <t>2025-11-28 16:04:39</t>
  </si>
  <si>
    <t>2 días 16:06</t>
  </si>
  <si>
    <t>2 días 16:17</t>
  </si>
  <si>
    <t>5 días 16:17</t>
  </si>
  <si>
    <t>23594173</t>
  </si>
  <si>
    <t>19/11/2025 16:21:52</t>
  </si>
  <si>
    <t>2025-11-19 16:21:52</t>
  </si>
  <si>
    <t>YASNEY ALEXANDRA CALLEJAS GIL</t>
  </si>
  <si>
    <t>RURAL_114002950000000000_VEREDA_EL JARDIN</t>
  </si>
  <si>
    <t>114002950000000000</t>
  </si>
  <si>
    <t>2025-12-03 16:21:52</t>
  </si>
  <si>
    <t>8 días 16:21</t>
  </si>
  <si>
    <t>23594183</t>
  </si>
  <si>
    <t>19/11/2025 16:26:15</t>
  </si>
  <si>
    <t>2025-11-19 16:26:16</t>
  </si>
  <si>
    <t>INGENIERIA EN CONSTRUCCIONES CIVILES SAS</t>
  </si>
  <si>
    <t>CL 27 SUR CR 27 D -99 (INTERIOR 90901 )</t>
  </si>
  <si>
    <t>022217007400998888</t>
  </si>
  <si>
    <t>2025-11-28 16:26:16</t>
  </si>
  <si>
    <t>2 días 16:26</t>
  </si>
  <si>
    <t>5 días 16:26</t>
  </si>
  <si>
    <t>23594186</t>
  </si>
  <si>
    <t>19/11/2025 16:26:47</t>
  </si>
  <si>
    <t>2025-11-19 16:26:47</t>
  </si>
  <si>
    <t>CL 27 SUR CR 27 D -99 (INTERIOR 101 )</t>
  </si>
  <si>
    <t>022217007400990101</t>
  </si>
  <si>
    <t>2025-11-28 16:26:47</t>
  </si>
  <si>
    <t>23594188</t>
  </si>
  <si>
    <t>19/11/2025 16:27:22</t>
  </si>
  <si>
    <t>2025-11-19 16:27:22</t>
  </si>
  <si>
    <t>RURAL_114002950000009801_VEREDA_EL JARDIN</t>
  </si>
  <si>
    <t>114002950000009801</t>
  </si>
  <si>
    <t>2025-12-03 16:27:22</t>
  </si>
  <si>
    <t>2 días 16:27</t>
  </si>
  <si>
    <t>8 días 16:27</t>
  </si>
  <si>
    <t>3 días 16:27</t>
  </si>
  <si>
    <t>12 días 16:34</t>
  </si>
  <si>
    <t>23594202</t>
  </si>
  <si>
    <t>19/11/2025 16:34:34</t>
  </si>
  <si>
    <t>2025-11-19 16:34:34</t>
  </si>
  <si>
    <t>RURAL_114002950000009901_VEREDA_EL JARDIN</t>
  </si>
  <si>
    <t>114002950000009901</t>
  </si>
  <si>
    <t>2025-12-03 16:34:34</t>
  </si>
  <si>
    <t>8 días 16:34</t>
  </si>
  <si>
    <t>2 días 16:39</t>
  </si>
  <si>
    <t>3 días 16:39</t>
  </si>
  <si>
    <t>2 días 16:42</t>
  </si>
  <si>
    <t>23594221</t>
  </si>
  <si>
    <t>19/11/2025 16:45:16</t>
  </si>
  <si>
    <t>2025-11-19 16:45:16</t>
  </si>
  <si>
    <t>CL 27 SUR CR 27 D -99 (INTERIOR 405 )</t>
  </si>
  <si>
    <t>022217007400990405</t>
  </si>
  <si>
    <t>2025-11-28 16:45:16</t>
  </si>
  <si>
    <t>5 días 16:45</t>
  </si>
  <si>
    <t>23594222</t>
  </si>
  <si>
    <t>CL 27 SUR CR 27 D -99 (INTERIOR 905 )</t>
  </si>
  <si>
    <t>022217007400990905</t>
  </si>
  <si>
    <t>23594223</t>
  </si>
  <si>
    <t>19/11/2025 16:45:55</t>
  </si>
  <si>
    <t>2025-11-19 16:45:55</t>
  </si>
  <si>
    <t>CL 27 SUR CR 27 D -99 (INTERIOR 805 )</t>
  </si>
  <si>
    <t>022217007400990805</t>
  </si>
  <si>
    <t>2025-11-28 16:45:55</t>
  </si>
  <si>
    <t>23594224</t>
  </si>
  <si>
    <t>19/11/2025 16:46:40</t>
  </si>
  <si>
    <t>2025-11-19 16:46:40</t>
  </si>
  <si>
    <t>CL 27 SUR CR 27 D -99 (INTERIOR 701 )</t>
  </si>
  <si>
    <t>022217007400990701</t>
  </si>
  <si>
    <t>2025-11-28 16:46:40</t>
  </si>
  <si>
    <t>2 días 16:46</t>
  </si>
  <si>
    <t>5 días 16:46</t>
  </si>
  <si>
    <t>23594225</t>
  </si>
  <si>
    <t>19/11/2025 16:46:42</t>
  </si>
  <si>
    <t>2025-11-19 16:46:42</t>
  </si>
  <si>
    <t>LYDA ESTHER ACOSTA MONTOYA</t>
  </si>
  <si>
    <t>5124010</t>
  </si>
  <si>
    <t>3105998171</t>
  </si>
  <si>
    <t>CL 48 SUR CR 69 A -59 (INTERIOR 202 )</t>
  </si>
  <si>
    <t>044618009100590202</t>
  </si>
  <si>
    <t>2025-11-28 16:46:42</t>
  </si>
  <si>
    <t>23594227</t>
  </si>
  <si>
    <t>19/11/2025 16:47:07</t>
  </si>
  <si>
    <t>2025-11-19 16:47:07</t>
  </si>
  <si>
    <t>CL 27 SUR CR 27 D -99 (INTERIOR 902 )</t>
  </si>
  <si>
    <t>022217007400990902</t>
  </si>
  <si>
    <t>2025-11-28 16:47:07</t>
  </si>
  <si>
    <t>2 días 16:47</t>
  </si>
  <si>
    <t>5 días 16:47</t>
  </si>
  <si>
    <t>23594230</t>
  </si>
  <si>
    <t>19/11/2025 16:48:53</t>
  </si>
  <si>
    <t>2025-11-19 16:48:53</t>
  </si>
  <si>
    <t>CL 27 SUR CR 27 D -99 (INTERIOR 604 )</t>
  </si>
  <si>
    <t>022217007400990604</t>
  </si>
  <si>
    <t>2025-11-28 16:48:53</t>
  </si>
  <si>
    <t>2 días 16:48</t>
  </si>
  <si>
    <t>23594231</t>
  </si>
  <si>
    <t>19/11/2025 16:49:15</t>
  </si>
  <si>
    <t>2025-11-19 16:49:15</t>
  </si>
  <si>
    <t>CL 48 SUR CR 69 A -59 (INTERIOR 203 )</t>
  </si>
  <si>
    <t>044618009100590203</t>
  </si>
  <si>
    <t>2025-11-28 16:49:15</t>
  </si>
  <si>
    <t>5 días 16:49</t>
  </si>
  <si>
    <t>23594232</t>
  </si>
  <si>
    <t>19/11/2025 16:49:17</t>
  </si>
  <si>
    <t>2025-11-19 16:49:17</t>
  </si>
  <si>
    <t>CL 27 SUR CR 27 D -99 (INTERIOR 601 )</t>
  </si>
  <si>
    <t>022217007400990601</t>
  </si>
  <si>
    <t>2025-11-28 16:49:17</t>
  </si>
  <si>
    <t>23594242</t>
  </si>
  <si>
    <t>19/11/2025 16:56:17</t>
  </si>
  <si>
    <t>2025-11-19 16:56:17</t>
  </si>
  <si>
    <t>CL 27 SUR CR 27 D -99 (INTERIOR 001 ZN COMUN )</t>
  </si>
  <si>
    <t>022217007400990001</t>
  </si>
  <si>
    <t>2025-11-28 16:56:17</t>
  </si>
  <si>
    <t>2 días 16:56</t>
  </si>
  <si>
    <t>5 días 16:56</t>
  </si>
  <si>
    <t>23594245</t>
  </si>
  <si>
    <t>19/11/2025 16:56:56</t>
  </si>
  <si>
    <t>2025-11-19 16:56:56</t>
  </si>
  <si>
    <t>CL 27 SUR CR 27 D -99 (INTERIOR 904 )</t>
  </si>
  <si>
    <t>022217007400990904</t>
  </si>
  <si>
    <t>2025-11-28 16:56:56</t>
  </si>
  <si>
    <t>23594248</t>
  </si>
  <si>
    <t>19/11/2025 16:59:02</t>
  </si>
  <si>
    <t>2025-11-19 16:59:02</t>
  </si>
  <si>
    <t>CL 27 SUR CR 27 D -99 (INTERIOR 301 )</t>
  </si>
  <si>
    <t>022217007400990301</t>
  </si>
  <si>
    <t>2025-11-28 16:59:02</t>
  </si>
  <si>
    <t>2 días 16:59</t>
  </si>
  <si>
    <t>23594249</t>
  </si>
  <si>
    <t>19/11/2025 16:59:12</t>
  </si>
  <si>
    <t>2025-11-19 16:59:12</t>
  </si>
  <si>
    <t>CL 27 SUR CR 27 D -99 (INTERIOR 305 )</t>
  </si>
  <si>
    <t>022217007400990305</t>
  </si>
  <si>
    <t>2025-11-28 16:59:12</t>
  </si>
  <si>
    <t>23594250</t>
  </si>
  <si>
    <t>19/11/2025 16:59:52</t>
  </si>
  <si>
    <t>2025-11-19 16:59:52</t>
  </si>
  <si>
    <t>CL 27 SUR CR 27 D -99 (INTERIOR 803 )</t>
  </si>
  <si>
    <t>022217007400990803</t>
  </si>
  <si>
    <t>2025-11-28 16:59:52</t>
  </si>
  <si>
    <t>23594253</t>
  </si>
  <si>
    <t>19/11/2025 17:00:43</t>
  </si>
  <si>
    <t>2025-11-19 17:00:43</t>
  </si>
  <si>
    <t>CL 27 SUR CR 27 D -99 (INTERIOR 302 )</t>
  </si>
  <si>
    <t>022217007400990302</t>
  </si>
  <si>
    <t>2025-11-28 17:00:43</t>
  </si>
  <si>
    <t>2 días 17:00</t>
  </si>
  <si>
    <t>5 días 17:00</t>
  </si>
  <si>
    <t>23594254</t>
  </si>
  <si>
    <t>19/11/2025 17:00:54</t>
  </si>
  <si>
    <t>2025-11-19 17:00:54</t>
  </si>
  <si>
    <t>CL 27 SUR CR 27 D -99 (INTERIOR 603 )</t>
  </si>
  <si>
    <t>022217007400990603</t>
  </si>
  <si>
    <t>2025-11-28 17:00:54</t>
  </si>
  <si>
    <t>23594259</t>
  </si>
  <si>
    <t>19/11/2025 17:02:11</t>
  </si>
  <si>
    <t>2025-11-19 17:02:11</t>
  </si>
  <si>
    <t>CL 27 SUR CR 27 D -99 (INTERIOR 105 )</t>
  </si>
  <si>
    <t>022217007400990105</t>
  </si>
  <si>
    <t>2025-11-28 17:02:11</t>
  </si>
  <si>
    <t>2 días 17:02</t>
  </si>
  <si>
    <t>5 días 17:02</t>
  </si>
  <si>
    <t>23594260</t>
  </si>
  <si>
    <t>19/11/2025 17:02:31</t>
  </si>
  <si>
    <t>2025-11-19 17:02:31</t>
  </si>
  <si>
    <t>CL 27 SUR CR 27 D -99 (INTERIOR 502 )</t>
  </si>
  <si>
    <t>022217007400990502</t>
  </si>
  <si>
    <t>2025-11-28 17:02:31</t>
  </si>
  <si>
    <t>23594263</t>
  </si>
  <si>
    <t>19/11/2025 17:02:57</t>
  </si>
  <si>
    <t>2025-11-19 17:02:57</t>
  </si>
  <si>
    <t>EMPRESAS PUBLICAS DE MEDELLIN E.S.P.</t>
  </si>
  <si>
    <t>3163553990</t>
  </si>
  <si>
    <t>CR 27 CL 40 A -1</t>
  </si>
  <si>
    <t>054227000100010000</t>
  </si>
  <si>
    <t>2025-11-28 17:02:57</t>
  </si>
  <si>
    <t>23594265</t>
  </si>
  <si>
    <t>19/11/2025 17:03:09</t>
  </si>
  <si>
    <t>2025-11-19 17:03:09</t>
  </si>
  <si>
    <t>CL 27 SUR CR 27 D -99 (INTERIOR 504 )</t>
  </si>
  <si>
    <t>022217007400990504</t>
  </si>
  <si>
    <t>2025-11-28 17:03:09</t>
  </si>
  <si>
    <t>2 días 17:03</t>
  </si>
  <si>
    <t>5 días 17:03</t>
  </si>
  <si>
    <t>23594268</t>
  </si>
  <si>
    <t>19/11/2025 17:04:15</t>
  </si>
  <si>
    <t>2025-11-19 17:04:15</t>
  </si>
  <si>
    <t>CL 27 SUR CR 27 D -99 (INTERIOR 602 )</t>
  </si>
  <si>
    <t>022217007400990602</t>
  </si>
  <si>
    <t>2025-11-28 17:04:15</t>
  </si>
  <si>
    <t>2 días 17:04</t>
  </si>
  <si>
    <t>5 días 17:04</t>
  </si>
  <si>
    <t>23594272</t>
  </si>
  <si>
    <t>19/11/2025 17:05:44</t>
  </si>
  <si>
    <t>2025-11-19 17:05:44</t>
  </si>
  <si>
    <t>CL 27 SUR CR 27 D -99 (INTERIOR 801 )</t>
  </si>
  <si>
    <t>022217007400990801</t>
  </si>
  <si>
    <t>2025-11-28 17:05:44</t>
  </si>
  <si>
    <t>2 días 17:05</t>
  </si>
  <si>
    <t>5 días 17:05</t>
  </si>
  <si>
    <t>23594273</t>
  </si>
  <si>
    <t>19/11/2025 17:05:46</t>
  </si>
  <si>
    <t>2025-11-19 17:05:46</t>
  </si>
  <si>
    <t>CL 27 SUR CR 27 D -99 (INTERIOR 104 )</t>
  </si>
  <si>
    <t>022217007400990104</t>
  </si>
  <si>
    <t>2025-11-28 17:05:46</t>
  </si>
  <si>
    <t>23594278</t>
  </si>
  <si>
    <t>19/11/2025 17:07:29</t>
  </si>
  <si>
    <t>2025-11-19 17:07:29</t>
  </si>
  <si>
    <t>CL 27 SUR CR 27 D -99 (INTERIOR 802 )</t>
  </si>
  <si>
    <t>022217007400990802</t>
  </si>
  <si>
    <t>2025-11-28 17:07:29</t>
  </si>
  <si>
    <t>2 días 17:07</t>
  </si>
  <si>
    <t>5 días 17:07</t>
  </si>
  <si>
    <t>23594280</t>
  </si>
  <si>
    <t>19/11/2025 17:07:46</t>
  </si>
  <si>
    <t>2025-11-19 17:07:46</t>
  </si>
  <si>
    <t>CL 27 SUR CR 27 D -99 (INTERIOR 204 )</t>
  </si>
  <si>
    <t>022217007400990204</t>
  </si>
  <si>
    <t>2025-11-28 17:07:46</t>
  </si>
  <si>
    <t>23594282</t>
  </si>
  <si>
    <t>19/11/2025 17:07:58</t>
  </si>
  <si>
    <t>2025-11-19 17:07:58</t>
  </si>
  <si>
    <t>CL 27 SUR CR 27 D -99 (INTERIOR 201 )</t>
  </si>
  <si>
    <t>022217007400990201</t>
  </si>
  <si>
    <t>2025-11-28 17:07:58</t>
  </si>
  <si>
    <t>23594286</t>
  </si>
  <si>
    <t>19/11/2025 17:10:03</t>
  </si>
  <si>
    <t>2025-11-19 17:10:03</t>
  </si>
  <si>
    <t>CL 27 SUR CR 27 D -99 (INTERIOR 303 )</t>
  </si>
  <si>
    <t>022217007400990303</t>
  </si>
  <si>
    <t>2025-11-28 17:10:03</t>
  </si>
  <si>
    <t>2 días 17:10</t>
  </si>
  <si>
    <t>5 días 17:10</t>
  </si>
  <si>
    <t>23594291</t>
  </si>
  <si>
    <t>19/11/2025 17:12:10</t>
  </si>
  <si>
    <t>2025-11-19 17:12:10</t>
  </si>
  <si>
    <t>JOHANA GUZMAN MURIEL</t>
  </si>
  <si>
    <t>3173686410</t>
  </si>
  <si>
    <t>RURAL_125004526000000102_CL 20C SUR CR 7 - 504</t>
  </si>
  <si>
    <t>125004526000000102</t>
  </si>
  <si>
    <t>2025-12-03 17:12:10</t>
  </si>
  <si>
    <t>2 días 17:12</t>
  </si>
  <si>
    <t>8 días 17:12</t>
  </si>
  <si>
    <t>23594301</t>
  </si>
  <si>
    <t>19/11/2025 17:17:47</t>
  </si>
  <si>
    <t>2025-11-19 17:17:47</t>
  </si>
  <si>
    <t>CL 27 SUR CR 27 D -99 (INTERIOR 403 )</t>
  </si>
  <si>
    <t>022217007400990403</t>
  </si>
  <si>
    <t>2025-11-28 17:17:47</t>
  </si>
  <si>
    <t>2 días 17:17</t>
  </si>
  <si>
    <t>5 días 17:17</t>
  </si>
  <si>
    <t>23594303</t>
  </si>
  <si>
    <t>19/11/2025 17:18:20</t>
  </si>
  <si>
    <t>2025-11-19 17:18:20</t>
  </si>
  <si>
    <t>CL 27 SUR CR 27 D -99 (INTERIOR 401 )</t>
  </si>
  <si>
    <t>022217007400990401</t>
  </si>
  <si>
    <t>2025-11-28 17:18:20</t>
  </si>
  <si>
    <t>2 días 17:18</t>
  </si>
  <si>
    <t>5 días 17:18</t>
  </si>
  <si>
    <t>23594304</t>
  </si>
  <si>
    <t>19/11/2025 17:18:44</t>
  </si>
  <si>
    <t>2025-11-19 17:18:44</t>
  </si>
  <si>
    <t>CL 27 SUR CR 27 D -99 (INTERIOR 404 )</t>
  </si>
  <si>
    <t>022217007400990404</t>
  </si>
  <si>
    <t>2025-11-28 17:18:44</t>
  </si>
  <si>
    <t>23594306</t>
  </si>
  <si>
    <t>19/11/2025 17:19:20</t>
  </si>
  <si>
    <t>2025-11-19 17:19:20</t>
  </si>
  <si>
    <t>CL 27 SUR CR 27 D -99 (INTERIOR 501 )</t>
  </si>
  <si>
    <t>022217007400990501</t>
  </si>
  <si>
    <t>2025-11-28 17:19:20</t>
  </si>
  <si>
    <t>2 días 17:19</t>
  </si>
  <si>
    <t>5 días 17:19</t>
  </si>
  <si>
    <t>23594310</t>
  </si>
  <si>
    <t>19/11/2025 17:20:21</t>
  </si>
  <si>
    <t>2025-11-19 17:20:21</t>
  </si>
  <si>
    <t>CL 27 SUR CR 27 D -99 (INTERIOR 402 )</t>
  </si>
  <si>
    <t>022217007400990402</t>
  </si>
  <si>
    <t>2025-11-28 17:20:21</t>
  </si>
  <si>
    <t>5 días 17:20</t>
  </si>
  <si>
    <t>23594312</t>
  </si>
  <si>
    <t>19/11/2025 17:20:47</t>
  </si>
  <si>
    <t>2025-11-19 17:20:47</t>
  </si>
  <si>
    <t>CL 27 SUR CR 27 D -99 (INTERIOR 205 )</t>
  </si>
  <si>
    <t>022217007400990205</t>
  </si>
  <si>
    <t>2025-11-28 17:20:47</t>
  </si>
  <si>
    <t>23594313</t>
  </si>
  <si>
    <t>19/11/2025 17:20:48</t>
  </si>
  <si>
    <t>2025-11-19 17:20:48</t>
  </si>
  <si>
    <t>CL 27 SUR CR 27 D -99 (INTERIOR 304 )</t>
  </si>
  <si>
    <t>022217007400990304</t>
  </si>
  <si>
    <t>2025-11-28 17:20:48</t>
  </si>
  <si>
    <t>2 días 17:30</t>
  </si>
  <si>
    <t>23594337</t>
  </si>
  <si>
    <t>19/11/2025 17:30:25</t>
  </si>
  <si>
    <t>2025-11-19 17:30:25</t>
  </si>
  <si>
    <t>CL 48 SUR CR 69 A -59</t>
  </si>
  <si>
    <t>044618009100590000</t>
  </si>
  <si>
    <t>2025-11-28 17:30:25</t>
  </si>
  <si>
    <t>5 días 17:30</t>
  </si>
  <si>
    <t>23594344</t>
  </si>
  <si>
    <t>19/11/2025 17:32:27</t>
  </si>
  <si>
    <t>2025-11-19 17:32:27</t>
  </si>
  <si>
    <t>CL 48 SUR CR 69 A -59 (INTERIOR 303 )</t>
  </si>
  <si>
    <t>044618009100590303</t>
  </si>
  <si>
    <t>2025-11-28 17:32:27</t>
  </si>
  <si>
    <t>2 días 17:32</t>
  </si>
  <si>
    <t>5 días 17:32</t>
  </si>
  <si>
    <t>2 días 17:35</t>
  </si>
  <si>
    <t>23594351</t>
  </si>
  <si>
    <t>19/11/2025 17:35:20</t>
  </si>
  <si>
    <t>2025-11-19 17:35:20</t>
  </si>
  <si>
    <t>CL 48 SUR CR 69 A -59 (INTERIOR 306 )</t>
  </si>
  <si>
    <t>044618009100590306</t>
  </si>
  <si>
    <t>2025-11-28 17:35:20</t>
  </si>
  <si>
    <t>5 días 17:35</t>
  </si>
  <si>
    <t>23594362</t>
  </si>
  <si>
    <t>19/11/2025 17:38:20</t>
  </si>
  <si>
    <t>2025-11-19 17:38:20</t>
  </si>
  <si>
    <t>CL 48 A CR 69 A -59 (INTERIOR 307 )</t>
  </si>
  <si>
    <t>054618109100590307</t>
  </si>
  <si>
    <t>2025-11-28 17:38:20</t>
  </si>
  <si>
    <t>2 días 17:38</t>
  </si>
  <si>
    <t>5 días 17:38</t>
  </si>
  <si>
    <t>23594370</t>
  </si>
  <si>
    <t>19/11/2025 17:42:09</t>
  </si>
  <si>
    <t>2025-11-19 17:42:09</t>
  </si>
  <si>
    <t>CL 48 SUR CR 69 A -59 (INTERIOR 401 )</t>
  </si>
  <si>
    <t>044618009100590401</t>
  </si>
  <si>
    <t>2025-11-28 17:42:09</t>
  </si>
  <si>
    <t>2 días 17:42</t>
  </si>
  <si>
    <t>5 días 17:42</t>
  </si>
  <si>
    <t>23594373</t>
  </si>
  <si>
    <t>19/11/2025 17:44:12</t>
  </si>
  <si>
    <t>2025-11-19 17:44:12</t>
  </si>
  <si>
    <t>CL 48 SUR CR 69 A -59 (INTERIOR 402 )</t>
  </si>
  <si>
    <t>044618009100590402</t>
  </si>
  <si>
    <t>2025-11-28 17:44:12</t>
  </si>
  <si>
    <t>2 días 17:44</t>
  </si>
  <si>
    <t>5 días 17:44</t>
  </si>
  <si>
    <t>2 días 17:48</t>
  </si>
  <si>
    <t>2 días 18:29</t>
  </si>
  <si>
    <t>5 días 18:29</t>
  </si>
  <si>
    <t>2 días 20:21</t>
  </si>
  <si>
    <t>3 días 20:21</t>
  </si>
  <si>
    <t>23594688</t>
  </si>
  <si>
    <t>20/11/2025 07:00:00</t>
  </si>
  <si>
    <t>2025-11-20 07:00:00</t>
  </si>
  <si>
    <t>CL 27 SUR CR 27 D -99 (INTERIOR 903 )</t>
  </si>
  <si>
    <t>022217007400990903</t>
  </si>
  <si>
    <t>2025-12-01 07:00:00</t>
  </si>
  <si>
    <t>0 días 07:00</t>
  </si>
  <si>
    <t>6 días 07:00</t>
  </si>
  <si>
    <t>23594689</t>
  </si>
  <si>
    <t>20/11/2025 07:00:02</t>
  </si>
  <si>
    <t>2025-11-20 07:00:03</t>
  </si>
  <si>
    <t>CL 27 SUR CR 27 D -99 (INTERIOR 804 )</t>
  </si>
  <si>
    <t>022217007400990804</t>
  </si>
  <si>
    <t>2025-12-01 07:00:03</t>
  </si>
  <si>
    <t>23594691</t>
  </si>
  <si>
    <t>20/11/2025 07:01:18</t>
  </si>
  <si>
    <t>2025-11-20 07:01:18</t>
  </si>
  <si>
    <t>CL 27 SUR CR 27 D -99 (INTERIOR 705 )</t>
  </si>
  <si>
    <t>022217007400990705</t>
  </si>
  <si>
    <t>2025-12-01 07:01:18</t>
  </si>
  <si>
    <t>0 días 07:01</t>
  </si>
  <si>
    <t>6 días 07:01</t>
  </si>
  <si>
    <t>23594692</t>
  </si>
  <si>
    <t>20/11/2025 07:01:20</t>
  </si>
  <si>
    <t>2025-11-20 07:01:20</t>
  </si>
  <si>
    <t>CL 27 SUR CR 27 D -99 (INTERIOR 703 )</t>
  </si>
  <si>
    <t>022217007400990703</t>
  </si>
  <si>
    <t>2025-12-01 07:01:20</t>
  </si>
  <si>
    <t>23594694</t>
  </si>
  <si>
    <t>20/11/2025 07:01:36</t>
  </si>
  <si>
    <t>2025-11-20 07:01:36</t>
  </si>
  <si>
    <t>CL 27 SUR CR 27 D -99 (INTERIOR 702 )</t>
  </si>
  <si>
    <t>022217007400990702</t>
  </si>
  <si>
    <t>2025-12-01 07:01:36</t>
  </si>
  <si>
    <t>23594695</t>
  </si>
  <si>
    <t>20/11/2025 07:02:06</t>
  </si>
  <si>
    <t>2025-11-20 07:02:06</t>
  </si>
  <si>
    <t>CL 27 SUR CR 27 D -99 (INTERIOR 901 )</t>
  </si>
  <si>
    <t>022217007400990901</t>
  </si>
  <si>
    <t>2025-12-01 07:02:06</t>
  </si>
  <si>
    <t>0 días 07:02</t>
  </si>
  <si>
    <t>6 días 07:02</t>
  </si>
  <si>
    <t>23594696</t>
  </si>
  <si>
    <t>20/11/2025 07:02:46</t>
  </si>
  <si>
    <t>2025-11-20 07:02:46</t>
  </si>
  <si>
    <t>CL 27 SUR CR 27 D -99 (INTERIOR 605 )</t>
  </si>
  <si>
    <t>022217007400990605</t>
  </si>
  <si>
    <t>2025-12-01 07:02:46</t>
  </si>
  <si>
    <t>23594697</t>
  </si>
  <si>
    <t>20/11/2025 07:03:27</t>
  </si>
  <si>
    <t>2025-11-20 07:03:27</t>
  </si>
  <si>
    <t>CL 27 SUR CR 27 D -99 (INTERIOR 505 )</t>
  </si>
  <si>
    <t>022217007400990505</t>
  </si>
  <si>
    <t>2025-12-01 07:03:27</t>
  </si>
  <si>
    <t>0 días 07:03</t>
  </si>
  <si>
    <t>6 días 07:03</t>
  </si>
  <si>
    <t>0 días 07:05</t>
  </si>
  <si>
    <t>3 días 07:05</t>
  </si>
  <si>
    <t>23594699</t>
  </si>
  <si>
    <t>20/11/2025 07:05:32</t>
  </si>
  <si>
    <t>2025-11-20 07:05:32</t>
  </si>
  <si>
    <t>CL 27 SUR CR 27 D -99 (INTERIOR 503 )</t>
  </si>
  <si>
    <t>022217007400990503</t>
  </si>
  <si>
    <t>2025-12-01 07:05:32</t>
  </si>
  <si>
    <t>23594700</t>
  </si>
  <si>
    <t>20/11/2025 07:05:33</t>
  </si>
  <si>
    <t>2025-11-20 07:05:33</t>
  </si>
  <si>
    <t>CL 27 SUR CR 27 D -99 (INTERIOR 202 )</t>
  </si>
  <si>
    <t>022217007400990202</t>
  </si>
  <si>
    <t>2025-12-01 07:05:33</t>
  </si>
  <si>
    <t>23594701</t>
  </si>
  <si>
    <t>20/11/2025 07:05:50</t>
  </si>
  <si>
    <t>2025-11-20 07:05:50</t>
  </si>
  <si>
    <t>CL 27 SUR CR 27 D -99 (INTERIOR 203 )</t>
  </si>
  <si>
    <t>022217007400990203</t>
  </si>
  <si>
    <t>2025-12-01 07:05:50</t>
  </si>
  <si>
    <t>23594702</t>
  </si>
  <si>
    <t>20/11/2025 07:08:50</t>
  </si>
  <si>
    <t>2025-11-20 07:08:50</t>
  </si>
  <si>
    <t>CL 27 SUR CR 27 D -99 (INTERIOR 704 )</t>
  </si>
  <si>
    <t>022217007400990704</t>
  </si>
  <si>
    <t>2025-12-01 07:08:50</t>
  </si>
  <si>
    <t>6 días 07:08</t>
  </si>
  <si>
    <t>0 días 07:26</t>
  </si>
  <si>
    <t>4 días 07:26</t>
  </si>
  <si>
    <t>23594746</t>
  </si>
  <si>
    <t>20/11/2025 07:55:36</t>
  </si>
  <si>
    <t>2025-11-20 07:55:36</t>
  </si>
  <si>
    <t>CL 27 SUR CR 27 D -99 (INTERIOR 992 )</t>
  </si>
  <si>
    <t>022217007400990992</t>
  </si>
  <si>
    <t>2025-12-01 07:55:36</t>
  </si>
  <si>
    <t>6 días 07:55</t>
  </si>
  <si>
    <t>10 días 08:44</t>
  </si>
  <si>
    <t>4 días 09:03</t>
  </si>
  <si>
    <t>0 días 09:05</t>
  </si>
  <si>
    <t>10 días 09:05</t>
  </si>
  <si>
    <t>4 días 09:15</t>
  </si>
  <si>
    <t>0 días 09:34</t>
  </si>
  <si>
    <t>6 días 09:34</t>
  </si>
  <si>
    <t>0 días 09:42</t>
  </si>
  <si>
    <t>10 días 09:42</t>
  </si>
  <si>
    <t>6 días 09:45</t>
  </si>
  <si>
    <t>0 días 10:09</t>
  </si>
  <si>
    <t>10 días 10:09</t>
  </si>
  <si>
    <t>4 días 10:12</t>
  </si>
  <si>
    <t>7 días 10:14</t>
  </si>
  <si>
    <t>23595070</t>
  </si>
  <si>
    <t>20/11/2025 10:22:03</t>
  </si>
  <si>
    <t>2025-11-20 10:22:03</t>
  </si>
  <si>
    <t>CONSTRUCTORA ALTOS DEL BOSQUE S.A.S.</t>
  </si>
  <si>
    <t>2593823</t>
  </si>
  <si>
    <t>3104139340</t>
  </si>
  <si>
    <t>CL 87 A SUR CR 56 C -72 (INTERIOR 401 BQ 1 )</t>
  </si>
  <si>
    <t>038517106300720401</t>
  </si>
  <si>
    <t>2025-12-01 10:22:03</t>
  </si>
  <si>
    <t>0 días 10:22</t>
  </si>
  <si>
    <t>6 días 10:22</t>
  </si>
  <si>
    <t>23595071</t>
  </si>
  <si>
    <t>20/11/2025 10:22:10</t>
  </si>
  <si>
    <t>2025-11-20 10:22:10</t>
  </si>
  <si>
    <t>CL 87 A SUR CR 56 C -72 (INTERIOR 204 BQ 1 )</t>
  </si>
  <si>
    <t>038517106300720204</t>
  </si>
  <si>
    <t>2025-12-01 10:22:10</t>
  </si>
  <si>
    <t>23595074</t>
  </si>
  <si>
    <t>20/11/2025 10:23:05</t>
  </si>
  <si>
    <t>2025-11-20 10:23:05</t>
  </si>
  <si>
    <t>CL 87 A SUR CR 56 C -72 (INTERIOR 202 BQ 1 )</t>
  </si>
  <si>
    <t>038517106300720202</t>
  </si>
  <si>
    <t>2025-12-01 10:23:05</t>
  </si>
  <si>
    <t>0 días 10:23</t>
  </si>
  <si>
    <t>0 días 10:41</t>
  </si>
  <si>
    <t>4 días 10:41</t>
  </si>
  <si>
    <t>0 días 10:46</t>
  </si>
  <si>
    <t>6 días 10:46</t>
  </si>
  <si>
    <t>0 días 10:48</t>
  </si>
  <si>
    <t>0 días 10:51</t>
  </si>
  <si>
    <t>6 días 10:51</t>
  </si>
  <si>
    <t>6 días 11:12</t>
  </si>
  <si>
    <t>4 días 11:13</t>
  </si>
  <si>
    <t>7 días 11:18</t>
  </si>
  <si>
    <t>23595182</t>
  </si>
  <si>
    <t>20/11/2025 11:21:39</t>
  </si>
  <si>
    <t>2025-11-20 11:21:39</t>
  </si>
  <si>
    <t>WILTON VARGAS CAMPERO</t>
  </si>
  <si>
    <t>6043223</t>
  </si>
  <si>
    <t>3155645863</t>
  </si>
  <si>
    <t>CR 50 C CL 61 -52</t>
  </si>
  <si>
    <t>056520301000520000</t>
  </si>
  <si>
    <t>2025-12-01 11:21:39</t>
  </si>
  <si>
    <t>6 días 11:37</t>
  </si>
  <si>
    <t>4 días 11:46</t>
  </si>
  <si>
    <t>0 días 12:02</t>
  </si>
  <si>
    <t>4 días 12:02</t>
  </si>
  <si>
    <t>0 días 12:04</t>
  </si>
  <si>
    <t>3 días 12:04</t>
  </si>
  <si>
    <t>0 días 12:07</t>
  </si>
  <si>
    <t>6 días 12:07</t>
  </si>
  <si>
    <t>0 días 12:14</t>
  </si>
  <si>
    <t>6 días 12:14</t>
  </si>
  <si>
    <t>3 días 12:51</t>
  </si>
  <si>
    <t>0 días 12:53</t>
  </si>
  <si>
    <t>0 días 13:03</t>
  </si>
  <si>
    <t>10 días 13:03</t>
  </si>
  <si>
    <t>23595332</t>
  </si>
  <si>
    <t>20/11/2025 13:07:24</t>
  </si>
  <si>
    <t>2025-11-20 13:07:24</t>
  </si>
  <si>
    <t>CL 87 A SUR CR 56 C -72 (INTERIOR 2007 BQ 1 )</t>
  </si>
  <si>
    <t>038517106300722007</t>
  </si>
  <si>
    <t>2025-12-01 13:07:24</t>
  </si>
  <si>
    <t>0 días 13:07</t>
  </si>
  <si>
    <t>6 días 13:07</t>
  </si>
  <si>
    <t>23595336</t>
  </si>
  <si>
    <t>20/11/2025 13:10:56</t>
  </si>
  <si>
    <t>2025-11-20 13:10:56</t>
  </si>
  <si>
    <t>CL 87 A SUR CR 56 C -72 (INTERIOR 1507 BQ 1 )</t>
  </si>
  <si>
    <t>038517106300721507</t>
  </si>
  <si>
    <t>2025-12-01 13:10:56</t>
  </si>
  <si>
    <t>23595337</t>
  </si>
  <si>
    <t>20/11/2025 13:10:57</t>
  </si>
  <si>
    <t>2025-11-20 13:10:57</t>
  </si>
  <si>
    <t>CL 87 A SUR CR 56 C -72 (INTERIOR 2005 BQ 1 )</t>
  </si>
  <si>
    <t>038517106300722005</t>
  </si>
  <si>
    <t>2025-12-01 13:10:57</t>
  </si>
  <si>
    <t>23595338</t>
  </si>
  <si>
    <t>20/11/2025 13:10:59</t>
  </si>
  <si>
    <t>2025-11-20 13:10:59</t>
  </si>
  <si>
    <t>CL 87 A SUR CR 56 C -72 (INTERIOR 1008 BQ 1 )</t>
  </si>
  <si>
    <t>038517106300721008</t>
  </si>
  <si>
    <t>2025-12-01 13:10:59</t>
  </si>
  <si>
    <t>23595340</t>
  </si>
  <si>
    <t>20/11/2025 13:11:41</t>
  </si>
  <si>
    <t>2025-11-20 13:11:41</t>
  </si>
  <si>
    <t>CL 87 A SUR CR 56 C -72 (INTERIOR 2004 BQ 1 )</t>
  </si>
  <si>
    <t>038517106300722004</t>
  </si>
  <si>
    <t>2025-12-01 13:11:41</t>
  </si>
  <si>
    <t>23595342</t>
  </si>
  <si>
    <t>20/11/2025 13:12:44</t>
  </si>
  <si>
    <t>2025-11-20 13:12:44</t>
  </si>
  <si>
    <t>CL 87 A SUR CR 56 C -72 (INTERIOR 1805 BQ 1 )</t>
  </si>
  <si>
    <t>038517106300721805</t>
  </si>
  <si>
    <t>2025-12-01 13:12:44</t>
  </si>
  <si>
    <t>23595344</t>
  </si>
  <si>
    <t>20/11/2025 13:14:39</t>
  </si>
  <si>
    <t>2025-11-20 13:14:39</t>
  </si>
  <si>
    <t>CL 87 A SUR CR 56 C -72 (INTERIOR 808 BQ 1 )</t>
  </si>
  <si>
    <t>038517106300720808</t>
  </si>
  <si>
    <t>2025-12-01 13:14:39</t>
  </si>
  <si>
    <t>23595345</t>
  </si>
  <si>
    <t>20/11/2025 13:15:03</t>
  </si>
  <si>
    <t>2025-11-20 13:15:03</t>
  </si>
  <si>
    <t>CL 87 A SUR CR 56 C -72 (INTERIOR 607 BQ 1 )</t>
  </si>
  <si>
    <t>038517106300720607</t>
  </si>
  <si>
    <t>2025-12-01 13:15:03</t>
  </si>
  <si>
    <t>3 días 13:16</t>
  </si>
  <si>
    <t>23595350</t>
  </si>
  <si>
    <t>20/11/2025 13:17:31</t>
  </si>
  <si>
    <t>2025-11-20 13:17:31</t>
  </si>
  <si>
    <t>CL 87 A SUR CR 56 C -72 (INTERIOR 408 BQ 1 )</t>
  </si>
  <si>
    <t>038517106300720408</t>
  </si>
  <si>
    <t>2025-12-01 13:17:31</t>
  </si>
  <si>
    <t>0 días 13:25</t>
  </si>
  <si>
    <t>6 días 13:25</t>
  </si>
  <si>
    <t>3 días 13:44</t>
  </si>
  <si>
    <t>0 días 13:52</t>
  </si>
  <si>
    <t>0 días 13:58</t>
  </si>
  <si>
    <t>6 días 13:58</t>
  </si>
  <si>
    <t>0 días 14:01</t>
  </si>
  <si>
    <t>9 días 14:01</t>
  </si>
  <si>
    <t>4 días 14:03</t>
  </si>
  <si>
    <t>0 días 14:06</t>
  </si>
  <si>
    <t>7 días 14:06</t>
  </si>
  <si>
    <t>4 días 14:06</t>
  </si>
  <si>
    <t>0 días 14:16</t>
  </si>
  <si>
    <t>3 días 14:16</t>
  </si>
  <si>
    <t>0 días 14:20</t>
  </si>
  <si>
    <t>7 días 14:20</t>
  </si>
  <si>
    <t>0 días 14:21</t>
  </si>
  <si>
    <t>7 días 14:21</t>
  </si>
  <si>
    <t>0 días 14:25</t>
  </si>
  <si>
    <t>7 días 14:25</t>
  </si>
  <si>
    <t>0 días 14:28</t>
  </si>
  <si>
    <t>7 días 14:28</t>
  </si>
  <si>
    <t>0 días 14:51</t>
  </si>
  <si>
    <t>6 días 14:51</t>
  </si>
  <si>
    <t>0 días 14:53</t>
  </si>
  <si>
    <t>6 días 14:53</t>
  </si>
  <si>
    <t>0 días 15:08</t>
  </si>
  <si>
    <t>6 días 15:08</t>
  </si>
  <si>
    <t>0 días 15:12</t>
  </si>
  <si>
    <t>6 días 15:12</t>
  </si>
  <si>
    <t>23285256</t>
  </si>
  <si>
    <t>22/11/2024 13:05:27</t>
  </si>
  <si>
    <t>2025-11-19 17:00:34</t>
  </si>
  <si>
    <t>JUAN GUILLERMO CARABALLO ORTEGA</t>
  </si>
  <si>
    <t>3215173615</t>
  </si>
  <si>
    <t>CR 90 A CL 44 A -23 (INTERIOR 5 )</t>
  </si>
  <si>
    <t>054920104100230005</t>
  </si>
  <si>
    <t>2025-11-28 17:00:34</t>
  </si>
  <si>
    <t>23450785</t>
  </si>
  <si>
    <t>28/05/2025 17:14:55</t>
  </si>
  <si>
    <t>2025-11-20 16:43:23</t>
  </si>
  <si>
    <t>JUAN ESTEBAN CASTAÑEDA ORTIZ</t>
  </si>
  <si>
    <t>3279773</t>
  </si>
  <si>
    <t>3106116600</t>
  </si>
  <si>
    <t>RURAL_159005200000000011_MELEGUINDO</t>
  </si>
  <si>
    <t>159005200000000011</t>
  </si>
  <si>
    <t>2025-12-04 16:43:23</t>
  </si>
  <si>
    <t>0 días 16:43</t>
  </si>
  <si>
    <t>9 días 16:43</t>
  </si>
  <si>
    <t>23512401</t>
  </si>
  <si>
    <t>13/08/2025 15:07:42</t>
  </si>
  <si>
    <t>2025-11-20 21:58:23</t>
  </si>
  <si>
    <t>FREDY ARISMENDY SIERRA</t>
  </si>
  <si>
    <t>3158384060</t>
  </si>
  <si>
    <t>CR 89 CL 31 -72</t>
  </si>
  <si>
    <t>053829001000720000</t>
  </si>
  <si>
    <t>2025-12-01 21:58:23</t>
  </si>
  <si>
    <t>0 días 21:58</t>
  </si>
  <si>
    <t>6 días 21:58</t>
  </si>
  <si>
    <t>23514427</t>
  </si>
  <si>
    <t>15/08/2025 11:12:48</t>
  </si>
  <si>
    <t>2025-11-20 16:43:32</t>
  </si>
  <si>
    <t>DANIEL DE JESUS RODRIGUEZ HERNANDEZ</t>
  </si>
  <si>
    <t>3204553651</t>
  </si>
  <si>
    <t>RURAL_159142107000000001</t>
  </si>
  <si>
    <t>159142107000000001</t>
  </si>
  <si>
    <t>2025-12-04 16:43:32</t>
  </si>
  <si>
    <t>23516170</t>
  </si>
  <si>
    <t>19/08/2025 14:10:31</t>
  </si>
  <si>
    <t>2025-11-20 16:43:35</t>
  </si>
  <si>
    <t>ELIZABETH ROJAS  HURTADO</t>
  </si>
  <si>
    <t>3682125</t>
  </si>
  <si>
    <t>RURAL_159161560000000001_PROV.159161560000000000</t>
  </si>
  <si>
    <t>159161560000000001</t>
  </si>
  <si>
    <t>2025-12-04 16:43:35</t>
  </si>
  <si>
    <t>23521886</t>
  </si>
  <si>
    <t>25/08/2025 16:21:20</t>
  </si>
  <si>
    <t>2025-11-20 16:43:42</t>
  </si>
  <si>
    <t>ELINA EUNIDES MAZO RESTREPO</t>
  </si>
  <si>
    <t>3030537</t>
  </si>
  <si>
    <t>3197731464</t>
  </si>
  <si>
    <t>RURAL_159113948000000001_PROV.159113948000000000</t>
  </si>
  <si>
    <t>159113948000000001</t>
  </si>
  <si>
    <t>2025-12-04 16:43:42</t>
  </si>
  <si>
    <t>23522515</t>
  </si>
  <si>
    <t>26/08/2025 08:14:42</t>
  </si>
  <si>
    <t>2025-11-20 16:43:43</t>
  </si>
  <si>
    <t>PATRICIA ELENA MORALES DE VANEGAS</t>
  </si>
  <si>
    <t>3128466943</t>
  </si>
  <si>
    <t>RURAL_159047653000000001</t>
  </si>
  <si>
    <t>159047653000000001</t>
  </si>
  <si>
    <t>2025-12-04 16:43:43</t>
  </si>
  <si>
    <t>23522750</t>
  </si>
  <si>
    <t>26/08/2025 10:52:04</t>
  </si>
  <si>
    <t>2025-11-20 21:57:40</t>
  </si>
  <si>
    <t>CLAUDIA ELENA GAVIRIA VIDALES</t>
  </si>
  <si>
    <t>3146101969</t>
  </si>
  <si>
    <t>DIAG 17 E CL 56 B -13 (INTERIOR 502 )</t>
  </si>
  <si>
    <t>055127506200130502</t>
  </si>
  <si>
    <t>2025-12-01 21:57:40</t>
  </si>
  <si>
    <t>0 días 21:57</t>
  </si>
  <si>
    <t>6 días 21:57</t>
  </si>
  <si>
    <t>23523231</t>
  </si>
  <si>
    <t>26/08/2025 15:51:52</t>
  </si>
  <si>
    <t>2025-11-20 21:57:56</t>
  </si>
  <si>
    <t>JOHN JAIRO JARAMILLO ARIAS</t>
  </si>
  <si>
    <t>CL 53 CR 27 -47 (INTERIOR 103 )</t>
  </si>
  <si>
    <t>055213007000470103</t>
  </si>
  <si>
    <t>2025-12-01 21:57:56</t>
  </si>
  <si>
    <t>23523251</t>
  </si>
  <si>
    <t>26/08/2025 16:02:53</t>
  </si>
  <si>
    <t>2025-11-20 21:57:49</t>
  </si>
  <si>
    <t>EDWIN LOPEZ</t>
  </si>
  <si>
    <t>3045346542</t>
  </si>
  <si>
    <t>CR 20 A CL 53 -76 (INTERIOR 202 )</t>
  </si>
  <si>
    <t>055220103000760202</t>
  </si>
  <si>
    <t>2025-12-01 21:57:49</t>
  </si>
  <si>
    <t>23525443</t>
  </si>
  <si>
    <t>28/08/2025 12:38:49</t>
  </si>
  <si>
    <t>2025-11-20 21:57:52</t>
  </si>
  <si>
    <t>JUAN DAVID BUSTAMANTE LONDOÑO</t>
  </si>
  <si>
    <t>3225124846</t>
  </si>
  <si>
    <t>CR 24 B CL 53 -30 (INTERIOR 4039 )</t>
  </si>
  <si>
    <t>055224203000304039</t>
  </si>
  <si>
    <t>2025-12-01 21:57:52</t>
  </si>
  <si>
    <t>23525448</t>
  </si>
  <si>
    <t>28/08/2025 12:49:13</t>
  </si>
  <si>
    <t>2025-11-20 21:57:45</t>
  </si>
  <si>
    <t>MARYI YURLEY PARRA GUISAO</t>
  </si>
  <si>
    <t>3126022752</t>
  </si>
  <si>
    <t>CL 56 A CR 17 H -14 (INTERIOR 127 )</t>
  </si>
  <si>
    <t>055116107800140127</t>
  </si>
  <si>
    <t>2025-12-01 21:57:45</t>
  </si>
  <si>
    <t>23532115</t>
  </si>
  <si>
    <t>05/09/2025 07:50:12</t>
  </si>
  <si>
    <t>2025-11-20 11:05:53</t>
  </si>
  <si>
    <t>PABLO MORENO ACOSTA</t>
  </si>
  <si>
    <t>3017510607</t>
  </si>
  <si>
    <t>CR 43 A CL 14 -57 (INTERIOR 220 )</t>
  </si>
  <si>
    <t>051423104000570220</t>
  </si>
  <si>
    <t>2025-12-01 11:05:53</t>
  </si>
  <si>
    <t>0 días 11:05</t>
  </si>
  <si>
    <t>6 días 11:05</t>
  </si>
  <si>
    <t>23533556</t>
  </si>
  <si>
    <t>08/09/2025 10:45:50</t>
  </si>
  <si>
    <t>2025-11-20 21:50:45</t>
  </si>
  <si>
    <t>CLAUDIA ASTRID OSORIO VILLA</t>
  </si>
  <si>
    <t>3022880</t>
  </si>
  <si>
    <t>3113517212</t>
  </si>
  <si>
    <t>CL 48 C SUR CR 36 -96 (INTERIOR 5 )</t>
  </si>
  <si>
    <t>024318306000960005</t>
  </si>
  <si>
    <t>2025-12-01 21:50:45</t>
  </si>
  <si>
    <t>0 días 21:50</t>
  </si>
  <si>
    <t>23534046</t>
  </si>
  <si>
    <t>08/09/2025 16:25:52</t>
  </si>
  <si>
    <t>2025-11-20 21:58:01</t>
  </si>
  <si>
    <t>EDUAR JOHVANY JARAMILLO</t>
  </si>
  <si>
    <t>CR 83 A CL 33 B -5 (INTERIOR 102 )</t>
  </si>
  <si>
    <t>053823103200050102</t>
  </si>
  <si>
    <t>2025-12-01 21:58:01</t>
  </si>
  <si>
    <t>23539833</t>
  </si>
  <si>
    <t>15/09/2025 16:22:49</t>
  </si>
  <si>
    <t>2025-11-19 21:40:16</t>
  </si>
  <si>
    <t>EDWAN ALEXANDER RODAS</t>
  </si>
  <si>
    <t>3189020486</t>
  </si>
  <si>
    <t>CL 37 SUR CR 43 -65</t>
  </si>
  <si>
    <t>023417003000650000</t>
  </si>
  <si>
    <t>2025-11-28 21:40:16</t>
  </si>
  <si>
    <t>23540676</t>
  </si>
  <si>
    <t>16/09/2025 11:21:57</t>
  </si>
  <si>
    <t>2025-11-20 21:41:00</t>
  </si>
  <si>
    <t>LEIDY LORENA HIGUITA DAVID</t>
  </si>
  <si>
    <t>3007709441</t>
  </si>
  <si>
    <t>CL 48 D CR 121 C -23</t>
  </si>
  <si>
    <t>084218401300230000</t>
  </si>
  <si>
    <t>2025-12-01 21:41:00</t>
  </si>
  <si>
    <t>0 días 21:41</t>
  </si>
  <si>
    <t>23543450</t>
  </si>
  <si>
    <t>19/09/2025 10:02:38</t>
  </si>
  <si>
    <t>2025-11-20 21:58:05</t>
  </si>
  <si>
    <t>CR 83 A CL 33 B -5 (INTERIOR 401 )</t>
  </si>
  <si>
    <t>053823103200050401</t>
  </si>
  <si>
    <t>2025-12-01 21:58:05</t>
  </si>
  <si>
    <t>23543463</t>
  </si>
  <si>
    <t>19/09/2025 10:10:51</t>
  </si>
  <si>
    <t>2025-11-20 21:58:09</t>
  </si>
  <si>
    <t>CR 83 A CL 33 B -5 (INTERIOR 402 )</t>
  </si>
  <si>
    <t>053823103200050402</t>
  </si>
  <si>
    <t>2025-12-01 21:58:09</t>
  </si>
  <si>
    <t>23543865</t>
  </si>
  <si>
    <t>19/09/2025 15:36:25</t>
  </si>
  <si>
    <t>2025-11-19 21:40:20</t>
  </si>
  <si>
    <t>GILDARDO MARTINEZ GOMEZ</t>
  </si>
  <si>
    <t>3193290909</t>
  </si>
  <si>
    <t>CL 64 CR 45 A -81 (INTERIOR 101 )</t>
  </si>
  <si>
    <t>076414005100810101</t>
  </si>
  <si>
    <t>2025-11-28 21:40:20</t>
  </si>
  <si>
    <t>23546046</t>
  </si>
  <si>
    <t>22/09/2025 16:04:28</t>
  </si>
  <si>
    <t>2025-11-20 16:43:50</t>
  </si>
  <si>
    <t>MARIA DEL CARMEN VELEZ MOLINA</t>
  </si>
  <si>
    <t>3165072032</t>
  </si>
  <si>
    <t>RURAL_159146326000000002_PROV.LA TABLAZA</t>
  </si>
  <si>
    <t>159146326000000002</t>
  </si>
  <si>
    <t>2025-12-04 16:43:50</t>
  </si>
  <si>
    <t>23546595</t>
  </si>
  <si>
    <t>23/09/2025 09:25:47</t>
  </si>
  <si>
    <t>2025-11-20 21:58:14</t>
  </si>
  <si>
    <t>CR 83 A CL 33 B -5 (INTERIOR 501 )</t>
  </si>
  <si>
    <t>053823103200050501</t>
  </si>
  <si>
    <t>2025-12-01 21:58:14</t>
  </si>
  <si>
    <t>23546598</t>
  </si>
  <si>
    <t>23/09/2025 09:27:59</t>
  </si>
  <si>
    <t>2025-11-20 21:58:17</t>
  </si>
  <si>
    <t>CR 83 A CL 33 B -5 (INTERIOR 601 )</t>
  </si>
  <si>
    <t>053823103200050601</t>
  </si>
  <si>
    <t>2025-12-01 21:58:17</t>
  </si>
  <si>
    <t>23546880</t>
  </si>
  <si>
    <t>23/09/2025 12:35:33</t>
  </si>
  <si>
    <t>2025-11-20 21:41:05</t>
  </si>
  <si>
    <t>GLORIA AMPARO VALENCIA ESCOBAR</t>
  </si>
  <si>
    <t>3002461063</t>
  </si>
  <si>
    <t>CR 53 CL 34 B -41</t>
  </si>
  <si>
    <t>073523004200410000</t>
  </si>
  <si>
    <t>2025-12-01 21:41:05</t>
  </si>
  <si>
    <t>23553386</t>
  </si>
  <si>
    <t>01/10/2025 09:14:49</t>
  </si>
  <si>
    <t>2025-11-20 16:34:18</t>
  </si>
  <si>
    <t>JESUS MARIA VALBUENA DUQUE</t>
  </si>
  <si>
    <t>3001935114</t>
  </si>
  <si>
    <t>CR 21 CL 57 C -42 (INTERIOR 201 )</t>
  </si>
  <si>
    <t>055221007300420201</t>
  </si>
  <si>
    <t>2025-12-01 16:34:18</t>
  </si>
  <si>
    <t>0 días 16:34</t>
  </si>
  <si>
    <t>6 días 16:34</t>
  </si>
  <si>
    <t>23553823</t>
  </si>
  <si>
    <t>01/10/2025 15:05:23</t>
  </si>
  <si>
    <t>2025-11-20 07:17:18</t>
  </si>
  <si>
    <t>CR 70 CL 45 E -25 (INTERIOR 101 )</t>
  </si>
  <si>
    <t>054720005500250101</t>
  </si>
  <si>
    <t>2025-12-01 07:17:18</t>
  </si>
  <si>
    <t>0 días 07:17</t>
  </si>
  <si>
    <t>6 días 07:17</t>
  </si>
  <si>
    <t>23554758</t>
  </si>
  <si>
    <t>02/10/2025 12:27:02</t>
  </si>
  <si>
    <t>2025-11-20 21:53:25</t>
  </si>
  <si>
    <t>3205741752</t>
  </si>
  <si>
    <t>CL 45 CR 50 -9</t>
  </si>
  <si>
    <t>074515000000090000</t>
  </si>
  <si>
    <t>2025-12-01 21:53:25</t>
  </si>
  <si>
    <t>0 días 21:53</t>
  </si>
  <si>
    <t>23554836</t>
  </si>
  <si>
    <t>02/10/2025 13:47:02</t>
  </si>
  <si>
    <t>2025-11-20 13:27:40</t>
  </si>
  <si>
    <t>DEACON</t>
  </si>
  <si>
    <t>3136037846</t>
  </si>
  <si>
    <t>RURAL_166055085200000015_VDA ESCOBERO PREDIO 15</t>
  </si>
  <si>
    <t>166055085200000015</t>
  </si>
  <si>
    <t>2025-12-04 13:27:40</t>
  </si>
  <si>
    <t>0 días 13:27</t>
  </si>
  <si>
    <t>9 días 13:27</t>
  </si>
  <si>
    <t>23555128</t>
  </si>
  <si>
    <t>02/10/2025 17:05:09</t>
  </si>
  <si>
    <t>2025-11-20 12:03:58</t>
  </si>
  <si>
    <t>JAIME ALBERTO QUINTERO VALENCIA</t>
  </si>
  <si>
    <t>3016257459</t>
  </si>
  <si>
    <t>CR 70 CL 30 A -54</t>
  </si>
  <si>
    <t>053720000100540000</t>
  </si>
  <si>
    <t>2025-12-01 12:03:58</t>
  </si>
  <si>
    <t>0 días 12:03</t>
  </si>
  <si>
    <t>6 días 12:03</t>
  </si>
  <si>
    <t>23561146</t>
  </si>
  <si>
    <t>10/10/2025 07:21:57</t>
  </si>
  <si>
    <t>2025-11-20 13:53:43</t>
  </si>
  <si>
    <t>PARROQUIA DE SAN LUCAS MEDELLIN</t>
  </si>
  <si>
    <t>3121250</t>
  </si>
  <si>
    <t>CL 20 SUR CR 25 B -91 (INTERIOR 101 )</t>
  </si>
  <si>
    <t>042210005200910101</t>
  </si>
  <si>
    <t>2025-12-01 13:53:43</t>
  </si>
  <si>
    <t>0 días 13:53</t>
  </si>
  <si>
    <t>6 días 13:53</t>
  </si>
  <si>
    <t>23562411</t>
  </si>
  <si>
    <t>14/10/2025 07:32:59</t>
  </si>
  <si>
    <t>2025-11-20 16:43:59</t>
  </si>
  <si>
    <t>PEDRO PABLO MIRANDA CANO</t>
  </si>
  <si>
    <t>3113459024</t>
  </si>
  <si>
    <t>RURAL_159117727000000500_159117727000000500</t>
  </si>
  <si>
    <t>159117727000000500</t>
  </si>
  <si>
    <t>2025-12-04 16:43:59</t>
  </si>
  <si>
    <t>23562416</t>
  </si>
  <si>
    <t>14/10/2025 07:35:07</t>
  </si>
  <si>
    <t>RURAL_159117727000000400_159117727000000400</t>
  </si>
  <si>
    <t>159117727000000400</t>
  </si>
  <si>
    <t>23562420</t>
  </si>
  <si>
    <t>14/10/2025 07:37:39</t>
  </si>
  <si>
    <t>2025-11-20 16:44:00</t>
  </si>
  <si>
    <t>RURAL_159117727000000300_RURAL_159117727000000300</t>
  </si>
  <si>
    <t>159117727000000300</t>
  </si>
  <si>
    <t>2025-12-04 16:44:00</t>
  </si>
  <si>
    <t>0 días 16:44</t>
  </si>
  <si>
    <t>9 días 16:44</t>
  </si>
  <si>
    <t>23562422</t>
  </si>
  <si>
    <t>14/10/2025 07:39:36</t>
  </si>
  <si>
    <t>RURAL_159117727000000200_RURAL_159117727000000200</t>
  </si>
  <si>
    <t>159117727000000200</t>
  </si>
  <si>
    <t>23562883</t>
  </si>
  <si>
    <t>14/10/2025 13:49:50</t>
  </si>
  <si>
    <t>JUAN GUILLERMO RIOS GARCIA</t>
  </si>
  <si>
    <t>3013126833</t>
  </si>
  <si>
    <t>RURAL_159112002000000006_PROV.TABLAZA EL HOYO DE B</t>
  </si>
  <si>
    <t>159112002000000006</t>
  </si>
  <si>
    <t>23570525</t>
  </si>
  <si>
    <t>22/10/2025 11:28:49</t>
  </si>
  <si>
    <t>PROMOTORA BOSQUES DEL ALTA SAS</t>
  </si>
  <si>
    <t>3122698214</t>
  </si>
  <si>
    <t>RURAL_125004452800003014_PROV_ZONACOMUN4_PARCE BSO</t>
  </si>
  <si>
    <t>125004452800003014</t>
  </si>
  <si>
    <t>23574357</t>
  </si>
  <si>
    <t>27/10/2025 19:04:35</t>
  </si>
  <si>
    <t>2025-10-27 19:04:35</t>
  </si>
  <si>
    <t>JOSE DIEGO ALONSO RESTREPO</t>
  </si>
  <si>
    <t>3216635570</t>
  </si>
  <si>
    <t>2025-11-18 19:04:35</t>
  </si>
  <si>
    <t>17 días 19:04</t>
  </si>
  <si>
    <t>23584710</t>
  </si>
  <si>
    <t>07/11/2025 11:20:35</t>
  </si>
  <si>
    <t>2025-11-21 08:02:05</t>
  </si>
  <si>
    <t>RUBEN DARIO QUINTERO MUÑOZ</t>
  </si>
  <si>
    <t>2050095</t>
  </si>
  <si>
    <t>3207198910</t>
  </si>
  <si>
    <t>CL 94 SUR CR 50 -97 (INTERIOR 101 )</t>
  </si>
  <si>
    <t>039514000000970101</t>
  </si>
  <si>
    <t>2025-12-02 08:02:05</t>
  </si>
  <si>
    <t>0 días 08:02</t>
  </si>
  <si>
    <t>7 días 08:02</t>
  </si>
  <si>
    <t>23584728</t>
  </si>
  <si>
    <t>07/11/2025 11:22:53</t>
  </si>
  <si>
    <t>2025-11-21 08:01:53</t>
  </si>
  <si>
    <t>CL 94 SUR CR 50 -97 (INTERIOR 102 )</t>
  </si>
  <si>
    <t>039514000000970102</t>
  </si>
  <si>
    <t>2025-12-02 08:01:53</t>
  </si>
  <si>
    <t>0 días 08:01</t>
  </si>
  <si>
    <t>7 días 08:01</t>
  </si>
  <si>
    <t>2025-11-21 11:00:04</t>
  </si>
  <si>
    <t>2025-12-02 11:00:04</t>
  </si>
  <si>
    <t>0 días 11:00</t>
  </si>
  <si>
    <t>7 días 11:00</t>
  </si>
  <si>
    <t>23590847</t>
  </si>
  <si>
    <t>14/11/2025 15:40:45</t>
  </si>
  <si>
    <t>2025-11-20 15:41:33</t>
  </si>
  <si>
    <t>GINA PAOLA BELTRAN MADERA</t>
  </si>
  <si>
    <t>3178663018</t>
  </si>
  <si>
    <t>RURAL_163004487900000201_163004487900000201</t>
  </si>
  <si>
    <t>163004487900000201</t>
  </si>
  <si>
    <t>2025-12-11 15:41:33</t>
  </si>
  <si>
    <t>0 días 15:41</t>
  </si>
  <si>
    <t>13 días 15:41</t>
  </si>
  <si>
    <t>21/11/2025 06:25:25</t>
  </si>
  <si>
    <t>2025-11-21 06:25:25</t>
  </si>
  <si>
    <t>2025-11-28 06:25:25</t>
  </si>
  <si>
    <t>0 días 06:25</t>
  </si>
  <si>
    <t>5 días 06:25</t>
  </si>
  <si>
    <t>23594198</t>
  </si>
  <si>
    <t>CAMME</t>
  </si>
  <si>
    <t>19/11/2025 16:32:48</t>
  </si>
  <si>
    <t>2025-11-19 16:32:48</t>
  </si>
  <si>
    <t>COMPAÑÍA COLOMBIANA DE TABACO SAS</t>
  </si>
  <si>
    <t>3807237</t>
  </si>
  <si>
    <t>CR 50 CL 5 -115 (INTERIOR 101 )</t>
  </si>
  <si>
    <t>050520005001150101</t>
  </si>
  <si>
    <t>2025-11-28 16:32:48</t>
  </si>
  <si>
    <t>2 días 16:32</t>
  </si>
  <si>
    <t>5 días 16:32</t>
  </si>
  <si>
    <t>23594741</t>
  </si>
  <si>
    <t>20/11/2025 07:44:39</t>
  </si>
  <si>
    <t>2025-11-20 07:44:39</t>
  </si>
  <si>
    <t>ANDRES MAURICIO ARROYAVE ATEHORTUA</t>
  </si>
  <si>
    <t>3213935325</t>
  </si>
  <si>
    <t>CR 62 CL 87 SUR -32 (INTERIOR 5 )</t>
  </si>
  <si>
    <t>038622007000320005</t>
  </si>
  <si>
    <t>2025-12-03 07:44:39</t>
  </si>
  <si>
    <t>0 días 07:44</t>
  </si>
  <si>
    <t>8 días 07:44</t>
  </si>
  <si>
    <t>23594960</t>
  </si>
  <si>
    <t>20/11/2025 09:08:26</t>
  </si>
  <si>
    <t>2025-11-20 09:08:26</t>
  </si>
  <si>
    <t>JAIDER  LEMOS ZUÑIGA</t>
  </si>
  <si>
    <t>3218060885</t>
  </si>
  <si>
    <t>CL 55 CR 106 D -230 (INTERIOR 251 )</t>
  </si>
  <si>
    <t>085015006402300251</t>
  </si>
  <si>
    <t>2025-12-03 09:08:26</t>
  </si>
  <si>
    <t>0 días 09:08</t>
  </si>
  <si>
    <t>8 días 09:08</t>
  </si>
  <si>
    <t>23594991</t>
  </si>
  <si>
    <t>20/11/2025 09:37:15</t>
  </si>
  <si>
    <t>2025-11-20 09:37:15</t>
  </si>
  <si>
    <t>RAMIRO DE JESUS MEJIA BENITEZ</t>
  </si>
  <si>
    <t>3207593219</t>
  </si>
  <si>
    <t>CL 57 F CR 92 CC -7 (INTERIOR 120 )</t>
  </si>
  <si>
    <t>055917602330070120</t>
  </si>
  <si>
    <t>2025-12-03 09:37:15</t>
  </si>
  <si>
    <t>8 días 09:37</t>
  </si>
  <si>
    <t>23595043</t>
  </si>
  <si>
    <t>20/11/2025 10:07:19</t>
  </si>
  <si>
    <t>2025-11-20 10:07:19</t>
  </si>
  <si>
    <t>CL 136 SUR CR 48 -52</t>
  </si>
  <si>
    <t>003416008000520000</t>
  </si>
  <si>
    <t>2025-12-01 10:07:19</t>
  </si>
  <si>
    <t>0 días 10:07</t>
  </si>
  <si>
    <t>6 días 10:07</t>
  </si>
  <si>
    <t>23595079</t>
  </si>
  <si>
    <t>20/11/2025 10:26:36</t>
  </si>
  <si>
    <t>2025-11-20 10:26:36</t>
  </si>
  <si>
    <t>CL 136 SUR CR 48 -56</t>
  </si>
  <si>
    <t>003416008000560000</t>
  </si>
  <si>
    <t>2025-12-01 10:26:36</t>
  </si>
  <si>
    <t>6 días 10:26</t>
  </si>
  <si>
    <t>23595160</t>
  </si>
  <si>
    <t>20/11/2025 11:06:25</t>
  </si>
  <si>
    <t>2025-11-20 11:06:25</t>
  </si>
  <si>
    <t>INSTITUCION UNIVERSITARIA ESCOLME</t>
  </si>
  <si>
    <t>4442828</t>
  </si>
  <si>
    <t>3113147794</t>
  </si>
  <si>
    <t>CL 54 CR 42 -24</t>
  </si>
  <si>
    <t>055414002000240000</t>
  </si>
  <si>
    <t>2025-12-01 11:06:25</t>
  </si>
  <si>
    <t>0 días 11:06</t>
  </si>
  <si>
    <t>6 días 11:06</t>
  </si>
  <si>
    <t>23595179</t>
  </si>
  <si>
    <t>20/11/2025 11:18:49</t>
  </si>
  <si>
    <t>2025-11-20 11:18:49</t>
  </si>
  <si>
    <t>JESSICA PAOLA HERNANDEZ GAVIRIA</t>
  </si>
  <si>
    <t>4898040</t>
  </si>
  <si>
    <t>3107227722</t>
  </si>
  <si>
    <t>RURAL_159051140000000201_MONACO-CARRILERA</t>
  </si>
  <si>
    <t>159051140000000201</t>
  </si>
  <si>
    <t>2025-12-11 11:18:49</t>
  </si>
  <si>
    <t>13 días 11:18</t>
  </si>
  <si>
    <t>23595243</t>
  </si>
  <si>
    <t>20/11/2025 11:46:32</t>
  </si>
  <si>
    <t>2025-11-20 11:46:32</t>
  </si>
  <si>
    <t>RAMON ALCIDES ACOSTA LAVERDE</t>
  </si>
  <si>
    <t>3117263326</t>
  </si>
  <si>
    <t>CL 62 AA CR 96 -120 (INTERIOR 1105 )</t>
  </si>
  <si>
    <t>056912116001201105</t>
  </si>
  <si>
    <t>2025-12-03 11:46:32</t>
  </si>
  <si>
    <t>8 días 11:46</t>
  </si>
  <si>
    <t>23595308</t>
  </si>
  <si>
    <t>20/11/2025 12:46:15</t>
  </si>
  <si>
    <t>2025-11-20 12:46:15</t>
  </si>
  <si>
    <t>LEDYS YAHETH SUAREZ CASTAÑEDA</t>
  </si>
  <si>
    <t>4932222</t>
  </si>
  <si>
    <t>3105456972</t>
  </si>
  <si>
    <t>CR 114 CL 39 AA -0 (INTERIOR 201 )</t>
  </si>
  <si>
    <t>083124009110000201</t>
  </si>
  <si>
    <t>2025-12-03 12:46:15</t>
  </si>
  <si>
    <t>0 días 12:46</t>
  </si>
  <si>
    <t>8 días 12:46</t>
  </si>
  <si>
    <t>23595554</t>
  </si>
  <si>
    <t>20/11/2025 15:03:58</t>
  </si>
  <si>
    <t>2025-11-20 15:03:58</t>
  </si>
  <si>
    <t>NURY DEL CARMEN TORRES SANCHEZ</t>
  </si>
  <si>
    <t>3004999389</t>
  </si>
  <si>
    <t>RURAL_147048860000000001_ VEREDA TRAVESIAS</t>
  </si>
  <si>
    <t>147048860000000001</t>
  </si>
  <si>
    <t>2025-12-11 15:03:58</t>
  </si>
  <si>
    <t>0 días 15:03</t>
  </si>
  <si>
    <t>13 días 15:03</t>
  </si>
  <si>
    <t>23595638</t>
  </si>
  <si>
    <t>20/11/2025 15:43:20</t>
  </si>
  <si>
    <t>2025-11-20 15:43:20</t>
  </si>
  <si>
    <t>JOHN JAIRO MARULANDA GARCIA</t>
  </si>
  <si>
    <t>3864430</t>
  </si>
  <si>
    <t>3226250047</t>
  </si>
  <si>
    <t>CR 26 EE CL 38 B -10 (INTERIOR 403 )</t>
  </si>
  <si>
    <t>053226558200100403</t>
  </si>
  <si>
    <t>2025-12-01 15:43:20</t>
  </si>
  <si>
    <t>0 días 15:43</t>
  </si>
  <si>
    <t>6 días 15:43</t>
  </si>
  <si>
    <t>23595654</t>
  </si>
  <si>
    <t>20/11/2025 15:50:43</t>
  </si>
  <si>
    <t>2025-11-20 15:50:43</t>
  </si>
  <si>
    <t>OSWALDO ECHEVERRY ESCOBAR</t>
  </si>
  <si>
    <t>3502286522</t>
  </si>
  <si>
    <t>CR 26 EE CL 38 B -10 (INTERIOR 402 )</t>
  </si>
  <si>
    <t>053226558200100402</t>
  </si>
  <si>
    <t>2025-12-01 15:50:43</t>
  </si>
  <si>
    <t>0 días 15:50</t>
  </si>
  <si>
    <t>6 días 15:50</t>
  </si>
  <si>
    <t>23595690</t>
  </si>
  <si>
    <t>20/11/2025 15:59:45</t>
  </si>
  <si>
    <t>2025-11-20 15:59:45</t>
  </si>
  <si>
    <t>MONICA PATRICIA PEREZ DIAZ</t>
  </si>
  <si>
    <t>3315418</t>
  </si>
  <si>
    <t>3103547981</t>
  </si>
  <si>
    <t>DIAG 31 F TRAN 34 D SUR -5</t>
  </si>
  <si>
    <t>023371604400050000</t>
  </si>
  <si>
    <t>2025-12-01 15:59:45</t>
  </si>
  <si>
    <t>0 días 15:59</t>
  </si>
  <si>
    <t>6 días 15:59</t>
  </si>
  <si>
    <t>23595703</t>
  </si>
  <si>
    <t>20/11/2025 16:08:51</t>
  </si>
  <si>
    <t>2025-11-20 16:08:51</t>
  </si>
  <si>
    <t>GLORIA MARIA OCHOA PINEDA</t>
  </si>
  <si>
    <t>4446890</t>
  </si>
  <si>
    <t>CR 54 CL 75 AA SUR -81</t>
  </si>
  <si>
    <t>037524005110810000</t>
  </si>
  <si>
    <t>2025-12-01 16:08:51</t>
  </si>
  <si>
    <t>0 días 16:08</t>
  </si>
  <si>
    <t>6 días 16:08</t>
  </si>
  <si>
    <t>23595720</t>
  </si>
  <si>
    <t>20/11/2025 16:25:54</t>
  </si>
  <si>
    <t>2025-11-20 16:25:54</t>
  </si>
  <si>
    <t>JORGE LUIS ARANGO PRIETO</t>
  </si>
  <si>
    <t>3156405196</t>
  </si>
  <si>
    <t>CL 45 B SUR CR 30 -167</t>
  </si>
  <si>
    <t>024315200001670000</t>
  </si>
  <si>
    <t>2025-12-01 16:25:54</t>
  </si>
  <si>
    <t>0 días 16:25</t>
  </si>
  <si>
    <t>6 días 16:25</t>
  </si>
  <si>
    <t>23595741</t>
  </si>
  <si>
    <t>20/11/2025 16:35:16</t>
  </si>
  <si>
    <t>2025-11-20 16:35:16</t>
  </si>
  <si>
    <t>LAUREANO DE JESUS PEREZ SANCHEZ</t>
  </si>
  <si>
    <t>3136363857</t>
  </si>
  <si>
    <t>CR 45 CL 46 -9 (INTERIOR 401 )</t>
  </si>
  <si>
    <t>074425006000090401</t>
  </si>
  <si>
    <t>2025-12-01 16:35:16</t>
  </si>
  <si>
    <t>0 días 16:35</t>
  </si>
  <si>
    <t>23595742</t>
  </si>
  <si>
    <t>CR 45 CL 46 -9 (INTERIOR 301 )</t>
  </si>
  <si>
    <t>074425006000090301</t>
  </si>
  <si>
    <t>23595744</t>
  </si>
  <si>
    <t>20/11/2025 16:36:06</t>
  </si>
  <si>
    <t>2025-11-20 16:36:06</t>
  </si>
  <si>
    <t>CR 45 CL 46 -9 (INTERIOR 302 )</t>
  </si>
  <si>
    <t>074425006000090302</t>
  </si>
  <si>
    <t>2025-12-01 16:36:06</t>
  </si>
  <si>
    <t>0 días 16:36</t>
  </si>
  <si>
    <t>6 días 16:36</t>
  </si>
  <si>
    <t>23595748</t>
  </si>
  <si>
    <t>20/11/2025 16:42:11</t>
  </si>
  <si>
    <t>2025-11-20 16:42:11</t>
  </si>
  <si>
    <t>CR 45 CL 46 -9 (INTERIOR 402 )</t>
  </si>
  <si>
    <t>074425006000090402</t>
  </si>
  <si>
    <t>2025-12-01 16:42:11</t>
  </si>
  <si>
    <t>0 días 16:42</t>
  </si>
  <si>
    <t>6 días 16:42</t>
  </si>
  <si>
    <t>23595756</t>
  </si>
  <si>
    <t>20/11/2025 16:47:58</t>
  </si>
  <si>
    <t>2025-11-20 16:47:58</t>
  </si>
  <si>
    <t>CL 87 A SUR CR 56 C -72 (INTERIOR 2002 BQ 1 )</t>
  </si>
  <si>
    <t>038517106300722002</t>
  </si>
  <si>
    <t>2025-12-01 16:47:58</t>
  </si>
  <si>
    <t>0 días 16:47</t>
  </si>
  <si>
    <t>6 días 16:47</t>
  </si>
  <si>
    <t>23595782</t>
  </si>
  <si>
    <t>20/11/2025 17:11:05</t>
  </si>
  <si>
    <t>2025-11-20 17:11:05</t>
  </si>
  <si>
    <t>CL 4 CR 58 -25 (INTERIOR 202 )</t>
  </si>
  <si>
    <t>050514008000250202</t>
  </si>
  <si>
    <t>2025-12-01 17:11:05</t>
  </si>
  <si>
    <t>0 días 17:11</t>
  </si>
  <si>
    <t>6 días 17:11</t>
  </si>
  <si>
    <t>23595813</t>
  </si>
  <si>
    <t>20/11/2025 17:53:26</t>
  </si>
  <si>
    <t>2025-11-20 17:53:26</t>
  </si>
  <si>
    <t>GIRLEZA MARTINEZ ANGULO</t>
  </si>
  <si>
    <t>3106006556</t>
  </si>
  <si>
    <t>CL 26 CR 84 -41 (INTERIOR 408 )</t>
  </si>
  <si>
    <t>052816004000410408</t>
  </si>
  <si>
    <t>2025-12-01 17:53:26</t>
  </si>
  <si>
    <t>0 días 17:53</t>
  </si>
  <si>
    <t>6 días 17:53</t>
  </si>
  <si>
    <t>23596150</t>
  </si>
  <si>
    <t>21/11/2025 06:54:54</t>
  </si>
  <si>
    <t>2025-11-21 06:54:54</t>
  </si>
  <si>
    <t>SERGIO ANTONIO JIMENEZ CORDOBA</t>
  </si>
  <si>
    <t>3116195589</t>
  </si>
  <si>
    <t>CR 21 CL 45 -83 (INTERIOR 301 )</t>
  </si>
  <si>
    <t>054221005000830301</t>
  </si>
  <si>
    <t>2025-12-02 06:54:54</t>
  </si>
  <si>
    <t>0 días 06:54</t>
  </si>
  <si>
    <t>7 días 06:54</t>
  </si>
  <si>
    <t>23596156</t>
  </si>
  <si>
    <t>21/11/2025 07:14:53</t>
  </si>
  <si>
    <t>2025-11-21 07:14:53</t>
  </si>
  <si>
    <t>JULIAN ALEXANDER MOLINA LARGO</t>
  </si>
  <si>
    <t>5110613</t>
  </si>
  <si>
    <t>3202513614</t>
  </si>
  <si>
    <t>CR 28 A CL 38 F -173 (INTERIOR 102 )</t>
  </si>
  <si>
    <t>053228108601730102</t>
  </si>
  <si>
    <t>2025-12-02 07:14:53</t>
  </si>
  <si>
    <t>7 días 07:14</t>
  </si>
  <si>
    <t>23596161</t>
  </si>
  <si>
    <t>21/11/2025 07:29:37</t>
  </si>
  <si>
    <t>2025-11-21 07:29:37</t>
  </si>
  <si>
    <t>IGNACIO ANDRES GAVIRIA JIMENEZ</t>
  </si>
  <si>
    <t>3166914822</t>
  </si>
  <si>
    <t>CL 58 SUR CR 59 C -14</t>
  </si>
  <si>
    <t>045518009300140000</t>
  </si>
  <si>
    <t>2025-12-02 07:29:37</t>
  </si>
  <si>
    <t>0 días 07:29</t>
  </si>
  <si>
    <t>7 días 07:29</t>
  </si>
  <si>
    <t>23596168</t>
  </si>
  <si>
    <t>21/11/2025 07:37:31</t>
  </si>
  <si>
    <t>2025-11-21 07:37:31</t>
  </si>
  <si>
    <t>JHON JAIRO PUERTA MORENO</t>
  </si>
  <si>
    <t>3502803321</t>
  </si>
  <si>
    <t>RURAL_122042104000000001</t>
  </si>
  <si>
    <t>122042104000000001</t>
  </si>
  <si>
    <t>2025-12-05 07:37:31</t>
  </si>
  <si>
    <t>0 días 07:37</t>
  </si>
  <si>
    <t>10 días 07:37</t>
  </si>
  <si>
    <t>23596175</t>
  </si>
  <si>
    <t>21/11/2025 07:52:44</t>
  </si>
  <si>
    <t>2025-11-21 07:52:44</t>
  </si>
  <si>
    <t>CR 45 CL 46 -9 (INTERIOR 501 )</t>
  </si>
  <si>
    <t>074425006000090501</t>
  </si>
  <si>
    <t>2025-12-02 07:52:44</t>
  </si>
  <si>
    <t>7 días 07:52</t>
  </si>
  <si>
    <t>23596176</t>
  </si>
  <si>
    <t>21/11/2025 07:53:29</t>
  </si>
  <si>
    <t>2025-11-21 07:53:29</t>
  </si>
  <si>
    <t>OLGA LUCIA GUTIERREZ RAMIREZ</t>
  </si>
  <si>
    <t>3219509344</t>
  </si>
  <si>
    <t>DIAG 47 A CL 31 -11 (INTERIOR 101 )</t>
  </si>
  <si>
    <t>073477101000110101</t>
  </si>
  <si>
    <t>2025-12-02 07:53:29</t>
  </si>
  <si>
    <t>0 días 07:53</t>
  </si>
  <si>
    <t>7 días 07:53</t>
  </si>
  <si>
    <t>23596179</t>
  </si>
  <si>
    <t>21/11/2025 07:58:12</t>
  </si>
  <si>
    <t>2025-11-21 07:58:12</t>
  </si>
  <si>
    <t>CL 87 A SUR CR 56 C -72 (INTERIOR 1701 BQ 1 )</t>
  </si>
  <si>
    <t>038517106300721701</t>
  </si>
  <si>
    <t>2025-12-02 07:58:12</t>
  </si>
  <si>
    <t>0 días 07:58</t>
  </si>
  <si>
    <t>7 días 07:58</t>
  </si>
  <si>
    <t>23596180</t>
  </si>
  <si>
    <t>21/11/2025 07:58:11</t>
  </si>
  <si>
    <t>2025-11-21 07:58:11</t>
  </si>
  <si>
    <t>CL 87 A SUR CR 56 C -72 (INTERIOR 1908 BQ 1 )</t>
  </si>
  <si>
    <t>038517106300721908</t>
  </si>
  <si>
    <t>2025-12-02 07:58:11</t>
  </si>
  <si>
    <t>23596181</t>
  </si>
  <si>
    <t>CL 87 A SUR CR 56 C -72 (INTERIOR 708 BQ 1 )</t>
  </si>
  <si>
    <t>038517106300720708</t>
  </si>
  <si>
    <t>23596182</t>
  </si>
  <si>
    <t>CL 87 A SUR CR 56 C -72 (INTERIOR 1603 BQ 1 )</t>
  </si>
  <si>
    <t>038517106300721603</t>
  </si>
  <si>
    <t>23596183</t>
  </si>
  <si>
    <t>21/11/2025 07:58:14</t>
  </si>
  <si>
    <t>2025-11-21 07:58:14</t>
  </si>
  <si>
    <t>CL 87 A SUR CR 56 C -72 (INTERIOR 502 BQ 1 )</t>
  </si>
  <si>
    <t>038517106300720502</t>
  </si>
  <si>
    <t>2025-12-02 07:58:14</t>
  </si>
  <si>
    <t>23596184</t>
  </si>
  <si>
    <t>21/11/2025 07:58:16</t>
  </si>
  <si>
    <t>2025-11-21 07:58:16</t>
  </si>
  <si>
    <t>CL 87 A SUR CR 56 C -72 (INTERIOR 1705 BQ 1 )</t>
  </si>
  <si>
    <t>038517106300721705</t>
  </si>
  <si>
    <t>2025-12-02 07:58:16</t>
  </si>
  <si>
    <t>23596185</t>
  </si>
  <si>
    <t>21/11/2025 07:58:21</t>
  </si>
  <si>
    <t>2025-11-21 07:58:21</t>
  </si>
  <si>
    <t>CL 87 A SUR CR 56 C -72 (INTERIOR 1802 BQ 1 )</t>
  </si>
  <si>
    <t>038517106300721802</t>
  </si>
  <si>
    <t>2025-12-02 07:58:21</t>
  </si>
  <si>
    <t>23596187</t>
  </si>
  <si>
    <t>21/11/2025 07:58:29</t>
  </si>
  <si>
    <t>2025-11-21 07:58:29</t>
  </si>
  <si>
    <t>CL 87 A SUR CR 56 C -72 (INTERIOR 602 BQ 1 )</t>
  </si>
  <si>
    <t>038517106300720602</t>
  </si>
  <si>
    <t>2025-12-02 07:58:29</t>
  </si>
  <si>
    <t>23596188</t>
  </si>
  <si>
    <t>21/11/2025 07:58:30</t>
  </si>
  <si>
    <t>2025-11-21 07:58:30</t>
  </si>
  <si>
    <t>CL 87 A SUR CR 56 C -72 (INTERIOR 1801 BQ 1 )</t>
  </si>
  <si>
    <t>038517106300721801</t>
  </si>
  <si>
    <t>2025-12-02 07:58:30</t>
  </si>
  <si>
    <t>23596189</t>
  </si>
  <si>
    <t>CL 87 A SUR CR 56 C -72 (INTERIOR 1401 BQ 1 )</t>
  </si>
  <si>
    <t>038517106300721401</t>
  </si>
  <si>
    <t>23596190</t>
  </si>
  <si>
    <t>CL 87 A SUR CR 56 C -72 (INTERIOR 1806 BQ 1 )</t>
  </si>
  <si>
    <t>038517106300721806</t>
  </si>
  <si>
    <t>23596191</t>
  </si>
  <si>
    <t>CL 87 A SUR CR 56 C -72 (INTERIOR 1302 BQ 1 )</t>
  </si>
  <si>
    <t>038517106300721302</t>
  </si>
  <si>
    <t>23596192</t>
  </si>
  <si>
    <t>21/11/2025 07:58:32</t>
  </si>
  <si>
    <t>2025-11-21 07:58:32</t>
  </si>
  <si>
    <t>CL 87 A SUR CR 56 C -72 (INTERIOR 1607 BQ 1 )</t>
  </si>
  <si>
    <t>038517106300721607</t>
  </si>
  <si>
    <t>2025-12-02 07:58:32</t>
  </si>
  <si>
    <t>23596194</t>
  </si>
  <si>
    <t>21/11/2025 07:58:43</t>
  </si>
  <si>
    <t>2025-11-21 07:58:43</t>
  </si>
  <si>
    <t>CL 87 A SUR CR 56 C -72 (INTERIOR 1501 BQ 1 )</t>
  </si>
  <si>
    <t>038517106300721501</t>
  </si>
  <si>
    <t>2025-12-02 07:58:43</t>
  </si>
  <si>
    <t>23596195</t>
  </si>
  <si>
    <t>21/11/2025 07:58:44</t>
  </si>
  <si>
    <t>2025-11-21 07:58:44</t>
  </si>
  <si>
    <t>CL 87 A SUR CR 56 C -72 (INTERIOR 1308 BQ 1 )</t>
  </si>
  <si>
    <t>038517106300721308</t>
  </si>
  <si>
    <t>2025-12-02 07:58:44</t>
  </si>
  <si>
    <t>23596196</t>
  </si>
  <si>
    <t>CL 87 A SUR CR 56 C -72 (INTERIOR 1508 BQ 1 )</t>
  </si>
  <si>
    <t>038517106300721508</t>
  </si>
  <si>
    <t>23596197</t>
  </si>
  <si>
    <t>CL 87 A SUR CR 56 C -72 (INTERIOR 508 BQ 1 )</t>
  </si>
  <si>
    <t>038517106300720508</t>
  </si>
  <si>
    <t>23596198</t>
  </si>
  <si>
    <t>21/11/2025 07:58:50</t>
  </si>
  <si>
    <t>2025-11-21 07:58:50</t>
  </si>
  <si>
    <t>CL 87 A SUR CR 56 C -72 (INTERIOR 1101 BQ 1 )</t>
  </si>
  <si>
    <t>038517106300721101</t>
  </si>
  <si>
    <t>2025-12-02 07:58:50</t>
  </si>
  <si>
    <t>23596199</t>
  </si>
  <si>
    <t>21/11/2025 07:58:54</t>
  </si>
  <si>
    <t>2025-11-21 07:58:54</t>
  </si>
  <si>
    <t>CL 87 A SUR CR 56 C -72 (INTERIOR 1708 BQ 1 )</t>
  </si>
  <si>
    <t>038517106300721708</t>
  </si>
  <si>
    <t>2025-12-02 07:58:54</t>
  </si>
  <si>
    <t>23596200</t>
  </si>
  <si>
    <t>21/11/2025 07:58:58</t>
  </si>
  <si>
    <t>2025-11-21 07:58:58</t>
  </si>
  <si>
    <t>CL 87 A SUR CR 56 C -72 (INTERIOR 1808 BQ 1 )</t>
  </si>
  <si>
    <t>038517106300721808</t>
  </si>
  <si>
    <t>2025-12-02 07:58:58</t>
  </si>
  <si>
    <t>23596202</t>
  </si>
  <si>
    <t>21/11/2025 07:59:10</t>
  </si>
  <si>
    <t>2025-11-21 07:59:10</t>
  </si>
  <si>
    <t>CL 87 A SUR CR 56 C -72 (INTERIOR 901 BQ 1 )</t>
  </si>
  <si>
    <t>038517106300720901</t>
  </si>
  <si>
    <t>2025-12-02 07:59:10</t>
  </si>
  <si>
    <t>0 días 07:59</t>
  </si>
  <si>
    <t>7 días 07:59</t>
  </si>
  <si>
    <t>23596203</t>
  </si>
  <si>
    <t>21/11/2025 07:59:13</t>
  </si>
  <si>
    <t>2025-11-21 07:59:13</t>
  </si>
  <si>
    <t>CL 87 A SUR CR 56 C -72 (INTERIOR 1408 BQ 1 )</t>
  </si>
  <si>
    <t>038517106300721408</t>
  </si>
  <si>
    <t>2025-12-02 07:59:13</t>
  </si>
  <si>
    <t>23596204</t>
  </si>
  <si>
    <t>21/11/2025 07:59:16</t>
  </si>
  <si>
    <t>2025-11-21 07:59:16</t>
  </si>
  <si>
    <t>CL 87 A SUR CR 56 C -72 (INTERIOR 1807 BQ 1 )</t>
  </si>
  <si>
    <t>038517106300721807</t>
  </si>
  <si>
    <t>2025-12-02 07:59:16</t>
  </si>
  <si>
    <t>23596205</t>
  </si>
  <si>
    <t>21/11/2025 07:59:18</t>
  </si>
  <si>
    <t>2025-11-21 07:59:18</t>
  </si>
  <si>
    <t>CL 87 A SUR CR 56 C -72 (INTERIOR 1505 BQ 1 )</t>
  </si>
  <si>
    <t>038517106300721505</t>
  </si>
  <si>
    <t>2025-12-02 07:59:18</t>
  </si>
  <si>
    <t>23596206</t>
  </si>
  <si>
    <t>21/11/2025 07:59:19</t>
  </si>
  <si>
    <t>2025-11-21 07:59:19</t>
  </si>
  <si>
    <t>CL 87 A SUR CR 56 C -72 (INTERIOR 1301 BQ 1 )</t>
  </si>
  <si>
    <t>038517106300721301</t>
  </si>
  <si>
    <t>2025-12-02 07:59:19</t>
  </si>
  <si>
    <t>23596207</t>
  </si>
  <si>
    <t>21/11/2025 07:59:22</t>
  </si>
  <si>
    <t>2025-11-21 07:59:22</t>
  </si>
  <si>
    <t>CL 87 A SUR CR 56 C -72 (INTERIOR 1905 BQ 1 )</t>
  </si>
  <si>
    <t>038517106300721905</t>
  </si>
  <si>
    <t>2025-12-02 07:59:22</t>
  </si>
  <si>
    <t>23596208</t>
  </si>
  <si>
    <t>21/11/2025 07:59:24</t>
  </si>
  <si>
    <t>2025-11-21 07:59:24</t>
  </si>
  <si>
    <t>CL 87 A SUR CR 56 C -72 (INTERIOR 801 BQ 1 )</t>
  </si>
  <si>
    <t>038517106300720801</t>
  </si>
  <si>
    <t>2025-12-02 07:59:24</t>
  </si>
  <si>
    <t>23596209</t>
  </si>
  <si>
    <t>21/11/2025 07:59:32</t>
  </si>
  <si>
    <t>2025-11-21 07:59:32</t>
  </si>
  <si>
    <t>CL 87 A SUR CR 56 C -72 (INTERIOR 1506 BQ 1 )</t>
  </si>
  <si>
    <t>038517106300721506</t>
  </si>
  <si>
    <t>2025-12-02 07:59:32</t>
  </si>
  <si>
    <t>23596210</t>
  </si>
  <si>
    <t>21/11/2025 07:59:33</t>
  </si>
  <si>
    <t>2025-11-21 07:59:33</t>
  </si>
  <si>
    <t>CL 87 A SUR CR 56 C -72 (INTERIOR 1702 BQ 1 )</t>
  </si>
  <si>
    <t>038517106300721702</t>
  </si>
  <si>
    <t>2025-12-02 07:59:33</t>
  </si>
  <si>
    <t>23596212</t>
  </si>
  <si>
    <t>21/11/2025 07:59:38</t>
  </si>
  <si>
    <t>2025-11-21 07:59:38</t>
  </si>
  <si>
    <t>CL 87 A SUR CR 56 C -72 (INTERIOR 1208 BQ 1 )</t>
  </si>
  <si>
    <t>038517106300721208</t>
  </si>
  <si>
    <t>2025-12-02 07:59:38</t>
  </si>
  <si>
    <t>23596213</t>
  </si>
  <si>
    <t>21/11/2025 07:59:39</t>
  </si>
  <si>
    <t>2025-11-21 07:59:39</t>
  </si>
  <si>
    <t>CL 87 A SUR CR 56 C -72 (INTERIOR 908 BQ 1 )</t>
  </si>
  <si>
    <t>038517106300720908</t>
  </si>
  <si>
    <t>2025-12-02 07:59:39</t>
  </si>
  <si>
    <t>23596214</t>
  </si>
  <si>
    <t>21/11/2025 07:59:51</t>
  </si>
  <si>
    <t>2025-11-21 07:59:51</t>
  </si>
  <si>
    <t>CL 87 A SUR CR 56 C -72 (INTERIOR 1001 BQ 1 )</t>
  </si>
  <si>
    <t>038517106300721001</t>
  </si>
  <si>
    <t>2025-12-02 07:59:51</t>
  </si>
  <si>
    <t>23596243</t>
  </si>
  <si>
    <t>21/11/2025 08:05:29</t>
  </si>
  <si>
    <t>2025-11-21 08:05:29</t>
  </si>
  <si>
    <t>EDISON FERNEY CARMONA MESA</t>
  </si>
  <si>
    <t>3127663137</t>
  </si>
  <si>
    <t>CR 55 CL 3 SUR -39 (INTERIOR 201 )</t>
  </si>
  <si>
    <t>040525003000390201</t>
  </si>
  <si>
    <t>2025-12-02 08:05:29</t>
  </si>
  <si>
    <t>0 días 08:05</t>
  </si>
  <si>
    <t>7 días 08:05</t>
  </si>
  <si>
    <t>23596276</t>
  </si>
  <si>
    <t>21/11/2025 08:15:01</t>
  </si>
  <si>
    <t>2025-11-21 08:15:01</t>
  </si>
  <si>
    <t>RUBEN DARIO HOYOS ZULUAGA</t>
  </si>
  <si>
    <t>3137515458</t>
  </si>
  <si>
    <t>CR 52 CL 52 -18 (INTERIOR 201 )</t>
  </si>
  <si>
    <t>075522002000180201</t>
  </si>
  <si>
    <t>2025-12-02 08:15:01</t>
  </si>
  <si>
    <t>0 días 08:15</t>
  </si>
  <si>
    <t>7 días 08:15</t>
  </si>
  <si>
    <t>23596280</t>
  </si>
  <si>
    <t>21/11/2025 08:19:13</t>
  </si>
  <si>
    <t>2025-11-21 08:19:14</t>
  </si>
  <si>
    <t>CR 45 CL 46 -9 (INTERIOR 502 )</t>
  </si>
  <si>
    <t>074425006000090502</t>
  </si>
  <si>
    <t>2025-12-02 08:19:14</t>
  </si>
  <si>
    <t>0 días 08:19</t>
  </si>
  <si>
    <t>7 días 08:19</t>
  </si>
  <si>
    <t>23596295</t>
  </si>
  <si>
    <t>21/11/2025 08:28:13</t>
  </si>
  <si>
    <t>2025-11-21 08:28:13</t>
  </si>
  <si>
    <t>CR 52 CL 52 -18 (INTERIOR 301 )</t>
  </si>
  <si>
    <t>075522002000180301</t>
  </si>
  <si>
    <t>2025-12-02 08:28:13</t>
  </si>
  <si>
    <t>0 días 08:28</t>
  </si>
  <si>
    <t>7 días 08:28</t>
  </si>
  <si>
    <t>23596299</t>
  </si>
  <si>
    <t>21/11/2025 08:31:49</t>
  </si>
  <si>
    <t>2025-11-21 08:31:49</t>
  </si>
  <si>
    <t>CR 52 CL 52 -18 (INTERIOR 401 )</t>
  </si>
  <si>
    <t>075522002000180401</t>
  </si>
  <si>
    <t>2025-12-02 08:31:49</t>
  </si>
  <si>
    <t>0 días 08:31</t>
  </si>
  <si>
    <t>7 días 08:31</t>
  </si>
  <si>
    <t>23596341</t>
  </si>
  <si>
    <t>21/11/2025 09:04:33</t>
  </si>
  <si>
    <t>2025-11-21 09:04:33</t>
  </si>
  <si>
    <t>CRISTIAN ADRIAN GOMEZ MUÑOZ</t>
  </si>
  <si>
    <t>CR 49 CL 48 -58 (INTERIOR 1001 )</t>
  </si>
  <si>
    <t>054429008000581001</t>
  </si>
  <si>
    <t>2025-12-02 09:04:33</t>
  </si>
  <si>
    <t>0 días 09:04</t>
  </si>
  <si>
    <t>7 días 09:04</t>
  </si>
  <si>
    <t>23596355</t>
  </si>
  <si>
    <t>21/11/2025 09:18:42</t>
  </si>
  <si>
    <t>2025-11-21 09:18:42</t>
  </si>
  <si>
    <t>STEFANIA MORALES TOBON</t>
  </si>
  <si>
    <t>3136145990</t>
  </si>
  <si>
    <t>CL 57 DD CR 23 B -48 (INTERIOR 201 )</t>
  </si>
  <si>
    <t>055217443200480201</t>
  </si>
  <si>
    <t>2025-12-02 09:18:42</t>
  </si>
  <si>
    <t>0 días 09:18</t>
  </si>
  <si>
    <t>7 días 09:18</t>
  </si>
  <si>
    <t>23596360</t>
  </si>
  <si>
    <t>21/11/2025 09:23:35</t>
  </si>
  <si>
    <t>2025-11-21 09:23:35</t>
  </si>
  <si>
    <t>CR 52 CL 52 -18</t>
  </si>
  <si>
    <t>075522002000180000</t>
  </si>
  <si>
    <t>2025-12-02 09:23:35</t>
  </si>
  <si>
    <t>7 días 09:23</t>
  </si>
  <si>
    <t>23596365</t>
  </si>
  <si>
    <t>21/11/2025 09:27:00</t>
  </si>
  <si>
    <t>2025-11-21 09:27:00</t>
  </si>
  <si>
    <t>CARLOS ANDRES MOSQUERA MOSQUERA</t>
  </si>
  <si>
    <t>5781670</t>
  </si>
  <si>
    <t>3127031160</t>
  </si>
  <si>
    <t>CL 47 CR 2 BB -139</t>
  </si>
  <si>
    <t>054017002221390000</t>
  </si>
  <si>
    <t>2025-12-02 09:27:00</t>
  </si>
  <si>
    <t>0 días 09:27</t>
  </si>
  <si>
    <t>7 días 09:27</t>
  </si>
  <si>
    <t>23596372</t>
  </si>
  <si>
    <t>21/11/2025 09:32:46</t>
  </si>
  <si>
    <t>2025-11-21 09:32:46</t>
  </si>
  <si>
    <t>CL 87 A SUR CR 56 C -72 (INTERIOR 1703 BQ 1 )</t>
  </si>
  <si>
    <t>038517106300721703</t>
  </si>
  <si>
    <t>2025-12-02 09:32:46</t>
  </si>
  <si>
    <t>0 días 09:32</t>
  </si>
  <si>
    <t>7 días 09:32</t>
  </si>
  <si>
    <t>23596373</t>
  </si>
  <si>
    <t>CL 87 A SUR CR 56 C -72 (INTERIOR 701 BQ 1 )</t>
  </si>
  <si>
    <t>038517106300720701</t>
  </si>
  <si>
    <t>23596374</t>
  </si>
  <si>
    <t>CL 87 A SUR CR 56 C -72 (INTERIOR 405 BQ 1 )</t>
  </si>
  <si>
    <t>038517106300720405</t>
  </si>
  <si>
    <t>23596376</t>
  </si>
  <si>
    <t>21/11/2025 09:32:50</t>
  </si>
  <si>
    <t>2025-11-21 09:32:50</t>
  </si>
  <si>
    <t>CL 87 A SUR CR 56 C -72 (INTERIOR 608 BQ 1 )</t>
  </si>
  <si>
    <t>038517106300720608</t>
  </si>
  <si>
    <t>2025-12-02 09:32:50</t>
  </si>
  <si>
    <t>23596378</t>
  </si>
  <si>
    <t>21/11/2025 09:32:53</t>
  </si>
  <si>
    <t>2025-11-21 09:32:53</t>
  </si>
  <si>
    <t>CL 87 A SUR CR 56 C -72 (INTERIOR 1108 BQ 1 )</t>
  </si>
  <si>
    <t>038517106300721108</t>
  </si>
  <si>
    <t>2025-12-02 09:32:53</t>
  </si>
  <si>
    <t>CL 87 A SUR CR 56 C -72 (INTERIOR 1502 BQ 1 )</t>
  </si>
  <si>
    <t>038517106300721502</t>
  </si>
  <si>
    <t>OBSERVACION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</si>
</sst>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Alignment="1">
      <alignment horizontal="center" vertical="center"/>
    </xf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2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8FAADC"/>
          <bgColor rgb="FF8FAADC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A500"/>
          <bgColor rgb="FFFFA5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7F6000"/>
      </font>
      <fill>
        <patternFill patternType="solid">
          <fgColor rgb="FFFFF2CC"/>
          <bgColor rgb="FFFFF2CC"/>
        </patternFill>
      </fill>
    </dxf>
    <dxf>
      <font>
        <color rgb="FF006100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00B050"/>
          <bgColor rgb="FF00B050"/>
        </patternFill>
      </fill>
    </dxf>
    <dxf>
      <font>
        <color rgb="FF404040"/>
      </font>
      <fill>
        <patternFill patternType="solid">
          <fgColor rgb="FFD9D9D9"/>
          <bgColor rgb="FFD9D9D9"/>
        </patternFill>
      </fill>
    </dxf>
    <dxf>
      <font>
        <color rgb="FF7F6000"/>
      </font>
      <fill>
        <patternFill patternType="solid">
          <fgColor rgb="FFFFD966"/>
          <bgColor rgb="FFFFD9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200"/>
          <bgColor rgb="FFFFF200"/>
        </patternFill>
      </fill>
    </dxf>
    <dxf>
      <fill>
        <patternFill patternType="solid">
          <fgColor rgb="FFFFA500"/>
          <bgColor rgb="FFFFA5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D9D9D9"/>
          <bgColor rgb="FFD9D9D9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control-ans.streamlit.app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114299</xdr:colOff>
      <xdr:row>0</xdr:row>
      <xdr:rowOff>66675</xdr:rowOff>
    </xdr:from>
    <xdr:to>
      <xdr:col>1</xdr:col>
      <xdr:colOff>1209674</xdr:colOff>
      <xdr:row>2</xdr:row>
      <xdr:rowOff>19050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9E39DF-2617-283D-3789-3572D7D3387E}"/>
            </a:ext>
          </a:extLst>
        </xdr:cNvPr>
        <xdr:cNvSpPr/>
      </xdr:nvSpPr>
      <xdr:spPr>
        <a:xfrm>
          <a:off x="114299" y="66675"/>
          <a:ext cx="1914525" cy="333375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b="1"/>
            <a:t>Abrir Dashboard ANS (Web)</a:t>
          </a:r>
          <a:endParaRPr lang="es-CO" sz="11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ctor Alejandro Gaviria" refreshedDate="45982.492534259261" createdVersion="8" refreshedVersion="8" minRefreshableVersion="3" recordCount="1009" xr:uid="{00000000-000A-0000-FFFF-FFFF0B000000}">
  <cacheSource type="worksheet">
    <worksheetSource name="FENIX_ANS_TABLA"/>
  </cacheSource>
  <cacheFields count="30">
    <cacheField name="PEDIDO" numFmtId="0">
      <sharedItems/>
    </cacheField>
    <cacheField name="PRODUCTO_ID" numFmtId="0">
      <sharedItems/>
    </cacheField>
    <cacheField name="TIPO_TRABAJO" numFmtId="0">
      <sharedItems/>
    </cacheField>
    <cacheField name="TIPO_ELEMENTO_ID" numFmtId="0">
      <sharedItems/>
    </cacheField>
    <cacheField name="FECHA_RECIBO" numFmtId="0">
      <sharedItems/>
    </cacheField>
    <cacheField name="FECHA_INICIO_ANS" numFmtId="0">
      <sharedItems containsBlank="1"/>
    </cacheField>
    <cacheField name="CLIENTEID" numFmtId="0">
      <sharedItems containsSemiMixedTypes="0" containsString="0" containsNumber="1" containsInteger="1" minValue="250390" maxValue="10774441473"/>
    </cacheField>
    <cacheField name="NOMBRE_CLIENTE" numFmtId="0">
      <sharedItems/>
    </cacheField>
    <cacheField name="TELEFONO_CONTACTO" numFmtId="0">
      <sharedItems/>
    </cacheField>
    <cacheField name="CELULAR_CONTACTO" numFmtId="0">
      <sharedItems/>
    </cacheField>
    <cacheField name="DIRECCION" numFmtId="0">
      <sharedItems/>
    </cacheField>
    <cacheField name="MUNICIPIO" numFmtId="0">
      <sharedItems containsBlank="1" count="8">
        <s v="MEDELLÍN"/>
        <s v="ENVIGADO"/>
        <s v="ITAGUÍ"/>
        <s v="CALDAS"/>
        <s v="LA ESTRELLA"/>
        <s v="SABANETA"/>
        <m u="1"/>
        <s v="GUARNE" u="1"/>
      </sharedItems>
    </cacheField>
    <cacheField name="INSTALACION" numFmtId="0">
      <sharedItems/>
    </cacheField>
    <cacheField name="AREA_TRABAJO" numFmtId="0">
      <sharedItems/>
    </cacheField>
    <cacheField name="ACTIVIDAD" numFmtId="0">
      <sharedItems containsBlank="1" count="13">
        <s v="ARTER"/>
        <s v="ALEGA"/>
        <s v="ALEGN"/>
        <s v="INPRE"/>
        <s v="ALECA"/>
        <s v="AEJDO"/>
        <s v="AMRTR"/>
        <s v="ACAMN"/>
        <s v="ACREV"/>
        <s v="REEQU"/>
        <s v="APLIN"/>
        <s v="DIPRE"/>
        <m u="1"/>
      </sharedItems>
    </cacheField>
    <cacheField name="NOMBRE" numFmtId="0">
      <sharedItems/>
    </cacheField>
    <cacheField name="TIPO_DIRECCION" numFmtId="0">
      <sharedItems containsBlank="1" count="3">
        <s v="Urbano"/>
        <s v="Rural"/>
        <m u="1"/>
      </sharedItems>
    </cacheField>
    <cacheField name="DIAS_PACTADOS" numFmtId="0">
      <sharedItems containsSemiMixedTypes="0" containsString="0" containsNumber="1" containsInteger="1" minValue="0" maxValue="14"/>
    </cacheField>
    <cacheField name="FECHA_LIMITE_ANS" numFmtId="0">
      <sharedItems containsBlank="1"/>
    </cacheField>
    <cacheField name="DIAS_TRANSCURRIDOS" numFmtId="0">
      <sharedItems containsBlank="1"/>
    </cacheField>
    <cacheField name="DIAS_RESTANTES" numFmtId="0">
      <sharedItems containsBlank="1"/>
    </cacheField>
    <cacheField name="ESTADO" numFmtId="0">
      <sharedItems containsBlank="1" count="6">
        <s v="A TIEMPO"/>
        <s v="VENCIDO"/>
        <s v="ALERTA"/>
        <s v="ALERTA_0 Días"/>
        <s v="SIN FECHA"/>
        <m u="1"/>
      </sharedItems>
    </cacheField>
    <cacheField name="REPORTE_TECNICO" numFmtId="0">
      <sharedItems/>
    </cacheField>
    <cacheField name="TECNICO_EJECUTA" numFmtId="0">
      <sharedItems/>
    </cacheField>
    <cacheField name="ESTADO_FENIX" numFmtId="0">
      <sharedItems/>
    </cacheField>
    <cacheField name="COORDENADAX" numFmtId="0">
      <sharedItems/>
    </cacheField>
    <cacheField name="COORDENADAY" numFmtId="0">
      <sharedItems containsSemiMixedTypes="0" containsString="0" containsNumber="1" minValue="-75.708866599999993" maxValue="-75.476114219999999"/>
    </cacheField>
    <cacheField name="AREA_OPERATIVA" numFmtId="0">
      <sharedItems containsSemiMixedTypes="0" containsString="0" containsNumber="1" minValue="6.0252134000000002" maxValue="6.366053"/>
    </cacheField>
    <cacheField name="SUBZONA" numFmtId="0">
      <sharedItems/>
    </cacheField>
    <cacheField name="Columna1" numFmtId="0">
      <sharedItems/>
    </cacheField>
  </cacheFields>
  <extLst>
    <ext xmlns:x14="http://schemas.microsoft.com/office/spreadsheetml/2009/9/main" uri="{725AE2AE-9491-48be-B2B4-4EB974FC3084}">
      <x14:pivotCacheDefinition pivotCacheId="45124535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9">
  <r>
    <s v="22992507"/>
    <s v="ENERES"/>
    <s v="NUEVO"/>
    <s v="ENEDOM"/>
    <s v="18/01/2024 13:22:43"/>
    <s v="2025-11-20 09:37:14"/>
    <n v="1017150851"/>
    <s v="JONNATAN ANDRES ZAPATA GUTIERREZ"/>
    <s v="SIN DATOS"/>
    <s v="3128887747"/>
    <s v="CR 14 CL 55 -170 (INTERIOR 301 )"/>
    <x v="0"/>
    <s v="055124005001700301"/>
    <s v="Medellín"/>
    <x v="0"/>
    <s v="Habilitación Viviendas Metrosur"/>
    <x v="0"/>
    <n v="5"/>
    <s v="2025-11-27 09:37:14"/>
    <s v="0 días 09:37"/>
    <s v="4 días 09:37"/>
    <x v="0"/>
    <s v="SIN DATO"/>
    <s v="SIN DATO"/>
    <s v="SIN DATO"/>
    <s v="ABIERTO"/>
    <n v="-75.538028999999995"/>
    <n v="6.2381989999999998"/>
    <s v="SUR-ENE"/>
    <s v="Metropolitana Sur"/>
  </r>
  <r>
    <s v="23062258"/>
    <s v="ENERES"/>
    <s v="NUEVO"/>
    <s v="ENERES"/>
    <s v="20/03/2024 14:15:59"/>
    <s v="2025-11-20 09:51:49"/>
    <n v="43637045"/>
    <s v="CAROLINA HERRERA LOPEZ"/>
    <s v="2348401"/>
    <s v="3002118170"/>
    <s v="CL 38 CR 86 A -9 (INTERIOR 401 )"/>
    <x v="0"/>
    <s v="053818006100090401"/>
    <s v="Medellín"/>
    <x v="1"/>
    <s v="Revisor Instal. Regadas Metrosur"/>
    <x v="0"/>
    <n v="7"/>
    <s v="2025-12-01 09:51:49"/>
    <s v="0 días 09:51"/>
    <s v="6 días 09:51"/>
    <x v="0"/>
    <s v="SIN DATO"/>
    <s v="SIN DATO"/>
    <s v="SIN DATO"/>
    <s v="ABIERTO"/>
    <n v="-75.608886979999994"/>
    <n v="6.2472212899999997"/>
    <s v="SUR-ENE"/>
    <s v="Metropolitana Sur"/>
  </r>
  <r>
    <s v="23111357"/>
    <s v="ENERES"/>
    <s v="NUEVO"/>
    <s v="ENERES"/>
    <s v="20/05/2024 15:51:22"/>
    <s v="2025-11-06 09:37:47"/>
    <n v="43606118"/>
    <s v="LUZ MIRIAM MUÑOZ RAMIREZ"/>
    <s v="SIN DATOS"/>
    <s v="3207261163"/>
    <s v="CL 58 AA SUR CR 61 -10 (INTERIOR 301 )"/>
    <x v="0"/>
    <s v="045618111000100301"/>
    <s v="Medellín"/>
    <x v="1"/>
    <s v="MET Rev-Inst-Concentra E_CR014"/>
    <x v="0"/>
    <n v="7"/>
    <s v="2025-11-18 09:37:47"/>
    <s v="10 días 09:37"/>
    <s v="VENCIDO"/>
    <x v="1"/>
    <s v="SIN DATO"/>
    <s v="SIN DATO"/>
    <s v="SIN DATO"/>
    <s v="ABIERTO"/>
    <n v="-75.64258031"/>
    <n v="6.1725723400000003"/>
    <s v="SUR-ENE"/>
    <s v="Metropolitana Sur"/>
  </r>
  <r>
    <s v="23132469"/>
    <s v="ENERES"/>
    <s v="NUEVO"/>
    <s v="ENEDOM"/>
    <s v="17/06/2024 14:02:51"/>
    <s v="2025-11-20 09:28:18"/>
    <n v="3351020"/>
    <s v="MANUEL JOSE LOPEZ QUINTERO"/>
    <s v="SIN DATOS"/>
    <s v="3212183883"/>
    <s v="CL 48 FF CR 100 AE -64 (INTERIOR 118 )"/>
    <x v="0"/>
    <s v="084018660150640118"/>
    <s v="Medellín"/>
    <x v="0"/>
    <s v="Habilitación Viviendas Metrosur"/>
    <x v="0"/>
    <n v="5"/>
    <s v="2025-11-27 09:28:18"/>
    <s v="0 días 09:28"/>
    <s v="4 días 09:28"/>
    <x v="0"/>
    <s v="SIN DATO"/>
    <s v="SIN DATO"/>
    <s v="SIN DATO"/>
    <s v="ABIERTO"/>
    <n v="-75.614869999999996"/>
    <n v="6.262105"/>
    <s v="SUR-ENE"/>
    <s v="Metropolitana Sur"/>
  </r>
  <r>
    <s v="23132480"/>
    <s v="ENERES"/>
    <s v="NUEVO"/>
    <s v="ENEDOM"/>
    <s v="17/06/2024 14:11:10"/>
    <s v="2025-11-20 09:23:17"/>
    <n v="3351020"/>
    <s v="MANUEL JOSE LOPEZ QUINTERO"/>
    <s v="SIN DATOS"/>
    <s v="3212183883"/>
    <s v="CL 48 FF CR 100 AE -64 (INTERIOR 128 )"/>
    <x v="0"/>
    <s v="084018660150640128"/>
    <s v="Medellín"/>
    <x v="0"/>
    <s v="Habilitación Viviendas Metrosur"/>
    <x v="0"/>
    <n v="5"/>
    <s v="2025-11-27 09:23:17"/>
    <s v="0 días 09:23"/>
    <s v="4 días 09:23"/>
    <x v="0"/>
    <s v="SIN DATO"/>
    <s v="SIN DATO"/>
    <s v="SIN DATO"/>
    <s v="ABIERTO"/>
    <n v="-75.615510999999998"/>
    <n v="6.2621700000000002"/>
    <s v="SUR-ENE"/>
    <s v="Metropolitana Sur"/>
  </r>
  <r>
    <s v="23160222"/>
    <s v="ENERES"/>
    <s v="NUEVO"/>
    <s v="ENERES"/>
    <s v="18/07/2024 13:12:18"/>
    <s v="2025-11-20 12:43:02"/>
    <n v="1017152762"/>
    <s v="DIDIER ALEXIS YEPES ZAPATA"/>
    <s v="SIN DATOS"/>
    <s v="3126187384"/>
    <s v="CR 24 CL 36 D SUR -155 (INTERIOR 118 )"/>
    <x v="1"/>
    <s v="023224006401550118"/>
    <s v="Envigado"/>
    <x v="1"/>
    <s v="Revisor Instal. Regadas Metrosur"/>
    <x v="0"/>
    <n v="7"/>
    <s v="2025-12-01 12:43:02"/>
    <s v="0 días 12:43"/>
    <s v="6 días 12:43"/>
    <x v="0"/>
    <s v="SIN DATO"/>
    <s v="SIN DATO"/>
    <s v="SIN DATO"/>
    <s v="ABIERTO"/>
    <n v="-75.565573999999998"/>
    <n v="6.1502509999999999"/>
    <s v="SUR-ENE"/>
    <s v="Metropolitana Sur"/>
  </r>
  <r>
    <s v="23180443"/>
    <s v="ENENOR"/>
    <s v="NUEVO"/>
    <s v="ENENOR"/>
    <s v="12/08/2024 09:59:30"/>
    <s v="2025-11-12 07:05:36"/>
    <n v="42759616"/>
    <s v="MARIA CLAUDIA ESPINOSA VELASQUEZ"/>
    <s v="3619529"/>
    <s v="3205976053"/>
    <s v="CL 52 SUR CR 57 A -23 (INTERIOR 101 )"/>
    <x v="0"/>
    <s v="045512007100230101"/>
    <s v="Medellín"/>
    <x v="2"/>
    <s v="METROSUR Vin. Leg. Ref. Concentrada"/>
    <x v="0"/>
    <n v="7"/>
    <s v="2025-11-24 07:05:36"/>
    <s v="6 días 07:05"/>
    <s v="1 días 07:05"/>
    <x v="2"/>
    <s v="SIN DATO"/>
    <s v="SIN DATO"/>
    <s v="SIN DATO"/>
    <s v="ABIERTO"/>
    <n v="-75.639846019999993"/>
    <n v="6.1761010799999996"/>
    <s v="SUR-ENE"/>
    <s v="Metropolitana Sur"/>
  </r>
  <r>
    <s v="23238713"/>
    <s v="ENEPRE"/>
    <s v="NUEVO"/>
    <s v="ENEPRE"/>
    <s v="08/10/2024 16:33:57"/>
    <s v="2025-11-13 15:25:08"/>
    <n v="32350805"/>
    <s v="LUZ ADRIANA ESTRADA MEJIA"/>
    <s v="SIN DATOS"/>
    <s v="3003495348"/>
    <s v="RURAL_163009087000000000_163009087000000000"/>
    <x v="2"/>
    <s v="163009087000000000"/>
    <s v="Itaguí"/>
    <x v="3"/>
    <s v="Energía Prepago Metrosur"/>
    <x v="0"/>
    <n v="11"/>
    <s v="2025-12-01 15:25:08"/>
    <s v="5 días 15:25"/>
    <s v="6 días 15:25"/>
    <x v="0"/>
    <s v="SIN DATO"/>
    <s v="SIN DATO"/>
    <s v="SIN DATO"/>
    <s v="ABIERTO"/>
    <n v="-75.608276950000004"/>
    <n v="6.1932554599999996"/>
    <s v="SUR-ENE"/>
    <s v="Metropolitana Sur"/>
  </r>
  <r>
    <s v="23249114"/>
    <s v="ENERES"/>
    <s v="NUEVO"/>
    <s v="ENERES"/>
    <s v="18/10/2024 14:17:12"/>
    <s v="2025-11-14 21:53:20"/>
    <n v="43048766"/>
    <s v="BEATRIZ HELENA FLOREZ OSORIO"/>
    <s v="2695827"/>
    <s v="3157687304"/>
    <s v="CL 45 CR 32 -20 (INTERIOR 301 )"/>
    <x v="0"/>
    <s v="054315002000200301"/>
    <s v="Medellín"/>
    <x v="1"/>
    <s v="METROSUR Vin. Leg. Ref. Concentrada"/>
    <x v="0"/>
    <n v="7"/>
    <s v="2025-11-26 21:53:20"/>
    <s v="4 días 21:53"/>
    <s v="3 días 21:53"/>
    <x v="0"/>
    <s v="SIN DATO"/>
    <s v="SIN DATO"/>
    <s v="SIN DATO"/>
    <s v="ABIERTO"/>
    <n v="-75.555959990000005"/>
    <n v="6.2389200100000002"/>
    <s v="SUR-ENE"/>
    <s v="Metropolitana Sur"/>
  </r>
  <r>
    <s v="23252004"/>
    <s v="ENERES"/>
    <s v="CAMBI"/>
    <s v="ENERES"/>
    <s v="22/10/2024 09:03:27"/>
    <s v="2025-11-08 08:51:59"/>
    <n v="250390"/>
    <s v="DORINA PALMIERI"/>
    <s v="SIN DATOS"/>
    <s v="3162963521"/>
    <s v="CL 45 D CR 72 -19"/>
    <x v="0"/>
    <s v="054715402000190000"/>
    <s v="Medellín"/>
    <x v="4"/>
    <s v="MET Rev-Inst-Concentra E_CR014"/>
    <x v="0"/>
    <n v="7"/>
    <s v="2025-11-19 08:51:59"/>
    <s v="9 días 08:51"/>
    <s v="VENCIDO"/>
    <x v="1"/>
    <s v="SIN DATO"/>
    <s v="SIN DATO"/>
    <s v="SIN DATO"/>
    <s v="ABIERTO"/>
    <n v="-75.591133040000003"/>
    <n v="6.2507997399999997"/>
    <s v="SUR-ENE"/>
    <s v="Metropolitana Sur"/>
  </r>
  <r>
    <s v="23252019"/>
    <s v="ENERES"/>
    <s v="CAMBI"/>
    <s v="ENERES"/>
    <s v="22/10/2024 09:16:11"/>
    <s v="2025-11-08 08:51:28"/>
    <n v="250390"/>
    <s v="DORINA PALMIERI"/>
    <s v="SIN DATOS"/>
    <s v="3162963521"/>
    <s v="CL 45 D CR 72 -11"/>
    <x v="0"/>
    <s v="054715402000110000"/>
    <s v="Medellín"/>
    <x v="4"/>
    <s v="MET Rev-Inst-Concentra E_CR014"/>
    <x v="0"/>
    <n v="7"/>
    <s v="2025-11-19 08:51:28"/>
    <s v="9 días 08:51"/>
    <s v="VENCIDO"/>
    <x v="1"/>
    <s v="SIN DATO"/>
    <s v="SIN DATO"/>
    <s v="SIN DATO"/>
    <s v="ABIERTO"/>
    <n v="-75.591133040000003"/>
    <n v="6.2507997399999997"/>
    <s v="SUR-ENE"/>
    <s v="Metropolitana Sur"/>
  </r>
  <r>
    <s v="23253443"/>
    <s v="ENERES"/>
    <s v="CAMBI"/>
    <s v="ENERES"/>
    <s v="23/10/2024 08:09:48"/>
    <s v="2025-11-08 08:44:25"/>
    <n v="250390"/>
    <s v="DORINA PALMIERI"/>
    <s v="SIN DATOS"/>
    <s v="3162963521"/>
    <s v="CR 72 CL 44 A -59"/>
    <x v="0"/>
    <s v="054722004100590000"/>
    <s v="Medellín"/>
    <x v="4"/>
    <s v="MET Rev-Inst-Concentra E_CR014"/>
    <x v="0"/>
    <n v="7"/>
    <s v="2025-11-19 08:44:25"/>
    <s v="9 días 08:44"/>
    <s v="VENCIDO"/>
    <x v="1"/>
    <s v="SIN DATO"/>
    <s v="SIN DATO"/>
    <s v="SIN DATO"/>
    <s v="ABIERTO"/>
    <n v="-75.591152780000002"/>
    <n v="6.2507429800000001"/>
    <s v="SUR-ENE"/>
    <s v="Metropolitana Sur"/>
  </r>
  <r>
    <s v="23285256"/>
    <s v="ENENOR"/>
    <s v="NUEVO"/>
    <s v="ENENOR"/>
    <s v="22/11/2024 13:05:27"/>
    <s v="2025-11-19 17:00:34"/>
    <n v="15645247"/>
    <s v="JUAN GUILLERMO CARABALLO ORTEGA"/>
    <s v="SIN DATOS"/>
    <s v="3215173615"/>
    <s v="CR 90 A CL 44 A -23 (INTERIOR 5 )"/>
    <x v="0"/>
    <s v="054920104100230005"/>
    <s v="Medellín"/>
    <x v="2"/>
    <s v="Revisor Instal. Regadas Metrosur"/>
    <x v="0"/>
    <n v="7"/>
    <s v="2025-11-28 17:00:34"/>
    <s v="2 días 17:00"/>
    <s v="5 días 17:00"/>
    <x v="0"/>
    <s v="SIN DATO"/>
    <s v="SIN DATO"/>
    <s v="SIN DATO"/>
    <s v="ABIERTO"/>
    <n v="-75.607496800000007"/>
    <n v="6.2535831899999996"/>
    <s v="SUR-ENE"/>
    <s v="Metropolitana Sur"/>
  </r>
  <r>
    <s v="23293124"/>
    <s v="ENERES"/>
    <s v="NUEVO"/>
    <s v="ENERES"/>
    <s v="29/11/2024 08:47:07"/>
    <s v="2025-11-12 14:15:29"/>
    <n v="70067381"/>
    <s v="CARLOS EMILIO MONSALVE QUINTERO"/>
    <s v="5227491"/>
    <s v="3206379324"/>
    <s v="CR 9 A CL 44 AA -47"/>
    <x v="0"/>
    <s v="054029104110470000"/>
    <s v="Medellín"/>
    <x v="1"/>
    <s v="Revisor Instal. Regadas Metrosur"/>
    <x v="0"/>
    <n v="7"/>
    <s v="2025-11-24 14:15:29"/>
    <s v="6 días 14:15"/>
    <s v="1 días 14:15"/>
    <x v="2"/>
    <s v="SIN DATO"/>
    <s v="SIN DATO"/>
    <s v="SIN DATO"/>
    <s v="ABIERTO"/>
    <n v="-75.542468990000003"/>
    <n v="6.2275933800000001"/>
    <s v="SUR-ENE"/>
    <s v="Metropolitana Sur"/>
  </r>
  <r>
    <s v="23295220"/>
    <s v="ENERES"/>
    <s v="NUEVO"/>
    <s v="ENERES"/>
    <s v="02/12/2024 11:56:17"/>
    <s v="2025-11-20 12:13:49"/>
    <n v="1047399689"/>
    <s v="JHON ANDERSON ESTEBAN ANAYA"/>
    <s v="SIN DATOS"/>
    <s v="3215638249"/>
    <s v="CL 49 B CR 99 EE -221 (INTERIOR 326 )"/>
    <x v="0"/>
    <s v="054919209552210326"/>
    <s v="Medellín"/>
    <x v="1"/>
    <s v="METROSUR Vin. Leg. Ref. Concentrada"/>
    <x v="0"/>
    <n v="7"/>
    <s v="2025-12-01 12:13:49"/>
    <s v="0 días 12:13"/>
    <s v="6 días 12:13"/>
    <x v="0"/>
    <s v="SIN DATO"/>
    <s v="SIN DATO"/>
    <s v="SIN DATO"/>
    <s v="ABIERTO"/>
    <n v="-75.612498930000001"/>
    <n v="6.2670641299999996"/>
    <s v="SUR-ENE"/>
    <s v="Metropolitana Sur"/>
  </r>
  <r>
    <s v="23295228"/>
    <s v="ENERES"/>
    <s v="NUEVO"/>
    <s v="ENERES"/>
    <s v="02/12/2024 12:00:31"/>
    <s v="2025-11-20 12:13:16"/>
    <n v="1047399689"/>
    <s v="JHON ANDERSON ESTEBAN ANAYA"/>
    <s v="SIN DATOS"/>
    <s v="3215638249"/>
    <s v="CL 49 B CR 99 EE -221 (INTERIOR 226 )"/>
    <x v="0"/>
    <s v="054919209552210226"/>
    <s v="Medellín"/>
    <x v="1"/>
    <s v="METROSUR Vin. Leg. Ref. Concentrada"/>
    <x v="0"/>
    <n v="7"/>
    <s v="2025-12-01 12:13:16"/>
    <s v="0 días 12:13"/>
    <s v="6 días 12:13"/>
    <x v="0"/>
    <s v="SIN DATO"/>
    <s v="SIN DATO"/>
    <s v="SIN DATO"/>
    <s v="ABIERTO"/>
    <n v="-75.612498930000001"/>
    <n v="6.2670641299999996"/>
    <s v="SUR-ENE"/>
    <s v="Metropolitana Sur"/>
  </r>
  <r>
    <s v="23316686"/>
    <s v="ENERES"/>
    <s v="NUEVO"/>
    <s v="ENERES"/>
    <s v="02/01/2025 17:16:25"/>
    <s v="2025-11-19 16:58:05"/>
    <n v="43027867"/>
    <s v="OLIVIA CARVAJAL RODRIGUEZ"/>
    <s v="2170371"/>
    <s v="3113582832"/>
    <s v="CL 40 CR 26 C -40 (INTERIOR 101 )"/>
    <x v="0"/>
    <s v="054210006300400101"/>
    <s v="Medellín"/>
    <x v="1"/>
    <s v="METROSUR Vin. Leg. Ref. Concentrada"/>
    <x v="0"/>
    <n v="7"/>
    <s v="2025-11-28 16:58:05"/>
    <s v="2 días 16:58"/>
    <s v="5 días 16:58"/>
    <x v="0"/>
    <s v="SIN DATO"/>
    <s v="SIN DATO"/>
    <s v="SIN DATO"/>
    <s v="ABIERTO"/>
    <n v="-75.55324847"/>
    <n v="6.2325591300000003"/>
    <s v="SUR-ENE"/>
    <s v="Metropolitana Sur"/>
  </r>
  <r>
    <s v="23321173"/>
    <s v="ENERES"/>
    <s v="NUEVO"/>
    <s v="ENEDOM"/>
    <s v="14/11/2025 12:31:32"/>
    <s v="2025-11-14 12:31:32"/>
    <n v="43165576"/>
    <s v="NATALIA ALVAREZ MALDONADO"/>
    <s v="4890148"/>
    <s v="3148545715"/>
    <s v="CR 104 CL 31 A -39 (INTERIOR 301 )"/>
    <x v="0"/>
    <s v="083024001100390301"/>
    <s v="Medellín"/>
    <x v="5"/>
    <s v="Habilitación Viviendas Metrosur"/>
    <x v="0"/>
    <n v="5"/>
    <s v="2025-11-24 12:31:32"/>
    <s v="4 días 12:31"/>
    <s v="1 días 12:31"/>
    <x v="2"/>
    <s v="SIN DATO"/>
    <s v="SIN DATO"/>
    <s v="SIN DATO"/>
    <s v="ABIERTO"/>
    <n v="-75.622797520000006"/>
    <n v="6.2353818700000003"/>
    <s v="SUR-ENE"/>
    <s v="Metropolitana Sur"/>
  </r>
  <r>
    <s v="23326474"/>
    <s v="ENENOR"/>
    <s v="NUEVO"/>
    <s v="ENENOR"/>
    <s v="16/01/2025 11:45:00"/>
    <s v="2025-11-12 11:50:52"/>
    <n v="1037633477"/>
    <s v="JUAN FELIPE MESA MUÑOZ"/>
    <s v="SIN DATOS"/>
    <s v="3135888488"/>
    <s v="CL 11 A CR 43 B -32"/>
    <x v="0"/>
    <s v="051411103200320000"/>
    <s v="Medellín"/>
    <x v="2"/>
    <s v="Revisor Instal. Regadas Metrosur"/>
    <x v="0"/>
    <n v="7"/>
    <s v="2025-11-24 11:50:52"/>
    <s v="6 días 11:50"/>
    <s v="1 días 11:50"/>
    <x v="2"/>
    <s v="SIN DATO"/>
    <s v="SIN DATO"/>
    <s v="SIN DATO"/>
    <s v="ABIERTO"/>
    <n v="-75.571025730000002"/>
    <n v="6.2128298900000001"/>
    <s v="SUR-ENE"/>
    <s v="Metropolitana Sur"/>
  </r>
  <r>
    <s v="23344306"/>
    <s v="ENENOR"/>
    <s v="NUEVO"/>
    <s v="ENENOR"/>
    <s v="30/01/2025 09:33:08"/>
    <s v="2025-11-13 13:49:12"/>
    <n v="98562300"/>
    <s v="DORIAN HERLEY OROZCO HERNANDEZ"/>
    <s v="SIN DATOS"/>
    <s v="3156587484"/>
    <s v="CL 134 SUR CR 45 -25"/>
    <x v="3"/>
    <s v="003414005000250000"/>
    <s v="Caldas"/>
    <x v="2"/>
    <s v="MET Rev-Inst-Concentra E_CR014"/>
    <x v="0"/>
    <n v="7"/>
    <s v="2025-11-25 13:49:12"/>
    <s v="5 días 13:49"/>
    <s v="2 días 13:49"/>
    <x v="2"/>
    <s v="SIN DATO"/>
    <s v="SIN DATO"/>
    <s v="SIN DATO"/>
    <s v="ABIERTO"/>
    <n v="-75.632518669999996"/>
    <n v="6.0881332400000003"/>
    <s v="SUR-ENE"/>
    <s v="Metropolitana Sur"/>
  </r>
  <r>
    <s v="23344327"/>
    <s v="ENENOR"/>
    <s v="NUEVO"/>
    <s v="ENENOR"/>
    <s v="30/01/2025 09:46:22"/>
    <s v="2025-11-13 13:53:44"/>
    <n v="98562300"/>
    <s v="DORIAN HERLEY OROZCO HERNANDEZ"/>
    <s v="SIN DATOS"/>
    <s v="3156587484"/>
    <s v="CL 134 SUR CR 45 -47"/>
    <x v="3"/>
    <s v="003414005000470000"/>
    <s v="Caldas"/>
    <x v="2"/>
    <s v="MET Rev-Inst-Concentra E_CR014"/>
    <x v="0"/>
    <n v="7"/>
    <s v="2025-11-25 13:53:44"/>
    <s v="5 días 13:53"/>
    <s v="2 días 13:53"/>
    <x v="2"/>
    <s v="SIN DATO"/>
    <s v="SIN DATO"/>
    <s v="SIN DATO"/>
    <s v="ABIERTO"/>
    <n v="-75.632518669999996"/>
    <n v="6.0881332400000003"/>
    <s v="SUR-ENE"/>
    <s v="Metropolitana Sur"/>
  </r>
  <r>
    <s v="23344357"/>
    <s v="ENENOR"/>
    <s v="NUEVO"/>
    <s v="ENENOR"/>
    <s v="30/01/2025 09:54:24"/>
    <s v="2025-11-13 13:51:06"/>
    <n v="98562300"/>
    <s v="DORIAN HERLEY OROZCO HERNANDEZ"/>
    <s v="SIN DATOS"/>
    <s v="3156587484"/>
    <s v="CL 134 SUR CR 45 -57"/>
    <x v="3"/>
    <s v="003414005000570000"/>
    <s v="Caldas"/>
    <x v="2"/>
    <s v="MET Rev-Inst-Concentra E_CR014"/>
    <x v="0"/>
    <n v="7"/>
    <s v="2025-11-25 13:51:06"/>
    <s v="5 días 13:51"/>
    <s v="2 días 13:51"/>
    <x v="2"/>
    <s v="SIN DATO"/>
    <s v="SIN DATO"/>
    <s v="SIN DATO"/>
    <s v="ABIERTO"/>
    <n v="-75.632518669999996"/>
    <n v="6.0881332400000003"/>
    <s v="SUR-ENE"/>
    <s v="Metropolitana Sur"/>
  </r>
  <r>
    <s v="23380759"/>
    <s v="ENERES"/>
    <s v="NUEVO"/>
    <s v="ENERES"/>
    <s v="07/03/2025 16:14:40"/>
    <s v="2025-11-19 14:31:34"/>
    <n v="43271228"/>
    <s v="YAMILE ANDREA MUÑOZ BURITICA"/>
    <s v="SIN DATOS"/>
    <s v="3192415186"/>
    <s v="CR 14 CC CL 48 A -10 (INTERIOR 201 )"/>
    <x v="0"/>
    <s v="054124338100100201"/>
    <s v="Medellín"/>
    <x v="1"/>
    <s v="METROSUR Vin. Leg. Ref. Concentrada"/>
    <x v="0"/>
    <n v="7"/>
    <s v="2025-11-28 14:31:34"/>
    <s v="2 días 14:31"/>
    <s v="5 días 14:31"/>
    <x v="0"/>
    <s v="SIN DATO"/>
    <s v="SIN DATO"/>
    <s v="SIN DATO"/>
    <s v="ABIERTO"/>
    <n v="-75.542099359999995"/>
    <n v="6.2327710600000001"/>
    <s v="SUR-ENE"/>
    <s v="Metropolitana Sur"/>
  </r>
  <r>
    <s v="23384199"/>
    <s v="ENERES"/>
    <s v="NUEVO"/>
    <s v="ENERES"/>
    <s v="11/03/2025 11:48:58"/>
    <s v="2025-11-14 08:55:13"/>
    <n v="98582694"/>
    <s v="ROBERT DE JESUS CADENA ARENAS"/>
    <s v="SIN DATOS"/>
    <s v="3128769226"/>
    <s v="RURAL_122004210100000101"/>
    <x v="0"/>
    <s v="122004210100000101"/>
    <s v="Medellín"/>
    <x v="1"/>
    <s v="Revisor Instal. Regadas Metrosur"/>
    <x v="1"/>
    <n v="10"/>
    <s v="2025-12-01 08:55:13"/>
    <s v="4 días 08:55"/>
    <s v="6 días 08:55"/>
    <x v="0"/>
    <s v="SIN DATO"/>
    <s v="SIN DATO"/>
    <s v="SIN DATO"/>
    <s v="ABIERTO"/>
    <n v="-75.524905709999999"/>
    <n v="6.2313653599999999"/>
    <s v="SUR-ENE"/>
    <s v="Metropolitana Sur"/>
  </r>
  <r>
    <s v="23388141"/>
    <s v="ENERES"/>
    <s v="NUEVO"/>
    <s v="ENEDOM"/>
    <s v="16/03/2025 18:20:51"/>
    <s v="2025-11-16 21:03:51"/>
    <n v="71388550"/>
    <s v="JORGE ANDRES BETANCUR"/>
    <s v="4264055"/>
    <s v="3234925128"/>
    <s v="CR 92 CL 58 AA -6 (INTERIOR 2143 )"/>
    <x v="0"/>
    <s v="055922008110062143"/>
    <s v="Medellín"/>
    <x v="0"/>
    <s v="Habilitación Viviendas Metrosur"/>
    <x v="0"/>
    <n v="5"/>
    <s v="2025-11-24 21:03:51"/>
    <s v="4 días 21:03"/>
    <s v="1 días 21:03"/>
    <x v="2"/>
    <s v="SIN DATO"/>
    <s v="SIN DATO"/>
    <s v="SIN DATO"/>
    <s v="ABIERTO"/>
    <n v="-75.603645720000003"/>
    <n v="6.2741341999999998"/>
    <s v="SUR-ENE"/>
    <s v="Metropolitana Sur"/>
  </r>
  <r>
    <s v="23388142"/>
    <s v="ENERES"/>
    <s v="NUEVO"/>
    <s v="ENEDOM"/>
    <s v="16/03/2025 18:23:26"/>
    <s v="2025-11-16 21:01:20"/>
    <n v="71388550"/>
    <s v="JORGE ANDRES BETANCUR"/>
    <s v="4264055"/>
    <s v="3234925128"/>
    <s v="CR 92 CL 58 AA -6 (INTERIOR 2145 )"/>
    <x v="0"/>
    <s v="055922008110062145"/>
    <s v="Medellín"/>
    <x v="0"/>
    <s v="Habilitación Viviendas Metrosur"/>
    <x v="0"/>
    <n v="5"/>
    <s v="2025-11-24 21:01:20"/>
    <s v="4 días 21:01"/>
    <s v="1 días 21:01"/>
    <x v="2"/>
    <s v="SIN DATO"/>
    <s v="SIN DATO"/>
    <s v="SIN DATO"/>
    <s v="ABIERTO"/>
    <n v="-75.603645720000003"/>
    <n v="6.2741341999999998"/>
    <s v="SUR-ENE"/>
    <s v="Metropolitana Sur"/>
  </r>
  <r>
    <s v="23388143"/>
    <s v="ENERES"/>
    <s v="NUEVO"/>
    <s v="ENEDOM"/>
    <s v="16/03/2025 18:27:24"/>
    <s v="2025-11-16 21:00:03"/>
    <n v="71388550"/>
    <s v="JORGE ANDRES BETANCUR"/>
    <s v="4264055"/>
    <s v="3234925128"/>
    <s v="CL 58 CR 92 A -50 (INTERIOR 108 )"/>
    <x v="0"/>
    <s v="055918002100500108"/>
    <s v="Medellín"/>
    <x v="0"/>
    <s v="Habilitación Viviendas Metrosur"/>
    <x v="0"/>
    <n v="5"/>
    <s v="2025-11-24 21:00:03"/>
    <s v="4 días 21:00"/>
    <s v="1 días 21:00"/>
    <x v="2"/>
    <s v="SIN DATO"/>
    <s v="SIN DATO"/>
    <s v="SIN DATO"/>
    <s v="ABIERTO"/>
    <n v="-75.603516999999997"/>
    <n v="6.2738500000000004"/>
    <s v="SUR-ENE"/>
    <s v="Metropolitana Sur"/>
  </r>
  <r>
    <s v="23388144"/>
    <s v="ENERES"/>
    <s v="NUEVO"/>
    <s v="ENEDOM"/>
    <s v="16/03/2025 18:33:30"/>
    <s v="2025-11-16 20:59:04"/>
    <n v="71388550"/>
    <s v="JORGE ANDRES BETANCUR"/>
    <s v="4264055"/>
    <s v="3234925128"/>
    <s v="CL 58 CR 92 A -50 (INTERIOR 111 )"/>
    <x v="0"/>
    <s v="055918002100500111"/>
    <s v="Medellín"/>
    <x v="0"/>
    <s v="Habilitación Viviendas Metrosur"/>
    <x v="0"/>
    <n v="5"/>
    <s v="2025-11-24 20:59:04"/>
    <s v="4 días 20:59"/>
    <s v="1 días 20:59"/>
    <x v="2"/>
    <s v="SIN DATO"/>
    <s v="SIN DATO"/>
    <s v="SIN DATO"/>
    <s v="ABIERTO"/>
    <n v="-75.603516999999997"/>
    <n v="6.2738500000000004"/>
    <s v="SUR-ENE"/>
    <s v="Metropolitana Sur"/>
  </r>
  <r>
    <s v="23404475"/>
    <s v="ENERES"/>
    <s v="NUEVO"/>
    <s v="ENEDOM"/>
    <s v="02/04/2025 12:14:56"/>
    <s v="2025-11-20 11:51:50"/>
    <n v="32419380"/>
    <s v="ANA DELIA ISAZA ISAZA"/>
    <s v="4719300"/>
    <s v="3127599010"/>
    <s v="CL 54 B CR 1 ESTE -14"/>
    <x v="0"/>
    <s v="705014201000140000"/>
    <s v="Medellín"/>
    <x v="0"/>
    <s v="Habilitación Viviendas Metrosur"/>
    <x v="0"/>
    <n v="5"/>
    <s v="2025-11-27 11:51:50"/>
    <s v="0 días 11:51"/>
    <s v="4 días 11:51"/>
    <x v="0"/>
    <s v="SIN DATO"/>
    <s v="SIN DATO"/>
    <s v="SIN DATO"/>
    <s v="ABIERTO"/>
    <n v="-75.528789360000005"/>
    <n v="6.2353311500000004"/>
    <s v="SUR-ENE"/>
    <s v="Metropolitana Sur"/>
  </r>
  <r>
    <s v="23406909"/>
    <s v="ENERES"/>
    <s v="NUEVO"/>
    <s v="ENEDOM"/>
    <s v="22/10/2025 15:35:31"/>
    <s v="2025-11-18 10:23:52"/>
    <n v="98766041"/>
    <s v="EDUAR GENARO ZAPATA VALENCIA"/>
    <s v="SIN DATOS"/>
    <s v="3164970803"/>
    <s v="RURAL_122018570000000001"/>
    <x v="0"/>
    <s v="122018570000000001"/>
    <s v="Medellín"/>
    <x v="5"/>
    <s v="Habilitación Viviendas Metrosur"/>
    <x v="1"/>
    <n v="8"/>
    <s v="2025-11-28 10:23:52"/>
    <s v="3 días 10:23"/>
    <s v="5 días 10:23"/>
    <x v="0"/>
    <s v="SIN DATO"/>
    <s v="SIN DATO"/>
    <s v="SIN DATO"/>
    <s v="ABIERTO"/>
    <n v="-75.484250259999996"/>
    <n v="6.2364157999999996"/>
    <s v="SUR-ENE"/>
    <s v="Metropolitana Sur"/>
  </r>
  <r>
    <s v="23415807"/>
    <s v="ENERES"/>
    <s v="NUEVO"/>
    <s v="ENEDOM"/>
    <s v="15/04/2025 09:46:48"/>
    <s v="2025-11-04 17:01:57"/>
    <n v="43321359"/>
    <s v="BEATRIZ ELENA ALARCON ALVAREZ"/>
    <s v="SIN DATOS"/>
    <s v="3135002363"/>
    <s v="RURAL_159117949900000302_159117949900000302"/>
    <x v="4"/>
    <s v="159117949900000302"/>
    <s v="La Estrella"/>
    <x v="0"/>
    <s v="MET Rev-Inst-Concentra E_CR014"/>
    <x v="1"/>
    <n v="8"/>
    <s v="2025-11-14 17:01:57"/>
    <s v="12 días 17:01"/>
    <s v="VENCIDO"/>
    <x v="1"/>
    <s v="SIN DATO"/>
    <s v="SIN DATO"/>
    <s v="SIN DATO"/>
    <s v="ABIERTO"/>
    <n v="-75.631912270000001"/>
    <n v="6.1167776099999998"/>
    <s v="SUR-ENE"/>
    <s v="Metropolitana Sur"/>
  </r>
  <r>
    <s v="23415814"/>
    <s v="ENERES"/>
    <s v="NUEVO"/>
    <s v="ENEDOM"/>
    <s v="15/04/2025 09:57:23"/>
    <s v="2025-11-04 17:02:37"/>
    <n v="43321359"/>
    <s v="BEATRIZ ELENA ALARCON ALVAREZ"/>
    <s v="SIN DATOS"/>
    <s v="3135002363"/>
    <s v="RURAL_159117949900000303_159117949900000303"/>
    <x v="4"/>
    <s v="159117949900000303"/>
    <s v="La Estrella"/>
    <x v="0"/>
    <s v="MET Rev-Inst-Concentra E_CR014"/>
    <x v="1"/>
    <n v="8"/>
    <s v="2025-11-14 17:02:37"/>
    <s v="12 días 17:02"/>
    <s v="VENCIDO"/>
    <x v="1"/>
    <s v="SIN DATO"/>
    <s v="SIN DATO"/>
    <s v="SIN DATO"/>
    <s v="ABIERTO"/>
    <n v="-75.631912270000001"/>
    <n v="6.1167776099999998"/>
    <s v="SUR-ENE"/>
    <s v="Metropolitana Sur"/>
  </r>
  <r>
    <s v="23417245"/>
    <s v="ENERES"/>
    <s v="NUEVO"/>
    <s v="ENEDOM"/>
    <s v="21/04/2025 08:39:18"/>
    <s v="2025-10-27 14:21:52"/>
    <n v="71392465"/>
    <s v="JOSE LEONARDO SIERRA MARIN"/>
    <s v="SIN DATOS"/>
    <s v="3218350100"/>
    <s v="RURAL_159105840000000108_PROV.ALTO DE LOS SIERRAS"/>
    <x v="4"/>
    <s v="159105840000000108"/>
    <s v="La Estrella"/>
    <x v="0"/>
    <s v="MET Rev-Inst-Concentra E_CR014"/>
    <x v="1"/>
    <n v="8"/>
    <s v="2025-11-07 14:21:52"/>
    <s v="17 días 14:21"/>
    <s v="VENCIDO"/>
    <x v="1"/>
    <s v="SIN DATO"/>
    <s v="SIN DATO"/>
    <s v="SIN DATO"/>
    <s v="ABIERTO"/>
    <n v="-75.629416120000002"/>
    <n v="6.1161046900000002"/>
    <s v="SUR-ENE"/>
    <s v="Metropolitana Sur"/>
  </r>
  <r>
    <s v="23420270"/>
    <s v="ENERES"/>
    <s v="NUEVO"/>
    <s v="ENEDOM"/>
    <s v="23/04/2025 12:21:00"/>
    <s v="2025-11-07 12:35:24"/>
    <n v="1026133067"/>
    <s v="JOHANA ANDREA CORREA PEREZ"/>
    <s v="SIN DATOS"/>
    <s v="3137677943"/>
    <s v="CR 50 CL 146 SUR -398 (INTERIOR 301 )"/>
    <x v="3"/>
    <s v="004520006003980301"/>
    <s v="Caldas"/>
    <x v="0"/>
    <s v="MET Rev-Inst-Concentra E_CR014"/>
    <x v="0"/>
    <n v="5"/>
    <s v="2025-11-14 12:35:24"/>
    <s v="9 días 12:35"/>
    <s v="VENCIDO"/>
    <x v="1"/>
    <s v="SIN DATO"/>
    <s v="SIN DATO"/>
    <s v="SIN DATO"/>
    <s v="ABIERTO"/>
    <n v="-75.634807350000003"/>
    <n v="6.0763302000000001"/>
    <s v="SUR-ENE"/>
    <s v="Metropolitana Sur"/>
  </r>
  <r>
    <s v="23422327"/>
    <s v="ENERES"/>
    <s v="NUEVO"/>
    <s v="ENERES"/>
    <s v="25/04/2025 09:50:05"/>
    <s v="2025-11-12 09:54:11"/>
    <n v="1128461918"/>
    <s v="LUIS FERNANDO SALAZAR ESPINOSA"/>
    <s v="SIN DATOS"/>
    <s v="3135742816"/>
    <s v="RURAL_161025394000000206"/>
    <x v="3"/>
    <s v="161025394000000206"/>
    <s v="Caldas"/>
    <x v="1"/>
    <s v="MET Rev-Inst-Concentra E_CR014"/>
    <x v="1"/>
    <n v="10"/>
    <s v="2025-11-27 09:54:11"/>
    <s v="6 días 09:54"/>
    <s v="4 días 09:54"/>
    <x v="0"/>
    <s v="SIN DATO"/>
    <s v="SIN DATO"/>
    <s v="SIN DATO"/>
    <s v="ABIERTO"/>
    <n v="-75.635639749999996"/>
    <n v="6.0736636800000001"/>
    <s v="SUR-ENE"/>
    <s v="Metropolitana Sur"/>
  </r>
  <r>
    <s v="23422371"/>
    <s v="ENERES"/>
    <s v="NUEVO"/>
    <s v="ENERES"/>
    <s v="25/04/2025 10:12:11"/>
    <s v="2025-11-12 09:54:35"/>
    <n v="1128461918"/>
    <s v="LUIS FERNANDO SALAZAR ESPINOSA"/>
    <s v="SIN DATOS"/>
    <s v="3135742816"/>
    <s v="RURAL_161025394000000306"/>
    <x v="0"/>
    <s v="161025394000000306"/>
    <s v="Medellín"/>
    <x v="1"/>
    <s v="MET Rev-Inst-Concentra E_CR014"/>
    <x v="1"/>
    <n v="10"/>
    <s v="2025-11-27 09:54:35"/>
    <s v="6 días 09:54"/>
    <s v="4 días 09:54"/>
    <x v="0"/>
    <s v="SIN DATO"/>
    <s v="SIN DATO"/>
    <s v="SIN DATO"/>
    <s v="ABIERTO"/>
    <n v="-75.610884501000001"/>
    <n v="6.2574398200000596"/>
    <s v="SUR-ENE"/>
    <s v="Metropolitana Sur"/>
  </r>
  <r>
    <s v="23424424"/>
    <s v="ENERES"/>
    <s v="NUEVO"/>
    <s v="ENERES"/>
    <s v="28/04/2025 14:10:45"/>
    <s v="2025-11-12 09:55:02"/>
    <n v="1128461918"/>
    <s v="LUIS FERNANDO SALAZAR ESPINOSA"/>
    <s v="SIN DATOS"/>
    <s v="3135742816"/>
    <s v="RURAL_161025394000000016"/>
    <x v="3"/>
    <s v="161025394000000016"/>
    <s v="Caldas"/>
    <x v="1"/>
    <s v="MET Rev-Inst-Concentra E_CR014"/>
    <x v="1"/>
    <n v="10"/>
    <s v="2025-11-27 09:55:02"/>
    <s v="6 días 09:55"/>
    <s v="4 días 09:55"/>
    <x v="0"/>
    <s v="SIN DATO"/>
    <s v="SIN DATO"/>
    <s v="SIN DATO"/>
    <s v="ABIERTO"/>
    <n v="-75.635639749999996"/>
    <n v="6.0736636800000001"/>
    <s v="SUR-ENE"/>
    <s v="Metropolitana Sur"/>
  </r>
  <r>
    <s v="23442481"/>
    <s v="ENERES"/>
    <s v="NUEVO"/>
    <s v="ENEDOM"/>
    <s v="19/05/2025 16:37:59"/>
    <s v="2025-11-12 21:40:47"/>
    <n v="1152704372"/>
    <s v="DAMASO VILLARREAL YEPES"/>
    <s v="2305152"/>
    <s v="3188222362"/>
    <s v="RURAL_130023595050000003_PROV.130023595050000000"/>
    <x v="0"/>
    <s v="130023595050000003"/>
    <s v="Medellín"/>
    <x v="0"/>
    <s v="Habilitación Viviendas Metrosur"/>
    <x v="1"/>
    <n v="8"/>
    <s v="2025-11-25 21:40:47"/>
    <s v="6 días 21:40"/>
    <s v="2 días 21:40"/>
    <x v="2"/>
    <s v="SIN DATO"/>
    <s v="SIN DATO"/>
    <s v="SIN DATO"/>
    <s v="ABIERTO"/>
    <n v="-75.477000680000003"/>
    <n v="6.2314278099999996"/>
    <s v="SUR-ENE"/>
    <s v="Metropolitana Sur"/>
  </r>
  <r>
    <s v="23442848"/>
    <s v="ENERES"/>
    <s v="NUEVO"/>
    <s v="ENERES"/>
    <s v="20/05/2025 06:10:12"/>
    <s v="2025-11-18 10:46:33"/>
    <n v="1037618997"/>
    <s v="ISABEL TATIANA DUQUE CANO"/>
    <s v="3312122"/>
    <s v="3002049670"/>
    <s v="CL 46 E SUR CR 42 A -39 (INTERIOR 201 )"/>
    <x v="1"/>
    <s v="024416502100390201"/>
    <s v="Envigado"/>
    <x v="1"/>
    <s v="Revisor Instal. Regadas Metrosur"/>
    <x v="0"/>
    <n v="7"/>
    <s v="2025-11-27 10:46:33"/>
    <s v="3 días 10:46"/>
    <s v="4 días 10:46"/>
    <x v="0"/>
    <s v="SIN DATO"/>
    <s v="SIN DATO"/>
    <s v="SIN DATO"/>
    <s v="ABIERTO"/>
    <n v="-75.595409230000001"/>
    <n v="6.1602441900000002"/>
    <s v="SUR-ENE"/>
    <s v="Metropolitana Sur"/>
  </r>
  <r>
    <s v="23443065"/>
    <s v="ENERES"/>
    <s v="CAMBI"/>
    <s v="ENERES"/>
    <s v="20/05/2025 09:46:34"/>
    <s v="2025-11-07 10:20:07"/>
    <n v="32799355"/>
    <s v="MILENA PATRICIA BARRAZA SARMIENTO"/>
    <s v="SIN DATOS"/>
    <s v="3044852864"/>
    <s v="RURAL_125000160000000012_125000160000000012"/>
    <x v="1"/>
    <s v="125000160000000012"/>
    <s v="Envigado"/>
    <x v="4"/>
    <s v="METROSUR Vin. Leg. Ref. Concentrada"/>
    <x v="1"/>
    <n v="10"/>
    <s v="2025-11-24 10:20:07"/>
    <s v="9 días 10:20"/>
    <s v="1 días 10:20"/>
    <x v="2"/>
    <s v="SIN DATO"/>
    <s v="SIN DATO"/>
    <s v="SIN DATO"/>
    <s v="ABIERTO"/>
    <n v="-75.546239"/>
    <n v="6.1506759999999998"/>
    <s v="SUR-ENE"/>
    <s v="Metropolitana Sur"/>
  </r>
  <r>
    <s v="23443336"/>
    <s v="ENENOR"/>
    <s v="NUEVO"/>
    <s v="ENENOR"/>
    <s v="20/05/2025 12:59:23"/>
    <s v="2025-11-12 21:54:06"/>
    <n v="70811061"/>
    <s v="LEONARDO ANTONIO GALLEGO FRANCO"/>
    <s v="SIN DATOS"/>
    <s v="3106142344"/>
    <s v="CL 74 SUR CR 47 -53"/>
    <x v="5"/>
    <s v="017414007000530000"/>
    <s v="Sabaneta"/>
    <x v="2"/>
    <s v="Revisor Instal. Regadas Metrosur"/>
    <x v="0"/>
    <n v="7"/>
    <s v="2025-11-24 21:54:06"/>
    <s v="6 días 21:54"/>
    <s v="1 días 21:54"/>
    <x v="2"/>
    <s v="SIN DATO"/>
    <s v="SIN DATO"/>
    <s v="SIN DATO"/>
    <s v="ABIERTO"/>
    <n v="-75.621694899999994"/>
    <n v="6.1527560699999997"/>
    <s v="SUR-ENE"/>
    <s v="Metropolitana Sur"/>
  </r>
  <r>
    <s v="23450785"/>
    <s v="ENERES"/>
    <s v="NUEVO"/>
    <s v="ENERES"/>
    <s v="28/05/2025 17:14:55"/>
    <s v="2025-11-20 16:43:23"/>
    <n v="71295944"/>
    <s v="JUAN ESTEBAN CASTAÑEDA ORTIZ"/>
    <s v="3279773"/>
    <s v="3106116600"/>
    <s v="RURAL_159005200000000011_MELEGUINDO"/>
    <x v="4"/>
    <s v="159005200000000011"/>
    <s v="La Estrella"/>
    <x v="1"/>
    <s v="Revisor Inst. Particulares Metrosur"/>
    <x v="1"/>
    <n v="10"/>
    <s v="2025-12-04 16:43:23"/>
    <s v="0 días 16:43"/>
    <s v="9 días 16:43"/>
    <x v="0"/>
    <s v="SIN DATO"/>
    <s v="SIN DATO"/>
    <s v="SIN DATO"/>
    <s v="ABIERTO"/>
    <n v="-75.65706978"/>
    <n v="6.1663872900000003"/>
    <s v="SUR-ENE"/>
    <s v="Metropolitana Sur"/>
  </r>
  <r>
    <s v="23454026"/>
    <s v="ENERES"/>
    <s v="NUEVO"/>
    <s v="ENEDOM"/>
    <s v="03/06/2025 09:24:36"/>
    <s v="2025-11-19 21:41:02"/>
    <n v="43206264"/>
    <s v="MARIA GLADYS CARDONA CARDENAS"/>
    <s v="SIN DATOS"/>
    <s v="3215487612"/>
    <s v="CR 2 CL 54 -190"/>
    <x v="0"/>
    <s v="055022004001900000"/>
    <s v="Medellín"/>
    <x v="0"/>
    <s v="Habilitación Viviendas Metrosur"/>
    <x v="0"/>
    <n v="5"/>
    <s v="2025-11-26 21:41:02"/>
    <s v="2 días 21:41"/>
    <s v="3 días 21:41"/>
    <x v="0"/>
    <s v="SIN DATO"/>
    <s v="SIN DATO"/>
    <s v="SIN DATO"/>
    <s v="ABIERTO"/>
    <n v="-75.529749210000006"/>
    <n v="6.2340702400000003"/>
    <s v="SUR-ENE"/>
    <s v="Metropolitana Sur"/>
  </r>
  <r>
    <s v="23454633"/>
    <s v="ENERES"/>
    <s v="NUEVO"/>
    <s v="ENEDOM"/>
    <s v="03/06/2025 15:29:48"/>
    <s v="2025-11-19 21:41:22"/>
    <n v="32544367"/>
    <s v="ROSIO BUSTAMANTE MUÑOZ"/>
    <s v="4338418"/>
    <s v="3016118535"/>
    <s v="DIAG 42 CL 36 A -71 (INTERIOR 201 )"/>
    <x v="2"/>
    <s v="073472006100710201"/>
    <s v="Itaguí"/>
    <x v="0"/>
    <s v="Habilitación Viviendas Metrosur"/>
    <x v="0"/>
    <n v="5"/>
    <s v="2025-11-26 21:41:22"/>
    <s v="2 días 21:41"/>
    <s v="3 días 21:41"/>
    <x v="0"/>
    <s v="SIN DATO"/>
    <s v="SIN DATO"/>
    <s v="SIN DATO"/>
    <s v="ABIERTO"/>
    <n v="-75.616200390000003"/>
    <n v="6.1669234800000003"/>
    <s v="SUR-ENE"/>
    <s v="Metropolitana Sur"/>
  </r>
  <r>
    <s v="23460704"/>
    <s v="ENERES"/>
    <s v="NUEVO"/>
    <s v="ENERES"/>
    <s v="10/06/2025 08:08:30"/>
    <s v="2025-11-06 07:56:41"/>
    <n v="71379184"/>
    <s v="JOHN FREDY CASTAÑEDA PALACIO"/>
    <s v="3808080"/>
    <s v="3104629328"/>
    <s v="CR 82 TRAN 45 C -54 (INTERIOR 501 )"/>
    <x v="0"/>
    <s v="054822005300540501"/>
    <s v="Medellín"/>
    <x v="1"/>
    <s v="MET Rev-Inst-Concentra E_CR014"/>
    <x v="0"/>
    <n v="7"/>
    <s v="2025-11-18 07:56:41"/>
    <s v="10 días 07:56"/>
    <s v="VENCIDO"/>
    <x v="1"/>
    <s v="SIN DATO"/>
    <s v="SIN DATO"/>
    <s v="SIN DATO"/>
    <s v="ABIERTO"/>
    <n v="-75.601681060000004"/>
    <n v="6.2539904699999997"/>
    <s v="SUR-ENE"/>
    <s v="Metropolitana Sur"/>
  </r>
  <r>
    <s v="23466962"/>
    <s v="ENERES"/>
    <s v="NUEVO"/>
    <s v="ENERES"/>
    <s v="16/06/2025 15:56:18"/>
    <s v="2025-11-19 15:40:59"/>
    <n v="15255626"/>
    <s v="VELEZ QUIROS ANDRES ALBERTO"/>
    <s v="2785364"/>
    <s v="3128346250"/>
    <s v="CL 112 SUR CR 54 -24 (INTERIOR 103 )"/>
    <x v="3"/>
    <s v="001512004000240103"/>
    <s v="Caldas"/>
    <x v="1"/>
    <s v="Revisor Instal. Regadas Metrosur"/>
    <x v="0"/>
    <n v="7"/>
    <s v="2025-11-28 15:40:59"/>
    <s v="2 días 15:40"/>
    <s v="5 días 15:40"/>
    <x v="0"/>
    <s v="SIN DATO"/>
    <s v="SIN DATO"/>
    <s v="SIN DATO"/>
    <s v="ABIERTO"/>
    <n v="-75.640293839999998"/>
    <n v="6.1074971800000002"/>
    <s v="SUR-ENE"/>
    <s v="Metropolitana Sur"/>
  </r>
  <r>
    <s v="23467906"/>
    <s v="ENERES"/>
    <s v="NUEVO"/>
    <s v="ENERES"/>
    <s v="17/06/2025 15:36:56"/>
    <s v="2025-11-20 12:17:00"/>
    <n v="8355368"/>
    <s v="JUAN ESTEBAN VELEZ EVANS"/>
    <s v="2683620"/>
    <s v="3176655401"/>
    <s v="CL 7 D CR 43 C -95 (INTERIOR 101 )"/>
    <x v="0"/>
    <s v="050417403300950101"/>
    <s v="Medellín"/>
    <x v="1"/>
    <s v="Revisor Instal. Regadas Metrosur"/>
    <x v="0"/>
    <n v="7"/>
    <s v="2025-12-01 12:17:00"/>
    <s v="0 días 12:17"/>
    <s v="6 días 12:17"/>
    <x v="0"/>
    <s v="SIN DATO"/>
    <s v="SIN DATO"/>
    <s v="SIN DATO"/>
    <s v="ABIERTO"/>
    <n v="-75.573042000000001"/>
    <n v="6.2089119999999998"/>
    <s v="SUR-ENE"/>
    <s v="Metropolitana Sur"/>
  </r>
  <r>
    <s v="23472097"/>
    <s v="ENERES"/>
    <s v="NUEVO"/>
    <s v="ENERES"/>
    <s v="24/06/2025 08:50:42"/>
    <s v="2025-11-12 09:55:32"/>
    <n v="1026147160"/>
    <s v="ANDRES FELIPE MONTOYA ARANGO"/>
    <s v="SIN DATOS"/>
    <s v="3213439465"/>
    <s v="161083998000000000"/>
    <x v="3"/>
    <s v="161083105000000001"/>
    <s v="Caldas"/>
    <x v="1"/>
    <s v="MET Rev-Inst-Concentra E_CR014"/>
    <x v="1"/>
    <n v="10"/>
    <s v="2025-11-27 09:55:32"/>
    <s v="6 días 09:55"/>
    <s v="4 días 09:55"/>
    <x v="0"/>
    <s v="SIN DATO"/>
    <s v="SIN DATO"/>
    <s v="SIN DATO"/>
    <s v="ABIERTO"/>
    <n v="-75.626904001"/>
    <n v="6.0546154810000399"/>
    <s v="SUR-ENE"/>
    <s v="Metropolitana Sur"/>
  </r>
  <r>
    <s v="23479807"/>
    <s v="ENENOR"/>
    <s v="NUEVO"/>
    <s v="ENENOR"/>
    <s v="04/07/2025 09:56:12"/>
    <s v="2025-11-13 16:03:35"/>
    <n v="98706438"/>
    <s v="IVER ALEX GIL"/>
    <s v="SIN DATOS"/>
    <s v="3147724845"/>
    <s v="CR 10 CL 19 SUR -196 (INTERIOR 122 )"/>
    <x v="1"/>
    <s v="021120009001960122"/>
    <s v="Envigado"/>
    <x v="2"/>
    <s v="Revisor Instal. Regadas Metrosur"/>
    <x v="0"/>
    <n v="7"/>
    <s v="2025-11-25 16:03:35"/>
    <s v="5 días 16:03"/>
    <s v="2 días 16:03"/>
    <x v="2"/>
    <s v="SIN DATO"/>
    <s v="SIN DATO"/>
    <s v="SIN DATO"/>
    <s v="ABIERTO"/>
    <n v="-75.561433219999998"/>
    <n v="6.1762823100000004"/>
    <s v="SUR-ENE"/>
    <s v="Metropolitana Sur"/>
  </r>
  <r>
    <s v="23480587"/>
    <s v="ENERES"/>
    <s v="NUEVO"/>
    <s v="ENEDOM"/>
    <s v="04/07/2025 17:12:02"/>
    <s v="2025-11-12 09:55:39"/>
    <n v="1041351052"/>
    <s v="VERONICA MARIA CORRALES CASTAÑEDA"/>
    <s v="SIN DATOS"/>
    <s v="3053511910"/>
    <s v="RURAL_161021950000000001"/>
    <x v="3"/>
    <s v="161021950000000001"/>
    <s v="Caldas"/>
    <x v="0"/>
    <s v="MET Rev-Inst-Concentra E_CR014"/>
    <x v="1"/>
    <n v="8"/>
    <s v="2025-11-25 09:55:39"/>
    <s v="6 días 09:55"/>
    <s v="2 días 09:55"/>
    <x v="2"/>
    <s v="SIN DATO"/>
    <s v="SIN DATO"/>
    <s v="SIN DATO"/>
    <s v="ABIERTO"/>
    <n v="-75.639686170000004"/>
    <n v="6.0816494499999996"/>
    <s v="SUR-ENE"/>
    <s v="Metropolitana Sur"/>
  </r>
  <r>
    <s v="23482425"/>
    <s v="ENERES"/>
    <s v="NUEVO"/>
    <s v="ENEDOM"/>
    <s v="08/07/2025 09:46:09"/>
    <s v="2025-11-12 21:49:24"/>
    <n v="43976318"/>
    <s v="LUZ MERY TAMAYO TOBON"/>
    <s v="2786901"/>
    <s v="3153840193"/>
    <s v="CR 53 CL 113 B SUR -80"/>
    <x v="3"/>
    <s v="001523003200800000"/>
    <s v="Caldas"/>
    <x v="0"/>
    <s v="MET Rev-Inst-Concentra E_CR014"/>
    <x v="0"/>
    <n v="5"/>
    <s v="2025-11-20 21:49:24"/>
    <s v="6 días 21:49"/>
    <s v="VENCIDO"/>
    <x v="1"/>
    <s v="SIN DATO"/>
    <s v="SIN DATO"/>
    <s v="SIN DATO"/>
    <s v="ABIERTO"/>
    <n v="-75.638831859999996"/>
    <n v="6.1047384899999999"/>
    <s v="SUR-ENE"/>
    <s v="Metropolitana Sur"/>
  </r>
  <r>
    <s v="23482895"/>
    <s v="ENERES"/>
    <s v="NUEVO"/>
    <s v="ENEDOM"/>
    <s v="08/07/2025 15:29:49"/>
    <s v="2025-11-12 09:55:42"/>
    <n v="1037666442"/>
    <s v="JUAN CAMILO PULGARIN CARDONA"/>
    <s v="SIN DATOS"/>
    <s v="3234371572"/>
    <s v="RURAL_161129490000000001_PROV.161129490000000000"/>
    <x v="3"/>
    <s v="161129490000000001"/>
    <s v="Caldas"/>
    <x v="0"/>
    <s v="MET Rev-Inst-Concentra E_CR014"/>
    <x v="1"/>
    <n v="8"/>
    <s v="2025-11-25 09:55:42"/>
    <s v="6 días 09:55"/>
    <s v="2 días 09:55"/>
    <x v="2"/>
    <s v="SIN DATO"/>
    <s v="SIN DATO"/>
    <s v="SIN DATO"/>
    <s v="ABIERTO"/>
    <n v="-75.613804130000005"/>
    <n v="6.0969629300000001"/>
    <s v="SUR-ENE"/>
    <s v="Metropolitana Sur"/>
  </r>
  <r>
    <s v="23483592"/>
    <s v="ENERES"/>
    <s v="CAMBI"/>
    <s v="ENERES"/>
    <s v="09/07/2025 10:56:54"/>
    <s v="2025-11-19 09:22:00"/>
    <n v="71790117"/>
    <s v="JUAN DAVID CUARTAS FRANCO"/>
    <s v="3667245"/>
    <s v="3052529654"/>
    <s v="RURAL_125002630000000106_PARC BALMORAL (CASA 106)"/>
    <x v="1"/>
    <s v="125002630000000106"/>
    <s v="Envigado"/>
    <x v="4"/>
    <s v="METROSUR Vin. Leg. Ref. Concentrada"/>
    <x v="1"/>
    <n v="10"/>
    <s v="2025-12-03 09:22:00"/>
    <s v="2 días 09:22"/>
    <s v="8 días 09:22"/>
    <x v="0"/>
    <s v="SIN DATO"/>
    <s v="SIN DATO"/>
    <s v="SIN DATO"/>
    <s v="ABIERTO"/>
    <n v="-75.532007160000006"/>
    <n v="6.1637369"/>
    <s v="SUR-ENE"/>
    <s v="Metropolitana Sur"/>
  </r>
  <r>
    <s v="23483802"/>
    <s v="ENENOR"/>
    <s v="NUEVO"/>
    <s v="ENENOR"/>
    <s v="09/07/2025 13:47:35"/>
    <s v="2025-11-15 21:39:36"/>
    <n v="73167107"/>
    <s v="JOHN ANDERSON SOTO GOMEZ"/>
    <s v="3223543"/>
    <s v="3232287141"/>
    <s v="CL 52 A CR 56 -40 (INTERIOR 400 )"/>
    <x v="0"/>
    <s v="055512106000400400"/>
    <s v="Medellín"/>
    <x v="2"/>
    <s v="Revisor Instal. Regadas Metrosur"/>
    <x v="0"/>
    <n v="7"/>
    <s v="2025-11-26 21:39:36"/>
    <s v="4 días 21:39"/>
    <s v="3 días 21:39"/>
    <x v="0"/>
    <s v="SIN DATO"/>
    <s v="SIN DATO"/>
    <s v="SIN DATO"/>
    <s v="ABIERTO"/>
    <n v="-75.572590009999999"/>
    <n v="6.2540113699999997"/>
    <s v="SUR-ENE"/>
    <s v="Metropolitana Sur"/>
  </r>
  <r>
    <s v="23485436"/>
    <s v="ENERES"/>
    <s v="NUEVO"/>
    <s v="ENERES"/>
    <s v="11/07/2025 08:10:25"/>
    <s v="2025-11-19 12:08:16"/>
    <n v="43154304"/>
    <s v="OLGA LUCIA MAZO CHAVARRIA"/>
    <s v="5913330"/>
    <s v="3148096726"/>
    <s v="CR 91 B CL 35 A -22 (INTERIOR 301 )"/>
    <x v="0"/>
    <s v="053921205100220301"/>
    <s v="Medellín"/>
    <x v="1"/>
    <s v="MET Rev-Inst-Concentra E_CR014"/>
    <x v="0"/>
    <n v="7"/>
    <s v="2025-11-28 12:08:16"/>
    <s v="2 días 12:08"/>
    <s v="5 días 12:08"/>
    <x v="0"/>
    <s v="SIN DATO"/>
    <s v="SIN DATO"/>
    <s v="SIN DATO"/>
    <s v="ABIERTO"/>
    <n v="-75.614635190000001"/>
    <n v="6.2473113800000002"/>
    <s v="SUR-ENE"/>
    <s v="Metropolitana Sur"/>
  </r>
  <r>
    <s v="23485506"/>
    <s v="ENERES"/>
    <s v="NUEVO"/>
    <s v="ENEDOM"/>
    <s v="11/07/2025 08:56:24"/>
    <s v="2025-11-19 09:33:23"/>
    <n v="82383867"/>
    <s v="ERMEN WILLIAM MOSQUERA MOSQUERA"/>
    <s v="SIN DATOS"/>
    <s v="3053156565"/>
    <s v="CR 120 CL 39 FC -29 (INTERIOR 110 )"/>
    <x v="0"/>
    <s v="083220009630290110"/>
    <s v="Medellín"/>
    <x v="0"/>
    <s v="Habilitación Viviendas Metrosur"/>
    <x v="0"/>
    <n v="5"/>
    <s v="2025-11-26 09:33:23"/>
    <s v="2 días 09:33"/>
    <s v="3 días 09:33"/>
    <x v="0"/>
    <s v="SIN DATO"/>
    <s v="SIN DATO"/>
    <s v="SIN DATO"/>
    <s v="ABIERTO"/>
    <n v="-75.629580000000004"/>
    <n v="6.2543179999999996"/>
    <s v="SUR-ENE"/>
    <s v="Metropolitana Sur"/>
  </r>
  <r>
    <s v="23489239"/>
    <s v="ENERES"/>
    <s v="NUEVO"/>
    <s v="ENEDOM"/>
    <s v="30/10/2025 14:54:55"/>
    <s v="2025-11-19 10:38:22"/>
    <n v="32355673"/>
    <s v="ANA MARYELY ALVAREZ URREGO"/>
    <s v="SIN DATOS"/>
    <s v="3245872114"/>
    <s v="RURAL_146014901100000101"/>
    <x v="0"/>
    <s v="146014901100000101"/>
    <s v="Medellín"/>
    <x v="5"/>
    <s v="Habilitación Viviendas Metrosur"/>
    <x v="1"/>
    <n v="8"/>
    <s v="2025-12-01 10:38:22"/>
    <s v="2 días 10:38"/>
    <s v="6 días 10:38"/>
    <x v="0"/>
    <s v="SIN DATO"/>
    <s v="SIN DATO"/>
    <s v="SIN DATO"/>
    <s v="ABIERTO"/>
    <n v="-75.708866599999993"/>
    <n v="6.3239767100000002"/>
    <s v="SUR-ENE"/>
    <s v="Metropolitana Sur"/>
  </r>
  <r>
    <s v="23491822"/>
    <s v="ENENOR"/>
    <s v="NUEVO"/>
    <s v="ENENOR"/>
    <s v="18/07/2025 14:08:29"/>
    <s v="2025-11-18 11:49:14"/>
    <n v="98671625"/>
    <s v="ORLANDO ANDRES GALLO RIAÑO"/>
    <s v="SIN DATOS"/>
    <s v="3218758891"/>
    <s v="CL 36 A SUR CR 47 -32"/>
    <x v="1"/>
    <s v="023416107000320000"/>
    <s v="Envigado"/>
    <x v="2"/>
    <s v="Revisor Instal. Regadas Metrosur"/>
    <x v="0"/>
    <n v="7"/>
    <s v="2025-11-27 11:49:14"/>
    <s v="3 días 11:49"/>
    <s v="4 días 11:49"/>
    <x v="0"/>
    <s v="SIN DATO"/>
    <s v="SIN DATO"/>
    <s v="SIN DATO"/>
    <s v="ABIERTO"/>
    <n v="-75.591401680000004"/>
    <n v="6.1737714800000001"/>
    <s v="SUR-ENE"/>
    <s v="Metropolitana Sur"/>
  </r>
  <r>
    <s v="23491849"/>
    <s v="ENERES"/>
    <s v="NUEVO"/>
    <s v="ENEDOM"/>
    <s v="18/07/2025 14:30:39"/>
    <s v="2025-11-14 21:42:17"/>
    <n v="10248763"/>
    <s v="NELSON DE JESUS MORENO DAVID"/>
    <s v="SIN DATOS"/>
    <s v="3122699305"/>
    <s v="CR 87 CL 58 CC -35 (INTERIOR 200 )"/>
    <x v="0"/>
    <s v="055827008330350200"/>
    <s v="Medellín"/>
    <x v="0"/>
    <s v="Habilitación Viviendas Metrosur"/>
    <x v="0"/>
    <n v="5"/>
    <s v="2025-11-24 21:42:17"/>
    <s v="4 días 21:42"/>
    <s v="1 días 21:42"/>
    <x v="2"/>
    <s v="SIN DATO"/>
    <s v="SIN DATO"/>
    <s v="SIN DATO"/>
    <s v="ABIERTO"/>
    <n v="-75.600030000000004"/>
    <n v="6.2743799999999998"/>
    <s v="SUR-ENE"/>
    <s v="Metropolitana Sur"/>
  </r>
  <r>
    <s v="23491854"/>
    <s v="ENENOR"/>
    <s v="NUEVO"/>
    <s v="ENENOR"/>
    <s v="18/07/2025 14:33:31"/>
    <s v="2025-11-13 14:08:51"/>
    <n v="71682456"/>
    <s v="CARLOS ALBERTO ASPRILLA"/>
    <s v="SIN DATOS"/>
    <s v="3005250755"/>
    <s v="CR 42 CL 50 -95"/>
    <x v="0"/>
    <s v="055422000000950000"/>
    <s v="Medellín"/>
    <x v="2"/>
    <s v="Revisor Instal. Regadas Metrosur"/>
    <x v="0"/>
    <n v="7"/>
    <s v="2025-11-25 14:08:51"/>
    <s v="5 días 14:08"/>
    <s v="2 días 14:08"/>
    <x v="2"/>
    <s v="SIN DATO"/>
    <s v="SIN DATO"/>
    <s v="SIN DATO"/>
    <s v="ABIERTO"/>
    <n v="-75.561802990000004"/>
    <n v="6.2475714699999996"/>
    <s v="SUR-ENE"/>
    <s v="Metropolitana Sur"/>
  </r>
  <r>
    <s v="23491968"/>
    <s v="ENERES"/>
    <s v="NUEVO"/>
    <s v="ENERES"/>
    <s v="18/07/2025 16:12:25"/>
    <s v="2025-11-12 21:41:45"/>
    <n v="43818997"/>
    <s v="GLORIA PATRICIA VASQUEZ MONTOYA"/>
    <s v="SIN DATOS"/>
    <s v="3176861950"/>
    <s v="CL 46 CR 29 -88 (INTERIOR 502 )"/>
    <x v="0"/>
    <s v="054216009000880502"/>
    <s v="Medellín"/>
    <x v="1"/>
    <s v="MET Rev-Inst-Concentra E_CR014"/>
    <x v="0"/>
    <n v="7"/>
    <s v="2025-11-24 21:41:45"/>
    <s v="6 días 21:41"/>
    <s v="1 días 21:41"/>
    <x v="2"/>
    <s v="SIN DATO"/>
    <s v="SIN DATO"/>
    <s v="SIN DATO"/>
    <s v="ABIERTO"/>
    <n v="-75.553940999999995"/>
    <n v="6.238378"/>
    <s v="SUR-ENE"/>
    <s v="Metropolitana Sur"/>
  </r>
  <r>
    <s v="23494214"/>
    <s v="ENERES"/>
    <s v="NUEVO"/>
    <s v="ENERES"/>
    <s v="22/07/2025 14:09:03"/>
    <s v="2025-11-14 09:49:23"/>
    <n v="1125787193"/>
    <s v="JULIO CESAR VASQUEZ MORALES"/>
    <s v="SIN DATOS"/>
    <s v="3164211944"/>
    <s v="CL 2 SUR CR 17 -60 (INTERIOR 9903 )"/>
    <x v="0"/>
    <s v="040112007000609903"/>
    <s v="Medellín"/>
    <x v="1"/>
    <s v="METROSUR Vin. Leg. Ref. Concentrada"/>
    <x v="0"/>
    <n v="7"/>
    <s v="2025-11-26 09:49:23"/>
    <s v="4 días 09:49"/>
    <s v="3 días 09:49"/>
    <x v="0"/>
    <s v="SIN DATO"/>
    <s v="SIN DATO"/>
    <s v="SIN DATO"/>
    <s v="ABIERTO"/>
    <n v="-75.551805619999996"/>
    <n v="6.1934242700000004"/>
    <s v="SUR-ENE"/>
    <s v="Metropolitana Sur"/>
  </r>
  <r>
    <s v="23494246"/>
    <s v="ENERES"/>
    <s v="NUEVO"/>
    <s v="ENERES"/>
    <s v="22/07/2025 14:25:03"/>
    <s v="2025-11-12 14:20:27"/>
    <n v="566385527"/>
    <s v="JOHN RINGLER"/>
    <s v="SIN DATOS"/>
    <s v="3005422425"/>
    <s v="CL 2 SUR CR 17 -214 (INTERIOR 402 )"/>
    <x v="0"/>
    <s v="040112007002140402"/>
    <s v="Medellín"/>
    <x v="1"/>
    <s v="METROSUR Vin. Leg. Ref. Concentrada"/>
    <x v="0"/>
    <n v="7"/>
    <s v="2025-11-24 14:20:27"/>
    <s v="6 días 14:20"/>
    <s v="1 días 14:20"/>
    <x v="2"/>
    <s v="SIN DATO"/>
    <s v="SIN DATO"/>
    <s v="SIN DATO"/>
    <s v="ABIERTO"/>
    <n v="-75.553837830000006"/>
    <n v="6.1940448300000002"/>
    <s v="SUR-ENE"/>
    <s v="Metropolitana Sur"/>
  </r>
  <r>
    <s v="23495581"/>
    <s v="ENENOR"/>
    <s v="NUEVO"/>
    <s v="ENENOR"/>
    <s v="23/07/2025 16:34:29"/>
    <s v="2025-11-18 09:54:18"/>
    <n v="43985561"/>
    <s v="MARIA JOHANNA CALDERON PALACIO"/>
    <s v="5586487"/>
    <s v="3004198565"/>
    <s v="CR 88 CL 41 -40 (INTERIOR 101 )"/>
    <x v="0"/>
    <s v="054828001000400101"/>
    <s v="Medellín"/>
    <x v="2"/>
    <s v="MET Rev-Inst-Concentra E_CR014"/>
    <x v="0"/>
    <n v="7"/>
    <s v="2025-11-27 09:54:18"/>
    <s v="3 días 09:54"/>
    <s v="4 días 09:54"/>
    <x v="0"/>
    <s v="SIN DATO"/>
    <s v="SIN DATO"/>
    <s v="SIN DATO"/>
    <s v="ABIERTO"/>
    <n v="-75.607306429999994"/>
    <n v="6.2495971199999998"/>
    <s v="SUR-ENE"/>
    <s v="Metropolitana Sur"/>
  </r>
  <r>
    <s v="23499068"/>
    <s v="ENERES"/>
    <s v="NUEVO"/>
    <s v="ENEDOM"/>
    <s v="28/07/2025 16:12:35"/>
    <s v="2025-11-14 17:25:23"/>
    <n v="1128389071"/>
    <s v="ZULMA EMILIANA VELEZ PALACIO"/>
    <s v="SIN DATOS"/>
    <s v="3106114275"/>
    <s v="RURAL_147048452000000111"/>
    <x v="0"/>
    <s v="147048452000000111"/>
    <s v="Medellín"/>
    <x v="0"/>
    <s v="Habilitación Viviendas Metrosur"/>
    <x v="1"/>
    <n v="8"/>
    <s v="2025-11-27 17:25:23"/>
    <s v="4 días 17:25"/>
    <s v="4 días 17:25"/>
    <x v="0"/>
    <s v="SIN DATO"/>
    <s v="SIN DATO"/>
    <s v="SIN DATO"/>
    <s v="ABIERTO"/>
    <n v="-75.646771999999999"/>
    <n v="6.2871425800000003"/>
    <s v="SUR-ENE"/>
    <s v="Metropolitana Sur"/>
  </r>
  <r>
    <s v="23499674"/>
    <s v="ENERES"/>
    <s v="NUEVO"/>
    <s v="ENERES"/>
    <s v="29/07/2025 11:23:28"/>
    <s v="2025-11-14 21:38:32"/>
    <n v="43090922"/>
    <s v="MARIA ANGELA MARTINEZ VALENCIA"/>
    <s v="3865578"/>
    <s v="3234637678"/>
    <s v="RURAL_167115920000000101"/>
    <x v="5"/>
    <s v="167115920000000101"/>
    <s v="Sabaneta"/>
    <x v="1"/>
    <s v="METROSUR Vin. Leg. Ref. Concentrada"/>
    <x v="1"/>
    <n v="10"/>
    <s v="2025-12-01 21:38:32"/>
    <s v="4 días 21:38"/>
    <s v="6 días 21:38"/>
    <x v="0"/>
    <s v="SIN DATO"/>
    <s v="SIN DATO"/>
    <s v="SIN DATO"/>
    <s v="ABIERTO"/>
    <n v="-75.598749170000005"/>
    <n v="6.1483877199999997"/>
    <s v="SUR-ENE"/>
    <s v="Metropolitana Sur"/>
  </r>
  <r>
    <s v="23499711"/>
    <s v="ENERES"/>
    <s v="NUEVO"/>
    <s v="ENERES"/>
    <s v="29/07/2025 11:38:11"/>
    <s v="2025-11-14 21:53:05"/>
    <n v="43090922"/>
    <s v="MARIA ANGELA MARTINEZ VALENCIA"/>
    <s v="3865578"/>
    <s v="3206059525"/>
    <s v="RURAL_167115920000000102"/>
    <x v="5"/>
    <s v="167115920000000102"/>
    <s v="Sabaneta"/>
    <x v="1"/>
    <s v="METROSUR Vin. Leg. Ref. Concentrada"/>
    <x v="1"/>
    <n v="10"/>
    <s v="2025-12-01 21:53:05"/>
    <s v="4 días 21:53"/>
    <s v="6 días 21:53"/>
    <x v="0"/>
    <s v="SIN DATO"/>
    <s v="SIN DATO"/>
    <s v="SIN DATO"/>
    <s v="ABIERTO"/>
    <n v="-75.598749170000005"/>
    <n v="6.1483877199999997"/>
    <s v="SUR-ENE"/>
    <s v="Metropolitana Sur"/>
  </r>
  <r>
    <s v="23499958"/>
    <s v="ENEMRT"/>
    <s v="NUEVO"/>
    <s v="ENEMVI"/>
    <s v="29/07/2025 14:48:29"/>
    <s v="2025-08-25 09:04:23"/>
    <n v="71590457"/>
    <s v="CARLOS ALBERTO JARAMILLO MESA"/>
    <s v="SIN DATOS"/>
    <s v="3113651861"/>
    <s v="RURAL_147014002000000000_147014002000000000"/>
    <x v="0"/>
    <s v="147014002000000000"/>
    <s v="Medellín"/>
    <x v="6"/>
    <s v="MET-RMRT-Francisco J Dominguez"/>
    <x v="1"/>
    <n v="14"/>
    <s v="2025-09-12 09:04:23"/>
    <s v="61 días 09:04"/>
    <s v="VENCIDO"/>
    <x v="1"/>
    <s v="SIN DATO"/>
    <s v="SIN DATO"/>
    <s v="SIN DATO"/>
    <s v="ABIERTO"/>
    <n v="-75.646240000000006"/>
    <n v="6.2754110000000001"/>
    <s v="SUR-ENE"/>
    <s v="Metropolitana Sur"/>
  </r>
  <r>
    <s v="23501630"/>
    <s v="ENERES"/>
    <s v="NUEVO"/>
    <s v="ENERES"/>
    <s v="30/07/2025 16:17:59"/>
    <s v="2025-11-11 08:54:01"/>
    <n v="43976242"/>
    <s v="YEIDY ELENA GALLEGO GOMEZ"/>
    <s v="SIN DATOS"/>
    <s v="3014235639"/>
    <s v="CR 121 CL 57 -42 (INTERIOR 108 )"/>
    <x v="0"/>
    <s v="085221007000420108"/>
    <s v="Medellín"/>
    <x v="1"/>
    <s v="Revisor Instal. Regadas Metrosur"/>
    <x v="0"/>
    <n v="7"/>
    <s v="2025-11-21 08:54:01"/>
    <s v="7 días 08:54"/>
    <s v="VENCIDO"/>
    <x v="1"/>
    <s v="SIN DATO"/>
    <s v="SIN DATO"/>
    <s v="SIN DATO"/>
    <s v="ABIERTO"/>
    <n v="-75.627528999999996"/>
    <n v="6.274502"/>
    <s v="SUR-ENE"/>
    <s v="Metropolitana Sur"/>
  </r>
  <r>
    <s v="23503045"/>
    <s v="ENERES"/>
    <s v="NUEVO"/>
    <s v="ENERES"/>
    <s v="01/08/2025 08:51:18"/>
    <s v="2025-11-15 21:38:44"/>
    <n v="8434330"/>
    <s v="GIULIANY MEJIA RAMIREZ"/>
    <s v="4961696"/>
    <s v="3107012237"/>
    <s v="CR 64 A CL 33 -17 (INTERIOR 402 )"/>
    <x v="2"/>
    <s v="073624103000170402"/>
    <s v="Itaguí"/>
    <x v="1"/>
    <s v="MET Rev-Inst-Concentra E_CR014"/>
    <x v="0"/>
    <n v="7"/>
    <s v="2025-11-26 21:38:44"/>
    <s v="4 días 21:38"/>
    <s v="3 días 21:38"/>
    <x v="0"/>
    <s v="SIN DATO"/>
    <s v="SIN DATO"/>
    <s v="SIN DATO"/>
    <s v="ABIERTO"/>
    <n v="-75.635305529999997"/>
    <n v="6.1712143700000004"/>
    <s v="SUR-ENE"/>
    <s v="Metropolitana Sur"/>
  </r>
  <r>
    <s v="23506435"/>
    <s v="ENERES"/>
    <s v="NUEVO"/>
    <s v="ENERES"/>
    <s v="05/08/2025 12:14:15"/>
    <s v="2025-11-19 21:06:30"/>
    <n v="70193022"/>
    <s v="LUIS FERNANDO LONDOÑO PEREZ"/>
    <s v="SIN DATOS"/>
    <s v="3176403115"/>
    <s v="CL 45 A CR 56 -113 (INTERIOR 301 )"/>
    <x v="2"/>
    <s v="074515106001130301"/>
    <s v="Itaguí"/>
    <x v="1"/>
    <s v="Revisor Instal. Regadas Metrosur"/>
    <x v="0"/>
    <n v="7"/>
    <s v="2025-11-28 21:06:30"/>
    <s v="2 días 21:06"/>
    <s v="5 días 21:06"/>
    <x v="0"/>
    <s v="SIN DATO"/>
    <s v="SIN DATO"/>
    <s v="SIN DATO"/>
    <s v="ABIERTO"/>
    <n v="-75.615727000000007"/>
    <n v="6.1756349999999998"/>
    <s v="SUR-ENE"/>
    <s v="Metropolitana Sur"/>
  </r>
  <r>
    <s v="23506543"/>
    <s v="ENERES"/>
    <s v="NUEVO"/>
    <s v="ENERES"/>
    <s v="05/08/2025 13:51:54"/>
    <s v="2025-11-19 16:04:26"/>
    <n v="42996563"/>
    <s v="ALBA CECILIA VARGAS FLOREZ"/>
    <s v="3229898"/>
    <s v="3012800705"/>
    <s v="CL 1 C CR 66 -76 (INTERIOR 101 )"/>
    <x v="0"/>
    <s v="050611306000760101"/>
    <s v="Medellín"/>
    <x v="1"/>
    <s v="MET Rev-Inst-Concentra E_CR014"/>
    <x v="0"/>
    <n v="7"/>
    <s v="2025-11-28 16:04:26"/>
    <s v="2 días 16:04"/>
    <s v="5 días 16:04"/>
    <x v="0"/>
    <s v="SIN DATO"/>
    <s v="SIN DATO"/>
    <s v="SIN DATO"/>
    <s v="ABIERTO"/>
    <n v="-75.589658009999994"/>
    <n v="6.2109658699999999"/>
    <s v="SUR-ENE"/>
    <s v="Metropolitana Sur"/>
  </r>
  <r>
    <s v="23506565"/>
    <s v="ENERES"/>
    <s v="NUEVO"/>
    <s v="ENERES"/>
    <s v="05/08/2025 14:05:44"/>
    <s v="2025-11-19 16:01:57"/>
    <n v="42996563"/>
    <s v="ALBA CECILIA VARGAS FLOREZ"/>
    <s v="3229898"/>
    <s v="3012800705"/>
    <s v="CL 1 C CR 66 -76 (INTERIOR 201 )"/>
    <x v="0"/>
    <s v="050611306000760201"/>
    <s v="Medellín"/>
    <x v="1"/>
    <s v="MET Rev-Inst-Concentra E_CR014"/>
    <x v="0"/>
    <n v="7"/>
    <s v="2025-11-28 16:01:57"/>
    <s v="2 días 16:01"/>
    <s v="5 días 16:01"/>
    <x v="0"/>
    <s v="SIN DATO"/>
    <s v="SIN DATO"/>
    <s v="SIN DATO"/>
    <s v="ABIERTO"/>
    <n v="-75.589658009999994"/>
    <n v="6.2109658699999999"/>
    <s v="SUR-ENE"/>
    <s v="Metropolitana Sur"/>
  </r>
  <r>
    <s v="23507376"/>
    <s v="ENENOR"/>
    <s v="CAMBI"/>
    <s v="ENENOR"/>
    <s v="06/08/2025 10:53:22"/>
    <s v="2025-11-18 07:01:15"/>
    <n v="8031469"/>
    <s v="WILSON FERNANDO ARANGO MARTINEZ"/>
    <s v="3278033"/>
    <s v="3103744773"/>
    <s v="CR 34 CL 7 -151"/>
    <x v="0"/>
    <s v="050324007001510000"/>
    <s v="Medellín"/>
    <x v="7"/>
    <s v="Revisor Inst. Particulares Metrosur"/>
    <x v="0"/>
    <n v="7"/>
    <s v="2025-11-27 07:01:15"/>
    <s v="3 días 07:01"/>
    <s v="4 días 07:01"/>
    <x v="0"/>
    <s v="SIN DATO"/>
    <s v="SIN DATO"/>
    <s v="SIN DATO"/>
    <s v="ABIERTO"/>
    <n v="-75.565188550000002"/>
    <n v="6.2073471299999996"/>
    <s v="SUR-ENE"/>
    <s v="Metropolitana Sur"/>
  </r>
  <r>
    <s v="23509918"/>
    <s v="ENERES"/>
    <s v="NUEVO"/>
    <s v="ENERES"/>
    <s v="11/08/2025 11:57:30"/>
    <s v="2025-11-19 21:43:23"/>
    <n v="22215642"/>
    <s v="MARIA SOLINA GONZALEZ SERNA"/>
    <s v="SIN DATOS"/>
    <s v="3215915287"/>
    <s v="CL 55 CR 6 F -71 (INTERIOR 100 )"/>
    <x v="0"/>
    <s v="055015006600710100"/>
    <s v="Medellín"/>
    <x v="1"/>
    <s v="METROSUR Vin. Leg. Ref. Concentrada"/>
    <x v="0"/>
    <n v="7"/>
    <s v="2025-11-28 21:43:23"/>
    <s v="2 días 21:43"/>
    <s v="5 días 21:43"/>
    <x v="0"/>
    <s v="SIN DATO"/>
    <s v="SIN DATO"/>
    <s v="SIN DATO"/>
    <s v="ABIERTO"/>
    <n v="-75.532651759999993"/>
    <n v="6.2342652599999999"/>
    <s v="SUR-ENE"/>
    <s v="Metropolitana Sur"/>
  </r>
  <r>
    <s v="23509935"/>
    <s v="ENERES"/>
    <s v="NUEVO"/>
    <s v="ENERES"/>
    <s v="11/08/2025 12:10:42"/>
    <s v="2025-11-19 21:43:14"/>
    <n v="22215642"/>
    <s v="MARIA SOLINA GONZALEZ SERNA"/>
    <s v="SIN DATOS"/>
    <s v="3215915287"/>
    <s v="CL 55 CR 6 F -71 (INTERIOR 101 )"/>
    <x v="0"/>
    <s v="055015006600710101"/>
    <s v="Medellín"/>
    <x v="1"/>
    <s v="METROSUR Vin. Leg. Ref. Concentrada"/>
    <x v="0"/>
    <n v="7"/>
    <s v="2025-11-28 21:43:14"/>
    <s v="2 días 21:43"/>
    <s v="5 días 21:43"/>
    <x v="0"/>
    <s v="SIN DATO"/>
    <s v="SIN DATO"/>
    <s v="SIN DATO"/>
    <s v="ABIERTO"/>
    <n v="-75.532651759999993"/>
    <n v="6.2342652599999999"/>
    <s v="SUR-ENE"/>
    <s v="Metropolitana Sur"/>
  </r>
  <r>
    <s v="23510720"/>
    <s v="ENERES"/>
    <s v="NUEVO"/>
    <s v="ENERES"/>
    <s v="12/08/2025 08:57:49"/>
    <s v="2025-11-15 11:44:02"/>
    <n v="3506852"/>
    <s v="JUAN MAURICIO TORRES CAÑAS"/>
    <s v="3319903"/>
    <s v="3168297638"/>
    <s v="CL 63 CR 61 -74 (INTERIOR 201 )"/>
    <x v="2"/>
    <s v="076613001000740201"/>
    <s v="Itaguí"/>
    <x v="1"/>
    <s v="METROSUR Vin. Leg. Ref. Concentrada"/>
    <x v="0"/>
    <n v="7"/>
    <s v="2025-11-26 11:44:02"/>
    <s v="4 días 11:44"/>
    <s v="3 días 11:44"/>
    <x v="0"/>
    <s v="SIN DATO"/>
    <s v="SIN DATO"/>
    <s v="SIN DATO"/>
    <s v="ABIERTO"/>
    <n v="-75.610371220000005"/>
    <n v="6.18199904"/>
    <s v="SUR-ENE"/>
    <s v="Metropolitana Sur"/>
  </r>
  <r>
    <s v="23510722"/>
    <s v="ENERES"/>
    <s v="NUEVO"/>
    <s v="ENERES"/>
    <s v="12/08/2025 08:58:38"/>
    <s v="2025-11-15 11:45:16"/>
    <n v="3506852"/>
    <s v="JUAN MAURICIO TORRES CAÑAS"/>
    <s v="3319903"/>
    <s v="3168297638"/>
    <s v="CL 63 CR 61 -74 (INTERIOR 301 )"/>
    <x v="2"/>
    <s v="076613001000740301"/>
    <s v="Itaguí"/>
    <x v="1"/>
    <s v="METROSUR Vin. Leg. Ref. Concentrada"/>
    <x v="0"/>
    <n v="7"/>
    <s v="2025-11-26 11:45:16"/>
    <s v="4 días 11:45"/>
    <s v="3 días 11:45"/>
    <x v="0"/>
    <s v="SIN DATO"/>
    <s v="SIN DATO"/>
    <s v="SIN DATO"/>
    <s v="ABIERTO"/>
    <n v="-75.610371220000005"/>
    <n v="6.18199904"/>
    <s v="SUR-ENE"/>
    <s v="Metropolitana Sur"/>
  </r>
  <r>
    <s v="23512182"/>
    <s v="ENERES"/>
    <s v="NUEVO"/>
    <s v="ENERES"/>
    <s v="13/08/2025 11:31:37"/>
    <s v="2025-11-05 16:54:17"/>
    <n v="43029293"/>
    <s v="SILVIA INES HIDALGO MANCO"/>
    <s v="SIN DATOS"/>
    <s v="3106149430"/>
    <s v="CR 90 CL 44 B -9 (INTERIOR 301 )"/>
    <x v="0"/>
    <s v="054920004200090301"/>
    <s v="Medellín"/>
    <x v="1"/>
    <s v="MET Rev-Inst-Concentra E_CR014"/>
    <x v="0"/>
    <n v="7"/>
    <s v="2025-11-14 16:54:17"/>
    <s v="11 días 16:54"/>
    <s v="VENCIDO"/>
    <x v="1"/>
    <s v="SIN DATO"/>
    <s v="SIN DATO"/>
    <s v="SIN DATO"/>
    <s v="ABIERTO"/>
    <n v="-75.606602629999998"/>
    <n v="6.2538589800000004"/>
    <s v="SUR-ENE"/>
    <s v="Metropolitana Sur"/>
  </r>
  <r>
    <s v="23512401"/>
    <s v="ENERES"/>
    <s v="NUEVO"/>
    <s v="ENERES"/>
    <s v="13/08/2025 15:07:42"/>
    <s v="2025-11-20 21:58:23"/>
    <n v="71722829"/>
    <s v="FREDY ARISMENDY SIERRA"/>
    <s v="SIN DATOS"/>
    <s v="3158384060"/>
    <s v="CR 89 CL 31 -72"/>
    <x v="0"/>
    <s v="053829001000720000"/>
    <s v="Medellín"/>
    <x v="1"/>
    <s v="MET Rev-Inst-Concentra E_CR014"/>
    <x v="0"/>
    <n v="7"/>
    <s v="2025-12-01 21:58:23"/>
    <s v="0 días 21:58"/>
    <s v="6 días 21:58"/>
    <x v="0"/>
    <s v="SIN DATO"/>
    <s v="SIN DATO"/>
    <s v="SIN DATO"/>
    <s v="ABIERTO"/>
    <n v="-75.612865839999998"/>
    <n v="6.2336444799999997"/>
    <s v="SUR-ENE"/>
    <s v="Metropolitana Sur"/>
  </r>
  <r>
    <s v="23513347"/>
    <s v="ENERES"/>
    <s v="NUEVO"/>
    <s v="ENERES"/>
    <s v="14/08/2025 14:15:41"/>
    <s v="2025-11-11 21:49:36"/>
    <n v="1010208498"/>
    <s v="NATALY OSORNO MONTOYA"/>
    <s v="SIN DATOS"/>
    <s v="3166243689"/>
    <s v="RURAL_161131970000000101"/>
    <x v="3"/>
    <s v="161131970000000101"/>
    <s v="Caldas"/>
    <x v="1"/>
    <s v="METROSUR Vin. Leg. Ref. Concentrada"/>
    <x v="1"/>
    <n v="10"/>
    <s v="2025-11-26 21:49:36"/>
    <s v="7 días 21:49"/>
    <s v="3 días 21:49"/>
    <x v="0"/>
    <s v="SIN DATO"/>
    <s v="SIN DATO"/>
    <s v="SIN DATO"/>
    <s v="ABIERTO"/>
    <n v="-75.578744999999998"/>
    <n v="6.1070650000000004"/>
    <s v="SUR-ENE"/>
    <s v="Metropolitana Sur"/>
  </r>
  <r>
    <s v="23513590"/>
    <s v="ENERES"/>
    <s v="NUEVO"/>
    <s v="ENERES"/>
    <s v="14/08/2025 14:52:44"/>
    <s v="2025-11-15 10:49:57"/>
    <n v="1037070963"/>
    <s v="JORGE ANDRES MARIN HINCAPIE"/>
    <s v="SIN DATOS"/>
    <s v="3235128529"/>
    <s v="CR 70 A CL 19 -34 (INTERIOR 102 )"/>
    <x v="0"/>
    <s v="051720109000340102"/>
    <s v="Medellín"/>
    <x v="1"/>
    <s v="Revisor Instal. Regadas Metrosur"/>
    <x v="0"/>
    <n v="7"/>
    <s v="2025-11-26 10:49:57"/>
    <s v="4 días 10:49"/>
    <s v="3 días 10:49"/>
    <x v="0"/>
    <s v="SIN DATO"/>
    <s v="SIN DATO"/>
    <s v="SIN DATO"/>
    <s v="ABIERTO"/>
    <n v="-75.592341730000001"/>
    <n v="6.2232379800000004"/>
    <s v="SUR-ENE"/>
    <s v="Metropolitana Sur"/>
  </r>
  <r>
    <s v="23513780"/>
    <s v="ENERES"/>
    <s v="NUEVO"/>
    <s v="ENERES"/>
    <s v="14/08/2025 16:05:49"/>
    <s v="2025-11-19 15:48:07"/>
    <n v="42682611"/>
    <s v="IRMA AURORA VALENCIA ZAPATA"/>
    <s v="2994051"/>
    <s v="3117290231"/>
    <s v="RURAL_159161305000000103_PROV.159161305000000101"/>
    <x v="4"/>
    <s v="159161305000000103"/>
    <s v="La Estrella"/>
    <x v="1"/>
    <s v="Revisor Instal. Regadas Metrosur"/>
    <x v="1"/>
    <n v="10"/>
    <s v="2025-12-03 15:48:07"/>
    <s v="2 días 15:48"/>
    <s v="8 días 15:48"/>
    <x v="0"/>
    <s v="SIN DATO"/>
    <s v="SIN DATO"/>
    <s v="SIN DATO"/>
    <s v="ABIERTO"/>
    <n v="-75.642095999999995"/>
    <n v="6.1142409999999998"/>
    <s v="SUR-ENE"/>
    <s v="Metropolitana Sur"/>
  </r>
  <r>
    <s v="23514199"/>
    <s v="ENERES"/>
    <s v="NUEVO"/>
    <s v="ENERES"/>
    <s v="15/08/2025 08:47:17"/>
    <s v="2025-11-13 09:52:08"/>
    <n v="71650203"/>
    <s v="JHON JAIRO GARCIA GIRALDO"/>
    <s v="SIN DATOS"/>
    <s v="3194628107"/>
    <s v="RURAL_147048222000000001_147048222000000001"/>
    <x v="0"/>
    <s v="147048222000000001"/>
    <s v="Medellín"/>
    <x v="1"/>
    <s v="Revisor Instal. Regadas Metrosur"/>
    <x v="1"/>
    <n v="10"/>
    <s v="2025-11-28 09:52:08"/>
    <s v="5 días 09:52"/>
    <s v="5 días 09:52"/>
    <x v="0"/>
    <s v="SIN DATO"/>
    <s v="SIN DATO"/>
    <s v="SIN DATO"/>
    <s v="ABIERTO"/>
    <n v="-75.647180000000006"/>
    <n v="6.2907190000000002"/>
    <s v="SUR-ENE"/>
    <s v="Metropolitana Sur"/>
  </r>
  <r>
    <s v="23514299"/>
    <s v="ENERES"/>
    <s v="NUEVO"/>
    <s v="ENERES"/>
    <s v="15/08/2025 09:43:34"/>
    <s v="2025-11-19 14:23:48"/>
    <n v="71589282"/>
    <s v="RODRIGO LEON MEJIA MEJIA"/>
    <s v="SIN DATOS"/>
    <s v="3052621109"/>
    <s v="CR 63 CL 27 -17 (INTERIOR 301 )"/>
    <x v="2"/>
    <s v="072623007000170301"/>
    <s v="Itaguí"/>
    <x v="1"/>
    <s v="Revisor Instal. Regadas Metrosur"/>
    <x v="0"/>
    <n v="7"/>
    <s v="2025-11-28 14:23:48"/>
    <s v="2 días 14:23"/>
    <s v="5 días 14:23"/>
    <x v="0"/>
    <s v="SIN DATO"/>
    <s v="SIN DATO"/>
    <s v="SIN DATO"/>
    <s v="ABIERTO"/>
    <n v="-75.640045639999997"/>
    <n v="6.1674334899999996"/>
    <s v="SUR-ENE"/>
    <s v="Metropolitana Sur"/>
  </r>
  <r>
    <s v="23514427"/>
    <s v="ENERES"/>
    <s v="NUEVO"/>
    <s v="ENERES"/>
    <s v="15/08/2025 11:12:48"/>
    <s v="2025-11-20 16:43:32"/>
    <n v="8036062"/>
    <s v="DANIEL DE JESUS RODRIGUEZ HERNANDEZ"/>
    <s v="SIN DATOS"/>
    <s v="3204553651"/>
    <s v="RURAL_159142107000000001"/>
    <x v="4"/>
    <s v="159142107000000001"/>
    <s v="La Estrella"/>
    <x v="1"/>
    <s v="MET Rev-Inst-Concentra E_CR014"/>
    <x v="1"/>
    <n v="10"/>
    <s v="2025-12-04 16:43:32"/>
    <s v="0 días 16:43"/>
    <s v="9 días 16:43"/>
    <x v="0"/>
    <s v="SIN DATO"/>
    <s v="SIN DATO"/>
    <s v="SIN DATO"/>
    <s v="ABIERTO"/>
    <n v="-75.647189999999995"/>
    <n v="6.1162409999999996"/>
    <s v="SUR-ENE"/>
    <s v="Metropolitana Sur"/>
  </r>
  <r>
    <s v="23514709"/>
    <s v="ENERES"/>
    <s v="NUEVO"/>
    <s v="ENERES"/>
    <s v="15/08/2025 15:33:41"/>
    <s v="2025-11-19 13:29:08"/>
    <n v="42886507"/>
    <s v="LILIANA DIAZ MOLINA"/>
    <s v="SIN DATOS"/>
    <s v="3108239796"/>
    <s v="RURAL_161131739000000001"/>
    <x v="3"/>
    <s v="161131739000000001"/>
    <s v="Caldas"/>
    <x v="1"/>
    <s v="METROSUR Vin. Leg. Ref. Concentrada"/>
    <x v="1"/>
    <n v="10"/>
    <s v="2025-12-03 13:29:08"/>
    <s v="2 días 13:29"/>
    <s v="8 días 13:29"/>
    <x v="0"/>
    <s v="SIN DATO"/>
    <s v="SIN DATO"/>
    <s v="SIN DATO"/>
    <s v="ABIERTO"/>
    <n v="-75.579159000000004"/>
    <n v="6.103218"/>
    <s v="SUR-ENE"/>
    <s v="Metropolitana Sur"/>
  </r>
  <r>
    <s v="23514735"/>
    <s v="ENERES"/>
    <s v="NUEVO"/>
    <s v="ENERES"/>
    <s v="15/08/2025 15:48:04"/>
    <s v="2025-11-19 13:29:34"/>
    <n v="3396938"/>
    <s v="HAMILTON CALLE RESTREPO"/>
    <s v="SIN DATOS"/>
    <s v="3136180625"/>
    <s v="RURAL_161131739000000004"/>
    <x v="3"/>
    <s v="161131739000000004"/>
    <s v="Caldas"/>
    <x v="1"/>
    <s v="METROSUR Vin. Leg. Ref. Concentrada"/>
    <x v="1"/>
    <n v="10"/>
    <s v="2025-12-03 13:29:34"/>
    <s v="2 días 13:29"/>
    <s v="8 días 13:29"/>
    <x v="0"/>
    <s v="SIN DATO"/>
    <s v="SIN DATO"/>
    <s v="SIN DATO"/>
    <s v="ABIERTO"/>
    <n v="-75.579159000000004"/>
    <n v="6.103218"/>
    <s v="SUR-ENE"/>
    <s v="Metropolitana Sur"/>
  </r>
  <r>
    <s v="23515825"/>
    <s v="ENERES"/>
    <s v="NUEVO"/>
    <s v="ENERES"/>
    <s v="19/08/2025 11:26:54"/>
    <s v="2025-11-03 21:37:34"/>
    <n v="98573536"/>
    <s v="JOHN DARIO SANCHEZ SANCHEZ"/>
    <s v="SIN DATOS"/>
    <s v="3206894728"/>
    <s v="CL 24 CR 65 F -12 (INTERIOR 301 )"/>
    <x v="0"/>
    <s v="052614005600120301"/>
    <s v="Medellín"/>
    <x v="1"/>
    <s v="MET Rev-Inst-Concentra E_CR014"/>
    <x v="0"/>
    <n v="7"/>
    <s v="2025-11-12 21:37:34"/>
    <s v="13 días 21:37"/>
    <s v="VENCIDO"/>
    <x v="1"/>
    <s v="SIN DATO"/>
    <s v="SIN DATO"/>
    <s v="SIN DATO"/>
    <s v="ABIERTO"/>
    <n v="-75.586306120000003"/>
    <n v="6.2245846900000004"/>
    <s v="SUR-ENE"/>
    <s v="Metropolitana Sur"/>
  </r>
  <r>
    <s v="23515869"/>
    <s v="ENERES"/>
    <s v="NUEVO"/>
    <s v="ENERES"/>
    <s v="19/08/2025 11:50:46"/>
    <s v="2025-11-20 10:20:22"/>
    <n v="70414162"/>
    <s v="JOSE HERIBERTO ROLDAN"/>
    <s v="4964747"/>
    <s v="3128593511"/>
    <s v="CL 48 F CR 99 CC -47 (INTERIOR 301 )"/>
    <x v="0"/>
    <s v="054918609330470301"/>
    <s v="Medellín"/>
    <x v="1"/>
    <s v="Revisor Instal. Regadas Metrosur"/>
    <x v="0"/>
    <n v="7"/>
    <s v="2025-12-01 10:20:22"/>
    <s v="0 días 10:20"/>
    <s v="6 días 10:20"/>
    <x v="0"/>
    <s v="SIN DATO"/>
    <s v="SIN DATO"/>
    <s v="SIN DATO"/>
    <s v="ABIERTO"/>
    <n v="-75.613772209999993"/>
    <n v="6.26506002"/>
    <s v="SUR-ENE"/>
    <s v="Metropolitana Sur"/>
  </r>
  <r>
    <s v="23516170"/>
    <s v="ENERES"/>
    <s v="NUEVO"/>
    <s v="ENERES"/>
    <s v="19/08/2025 14:10:31"/>
    <s v="2025-11-20 16:43:35"/>
    <n v="1036617826"/>
    <s v="ELIZABETH ROJAS  HURTADO"/>
    <s v="3682125"/>
    <s v="3194806148"/>
    <s v="RURAL_159161560000000001_PROV.159161560000000000"/>
    <x v="4"/>
    <s v="159161560000000001"/>
    <s v="La Estrella"/>
    <x v="1"/>
    <s v="Revisor Instal. Regadas Metrosur"/>
    <x v="1"/>
    <n v="10"/>
    <s v="2025-12-04 16:43:35"/>
    <s v="0 días 16:43"/>
    <s v="9 días 16:43"/>
    <x v="0"/>
    <s v="SIN DATO"/>
    <s v="SIN DATO"/>
    <s v="SIN DATO"/>
    <s v="ABIERTO"/>
    <n v="-75.640771409999999"/>
    <n v="6.11245423"/>
    <s v="SUR-ENE"/>
    <s v="Metropolitana Sur"/>
  </r>
  <r>
    <s v="23517392"/>
    <s v="ENERES"/>
    <s v="NUEVO"/>
    <s v="ENERES"/>
    <s v="20/08/2025 14:45:55"/>
    <s v="2025-11-12 09:58:00"/>
    <n v="43681923"/>
    <s v="LILIANA MARIA ACEVEDO MARULANDA"/>
    <s v="SIN DATOS"/>
    <s v="3008815414"/>
    <s v="RURAL_161142030000000001_PROV.RURAL_16114203000000"/>
    <x v="3"/>
    <s v="161142030000000001"/>
    <s v="Caldas"/>
    <x v="1"/>
    <s v="MET Rev-Inst-Concentra E_CR014"/>
    <x v="1"/>
    <n v="10"/>
    <s v="2025-11-27 09:58:00"/>
    <s v="6 días 09:58"/>
    <s v="4 días 09:58"/>
    <x v="0"/>
    <s v="SIN DATO"/>
    <s v="SIN DATO"/>
    <s v="SIN DATO"/>
    <s v="ABIERTO"/>
    <n v="-75.622718340000006"/>
    <n v="6.1024570499999999"/>
    <s v="SUR-ENE"/>
    <s v="Metropolitana Sur"/>
  </r>
  <r>
    <s v="23518324"/>
    <s v="ENERES"/>
    <s v="NUEVO"/>
    <s v="ENEDOM"/>
    <s v="21/08/2025 11:25:58"/>
    <s v="2025-11-18 11:43:02"/>
    <n v="32537864"/>
    <s v="MARIA ELPIDIA CORREA DE RESTREPO"/>
    <s v="SIN DATOS"/>
    <s v="3122674832"/>
    <s v="CL 58 CR 92 B -34 (INTERIOR 201 )"/>
    <x v="0"/>
    <s v="055918002200340201"/>
    <s v="Medellín"/>
    <x v="0"/>
    <s v="Habilitación Viviendas Metrosur"/>
    <x v="0"/>
    <n v="5"/>
    <s v="2025-11-25 11:43:02"/>
    <s v="3 días 11:43"/>
    <s v="2 días 11:43"/>
    <x v="2"/>
    <s v="SIN DATO"/>
    <s v="SIN DATO"/>
    <s v="SIN DATO"/>
    <s v="ABIERTO"/>
    <n v="-75.604724529999999"/>
    <n v="6.2746372299999997"/>
    <s v="SUR-ENE"/>
    <s v="Metropolitana Sur"/>
  </r>
  <r>
    <s v="23520030"/>
    <s v="ENERES"/>
    <s v="NUEVO"/>
    <s v="ENEDOM"/>
    <s v="27/08/2025 16:44:09"/>
    <s v="2025-11-19 21:41:06"/>
    <n v="1017133481"/>
    <s v="BEATRIZ QUINTERO MARTINEZ"/>
    <s v="SIN DATOS"/>
    <s v="3137165557"/>
    <s v="RURAL_116005312515300101"/>
    <x v="0"/>
    <s v="116005312515300101"/>
    <s v="Medellín"/>
    <x v="5"/>
    <s v="Habilitación Viviendas Metrosur"/>
    <x v="0"/>
    <n v="5"/>
    <s v="2025-11-26 21:41:06"/>
    <s v="2 días 21:41"/>
    <s v="3 días 21:41"/>
    <x v="0"/>
    <s v="SIN DATO"/>
    <s v="SIN DATO"/>
    <s v="SIN DATO"/>
    <s v="ABIERTO"/>
    <n v="-75.630061670000003"/>
    <n v="6.23489833"/>
    <s v="SUR-ENE"/>
    <s v="Metropolitana Sur"/>
  </r>
  <r>
    <s v="23520066"/>
    <s v="ENERES"/>
    <s v="NUEVO"/>
    <s v="ENEDOM"/>
    <s v="27/08/2025 16:46:26"/>
    <s v="2025-11-19 21:41:12"/>
    <n v="30079806"/>
    <s v="MARIA TERESA MARTINEZ BORJA"/>
    <s v="SIN DATOS"/>
    <s v="3137165557"/>
    <s v="RURAL_116005312515300102"/>
    <x v="0"/>
    <s v="116005312515300102"/>
    <s v="Medellín"/>
    <x v="5"/>
    <s v="Habilitación Viviendas Metrosur"/>
    <x v="0"/>
    <n v="5"/>
    <s v="2025-11-26 21:41:12"/>
    <s v="2 días 21:41"/>
    <s v="3 días 21:41"/>
    <x v="0"/>
    <s v="SIN DATO"/>
    <s v="SIN DATO"/>
    <s v="SIN DATO"/>
    <s v="ABIERTO"/>
    <n v="-75.630061670000003"/>
    <n v="6.23489833"/>
    <s v="SUR-ENE"/>
    <s v="Metropolitana Sur"/>
  </r>
  <r>
    <s v="23520366"/>
    <s v="ENERES"/>
    <s v="NUEVO"/>
    <s v="ENEDOM"/>
    <s v="27/08/2025 16:48:13"/>
    <s v="2025-11-19 21:41:18"/>
    <n v="93372430"/>
    <s v="HECTOR VARON MORENO"/>
    <s v="SIN DATOS"/>
    <s v="3057423189"/>
    <s v="RURAL_116005312515600105"/>
    <x v="0"/>
    <s v="116005312515300001"/>
    <s v="Medellín"/>
    <x v="5"/>
    <s v="Habilitación Viviendas Metrosur"/>
    <x v="0"/>
    <n v="5"/>
    <s v="2025-11-26 21:41:18"/>
    <s v="2 días 21:41"/>
    <s v="3 días 21:41"/>
    <x v="0"/>
    <s v="SIN DATO"/>
    <s v="SIN DATO"/>
    <s v="SIN DATO"/>
    <s v="ABIERTO"/>
    <n v="-75.630061670000003"/>
    <n v="6.23489833"/>
    <s v="SUR-ENE"/>
    <s v="Metropolitana Sur"/>
  </r>
  <r>
    <s v="23520387"/>
    <s v="ENERES"/>
    <s v="NUEVO"/>
    <s v="ENEDOM"/>
    <s v="27/08/2025 16:45:13"/>
    <s v="2025-11-19 21:41:15"/>
    <n v="1214747991"/>
    <s v="RODOLFO QUINTERO MARTINEZ"/>
    <s v="SIN DATOS"/>
    <s v="3218822019"/>
    <s v="RURAL_116005312515300103"/>
    <x v="0"/>
    <s v="116005312515300103"/>
    <s v="Medellín"/>
    <x v="5"/>
    <s v="Habilitación Viviendas Metrosur"/>
    <x v="0"/>
    <n v="5"/>
    <s v="2025-11-26 21:41:15"/>
    <s v="2 días 21:41"/>
    <s v="3 días 21:41"/>
    <x v="0"/>
    <s v="SIN DATO"/>
    <s v="SIN DATO"/>
    <s v="SIN DATO"/>
    <s v="ABIERTO"/>
    <n v="-75.630061670000003"/>
    <n v="6.23489833"/>
    <s v="SUR-ENE"/>
    <s v="Metropolitana Sur"/>
  </r>
  <r>
    <s v="23520528"/>
    <s v="ENERES"/>
    <s v="NUEVO"/>
    <s v="ENERES"/>
    <s v="22/08/2025 17:37:51"/>
    <s v="2025-11-19 12:06:17"/>
    <n v="43154304"/>
    <s v="OLGA LUCIA MAZO CHAVARRIA"/>
    <s v="5913330"/>
    <s v="3148298310"/>
    <s v="CR 91 B CL 35 A -22 (INTERIOR 201 )"/>
    <x v="0"/>
    <s v="053921205100220201"/>
    <s v="Medellín"/>
    <x v="1"/>
    <s v="MET Rev-Inst-Concentra E_CR014"/>
    <x v="0"/>
    <n v="7"/>
    <s v="2025-11-28 12:06:17"/>
    <s v="2 días 12:06"/>
    <s v="5 días 12:06"/>
    <x v="0"/>
    <s v="SIN DATO"/>
    <s v="SIN DATO"/>
    <s v="SIN DATO"/>
    <s v="ABIERTO"/>
    <n v="-75.614635190000001"/>
    <n v="6.2473113800000002"/>
    <s v="SUR-ENE"/>
    <s v="Metropolitana Sur"/>
  </r>
  <r>
    <s v="23521886"/>
    <s v="ENERES"/>
    <s v="NUEVO"/>
    <s v="ENERES"/>
    <s v="25/08/2025 16:21:20"/>
    <s v="2025-11-20 16:43:42"/>
    <n v="42789138"/>
    <s v="ELINA EUNIDES MAZO RESTREPO"/>
    <s v="3030537"/>
    <s v="3197731464"/>
    <s v="RURAL_159113948000000001_PROV.159113948000000000"/>
    <x v="4"/>
    <s v="159113948000000001"/>
    <s v="La Estrella"/>
    <x v="1"/>
    <s v="Revisor Instal. Regadas Metrosur"/>
    <x v="1"/>
    <n v="10"/>
    <s v="2025-12-04 16:43:42"/>
    <s v="0 días 16:43"/>
    <s v="9 días 16:43"/>
    <x v="0"/>
    <s v="SIN DATO"/>
    <s v="SIN DATO"/>
    <s v="SIN DATO"/>
    <s v="ABIERTO"/>
    <n v="-75.630894979999994"/>
    <n v="6.1177863300000004"/>
    <s v="SUR-ENE"/>
    <s v="Metropolitana Sur"/>
  </r>
  <r>
    <s v="23522515"/>
    <s v="ENERES"/>
    <s v="NUEVO"/>
    <s v="ENERES"/>
    <s v="26/08/2025 08:14:42"/>
    <s v="2025-11-20 16:43:43"/>
    <n v="43057046"/>
    <s v="PATRICIA ELENA MORALES DE VANEGAS"/>
    <s v="SIN DATOS"/>
    <s v="3128466943"/>
    <s v="RURAL_159047653000000001"/>
    <x v="4"/>
    <s v="159047653000000001"/>
    <s v="La Estrella"/>
    <x v="1"/>
    <s v="Revisor Instal. Regadas Metrosur"/>
    <x v="1"/>
    <n v="10"/>
    <s v="2025-12-04 16:43:43"/>
    <s v="0 días 16:43"/>
    <s v="9 días 16:43"/>
    <x v="0"/>
    <s v="SIN DATO"/>
    <s v="SIN DATO"/>
    <s v="SIN DATO"/>
    <s v="ABIERTO"/>
    <n v="-75.634586330000005"/>
    <n v="6.1472644900000004"/>
    <s v="SUR-ENE"/>
    <s v="Metropolitana Sur"/>
  </r>
  <r>
    <s v="23522750"/>
    <s v="ENERES"/>
    <s v="NUEVO"/>
    <s v="ENERES"/>
    <s v="26/08/2025 10:52:04"/>
    <s v="2025-11-20 21:57:40"/>
    <n v="42939372"/>
    <s v="CLAUDIA ELENA GAVIRIA VIDALES"/>
    <s v="3808080"/>
    <s v="3146101969"/>
    <s v="DIAG 17 E CL 56 B -13 (INTERIOR 502 )"/>
    <x v="0"/>
    <s v="055127506200130502"/>
    <s v="Medellín"/>
    <x v="1"/>
    <s v="METROSUR Vin. Leg. Ref. Concentrada"/>
    <x v="0"/>
    <n v="7"/>
    <s v="2025-12-01 21:57:40"/>
    <s v="0 días 21:57"/>
    <s v="6 días 21:57"/>
    <x v="0"/>
    <s v="SIN DATO"/>
    <s v="SIN DATO"/>
    <s v="SIN DATO"/>
    <s v="ABIERTO"/>
    <n v="-75.540931999999998"/>
    <n v="6.2391940000000004"/>
    <s v="SUR-ENE"/>
    <s v="Metropolitana Sur"/>
  </r>
  <r>
    <s v="23523231"/>
    <s v="ENERES"/>
    <s v="NUEVO"/>
    <s v="ENERES"/>
    <s v="26/08/2025 15:51:52"/>
    <s v="2025-11-20 21:57:56"/>
    <n v="70783398"/>
    <s v="JOHN JAIRO JARAMILLO ARIAS"/>
    <s v="SIN DATOS"/>
    <s v="3217798274"/>
    <s v="CL 53 CR 27 -47 (INTERIOR 103 )"/>
    <x v="0"/>
    <s v="055213007000470103"/>
    <s v="Medellín"/>
    <x v="1"/>
    <s v="Revisor Instal. Regadas Metrosur"/>
    <x v="0"/>
    <n v="7"/>
    <s v="2025-12-01 21:57:56"/>
    <s v="0 días 21:57"/>
    <s v="6 días 21:57"/>
    <x v="0"/>
    <s v="SIN DATO"/>
    <s v="SIN DATO"/>
    <s v="SIN DATO"/>
    <s v="ABIERTO"/>
    <n v="-75.549368999999999"/>
    <n v="6.2430250000000003"/>
    <s v="SUR-ENE"/>
    <s v="Metropolitana Sur"/>
  </r>
  <r>
    <s v="23523251"/>
    <s v="ENERES"/>
    <s v="NUEVO"/>
    <s v="ENERES"/>
    <s v="26/08/2025 16:02:53"/>
    <s v="2025-11-20 21:57:49"/>
    <n v="1037585469"/>
    <s v="EDWIN LOPEZ"/>
    <s v="SIN DATOS"/>
    <s v="3045346542"/>
    <s v="CR 20 A CL 53 -76 (INTERIOR 202 )"/>
    <x v="0"/>
    <s v="055220103000760202"/>
    <s v="Medellín"/>
    <x v="1"/>
    <s v="Revisor Instal. Regadas Metrosur"/>
    <x v="0"/>
    <n v="7"/>
    <s v="2025-12-01 21:57:49"/>
    <s v="0 días 21:57"/>
    <s v="6 días 21:57"/>
    <x v="0"/>
    <s v="SIN DATO"/>
    <s v="SIN DATO"/>
    <s v="SIN DATO"/>
    <s v="ABIERTO"/>
    <n v="-75.54384684"/>
    <n v="6.23960252"/>
    <s v="SUR-ENE"/>
    <s v="Metropolitana Sur"/>
  </r>
  <r>
    <s v="23525443"/>
    <s v="ENERES"/>
    <s v="NUEVO"/>
    <s v="ENERES"/>
    <s v="28/08/2025 12:38:49"/>
    <s v="2025-11-20 21:57:52"/>
    <n v="1044100607"/>
    <s v="JUAN DAVID BUSTAMANTE LONDOÑO"/>
    <s v="SIN DATOS"/>
    <s v="3225124846"/>
    <s v="CR 24 B CL 53 -30 (INTERIOR 4039 )"/>
    <x v="0"/>
    <s v="055224203000304039"/>
    <s v="Medellín"/>
    <x v="1"/>
    <s v="Revisor Instal. Regadas Metrosur"/>
    <x v="0"/>
    <n v="7"/>
    <s v="2025-12-01 21:57:52"/>
    <s v="0 días 21:57"/>
    <s v="6 días 21:57"/>
    <x v="0"/>
    <s v="SIN DATO"/>
    <s v="SIN DATO"/>
    <s v="SIN DATO"/>
    <s v="ABIERTO"/>
    <n v="-75.5464001"/>
    <n v="6.2420340000000003"/>
    <s v="SUR-ENE"/>
    <s v="Metropolitana Sur"/>
  </r>
  <r>
    <s v="23525448"/>
    <s v="ENERES"/>
    <s v="NUEVO"/>
    <s v="ENERES"/>
    <s v="28/08/2025 12:49:13"/>
    <s v="2025-11-20 21:57:45"/>
    <n v="43455146"/>
    <s v="MARYI YURLEY PARRA GUISAO"/>
    <s v="SIN DATOS"/>
    <s v="3126022752"/>
    <s v="CL 56 A CR 17 H -14 (INTERIOR 127 )"/>
    <x v="0"/>
    <s v="055116107800140127"/>
    <s v="Medellín"/>
    <x v="1"/>
    <s v="Revisor Instal. Regadas Metrosur"/>
    <x v="0"/>
    <n v="7"/>
    <s v="2025-12-01 21:57:45"/>
    <s v="0 días 21:57"/>
    <s v="6 días 21:57"/>
    <x v="0"/>
    <s v="SIN DATO"/>
    <s v="SIN DATO"/>
    <s v="SIN DATO"/>
    <s v="ABIERTO"/>
    <n v="-75.542180000000002"/>
    <n v="6.2385890000000002"/>
    <s v="SUR-ENE"/>
    <s v="Metropolitana Sur"/>
  </r>
  <r>
    <s v="23525803"/>
    <s v="ENERES"/>
    <s v="NUEVO"/>
    <s v="ENERES"/>
    <s v="28/08/2025 15:53:53"/>
    <s v="2025-11-12 21:41:41"/>
    <n v="98531846"/>
    <s v="IVAN DARIO CARDONA GUTIERREZ"/>
    <s v="2877547"/>
    <s v="3145861332"/>
    <s v="CL 49 CR 13 -20 (INTERIOR 302 )"/>
    <x v="0"/>
    <s v="054119003000200302"/>
    <s v="Medellín"/>
    <x v="1"/>
    <s v="MET Rev-Inst-Concentra E_CR014"/>
    <x v="0"/>
    <n v="7"/>
    <s v="2025-11-24 21:41:41"/>
    <s v="6 días 21:41"/>
    <s v="1 días 21:41"/>
    <x v="2"/>
    <s v="SIN DATO"/>
    <s v="SIN DATO"/>
    <s v="SIN DATO"/>
    <s v="ABIERTO"/>
    <n v="-75.541352000000003"/>
    <n v="6.2326050000000004"/>
    <s v="SUR-ENE"/>
    <s v="Metropolitana Sur"/>
  </r>
  <r>
    <s v="23525819"/>
    <s v="ENENOR"/>
    <s v="CAMBI"/>
    <s v="ENENOR"/>
    <s v="28/08/2025 16:05:42"/>
    <s v="2025-11-08 11:58:23"/>
    <n v="678262"/>
    <s v="JOSE ALEJANDRO  GARCIA ALZATE"/>
    <s v="SIN DATOS"/>
    <s v="3022960207"/>
    <s v="CR 48 CL 62 -23"/>
    <x v="0"/>
    <s v="056428002000230000"/>
    <s v="Medellín"/>
    <x v="7"/>
    <s v="MET Rev-Inst-Concentra E_CR014"/>
    <x v="0"/>
    <n v="7"/>
    <s v="2025-11-19 11:58:23"/>
    <s v="9 días 11:58"/>
    <s v="VENCIDO"/>
    <x v="1"/>
    <s v="SIN DATO"/>
    <s v="SIN DATO"/>
    <s v="SIN DATO"/>
    <s v="ABIERTO"/>
    <n v="-75.560830760000002"/>
    <n v="6.2583005500000004"/>
    <s v="SUR-ENE"/>
    <s v="Metropolitana Sur"/>
  </r>
  <r>
    <s v="23526254"/>
    <s v="ENERES"/>
    <s v="NUEVO"/>
    <s v="ENERES"/>
    <s v="29/08/2025 07:58:34"/>
    <s v="2025-10-29 21:43:56"/>
    <n v="98551916"/>
    <s v="RAUL ALBERTO GUTIERREZ VANEGAS"/>
    <s v="SIN DATOS"/>
    <s v="3136608965"/>
    <s v="CL 62 B CR 93 -13 (INTERIOR 104 )"/>
    <x v="0"/>
    <s v="056912203000130104"/>
    <s v="Medellín"/>
    <x v="1"/>
    <s v="MET Rev-Inst-Concentra E_CR014"/>
    <x v="0"/>
    <n v="7"/>
    <s v="2025-11-10 21:43:56"/>
    <s v="15 días 21:43"/>
    <s v="VENCIDO"/>
    <x v="1"/>
    <s v="SIN DATO"/>
    <s v="SIN DATO"/>
    <s v="SIN DATO"/>
    <s v="ABIERTO"/>
    <n v="-75.604590000000002"/>
    <n v="6.278384"/>
    <s v="SUR-ENE"/>
    <s v="Metropolitana Sur"/>
  </r>
  <r>
    <s v="23526333"/>
    <s v="ENENOR"/>
    <s v="NUEVO"/>
    <s v="ENENOR"/>
    <s v="29/08/2025 09:10:31"/>
    <s v="2025-11-12 21:49:17"/>
    <n v="10274994"/>
    <s v="ALBERTO SOTO VARGAS"/>
    <s v="2511555"/>
    <s v="3113485977"/>
    <s v="CR 49 CL 46 -35 (INTERIOR 201 )"/>
    <x v="0"/>
    <s v="054429006000350201"/>
    <s v="Medellín"/>
    <x v="2"/>
    <s v="MET Rev-Inst-Concentra E_CR014"/>
    <x v="0"/>
    <n v="7"/>
    <s v="2025-11-24 21:49:17"/>
    <s v="6 días 21:49"/>
    <s v="1 días 21:49"/>
    <x v="2"/>
    <s v="SIN DATO"/>
    <s v="SIN DATO"/>
    <s v="SIN DATO"/>
    <s v="ABIERTO"/>
    <n v="-75.56814996"/>
    <n v="6.2470900199999999"/>
    <s v="SUR-ENE"/>
    <s v="Metropolitana Sur"/>
  </r>
  <r>
    <s v="23526471"/>
    <s v="ENERES"/>
    <s v="NUEVO"/>
    <s v="ENERES"/>
    <s v="29/08/2025 10:43:36"/>
    <s v="2025-11-12 09:58:24"/>
    <n v="43049491"/>
    <s v="MARIA EUGENIA GAÑAN DE MORENO"/>
    <s v="SIN DATOS"/>
    <s v="3126666718"/>
    <s v="RURAL_161116317500000001_PROV.VEREDA LA CORRALA"/>
    <x v="3"/>
    <s v="161116317500000001"/>
    <s v="Caldas"/>
    <x v="1"/>
    <s v="MET Rev-Inst-Concentra E_CR014"/>
    <x v="1"/>
    <n v="10"/>
    <s v="2025-11-27 09:58:24"/>
    <s v="6 días 09:58"/>
    <s v="4 días 09:58"/>
    <x v="0"/>
    <s v="SIN DATO"/>
    <s v="SIN DATO"/>
    <s v="SIN DATO"/>
    <s v="ABIERTO"/>
    <n v="-75.627960000000002"/>
    <n v="6.0895797600000003"/>
    <s v="SUR-ENE"/>
    <s v="Metropolitana Sur"/>
  </r>
  <r>
    <s v="23526897"/>
    <s v="ENERES"/>
    <s v="NUEVO"/>
    <s v="ENEDOM"/>
    <s v="03/10/2025 14:07:28"/>
    <s v="2025-10-03 14:07:28"/>
    <n v="1038263376"/>
    <s v="CAROLINA GALLEGO ECHEVERRI"/>
    <s v="SIN DATOS"/>
    <s v="3122685000"/>
    <s v="RURAL_125004603720000000_125004603720000000"/>
    <x v="1"/>
    <s v="125004603720000000"/>
    <s v="Envigado"/>
    <x v="5"/>
    <s v="Habilitación Viviendas Metrosur"/>
    <x v="1"/>
    <n v="8"/>
    <s v="2025-10-16 14:07:28"/>
    <s v="32 días 14:07"/>
    <s v="VENCIDO"/>
    <x v="1"/>
    <s v="SIN DATO"/>
    <s v="SIN DATO"/>
    <s v="SIN DATO"/>
    <s v="ABIERTO"/>
    <n v="-75.490615090000006"/>
    <n v="6.1745318200000003"/>
    <s v="SUR-ENE"/>
    <s v="Metropolitana Sur"/>
  </r>
  <r>
    <s v="23527471"/>
    <s v="ENERES"/>
    <s v="NUEVO"/>
    <s v="ENERES"/>
    <s v="01/09/2025 08:40:16"/>
    <s v="2025-11-12 08:49:43"/>
    <n v="71600193"/>
    <s v="HECTOR FABIO CALLE MONTOYA"/>
    <s v="4444444"/>
    <s v="3122875444"/>
    <s v="RURAL_159043436000000301"/>
    <x v="4"/>
    <s v="159043436000000301"/>
    <s v="La Estrella"/>
    <x v="1"/>
    <s v="MET Rev-Inst-Concentra E_CR014"/>
    <x v="1"/>
    <n v="10"/>
    <s v="2025-11-27 08:49:43"/>
    <s v="6 días 08:49"/>
    <s v="4 días 08:49"/>
    <x v="0"/>
    <s v="SIN DATO"/>
    <s v="SIN DATO"/>
    <s v="SIN DATO"/>
    <s v="ABIERTO"/>
    <n v="-75.640242150000006"/>
    <n v="6.1400813799999998"/>
    <s v="SUR-ENE"/>
    <s v="Metropolitana Sur"/>
  </r>
  <r>
    <s v="23527934"/>
    <s v="ENERES"/>
    <s v="NUEVO"/>
    <s v="ENERES"/>
    <s v="01/09/2025 14:05:26"/>
    <s v="2025-11-19 14:23:24"/>
    <n v="32352420"/>
    <s v="DEICY DAMARIS CARMONA ZULUAGA"/>
    <s v="SIN DATOS"/>
    <s v="3234235935"/>
    <s v="CR 112 CL 48 B -93 (INTERIOR 101 )"/>
    <x v="0"/>
    <s v="084122008200930101"/>
    <s v="Medellín"/>
    <x v="1"/>
    <s v="MET Rev-Inst-Concentra E_CR014"/>
    <x v="0"/>
    <n v="7"/>
    <s v="2025-11-28 14:23:24"/>
    <s v="2 días 14:23"/>
    <s v="5 días 14:23"/>
    <x v="0"/>
    <s v="SIN DATO"/>
    <s v="SIN DATO"/>
    <s v="SIN DATO"/>
    <s v="ABIERTO"/>
    <n v="-75.624371999999994"/>
    <n v="6.2627889999999997"/>
    <s v="SUR-ENE"/>
    <s v="Metropolitana Sur"/>
  </r>
  <r>
    <s v="23529256"/>
    <s v="ENERES"/>
    <s v="NUEVO"/>
    <s v="ENERES"/>
    <s v="02/09/2025 15:14:48"/>
    <s v="2025-11-19 21:44:12"/>
    <n v="71986021"/>
    <s v="JUAN CARLOS USUGA ALVAREZ"/>
    <s v="SIN DATOS"/>
    <s v="3128733689"/>
    <s v="CR 22 CL 53 -104 (INTERIOR 102 )"/>
    <x v="0"/>
    <s v="055222003001040102"/>
    <s v="Medellín"/>
    <x v="1"/>
    <s v="METROSUR Vin. Leg. Ref. Concentrada"/>
    <x v="0"/>
    <n v="7"/>
    <s v="2025-11-28 21:44:12"/>
    <s v="2 días 21:44"/>
    <s v="5 días 21:44"/>
    <x v="0"/>
    <s v="SIN DATO"/>
    <s v="SIN DATO"/>
    <s v="SIN DATO"/>
    <s v="ABIERTO"/>
    <n v="-75.544489819999995"/>
    <n v="6.2411185700000003"/>
    <s v="SUR-ENE"/>
    <s v="Metropolitana Sur"/>
  </r>
  <r>
    <s v="23529748"/>
    <s v="ENENOR"/>
    <s v="NUEVO"/>
    <s v="ENENOR"/>
    <s v="03/09/2025 07:04:43"/>
    <s v="2025-11-09 21:42:55"/>
    <n v="15252769"/>
    <s v="JAIME DE JESUS CORREA ANGEL"/>
    <s v="6043053"/>
    <s v="3053039439"/>
    <s v="CR 50 CL 132 SUR -3 (INTERIOR 6 )"/>
    <x v="3"/>
    <s v="003520002000030006"/>
    <s v="Caldas"/>
    <x v="2"/>
    <s v="MET Rev-Inst-Concentra E_CR014"/>
    <x v="0"/>
    <n v="7"/>
    <s v="2025-11-19 21:42:55"/>
    <s v="9 días 21:42"/>
    <s v="VENCIDO"/>
    <x v="1"/>
    <s v="SIN DATO"/>
    <s v="SIN DATO"/>
    <s v="SIN DATO"/>
    <s v="ABIERTO"/>
    <n v="-75.636057789999995"/>
    <n v="6.0896314"/>
    <s v="SUR-ENE"/>
    <s v="Metropolitana Sur"/>
  </r>
  <r>
    <s v="23530703"/>
    <s v="ENERES"/>
    <s v="NUEVO"/>
    <s v="ENERES"/>
    <s v="03/09/2025 16:36:11"/>
    <s v="2025-11-13 23:45:15"/>
    <n v="1036657898"/>
    <s v="JUAN PABLO MONTOYA"/>
    <s v="SIN DATOS"/>
    <s v="3162431326"/>
    <s v="RURAL_159115068000000001_TABLAZA"/>
    <x v="4"/>
    <s v="159115068000000001"/>
    <s v="La Estrella"/>
    <x v="1"/>
    <s v="MET Rev-Inst-Concentra E_CR014"/>
    <x v="1"/>
    <n v="10"/>
    <s v="2025-11-28 23:45:15"/>
    <s v="5 días 23:45"/>
    <s v="5 días 23:45"/>
    <x v="0"/>
    <s v="SIN DATO"/>
    <s v="SIN DATO"/>
    <s v="SIN DATO"/>
    <s v="ABIERTO"/>
    <n v="-75.631007210000007"/>
    <n v="6.1170650599999998"/>
    <s v="SUR-ENE"/>
    <s v="Metropolitana Sur"/>
  </r>
  <r>
    <s v="23532115"/>
    <s v="ENENOR"/>
    <s v="NUEVO"/>
    <s v="ENENOR"/>
    <s v="05/09/2025 07:50:12"/>
    <s v="2025-11-20 11:05:53"/>
    <n v="3556792"/>
    <s v="PABLO MORENO ACOSTA"/>
    <s v="SIN DATOS"/>
    <s v="3017510607"/>
    <s v="CR 43 A CL 14 -57 (INTERIOR 220 )"/>
    <x v="0"/>
    <s v="051423104000570220"/>
    <s v="Medellín"/>
    <x v="2"/>
    <s v="METROSUR Vin. Leg. Ref. Concentrada"/>
    <x v="0"/>
    <n v="7"/>
    <s v="2025-12-01 11:05:53"/>
    <s v="0 días 11:05"/>
    <s v="6 días 11:05"/>
    <x v="0"/>
    <s v="SIN DATO"/>
    <s v="SIN DATO"/>
    <s v="SIN DATO"/>
    <s v="CUMPLIDO"/>
    <n v="-75.570068359999993"/>
    <n v="6.2148957300000003"/>
    <s v="SUR-ENE"/>
    <s v="Metropolitana Sur"/>
  </r>
  <r>
    <s v="23532133"/>
    <s v="ENERES"/>
    <s v="NUEVO"/>
    <s v="ENEDOM"/>
    <s v="20/11/2025 08:53:04"/>
    <s v="2025-11-20 08:53:04"/>
    <n v="43631010"/>
    <s v="SANDRA TERESA HERNANDEZ VALENCIA"/>
    <s v="SIN DATOS"/>
    <s v="3207827347"/>
    <s v="CR 18 A CL 56 A -25 (INTERIOR 210 )"/>
    <x v="0"/>
    <s v="055128106100250210"/>
    <s v="Medellín"/>
    <x v="5"/>
    <s v="Habilitación Viviendas Metrosur"/>
    <x v="0"/>
    <n v="5"/>
    <s v="2025-11-27 08:53:04"/>
    <s v="0 días 08:53"/>
    <s v="4 días 08:53"/>
    <x v="0"/>
    <s v="SIN DATO"/>
    <s v="SIN DATO"/>
    <s v="SIN DATO"/>
    <s v="ABIERTO"/>
    <n v="-75.542108909999996"/>
    <n v="6.2395951900000002"/>
    <s v="SUR-ENE"/>
    <s v="Metropolitana Sur"/>
  </r>
  <r>
    <s v="23532756"/>
    <s v="ENECNX"/>
    <s v="NUEVO"/>
    <s v="ENECNX"/>
    <s v="20/11/2025 14:09:45"/>
    <s v="2025-11-20 14:09:45"/>
    <n v="70557991"/>
    <s v="ERNESTO DE JESUS TANGARIFE VALENCIA"/>
    <s v="SIN DATOS"/>
    <s v="3053101040"/>
    <s v="CL 38 A SUR CR 46 -119"/>
    <x v="1"/>
    <s v="023418106001190000"/>
    <s v="Envigado"/>
    <x v="8"/>
    <s v="Revisor Puntos de Conexión Metrosur"/>
    <x v="0"/>
    <n v="4"/>
    <s v="2025-11-26 14:09:45"/>
    <s v="0 días 14:09"/>
    <s v="3 días 14:09"/>
    <x v="0"/>
    <s v="SIN DATO"/>
    <s v="SIN DATO"/>
    <s v="SIN DATO"/>
    <s v="CUMPLIDO"/>
    <n v="-75.592515199999994"/>
    <n v="6.1719902500000003"/>
    <s v="SUR-ENE"/>
    <s v="Metropolitana Sur"/>
  </r>
  <r>
    <s v="23532908"/>
    <s v="ENERES"/>
    <s v="NUEVO"/>
    <s v="ENERES"/>
    <s v="06/09/2025 07:01:12"/>
    <s v="2025-11-03 21:43:47"/>
    <n v="70220901"/>
    <s v="ELKIN ADRIAN PIEDRAHITA ACOSTA"/>
    <s v="SIN DATOS"/>
    <s v="3053039439"/>
    <s v="CL 135 SUR CR 48 -64 (INTERIOR 602 )"/>
    <x v="3"/>
    <s v="003415008000640602"/>
    <s v="Caldas"/>
    <x v="1"/>
    <s v="MET Rev-Inst-Concentra E_CR014"/>
    <x v="0"/>
    <n v="7"/>
    <s v="2025-11-12 21:43:47"/>
    <s v="13 días 21:43"/>
    <s v="VENCIDO"/>
    <x v="1"/>
    <s v="SIN DATO"/>
    <s v="SIN DATO"/>
    <s v="SIN DATO"/>
    <s v="ABIERTO"/>
    <n v="-75.634867"/>
    <n v="6.0873989999999996"/>
    <s v="SUR-ENE"/>
    <s v="Metropolitana Sur"/>
  </r>
  <r>
    <s v="23533508"/>
    <s v="ENENOR"/>
    <s v="NUEVO"/>
    <s v="ENENOR"/>
    <s v="08/09/2025 10:08:37"/>
    <s v="2025-11-06 08:17:18"/>
    <n v="1037608935"/>
    <s v="MARIA PAULA RESTREPO WAGNER"/>
    <s v="SIN DATOS"/>
    <s v="3217167544"/>
    <s v="CR 10 CL 19 SUR -629 (INTERIOR 29 PARCELACION DOS"/>
    <x v="1"/>
    <s v="021120009006290029"/>
    <s v="Envigado"/>
    <x v="2"/>
    <s v="MET Rev-Inst-Concentra E_CR014"/>
    <x v="0"/>
    <n v="7"/>
    <s v="2025-11-18 08:17:18"/>
    <s v="10 días 08:17"/>
    <s v="VENCIDO"/>
    <x v="1"/>
    <s v="SIN DATO"/>
    <s v="SIN DATO"/>
    <s v="SIN DATO"/>
    <s v="ABIERTO"/>
    <n v="-75.546760286999998"/>
    <n v="6.15418410400002"/>
    <s v="SUR-ENE"/>
    <s v="Metropolitana Sur"/>
  </r>
  <r>
    <s v="23533556"/>
    <s v="ENENOR"/>
    <s v="NUEVO"/>
    <s v="ENENOR"/>
    <s v="08/09/2025 10:45:50"/>
    <s v="2025-11-20 21:50:45"/>
    <n v="43667274"/>
    <s v="CLAUDIA ASTRID OSORIO VILLA"/>
    <s v="3022880"/>
    <s v="3113517212"/>
    <s v="CL 48 C SUR CR 36 -96 (INTERIOR 5 )"/>
    <x v="1"/>
    <s v="024318306000960005"/>
    <s v="Envigado"/>
    <x v="2"/>
    <s v="Revisor Instal. Regadas Metrosur"/>
    <x v="0"/>
    <n v="7"/>
    <s v="2025-12-01 21:50:45"/>
    <s v="0 días 21:50"/>
    <s v="6 días 21:50"/>
    <x v="0"/>
    <s v="SIN DATO"/>
    <s v="SIN DATO"/>
    <s v="SIN DATO"/>
    <s v="ABIERTO"/>
    <n v="-75.594663999999995"/>
    <n v="6.1526959999999997"/>
    <s v="SUR-ENE"/>
    <s v="Metropolitana Sur"/>
  </r>
  <r>
    <s v="23533715"/>
    <s v="ENERES"/>
    <s v="NUEVO"/>
    <s v="ENERES"/>
    <s v="08/09/2025 12:21:12"/>
    <s v="2025-11-11 21:43:14"/>
    <n v="43911165"/>
    <s v="YENNY STELLA GIRALDO ZAPATA"/>
    <s v="4972410"/>
    <s v="3002697208"/>
    <s v="RURAL_163012401000000000_RURAL ITAGUI EL PEDREGAL"/>
    <x v="2"/>
    <s v="163012401000000000"/>
    <s v="Itaguí"/>
    <x v="1"/>
    <s v="Revisor Instal. Regadas Metrosur"/>
    <x v="0"/>
    <n v="7"/>
    <s v="2025-11-21 21:43:14"/>
    <s v="7 días 21:43"/>
    <s v="0 días 21:43"/>
    <x v="3"/>
    <s v="SIN DATO"/>
    <s v="SIN DATO"/>
    <s v="SIN DATO"/>
    <s v="ABIERTO"/>
    <n v="-75.616451889999993"/>
    <n v="6.1888940899999998"/>
    <s v="SUR-ENE"/>
    <s v="Metropolitana Sur"/>
  </r>
  <r>
    <s v="23534046"/>
    <s v="ENENOR"/>
    <s v="NUEVO"/>
    <s v="ENENOR"/>
    <s v="08/09/2025 16:25:52"/>
    <s v="2025-11-20 21:58:01"/>
    <n v="15511037"/>
    <s v="EDUAR JOHVANY JARAMILLO"/>
    <s v="SIN DATOS"/>
    <s v="3022960207"/>
    <s v="CR 83 A CL 33 B -5 (INTERIOR 102 )"/>
    <x v="0"/>
    <s v="053823103200050102"/>
    <s v="Medellín"/>
    <x v="2"/>
    <s v="Revisor Instal. Regadas Metrosur"/>
    <x v="0"/>
    <n v="7"/>
    <s v="2025-12-01 21:58:01"/>
    <s v="0 días 21:58"/>
    <s v="6 días 21:58"/>
    <x v="0"/>
    <s v="SIN DATO"/>
    <s v="SIN DATO"/>
    <s v="SIN DATO"/>
    <s v="ABIERTO"/>
    <n v="-75.606615820000002"/>
    <n v="6.2408473100000004"/>
    <s v="SUR-ENE"/>
    <s v="Metropolitana Sur"/>
  </r>
  <r>
    <s v="23534535"/>
    <s v="ENERES"/>
    <s v="NUEVO"/>
    <s v="ENEDOM"/>
    <s v="09/09/2025 08:45:09"/>
    <s v="2025-11-18 16:58:03"/>
    <n v="3349275"/>
    <s v="JOSE BERTOLDO CARDONA BASTIDAS"/>
    <s v="4463426"/>
    <s v="3041267153"/>
    <s v="RURAL_146015339000000002_RURAL_PALMITAS"/>
    <x v="0"/>
    <s v="146015339000000002"/>
    <s v="Medellín"/>
    <x v="0"/>
    <s v="Habilitación Viviendas Metrosur"/>
    <x v="1"/>
    <n v="8"/>
    <s v="2025-11-28 16:58:03"/>
    <s v="3 días 16:58"/>
    <s v="5 días 16:58"/>
    <x v="0"/>
    <s v="SIN DATO"/>
    <s v="SIN DATO"/>
    <s v="SIN DATO"/>
    <s v="ABIERTO"/>
    <n v="-75.691736829999996"/>
    <n v="6.3258423300000004"/>
    <s v="SUR-ENE"/>
    <s v="Metropolitana Sur"/>
  </r>
  <r>
    <s v="23534785"/>
    <s v="ENERES"/>
    <s v="NUEVO"/>
    <s v="ENERES"/>
    <s v="09/09/2025 12:03:35"/>
    <s v="2025-11-14 13:54:56"/>
    <n v="71593003"/>
    <s v="FERNANDO DE JESUS SUCERQUIA HOLGUIN"/>
    <s v="SIN DATOS"/>
    <s v="3146681181"/>
    <s v="CL 39 CR 65 B -19 (INTERIOR 301 )"/>
    <x v="2"/>
    <s v="073619005200190301"/>
    <s v="Itaguí"/>
    <x v="1"/>
    <s v="Revisor Instal. Regadas Metrosur"/>
    <x v="0"/>
    <n v="7"/>
    <s v="2025-11-26 13:54:56"/>
    <s v="4 días 13:54"/>
    <s v="3 días 13:54"/>
    <x v="0"/>
    <s v="SIN DATO"/>
    <s v="SIN DATO"/>
    <s v="SIN DATO"/>
    <s v="ABIERTO"/>
    <n v="-75.629459190000006"/>
    <n v="6.1743618700000003"/>
    <s v="SUR-ENE"/>
    <s v="Metropolitana Sur"/>
  </r>
  <r>
    <s v="23534946"/>
    <s v="ENERES"/>
    <s v="NUEVO"/>
    <s v="ENEDOM"/>
    <s v="09/09/2025 14:34:41"/>
    <s v="2025-11-09 21:43:01"/>
    <n v="43922481"/>
    <s v="JESSICA BETANCOURT MESA"/>
    <s v="SIN DATOS"/>
    <s v="3122609338"/>
    <s v="CR 52 CL 79 SUR -263 (INTERIOR 501 )"/>
    <x v="4"/>
    <s v="037522009002630501"/>
    <s v="La Estrella"/>
    <x v="0"/>
    <s v="MET Rev-Inst-Concentra E_CR014"/>
    <x v="0"/>
    <n v="5"/>
    <s v="2025-11-14 21:43:01"/>
    <s v="9 días 21:43"/>
    <s v="VENCIDO"/>
    <x v="1"/>
    <s v="SIN DATO"/>
    <s v="SIN DATO"/>
    <s v="SIN DATO"/>
    <s v="ABIERTO"/>
    <n v="-75.632193000000001"/>
    <n v="6.1541759999999996"/>
    <s v="SUR-ENE"/>
    <s v="Metropolitana Sur"/>
  </r>
  <r>
    <s v="23535045"/>
    <s v="ENERES"/>
    <s v="NUEVO"/>
    <s v="ENEDOM"/>
    <s v="09/09/2025 15:41:37"/>
    <s v="2025-11-18 13:59:48"/>
    <n v="71361295"/>
    <s v="ALEXIX FERNANDO MUÑOZ"/>
    <s v="SIN DATOS"/>
    <s v="3023308713"/>
    <s v="CL 59 C CR 18 B -75 (INTERIOR 1127 )"/>
    <x v="0"/>
    <s v="055119308200751127"/>
    <s v="Medellín"/>
    <x v="0"/>
    <s v="Habilitación Viviendas Metrosur"/>
    <x v="0"/>
    <n v="5"/>
    <s v="2025-11-25 13:59:48"/>
    <s v="3 días 13:59"/>
    <s v="2 días 13:59"/>
    <x v="2"/>
    <s v="SIN DATO"/>
    <s v="SIN DATO"/>
    <s v="SIN DATO"/>
    <s v="ABIERTO"/>
    <n v="-75.540260590000003"/>
    <n v="6.2531014200000001"/>
    <s v="SUR-ENE"/>
    <s v="Metropolitana Sur"/>
  </r>
  <r>
    <s v="23535853"/>
    <s v="ENERES"/>
    <s v="NUEVO"/>
    <s v="ENEDOM"/>
    <s v="20/11/2025 08:53:36"/>
    <s v="2025-11-20 08:53:36"/>
    <n v="70077026"/>
    <s v="BERTIN DE JESUS RIOS VILLADA"/>
    <s v="SIN DATOS"/>
    <s v="3026230592"/>
    <s v="CR 25 A CL 56 B -40 (INTERIOR 204 )"/>
    <x v="0"/>
    <s v="055225106200400204"/>
    <s v="Medellín"/>
    <x v="5"/>
    <s v="Habilitación Viviendas Metrosur"/>
    <x v="0"/>
    <n v="5"/>
    <s v="2025-11-27 08:53:36"/>
    <s v="0 días 08:53"/>
    <s v="4 días 08:53"/>
    <x v="0"/>
    <s v="SIN DATO"/>
    <s v="SIN DATO"/>
    <s v="SIN DATO"/>
    <s v="ABIERTO"/>
    <n v="-75.544597550000006"/>
    <n v="6.2449102300000003"/>
    <s v="SUR-ENE"/>
    <s v="Metropolitana Sur"/>
  </r>
  <r>
    <s v="23537551"/>
    <s v="ENERES"/>
    <s v="NUEVO"/>
    <s v="ENEDOM"/>
    <s v="12/09/2025 07:17:44"/>
    <s v="2025-11-19 08:21:09"/>
    <n v="1041087232"/>
    <s v="YONILIS JORDAN RIVAS"/>
    <s v="SIN DATOS"/>
    <s v="3207290167"/>
    <s v="CL 53 CR 2 C -39 (INTERIOR 211 )"/>
    <x v="0"/>
    <s v="055013002300390211"/>
    <s v="Medellín"/>
    <x v="0"/>
    <s v="Habilitación Viviendas Metrosur"/>
    <x v="0"/>
    <n v="5"/>
    <s v="2025-11-26 08:21:09"/>
    <s v="2 días 08:21"/>
    <s v="3 días 08:21"/>
    <x v="0"/>
    <s v="SIN DATO"/>
    <s v="SIN DATO"/>
    <s v="SIN DATO"/>
    <s v="ABIERTO"/>
    <n v="-75.531844239999998"/>
    <n v="6.23185856"/>
    <s v="SUR-ENE"/>
    <s v="Metropolitana Sur"/>
  </r>
  <r>
    <s v="23538565"/>
    <s v="ENECNX"/>
    <s v="NUEVO"/>
    <s v="ENECNX"/>
    <s v="15/11/2025 10:15:56"/>
    <s v="2025-11-15 10:15:56"/>
    <n v="21500494"/>
    <s v="CAMPILLO MARIA NELIDA"/>
    <s v="5799331"/>
    <s v="3216635814"/>
    <s v="CL 62 C CR 108 -27"/>
    <x v="0"/>
    <s v="086012308000270000"/>
    <s v="Medellín"/>
    <x v="8"/>
    <s v="Revisor Puntos de Conexión Metrosur"/>
    <x v="0"/>
    <n v="4"/>
    <s v="2025-11-21 10:15:56"/>
    <s v="4 días 10:15"/>
    <s v="VENCIDO"/>
    <x v="1"/>
    <s v="SIN DATO"/>
    <s v="SIN DATO"/>
    <s v="SIN DATO"/>
    <s v="CUMPLIDO"/>
    <n v="-75.617882170000001"/>
    <n v="6.2760082700000002"/>
    <s v="SUR-ENE"/>
    <s v="Metropolitana Sur"/>
  </r>
  <r>
    <s v="23539710"/>
    <s v="ENERES"/>
    <s v="NUEVO"/>
    <s v="ENERES"/>
    <s v="15/09/2025 14:53:53"/>
    <s v="2025-11-19 21:40:49"/>
    <n v="1128467009"/>
    <s v="JEISON ADOLFO RUIZ ARANGO"/>
    <s v="SIN DATOS"/>
    <s v="3113392042"/>
    <s v="CR 132 CL 59 -19 (INTERIOR 201 )"/>
    <x v="0"/>
    <s v="085322009000190201"/>
    <s v="Medellín"/>
    <x v="1"/>
    <s v="Revisor Instal. Regadas Metrosur"/>
    <x v="0"/>
    <n v="7"/>
    <s v="2025-11-28 21:40:49"/>
    <s v="2 días 21:40"/>
    <s v="5 días 21:40"/>
    <x v="0"/>
    <s v="SIN DATO"/>
    <s v="SIN DATO"/>
    <s v="SIN DATO"/>
    <s v="ABIERTO"/>
    <n v="-75.637477000000004"/>
    <n v="6.2758909999999997"/>
    <s v="SUR-ENE"/>
    <s v="Metropolitana Sur"/>
  </r>
  <r>
    <s v="23539833"/>
    <s v="ENENOR"/>
    <s v="NUEVO"/>
    <s v="ENENOR"/>
    <s v="15/09/2025 16:22:49"/>
    <s v="2025-11-19 21:40:16"/>
    <n v="1039679141"/>
    <s v="EDWAN ALEXANDER RODAS"/>
    <s v="SIN DATOS"/>
    <s v="3189020486"/>
    <s v="CL 37 SUR CR 43 -65"/>
    <x v="1"/>
    <s v="023417003000650000"/>
    <s v="Envigado"/>
    <x v="2"/>
    <s v="Revisor Instal. Regadas Metrosur"/>
    <x v="0"/>
    <n v="7"/>
    <s v="2025-11-28 21:40:16"/>
    <s v="2 días 21:40"/>
    <s v="5 días 21:40"/>
    <x v="0"/>
    <s v="SIN DATO"/>
    <s v="SIN DATO"/>
    <s v="SIN DATO"/>
    <s v="ABIERTO"/>
    <n v="-75.588147000000006"/>
    <n v="6.1710649999999996"/>
    <s v="SUR-ENE"/>
    <s v="Metropolitana Sur"/>
  </r>
  <r>
    <s v="23540676"/>
    <s v="ENENOR"/>
    <s v="NUEVO"/>
    <s v="ENENOR"/>
    <s v="16/09/2025 11:21:57"/>
    <s v="2025-11-20 21:41:00"/>
    <n v="1038814449"/>
    <s v="LEIDY LORENA HIGUITA DAVID"/>
    <s v="SIN DATOS"/>
    <s v="3007709441"/>
    <s v="CL 48 D CR 121 C -23"/>
    <x v="0"/>
    <s v="084218401300230000"/>
    <s v="Medellín"/>
    <x v="2"/>
    <s v="Revisor Instal. Regadas Metrosur"/>
    <x v="0"/>
    <n v="7"/>
    <s v="2025-12-01 21:41:00"/>
    <s v="0 días 21:41"/>
    <s v="6 días 21:41"/>
    <x v="0"/>
    <s v="SIN DATO"/>
    <s v="SIN DATO"/>
    <s v="SIN DATO"/>
    <s v="ABIERTO"/>
    <n v="-75.6286001"/>
    <n v="6.2679910000000003"/>
    <s v="SUR-ENE"/>
    <s v="Metropolitana Sur"/>
  </r>
  <r>
    <s v="23540684"/>
    <s v="ENERES"/>
    <s v="NUEVO"/>
    <s v="ENERES"/>
    <s v="16/09/2025 11:27:36"/>
    <s v="2025-11-19 21:40:11"/>
    <n v="71748800"/>
    <s v="FABIAN DARIO GIRALDO ARISTIZABAL"/>
    <s v="5000000"/>
    <s v="3128800125"/>
    <s v="CL 65 CR 45 A -66 (INTERIOR 101 )"/>
    <x v="2"/>
    <s v="076415005100660101"/>
    <s v="Itaguí"/>
    <x v="1"/>
    <s v="Revisor Instal. Regadas Metrosur"/>
    <x v="0"/>
    <n v="7"/>
    <s v="2025-11-28 21:40:11"/>
    <s v="2 días 21:40"/>
    <s v="5 días 21:40"/>
    <x v="0"/>
    <s v="SIN DATO"/>
    <s v="SIN DATO"/>
    <s v="SIN DATO"/>
    <s v="ABIERTO"/>
    <n v="-75.598052999999993"/>
    <n v="6.1787619999999999"/>
    <s v="SUR-ENE"/>
    <s v="Metropolitana Sur"/>
  </r>
  <r>
    <s v="23540876"/>
    <s v="ENERES"/>
    <s v="NUEVO"/>
    <s v="ENERES"/>
    <s v="16/09/2025 14:06:09"/>
    <s v="2025-11-19 21:43:19"/>
    <n v="44004142"/>
    <s v="MARIA TERESA RIVERA MEJIA"/>
    <s v="SIN DATOS"/>
    <s v="3003023706"/>
    <s v="CL 46 DD CR 2 AD -4 (INTERIOR 302 )"/>
    <x v="0"/>
    <s v="054016442140040302"/>
    <s v="Medellín"/>
    <x v="1"/>
    <s v="Revisor Instal. Regadas Metrosur"/>
    <x v="0"/>
    <n v="7"/>
    <s v="2025-11-28 21:43:19"/>
    <s v="2 días 21:43"/>
    <s v="5 días 21:43"/>
    <x v="0"/>
    <s v="SIN DATO"/>
    <s v="SIN DATO"/>
    <s v="SIN DATO"/>
    <s v="ABIERTO"/>
    <n v="-75.530877050000001"/>
    <n v="6.2286028900000003"/>
    <s v="SUR-ENE"/>
    <s v="Metropolitana Sur"/>
  </r>
  <r>
    <s v="23541409"/>
    <s v="ENERES"/>
    <s v="NUEVO"/>
    <s v="ENERES"/>
    <s v="17/09/2025 10:33:52"/>
    <s v="2025-11-19 21:43:27"/>
    <n v="94350721"/>
    <s v="ORLANDO DE JESUS GIRALDO SALAZAR"/>
    <s v="SIN DATOS"/>
    <s v="3011106618"/>
    <s v="CR 56 A CL 54 A -8 (INTERIOR 101 )"/>
    <x v="0"/>
    <s v="055526104100080101"/>
    <s v="Medellín"/>
    <x v="1"/>
    <s v="Revisor Instal. Regadas Metrosur"/>
    <x v="0"/>
    <n v="7"/>
    <s v="2025-11-28 21:43:27"/>
    <s v="2 días 21:43"/>
    <s v="5 días 21:43"/>
    <x v="0"/>
    <s v="SIN DATO"/>
    <s v="SIN DATO"/>
    <s v="SIN DATO"/>
    <s v="ABIERTO"/>
    <n v="-75.572222479999994"/>
    <n v="6.2554813600000001"/>
    <s v="SUR-ENE"/>
    <s v="Metropolitana Sur"/>
  </r>
  <r>
    <s v="23541551"/>
    <s v="ENERES"/>
    <s v="NUEVO"/>
    <s v="ENERES"/>
    <s v="17/09/2025 12:15:36"/>
    <s v="2025-11-19 21:40:53"/>
    <n v="14249065"/>
    <s v="WILLIAM DE JESUS HOYOS HOYOS"/>
    <s v="SIN DATOS"/>
    <s v="3504244840"/>
    <s v="CL 63 CR 142 -86 (INTERIOR 127 )"/>
    <x v="0"/>
    <s v="086413002000860127"/>
    <s v="Medellín"/>
    <x v="1"/>
    <s v="Revisor Instal. Regadas Metrosur"/>
    <x v="0"/>
    <n v="7"/>
    <s v="2025-11-28 21:40:53"/>
    <s v="2 días 21:40"/>
    <s v="5 días 21:40"/>
    <x v="0"/>
    <s v="SIN DATO"/>
    <s v="SIN DATO"/>
    <s v="SIN DATO"/>
    <s v="ABIERTO"/>
    <n v="-75.642425750000001"/>
    <n v="6.2802868600000004"/>
    <s v="SUR-ENE"/>
    <s v="Metropolitana Sur"/>
  </r>
  <r>
    <s v="23541807"/>
    <s v="ENERES"/>
    <s v="NUEVO"/>
    <s v="ENEDOM"/>
    <s v="17/09/2025 15:53:27"/>
    <s v="2025-11-04 17:04:04"/>
    <n v="43321359"/>
    <s v="BEATRIZ ELENA ALARCON ALVAREZ"/>
    <s v="SIN DATOS"/>
    <s v="3153230297"/>
    <s v="RURAL_159117949900000305_PROV.159117949900000301"/>
    <x v="4"/>
    <s v="159117949900000305"/>
    <s v="La Estrella"/>
    <x v="0"/>
    <s v="MET Rev-Inst-Concentra E_CR014"/>
    <x v="1"/>
    <n v="8"/>
    <s v="2025-11-14 17:04:04"/>
    <s v="12 días 17:04"/>
    <s v="VENCIDO"/>
    <x v="1"/>
    <s v="SIN DATO"/>
    <s v="SIN DATO"/>
    <s v="SIN DATO"/>
    <s v="ABIERTO"/>
    <n v="-75.631997999999996"/>
    <n v="6.1167420000000003"/>
    <s v="SUR-ENE"/>
    <s v="Metropolitana Sur"/>
  </r>
  <r>
    <s v="23541866"/>
    <s v="ENERES"/>
    <s v="NUEVO"/>
    <s v="ENEDOM"/>
    <s v="17/09/2025 16:26:09"/>
    <s v="2025-11-04 17:05:10"/>
    <n v="43321359"/>
    <s v="BEATRIZ ELENA ALARCON ALVAREZ"/>
    <s v="SIN DATOS"/>
    <s v="3153230297"/>
    <s v="RURAL_159118200000000302_PROV CL 100 D SUR CR 48 B"/>
    <x v="4"/>
    <s v="159118200000000302"/>
    <s v="La Estrella"/>
    <x v="0"/>
    <s v="MET Rev-Inst-Concentra E_CR014"/>
    <x v="1"/>
    <n v="8"/>
    <s v="2025-11-14 17:05:10"/>
    <s v="12 días 17:05"/>
    <s v="VENCIDO"/>
    <x v="1"/>
    <s v="SIN DATO"/>
    <s v="SIN DATO"/>
    <s v="SIN DATO"/>
    <s v="ABIERTO"/>
    <n v="-75.631773999999993"/>
    <n v="6.1164398000000002"/>
    <s v="SUR-ENE"/>
    <s v="Metropolitana Sur"/>
  </r>
  <r>
    <s v="23542405"/>
    <s v="ENERES"/>
    <s v="NUEVO"/>
    <s v="ENERES"/>
    <s v="18/09/2025 08:44:58"/>
    <s v="2025-11-15 21:51:28"/>
    <n v="1064709921"/>
    <s v="SHIRLEY QUINTERO DE AGUAS"/>
    <s v="SIN DATOS"/>
    <s v="3206333548"/>
    <s v="CL 62 B CR 94 B -58"/>
    <x v="0"/>
    <s v="056912204200580000"/>
    <s v="Medellín"/>
    <x v="1"/>
    <s v="METROSUR Vin. Leg. Ref. Concentrada"/>
    <x v="0"/>
    <n v="7"/>
    <s v="2025-11-26 21:51:28"/>
    <s v="4 días 21:51"/>
    <s v="3 días 21:51"/>
    <x v="0"/>
    <s v="SIN DATO"/>
    <s v="SIN DATO"/>
    <s v="SIN DATO"/>
    <s v="ABIERTO"/>
    <n v="-75.605977999999993"/>
    <n v="6.2775800000000004"/>
    <s v="SUR-ENE"/>
    <s v="Metropolitana Sur"/>
  </r>
  <r>
    <s v="23542424"/>
    <s v="ENERES"/>
    <s v="NUEVO"/>
    <s v="ENERES"/>
    <s v="18/09/2025 09:02:58"/>
    <s v="2025-11-15 21:38:52"/>
    <n v="1064709921"/>
    <s v="SHIRLEY QUINTERO DE AGUAS"/>
    <s v="SIN DATOS"/>
    <s v="3206333548"/>
    <s v="CL 62 B CR 94 B -58 (INTERIOR 201 )"/>
    <x v="0"/>
    <s v="056912204200580201"/>
    <s v="Medellín"/>
    <x v="1"/>
    <s v="METROSUR Vin. Leg. Ref. Concentrada"/>
    <x v="0"/>
    <n v="7"/>
    <s v="2025-11-26 21:38:52"/>
    <s v="4 días 21:38"/>
    <s v="3 días 21:38"/>
    <x v="0"/>
    <s v="SIN DATO"/>
    <s v="SIN DATO"/>
    <s v="SIN DATO"/>
    <s v="ABIERTO"/>
    <n v="-75.605977999999993"/>
    <n v="6.2775800000000004"/>
    <s v="SUR-ENE"/>
    <s v="Metropolitana Sur"/>
  </r>
  <r>
    <s v="23542749"/>
    <s v="ENERES"/>
    <s v="NUEVO"/>
    <s v="ENERES"/>
    <s v="18/09/2025 13:15:56"/>
    <s v="2025-11-12 21:49:40"/>
    <n v="1026149467"/>
    <s v="YENNY ALEJANDRA GUZMAN BETANCUR"/>
    <s v="SIN DATOS"/>
    <s v="3117902767"/>
    <s v="RURAL_161096293000000067_VEREDA SALADA PARTE BAJA"/>
    <x v="3"/>
    <s v="161096293000000067"/>
    <s v="Caldas"/>
    <x v="1"/>
    <s v="MET Rev-Inst-Concentra E_CR014"/>
    <x v="1"/>
    <n v="10"/>
    <s v="2025-11-27 21:49:40"/>
    <s v="6 días 21:49"/>
    <s v="4 días 21:49"/>
    <x v="0"/>
    <s v="SIN DATO"/>
    <s v="SIN DATO"/>
    <s v="SIN DATO"/>
    <s v="ABIERTO"/>
    <n v="-75.625281909999998"/>
    <n v="6.05262601"/>
    <s v="SUR-ENE"/>
    <s v="Metropolitana Sur"/>
  </r>
  <r>
    <s v="23543349"/>
    <s v="ENERES"/>
    <s v="NUEVO"/>
    <s v="ENERES"/>
    <s v="19/09/2025 08:21:35"/>
    <s v="2025-11-15 21:39:27"/>
    <n v="1128266481"/>
    <s v="LILI JOHANA ECHAVARRIA AREIZA"/>
    <s v="3574477"/>
    <s v="3197647612"/>
    <s v="CR 84 FF CL 21 -19"/>
    <x v="0"/>
    <s v="052824661000190000"/>
    <s v="Medellín"/>
    <x v="1"/>
    <s v="Revisor Instal. Regadas Metrosur"/>
    <x v="0"/>
    <n v="7"/>
    <s v="2025-11-26 21:39:27"/>
    <s v="4 días 21:39"/>
    <s v="3 días 21:39"/>
    <x v="0"/>
    <s v="SIN DATO"/>
    <s v="SIN DATO"/>
    <s v="SIN DATO"/>
    <s v="ABIERTO"/>
    <n v="-75.608866370000001"/>
    <n v="6.2267254999999997"/>
    <s v="SUR-ENE"/>
    <s v="Metropolitana Sur"/>
  </r>
  <r>
    <s v="23543388"/>
    <s v="ENERES"/>
    <s v="NUEVO"/>
    <s v="ENERES"/>
    <s v="19/09/2025 09:06:20"/>
    <s v="2025-11-12 21:49:36"/>
    <n v="1028005363"/>
    <s v="JULIANA  ALVAREZ"/>
    <s v="SIN DATOS"/>
    <s v="3017902755"/>
    <s v="RURAL_161095804000000303_VEREDA LA CLARA"/>
    <x v="3"/>
    <s v="161095804000000303"/>
    <s v="Caldas"/>
    <x v="1"/>
    <s v="MET Rev-Inst-Concentra E_CR014"/>
    <x v="1"/>
    <n v="10"/>
    <s v="2025-11-27 21:49:36"/>
    <s v="6 días 21:49"/>
    <s v="4 días 21:49"/>
    <x v="0"/>
    <s v="SIN DATO"/>
    <s v="SIN DATO"/>
    <s v="SIN DATO"/>
    <s v="ABIERTO"/>
    <n v="-75.626788329999997"/>
    <n v="6.0543135399999999"/>
    <s v="SUR-ENE"/>
    <s v="Metropolitana Sur"/>
  </r>
  <r>
    <s v="23543450"/>
    <s v="ENERES"/>
    <s v="NUEVO"/>
    <s v="ENERES"/>
    <s v="19/09/2025 10:02:38"/>
    <s v="2025-11-20 21:58:05"/>
    <n v="15511037"/>
    <s v="EDUAR JOHVANY JARAMILLO"/>
    <s v="SIN DATOS"/>
    <s v="3022960207"/>
    <s v="CR 83 A CL 33 B -5 (INTERIOR 401 )"/>
    <x v="0"/>
    <s v="053823103200050401"/>
    <s v="Medellín"/>
    <x v="1"/>
    <s v="MET Rev-Inst-Concentra E_CR014"/>
    <x v="0"/>
    <n v="7"/>
    <s v="2025-12-01 21:58:05"/>
    <s v="0 días 21:58"/>
    <s v="6 días 21:58"/>
    <x v="0"/>
    <s v="SIN DATO"/>
    <s v="SIN DATO"/>
    <s v="SIN DATO"/>
    <s v="ABIERTO"/>
    <n v="-75.606615820000002"/>
    <n v="6.2408473100000004"/>
    <s v="SUR-ENE"/>
    <s v="Metropolitana Sur"/>
  </r>
  <r>
    <s v="23543463"/>
    <s v="ENERES"/>
    <s v="NUEVO"/>
    <s v="ENERES"/>
    <s v="19/09/2025 10:10:51"/>
    <s v="2025-11-20 21:58:09"/>
    <n v="15511037"/>
    <s v="EDUAR JOHVANY JARAMILLO"/>
    <s v="SIN DATOS"/>
    <s v="3022960207"/>
    <s v="CR 83 A CL 33 B -5 (INTERIOR 402 )"/>
    <x v="0"/>
    <s v="053823103200050402"/>
    <s v="Medellín"/>
    <x v="1"/>
    <s v="MET Rev-Inst-Concentra E_CR014"/>
    <x v="0"/>
    <n v="7"/>
    <s v="2025-12-01 21:58:09"/>
    <s v="0 días 21:58"/>
    <s v="6 días 21:58"/>
    <x v="0"/>
    <s v="SIN DATO"/>
    <s v="SIN DATO"/>
    <s v="SIN DATO"/>
    <s v="ABIERTO"/>
    <n v="-75.606615820000002"/>
    <n v="6.2408473100000004"/>
    <s v="SUR-ENE"/>
    <s v="Metropolitana Sur"/>
  </r>
  <r>
    <s v="23543495"/>
    <s v="ENERES"/>
    <s v="NUEVO"/>
    <s v="ENEDOM"/>
    <s v="19/09/2025 10:23:20"/>
    <s v="2025-11-19 21:40:58"/>
    <n v="43839322"/>
    <s v="LUZ DARY MENDOZA PARRA"/>
    <s v="SIN DATOS"/>
    <s v="3014890587"/>
    <s v="RURAL_116005322810100059_CL 31C 110A 50(101)"/>
    <x v="0"/>
    <s v="116005322810100059"/>
    <s v="Medellín"/>
    <x v="0"/>
    <s v="Habilitación Viviendas Metrosur"/>
    <x v="1"/>
    <n v="8"/>
    <s v="2025-12-01 21:40:58"/>
    <s v="2 días 21:40"/>
    <s v="6 días 21:40"/>
    <x v="0"/>
    <s v="SIN DATO"/>
    <s v="SIN DATO"/>
    <s v="SIN DATO"/>
    <s v="ABIERTO"/>
    <n v="-75.630633329999995"/>
    <n v="6.2350233299999998"/>
    <s v="SUR-ENE"/>
    <s v="Metropolitana Sur"/>
  </r>
  <r>
    <s v="23543674"/>
    <s v="ENENOR"/>
    <s v="NUEVO"/>
    <s v="ENENOR"/>
    <s v="19/09/2025 12:51:35"/>
    <s v="2025-11-10 08:31:14"/>
    <n v="71393065"/>
    <s v="OSCAR DARIO CORREA VELEZ"/>
    <s v="3004072"/>
    <s v="3128171344"/>
    <s v="CR 51 CL 129 SUR -59"/>
    <x v="3"/>
    <s v="002521009000590000"/>
    <s v="Caldas"/>
    <x v="2"/>
    <s v="MET Rev-Inst-Concentra E_CR014"/>
    <x v="0"/>
    <n v="7"/>
    <s v="2025-11-20 08:31:14"/>
    <s v="8 días 08:31"/>
    <s v="VENCIDO"/>
    <x v="1"/>
    <s v="SIN DATO"/>
    <s v="SIN DATO"/>
    <s v="SIN DATO"/>
    <s v="ABIERTO"/>
    <n v="-75.636893520000001"/>
    <n v="6.0916210099999999"/>
    <s v="SUR-ENE"/>
    <s v="Metropolitana Sur"/>
  </r>
  <r>
    <s v="23543748"/>
    <s v="ENENOR"/>
    <s v="NUEVO"/>
    <s v="ENENOR"/>
    <s v="19/09/2025 14:03:50"/>
    <s v="2025-11-12 21:40:14"/>
    <n v="890980331"/>
    <s v="MUNICIPIO SABANETA"/>
    <s v="4486802"/>
    <s v="3136365454"/>
    <s v="CL 75 SUR CR 45 -77 (LC 1 )"/>
    <x v="5"/>
    <s v="017415005000770001"/>
    <s v="Sabaneta"/>
    <x v="2"/>
    <s v="METROSUR Vin. Leg. Ref. Concentrada"/>
    <x v="0"/>
    <n v="7"/>
    <s v="2025-11-24 21:40:14"/>
    <s v="6 días 21:40"/>
    <s v="1 días 21:40"/>
    <x v="2"/>
    <s v="SIN DATO"/>
    <s v="SIN DATO"/>
    <s v="SIN DATO"/>
    <s v="ABIERTO"/>
    <n v="-75.618769999999998"/>
    <n v="6.1497890000000002"/>
    <s v="SUR-ENE"/>
    <s v="Metropolitana Sur"/>
  </r>
  <r>
    <s v="23543751"/>
    <s v="ENENOR"/>
    <s v="NUEVO"/>
    <s v="ENENOR"/>
    <s v="19/09/2025 14:04:46"/>
    <s v="2025-11-12 21:40:18"/>
    <n v="890980331"/>
    <s v="MUNICIPIO SABANETA"/>
    <s v="4486802"/>
    <s v="3136365454"/>
    <s v="CL 75 SUR CR 45 -73 (LC 2 )"/>
    <x v="5"/>
    <s v="017415005000730002"/>
    <s v="Sabaneta"/>
    <x v="2"/>
    <s v="METROSUR Vin. Leg. Ref. Concentrada"/>
    <x v="0"/>
    <n v="7"/>
    <s v="2025-11-24 21:40:18"/>
    <s v="6 días 21:40"/>
    <s v="1 días 21:40"/>
    <x v="2"/>
    <s v="SIN DATO"/>
    <s v="SIN DATO"/>
    <s v="SIN DATO"/>
    <s v="ABIERTO"/>
    <n v="-75.618769999999998"/>
    <n v="6.1497890000000002"/>
    <s v="SUR-ENE"/>
    <s v="Metropolitana Sur"/>
  </r>
  <r>
    <s v="23543752"/>
    <s v="ENENOR"/>
    <s v="NUEVO"/>
    <s v="ENENOR"/>
    <s v="19/09/2025 14:06:10"/>
    <s v="2025-11-12 21:40:22"/>
    <n v="890980331"/>
    <s v="MUNICIPIO SABANETA"/>
    <s v="4486802"/>
    <s v="3136365454"/>
    <s v="CL 75 SUR CR 45 -69 (LC 3 )"/>
    <x v="5"/>
    <s v="017415005000690003"/>
    <s v="Sabaneta"/>
    <x v="2"/>
    <s v="METROSUR Vin. Leg. Ref. Concentrada"/>
    <x v="0"/>
    <n v="7"/>
    <s v="2025-11-24 21:40:22"/>
    <s v="6 días 21:40"/>
    <s v="1 días 21:40"/>
    <x v="2"/>
    <s v="SIN DATO"/>
    <s v="SIN DATO"/>
    <s v="SIN DATO"/>
    <s v="ABIERTO"/>
    <n v="-75.618680999999995"/>
    <n v="6.149654"/>
    <s v="SUR-ENE"/>
    <s v="Metropolitana Sur"/>
  </r>
  <r>
    <s v="23543753"/>
    <s v="ENENOR"/>
    <s v="NUEVO"/>
    <s v="ENENOR"/>
    <s v="19/09/2025 14:07:35"/>
    <s v="2025-11-12 21:40:26"/>
    <n v="890980331"/>
    <s v="MUNICIPIO SABANETA"/>
    <s v="4486802"/>
    <s v="3136365454"/>
    <s v="CL 75 SUR CR 45 -65 (LC 4 )"/>
    <x v="5"/>
    <s v="017415005000650004"/>
    <s v="Sabaneta"/>
    <x v="2"/>
    <s v="METROSUR Vin. Leg. Ref. Concentrada"/>
    <x v="0"/>
    <n v="7"/>
    <s v="2025-11-24 21:40:26"/>
    <s v="6 días 21:40"/>
    <s v="1 días 21:40"/>
    <x v="2"/>
    <s v="SIN DATO"/>
    <s v="SIN DATO"/>
    <s v="SIN DATO"/>
    <s v="ABIERTO"/>
    <n v="-75.618680999999995"/>
    <n v="6.149654"/>
    <s v="SUR-ENE"/>
    <s v="Metropolitana Sur"/>
  </r>
  <r>
    <s v="23543756"/>
    <s v="ENENOR"/>
    <s v="NUEVO"/>
    <s v="ENENOR"/>
    <s v="19/09/2025 14:09:25"/>
    <s v="2025-11-12 21:40:08"/>
    <n v="890980331"/>
    <s v="MUNICIPIO SABANETA"/>
    <s v="4486802"/>
    <s v="3136365454"/>
    <s v="CR 46 CL 75 SUR -20 (LC 5 )"/>
    <x v="5"/>
    <s v="017426005000200005"/>
    <s v="Sabaneta"/>
    <x v="2"/>
    <s v="METROSUR Vin. Leg. Ref. Concentrada"/>
    <x v="0"/>
    <n v="7"/>
    <s v="2025-11-24 21:40:08"/>
    <s v="6 días 21:40"/>
    <s v="1 días 21:40"/>
    <x v="2"/>
    <s v="SIN DATO"/>
    <s v="SIN DATO"/>
    <s v="SIN DATO"/>
    <s v="ABIERTO"/>
    <n v="-75.619851999999995"/>
    <n v="6.148981"/>
    <s v="SUR-ENE"/>
    <s v="Metropolitana Sur"/>
  </r>
  <r>
    <s v="23543865"/>
    <s v="ENENOR"/>
    <s v="NUEVO"/>
    <s v="ENENOR"/>
    <s v="19/09/2025 15:36:25"/>
    <s v="2025-11-19 21:40:20"/>
    <n v="4355134"/>
    <s v="GILDARDO MARTINEZ GOMEZ"/>
    <s v="SIN DATOS"/>
    <s v="3193290909"/>
    <s v="CL 64 CR 45 A -81 (INTERIOR 101 )"/>
    <x v="2"/>
    <s v="076414005100810101"/>
    <s v="Itaguí"/>
    <x v="2"/>
    <s v="Revisor Instal. Regadas Metrosur"/>
    <x v="0"/>
    <n v="7"/>
    <s v="2025-11-28 21:40:20"/>
    <s v="2 días 21:40"/>
    <s v="5 días 21:40"/>
    <x v="0"/>
    <s v="SIN DATO"/>
    <s v="SIN DATO"/>
    <s v="SIN DATO"/>
    <s v="ABIERTO"/>
    <n v="-75.598912619999993"/>
    <n v="6.1778248500000004"/>
    <s v="SUR-ENE"/>
    <s v="Metropolitana Sur"/>
  </r>
  <r>
    <s v="23543902"/>
    <s v="ENERES"/>
    <s v="NUEVO"/>
    <s v="ENERES"/>
    <s v="19/09/2025 16:09:26"/>
    <s v="2025-11-19 21:42:17"/>
    <n v="43099899"/>
    <s v="LUZ DARY ROMAN MESA"/>
    <s v="SIN DATOS"/>
    <s v="3017029758"/>
    <s v="CR 87 B CL 49 DD -130 (INTERIOR 220 )"/>
    <x v="0"/>
    <s v="054827209441300220"/>
    <s v="Medellín"/>
    <x v="1"/>
    <s v="Revisor Instal. Regadas Metrosur"/>
    <x v="0"/>
    <n v="7"/>
    <s v="2025-11-28 21:42:17"/>
    <s v="2 días 21:42"/>
    <s v="5 días 21:42"/>
    <x v="0"/>
    <s v="SIN DATO"/>
    <s v="SIN DATO"/>
    <s v="SIN DATO"/>
    <s v="ABIERTO"/>
    <n v="-75.605864999999994"/>
    <n v="6.2635750000000003"/>
    <s v="SUR-ENE"/>
    <s v="Metropolitana Sur"/>
  </r>
  <r>
    <s v="23545463"/>
    <s v="ENERES"/>
    <s v="NUEVO"/>
    <s v="ENEDOM"/>
    <s v="22/09/2025 09:29:00"/>
    <s v="2025-11-11 09:48:58"/>
    <n v="43091104"/>
    <s v="LUZ MERY DE JESUS CARMONA VALENCIA"/>
    <s v="SIN DATOS"/>
    <s v="3106713692"/>
    <s v="RURAL_146015586400000001_PROV.RURAL_14601558640000"/>
    <x v="0"/>
    <s v="146015586400000001"/>
    <s v="Medellín"/>
    <x v="0"/>
    <s v="Habilitación Viviendas Metrosur"/>
    <x v="1"/>
    <n v="8"/>
    <s v="2025-11-24 09:48:58"/>
    <s v="7 días 09:48"/>
    <s v="1 días 09:48"/>
    <x v="2"/>
    <s v="SIN DATO"/>
    <s v="SIN DATO"/>
    <s v="SIN DATO"/>
    <s v="ABIERTO"/>
    <n v="-75.688861000000003"/>
    <n v="6.3401940000000003"/>
    <s v="SUR-ENE"/>
    <s v="Metropolitana Sur"/>
  </r>
  <r>
    <s v="23545685"/>
    <s v="ENERES"/>
    <s v="NUEVO"/>
    <s v="ENERES"/>
    <s v="22/09/2025 11:35:52"/>
    <s v="2025-11-15 21:39:44"/>
    <n v="43847673"/>
    <s v="ROSA MARIA ORTIZ MONCADA"/>
    <s v="SIN DATOS"/>
    <s v="3116014942"/>
    <s v="CR 106 B CL 62 BB -15 (INTERIOR 201 )"/>
    <x v="0"/>
    <s v="086026202220150201"/>
    <s v="Medellín"/>
    <x v="1"/>
    <s v="METROSUR Vin. Leg. Ref. Concentrada"/>
    <x v="0"/>
    <n v="7"/>
    <s v="2025-11-26 21:39:44"/>
    <s v="4 días 21:39"/>
    <s v="3 días 21:39"/>
    <x v="0"/>
    <s v="SIN DATO"/>
    <s v="SIN DATO"/>
    <s v="SIN DATO"/>
    <s v="ABIERTO"/>
    <n v="-75.617171490000004"/>
    <n v="6.2760647699999996"/>
    <s v="SUR-ENE"/>
    <s v="Metropolitana Sur"/>
  </r>
  <r>
    <s v="23545698"/>
    <s v="ENERES"/>
    <s v="NUEVO"/>
    <s v="ENERES"/>
    <s v="22/09/2025 11:43:41"/>
    <s v="2025-11-15 21:39:48"/>
    <n v="43847673"/>
    <s v="ROSA MARIA ORTIZ MONCADA"/>
    <s v="SIN DATOS"/>
    <s v="3116014942"/>
    <s v="CR 106 B CL 62 BB -15 (INTERIOR 301 )"/>
    <x v="0"/>
    <s v="086026202220150301"/>
    <s v="Medellín"/>
    <x v="1"/>
    <s v="METROSUR Vin. Leg. Ref. Concentrada"/>
    <x v="0"/>
    <n v="7"/>
    <s v="2025-11-26 21:39:48"/>
    <s v="4 días 21:39"/>
    <s v="3 días 21:39"/>
    <x v="0"/>
    <s v="SIN DATO"/>
    <s v="SIN DATO"/>
    <s v="SIN DATO"/>
    <s v="ABIERTO"/>
    <n v="-75.617171490000004"/>
    <n v="6.2760647699999996"/>
    <s v="SUR-ENE"/>
    <s v="Metropolitana Sur"/>
  </r>
  <r>
    <s v="23546046"/>
    <s v="ENERES"/>
    <s v="NUEVO"/>
    <s v="ENERES"/>
    <s v="22/09/2025 16:04:28"/>
    <s v="2025-11-20 16:43:50"/>
    <n v="43688434"/>
    <s v="MARIA DEL CARMEN VELEZ MOLINA"/>
    <s v="SIN DATOS"/>
    <s v="3165072032"/>
    <s v="RURAL_159146326000000002_PROV.LA TABLAZA"/>
    <x v="4"/>
    <s v="159146326000000002"/>
    <s v="La Estrella"/>
    <x v="1"/>
    <s v="MET Rev-Inst-Concentra E_CR014"/>
    <x v="1"/>
    <n v="10"/>
    <s v="2025-12-04 16:43:50"/>
    <s v="0 días 16:43"/>
    <s v="9 días 16:43"/>
    <x v="0"/>
    <s v="SIN DATO"/>
    <s v="SIN DATO"/>
    <s v="SIN DATO"/>
    <s v="ABIERTO"/>
    <n v="-75.638875369999994"/>
    <n v="6.1188010999999998"/>
    <s v="SUR-ENE"/>
    <s v="Metropolitana Sur"/>
  </r>
  <r>
    <s v="23546123"/>
    <s v="ENERES"/>
    <s v="NUEVO"/>
    <s v="ENERES"/>
    <s v="22/09/2025 16:48:03"/>
    <s v="2025-11-19 21:43:31"/>
    <n v="43734995"/>
    <s v="LINA MARIA ALVAREZ HOLGUIN"/>
    <s v="3429487"/>
    <s v="3105386966"/>
    <s v="CL 25 CR 79 -274"/>
    <x v="0"/>
    <s v="052715009002740000"/>
    <s v="Medellín"/>
    <x v="1"/>
    <s v="Revisor Instal. Regadas Metrosur"/>
    <x v="0"/>
    <n v="7"/>
    <s v="2025-11-28 21:43:31"/>
    <s v="2 días 21:43"/>
    <s v="5 días 21:43"/>
    <x v="0"/>
    <s v="SIN DATO"/>
    <s v="SIN DATO"/>
    <s v="SIN DATO"/>
    <s v="ABIERTO"/>
    <n v="-75.600928519999997"/>
    <n v="6.2273551100000004"/>
    <s v="SUR-ENE"/>
    <s v="Metropolitana Sur"/>
  </r>
  <r>
    <s v="23546592"/>
    <s v="ENERES"/>
    <s v="NUEVO"/>
    <s v="ENEDOM"/>
    <s v="23/09/2025 09:24:05"/>
    <s v="2025-11-12 09:58:28"/>
    <n v="71391065"/>
    <s v="DIEGO ALFONSO LOPEZ CORREA"/>
    <s v="SIN DATOS"/>
    <s v="3216384586"/>
    <s v="RURAL_161025393000000009_161025393000000000_PRIMAV"/>
    <x v="3"/>
    <s v="161025393000000009"/>
    <s v="Caldas"/>
    <x v="0"/>
    <s v="MET Rev-Inst-Concentra E_CR014"/>
    <x v="1"/>
    <n v="8"/>
    <s v="2025-11-25 09:58:28"/>
    <s v="6 días 09:58"/>
    <s v="2 días 09:58"/>
    <x v="2"/>
    <s v="SIN DATO"/>
    <s v="SIN DATO"/>
    <s v="SIN DATO"/>
    <s v="ABIERTO"/>
    <n v="-75.635639749999996"/>
    <n v="6.0736636800000001"/>
    <s v="SUR-ENE"/>
    <s v="Metropolitana Sur"/>
  </r>
  <r>
    <s v="23546595"/>
    <s v="ENERES"/>
    <s v="NUEVO"/>
    <s v="ENERES"/>
    <s v="23/09/2025 09:25:47"/>
    <s v="2025-11-20 21:58:14"/>
    <n v="15511037"/>
    <s v="EDUAR JOHVANY JARAMILLO"/>
    <s v="SIN DATOS"/>
    <s v="3022960207"/>
    <s v="CR 83 A CL 33 B -5 (INTERIOR 501 )"/>
    <x v="0"/>
    <s v="053823103200050501"/>
    <s v="Medellín"/>
    <x v="1"/>
    <s v="MET Rev-Inst-Concentra E_CR014"/>
    <x v="0"/>
    <n v="7"/>
    <s v="2025-12-01 21:58:14"/>
    <s v="0 días 21:58"/>
    <s v="6 días 21:58"/>
    <x v="0"/>
    <s v="SIN DATO"/>
    <s v="SIN DATO"/>
    <s v="SIN DATO"/>
    <s v="ABIERTO"/>
    <n v="-75.606615820000002"/>
    <n v="6.2408473100000004"/>
    <s v="SUR-ENE"/>
    <s v="Metropolitana Sur"/>
  </r>
  <r>
    <s v="23546598"/>
    <s v="ENERES"/>
    <s v="NUEVO"/>
    <s v="ENERES"/>
    <s v="23/09/2025 09:27:59"/>
    <s v="2025-11-20 21:58:17"/>
    <n v="15511037"/>
    <s v="EDUAR JOHVANY JARAMILLO"/>
    <s v="SIN DATOS"/>
    <s v="3022960207"/>
    <s v="CR 83 A CL 33 B -5 (INTERIOR 601 )"/>
    <x v="0"/>
    <s v="053823103200050601"/>
    <s v="Medellín"/>
    <x v="1"/>
    <s v="MET Rev-Inst-Concentra E_CR014"/>
    <x v="0"/>
    <n v="7"/>
    <s v="2025-12-01 21:58:17"/>
    <s v="0 días 21:58"/>
    <s v="6 días 21:58"/>
    <x v="0"/>
    <s v="SIN DATO"/>
    <s v="SIN DATO"/>
    <s v="SIN DATO"/>
    <s v="ABIERTO"/>
    <n v="-75.606615820000002"/>
    <n v="6.2408473100000004"/>
    <s v="SUR-ENE"/>
    <s v="Metropolitana Sur"/>
  </r>
  <r>
    <s v="23546621"/>
    <s v="ENERES"/>
    <s v="NUEVO"/>
    <s v="ENEDOM"/>
    <s v="23/09/2025 09:42:48"/>
    <s v="2025-11-12 21:50:30"/>
    <n v="43752510"/>
    <s v="PAULA CRISTINA ATEHORTUA BRAN"/>
    <s v="SIN DATOS"/>
    <s v="3046822450"/>
    <s v="RURAL_161117100000000001"/>
    <x v="3"/>
    <s v="161117100000000001"/>
    <s v="Caldas"/>
    <x v="0"/>
    <s v="MET Rev-Inst-Concentra E_CR014"/>
    <x v="1"/>
    <n v="8"/>
    <s v="2025-11-25 21:50:30"/>
    <s v="6 días 21:50"/>
    <s v="2 días 21:50"/>
    <x v="2"/>
    <s v="SIN DATO"/>
    <s v="SIN DATO"/>
    <s v="SIN DATO"/>
    <s v="ABIERTO"/>
    <n v="-75.621536890000002"/>
    <n v="6.0882243899999997"/>
    <s v="SUR-ENE"/>
    <s v="Metropolitana Sur"/>
  </r>
  <r>
    <s v="23546766"/>
    <s v="ENERES"/>
    <s v="NUEVO"/>
    <s v="ENERES"/>
    <s v="23/09/2025 11:07:37"/>
    <s v="2025-11-19 21:44:04"/>
    <n v="32090693"/>
    <s v="DIANA  AMPARO GUTIERREZ  ROJO"/>
    <s v="2693588"/>
    <s v="3136394237"/>
    <s v="CL 47 D CR 1 -42 (INTERIOR 101 )"/>
    <x v="0"/>
    <s v="054017401000420101"/>
    <s v="Medellín"/>
    <x v="1"/>
    <s v="Revisor Instal. Regadas Metrosur"/>
    <x v="0"/>
    <n v="7"/>
    <s v="2025-11-28 21:44:04"/>
    <s v="2 días 21:44"/>
    <s v="5 días 21:44"/>
    <x v="0"/>
    <s v="SIN DATO"/>
    <s v="SIN DATO"/>
    <s v="SIN DATO"/>
    <s v="ABIERTO"/>
    <n v="-75.528627130000004"/>
    <n v="6.22896056"/>
    <s v="SUR-ENE"/>
    <s v="Metropolitana Sur"/>
  </r>
  <r>
    <s v="23546805"/>
    <s v="ENENOR"/>
    <s v="NUEVO"/>
    <s v="ENENOR"/>
    <s v="23/09/2025 11:37:56"/>
    <s v="2025-11-08 22:26:04"/>
    <n v="890923668"/>
    <s v="METRO DE MEDELLIN LTDA."/>
    <s v="4548888"/>
    <s v="3054260060"/>
    <s v="CR 49 CL 37 SUR -130 (INTERIOR 120 )"/>
    <x v="1"/>
    <s v="023429007001300120"/>
    <s v="Envigado"/>
    <x v="2"/>
    <s v="MET Rev-Inst-Concentra E_CR014"/>
    <x v="0"/>
    <n v="7"/>
    <s v="2025-11-19 22:26:04"/>
    <s v="9 días 22:26"/>
    <s v="VENCIDO"/>
    <x v="1"/>
    <s v="SIN DATO"/>
    <s v="SIN DATO"/>
    <s v="SIN DATO"/>
    <s v="ABIERTO"/>
    <n v="-75.596101000000004"/>
    <n v="6.1743085000000004"/>
    <s v="SUR-ENE"/>
    <s v="Metropolitana Sur"/>
  </r>
  <r>
    <s v="23546835"/>
    <s v="ENERES"/>
    <s v="NUEVO"/>
    <s v="ENERES"/>
    <s v="23/09/2025 11:59:50"/>
    <s v="2025-11-19 21:44:08"/>
    <n v="32090693"/>
    <s v="DIANA  AMPARO GUTIERREZ  ROJO"/>
    <s v="SIN DATOS"/>
    <s v="3127268599"/>
    <s v="CL 47 D CR 1 -42 (INTERIOR 102 )"/>
    <x v="0"/>
    <s v="054017401000420102"/>
    <s v="Medellín"/>
    <x v="1"/>
    <s v="Revisor Instal. Regadas Metrosur"/>
    <x v="0"/>
    <n v="7"/>
    <s v="2025-11-28 21:44:08"/>
    <s v="2 días 21:44"/>
    <s v="5 días 21:44"/>
    <x v="0"/>
    <s v="SIN DATO"/>
    <s v="SIN DATO"/>
    <s v="SIN DATO"/>
    <s v="ABIERTO"/>
    <n v="-75.528627130000004"/>
    <n v="6.22896056"/>
    <s v="SUR-ENE"/>
    <s v="Metropolitana Sur"/>
  </r>
  <r>
    <s v="23546858"/>
    <s v="ENERES"/>
    <s v="NUEVO"/>
    <s v="ENEDOM"/>
    <s v="23/09/2025 12:15:04"/>
    <s v="2025-11-14 21:54:40"/>
    <n v="1192816161"/>
    <s v="YURIS YARIDIS GASPAR QUINTERO"/>
    <s v="SIN DATOS"/>
    <s v="3187694014"/>
    <s v="CL 62 CR 96 A -157 (INTERIOR 225 )"/>
    <x v="0"/>
    <s v="056912006101570225"/>
    <s v="Medellín"/>
    <x v="0"/>
    <s v="Habilitación Viviendas Metrosur"/>
    <x v="0"/>
    <n v="5"/>
    <s v="2025-11-24 21:54:40"/>
    <s v="4 días 21:54"/>
    <s v="1 días 21:54"/>
    <x v="2"/>
    <s v="SIN DATO"/>
    <s v="SIN DATO"/>
    <s v="SIN DATO"/>
    <s v="ABIERTO"/>
    <n v="-75.607009000000005"/>
    <n v="6.2786229999999996"/>
    <s v="SUR-ENE"/>
    <s v="Metropolitana Sur"/>
  </r>
  <r>
    <s v="23546880"/>
    <s v="ENERES"/>
    <s v="NUEVO"/>
    <s v="ENERES"/>
    <s v="23/09/2025 12:35:33"/>
    <s v="2025-11-20 21:41:05"/>
    <n v="42763236"/>
    <s v="GLORIA AMPARO VALENCIA ESCOBAR"/>
    <s v="SIN DATOS"/>
    <s v="3002461063"/>
    <s v="CR 53 CL 34 B -41"/>
    <x v="2"/>
    <s v="073523004200410000"/>
    <s v="Itaguí"/>
    <x v="1"/>
    <s v="Revisor Instal. Regadas Metrosur"/>
    <x v="0"/>
    <n v="7"/>
    <s v="2025-12-01 21:41:05"/>
    <s v="0 días 21:41"/>
    <s v="6 días 21:41"/>
    <x v="0"/>
    <s v="SIN DATO"/>
    <s v="SIN DATO"/>
    <s v="SIN DATO"/>
    <s v="ABIERTO"/>
    <n v="-75.622332400000005"/>
    <n v="6.16797459"/>
    <s v="SUR-ENE"/>
    <s v="Metropolitana Sur"/>
  </r>
  <r>
    <s v="23546988"/>
    <s v="ENERES"/>
    <s v="NUEVO"/>
    <s v="ENERES"/>
    <s v="23/09/2025 13:56:54"/>
    <s v="2025-11-20 15:32:03"/>
    <n v="71777246"/>
    <s v="NESTOR EFREN ALVAREZ CALLE"/>
    <s v="SIN DATOS"/>
    <s v="3146107784"/>
    <s v="CL 34 AD CR 125 -20 (INTERIOR 301 )"/>
    <x v="0"/>
    <s v="083214145000200301"/>
    <s v="Medellín"/>
    <x v="1"/>
    <s v="Revisor Instal. Regadas Metrosur"/>
    <x v="0"/>
    <n v="7"/>
    <s v="2025-12-01 15:32:03"/>
    <s v="0 días 15:32"/>
    <s v="6 días 15:32"/>
    <x v="0"/>
    <s v="SIN DATO"/>
    <s v="SIN DATO"/>
    <s v="SIN DATO"/>
    <s v="ABIERTO"/>
    <n v="-75.633378359999995"/>
    <n v="6.24921025"/>
    <s v="SUR-ENE"/>
    <s v="Metropolitana Sur"/>
  </r>
  <r>
    <s v="23547075"/>
    <s v="ENENOR"/>
    <s v="NUEVO"/>
    <s v="ENENOR"/>
    <s v="23/09/2025 14:44:20"/>
    <s v="2025-11-18 13:21:29"/>
    <n v="811012208"/>
    <s v="ENVIASEO E.S.P."/>
    <s v="4487997"/>
    <s v="3153493476"/>
    <s v="RURAL_166035905300006000_VDA.EL VALLANO"/>
    <x v="1"/>
    <s v="166035905300006000"/>
    <s v="Envigado"/>
    <x v="2"/>
    <s v="Revisor Instal. Regadas Metrosur"/>
    <x v="1"/>
    <n v="10"/>
    <s v="2025-12-02 13:21:29"/>
    <s v="3 días 13:21"/>
    <s v="7 días 13:21"/>
    <x v="0"/>
    <s v="SIN DATO"/>
    <s v="SIN DATO"/>
    <s v="SIN DATO"/>
    <s v="ABIERTO"/>
    <n v="-75.579853110000002"/>
    <n v="6.1357671299999996"/>
    <s v="SUR-ENE"/>
    <s v="Metropolitana Sur"/>
  </r>
  <r>
    <s v="23547105"/>
    <s v="ENERES"/>
    <s v="NUEVO"/>
    <s v="ENEDOM"/>
    <s v="23/09/2025 15:02:03"/>
    <s v="2025-11-12 09:58:32"/>
    <n v="15257247"/>
    <s v="LIBARDO DE JESUS ARRUBLA LOPEZ"/>
    <s v="SIN DATOS"/>
    <s v="3122106406"/>
    <s v="RURAL_161004600000000004_PROV.LA AGUACATALA"/>
    <x v="3"/>
    <s v="161004600000000004"/>
    <s v="Caldas"/>
    <x v="0"/>
    <s v="MET Rev-Inst-Concentra E_CR014"/>
    <x v="1"/>
    <n v="8"/>
    <s v="2025-11-25 09:58:32"/>
    <s v="6 días 09:58"/>
    <s v="2 días 09:58"/>
    <x v="2"/>
    <s v="SIN DATO"/>
    <s v="SIN DATO"/>
    <s v="SIN DATO"/>
    <s v="ABIERTO"/>
    <n v="-75.644391999999996"/>
    <n v="6.1033770000000001"/>
    <s v="SUR-ENE"/>
    <s v="Metropolitana Sur"/>
  </r>
  <r>
    <s v="23548028"/>
    <s v="ENERES"/>
    <s v="NUEVO"/>
    <s v="ENEDOM"/>
    <s v="29/09/2025 11:55:57"/>
    <s v="2025-11-14 16:34:11"/>
    <n v="1036659292"/>
    <s v="YURANY ALEJANDRA HENAO HOLGUIN"/>
    <s v="SIN DATOS"/>
    <s v="3042446570"/>
    <s v="CR 58 CL 48 -46 (INTERIOR 210 )"/>
    <x v="2"/>
    <s v="074528008000460210"/>
    <s v="Itaguí"/>
    <x v="5"/>
    <s v="Habilitación Viviendas Metrosur"/>
    <x v="0"/>
    <n v="5"/>
    <s v="2025-11-24 16:34:11"/>
    <s v="4 días 16:34"/>
    <s v="1 días 16:34"/>
    <x v="2"/>
    <s v="SIN DATO"/>
    <s v="SIN DATO"/>
    <s v="SIN DATO"/>
    <s v="ABIERTO"/>
    <n v="-75.611142529999995"/>
    <n v="6.1768238100000001"/>
    <s v="SUR-ENE"/>
    <s v="Metropolitana Sur"/>
  </r>
  <r>
    <s v="23548265"/>
    <s v="ENERES"/>
    <s v="NUEVO"/>
    <s v="ENERES"/>
    <s v="24/09/2025 14:52:22"/>
    <s v="2025-11-14 21:53:11"/>
    <n v="70080671"/>
    <s v="IVAN DE JESUS OCAMPO BONILLA"/>
    <s v="3863361"/>
    <s v="3174800620"/>
    <s v="CL 51 CR 15 A -9 (INTERIOR 402 )"/>
    <x v="0"/>
    <s v="055111005100090402"/>
    <s v="Medellín"/>
    <x v="1"/>
    <s v="METROSUR Vin. Leg. Ref. Concentrada"/>
    <x v="0"/>
    <n v="7"/>
    <s v="2025-11-26 21:53:11"/>
    <s v="4 días 21:53"/>
    <s v="3 días 21:53"/>
    <x v="0"/>
    <s v="SIN DATO"/>
    <s v="SIN DATO"/>
    <s v="SIN DATO"/>
    <s v="ABIERTO"/>
    <n v="-75.541843830000005"/>
    <n v="6.2354862400000002"/>
    <s v="SUR-ENE"/>
    <s v="Metropolitana Sur"/>
  </r>
  <r>
    <s v="23548266"/>
    <s v="ENERES"/>
    <s v="NUEVO"/>
    <s v="ENERES"/>
    <s v="24/09/2025 14:52:44"/>
    <s v="2025-11-14 21:38:36"/>
    <n v="70080671"/>
    <s v="IVAN DE JESUS OCAMPO BONILLA"/>
    <s v="3863361"/>
    <s v="3174800620"/>
    <s v="CL 51 CR 15 A -9 (INTERIOR 401 )"/>
    <x v="0"/>
    <s v="055111005100090401"/>
    <s v="Medellín"/>
    <x v="1"/>
    <s v="METROSUR Vin. Leg. Ref. Concentrada"/>
    <x v="0"/>
    <n v="7"/>
    <s v="2025-11-26 21:38:36"/>
    <s v="4 días 21:38"/>
    <s v="3 días 21:38"/>
    <x v="0"/>
    <s v="SIN DATO"/>
    <s v="SIN DATO"/>
    <s v="SIN DATO"/>
    <s v="ABIERTO"/>
    <n v="-75.541843830000005"/>
    <n v="6.2354862400000002"/>
    <s v="SUR-ENE"/>
    <s v="Metropolitana Sur"/>
  </r>
  <r>
    <s v="23548922"/>
    <s v="ENERES"/>
    <s v="NUEVO"/>
    <s v="ENERES"/>
    <s v="25/09/2025 10:16:44"/>
    <s v="2025-11-12 09:58:59"/>
    <n v="70757270"/>
    <s v="HUGO ERNESTO MONTOYA TORO"/>
    <s v="SIN DATOS"/>
    <s v="3105361855"/>
    <s v="RURAL_161083300000000012"/>
    <x v="3"/>
    <s v="161083300000000012"/>
    <s v="Caldas"/>
    <x v="1"/>
    <s v="MET Rev-Inst-Concentra E_CR014"/>
    <x v="1"/>
    <n v="10"/>
    <s v="2025-11-27 09:58:59"/>
    <s v="6 días 09:58"/>
    <s v="4 días 09:58"/>
    <x v="0"/>
    <s v="SIN DATO"/>
    <s v="SIN DATO"/>
    <s v="SIN DATO"/>
    <s v="ABIERTO"/>
    <n v="-75.625926419999999"/>
    <n v="6.0252134000000002"/>
    <s v="SUR-ENE"/>
    <s v="Metropolitana Sur"/>
  </r>
  <r>
    <s v="23549099"/>
    <s v="ENEPRE"/>
    <s v="NUEVO"/>
    <s v="ENEPRE"/>
    <s v="25/09/2025 12:23:23"/>
    <s v="2025-11-19 21:42:21"/>
    <n v="1001398558"/>
    <s v="FRANKY ALDERNEY DAVID DAVID"/>
    <s v="SIN DATOS"/>
    <s v="3123361102"/>
    <s v="CL 48 FD CR 100 AE -49 (INTERIOR 201 )"/>
    <x v="0"/>
    <s v="084018640150490201"/>
    <s v="Medellín"/>
    <x v="0"/>
    <s v="Energía Prepago Metrosur"/>
    <x v="0"/>
    <n v="5"/>
    <s v="2025-11-26 21:42:21"/>
    <s v="2 días 21:42"/>
    <s v="3 días 21:42"/>
    <x v="0"/>
    <s v="SIN DATO"/>
    <s v="SIN DATO"/>
    <s v="SIN DATO"/>
    <s v="ABIERTO"/>
    <n v="-75.615593000000004"/>
    <n v="6.261755"/>
    <s v="SUR-ENE"/>
    <s v="Metropolitana Sur"/>
  </r>
  <r>
    <s v="23549164"/>
    <s v="ENERES"/>
    <s v="NUEVO"/>
    <s v="ENEDOM"/>
    <s v="25/09/2025 12:47:37"/>
    <s v="2025-11-15 21:40:12"/>
    <n v="1003047902"/>
    <s v="MARIA AUXILIADORA HERNANDEZ ARANGO"/>
    <s v="SIN DATOS"/>
    <s v="3137753309"/>
    <s v="RURAL_163021082000000001_RURAL ITAGUI LA MARIA"/>
    <x v="2"/>
    <s v="163021082000000001"/>
    <s v="Itaguí"/>
    <x v="0"/>
    <s v="Habilitación Viviendas Metrosur"/>
    <x v="1"/>
    <n v="8"/>
    <s v="2025-11-27 21:40:12"/>
    <s v="4 días 21:40"/>
    <s v="4 días 21:40"/>
    <x v="0"/>
    <s v="SIN DATO"/>
    <s v="SIN DATO"/>
    <s v="SIN DATO"/>
    <s v="ABIERTO"/>
    <n v="-75.626549389999994"/>
    <n v="6.1771974700000003"/>
    <s v="SUR-ENE"/>
    <s v="Metropolitana Sur"/>
  </r>
  <r>
    <s v="23549183"/>
    <s v="ENEPRE"/>
    <s v="NUEVO"/>
    <s v="ENEPRE"/>
    <s v="25/09/2025 13:22:02"/>
    <s v="2025-11-19 21:42:32"/>
    <n v="1001398558"/>
    <s v="FRANKY ALDERNEY DAVID DAVID"/>
    <s v="SIN DATOS"/>
    <s v="3123361102"/>
    <s v="CL 48 FD CR 100 AE -49 (INTERIOR 202 )"/>
    <x v="0"/>
    <s v="084018640150490202"/>
    <s v="Medellín"/>
    <x v="0"/>
    <s v="Energía Prepago Metrosur"/>
    <x v="0"/>
    <n v="5"/>
    <s v="2025-11-26 21:42:32"/>
    <s v="2 días 21:42"/>
    <s v="3 días 21:42"/>
    <x v="0"/>
    <s v="SIN DATO"/>
    <s v="SIN DATO"/>
    <s v="SIN DATO"/>
    <s v="ABIERTO"/>
    <n v="-75.615572999999998"/>
    <n v="6.2617580000000004"/>
    <s v="SUR-ENE"/>
    <s v="Metropolitana Sur"/>
  </r>
  <r>
    <s v="23549862"/>
    <s v="ENERES"/>
    <s v="NUEVO"/>
    <s v="ENEDOM"/>
    <s v="26/09/2025 09:24:59"/>
    <s v="2025-11-14 21:54:48"/>
    <n v="22100902"/>
    <s v="MARIELA RAMIREZ LOAIZA"/>
    <s v="4929112"/>
    <s v="3117952472"/>
    <s v="CL 34 D CR 112 F -122 (INTERIOR 201 )"/>
    <x v="0"/>
    <s v="083114402601220201"/>
    <s v="Medellín"/>
    <x v="0"/>
    <s v="Habilitación Viviendas Metrosur"/>
    <x v="0"/>
    <n v="5"/>
    <s v="2025-11-24 21:54:48"/>
    <s v="4 días 21:54"/>
    <s v="1 días 21:54"/>
    <x v="2"/>
    <s v="SIN DATO"/>
    <s v="SIN DATO"/>
    <s v="SIN DATO"/>
    <s v="ABIERTO"/>
    <n v="-75.626061370000002"/>
    <n v="6.2485393800000004"/>
    <s v="SUR-ENE"/>
    <s v="Metropolitana Sur"/>
  </r>
  <r>
    <s v="23551142"/>
    <s v="ENENOR"/>
    <s v="NUEVO"/>
    <s v="ENENOR"/>
    <s v="29/09/2025 09:12:43"/>
    <s v="2025-11-19 08:16:19"/>
    <n v="98707797"/>
    <s v="ANDRES BOTERO GARCIA"/>
    <s v="SIN DATOS"/>
    <s v="3105072582"/>
    <s v="CL 60 CR 74 A -178"/>
    <x v="0"/>
    <s v="056710004101780000"/>
    <s v="Medellín"/>
    <x v="2"/>
    <s v="Revisor Instal. Regadas Metrosur"/>
    <x v="0"/>
    <n v="7"/>
    <s v="2025-11-28 08:16:19"/>
    <s v="2 días 08:16"/>
    <s v="5 días 08:16"/>
    <x v="0"/>
    <s v="SIN DATO"/>
    <s v="SIN DATO"/>
    <s v="SIN DATO"/>
    <s v="ABIERTO"/>
    <n v="-75.58909955"/>
    <n v="6.2668565599999999"/>
    <s v="SUR-ENE"/>
    <s v="Metropolitana Sur"/>
  </r>
  <r>
    <s v="23551166"/>
    <s v="ENERES"/>
    <s v="NUEVO"/>
    <s v="ENERES"/>
    <s v="29/09/2025 09:34:26"/>
    <s v="2025-11-18 16:16:52"/>
    <n v="1152198552"/>
    <s v="CAROLINA ESPINAL HINCAPIE"/>
    <s v="SIN DATOS"/>
    <s v="3014822740"/>
    <s v="CL 44 A CR 73 -10 (INTERIOR 301 )"/>
    <x v="0"/>
    <s v="054714103000100301"/>
    <s v="Medellín"/>
    <x v="1"/>
    <s v="MET Rev-Inst-Concentra E_CR014"/>
    <x v="0"/>
    <n v="7"/>
    <s v="2025-11-27 16:16:52"/>
    <s v="3 días 16:16"/>
    <s v="4 días 16:16"/>
    <x v="0"/>
    <s v="SIN DATO"/>
    <s v="SIN DATO"/>
    <s v="SIN DATO"/>
    <s v="ABIERTO"/>
    <n v="-75.59235674"/>
    <n v="6.2504042399999999"/>
    <s v="SUR-ENE"/>
    <s v="Metropolitana Sur"/>
  </r>
  <r>
    <s v="23551784"/>
    <s v="ENENOR"/>
    <s v="NUEVO"/>
    <s v="ENENOR"/>
    <s v="29/09/2025 15:48:28"/>
    <s v="2025-11-14 21:53:27"/>
    <n v="8909236681"/>
    <s v="EMPRESA DE TRANSPORTE MASIVO VALLE DE ABURRA LTDA"/>
    <s v="SIN DATOS"/>
    <s v="3054260060"/>
    <s v="CR 49 CL 9 -69 (INTERIOR 120 )"/>
    <x v="0"/>
    <s v="050429009000690120"/>
    <s v="Medellín"/>
    <x v="2"/>
    <s v="MET Rev-Inst-Concentra E_CR014"/>
    <x v="0"/>
    <n v="7"/>
    <s v="2025-11-26 21:53:27"/>
    <s v="4 días 21:53"/>
    <s v="3 días 21:53"/>
    <x v="0"/>
    <s v="SIN DATO"/>
    <s v="SIN DATO"/>
    <s v="SIN DATO"/>
    <s v="ABIERTO"/>
    <n v="-75.577607999999998"/>
    <n v="6.2129120000000002"/>
    <s v="SUR-ENE"/>
    <s v="Metropolitana Sur"/>
  </r>
  <r>
    <s v="23551824"/>
    <s v="ENERES"/>
    <s v="NUEVO"/>
    <s v="ENEDOM"/>
    <s v="29/09/2025 16:11:13"/>
    <s v="2025-11-19 21:42:03"/>
    <n v="43496416"/>
    <s v="ADRIANA MARIA CORREA CASTAÑO"/>
    <s v="4386858"/>
    <s v="3008456777"/>
    <s v="CR 119 B CL 60 B -19 (INTERIOR 201 )"/>
    <x v="0"/>
    <s v="086129200200190201"/>
    <s v="Medellín"/>
    <x v="0"/>
    <s v="Habilitación Viviendas Metrosur"/>
    <x v="0"/>
    <n v="5"/>
    <s v="2025-11-26 21:42:03"/>
    <s v="2 días 21:42"/>
    <s v="3 días 21:42"/>
    <x v="0"/>
    <s v="SIN DATO"/>
    <s v="SIN DATO"/>
    <s v="SIN DATO"/>
    <s v="ABIERTO"/>
    <n v="-75.625715"/>
    <n v="6.2764319999999998"/>
    <s v="SUR-ENE"/>
    <s v="Metropolitana Sur"/>
  </r>
  <r>
    <s v="23551858"/>
    <s v="ENERES"/>
    <s v="NUEVO"/>
    <s v="ENEDOM"/>
    <s v="29/09/2025 16:32:56"/>
    <s v="2025-10-23 16:38:30"/>
    <n v="1017145643"/>
    <s v="OTONIEL DE JESUS HOLGUIN GALLEGO"/>
    <s v="SIN DATOS"/>
    <s v="3137869287"/>
    <s v="RURAL_159161334000000002_PROV.159161334000000000"/>
    <x v="4"/>
    <s v="159161334000000002"/>
    <s v="La Estrella"/>
    <x v="0"/>
    <s v="MET Rev-Inst-Concentra E_CR014"/>
    <x v="1"/>
    <n v="8"/>
    <s v="2025-11-05 16:38:30"/>
    <s v="19 días 16:38"/>
    <s v="VENCIDO"/>
    <x v="1"/>
    <s v="SIN DATO"/>
    <s v="SIN DATO"/>
    <s v="SIN DATO"/>
    <s v="ABIERTO"/>
    <n v="-75.641842780000005"/>
    <n v="6.1135202099999999"/>
    <s v="SUR-ENE"/>
    <s v="Metropolitana Sur"/>
  </r>
  <r>
    <s v="23551870"/>
    <s v="ENERES"/>
    <s v="NUEVO"/>
    <s v="ENEDOM"/>
    <s v="29/09/2025 16:40:26"/>
    <s v="2025-11-19 21:42:12"/>
    <n v="43068052"/>
    <s v="GLORIA AMPARO SANCHEZ MARIN"/>
    <s v="SIN DATOS"/>
    <s v="3175616657"/>
    <s v="CL 66 CR 140 -80"/>
    <x v="0"/>
    <s v="086416000000800000"/>
    <s v="Medellín"/>
    <x v="0"/>
    <s v="Habilitación Viviendas Metrosur"/>
    <x v="0"/>
    <n v="5"/>
    <s v="2025-11-26 21:42:12"/>
    <s v="2 días 21:42"/>
    <s v="3 días 21:42"/>
    <x v="0"/>
    <s v="SIN DATO"/>
    <s v="SIN DATO"/>
    <s v="SIN DATO"/>
    <s v="ABIERTO"/>
    <n v="-75.641147000000004"/>
    <n v="6.2826829999999996"/>
    <s v="SUR-ENE"/>
    <s v="Metropolitana Sur"/>
  </r>
  <r>
    <s v="23551882"/>
    <s v="ENERES"/>
    <s v="NUEVO"/>
    <s v="ENEDOM"/>
    <s v="29/09/2025 16:45:33"/>
    <s v="2025-11-19 21:42:08"/>
    <n v="43496416"/>
    <s v="ADRIANA MARIA CORREA CASTAÑO"/>
    <s v="4386858"/>
    <s v="3008456777"/>
    <s v="CR 119 B CL 60 B -19 (INTERIOR 301 )"/>
    <x v="0"/>
    <s v="086129200200190301"/>
    <s v="Medellín"/>
    <x v="0"/>
    <s v="Habilitación Viviendas Metrosur"/>
    <x v="0"/>
    <n v="5"/>
    <s v="2025-11-26 21:42:08"/>
    <s v="2 días 21:42"/>
    <s v="3 días 21:42"/>
    <x v="0"/>
    <s v="SIN DATO"/>
    <s v="SIN DATO"/>
    <s v="SIN DATO"/>
    <s v="ABIERTO"/>
    <n v="-75.625715"/>
    <n v="6.2764319999999998"/>
    <s v="SUR-ENE"/>
    <s v="Metropolitana Sur"/>
  </r>
  <r>
    <s v="23551974"/>
    <s v="ENECNX"/>
    <s v="NUEVO"/>
    <s v="ENECNX"/>
    <s v="14/11/2025 16:45:08"/>
    <s v="2025-11-14 16:45:08"/>
    <n v="900019519"/>
    <s v="METROPLUS S.A"/>
    <s v="5900236"/>
    <s v="3102107000"/>
    <s v="CL 12 SUR CR 50 GG -"/>
    <x v="0"/>
    <s v="041512000770000000"/>
    <s v="Medellín"/>
    <x v="8"/>
    <s v="Revisor Puntos de Conexión Metrosur"/>
    <x v="0"/>
    <n v="4"/>
    <s v="2025-11-21 16:45:08"/>
    <s v="4 días 16:45"/>
    <s v="0 días 16:45"/>
    <x v="3"/>
    <s v="SIN DATO"/>
    <s v="SIN DATO"/>
    <s v="SIN DATO"/>
    <s v="CUMPLIDO"/>
    <n v="-75.586925859999994"/>
    <n v="6.1971170300000002"/>
    <s v="SUR-ENE"/>
    <s v="Metropolitana Sur"/>
  </r>
  <r>
    <s v="23552408"/>
    <s v="ENERES"/>
    <s v="NUEVO"/>
    <s v="ENEDOM"/>
    <s v="30/09/2025 10:04:53"/>
    <s v="2025-11-19 21:41:44"/>
    <n v="1042060895"/>
    <s v="LUZ AIDA  QUIRAMA CORRALES"/>
    <s v="SIN DATOS"/>
    <s v="3337242010"/>
    <s v="CR 107 B CL 48 B -2 (INTERIOR 209 )"/>
    <x v="0"/>
    <s v="084027208200020209"/>
    <s v="Medellín"/>
    <x v="0"/>
    <s v="Habilitación Viviendas Metrosur"/>
    <x v="0"/>
    <n v="5"/>
    <s v="2025-11-26 21:41:44"/>
    <s v="2 días 21:41"/>
    <s v="3 días 21:41"/>
    <x v="0"/>
    <s v="SIN DATO"/>
    <s v="SIN DATO"/>
    <s v="SIN DATO"/>
    <s v="ABIERTO"/>
    <n v="-75.621269350000006"/>
    <n v="6.2602137500000001"/>
    <s v="SUR-ENE"/>
    <s v="Metropolitana Sur"/>
  </r>
  <r>
    <s v="23552423"/>
    <s v="ENERES"/>
    <s v="NUEVO"/>
    <s v="ENEDOM"/>
    <s v="30/09/2025 10:17:08"/>
    <s v="2025-11-19 21:41:51"/>
    <n v="1042060895"/>
    <s v="LUZ AIDA  QUIRAMA CORRALES"/>
    <s v="SIN DATOS"/>
    <s v="3337242010"/>
    <s v="CR 107 B CL 48 B -2 (INTERIOR 212 )"/>
    <x v="0"/>
    <s v="084027208200020212"/>
    <s v="Medellín"/>
    <x v="0"/>
    <s v="Habilitación Viviendas Metrosur"/>
    <x v="0"/>
    <n v="5"/>
    <s v="2025-11-26 21:41:51"/>
    <s v="2 días 21:41"/>
    <s v="3 días 21:41"/>
    <x v="0"/>
    <s v="SIN DATO"/>
    <s v="SIN DATO"/>
    <s v="SIN DATO"/>
    <s v="ABIERTO"/>
    <n v="-75.621269350000006"/>
    <n v="6.2602137500000001"/>
    <s v="SUR-ENE"/>
    <s v="Metropolitana Sur"/>
  </r>
  <r>
    <s v="23552435"/>
    <s v="ENERES"/>
    <s v="NUEVO"/>
    <s v="ENEDOM"/>
    <s v="30/09/2025 10:26:07"/>
    <s v="2025-11-19 21:41:48"/>
    <n v="1042060895"/>
    <s v="LUZ AIDA  QUIRAMA CORRALES"/>
    <s v="SIN DATOS"/>
    <s v="3337242010"/>
    <s v="CR 107 B CL 48 B -2 (INTERIOR 211 )"/>
    <x v="0"/>
    <s v="084027208200020211"/>
    <s v="Medellín"/>
    <x v="0"/>
    <s v="Habilitación Viviendas Metrosur"/>
    <x v="0"/>
    <n v="5"/>
    <s v="2025-11-26 21:41:48"/>
    <s v="2 días 21:41"/>
    <s v="3 días 21:41"/>
    <x v="0"/>
    <s v="SIN DATO"/>
    <s v="SIN DATO"/>
    <s v="SIN DATO"/>
    <s v="ABIERTO"/>
    <n v="-75.621269350000006"/>
    <n v="6.2602137500000001"/>
    <s v="SUR-ENE"/>
    <s v="Metropolitana Sur"/>
  </r>
  <r>
    <s v="23552451"/>
    <s v="ENERES"/>
    <s v="NUEVO"/>
    <s v="ENEDOM"/>
    <s v="30/09/2025 10:33:01"/>
    <s v="2025-11-19 21:41:40"/>
    <n v="1042060895"/>
    <s v="LUZ AIDA  QUIRAMA CORRALES"/>
    <s v="SIN DATOS"/>
    <s v="3337242010"/>
    <s v="CR 107 B CL 48 B -2 (INTERIOR 105 )"/>
    <x v="0"/>
    <s v="084027208200020105"/>
    <s v="Medellín"/>
    <x v="0"/>
    <s v="Habilitación Viviendas Metrosur"/>
    <x v="0"/>
    <n v="5"/>
    <s v="2025-11-26 21:41:40"/>
    <s v="2 días 21:41"/>
    <s v="3 días 21:41"/>
    <x v="0"/>
    <s v="SIN DATO"/>
    <s v="SIN DATO"/>
    <s v="SIN DATO"/>
    <s v="ABIERTO"/>
    <n v="-75.621269350000006"/>
    <n v="6.2602137500000001"/>
    <s v="SUR-ENE"/>
    <s v="Metropolitana Sur"/>
  </r>
  <r>
    <s v="23553386"/>
    <s v="ENERES"/>
    <s v="NUEVO"/>
    <s v="ENERES"/>
    <s v="01/10/2025 09:14:49"/>
    <s v="2025-11-20 16:34:18"/>
    <n v="71800196"/>
    <s v="JESUS MARIA VALBUENA DUQUE"/>
    <s v="SIN DATOS"/>
    <s v="3001935114"/>
    <s v="CR 21 CL 57 C -42 (INTERIOR 201 )"/>
    <x v="0"/>
    <s v="055221007300420201"/>
    <s v="Medellín"/>
    <x v="1"/>
    <s v="Revisor Instal. Regadas Metrosur"/>
    <x v="0"/>
    <n v="7"/>
    <s v="2025-12-01 16:34:18"/>
    <s v="0 días 16:34"/>
    <s v="6 días 16:34"/>
    <x v="0"/>
    <s v="SIN DATO"/>
    <s v="SIN DATO"/>
    <s v="SIN DATO"/>
    <s v="ABIERTO"/>
    <n v="-75.543281370000003"/>
    <n v="6.2507798000000001"/>
    <s v="SUR-ENE"/>
    <s v="Metropolitana Sur"/>
  </r>
  <r>
    <s v="23553817"/>
    <s v="ENERES"/>
    <s v="NUEVO"/>
    <s v="ENERES"/>
    <s v="01/10/2025 15:01:56"/>
    <s v="2025-11-20 07:09:10"/>
    <n v="21399132"/>
    <s v="LUZ MARINA GOMEZ BERGEN"/>
    <s v="2646900"/>
    <s v="3212570103"/>
    <s v="CR 70 CL 45 E -25 (INTERIOR 201 )"/>
    <x v="0"/>
    <s v="054720005500250201"/>
    <s v="Medellín"/>
    <x v="1"/>
    <s v="MET Rev-Inst-Concentra E_CR014"/>
    <x v="0"/>
    <n v="7"/>
    <s v="2025-12-01 07:09:10"/>
    <s v="0 días 07:09"/>
    <s v="6 días 07:09"/>
    <x v="0"/>
    <s v="SIN DATO"/>
    <s v="SIN DATO"/>
    <s v="SIN DATO"/>
    <s v="ABIERTO"/>
    <n v="-75.588422679999994"/>
    <n v="6.2511689400000003"/>
    <s v="SUR-ENE"/>
    <s v="Metropolitana Sur"/>
  </r>
  <r>
    <s v="23553818"/>
    <s v="ENERES"/>
    <s v="NUEVO"/>
    <s v="ENERES"/>
    <s v="01/10/2025 15:01:56"/>
    <s v="2025-11-20 07:14:23"/>
    <n v="21399132"/>
    <s v="LUZ MARINA GOMEZ BERGEN"/>
    <s v="2646900"/>
    <s v="3212570103"/>
    <s v="CR 70 CL 45 E -25 (INTERIOR 202 )"/>
    <x v="0"/>
    <s v="054720005500250202"/>
    <s v="Medellín"/>
    <x v="1"/>
    <s v="MET Rev-Inst-Concentra E_CR014"/>
    <x v="0"/>
    <n v="7"/>
    <s v="2025-12-01 07:14:23"/>
    <s v="0 días 07:14"/>
    <s v="6 días 07:14"/>
    <x v="0"/>
    <s v="SIN DATO"/>
    <s v="SIN DATO"/>
    <s v="SIN DATO"/>
    <s v="ABIERTO"/>
    <n v="-75.588422679999994"/>
    <n v="6.2511689400000003"/>
    <s v="SUR-ENE"/>
    <s v="Metropolitana Sur"/>
  </r>
  <r>
    <s v="23553819"/>
    <s v="ENERES"/>
    <s v="NUEVO"/>
    <s v="ENERES"/>
    <s v="01/10/2025 15:02:57"/>
    <s v="2025-11-20 07:13:28"/>
    <n v="21399132"/>
    <s v="LUZ MARINA GOMEZ BERGEN"/>
    <s v="2646900"/>
    <s v="3212570103"/>
    <s v="CR 70 CL 45 E -25 (INTERIOR 203 )"/>
    <x v="0"/>
    <s v="054720005500250203"/>
    <s v="Medellín"/>
    <x v="1"/>
    <s v="MET Rev-Inst-Concentra E_CR014"/>
    <x v="0"/>
    <n v="7"/>
    <s v="2025-12-01 07:13:28"/>
    <s v="0 días 07:13"/>
    <s v="6 días 07:13"/>
    <x v="0"/>
    <s v="SIN DATO"/>
    <s v="SIN DATO"/>
    <s v="SIN DATO"/>
    <s v="ABIERTO"/>
    <n v="-75.588422679999994"/>
    <n v="6.2511689400000003"/>
    <s v="SUR-ENE"/>
    <s v="Metropolitana Sur"/>
  </r>
  <r>
    <s v="23553823"/>
    <s v="ENENOR"/>
    <s v="NUEVO"/>
    <s v="ENENOR"/>
    <s v="01/10/2025 15:05:23"/>
    <s v="2025-11-20 07:17:18"/>
    <n v="21399132"/>
    <s v="LUZ MARINA GOMEZ BERGEN"/>
    <s v="2646900"/>
    <s v="3212570103"/>
    <s v="CR 70 CL 45 E -25 (INTERIOR 101 )"/>
    <x v="0"/>
    <s v="054720005500250101"/>
    <s v="Medellín"/>
    <x v="2"/>
    <s v="MET Rev-Inst-Concentra E_CR014"/>
    <x v="0"/>
    <n v="7"/>
    <s v="2025-12-01 07:17:18"/>
    <s v="0 días 07:17"/>
    <s v="6 días 07:17"/>
    <x v="0"/>
    <s v="SIN DATO"/>
    <s v="SIN DATO"/>
    <s v="SIN DATO"/>
    <s v="ABIERTO"/>
    <n v="-75.588422679999994"/>
    <n v="6.2511689400000003"/>
    <s v="SUR-ENE"/>
    <s v="Metropolitana Sur"/>
  </r>
  <r>
    <s v="23553824"/>
    <s v="ENERES"/>
    <s v="NUEVO"/>
    <s v="ENERES"/>
    <s v="01/10/2025 15:05:24"/>
    <s v="2025-11-20 07:11:16"/>
    <n v="21399132"/>
    <s v="LUZ MARINA GOMEZ BERGEN"/>
    <s v="2646900"/>
    <s v="3212570103"/>
    <s v="CR 70 CL 45 E -25 (INTERIOR 301 )"/>
    <x v="0"/>
    <s v="054720005500250301"/>
    <s v="Medellín"/>
    <x v="1"/>
    <s v="MET Rev-Inst-Concentra E_CR014"/>
    <x v="0"/>
    <n v="7"/>
    <s v="2025-12-01 07:11:16"/>
    <s v="0 días 07:11"/>
    <s v="6 días 07:11"/>
    <x v="0"/>
    <s v="SIN DATO"/>
    <s v="SIN DATO"/>
    <s v="SIN DATO"/>
    <s v="ABIERTO"/>
    <n v="-75.588422679999994"/>
    <n v="6.2511689400000003"/>
    <s v="SUR-ENE"/>
    <s v="Metropolitana Sur"/>
  </r>
  <r>
    <s v="23554344"/>
    <s v="ENERES"/>
    <s v="NUEVO"/>
    <s v="ENERES"/>
    <s v="02/10/2025 09:48:33"/>
    <s v="2025-11-05 08:42:46"/>
    <n v="1128406235"/>
    <s v="CARLOS ANDRES ARDILA AMAYA"/>
    <s v="SIN DATOS"/>
    <s v="3008935231"/>
    <s v="CR 129 CL 67 -45 (INTERIOR 190 )"/>
    <x v="0"/>
    <s v="086229007000450190"/>
    <s v="Medellín"/>
    <x v="1"/>
    <s v="MET Rev-Inst-Concentra E_CR014"/>
    <x v="0"/>
    <n v="7"/>
    <s v="2025-11-14 08:42:46"/>
    <s v="11 días 08:42"/>
    <s v="VENCIDO"/>
    <x v="1"/>
    <s v="SIN DATO"/>
    <s v="SIN DATO"/>
    <s v="SIN DATO"/>
    <s v="ABIERTO"/>
    <n v="-75.632935180000004"/>
    <n v="6.2846970300000002"/>
    <s v="SUR-ENE"/>
    <s v="Metropolitana Sur"/>
  </r>
  <r>
    <s v="23554465"/>
    <s v="ENERES"/>
    <s v="NUEVO"/>
    <s v="ENEDOM"/>
    <s v="02/10/2025 10:54:27"/>
    <s v="2025-11-19 09:29:00"/>
    <n v="23215288"/>
    <s v="GLORIA ESTELA RAMIREZ QUICENO"/>
    <s v="3779505"/>
    <s v="3013181137"/>
    <s v="CL 47 C CR 59 -20 (INTERIOR 199 )"/>
    <x v="2"/>
    <s v="074517309000200199"/>
    <s v="Itaguí"/>
    <x v="0"/>
    <s v="Habilitación Viviendas Metrosur"/>
    <x v="0"/>
    <n v="5"/>
    <s v="2025-11-26 09:29:00"/>
    <s v="2 días 09:29"/>
    <s v="3 días 09:29"/>
    <x v="0"/>
    <s v="SIN DATO"/>
    <s v="SIN DATO"/>
    <s v="SIN DATO"/>
    <s v="ABIERTO"/>
    <n v="-75.612360789999997"/>
    <n v="6.1784671400000004"/>
    <s v="SUR-ENE"/>
    <s v="Metropolitana Sur"/>
  </r>
  <r>
    <s v="23554758"/>
    <s v="ENERES"/>
    <s v="NUEVO"/>
    <s v="ENERES"/>
    <s v="02/10/2025 12:27:02"/>
    <s v="2025-11-20 21:53:25"/>
    <n v="71748800"/>
    <s v="FABIAN DARIO GIRALDO ARISTIZABAL"/>
    <s v="5000000"/>
    <s v="3205741752"/>
    <s v="CL 45 CR 50 -9"/>
    <x v="2"/>
    <s v="074515000000090000"/>
    <s v="Itaguí"/>
    <x v="1"/>
    <s v="Revisor Inst. Particulares Metrosur"/>
    <x v="0"/>
    <n v="7"/>
    <s v="2025-12-01 21:53:25"/>
    <s v="0 días 21:53"/>
    <s v="6 días 21:53"/>
    <x v="0"/>
    <s v="SIN DATO"/>
    <s v="SIN DATO"/>
    <s v="SIN DATO"/>
    <s v="ABIERTO"/>
    <n v="-75.613298"/>
    <n v="6.17023001"/>
    <s v="SUR-ENE"/>
    <s v="Metropolitana Sur"/>
  </r>
  <r>
    <s v="23554836"/>
    <s v="ENENOR"/>
    <s v="NUEVO"/>
    <s v="ENENOR"/>
    <s v="02/10/2025 13:47:02"/>
    <s v="2025-11-20 13:27:40"/>
    <n v="901155697"/>
    <s v="DEACON"/>
    <s v="SIN DATOS"/>
    <s v="3136037846"/>
    <s v="RURAL_166055085200000015_VDA ESCOBERO PREDIO 15"/>
    <x v="1"/>
    <s v="166055085200000015"/>
    <s v="Envigado"/>
    <x v="2"/>
    <s v="Revisor Inst. Particulares Metrosur"/>
    <x v="1"/>
    <n v="10"/>
    <s v="2025-12-04 13:27:40"/>
    <s v="0 días 13:27"/>
    <s v="9 días 13:27"/>
    <x v="0"/>
    <s v="SIN DATO"/>
    <s v="SIN DATO"/>
    <s v="SIN DATO"/>
    <s v="ABIERTO"/>
    <n v="-75.555611089999999"/>
    <n v="6.1364091199999997"/>
    <s v="SUR-ENE"/>
    <s v="Metropolitana Sur"/>
  </r>
  <r>
    <s v="23554856"/>
    <s v="ENERES"/>
    <s v="NUEVO"/>
    <s v="ENEDOM"/>
    <s v="20/11/2025 08:54:09"/>
    <s v="2025-11-20 08:54:09"/>
    <n v="1193066999"/>
    <s v="YESENIA VELEZ HOLGUIN"/>
    <s v="SIN DATOS"/>
    <s v="3016040071"/>
    <s v="CR 108 CL 36 -27 (INTERIOR 3 )"/>
    <x v="0"/>
    <s v="083028006000270003"/>
    <s v="Medellín"/>
    <x v="5"/>
    <s v="Habilitación Viviendas Metrosur"/>
    <x v="0"/>
    <n v="5"/>
    <s v="2025-11-27 08:54:09"/>
    <s v="0 días 08:54"/>
    <s v="4 días 08:54"/>
    <x v="0"/>
    <s v="SIN DATO"/>
    <s v="SIN DATO"/>
    <s v="SIN DATO"/>
    <s v="ABIERTO"/>
    <n v="-75.620369190000005"/>
    <n v="6.2499049700000002"/>
    <s v="SUR-ENE"/>
    <s v="Metropolitana Sur"/>
  </r>
  <r>
    <s v="23555128"/>
    <s v="ENENOR"/>
    <s v="NUEVO"/>
    <s v="ENENOR"/>
    <s v="02/10/2025 17:05:09"/>
    <s v="2025-11-20 12:03:58"/>
    <n v="98552913"/>
    <s v="JAIME ALBERTO QUINTERO VALENCIA"/>
    <s v="SIN DATOS"/>
    <s v="3016257459"/>
    <s v="CR 70 CL 30 A -54"/>
    <x v="0"/>
    <s v="053720000100540000"/>
    <s v="Medellín"/>
    <x v="2"/>
    <s v="Revisor Instal. Regadas Metrosur"/>
    <x v="0"/>
    <n v="7"/>
    <s v="2025-12-01 12:03:58"/>
    <s v="0 días 12:03"/>
    <s v="6 días 12:03"/>
    <x v="0"/>
    <s v="SIN DATO"/>
    <s v="SIN DATO"/>
    <s v="SIN DATO"/>
    <s v="ABIERTO"/>
    <n v="-75.591483679999996"/>
    <n v="6.2328010799999998"/>
    <s v="SUR-ENE"/>
    <s v="Metropolitana Sur"/>
  </r>
  <r>
    <s v="23555685"/>
    <s v="ENERES"/>
    <s v="NUEVO"/>
    <s v="ENEDOM"/>
    <s v="03/10/2025 11:45:53"/>
    <s v="2025-10-03 11:45:53"/>
    <n v="26377095"/>
    <s v="CARMEN JULIA TORRES GIL"/>
    <s v="SIN DATOS"/>
    <s v="3104111702"/>
    <s v="CL 57 CR 7 -0 (INTERIOR 118 )"/>
    <x v="0"/>
    <s v="055017007000000118"/>
    <s v="Medellín"/>
    <x v="0"/>
    <s v="Habilitación Viviendas Metrosur"/>
    <x v="0"/>
    <n v="5"/>
    <s v="2025-10-10 11:45:53"/>
    <s v="32 días 11:45"/>
    <s v="VENCIDO"/>
    <x v="1"/>
    <s v="SIN DATO"/>
    <s v="SIN DATO"/>
    <s v="SIN DATO"/>
    <s v="ABIERTO"/>
    <n v="-75.533365559999993"/>
    <n v="6.2352789399999997"/>
    <s v="SUR-ENE"/>
    <s v="Metropolitana Sur"/>
  </r>
  <r>
    <s v="23556111"/>
    <s v="ENERES"/>
    <s v="NUEVO"/>
    <s v="ENERES"/>
    <s v="03/10/2025 15:32:56"/>
    <s v="2025-11-17 11:15:44"/>
    <n v="71593125"/>
    <s v="LUIS FERNANDO SANCHEZ CASTRO"/>
    <s v="2052095"/>
    <s v="3005152429"/>
    <s v="CL 13 CR 83 A -21 (INTERIOR 201 )"/>
    <x v="0"/>
    <s v="051813003100210201"/>
    <s v="Medellín"/>
    <x v="1"/>
    <s v="Revisor Instal. Regadas Metrosur"/>
    <x v="0"/>
    <n v="7"/>
    <s v="2025-11-26 11:15:44"/>
    <s v="4 días 11:15"/>
    <s v="3 días 11:15"/>
    <x v="0"/>
    <s v="SIN DATO"/>
    <s v="SIN DATO"/>
    <s v="SIN DATO"/>
    <s v="ABIERTO"/>
    <n v="-75.605942909999996"/>
    <n v="6.2207912700000003"/>
    <s v="SUR-ENE"/>
    <s v="Metropolitana Sur"/>
  </r>
  <r>
    <s v="23557109"/>
    <s v="ENERES"/>
    <s v="NUEVO"/>
    <s v="ENEDOM"/>
    <s v="06/10/2025 11:40:04"/>
    <s v="2025-11-13 12:59:16"/>
    <n v="42731271"/>
    <s v="MARIA ELENA RENDON VANEGAS"/>
    <s v="SIN DATOS"/>
    <s v="3147314587"/>
    <s v="CL 109 SUR CR 55 -65 (INTERIOR 210 )"/>
    <x v="3"/>
    <s v="000519005000650210"/>
    <s v="Caldas"/>
    <x v="0"/>
    <s v="MET Rev-Inst-Concentra E_CR014"/>
    <x v="0"/>
    <n v="5"/>
    <s v="2025-11-21 12:59:16"/>
    <s v="5 días 12:59"/>
    <s v="0 días 12:59"/>
    <x v="3"/>
    <s v="SIN DATO"/>
    <s v="SIN DATO"/>
    <s v="SIN DATO"/>
    <s v="ABIERTO"/>
    <n v="-75.642190200000002"/>
    <n v="6.1108130100000002"/>
    <s v="SUR-ENE"/>
    <s v="Metropolitana Sur"/>
  </r>
  <r>
    <s v="23557147"/>
    <s v="ENERES"/>
    <s v="NUEVO"/>
    <s v="ENEDOM"/>
    <s v="06/10/2025 12:04:08"/>
    <s v="2025-11-20 09:45:01"/>
    <n v="98631117"/>
    <s v="ANGELO ANTONIO VILLADA HERNANDEZ"/>
    <s v="SIN DATOS"/>
    <s v="3015109734"/>
    <s v="CR 65 G CL 25 -70 (INTERIOR 301 )"/>
    <x v="0"/>
    <s v="052625705000700301"/>
    <s v="Medellín"/>
    <x v="0"/>
    <s v="Habilitación Viviendas Metrosur"/>
    <x v="0"/>
    <n v="5"/>
    <s v="2025-11-27 09:45:01"/>
    <s v="0 días 09:45"/>
    <s v="4 días 09:45"/>
    <x v="0"/>
    <s v="SIN DATO"/>
    <s v="SIN DATO"/>
    <s v="SIN DATO"/>
    <s v="ABIERTO"/>
    <n v="-75.587588330000003"/>
    <n v="6.2258483299999998"/>
    <s v="SUR-ENE"/>
    <s v="Metropolitana Sur"/>
  </r>
  <r>
    <s v="23557172"/>
    <s v="ENERES"/>
    <s v="NUEVO"/>
    <s v="ENEDOM"/>
    <s v="06/10/2025 12:18:25"/>
    <s v="2025-11-20 09:48:48"/>
    <n v="98631117"/>
    <s v="ANGELO ANTONIO VILLADA HERNANDEZ"/>
    <s v="SIN DATOS"/>
    <s v="3015109734"/>
    <s v="CR 65 G CL 25 -70 (INTERIOR 201 )"/>
    <x v="0"/>
    <s v="052625705000700201"/>
    <s v="Medellín"/>
    <x v="0"/>
    <s v="Habilitación Viviendas Metrosur"/>
    <x v="0"/>
    <n v="5"/>
    <s v="2025-11-27 09:48:48"/>
    <s v="0 días 09:48"/>
    <s v="4 días 09:48"/>
    <x v="0"/>
    <s v="SIN DATO"/>
    <s v="SIN DATO"/>
    <s v="SIN DATO"/>
    <s v="ABIERTO"/>
    <n v="-75.587588330000003"/>
    <n v="6.2258483299999998"/>
    <s v="SUR-ENE"/>
    <s v="Metropolitana Sur"/>
  </r>
  <r>
    <s v="23557178"/>
    <s v="ENERES"/>
    <s v="NUEVO"/>
    <s v="ENEDOM"/>
    <s v="06/10/2025 12:22:52"/>
    <s v="2025-11-20 09:43:35"/>
    <n v="98631117"/>
    <s v="ANGELO ANTONIO VILLADA HERNANDEZ"/>
    <s v="SIN DATOS"/>
    <s v="3015109734"/>
    <s v="CR 65 G CL 25 -70 (INTERIOR 401 )"/>
    <x v="0"/>
    <s v="052625705000700401"/>
    <s v="Medellín"/>
    <x v="0"/>
    <s v="Habilitación Viviendas Metrosur"/>
    <x v="0"/>
    <n v="5"/>
    <s v="2025-11-27 09:43:35"/>
    <s v="0 días 09:43"/>
    <s v="4 días 09:43"/>
    <x v="0"/>
    <s v="SIN DATO"/>
    <s v="SIN DATO"/>
    <s v="SIN DATO"/>
    <s v="ABIERTO"/>
    <n v="-75.587588330000003"/>
    <n v="6.2258483299999998"/>
    <s v="SUR-ENE"/>
    <s v="Metropolitana Sur"/>
  </r>
  <r>
    <s v="23557213"/>
    <s v="ENENOR"/>
    <s v="NUEVO"/>
    <s v="ENENOR"/>
    <s v="06/10/2025 12:40:50"/>
    <s v="2025-11-19 11:42:32"/>
    <n v="901876950"/>
    <s v="CONSORCIO REDES SYEMA"/>
    <s v="SIN DATOS"/>
    <s v="3128508488"/>
    <s v="CR 50 CL 98 SUR -183 (INTERIOR 5 )"/>
    <x v="4"/>
    <s v="039520008001830005"/>
    <s v="La Estrella"/>
    <x v="2"/>
    <s v="Revisor Instal. Regadas Metrosur"/>
    <x v="0"/>
    <n v="7"/>
    <s v="2025-11-28 11:42:32"/>
    <s v="2 días 11:42"/>
    <s v="5 días 11:42"/>
    <x v="0"/>
    <s v="SIN DATO"/>
    <s v="SIN DATO"/>
    <s v="SIN DATO"/>
    <s v="ABIERTO"/>
    <n v="-75.634446339999997"/>
    <n v="6.1194920000000002"/>
    <s v="SUR-ENE"/>
    <s v="Metropolitana Sur"/>
  </r>
  <r>
    <s v="23558127"/>
    <s v="ENERES"/>
    <s v="NUEVO"/>
    <s v="ENERES"/>
    <s v="07/10/2025 08:52:45"/>
    <s v="2025-11-20 06:31:35"/>
    <n v="1102837513"/>
    <s v="OSCAR ALEXIS ARRIETA ROSA"/>
    <s v="SIN DATOS"/>
    <s v="3024340895"/>
    <s v="CR 75 CL 44 A -52 (INTERIOR 202 )"/>
    <x v="0"/>
    <s v="054725004100520202"/>
    <s v="Medellín"/>
    <x v="1"/>
    <s v="MET Rev-Inst-Concentra E_CR014"/>
    <x v="0"/>
    <n v="7"/>
    <s v="2025-12-01 06:31:35"/>
    <s v="0 días 06:31"/>
    <s v="6 días 06:31"/>
    <x v="0"/>
    <s v="SIN DATO"/>
    <s v="SIN DATO"/>
    <s v="SIN DATO"/>
    <s v="ABIERTO"/>
    <n v="-75.593856540000004"/>
    <n v="6.2509838599999998"/>
    <s v="SUR-ENE"/>
    <s v="Metropolitana Sur"/>
  </r>
  <r>
    <s v="23558137"/>
    <s v="ENERES"/>
    <s v="NUEVO"/>
    <s v="ENERES"/>
    <s v="07/10/2025 08:58:18"/>
    <s v="2025-11-20 06:33:38"/>
    <n v="79470052"/>
    <s v="GERMAN ALBERTO GUEVARA GONZALEZ"/>
    <s v="5788824"/>
    <s v="3024340895"/>
    <s v="CR 75 CL 44 A -52 (INTERIOR 801 )"/>
    <x v="0"/>
    <s v="054725004100520801"/>
    <s v="Medellín"/>
    <x v="1"/>
    <s v="MET Rev-Inst-Concentra E_CR014"/>
    <x v="0"/>
    <n v="7"/>
    <s v="2025-12-01 06:33:38"/>
    <s v="0 días 06:33"/>
    <s v="6 días 06:33"/>
    <x v="0"/>
    <s v="SIN DATO"/>
    <s v="SIN DATO"/>
    <s v="SIN DATO"/>
    <s v="ABIERTO"/>
    <n v="-75.593856540000004"/>
    <n v="6.2509838599999998"/>
    <s v="SUR-ENE"/>
    <s v="Metropolitana Sur"/>
  </r>
  <r>
    <s v="23558843"/>
    <s v="ENERES"/>
    <s v="NUEVO"/>
    <s v="ENEDOM"/>
    <s v="16/10/2025 14:41:00"/>
    <s v="2025-11-20 11:12:06"/>
    <n v="1128385841"/>
    <s v="JUAN JOSE RENDON ZAPATA"/>
    <s v="4496979"/>
    <s v="3217672968"/>
    <s v="RURAL_146014630900000001_RURAL_PALMITAS"/>
    <x v="0"/>
    <s v="146014630900000001"/>
    <s v="Medellín"/>
    <x v="5"/>
    <s v="Habilitación Viviendas Metrosur"/>
    <x v="1"/>
    <n v="8"/>
    <s v="2025-12-02 11:12:06"/>
    <s v="0 días 11:12"/>
    <s v="7 días 11:12"/>
    <x v="0"/>
    <s v="SIN DATO"/>
    <s v="SIN DATO"/>
    <s v="SIN DATO"/>
    <s v="ABIERTO"/>
    <n v="-75.702757809999994"/>
    <n v="6.3122691"/>
    <s v="SUR-ENE"/>
    <s v="Metropolitana Sur"/>
  </r>
  <r>
    <s v="23560594"/>
    <s v="ENERES"/>
    <s v="NUEVO"/>
    <s v="ENEDOM"/>
    <s v="09/10/2025 11:20:47"/>
    <s v="2025-11-12 09:59:02"/>
    <n v="98518808"/>
    <s v="ELKIN DE JESUS QUIRAMA JIMENEZ"/>
    <s v="2783238"/>
    <s v="3137677943"/>
    <s v="RURAL_161015849499000002_VEREDA EL RAIZAL"/>
    <x v="3"/>
    <s v="161015849499000002"/>
    <s v="Caldas"/>
    <x v="0"/>
    <s v="MET Rev-Inst-Concentra E_CR014"/>
    <x v="1"/>
    <n v="8"/>
    <s v="2025-11-25 09:59:02"/>
    <s v="6 días 09:59"/>
    <s v="2 días 09:59"/>
    <x v="2"/>
    <s v="SIN DATO"/>
    <s v="SIN DATO"/>
    <s v="SIN DATO"/>
    <s v="ABIERTO"/>
    <n v="-75.645488029999996"/>
    <n v="6.08697394"/>
    <s v="SUR-ENE"/>
    <s v="Metropolitana Sur"/>
  </r>
  <r>
    <s v="23561146"/>
    <s v="ENENOR"/>
    <s v="NUEVO"/>
    <s v="ENENOR"/>
    <s v="10/10/2025 07:21:57"/>
    <s v="2025-11-20 13:53:43"/>
    <n v="890980232"/>
    <s v="PARROQUIA DE SAN LUCAS MEDELLIN"/>
    <s v="3121250"/>
    <s v="3137637975"/>
    <s v="CL 20 SUR CR 25 B -91 (INTERIOR 101 )"/>
    <x v="0"/>
    <s v="042210005200910101"/>
    <s v="Medellín"/>
    <x v="2"/>
    <s v="Revisor Inst. Particulares Metrosur"/>
    <x v="0"/>
    <n v="7"/>
    <s v="2025-12-01 13:53:43"/>
    <s v="0 días 13:53"/>
    <s v="6 días 13:53"/>
    <x v="0"/>
    <s v="SIN DATO"/>
    <s v="SIN DATO"/>
    <s v="SIN DATO"/>
    <s v="ABIERTO"/>
    <n v="-75.566159999999996"/>
    <n v="6.1813820000000002"/>
    <s v="SUR-ENE"/>
    <s v="Metropolitana Sur"/>
  </r>
  <r>
    <s v="23561827"/>
    <s v="ENERES"/>
    <s v="NUEVO"/>
    <s v="ENEDOM"/>
    <s v="11/10/2025 08:40:58"/>
    <s v="2025-11-20 13:39:37"/>
    <n v="45756577"/>
    <s v="ORFELINA MORENO ANAYA"/>
    <s v="SIN DATOS"/>
    <s v="3225084077"/>
    <s v="CL 55 CR 106 D -230 (INTERIOR 248 )"/>
    <x v="0"/>
    <s v="085015006402300248"/>
    <s v="Medellín"/>
    <x v="0"/>
    <s v="Habilitación Viviendas Metrosur"/>
    <x v="0"/>
    <n v="5"/>
    <s v="2025-11-27 13:39:37"/>
    <s v="0 días 13:39"/>
    <s v="4 días 13:39"/>
    <x v="0"/>
    <s v="SIN DATO"/>
    <s v="SIN DATO"/>
    <s v="SIN DATO"/>
    <s v="ABIERTO"/>
    <n v="-75.612482"/>
    <n v="6.271528"/>
    <s v="SUR-ENE"/>
    <s v="Metropolitana Sur"/>
  </r>
  <r>
    <s v="23561908"/>
    <s v="ENERES"/>
    <s v="NUEVO"/>
    <s v="ENEDOM"/>
    <s v="11/10/2025 12:10:44"/>
    <s v="2025-11-12 09:59:03"/>
    <n v="1000919208"/>
    <s v="LAURA DAHIANA ACEVEDO HENAO"/>
    <s v="SIN DATOS"/>
    <s v="3128191227"/>
    <s v="RURAL_161012406000000002_PROV.161012406000000000_V"/>
    <x v="3"/>
    <s v="161012406000000002"/>
    <s v="Caldas"/>
    <x v="0"/>
    <s v="MET Rev-Inst-Concentra E_CR014"/>
    <x v="1"/>
    <n v="8"/>
    <s v="2025-11-25 09:59:03"/>
    <s v="6 días 09:59"/>
    <s v="2 días 09:59"/>
    <x v="2"/>
    <s v="SIN DATO"/>
    <s v="SIN DATO"/>
    <s v="SIN DATO"/>
    <s v="ABIERTO"/>
    <n v="-75.64584533"/>
    <n v="6.0906396599999999"/>
    <s v="SUR-ENE"/>
    <s v="Metropolitana Sur"/>
  </r>
  <r>
    <s v="23561956"/>
    <s v="ENERES"/>
    <s v="NUEVO"/>
    <s v="ENEDOM"/>
    <s v="20/10/2025 16:05:02"/>
    <s v="2025-11-18 14:01:24"/>
    <n v="42879571"/>
    <s v="ANGELA MARIA ARANGO ARANGO"/>
    <s v="SIN DATOS"/>
    <s v="3013290587"/>
    <s v="CL 19 SUR CR 17 -1 (INTERIOR 1062 )"/>
    <x v="0"/>
    <s v="041119007000011062"/>
    <s v="Medellín"/>
    <x v="5"/>
    <s v="Habilitación Viviendas Metrosur"/>
    <x v="0"/>
    <n v="5"/>
    <s v="2025-11-25 14:01:24"/>
    <s v="3 días 14:01"/>
    <s v="2 días 14:01"/>
    <x v="2"/>
    <s v="SIN DATO"/>
    <s v="SIN DATO"/>
    <s v="SIN DATO"/>
    <s v="ABIERTO"/>
    <n v="-75.557316130000004"/>
    <n v="6.1800870300000001"/>
    <s v="SUR-ENE"/>
    <s v="Metropolitana Sur"/>
  </r>
  <r>
    <s v="23562411"/>
    <s v="ENERES"/>
    <s v="NUEVO"/>
    <s v="ENERES"/>
    <s v="14/10/2025 07:32:59"/>
    <s v="2025-11-20 16:43:59"/>
    <n v="8432390"/>
    <s v="PEDRO PABLO MIRANDA CANO"/>
    <s v="SIN DATOS"/>
    <s v="3113459024"/>
    <s v="RURAL_159117727000000500_159117727000000500"/>
    <x v="4"/>
    <s v="159117727000000500"/>
    <s v="La Estrella"/>
    <x v="1"/>
    <s v="MET Rev-Inst-Concentra E_CR014"/>
    <x v="1"/>
    <n v="10"/>
    <s v="2025-12-04 16:43:59"/>
    <s v="0 días 16:43"/>
    <s v="9 días 16:43"/>
    <x v="0"/>
    <s v="SIN DATO"/>
    <s v="SIN DATO"/>
    <s v="SIN DATO"/>
    <s v="ABIERTO"/>
    <n v="-75.632421780000001"/>
    <n v="6.1178880400000004"/>
    <s v="SUR-ENE"/>
    <s v="Metropolitana Sur"/>
  </r>
  <r>
    <s v="23562416"/>
    <s v="ENERES"/>
    <s v="NUEVO"/>
    <s v="ENERES"/>
    <s v="14/10/2025 07:35:07"/>
    <s v="2025-11-20 16:43:59"/>
    <n v="8432390"/>
    <s v="PEDRO PABLO MIRANDA CANO"/>
    <s v="SIN DATOS"/>
    <s v="3113459024"/>
    <s v="RURAL_159117727000000400_159117727000000400"/>
    <x v="4"/>
    <s v="159117727000000400"/>
    <s v="La Estrella"/>
    <x v="1"/>
    <s v="MET Rev-Inst-Concentra E_CR014"/>
    <x v="1"/>
    <n v="10"/>
    <s v="2025-12-04 16:43:59"/>
    <s v="0 días 16:43"/>
    <s v="9 días 16:43"/>
    <x v="0"/>
    <s v="SIN DATO"/>
    <s v="SIN DATO"/>
    <s v="SIN DATO"/>
    <s v="ABIERTO"/>
    <n v="-75.632421780000001"/>
    <n v="6.1178880400000004"/>
    <s v="SUR-ENE"/>
    <s v="Metropolitana Sur"/>
  </r>
  <r>
    <s v="23562420"/>
    <s v="ENERES"/>
    <s v="NUEVO"/>
    <s v="ENERES"/>
    <s v="14/10/2025 07:37:39"/>
    <s v="2025-11-20 16:44:00"/>
    <n v="8432390"/>
    <s v="PEDRO PABLO MIRANDA CANO"/>
    <s v="SIN DATOS"/>
    <s v="3113459024"/>
    <s v="RURAL_159117727000000300_RURAL_159117727000000300"/>
    <x v="4"/>
    <s v="159117727000000300"/>
    <s v="La Estrella"/>
    <x v="1"/>
    <s v="MET Rev-Inst-Concentra E_CR014"/>
    <x v="1"/>
    <n v="10"/>
    <s v="2025-12-04 16:44:00"/>
    <s v="0 días 16:44"/>
    <s v="9 días 16:44"/>
    <x v="0"/>
    <s v="SIN DATO"/>
    <s v="SIN DATO"/>
    <s v="SIN DATO"/>
    <s v="ABIERTO"/>
    <n v="-75.632421780000001"/>
    <n v="6.1178880400000004"/>
    <s v="SUR-ENE"/>
    <s v="Metropolitana Sur"/>
  </r>
  <r>
    <s v="23562422"/>
    <s v="ENERES"/>
    <s v="NUEVO"/>
    <s v="ENERES"/>
    <s v="14/10/2025 07:39:36"/>
    <s v="2025-11-20 16:44:00"/>
    <n v="8432390"/>
    <s v="PEDRO PABLO MIRANDA CANO"/>
    <s v="SIN DATOS"/>
    <s v="3113459024"/>
    <s v="RURAL_159117727000000200_RURAL_159117727000000200"/>
    <x v="4"/>
    <s v="159117727000000200"/>
    <s v="La Estrella"/>
    <x v="1"/>
    <s v="MET Rev-Inst-Concentra E_CR014"/>
    <x v="1"/>
    <n v="10"/>
    <s v="2025-12-04 16:44:00"/>
    <s v="0 días 16:44"/>
    <s v="9 días 16:44"/>
    <x v="0"/>
    <s v="SIN DATO"/>
    <s v="SIN DATO"/>
    <s v="SIN DATO"/>
    <s v="ABIERTO"/>
    <n v="-75.632421780000001"/>
    <n v="6.1178880400000004"/>
    <s v="SUR-ENE"/>
    <s v="Metropolitana Sur"/>
  </r>
  <r>
    <s v="23562883"/>
    <s v="ENERES"/>
    <s v="NUEVO"/>
    <s v="ENERES"/>
    <s v="14/10/2025 13:49:50"/>
    <s v="2025-11-20 16:44:00"/>
    <n v="15338612"/>
    <s v="JUAN GUILLERMO RIOS GARCIA"/>
    <s v="SIN DATOS"/>
    <s v="3013126833"/>
    <s v="RURAL_159112002000000006_PROV.TABLAZA EL HOYO DE B"/>
    <x v="4"/>
    <s v="159112002000000006"/>
    <s v="La Estrella"/>
    <x v="1"/>
    <s v="MET Rev-Inst-Concentra E_CR014"/>
    <x v="1"/>
    <n v="10"/>
    <s v="2025-12-04 16:44:00"/>
    <s v="0 días 16:44"/>
    <s v="9 días 16:44"/>
    <x v="0"/>
    <s v="SIN DATO"/>
    <s v="SIN DATO"/>
    <s v="SIN DATO"/>
    <s v="ABIERTO"/>
    <n v="-75.629652820000004"/>
    <n v="6.1181262600000004"/>
    <s v="SUR-ENE"/>
    <s v="Metropolitana Sur"/>
  </r>
  <r>
    <s v="23563210"/>
    <s v="ENERES"/>
    <s v="NUEVO"/>
    <s v="ENEDOM"/>
    <s v="15/10/2025 04:50:29"/>
    <s v="2025-11-18 12:18:21"/>
    <n v="1017122928"/>
    <s v="DARWIN ALEXIS PULGARIN PULGARIN"/>
    <s v="SIN DATOS"/>
    <s v="3126268642"/>
    <s v="RURAL_146014718600000000_CL 103 CR 230 -30 (INTERI"/>
    <x v="0"/>
    <s v="146014718600000000"/>
    <s v="Medellín"/>
    <x v="0"/>
    <s v="Habilitación Viviendas Metrosur"/>
    <x v="1"/>
    <n v="8"/>
    <s v="2025-11-28 12:18:21"/>
    <s v="3 días 12:18"/>
    <s v="5 días 12:18"/>
    <x v="0"/>
    <s v="SIN DATO"/>
    <s v="SIN DATO"/>
    <s v="SIN DATO"/>
    <s v="ABIERTO"/>
    <n v="-75.706355590000001"/>
    <n v="6.3203501500000003"/>
    <s v="SUR-ENE"/>
    <s v="Metropolitana Sur"/>
  </r>
  <r>
    <s v="23563271"/>
    <s v="ENERES"/>
    <s v="NUEVO"/>
    <s v="ENEDOM"/>
    <s v="15/10/2025 05:47:01"/>
    <s v="2025-11-12 09:59:04"/>
    <n v="21493698"/>
    <s v="MARIA LEONISA OSPINA SEPULVEDA"/>
    <s v="SIN DATOS"/>
    <s v="3217366792"/>
    <s v="RURAL_161027451000000001_VEREDA PRIMAVERA"/>
    <x v="3"/>
    <s v="161027451000000001"/>
    <s v="Caldas"/>
    <x v="0"/>
    <s v="MET Rev-Inst-Concentra E_CR014"/>
    <x v="1"/>
    <n v="8"/>
    <s v="2025-11-25 09:59:04"/>
    <s v="6 días 09:59"/>
    <s v="2 días 09:59"/>
    <x v="2"/>
    <s v="SIN DATO"/>
    <s v="SIN DATO"/>
    <s v="SIN DATO"/>
    <s v="ABIERTO"/>
    <n v="-75.63509578"/>
    <n v="6.07050891"/>
    <s v="SUR-ENE"/>
    <s v="Metropolitana Sur"/>
  </r>
  <r>
    <s v="23563310"/>
    <s v="ENERES"/>
    <s v="NUEVO"/>
    <s v="ENEDOM"/>
    <s v="15/10/2025 06:07:21"/>
    <s v="2025-11-12 09:59:05"/>
    <n v="71395395"/>
    <s v="JORGE ALBERTO RUIZ CHAVERRA"/>
    <s v="SIN DATOS"/>
    <s v="3215330730"/>
    <s v="RURAL_161027499000000001_VEREDA PRIMAVERA"/>
    <x v="3"/>
    <s v="161027499000000001"/>
    <s v="Caldas"/>
    <x v="0"/>
    <s v="MET Rev-Inst-Concentra E_CR014"/>
    <x v="1"/>
    <n v="8"/>
    <s v="2025-11-25 09:59:05"/>
    <s v="6 días 09:59"/>
    <s v="2 días 09:59"/>
    <x v="2"/>
    <s v="SIN DATO"/>
    <s v="SIN DATO"/>
    <s v="SIN DATO"/>
    <s v="ABIERTO"/>
    <n v="-75.635050000000007"/>
    <n v="6.070354"/>
    <s v="SUR-ENE"/>
    <s v="Metropolitana Sur"/>
  </r>
  <r>
    <s v="23563329"/>
    <s v="ENERES"/>
    <s v="NUEVO"/>
    <s v="ENEDOM"/>
    <s v="15/10/2025 06:32:30"/>
    <s v="2025-11-12 09:59:06"/>
    <n v="1026159445"/>
    <s v="ANGIE CAROLINA HENAO HERRERA"/>
    <s v="3036595"/>
    <s v="3234345894"/>
    <s v="RURAL_161012413000000201_VEREDA EL CANELON"/>
    <x v="3"/>
    <s v="161012413000000201"/>
    <s v="Caldas"/>
    <x v="0"/>
    <s v="MET Rev-Inst-Concentra E_CR014"/>
    <x v="1"/>
    <n v="8"/>
    <s v="2025-11-25 09:59:06"/>
    <s v="6 días 09:59"/>
    <s v="2 días 09:59"/>
    <x v="2"/>
    <s v="SIN DATO"/>
    <s v="SIN DATO"/>
    <s v="SIN DATO"/>
    <s v="ABIERTO"/>
    <n v="-75.645960160000001"/>
    <n v="6.0904045299999998"/>
    <s v="SUR-ENE"/>
    <s v="Metropolitana Sur"/>
  </r>
  <r>
    <s v="23563368"/>
    <s v="ENERES"/>
    <s v="NUEVO"/>
    <s v="ENERES"/>
    <s v="15/10/2025 07:10:39"/>
    <s v="2025-11-17 21:45:26"/>
    <n v="42827651"/>
    <s v="SANDRA MILENA PALACIO GONZALEZ"/>
    <s v="2883225"/>
    <s v="3187070178"/>
    <s v="CL 40 C SUR CR 60 D -22 (INTERIOR 301 )"/>
    <x v="0"/>
    <s v="044610300400220301"/>
    <s v="Medellín"/>
    <x v="1"/>
    <s v="Revisor Instal. Regadas Metrosur"/>
    <x v="0"/>
    <n v="7"/>
    <s v="2025-11-26 21:45:26"/>
    <s v="4 días 21:45"/>
    <s v="3 días 21:45"/>
    <x v="0"/>
    <s v="SIN DATO"/>
    <s v="SIN DATO"/>
    <s v="SIN DATO"/>
    <s v="ABIERTO"/>
    <n v="-75.641391290000001"/>
    <n v="6.1845155500000004"/>
    <s v="SUR-ENE"/>
    <s v="Metropolitana Sur"/>
  </r>
  <r>
    <s v="23563380"/>
    <s v="ENERES"/>
    <s v="NUEVO"/>
    <s v="ENEDOM"/>
    <s v="21/10/2025 15:47:24"/>
    <s v="2025-11-18 13:57:50"/>
    <n v="43426674"/>
    <s v="TERESA EMILIA CARDENAS GRANDA"/>
    <s v="2222476"/>
    <s v="3128157111"/>
    <s v="CL 56 A CR 18 -15 (INTERIOR 201 )"/>
    <x v="0"/>
    <s v="055116108000150201"/>
    <s v="Medellín"/>
    <x v="5"/>
    <s v="Habilitación Viviendas Metrosur"/>
    <x v="0"/>
    <n v="5"/>
    <s v="2025-11-25 13:57:50"/>
    <s v="3 días 13:57"/>
    <s v="2 días 13:57"/>
    <x v="2"/>
    <s v="SIN DATO"/>
    <s v="SIN DATO"/>
    <s v="SIN DATO"/>
    <s v="ABIERTO"/>
    <n v="-75.542194109999997"/>
    <n v="6.2392318600000003"/>
    <s v="SUR-ENE"/>
    <s v="Metropolitana Sur"/>
  </r>
  <r>
    <s v="23563426"/>
    <s v="ENERES"/>
    <s v="NUEVO"/>
    <s v="ENERES"/>
    <s v="15/10/2025 07:49:40"/>
    <s v="2025-11-14 11:05:32"/>
    <n v="98545915"/>
    <s v="SERGIO LEON CORREA CORREA"/>
    <s v="SIN DATOS"/>
    <s v="3023158341"/>
    <s v="CL 38 SUR CR 33 -15 (INTERIOR 302 )"/>
    <x v="1"/>
    <s v="023318003000150302"/>
    <s v="Envigado"/>
    <x v="1"/>
    <s v="Revisor Instal. Regadas Metrosur"/>
    <x v="0"/>
    <n v="7"/>
    <s v="2025-11-26 11:05:32"/>
    <s v="4 días 11:05"/>
    <s v="3 días 11:05"/>
    <x v="0"/>
    <s v="SIN DATO"/>
    <s v="SIN DATO"/>
    <s v="SIN DATO"/>
    <s v="ABIERTO"/>
    <n v="-75.58228106"/>
    <n v="6.1663364200000004"/>
    <s v="SUR-ENE"/>
    <s v="Metropolitana Sur"/>
  </r>
  <r>
    <s v="23563485"/>
    <s v="ENERES"/>
    <s v="NUEVO"/>
    <s v="ENERES"/>
    <s v="15/10/2025 08:27:03"/>
    <s v="2025-11-19 10:36:23"/>
    <n v="32296024"/>
    <s v="LEIDY JOHANA GIL GONZALEZ"/>
    <s v="SIN DATOS"/>
    <s v="3197087948"/>
    <s v="RURAL_167118650000000000_VDA MARIA AUXILIADORA"/>
    <x v="5"/>
    <s v="167118650000000000"/>
    <s v="Sabaneta"/>
    <x v="1"/>
    <s v="Revisor Instal. Regadas Metrosur"/>
    <x v="0"/>
    <n v="7"/>
    <s v="2025-11-28 10:36:23"/>
    <s v="2 días 10:36"/>
    <s v="5 días 10:36"/>
    <x v="0"/>
    <s v="SIN DATO"/>
    <s v="SIN DATO"/>
    <s v="SIN DATO"/>
    <s v="ABIERTO"/>
    <n v="-75.599127749999994"/>
    <n v="6.1502203599999996"/>
    <s v="SUR-ENE"/>
    <s v="Metropolitana Sur"/>
  </r>
  <r>
    <s v="23563994"/>
    <s v="ENERES"/>
    <s v="NUEVO"/>
    <s v="ENEDOM"/>
    <s v="15/10/2025 11:38:26"/>
    <s v="2025-11-12 09:59:07"/>
    <n v="21991377"/>
    <s v="OLGA FABIOLA MOLINA"/>
    <s v="SIN DATOS"/>
    <s v="3243642744"/>
    <s v="RURAL_161023655000000309_161023655000000309_VEREDA"/>
    <x v="3"/>
    <s v="161023655000000309"/>
    <s v="Caldas"/>
    <x v="0"/>
    <s v="MET Rev-Inst-Concentra E_CR014"/>
    <x v="1"/>
    <n v="8"/>
    <s v="2025-11-25 09:59:07"/>
    <s v="6 días 09:59"/>
    <s v="2 días 09:59"/>
    <x v="2"/>
    <s v="SIN DATO"/>
    <s v="SIN DATO"/>
    <s v="SIN DATO"/>
    <s v="ABIERTO"/>
    <n v="-75.638880999999998"/>
    <n v="6.0835499999999998"/>
    <s v="SUR-ENE"/>
    <s v="Metropolitana Sur"/>
  </r>
  <r>
    <s v="23564416"/>
    <s v="ENERES"/>
    <s v="NUEVO"/>
    <s v="ENEDOM"/>
    <s v="15/10/2025 14:50:59"/>
    <s v="2025-11-12 09:59:08"/>
    <n v="43000605"/>
    <s v="MARLENY DE LAS MISERICORDIAS MEDINA DE CADAVID"/>
    <s v="SIN DATOS"/>
    <s v="3234164014"/>
    <s v="RURAL_161099890000000204_LA SALADA PARTE BAJA"/>
    <x v="3"/>
    <s v="161099890000000204"/>
    <s v="Caldas"/>
    <x v="0"/>
    <s v="MET Rev-Inst-Concentra E_CR014"/>
    <x v="1"/>
    <n v="8"/>
    <s v="2025-11-25 09:59:08"/>
    <s v="6 días 09:59"/>
    <s v="2 días 09:59"/>
    <x v="2"/>
    <s v="SIN DATO"/>
    <s v="SIN DATO"/>
    <s v="SIN DATO"/>
    <s v="ABIERTO"/>
    <n v="-75.627865850000006"/>
    <n v="6.0573459300000003"/>
    <s v="SUR-ENE"/>
    <s v="Metropolitana Sur"/>
  </r>
  <r>
    <s v="23564525"/>
    <s v="ENERES"/>
    <s v="NUEVO"/>
    <s v="ENEDOM"/>
    <s v="28/10/2025 15:10:51"/>
    <s v="2025-11-11 10:27:36"/>
    <n v="43485510"/>
    <s v="MARTA LUCIA DAVID ALCARAZ"/>
    <s v="SIN DATOS"/>
    <s v="3113473222"/>
    <s v="RURAL_122015796000000000"/>
    <x v="0"/>
    <s v="122015796000000000"/>
    <s v="Medellín"/>
    <x v="5"/>
    <s v="Habilitación Viviendas Metrosur"/>
    <x v="1"/>
    <n v="8"/>
    <s v="2025-11-24 10:27:36"/>
    <s v="7 días 10:27"/>
    <s v="1 días 10:27"/>
    <x v="2"/>
    <s v="SIN DATO"/>
    <s v="SIN DATO"/>
    <s v="SIN DATO"/>
    <s v="ABIERTO"/>
    <n v="-75.492155069999995"/>
    <n v="6.2606401099999998"/>
    <s v="SUR-ENE"/>
    <s v="Metropolitana Sur"/>
  </r>
  <r>
    <s v="23564540"/>
    <s v="ENERES"/>
    <s v="NUEVO"/>
    <s v="ENEDOM"/>
    <s v="29/10/2025 15:48:05"/>
    <s v="2025-11-19 10:34:47"/>
    <n v="43677882"/>
    <s v="LUZ MARINA CORREA MAZO"/>
    <s v="SIN DATOS"/>
    <s v="3157351898"/>
    <s v="CR 129 CL 67 -260 (INTERIOR 130 )"/>
    <x v="0"/>
    <s v="086229007002600130"/>
    <s v="Medellín"/>
    <x v="5"/>
    <s v="Habilitación Viviendas Metrosur"/>
    <x v="0"/>
    <n v="5"/>
    <s v="2025-11-26 10:34:47"/>
    <s v="2 días 10:34"/>
    <s v="3 días 10:34"/>
    <x v="0"/>
    <s v="SIN DATO"/>
    <s v="SIN DATO"/>
    <s v="SIN DATO"/>
    <s v="ABIERTO"/>
    <n v="-75.632484790000007"/>
    <n v="6.2847516900000002"/>
    <s v="SUR-ENE"/>
    <s v="Metropolitana Sur"/>
  </r>
  <r>
    <s v="23564550"/>
    <s v="ENERES"/>
    <s v="NUEVO"/>
    <s v="ENERES"/>
    <s v="15/10/2025 16:07:26"/>
    <s v="2025-11-10 15:14:12"/>
    <n v="98518408"/>
    <s v="REINALDO MAYA RESTREPO"/>
    <s v="SIN DATOS"/>
    <s v="3183112186"/>
    <s v="RURAL_159054600000000102_PROV.RURAL_15905460000000"/>
    <x v="4"/>
    <s v="159054600000000102"/>
    <s v="La Estrella"/>
    <x v="1"/>
    <s v="MET Rev-Inst-Concentra E_CR014"/>
    <x v="1"/>
    <n v="10"/>
    <s v="2025-11-25 15:14:12"/>
    <s v="8 días 15:14"/>
    <s v="2 días 15:14"/>
    <x v="2"/>
    <s v="SIN DATO"/>
    <s v="SIN DATO"/>
    <s v="SIN DATO"/>
    <s v="ABIERTO"/>
    <n v="-75.635803039999999"/>
    <n v="6.1372650899999996"/>
    <s v="SUR-ENE"/>
    <s v="Metropolitana Sur"/>
  </r>
  <r>
    <s v="23564567"/>
    <s v="ENERES"/>
    <s v="NUEVO"/>
    <s v="ENERES"/>
    <s v="15/10/2025 16:22:57"/>
    <s v="2025-11-06 09:29:38"/>
    <n v="98521717"/>
    <s v="FRANCISCO JAVIER MEJIA"/>
    <s v="SIN DATOS"/>
    <s v="3142110184"/>
    <s v="CL 135 A SUR CR 47 -44 (INTERIOR 502 )"/>
    <x v="3"/>
    <s v="003415107000440502"/>
    <s v="Caldas"/>
    <x v="1"/>
    <s v="MET Rev-Inst-Concentra E_CR014"/>
    <x v="0"/>
    <n v="7"/>
    <s v="2025-11-18 09:29:38"/>
    <s v="10 días 09:29"/>
    <s v="VENCIDO"/>
    <x v="1"/>
    <s v="SIN DATO"/>
    <s v="SIN DATO"/>
    <s v="SIN DATO"/>
    <s v="ABIERTO"/>
    <n v="-75.634003919999998"/>
    <n v="6.0871521800000004"/>
    <s v="SUR-ENE"/>
    <s v="Metropolitana Sur"/>
  </r>
  <r>
    <s v="23565001"/>
    <s v="ENERES"/>
    <s v="NUEVO"/>
    <s v="ENEDOM"/>
    <s v="16/10/2025 08:49:13"/>
    <s v="2025-11-12 09:59:09"/>
    <n v="21533978"/>
    <s v="PAULA ANDREA ESPINOSA ANGEL"/>
    <s v="SIN DATOS"/>
    <s v="3207374709"/>
    <s v="RURAL_161123850100000009_161123850100000009"/>
    <x v="3"/>
    <s v="161123850100000009"/>
    <s v="Caldas"/>
    <x v="0"/>
    <s v="MET Rev-Inst-Concentra E_CR014"/>
    <x v="1"/>
    <n v="8"/>
    <s v="2025-11-25 09:59:09"/>
    <s v="6 días 09:59"/>
    <s v="2 días 09:59"/>
    <x v="2"/>
    <s v="SIN DATO"/>
    <s v="SIN DATO"/>
    <s v="SIN DATO"/>
    <s v="ABIERTO"/>
    <n v="-75.618030540000007"/>
    <n v="6.0968372799999999"/>
    <s v="SUR-ENE"/>
    <s v="Metropolitana Sur"/>
  </r>
  <r>
    <s v="23565027"/>
    <s v="ENERES"/>
    <s v="NUEVO"/>
    <s v="ENEDOM"/>
    <s v="16/10/2025 09:06:34"/>
    <s v="2025-11-19 11:37:07"/>
    <n v="45371641"/>
    <s v="ILSE MARIA GUEVARA ALVAREZ"/>
    <s v="2222222"/>
    <s v="3127714959"/>
    <s v="CR 24 CL 56 E -12 (INTERIOR 9118 )"/>
    <x v="0"/>
    <s v="055224006500129118"/>
    <s v="Medellín"/>
    <x v="0"/>
    <s v="Habilitación Viviendas Metrosur"/>
    <x v="0"/>
    <n v="5"/>
    <s v="2025-11-26 11:37:07"/>
    <s v="2 días 11:37"/>
    <s v="3 días 11:37"/>
    <x v="0"/>
    <s v="SIN DATO"/>
    <s v="SIN DATO"/>
    <s v="SIN DATO"/>
    <s v="ABIERTO"/>
    <n v="-75.542432270000006"/>
    <n v="6.2435485599999998"/>
    <s v="SUR-ENE"/>
    <s v="Metropolitana Sur"/>
  </r>
  <r>
    <s v="23565524"/>
    <s v="ENERES"/>
    <s v="NUEVO"/>
    <s v="ENEDOM"/>
    <s v="16/10/2025 12:18:48"/>
    <s v="2025-11-18 10:44:09"/>
    <n v="39166721"/>
    <s v="MARIA EUGENIA ACEVEDO URREA"/>
    <s v="SIN DATOS"/>
    <s v="3028390678"/>
    <s v="CL 110 SUR CR 54 -86 (INTERIOR 101 )"/>
    <x v="3"/>
    <s v="001510004000860101"/>
    <s v="Caldas"/>
    <x v="0"/>
    <s v="MET Rev-Inst-Concentra E_CR014"/>
    <x v="0"/>
    <n v="5"/>
    <s v="2025-11-25 10:44:09"/>
    <s v="3 días 10:44"/>
    <s v="2 días 10:44"/>
    <x v="2"/>
    <s v="SIN DATO"/>
    <s v="SIN DATO"/>
    <s v="SIN DATO"/>
    <s v="ABIERTO"/>
    <n v="-75.641378149999994"/>
    <n v="6.1099101300000003"/>
    <s v="SUR-ENE"/>
    <s v="Metropolitana Sur"/>
  </r>
  <r>
    <s v="23565552"/>
    <s v="ENERES"/>
    <s v="NUEVO"/>
    <s v="ENEDOM"/>
    <s v="16/10/2025 12:57:11"/>
    <s v="2025-11-12 09:59:10"/>
    <n v="70567716"/>
    <s v="RIGOBERTO DE JESUS PEREZ CARDENAS"/>
    <s v="2782464"/>
    <s v="3016711530"/>
    <s v="RURAL_161023686000000001_PROV.161023686000000000"/>
    <x v="3"/>
    <s v="161023686000000001"/>
    <s v="Caldas"/>
    <x v="0"/>
    <s v="MET Rev-Inst-Concentra E_CR014"/>
    <x v="1"/>
    <n v="8"/>
    <s v="2025-11-25 09:59:10"/>
    <s v="6 días 09:59"/>
    <s v="2 días 09:59"/>
    <x v="2"/>
    <s v="SIN DATO"/>
    <s v="SIN DATO"/>
    <s v="SIN DATO"/>
    <s v="ABIERTO"/>
    <n v="-75.638816480000003"/>
    <n v="6.0835469399999997"/>
    <s v="SUR-ENE"/>
    <s v="Metropolitana Sur"/>
  </r>
  <r>
    <s v="23566102"/>
    <s v="ENERES"/>
    <s v="NUEVO"/>
    <s v="ENEDOM"/>
    <s v="16/10/2025 16:17:03"/>
    <s v="2025-11-12 09:59:11"/>
    <n v="21620236"/>
    <s v="ARACELLY PATIÑO SANCHEZ"/>
    <s v="SIN DATOS"/>
    <s v="3122121381"/>
    <s v="RURAL_161098416600000001_VDA LA CLARA YENDO HACIA"/>
    <x v="3"/>
    <s v="161098416600000001"/>
    <s v="Caldas"/>
    <x v="0"/>
    <s v="MET Rev-Inst-Concentra E_CR014"/>
    <x v="1"/>
    <n v="8"/>
    <s v="2025-11-25 09:59:11"/>
    <s v="6 días 09:59"/>
    <s v="2 días 09:59"/>
    <x v="2"/>
    <s v="SIN DATO"/>
    <s v="SIN DATO"/>
    <s v="SIN DATO"/>
    <s v="ABIERTO"/>
    <n v="-75.618901129999998"/>
    <n v="6.0442584400000001"/>
    <s v="SUR-ENE"/>
    <s v="Metropolitana Sur"/>
  </r>
  <r>
    <s v="23567454"/>
    <s v="ENERES"/>
    <s v="NUEVO"/>
    <s v="ENEDOM"/>
    <s v="18/10/2025 04:44:35"/>
    <s v="2025-11-07 09:58:43"/>
    <n v="43681705"/>
    <s v="SOL PATRICIA OBANDO BETANCUR"/>
    <s v="3383203"/>
    <s v="3233879734"/>
    <s v="RURAL_159118311000000202_MARIANO OSPINA"/>
    <x v="4"/>
    <s v="159118311000000202"/>
    <s v="La Estrella"/>
    <x v="0"/>
    <s v="MET Rev-Inst-Concentra E_CR014"/>
    <x v="1"/>
    <n v="8"/>
    <s v="2025-11-20 09:58:43"/>
    <s v="9 días 09:58"/>
    <s v="VENCIDO"/>
    <x v="1"/>
    <s v="SIN DATO"/>
    <s v="SIN DATO"/>
    <s v="SIN DATO"/>
    <s v="ABIERTO"/>
    <n v="-75.632054659999994"/>
    <n v="6.1164638199999999"/>
    <s v="SUR-ENE"/>
    <s v="Metropolitana Sur"/>
  </r>
  <r>
    <s v="23567556"/>
    <s v="ENERES"/>
    <s v="NUEVO"/>
    <s v="ENEDOM"/>
    <s v="23/10/2025 15:27:13"/>
    <s v="2025-11-14 14:31:17"/>
    <n v="71758692"/>
    <s v="FERNEY DE JESUS JIMENEZ ARANZAZU"/>
    <s v="SIN DATOS"/>
    <s v="3009088972"/>
    <s v="CL 65 CR 18 B -18 (INTERIOR 301 )"/>
    <x v="0"/>
    <s v="056115008200180301"/>
    <s v="Medellín"/>
    <x v="5"/>
    <s v="Habilitación Viviendas Metrosur"/>
    <x v="0"/>
    <n v="5"/>
    <s v="2025-11-24 14:31:17"/>
    <s v="4 días 14:31"/>
    <s v="1 días 14:31"/>
    <x v="2"/>
    <s v="SIN DATO"/>
    <s v="SIN DATO"/>
    <s v="SIN DATO"/>
    <s v="ABIERTO"/>
    <n v="-75.539600149999998"/>
    <n v="6.2562855900000001"/>
    <s v="SUR-ENE"/>
    <s v="Metropolitana Sur"/>
  </r>
  <r>
    <s v="23567562"/>
    <s v="ENERES"/>
    <s v="NUEVO"/>
    <s v="ENEDOM"/>
    <s v="23/10/2025 15:28:24"/>
    <s v="2025-11-14 14:29:28"/>
    <n v="71758692"/>
    <s v="FERNEY DE JESUS JIMENEZ ARANZAZU"/>
    <s v="SIN DATOS"/>
    <s v="3009088972"/>
    <s v="CL 65 CR 18 B -18 (INTERIOR 303 )"/>
    <x v="0"/>
    <s v="056115008200180303"/>
    <s v="Medellín"/>
    <x v="5"/>
    <s v="Habilitación Viviendas Metrosur"/>
    <x v="0"/>
    <n v="5"/>
    <s v="2025-11-24 14:29:28"/>
    <s v="4 días 14:29"/>
    <s v="1 días 14:29"/>
    <x v="2"/>
    <s v="SIN DATO"/>
    <s v="SIN DATO"/>
    <s v="SIN DATO"/>
    <s v="ABIERTO"/>
    <n v="-75.539600149999998"/>
    <n v="6.2562855900000001"/>
    <s v="SUR-ENE"/>
    <s v="Metropolitana Sur"/>
  </r>
  <r>
    <s v="23567809"/>
    <s v="ENERES"/>
    <s v="NUEVO"/>
    <s v="ENEDOM"/>
    <s v="20/10/2025 05:51:30"/>
    <s v="2025-11-14 08:23:51"/>
    <n v="70471888"/>
    <s v="FABIO NELSON VARGAS BEDOYA"/>
    <s v="SIN DATOS"/>
    <s v="3137735745"/>
    <s v="CR 50 CL 78 SUR -59 (INTERIOR 101 )"/>
    <x v="4"/>
    <s v="037520008000590101"/>
    <s v="La Estrella"/>
    <x v="0"/>
    <s v="MET Rev-Inst-Concentra E_CR014"/>
    <x v="0"/>
    <n v="5"/>
    <s v="2025-11-24 08:23:51"/>
    <s v="4 días 08:23"/>
    <s v="1 días 08:23"/>
    <x v="2"/>
    <s v="SIN DATO"/>
    <s v="SIN DATO"/>
    <s v="SIN DATO"/>
    <s v="ABIERTO"/>
    <n v="-75.628871270000005"/>
    <n v="6.1542556599999996"/>
    <s v="SUR-ENE"/>
    <s v="Metropolitana Sur"/>
  </r>
  <r>
    <s v="23567921"/>
    <s v="ENERES"/>
    <s v="NUEVO"/>
    <s v="ENEDOM"/>
    <s v="23/10/2025 15:29:41"/>
    <s v="2025-11-18 06:05:56"/>
    <n v="71758692"/>
    <s v="FERNEY DE JESUS JIMENEZ ARANZAZU"/>
    <s v="SIN DATOS"/>
    <s v="3009088972"/>
    <s v="CL 65 CR 18 B -18 (INTERIOR 302 )"/>
    <x v="0"/>
    <s v="056115008200180302"/>
    <s v="Medellín"/>
    <x v="5"/>
    <s v="Habilitación Viviendas Metrosur"/>
    <x v="0"/>
    <n v="5"/>
    <s v="2025-11-25 06:05:56"/>
    <s v="3 días 06:05"/>
    <s v="2 días 06:05"/>
    <x v="2"/>
    <s v="SIN DATO"/>
    <s v="SIN DATO"/>
    <s v="SIN DATO"/>
    <s v="ABIERTO"/>
    <n v="-75.539600149999998"/>
    <n v="6.2562855900000001"/>
    <s v="SUR-ENE"/>
    <s v="Metropolitana Sur"/>
  </r>
  <r>
    <s v="23567939"/>
    <s v="ENERES"/>
    <s v="NUEVO"/>
    <s v="ENERES"/>
    <s v="20/10/2025 08:07:21"/>
    <s v="2025-11-14 11:15:09"/>
    <n v="890984423"/>
    <s v="AREA METROPOLITANA DEL VALLE DE ABURRA"/>
    <s v="3856000"/>
    <s v="3174274256"/>
    <s v="CL 65 CR 35 -59 (INTERIOR 1 )"/>
    <x v="0"/>
    <s v="056315005000590001"/>
    <s v="Medellín"/>
    <x v="1"/>
    <s v="Revisor Instal. Regadas Metrosur"/>
    <x v="0"/>
    <n v="7"/>
    <s v="2025-11-26 11:15:09"/>
    <s v="4 días 11:15"/>
    <s v="3 días 11:15"/>
    <x v="0"/>
    <s v="SIN DATO"/>
    <s v="SIN DATO"/>
    <s v="SIN DATO"/>
    <s v="ABIERTO"/>
    <n v="-75.550951069999996"/>
    <n v="6.2546717599999999"/>
    <s v="SUR-ENE"/>
    <s v="Metropolitana Sur"/>
  </r>
  <r>
    <s v="23567957"/>
    <s v="ENERES"/>
    <s v="NUEVO"/>
    <s v="ENEDOM"/>
    <s v="20/10/2025 08:16:57"/>
    <s v="2025-11-12 09:59:12"/>
    <n v="70567716"/>
    <s v="RIGOBERTO DE JESUS PEREZ CARDENAS"/>
    <s v="2782464"/>
    <s v="3016711530"/>
    <s v="RURAL_161023686000000002_LA CHUSCALA"/>
    <x v="3"/>
    <s v="161023686000000002"/>
    <s v="Caldas"/>
    <x v="0"/>
    <s v="MET Rev-Inst-Concentra E_CR014"/>
    <x v="1"/>
    <n v="8"/>
    <s v="2025-11-25 09:59:12"/>
    <s v="6 días 09:59"/>
    <s v="2 días 09:59"/>
    <x v="2"/>
    <s v="SIN DATO"/>
    <s v="SIN DATO"/>
    <s v="SIN DATO"/>
    <s v="ABIERTO"/>
    <n v="-75.638816480000003"/>
    <n v="6.0835469399999997"/>
    <s v="SUR-ENE"/>
    <s v="Metropolitana Sur"/>
  </r>
  <r>
    <s v="23568041"/>
    <s v="ENENOR"/>
    <s v="NUEVO"/>
    <s v="ENENOR"/>
    <s v="20/10/2025 08:59:56"/>
    <s v="2025-11-14 18:39:51"/>
    <n v="98647307"/>
    <s v="HERNANDO ARTURO VALENCIA OSORNO"/>
    <s v="SIN DATOS"/>
    <s v="3122468437"/>
    <s v="CR 55 CL 63 B -17"/>
    <x v="2"/>
    <s v="076525003200170000"/>
    <s v="Itaguí"/>
    <x v="2"/>
    <s v="Revisor Instal. Regadas Metrosur"/>
    <x v="0"/>
    <n v="7"/>
    <s v="2025-11-26 18:39:51"/>
    <s v="4 días 18:39"/>
    <s v="3 días 18:39"/>
    <x v="0"/>
    <s v="SIN DATO"/>
    <s v="SIN DATO"/>
    <s v="SIN DATO"/>
    <s v="ABIERTO"/>
    <n v="-75.603324000000001"/>
    <n v="6.1808800100000001"/>
    <s v="SUR-ENE"/>
    <s v="Metropolitana Sur"/>
  </r>
  <r>
    <s v="23568717"/>
    <s v="ENERES"/>
    <s v="NUEVO"/>
    <s v="ENEDOM"/>
    <s v="20/10/2025 15:55:32"/>
    <s v="2025-11-12 09:59:13"/>
    <n v="21424514"/>
    <s v="ROSALBA SUAREZ PADIERNA"/>
    <s v="SIN DATOS"/>
    <s v="3219854592"/>
    <s v="RURAL_161022720000000401_VEREDA LA CHUSCALA REVERS"/>
    <x v="3"/>
    <s v="161022720000000401"/>
    <s v="Caldas"/>
    <x v="0"/>
    <s v="MET Rev-Inst-Concentra E_CR014"/>
    <x v="1"/>
    <n v="8"/>
    <s v="2025-11-25 09:59:13"/>
    <s v="6 días 09:59"/>
    <s v="2 días 09:59"/>
    <x v="2"/>
    <s v="SIN DATO"/>
    <s v="SIN DATO"/>
    <s v="SIN DATO"/>
    <s v="ABIERTO"/>
    <n v="-75.638514060000006"/>
    <n v="6.08192295"/>
    <s v="SUR-ENE"/>
    <s v="Metropolitana Sur"/>
  </r>
  <r>
    <s v="23568985"/>
    <s v="ENERES"/>
    <s v="NUEVO"/>
    <s v="ENEDOM"/>
    <s v="21/10/2025 05:50:26"/>
    <s v="2025-11-12 09:59:14"/>
    <n v="43534700"/>
    <s v="FRANCY HERLEY MARIA HOLGUIN MESA"/>
    <s v="SIN DATOS"/>
    <s v="3016636744"/>
    <s v="RURAL_161145023000000101_VEREDA LA MIEL PARTE ALTA"/>
    <x v="3"/>
    <s v="161145023000000101"/>
    <s v="Caldas"/>
    <x v="0"/>
    <s v="MET Rev-Inst-Concentra E_CR014"/>
    <x v="1"/>
    <n v="8"/>
    <s v="2025-11-25 09:59:14"/>
    <s v="6 días 09:59"/>
    <s v="2 días 09:59"/>
    <x v="2"/>
    <s v="SIN DATO"/>
    <s v="SIN DATO"/>
    <s v="SIN DATO"/>
    <s v="ABIERTO"/>
    <n v="-75.623941919999993"/>
    <n v="6.1008311099999997"/>
    <s v="SUR-ENE"/>
    <s v="Metropolitana Sur"/>
  </r>
  <r>
    <s v="23568995"/>
    <s v="ENERES"/>
    <s v="NUEVO"/>
    <s v="ENEDOM"/>
    <s v="21/10/2025 06:37:48"/>
    <s v="2025-11-12 09:59:15"/>
    <n v="1026159625"/>
    <s v="JENNIFER ANDREA GONZALEZ PEREZ"/>
    <s v="SIN DATOS"/>
    <s v="3226124062"/>
    <s v="RURAL_161097304000000201"/>
    <x v="3"/>
    <s v="161097304000000201"/>
    <s v="Caldas"/>
    <x v="0"/>
    <s v="MET Rev-Inst-Concentra E_CR014"/>
    <x v="1"/>
    <n v="8"/>
    <s v="2025-11-25 09:59:15"/>
    <s v="6 días 09:59"/>
    <s v="2 días 09:59"/>
    <x v="2"/>
    <s v="SIN DATO"/>
    <s v="SIN DATO"/>
    <s v="SIN DATO"/>
    <s v="ABIERTO"/>
    <n v="-75.619720560000005"/>
    <n v="6.0500862199999998"/>
    <s v="SUR-ENE"/>
    <s v="Metropolitana Sur"/>
  </r>
  <r>
    <s v="23569359"/>
    <s v="ENERES"/>
    <s v="NUEVO"/>
    <s v="ENEDOM"/>
    <s v="21/10/2025 08:28:18"/>
    <s v="2025-10-21 08:28:18"/>
    <n v="98588252"/>
    <s v="EDWIN DARIO PEDRAZA CARO"/>
    <s v="SIN DATOS"/>
    <s v="3135734404"/>
    <s v="RURAL_159049596000000303_VEREDA CAMPO ALEGRE"/>
    <x v="4"/>
    <s v="159049596000000303"/>
    <s v="La Estrella"/>
    <x v="0"/>
    <s v="MET Rev-Inst-Concentra E_CR014"/>
    <x v="1"/>
    <n v="8"/>
    <s v="2025-10-31 08:28:18"/>
    <s v="21 días 08:28"/>
    <s v="VENCIDO"/>
    <x v="1"/>
    <s v="SIN DATO"/>
    <s v="SIN DATO"/>
    <s v="SIN DATO"/>
    <s v="ABIERTO"/>
    <n v="-75.634648130000002"/>
    <n v="6.1448420199999996"/>
    <s v="SUR-ENE"/>
    <s v="Metropolitana Sur"/>
  </r>
  <r>
    <s v="23569381"/>
    <s v="ENERES"/>
    <s v="NUEVO"/>
    <s v="ENEDOM"/>
    <s v="21/10/2025 08:39:16"/>
    <s v="2025-11-12 09:59:17"/>
    <n v="32151011"/>
    <s v="MARIA NATALY YEPES PEREZ"/>
    <s v="SIN DATOS"/>
    <s v="3148821246"/>
    <s v="RURAL_161099295000000201"/>
    <x v="3"/>
    <s v="161099295000000201"/>
    <s v="Caldas"/>
    <x v="0"/>
    <s v="MET Rev-Inst-Concentra E_CR014"/>
    <x v="1"/>
    <n v="8"/>
    <s v="2025-11-25 09:59:17"/>
    <s v="6 días 09:59"/>
    <s v="2 días 09:59"/>
    <x v="2"/>
    <s v="SIN DATO"/>
    <s v="SIN DATO"/>
    <s v="SIN DATO"/>
    <s v="ABIERTO"/>
    <n v="-75.619245280000001"/>
    <n v="6.0495144500000002"/>
    <s v="SUR-ENE"/>
    <s v="Metropolitana Sur"/>
  </r>
  <r>
    <s v="23569435"/>
    <s v="ENERES"/>
    <s v="NUEVO"/>
    <s v="ENEDOM"/>
    <s v="21/10/2025 08:54:44"/>
    <s v="2025-11-12 09:59:18"/>
    <n v="71396945"/>
    <s v="LUIS ANGEL SUAREZ PADIERNA"/>
    <s v="SIN DATOS"/>
    <s v="3216430131"/>
    <s v="RURAL_161022720000000001_VEREDA LA CHUSCALA"/>
    <x v="3"/>
    <s v="161022720000000001"/>
    <s v="Caldas"/>
    <x v="0"/>
    <s v="MET Rev-Inst-Concentra E_CR014"/>
    <x v="1"/>
    <n v="8"/>
    <s v="2025-11-25 09:59:18"/>
    <s v="6 días 09:59"/>
    <s v="2 días 09:59"/>
    <x v="2"/>
    <s v="SIN DATO"/>
    <s v="SIN DATO"/>
    <s v="SIN DATO"/>
    <s v="ABIERTO"/>
    <n v="-75.638514060000006"/>
    <n v="6.08192295"/>
    <s v="SUR-ENE"/>
    <s v="Metropolitana Sur"/>
  </r>
  <r>
    <s v="23570525"/>
    <s v="ENENOR"/>
    <s v="NUEVO"/>
    <s v="ENENOR"/>
    <s v="22/10/2025 11:28:49"/>
    <m/>
    <n v="901235512"/>
    <s v="PROMOTORA BOSQUES DEL ALTA SAS"/>
    <s v="SIN DATOS"/>
    <s v="3122698214"/>
    <s v="RURAL_125004452800003014_PROV_ZONACOMUN4_PARCE BSO"/>
    <x v="1"/>
    <s v="125004452800003014"/>
    <s v="Envigado"/>
    <x v="2"/>
    <s v="Revisor Inst. Particulares Metrosur"/>
    <x v="1"/>
    <n v="10"/>
    <m/>
    <m/>
    <m/>
    <x v="4"/>
    <s v="SIN DATO"/>
    <s v="SIN DATO"/>
    <s v="SIN DATO"/>
    <s v="ABIERTO"/>
    <n v="-75.524680880000005"/>
    <n v="6.1614959100000002"/>
    <s v="SUR-ENE"/>
    <s v="Metropolitana Sur"/>
  </r>
  <r>
    <s v="23570588"/>
    <s v="ENERES"/>
    <s v="NUEVO"/>
    <s v="ENEDOM"/>
    <s v="22/10/2025 13:02:51"/>
    <s v="2025-10-22 13:02:51"/>
    <n v="1040743836"/>
    <s v="NATALIA ARANGO RESTREPO"/>
    <s v="SIN DATOS"/>
    <s v="3246642705"/>
    <s v="RURAL_159064500000000101_159064500000000101"/>
    <x v="4"/>
    <s v="159064500000000101"/>
    <s v="La Estrella"/>
    <x v="0"/>
    <s v="MET Rev-Inst-Concentra E_CR014"/>
    <x v="1"/>
    <n v="8"/>
    <s v="2025-11-04 13:02:51"/>
    <s v="20 días 13:02"/>
    <s v="VENCIDO"/>
    <x v="1"/>
    <s v="SIN DATO"/>
    <s v="SIN DATO"/>
    <s v="SIN DATO"/>
    <s v="ABIERTO"/>
    <n v="-75.644123109999995"/>
    <n v="6.1337471700000004"/>
    <s v="SUR-ENE"/>
    <s v="Metropolitana Sur"/>
  </r>
  <r>
    <s v="23571070"/>
    <s v="ENERES"/>
    <s v="NUEVO"/>
    <s v="ENEDOM"/>
    <s v="23/10/2025 07:57:21"/>
    <s v="2025-10-23 07:57:21"/>
    <n v="1001710150"/>
    <s v="LUIS FERNANDO JARAMILLO ESPINOSA"/>
    <s v="SIN DATOS"/>
    <s v="3023223099"/>
    <s v="RURAL_159055040000000010_159055040000000010"/>
    <x v="4"/>
    <s v="159055040000000010"/>
    <s v="La Estrella"/>
    <x v="0"/>
    <s v="MET Rev-Inst-Concentra E_CR014"/>
    <x v="1"/>
    <n v="8"/>
    <s v="2025-11-05 07:57:21"/>
    <s v="19 días 07:57"/>
    <s v="VENCIDO"/>
    <x v="1"/>
    <s v="SIN DATO"/>
    <s v="SIN DATO"/>
    <s v="SIN DATO"/>
    <s v="ABIERTO"/>
    <n v="-75.636893299999997"/>
    <n v="6.1373815900000004"/>
    <s v="SUR-ENE"/>
    <s v="Metropolitana Sur"/>
  </r>
  <r>
    <s v="23571574"/>
    <s v="ENERES"/>
    <s v="NUEVO"/>
    <s v="ENERES"/>
    <s v="23/10/2025 12:53:12"/>
    <s v="2025-11-11 08:52:34"/>
    <n v="15432150"/>
    <s v="AMADO DE JESUS MARTINEZ MARTINEZ"/>
    <s v="SIN DATOS"/>
    <s v="3116170533"/>
    <s v="RURAL_122003570000000301"/>
    <x v="0"/>
    <s v="122003570000000301"/>
    <s v="Medellín"/>
    <x v="1"/>
    <s v="Revisor Instal. Regadas Metrosur"/>
    <x v="1"/>
    <n v="10"/>
    <s v="2025-11-26 08:52:34"/>
    <s v="7 días 08:52"/>
    <s v="3 días 08:52"/>
    <x v="0"/>
    <s v="SIN DATO"/>
    <s v="SIN DATO"/>
    <s v="SIN DATO"/>
    <s v="ABIERTO"/>
    <n v="-75.521034470000004"/>
    <n v="6.2325751199999999"/>
    <s v="SUR-ENE"/>
    <s v="Metropolitana Sur"/>
  </r>
  <r>
    <s v="23571669"/>
    <s v="ENEPRE"/>
    <s v="REUBI"/>
    <s v="ENEPRE"/>
    <s v="23/10/2025 14:29:55"/>
    <s v="2025-11-20 13:16:35"/>
    <n v="1083883398"/>
    <s v="LEIDY JHOANA CARDENAS TUMIÑA"/>
    <s v="SIN DATOS"/>
    <s v="3147814629"/>
    <s v="CL 58 CR 94 -61 (INTERIOR 145 )"/>
    <x v="0"/>
    <s v="055918004000610145"/>
    <s v="Medellín"/>
    <x v="9"/>
    <s v="Energía Prepago Metrosur"/>
    <x v="0"/>
    <n v="11"/>
    <s v="2025-12-05 13:16:35"/>
    <s v="0 días 13:16"/>
    <s v="10 días 13:16"/>
    <x v="0"/>
    <s v="SIN DATO"/>
    <s v="SIN DATO"/>
    <s v="SIN DATO"/>
    <s v="ABIERTO"/>
    <n v="-75.606734000000003"/>
    <n v="6.2758279999999997"/>
    <s v="SUR-ENE"/>
    <s v="Metropolitana Sur"/>
  </r>
  <r>
    <s v="23571820"/>
    <s v="ENERES"/>
    <s v="NUEVO"/>
    <s v="ENERES"/>
    <s v="23/10/2025 16:21:44"/>
    <s v="2025-10-23 16:21:44"/>
    <n v="39161052"/>
    <s v="LUCIA DEL SOCORRO LOPERA PEÑA"/>
    <s v="2789502"/>
    <s v="3003573670"/>
    <s v="CL 128 SUR CR 54 -103 (INTERIOR 301 )"/>
    <x v="3"/>
    <s v="002518004001030301"/>
    <s v="Caldas"/>
    <x v="1"/>
    <s v="MET Rev-Inst-Concentra E_CR014"/>
    <x v="0"/>
    <n v="7"/>
    <s v="2025-11-04 16:21:44"/>
    <s v="19 días 16:21"/>
    <s v="VENCIDO"/>
    <x v="1"/>
    <s v="SIN DATO"/>
    <s v="SIN DATO"/>
    <s v="SIN DATO"/>
    <s v="ABIERTO"/>
    <n v="-75.640410529999997"/>
    <n v="6.0921169500000003"/>
    <s v="SUR-ENE"/>
    <s v="Metropolitana Sur"/>
  </r>
  <r>
    <s v="23571838"/>
    <s v="ENERES"/>
    <s v="NUEVO"/>
    <s v="ENERES"/>
    <s v="23/10/2025 16:35:20"/>
    <s v="2025-10-23 16:35:20"/>
    <n v="1026134673"/>
    <s v="DIEGO ANDRES URREGO URREGO"/>
    <s v="SIN DATOS"/>
    <s v="3194806148"/>
    <s v="CL 142 SUR CR 51 -123 (INTERIOR 401 )"/>
    <x v="3"/>
    <s v="004512001001230401"/>
    <s v="Caldas"/>
    <x v="1"/>
    <s v="MET Rev-Inst-Concentra E_CR014"/>
    <x v="0"/>
    <n v="7"/>
    <s v="2025-11-04 16:35:20"/>
    <s v="19 días 16:35"/>
    <s v="VENCIDO"/>
    <x v="1"/>
    <s v="SIN DATO"/>
    <s v="SIN DATO"/>
    <s v="SIN DATO"/>
    <s v="ABIERTO"/>
    <n v="-75.636188500000003"/>
    <n v="6.0810917"/>
    <s v="SUR-ENE"/>
    <s v="Metropolitana Sur"/>
  </r>
  <r>
    <s v="23571847"/>
    <s v="ENERES"/>
    <s v="NUEVO"/>
    <s v="ENERES"/>
    <s v="23/10/2025 16:43:45"/>
    <s v="2025-10-23 16:43:45"/>
    <n v="1026152158"/>
    <s v="JULIAN ALBERTO URREGO URREGO"/>
    <s v="SIN DATOS"/>
    <s v="3150270350"/>
    <s v="CL 142 SUR CR 51 -123 (INTERIOR 402 )"/>
    <x v="3"/>
    <s v="004512001001230402"/>
    <s v="Caldas"/>
    <x v="1"/>
    <s v="MET Rev-Inst-Concentra E_CR014"/>
    <x v="0"/>
    <n v="7"/>
    <s v="2025-11-04 16:43:45"/>
    <s v="19 días 16:43"/>
    <s v="VENCIDO"/>
    <x v="1"/>
    <s v="SIN DATO"/>
    <s v="SIN DATO"/>
    <s v="SIN DATO"/>
    <s v="ABIERTO"/>
    <n v="-75.636188500000003"/>
    <n v="6.0810917"/>
    <s v="SUR-ENE"/>
    <s v="Metropolitana Sur"/>
  </r>
  <r>
    <s v="23572188"/>
    <s v="ENERES"/>
    <s v="NUEVO"/>
    <s v="ENEDOM"/>
    <s v="24/10/2025 08:16:07"/>
    <s v="2025-11-20 09:52:20"/>
    <n v="32392980"/>
    <s v="CRUZ ELENA CASTAÑO SOTO"/>
    <s v="SIN DATOS"/>
    <s v="3015109734"/>
    <s v="CR 102 CL 48 D -67 (INTERIOR 301 )"/>
    <x v="0"/>
    <s v="084022008400670301"/>
    <s v="Medellín"/>
    <x v="0"/>
    <s v="Habilitación Viviendas Metrosur"/>
    <x v="0"/>
    <n v="5"/>
    <s v="2025-11-27 09:52:20"/>
    <s v="0 días 09:52"/>
    <s v="4 días 09:52"/>
    <x v="0"/>
    <s v="SIN DATO"/>
    <s v="SIN DATO"/>
    <s v="SIN DATO"/>
    <s v="ABIERTO"/>
    <n v="-75.617151039999996"/>
    <n v="6.2608900900000002"/>
    <s v="SUR-ENE"/>
    <s v="Metropolitana Sur"/>
  </r>
  <r>
    <s v="23572245"/>
    <s v="ENERES"/>
    <s v="NUEVO"/>
    <s v="ENEDOM"/>
    <s v="24/10/2025 09:05:31"/>
    <s v="2025-11-20 09:53:38"/>
    <n v="32392980"/>
    <s v="CRUZ ELENA CASTAÑO SOTO"/>
    <s v="SIN DATOS"/>
    <s v="3015109734"/>
    <s v="CR 102 CL 48 D -67 (INTERIOR 302 )"/>
    <x v="0"/>
    <s v="084022008400670302"/>
    <s v="Medellín"/>
    <x v="0"/>
    <s v="Habilitación Viviendas Metrosur"/>
    <x v="0"/>
    <n v="5"/>
    <s v="2025-11-27 09:53:38"/>
    <s v="0 días 09:53"/>
    <s v="4 días 09:53"/>
    <x v="0"/>
    <s v="SIN DATO"/>
    <s v="SIN DATO"/>
    <s v="SIN DATO"/>
    <s v="ABIERTO"/>
    <n v="-75.617151039999996"/>
    <n v="6.2608900900000002"/>
    <s v="SUR-ENE"/>
    <s v="Metropolitana Sur"/>
  </r>
  <r>
    <s v="23572287"/>
    <s v="ENERES"/>
    <s v="NUEVO"/>
    <s v="ENERES"/>
    <s v="24/10/2025 09:34:43"/>
    <s v="2025-11-14 13:05:18"/>
    <n v="890984423"/>
    <s v="AREA METROPOLITANA DEL VALLE DE ABURRA"/>
    <s v="3856000"/>
    <s v="3174274256"/>
    <s v="CR 64 C CL 67 -336 (INTERIOR 1 )"/>
    <x v="0"/>
    <s v="056624307003360001"/>
    <s v="Medellín"/>
    <x v="1"/>
    <s v="Revisor Instal. Regadas Metrosur"/>
    <x v="0"/>
    <n v="7"/>
    <s v="2025-11-26 13:05:18"/>
    <s v="4 días 13:05"/>
    <s v="3 días 13:05"/>
    <x v="0"/>
    <s v="SIN DATO"/>
    <s v="SIN DATO"/>
    <s v="SIN DATO"/>
    <s v="ABIERTO"/>
    <n v="-75.574018300000006"/>
    <n v="6.2691668299999996"/>
    <s v="SUR-ENE"/>
    <s v="Metropolitana Sur"/>
  </r>
  <r>
    <s v="23572326"/>
    <s v="ENECNX"/>
    <s v="NUEVO"/>
    <s v="ENECNX"/>
    <s v="14/11/2025 02:55:08"/>
    <s v="2025-11-14 02:55:08"/>
    <n v="21501477"/>
    <s v="ANA LUISA MARIO RIVERA"/>
    <s v="2222222"/>
    <s v="3156574846"/>
    <s v="CL 77 A SUR CR 45 -72"/>
    <x v="5"/>
    <s v="017417105000720000"/>
    <s v="Sabaneta"/>
    <x v="8"/>
    <s v="Revisor Puntos de Conexión Metrosur"/>
    <x v="0"/>
    <n v="4"/>
    <s v="2025-11-21 02:55:08"/>
    <s v="4 días 02:55"/>
    <s v="VENCIDO"/>
    <x v="1"/>
    <s v="SIN DATO"/>
    <s v="SIN DATO"/>
    <s v="SIN DATO"/>
    <s v="CUMPLIDO"/>
    <n v="-75.621250439999997"/>
    <n v="6.1469248199999997"/>
    <s v="SUR-ENE"/>
    <s v="Metropolitana Sur"/>
  </r>
  <r>
    <s v="23572681"/>
    <s v="ENEPRE"/>
    <s v="NUEVO"/>
    <s v="ENEPRE"/>
    <s v="13/11/2025 07:34:16"/>
    <s v="2025-11-13 07:34:16"/>
    <n v="1128407195"/>
    <s v="KARLA YARLEDI CARTAGENA MUÑOZ"/>
    <s v="SIN DATOS"/>
    <s v="3006708847"/>
    <s v="CL 39 DA CR 119 C -145 (INTERIOR 108 )"/>
    <x v="0"/>
    <s v="083119419301450108"/>
    <s v="Medellín"/>
    <x v="10"/>
    <s v="Revisor Instal. Regadas Metrosur"/>
    <x v="0"/>
    <n v="0"/>
    <m/>
    <s v="5 días 07:34"/>
    <m/>
    <x v="4"/>
    <s v="SIN DATO"/>
    <s v="SIN DATO"/>
    <s v="SIN DATO"/>
    <s v="ABIERTO"/>
    <n v="-75.630776999999995"/>
    <n v="6.2531040000000004"/>
    <s v="SUR-ENE"/>
    <s v="Metropolitana Sur"/>
  </r>
  <r>
    <s v="23572756"/>
    <s v="ENERES"/>
    <s v="NUEVO"/>
    <s v="ENEDOM"/>
    <s v="24/10/2025 17:12:55"/>
    <s v="2025-11-18 11:07:22"/>
    <n v="1216723965"/>
    <s v="FERNANDO MONTOYA MORENO"/>
    <s v="SIN DATOS"/>
    <s v="3204278792"/>
    <s v="RURAL_146025369000000010_146025369000000010"/>
    <x v="0"/>
    <s v="146025369000000010"/>
    <s v="Medellín"/>
    <x v="0"/>
    <s v="Habilitación Viviendas Metrosur"/>
    <x v="1"/>
    <n v="8"/>
    <s v="2025-11-28 11:07:22"/>
    <s v="3 días 11:07"/>
    <s v="5 días 11:07"/>
    <x v="0"/>
    <s v="SIN DATO"/>
    <s v="SIN DATO"/>
    <s v="SIN DATO"/>
    <s v="ABIERTO"/>
    <n v="-75.697424190000007"/>
    <n v="6.3573157599999996"/>
    <s v="SUR-ENE"/>
    <s v="Metropolitana Sur"/>
  </r>
  <r>
    <s v="23574357"/>
    <s v="ENEMRT"/>
    <s v="NUEVO"/>
    <s v="ENEMVI"/>
    <s v="27/10/2025 19:04:35"/>
    <s v="2025-10-27 19:04:35"/>
    <n v="162285721"/>
    <s v="JOSE DIEGO ALONSO RESTREPO"/>
    <s v="SIN DATOS"/>
    <s v="3216635570"/>
    <s v="RURAL_103043302750000005_103043302750000005"/>
    <x v="0"/>
    <s v="103043302750000005"/>
    <s v="Medellín"/>
    <x v="6"/>
    <s v="Mov Red Trans Dairo Gil"/>
    <x v="1"/>
    <n v="14"/>
    <s v="2025-11-18 19:04:35"/>
    <s v="17 días 19:04"/>
    <s v="VENCIDO"/>
    <x v="1"/>
    <s v="SIN DATO"/>
    <s v="SIN DATO"/>
    <s v="SIN DATO"/>
    <s v="CUMPLIDO"/>
    <n v="-75.676379449999999"/>
    <n v="6.1945998900000001"/>
    <s v="SUR-ENE"/>
    <s v="Metropolitana Sur"/>
  </r>
  <r>
    <s v="23575271"/>
    <s v="ENEPRE"/>
    <s v="NUEVO"/>
    <s v="ENEPRE"/>
    <s v="04/11/2025 10:40:40"/>
    <s v="2025-11-19 10:40:49"/>
    <n v="25996567"/>
    <s v="DELCY ISABEL FERNANDEZ CHICA"/>
    <s v="SIN DATOS"/>
    <s v="3225444973"/>
    <s v="RURAL_136028500000000101_136028500000000101"/>
    <x v="0"/>
    <s v="136028500000000101"/>
    <s v="Medellín"/>
    <x v="3"/>
    <s v="Habilitación Viviendas Metrosur"/>
    <x v="1"/>
    <n v="11"/>
    <s v="2025-12-04 10:40:49"/>
    <s v="2 días 10:40"/>
    <s v="9 días 10:40"/>
    <x v="0"/>
    <s v="SIN DATO"/>
    <s v="SIN DATO"/>
    <s v="SIN DATO"/>
    <s v="ABIERTO"/>
    <n v="-75.612797659999998"/>
    <n v="6.2733274100000003"/>
    <s v="SUR-ENE"/>
    <s v="Metropolitana Sur"/>
  </r>
  <r>
    <s v="23575956"/>
    <s v="ENERES"/>
    <s v="NUEVO"/>
    <s v="ENEDOM"/>
    <s v="29/10/2025 03:32:32"/>
    <s v="2025-10-29 03:32:32"/>
    <n v="1026144901"/>
    <s v="YOHANA MARCELA ARREDONDO ORTIZ"/>
    <s v="SIN DATOS"/>
    <s v="3016172206"/>
    <s v="RURAL_161071208500000004_VEREDA URAPANES"/>
    <x v="3"/>
    <s v="161071208500000004"/>
    <s v="Caldas"/>
    <x v="0"/>
    <s v="MET Rev-Inst-Concentra E_CR014"/>
    <x v="1"/>
    <n v="8"/>
    <s v="2025-11-11 03:32:32"/>
    <s v="15 días 03:32"/>
    <s v="VENCIDO"/>
    <x v="1"/>
    <s v="SIN DATO"/>
    <s v="SIN DATO"/>
    <s v="SIN DATO"/>
    <s v="ABIERTO"/>
    <n v="-75.636968719999999"/>
    <n v="6.0529956599999997"/>
    <s v="SUR-ENE"/>
    <s v="Metropolitana Sur"/>
  </r>
  <r>
    <s v="23575998"/>
    <s v="ENERES"/>
    <s v="NUEVO"/>
    <s v="ENEDOM"/>
    <s v="29/10/2025 04:12:14"/>
    <s v="2025-10-29 04:12:14"/>
    <n v="70878252"/>
    <s v="CARLOS NELSON HERNANDEZ GALLEGO"/>
    <s v="2792264"/>
    <s v="3014057006"/>
    <s v="CR 62 A CL 74 SUR -84 (INTERIOR 111 )"/>
    <x v="4"/>
    <s v="037622104000840111"/>
    <s v="La Estrella"/>
    <x v="0"/>
    <s v="MET Rev-Inst-Concentra E_CR014"/>
    <x v="0"/>
    <n v="5"/>
    <s v="2025-11-06 04:12:14"/>
    <s v="15 días 04:12"/>
    <s v="VENCIDO"/>
    <x v="1"/>
    <s v="SIN DATO"/>
    <s v="SIN DATO"/>
    <s v="SIN DATO"/>
    <s v="ABIERTO"/>
    <n v="-75.643524880000001"/>
    <n v="6.1639648999999999"/>
    <s v="SUR-ENE"/>
    <s v="Metropolitana Sur"/>
  </r>
  <r>
    <s v="23576075"/>
    <s v="ENERES"/>
    <s v="CAMBI"/>
    <s v="ENERES"/>
    <s v="29/10/2025 07:43:04"/>
    <s v="2025-10-29 07:43:04"/>
    <n v="43254050"/>
    <s v="ANA ISABEL ORTIZ ESPINAL"/>
    <s v="SIN DATOS"/>
    <s v="3197195440"/>
    <s v="RURAL_161025341000000000_161025341000000000"/>
    <x v="3"/>
    <s v="161025341000000000"/>
    <s v="Caldas"/>
    <x v="4"/>
    <s v="MET Rev-Inst-Concentra E_CR014"/>
    <x v="1"/>
    <n v="10"/>
    <s v="2025-11-13 07:43:04"/>
    <s v="15 días 07:43"/>
    <s v="VENCIDO"/>
    <x v="1"/>
    <s v="SIN DATO"/>
    <s v="SIN DATO"/>
    <s v="SIN DATO"/>
    <s v="ABIERTO"/>
    <n v="-75.635334999999998"/>
    <n v="6.0730683299999999"/>
    <s v="SUR-ENE"/>
    <s v="Metropolitana Sur"/>
  </r>
  <r>
    <s v="23576299"/>
    <s v="ENERES"/>
    <s v="NUEVO"/>
    <s v="ENERES"/>
    <s v="29/10/2025 10:20:13"/>
    <s v="2025-11-20 13:10:41"/>
    <n v="43507068"/>
    <s v="NORA ELENA MONSALVE CASTAÑO"/>
    <s v="4879801"/>
    <s v="3127810074"/>
    <s v="TRAN 32 C DIAG 74 D -65 (INTERIOR 201 )"/>
    <x v="0"/>
    <s v="053792304400650201"/>
    <s v="Medellín"/>
    <x v="1"/>
    <s v="METROSUR Vin. Leg. Ref. Concentrada"/>
    <x v="0"/>
    <n v="7"/>
    <s v="2025-12-01 13:10:41"/>
    <s v="0 días 13:10"/>
    <s v="6 días 13:10"/>
    <x v="0"/>
    <s v="SIN DATO"/>
    <s v="SIN DATO"/>
    <s v="SIN DATO"/>
    <s v="ABIERTO"/>
    <n v="-75.59462997"/>
    <n v="6.2370120099999999"/>
    <s v="SUR-ENE"/>
    <s v="Metropolitana Sur"/>
  </r>
  <r>
    <s v="23576307"/>
    <s v="ENERES"/>
    <s v="NUEVO"/>
    <s v="ENERES"/>
    <s v="29/10/2025 10:24:47"/>
    <s v="2025-11-20 13:16:47"/>
    <n v="43507068"/>
    <s v="NORA ELENA MONSALVE CASTAÑO"/>
    <s v="4879801"/>
    <s v="3127810074"/>
    <s v="TRAN 32 C DIAG 74 D -65 (INTERIOR 801 )"/>
    <x v="0"/>
    <s v="053792304400650801"/>
    <s v="Medellín"/>
    <x v="1"/>
    <s v="METROSUR Vin. Leg. Ref. Concentrada"/>
    <x v="0"/>
    <n v="7"/>
    <s v="2025-12-01 13:16:47"/>
    <s v="0 días 13:16"/>
    <s v="6 días 13:16"/>
    <x v="0"/>
    <s v="SIN DATO"/>
    <s v="SIN DATO"/>
    <s v="SIN DATO"/>
    <s v="ABIERTO"/>
    <n v="-75.59462997"/>
    <n v="6.2370120099999999"/>
    <s v="SUR-ENE"/>
    <s v="Metropolitana Sur"/>
  </r>
  <r>
    <s v="23576308"/>
    <s v="ENERES"/>
    <s v="NUEVO"/>
    <s v="ENERES"/>
    <s v="29/10/2025 10:24:47"/>
    <s v="2025-11-20 13:17:22"/>
    <n v="43507068"/>
    <s v="NORA ELENA MONSALVE CASTAÑO"/>
    <s v="4879801"/>
    <s v="3127810074"/>
    <s v="TRAN 32 C DIAG 74 D -65 (INTERIOR 901 )"/>
    <x v="0"/>
    <s v="053792304400650901"/>
    <s v="Medellín"/>
    <x v="1"/>
    <s v="METROSUR Vin. Leg. Ref. Concentrada"/>
    <x v="0"/>
    <n v="7"/>
    <s v="2025-12-01 13:17:22"/>
    <s v="0 días 13:17"/>
    <s v="6 días 13:17"/>
    <x v="0"/>
    <s v="SIN DATO"/>
    <s v="SIN DATO"/>
    <s v="SIN DATO"/>
    <s v="ABIERTO"/>
    <n v="-75.59462997"/>
    <n v="6.2370120099999999"/>
    <s v="SUR-ENE"/>
    <s v="Metropolitana Sur"/>
  </r>
  <r>
    <s v="23576309"/>
    <s v="ENERES"/>
    <s v="NUEVO"/>
    <s v="ENERES"/>
    <s v="29/10/2025 10:24:57"/>
    <s v="2025-11-20 13:15:22"/>
    <n v="43507068"/>
    <s v="NORA ELENA MONSALVE CASTAÑO"/>
    <s v="4879801"/>
    <s v="3127810074"/>
    <s v="TRAN 32 C DIAG 74 D -65 (INTERIOR 601 )"/>
    <x v="0"/>
    <s v="053792304400650601"/>
    <s v="Medellín"/>
    <x v="1"/>
    <s v="METROSUR Vin. Leg. Ref. Concentrada"/>
    <x v="0"/>
    <n v="7"/>
    <s v="2025-12-01 13:15:22"/>
    <s v="0 días 13:15"/>
    <s v="6 días 13:15"/>
    <x v="0"/>
    <s v="SIN DATO"/>
    <s v="SIN DATO"/>
    <s v="SIN DATO"/>
    <s v="ABIERTO"/>
    <n v="-75.59462997"/>
    <n v="6.2370120099999999"/>
    <s v="SUR-ENE"/>
    <s v="Metropolitana Sur"/>
  </r>
  <r>
    <s v="23576313"/>
    <s v="ENERES"/>
    <s v="NUEVO"/>
    <s v="ENERES"/>
    <s v="29/10/2025 10:25:49"/>
    <s v="2025-11-20 13:14:28"/>
    <n v="43507068"/>
    <s v="NORA ELENA MONSALVE CASTAÑO"/>
    <s v="4879801"/>
    <s v="3127810074"/>
    <s v="TRAN 32 C DIAG 74 D -65 (INTERIOR 501 )"/>
    <x v="0"/>
    <s v="053792304400650501"/>
    <s v="Medellín"/>
    <x v="1"/>
    <s v="METROSUR Vin. Leg. Ref. Concentrada"/>
    <x v="0"/>
    <n v="7"/>
    <s v="2025-12-01 13:14:28"/>
    <s v="0 días 13:14"/>
    <s v="6 días 13:14"/>
    <x v="0"/>
    <s v="SIN DATO"/>
    <s v="SIN DATO"/>
    <s v="SIN DATO"/>
    <s v="ABIERTO"/>
    <n v="-75.59462997"/>
    <n v="6.2370120099999999"/>
    <s v="SUR-ENE"/>
    <s v="Metropolitana Sur"/>
  </r>
  <r>
    <s v="23576322"/>
    <s v="ENERES"/>
    <s v="NUEVO"/>
    <s v="ENERES"/>
    <s v="29/10/2025 10:27:34"/>
    <s v="2025-11-20 13:13:44"/>
    <n v="43507068"/>
    <s v="NORA ELENA MONSALVE CASTAÑO"/>
    <s v="4879801"/>
    <s v="3127810074"/>
    <s v="TRAN 32 C DIAG 74 D -65 (INTERIOR 401 )"/>
    <x v="0"/>
    <s v="053792304400650401"/>
    <s v="Medellín"/>
    <x v="1"/>
    <s v="METROSUR Vin. Leg. Ref. Concentrada"/>
    <x v="0"/>
    <n v="7"/>
    <s v="2025-12-01 13:13:44"/>
    <s v="0 días 13:13"/>
    <s v="6 días 13:13"/>
    <x v="0"/>
    <s v="SIN DATO"/>
    <s v="SIN DATO"/>
    <s v="SIN DATO"/>
    <s v="ABIERTO"/>
    <n v="-75.59462997"/>
    <n v="6.2370120099999999"/>
    <s v="SUR-ENE"/>
    <s v="Metropolitana Sur"/>
  </r>
  <r>
    <s v="23576331"/>
    <s v="ENERES"/>
    <s v="NUEVO"/>
    <s v="ENERES"/>
    <s v="29/10/2025 10:37:54"/>
    <s v="2025-11-20 13:15:50"/>
    <n v="43507068"/>
    <s v="NORA ELENA MONSALVE CASTAÑO"/>
    <s v="4879801"/>
    <s v="3127810074"/>
    <s v="TRAN 32 C DIAG 74 D -65 (INTERIOR 701 )"/>
    <x v="0"/>
    <s v="053792304400650701"/>
    <s v="Medellín"/>
    <x v="1"/>
    <s v="METROSUR Vin. Leg. Ref. Concentrada"/>
    <x v="0"/>
    <n v="7"/>
    <s v="2025-12-01 13:15:50"/>
    <s v="0 días 13:15"/>
    <s v="6 días 13:15"/>
    <x v="0"/>
    <s v="SIN DATO"/>
    <s v="SIN DATO"/>
    <s v="SIN DATO"/>
    <s v="ABIERTO"/>
    <n v="-75.59462997"/>
    <n v="6.2370120099999999"/>
    <s v="SUR-ENE"/>
    <s v="Metropolitana Sur"/>
  </r>
  <r>
    <s v="23576345"/>
    <s v="ENERES"/>
    <s v="NUEVO"/>
    <s v="ENERES"/>
    <s v="29/10/2025 10:43:56"/>
    <s v="2025-11-20 13:11:45"/>
    <n v="43507068"/>
    <s v="NORA ELENA MONSALVE CASTAÑO"/>
    <s v="4879801"/>
    <s v="3127810074"/>
    <s v="TRAN 32 C DIAG 74 D -65 (INTERIOR 301 )"/>
    <x v="0"/>
    <s v="053792304400650301"/>
    <s v="Medellín"/>
    <x v="1"/>
    <s v="METROSUR Vin. Leg. Ref. Concentrada"/>
    <x v="0"/>
    <n v="7"/>
    <s v="2025-12-01 13:11:45"/>
    <s v="0 días 13:11"/>
    <s v="6 días 13:11"/>
    <x v="0"/>
    <s v="SIN DATO"/>
    <s v="SIN DATO"/>
    <s v="SIN DATO"/>
    <s v="ABIERTO"/>
    <n v="-75.59462997"/>
    <n v="6.2370120099999999"/>
    <s v="SUR-ENE"/>
    <s v="Metropolitana Sur"/>
  </r>
  <r>
    <s v="23576705"/>
    <s v="ENERES"/>
    <s v="NUEVO"/>
    <s v="ENEDOM"/>
    <s v="29/10/2025 13:52:13"/>
    <s v="2025-10-29 13:52:13"/>
    <n v="430781714"/>
    <s v="LUZ ELENA PEREAÑEZ"/>
    <s v="SIN DATOS"/>
    <s v="3127307591"/>
    <s v="RURAL_161118237480000003_PROV.VEREDA LA CORRALA"/>
    <x v="3"/>
    <s v="161118237480000003"/>
    <s v="Caldas"/>
    <x v="0"/>
    <s v="MET Rev-Inst-Concentra E_CR014"/>
    <x v="1"/>
    <n v="8"/>
    <s v="2025-11-11 13:52:13"/>
    <s v="15 días 13:52"/>
    <s v="VENCIDO"/>
    <x v="1"/>
    <s v="SIN DATO"/>
    <s v="SIN DATO"/>
    <s v="SIN DATO"/>
    <s v="ABIERTO"/>
    <n v="-75.620897999999997"/>
    <n v="6.0887789999999997"/>
    <s v="SUR-ENE"/>
    <s v="Metropolitana Sur"/>
  </r>
  <r>
    <s v="23576738"/>
    <s v="ENERES"/>
    <s v="NUEVO"/>
    <s v="ENEDOM"/>
    <s v="29/10/2025 14:06:21"/>
    <s v="2025-10-29 14:06:21"/>
    <n v="1000922602"/>
    <s v="YAMILE ANDREA HENAO ATEHORTUA"/>
    <s v="SIN DATOS"/>
    <s v="3244697953"/>
    <s v="RURAL_161021516000000005_VEREDA LA CHUSCALA"/>
    <x v="3"/>
    <s v="161021516000000005"/>
    <s v="Caldas"/>
    <x v="0"/>
    <s v="MET Rev-Inst-Concentra E_CR014"/>
    <x v="1"/>
    <n v="8"/>
    <s v="2025-11-11 14:06:21"/>
    <s v="15 días 14:06"/>
    <s v="VENCIDO"/>
    <x v="1"/>
    <s v="SIN DATO"/>
    <s v="SIN DATO"/>
    <s v="SIN DATO"/>
    <s v="ABIERTO"/>
    <n v="-75.640614859999999"/>
    <n v="6.0822918899999996"/>
    <s v="SUR-ENE"/>
    <s v="Metropolitana Sur"/>
  </r>
  <r>
    <s v="23576770"/>
    <s v="ENERES"/>
    <s v="NUEVO"/>
    <s v="ENERES"/>
    <s v="29/10/2025 14:20:23"/>
    <s v="2025-10-29 14:20:23"/>
    <n v="15458130"/>
    <s v="NELSON DE JESUS MONTOYA SANCHEZ"/>
    <s v="SIN DATOS"/>
    <s v="3146466859"/>
    <s v="CR 42 A CL 125 SUR -77 (INTERIOR 301 )"/>
    <x v="3"/>
    <s v="002422105000770301"/>
    <s v="Caldas"/>
    <x v="1"/>
    <s v="MET Rev-Inst-Concentra E_CR014"/>
    <x v="0"/>
    <n v="7"/>
    <s v="2025-11-10 14:20:23"/>
    <s v="15 días 14:20"/>
    <s v="VENCIDO"/>
    <x v="1"/>
    <s v="SIN DATO"/>
    <s v="SIN DATO"/>
    <s v="SIN DATO"/>
    <s v="ABIERTO"/>
    <n v="-75.630044339999998"/>
    <n v="6.0963919600000001"/>
    <s v="SUR-ENE"/>
    <s v="Metropolitana Sur"/>
  </r>
  <r>
    <s v="23576773"/>
    <s v="ENERES"/>
    <s v="NUEVO"/>
    <s v="ENERES"/>
    <s v="29/10/2025 14:22:32"/>
    <s v="2025-10-29 14:22:32"/>
    <n v="15458130"/>
    <s v="NELSON DE JESUS MONTOYA SANCHEZ"/>
    <s v="SIN DATOS"/>
    <s v="3146466859"/>
    <s v="CR 42 A CL 125 SUR -77 (INTERIOR 201 )"/>
    <x v="3"/>
    <s v="002422105000770201"/>
    <s v="Caldas"/>
    <x v="1"/>
    <s v="MET Rev-Inst-Concentra E_CR014"/>
    <x v="0"/>
    <n v="7"/>
    <s v="2025-11-10 14:22:32"/>
    <s v="15 días 14:22"/>
    <s v="VENCIDO"/>
    <x v="1"/>
    <s v="SIN DATO"/>
    <s v="SIN DATO"/>
    <s v="SIN DATO"/>
    <s v="ABIERTO"/>
    <n v="-75.630044339999998"/>
    <n v="6.0963919600000001"/>
    <s v="SUR-ENE"/>
    <s v="Metropolitana Sur"/>
  </r>
  <r>
    <s v="23576815"/>
    <s v="ENERES"/>
    <s v="NUEVO"/>
    <s v="ENERES"/>
    <s v="29/10/2025 14:46:46"/>
    <s v="2025-10-29 14:46:46"/>
    <n v="43681290"/>
    <s v="MARIA TERESA VILLA BEDOYA"/>
    <s v="SIN DATOS"/>
    <s v="3053281847"/>
    <s v="CR 49 CL 125 SUR -96"/>
    <x v="3"/>
    <s v="002429005000960000"/>
    <s v="Caldas"/>
    <x v="1"/>
    <s v="MET Rev-Inst-Concentra E_CR014"/>
    <x v="0"/>
    <n v="7"/>
    <s v="2025-11-10 14:46:46"/>
    <s v="15 días 14:46"/>
    <s v="VENCIDO"/>
    <x v="1"/>
    <s v="SIN DATO"/>
    <s v="SIN DATO"/>
    <s v="SIN DATO"/>
    <s v="ABIERTO"/>
    <n v="-75.635442999999995"/>
    <n v="6.0956049999999999"/>
    <s v="SUR-ENE"/>
    <s v="Metropolitana Sur"/>
  </r>
  <r>
    <s v="23576839"/>
    <s v="ENERES"/>
    <s v="CAMBI"/>
    <s v="ENERES"/>
    <s v="29/10/2025 14:57:38"/>
    <s v="2025-10-29 14:57:38"/>
    <n v="15458130"/>
    <s v="NELSON DE JESUS MONTOYA SANCHEZ"/>
    <s v="SIN DATOS"/>
    <s v="3146466859"/>
    <s v="CR 42 A CL 125 SUR -77 (INTERIOR 5 )"/>
    <x v="3"/>
    <s v="002422105000770005"/>
    <s v="Caldas"/>
    <x v="4"/>
    <s v="MET Rev-Inst-Concentra E_CR014"/>
    <x v="0"/>
    <n v="7"/>
    <s v="2025-11-10 14:57:38"/>
    <s v="15 días 14:57"/>
    <s v="VENCIDO"/>
    <x v="1"/>
    <s v="SIN DATO"/>
    <s v="SIN DATO"/>
    <s v="SIN DATO"/>
    <s v="ABIERTO"/>
    <n v="-75.629795000000001"/>
    <n v="6.0959989999999999"/>
    <s v="SUR-ENE"/>
    <s v="Metropolitana Sur"/>
  </r>
  <r>
    <s v="23576848"/>
    <s v="ENERES"/>
    <s v="NUEVO"/>
    <s v="ENERES"/>
    <s v="29/10/2025 15:01:34"/>
    <s v="2025-10-29 15:01:34"/>
    <n v="43681290"/>
    <s v="MARIA TERESA VILLA BEDOYA"/>
    <s v="SIN DATOS"/>
    <s v="3053281847"/>
    <s v="CR 49 CL 125 SUR -100"/>
    <x v="3"/>
    <s v="002429005001000000"/>
    <s v="Caldas"/>
    <x v="1"/>
    <s v="MET Rev-Inst-Concentra E_CR014"/>
    <x v="0"/>
    <n v="7"/>
    <s v="2025-11-10 15:01:34"/>
    <s v="15 días 15:01"/>
    <s v="VENCIDO"/>
    <x v="1"/>
    <s v="SIN DATO"/>
    <s v="SIN DATO"/>
    <s v="SIN DATO"/>
    <s v="ABIERTO"/>
    <n v="-75.635415660000007"/>
    <n v="6.0955846200000003"/>
    <s v="SUR-ENE"/>
    <s v="Metropolitana Sur"/>
  </r>
  <r>
    <s v="23577554"/>
    <s v="ENERES"/>
    <s v="NUEVO"/>
    <s v="ENERES"/>
    <s v="30/10/2025 06:58:11"/>
    <s v="2025-10-30 06:58:11"/>
    <n v="8071683"/>
    <s v="EMERSON EDUARDO ESPINOSA VELEZ"/>
    <s v="SIN DATOS"/>
    <s v="3146638984"/>
    <s v="CR 50 B CL 123 SUR -37 (INTERIOR 301 )"/>
    <x v="3"/>
    <s v="002520203000370301"/>
    <s v="Caldas"/>
    <x v="1"/>
    <s v="MET Rev-Inst-Concentra E_CR014"/>
    <x v="0"/>
    <n v="7"/>
    <s v="2025-11-11 06:58:11"/>
    <s v="14 días 06:58"/>
    <s v="VENCIDO"/>
    <x v="1"/>
    <s v="SIN DATO"/>
    <s v="SIN DATO"/>
    <s v="SIN DATO"/>
    <s v="ABIERTO"/>
    <n v="-75.6373356"/>
    <n v="6.0961241299999998"/>
    <s v="SUR-ENE"/>
    <s v="Metropolitana Sur"/>
  </r>
  <r>
    <s v="23577621"/>
    <s v="ENERES"/>
    <s v="NUEVO"/>
    <s v="ENERES"/>
    <s v="30/10/2025 07:50:41"/>
    <s v="2025-10-30 07:50:41"/>
    <n v="1036619513"/>
    <s v="CARLOS MAURO PALACIO CANO"/>
    <s v="SIN DATOS"/>
    <s v="3007912950"/>
    <s v="CR 48 CL 131 SUR -64 (INTERIOR 101 )"/>
    <x v="3"/>
    <s v="003428001000640101"/>
    <s v="Caldas"/>
    <x v="1"/>
    <s v="MET Rev-Inst-Concentra E_CR014"/>
    <x v="0"/>
    <n v="7"/>
    <s v="2025-11-11 07:50:41"/>
    <s v="14 días 07:50"/>
    <s v="VENCIDO"/>
    <x v="1"/>
    <s v="SIN DATO"/>
    <s v="SIN DATO"/>
    <s v="SIN DATO"/>
    <s v="ABIERTO"/>
    <n v="-75.634260999999995"/>
    <n v="6.0901019999999999"/>
    <s v="SUR-ENE"/>
    <s v="Metropolitana Sur"/>
  </r>
  <r>
    <s v="23577628"/>
    <s v="ENERES"/>
    <s v="NUEVO"/>
    <s v="ENERES"/>
    <s v="30/10/2025 07:58:21"/>
    <s v="2025-10-30 07:58:21"/>
    <n v="71115875"/>
    <s v="JOSE BERNARDO ARBELAEZ ARBELAEZ"/>
    <s v="SIN DATOS"/>
    <s v="3013530445"/>
    <s v="CL 133 SUR CR 44 A -85 (INTERIOR 101 )"/>
    <x v="3"/>
    <s v="003413004100850101"/>
    <s v="Caldas"/>
    <x v="1"/>
    <s v="MET Rev-Inst-Concentra E_CR014"/>
    <x v="0"/>
    <n v="7"/>
    <s v="2025-11-11 07:58:21"/>
    <s v="14 días 07:58"/>
    <s v="VENCIDO"/>
    <x v="1"/>
    <s v="SIN DATO"/>
    <s v="SIN DATO"/>
    <s v="SIN DATO"/>
    <s v="ABIERTO"/>
    <n v="-75.630864239999994"/>
    <n v="6.0888506299999996"/>
    <s v="SUR-ENE"/>
    <s v="Metropolitana Sur"/>
  </r>
  <r>
    <s v="23577712"/>
    <s v="ENERES"/>
    <s v="NUEVO"/>
    <s v="ENERES"/>
    <s v="30/10/2025 08:06:53"/>
    <s v="2025-10-30 08:06:53"/>
    <n v="1034987754"/>
    <s v="MARIANA ORTIZ MUÑOZ"/>
    <s v="SIN DATOS"/>
    <s v="3187412314"/>
    <s v="CL 76 D SUR CR 49 -125 (INTERIOR 401 )"/>
    <x v="4"/>
    <s v="037416409001250401"/>
    <s v="La Estrella"/>
    <x v="1"/>
    <s v="MET Rev-Inst-Concentra E_CR014"/>
    <x v="0"/>
    <n v="7"/>
    <s v="2025-11-11 08:06:53"/>
    <s v="14 días 08:06"/>
    <s v="VENCIDO"/>
    <x v="1"/>
    <s v="SIN DATO"/>
    <s v="SIN DATO"/>
    <s v="SIN DATO"/>
    <s v="ABIERTO"/>
    <n v="-75.62468715"/>
    <n v="6.1542639100000001"/>
    <s v="SUR-ENE"/>
    <s v="Metropolitana Sur"/>
  </r>
  <r>
    <s v="23577721"/>
    <s v="ENERES"/>
    <s v="NUEVO"/>
    <s v="ENERES"/>
    <s v="30/10/2025 08:10:36"/>
    <s v="2025-10-30 08:10:36"/>
    <n v="1034987754"/>
    <s v="MARIANA ORTIZ MUÑOZ"/>
    <s v="SIN DATOS"/>
    <s v="3187412314"/>
    <s v="CL 76 D SUR CR 49 -125 (INTERIOR 402 )"/>
    <x v="4"/>
    <s v="037416409001250402"/>
    <s v="La Estrella"/>
    <x v="1"/>
    <s v="MET Rev-Inst-Concentra E_CR014"/>
    <x v="0"/>
    <n v="7"/>
    <s v="2025-11-11 08:10:36"/>
    <s v="14 días 08:10"/>
    <s v="VENCIDO"/>
    <x v="1"/>
    <s v="SIN DATO"/>
    <s v="SIN DATO"/>
    <s v="SIN DATO"/>
    <s v="ABIERTO"/>
    <n v="-75.62468715"/>
    <n v="6.1542639100000001"/>
    <s v="SUR-ENE"/>
    <s v="Metropolitana Sur"/>
  </r>
  <r>
    <s v="23577734"/>
    <s v="ENERES"/>
    <s v="NUEVO"/>
    <s v="ENERES"/>
    <s v="30/10/2025 08:16:42"/>
    <s v="2025-10-30 08:16:42"/>
    <n v="1034987754"/>
    <s v="MARIANA ORTIZ MUÑOZ"/>
    <s v="SIN DATOS"/>
    <s v="3187412314"/>
    <s v="CL 76 D SUR CR 49 -125 (INTERIOR 403 )"/>
    <x v="4"/>
    <s v="037416409001250403"/>
    <s v="La Estrella"/>
    <x v="1"/>
    <s v="MET Rev-Inst-Concentra E_CR014"/>
    <x v="0"/>
    <n v="7"/>
    <s v="2025-11-11 08:16:42"/>
    <s v="14 días 08:16"/>
    <s v="VENCIDO"/>
    <x v="1"/>
    <s v="SIN DATO"/>
    <s v="SIN DATO"/>
    <s v="SIN DATO"/>
    <s v="ABIERTO"/>
    <n v="-75.62468715"/>
    <n v="6.1542639100000001"/>
    <s v="SUR-ENE"/>
    <s v="Metropolitana Sur"/>
  </r>
  <r>
    <s v="23577749"/>
    <s v="ENERES"/>
    <s v="NUEVO"/>
    <s v="ENERES"/>
    <s v="30/10/2025 08:24:36"/>
    <s v="2025-10-30 08:24:36"/>
    <n v="1034987754"/>
    <s v="MARIANA ORTIZ MUÑOZ"/>
    <s v="SIN DATOS"/>
    <s v="3187412314"/>
    <s v="CL 76 D SUR CR 49 -125 (INTERIOR 404 )"/>
    <x v="4"/>
    <s v="037416409001250404"/>
    <s v="La Estrella"/>
    <x v="1"/>
    <s v="MET Rev-Inst-Concentra E_CR014"/>
    <x v="0"/>
    <n v="7"/>
    <s v="2025-11-11 08:24:36"/>
    <s v="14 días 08:24"/>
    <s v="VENCIDO"/>
    <x v="1"/>
    <s v="SIN DATO"/>
    <s v="SIN DATO"/>
    <s v="SIN DATO"/>
    <s v="ABIERTO"/>
    <n v="-75.624977689999994"/>
    <n v="6.1541064900000002"/>
    <s v="SUR-ENE"/>
    <s v="Metropolitana Sur"/>
  </r>
  <r>
    <s v="23577763"/>
    <s v="ENENOR"/>
    <s v="NUEVO"/>
    <s v="ENENOR"/>
    <s v="30/10/2025 08:31:09"/>
    <s v="2025-10-30 08:31:09"/>
    <n v="15373757"/>
    <s v="JORGE DAVID GARCIA RAMIREZ"/>
    <s v="SIN DATOS"/>
    <s v="3167764819"/>
    <s v="CR 82 C CL 30 -63 (LC 101 )"/>
    <x v="0"/>
    <s v="053822300000630101"/>
    <s v="Medellín"/>
    <x v="2"/>
    <s v="MET Rev-Inst-Concentra E_CR014"/>
    <x v="0"/>
    <n v="7"/>
    <s v="2025-11-11 08:31:09"/>
    <s v="14 días 08:31"/>
    <s v="VENCIDO"/>
    <x v="1"/>
    <s v="SIN DATO"/>
    <s v="SIN DATO"/>
    <s v="SIN DATO"/>
    <s v="ABIERTO"/>
    <n v="-75.605133769999995"/>
    <n v="6.2317616600000001"/>
    <s v="SUR-ENE"/>
    <s v="Metropolitana Sur"/>
  </r>
  <r>
    <s v="23577789"/>
    <s v="ENERES"/>
    <s v="NUEVO"/>
    <s v="ENERES"/>
    <s v="30/10/2025 08:46:16"/>
    <s v="2025-10-30 08:46:16"/>
    <n v="70500061"/>
    <s v="HECTOR DE JESUS TORRES QUICENO"/>
    <s v="SIN DATOS"/>
    <s v="3017375950"/>
    <s v="CL 16 CR 52 -110 (INTERIOR 101 )"/>
    <x v="0"/>
    <s v="051516002001100101"/>
    <s v="Medellín"/>
    <x v="1"/>
    <s v="MET Rev-Inst-Concentra E_CR014"/>
    <x v="0"/>
    <n v="7"/>
    <s v="2025-11-11 08:46:16"/>
    <s v="14 días 08:46"/>
    <s v="VENCIDO"/>
    <x v="1"/>
    <s v="SIN DATO"/>
    <s v="SIN DATO"/>
    <s v="SIN DATO"/>
    <s v="ABIERTO"/>
    <n v="-75.581468569999998"/>
    <n v="6.2194975699999997"/>
    <s v="SUR-ENE"/>
    <s v="Metropolitana Sur"/>
  </r>
  <r>
    <s v="23577803"/>
    <s v="ENERES"/>
    <s v="NUEVO"/>
    <s v="ENERES"/>
    <s v="30/10/2025 08:52:38"/>
    <s v="2025-10-30 08:52:38"/>
    <n v="1036619513"/>
    <s v="CARLOS MAURO PALACIO CANO"/>
    <s v="SIN DATOS"/>
    <s v="3007912950"/>
    <s v="CR 48 CL 131 SUR -64 (INTERIOR 201 )"/>
    <x v="3"/>
    <s v="003428001000640201"/>
    <s v="Caldas"/>
    <x v="1"/>
    <s v="MET Rev-Inst-Concentra E_CR014"/>
    <x v="0"/>
    <n v="7"/>
    <s v="2025-11-11 08:52:38"/>
    <s v="14 días 08:52"/>
    <s v="VENCIDO"/>
    <x v="1"/>
    <s v="SIN DATO"/>
    <s v="SIN DATO"/>
    <s v="SIN DATO"/>
    <s v="ABIERTO"/>
    <n v="-75.634260999999995"/>
    <n v="6.0901019999999999"/>
    <s v="SUR-ENE"/>
    <s v="Metropolitana Sur"/>
  </r>
  <r>
    <s v="23577806"/>
    <s v="ENERES"/>
    <s v="NUEVO"/>
    <s v="ENERES"/>
    <s v="30/10/2025 08:53:12"/>
    <s v="2025-11-19 11:42:08"/>
    <n v="29553196"/>
    <s v="LUZ SOLARTE"/>
    <s v="SIN DATOS"/>
    <s v="3054074506"/>
    <s v="CR 60 D CL 42 SUR -31 (INTERIOR 201 )"/>
    <x v="0"/>
    <s v="044620402000310201"/>
    <s v="Medellín"/>
    <x v="1"/>
    <s v="Revisor Instal. Regadas Metrosur"/>
    <x v="0"/>
    <n v="7"/>
    <s v="2025-11-28 11:42:08"/>
    <s v="2 días 11:42"/>
    <s v="5 días 11:42"/>
    <x v="0"/>
    <s v="SIN DATO"/>
    <s v="SIN DATO"/>
    <s v="SIN DATO"/>
    <s v="ABIERTO"/>
    <n v="-75.64168343"/>
    <n v="6.1822594999999998"/>
    <s v="SUR-ENE"/>
    <s v="Metropolitana Sur"/>
  </r>
  <r>
    <s v="23577808"/>
    <s v="ENERES"/>
    <s v="NUEVO"/>
    <s v="ENERES"/>
    <s v="30/10/2025 08:53:25"/>
    <s v="2025-10-30 08:53:25"/>
    <n v="1036619513"/>
    <s v="CARLOS MAURO PALACIO CANO"/>
    <s v="SIN DATOS"/>
    <s v="3007912950"/>
    <s v="CR 48 CL 131 SUR -64 (INTERIOR 301 )"/>
    <x v="3"/>
    <s v="003428001000640301"/>
    <s v="Caldas"/>
    <x v="1"/>
    <s v="MET Rev-Inst-Concentra E_CR014"/>
    <x v="0"/>
    <n v="7"/>
    <s v="2025-11-11 08:53:25"/>
    <s v="14 días 08:53"/>
    <s v="VENCIDO"/>
    <x v="1"/>
    <s v="SIN DATO"/>
    <s v="SIN DATO"/>
    <s v="SIN DATO"/>
    <s v="ABIERTO"/>
    <n v="-75.634260999999995"/>
    <n v="6.0901019999999999"/>
    <s v="SUR-ENE"/>
    <s v="Metropolitana Sur"/>
  </r>
  <r>
    <s v="23577814"/>
    <s v="ENERES"/>
    <s v="NUEVO"/>
    <s v="ENERES"/>
    <s v="30/10/2025 08:56:18"/>
    <s v="2025-10-30 08:56:18"/>
    <n v="1036619513"/>
    <s v="CARLOS MAURO PALACIO CANO"/>
    <s v="SIN DATOS"/>
    <s v="3007912950"/>
    <s v="CR 48 CL 131 SUR -64 (INTERIOR 401 )"/>
    <x v="3"/>
    <s v="003428001000640401"/>
    <s v="Caldas"/>
    <x v="1"/>
    <s v="MET Rev-Inst-Concentra E_CR014"/>
    <x v="0"/>
    <n v="7"/>
    <s v="2025-11-11 08:56:18"/>
    <s v="14 días 08:56"/>
    <s v="VENCIDO"/>
    <x v="1"/>
    <s v="SIN DATO"/>
    <s v="SIN DATO"/>
    <s v="SIN DATO"/>
    <s v="ABIERTO"/>
    <n v="-75.634260999999995"/>
    <n v="6.0901019999999999"/>
    <s v="SUR-ENE"/>
    <s v="Metropolitana Sur"/>
  </r>
  <r>
    <s v="23578462"/>
    <s v="ENERES"/>
    <s v="NUEVO"/>
    <s v="ENERES"/>
    <s v="30/10/2025 16:50:11"/>
    <s v="2025-11-20 14:54:44"/>
    <n v="811040443"/>
    <s v="BYB CONSTRUCTORES S.A.S"/>
    <s v="3118500"/>
    <s v="3007840247"/>
    <s v="CL 53 CR 55 A -31 (INTERIOR 1513 BQ 2 )"/>
    <x v="2"/>
    <s v="075513005100311513"/>
    <s v="Itaguí"/>
    <x v="1"/>
    <s v="Revisor Inst. Particulares Metrosur"/>
    <x v="0"/>
    <n v="7"/>
    <s v="2025-12-01 14:54:44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466"/>
    <s v="ENERES"/>
    <s v="NUEVO"/>
    <s v="ENERES"/>
    <s v="30/10/2025 16:51:38"/>
    <s v="2025-11-20 14:54:45"/>
    <n v="811040443"/>
    <s v="BYB CONSTRUCTORES S.A.S"/>
    <s v="3118500"/>
    <s v="3007840247"/>
    <s v="CL 53 CR 55 A -31 (INTERIOR 1514 BQ 2 )"/>
    <x v="2"/>
    <s v="075513005100311514"/>
    <s v="Itaguí"/>
    <x v="1"/>
    <s v="Revisor Inst. Particulares Metrosur"/>
    <x v="0"/>
    <n v="7"/>
    <s v="2025-12-01 14:54:45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474"/>
    <s v="ENERES"/>
    <s v="NUEVO"/>
    <s v="ENERES"/>
    <s v="30/10/2025 16:53:27"/>
    <s v="2025-11-20 14:54:45"/>
    <n v="811040443"/>
    <s v="BYB CONSTRUCTORES S.A.S"/>
    <s v="3118500"/>
    <s v="3007840247"/>
    <s v="CL 53 CR 55 A -31 (INTERIOR 1510 BQ 2 )"/>
    <x v="2"/>
    <s v="075513005100311510"/>
    <s v="Itaguí"/>
    <x v="1"/>
    <s v="Revisor Inst. Particulares Metrosur"/>
    <x v="0"/>
    <n v="7"/>
    <s v="2025-12-01 14:54:45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483"/>
    <s v="ENERES"/>
    <s v="NUEVO"/>
    <s v="ENERES"/>
    <s v="30/10/2025 16:56:02"/>
    <s v="2025-11-20 15:38:38"/>
    <n v="811040443"/>
    <s v="BYB CONSTRUCTORES S.A.S"/>
    <s v="3118500"/>
    <s v="3007840247"/>
    <s v="CL 53 CR 55 A -31 (INTERIOR 2115 BQ 2 )"/>
    <x v="2"/>
    <s v="075513005100312115"/>
    <s v="Itaguí"/>
    <x v="1"/>
    <s v="Revisor Inst. Particulares Metrosur"/>
    <x v="0"/>
    <n v="7"/>
    <s v="2025-12-01 15:38:38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489"/>
    <s v="ENERES"/>
    <s v="NUEVO"/>
    <s v="ENERES"/>
    <s v="30/10/2025 16:57:56"/>
    <s v="2025-11-20 14:54:45"/>
    <n v="811040443"/>
    <s v="BYB CONSTRUCTORES S.A.S"/>
    <s v="3118500"/>
    <s v="3007840247"/>
    <s v="CL 53 CR 55 A -31 (INTERIOR 1512 BQ 2 )"/>
    <x v="2"/>
    <s v="075513005100311512"/>
    <s v="Itaguí"/>
    <x v="1"/>
    <s v="Revisor Inst. Particulares Metrosur"/>
    <x v="0"/>
    <n v="7"/>
    <s v="2025-12-01 14:54:45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553"/>
    <s v="ENERES"/>
    <s v="NUEVO"/>
    <s v="ENERES"/>
    <s v="30/10/2025 18:00:49"/>
    <s v="2025-11-20 14:54:45"/>
    <n v="811040443"/>
    <s v="BYB CONSTRUCTORES S.A.S"/>
    <s v="3118500"/>
    <s v="3007840247"/>
    <s v="CL 53 CR 55 A -31 (INTERIOR 1511 BQ 2 )"/>
    <x v="2"/>
    <s v="075513005100311511"/>
    <s v="Itaguí"/>
    <x v="1"/>
    <s v="Revisor Inst. Particulares Metrosur"/>
    <x v="0"/>
    <n v="7"/>
    <s v="2025-12-01 14:54:45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578"/>
    <s v="ENERES"/>
    <s v="NUEVO"/>
    <s v="ENERES"/>
    <s v="30/10/2025 19:01:50"/>
    <s v="2025-11-20 14:54:46"/>
    <n v="811040443"/>
    <s v="BYB CONSTRUCTORES S.A.S"/>
    <s v="3118500"/>
    <s v="3007840247"/>
    <s v="CL 53 CR 55 A -31 (INTERIOR 1515 BQ 2 )"/>
    <x v="2"/>
    <s v="075513005100311515"/>
    <s v="Itaguí"/>
    <x v="1"/>
    <s v="Revisor Inst. Particulares Metrosur"/>
    <x v="0"/>
    <n v="7"/>
    <s v="2025-12-01 14:54:46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579"/>
    <s v="ENERES"/>
    <s v="NUEVO"/>
    <s v="ENERES"/>
    <s v="30/10/2025 19:02:29"/>
    <s v="2025-11-20 14:54:46"/>
    <n v="811040443"/>
    <s v="BYB CONSTRUCTORES S.A.S"/>
    <s v="3118500"/>
    <s v="3007840247"/>
    <s v="CL 53 CR 55 A -31 (INTERIOR 1316 BQ 2 )"/>
    <x v="2"/>
    <s v="075513005100311316"/>
    <s v="Itaguí"/>
    <x v="1"/>
    <s v="Revisor Inst. Particulares Metrosur"/>
    <x v="0"/>
    <n v="7"/>
    <s v="2025-12-01 14:54:46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583"/>
    <s v="ENERES"/>
    <s v="NUEVO"/>
    <s v="ENERES"/>
    <s v="30/10/2025 19:05:40"/>
    <s v="2025-11-20 14:54:46"/>
    <n v="811040443"/>
    <s v="BYB CONSTRUCTORES S.A.S"/>
    <s v="3118500"/>
    <s v="3007840247"/>
    <s v="CL 53 CR 55 A -31 (INTERIOR 1509 BQ 2 )"/>
    <x v="2"/>
    <s v="075513005100311509"/>
    <s v="Itaguí"/>
    <x v="1"/>
    <s v="Revisor Inst. Particulares Metrosur"/>
    <x v="0"/>
    <n v="7"/>
    <s v="2025-12-01 14:54:46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585"/>
    <s v="ENERES"/>
    <s v="NUEVO"/>
    <s v="ENERES"/>
    <s v="30/10/2025 19:06:22"/>
    <s v="2025-11-20 15:38:38"/>
    <n v="811040443"/>
    <s v="BYB CONSTRUCTORES S.A.S"/>
    <s v="3118500"/>
    <s v="3007840247"/>
    <s v="CL 53 CR 55 A -31 (INTERIOR 2214 BQ 2 )"/>
    <x v="2"/>
    <s v="075513005100312214"/>
    <s v="Itaguí"/>
    <x v="1"/>
    <s v="Revisor Inst. Particulares Metrosur"/>
    <x v="0"/>
    <n v="7"/>
    <s v="2025-12-01 15:38:38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586"/>
    <s v="ENERES"/>
    <s v="NUEVO"/>
    <s v="ENERES"/>
    <s v="30/10/2025 19:06:22"/>
    <s v="2025-11-20 15:38:38"/>
    <n v="811040443"/>
    <s v="BYB CONSTRUCTORES S.A.S"/>
    <s v="3118500"/>
    <s v="3007840247"/>
    <s v="CL 53 CR 55 A -31 (INTERIOR 2215 BQ 2 )"/>
    <x v="2"/>
    <s v="075513005100312215"/>
    <s v="Itaguí"/>
    <x v="1"/>
    <s v="Revisor Inst. Particulares Metrosur"/>
    <x v="0"/>
    <n v="7"/>
    <s v="2025-12-01 15:38:38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587"/>
    <s v="ENERES"/>
    <s v="NUEVO"/>
    <s v="ENERES"/>
    <s v="30/10/2025 19:06:23"/>
    <s v="2025-11-20 15:38:39"/>
    <n v="811040443"/>
    <s v="BYB CONSTRUCTORES S.A.S"/>
    <s v="3118500"/>
    <s v="3007840247"/>
    <s v="CL 53 CR 55 A -31 (INTERIOR 2216 BQ 2 )"/>
    <x v="2"/>
    <s v="075513005100312216"/>
    <s v="Itaguí"/>
    <x v="1"/>
    <s v="Revisor Inst. Particulares Metrosur"/>
    <x v="0"/>
    <n v="7"/>
    <s v="2025-12-01 15:38:39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590"/>
    <s v="ENERES"/>
    <s v="NUEVO"/>
    <s v="ENERES"/>
    <s v="30/10/2025 19:19:40"/>
    <s v="2025-11-20 15:38:39"/>
    <n v="811040443"/>
    <s v="BYB CONSTRUCTORES S.A.S"/>
    <s v="3118500"/>
    <s v="3007840247"/>
    <s v="CL 53 CR 55 A -31 (INTERIOR 2209 BQ 2 )"/>
    <x v="2"/>
    <s v="075513005100312209"/>
    <s v="Itaguí"/>
    <x v="1"/>
    <s v="Revisor Inst. Particulares Metrosur"/>
    <x v="0"/>
    <n v="7"/>
    <s v="2025-12-01 15:38:39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591"/>
    <s v="ENERES"/>
    <s v="NUEVO"/>
    <s v="ENERES"/>
    <s v="30/10/2025 19:19:45"/>
    <s v="2025-11-20 15:38:39"/>
    <n v="811040443"/>
    <s v="BYB CONSTRUCTORES S.A.S"/>
    <s v="3118500"/>
    <s v="3007840247"/>
    <s v="CL 53 CR 55 A -31 (INTERIOR 2212 BQ 2 )"/>
    <x v="2"/>
    <s v="075513005100312212"/>
    <s v="Itaguí"/>
    <x v="1"/>
    <s v="Revisor Inst. Particulares Metrosur"/>
    <x v="0"/>
    <n v="7"/>
    <s v="2025-12-01 15:38:39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592"/>
    <s v="ENERES"/>
    <s v="NUEVO"/>
    <s v="ENERES"/>
    <s v="30/10/2025 19:19:45"/>
    <s v="2025-11-20 15:38:40"/>
    <n v="811040443"/>
    <s v="BYB CONSTRUCTORES S.A.S"/>
    <s v="3118500"/>
    <s v="3007840247"/>
    <s v="CL 53 CR 55 A -31 (INTERIOR 2116 BQ 2 )"/>
    <x v="2"/>
    <s v="075513005100312116"/>
    <s v="Itaguí"/>
    <x v="1"/>
    <s v="Revisor Inst. Particulares Metrosur"/>
    <x v="0"/>
    <n v="7"/>
    <s v="2025-12-01 15:38:40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593"/>
    <s v="ENERES"/>
    <s v="NUEVO"/>
    <s v="ENERES"/>
    <s v="30/10/2025 19:19:45"/>
    <s v="2025-11-20 15:38:40"/>
    <n v="811040443"/>
    <s v="BYB CONSTRUCTORES S.A.S"/>
    <s v="3118500"/>
    <s v="3007840247"/>
    <s v="CL 53 CR 55 A -31 (INTERIOR 2210 BQ 2 )"/>
    <x v="2"/>
    <s v="075513005100312210"/>
    <s v="Itaguí"/>
    <x v="1"/>
    <s v="Revisor Inst. Particulares Metrosur"/>
    <x v="0"/>
    <n v="7"/>
    <s v="2025-12-01 15:38:40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594"/>
    <s v="ENERES"/>
    <s v="NUEVO"/>
    <s v="ENERES"/>
    <s v="30/10/2025 19:20:35"/>
    <s v="2025-11-20 15:38:40"/>
    <n v="811040443"/>
    <s v="BYB CONSTRUCTORES S.A.S"/>
    <s v="3118500"/>
    <s v="3007840247"/>
    <s v="CL 53 CR 55 A -31 (INTERIOR 2114 BQ 2 )"/>
    <x v="2"/>
    <s v="075513005100312114"/>
    <s v="Itaguí"/>
    <x v="1"/>
    <s v="Revisor Inst. Particulares Metrosur"/>
    <x v="0"/>
    <n v="7"/>
    <s v="2025-12-01 15:38:40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595"/>
    <s v="ENERES"/>
    <s v="NUEVO"/>
    <s v="ENERES"/>
    <s v="30/10/2025 19:20:35"/>
    <s v="2025-11-20 15:38:41"/>
    <n v="811040443"/>
    <s v="BYB CONSTRUCTORES S.A.S"/>
    <s v="3118500"/>
    <s v="3007840247"/>
    <s v="CL 53 CR 55 A -31 (INTERIOR 2111 BQ 2 )"/>
    <x v="2"/>
    <s v="075513005100312111"/>
    <s v="Itaguí"/>
    <x v="1"/>
    <s v="Revisor Inst. Particulares Metrosur"/>
    <x v="0"/>
    <n v="7"/>
    <s v="2025-12-01 15:38:41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596"/>
    <s v="ENERES"/>
    <s v="NUEVO"/>
    <s v="ENERES"/>
    <s v="30/10/2025 19:20:36"/>
    <s v="2025-11-20 15:38:41"/>
    <n v="811040443"/>
    <s v="BYB CONSTRUCTORES S.A.S"/>
    <s v="3118500"/>
    <s v="3007840247"/>
    <s v="CL 53 CR 55 A -31 (INTERIOR 2112 BQ 2 )"/>
    <x v="2"/>
    <s v="075513005100312112"/>
    <s v="Itaguí"/>
    <x v="1"/>
    <s v="Revisor Inst. Particulares Metrosur"/>
    <x v="0"/>
    <n v="7"/>
    <s v="2025-12-01 15:38:41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597"/>
    <s v="ENERES"/>
    <s v="NUEVO"/>
    <s v="ENERES"/>
    <s v="30/10/2025 19:20:36"/>
    <s v="2025-11-20 15:38:41"/>
    <n v="811040443"/>
    <s v="BYB CONSTRUCTORES S.A.S"/>
    <s v="3118500"/>
    <s v="3007840247"/>
    <s v="CL 53 CR 55 A -31 (INTERIOR 2113 BQ 2 )"/>
    <x v="2"/>
    <s v="075513005100312113"/>
    <s v="Itaguí"/>
    <x v="1"/>
    <s v="Revisor Inst. Particulares Metrosur"/>
    <x v="0"/>
    <n v="7"/>
    <s v="2025-12-01 15:38:41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599"/>
    <s v="ENERES"/>
    <s v="NUEVO"/>
    <s v="ENERES"/>
    <s v="30/10/2025 19:26:12"/>
    <s v="2025-11-20 15:38:41"/>
    <n v="811040443"/>
    <s v="BYB CONSTRUCTORES S.A.S"/>
    <s v="3118500"/>
    <s v="3007840247"/>
    <s v="CL 53 CR 55 A -31 (INTERIOR 2110 BQ 2 )"/>
    <x v="2"/>
    <s v="075513005100312110"/>
    <s v="Itaguí"/>
    <x v="1"/>
    <s v="Revisor Inst. Particulares Metrosur"/>
    <x v="0"/>
    <n v="7"/>
    <s v="2025-12-01 15:38:41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600"/>
    <s v="ENERES"/>
    <s v="NUEVO"/>
    <s v="ENERES"/>
    <s v="30/10/2025 19:26:15"/>
    <s v="2025-11-20 15:38:42"/>
    <n v="811040443"/>
    <s v="BYB CONSTRUCTORES S.A.S"/>
    <s v="3118500"/>
    <s v="3007840247"/>
    <s v="CL 53 CR 55 A -31 (INTERIOR 2016 BQ 2 )"/>
    <x v="2"/>
    <s v="075513005100312016"/>
    <s v="Itaguí"/>
    <x v="1"/>
    <s v="Revisor Inst. Particulares Metrosur"/>
    <x v="0"/>
    <n v="7"/>
    <s v="2025-12-01 15:38:42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601"/>
    <s v="ENERES"/>
    <s v="NUEVO"/>
    <s v="ENERES"/>
    <s v="30/10/2025 19:26:18"/>
    <s v="2025-11-20 15:38:42"/>
    <n v="811040443"/>
    <s v="BYB CONSTRUCTORES S.A.S"/>
    <s v="3118500"/>
    <s v="3007840247"/>
    <s v="CL 53 CR 55 A -31 (INTERIOR 2013 BQ 2 )"/>
    <x v="2"/>
    <s v="075513005100312013"/>
    <s v="Itaguí"/>
    <x v="1"/>
    <s v="Revisor Inst. Particulares Metrosur"/>
    <x v="0"/>
    <n v="7"/>
    <s v="2025-12-01 15:38:42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602"/>
    <s v="ENERES"/>
    <s v="NUEVO"/>
    <s v="ENERES"/>
    <s v="30/10/2025 19:26:22"/>
    <s v="2025-11-20 15:38:42"/>
    <n v="811040443"/>
    <s v="BYB CONSTRUCTORES S.A.S"/>
    <s v="3118500"/>
    <s v="3007840247"/>
    <s v="CL 53 CR 55 A -31 (INTERIOR 2015 BQ 2 )"/>
    <x v="2"/>
    <s v="075513005100312015"/>
    <s v="Itaguí"/>
    <x v="1"/>
    <s v="Revisor Inst. Particulares Metrosur"/>
    <x v="0"/>
    <n v="7"/>
    <s v="2025-12-01 15:38:42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603"/>
    <s v="ENERES"/>
    <s v="NUEVO"/>
    <s v="ENERES"/>
    <s v="30/10/2025 19:26:22"/>
    <s v="2025-11-20 15:38:42"/>
    <n v="811040443"/>
    <s v="BYB CONSTRUCTORES S.A.S"/>
    <s v="3118500"/>
    <s v="3007840247"/>
    <s v="CL 53 CR 55 A -31 (INTERIOR 2109 BQ 2 )"/>
    <x v="2"/>
    <s v="075513005100312109"/>
    <s v="Itaguí"/>
    <x v="1"/>
    <s v="Revisor Inst. Particulares Metrosur"/>
    <x v="0"/>
    <n v="7"/>
    <s v="2025-12-01 15:38:42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605"/>
    <s v="ENERES"/>
    <s v="NUEVO"/>
    <s v="ENERES"/>
    <s v="30/10/2025 19:28:42"/>
    <s v="2025-11-20 15:38:43"/>
    <n v="811040443"/>
    <s v="BYB CONSTRUCTORES S.A.S"/>
    <s v="3118500"/>
    <s v="3007840247"/>
    <s v="CL 53 CR 55 A -31 (INTERIOR 2012 BQ 2 )"/>
    <x v="2"/>
    <s v="075513005100312012"/>
    <s v="Itaguí"/>
    <x v="1"/>
    <s v="Revisor Inst. Particulares Metrosur"/>
    <x v="0"/>
    <n v="7"/>
    <s v="2025-12-01 15:38:43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623"/>
    <s v="ENERES"/>
    <s v="NUEVO"/>
    <s v="ENERES"/>
    <s v="30/10/2025 19:40:44"/>
    <s v="2025-11-20 15:38:43"/>
    <n v="811040443"/>
    <s v="BYB CONSTRUCTORES S.A.S"/>
    <s v="3118500"/>
    <s v="3007840247"/>
    <s v="CL 53 CR 55 A -31 (INTERIOR 2009 BQ 2 )"/>
    <x v="2"/>
    <s v="075513005100312009"/>
    <s v="Itaguí"/>
    <x v="1"/>
    <s v="Revisor Inst. Particulares Metrosur"/>
    <x v="0"/>
    <n v="7"/>
    <s v="2025-12-01 15:38:43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624"/>
    <s v="ENERES"/>
    <s v="NUEVO"/>
    <s v="ENERES"/>
    <s v="30/10/2025 19:41:39"/>
    <s v="2025-11-20 14:54:46"/>
    <n v="811040443"/>
    <s v="BYB CONSTRUCTORES S.A.S"/>
    <s v="3118500"/>
    <s v="3007840247"/>
    <s v="CL 53 CR 55 A -31 (INTERIOR 1613 BQ 2 )"/>
    <x v="2"/>
    <s v="075513005100311613"/>
    <s v="Itaguí"/>
    <x v="1"/>
    <s v="Revisor Inst. Particulares Metrosur"/>
    <x v="0"/>
    <n v="7"/>
    <s v="2025-12-01 14:54:46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637"/>
    <s v="ENERES"/>
    <s v="NUEVO"/>
    <s v="ENERES"/>
    <s v="30/10/2025 19:47:25"/>
    <s v="2025-11-20 14:54:47"/>
    <n v="811040443"/>
    <s v="BYB CONSTRUCTORES S.A.S"/>
    <s v="3118500"/>
    <s v="3007840247"/>
    <s v="CL 53 CR 55 A -31 (INTERIOR 1610 BQ 2 )"/>
    <x v="2"/>
    <s v="075513005100311610"/>
    <s v="Itaguí"/>
    <x v="1"/>
    <s v="Revisor Inst. Particulares Metrosur"/>
    <x v="0"/>
    <n v="7"/>
    <s v="2025-12-01 14:54:47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644"/>
    <s v="ENERES"/>
    <s v="NUEVO"/>
    <s v="ENERES"/>
    <s v="30/10/2025 19:55:27"/>
    <s v="2025-11-20 15:38:43"/>
    <n v="811040443"/>
    <s v="BYB CONSTRUCTORES S.A.S"/>
    <s v="3118500"/>
    <s v="3007840247"/>
    <s v="CL 53 CR 55 A -31 (INTERIOR 2213 BQ 2 )"/>
    <x v="2"/>
    <s v="075513005100312213"/>
    <s v="Itaguí"/>
    <x v="1"/>
    <s v="Revisor Inst. Particulares Metrosur"/>
    <x v="0"/>
    <n v="7"/>
    <s v="2025-12-01 15:38:43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652"/>
    <s v="ENERES"/>
    <s v="NUEVO"/>
    <s v="ENERES"/>
    <s v="30/10/2025 20:14:19"/>
    <s v="2025-11-20 15:38:44"/>
    <n v="811040443"/>
    <s v="BYB CONSTRUCTORES S.A.S"/>
    <s v="3118500"/>
    <s v="3007840247"/>
    <s v="CL 53 CR 55 A -31 (INTERIOR 1916 BQ 2 )"/>
    <x v="2"/>
    <s v="075513005100311916"/>
    <s v="Itaguí"/>
    <x v="1"/>
    <s v="Revisor Inst. Particulares Metrosur"/>
    <x v="0"/>
    <n v="7"/>
    <s v="2025-12-01 15:38:44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653"/>
    <s v="ENERES"/>
    <s v="NUEVO"/>
    <s v="ENERES"/>
    <s v="30/10/2025 20:14:22"/>
    <s v="2025-11-20 15:38:44"/>
    <n v="811040443"/>
    <s v="BYB CONSTRUCTORES S.A.S"/>
    <s v="3118500"/>
    <s v="3007840247"/>
    <s v="CL 53 CR 55 A -31 (INTERIOR 1915 BQ 2 )"/>
    <x v="2"/>
    <s v="075513005100311915"/>
    <s v="Itaguí"/>
    <x v="1"/>
    <s v="Revisor Inst. Particulares Metrosur"/>
    <x v="0"/>
    <n v="7"/>
    <s v="2025-12-01 15:38:44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654"/>
    <s v="ENERES"/>
    <s v="NUEVO"/>
    <s v="ENERES"/>
    <s v="30/10/2025 20:14:21"/>
    <s v="2025-11-20 15:38:44"/>
    <n v="811040443"/>
    <s v="BYB CONSTRUCTORES S.A.S"/>
    <s v="3118500"/>
    <s v="3007840247"/>
    <s v="CL 53 CR 55 A -31 (INTERIOR 2010 BQ 2 )"/>
    <x v="2"/>
    <s v="075513005100312010"/>
    <s v="Itaguí"/>
    <x v="1"/>
    <s v="Revisor Inst. Particulares Metrosur"/>
    <x v="0"/>
    <n v="7"/>
    <s v="2025-12-01 15:38:44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655"/>
    <s v="ENERES"/>
    <s v="NUEVO"/>
    <s v="ENERES"/>
    <s v="30/10/2025 20:14:45"/>
    <s v="2025-11-20 15:38:44"/>
    <n v="811040443"/>
    <s v="BYB CONSTRUCTORES S.A.S"/>
    <s v="3118500"/>
    <s v="3007840247"/>
    <s v="CL 53 CR 55 A -31 (INTERIOR 2011 BQ 2 )"/>
    <x v="2"/>
    <s v="075513005100312011"/>
    <s v="Itaguí"/>
    <x v="1"/>
    <s v="Revisor Inst. Particulares Metrosur"/>
    <x v="0"/>
    <n v="7"/>
    <s v="2025-12-01 15:38:44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667"/>
    <s v="ENERES"/>
    <s v="NUEVO"/>
    <s v="ENERES"/>
    <s v="30/10/2025 20:44:00"/>
    <s v="2025-11-20 14:54:47"/>
    <n v="811040443"/>
    <s v="BYB CONSTRUCTORES S.A.S"/>
    <s v="3118500"/>
    <s v="3007840247"/>
    <s v="CL 53 CR 55 A -31 (INTERIOR 1313 BQ 2 )"/>
    <x v="2"/>
    <s v="075513005100311313"/>
    <s v="Itaguí"/>
    <x v="1"/>
    <s v="Revisor Inst. Particulares Metrosur"/>
    <x v="0"/>
    <n v="7"/>
    <s v="2025-12-01 14:54:47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668"/>
    <s v="ENERES"/>
    <s v="NUEVO"/>
    <s v="ENERES"/>
    <s v="30/10/2025 20:43:59"/>
    <s v="2025-11-20 14:54:47"/>
    <n v="811040443"/>
    <s v="BYB CONSTRUCTORES S.A.S"/>
    <s v="3118500"/>
    <s v="3007840247"/>
    <s v="CL 53 CR 55 A -31 (INTERIOR 1409 BQ 2 )"/>
    <x v="2"/>
    <s v="075513005100311409"/>
    <s v="Itaguí"/>
    <x v="1"/>
    <s v="Revisor Inst. Particulares Metrosur"/>
    <x v="0"/>
    <n v="7"/>
    <s v="2025-12-01 14:54:47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669"/>
    <s v="ENERES"/>
    <s v="NUEVO"/>
    <s v="ENERES"/>
    <s v="30/10/2025 20:44:00"/>
    <s v="2025-11-20 14:54:47"/>
    <n v="811040443"/>
    <s v="BYB CONSTRUCTORES S.A.S"/>
    <s v="3118500"/>
    <s v="3007840247"/>
    <s v="CL 53 CR 55 A -31 (INTERIOR 1410 BQ 2 )"/>
    <x v="2"/>
    <s v="075513005100311410"/>
    <s v="Itaguí"/>
    <x v="1"/>
    <s v="Revisor Inst. Particulares Metrosur"/>
    <x v="0"/>
    <n v="7"/>
    <s v="2025-12-01 14:54:47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670"/>
    <s v="ENERES"/>
    <s v="NUEVO"/>
    <s v="ENERES"/>
    <s v="30/10/2025 20:44:23"/>
    <s v="2025-11-20 14:54:48"/>
    <n v="811040443"/>
    <s v="BYB CONSTRUCTORES S.A.S"/>
    <s v="3118500"/>
    <s v="3007840247"/>
    <s v="CL 53 CR 55 A -31 (INTERIOR 1413 BQ 2 )"/>
    <x v="2"/>
    <s v="075513005100311413"/>
    <s v="Itaguí"/>
    <x v="1"/>
    <s v="Revisor Inst. Particulares Metrosur"/>
    <x v="0"/>
    <n v="7"/>
    <s v="2025-12-01 14:54:48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671"/>
    <s v="ENERES"/>
    <s v="NUEVO"/>
    <s v="ENERES"/>
    <s v="30/10/2025 20:45:19"/>
    <s v="2025-11-20 14:54:48"/>
    <n v="811040443"/>
    <s v="BYB CONSTRUCTORES S.A.S"/>
    <s v="3118500"/>
    <s v="3007840247"/>
    <s v="CL 53 CR 55 A -31 (INTERIOR 1412 BQ 2 )"/>
    <x v="2"/>
    <s v="075513005100311412"/>
    <s v="Itaguí"/>
    <x v="1"/>
    <s v="Revisor Inst. Particulares Metrosur"/>
    <x v="0"/>
    <n v="7"/>
    <s v="2025-12-01 14:54:48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672"/>
    <s v="ENERES"/>
    <s v="NUEVO"/>
    <s v="ENERES"/>
    <s v="30/10/2025 20:45:19"/>
    <s v="2025-11-20 14:54:48"/>
    <n v="811040443"/>
    <s v="BYB CONSTRUCTORES S.A.S"/>
    <s v="3118500"/>
    <s v="3007840247"/>
    <s v="CL 53 CR 55 A -31 (INTERIOR 1411 BQ 2 )"/>
    <x v="2"/>
    <s v="075513005100311411"/>
    <s v="Itaguí"/>
    <x v="1"/>
    <s v="Revisor Inst. Particulares Metrosur"/>
    <x v="0"/>
    <n v="7"/>
    <s v="2025-12-01 14:54:48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673"/>
    <s v="ENERES"/>
    <s v="NUEVO"/>
    <s v="ENERES"/>
    <s v="30/10/2025 20:47:05"/>
    <s v="2025-11-20 14:54:48"/>
    <n v="811040443"/>
    <s v="BYB CONSTRUCTORES S.A.S"/>
    <s v="3118500"/>
    <s v="3007840247"/>
    <s v="CL 53 CR 55 A -31 (INTERIOR 1315 BQ 2 )"/>
    <x v="2"/>
    <s v="075513005100311315"/>
    <s v="Itaguí"/>
    <x v="1"/>
    <s v="Revisor Inst. Particulares Metrosur"/>
    <x v="0"/>
    <n v="7"/>
    <s v="2025-12-01 14:54:48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674"/>
    <s v="ENERES"/>
    <s v="NUEVO"/>
    <s v="ENERES"/>
    <s v="30/10/2025 20:47:05"/>
    <s v="2025-11-20 14:54:49"/>
    <n v="811040443"/>
    <s v="BYB CONSTRUCTORES S.A.S"/>
    <s v="3118500"/>
    <s v="3007840247"/>
    <s v="CL 53 CR 55 A -31 (INTERIOR 1516 BQ 2 )"/>
    <x v="2"/>
    <s v="075513005100311516"/>
    <s v="Itaguí"/>
    <x v="1"/>
    <s v="Revisor Inst. Particulares Metrosur"/>
    <x v="0"/>
    <n v="7"/>
    <s v="2025-12-01 14:54:49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675"/>
    <s v="ENERES"/>
    <s v="NUEVO"/>
    <s v="ENERES"/>
    <s v="30/10/2025 20:47:05"/>
    <s v="2025-11-20 14:54:49"/>
    <n v="811040443"/>
    <s v="BYB CONSTRUCTORES S.A.S"/>
    <s v="3118500"/>
    <s v="3007840247"/>
    <s v="CL 53 CR 55 A -31 (INTERIOR 1414 BQ 2 )"/>
    <x v="2"/>
    <s v="075513005100311414"/>
    <s v="Itaguí"/>
    <x v="1"/>
    <s v="Revisor Inst. Particulares Metrosur"/>
    <x v="0"/>
    <n v="7"/>
    <s v="2025-12-01 14:54:49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676"/>
    <s v="ENERES"/>
    <s v="NUEVO"/>
    <s v="ENERES"/>
    <s v="30/10/2025 20:47:05"/>
    <s v="2025-11-20 14:54:49"/>
    <n v="811040443"/>
    <s v="BYB CONSTRUCTORES S.A.S"/>
    <s v="3118500"/>
    <s v="3007840247"/>
    <s v="CL 53 CR 55 A -31 (INTERIOR 1415 BQ 2 )"/>
    <x v="2"/>
    <s v="075513005100311415"/>
    <s v="Itaguí"/>
    <x v="1"/>
    <s v="Revisor Inst. Particulares Metrosur"/>
    <x v="0"/>
    <n v="7"/>
    <s v="2025-12-01 14:54:49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677"/>
    <s v="ENERES"/>
    <s v="NUEVO"/>
    <s v="ENERES"/>
    <s v="30/10/2025 20:47:29"/>
    <s v="2025-11-20 14:54:49"/>
    <n v="811040443"/>
    <s v="BYB CONSTRUCTORES S.A.S"/>
    <s v="3118500"/>
    <s v="3007840247"/>
    <s v="CL 53 CR 55 A -31 (INTERIOR 1416 BQ 2 )"/>
    <x v="2"/>
    <s v="075513005100311416"/>
    <s v="Itaguí"/>
    <x v="1"/>
    <s v="Revisor Inst. Particulares Metrosur"/>
    <x v="0"/>
    <n v="7"/>
    <s v="2025-12-01 14:54:49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678"/>
    <s v="ENERES"/>
    <s v="NUEVO"/>
    <s v="ENERES"/>
    <s v="30/10/2025 20:49:47"/>
    <s v="2025-11-20 14:54:50"/>
    <n v="811040443"/>
    <s v="BYB CONSTRUCTORES S.A.S"/>
    <s v="3118500"/>
    <s v="3007840247"/>
    <s v="CL 53 CR 55 A -31 (INTERIOR 1609 BQ 2 )"/>
    <x v="2"/>
    <s v="075513005100311609"/>
    <s v="Itaguí"/>
    <x v="1"/>
    <s v="Revisor Inst. Particulares Metrosur"/>
    <x v="0"/>
    <n v="7"/>
    <s v="2025-12-01 14:54:50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679"/>
    <s v="ENERES"/>
    <s v="NUEVO"/>
    <s v="ENERES"/>
    <s v="30/10/2025 20:49:47"/>
    <s v="2025-11-20 14:54:50"/>
    <n v="811040443"/>
    <s v="BYB CONSTRUCTORES S.A.S"/>
    <s v="3118500"/>
    <s v="3007840247"/>
    <s v="CL 53 CR 55 A -31 (INTERIOR 1612 BQ 2 )"/>
    <x v="2"/>
    <s v="075513005100311612"/>
    <s v="Itaguí"/>
    <x v="1"/>
    <s v="Revisor Inst. Particulares Metrosur"/>
    <x v="0"/>
    <n v="7"/>
    <s v="2025-12-01 14:54:50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680"/>
    <s v="ENERES"/>
    <s v="NUEVO"/>
    <s v="ENERES"/>
    <s v="30/10/2025 20:58:07"/>
    <s v="2025-11-20 14:54:50"/>
    <n v="811040443"/>
    <s v="BYB CONSTRUCTORES S.A.S"/>
    <s v="3118500"/>
    <s v="3007840247"/>
    <s v="CL 53 CR 55 A -31 (INTERIOR 1314 BQ 2 )"/>
    <x v="2"/>
    <s v="075513005100311314"/>
    <s v="Itaguí"/>
    <x v="1"/>
    <s v="Revisor Inst. Particulares Metrosur"/>
    <x v="0"/>
    <n v="7"/>
    <s v="2025-12-01 14:54:50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9001"/>
    <s v="ENERES"/>
    <s v="NUEVO"/>
    <s v="ENEDOM"/>
    <s v="31/10/2025 06:55:47"/>
    <s v="2025-11-20 07:30:12"/>
    <n v="43599880"/>
    <s v="LUCENA GOMEZ CARDONA"/>
    <s v="SIN DATOS"/>
    <s v="3001433276"/>
    <s v="CL 56 B CR 20 B -22 (INTERIOR 331 )"/>
    <x v="0"/>
    <s v="055216200200220331"/>
    <s v="Medellín"/>
    <x v="0"/>
    <s v="Habilitación Viviendas Metrosur"/>
    <x v="0"/>
    <n v="5"/>
    <s v="2025-11-27 07:30:12"/>
    <s v="0 días 07:30"/>
    <s v="4 días 07:30"/>
    <x v="0"/>
    <s v="SIN DATO"/>
    <s v="SIN DATO"/>
    <s v="SIN DATO"/>
    <s v="ABIERTO"/>
    <n v="-75.542329339999995"/>
    <n v="6.2408634300000001"/>
    <s v="SUR-ENE"/>
    <s v="Metropolitana Sur"/>
  </r>
  <r>
    <s v="23579370"/>
    <s v="ENENOR"/>
    <s v="NUEVO"/>
    <s v="ENENOR"/>
    <s v="31/10/2025 09:25:17"/>
    <s v="2025-11-11 09:15:58"/>
    <n v="39163791"/>
    <s v="MARTHA CECILIA BETANCUR POSADA"/>
    <s v="4793495"/>
    <s v="3104566607"/>
    <s v="CR 52 CL 129 SUR -26"/>
    <x v="3"/>
    <s v="002522009000260000"/>
    <s v="Caldas"/>
    <x v="2"/>
    <s v="MET Rev-Inst-Concentra E_CR014"/>
    <x v="0"/>
    <n v="7"/>
    <s v="2025-11-21 09:15:58"/>
    <s v="7 días 09:15"/>
    <s v="VENCIDO"/>
    <x v="1"/>
    <s v="SIN DATO"/>
    <s v="SIN DATO"/>
    <s v="SIN DATO"/>
    <s v="ABIERTO"/>
    <n v="-75.637564819999994"/>
    <n v="6.09188201"/>
    <s v="SUR-ENE"/>
    <s v="Metropolitana Sur"/>
  </r>
  <r>
    <s v="23579614"/>
    <s v="ENERES"/>
    <s v="NUEVO"/>
    <s v="ENEDOM"/>
    <s v="31/10/2025 11:36:12"/>
    <s v="2025-10-31 11:36:12"/>
    <n v="43865754"/>
    <s v="SANDRA MILENA SIERRA BETANCUR"/>
    <s v="2707845"/>
    <s v="3017961883"/>
    <s v="RURAL_159057090000000201_159057090000000201"/>
    <x v="4"/>
    <s v="159057090000000201"/>
    <s v="La Estrella"/>
    <x v="0"/>
    <s v="MET Rev-Inst-Concentra E_CR014"/>
    <x v="1"/>
    <n v="8"/>
    <s v="2025-11-13 11:36:12"/>
    <s v="13 días 11:36"/>
    <s v="VENCIDO"/>
    <x v="1"/>
    <s v="SIN DATO"/>
    <s v="SIN DATO"/>
    <s v="SIN DATO"/>
    <s v="ABIERTO"/>
    <n v="-75.636249710000001"/>
    <n v="6.1368862499999999"/>
    <s v="SUR-ENE"/>
    <s v="Metropolitana Sur"/>
  </r>
  <r>
    <s v="23579615"/>
    <s v="ENERES"/>
    <s v="NUEVO"/>
    <s v="ENEDOM"/>
    <s v="31/10/2025 11:36:37"/>
    <s v="2025-10-31 11:36:37"/>
    <n v="1023801247"/>
    <s v="EMILSE PATRICIA OSORIO GARCIA"/>
    <s v="SIN DATOS"/>
    <s v="3135103812"/>
    <s v="CR 52 CL 143 SUR -171 (INTERIOR 106 )"/>
    <x v="3"/>
    <s v="004522003001710106"/>
    <s v="Caldas"/>
    <x v="0"/>
    <s v="MET Rev-Inst-Concentra E_CR014"/>
    <x v="0"/>
    <n v="5"/>
    <s v="2025-11-10 11:36:37"/>
    <s v="13 días 11:36"/>
    <s v="VENCIDO"/>
    <x v="1"/>
    <s v="SIN DATO"/>
    <s v="SIN DATO"/>
    <s v="SIN DATO"/>
    <s v="ABIERTO"/>
    <n v="-75.635902439999995"/>
    <n v="6.0789530999999997"/>
    <s v="SUR-ENE"/>
    <s v="Metropolitana Sur"/>
  </r>
  <r>
    <s v="23579839"/>
    <s v="ENERES"/>
    <s v="NUEVO"/>
    <s v="ENERES"/>
    <s v="31/10/2025 14:58:24"/>
    <s v="2025-11-20 13:18:04"/>
    <n v="43507068"/>
    <s v="NORA ELENA MONSALVE CASTAÑO"/>
    <s v="4879801"/>
    <s v="3127810074"/>
    <s v="TRAN 32 C DIAG 74 D -65"/>
    <x v="0"/>
    <s v="053792304400650000"/>
    <s v="Medellín"/>
    <x v="1"/>
    <s v="METROSUR Vin. Leg. Ref. Concentrada"/>
    <x v="0"/>
    <n v="7"/>
    <s v="2025-12-01 13:18:04"/>
    <s v="0 días 13:18"/>
    <s v="6 días 13:18"/>
    <x v="0"/>
    <s v="SIN DATO"/>
    <s v="SIN DATO"/>
    <s v="SIN DATO"/>
    <s v="ABIERTO"/>
    <n v="-75.59462997"/>
    <n v="6.2370120099999999"/>
    <s v="SUR-ENE"/>
    <s v="Metropolitana Sur"/>
  </r>
  <r>
    <s v="23579870"/>
    <s v="ENEPRE"/>
    <s v="NUEVO"/>
    <s v="ENEPRE"/>
    <s v="31/10/2025 15:21:12"/>
    <s v="2025-11-14 13:27:11"/>
    <n v="31839227"/>
    <s v="MAGNOLIA  SOLARTE DE LEON"/>
    <s v="SIN DATOS"/>
    <s v="3117183959"/>
    <s v="CR 70 CL 44 A -13 (INTERIOR 2000 )"/>
    <x v="0"/>
    <s v="054720004100132000"/>
    <s v="Medellín"/>
    <x v="0"/>
    <s v="Energía Prepago Metrosur"/>
    <x v="0"/>
    <n v="5"/>
    <s v="2025-11-24 13:27:11"/>
    <s v="4 días 13:27"/>
    <s v="1 días 13:27"/>
    <x v="2"/>
    <s v="SIN DATO"/>
    <s v="SIN DATO"/>
    <s v="SIN DATO"/>
    <s v="ABIERTO"/>
    <n v="-75.588729999999998"/>
    <n v="6.2500869999999997"/>
    <s v="SUR-ENE"/>
    <s v="Metropolitana Sur"/>
  </r>
  <r>
    <s v="23579916"/>
    <s v="ENECNX"/>
    <s v="NUEVO"/>
    <s v="ENECNX"/>
    <s v="18/11/2025 15:48:57"/>
    <s v="2025-11-18 15:48:57"/>
    <n v="1036663975"/>
    <s v="LUIS FELIPE CARMONA ALVAREZ"/>
    <s v="SIN DATOS"/>
    <s v="3154776393"/>
    <s v="RURAL_190130200727000000_AA 51781"/>
    <x v="3"/>
    <s v="190130200727000000"/>
    <s v="Caldas"/>
    <x v="8"/>
    <s v="Revisor Puntos de Conexión Metrosur"/>
    <x v="1"/>
    <n v="4"/>
    <s v="2025-11-24 15:48:57"/>
    <s v="3 días 15:48"/>
    <s v="1 días 15:48"/>
    <x v="2"/>
    <s v="SIN DATO"/>
    <s v="SIN DATO"/>
    <s v="SIN DATO"/>
    <s v="CUMPLIDO"/>
    <n v="-75.659865670000002"/>
    <n v="6.0469407899999998"/>
    <s v="SUR-ENE"/>
    <s v="Metropolitana Sur"/>
  </r>
  <r>
    <s v="23580684"/>
    <s v="ENEPRE"/>
    <s v="NUEVO"/>
    <s v="ENEPRE"/>
    <s v="04/11/2025 12:01:40"/>
    <s v="2025-11-18 14:06:35"/>
    <n v="71185509"/>
    <s v="JUAN DAVID BETANCUR VERGARA"/>
    <s v="2355088"/>
    <s v="3013985112"/>
    <s v="CL 28 CR 73 -10 (INTERIOR 201 )"/>
    <x v="0"/>
    <s v="052718003000100201"/>
    <s v="Medellín"/>
    <x v="3"/>
    <s v="Energía Prepago Metrosur"/>
    <x v="0"/>
    <n v="11"/>
    <s v="2025-12-03 14:06:35"/>
    <s v="3 días 14:06"/>
    <s v="8 días 14:06"/>
    <x v="0"/>
    <s v="SIN DATO"/>
    <s v="SIN DATO"/>
    <s v="SIN DATO"/>
    <s v="ABIERTO"/>
    <n v="-75.593659459999998"/>
    <n v="6.22966087"/>
    <s v="SUR-ENE"/>
    <s v="Metropolitana Sur"/>
  </r>
  <r>
    <s v="23581106"/>
    <s v="ENEPRE"/>
    <s v="REUBI"/>
    <s v="ENEPRE"/>
    <s v="04/11/2025 16:51:22"/>
    <s v="2025-11-19 16:45:56"/>
    <n v="43672289"/>
    <s v="LUCIA ELENA GUTIERREZ BEDOYA"/>
    <s v="SIN DATOS"/>
    <s v="3022142311"/>
    <s v="CR 87 CL 49 DD -43"/>
    <x v="0"/>
    <s v="054827009440430000"/>
    <s v="Medellín"/>
    <x v="9"/>
    <s v="Energía Prepago Metrosur"/>
    <x v="0"/>
    <n v="11"/>
    <s v="2025-12-04 16:45:56"/>
    <s v="2 días 16:45"/>
    <s v="9 días 16:45"/>
    <x v="0"/>
    <s v="SIN DATO"/>
    <s v="SIN DATO"/>
    <s v="SIN DATO"/>
    <s v="ABIERTO"/>
    <n v="-75.605506210000001"/>
    <n v="6.2629534800000002"/>
    <s v="SUR-ENE"/>
    <s v="Metropolitana Sur"/>
  </r>
  <r>
    <s v="23581492"/>
    <s v="ENERES"/>
    <s v="NUEVO"/>
    <s v="ENERES"/>
    <s v="05/11/2025 07:04:17"/>
    <s v="2025-11-18 07:54:43"/>
    <n v="5586248"/>
    <s v="OCTAVIO PEREZ ALVAREZ"/>
    <s v="2431419"/>
    <s v="3152417618"/>
    <s v="CR 53 A CL 62 -15"/>
    <x v="2"/>
    <s v="076523102000150000"/>
    <s v="Itaguí"/>
    <x v="1"/>
    <s v="Revisor Instal. Regadas Metrosur"/>
    <x v="0"/>
    <n v="7"/>
    <s v="2025-11-27 07:54:43"/>
    <s v="3 días 07:54"/>
    <s v="4 días 07:54"/>
    <x v="0"/>
    <s v="SIN DATO"/>
    <s v="SIN DATO"/>
    <s v="SIN DATO"/>
    <s v="ABIERTO"/>
    <n v="-75.603403959999994"/>
    <n v="6.1790002199999998"/>
    <s v="SUR-ENE"/>
    <s v="Metropolitana Sur"/>
  </r>
  <r>
    <s v="23581904"/>
    <s v="ENERES"/>
    <s v="NUEVO"/>
    <s v="ENEDOM"/>
    <s v="05/11/2025 10:17:56"/>
    <s v="2025-11-05 10:17:56"/>
    <n v="1128397875"/>
    <s v="BRAYAN CAMILO AGUDELO MANRIQUE"/>
    <s v="SIN DATOS"/>
    <s v="3188679748"/>
    <s v="RURAL_221012007000002124"/>
    <x v="4"/>
    <s v="221012007000002124"/>
    <s v="La Estrella"/>
    <x v="0"/>
    <s v="MET Rev-Inst-Concentra E_CR014"/>
    <x v="0"/>
    <n v="5"/>
    <s v="2025-11-12 10:17:56"/>
    <s v="11 días 10:17"/>
    <s v="VENCIDO"/>
    <x v="1"/>
    <s v="SIN DATO"/>
    <s v="SIN DATO"/>
    <s v="SIN DATO"/>
    <s v="ABIERTO"/>
    <n v="-75.649831634999899"/>
    <n v="6.1379125160000303"/>
    <s v="SUR-ENE"/>
    <s v="Metropolitana Sur"/>
  </r>
  <r>
    <s v="23581929"/>
    <s v="ENERES"/>
    <s v="NUEVO"/>
    <s v="ENEDOM"/>
    <s v="05/11/2025 10:24:24"/>
    <s v="2025-11-05 10:24:24"/>
    <n v="1026150666"/>
    <s v="GUSTAVO ADOLFO ALVAREZ BOLIVAR"/>
    <s v="6019975"/>
    <s v="3114362912"/>
    <s v="RURAL_161096107000000002_VEREDA LA SALADA PARTE BA"/>
    <x v="3"/>
    <s v="161096107000000002"/>
    <s v="Caldas"/>
    <x v="0"/>
    <s v="MET Rev-Inst-Concentra E_CR014"/>
    <x v="1"/>
    <n v="8"/>
    <s v="2025-11-18 10:24:24"/>
    <s v="11 días 10:24"/>
    <s v="VENCIDO"/>
    <x v="1"/>
    <s v="SIN DATO"/>
    <s v="SIN DATO"/>
    <s v="SIN DATO"/>
    <s v="ABIERTO"/>
    <n v="-75.624387049999996"/>
    <n v="6.0470949799999998"/>
    <s v="SUR-ENE"/>
    <s v="Metropolitana Sur"/>
  </r>
  <r>
    <s v="23581943"/>
    <s v="ENERES"/>
    <s v="NUEVO"/>
    <s v="ENEDOM"/>
    <s v="05/11/2025 10:32:00"/>
    <s v="2025-11-14 14:22:24"/>
    <n v="1040327988"/>
    <s v="JHON FREDDI RODAS"/>
    <s v="SIN DATOS"/>
    <s v="3146776042"/>
    <s v="CL 48 D CR 121 C -55"/>
    <x v="0"/>
    <s v="084218401300550000"/>
    <s v="Medellín"/>
    <x v="0"/>
    <s v="Habilitación Viviendas Metrosur"/>
    <x v="0"/>
    <n v="5"/>
    <s v="2025-11-24 14:22:24"/>
    <s v="4 días 14:22"/>
    <s v="1 días 14:22"/>
    <x v="2"/>
    <s v="SIN DATO"/>
    <s v="SIN DATO"/>
    <s v="SIN DATO"/>
    <s v="ABIERTO"/>
    <n v="-75.6286001"/>
    <n v="6.2679910000000003"/>
    <s v="SUR-ENE"/>
    <s v="Metropolitana Sur"/>
  </r>
  <r>
    <s v="23582176"/>
    <s v="ENERES"/>
    <s v="NUEVO"/>
    <s v="ENEDOM"/>
    <s v="05/11/2025 12:31:49"/>
    <s v="2025-11-14 09:07:54"/>
    <n v="42025558"/>
    <s v="YAMILET SANCHEZ CALLE"/>
    <s v="SIN DATOS"/>
    <s v="3336082201"/>
    <s v="CR 22 C CL 57 F -8 (INTERIOR 101 )"/>
    <x v="0"/>
    <s v="055222307600080101"/>
    <s v="Medellín"/>
    <x v="0"/>
    <s v="Habilitación Viviendas Metrosur"/>
    <x v="0"/>
    <n v="5"/>
    <s v="2025-11-24 09:07:54"/>
    <s v="4 días 09:07"/>
    <s v="1 días 09:07"/>
    <x v="2"/>
    <s v="SIN DATO"/>
    <s v="SIN DATO"/>
    <s v="SIN DATO"/>
    <s v="ABIERTO"/>
    <n v="-75.544802390000001"/>
    <n v="6.2511299100000004"/>
    <s v="SUR-ENE"/>
    <s v="Metropolitana Sur"/>
  </r>
  <r>
    <s v="23582253"/>
    <s v="ENERES"/>
    <s v="NUEVO"/>
    <s v="ENEDOM"/>
    <s v="05/11/2025 13:13:57"/>
    <s v="2025-11-05 13:13:57"/>
    <n v="50978135"/>
    <s v="ROSA ELENA PERTUZ SANTOS"/>
    <s v="SIN DATOS"/>
    <s v="3043774276"/>
    <s v="RURAL_159145030000000101_SAN MIGUEL"/>
    <x v="4"/>
    <s v="159145030000000101"/>
    <s v="La Estrella"/>
    <x v="0"/>
    <s v="MET Rev-Inst-Concentra E_CR014"/>
    <x v="0"/>
    <n v="5"/>
    <s v="2025-11-12 13:13:57"/>
    <s v="11 días 13:13"/>
    <s v="VENCIDO"/>
    <x v="1"/>
    <s v="SIN DATO"/>
    <s v="SIN DATO"/>
    <s v="SIN DATO"/>
    <s v="ABIERTO"/>
    <n v="-75.639253429999997"/>
    <n v="6.12152428"/>
    <s v="SUR-ENE"/>
    <s v="Metropolitana Sur"/>
  </r>
  <r>
    <s v="23582349"/>
    <s v="ENECNX"/>
    <s v="NUEVO"/>
    <s v="ENECNX"/>
    <s v="18/11/2025 10:48:02"/>
    <s v="2025-11-18 10:48:02"/>
    <n v="1037583187"/>
    <s v="LINA MARIA OCHOA FIGUEROA"/>
    <s v="4089665"/>
    <s v="3104516986"/>
    <s v="CR 46 CL 7 -29"/>
    <x v="0"/>
    <s v="050426007000290000"/>
    <s v="Medellín"/>
    <x v="8"/>
    <s v="Revisor Puntos de Conexión Metrosur"/>
    <x v="0"/>
    <n v="4"/>
    <s v="2025-11-24 10:48:02"/>
    <s v="3 días 10:48"/>
    <s v="1 días 10:48"/>
    <x v="2"/>
    <s v="SIN DATO"/>
    <s v="SIN DATO"/>
    <s v="SIN DATO"/>
    <s v="CUMPLIDO"/>
    <n v="-75.575727509999993"/>
    <n v="6.2094408100000003"/>
    <s v="SUR-ENE"/>
    <s v="Metropolitana Sur"/>
  </r>
  <r>
    <s v="23582502"/>
    <s v="ENECNX"/>
    <s v="NUEVO"/>
    <s v="ENECNX"/>
    <s v="18/11/2025 15:47:30"/>
    <s v="2025-11-18 15:47:30"/>
    <n v="1037575804"/>
    <s v="CARLOS ANDRES GOMEZ ARBOLEDA"/>
    <s v="SIN DATOS"/>
    <s v="3215202060"/>
    <s v="CL 23 SUR CR 27 -19"/>
    <x v="1"/>
    <s v="022213007000190000"/>
    <s v="Envigado"/>
    <x v="8"/>
    <s v="Revisor Puntos de Conexión Metrosur"/>
    <x v="0"/>
    <n v="4"/>
    <s v="2025-11-24 15:47:30"/>
    <s v="3 días 15:47"/>
    <s v="1 días 15:47"/>
    <x v="2"/>
    <s v="SIN DATO"/>
    <s v="SIN DATO"/>
    <s v="SIN DATO"/>
    <s v="CUMPLIDO"/>
    <n v="-75.567858999999999"/>
    <n v="6.1766259999999997"/>
    <s v="SUR-ENE"/>
    <s v="Metropolitana Sur"/>
  </r>
  <r>
    <s v="23582533"/>
    <s v="ENENOR"/>
    <s v="NUEVO"/>
    <s v="ENENOR"/>
    <s v="05/11/2025 15:50:11"/>
    <s v="2025-11-05 15:50:11"/>
    <n v="43681489"/>
    <s v="NORA CECILIA PALACIO VELEZ"/>
    <s v="SIN DATOS"/>
    <s v="3007853976"/>
    <s v="CR 43 CL 10 -9"/>
    <x v="0"/>
    <s v="051423000000090000"/>
    <s v="Medellín"/>
    <x v="2"/>
    <s v="MET Rev-Inst-Concentra E_CR014"/>
    <x v="0"/>
    <n v="7"/>
    <s v="2025-11-14 15:50:11"/>
    <s v="11 días 15:50"/>
    <s v="VENCIDO"/>
    <x v="1"/>
    <s v="SIN DATO"/>
    <s v="SIN DATO"/>
    <s v="SIN DATO"/>
    <s v="ABIERTO"/>
    <n v="-75.569931690000004"/>
    <n v="6.2107174499999998"/>
    <s v="SUR-ENE"/>
    <s v="Metropolitana Sur"/>
  </r>
  <r>
    <s v="23582546"/>
    <s v="ENENOR"/>
    <s v="NUEVO"/>
    <s v="ENENOR"/>
    <s v="05/11/2025 15:55:08"/>
    <s v="2025-11-05 15:55:08"/>
    <n v="1152467812"/>
    <s v="SARA GOMEZ MONSALVE"/>
    <s v="3217259"/>
    <s v="3174378336"/>
    <s v="CR 43 CL 10 -15"/>
    <x v="0"/>
    <s v="051423000000150000"/>
    <s v="Medellín"/>
    <x v="2"/>
    <s v="MET Rev-Inst-Concentra E_CR014"/>
    <x v="0"/>
    <n v="7"/>
    <s v="2025-11-14 15:55:08"/>
    <s v="11 días 15:55"/>
    <s v="VENCIDO"/>
    <x v="1"/>
    <s v="SIN DATO"/>
    <s v="SIN DATO"/>
    <s v="SIN DATO"/>
    <s v="ABIERTO"/>
    <n v="-75.569931690000004"/>
    <n v="6.2107174499999998"/>
    <s v="SUR-ENE"/>
    <s v="Metropolitana Sur"/>
  </r>
  <r>
    <s v="23582572"/>
    <s v="ENERES"/>
    <s v="NUEVO"/>
    <s v="ENEDOM"/>
    <s v="05/11/2025 16:15:51"/>
    <s v="2025-11-05 16:15:51"/>
    <n v="1042060657"/>
    <s v="YOHN ESNIVER OSPINA BOTERO"/>
    <s v="SIN DATOS"/>
    <s v="3216435914"/>
    <s v="RURAL_159098777000000210_159098777000000210"/>
    <x v="4"/>
    <s v="159098777000000210"/>
    <s v="La Estrella"/>
    <x v="0"/>
    <s v="MET Rev-Inst-Concentra E_CR014"/>
    <x v="1"/>
    <n v="8"/>
    <s v="2025-11-18 16:15:51"/>
    <s v="11 días 16:15"/>
    <s v="VENCIDO"/>
    <x v="1"/>
    <s v="SIN DATO"/>
    <s v="SIN DATO"/>
    <s v="SIN DATO"/>
    <s v="ABIERTO"/>
    <n v="-75.624132160000002"/>
    <n v="6.1170712500000004"/>
    <s v="SUR-ENE"/>
    <s v="Metropolitana Sur"/>
  </r>
  <r>
    <s v="23583170"/>
    <s v="ENERES"/>
    <s v="NUEVO"/>
    <s v="ENEDOM"/>
    <s v="06/11/2025 07:24:56"/>
    <s v="2025-11-06 07:24:56"/>
    <n v="43686177"/>
    <s v="BLANCA ORFILIA CASTANO HENAO"/>
    <s v="SIN DATOS"/>
    <s v="3137677943"/>
    <s v="CL 113 SUR CR 54 -10 (INTERIOR 401 )"/>
    <x v="3"/>
    <s v="001513004000100401"/>
    <s v="Caldas"/>
    <x v="0"/>
    <s v="MET Rev-Inst-Concentra E_CR014"/>
    <x v="0"/>
    <n v="5"/>
    <s v="2025-11-13 07:24:56"/>
    <s v="10 días 07:24"/>
    <s v="VENCIDO"/>
    <x v="1"/>
    <s v="SIN DATO"/>
    <s v="SIN DATO"/>
    <s v="SIN DATO"/>
    <s v="ABIERTO"/>
    <n v="-75.640576999999993"/>
    <n v="6.1065620000000003"/>
    <s v="SUR-ENE"/>
    <s v="Metropolitana Sur"/>
  </r>
  <r>
    <s v="23583184"/>
    <s v="ENERES"/>
    <s v="NUEVO"/>
    <s v="ENEDOM"/>
    <s v="06/11/2025 07:44:35"/>
    <s v="2025-11-06 07:44:35"/>
    <n v="43686177"/>
    <s v="BLANCA ORFILIA CASTANO HENAO"/>
    <s v="SIN DATOS"/>
    <s v="3137677943"/>
    <s v="CL 113 SUR CR 54 -10 (INTERIOR 301 )"/>
    <x v="3"/>
    <s v="001513004000100301"/>
    <s v="Caldas"/>
    <x v="0"/>
    <s v="MET Rev-Inst-Concentra E_CR014"/>
    <x v="0"/>
    <n v="5"/>
    <s v="2025-11-13 07:44:35"/>
    <s v="10 días 07:44"/>
    <s v="VENCIDO"/>
    <x v="1"/>
    <s v="SIN DATO"/>
    <s v="SIN DATO"/>
    <s v="SIN DATO"/>
    <s v="ABIERTO"/>
    <n v="-75.640576999999993"/>
    <n v="6.1065620000000003"/>
    <s v="SUR-ENE"/>
    <s v="Metropolitana Sur"/>
  </r>
  <r>
    <s v="23583188"/>
    <s v="ENERES"/>
    <s v="NUEVO"/>
    <s v="ENEDOM"/>
    <s v="06/11/2025 07:47:42"/>
    <s v="2025-11-06 07:47:42"/>
    <n v="43758836"/>
    <s v="PAOLA ANDREA JARAMILLO AGUDELO"/>
    <s v="SIN DATOS"/>
    <s v="3137677943"/>
    <s v="CL 107 SUR CR 55 -13 (INTERIOR 105 )"/>
    <x v="3"/>
    <s v="000517005000130105"/>
    <s v="Caldas"/>
    <x v="0"/>
    <s v="MET Rev-Inst-Concentra E_CR014"/>
    <x v="0"/>
    <n v="5"/>
    <s v="2025-11-13 07:47:42"/>
    <s v="10 días 07:47"/>
    <s v="VENCIDO"/>
    <x v="1"/>
    <s v="SIN DATO"/>
    <s v="SIN DATO"/>
    <s v="SIN DATO"/>
    <s v="ABIERTO"/>
    <n v="-75.641244060000005"/>
    <n v="6.1107932099999998"/>
    <s v="SUR-ENE"/>
    <s v="Metropolitana Sur"/>
  </r>
  <r>
    <s v="23583283"/>
    <s v="ENERES"/>
    <s v="NUEVO"/>
    <s v="ENEDOM"/>
    <s v="13/11/2025 13:41:46"/>
    <s v="2025-11-20 08:22:21"/>
    <n v="21659760"/>
    <s v="MARIA MELBA RAMIREZ GUARIN"/>
    <s v="2220228"/>
    <s v="3013353512"/>
    <s v="CL 53 CR 110 -539 (INTERIOR 279 )"/>
    <x v="0"/>
    <s v="085113000005390279"/>
    <s v="Medellín"/>
    <x v="5"/>
    <s v="Habilitación Viviendas Metrosur"/>
    <x v="0"/>
    <n v="5"/>
    <s v="2025-11-27 08:22:21"/>
    <s v="0 días 08:22"/>
    <s v="4 días 08:22"/>
    <x v="0"/>
    <s v="SIN DATO"/>
    <s v="SIN DATO"/>
    <s v="SIN DATO"/>
    <s v="ABIERTO"/>
    <n v="-75.626542999999998"/>
    <n v="6.2692240000000004"/>
    <s v="SUR-ENE"/>
    <s v="Metropolitana Sur"/>
  </r>
  <r>
    <s v="23583427"/>
    <s v="ENERES"/>
    <s v="NUEVO"/>
    <s v="ENEDOM"/>
    <s v="06/11/2025 10:27:41"/>
    <s v="2025-11-06 10:27:41"/>
    <n v="70879323"/>
    <s v="DIEGO MAURICIO SALAZAR SALAZAR"/>
    <s v="SIN DATOS"/>
    <s v="3116708526"/>
    <s v="RURAL_159139360000000000"/>
    <x v="4"/>
    <s v="159139360000000000"/>
    <s v="La Estrella"/>
    <x v="0"/>
    <s v="MET Rev-Inst-Concentra E_CR014"/>
    <x v="1"/>
    <n v="8"/>
    <s v="2025-11-19 10:27:41"/>
    <s v="10 días 10:27"/>
    <s v="VENCIDO"/>
    <x v="1"/>
    <s v="SIN DATO"/>
    <s v="SIN DATO"/>
    <s v="SIN DATO"/>
    <s v="ABIERTO"/>
    <n v="-75.648910319999999"/>
    <n v="6.1160711900000004"/>
    <s v="SUR-ENE"/>
    <s v="Metropolitana Sur"/>
  </r>
  <r>
    <s v="23583485"/>
    <s v="ENECNX"/>
    <s v="NUEVO"/>
    <s v="ENECNX"/>
    <s v="14/11/2025 05:02:13"/>
    <s v="2025-11-14 05:02:13"/>
    <n v="890900608"/>
    <s v="ALMACENES EXITO S.A."/>
    <s v="6049696"/>
    <s v="3106576928"/>
    <s v="CR 48 CL 32 B SUR -139 (INTERIOR 3872 )"/>
    <x v="1"/>
    <s v="023428002201393872"/>
    <s v="Envigado"/>
    <x v="8"/>
    <s v="Revisor Puntos de Conexión Metrosur"/>
    <x v="0"/>
    <n v="4"/>
    <s v="2025-11-21 05:02:13"/>
    <s v="4 días 05:02"/>
    <s v="VENCIDO"/>
    <x v="1"/>
    <s v="SIN DATO"/>
    <s v="SIN DATO"/>
    <s v="SIN DATO"/>
    <s v="ABIERTO"/>
    <n v="-75.591769999999997"/>
    <n v="6.1763370000000002"/>
    <s v="SUR-ENE"/>
    <s v="Metropolitana Sur"/>
  </r>
  <r>
    <s v="23583593"/>
    <s v="ENERES"/>
    <s v="NUEVO"/>
    <s v="ENEDOM"/>
    <s v="06/11/2025 12:06:38"/>
    <s v="2025-11-14 09:42:08"/>
    <n v="1152451855"/>
    <s v="DANIELA CASTRILLON MOLINA"/>
    <s v="4767566"/>
    <s v="3009843355"/>
    <s v="RURAL_116005617701200001_116005617701200001"/>
    <x v="0"/>
    <s v="116005617701200001"/>
    <s v="Medellín"/>
    <x v="0"/>
    <s v="Habilitación Viviendas Metrosur"/>
    <x v="1"/>
    <n v="8"/>
    <s v="2025-11-27 09:42:08"/>
    <s v="4 días 09:42"/>
    <s v="4 días 09:42"/>
    <x v="0"/>
    <s v="SIN DATO"/>
    <s v="SIN DATO"/>
    <s v="SIN DATO"/>
    <s v="ABIERTO"/>
    <n v="-75.632039800000001"/>
    <n v="6.2328325099999997"/>
    <s v="SUR-ENE"/>
    <s v="Metropolitana Sur"/>
  </r>
  <r>
    <s v="23583615"/>
    <s v="ENERES"/>
    <s v="NUEVO"/>
    <s v="ENEDOM"/>
    <s v="06/11/2025 12:27:57"/>
    <s v="2025-11-06 12:27:57"/>
    <n v="1026159840"/>
    <s v="YEFERSON ESTIVEN MONTOYA ORTIZ"/>
    <s v="SIN DATOS"/>
    <s v="3195171138"/>
    <s v="CL 128 SUR CR 40 -205 (INTERIOR 118 )"/>
    <x v="3"/>
    <s v="002418000002050118"/>
    <s v="Caldas"/>
    <x v="0"/>
    <s v="MET Rev-Inst-Concentra E_CR014"/>
    <x v="0"/>
    <n v="5"/>
    <s v="2025-11-13 12:27:57"/>
    <s v="10 días 12:27"/>
    <s v="VENCIDO"/>
    <x v="1"/>
    <s v="SIN DATO"/>
    <s v="SIN DATO"/>
    <s v="SIN DATO"/>
    <s v="ABIERTO"/>
    <n v="-75.628265999999996"/>
    <n v="6.0937809999999999"/>
    <s v="SUR-ENE"/>
    <s v="Metropolitana Sur"/>
  </r>
  <r>
    <s v="23583714"/>
    <s v="ENECNX"/>
    <s v="NUEVO"/>
    <s v="ENECNX"/>
    <s v="20/11/2025 11:19:25"/>
    <s v="2025-11-20 11:19:25"/>
    <n v="12022498"/>
    <s v="FRANCISCO MENA"/>
    <s v="SIN DATOS"/>
    <s v="3177782156"/>
    <s v="CL 50 CR 56 -54 (INTERIOR 201 )"/>
    <x v="0"/>
    <s v="055510006000540201"/>
    <s v="Medellín"/>
    <x v="8"/>
    <s v="Revisor Puntos de Conexión Metrosur"/>
    <x v="0"/>
    <n v="4"/>
    <s v="2025-11-26 11:19:25"/>
    <s v="0 días 11:19"/>
    <s v="3 días 11:19"/>
    <x v="0"/>
    <s v="SIN DATO"/>
    <s v="SIN DATO"/>
    <s v="SIN DATO"/>
    <s v="ABIERTO"/>
    <n v="-75.573350559999994"/>
    <n v="6.2523452600000002"/>
    <s v="SUR-ENE"/>
    <s v="Metropolitana Sur"/>
  </r>
  <r>
    <s v="23584325"/>
    <s v="ENERES"/>
    <s v="NUEVO"/>
    <s v="ENERES"/>
    <s v="07/11/2025 06:59:42"/>
    <s v="2025-11-19 16:19:32"/>
    <n v="71615331"/>
    <s v="ALVARO EDUARDO PEREZ TOBON"/>
    <s v="2345542"/>
    <s v="3146813146"/>
    <s v="CL 49 F CR 81 A -24 (INTERIOR 401 )"/>
    <x v="0"/>
    <s v="054819601100240401"/>
    <s v="Medellín"/>
    <x v="1"/>
    <s v="METROSUR Vin. Leg. Ref. Concentrada"/>
    <x v="0"/>
    <n v="7"/>
    <s v="2025-11-28 16:19:32"/>
    <s v="2 días 16:19"/>
    <s v="5 días 16:19"/>
    <x v="0"/>
    <s v="SIN DATO"/>
    <s v="SIN DATO"/>
    <s v="SIN DATO"/>
    <s v="ABIERTO"/>
    <n v="-75.598738740000002"/>
    <n v="6.2631471899999998"/>
    <s v="SUR-ENE"/>
    <s v="Metropolitana Sur"/>
  </r>
  <r>
    <s v="23584327"/>
    <s v="ENERES"/>
    <s v="NUEVO"/>
    <s v="ENERES"/>
    <s v="07/11/2025 07:01:19"/>
    <s v="2025-11-19 16:18:56"/>
    <n v="71615331"/>
    <s v="ALVARO EDUARDO PEREZ TOBON"/>
    <s v="2345542"/>
    <s v="3146813146"/>
    <s v="CL 49 F CR 81 A -24 (INTERIOR 203 )"/>
    <x v="0"/>
    <s v="054819601100240203"/>
    <s v="Medellín"/>
    <x v="1"/>
    <s v="METROSUR Vin. Leg. Ref. Concentrada"/>
    <x v="0"/>
    <n v="7"/>
    <s v="2025-11-28 16:18:56"/>
    <s v="2 días 16:18"/>
    <s v="5 días 16:18"/>
    <x v="0"/>
    <s v="SIN DATO"/>
    <s v="SIN DATO"/>
    <s v="SIN DATO"/>
    <s v="ABIERTO"/>
    <n v="-75.598738740000002"/>
    <n v="6.2631471899999998"/>
    <s v="SUR-ENE"/>
    <s v="Metropolitana Sur"/>
  </r>
  <r>
    <s v="23584328"/>
    <s v="ENERES"/>
    <s v="NUEVO"/>
    <s v="ENERES"/>
    <s v="07/11/2025 07:01:37"/>
    <s v="2025-11-19 16:22:03"/>
    <n v="71615331"/>
    <s v="ALVARO EDUARDO PEREZ TOBON"/>
    <s v="2345542"/>
    <s v="3146813146"/>
    <s v="CL 49 F CR 81 A -24 (INTERIOR 202 )"/>
    <x v="0"/>
    <s v="054819601100240202"/>
    <s v="Medellín"/>
    <x v="1"/>
    <s v="METROSUR Vin. Leg. Ref. Concentrada"/>
    <x v="0"/>
    <n v="7"/>
    <s v="2025-11-28 16:22:03"/>
    <s v="2 días 16:22"/>
    <s v="5 días 16:22"/>
    <x v="0"/>
    <s v="SIN DATO"/>
    <s v="SIN DATO"/>
    <s v="SIN DATO"/>
    <s v="ABIERTO"/>
    <n v="-75.598738740000002"/>
    <n v="6.2631471899999998"/>
    <s v="SUR-ENE"/>
    <s v="Metropolitana Sur"/>
  </r>
  <r>
    <s v="23584329"/>
    <s v="ENERES"/>
    <s v="NUEVO"/>
    <s v="ENERES"/>
    <s v="07/11/2025 07:01:42"/>
    <s v="2025-11-19 16:21:22"/>
    <n v="71615331"/>
    <s v="ALVARO EDUARDO PEREZ TOBON"/>
    <s v="2345542"/>
    <s v="3146813146"/>
    <s v="CL 49 F CR 81 A -24 (INTERIOR 302 )"/>
    <x v="0"/>
    <s v="054819601100240302"/>
    <s v="Medellín"/>
    <x v="1"/>
    <s v="METROSUR Vin. Leg. Ref. Concentrada"/>
    <x v="0"/>
    <n v="7"/>
    <s v="2025-11-28 16:21:22"/>
    <s v="2 días 16:21"/>
    <s v="5 días 16:21"/>
    <x v="0"/>
    <s v="SIN DATO"/>
    <s v="SIN DATO"/>
    <s v="SIN DATO"/>
    <s v="ABIERTO"/>
    <n v="-75.598738740000002"/>
    <n v="6.2631471899999998"/>
    <s v="SUR-ENE"/>
    <s v="Metropolitana Sur"/>
  </r>
  <r>
    <s v="23584330"/>
    <s v="ENERES"/>
    <s v="NUEVO"/>
    <s v="ENERES"/>
    <s v="07/11/2025 07:01:55"/>
    <s v="2025-11-19 16:20:12"/>
    <n v="71615331"/>
    <s v="ALVARO EDUARDO PEREZ TOBON"/>
    <s v="2345542"/>
    <s v="3146813146"/>
    <s v="CL 49 F CR 81 A -24 (INTERIOR 301 )"/>
    <x v="0"/>
    <s v="054819601100240301"/>
    <s v="Medellín"/>
    <x v="1"/>
    <s v="METROSUR Vin. Leg. Ref. Concentrada"/>
    <x v="0"/>
    <n v="7"/>
    <s v="2025-11-28 16:20:12"/>
    <s v="2 días 16:20"/>
    <s v="5 días 16:20"/>
    <x v="0"/>
    <s v="SIN DATO"/>
    <s v="SIN DATO"/>
    <s v="SIN DATO"/>
    <s v="ABIERTO"/>
    <n v="-75.598738740000002"/>
    <n v="6.2631471899999998"/>
    <s v="SUR-ENE"/>
    <s v="Metropolitana Sur"/>
  </r>
  <r>
    <s v="23584331"/>
    <s v="ENERES"/>
    <s v="NUEVO"/>
    <s v="ENERES"/>
    <s v="07/11/2025 07:02:03"/>
    <s v="2025-11-19 16:22:36"/>
    <n v="71615331"/>
    <s v="ALVARO EDUARDO PEREZ TOBON"/>
    <s v="2345542"/>
    <s v="3146813146"/>
    <s v="CL 49 F CR 81 A -24 (INTERIOR 201 )"/>
    <x v="0"/>
    <s v="054819601100240201"/>
    <s v="Medellín"/>
    <x v="1"/>
    <s v="METROSUR Vin. Leg. Ref. Concentrada"/>
    <x v="0"/>
    <n v="7"/>
    <s v="2025-11-28 16:22:36"/>
    <s v="2 días 16:22"/>
    <s v="5 días 16:22"/>
    <x v="0"/>
    <s v="SIN DATO"/>
    <s v="SIN DATO"/>
    <s v="SIN DATO"/>
    <s v="ABIERTO"/>
    <n v="-75.598738740000002"/>
    <n v="6.2631471899999998"/>
    <s v="SUR-ENE"/>
    <s v="Metropolitana Sur"/>
  </r>
  <r>
    <s v="23584334"/>
    <s v="ENERES"/>
    <s v="NUEVO"/>
    <s v="ENERES"/>
    <s v="07/11/2025 07:02:42"/>
    <s v="2025-11-19 16:20:42"/>
    <n v="71615331"/>
    <s v="ALVARO EDUARDO PEREZ TOBON"/>
    <s v="2345542"/>
    <s v="3146813146"/>
    <s v="CL 49 F CR 81 A -24 (INTERIOR 303 )"/>
    <x v="0"/>
    <s v="054819601100240303"/>
    <s v="Medellín"/>
    <x v="1"/>
    <s v="METROSUR Vin. Leg. Ref. Concentrada"/>
    <x v="0"/>
    <n v="7"/>
    <s v="2025-11-28 16:20:42"/>
    <s v="2 días 16:20"/>
    <s v="5 días 16:20"/>
    <x v="0"/>
    <s v="SIN DATO"/>
    <s v="SIN DATO"/>
    <s v="SIN DATO"/>
    <s v="ABIERTO"/>
    <n v="-75.598738740000002"/>
    <n v="6.2631471899999998"/>
    <s v="SUR-ENE"/>
    <s v="Metropolitana Sur"/>
  </r>
  <r>
    <s v="23584693"/>
    <s v="ENERES"/>
    <s v="NUEVO"/>
    <s v="ENERES"/>
    <s v="07/11/2025 11:12:00"/>
    <s v="2025-11-07 11:12:00"/>
    <n v="43321555"/>
    <s v="FLOR MARIA RIOS ZAPATA"/>
    <s v="SIN DATOS"/>
    <s v="3127876625"/>
    <s v="RURAL_167071310000000102"/>
    <x v="5"/>
    <s v="167071310000000102"/>
    <s v="Sabaneta"/>
    <x v="1"/>
    <s v="Revisor Instal. Regadas Metrosur"/>
    <x v="1"/>
    <n v="10"/>
    <s v="2025-11-24 11:12:00"/>
    <s v="9 días 11:12"/>
    <s v="1 días 11:12"/>
    <x v="2"/>
    <s v="SIN DATO"/>
    <s v="SIN DATO"/>
    <s v="SIN DATO"/>
    <s v="ABIERTO"/>
    <n v="-75.609233489999994"/>
    <n v="6.1344013300000002"/>
    <s v="SUR-ENE"/>
    <s v="Metropolitana Sur"/>
  </r>
  <r>
    <s v="23584710"/>
    <s v="ENERES"/>
    <s v="NUEVO"/>
    <s v="ENERES"/>
    <s v="07/11/2025 11:20:35"/>
    <s v="2025-11-21 08:02:05"/>
    <n v="15348718"/>
    <s v="RUBEN DARIO QUINTERO MUÑOZ"/>
    <s v="2050095"/>
    <s v="3207198910"/>
    <s v="CL 94 SUR CR 50 -97 (INTERIOR 101 )"/>
    <x v="4"/>
    <s v="039514000000970101"/>
    <s v="La Estrella"/>
    <x v="1"/>
    <s v="METROSUR Vin. Leg. Ref. Concentrada"/>
    <x v="0"/>
    <n v="7"/>
    <s v="2025-12-02 08:02:05"/>
    <s v="0 días 08:02"/>
    <s v="7 días 08:02"/>
    <x v="0"/>
    <s v="SIN DATO"/>
    <s v="SIN DATO"/>
    <s v="SIN DATO"/>
    <s v="ABIERTO"/>
    <n v="-75.635771390000002"/>
    <n v="6.1369019800000002"/>
    <s v="SUR-ENE"/>
    <s v="Metropolitana Sur"/>
  </r>
  <r>
    <s v="23584728"/>
    <s v="ENERES"/>
    <s v="NUEVO"/>
    <s v="ENERES"/>
    <s v="07/11/2025 11:22:53"/>
    <s v="2025-11-21 08:01:53"/>
    <n v="15348718"/>
    <s v="RUBEN DARIO QUINTERO MUÑOZ"/>
    <s v="2050095"/>
    <s v="3207198910"/>
    <s v="CL 94 SUR CR 50 -97 (INTERIOR 102 )"/>
    <x v="4"/>
    <s v="039514000000970102"/>
    <s v="La Estrella"/>
    <x v="1"/>
    <s v="METROSUR Vin. Leg. Ref. Concentrada"/>
    <x v="0"/>
    <n v="7"/>
    <s v="2025-12-02 08:01:53"/>
    <s v="0 días 08:01"/>
    <s v="7 días 08:01"/>
    <x v="0"/>
    <s v="SIN DATO"/>
    <s v="SIN DATO"/>
    <s v="SIN DATO"/>
    <s v="ABIERTO"/>
    <n v="-75.635771390000002"/>
    <n v="6.1369019800000002"/>
    <s v="SUR-ENE"/>
    <s v="Metropolitana Sur"/>
  </r>
  <r>
    <s v="23584785"/>
    <s v="ENEMRT"/>
    <s v="NUEVO"/>
    <s v="ENEMVI"/>
    <s v="07/11/2025 11:52:17"/>
    <s v="2025-11-07 11:52:17"/>
    <n v="71370057"/>
    <s v="JUAN CAMILO ROLDAN ATEHORTUA"/>
    <s v="SIN DATOS"/>
    <s v="3117130291"/>
    <s v="RURAL_114004480000000000_114004480000000000"/>
    <x v="0"/>
    <s v="114004480000000000"/>
    <s v="Medellín"/>
    <x v="6"/>
    <s v="METR Mov Red Trans Anderson Castaño"/>
    <x v="1"/>
    <n v="14"/>
    <s v="2025-11-28 11:52:17"/>
    <s v="9 días 11:52"/>
    <s v="5 días 11:52"/>
    <x v="0"/>
    <s v="SIN DATO"/>
    <s v="SIN DATO"/>
    <s v="SIN DATO"/>
    <s v="ABIERTO"/>
    <n v="-75.631152999999998"/>
    <n v="6.2028829999999999"/>
    <s v="SUR-ENE"/>
    <s v="Metropolitana Sur"/>
  </r>
  <r>
    <s v="23584810"/>
    <s v="ENERES"/>
    <s v="NUEVO"/>
    <s v="ENEDOM"/>
    <s v="07/11/2025 11:58:25"/>
    <s v="2025-11-07 11:58:25"/>
    <n v="43022546"/>
    <s v="ADRIANA DEL SOCORRO GONZALEZ MUNERA"/>
    <s v="SIN DATOS"/>
    <s v="3157880298"/>
    <s v="RURAL_161112302000000002_PROV VDA LA CORRALITA"/>
    <x v="3"/>
    <s v="161112302000000002"/>
    <s v="Caldas"/>
    <x v="0"/>
    <s v="MET Rev-Inst-Concentra E_CR014"/>
    <x v="1"/>
    <n v="8"/>
    <s v="2025-11-20 11:58:25"/>
    <s v="9 días 11:58"/>
    <s v="VENCIDO"/>
    <x v="1"/>
    <s v="SIN DATO"/>
    <s v="SIN DATO"/>
    <s v="SIN DATO"/>
    <s v="ABIERTO"/>
    <n v="-75.622352800000002"/>
    <n v="6.0841204800000002"/>
    <s v="SUR-ENE"/>
    <s v="Metropolitana Sur"/>
  </r>
  <r>
    <s v="23585128"/>
    <s v="ENECNX"/>
    <s v="NUEVO"/>
    <s v="ENECNX"/>
    <s v="19/11/2025 21:23:56"/>
    <s v="2025-11-19 21:23:56"/>
    <n v="43057395"/>
    <s v="LUZ MARINA AREIZA MAZO"/>
    <s v="5914719"/>
    <s v="3116389498"/>
    <s v="RURAL_163017103000000000_RURAL ITAGUI LOS ZULETA"/>
    <x v="2"/>
    <s v="163017103000000000"/>
    <s v="Itaguí"/>
    <x v="8"/>
    <s v="Revisor Puntos de Conexión Metrosur"/>
    <x v="1"/>
    <n v="4"/>
    <s v="2025-11-25 21:23:56"/>
    <s v="2 días 21:23"/>
    <s v="2 días 21:23"/>
    <x v="2"/>
    <s v="SIN DATO"/>
    <s v="SIN DATO"/>
    <s v="SIN DATO"/>
    <s v="ABIERTO"/>
    <n v="-75.6157228"/>
    <n v="6.17715076"/>
    <s v="SUR-ENE"/>
    <s v="Metropolitana Sur"/>
  </r>
  <r>
    <s v="23585389"/>
    <s v="ENERES"/>
    <s v="NUEVO"/>
    <s v="ENERES"/>
    <s v="08/11/2025 10:19:59"/>
    <s v="2025-11-08 10:19:59"/>
    <n v="3518362"/>
    <s v="GUSTAVO MEJIA HERRERA"/>
    <s v="SIN DATOS"/>
    <s v="3207336498"/>
    <s v="CL 87 SUR CR 62 -105 (INTERIOR 207 )"/>
    <x v="4"/>
    <s v="038617002001050207"/>
    <s v="La Estrella"/>
    <x v="1"/>
    <s v="MET Rev-Inst-Concentra E_CR014"/>
    <x v="0"/>
    <n v="7"/>
    <s v="2025-11-19 10:19:59"/>
    <s v="9 días 10:19"/>
    <s v="VENCIDO"/>
    <x v="1"/>
    <s v="SIN DATO"/>
    <s v="SIN DATO"/>
    <s v="SIN DATO"/>
    <s v="ABIERTO"/>
    <n v="-75.647666060000006"/>
    <n v="6.1529794799999999"/>
    <s v="SUR-ENE"/>
    <s v="Metropolitana Sur"/>
  </r>
  <r>
    <s v="23585598"/>
    <s v="ENEPRE"/>
    <s v="REUBI"/>
    <s v="ENEPRE"/>
    <s v="09/11/2025 13:42:37"/>
    <s v="2025-11-09 13:42:37"/>
    <n v="71586546"/>
    <s v="IVAN DE JESUS URIBE TORRES"/>
    <s v="SIN DATOS"/>
    <s v="3128375548"/>
    <s v="CL 65 CR 140 -37"/>
    <x v="0"/>
    <s v="086415000000370000"/>
    <s v="Medellín"/>
    <x v="9"/>
    <s v="Energía Prepago Metrosur"/>
    <x v="0"/>
    <n v="11"/>
    <s v="2025-11-25 13:42:37"/>
    <s v="9 días 13:42"/>
    <s v="2 días 13:42"/>
    <x v="2"/>
    <s v="SIN DATO"/>
    <s v="SIN DATO"/>
    <s v="SIN DATO"/>
    <s v="ABIERTO"/>
    <n v="-75.641230590000006"/>
    <n v="6.2807536099999997"/>
    <s v="SUR-ENE"/>
    <s v="Metropolitana Sur"/>
  </r>
  <r>
    <s v="23585674"/>
    <s v="ENEMRT"/>
    <s v="NUEVO"/>
    <s v="ENEMVI"/>
    <s v="10/11/2025 08:26:56"/>
    <s v="2025-11-10 08:26:56"/>
    <n v="71747654"/>
    <s v="RICARDO ANDRES CARDONA ESCUDERO"/>
    <s v="SIN DATOS"/>
    <s v="3234898548"/>
    <s v="CL 48 EE CR 99 DD -154 (INTERIOR 131 )"/>
    <x v="0"/>
    <s v="054918559441540131"/>
    <s v="Medellín"/>
    <x v="6"/>
    <s v="Mov Red Trans Dairo Gil"/>
    <x v="0"/>
    <n v="9"/>
    <s v="2025-11-24 08:26:56"/>
    <s v="8 días 08:26"/>
    <s v="1 días 08:26"/>
    <x v="2"/>
    <s v="SIN DATO"/>
    <s v="SIN DATO"/>
    <s v="SIN DATO"/>
    <s v="ABIERTO"/>
    <n v="-75.614580649999994"/>
    <n v="6.2671031800000003"/>
    <s v="SUR-ENE"/>
    <s v="Metropolitana Sur"/>
  </r>
  <r>
    <s v="23585726"/>
    <s v="ENEMRT"/>
    <s v="NUEVO"/>
    <s v="ENEMVI"/>
    <s v="10/11/2025 09:31:04"/>
    <s v="2025-11-10 09:31:04"/>
    <n v="15450391"/>
    <s v="SERGIO IVAN ARENAS PAREJA"/>
    <s v="6015645"/>
    <s v="3116024406"/>
    <s v="RURAL_126005900000000000_MEDELLIN LAS PALMAS"/>
    <x v="0"/>
    <s v="126005900000000000"/>
    <s v="Medellín"/>
    <x v="6"/>
    <s v="METR Mov Red Trans Anderson Castaño"/>
    <x v="1"/>
    <n v="14"/>
    <s v="2025-12-01 09:31:04"/>
    <s v="8 días 09:31"/>
    <s v="6 días 09:31"/>
    <x v="0"/>
    <s v="SIN DATO"/>
    <s v="SIN DATO"/>
    <s v="SIN DATO"/>
    <s v="ABIERTO"/>
    <n v="-75.545015829999997"/>
    <n v="6.2018336700000001"/>
    <s v="SUR-ENE"/>
    <s v="Metropolitana Sur"/>
  </r>
  <r>
    <s v="23585742"/>
    <s v="ENEMRT"/>
    <s v="NUEVO"/>
    <s v="ENEMVI"/>
    <s v="10/11/2025 09:47:40"/>
    <s v="2025-11-10 09:47:40"/>
    <n v="1017180703"/>
    <s v="JUAN DAVID MARQUEZ RIOS"/>
    <s v="2261158"/>
    <s v="3134352365"/>
    <s v="CR 17 A CL 54 -63 (INTERIOR 109 )"/>
    <x v="0"/>
    <s v="055127104000630109"/>
    <s v="Medellín"/>
    <x v="6"/>
    <s v="METR Mov Red Trans Anderson Castaño"/>
    <x v="0"/>
    <n v="9"/>
    <s v="2025-11-24 09:47:40"/>
    <s v="8 días 09:47"/>
    <s v="1 días 09:47"/>
    <x v="2"/>
    <s v="SIN DATO"/>
    <s v="SIN DATO"/>
    <s v="SIN DATO"/>
    <s v="ABIERTO"/>
    <n v="-75.541204260000001"/>
    <n v="6.2379256400000003"/>
    <s v="SUR-ENE"/>
    <s v="Metropolitana Sur"/>
  </r>
  <r>
    <s v="23586005"/>
    <s v="ENEPRE"/>
    <s v="NUEVO"/>
    <s v="ENEPRE"/>
    <s v="10/11/2025 11:39:37"/>
    <s v="2025-11-13 15:07:51"/>
    <n v="42767391"/>
    <s v="GABRIELA LOPEZ RUIZ"/>
    <s v="SIN DATOS"/>
    <s v="3008203450"/>
    <s v="CL 48 B CR 121 C -92 (INTERIOR 201 )"/>
    <x v="0"/>
    <s v="084218201300920201"/>
    <s v="Medellín"/>
    <x v="3"/>
    <s v="Energía Prepago Metrosur"/>
    <x v="0"/>
    <n v="11"/>
    <s v="2025-12-01 15:07:51"/>
    <s v="5 días 15:07"/>
    <s v="6 días 15:07"/>
    <x v="0"/>
    <s v="SIN DATO"/>
    <s v="SIN DATO"/>
    <s v="SIN DATO"/>
    <s v="ABIERTO"/>
    <n v="-75.629919000000001"/>
    <n v="6.2669509999999997"/>
    <s v="SUR-ENE"/>
    <s v="Metropolitana Sur"/>
  </r>
  <r>
    <s v="23586048"/>
    <s v="ENENOR"/>
    <s v="CAMBI"/>
    <s v="ENENOR"/>
    <s v="10/11/2025 12:28:36"/>
    <s v="2025-11-19 11:30:41"/>
    <n v="70164868"/>
    <s v="MELQUICEDEC GIRALDO MARTINEZ"/>
    <s v="SIN DATOS"/>
    <s v="3104534546"/>
    <s v="CR 50 CL 129 SUR -75"/>
    <x v="3"/>
    <s v="002520009000750000"/>
    <s v="Caldas"/>
    <x v="7"/>
    <s v="METROSUR Vin. Leg. Ref. Concentrada"/>
    <x v="0"/>
    <n v="7"/>
    <s v="2025-11-28 11:30:41"/>
    <s v="2 días 11:30"/>
    <s v="5 días 11:30"/>
    <x v="0"/>
    <s v="SIN DATO"/>
    <s v="SIN DATO"/>
    <s v="SIN DATO"/>
    <s v="ABIERTO"/>
    <n v="-75.636119359999995"/>
    <n v="6.0915284099999996"/>
    <s v="SUR-ENE"/>
    <s v="Metropolitana Sur"/>
  </r>
  <r>
    <s v="23586172"/>
    <s v="ENEMRT"/>
    <s v="NUEVO"/>
    <s v="ENEMVI"/>
    <s v="10/11/2025 15:25:35"/>
    <s v="2025-11-10 15:25:36"/>
    <n v="1020794173"/>
    <s v="LUIS ALBEIRO LOPEZ PAEZ"/>
    <s v="SIN DATOS"/>
    <s v="3187974250"/>
    <s v="RURAL_116005368000000000_VEREDA_BELEN_AGUAS_FRIAS"/>
    <x v="0"/>
    <s v="116005368000000000"/>
    <s v="Medellín"/>
    <x v="6"/>
    <s v="METR Mov Red Trans Anderson Castaño"/>
    <x v="1"/>
    <n v="14"/>
    <s v="2025-12-01 15:25:36"/>
    <s v="8 días 15:25"/>
    <s v="6 días 15:25"/>
    <x v="0"/>
    <s v="SIN DATO"/>
    <s v="SIN DATO"/>
    <s v="SIN DATO"/>
    <s v="ABIERTO"/>
    <n v="-75.633617380000004"/>
    <n v="6.2341269500000003"/>
    <s v="SUR-ENE"/>
    <s v="Metropolitana Sur"/>
  </r>
  <r>
    <s v="23586202"/>
    <s v="ENEMRT"/>
    <s v="NUEVO"/>
    <s v="ENEMVI"/>
    <s v="10/11/2025 15:55:48"/>
    <s v="2025-11-10 15:55:48"/>
    <n v="43493995"/>
    <s v="BEATRIZ AMPARO CANO NARANJO"/>
    <s v="SIN DATOS"/>
    <s v="3104048515"/>
    <s v="RURAL_146008512000000000_BOQUERON PALMITAS"/>
    <x v="0"/>
    <s v="146008512000000000"/>
    <s v="Medellín"/>
    <x v="6"/>
    <s v="METR Mov Red Trans Anderson Castaño"/>
    <x v="1"/>
    <n v="14"/>
    <s v="2025-12-01 15:55:48"/>
    <s v="8 días 15:55"/>
    <s v="6 días 15:55"/>
    <x v="0"/>
    <s v="SIN DATO"/>
    <s v="SIN DATO"/>
    <s v="SIN DATO"/>
    <s v="ABIERTO"/>
    <n v="-75.647907000000004"/>
    <n v="6.3065001000000001"/>
    <s v="SUR-ENE"/>
    <s v="Metropolitana Sur"/>
  </r>
  <r>
    <s v="23586429"/>
    <s v="ENERES"/>
    <s v="NUEVO"/>
    <s v="ENEDOM"/>
    <s v="11/11/2025 03:15:30"/>
    <s v="2025-11-11 03:15:30"/>
    <n v="1037665983"/>
    <s v="VALENTINA MOLINA RESTREPO"/>
    <s v="SIN DATOS"/>
    <s v="3012016846"/>
    <s v="RURAL_159033400000000003_PROV.159033400000000003"/>
    <x v="4"/>
    <s v="159033400000000003"/>
    <s v="La Estrella"/>
    <x v="0"/>
    <s v="MET Rev-Inst-Concentra E_CR014"/>
    <x v="1"/>
    <n v="8"/>
    <s v="2025-11-24 03:15:30"/>
    <s v="7 días 03:15"/>
    <s v="1 días 03:15"/>
    <x v="2"/>
    <s v="SIN DATO"/>
    <s v="SIN DATO"/>
    <s v="SIN DATO"/>
    <s v="ABIERTO"/>
    <n v="-75.649729030000003"/>
    <n v="6.13705224"/>
    <s v="SUR-ENE"/>
    <s v="Metropolitana Sur"/>
  </r>
  <r>
    <s v="23586512"/>
    <s v="ENERES"/>
    <s v="NUEVO"/>
    <s v="ENEDOM"/>
    <s v="11/11/2025 05:00:26"/>
    <s v="2025-11-11 05:00:26"/>
    <n v="8070239"/>
    <s v="JOSE FERNANDO VELEZ VELEZ"/>
    <s v="SIN DATOS"/>
    <s v="3206459709"/>
    <s v="RURAL_159144497000000204_PROV.TABLAZA EL LLANO"/>
    <x v="4"/>
    <s v="159144497000000204"/>
    <s v="La Estrella"/>
    <x v="0"/>
    <s v="MET Rev-Inst-Concentra E_CR014"/>
    <x v="1"/>
    <n v="8"/>
    <s v="2025-11-24 05:00:26"/>
    <s v="7 días 05:00"/>
    <s v="1 días 05:00"/>
    <x v="2"/>
    <s v="SIN DATO"/>
    <s v="SIN DATO"/>
    <s v="SIN DATO"/>
    <s v="ABIERTO"/>
    <n v="-75.640313000000006"/>
    <n v="6.1219950000000001"/>
    <s v="SUR-ENE"/>
    <s v="Metropolitana Sur"/>
  </r>
  <r>
    <s v="23586611"/>
    <s v="ENERES"/>
    <s v="NUEVO"/>
    <s v="ENEDOM"/>
    <s v="11/11/2025 07:10:23"/>
    <s v="2025-11-11 07:10:23"/>
    <n v="24435050"/>
    <s v="BEATRIZ EUGENIA SALAZAR TORO"/>
    <s v="SIN DATOS"/>
    <s v="3206395611"/>
    <s v="CL 110 SUR CR 54 -96 (INTERIOR 100 )"/>
    <x v="3"/>
    <s v="001510004000960100"/>
    <s v="Caldas"/>
    <x v="0"/>
    <s v="MET Rev-Inst-Concentra E_CR014"/>
    <x v="0"/>
    <n v="5"/>
    <s v="2025-11-19 07:10:23"/>
    <s v="7 días 07:10"/>
    <s v="VENCIDO"/>
    <x v="1"/>
    <s v="SIN DATO"/>
    <s v="SIN DATO"/>
    <s v="SIN DATO"/>
    <s v="ABIERTO"/>
    <n v="-75.641452639999997"/>
    <n v="6.1099124600000003"/>
    <s v="SUR-ENE"/>
    <s v="Metropolitana Sur"/>
  </r>
  <r>
    <s v="23586836"/>
    <s v="ENERES"/>
    <s v="NUEVO"/>
    <s v="ENEDOM"/>
    <s v="11/11/2025 08:24:22"/>
    <s v="2025-11-20 10:11:09"/>
    <n v="71592362"/>
    <s v="JOHN JAIRO MORENO CASAFUS"/>
    <s v="2840073"/>
    <s v="3052207377"/>
    <s v="CL 59 B CR 24 -58 (INTERIOR 201 )"/>
    <x v="0"/>
    <s v="055219204000580201"/>
    <s v="Medellín"/>
    <x v="0"/>
    <s v="Habilitación Viviendas Metrosur"/>
    <x v="0"/>
    <n v="5"/>
    <s v="2025-11-27 10:11:09"/>
    <s v="0 días 10:11"/>
    <s v="4 días 10:11"/>
    <x v="0"/>
    <s v="SIN DATO"/>
    <s v="SIN DATO"/>
    <s v="SIN DATO"/>
    <s v="ABIERTO"/>
    <n v="-75.547156999999999"/>
    <n v="6.2520819999999997"/>
    <s v="SUR-ENE"/>
    <s v="Metropolitana Sur"/>
  </r>
  <r>
    <s v="23587134"/>
    <s v="ENENOR"/>
    <s v="NUEVO"/>
    <s v="ENENOR"/>
    <s v="11/11/2025 10:44:03"/>
    <s v="2025-11-11 10:44:03"/>
    <n v="43041141"/>
    <s v="DIANA PATRICIA CALLE CALLE"/>
    <s v="SIN DATOS"/>
    <s v="3002049670"/>
    <s v="CL 36 CR 70 -15 (LC 4 )"/>
    <x v="2"/>
    <s v="073716000000150004"/>
    <s v="Itaguí"/>
    <x v="2"/>
    <s v="METROSUR Vin. Leg. Ref. Concentrada"/>
    <x v="0"/>
    <n v="7"/>
    <s v="2025-11-21 10:44:03"/>
    <s v="7 días 10:44"/>
    <s v="VENCIDO"/>
    <x v="1"/>
    <s v="SIN DATO"/>
    <s v="SIN DATO"/>
    <s v="SIN DATO"/>
    <s v="ABIERTO"/>
    <n v="-75.634686669999994"/>
    <n v="6.1745599999999996"/>
    <s v="SUR-ENE"/>
    <s v="Metropolitana Sur"/>
  </r>
  <r>
    <s v="23587135"/>
    <s v="ENENOR"/>
    <s v="NUEVO"/>
    <s v="ENENOR"/>
    <s v="11/11/2025 10:44:05"/>
    <s v="2025-11-11 10:44:05"/>
    <n v="43041141"/>
    <s v="DIANA PATRICIA CALLE CALLE"/>
    <s v="SIN DATOS"/>
    <s v="3002049670"/>
    <s v="CL 36 CR 70 -13 (LC 3 )"/>
    <x v="2"/>
    <s v="073716000000130003"/>
    <s v="Itaguí"/>
    <x v="2"/>
    <s v="METROSUR Vin. Leg. Ref. Concentrada"/>
    <x v="0"/>
    <n v="7"/>
    <s v="2025-11-21 10:44:05"/>
    <s v="7 días 10:44"/>
    <s v="VENCIDO"/>
    <x v="1"/>
    <s v="SIN DATO"/>
    <s v="SIN DATO"/>
    <s v="SIN DATO"/>
    <s v="ABIERTO"/>
    <n v="-75.634686669999994"/>
    <n v="6.1745599999999996"/>
    <s v="SUR-ENE"/>
    <s v="Metropolitana Sur"/>
  </r>
  <r>
    <s v="23587137"/>
    <s v="ENEMRT"/>
    <s v="NUEVO"/>
    <s v="ENEMVI"/>
    <s v="11/11/2025 10:45:59"/>
    <s v="2025-11-11 10:45:59"/>
    <n v="71530522"/>
    <s v="LUIS ALFONSO ALVAREZ MUÑOZ"/>
    <s v="SIN DATOS"/>
    <s v="3154468089"/>
    <s v="RURAL_146018748000000000_RURAL_PALMITAS"/>
    <x v="0"/>
    <s v="146018748000000000"/>
    <s v="Medellín"/>
    <x v="6"/>
    <s v="METR Mov Red Trans Anderson Castaño"/>
    <x v="1"/>
    <n v="14"/>
    <s v="2025-12-02 10:45:59"/>
    <s v="7 días 10:45"/>
    <s v="7 días 10:45"/>
    <x v="0"/>
    <s v="SIN DATO"/>
    <s v="SIN DATO"/>
    <s v="SIN DATO"/>
    <s v="ABIERTO"/>
    <n v="-75.703671670000006"/>
    <n v="6.3413566699999997"/>
    <s v="SUR-ENE"/>
    <s v="Metropolitana Sur"/>
  </r>
  <r>
    <s v="23587143"/>
    <s v="ENERES"/>
    <s v="NUEVO"/>
    <s v="ENERES"/>
    <s v="11/11/2025 10:48:55"/>
    <s v="2025-11-11 10:48:55"/>
    <n v="1039464584"/>
    <s v="KEVIN ANDRES OCAMPO MARTINEZ"/>
    <s v="2797527"/>
    <s v="3105225546"/>
    <s v="RURAL_167043583000000000_CR 34 CL 81A SUR -50(122)"/>
    <x v="5"/>
    <s v="167043583000000000"/>
    <s v="Sabaneta"/>
    <x v="1"/>
    <s v="Revisor Instal. Regadas Metrosur"/>
    <x v="1"/>
    <n v="10"/>
    <s v="2025-11-26 10:48:55"/>
    <s v="7 días 10:48"/>
    <s v="3 días 10:48"/>
    <x v="0"/>
    <s v="SIN DATO"/>
    <s v="SIN DATO"/>
    <s v="SIN DATO"/>
    <s v="ABIERTO"/>
    <n v="-75.630382460000007"/>
    <n v="6.1397966799999999"/>
    <s v="SUR-ENE"/>
    <s v="Metropolitana Sur"/>
  </r>
  <r>
    <s v="23587171"/>
    <s v="ENENOR"/>
    <s v="NUEVO"/>
    <s v="ENENOR"/>
    <s v="11/11/2025 10:58:01"/>
    <s v="2025-11-11 10:58:01"/>
    <n v="43041141"/>
    <s v="DIANA PATRICIA CALLE CALLE"/>
    <s v="SIN DATOS"/>
    <s v="3002049670"/>
    <s v="CL 36 CR 70 -17 (LC 5 )"/>
    <x v="2"/>
    <s v="073716000000170005"/>
    <s v="Itaguí"/>
    <x v="2"/>
    <s v="METROSUR Vin. Leg. Ref. Concentrada"/>
    <x v="0"/>
    <n v="7"/>
    <s v="2025-11-21 10:58:01"/>
    <s v="7 días 10:58"/>
    <s v="VENCIDO"/>
    <x v="1"/>
    <s v="SIN DATO"/>
    <s v="SIN DATO"/>
    <s v="SIN DATO"/>
    <s v="ABIERTO"/>
    <n v="-75.634686669999994"/>
    <n v="6.1745599999999996"/>
    <s v="SUR-ENE"/>
    <s v="Metropolitana Sur"/>
  </r>
  <r>
    <s v="23587172"/>
    <s v="ENENOR"/>
    <s v="NUEVO"/>
    <s v="ENENOR"/>
    <s v="11/11/2025 10:58:19"/>
    <s v="2025-11-11 10:58:19"/>
    <n v="43041141"/>
    <s v="DIANA PATRICIA CALLE CALLE"/>
    <s v="SIN DATOS"/>
    <s v="3002049670"/>
    <s v="CL 36 CR 70 -19 (LC 6 )"/>
    <x v="2"/>
    <s v="073716000000190006"/>
    <s v="Itaguí"/>
    <x v="2"/>
    <s v="METROSUR Vin. Leg. Ref. Concentrada"/>
    <x v="0"/>
    <n v="7"/>
    <s v="2025-11-21 10:58:19"/>
    <s v="7 días 10:58"/>
    <s v="VENCIDO"/>
    <x v="1"/>
    <s v="SIN DATO"/>
    <s v="SIN DATO"/>
    <s v="SIN DATO"/>
    <s v="ABIERTO"/>
    <n v="-75.634686669999994"/>
    <n v="6.1745599999999996"/>
    <s v="SUR-ENE"/>
    <s v="Metropolitana Sur"/>
  </r>
  <r>
    <s v="23587173"/>
    <s v="ENENOR"/>
    <s v="NUEVO"/>
    <s v="ENENOR"/>
    <s v="11/11/2025 10:58:23"/>
    <s v="2025-11-11 10:58:23"/>
    <n v="43041141"/>
    <s v="DIANA PATRICIA CALLE CALLE"/>
    <s v="SIN DATOS"/>
    <s v="3002049670"/>
    <s v="CL 36 CR 70 -7 (PI 2 )"/>
    <x v="2"/>
    <s v="073716000000070200"/>
    <s v="Itaguí"/>
    <x v="2"/>
    <s v="METROSUR Vin. Leg. Ref. Concentrada"/>
    <x v="0"/>
    <n v="7"/>
    <s v="2025-11-21 10:58:23"/>
    <s v="7 días 10:58"/>
    <s v="VENCIDO"/>
    <x v="1"/>
    <s v="SIN DATO"/>
    <s v="SIN DATO"/>
    <s v="SIN DATO"/>
    <s v="ABIERTO"/>
    <n v="-75.634686669999994"/>
    <n v="6.1745599999999996"/>
    <s v="SUR-ENE"/>
    <s v="Metropolitana Sur"/>
  </r>
  <r>
    <s v="23587174"/>
    <s v="ENENOR"/>
    <s v="NUEVO"/>
    <s v="ENENOR"/>
    <s v="11/11/2025 10:58:30"/>
    <s v="2025-11-11 10:58:30"/>
    <n v="43041141"/>
    <s v="DIANA PATRICIA CALLE CALLE"/>
    <s v="SIN DATOS"/>
    <s v="3002049670"/>
    <s v="CL 36 CR 70 -11 (OF 1 )"/>
    <x v="2"/>
    <s v="073716000000110001"/>
    <s v="Itaguí"/>
    <x v="2"/>
    <s v="METROSUR Vin. Leg. Ref. Concentrada"/>
    <x v="0"/>
    <n v="7"/>
    <s v="2025-11-21 10:58:30"/>
    <s v="7 días 10:58"/>
    <s v="VENCIDO"/>
    <x v="1"/>
    <s v="SIN DATO"/>
    <s v="SIN DATO"/>
    <s v="SIN DATO"/>
    <s v="ABIERTO"/>
    <n v="-75.634686669999994"/>
    <n v="6.1745599999999996"/>
    <s v="SUR-ENE"/>
    <s v="Metropolitana Sur"/>
  </r>
  <r>
    <s v="23587246"/>
    <s v="ENENOR"/>
    <s v="NUEVO"/>
    <s v="ENENOR"/>
    <s v="11/11/2025 11:22:17"/>
    <s v="2025-11-11 11:22:17"/>
    <n v="43041141"/>
    <s v="DIANA PATRICIA CALLE CALLE"/>
    <s v="SIN DATOS"/>
    <s v="3002049670"/>
    <s v="CL 36 CR 70 -11 (OF 2 )"/>
    <x v="2"/>
    <s v="073716000000110002"/>
    <s v="Itaguí"/>
    <x v="2"/>
    <s v="METROSUR Vin. Leg. Ref. Concentrada"/>
    <x v="0"/>
    <n v="7"/>
    <s v="2025-11-21 11:22:17"/>
    <s v="7 días 11:22"/>
    <s v="VENCIDO"/>
    <x v="1"/>
    <s v="SIN DATO"/>
    <s v="SIN DATO"/>
    <s v="SIN DATO"/>
    <s v="ABIERTO"/>
    <n v="-75.634686669999994"/>
    <n v="6.1745599999999996"/>
    <s v="SUR-ENE"/>
    <s v="Metropolitana Sur"/>
  </r>
  <r>
    <s v="23587250"/>
    <s v="ENERES"/>
    <s v="NUEVO"/>
    <s v="ENERES"/>
    <s v="11/11/2025 11:22:48"/>
    <s v="2025-11-11 11:22:48"/>
    <n v="44000559"/>
    <s v="MARGY SOTO RUIZ"/>
    <s v="SIN DATOS"/>
    <s v="3224088923"/>
    <s v="RURAL_122012403200000001"/>
    <x v="0"/>
    <s v="122012403200000001"/>
    <s v="Medellín"/>
    <x v="1"/>
    <s v="Revisor Instal. Regadas Metrosur"/>
    <x v="1"/>
    <n v="10"/>
    <s v="2025-11-26 11:22:48"/>
    <s v="7 días 11:22"/>
    <s v="3 días 11:22"/>
    <x v="0"/>
    <s v="SIN DATO"/>
    <s v="SIN DATO"/>
    <s v="SIN DATO"/>
    <s v="ABIERTO"/>
    <n v="-75.499201040000003"/>
    <n v="6.2294133800000004"/>
    <s v="SUR-ENE"/>
    <s v="Metropolitana Sur"/>
  </r>
  <r>
    <s v="23587256"/>
    <s v="ENERES"/>
    <s v="NUEVO"/>
    <s v="ENERES"/>
    <s v="11/11/2025 11:23:17"/>
    <s v="2025-11-11 11:23:17"/>
    <n v="43439600"/>
    <s v="IRENE DE JESUS USUGA RESTREPO"/>
    <s v="4211735"/>
    <s v="3012880097"/>
    <s v="RURAL_122025457100000002_VDA EL PLAN SECTOR DON BO"/>
    <x v="0"/>
    <s v="122025457100000002"/>
    <s v="Medellín"/>
    <x v="1"/>
    <s v="Revisor Instal. Regadas Metrosur"/>
    <x v="1"/>
    <n v="10"/>
    <s v="2025-11-26 11:23:17"/>
    <s v="7 días 11:23"/>
    <s v="3 días 11:23"/>
    <x v="0"/>
    <s v="SIN DATO"/>
    <s v="SIN DATO"/>
    <s v="SIN DATO"/>
    <s v="ABIERTO"/>
    <n v="-75.520175589999994"/>
    <n v="6.2014890899999999"/>
    <s v="SUR-ENE"/>
    <s v="Metropolitana Sur"/>
  </r>
  <r>
    <s v="23587258"/>
    <s v="ENENOR"/>
    <s v="NUEVO"/>
    <s v="ENENOR"/>
    <s v="11/11/2025 11:23:28"/>
    <s v="2025-11-11 11:23:28"/>
    <n v="70827128"/>
    <s v="VICTOR ALONSO GOMEZ ARISTIZABAL"/>
    <s v="5121421"/>
    <s v="3148617813"/>
    <s v="RURAL_147060499000000055"/>
    <x v="0"/>
    <s v="147060499000000055"/>
    <s v="Medellín"/>
    <x v="2"/>
    <s v="Revisor Instal. Regadas Metrosur"/>
    <x v="1"/>
    <n v="10"/>
    <s v="2025-11-26 11:23:28"/>
    <s v="7 días 11:23"/>
    <s v="3 días 11:23"/>
    <x v="0"/>
    <s v="SIN DATO"/>
    <s v="SIN DATO"/>
    <s v="SIN DATO"/>
    <s v="ABIERTO"/>
    <n v="-75.631766389999996"/>
    <n v="6.2811912999999997"/>
    <s v="SUR-ENE"/>
    <s v="Metropolitana Sur"/>
  </r>
  <r>
    <s v="23587321"/>
    <s v="ENEMRT"/>
    <s v="NUEVO"/>
    <s v="ENEMVI"/>
    <s v="11/11/2025 11:46:12"/>
    <s v="2025-11-11 11:46:12"/>
    <n v="1001592924"/>
    <s v="JENNIFER YANEZ POLO"/>
    <s v="SIN DATOS"/>
    <s v="3137302195"/>
    <s v="CL 61 AA CR 103 D -59 (INTERIOR 101 )"/>
    <x v="0"/>
    <s v="086011113400590101"/>
    <s v="Medellín"/>
    <x v="6"/>
    <s v="Mov Red Trans Dairo Gil"/>
    <x v="0"/>
    <n v="9"/>
    <s v="2025-11-25 11:46:12"/>
    <s v="7 días 11:46"/>
    <s v="2 días 11:46"/>
    <x v="2"/>
    <s v="SIN DATO"/>
    <s v="SIN DATO"/>
    <s v="SIN DATO"/>
    <s v="ABIERTO"/>
    <n v="-75.613376700000003"/>
    <n v="6.2752399399999996"/>
    <s v="SUR-ENE"/>
    <s v="Metropolitana Sur"/>
  </r>
  <r>
    <s v="23587328"/>
    <s v="ENERES"/>
    <s v="NUEVO"/>
    <s v="ENEDOM"/>
    <s v="11/11/2025 11:51:10"/>
    <s v="2025-11-20 10:04:36"/>
    <n v="43749066"/>
    <s v="LUZ MARY GIRALDO"/>
    <s v="SIN DATOS"/>
    <s v="3146656238"/>
    <s v="RURAL_116005491500000301"/>
    <x v="0"/>
    <s v="116005491500000301"/>
    <s v="Medellín"/>
    <x v="0"/>
    <s v="Habilitación Viviendas Metrosur"/>
    <x v="1"/>
    <n v="8"/>
    <s v="2025-12-02 10:04:36"/>
    <s v="0 días 10:04"/>
    <s v="7 días 10:04"/>
    <x v="0"/>
    <s v="SIN DATO"/>
    <s v="SIN DATO"/>
    <s v="SIN DATO"/>
    <s v="ABIERTO"/>
    <n v="-75.631817560000002"/>
    <n v="6.2335741699999998"/>
    <s v="SUR-ENE"/>
    <s v="Metropolitana Sur"/>
  </r>
  <r>
    <s v="23587383"/>
    <s v="ENERES"/>
    <s v="NUEVO"/>
    <s v="ENEDOM"/>
    <s v="11/11/2025 12:43:01"/>
    <s v="2025-11-11 12:43:01"/>
    <n v="39161165"/>
    <s v="ARGEMIRA BERRIO DE ACEVEDO"/>
    <s v="SIN DATOS"/>
    <s v="3043776852"/>
    <s v="CL 111 SUR CR 55 -88 (INTERIOR 1110 )"/>
    <x v="3"/>
    <s v="001511005000881110"/>
    <s v="Caldas"/>
    <x v="0"/>
    <s v="MET Rev-Inst-Concentra E_CR014"/>
    <x v="0"/>
    <n v="5"/>
    <s v="2025-11-19 12:43:01"/>
    <s v="7 días 12:43"/>
    <s v="VENCIDO"/>
    <x v="1"/>
    <s v="SIN DATO"/>
    <s v="SIN DATO"/>
    <s v="SIN DATO"/>
    <s v="ABIERTO"/>
    <n v="-75.641575000000003"/>
    <n v="6.1097330000000003"/>
    <s v="SUR-ENE"/>
    <s v="Metropolitana Sur"/>
  </r>
  <r>
    <s v="23587405"/>
    <s v="ENEMRT"/>
    <s v="NUEVO"/>
    <s v="ENEMVI"/>
    <s v="11/11/2025 13:11:48"/>
    <s v="2025-11-11 13:11:48"/>
    <n v="98664246"/>
    <s v="CRUZ ALBERTO VILLADA MOSQUERA"/>
    <s v="SIN DATOS"/>
    <s v="3044371007"/>
    <s v="CR 3 CL 56 -4"/>
    <x v="0"/>
    <s v="055023006000040000"/>
    <s v="Medellín"/>
    <x v="6"/>
    <s v="Mov Red Trans Dairo Gil"/>
    <x v="0"/>
    <n v="9"/>
    <s v="2025-11-25 13:11:48"/>
    <s v="7 días 13:11"/>
    <s v="2 días 13:11"/>
    <x v="2"/>
    <s v="SIN DATO"/>
    <s v="SIN DATO"/>
    <s v="SIN DATO"/>
    <s v="ABIERTO"/>
    <n v="-75.528958439999997"/>
    <n v="6.2363956900000002"/>
    <s v="SUR-ENE"/>
    <s v="Metropolitana Sur"/>
  </r>
  <r>
    <s v="23587430"/>
    <s v="ENERES"/>
    <s v="NUEVO"/>
    <s v="ENEDOM"/>
    <s v="11/11/2025 13:32:25"/>
    <s v="2025-11-11 13:32:25"/>
    <n v="1040744579"/>
    <s v="DIEGO ALEJANDRO PARRA CARDONA"/>
    <s v="SIN DATOS"/>
    <s v="3023697730"/>
    <s v="RURAL_159054830000000123_159054830000000123"/>
    <x v="4"/>
    <s v="159054830000000123"/>
    <s v="La Estrella"/>
    <x v="0"/>
    <s v="MET Rev-Inst-Concentra E_CR014"/>
    <x v="1"/>
    <n v="8"/>
    <s v="2025-11-24 13:32:25"/>
    <s v="7 días 13:32"/>
    <s v="1 días 13:32"/>
    <x v="2"/>
    <s v="SIN DATO"/>
    <s v="SIN DATO"/>
    <s v="SIN DATO"/>
    <s v="ABIERTO"/>
    <n v="-75.636657999999997"/>
    <n v="6.1380397200000001"/>
    <s v="SUR-ENE"/>
    <s v="Metropolitana Sur"/>
  </r>
  <r>
    <s v="23587500"/>
    <s v="ENERES"/>
    <s v="NUEVO"/>
    <s v="ENEDOM"/>
    <s v="11/11/2025 14:26:38"/>
    <s v="2025-11-11 14:26:38"/>
    <n v="1040742729"/>
    <s v="YECENIA MARGARITA CASTAÑEDA DUARTE"/>
    <s v="3784648"/>
    <s v="3146148518"/>
    <s v="RURAL_159135899000000001"/>
    <x v="4"/>
    <s v="159135899000000001"/>
    <s v="La Estrella"/>
    <x v="0"/>
    <s v="MET Rev-Inst-Concentra E_CR014"/>
    <x v="1"/>
    <n v="8"/>
    <s v="2025-11-24 14:26:38"/>
    <s v="7 días 14:26"/>
    <s v="1 días 14:26"/>
    <x v="2"/>
    <s v="SIN DATO"/>
    <s v="SIN DATO"/>
    <s v="SIN DATO"/>
    <s v="ABIERTO"/>
    <n v="-75.645811730000005"/>
    <n v="6.1193518300000003"/>
    <s v="SUR-ENE"/>
    <s v="Metropolitana Sur"/>
  </r>
  <r>
    <s v="23587571"/>
    <s v="ENERES"/>
    <s v="NUEVO"/>
    <s v="ENERES"/>
    <s v="11/11/2025 15:17:12"/>
    <s v="2025-11-11 15:17:12"/>
    <n v="71377609"/>
    <s v="JORGE ANDRES GUZMAN POSADA"/>
    <s v="SIN DATOS"/>
    <s v="3045815447"/>
    <s v="RURAL_147040488000000121"/>
    <x v="0"/>
    <s v="147040488000000121"/>
    <s v="Medellín"/>
    <x v="1"/>
    <s v="Revisor Instal. Regadas Metrosur"/>
    <x v="1"/>
    <n v="10"/>
    <s v="2025-11-26 15:17:12"/>
    <s v="7 días 15:17"/>
    <s v="3 días 15:17"/>
    <x v="0"/>
    <s v="SIN DATO"/>
    <s v="SIN DATO"/>
    <s v="SIN DATO"/>
    <s v="ABIERTO"/>
    <n v="-75.649175999999997"/>
    <n v="6.299436"/>
    <s v="SUR-ENE"/>
    <s v="Metropolitana Sur"/>
  </r>
  <r>
    <s v="23587588"/>
    <s v="ENERES"/>
    <s v="NUEVO"/>
    <s v="ENEDOM"/>
    <s v="19/11/2025 06:22:40"/>
    <s v="2025-11-19 06:22:40"/>
    <n v="43200489"/>
    <s v="MARTHA TABAREZ"/>
    <s v="2052011"/>
    <s v="3113648855"/>
    <s v="CL 58 D CR 92 A -88 (INTERIOR 211 )"/>
    <x v="0"/>
    <s v="055918402100880211"/>
    <s v="Medellín"/>
    <x v="5"/>
    <s v="Habilitación Viviendas Metrosur"/>
    <x v="0"/>
    <n v="5"/>
    <s v="2025-11-26 06:22:40"/>
    <s v="2 días 06:22"/>
    <s v="3 días 06:22"/>
    <x v="0"/>
    <s v="SIN DATO"/>
    <s v="SIN DATO"/>
    <s v="SIN DATO"/>
    <s v="ABIERTO"/>
    <n v="-75.604149000000007"/>
    <n v="6.2751720000000004"/>
    <s v="SUR-ENE"/>
    <s v="Metropolitana Sur"/>
  </r>
  <r>
    <s v="23587634"/>
    <s v="ENERES"/>
    <s v="NUEVO"/>
    <s v="ENERES"/>
    <s v="11/11/2025 15:55:03"/>
    <s v="2025-11-21 11:00:04"/>
    <n v="32528663"/>
    <s v="MARIA CLARA MERCEDES VILLA DE GARCIA"/>
    <s v="SIN DATOS"/>
    <s v="3148936416"/>
    <s v="CL 26 SUR CR 22 -7 (INTERIOR 109 )"/>
    <x v="1"/>
    <s v="022216002000070109"/>
    <s v="Envigado"/>
    <x v="1"/>
    <s v="MET Rev-Inst-Concentra E_CR014"/>
    <x v="0"/>
    <n v="7"/>
    <s v="2025-12-02 11:00:04"/>
    <s v="0 días 11:00"/>
    <s v="7 días 11:00"/>
    <x v="0"/>
    <s v="SIN DATO"/>
    <s v="SIN DATO"/>
    <s v="SIN DATO"/>
    <s v="ABIERTO"/>
    <n v="-75.563391949999996"/>
    <n v="6.17048167"/>
    <s v="SUR-ENE"/>
    <s v="Metropolitana Sur"/>
  </r>
  <r>
    <s v="23587656"/>
    <s v="ENEMRT"/>
    <s v="NUEVO"/>
    <s v="ENEMVI"/>
    <s v="11/11/2025 16:14:40"/>
    <s v="2025-11-11 16:14:40"/>
    <n v="71702046"/>
    <s v="CARLOS ENRIQUE CORDOBA MOSQUERA"/>
    <s v="3570097"/>
    <s v="3116381859"/>
    <s v="CR 93 CL 62 B -14"/>
    <x v="0"/>
    <s v="056923002200140000"/>
    <s v="Medellín"/>
    <x v="6"/>
    <s v="Mov Red Trans Dairo Gil"/>
    <x v="0"/>
    <n v="9"/>
    <s v="2025-11-25 16:14:40"/>
    <s v="7 días 16:14"/>
    <s v="2 días 16:14"/>
    <x v="2"/>
    <s v="SIN DATO"/>
    <s v="SIN DATO"/>
    <s v="SIN DATO"/>
    <s v="ABIERTO"/>
    <n v="-75.604962130000004"/>
    <n v="6.2777585199999999"/>
    <s v="SUR-ENE"/>
    <s v="Metropolitana Sur"/>
  </r>
  <r>
    <s v="23587781"/>
    <s v="ENEPRE"/>
    <s v="REUBI"/>
    <s v="ENEPRE"/>
    <s v="11/11/2025 20:53:16"/>
    <s v="2025-11-11 20:53:16"/>
    <n v="70101040"/>
    <s v="MARIO ANGEL MORA MUÑOZ"/>
    <s v="2692803"/>
    <s v="3002556795"/>
    <s v="CL 56 A CR 16 -46 (INTERIOR 104 )"/>
    <x v="0"/>
    <s v="055116106000460104"/>
    <s v="Medellín"/>
    <x v="9"/>
    <s v="Energía Prepago Metrosur"/>
    <x v="0"/>
    <n v="11"/>
    <s v="2025-11-27 20:53:16"/>
    <s v="7 días 20:53"/>
    <s v="4 días 20:53"/>
    <x v="0"/>
    <s v="SIN DATO"/>
    <s v="SIN DATO"/>
    <s v="SIN DATO"/>
    <s v="ABIERTO"/>
    <n v="-75.539493620000002"/>
    <n v="6.2390465300000004"/>
    <s v="SUR-ENE"/>
    <s v="Metropolitana Sur"/>
  </r>
  <r>
    <s v="23588014"/>
    <s v="ENEMRT"/>
    <s v="NUEVO"/>
    <s v="ENEMVI"/>
    <s v="12/11/2025 07:23:30"/>
    <s v="2025-11-12 07:23:30"/>
    <n v="43005433"/>
    <s v="MARIA ERNESTINA CASTAÑO IDARRAGA"/>
    <s v="SIN DATOS"/>
    <s v="3193253445"/>
    <s v="CR 96 A CL 62 D -3 (INTERIOR 1180 )"/>
    <x v="0"/>
    <s v="056926102400031180"/>
    <s v="Medellín"/>
    <x v="6"/>
    <s v="METR Mov Red Trans Anderson Castaño"/>
    <x v="0"/>
    <n v="9"/>
    <s v="2025-11-26 07:23:30"/>
    <s v="6 días 07:23"/>
    <s v="3 días 07:23"/>
    <x v="0"/>
    <s v="SIN DATO"/>
    <s v="SIN DATO"/>
    <s v="SIN DATO"/>
    <s v="ABIERTO"/>
    <n v="-75.607200000000006"/>
    <n v="6.2783689999999996"/>
    <s v="SUR-ENE"/>
    <s v="Metropolitana Sur"/>
  </r>
  <r>
    <s v="23588016"/>
    <s v="ENERES"/>
    <s v="NUEVO"/>
    <s v="ENERES"/>
    <s v="12/11/2025 07:26:04"/>
    <s v="2025-11-20 14:19:11"/>
    <n v="43455795"/>
    <s v="FLOR DENIS GRACIANO ZAPATA"/>
    <s v="SIN DATOS"/>
    <s v="3148134876"/>
    <s v="CL 58 CR 18 CC -7 (INTERIOR 201 )"/>
    <x v="0"/>
    <s v="055118008330070201"/>
    <s v="Medellín"/>
    <x v="1"/>
    <s v="Revisor Instal. Regadas Metrosur"/>
    <x v="0"/>
    <n v="7"/>
    <s v="2025-12-01 14:19:11"/>
    <s v="0 días 14:19"/>
    <s v="6 días 14:19"/>
    <x v="0"/>
    <s v="SIN DATO"/>
    <s v="SIN DATO"/>
    <s v="SIN DATO"/>
    <s v="ABIERTO"/>
    <n v="-75.5417001"/>
    <n v="6.251519"/>
    <s v="SUR-ENE"/>
    <s v="Metropolitana Sur"/>
  </r>
  <r>
    <s v="23588038"/>
    <s v="ENERES"/>
    <s v="NUEVO"/>
    <s v="ENERES"/>
    <s v="12/11/2025 08:02:36"/>
    <s v="2025-11-12 08:02:36"/>
    <n v="7545401"/>
    <s v="EDGAR JAVIER ESPAÑA GOMEZ"/>
    <s v="2170970"/>
    <s v="3113876611"/>
    <s v="CR 36 CL 48 -36 (INTERIOR 201 )"/>
    <x v="0"/>
    <s v="054326008000360201"/>
    <s v="Medellín"/>
    <x v="1"/>
    <s v="Revisor Instal. Regadas Metrosur"/>
    <x v="0"/>
    <n v="7"/>
    <s v="2025-11-24 08:02:36"/>
    <s v="6 días 08:02"/>
    <s v="1 días 08:02"/>
    <x v="2"/>
    <s v="SIN DATO"/>
    <s v="SIN DATO"/>
    <s v="SIN DATO"/>
    <s v="ABIERTO"/>
    <n v="-75.557467299999999"/>
    <n v="6.2419914500000004"/>
    <s v="SUR-ENE"/>
    <s v="Metropolitana Sur"/>
  </r>
  <r>
    <s v="23588079"/>
    <s v="ENEMRT"/>
    <s v="NUEVO"/>
    <s v="ENEMVI"/>
    <s v="12/11/2025 08:33:36"/>
    <s v="2025-11-12 08:33:36"/>
    <n v="21892080"/>
    <s v="SILVIA HERNANDEZ"/>
    <s v="3222483"/>
    <s v="3163420710"/>
    <s v="RURAL_163001261600055000_CL 14 S- CR 58 -55"/>
    <x v="2"/>
    <s v="163001261600055000"/>
    <s v="Itaguí"/>
    <x v="6"/>
    <s v="METR Mov Red Trans Anderson Castaño"/>
    <x v="1"/>
    <n v="14"/>
    <s v="2025-12-03 08:33:36"/>
    <s v="6 días 08:33"/>
    <s v="8 días 08:33"/>
    <x v="0"/>
    <s v="SIN DATO"/>
    <s v="SIN DATO"/>
    <s v="SIN DATO"/>
    <s v="ABIERTO"/>
    <n v="-75.597498999999999"/>
    <n v="6.1952119999999997"/>
    <s v="SUR-ENE"/>
    <s v="Metropolitana Sur"/>
  </r>
  <r>
    <s v="23588203"/>
    <s v="ENERES"/>
    <s v="NUEVO"/>
    <s v="ENERES"/>
    <s v="12/11/2025 10:17:31"/>
    <s v="2025-11-12 10:17:31"/>
    <n v="71709243"/>
    <s v="OMAR DE JESUS PATIÑO ORTIZ"/>
    <s v="SIN DATOS"/>
    <s v="3117976907"/>
    <s v="RURAL_146024040000000001"/>
    <x v="0"/>
    <s v="146024040000000002"/>
    <s v="Medellín"/>
    <x v="1"/>
    <s v="Revisor Instal. Regadas Metrosur"/>
    <x v="1"/>
    <n v="10"/>
    <s v="2025-11-27 10:17:31"/>
    <s v="6 días 10:17"/>
    <s v="4 días 10:17"/>
    <x v="0"/>
    <s v="SIN DATO"/>
    <s v="SIN DATO"/>
    <s v="SIN DATO"/>
    <s v="ABIERTO"/>
    <n v="-75.688919999999996"/>
    <n v="6.3568733000000002"/>
    <s v="SUR-ENE"/>
    <s v="Metropolitana Sur"/>
  </r>
  <r>
    <s v="23588227"/>
    <s v="ENERES"/>
    <s v="NUEVO"/>
    <s v="ENERES"/>
    <s v="12/11/2025 10:29:19"/>
    <s v="2025-11-12 10:29:19"/>
    <n v="71583390"/>
    <s v="CARLOS ALBERTO DIAZ FLOREZ"/>
    <s v="2166071"/>
    <s v="3105355914"/>
    <s v="RURAL_125004484000000157_CR 3 CL 20C S-85 IN 157"/>
    <x v="1"/>
    <s v="125004484000000157"/>
    <s v="Envigado"/>
    <x v="1"/>
    <s v="Revisor Instal. Regadas Metrosur"/>
    <x v="1"/>
    <n v="10"/>
    <s v="2025-11-27 10:29:19"/>
    <s v="6 días 10:29"/>
    <s v="4 días 10:29"/>
    <x v="0"/>
    <s v="SIN DATO"/>
    <s v="SIN DATO"/>
    <s v="SIN DATO"/>
    <s v="ABIERTO"/>
    <n v="-75.505510400000006"/>
    <n v="6.1830987000000004"/>
    <s v="SUR-ENE"/>
    <s v="Metropolitana Sur"/>
  </r>
  <r>
    <s v="23588262"/>
    <s v="ENERES"/>
    <s v="NUEVO"/>
    <s v="ENEDOM"/>
    <s v="20/11/2025 10:59:54"/>
    <s v="2025-11-20 10:59:54"/>
    <n v="43254164"/>
    <s v="ALDERYS DEL SOCORRO VELEZ RUA"/>
    <s v="5368469"/>
    <s v="6045368469"/>
    <s v="CL 36 CR 33 B -78 (INTERIOR 201 )"/>
    <x v="0"/>
    <s v="053316003200780201"/>
    <s v="Medellín"/>
    <x v="5"/>
    <s v="Habilitación Viviendas Metrosur"/>
    <x v="0"/>
    <n v="5"/>
    <s v="2025-11-27 10:59:54"/>
    <s v="0 días 10:59"/>
    <s v="4 días 10:59"/>
    <x v="0"/>
    <s v="SIN DATO"/>
    <s v="SIN DATO"/>
    <s v="SIN DATO"/>
    <s v="ABIERTO"/>
    <n v="-75.560500000000005"/>
    <n v="6.2336989999999997"/>
    <s v="SUR-ENE"/>
    <s v="Metropolitana Sur"/>
  </r>
  <r>
    <s v="23588294"/>
    <s v="ENERES"/>
    <s v="NUEVO"/>
    <s v="ENERES"/>
    <s v="12/11/2025 11:14:51"/>
    <s v="2025-11-12 11:14:51"/>
    <n v="42822971"/>
    <s v="MONICA DEL SOCORRO URIBE"/>
    <s v="SIN DATOS"/>
    <s v="3113904079"/>
    <s v="RURAL_167094650000000203_PROV.RURAL_16709465000000"/>
    <x v="5"/>
    <s v="167094650000000203"/>
    <s v="Sabaneta"/>
    <x v="1"/>
    <s v="Revisor Instal. Regadas Metrosur"/>
    <x v="1"/>
    <n v="10"/>
    <s v="2025-11-27 11:14:51"/>
    <s v="6 días 11:14"/>
    <s v="4 días 11:14"/>
    <x v="0"/>
    <s v="SIN DATO"/>
    <s v="SIN DATO"/>
    <s v="SIN DATO"/>
    <s v="ABIERTO"/>
    <n v="-75.610469800000004"/>
    <n v="6.1423167999999997"/>
    <s v="SUR-ENE"/>
    <s v="Metropolitana Sur"/>
  </r>
  <r>
    <s v="23588305"/>
    <s v="ENERES"/>
    <s v="NUEVO"/>
    <s v="ENEDOM"/>
    <s v="12/11/2025 11:22:09"/>
    <s v="2025-11-20 14:24:43"/>
    <n v="44008118"/>
    <s v="MARTHA LUZ RAMIREZ GARCIA"/>
    <s v="SIN DATOS"/>
    <s v="3225989103"/>
    <s v="CR 2 CL 54 -263 (INTERIOR 15 )"/>
    <x v="0"/>
    <s v="055022004002630015"/>
    <s v="Medellín"/>
    <x v="0"/>
    <s v="Habilitación Viviendas Metrosur"/>
    <x v="0"/>
    <n v="5"/>
    <s v="2025-11-27 14:24:43"/>
    <s v="0 días 14:24"/>
    <s v="4 días 14:24"/>
    <x v="0"/>
    <s v="SIN DATO"/>
    <s v="SIN DATO"/>
    <s v="SIN DATO"/>
    <s v="ABIERTO"/>
    <n v="-75.529520000000005"/>
    <n v="6.2338480000000001"/>
    <s v="SUR-ENE"/>
    <s v="Metropolitana Sur"/>
  </r>
  <r>
    <s v="23588501"/>
    <s v="ENERES"/>
    <s v="NUEVO"/>
    <s v="ENERES"/>
    <s v="12/11/2025 14:11:14"/>
    <s v="2025-11-12 14:11:14"/>
    <n v="43556816"/>
    <s v="GLORIA PATRICIA BRAN CANO"/>
    <s v="SIN DATOS"/>
    <s v="3017179667"/>
    <s v="RURAL_147047727300000000_147047727300000000_VDA EL"/>
    <x v="0"/>
    <s v="147047727300000000"/>
    <s v="Medellín"/>
    <x v="1"/>
    <s v="Revisor Instal. Regadas Metrosur"/>
    <x v="1"/>
    <n v="10"/>
    <s v="2025-11-27 14:11:14"/>
    <s v="6 días 14:11"/>
    <s v="4 días 14:11"/>
    <x v="0"/>
    <s v="SIN DATO"/>
    <s v="SIN DATO"/>
    <s v="SIN DATO"/>
    <s v="ABIERTO"/>
    <n v="-75.643407999999994"/>
    <n v="6.297218"/>
    <s v="SUR-ENE"/>
    <s v="Metropolitana Sur"/>
  </r>
  <r>
    <s v="23588551"/>
    <s v="ENERES"/>
    <s v="NUEVO"/>
    <s v="ENEDOM"/>
    <s v="20/11/2025 08:52:31"/>
    <s v="2025-11-20 08:52:31"/>
    <n v="35852441"/>
    <s v="JESSICA MORENO MARTINEZ"/>
    <s v="SIN DATOS"/>
    <s v="3022050303"/>
    <s v="CL 54 CR 7 B -13 (INTERIOR 101 )"/>
    <x v="0"/>
    <s v="055014007200130101"/>
    <s v="Medellín"/>
    <x v="5"/>
    <s v="Habilitación Viviendas Metrosur"/>
    <x v="0"/>
    <n v="5"/>
    <s v="2025-11-27 08:52:31"/>
    <s v="0 días 08:52"/>
    <s v="4 días 08:52"/>
    <x v="0"/>
    <s v="SIN DATO"/>
    <s v="SIN DATO"/>
    <s v="SIN DATO"/>
    <s v="ABIERTO"/>
    <n v="-75.533940680000001"/>
    <n v="6.2331843899999999"/>
    <s v="SUR-ENE"/>
    <s v="Metropolitana Sur"/>
  </r>
  <r>
    <s v="23588583"/>
    <s v="ENERES"/>
    <s v="NUEVO"/>
    <s v="ENEDOM"/>
    <s v="20/11/2025 06:35:44"/>
    <s v="2025-11-20 06:35:44"/>
    <n v="1000894749"/>
    <s v="MARITZA ACEVEDO URIBE"/>
    <s v="SIN DATOS"/>
    <s v="3006247180"/>
    <s v="CR 143 CL 68 -162 (INTERIOR 201 )"/>
    <x v="0"/>
    <s v="086423008001620201"/>
    <s v="Medellín"/>
    <x v="5"/>
    <s v="Habilitación Viviendas Metrosur"/>
    <x v="0"/>
    <n v="5"/>
    <s v="2025-11-27 06:35:44"/>
    <s v="0 días 06:35"/>
    <s v="4 días 06:35"/>
    <x v="0"/>
    <s v="SIN DATO"/>
    <s v="SIN DATO"/>
    <s v="SIN DATO"/>
    <s v="ABIERTO"/>
    <n v="-75.642039440000005"/>
    <n v="6.28717565"/>
    <s v="SUR-ENE"/>
    <s v="Metropolitana Sur"/>
  </r>
  <r>
    <s v="23588761"/>
    <s v="ENERES"/>
    <s v="NUEVO"/>
    <s v="ENEDOM"/>
    <s v="12/11/2025 16:24:14"/>
    <s v="2025-11-12 16:24:14"/>
    <n v="1040757377"/>
    <s v="ANGIE PAOLA CUARTAS GALLEGO"/>
    <s v="SIN DATOS"/>
    <s v="3182304012"/>
    <s v="RURAL_159001664000000001_SAN JOSE"/>
    <x v="4"/>
    <s v="159001664000000001"/>
    <s v="La Estrella"/>
    <x v="0"/>
    <s v="MET Rev-Inst-Concentra E_CR014"/>
    <x v="1"/>
    <n v="8"/>
    <s v="2025-11-25 16:24:14"/>
    <s v="6 días 16:24"/>
    <s v="2 días 16:24"/>
    <x v="2"/>
    <s v="SIN DATO"/>
    <s v="SIN DATO"/>
    <s v="SIN DATO"/>
    <s v="ABIERTO"/>
    <n v="-75.661205170000002"/>
    <n v="6.1687347199999998"/>
    <s v="SUR-ENE"/>
    <s v="Metropolitana Sur"/>
  </r>
  <r>
    <s v="23588809"/>
    <s v="ENERES"/>
    <s v="NUEVO"/>
    <s v="ENEDOM"/>
    <s v="12/11/2025 16:48:56"/>
    <s v="2025-11-12 16:48:56"/>
    <n v="1128420997"/>
    <s v="ALEXANDER SIERRA VARGAS"/>
    <s v="SIN DATOS"/>
    <s v="3014298465"/>
    <s v="CL 81 SUR CR 69 -101"/>
    <x v="4"/>
    <s v="038611009001010000"/>
    <s v="La Estrella"/>
    <x v="0"/>
    <s v="MET Rev-Inst-Concentra E_CR014"/>
    <x v="0"/>
    <n v="5"/>
    <s v="2025-11-20 16:48:56"/>
    <s v="6 días 16:48"/>
    <s v="VENCIDO"/>
    <x v="1"/>
    <s v="SIN DATO"/>
    <s v="SIN DATO"/>
    <s v="SIN DATO"/>
    <s v="ABIERTO"/>
    <n v="-75.649831634999899"/>
    <n v="6.1379125160000303"/>
    <s v="SUR-ENE"/>
    <s v="Metropolitana Sur"/>
  </r>
  <r>
    <s v="23589122"/>
    <s v="ENERES"/>
    <s v="NUEVO"/>
    <s v="ENERES"/>
    <s v="13/11/2025 08:06:09"/>
    <s v="2025-11-13 08:06:09"/>
    <n v="43068052"/>
    <s v="GLORIA AMPARO SANCHEZ MARIN"/>
    <s v="SIN DATOS"/>
    <s v="3175616657"/>
    <s v="CL 66 CR 140 -82 (INTERIOR 1145 )"/>
    <x v="0"/>
    <s v="086416000000821145"/>
    <s v="Medellín"/>
    <x v="1"/>
    <s v="Revisor Instal. Regadas Metrosur"/>
    <x v="0"/>
    <n v="7"/>
    <s v="2025-11-25 08:06:09"/>
    <s v="5 días 08:06"/>
    <s v="2 días 08:06"/>
    <x v="2"/>
    <s v="SIN DATO"/>
    <s v="SIN DATO"/>
    <s v="SIN DATO"/>
    <s v="ABIERTO"/>
    <n v="-75.641147000000004"/>
    <n v="6.2826829999999996"/>
    <s v="SUR-ENE"/>
    <s v="Metropolitana Sur"/>
  </r>
  <r>
    <s v="23589128"/>
    <s v="ENERES"/>
    <s v="NUEVO"/>
    <s v="ENERES"/>
    <s v="13/11/2025 08:09:15"/>
    <s v="2025-11-13 08:09:15"/>
    <n v="98510594"/>
    <s v="ELKIN DARIO VASCO"/>
    <s v="SIN DATOS"/>
    <s v="3147700798"/>
    <s v="CL 65 A CR 144 -56 (INTERIOR 1147 )"/>
    <x v="0"/>
    <s v="086415104000561147"/>
    <s v="Medellín"/>
    <x v="1"/>
    <s v="Revisor Instal. Regadas Metrosur"/>
    <x v="0"/>
    <n v="7"/>
    <s v="2025-11-25 08:09:15"/>
    <s v="5 días 08:09"/>
    <s v="2 días 08:09"/>
    <x v="2"/>
    <s v="SIN DATO"/>
    <s v="SIN DATO"/>
    <s v="SIN DATO"/>
    <s v="ABIERTO"/>
    <n v="-75.643765999999999"/>
    <n v="6.2822719999999999"/>
    <s v="SUR-ENE"/>
    <s v="Metropolitana Sur"/>
  </r>
  <r>
    <s v="23589232"/>
    <s v="ENERES"/>
    <s v="NUEVO"/>
    <s v="ENERES"/>
    <s v="13/11/2025 09:30:21"/>
    <s v="2025-11-13 09:30:21"/>
    <n v="43192318"/>
    <s v="DEISY PATRICIA BERRIO SALDARRIAGA"/>
    <s v="3373451"/>
    <s v="3117458672"/>
    <s v="CL 55 SUR CR 63 -28 (INTERIOR 401 )"/>
    <x v="0"/>
    <s v="045615003000280401"/>
    <s v="Medellín"/>
    <x v="1"/>
    <s v="METROSUR Vin. Leg. Ref. Concentrada"/>
    <x v="0"/>
    <n v="7"/>
    <s v="2025-11-25 09:30:21"/>
    <s v="5 días 09:30"/>
    <s v="2 días 09:30"/>
    <x v="2"/>
    <s v="SIN DATO"/>
    <s v="SIN DATO"/>
    <s v="SIN DATO"/>
    <s v="ABIERTO"/>
    <n v="-75.645179310000003"/>
    <n v="6.1744274299999997"/>
    <s v="SUR-ENE"/>
    <s v="Metropolitana Sur"/>
  </r>
  <r>
    <s v="23589234"/>
    <s v="ENERES"/>
    <s v="NUEVO"/>
    <s v="ENERES"/>
    <s v="13/11/2025 09:31:09"/>
    <s v="2025-11-13 09:31:09"/>
    <n v="1106712429"/>
    <s v="ELIZABETH BERRIO SALDARRIAGA"/>
    <s v="SIN DATOS"/>
    <s v="3137057976"/>
    <s v="CL 55 SUR CR 63 -28 (INTERIOR 301 )"/>
    <x v="0"/>
    <s v="045615003000280301"/>
    <s v="Medellín"/>
    <x v="1"/>
    <s v="METROSUR Vin. Leg. Ref. Concentrada"/>
    <x v="0"/>
    <n v="7"/>
    <s v="2025-11-25 09:31:09"/>
    <s v="5 días 09:31"/>
    <s v="2 días 09:31"/>
    <x v="2"/>
    <s v="SIN DATO"/>
    <s v="SIN DATO"/>
    <s v="SIN DATO"/>
    <s v="ABIERTO"/>
    <n v="-75.645179310000003"/>
    <n v="6.1744274299999997"/>
    <s v="SUR-ENE"/>
    <s v="Metropolitana Sur"/>
  </r>
  <r>
    <s v="23589250"/>
    <s v="ENEMRT"/>
    <s v="NUEVO"/>
    <s v="ENEMVI"/>
    <s v="13/11/2025 09:44:13"/>
    <s v="2025-11-13 09:44:13"/>
    <n v="98761048"/>
    <s v="WALTER FERNANDO GARCIA QUIÑONES"/>
    <s v="SIN DATOS"/>
    <s v="3206858786"/>
    <s v="RURAL_136027800000000000_CL 58 CR 103F-128"/>
    <x v="0"/>
    <s v="136027800000000000"/>
    <s v="Medellín"/>
    <x v="6"/>
    <s v="METR Mov Red Trans Anderson Castaño"/>
    <x v="1"/>
    <n v="14"/>
    <s v="2025-12-04 09:44:13"/>
    <s v="5 días 09:44"/>
    <s v="9 días 09:44"/>
    <x v="0"/>
    <s v="SIN DATO"/>
    <s v="SIN DATO"/>
    <s v="SIN DATO"/>
    <s v="ABIERTO"/>
    <n v="-75.611429999999999"/>
    <n v="6.2747909999999996"/>
    <s v="SUR-ENE"/>
    <s v="Metropolitana Sur"/>
  </r>
  <r>
    <s v="23589285"/>
    <s v="ENERES"/>
    <s v="NUEVO"/>
    <s v="ENERES"/>
    <s v="13/11/2025 10:24:05"/>
    <s v="2025-11-13 10:24:05"/>
    <n v="32144209"/>
    <s v="MARYELIS DIAZ BERRIO"/>
    <s v="SIN DATOS"/>
    <s v="3207233431"/>
    <s v="CR 15 C CL 36 -43 (INTERIOR 201 )"/>
    <x v="0"/>
    <s v="053125306000430201"/>
    <s v="Medellín"/>
    <x v="1"/>
    <s v="Revisor Instal. Regadas Metrosur"/>
    <x v="0"/>
    <n v="7"/>
    <s v="2025-11-25 10:24:05"/>
    <s v="5 días 10:24"/>
    <s v="2 días 10:24"/>
    <x v="2"/>
    <s v="SIN DATO"/>
    <s v="SIN DATO"/>
    <s v="SIN DATO"/>
    <s v="ABIERTO"/>
    <n v="-75.545738360000001"/>
    <n v="6.2295213299999999"/>
    <s v="SUR-ENE"/>
    <s v="Metropolitana Sur"/>
  </r>
  <r>
    <s v="23589293"/>
    <s v="ENEMRT"/>
    <s v="NUEVO"/>
    <s v="ENEMVI"/>
    <s v="13/11/2025 10:31:38"/>
    <s v="2025-11-13 10:31:38"/>
    <n v="8125598"/>
    <s v="JORGE ARMANDO MUÑOZ JIMENEZ"/>
    <s v="SIN DATOS"/>
    <s v="3108256726"/>
    <s v="CL 56 B CR 20 C -37"/>
    <x v="0"/>
    <s v="055216200300370000"/>
    <s v="Medellín"/>
    <x v="6"/>
    <s v="Mov Red Trans Dairo Gil"/>
    <x v="0"/>
    <n v="9"/>
    <s v="2025-11-27 10:31:38"/>
    <s v="5 días 10:31"/>
    <s v="4 días 10:31"/>
    <x v="0"/>
    <s v="SIN DATO"/>
    <s v="SIN DATO"/>
    <s v="SIN DATO"/>
    <s v="ABIERTO"/>
    <n v="-75.542624230000001"/>
    <n v="6.2416582900000002"/>
    <s v="SUR-ENE"/>
    <s v="Metropolitana Sur"/>
  </r>
  <r>
    <s v="23589320"/>
    <s v="ENEPRE"/>
    <s v="REUBI"/>
    <s v="ENEPRE"/>
    <s v="13/11/2025 11:07:15"/>
    <s v="2025-11-13 11:07:15"/>
    <n v="43637027"/>
    <s v="AIXA JANETH HERNANDEZ JARAMILLO"/>
    <s v="SIN DATOS"/>
    <s v="3247376880"/>
    <s v="CL 39 AC CR 115 B -59 (INTERIOR 203 )"/>
    <x v="0"/>
    <s v="083119135200590203"/>
    <s v="Medellín"/>
    <x v="9"/>
    <s v="Energía Prepago Metrosur"/>
    <x v="0"/>
    <n v="11"/>
    <s v="2025-12-01 11:07:15"/>
    <s v="5 días 11:07"/>
    <s v="6 días 11:07"/>
    <x v="0"/>
    <s v="SIN DATO"/>
    <s v="SIN DATO"/>
    <s v="SIN DATO"/>
    <s v="ABIERTO"/>
    <n v="-75.627711000000005"/>
    <n v="6.2507330000000003"/>
    <s v="SUR-ENE"/>
    <s v="Metropolitana Sur"/>
  </r>
  <r>
    <s v="23589326"/>
    <s v="ENEPRE"/>
    <s v="REUBI"/>
    <s v="ENEPRE"/>
    <s v="13/11/2025 11:15:10"/>
    <s v="2025-11-13 11:15:10"/>
    <n v="43637027"/>
    <s v="AIXA JANETH HERNANDEZ JARAMILLO"/>
    <s v="SIN DATOS"/>
    <s v="3247376880"/>
    <s v="CL 39 AC CR 115 B -59 (INTERIOR 103 )"/>
    <x v="0"/>
    <s v="083119135200590103"/>
    <s v="Medellín"/>
    <x v="9"/>
    <s v="Energía Prepago Metrosur"/>
    <x v="0"/>
    <n v="11"/>
    <s v="2025-12-01 11:15:10"/>
    <s v="5 días 11:15"/>
    <s v="6 días 11:15"/>
    <x v="0"/>
    <s v="SIN DATO"/>
    <s v="SIN DATO"/>
    <s v="SIN DATO"/>
    <s v="ABIERTO"/>
    <n v="-75.627932999999999"/>
    <n v="6.2511780000000003"/>
    <s v="SUR-ENE"/>
    <s v="Metropolitana Sur"/>
  </r>
  <r>
    <s v="23589370"/>
    <s v="ENENOR"/>
    <s v="CAMBI"/>
    <s v="ENENOR"/>
    <s v="13/11/2025 12:04:28"/>
    <s v="2025-11-13 12:04:28"/>
    <n v="901859716"/>
    <s v="INVERSIONES GOST SAS"/>
    <s v="SIN DATOS"/>
    <s v="3147328088"/>
    <s v="RURAL_125004425000001102_125004425000001102"/>
    <x v="1"/>
    <s v="125004425000001102"/>
    <s v="Envigado"/>
    <x v="7"/>
    <s v="METROSUR Vin. Leg. Ref. Concentrada"/>
    <x v="1"/>
    <n v="10"/>
    <s v="2025-11-28 12:04:28"/>
    <s v="5 días 12:04"/>
    <s v="5 días 12:04"/>
    <x v="0"/>
    <s v="SIN DATO"/>
    <s v="SIN DATO"/>
    <s v="SIN DATO"/>
    <s v="ABIERTO"/>
    <n v="-75.533590009999998"/>
    <n v="6.156758"/>
    <s v="SUR-ENE"/>
    <s v="Metropolitana Sur"/>
  </r>
  <r>
    <s v="23589374"/>
    <s v="ENERES"/>
    <s v="NUEVO"/>
    <s v="ENERES"/>
    <s v="13/11/2025 12:08:59"/>
    <s v="2025-11-13 12:08:59"/>
    <n v="43077358"/>
    <s v="OLGA LOPEZ GALLO"/>
    <s v="SIN DATOS"/>
    <s v="3116081264"/>
    <s v="CL 34 AA CR 125 -53 (INTERIOR 101 )"/>
    <x v="0"/>
    <s v="083214115000530101"/>
    <s v="Medellín"/>
    <x v="1"/>
    <s v="Revisor Instal. Regadas Metrosur"/>
    <x v="0"/>
    <n v="7"/>
    <s v="2025-11-25 12:08:59"/>
    <s v="5 días 12:08"/>
    <s v="2 días 12:08"/>
    <x v="2"/>
    <s v="SIN DATO"/>
    <s v="SIN DATO"/>
    <s v="SIN DATO"/>
    <s v="ABIERTO"/>
    <n v="-75.632174359999993"/>
    <n v="6.2470283200000001"/>
    <s v="SUR-ENE"/>
    <s v="Metropolitana Sur"/>
  </r>
  <r>
    <s v="23589386"/>
    <s v="ENERES"/>
    <s v="CAMBI"/>
    <s v="ENERES"/>
    <s v="13/11/2025 12:33:39"/>
    <s v="2025-11-13 12:33:39"/>
    <n v="1128406064"/>
    <s v="MARISELA MOLINA CARRASQUILLA"/>
    <s v="2659282"/>
    <s v="3167437142"/>
    <s v="CL 29 CR 80 -20"/>
    <x v="0"/>
    <s v="052819000000200000"/>
    <s v="Medellín"/>
    <x v="4"/>
    <s v="METROSUR Vin. Leg. Ref. Concentrada"/>
    <x v="0"/>
    <n v="7"/>
    <s v="2025-11-25 12:33:39"/>
    <s v="5 días 12:33"/>
    <s v="2 días 12:33"/>
    <x v="2"/>
    <s v="SIN DATO"/>
    <s v="SIN DATO"/>
    <s v="SIN DATO"/>
    <s v="ABIERTO"/>
    <n v="-75.600742179999997"/>
    <n v="6.2306050800000001"/>
    <s v="SUR-ENE"/>
    <s v="Metropolitana Sur"/>
  </r>
  <r>
    <s v="23589404"/>
    <s v="ENEPRE"/>
    <s v="RETIR"/>
    <s v="ENEPRE"/>
    <s v="13/11/2025 13:29:14"/>
    <s v="2025-11-13 13:29:14"/>
    <n v="21618078"/>
    <s v="MARIA NOELIA NOREÑA GRAJALES"/>
    <s v="2146970"/>
    <s v="3128794411"/>
    <s v="CR 13 CL 55 -113 (INTERIOR 101 )"/>
    <x v="0"/>
    <s v="055123005001130101-ENEPRE"/>
    <s v="Medellín"/>
    <x v="11"/>
    <s v="Energía Prepago Metrosur"/>
    <x v="0"/>
    <n v="11"/>
    <s v="2025-12-01 13:29:14"/>
    <s v="5 días 13:29"/>
    <s v="6 días 13:29"/>
    <x v="0"/>
    <s v="SIN DATO"/>
    <s v="SIN DATO"/>
    <s v="SIN DATO"/>
    <s v="ABIERTO"/>
    <n v="-75.536460860000005"/>
    <n v="6.2383010900000002"/>
    <s v="SUR-ENE"/>
    <s v="Metropolitana Sur"/>
  </r>
  <r>
    <s v="23589417"/>
    <s v="ENENOR"/>
    <s v="NUEVO"/>
    <s v="ENENOR"/>
    <s v="13/11/2025 13:45:51"/>
    <s v="2025-11-13 13:45:51"/>
    <n v="1036629063"/>
    <s v="CLAUDIO ALONSO SEGURO VARGAS"/>
    <s v="SIN DATOS"/>
    <s v="3154493637"/>
    <s v="RURAL_159161388000000005"/>
    <x v="4"/>
    <s v="159161388000000005"/>
    <s v="La Estrella"/>
    <x v="2"/>
    <s v="Revisor Instal. Regadas Metrosur"/>
    <x v="1"/>
    <n v="10"/>
    <s v="2025-11-28 13:45:51"/>
    <s v="5 días 13:45"/>
    <s v="5 días 13:45"/>
    <x v="0"/>
    <s v="SIN DATO"/>
    <s v="SIN DATO"/>
    <s v="SIN DATO"/>
    <s v="ABIERTO"/>
    <n v="-75.641896869999997"/>
    <n v="6.1127570000000002"/>
    <s v="SUR-ENE"/>
    <s v="Metropolitana Sur"/>
  </r>
  <r>
    <s v="23589421"/>
    <s v="ENERES"/>
    <s v="NUEVO"/>
    <s v="ENERES"/>
    <s v="13/11/2025 13:48:06"/>
    <s v="2025-11-13 13:48:06"/>
    <n v="8101194"/>
    <s v="JORGE ARMANDO GAVIRIA OSORIO"/>
    <s v="SIN DATOS"/>
    <s v="3004827456"/>
    <s v="CR 66 B CL 32 C -37 (INTERIOR 202 )"/>
    <x v="0"/>
    <s v="053626202300370202"/>
    <s v="Medellín"/>
    <x v="1"/>
    <s v="METROSUR Vin. Leg. Ref. Concentrada"/>
    <x v="0"/>
    <n v="7"/>
    <s v="2025-11-25 13:48:06"/>
    <s v="5 días 13:48"/>
    <s v="2 días 13:48"/>
    <x v="2"/>
    <s v="SIN DATO"/>
    <s v="SIN DATO"/>
    <s v="SIN DATO"/>
    <s v="ABIERTO"/>
    <n v="-75.58746687"/>
    <n v="6.2373170699999996"/>
    <s v="SUR-ENE"/>
    <s v="Metropolitana Sur"/>
  </r>
  <r>
    <s v="23589423"/>
    <s v="ENENOR"/>
    <s v="NUEVO"/>
    <s v="ENENOR"/>
    <s v="13/11/2025 13:48:23"/>
    <s v="2025-11-13 13:48:23"/>
    <n v="8101194"/>
    <s v="JORGE ARMANDO GAVIRIA OSORIO"/>
    <s v="SIN DATOS"/>
    <s v="3004827456"/>
    <s v="CR 66 B CL 32 C -33 (LC 1 )"/>
    <x v="0"/>
    <s v="053626202300330001"/>
    <s v="Medellín"/>
    <x v="2"/>
    <s v="METROSUR Vin. Leg. Ref. Concentrada"/>
    <x v="0"/>
    <n v="7"/>
    <s v="2025-11-25 13:48:23"/>
    <s v="5 días 13:48"/>
    <s v="2 días 13:48"/>
    <x v="2"/>
    <s v="SIN DATO"/>
    <s v="SIN DATO"/>
    <s v="SIN DATO"/>
    <s v="ABIERTO"/>
    <n v="-75.587550230000005"/>
    <n v="6.23741317"/>
    <s v="SUR-ENE"/>
    <s v="Metropolitana Sur"/>
  </r>
  <r>
    <s v="23589425"/>
    <s v="ENERES"/>
    <s v="NUEVO"/>
    <s v="ENERES"/>
    <s v="13/11/2025 13:48:56"/>
    <s v="2025-11-13 13:48:56"/>
    <n v="8101194"/>
    <s v="JORGE ARMANDO GAVIRIA OSORIO"/>
    <s v="SIN DATOS"/>
    <s v="3004827456"/>
    <s v="CR 66 B CL 32 C -37 (INTERIOR 301 )"/>
    <x v="0"/>
    <s v="053626202300370301"/>
    <s v="Medellín"/>
    <x v="1"/>
    <s v="METROSUR Vin. Leg. Ref. Concentrada"/>
    <x v="0"/>
    <n v="7"/>
    <s v="2025-11-25 13:48:56"/>
    <s v="5 días 13:48"/>
    <s v="2 días 13:48"/>
    <x v="2"/>
    <s v="SIN DATO"/>
    <s v="SIN DATO"/>
    <s v="SIN DATO"/>
    <s v="ABIERTO"/>
    <n v="-75.58746687"/>
    <n v="6.2373170699999996"/>
    <s v="SUR-ENE"/>
    <s v="Metropolitana Sur"/>
  </r>
  <r>
    <s v="23589428"/>
    <s v="ENERES"/>
    <s v="NUEVO"/>
    <s v="ENERES"/>
    <s v="13/11/2025 13:49:26"/>
    <s v="2025-11-13 13:49:26"/>
    <n v="8101194"/>
    <s v="JORGE ARMANDO GAVIRIA OSORIO"/>
    <s v="SIN DATOS"/>
    <s v="3004827456"/>
    <s v="CR 66 B CL 32 C -37 (INTERIOR 302 )"/>
    <x v="0"/>
    <s v="053626202300370302"/>
    <s v="Medellín"/>
    <x v="1"/>
    <s v="METROSUR Vin. Leg. Ref. Concentrada"/>
    <x v="0"/>
    <n v="7"/>
    <s v="2025-11-25 13:49:26"/>
    <s v="5 días 13:49"/>
    <s v="2 días 13:49"/>
    <x v="2"/>
    <s v="SIN DATO"/>
    <s v="SIN DATO"/>
    <s v="SIN DATO"/>
    <s v="ABIERTO"/>
    <n v="-75.58746687"/>
    <n v="6.2373170699999996"/>
    <s v="SUR-ENE"/>
    <s v="Metropolitana Sur"/>
  </r>
  <r>
    <s v="23589445"/>
    <s v="ENERES"/>
    <s v="NUEVO"/>
    <s v="ENERES"/>
    <s v="13/11/2025 14:04:01"/>
    <s v="2025-11-13 14:04:01"/>
    <n v="8101194"/>
    <s v="JORGE ARMANDO GAVIRIA OSORIO"/>
    <s v="SIN DATOS"/>
    <s v="3004827456"/>
    <s v="CR 66 B CL 32 C -37 (INTERIOR 402 )"/>
    <x v="0"/>
    <s v="053626202300370402"/>
    <s v="Medellín"/>
    <x v="1"/>
    <s v="METROSUR Vin. Leg. Ref. Concentrada"/>
    <x v="0"/>
    <n v="7"/>
    <s v="2025-11-25 14:04:01"/>
    <s v="5 días 14:04"/>
    <s v="2 días 14:04"/>
    <x v="2"/>
    <s v="SIN DATO"/>
    <s v="SIN DATO"/>
    <s v="SIN DATO"/>
    <s v="ABIERTO"/>
    <n v="-75.58746687"/>
    <n v="6.2373170699999996"/>
    <s v="SUR-ENE"/>
    <s v="Metropolitana Sur"/>
  </r>
  <r>
    <s v="23589446"/>
    <s v="ENERES"/>
    <s v="NUEVO"/>
    <s v="ENERES"/>
    <s v="13/11/2025 14:04:04"/>
    <s v="2025-11-13 14:04:04"/>
    <n v="8101194"/>
    <s v="JORGE ARMANDO GAVIRIA OSORIO"/>
    <s v="SIN DATOS"/>
    <s v="3004827456"/>
    <s v="CR 66 B CL 32 C -37 (INTERIOR 502 )"/>
    <x v="0"/>
    <s v="053626202300370502"/>
    <s v="Medellín"/>
    <x v="1"/>
    <s v="METROSUR Vin. Leg. Ref. Concentrada"/>
    <x v="0"/>
    <n v="7"/>
    <s v="2025-11-25 14:04:04"/>
    <s v="5 días 14:04"/>
    <s v="2 días 14:04"/>
    <x v="2"/>
    <s v="SIN DATO"/>
    <s v="SIN DATO"/>
    <s v="SIN DATO"/>
    <s v="ABIERTO"/>
    <n v="-75.58746687"/>
    <n v="6.2373170699999996"/>
    <s v="SUR-ENE"/>
    <s v="Metropolitana Sur"/>
  </r>
  <r>
    <s v="23589447"/>
    <s v="ENERES"/>
    <s v="NUEVO"/>
    <s v="ENERES"/>
    <s v="13/11/2025 14:04:23"/>
    <s v="2025-11-13 14:04:23"/>
    <n v="8101194"/>
    <s v="JORGE ARMANDO GAVIRIA OSORIO"/>
    <s v="SIN DATOS"/>
    <s v="3004827456"/>
    <s v="CR 66 B CL 32 C -37 (INTERIOR 401 )"/>
    <x v="0"/>
    <s v="053626202300370401"/>
    <s v="Medellín"/>
    <x v="1"/>
    <s v="METROSUR Vin. Leg. Ref. Concentrada"/>
    <x v="0"/>
    <n v="7"/>
    <s v="2025-11-25 14:04:23"/>
    <s v="5 días 14:04"/>
    <s v="2 días 14:04"/>
    <x v="2"/>
    <s v="SIN DATO"/>
    <s v="SIN DATO"/>
    <s v="SIN DATO"/>
    <s v="ABIERTO"/>
    <n v="-75.58746687"/>
    <n v="6.2373170699999996"/>
    <s v="SUR-ENE"/>
    <s v="Metropolitana Sur"/>
  </r>
  <r>
    <s v="23589448"/>
    <s v="ENERES"/>
    <s v="NUEVO"/>
    <s v="ENERES"/>
    <s v="13/11/2025 14:05:04"/>
    <s v="2025-11-13 14:05:04"/>
    <n v="8101194"/>
    <s v="JORGE ARMANDO GAVIRIA OSORIO"/>
    <s v="SIN DATOS"/>
    <s v="3004827456"/>
    <s v="CR 66 B CL 32 C -37 (INTERIOR 201 )"/>
    <x v="0"/>
    <s v="053626202300370201"/>
    <s v="Medellín"/>
    <x v="1"/>
    <s v="METROSUR Vin. Leg. Ref. Concentrada"/>
    <x v="0"/>
    <n v="7"/>
    <s v="2025-11-25 14:05:04"/>
    <s v="5 días 14:05"/>
    <s v="2 días 14:05"/>
    <x v="2"/>
    <s v="SIN DATO"/>
    <s v="SIN DATO"/>
    <s v="SIN DATO"/>
    <s v="ABIERTO"/>
    <n v="-75.58746687"/>
    <n v="6.2373170699999996"/>
    <s v="SUR-ENE"/>
    <s v="Metropolitana Sur"/>
  </r>
  <r>
    <s v="23589455"/>
    <s v="ENERES"/>
    <s v="NUEVO"/>
    <s v="ENERES"/>
    <s v="13/11/2025 14:09:54"/>
    <s v="2025-11-13 14:09:54"/>
    <n v="8101194"/>
    <s v="JORGE ARMANDO GAVIRIA OSORIO"/>
    <s v="SIN DATOS"/>
    <s v="3004827456"/>
    <s v="CR 66 B CL 32 C -37 (INTERIOR 501 )"/>
    <x v="0"/>
    <s v="053626202300370501"/>
    <s v="Medellín"/>
    <x v="1"/>
    <s v="METROSUR Vin. Leg. Ref. Concentrada"/>
    <x v="0"/>
    <n v="7"/>
    <s v="2025-11-25 14:09:54"/>
    <s v="5 días 14:09"/>
    <s v="2 días 14:09"/>
    <x v="2"/>
    <s v="SIN DATO"/>
    <s v="SIN DATO"/>
    <s v="SIN DATO"/>
    <s v="ABIERTO"/>
    <n v="-75.58746687"/>
    <n v="6.2373170699999996"/>
    <s v="SUR-ENE"/>
    <s v="Metropolitana Sur"/>
  </r>
  <r>
    <s v="23589457"/>
    <s v="ENERES"/>
    <s v="NUEVO"/>
    <s v="ENERES"/>
    <s v="13/11/2025 14:12:28"/>
    <s v="2025-11-13 14:12:28"/>
    <n v="43999679"/>
    <s v="DEICY NATALIA LOAIZA CORREA"/>
    <s v="4175658"/>
    <s v="3147334426"/>
    <s v="CL 35 D CR 108 B -57 (INTERIOR 301 )"/>
    <x v="0"/>
    <s v="083015408200570301"/>
    <s v="Medellín"/>
    <x v="1"/>
    <s v="Revisor Instal. Regadas Metrosur"/>
    <x v="0"/>
    <n v="7"/>
    <s v="2025-11-25 14:12:28"/>
    <s v="5 días 14:12"/>
    <s v="2 días 14:12"/>
    <x v="2"/>
    <s v="SIN DATO"/>
    <s v="SIN DATO"/>
    <s v="SIN DATO"/>
    <s v="ABIERTO"/>
    <n v="-75.620886080000005"/>
    <n v="6.2482865600000004"/>
    <s v="SUR-ENE"/>
    <s v="Metropolitana Sur"/>
  </r>
  <r>
    <s v="23589470"/>
    <s v="ENEPRE"/>
    <s v="NUEVO"/>
    <s v="ENEPRE"/>
    <s v="13/11/2025 14:32:33"/>
    <s v="2025-11-13 14:32:33"/>
    <n v="30648027"/>
    <s v="TARCILA ROSA VARGAS MARTINEZ"/>
    <s v="SIN DATOS"/>
    <s v="3127850457"/>
    <s v="CR 90 C CL 15 A -3 (INTERIOR 201 )"/>
    <x v="0"/>
    <s v="051920305100030201"/>
    <s v="Medellín"/>
    <x v="3"/>
    <s v="Energía Prepago Metrosur"/>
    <x v="0"/>
    <n v="11"/>
    <s v="2025-12-01 14:32:33"/>
    <s v="5 días 14:32"/>
    <s v="6 días 14:32"/>
    <x v="0"/>
    <s v="SIN DATO"/>
    <s v="SIN DATO"/>
    <s v="SIN DATO"/>
    <s v="ABIERTO"/>
    <n v="-75.614697000000007"/>
    <n v="6.2216310000000004"/>
    <s v="SUR-ENE"/>
    <s v="Metropolitana Sur"/>
  </r>
  <r>
    <s v="23589504"/>
    <s v="ENERES"/>
    <s v="NUEVO"/>
    <s v="ENERES"/>
    <s v="13/11/2025 15:04:40"/>
    <s v="2025-11-13 15:04:40"/>
    <n v="8101194"/>
    <s v="JORGE ARMANDO GAVIRIA OSORIO"/>
    <s v="SIN DATOS"/>
    <s v="3004827456"/>
    <s v="CR 66 B CL 32 C -37 (INTERIOR 601 )"/>
    <x v="0"/>
    <s v="053626202300370601"/>
    <s v="Medellín"/>
    <x v="1"/>
    <s v="METROSUR Vin. Leg. Ref. Concentrada"/>
    <x v="0"/>
    <n v="7"/>
    <s v="2025-11-25 15:04:40"/>
    <s v="5 días 15:04"/>
    <s v="2 días 15:04"/>
    <x v="2"/>
    <s v="SIN DATO"/>
    <s v="SIN DATO"/>
    <s v="SIN DATO"/>
    <s v="ABIERTO"/>
    <n v="-75.58746687"/>
    <n v="6.2373170699999996"/>
    <s v="SUR-ENE"/>
    <s v="Metropolitana Sur"/>
  </r>
  <r>
    <s v="23589514"/>
    <s v="ENENOR"/>
    <s v="NUEVO"/>
    <s v="ENENOR"/>
    <s v="13/11/2025 15:12:05"/>
    <s v="2025-11-20 15:46:10"/>
    <n v="811020804"/>
    <s v="CONALTURA CONSTRUCCIÓN Y VIVIENDA S.A.S"/>
    <s v="2662277"/>
    <s v="3104200871"/>
    <s v="CR 52 D CL 75 AA SUR -221 (INTERIOR 5 )"/>
    <x v="2"/>
    <s v="777522405112210005"/>
    <s v="Itaguí"/>
    <x v="2"/>
    <s v="Revisor Inst. Particulares Metrosur"/>
    <x v="0"/>
    <n v="7"/>
    <s v="2025-12-01 15:46:10"/>
    <s v="0 días 15:46"/>
    <s v="6 días 15:46"/>
    <x v="0"/>
    <s v="SIN DATO"/>
    <s v="SIN DATO"/>
    <s v="SIN DATO"/>
    <s v="ABIERTO"/>
    <n v="-75.628312199999996"/>
    <n v="6.16084152"/>
    <s v="SUR-ENE"/>
    <s v="Metropolitana Sur"/>
  </r>
  <r>
    <s v="23589519"/>
    <s v="ENENOR"/>
    <s v="NUEVO"/>
    <s v="ENENOR"/>
    <s v="13/11/2025 15:16:50"/>
    <s v="2025-11-20 15:45:58"/>
    <n v="811020804"/>
    <s v="CONALTURA CONSTRUCCIÓN Y VIVIENDA S.A.S"/>
    <s v="2662277"/>
    <s v="3104200871"/>
    <s v="CR 52 D CL 75 AA SUR -221 (INTERIOR 6 )"/>
    <x v="2"/>
    <s v="777522405112210006"/>
    <s v="Itaguí"/>
    <x v="2"/>
    <s v="Revisor Inst. Particulares Metrosur"/>
    <x v="0"/>
    <n v="7"/>
    <s v="2025-12-01 15:45:58"/>
    <s v="0 días 15:45"/>
    <s v="6 días 15:45"/>
    <x v="0"/>
    <s v="SIN DATO"/>
    <s v="SIN DATO"/>
    <s v="SIN DATO"/>
    <s v="ABIERTO"/>
    <n v="-75.628312199999996"/>
    <n v="6.16084152"/>
    <s v="SUR-ENE"/>
    <s v="Metropolitana Sur"/>
  </r>
  <r>
    <s v="23589581"/>
    <s v="ENEPRE"/>
    <s v="RETIR"/>
    <s v="ENEPRE"/>
    <s v="13/11/2025 16:35:09"/>
    <s v="2025-11-13 16:35:09"/>
    <n v="98558970"/>
    <s v="WILSON FABER TAPIAS PUERTA"/>
    <s v="SIN DATOS"/>
    <s v="3045660436"/>
    <s v="CR 51 B CL 12 SUR -54 (INTERIOR 7000 )"/>
    <x v="0"/>
    <s v="041521202000547000-ENEPRE"/>
    <s v="Medellín"/>
    <x v="11"/>
    <s v="Energía Prepago Metrosur"/>
    <x v="0"/>
    <n v="11"/>
    <s v="2025-12-01 16:35:09"/>
    <s v="5 días 16:35"/>
    <s v="6 días 16:35"/>
    <x v="0"/>
    <s v="SIN DATO"/>
    <s v="SIN DATO"/>
    <s v="SIN DATO"/>
    <s v="ABIERTO"/>
    <n v="-75.588851969999993"/>
    <n v="6.1969259599999997"/>
    <s v="SUR-ENE"/>
    <s v="Metropolitana Sur"/>
  </r>
  <r>
    <s v="23589615"/>
    <s v="ENERES"/>
    <s v="NUEVO"/>
    <s v="ENEDOM"/>
    <s v="14/11/2025 02:55:48"/>
    <s v="2025-11-14 02:55:48"/>
    <n v="43458650"/>
    <s v="ANGELA MARITZA OSPINA SANCHEZ"/>
    <s v="SIN DATOS"/>
    <s v="3127537661"/>
    <s v="CL 59 A CR 21 C -45 (INTERIOR 105 )"/>
    <x v="0"/>
    <s v="055219101300450105"/>
    <s v="Medellín"/>
    <x v="0"/>
    <s v="Habilitación Viviendas Metrosur"/>
    <x v="0"/>
    <n v="5"/>
    <s v="2025-11-24 02:55:48"/>
    <s v="4 días 02:55"/>
    <s v="1 días 02:55"/>
    <x v="2"/>
    <s v="SIN DATO"/>
    <s v="SIN DATO"/>
    <s v="SIN DATO"/>
    <s v="ABIERTO"/>
    <n v="-75.544262860000003"/>
    <n v="6.2532492499999996"/>
    <s v="SUR-ENE"/>
    <s v="Metropolitana Sur"/>
  </r>
  <r>
    <s v="23589623"/>
    <s v="ENECNX"/>
    <s v="NUEVO"/>
    <s v="ENECNX"/>
    <s v="14/11/2025 02:58:04"/>
    <s v="2025-11-14 02:58:04"/>
    <n v="70289899"/>
    <s v="ALBEIRO ANTONIO GALLEGO MARIN"/>
    <s v="SIN DATOS"/>
    <s v="3104516986"/>
    <s v="CL 66 CR 50 C -33 (INTERIOR 301 )"/>
    <x v="0"/>
    <s v="056516000300330301"/>
    <s v="Medellín"/>
    <x v="8"/>
    <s v="Revisor Puntos de Conexión Metrosur"/>
    <x v="0"/>
    <n v="4"/>
    <s v="2025-11-21 02:58:04"/>
    <s v="4 días 02:58"/>
    <s v="VENCIDO"/>
    <x v="1"/>
    <s v="SIN DATO"/>
    <s v="SIN DATO"/>
    <s v="SIN DATO"/>
    <s v="ABIERTO"/>
    <n v="-75.5628478"/>
    <n v="6.26297266"/>
    <s v="SUR-ENE"/>
    <s v="Metropolitana Sur"/>
  </r>
  <r>
    <s v="23589648"/>
    <s v="ENECNX"/>
    <s v="NUEVO"/>
    <s v="ENECNX"/>
    <s v="14/11/2025 03:11:19"/>
    <s v="2025-11-14 03:11:19"/>
    <n v="42961182"/>
    <s v="LUZ MARLENY VELASQUEZ BEDOYA"/>
    <s v="SIN DATOS"/>
    <s v="3004215070"/>
    <s v="CR 59 CL 69 C -16 (INTERIOR 201 )"/>
    <x v="2"/>
    <s v="076529009300160201"/>
    <s v="Itaguí"/>
    <x v="8"/>
    <s v="Revisor Puntos de Conexión Metrosur"/>
    <x v="0"/>
    <n v="4"/>
    <s v="2025-11-21 03:11:19"/>
    <s v="4 días 03:11"/>
    <s v="VENCIDO"/>
    <x v="1"/>
    <s v="SIN DATO"/>
    <s v="SIN DATO"/>
    <s v="SIN DATO"/>
    <s v="ABIERTO"/>
    <n v="-75.605568199999993"/>
    <n v="6.1857274699999998"/>
    <s v="SUR-ENE"/>
    <s v="Metropolitana Sur"/>
  </r>
  <r>
    <s v="23589686"/>
    <s v="ENERES"/>
    <s v="NUEVO"/>
    <s v="ENEDOM"/>
    <s v="14/11/2025 03:13:36"/>
    <s v="2025-11-20 09:20:22"/>
    <n v="71318308"/>
    <s v="JOHN CARLOS TABORDA ALZATE"/>
    <s v="SIN DATOS"/>
    <s v="3017969654"/>
    <s v="CL 48 D CR 110 -356 (INTERIOR 121 )"/>
    <x v="0"/>
    <s v="084118400003560121"/>
    <s v="Medellín"/>
    <x v="0"/>
    <s v="Habilitación Viviendas Metrosur"/>
    <x v="0"/>
    <n v="5"/>
    <s v="2025-11-27 09:20:22"/>
    <s v="0 días 09:20"/>
    <s v="4 días 09:20"/>
    <x v="0"/>
    <s v="SIN DATO"/>
    <s v="SIN DATO"/>
    <s v="SIN DATO"/>
    <s v="ABIERTO"/>
    <n v="-75.625248999999997"/>
    <n v="6.2651510000000004"/>
    <s v="SUR-ENE"/>
    <s v="Metropolitana Sur"/>
  </r>
  <r>
    <s v="23589823"/>
    <s v="ENECNX"/>
    <s v="NUEVO"/>
    <s v="ENECNX"/>
    <s v="14/11/2025 03:35:48"/>
    <s v="2025-11-14 03:35:48"/>
    <n v="1216726429"/>
    <s v="MANUELA CORTES CANO"/>
    <s v="SIN DATOS"/>
    <s v="3019225506"/>
    <s v="CR 143 CL 68 -121"/>
    <x v="0"/>
    <s v="086423008001210000"/>
    <s v="Medellín"/>
    <x v="8"/>
    <s v="Revisor Puntos de Conexión Metrosur"/>
    <x v="0"/>
    <n v="4"/>
    <s v="2025-11-21 03:35:48"/>
    <s v="4 días 03:35"/>
    <s v="VENCIDO"/>
    <x v="1"/>
    <s v="SIN DATO"/>
    <s v="SIN DATO"/>
    <s v="SIN DATO"/>
    <s v="ABIERTO"/>
    <n v="-75.641998000000001"/>
    <n v="6.2874220000000003"/>
    <s v="SUR-ENE"/>
    <s v="Metropolitana Sur"/>
  </r>
  <r>
    <s v="23589850"/>
    <s v="ENECNX"/>
    <s v="NUEVO"/>
    <s v="ENECNX"/>
    <s v="14/11/2025 03:47:00"/>
    <s v="2025-11-14 03:47:00"/>
    <n v="70166152"/>
    <s v="HUBER DE JESUS MURILLO RAMIREZ"/>
    <s v="4796370"/>
    <s v="3137116637"/>
    <s v="CL 51 CR 82 -27"/>
    <x v="0"/>
    <s v="055811002000270000"/>
    <s v="Medellín"/>
    <x v="8"/>
    <s v="Revisor Puntos de Conexión Metrosur"/>
    <x v="0"/>
    <n v="4"/>
    <s v="2025-11-21 03:47:00"/>
    <s v="4 días 03:47"/>
    <s v="VENCIDO"/>
    <x v="1"/>
    <s v="SIN DATO"/>
    <s v="SIN DATO"/>
    <s v="SIN DATO"/>
    <s v="ABIERTO"/>
    <n v="-75.599961899999997"/>
    <n v="6.2656321200000002"/>
    <s v="SUR-ENE"/>
    <s v="Metropolitana Sur"/>
  </r>
  <r>
    <s v="23589867"/>
    <s v="ENECNX"/>
    <s v="NUEVO"/>
    <s v="ENECNX"/>
    <s v="14/11/2025 03:54:55"/>
    <s v="2025-11-14 03:54:55"/>
    <n v="901133052"/>
    <s v="SMART COOKING S.A.S."/>
    <s v="6105080"/>
    <s v="3225947141"/>
    <s v="RURAL_159073639198000033_CR 49 A 98 A S-228(33)"/>
    <x v="4"/>
    <s v="159073639198000033"/>
    <s v="La Estrella"/>
    <x v="8"/>
    <s v="Revisor Puntos de Conexión Metrosur"/>
    <x v="1"/>
    <n v="4"/>
    <s v="2025-11-21 03:54:55"/>
    <s v="4 días 03:54"/>
    <s v="VENCIDO"/>
    <x v="1"/>
    <s v="SIN DATO"/>
    <s v="SIN DATO"/>
    <s v="SIN DATO"/>
    <s v="ABIERTO"/>
    <n v="-75.633185999999995"/>
    <n v="6.1252279999999999"/>
    <s v="SUR-ENE"/>
    <s v="Metropolitana Sur"/>
  </r>
  <r>
    <s v="23589876"/>
    <s v="ENERES"/>
    <s v="NUEVO"/>
    <s v="ENEDOM"/>
    <s v="14/11/2025 03:57:20"/>
    <s v="2025-11-14 03:57:20"/>
    <n v="1027887363"/>
    <s v="JHONATAN VALENCIA GIRALDO"/>
    <s v="SIN DATOS"/>
    <s v="3216422753"/>
    <s v="CR 67 CL 25 A -82 (INTERIOR 301 )"/>
    <x v="2"/>
    <s v="072627005100820301"/>
    <s v="Itaguí"/>
    <x v="0"/>
    <s v="Habilitación Viviendas Metrosur"/>
    <x v="0"/>
    <n v="5"/>
    <s v="2025-11-24 03:57:20"/>
    <s v="4 días 03:57"/>
    <s v="1 días 03:57"/>
    <x v="2"/>
    <s v="SIN DATO"/>
    <s v="SIN DATO"/>
    <s v="SIN DATO"/>
    <s v="ABIERTO"/>
    <n v="-75.642016799999993"/>
    <n v="6.1699259299999998"/>
    <s v="SUR-ENE"/>
    <s v="Metropolitana Sur"/>
  </r>
  <r>
    <s v="23589891"/>
    <s v="ENECNX"/>
    <s v="NUEVO"/>
    <s v="ENECNX"/>
    <s v="14/11/2025 04:11:52"/>
    <s v="2025-11-14 04:11:52"/>
    <n v="71385904"/>
    <s v="NELSON DARIO GIRALDO GUERRA"/>
    <s v="SIN DATOS"/>
    <s v="3044852864"/>
    <s v="CL 2 B CR 81 B -219 (INTERIOR 145 )"/>
    <x v="0"/>
    <s v="050812201202190145"/>
    <s v="Medellín"/>
    <x v="8"/>
    <s v="Revisor Puntos de Conexión Metrosur"/>
    <x v="0"/>
    <n v="4"/>
    <s v="2025-11-21 04:11:52"/>
    <s v="4 días 04:11"/>
    <s v="VENCIDO"/>
    <x v="1"/>
    <s v="SIN DATO"/>
    <s v="SIN DATO"/>
    <s v="SIN DATO"/>
    <s v="ABIERTO"/>
    <n v="-75.606250200000005"/>
    <n v="6.2103025399999998"/>
    <s v="SUR-ENE"/>
    <s v="Metropolitana Sur"/>
  </r>
  <r>
    <s v="23589913"/>
    <s v="ENERES"/>
    <s v="NUEVO"/>
    <s v="ENEDOM"/>
    <s v="14/11/2025 04:19:11"/>
    <s v="2025-11-14 04:19:11"/>
    <n v="42788720"/>
    <s v="PATRICIA VALLEJO VELEZ"/>
    <s v="4985833"/>
    <s v="3011921726"/>
    <s v="RURAL_159056480000000001_PROV.159056480000000000_"/>
    <x v="4"/>
    <s v="159056480000000001"/>
    <s v="La Estrella"/>
    <x v="0"/>
    <s v="MET Rev-Inst-Concentra E_CR014"/>
    <x v="1"/>
    <n v="8"/>
    <s v="2025-11-27 04:19:11"/>
    <s v="4 días 04:19"/>
    <s v="4 días 04:19"/>
    <x v="0"/>
    <s v="SIN DATO"/>
    <s v="SIN DATO"/>
    <s v="SIN DATO"/>
    <s v="ABIERTO"/>
    <n v="-75.637493000000006"/>
    <n v="6.136838"/>
    <s v="SUR-ENE"/>
    <s v="Metropolitana Sur"/>
  </r>
  <r>
    <s v="23589923"/>
    <s v="ENECNX"/>
    <s v="NUEVO"/>
    <s v="ENECNX"/>
    <s v="14/11/2025 04:22:29"/>
    <s v="2025-11-14 04:22:29"/>
    <n v="71593909"/>
    <s v="CARLOS MAURICIO VALLEJO ZAPATA"/>
    <s v="SIN DATOS"/>
    <s v="3154001099"/>
    <s v="CL 21 CR 59 -51 (INTERIOR 101 )"/>
    <x v="0"/>
    <s v="052511009000510101"/>
    <s v="Medellín"/>
    <x v="8"/>
    <s v="Revisor Puntos de Conexión Metrosur"/>
    <x v="0"/>
    <n v="4"/>
    <s v="2025-11-21 04:22:29"/>
    <s v="4 días 04:22"/>
    <s v="VENCIDO"/>
    <x v="1"/>
    <s v="SIN DATO"/>
    <s v="SIN DATO"/>
    <s v="SIN DATO"/>
    <s v="ABIERTO"/>
    <n v="-75.583586170000004"/>
    <n v="6.22342057"/>
    <s v="SUR-ENE"/>
    <s v="Metropolitana Sur"/>
  </r>
  <r>
    <s v="23589927"/>
    <s v="ENECNX"/>
    <s v="NUEVO"/>
    <s v="ENECNX"/>
    <s v="14/11/2025 04:27:12"/>
    <s v="2025-11-14 04:27:12"/>
    <n v="900941144"/>
    <s v="SALANA INMOBILIARIA SAS"/>
    <s v="6043293"/>
    <s v="3122660946"/>
    <s v="CR 42 CL 53 -212"/>
    <x v="2"/>
    <s v="075422003002120000"/>
    <s v="Itaguí"/>
    <x v="8"/>
    <s v="Revisor Puntos de Conexión Metrosur"/>
    <x v="0"/>
    <n v="4"/>
    <s v="2025-11-21 04:27:12"/>
    <s v="4 días 04:27"/>
    <s v="VENCIDO"/>
    <x v="1"/>
    <s v="SIN DATO"/>
    <s v="SIN DATO"/>
    <s v="SIN DATO"/>
    <s v="ABIERTO"/>
    <n v="-75.603493"/>
    <n v="6.1699200000000003"/>
    <s v="SUR-ENE"/>
    <s v="Metropolitana Sur"/>
  </r>
  <r>
    <s v="23589932"/>
    <s v="ENECNX"/>
    <s v="NUEVO"/>
    <s v="ENECNX"/>
    <s v="14/11/2025 04:28:59"/>
    <s v="2025-11-14 04:28:59"/>
    <n v="71593909"/>
    <s v="CARLOS MAURICIO VALLEJO ZAPATA"/>
    <s v="SIN DATOS"/>
    <s v="3154001099"/>
    <s v="CL 21 CR 59 -51 (INTERIOR 101 )"/>
    <x v="0"/>
    <s v="052511009000510101"/>
    <s v="Medellín"/>
    <x v="8"/>
    <s v="Revisor Puntos de Conexión Metrosur"/>
    <x v="0"/>
    <n v="4"/>
    <s v="2025-11-21 04:28:59"/>
    <s v="4 días 04:28"/>
    <s v="VENCIDO"/>
    <x v="1"/>
    <s v="SIN DATO"/>
    <s v="SIN DATO"/>
    <s v="SIN DATO"/>
    <s v="ABIERTO"/>
    <n v="-75.583586170000004"/>
    <n v="6.22342057"/>
    <s v="SUR-ENE"/>
    <s v="Metropolitana Sur"/>
  </r>
  <r>
    <s v="23589935"/>
    <s v="ENECNX"/>
    <s v="NUEVO"/>
    <s v="ENECNX"/>
    <s v="14/11/2025 04:30:05"/>
    <s v="2025-11-14 04:30:05"/>
    <n v="1152201413"/>
    <s v="YHON STIVEN MUÑOZ SANCHEZ"/>
    <s v="SIN DATOS"/>
    <s v="3005878053"/>
    <s v="CR 119 C CL 62 B -9"/>
    <x v="0"/>
    <s v="086129302200090000"/>
    <s v="Medellín"/>
    <x v="8"/>
    <s v="Revisor Puntos de Conexión Metrosur"/>
    <x v="0"/>
    <n v="4"/>
    <s v="2025-11-21 04:30:05"/>
    <s v="4 días 04:30"/>
    <s v="VENCIDO"/>
    <x v="1"/>
    <s v="SIN DATO"/>
    <s v="SIN DATO"/>
    <s v="SIN DATO"/>
    <s v="ABIERTO"/>
    <n v="-75.625161000000006"/>
    <n v="6.2788409999999999"/>
    <s v="SUR-ENE"/>
    <s v="Metropolitana Sur"/>
  </r>
  <r>
    <s v="23589942"/>
    <s v="ENECNX"/>
    <s v="NUEVO"/>
    <s v="ENECNX"/>
    <s v="14/11/2025 04:35:58"/>
    <s v="2025-11-14 04:35:58"/>
    <n v="1037575804"/>
    <s v="CARLOS ANDRES GOMEZ ARBOLEDA"/>
    <s v="SIN DATOS"/>
    <s v="3148226825"/>
    <s v="CR 43 CL 32 A SUR -33"/>
    <x v="1"/>
    <s v="023423002100330000"/>
    <s v="Envigado"/>
    <x v="8"/>
    <s v="Revisor Puntos de Conexión Metrosur"/>
    <x v="0"/>
    <n v="4"/>
    <s v="2025-11-21 04:35:58"/>
    <s v="4 días 04:35"/>
    <s v="VENCIDO"/>
    <x v="1"/>
    <s v="SIN DATO"/>
    <s v="SIN DATO"/>
    <s v="SIN DATO"/>
    <s v="ABIERTO"/>
    <n v="-75.585482999999996"/>
    <n v="6.1744351799999997"/>
    <s v="SUR-ENE"/>
    <s v="Metropolitana Sur"/>
  </r>
  <r>
    <s v="23589948"/>
    <s v="ENECNX"/>
    <s v="NUEVO"/>
    <s v="ENECNX"/>
    <s v="14/11/2025 04:37:45"/>
    <s v="2025-11-14 04:37:45"/>
    <n v="98664005"/>
    <s v="DIEGO ANDRES ZAPATA ALDANA"/>
    <s v="SIN DATOS"/>
    <s v="3105018125"/>
    <s v="DIAG 74 B TRAN 32 EE -127"/>
    <x v="0"/>
    <s v="053774202551270000"/>
    <s v="Medellín"/>
    <x v="8"/>
    <s v="Revisor Puntos de Conexión Metrosur"/>
    <x v="0"/>
    <n v="4"/>
    <s v="2025-11-21 04:37:45"/>
    <s v="4 días 04:37"/>
    <s v="VENCIDO"/>
    <x v="1"/>
    <s v="SIN DATO"/>
    <s v="SIN DATO"/>
    <s v="SIN DATO"/>
    <s v="ABIERTO"/>
    <n v="-75.591421280000006"/>
    <n v="6.2379539800000003"/>
    <s v="SUR-ENE"/>
    <s v="Metropolitana Sur"/>
  </r>
  <r>
    <s v="23589960"/>
    <s v="ENECNX"/>
    <s v="NUEVO"/>
    <s v="ENECNX"/>
    <s v="14/11/2025 04:54:45"/>
    <s v="2025-11-14 04:54:45"/>
    <n v="900071488"/>
    <s v="PARROQUIA BEATA TERESA DE CALCUTA"/>
    <s v="SIN DATOS"/>
    <s v="3128952928"/>
    <s v="CR 52 D CL 75 AA SUR -309"/>
    <x v="2"/>
    <s v="777522405113090000"/>
    <s v="Itaguí"/>
    <x v="8"/>
    <s v="Revisor Puntos de Conexión Metrosur"/>
    <x v="0"/>
    <n v="4"/>
    <s v="2025-11-21 04:54:45"/>
    <s v="4 días 04:54"/>
    <s v="VENCIDO"/>
    <x v="1"/>
    <s v="SIN DATO"/>
    <s v="SIN DATO"/>
    <s v="SIN DATO"/>
    <s v="ABIERTO"/>
    <n v="-75.628312199999996"/>
    <n v="6.16084152"/>
    <s v="SUR-ENE"/>
    <s v="Metropolitana Sur"/>
  </r>
  <r>
    <s v="23589989"/>
    <s v="ENERES"/>
    <s v="NUEVO"/>
    <s v="ENERES"/>
    <s v="14/11/2025 07:04:47"/>
    <s v="2025-11-14 07:04:47"/>
    <n v="1000895724"/>
    <s v="VERONICA YANETH GARCIA RIOS"/>
    <s v="SIN DATOS"/>
    <s v="3227222385"/>
    <s v="RURAL_146023302000000201"/>
    <x v="0"/>
    <s v="146023302000000201"/>
    <s v="Medellín"/>
    <x v="1"/>
    <s v="Revisor Instal. Regadas Metrosur"/>
    <x v="1"/>
    <n v="10"/>
    <s v="2025-12-01 07:04:47"/>
    <s v="4 días 07:04"/>
    <s v="6 días 07:04"/>
    <x v="0"/>
    <s v="SIN DATO"/>
    <s v="SIN DATO"/>
    <s v="SIN DATO"/>
    <s v="ABIERTO"/>
    <n v="-75.69725785"/>
    <n v="6.3554365500000003"/>
    <s v="SUR-ENE"/>
    <s v="Metropolitana Sur"/>
  </r>
  <r>
    <s v="23590002"/>
    <s v="ENENOR"/>
    <s v="NUEVO"/>
    <s v="ENENOR"/>
    <s v="14/11/2025 07:24:47"/>
    <s v="2025-11-14 07:24:47"/>
    <n v="811042483"/>
    <s v="EMPRESA DE SERVICIS PUBLICOS DE SABANETA"/>
    <s v="SIN DATOS"/>
    <s v="3215202060"/>
    <s v="CL 75 B SUR CR 40 -20 (INTERIOR 6100 )"/>
    <x v="5"/>
    <s v="017415200000206100"/>
    <s v="Sabaneta"/>
    <x v="2"/>
    <s v="Revisor Instal. Regadas Metrosur"/>
    <x v="0"/>
    <n v="7"/>
    <s v="2025-11-26 07:24:47"/>
    <s v="4 días 07:24"/>
    <s v="3 días 07:24"/>
    <x v="0"/>
    <s v="SIN DATO"/>
    <s v="SIN DATO"/>
    <s v="SIN DATO"/>
    <s v="ABIERTO"/>
    <n v="-75.616736689999996"/>
    <n v="6.1456651899999999"/>
    <s v="SUR-ENE"/>
    <s v="Metropolitana Sur"/>
  </r>
  <r>
    <s v="23590016"/>
    <s v="ENERES"/>
    <s v="NUEVO"/>
    <s v="ENERES"/>
    <s v="14/11/2025 07:51:22"/>
    <s v="2025-11-14 07:51:22"/>
    <n v="1152436072"/>
    <s v="YURI ELENA BEDOYA MARIN"/>
    <s v="2227735"/>
    <s v="3192228133"/>
    <s v="CR 82 CL 9 SUR -450 (INTERIOR 383 )"/>
    <x v="0"/>
    <s v="040822009004500383"/>
    <s v="Medellín"/>
    <x v="1"/>
    <s v="Revisor Instal. Regadas Metrosur"/>
    <x v="0"/>
    <n v="7"/>
    <s v="2025-11-26 07:51:22"/>
    <s v="4 días 07:51"/>
    <s v="3 días 07:51"/>
    <x v="0"/>
    <s v="SIN DATO"/>
    <s v="SIN DATO"/>
    <s v="SIN DATO"/>
    <s v="ABIERTO"/>
    <n v="-75.606694000000005"/>
    <n v="6.199103"/>
    <s v="SUR-ENE"/>
    <s v="Metropolitana Sur"/>
  </r>
  <r>
    <s v="23590018"/>
    <s v="ENECNX"/>
    <s v="NUEVO"/>
    <s v="ENECNX"/>
    <s v="14/11/2025 07:52:46"/>
    <s v="2025-11-14 07:52:47"/>
    <n v="71743781"/>
    <s v="JAIRO ALEX ALZATE VERA"/>
    <s v="SIN DATOS"/>
    <s v="3113077370"/>
    <s v="CL 75 A SUR CR 52 F -90 (INTERIOR 1312 BQ 3 )"/>
    <x v="2"/>
    <s v="777515102600901312"/>
    <s v="Itaguí"/>
    <x v="8"/>
    <s v="Revisor Puntos de Conexión Metrosur"/>
    <x v="0"/>
    <n v="4"/>
    <s v="2025-11-21 07:52:47"/>
    <s v="4 días 07:52"/>
    <s v="VENCIDO"/>
    <x v="1"/>
    <s v="SIN DATO"/>
    <s v="SIN DATO"/>
    <s v="SIN DATO"/>
    <s v="ABIERTO"/>
    <n v="-75.632284999999996"/>
    <n v="6.1644569999999996"/>
    <s v="SUR-ENE"/>
    <s v="Metropolitana Sur"/>
  </r>
  <r>
    <s v="23590020"/>
    <s v="ENERES"/>
    <s v="NUEVO"/>
    <s v="ENEDOM"/>
    <s v="14/11/2025 07:54:07"/>
    <s v="2025-11-14 07:54:07"/>
    <n v="43078171"/>
    <s v="LUZ ELENA PEREAÑEZ"/>
    <s v="4179092"/>
    <s v="3113120737"/>
    <s v="RURAL_161118237480000100_VEREDA LA CORRALA CONTIGU"/>
    <x v="3"/>
    <s v="161118237480000100"/>
    <s v="Caldas"/>
    <x v="0"/>
    <s v="MET Rev-Inst-Concentra E_CR014"/>
    <x v="1"/>
    <n v="8"/>
    <s v="2025-11-27 07:54:07"/>
    <s v="4 días 07:54"/>
    <s v="4 días 07:54"/>
    <x v="0"/>
    <s v="SIN DATO"/>
    <s v="SIN DATO"/>
    <s v="SIN DATO"/>
    <s v="ABIERTO"/>
    <n v="-75.620955949999995"/>
    <n v="6.0886768"/>
    <s v="SUR-ENE"/>
    <s v="Metropolitana Sur"/>
  </r>
  <r>
    <s v="23590024"/>
    <s v="ENERES"/>
    <s v="NUEVO"/>
    <s v="ENEDOM"/>
    <s v="14/11/2025 07:57:40"/>
    <s v="2025-11-14 07:57:40"/>
    <n v="43837476"/>
    <s v="LINA MARIA JARAMILLO ALVAREZ"/>
    <s v="2813293"/>
    <s v="3003949089"/>
    <s v="RURAL_159065000000006001"/>
    <x v="4"/>
    <s v="159065000000006001"/>
    <s v="La Estrella"/>
    <x v="0"/>
    <s v="MET Rev-Inst-Concentra E_CR014"/>
    <x v="1"/>
    <n v="8"/>
    <s v="2025-11-27 07:57:40"/>
    <s v="4 días 07:57"/>
    <s v="4 días 07:57"/>
    <x v="0"/>
    <s v="SIN DATO"/>
    <s v="SIN DATO"/>
    <s v="SIN DATO"/>
    <s v="ABIERTO"/>
    <n v="-75.649894410000002"/>
    <n v="6.1336061700000002"/>
    <s v="SUR-ENE"/>
    <s v="Metropolitana Sur"/>
  </r>
  <r>
    <s v="23590029"/>
    <s v="ENERES"/>
    <s v="NUEVO"/>
    <s v="ENERES"/>
    <s v="14/11/2025 08:01:52"/>
    <s v="2025-11-14 08:01:52"/>
    <n v="43720650"/>
    <s v="CLAUDIA PATRICIA MUÑOZ PALACIO"/>
    <s v="SIN DATOS"/>
    <s v="3005363779"/>
    <s v="RURAL_103036965245000001_103036965245000001"/>
    <x v="0"/>
    <s v="103036965245000001"/>
    <s v="Medellín"/>
    <x v="1"/>
    <s v="Revisor Instal. Regadas Metrosur"/>
    <x v="1"/>
    <n v="10"/>
    <s v="2025-12-01 08:01:52"/>
    <s v="4 días 08:01"/>
    <s v="6 días 08:01"/>
    <x v="0"/>
    <s v="SIN DATO"/>
    <s v="SIN DATO"/>
    <s v="SIN DATO"/>
    <s v="ABIERTO"/>
    <n v="-75.667676040000003"/>
    <n v="6.1765344400000002"/>
    <s v="SUR-ENE"/>
    <s v="Metropolitana Sur"/>
  </r>
  <r>
    <s v="23590037"/>
    <s v="ENERES"/>
    <s v="NUEVO"/>
    <s v="ENERES"/>
    <s v="14/11/2025 08:08:24"/>
    <s v="2025-11-14 08:08:24"/>
    <n v="43153671"/>
    <s v="PAULA ANDREA VELASQUEZ GIRALDO"/>
    <s v="2260521"/>
    <s v="3147621257"/>
    <s v="CL 56 A CR 17 H -14 (INTERIOR 301 )"/>
    <x v="0"/>
    <s v="055116107800140301"/>
    <s v="Medellín"/>
    <x v="1"/>
    <s v="Revisor Instal. Regadas Metrosur"/>
    <x v="0"/>
    <n v="7"/>
    <s v="2025-11-26 08:08:24"/>
    <s v="4 días 08:08"/>
    <s v="3 días 08:08"/>
    <x v="0"/>
    <s v="SIN DATO"/>
    <s v="SIN DATO"/>
    <s v="SIN DATO"/>
    <s v="ABIERTO"/>
    <n v="-75.542180000000002"/>
    <n v="6.2385890000000002"/>
    <s v="SUR-ENE"/>
    <s v="Metropolitana Sur"/>
  </r>
  <r>
    <s v="23590048"/>
    <s v="ENERES"/>
    <s v="NUEVO"/>
    <s v="ENERES"/>
    <s v="14/11/2025 08:15:50"/>
    <s v="2025-11-14 08:15:50"/>
    <n v="15434280"/>
    <s v="CARLOS ALBEIRO GONZALEZ GALLO"/>
    <s v="SIN DATOS"/>
    <s v="3104998709"/>
    <s v="CR 45 CL 49 -6 (INTERIOR 301 )"/>
    <x v="0"/>
    <s v="054425009000060301"/>
    <s v="Medellín"/>
    <x v="1"/>
    <s v="Revisor Instal. Regadas Metrosur"/>
    <x v="0"/>
    <n v="7"/>
    <s v="2025-11-26 08:15:50"/>
    <s v="4 días 08:15"/>
    <s v="3 días 08:15"/>
    <x v="0"/>
    <s v="SIN DATO"/>
    <s v="SIN DATO"/>
    <s v="SIN DATO"/>
    <s v="ABIERTO"/>
    <n v="-75.564641120000005"/>
    <n v="6.2470775200000004"/>
    <s v="SUR-ENE"/>
    <s v="Metropolitana Sur"/>
  </r>
  <r>
    <s v="23590049"/>
    <s v="ENERES"/>
    <s v="NUEVO"/>
    <s v="ENEDOM"/>
    <s v="14/11/2025 08:18:05"/>
    <s v="2025-11-14 08:18:05"/>
    <n v="1216727744"/>
    <s v="ISABEL CRISTINA CANO TORRES"/>
    <s v="SIN DATOS"/>
    <s v="3053208373"/>
    <s v="RURAL_147002404000000002_CRA 152 CA CL 59 -139_VER"/>
    <x v="0"/>
    <s v="147002404000000002"/>
    <s v="Medellín"/>
    <x v="0"/>
    <s v="Habilitación Viviendas Metrosur"/>
    <x v="1"/>
    <n v="8"/>
    <s v="2025-11-27 08:18:05"/>
    <s v="4 días 08:18"/>
    <s v="4 días 08:18"/>
    <x v="0"/>
    <s v="SIN DATO"/>
    <s v="SIN DATO"/>
    <s v="SIN DATO"/>
    <s v="ABIERTO"/>
    <n v="-75.651903129999994"/>
    <n v="6.2703638799999997"/>
    <s v="SUR-ENE"/>
    <s v="Metropolitana Sur"/>
  </r>
  <r>
    <s v="23590058"/>
    <s v="ENECNX"/>
    <s v="NUEVO"/>
    <s v="ENECNX"/>
    <s v="14/11/2025 08:40:04"/>
    <s v="2025-11-14 08:40:04"/>
    <n v="70065193"/>
    <s v="FRANCISCO FABIO ARISTIZABAL ZULUAGA"/>
    <s v="SIN DATOS"/>
    <s v="3235088415"/>
    <s v="CR 72 A CL 31 -64 (INTERIOR 303 )"/>
    <x v="0"/>
    <s v="053722101000640303"/>
    <s v="Medellín"/>
    <x v="8"/>
    <s v="Revisor Puntos de Conexión Metrosur"/>
    <x v="0"/>
    <n v="4"/>
    <s v="2025-11-21 08:40:04"/>
    <s v="4 días 08:40"/>
    <s v="VENCIDO"/>
    <x v="1"/>
    <s v="SIN DATO"/>
    <s v="SIN DATO"/>
    <s v="SIN DATO"/>
    <s v="ABIERTO"/>
    <n v="-75.593192979999998"/>
    <n v="6.2343651199999996"/>
    <s v="SUR-ENE"/>
    <s v="Metropolitana Sur"/>
  </r>
  <r>
    <s v="23590059"/>
    <s v="ENECNX"/>
    <s v="NUEVO"/>
    <s v="ENECNX"/>
    <s v="14/11/2025 08:41:15"/>
    <s v="2025-11-14 08:41:15"/>
    <n v="21981002"/>
    <s v="MAGNOLIA JARAMILLO RESTREPO"/>
    <s v="5925287"/>
    <s v="3137008386"/>
    <s v="RURAL_114013451200000000_114013451200000000"/>
    <x v="0"/>
    <s v="114013451200000000"/>
    <s v="Medellín"/>
    <x v="8"/>
    <s v="Revisor Puntos de Conexión Metrosur"/>
    <x v="1"/>
    <n v="4"/>
    <s v="2025-11-21 08:41:15"/>
    <s v="4 días 08:41"/>
    <s v="VENCIDO"/>
    <x v="1"/>
    <s v="SIN DATO"/>
    <s v="SIN DATO"/>
    <s v="SIN DATO"/>
    <s v="ABIERTO"/>
    <n v="-75.610294999999994"/>
    <n v="6.2045349999999999"/>
    <s v="SUR-ENE"/>
    <s v="Metropolitana Sur"/>
  </r>
  <r>
    <s v="23590095"/>
    <s v="ENERES"/>
    <s v="NUEVO"/>
    <s v="ENERES"/>
    <s v="14/11/2025 09:18:42"/>
    <s v="2025-11-14 09:18:42"/>
    <n v="43163724"/>
    <s v="NATALIA ANDREA SALAZAR OSORNO"/>
    <s v="5572241"/>
    <s v="3222924648"/>
    <s v="CR 18 CL 48 -41 (INTERIOR 301 )"/>
    <x v="0"/>
    <s v="054128008000410301"/>
    <s v="Medellín"/>
    <x v="1"/>
    <s v="METROSUR Vin. Leg. Ref. Concentrada"/>
    <x v="0"/>
    <n v="7"/>
    <s v="2025-11-26 09:18:42"/>
    <s v="4 días 09:18"/>
    <s v="3 días 09:18"/>
    <x v="0"/>
    <s v="SIN DATO"/>
    <s v="SIN DATO"/>
    <s v="SIN DATO"/>
    <s v="ABIERTO"/>
    <n v="-75.546116999999995"/>
    <n v="6.2362149999999996"/>
    <s v="SUR-ENE"/>
    <s v="Metropolitana Sur"/>
  </r>
  <r>
    <s v="23590103"/>
    <s v="ENERES"/>
    <s v="NUEVO"/>
    <s v="ENERES"/>
    <s v="14/11/2025 09:22:43"/>
    <s v="2025-11-14 09:22:44"/>
    <n v="30330544"/>
    <s v="SANDRA HERNANDEZ RIOS"/>
    <s v="SIN DATOS"/>
    <s v="3105997686"/>
    <s v="CR 55 A CL 56 -83 (INTERIOR 301 )"/>
    <x v="2"/>
    <s v="075525106000830301"/>
    <s v="Itaguí"/>
    <x v="1"/>
    <s v="Revisor Instal. Regadas Metrosur"/>
    <x v="0"/>
    <n v="7"/>
    <s v="2025-11-26 09:22:44"/>
    <s v="4 días 09:22"/>
    <s v="3 días 09:22"/>
    <x v="0"/>
    <s v="SIN DATO"/>
    <s v="SIN DATO"/>
    <s v="SIN DATO"/>
    <s v="ABIERTO"/>
    <n v="-75.606679999999997"/>
    <n v="6.1775279999999997"/>
    <s v="SUR-ENE"/>
    <s v="Metropolitana Sur"/>
  </r>
  <r>
    <s v="23590109"/>
    <s v="ENERES"/>
    <s v="NUEVO"/>
    <s v="ENEDOM"/>
    <s v="14/11/2025 09:26:00"/>
    <s v="2025-11-14 09:26:00"/>
    <n v="32150609"/>
    <s v="BEATRIZ ANDREA RENDON OSPINA"/>
    <s v="SIN DATOS"/>
    <s v="3146270297"/>
    <s v="CR 44 A CL 126 SUR -37 (INTERIOR 9901 )"/>
    <x v="3"/>
    <s v="002424106000379901"/>
    <s v="Caldas"/>
    <x v="0"/>
    <s v="MET Rev-Inst-Concentra E_CR014"/>
    <x v="0"/>
    <n v="5"/>
    <s v="2025-11-24 09:26:00"/>
    <s v="4 días 09:26"/>
    <s v="1 días 09:26"/>
    <x v="2"/>
    <s v="SIN DATO"/>
    <s v="SIN DATO"/>
    <s v="SIN DATO"/>
    <s v="ABIERTO"/>
    <n v="-75.631082090000007"/>
    <n v="6.0939493699999998"/>
    <s v="SUR-ENE"/>
    <s v="Metropolitana Sur"/>
  </r>
  <r>
    <s v="23590110"/>
    <s v="ENERES"/>
    <s v="NUEVO"/>
    <s v="ENEDOM"/>
    <s v="14/11/2025 09:27:10"/>
    <s v="2025-11-14 09:27:10"/>
    <n v="30386322"/>
    <s v="LUZ ESTELLA CAMARGO RUIZ"/>
    <s v="SIN DATOS"/>
    <s v="3007044858"/>
    <s v="CL 34 AD CR 128 -27"/>
    <x v="0"/>
    <s v="083214148000270000"/>
    <s v="Medellín"/>
    <x v="0"/>
    <s v="Habilitación Viviendas Metrosur"/>
    <x v="0"/>
    <n v="5"/>
    <s v="2025-11-24 09:27:10"/>
    <s v="4 días 09:27"/>
    <s v="1 días 09:27"/>
    <x v="2"/>
    <s v="SIN DATO"/>
    <s v="SIN DATO"/>
    <s v="SIN DATO"/>
    <s v="ABIERTO"/>
    <n v="-75.635525369999996"/>
    <n v="6.2492805200000001"/>
    <s v="SUR-ENE"/>
    <s v="Metropolitana Sur"/>
  </r>
  <r>
    <s v="23590117"/>
    <s v="ENERES"/>
    <s v="NUEVO"/>
    <s v="ENERES"/>
    <s v="14/11/2025 09:30:12"/>
    <s v="2025-11-14 09:30:12"/>
    <n v="52894806"/>
    <s v="LINA MARCELA SALAZAR OSORNO"/>
    <s v="5572241"/>
    <s v="3006969296"/>
    <s v="CR 18 CL 48 -41 (INTERIOR 302 )"/>
    <x v="0"/>
    <s v="054128008000410302"/>
    <s v="Medellín"/>
    <x v="1"/>
    <s v="METROSUR Vin. Leg. Ref. Concentrada"/>
    <x v="0"/>
    <n v="7"/>
    <s v="2025-11-26 09:30:12"/>
    <s v="4 días 09:30"/>
    <s v="3 días 09:30"/>
    <x v="0"/>
    <s v="SIN DATO"/>
    <s v="SIN DATO"/>
    <s v="SIN DATO"/>
    <s v="ABIERTO"/>
    <n v="-75.546116999999995"/>
    <n v="6.2362149999999996"/>
    <s v="SUR-ENE"/>
    <s v="Metropolitana Sur"/>
  </r>
  <r>
    <s v="23590153"/>
    <s v="ENERES"/>
    <s v="NUEVO"/>
    <s v="ENERES"/>
    <s v="14/11/2025 09:56:20"/>
    <s v="2025-11-14 09:56:20"/>
    <n v="43163724"/>
    <s v="NATALIA ANDREA SALAZAR OSORNO"/>
    <s v="5572241"/>
    <s v="3222924648"/>
    <s v="CR 18 CL 48 -41 (INTERIOR 303 )"/>
    <x v="0"/>
    <s v="054128008000410303"/>
    <s v="Medellín"/>
    <x v="1"/>
    <s v="METROSUR Vin. Leg. Ref. Concentrada"/>
    <x v="0"/>
    <n v="7"/>
    <s v="2025-11-26 09:56:20"/>
    <s v="4 días 09:56"/>
    <s v="3 días 09:56"/>
    <x v="0"/>
    <s v="SIN DATO"/>
    <s v="SIN DATO"/>
    <s v="SIN DATO"/>
    <s v="ABIERTO"/>
    <n v="-75.546116999999995"/>
    <n v="6.2362149999999996"/>
    <s v="SUR-ENE"/>
    <s v="Metropolitana Sur"/>
  </r>
  <r>
    <s v="23590160"/>
    <s v="ENENOR"/>
    <s v="NUEVO"/>
    <s v="ENENOR"/>
    <s v="14/11/2025 10:01:59"/>
    <s v="2025-11-14 10:01:59"/>
    <n v="39165038"/>
    <s v="MARTHA INES VANEGAS RESTREPO"/>
    <s v="SIN DATOS"/>
    <s v="3137677943"/>
    <s v="CL 140 SUR CR 51 -31"/>
    <x v="3"/>
    <s v="004510001000310000"/>
    <s v="Caldas"/>
    <x v="2"/>
    <s v="MET Rev-Inst-Concentra E_CR014"/>
    <x v="0"/>
    <n v="7"/>
    <s v="2025-11-26 10:01:59"/>
    <s v="4 días 10:01"/>
    <s v="3 días 10:01"/>
    <x v="0"/>
    <s v="SIN DATO"/>
    <s v="SIN DATO"/>
    <s v="SIN DATO"/>
    <s v="ABIERTO"/>
    <n v="-75.635557640000002"/>
    <n v="6.0823512199999996"/>
    <s v="SUR-ENE"/>
    <s v="Metropolitana Sur"/>
  </r>
  <r>
    <s v="23590217"/>
    <s v="ENECNX"/>
    <s v="NUEVO"/>
    <s v="ENECNX"/>
    <s v="14/11/2025 10:25:10"/>
    <s v="2025-11-14 10:25:10"/>
    <n v="71717807"/>
    <s v="DAIRO ARIAS SERNA"/>
    <s v="SIN DATOS"/>
    <s v="3146155117"/>
    <s v="RURAL_159051310000000000_MONACO-CARRILERA"/>
    <x v="4"/>
    <s v="159051310000000000"/>
    <s v="La Estrella"/>
    <x v="8"/>
    <s v="Revisor Puntos de Conexión Metrosur"/>
    <x v="1"/>
    <n v="4"/>
    <s v="2025-11-21 10:25:10"/>
    <s v="4 días 10:25"/>
    <s v="VENCIDO"/>
    <x v="1"/>
    <s v="SIN DATO"/>
    <s v="SIN DATO"/>
    <s v="SIN DATO"/>
    <s v="ABIERTO"/>
    <n v="-75.633577209999999"/>
    <n v="6.1396153699999996"/>
    <s v="SUR-ENE"/>
    <s v="Metropolitana Sur"/>
  </r>
  <r>
    <s v="23590218"/>
    <s v="ENEMRT"/>
    <s v="NUEVO"/>
    <s v="ENEMVI"/>
    <s v="14/11/2025 10:25:10"/>
    <s v="2025-11-14 10:25:10"/>
    <n v="1040732793"/>
    <s v="DIANA MARCELA RAMIREZ MANCO"/>
    <s v="SIN DATOS"/>
    <s v="3116557889"/>
    <s v="CR 67 E CL 58 C -7"/>
    <x v="0"/>
    <s v="055627508300070000"/>
    <s v="Medellín"/>
    <x v="6"/>
    <s v="Mov Red Trans Dairo Gil"/>
    <x v="0"/>
    <n v="9"/>
    <s v="2025-11-28 10:25:10"/>
    <s v="4 días 10:25"/>
    <s v="5 días 10:25"/>
    <x v="0"/>
    <s v="SIN DATO"/>
    <s v="SIN DATO"/>
    <s v="SIN DATO"/>
    <s v="ABIERTO"/>
    <n v="-75.582928999999993"/>
    <n v="6.2607819999999998"/>
    <s v="SUR-ENE"/>
    <s v="Metropolitana Sur"/>
  </r>
  <r>
    <s v="23590291"/>
    <s v="ENERES"/>
    <s v="NUEVO"/>
    <s v="ENERES"/>
    <s v="14/11/2025 10:46:01"/>
    <s v="2025-11-14 10:46:01"/>
    <n v="1152695346"/>
    <s v="WENDY VANESA MUÑOZ ORTIZ"/>
    <s v="SIN DATOS"/>
    <s v="3193822714"/>
    <s v="CL 39 B CR 110 -81 (INTERIOR 101 )"/>
    <x v="0"/>
    <s v="083119200000810101"/>
    <s v="Medellín"/>
    <x v="1"/>
    <s v="Revisor Instal. Regadas Metrosur"/>
    <x v="0"/>
    <n v="7"/>
    <s v="2025-11-26 10:46:01"/>
    <s v="4 días 10:46"/>
    <s v="3 días 10:46"/>
    <x v="0"/>
    <s v="SIN DATO"/>
    <s v="SIN DATO"/>
    <s v="SIN DATO"/>
    <s v="ABIERTO"/>
    <n v="-75.623638290000002"/>
    <n v="6.2512943600000002"/>
    <s v="SUR-ENE"/>
    <s v="Metropolitana Sur"/>
  </r>
  <r>
    <s v="23590314"/>
    <s v="ENERES"/>
    <s v="NUEVO"/>
    <s v="ENEDOM"/>
    <s v="14/11/2025 10:52:35"/>
    <s v="2025-11-14 10:52:35"/>
    <n v="21659921"/>
    <s v="FLOR MARIA GUZMAN ESCOBAR"/>
    <s v="SIN DATOS"/>
    <s v="3235867991"/>
    <s v="CL 48 D CR 120 F -48 (INTERIOR 1 )"/>
    <x v="0"/>
    <s v="084218400600480001"/>
    <s v="Medellín"/>
    <x v="0"/>
    <s v="Habilitación Viviendas Metrosur"/>
    <x v="0"/>
    <n v="5"/>
    <s v="2025-11-24 10:52:35"/>
    <s v="4 días 10:52"/>
    <s v="1 días 10:52"/>
    <x v="2"/>
    <s v="SIN DATO"/>
    <s v="SIN DATO"/>
    <s v="SIN DATO"/>
    <s v="ABIERTO"/>
    <n v="-75.628011999999998"/>
    <n v="6.2674400099999996"/>
    <s v="SUR-ENE"/>
    <s v="Metropolitana Sur"/>
  </r>
  <r>
    <s v="23590323"/>
    <s v="ENECNX"/>
    <s v="NUEVO"/>
    <s v="ENECNX"/>
    <s v="14/11/2025 10:57:23"/>
    <s v="2025-11-14 10:57:23"/>
    <n v="43637263"/>
    <s v="DIANA MARIA RENDON SUAREZ"/>
    <s v="2327278"/>
    <s v="3104627849"/>
    <s v="RURAL_125004766200000016_125004766200000016"/>
    <x v="1"/>
    <s v="125004766200000016"/>
    <s v="Envigado"/>
    <x v="8"/>
    <s v="Revisor Puntos de Conexión Metrosur"/>
    <x v="1"/>
    <n v="4"/>
    <s v="2025-11-21 10:57:23"/>
    <s v="4 días 10:57"/>
    <s v="VENCIDO"/>
    <x v="1"/>
    <s v="SIN DATO"/>
    <s v="SIN DATO"/>
    <s v="SIN DATO"/>
    <s v="ABIERTO"/>
    <n v="-75.505121000000003"/>
    <n v="6.1584089999999998"/>
    <s v="SUR-ENE"/>
    <s v="Metropolitana Sur"/>
  </r>
  <r>
    <s v="23590338"/>
    <s v="ENEMRT"/>
    <s v="NUEVO"/>
    <s v="ENEMVI"/>
    <s v="14/11/2025 11:02:50"/>
    <s v="2025-11-14 11:02:50"/>
    <n v="70661453"/>
    <s v="OVIDIO DE JESUS ESTRADA QUIROZ"/>
    <s v="SIN DATOS"/>
    <s v="3011551570"/>
    <s v="CL 53 CR 110 -582"/>
    <x v="0"/>
    <s v="085113000005820000"/>
    <s v="Medellín"/>
    <x v="6"/>
    <s v="METR Mov Red Trans Anderson Castaño"/>
    <x v="0"/>
    <n v="9"/>
    <s v="2025-11-28 11:02:50"/>
    <s v="4 días 11:02"/>
    <s v="5 días 11:02"/>
    <x v="0"/>
    <s v="SIN DATO"/>
    <s v="SIN DATO"/>
    <s v="SIN DATO"/>
    <s v="ABIERTO"/>
    <n v="-75.626345000000001"/>
    <n v="6.269476"/>
    <s v="SUR-ENE"/>
    <s v="Metropolitana Sur"/>
  </r>
  <r>
    <s v="23590366"/>
    <s v="ENERES"/>
    <s v="NUEVO"/>
    <s v="ENERES"/>
    <s v="14/11/2025 11:10:31"/>
    <s v="2025-11-14 11:10:31"/>
    <n v="1128480340"/>
    <s v="ANA CAROLINA CORREA VARGAS"/>
    <s v="SIN DATOS"/>
    <s v="3215925214"/>
    <s v="RURAL_147029412000000121_147029412000000121_LA CUC"/>
    <x v="0"/>
    <s v="147029412000000121"/>
    <s v="Medellín"/>
    <x v="1"/>
    <s v="Revisor Instal. Regadas Metrosur"/>
    <x v="1"/>
    <n v="10"/>
    <s v="2025-12-01 11:10:31"/>
    <s v="4 días 11:10"/>
    <s v="6 días 11:10"/>
    <x v="0"/>
    <s v="SIN DATO"/>
    <s v="SIN DATO"/>
    <s v="SIN DATO"/>
    <s v="ABIERTO"/>
    <n v="-75.659917399999998"/>
    <n v="6.2992705200000003"/>
    <s v="SUR-ENE"/>
    <s v="Metropolitana Sur"/>
  </r>
  <r>
    <s v="23590401"/>
    <s v="ENERES"/>
    <s v="NUEVO"/>
    <s v="ENERES"/>
    <s v="14/11/2025 11:17:53"/>
    <s v="2025-11-14 11:17:53"/>
    <n v="1216713942"/>
    <s v="MONICA JANETH GONZALEZ COBALEDA"/>
    <s v="SIN DATOS"/>
    <s v="3215800008"/>
    <s v="CL 62 CC CR 106 A -84 (INTERIOR 101 )"/>
    <x v="0"/>
    <s v="086012336100840101"/>
    <s v="Medellín"/>
    <x v="1"/>
    <s v="Revisor Instal. Regadas Metrosur"/>
    <x v="0"/>
    <n v="7"/>
    <s v="2025-11-26 11:17:53"/>
    <s v="4 días 11:17"/>
    <s v="3 días 11:17"/>
    <x v="0"/>
    <s v="SIN DATO"/>
    <s v="SIN DATO"/>
    <s v="SIN DATO"/>
    <s v="ABIERTO"/>
    <n v="-75.617935000000003"/>
    <n v="6.2766760000000001"/>
    <s v="SUR-ENE"/>
    <s v="Metropolitana Sur"/>
  </r>
  <r>
    <s v="23590411"/>
    <s v="ENERES"/>
    <s v="NUEVO"/>
    <s v="ENERES"/>
    <s v="14/11/2025 11:21:30"/>
    <s v="2025-11-14 11:21:30"/>
    <n v="71337148"/>
    <s v="JUAN CARLOS ESPINAL VANEGAS"/>
    <s v="4910228"/>
    <s v="3163725494"/>
    <s v="CL 57 A CR 124 C -74"/>
    <x v="0"/>
    <s v="085217104300740000"/>
    <s v="Medellín"/>
    <x v="1"/>
    <s v="Revisor Instal. Regadas Metrosur"/>
    <x v="0"/>
    <n v="7"/>
    <s v="2025-11-26 11:21:30"/>
    <s v="4 días 11:21"/>
    <s v="3 días 11:21"/>
    <x v="0"/>
    <s v="SIN DATO"/>
    <s v="SIN DATO"/>
    <s v="SIN DATO"/>
    <s v="ABIERTO"/>
    <n v="-75.631602979999997"/>
    <n v="6.2742777900000002"/>
    <s v="SUR-ENE"/>
    <s v="Metropolitana Sur"/>
  </r>
  <r>
    <s v="23590419"/>
    <s v="ENERES"/>
    <s v="NUEVO"/>
    <s v="ENERES"/>
    <s v="14/11/2025 11:25:52"/>
    <s v="2025-11-14 11:25:52"/>
    <n v="1038103724"/>
    <s v="INGRID TATIANA HERNANDEZ BETIN"/>
    <s v="SIN DATOS"/>
    <s v="3205606377"/>
    <s v="CL 62 B CR 94 B -65"/>
    <x v="0"/>
    <s v="056912204200650000"/>
    <s v="Medellín"/>
    <x v="1"/>
    <s v="Revisor Instal. Regadas Metrosur"/>
    <x v="0"/>
    <n v="7"/>
    <s v="2025-11-26 11:25:52"/>
    <s v="4 días 11:25"/>
    <s v="3 días 11:25"/>
    <x v="0"/>
    <s v="SIN DATO"/>
    <s v="SIN DATO"/>
    <s v="SIN DATO"/>
    <s v="ABIERTO"/>
    <n v="-75.606103689999998"/>
    <n v="6.2780164699999998"/>
    <s v="SUR-ENE"/>
    <s v="Metropolitana Sur"/>
  </r>
  <r>
    <s v="23590424"/>
    <s v="ENENOR"/>
    <s v="NUEVO"/>
    <s v="ENENOR"/>
    <s v="14/11/2025 11:30:45"/>
    <s v="2025-11-14 11:30:45"/>
    <n v="51927043"/>
    <s v="DOLLY DEL SOCORRO RESTREPO ARROYABE"/>
    <s v="SIN DATOS"/>
    <s v="3228276623"/>
    <s v="RURAL_114014507600000202_VEREDA BELEN MANZANILLO"/>
    <x v="0"/>
    <s v="114014507600000202"/>
    <s v="Medellín"/>
    <x v="2"/>
    <s v="Revisor Instal. Regadas Metrosur"/>
    <x v="1"/>
    <n v="10"/>
    <s v="2025-12-01 11:30:45"/>
    <s v="4 días 11:30"/>
    <s v="6 días 11:30"/>
    <x v="0"/>
    <s v="SIN DATO"/>
    <s v="SIN DATO"/>
    <s v="SIN DATO"/>
    <s v="ABIERTO"/>
    <n v="-75.612179549999993"/>
    <n v="6.2063421600000002"/>
    <s v="SUR-ENE"/>
    <s v="Metropolitana Sur"/>
  </r>
  <r>
    <s v="23590425"/>
    <s v="ENECNX"/>
    <s v="NUEVO"/>
    <s v="ENECNX"/>
    <s v="14/11/2025 11:31:26"/>
    <s v="2025-11-14 11:31:26"/>
    <n v="70727208"/>
    <s v="HUMBERTO DE JESUS BETANCUR OCAMPO"/>
    <s v="3278033"/>
    <s v="3103744773"/>
    <s v="CR 48 CL 131 SUR -31 (INTERIOR 5 )"/>
    <x v="3"/>
    <s v="003428001000310005"/>
    <s v="Caldas"/>
    <x v="8"/>
    <s v="Revisor Puntos de Conexión Metrosur"/>
    <x v="0"/>
    <n v="4"/>
    <s v="2025-11-21 11:31:26"/>
    <s v="4 días 11:31"/>
    <s v="VENCIDO"/>
    <x v="1"/>
    <s v="SIN DATO"/>
    <s v="SIN DATO"/>
    <s v="SIN DATO"/>
    <s v="ABIERTO"/>
    <n v="-75.634549000000007"/>
    <n v="6.0903359999999997"/>
    <s v="SUR-ENE"/>
    <s v="Metropolitana Sur"/>
  </r>
  <r>
    <s v="23590430"/>
    <s v="ENERES"/>
    <s v="NUEVO"/>
    <s v="ENERES"/>
    <s v="14/11/2025 11:33:50"/>
    <s v="2025-11-14 11:33:50"/>
    <n v="43111133"/>
    <s v="SANDRA MILENA GOEZ BORJA"/>
    <s v="SIN DATOS"/>
    <s v="3186912408"/>
    <s v="CR 55 D CL 12 AA SUR -122 (INTERIOR 416 )"/>
    <x v="0"/>
    <s v="041525402111220416"/>
    <s v="Medellín"/>
    <x v="1"/>
    <s v="Revisor Instal. Regadas Metrosur"/>
    <x v="0"/>
    <n v="7"/>
    <s v="2025-11-26 11:33:50"/>
    <s v="4 días 11:33"/>
    <s v="3 días 11:33"/>
    <x v="0"/>
    <s v="SIN DATO"/>
    <s v="SIN DATO"/>
    <s v="SIN DATO"/>
    <s v="ABIERTO"/>
    <n v="-75.596320590000005"/>
    <n v="6.1989238899999997"/>
    <s v="SUR-ENE"/>
    <s v="Metropolitana Sur"/>
  </r>
  <r>
    <s v="23590439"/>
    <s v="ENECNX"/>
    <s v="NUEVO"/>
    <s v="ENECNX"/>
    <s v="14/11/2025 11:42:18"/>
    <s v="2025-11-14 11:42:18"/>
    <n v="88284888"/>
    <s v="FREIMAN ALFONSO HERRERA BARBOSA"/>
    <s v="SIN DATOS"/>
    <s v="3243951312"/>
    <s v="CL 54 CR 54 -34"/>
    <x v="0"/>
    <s v="055514004000340000"/>
    <s v="Medellín"/>
    <x v="8"/>
    <s v="Revisor Puntos de Conexión Metrosur"/>
    <x v="0"/>
    <n v="4"/>
    <s v="2025-11-21 11:42:18"/>
    <s v="4 días 11:42"/>
    <s v="VENCIDO"/>
    <x v="1"/>
    <s v="SIN DATO"/>
    <s v="SIN DATO"/>
    <s v="SIN DATO"/>
    <s v="ABIERTO"/>
    <n v="-75.570417689999999"/>
    <n v="6.2547690999999999"/>
    <s v="SUR-ENE"/>
    <s v="Metropolitana Sur"/>
  </r>
  <r>
    <s v="23590459"/>
    <s v="ENECNX"/>
    <s v="NUEVO"/>
    <s v="ENECNX"/>
    <s v="14/11/2025 11:53:34"/>
    <s v="2025-11-14 11:53:34"/>
    <n v="70351733"/>
    <s v="HECTOR ABAD GARCIA BUITRAGO"/>
    <s v="SIN DATOS"/>
    <s v="3243951312"/>
    <s v="RURAL_146018074000000000_RURAL_PALMITAS"/>
    <x v="0"/>
    <s v="146018074000000000"/>
    <s v="Medellín"/>
    <x v="8"/>
    <s v="Revisor Puntos de Conexión Metrosur"/>
    <x v="1"/>
    <n v="4"/>
    <s v="2025-11-21 11:53:34"/>
    <s v="4 días 11:53"/>
    <s v="0 días 11:53"/>
    <x v="3"/>
    <s v="SIN DATO"/>
    <s v="SIN DATO"/>
    <s v="SIN DATO"/>
    <s v="ABIERTO"/>
    <n v="-75.702761260000003"/>
    <n v="6.3421014600000003"/>
    <s v="SUR-ENE"/>
    <s v="Metropolitana Sur"/>
  </r>
  <r>
    <s v="23590465"/>
    <s v="ENERES"/>
    <s v="NUEVO"/>
    <s v="ENERES"/>
    <s v="14/11/2025 11:57:46"/>
    <s v="2025-11-14 11:57:46"/>
    <n v="1128475722"/>
    <s v="DANILO CORREA VARGAS"/>
    <s v="SIN DATOS"/>
    <s v="3003040599"/>
    <s v="CL 62 CR 127 -139 (INTERIOR 501 )"/>
    <x v="0"/>
    <s v="086212007001390501"/>
    <s v="Medellín"/>
    <x v="1"/>
    <s v="Revisor Instal. Regadas Metrosur"/>
    <x v="0"/>
    <n v="7"/>
    <s v="2025-11-26 11:57:46"/>
    <s v="4 días 11:57"/>
    <s v="3 días 11:57"/>
    <x v="0"/>
    <s v="SIN DATO"/>
    <s v="SIN DATO"/>
    <s v="SIN DATO"/>
    <s v="ABIERTO"/>
    <n v="-75.633336439999994"/>
    <n v="6.2786678"/>
    <s v="SUR-ENE"/>
    <s v="Metropolitana Sur"/>
  </r>
  <r>
    <s v="23590493"/>
    <s v="ENERES"/>
    <s v="NUEVO"/>
    <s v="ENERES"/>
    <s v="14/11/2025 12:25:47"/>
    <s v="2025-11-14 12:25:47"/>
    <n v="43320892"/>
    <s v="DORA LUCIA PULGARIN PEREZ"/>
    <s v="SIN DATOS"/>
    <s v="3053299866"/>
    <s v="CL 59 CR 85 -31 (INTERIOR 301 )"/>
    <x v="0"/>
    <s v="055819005000310301"/>
    <s v="Medellín"/>
    <x v="1"/>
    <s v="Revisor Instal. Regadas Metrosur"/>
    <x v="0"/>
    <n v="7"/>
    <s v="2025-11-26 12:25:47"/>
    <s v="4 días 12:25"/>
    <s v="3 días 12:25"/>
    <x v="0"/>
    <s v="SIN DATO"/>
    <s v="SIN DATO"/>
    <s v="SIN DATO"/>
    <s v="ABIERTO"/>
    <n v="-75.597865619999993"/>
    <n v="6.2733324000000001"/>
    <s v="SUR-ENE"/>
    <s v="Metropolitana Sur"/>
  </r>
  <r>
    <s v="23590499"/>
    <s v="ENEMRT"/>
    <s v="NUEVO"/>
    <s v="ENEMVI"/>
    <s v="14/11/2025 12:33:23"/>
    <s v="2025-11-14 12:33:23"/>
    <n v="71385069"/>
    <s v="JAIME ANDRES GONZALEZ MARIN"/>
    <s v="4767954"/>
    <s v="3156637206"/>
    <s v="CL 23 CR 84 BC -75 (INTERIOR 103 )"/>
    <x v="0"/>
    <s v="052813004230750103"/>
    <s v="Medellín"/>
    <x v="6"/>
    <s v="METR Mov Red Trans Anderson Castaño"/>
    <x v="0"/>
    <n v="9"/>
    <s v="2025-11-28 12:33:23"/>
    <s v="4 días 12:33"/>
    <s v="5 días 12:33"/>
    <x v="0"/>
    <s v="SIN DATO"/>
    <s v="SIN DATO"/>
    <s v="SIN DATO"/>
    <s v="ABIERTO"/>
    <n v="-75.608935439999996"/>
    <n v="6.2273547699999998"/>
    <s v="SUR-ENE"/>
    <s v="Metropolitana Sur"/>
  </r>
  <r>
    <s v="23590579"/>
    <s v="ENERES"/>
    <s v="NUEVO"/>
    <s v="ENERES"/>
    <s v="14/11/2025 13:24:11"/>
    <s v="2025-11-14 13:24:11"/>
    <n v="1007358789"/>
    <s v="ESTEFANY CAROLINA FLOREZ MONTOYA"/>
    <s v="SIN DATOS"/>
    <s v="3103954912"/>
    <s v="RURAL_147006695300000001_147006695300000001_LA PAL"/>
    <x v="0"/>
    <s v="147006695300000001"/>
    <s v="Medellín"/>
    <x v="1"/>
    <s v="Revisor Instal. Regadas Metrosur"/>
    <x v="1"/>
    <n v="10"/>
    <s v="2025-12-01 13:24:11"/>
    <s v="4 días 13:24"/>
    <s v="6 días 13:24"/>
    <x v="0"/>
    <s v="SIN DATO"/>
    <s v="SIN DATO"/>
    <s v="SIN DATO"/>
    <s v="ABIERTO"/>
    <n v="-75.654063280000003"/>
    <n v="6.2711966500000003"/>
    <s v="SUR-ENE"/>
    <s v="Metropolitana Sur"/>
  </r>
  <r>
    <s v="23590581"/>
    <s v="ENEPRE"/>
    <s v="NUEVO"/>
    <s v="ENEPRE"/>
    <s v="14/11/2025 13:25:32"/>
    <s v="2025-11-14 13:25:32"/>
    <n v="21895659"/>
    <s v="FABIOLA  TORO OCAMPO"/>
    <s v="SIN DATOS"/>
    <s v="3122839375"/>
    <s v="RURAL_167112042500000000_167112042500000000"/>
    <x v="5"/>
    <s v="167112042500000000"/>
    <s v="Sabaneta"/>
    <x v="3"/>
    <s v="Energía Prepago Metrosur"/>
    <x v="1"/>
    <n v="11"/>
    <s v="2025-12-02 13:25:32"/>
    <s v="4 días 13:25"/>
    <s v="7 días 13:25"/>
    <x v="0"/>
    <s v="SIN DATO"/>
    <s v="SIN DATO"/>
    <s v="SIN DATO"/>
    <s v="ABIERTO"/>
    <n v="-75.602042060000002"/>
    <n v="6.1511245099999998"/>
    <s v="SUR-ENE"/>
    <s v="Metropolitana Sur"/>
  </r>
  <r>
    <s v="23590588"/>
    <s v="ENENOR"/>
    <s v="NUEVO"/>
    <s v="ENENOR"/>
    <s v="14/11/2025 13:31:20"/>
    <s v="2025-11-14 13:31:20"/>
    <n v="900467839"/>
    <s v="ANTIOQUEÑA DE REFRIFERACION LF SAS"/>
    <s v="4082870"/>
    <s v="3136718162"/>
    <s v="CR 54 CL 39 -29"/>
    <x v="0"/>
    <s v="053524009000290000"/>
    <s v="Medellín"/>
    <x v="2"/>
    <s v="Revisor Instal. Regadas Metrosur"/>
    <x v="0"/>
    <n v="7"/>
    <s v="2025-11-26 13:31:20"/>
    <s v="4 días 13:31"/>
    <s v="3 días 13:31"/>
    <x v="0"/>
    <s v="SIN DATO"/>
    <s v="SIN DATO"/>
    <s v="SIN DATO"/>
    <s v="ABIERTO"/>
    <n v="-75.574965950000006"/>
    <n v="6.24096326"/>
    <s v="SUR-ENE"/>
    <s v="Metropolitana Sur"/>
  </r>
  <r>
    <s v="23590623"/>
    <s v="ENENOR"/>
    <s v="NUEVO"/>
    <s v="ENENOR"/>
    <s v="14/11/2025 13:47:18"/>
    <s v="2025-11-14 13:47:18"/>
    <n v="890984423"/>
    <s v="AREA METROPOLITANA DEL VALLE DE ABURRA"/>
    <s v="3856000"/>
    <s v="3174274256"/>
    <s v="CR 101 CL 31 E -35"/>
    <x v="0"/>
    <s v="083021001500350000"/>
    <s v="Medellín"/>
    <x v="2"/>
    <s v="Revisor Instal. Regadas Metrosur"/>
    <x v="0"/>
    <n v="7"/>
    <s v="2025-11-26 13:47:18"/>
    <s v="4 días 13:47"/>
    <s v="3 días 13:47"/>
    <x v="0"/>
    <s v="SIN DATO"/>
    <s v="SIN DATO"/>
    <s v="SIN DATO"/>
    <s v="ABIERTO"/>
    <n v="-75.620465429999996"/>
    <n v="6.2366439600000003"/>
    <s v="SUR-ENE"/>
    <s v="Metropolitana Sur"/>
  </r>
  <r>
    <s v="23590646"/>
    <s v="ENEPRE"/>
    <s v="NUEVO"/>
    <s v="ENEPRE"/>
    <s v="14/11/2025 13:52:06"/>
    <s v="2025-11-14 13:52:06"/>
    <n v="21895659"/>
    <s v="FABIOLA  TORO OCAMPO"/>
    <s v="SIN DATOS"/>
    <s v="3122839375"/>
    <s v="RURAL_167112042000000000_167112042000000000"/>
    <x v="5"/>
    <s v="167112042000000000"/>
    <s v="Sabaneta"/>
    <x v="3"/>
    <s v="Energía Prepago Metrosur"/>
    <x v="1"/>
    <n v="11"/>
    <s v="2025-12-02 13:52:06"/>
    <s v="4 días 13:52"/>
    <s v="7 días 13:52"/>
    <x v="0"/>
    <s v="SIN DATO"/>
    <s v="SIN DATO"/>
    <s v="SIN DATO"/>
    <s v="ABIERTO"/>
    <n v="-75.601977129999995"/>
    <n v="6.1511792600000001"/>
    <s v="SUR-ENE"/>
    <s v="Metropolitana Sur"/>
  </r>
  <r>
    <s v="23590692"/>
    <s v="ENENOR"/>
    <s v="NUEVO"/>
    <s v="ENENOR"/>
    <s v="14/11/2025 14:13:58"/>
    <s v="2025-11-14 14:13:58"/>
    <n v="1041324568"/>
    <s v="CARLOS MARIO AGUDELO MARIN"/>
    <s v="4815210"/>
    <s v="3044299850"/>
    <s v="RURAL_146001904000000004"/>
    <x v="0"/>
    <s v="146001904000000004"/>
    <s v="Medellín"/>
    <x v="2"/>
    <s v="Revisor Instal. Regadas Metrosur"/>
    <x v="1"/>
    <n v="10"/>
    <s v="2025-12-01 14:13:58"/>
    <s v="4 días 14:13"/>
    <s v="6 días 14:13"/>
    <x v="0"/>
    <s v="SIN DATO"/>
    <s v="SIN DATO"/>
    <s v="SIN DATO"/>
    <s v="ABIERTO"/>
    <n v="-75.619883150000007"/>
    <n v="6.29025722"/>
    <s v="SUR-ENE"/>
    <s v="Metropolitana Sur"/>
  </r>
  <r>
    <s v="23590703"/>
    <s v="ENERES"/>
    <s v="NUEVO"/>
    <s v="ENEDOM"/>
    <s v="14/11/2025 14:15:42"/>
    <s v="2025-11-14 14:15:42"/>
    <n v="1036688069"/>
    <s v="DARLYN PARRA RESTREPO"/>
    <s v="SIN DATOS"/>
    <s v="3117736374"/>
    <s v="CL 58 A SUR CR 62 B -49 (INTERIOR 201 )"/>
    <x v="0"/>
    <s v="045618102200490201"/>
    <s v="Medellín"/>
    <x v="0"/>
    <s v="Habilitación Viviendas Metrosur"/>
    <x v="0"/>
    <n v="5"/>
    <s v="2025-11-24 14:15:42"/>
    <s v="4 días 14:15"/>
    <s v="1 días 14:15"/>
    <x v="2"/>
    <s v="SIN DATO"/>
    <s v="SIN DATO"/>
    <s v="SIN DATO"/>
    <s v="ABIERTO"/>
    <n v="-75.644141469999994"/>
    <n v="6.1724034999999997"/>
    <s v="SUR-ENE"/>
    <s v="Metropolitana Sur"/>
  </r>
  <r>
    <s v="23590739"/>
    <s v="ENECNX"/>
    <s v="NUEVO"/>
    <s v="ENECNX"/>
    <s v="14/11/2025 14:26:55"/>
    <s v="2025-11-14 14:26:55"/>
    <n v="70509620"/>
    <s v="HUMBERTO DE JESUS QUIROZ GONZALEZ"/>
    <s v="2775135"/>
    <s v="3197538987"/>
    <s v="CR 56 CL 46 -35 (INTERIOR 201 )"/>
    <x v="2"/>
    <s v="074526006000350201"/>
    <s v="Itaguí"/>
    <x v="8"/>
    <s v="Revisor Puntos de Conexión Metrosur"/>
    <x v="0"/>
    <n v="4"/>
    <s v="2025-11-21 14:26:55"/>
    <s v="4 días 14:26"/>
    <s v="0 días 14:26"/>
    <x v="3"/>
    <s v="SIN DATO"/>
    <s v="SIN DATO"/>
    <s v="SIN DATO"/>
    <s v="ABIERTO"/>
    <n v="-75.614086209999996"/>
    <n v="6.1754344899999998"/>
    <s v="SUR-ENE"/>
    <s v="Metropolitana Sur"/>
  </r>
  <r>
    <s v="23590750"/>
    <s v="ENEPRE"/>
    <s v="RETIR"/>
    <s v="ENEPRE"/>
    <s v="14/11/2025 14:33:18"/>
    <s v="2025-11-14 14:33:18"/>
    <n v="42781031"/>
    <s v="LUZ MERY TORRES MONTES"/>
    <s v="SIN DATOS"/>
    <s v="3004743703"/>
    <s v="CR 52 A CL 77 -12 (INTERIOR 300 )"/>
    <x v="2"/>
    <s v="077522107000120300-ENEPRE"/>
    <s v="Itaguí"/>
    <x v="11"/>
    <s v="Energía Prepago Metrosur"/>
    <x v="0"/>
    <n v="11"/>
    <s v="2025-12-02 14:33:18"/>
    <s v="4 días 14:33"/>
    <s v="7 días 14:33"/>
    <x v="0"/>
    <s v="SIN DATO"/>
    <s v="SIN DATO"/>
    <s v="SIN DATO"/>
    <s v="ABIERTO"/>
    <n v="-75.595671519999996"/>
    <n v="6.1865448799999996"/>
    <s v="SUR-ENE"/>
    <s v="Metropolitana Sur"/>
  </r>
  <r>
    <s v="23590764"/>
    <s v="ENENOR"/>
    <s v="CAMBI"/>
    <s v="ENENOR"/>
    <s v="14/11/2025 14:42:30"/>
    <s v="2025-11-14 14:42:30"/>
    <n v="98524496"/>
    <s v="JORGE HERNANDO CASTRILLON BUSTAMANTE"/>
    <s v="3723952"/>
    <s v="3003949089"/>
    <s v="CL 47 C CR 61 -105 (INTERIOR 151 )"/>
    <x v="2"/>
    <s v="074617301001050151"/>
    <s v="Itaguí"/>
    <x v="7"/>
    <s v="METROSUR Vin. Leg. Ref. Concentrada"/>
    <x v="0"/>
    <n v="7"/>
    <s v="2025-11-26 14:42:30"/>
    <s v="4 días 14:42"/>
    <s v="3 días 14:42"/>
    <x v="0"/>
    <s v="SIN DATO"/>
    <s v="SIN DATO"/>
    <s v="SIN DATO"/>
    <s v="ABIERTO"/>
    <n v="-75.612784000000005"/>
    <n v="6.1808550000000002"/>
    <s v="SUR-ENE"/>
    <s v="Metropolitana Sur"/>
  </r>
  <r>
    <s v="23590775"/>
    <s v="ENENOR"/>
    <s v="CAMBI"/>
    <s v="ENENOR"/>
    <s v="14/11/2025 14:51:06"/>
    <s v="2025-11-14 14:51:06"/>
    <n v="98524496"/>
    <s v="JORGE HERNANDO CASTRILLON BUSTAMANTE"/>
    <s v="2772552"/>
    <s v="3003949089"/>
    <s v="CL 47 C CR 61 -105 (INTERIOR 149 )"/>
    <x v="2"/>
    <s v="074617301001050149"/>
    <s v="Itaguí"/>
    <x v="7"/>
    <s v="METROSUR Vin. Leg. Ref. Concentrada"/>
    <x v="0"/>
    <n v="7"/>
    <s v="2025-11-26 14:51:06"/>
    <s v="4 días 14:51"/>
    <s v="3 días 14:51"/>
    <x v="0"/>
    <s v="SIN DATO"/>
    <s v="SIN DATO"/>
    <s v="SIN DATO"/>
    <s v="ABIERTO"/>
    <n v="-75.612784000000005"/>
    <n v="6.1808550000000002"/>
    <s v="SUR-ENE"/>
    <s v="Metropolitana Sur"/>
  </r>
  <r>
    <s v="23590778"/>
    <s v="ENEPRE"/>
    <s v="NUEVO"/>
    <s v="ENEPRE"/>
    <s v="14/11/2025 14:53:29"/>
    <s v="2025-11-18 12:00:25"/>
    <n v="15405513"/>
    <s v="YESID HIDALGO CASTRO"/>
    <s v="SIN DATOS"/>
    <s v="3234940521"/>
    <s v="RURAL_136029478020000001_CL58 CR102 A -196 INT200"/>
    <x v="0"/>
    <s v="136029478020000001"/>
    <s v="Medellín"/>
    <x v="0"/>
    <s v="Energía Prepago Metrosur"/>
    <x v="1"/>
    <n v="8"/>
    <s v="2025-11-28 12:00:25"/>
    <s v="3 días 12:00"/>
    <s v="5 días 12:00"/>
    <x v="0"/>
    <s v="SIN DATO"/>
    <s v="SIN DATO"/>
    <s v="SIN DATO"/>
    <s v="ABIERTO"/>
    <n v="-75.611799020000007"/>
    <n v="6.2745011699999997"/>
    <s v="SUR-ENE"/>
    <s v="Metropolitana Sur"/>
  </r>
  <r>
    <s v="23590794"/>
    <s v="ENENOR"/>
    <s v="CAMBI"/>
    <s v="ENENOR"/>
    <s v="14/11/2025 15:00:24"/>
    <s v="2025-11-14 15:00:24"/>
    <n v="98524496"/>
    <s v="JORGE HERNANDO CASTRILLON BUSTAMANTE"/>
    <s v="2772552"/>
    <s v="3003949089"/>
    <s v="CL 47 C CR 61 -105 (INTERIOR 148 )"/>
    <x v="2"/>
    <s v="074617301001050148"/>
    <s v="Itaguí"/>
    <x v="7"/>
    <s v="METROSUR Vin. Leg. Ref. Concentrada"/>
    <x v="0"/>
    <n v="7"/>
    <s v="2025-11-26 15:00:24"/>
    <s v="4 días 15:00"/>
    <s v="3 días 15:00"/>
    <x v="0"/>
    <s v="SIN DATO"/>
    <s v="SIN DATO"/>
    <s v="SIN DATO"/>
    <s v="ABIERTO"/>
    <n v="-75.612784000000005"/>
    <n v="6.1808550000000002"/>
    <s v="SUR-ENE"/>
    <s v="Metropolitana Sur"/>
  </r>
  <r>
    <s v="23590824"/>
    <s v="ENEPRE"/>
    <s v="NUEVO"/>
    <s v="ENEPRE"/>
    <s v="14/11/2025 15:22:18"/>
    <s v="2025-11-14 17:09:19"/>
    <n v="1000207533"/>
    <s v="LAURA VANESA RIVERA CASTRILLON"/>
    <s v="SIN DATOS"/>
    <s v="3045422050"/>
    <s v="CL 48 FA CR 100 AD -13 (INTERIOR 201 )"/>
    <x v="0"/>
    <s v="084018610140130201"/>
    <s v="Medellín"/>
    <x v="0"/>
    <s v="Energía Prepago Metrosur"/>
    <x v="0"/>
    <n v="5"/>
    <s v="2025-11-24 17:09:19"/>
    <s v="4 días 17:09"/>
    <s v="1 días 17:09"/>
    <x v="2"/>
    <s v="SIN DATO"/>
    <s v="SIN DATO"/>
    <s v="SIN DATO"/>
    <s v="ABIERTO"/>
    <n v="-75.616028999999997"/>
    <n v="6.2611179999999997"/>
    <s v="SUR-ENE"/>
    <s v="Metropolitana Sur"/>
  </r>
  <r>
    <s v="23590826"/>
    <s v="ENERES"/>
    <s v="NUEVO"/>
    <s v="ENEDOM"/>
    <s v="14/11/2025 15:23:28"/>
    <s v="2025-11-14 15:23:28"/>
    <n v="1026162432"/>
    <s v="YURANI ATEHORTUA ATEHORTUA"/>
    <s v="SIN DATOS"/>
    <s v="3052063337"/>
    <s v="RURAL_161071503000000104_RURAL_161071503000000104"/>
    <x v="3"/>
    <s v="161071503000000104"/>
    <s v="Caldas"/>
    <x v="0"/>
    <s v="MET Rev-Inst-Concentra E_CR014"/>
    <x v="1"/>
    <n v="8"/>
    <s v="2025-11-27 15:23:28"/>
    <s v="4 días 15:23"/>
    <s v="4 días 15:23"/>
    <x v="0"/>
    <s v="SIN DATO"/>
    <s v="SIN DATO"/>
    <s v="SIN DATO"/>
    <s v="ABIERTO"/>
    <n v="-75.636649239999997"/>
    <n v="6.05487398"/>
    <s v="SUR-ENE"/>
    <s v="Metropolitana Sur"/>
  </r>
  <r>
    <s v="23590847"/>
    <s v="ENEMRT"/>
    <s v="NUEVO"/>
    <s v="ENEMVI"/>
    <s v="14/11/2025 15:40:45"/>
    <s v="2025-11-20 15:41:33"/>
    <n v="1127593111"/>
    <s v="GINA PAOLA BELTRAN MADERA"/>
    <s v="SIN DATOS"/>
    <s v="3178663018"/>
    <s v="RURAL_163004487900000201_163004487900000201"/>
    <x v="2"/>
    <s v="163004487900000201"/>
    <s v="Itaguí"/>
    <x v="6"/>
    <s v="Mov Red Trans Dairo Gil"/>
    <x v="1"/>
    <n v="14"/>
    <s v="2025-12-11 15:41:33"/>
    <s v="0 días 15:41"/>
    <s v="13 días 15:41"/>
    <x v="0"/>
    <s v="SIN DATO"/>
    <s v="SIN DATO"/>
    <s v="SIN DATO"/>
    <s v="ABIERTO"/>
    <n v="-75.614358710000005"/>
    <n v="6.1695976300000002"/>
    <s v="SUR-ENE"/>
    <s v="Metropolitana Sur"/>
  </r>
  <r>
    <s v="23590849"/>
    <s v="ENERES"/>
    <s v="NUEVO"/>
    <s v="ENERES"/>
    <s v="14/11/2025 15:41:08"/>
    <s v="2025-11-14 15:41:08"/>
    <n v="1003432877"/>
    <s v="ALEJANDRO CALLE GIRALDO"/>
    <s v="SIN DATOS"/>
    <s v="3113927920"/>
    <s v="RURAL_122015996200000011_VDA LA TOMATERA CABANA"/>
    <x v="0"/>
    <s v="122015996200000011"/>
    <s v="Medellín"/>
    <x v="1"/>
    <s v="METROSUR Vin. Leg. Ref. Concentrada"/>
    <x v="1"/>
    <n v="10"/>
    <s v="2025-12-01 15:41:08"/>
    <s v="4 días 15:41"/>
    <s v="6 días 15:41"/>
    <x v="0"/>
    <s v="SIN DATO"/>
    <s v="SIN DATO"/>
    <s v="SIN DATO"/>
    <s v="ABIERTO"/>
    <n v="-75.487911639999993"/>
    <n v="6.2575552400000003"/>
    <s v="SUR-ENE"/>
    <s v="Metropolitana Sur"/>
  </r>
  <r>
    <s v="23590850"/>
    <s v="ENENOR"/>
    <s v="NUEVO"/>
    <s v="ENENOR"/>
    <s v="14/11/2025 15:41:47"/>
    <s v="2025-11-14 15:41:47"/>
    <n v="98663294"/>
    <s v="CARLOS EDUARDO CALLE RIOS"/>
    <s v="SIN DATOS"/>
    <s v="3113927920"/>
    <s v="RURAL_122015996200000012_VDA LA TOMATERA CAFE DE G"/>
    <x v="0"/>
    <s v="122015996200000012"/>
    <s v="Medellín"/>
    <x v="2"/>
    <s v="METROSUR Vin. Leg. Ref. Concentrada"/>
    <x v="1"/>
    <n v="10"/>
    <s v="2025-12-01 15:41:47"/>
    <s v="4 días 15:41"/>
    <s v="6 días 15:41"/>
    <x v="0"/>
    <s v="SIN DATO"/>
    <s v="SIN DATO"/>
    <s v="SIN DATO"/>
    <s v="ABIERTO"/>
    <n v="-75.487911639999993"/>
    <n v="6.2575552400000003"/>
    <s v="SUR-ENE"/>
    <s v="Metropolitana Sur"/>
  </r>
  <r>
    <s v="23590854"/>
    <s v="ENENOR"/>
    <s v="NUEVO"/>
    <s v="ENENOR"/>
    <s v="14/11/2025 15:44:16"/>
    <s v="2025-11-14 15:44:16"/>
    <n v="98663294"/>
    <s v="CARLOS EDUARDO CALLE RIOS"/>
    <s v="SIN DATOS"/>
    <s v="3113927920"/>
    <s v="RURAL_122015996200000013_VDA LA TOMATERA TALLER EL"/>
    <x v="0"/>
    <s v="122015996200000013"/>
    <s v="Medellín"/>
    <x v="2"/>
    <s v="METROSUR Vin. Leg. Ref. Concentrada"/>
    <x v="1"/>
    <n v="10"/>
    <s v="2025-12-01 15:44:16"/>
    <s v="4 días 15:44"/>
    <s v="6 días 15:44"/>
    <x v="0"/>
    <s v="SIN DATO"/>
    <s v="SIN DATO"/>
    <s v="SIN DATO"/>
    <s v="ABIERTO"/>
    <n v="-75.487911639999993"/>
    <n v="6.2575552400000003"/>
    <s v="SUR-ENE"/>
    <s v="Metropolitana Sur"/>
  </r>
  <r>
    <s v="23590856"/>
    <s v="ENEMRT"/>
    <s v="NUEVO"/>
    <s v="ENEMVI"/>
    <s v="14/11/2025 15:46:02"/>
    <s v="2025-11-14 15:46:02"/>
    <n v="71743698"/>
    <s v="DIEGO ALEJANDRO CUERVO GOMEZ"/>
    <s v="SIN DATOS"/>
    <s v="3206923668"/>
    <s v="CR 96 A CL 62 D -5"/>
    <x v="0"/>
    <s v="056926102400050000"/>
    <s v="Medellín"/>
    <x v="6"/>
    <s v="METR Mov Red Trans Anderson Castaño"/>
    <x v="0"/>
    <n v="9"/>
    <s v="2025-11-28 15:46:02"/>
    <s v="4 días 15:46"/>
    <s v="5 días 15:46"/>
    <x v="0"/>
    <s v="SIN DATO"/>
    <s v="SIN DATO"/>
    <s v="SIN DATO"/>
    <s v="ABIERTO"/>
    <n v="-75.607001539999999"/>
    <n v="6.2786433800000001"/>
    <s v="SUR-ENE"/>
    <s v="Metropolitana Sur"/>
  </r>
  <r>
    <s v="23590862"/>
    <s v="ENERES"/>
    <s v="NUEVO"/>
    <s v="ENERES"/>
    <s v="14/11/2025 15:52:12"/>
    <s v="2025-11-14 15:52:12"/>
    <n v="71625626"/>
    <s v="JORGE  VILLEGAS"/>
    <s v="3133922"/>
    <s v="3155111106"/>
    <s v="CL 21 CR 57 -26 (INTERIOR 301 )"/>
    <x v="0"/>
    <s v="052511007000260301"/>
    <s v="Medellín"/>
    <x v="1"/>
    <s v="Revisor Instal. Regadas Metrosur"/>
    <x v="0"/>
    <n v="7"/>
    <s v="2025-11-26 15:52:12"/>
    <s v="4 días 15:52"/>
    <s v="3 días 15:52"/>
    <x v="0"/>
    <s v="SIN DATO"/>
    <s v="SIN DATO"/>
    <s v="SIN DATO"/>
    <s v="ABIERTO"/>
    <n v="-75.582364420000005"/>
    <n v="6.2232420800000003"/>
    <s v="SUR-ENE"/>
    <s v="Metropolitana Sur"/>
  </r>
  <r>
    <s v="23590871"/>
    <s v="ENERES"/>
    <s v="NUEVO"/>
    <s v="ENEDOM"/>
    <s v="14/11/2025 15:59:57"/>
    <s v="2025-11-14 15:59:57"/>
    <n v="70062064"/>
    <s v="ALVARO DE JESUS TRUJILLO DELGADO"/>
    <s v="SIN DATOS"/>
    <s v="3155113658"/>
    <s v="RURAL_122023590000000001_VEREDA EL PLAN"/>
    <x v="0"/>
    <s v="122023590000000001"/>
    <s v="Medellín"/>
    <x v="0"/>
    <s v="Habilitación Viviendas Metrosur"/>
    <x v="1"/>
    <n v="8"/>
    <s v="2025-11-27 15:59:57"/>
    <s v="4 días 15:59"/>
    <s v="4 días 15:59"/>
    <x v="0"/>
    <s v="SIN DATO"/>
    <s v="SIN DATO"/>
    <s v="SIN DATO"/>
    <s v="ABIERTO"/>
    <n v="-75.516253860000006"/>
    <n v="6.2099148099999999"/>
    <s v="SUR-ENE"/>
    <s v="Metropolitana Sur"/>
  </r>
  <r>
    <s v="23590877"/>
    <s v="ENERES"/>
    <s v="NUEVO"/>
    <s v="ENEDOM"/>
    <s v="21/11/2025 06:25:25"/>
    <s v="2025-11-21 06:25:25"/>
    <n v="71530881"/>
    <s v="ANGEL MARIA GRISALES RAMIREZ"/>
    <s v="SIN DATOS"/>
    <s v="3127572010"/>
    <s v="CL 67 A CR 118 -59 (INTERIOR 201 )"/>
    <x v="0"/>
    <s v="086117108000590201"/>
    <s v="Medellín"/>
    <x v="5"/>
    <s v="Habilitación Viviendas Metrosur"/>
    <x v="0"/>
    <n v="5"/>
    <s v="2025-11-28 06:25:25"/>
    <s v="0 días 06:25"/>
    <s v="5 días 06:25"/>
    <x v="0"/>
    <s v="SIN DATO"/>
    <s v="SIN DATO"/>
    <s v="SIN DATO"/>
    <s v="ABIERTO"/>
    <n v="-75.624555799999996"/>
    <n v="6.2824627800000004"/>
    <s v="SUR-ENE"/>
    <s v="Metropolitana Sur"/>
  </r>
  <r>
    <s v="23590897"/>
    <s v="ENERES"/>
    <s v="NUEVO"/>
    <s v="ENEDOM"/>
    <s v="14/11/2025 16:22:21"/>
    <s v="2025-11-14 16:22:21"/>
    <n v="15322992"/>
    <s v="GERMAN ALONSO BARRERA SEPULVEDA"/>
    <s v="SIN DATOS"/>
    <s v="3017085786"/>
    <s v="RURAL_122004401500000002_VDA SANTA ELENA"/>
    <x v="0"/>
    <s v="122004401500000002"/>
    <s v="Medellín"/>
    <x v="0"/>
    <s v="Habilitación Viviendas Metrosur"/>
    <x v="1"/>
    <n v="8"/>
    <s v="2025-11-27 16:22:21"/>
    <s v="4 días 16:22"/>
    <s v="4 días 16:22"/>
    <x v="0"/>
    <s v="SIN DATO"/>
    <s v="SIN DATO"/>
    <s v="SIN DATO"/>
    <s v="ABIERTO"/>
    <n v="-75.522782520000007"/>
    <n v="6.2340416699999999"/>
    <s v="SUR-ENE"/>
    <s v="Metropolitana Sur"/>
  </r>
  <r>
    <s v="23590899"/>
    <s v="ENEPRE"/>
    <s v="NUEVO"/>
    <s v="ENEPRE"/>
    <s v="14/11/2025 16:23:30"/>
    <s v="2025-11-14 16:23:30"/>
    <n v="70828898"/>
    <s v="OLIMPO DE JESUS RAMIREZ AGUDELO"/>
    <s v="SIN DATOS"/>
    <s v="3122839530"/>
    <s v="CR 106 CL 55 -39 (INTERIOR 201 )"/>
    <x v="0"/>
    <s v="085026005000390201"/>
    <s v="Medellín"/>
    <x v="3"/>
    <s v="Energía Prepago Metrosur"/>
    <x v="0"/>
    <n v="11"/>
    <s v="2025-12-02 16:23:30"/>
    <s v="4 días 16:23"/>
    <s v="7 días 16:23"/>
    <x v="0"/>
    <s v="SIN DATO"/>
    <s v="SIN DATO"/>
    <s v="SIN DATO"/>
    <s v="ABIERTO"/>
    <n v="-75.616159999999994"/>
    <n v="6.2710600000000003"/>
    <s v="SUR-ENE"/>
    <s v="Metropolitana Sur"/>
  </r>
  <r>
    <s v="23590981"/>
    <s v="ENENOR"/>
    <s v="NUEVO"/>
    <s v="ENENOR"/>
    <s v="14/11/2025 16:57:51"/>
    <m/>
    <n v="15347721"/>
    <s v="HECTOR MARIO VASQUEZ MARIN"/>
    <s v="SIN DATOS"/>
    <s v="3136592738"/>
    <s v="CL 56 CR 52 -51"/>
    <x v="0"/>
    <s v="055516002000510000"/>
    <s v="Medellín"/>
    <x v="2"/>
    <s v="Revisor Instal. Regadas Metrosur"/>
    <x v="0"/>
    <n v="7"/>
    <m/>
    <m/>
    <m/>
    <x v="4"/>
    <s v="SIN DATO"/>
    <s v="SIN DATO"/>
    <s v="SIN DATO"/>
    <s v="ABIERTO"/>
    <n v="-75.568496120000006"/>
    <n v="6.2554325999999998"/>
    <s v="SUR-ENE"/>
    <s v="Metropolitana Sur"/>
  </r>
  <r>
    <s v="23591020"/>
    <s v="ENECNX"/>
    <s v="NUEVO"/>
    <s v="ENECNX"/>
    <s v="14/11/2025 17:24:28"/>
    <s v="2025-11-14 17:24:28"/>
    <n v="698115"/>
    <s v="ALLARD ADDINK"/>
    <s v="SIN DATOS"/>
    <s v="3017072701"/>
    <s v="CR 9 A CL 20 SUR -340 (LT 7 PARCELACION CEDRO VERD"/>
    <x v="0"/>
    <s v="042029100003400007"/>
    <s v="Medellín"/>
    <x v="8"/>
    <s v="Revisor Puntos de Conexión Metrosur"/>
    <x v="0"/>
    <n v="4"/>
    <s v="2025-11-21 17:24:28"/>
    <s v="4 días 17:24"/>
    <s v="0 días 17:24"/>
    <x v="3"/>
    <s v="SIN DATO"/>
    <s v="SIN DATO"/>
    <s v="SIN DATO"/>
    <s v="ABIERTO"/>
    <n v="-75.610884501000001"/>
    <n v="6.2574398200000596"/>
    <s v="SUR-ENE"/>
    <s v="Metropolitana Sur"/>
  </r>
  <r>
    <s v="23591036"/>
    <s v="ENECNX"/>
    <s v="NUEVO"/>
    <s v="ENECNX"/>
    <s v="14/11/2025 17:41:09"/>
    <s v="2025-11-14 17:41:09"/>
    <n v="43626577"/>
    <s v="LINA MARIA PEREZ MARTINEZ"/>
    <s v="SIN DATOS"/>
    <s v="3017072701"/>
    <s v="RURAL_126010300000000000_MEDELLIN LAS PALMAS"/>
    <x v="0"/>
    <s v="126010300000000000"/>
    <s v="Medellín"/>
    <x v="8"/>
    <s v="Revisor Puntos de Conexión Metrosur"/>
    <x v="1"/>
    <n v="4"/>
    <s v="2025-11-21 17:41:09"/>
    <s v="4 días 17:41"/>
    <s v="0 días 17:41"/>
    <x v="3"/>
    <s v="SIN DATO"/>
    <s v="SIN DATO"/>
    <s v="SIN DATO"/>
    <s v="ABIERTO"/>
    <n v="-75.545733069999997"/>
    <n v="6.2106144600000004"/>
    <s v="SUR-ENE"/>
    <s v="Metropolitana Sur"/>
  </r>
  <r>
    <s v="23591049"/>
    <s v="ENECNX"/>
    <s v="NUEVO"/>
    <s v="ENECNX"/>
    <s v="14/11/2025 19:26:59"/>
    <s v="2025-11-14 19:26:59"/>
    <n v="8126755"/>
    <s v="CARLOS ALBERTO RODAS MORENO"/>
    <s v="SIN DATOS"/>
    <s v="3108354887"/>
    <s v="CL 10 A CR 71 -64"/>
    <x v="0"/>
    <s v="051710101000640000"/>
    <s v="Medellín"/>
    <x v="8"/>
    <s v="Revisor Puntos de Conexión Metrosur"/>
    <x v="0"/>
    <n v="4"/>
    <s v="2025-11-21 19:26:59"/>
    <s v="4 días 19:26"/>
    <s v="0 días 19:26"/>
    <x v="3"/>
    <s v="SIN DATO"/>
    <s v="SIN DATO"/>
    <s v="SIN DATO"/>
    <s v="ABIERTO"/>
    <n v="-75.594631089999993"/>
    <n v="6.21869125"/>
    <s v="SUR-ENE"/>
    <s v="Metropolitana Sur"/>
  </r>
  <r>
    <s v="23591433"/>
    <s v="ENERES"/>
    <s v="NUEVO"/>
    <s v="ENERES"/>
    <s v="18/11/2025 07:57:26"/>
    <s v="2025-11-18 07:57:26"/>
    <n v="901628589"/>
    <s v="INVERBRAC S.A.S."/>
    <s v="2605555"/>
    <s v="3168317038"/>
    <s v="CR 7 CL 22 A SUR -72 (INTERIOR 1 PORTERIA )"/>
    <x v="1"/>
    <s v="022027002100722001"/>
    <s v="Envigado"/>
    <x v="1"/>
    <s v="METROSUR Vin. Leg. Ref. Concentrada"/>
    <x v="0"/>
    <n v="7"/>
    <s v="2025-11-27 07:57:26"/>
    <s v="3 días 07:57"/>
    <s v="4 días 07:57"/>
    <x v="0"/>
    <s v="SIN DATO"/>
    <s v="SIN DATO"/>
    <s v="SIN DATO"/>
    <s v="ABIERTO"/>
    <n v="-75.519711000000001"/>
    <n v="6.1800949999999997"/>
    <s v="SUR-ENE"/>
    <s v="Metropolitana Sur"/>
  </r>
  <r>
    <s v="23591471"/>
    <s v="ENECNX"/>
    <s v="NUEVO"/>
    <s v="ENECNX"/>
    <s v="18/11/2025 08:01:53"/>
    <s v="2025-11-18 08:01:53"/>
    <n v="901543313"/>
    <s v="ENERBIT S.A. E.S.P"/>
    <s v="SIN DATOS"/>
    <s v="3044400567"/>
    <s v="CR 30 CL 10 -335"/>
    <x v="0"/>
    <s v="051320000003350000"/>
    <s v="Medellín"/>
    <x v="8"/>
    <s v="Revisor Puntos de Conexión Metrosur"/>
    <x v="0"/>
    <n v="4"/>
    <s v="2025-11-24 08:01:53"/>
    <s v="3 días 08:01"/>
    <s v="1 días 08:01"/>
    <x v="2"/>
    <s v="SIN DATO"/>
    <s v="SIN DATO"/>
    <s v="SIN DATO"/>
    <s v="ABIERTO"/>
    <n v="-75.559248519999997"/>
    <n v="6.2116356399999999"/>
    <s v="SUR-ENE"/>
    <s v="Metropolitana Sur"/>
  </r>
  <r>
    <s v="23591476"/>
    <s v="ENERES"/>
    <s v="NUEVO"/>
    <s v="ENERES"/>
    <s v="18/11/2025 08:03:05"/>
    <s v="2025-11-18 08:03:05"/>
    <n v="901628589"/>
    <s v="INVERBRAC S.A.S."/>
    <s v="2605555"/>
    <s v="3168317038"/>
    <s v="CR 7 CL 22 A SUR -72 (INTERIOR 2 URBANISMO )"/>
    <x v="1"/>
    <s v="022027002100722002"/>
    <s v="Envigado"/>
    <x v="1"/>
    <s v="METROSUR Vin. Leg. Ref. Concentrada"/>
    <x v="0"/>
    <n v="7"/>
    <s v="2025-11-27 08:03:05"/>
    <s v="3 días 08:03"/>
    <s v="4 días 08:03"/>
    <x v="0"/>
    <s v="SIN DATO"/>
    <s v="SIN DATO"/>
    <s v="SIN DATO"/>
    <s v="ABIERTO"/>
    <n v="-75.519711000000001"/>
    <n v="6.1800949999999997"/>
    <s v="SUR-ENE"/>
    <s v="Metropolitana Sur"/>
  </r>
  <r>
    <s v="23591698"/>
    <s v="ENEMRT"/>
    <s v="NUEVO"/>
    <s v="ENEMVI"/>
    <s v="18/11/2025 08:19:13"/>
    <s v="2025-11-18 08:19:13"/>
    <n v="1035420022"/>
    <s v="SAMIR MOJAMAD MOKDAD GALEANO"/>
    <s v="3111277"/>
    <s v="3104303930"/>
    <s v="CL 9 C CR 15 -225 (INTERIOR 118 )"/>
    <x v="0"/>
    <s v="050119305002250118"/>
    <s v="Medellín"/>
    <x v="6"/>
    <s v="METR Mov Red Trans Anderson Castaño"/>
    <x v="0"/>
    <n v="9"/>
    <s v="2025-12-01 08:19:13"/>
    <s v="3 días 08:19"/>
    <s v="6 días 08:19"/>
    <x v="0"/>
    <s v="SIN DATO"/>
    <s v="SIN DATO"/>
    <s v="SIN DATO"/>
    <s v="ABIERTO"/>
    <n v="-75.552907300000001"/>
    <n v="6.2068678999999998"/>
    <s v="SUR-ENE"/>
    <s v="Metropolitana Sur"/>
  </r>
  <r>
    <s v="23591823"/>
    <s v="ENECNX"/>
    <s v="NUEVO"/>
    <s v="ENECNX"/>
    <s v="18/11/2025 08:24:19"/>
    <s v="2025-11-18 08:24:19"/>
    <n v="1128408067"/>
    <s v="DANIEL MARTINEZ RIOS"/>
    <s v="0"/>
    <s v="3207319362"/>
    <s v="CR 57 CL 74 -4"/>
    <x v="2"/>
    <s v="077527004000040000"/>
    <s v="Itaguí"/>
    <x v="8"/>
    <s v="Revisor Puntos de Conexión Metrosur"/>
    <x v="0"/>
    <n v="4"/>
    <s v="2025-11-24 08:24:19"/>
    <s v="3 días 08:24"/>
    <s v="1 días 08:24"/>
    <x v="2"/>
    <s v="SIN DATO"/>
    <s v="SIN DATO"/>
    <s v="SIN DATO"/>
    <s v="ABIERTO"/>
    <n v="-75.602134599999999"/>
    <n v="6.1890243800000002"/>
    <s v="SUR-ENE"/>
    <s v="Metropolitana Sur"/>
  </r>
  <r>
    <s v="23591825"/>
    <s v="ENECNX"/>
    <s v="NUEVO"/>
    <s v="ENECNX"/>
    <s v="18/11/2025 08:24:21"/>
    <s v="2025-11-18 08:24:21"/>
    <n v="1017198929"/>
    <s v="ADRIAN FRANCO"/>
    <s v="SIN DATOS"/>
    <s v="3182631568"/>
    <s v="CR 43 G CL 24 -"/>
    <x v="0"/>
    <s v="052423704000000000"/>
    <s v="Medellín"/>
    <x v="8"/>
    <s v="Revisor Puntos de Conexión Metrosur"/>
    <x v="0"/>
    <n v="4"/>
    <s v="2025-11-24 08:24:21"/>
    <s v="3 días 08:24"/>
    <s v="1 días 08:24"/>
    <x v="2"/>
    <s v="SIN DATO"/>
    <s v="SIN DATO"/>
    <s v="SIN DATO"/>
    <s v="ABIERTO"/>
    <n v="-75.572431429999995"/>
    <n v="6.2256818899999997"/>
    <s v="SUR-ENE"/>
    <s v="Metropolitana Sur"/>
  </r>
  <r>
    <s v="23591828"/>
    <s v="ENEPRE"/>
    <s v="NUEVO"/>
    <s v="ENEPRE"/>
    <s v="18/11/2025 08:24:34"/>
    <s v="2025-11-18 08:24:34"/>
    <n v="1128428031"/>
    <s v="LUIS EDUARDO MANCO GIRALDO"/>
    <s v="SIN DATOS"/>
    <s v="3014123342"/>
    <s v="CR 17 A CL 56 H -8 (INTERIOR 2143 )"/>
    <x v="0"/>
    <s v="055127106800082143"/>
    <s v="Medellín"/>
    <x v="0"/>
    <s v="Energía Prepago Metrosur"/>
    <x v="0"/>
    <n v="5"/>
    <s v="2025-11-25 08:24:34"/>
    <s v="3 días 08:24"/>
    <s v="2 días 08:24"/>
    <x v="2"/>
    <s v="SIN DATO"/>
    <s v="SIN DATO"/>
    <s v="SIN DATO"/>
    <s v="ABIERTO"/>
    <n v="-75.537912009999999"/>
    <n v="6.2490987899999997"/>
    <s v="SUR-ENE"/>
    <s v="Metropolitana Sur"/>
  </r>
  <r>
    <s v="23591846"/>
    <s v="ENEMRT"/>
    <s v="NUEVO"/>
    <s v="ENEMVI"/>
    <s v="18/11/2025 08:25:26"/>
    <s v="2025-11-18 08:25:26"/>
    <n v="1035420022"/>
    <s v="SAMIR MOJAMAD MOKDAD GALEANO"/>
    <s v="3111277"/>
    <s v="3104303930"/>
    <s v="CL 9 C CR 15 -225 (INTERIOR 120 )"/>
    <x v="0"/>
    <s v="050119305002250120"/>
    <s v="Medellín"/>
    <x v="6"/>
    <s v="METR Mov Red Trans Anderson Castaño"/>
    <x v="0"/>
    <n v="9"/>
    <s v="2025-12-01 08:25:26"/>
    <s v="3 días 08:25"/>
    <s v="6 días 08:25"/>
    <x v="0"/>
    <s v="SIN DATO"/>
    <s v="SIN DATO"/>
    <s v="SIN DATO"/>
    <s v="ABIERTO"/>
    <n v="-75.552871550000006"/>
    <n v="6.2069009399999997"/>
    <s v="SUR-ENE"/>
    <s v="Metropolitana Sur"/>
  </r>
  <r>
    <s v="23591851"/>
    <s v="ENECNX"/>
    <s v="NUEVO"/>
    <s v="ENECNX"/>
    <s v="18/11/2025 08:25:37"/>
    <s v="2025-11-18 08:25:37"/>
    <n v="98629736"/>
    <s v="MARIO REINEL MARQUEZ ALZATE"/>
    <s v="9876543"/>
    <s v="3013457906"/>
    <s v="CR 89 C CL 27 -34"/>
    <x v="0"/>
    <s v="052829307000340000"/>
    <s v="Medellín"/>
    <x v="8"/>
    <s v="Revisor Puntos de Conexión Metrosur"/>
    <x v="0"/>
    <n v="4"/>
    <s v="2025-11-24 08:25:37"/>
    <s v="3 días 08:25"/>
    <s v="1 días 08:25"/>
    <x v="2"/>
    <s v="SIN DATO"/>
    <s v="SIN DATO"/>
    <s v="SIN DATO"/>
    <s v="ABIERTO"/>
    <n v="-75.612665000000007"/>
    <n v="6.2280939999999996"/>
    <s v="SUR-ENE"/>
    <s v="Metropolitana Sur"/>
  </r>
  <r>
    <s v="23591926"/>
    <s v="ENERES"/>
    <s v="NUEVO"/>
    <s v="ENERES"/>
    <s v="18/11/2025 08:31:18"/>
    <s v="2025-11-18 08:31:18"/>
    <n v="15323810"/>
    <s v="OSCAR FERNANDO ZAPATA ZABALA"/>
    <s v="SIN DATOS"/>
    <s v="3146304934"/>
    <s v="CL 48 CR 32 -49 (INTERIOR 703 )"/>
    <x v="0"/>
    <s v="054318002000490703"/>
    <s v="Medellín"/>
    <x v="1"/>
    <s v="MET Rev-Inst-Concentra E_CR014"/>
    <x v="0"/>
    <n v="7"/>
    <s v="2025-11-27 08:31:18"/>
    <s v="3 días 08:31"/>
    <s v="4 días 08:31"/>
    <x v="0"/>
    <s v="SIN DATO"/>
    <s v="SIN DATO"/>
    <s v="SIN DATO"/>
    <s v="ABIERTO"/>
    <n v="-75.555111740000001"/>
    <n v="6.2410049900000004"/>
    <s v="SUR-ENE"/>
    <s v="Metropolitana Sur"/>
  </r>
  <r>
    <s v="23591931"/>
    <s v="ENERES"/>
    <s v="NUEVO"/>
    <s v="ENERES"/>
    <s v="18/11/2025 08:34:45"/>
    <s v="2025-11-18 08:34:45"/>
    <n v="901628589"/>
    <s v="INVERBRAC S.A.S."/>
    <s v="2605555"/>
    <s v="3168317038"/>
    <s v="CR 7 CL 22 A SUR -72 (INTERIOR 3 PTAR )"/>
    <x v="1"/>
    <s v="022027002100722003"/>
    <s v="Envigado"/>
    <x v="1"/>
    <s v="METROSUR Vin. Leg. Ref. Concentrada"/>
    <x v="0"/>
    <n v="7"/>
    <s v="2025-11-27 08:34:45"/>
    <s v="3 días 08:34"/>
    <s v="4 días 08:34"/>
    <x v="0"/>
    <s v="SIN DATO"/>
    <s v="SIN DATO"/>
    <s v="SIN DATO"/>
    <s v="ABIERTO"/>
    <n v="-75.519711000000001"/>
    <n v="6.1800949999999997"/>
    <s v="SUR-ENE"/>
    <s v="Metropolitana Sur"/>
  </r>
  <r>
    <s v="23591947"/>
    <s v="ENERES"/>
    <s v="NUEVO"/>
    <s v="ENEDOM"/>
    <s v="18/11/2025 08:44:32"/>
    <s v="2025-11-18 08:44:32"/>
    <n v="26258757"/>
    <s v="SOL MARIA BERRIO PALACIOS"/>
    <s v="5285898"/>
    <s v="3226539216"/>
    <s v="CL 34 DD CR 112 -24 (INTERIOR 104 )"/>
    <x v="0"/>
    <s v="083114442000240104"/>
    <s v="Medellín"/>
    <x v="0"/>
    <s v="Habilitación Viviendas Metrosur"/>
    <x v="0"/>
    <n v="5"/>
    <s v="2025-11-25 08:44:32"/>
    <s v="3 días 08:44"/>
    <s v="2 días 08:44"/>
    <x v="2"/>
    <s v="SIN DATO"/>
    <s v="SIN DATO"/>
    <s v="SIN DATO"/>
    <s v="ABIERTO"/>
    <n v="-75.623670000000004"/>
    <n v="6.2488320000000002"/>
    <s v="SUR-ENE"/>
    <s v="Metropolitana Sur"/>
  </r>
  <r>
    <s v="23591949"/>
    <s v="ENERES"/>
    <s v="NUEVO"/>
    <s v="ENEDOM"/>
    <s v="18/11/2025 08:44:52"/>
    <s v="2025-11-18 08:44:52"/>
    <n v="1128482413"/>
    <s v="LUISA FERNANDA GUTIERREZ CANO"/>
    <s v="SIN DATOS"/>
    <s v="3137586884"/>
    <s v="RURAL_146023120000000001_RURAL_PALMITAS"/>
    <x v="0"/>
    <s v="146023120000000001"/>
    <s v="Medellín"/>
    <x v="0"/>
    <s v="Habilitación Viviendas Metrosur"/>
    <x v="1"/>
    <n v="8"/>
    <s v="2025-11-28 08:44:52"/>
    <s v="3 días 08:44"/>
    <s v="5 días 08:44"/>
    <x v="0"/>
    <s v="SIN DATO"/>
    <s v="SIN DATO"/>
    <s v="SIN DATO"/>
    <s v="ABIERTO"/>
    <n v="-75.696161439999997"/>
    <n v="6.3535562900000002"/>
    <s v="SUR-ENE"/>
    <s v="Metropolitana Sur"/>
  </r>
  <r>
    <s v="23591985"/>
    <s v="ENERES"/>
    <s v="NUEVO"/>
    <s v="ENEDOM"/>
    <s v="18/11/2025 09:02:42"/>
    <s v="2025-11-18 09:02:42"/>
    <n v="26258757"/>
    <s v="SOL MARIA BERRIO PALACIOS"/>
    <s v="5285898"/>
    <s v="3226539216"/>
    <s v="CL 34 DD CR 112 -24 (INTERIOR 204 )"/>
    <x v="0"/>
    <s v="083114442000240204"/>
    <s v="Medellín"/>
    <x v="0"/>
    <s v="Habilitación Viviendas Metrosur"/>
    <x v="0"/>
    <n v="5"/>
    <s v="2025-11-25 09:02:42"/>
    <s v="3 días 09:02"/>
    <s v="2 días 09:02"/>
    <x v="2"/>
    <s v="SIN DATO"/>
    <s v="SIN DATO"/>
    <s v="SIN DATO"/>
    <s v="ABIERTO"/>
    <n v="-75.623670000000004"/>
    <n v="6.2488320000000002"/>
    <s v="SUR-ENE"/>
    <s v="Metropolitana Sur"/>
  </r>
  <r>
    <s v="23591991"/>
    <s v="ENERES"/>
    <s v="NUEVO"/>
    <s v="ENERES"/>
    <s v="18/11/2025 09:06:34"/>
    <s v="2025-11-18 09:06:34"/>
    <n v="70723802"/>
    <s v="HECTOR ELI ARROYAVE SANCHEZ"/>
    <s v="SIN DATOS"/>
    <s v="3206685868"/>
    <s v="CL 4 CR 58 -25 (INTERIOR 101 )"/>
    <x v="0"/>
    <s v="050514008000250101"/>
    <s v="Medellín"/>
    <x v="1"/>
    <s v="Revisor Instal. Regadas Metrosur"/>
    <x v="0"/>
    <n v="7"/>
    <s v="2025-11-27 09:06:34"/>
    <s v="3 días 09:06"/>
    <s v="4 días 09:06"/>
    <x v="0"/>
    <s v="SIN DATO"/>
    <s v="SIN DATO"/>
    <s v="SIN DATO"/>
    <s v="ABIERTO"/>
    <n v="-75.586939299999997"/>
    <n v="6.2116381199999999"/>
    <s v="SUR-ENE"/>
    <s v="Metropolitana Sur"/>
  </r>
  <r>
    <s v="23592013"/>
    <s v="ENERES"/>
    <s v="NUEVO"/>
    <s v="ENEDOM"/>
    <s v="18/11/2025 09:10:57"/>
    <s v="2025-11-18 09:10:57"/>
    <n v="71647946"/>
    <s v="RAFAEL DARIO VILLADA GARCIA"/>
    <s v="2805656"/>
    <s v="3012935181"/>
    <s v="RURAL_163006893000000003_DETRAS DE LA IGLESIA"/>
    <x v="2"/>
    <s v="163006893000000003"/>
    <s v="Itaguí"/>
    <x v="0"/>
    <s v="Habilitación Viviendas Metrosur"/>
    <x v="1"/>
    <n v="8"/>
    <s v="2025-11-28 09:10:57"/>
    <s v="3 días 09:10"/>
    <s v="5 días 09:10"/>
    <x v="0"/>
    <s v="SIN DATO"/>
    <s v="SIN DATO"/>
    <s v="SIN DATO"/>
    <s v="ABIERTO"/>
    <n v="-75.603877650000001"/>
    <n v="6.1942605799999999"/>
    <s v="SUR-ENE"/>
    <s v="Metropolitana Sur"/>
  </r>
  <r>
    <s v="23592053"/>
    <s v="ENERES"/>
    <s v="NUEVO"/>
    <s v="ENEDOM"/>
    <s v="18/11/2025 09:13:33"/>
    <s v="2025-11-18 09:13:33"/>
    <n v="71647946"/>
    <s v="RAFAEL DARIO VILLADA GARCIA"/>
    <s v="2805656"/>
    <s v="3012935181"/>
    <s v="RURAL_163006893000000004_DETRAS DE LA IGLESIA"/>
    <x v="2"/>
    <s v="163006893000000004"/>
    <s v="Itaguí"/>
    <x v="0"/>
    <s v="Habilitación Viviendas Metrosur"/>
    <x v="1"/>
    <n v="8"/>
    <s v="2025-11-28 09:13:33"/>
    <s v="3 días 09:13"/>
    <s v="5 días 09:13"/>
    <x v="0"/>
    <s v="SIN DATO"/>
    <s v="SIN DATO"/>
    <s v="SIN DATO"/>
    <s v="ABIERTO"/>
    <n v="-75.603877650000001"/>
    <n v="6.1942605799999999"/>
    <s v="SUR-ENE"/>
    <s v="Metropolitana Sur"/>
  </r>
  <r>
    <s v="23592055"/>
    <s v="ENEMRT"/>
    <s v="NUEVO"/>
    <s v="ENEMVI"/>
    <s v="18/11/2025 09:14:28"/>
    <s v="2025-11-18 09:14:28"/>
    <n v="1128447275"/>
    <s v="JUAN SEBASTIAN GARCIA"/>
    <s v="2685408"/>
    <s v="3187241134"/>
    <s v="RURAL_122032430000000000_122032430000000000"/>
    <x v="0"/>
    <s v="122032430000000000"/>
    <s v="Medellín"/>
    <x v="6"/>
    <s v="METR Mov Red Trans Anderson Castaño"/>
    <x v="1"/>
    <n v="14"/>
    <s v="2025-12-09 09:14:28"/>
    <s v="3 días 09:14"/>
    <s v="11 días 09:14"/>
    <x v="0"/>
    <s v="SIN DATO"/>
    <s v="SIN DATO"/>
    <s v="SIN DATO"/>
    <s v="ABIERTO"/>
    <n v="-75.499799670000002"/>
    <n v="6.2102937300000001"/>
    <s v="SUR-ENE"/>
    <s v="Metropolitana Sur"/>
  </r>
  <r>
    <s v="23592065"/>
    <s v="ENERES"/>
    <s v="NUEVO"/>
    <s v="ENEDOM"/>
    <s v="18/11/2025 09:18:32"/>
    <s v="2025-11-18 09:18:32"/>
    <n v="8037673"/>
    <s v="RUBEN EMILIO MARTINEZ"/>
    <s v="SIN DATOS"/>
    <s v="3128142771"/>
    <s v="RURAL_161071515000000001_PROV.LA TOLVA URAPANES"/>
    <x v="3"/>
    <s v="161071515000000001"/>
    <s v="Caldas"/>
    <x v="0"/>
    <s v="MET Rev-Inst-Concentra E_CR014"/>
    <x v="1"/>
    <n v="8"/>
    <s v="2025-11-28 09:18:32"/>
    <s v="3 días 09:18"/>
    <s v="5 días 09:18"/>
    <x v="0"/>
    <s v="SIN DATO"/>
    <s v="SIN DATO"/>
    <s v="SIN DATO"/>
    <s v="ABIERTO"/>
    <n v="-75.637011659999999"/>
    <n v="6.0556765800000001"/>
    <s v="SUR-ENE"/>
    <s v="Metropolitana Sur"/>
  </r>
  <r>
    <s v="23592201"/>
    <s v="ENERES"/>
    <s v="NUEVO"/>
    <s v="ENERES"/>
    <s v="18/11/2025 09:28:44"/>
    <s v="2025-11-18 09:28:44"/>
    <n v="15323810"/>
    <s v="OSCAR FERNANDO ZAPATA ZABALA"/>
    <s v="SIN DATOS"/>
    <s v="3146304934"/>
    <s v="CL 48 CR 32 -49 (INTERIOR 804 )"/>
    <x v="0"/>
    <s v="054318002000490804"/>
    <s v="Medellín"/>
    <x v="1"/>
    <s v="MET Rev-Inst-Concentra E_CR014"/>
    <x v="0"/>
    <n v="7"/>
    <s v="2025-11-27 09:28:44"/>
    <s v="3 días 09:28"/>
    <s v="4 días 09:28"/>
    <x v="0"/>
    <s v="SIN DATO"/>
    <s v="SIN DATO"/>
    <s v="SIN DATO"/>
    <s v="ABIERTO"/>
    <n v="-75.555111740000001"/>
    <n v="6.2410049900000004"/>
    <s v="SUR-ENE"/>
    <s v="Metropolitana Sur"/>
  </r>
  <r>
    <s v="23592207"/>
    <s v="ENERES"/>
    <s v="NUEVO"/>
    <s v="ENERES"/>
    <s v="18/11/2025 09:31:54"/>
    <s v="2025-11-18 09:31:54"/>
    <n v="15323810"/>
    <s v="OSCAR FERNANDO ZAPATA ZABALA"/>
    <s v="SIN DATOS"/>
    <s v="3146304934"/>
    <s v="CL 48 CR 32 -49 (INTERIOR 803 )"/>
    <x v="0"/>
    <s v="054318002000490803"/>
    <s v="Medellín"/>
    <x v="1"/>
    <s v="MET Rev-Inst-Concentra E_CR014"/>
    <x v="0"/>
    <n v="7"/>
    <s v="2025-11-27 09:31:54"/>
    <s v="3 días 09:31"/>
    <s v="4 días 09:31"/>
    <x v="0"/>
    <s v="SIN DATO"/>
    <s v="SIN DATO"/>
    <s v="SIN DATO"/>
    <s v="ABIERTO"/>
    <n v="-75.555111740000001"/>
    <n v="6.2410049900000004"/>
    <s v="SUR-ENE"/>
    <s v="Metropolitana Sur"/>
  </r>
  <r>
    <s v="23592214"/>
    <s v="ENERES"/>
    <s v="NUEVO"/>
    <s v="ENERES"/>
    <s v="18/11/2025 09:34:04"/>
    <s v="2025-11-18 09:34:04"/>
    <n v="15323810"/>
    <s v="OSCAR FERNANDO ZAPATA ZABALA"/>
    <s v="SIN DATOS"/>
    <s v="3146304934"/>
    <s v="CL 48 CR 32 -49 (INTERIOR 704 )"/>
    <x v="0"/>
    <s v="054318002000490704"/>
    <s v="Medellín"/>
    <x v="1"/>
    <s v="MET Rev-Inst-Concentra E_CR014"/>
    <x v="0"/>
    <n v="7"/>
    <s v="2025-11-27 09:34:04"/>
    <s v="3 días 09:34"/>
    <s v="4 días 09:34"/>
    <x v="0"/>
    <s v="SIN DATO"/>
    <s v="SIN DATO"/>
    <s v="SIN DATO"/>
    <s v="ABIERTO"/>
    <n v="-75.555111740000001"/>
    <n v="6.2410049900000004"/>
    <s v="SUR-ENE"/>
    <s v="Metropolitana Sur"/>
  </r>
  <r>
    <s v="23592221"/>
    <s v="ENERES"/>
    <s v="NUEVO"/>
    <s v="ENERES"/>
    <s v="18/11/2025 09:35:14"/>
    <s v="2025-11-18 09:35:14"/>
    <n v="1037571981"/>
    <s v="JUAN DAVID VELEZ SIERRA"/>
    <s v="4270158"/>
    <s v="3113021778"/>
    <s v="CL 61 CR 128 A -99 (INTERIOR 401 )"/>
    <x v="0"/>
    <s v="086211008100990401"/>
    <s v="Medellín"/>
    <x v="1"/>
    <s v="Revisor Instal. Regadas Metrosur"/>
    <x v="0"/>
    <n v="7"/>
    <s v="2025-11-27 09:35:14"/>
    <s v="3 días 09:35"/>
    <s v="4 días 09:35"/>
    <x v="0"/>
    <s v="SIN DATO"/>
    <s v="SIN DATO"/>
    <s v="SIN DATO"/>
    <s v="ABIERTO"/>
    <n v="-75.634262359999994"/>
    <n v="6.2774681899999996"/>
    <s v="SUR-ENE"/>
    <s v="Metropolitana Sur"/>
  </r>
  <r>
    <s v="23592225"/>
    <s v="ENERES"/>
    <s v="NUEVO"/>
    <s v="ENERES"/>
    <s v="18/11/2025 09:36:03"/>
    <s v="2025-11-18 09:36:03"/>
    <n v="15323810"/>
    <s v="OSCAR FERNANDO ZAPATA ZABALA"/>
    <s v="SIN DATOS"/>
    <s v="3146304934"/>
    <s v="CL 48 CR 32 -49 (INTERIOR 801 )"/>
    <x v="0"/>
    <s v="054318002000490801"/>
    <s v="Medellín"/>
    <x v="1"/>
    <s v="Revisor Instal. Regadas Metrosur"/>
    <x v="0"/>
    <n v="7"/>
    <s v="2025-11-27 09:36:03"/>
    <s v="3 días 09:36"/>
    <s v="4 días 09:36"/>
    <x v="0"/>
    <s v="SIN DATO"/>
    <s v="SIN DATO"/>
    <s v="SIN DATO"/>
    <s v="ABIERTO"/>
    <n v="-75.555111740000001"/>
    <n v="6.2410049900000004"/>
    <s v="SUR-ENE"/>
    <s v="Metropolitana Sur"/>
  </r>
  <r>
    <s v="23592245"/>
    <s v="ENERES"/>
    <s v="NUEVO"/>
    <s v="ENERES"/>
    <s v="18/11/2025 09:46:55"/>
    <s v="2025-11-18 09:46:55"/>
    <n v="15323810"/>
    <s v="OSCAR FERNANDO ZAPATA ZABALA"/>
    <s v="SIN DATOS"/>
    <s v="3146304934"/>
    <s v="CL 48 CR 32 -49 (INTERIOR 702 )"/>
    <x v="0"/>
    <s v="054318002000490702"/>
    <s v="Medellín"/>
    <x v="1"/>
    <s v="MET Rev-Inst-Concentra E_CR014"/>
    <x v="0"/>
    <n v="7"/>
    <s v="2025-11-27 09:46:55"/>
    <s v="3 días 09:46"/>
    <s v="4 días 09:46"/>
    <x v="0"/>
    <s v="SIN DATO"/>
    <s v="SIN DATO"/>
    <s v="SIN DATO"/>
    <s v="ABIERTO"/>
    <n v="-75.555111740000001"/>
    <n v="6.2410049900000004"/>
    <s v="SUR-ENE"/>
    <s v="Metropolitana Sur"/>
  </r>
  <r>
    <s v="23592246"/>
    <s v="ENERES"/>
    <s v="NUEVO"/>
    <s v="ENERES"/>
    <s v="18/11/2025 09:47:32"/>
    <s v="2025-11-18 09:47:32"/>
    <n v="15323810"/>
    <s v="OSCAR FERNANDO ZAPATA ZABALA"/>
    <s v="SIN DATOS"/>
    <s v="3146304934"/>
    <s v="CL 48 CR 32 -49 (INTERIOR 802 )"/>
    <x v="0"/>
    <s v="054318002000490802"/>
    <s v="Medellín"/>
    <x v="1"/>
    <s v="MET Rev-Inst-Concentra E_CR014"/>
    <x v="0"/>
    <n v="7"/>
    <s v="2025-11-27 09:47:32"/>
    <s v="3 días 09:47"/>
    <s v="4 días 09:47"/>
    <x v="0"/>
    <s v="SIN DATO"/>
    <s v="SIN DATO"/>
    <s v="SIN DATO"/>
    <s v="ABIERTO"/>
    <n v="-75.555111740000001"/>
    <n v="6.2410049900000004"/>
    <s v="SUR-ENE"/>
    <s v="Metropolitana Sur"/>
  </r>
  <r>
    <s v="23592263"/>
    <s v="ENEMRT"/>
    <s v="NUEVO"/>
    <s v="ENEMVI"/>
    <s v="18/11/2025 09:55:28"/>
    <s v="2025-11-18 09:55:28"/>
    <n v="1000637746"/>
    <s v="GINA CRISTINA BARRIENTOS ARBOLEDA"/>
    <s v="SIN DATOS"/>
    <s v="3146386097"/>
    <s v="RURAL_103019235516600202_103019235516600202"/>
    <x v="0"/>
    <s v="103019235516600202"/>
    <s v="Medellín"/>
    <x v="6"/>
    <s v="Mov Red Trans Dairo Gil"/>
    <x v="1"/>
    <n v="14"/>
    <s v="2025-12-09 09:55:28"/>
    <s v="3 días 09:55"/>
    <s v="11 días 09:55"/>
    <x v="0"/>
    <s v="SIN DATO"/>
    <s v="SIN DATO"/>
    <s v="SIN DATO"/>
    <s v="ABIERTO"/>
    <n v="-75.652264209999998"/>
    <n v="6.1928417800000002"/>
    <s v="SUR-ENE"/>
    <s v="Metropolitana Sur"/>
  </r>
  <r>
    <s v="23592273"/>
    <s v="ENECNX"/>
    <s v="NUEVO"/>
    <s v="ENECNX"/>
    <s v="18/11/2025 10:04:02"/>
    <s v="2025-11-18 10:04:02"/>
    <n v="900019519"/>
    <s v="METROPLUS S.A"/>
    <s v="5900236"/>
    <s v="3104494046"/>
    <s v="CR 52 B CL 56 -"/>
    <x v="2"/>
    <s v="075522206000000000"/>
    <s v="Itaguí"/>
    <x v="8"/>
    <s v="Revisor Puntos de Conexión Metrosur"/>
    <x v="0"/>
    <n v="4"/>
    <s v="2025-11-24 10:04:02"/>
    <s v="3 días 10:04"/>
    <s v="1 días 10:04"/>
    <x v="2"/>
    <s v="SIN DATO"/>
    <s v="SIN DATO"/>
    <s v="SIN DATO"/>
    <s v="ABIERTO"/>
    <n v="-75.606566900000004"/>
    <n v="6.1760566900000002"/>
    <s v="SUR-ENE"/>
    <s v="Metropolitana Sur"/>
  </r>
  <r>
    <s v="23592277"/>
    <s v="ENECNX"/>
    <s v="NUEVO"/>
    <s v="ENECNX"/>
    <s v="18/11/2025 10:06:53"/>
    <s v="2025-11-18 10:06:53"/>
    <n v="8101194"/>
    <s v="JORGE ARMANDO GAVIRIA OSORIO"/>
    <s v="4898962"/>
    <s v="3004827456"/>
    <s v="CL 43 CR 83 -15"/>
    <x v="0"/>
    <s v="054813003000150000"/>
    <s v="Medellín"/>
    <x v="8"/>
    <s v="Revisor Puntos de Conexión Metrosur"/>
    <x v="0"/>
    <n v="4"/>
    <s v="2025-11-24 10:06:53"/>
    <s v="3 días 10:06"/>
    <s v="1 días 10:06"/>
    <x v="2"/>
    <s v="SIN DATO"/>
    <s v="SIN DATO"/>
    <s v="SIN DATO"/>
    <s v="ABIERTO"/>
    <n v="-75.604347270000005"/>
    <n v="6.2496744700000004"/>
    <s v="SUR-ENE"/>
    <s v="Metropolitana Sur"/>
  </r>
  <r>
    <s v="23592291"/>
    <s v="ENERES"/>
    <s v="NUEVO"/>
    <s v="ENEDOM"/>
    <s v="18/11/2025 10:13:18"/>
    <s v="2025-11-18 10:13:18"/>
    <n v="1128419592"/>
    <s v="JORGE MARIO PANIAGUA GRANADA"/>
    <s v="SIN DATOS"/>
    <s v="3226175702"/>
    <s v="RURAL_161110136000000007"/>
    <x v="3"/>
    <s v="161110136000000007"/>
    <s v="Caldas"/>
    <x v="0"/>
    <s v="MET Rev-Inst-Concentra E_CR014"/>
    <x v="1"/>
    <n v="8"/>
    <s v="2025-11-28 10:13:18"/>
    <s v="3 días 10:13"/>
    <s v="5 días 10:13"/>
    <x v="0"/>
    <s v="SIN DATO"/>
    <s v="SIN DATO"/>
    <s v="SIN DATO"/>
    <s v="ABIERTO"/>
    <n v="-75.624374599999996"/>
    <n v="6.0867810100000002"/>
    <s v="SUR-ENE"/>
    <s v="Metropolitana Sur"/>
  </r>
  <r>
    <s v="23592299"/>
    <s v="ENECNX"/>
    <s v="NUEVO"/>
    <s v="ENECNX"/>
    <s v="18/11/2025 10:15:16"/>
    <s v="2025-11-18 10:15:16"/>
    <n v="1152447995"/>
    <s v="CARLOS ANDRES ALVAREZ"/>
    <s v="SIN DATOS"/>
    <s v="3207017511"/>
    <s v="RURAL_114007720000009906_PROV.114007720000009901"/>
    <x v="0"/>
    <s v="114007720000009906"/>
    <s v="Medellín"/>
    <x v="8"/>
    <s v="Revisor Puntos de Conexión Metrosur"/>
    <x v="1"/>
    <n v="4"/>
    <s v="2025-11-24 10:15:16"/>
    <s v="3 días 10:15"/>
    <s v="1 días 10:15"/>
    <x v="2"/>
    <s v="SIN DATO"/>
    <s v="SIN DATO"/>
    <s v="SIN DATO"/>
    <s v="ABIERTO"/>
    <n v="-75.617738450000004"/>
    <n v="6.2069849699999997"/>
    <s v="SUR-ENE"/>
    <s v="Metropolitana Sur"/>
  </r>
  <r>
    <s v="23592313"/>
    <s v="ENECNX"/>
    <s v="NUEVO"/>
    <s v="ENECNX"/>
    <s v="18/11/2025 10:19:52"/>
    <s v="2025-11-18 10:19:52"/>
    <n v="800093117"/>
    <s v="ARQUITECTURA Y CONCRETO S.A.S"/>
    <s v="3123618"/>
    <s v="3104247383"/>
    <s v="CR 50 CL 5 -115"/>
    <x v="0"/>
    <s v="050520005001150000"/>
    <s v="Medellín"/>
    <x v="8"/>
    <s v="Revisor Puntos de Conexión Metrosur"/>
    <x v="0"/>
    <n v="4"/>
    <s v="2025-11-24 10:19:52"/>
    <s v="3 días 10:19"/>
    <s v="1 días 10:19"/>
    <x v="2"/>
    <s v="SIN DATO"/>
    <s v="SIN DATO"/>
    <s v="SIN DATO"/>
    <s v="ABIERTO"/>
    <n v="-75.579204090000005"/>
    <n v="6.2107131300000002"/>
    <s v="SUR-ENE"/>
    <s v="Metropolitana Sur"/>
  </r>
  <r>
    <s v="23592318"/>
    <s v="ENECNX"/>
    <s v="NUEVO"/>
    <s v="ENECNX"/>
    <s v="18/11/2025 10:23:13"/>
    <s v="2025-11-18 10:23:13"/>
    <n v="32543920"/>
    <s v="DORA LIA CARVALHO MOLINA"/>
    <s v="2147495"/>
    <s v="3135157311"/>
    <s v="CR 12 A CL 49 -20"/>
    <x v="0"/>
    <s v="054122109000200000"/>
    <s v="Medellín"/>
    <x v="8"/>
    <s v="Revisor Puntos de Conexión Metrosur"/>
    <x v="0"/>
    <n v="4"/>
    <s v="2025-11-24 10:23:13"/>
    <s v="3 días 10:23"/>
    <s v="1 días 10:23"/>
    <x v="2"/>
    <s v="SIN DATO"/>
    <s v="SIN DATO"/>
    <s v="SIN DATO"/>
    <s v="ABIERTO"/>
    <n v="-75.540629999999993"/>
    <n v="6.2325600000000003"/>
    <s v="SUR-ENE"/>
    <s v="Metropolitana Sur"/>
  </r>
  <r>
    <s v="23592322"/>
    <s v="ENECNX"/>
    <s v="NUEVO"/>
    <s v="ENECNX"/>
    <s v="18/11/2025 10:24:21"/>
    <s v="2025-11-18 10:24:21"/>
    <n v="900019519"/>
    <s v="METROPLUS S.A"/>
    <s v="5900236"/>
    <s v="3104494046"/>
    <s v="CR 52 D CL 51 -"/>
    <x v="2"/>
    <s v="075522401000000000"/>
    <s v="Itaguí"/>
    <x v="8"/>
    <s v="Revisor Puntos de Conexión Metrosur"/>
    <x v="0"/>
    <n v="4"/>
    <s v="2025-11-24 10:24:21"/>
    <s v="3 días 10:24"/>
    <s v="1 días 10:24"/>
    <x v="2"/>
    <s v="SIN DATO"/>
    <s v="SIN DATO"/>
    <s v="SIN DATO"/>
    <s v="ABIERTO"/>
    <n v="-75.609027819999994"/>
    <n v="6.1740743900000004"/>
    <s v="SUR-ENE"/>
    <s v="Metropolitana Sur"/>
  </r>
  <r>
    <s v="23592324"/>
    <s v="ENERES"/>
    <s v="NUEVO"/>
    <s v="ENEDOM"/>
    <s v="18/11/2025 10:25:01"/>
    <s v="2025-11-18 10:25:01"/>
    <n v="70858227"/>
    <s v="JORGE ALIRIO PANIAGUA LEDERMA"/>
    <s v="SIN DATOS"/>
    <s v="3103670989"/>
    <s v="RURAL_161110136000000008"/>
    <x v="3"/>
    <s v="161110136000000008"/>
    <s v="Caldas"/>
    <x v="0"/>
    <s v="MET Rev-Inst-Concentra E_CR014"/>
    <x v="1"/>
    <n v="8"/>
    <s v="2025-11-28 10:25:01"/>
    <s v="3 días 10:25"/>
    <s v="5 días 10:25"/>
    <x v="0"/>
    <s v="SIN DATO"/>
    <s v="SIN DATO"/>
    <s v="SIN DATO"/>
    <s v="ABIERTO"/>
    <n v="-75.624374599999996"/>
    <n v="6.0867810100000002"/>
    <s v="SUR-ENE"/>
    <s v="Metropolitana Sur"/>
  </r>
  <r>
    <s v="23592325"/>
    <s v="ENENOR"/>
    <s v="NUEVO"/>
    <s v="ENENOR"/>
    <s v="18/11/2025 10:25:22"/>
    <s v="2025-11-18 10:25:22"/>
    <n v="70509256"/>
    <s v="EDGAR DE JESUS ARENAS BONILLA"/>
    <s v="3372987"/>
    <s v="3117302345"/>
    <s v="CR 62 CL 48 SUR -22"/>
    <x v="0"/>
    <s v="044622008000220000"/>
    <s v="Medellín"/>
    <x v="2"/>
    <s v="Revisor Instal. Regadas Metrosur"/>
    <x v="0"/>
    <n v="7"/>
    <s v="2025-11-27 10:25:22"/>
    <s v="3 días 10:25"/>
    <s v="4 días 10:25"/>
    <x v="0"/>
    <s v="SIN DATO"/>
    <s v="SIN DATO"/>
    <s v="SIN DATO"/>
    <s v="ABIERTO"/>
    <n v="-75.642967900000002"/>
    <n v="6.1779717200000004"/>
    <s v="SUR-ENE"/>
    <s v="Metropolitana Sur"/>
  </r>
  <r>
    <s v="23592344"/>
    <s v="ENENOR"/>
    <s v="NUEVO"/>
    <s v="ENENOR"/>
    <s v="18/11/2025 10:34:28"/>
    <s v="2025-11-18 10:34:28"/>
    <n v="71661090"/>
    <s v="YALSY DE JESUS GIL BRAND"/>
    <s v="3286079"/>
    <s v="3203283467"/>
    <s v="CR 25 A CL 56 -57"/>
    <x v="0"/>
    <s v="055225106000570000"/>
    <s v="Medellín"/>
    <x v="2"/>
    <s v="Revisor Instal. Regadas Metrosur"/>
    <x v="0"/>
    <n v="7"/>
    <s v="2025-11-27 10:34:28"/>
    <s v="3 días 10:34"/>
    <s v="4 días 10:34"/>
    <x v="0"/>
    <s v="SIN DATO"/>
    <s v="SIN DATO"/>
    <s v="SIN DATO"/>
    <s v="ABIERTO"/>
    <n v="-75.545706999999993"/>
    <n v="6.2442229999999999"/>
    <s v="SUR-ENE"/>
    <s v="Metropolitana Sur"/>
  </r>
  <r>
    <s v="23592349"/>
    <s v="ENERES"/>
    <s v="NUEVO"/>
    <s v="ENEDOM"/>
    <s v="18/11/2025 10:37:08"/>
    <s v="2025-11-18 10:37:08"/>
    <n v="1076328930"/>
    <s v="ERIKA MORALES MOSQUERA"/>
    <s v="SIN DATOS"/>
    <s v="3135017675"/>
    <s v="CR 94 CL 57 C -65 (INTERIOR 1150 )"/>
    <x v="0"/>
    <s v="055924007300651150"/>
    <s v="Medellín"/>
    <x v="0"/>
    <s v="Habilitación Viviendas Metrosur"/>
    <x v="0"/>
    <n v="5"/>
    <s v="2025-11-25 10:37:08"/>
    <s v="3 días 10:37"/>
    <s v="2 días 10:37"/>
    <x v="2"/>
    <s v="SIN DATO"/>
    <s v="SIN DATO"/>
    <s v="SIN DATO"/>
    <s v="ABIERTO"/>
    <n v="-75.606899979999994"/>
    <n v="6.2748936300000002"/>
    <s v="SUR-ENE"/>
    <s v="Metropolitana Sur"/>
  </r>
  <r>
    <s v="23592354"/>
    <s v="ENERES"/>
    <s v="NUEVO"/>
    <s v="ENEDOM"/>
    <s v="18/11/2025 10:38:24"/>
    <s v="2025-11-18 10:38:24"/>
    <n v="12023004"/>
    <s v="NORBERTO MENA MENA"/>
    <s v="SIN DATOS"/>
    <s v="3207781260"/>
    <s v="CL 1 CR 82 -230 (INTERIOR 407 )"/>
    <x v="0"/>
    <s v="050811002002300407"/>
    <s v="Medellín"/>
    <x v="0"/>
    <s v="Habilitación Viviendas Metrosur"/>
    <x v="0"/>
    <n v="5"/>
    <s v="2025-11-25 10:38:24"/>
    <s v="3 días 10:38"/>
    <s v="2 días 10:38"/>
    <x v="2"/>
    <s v="SIN DATO"/>
    <s v="SIN DATO"/>
    <s v="SIN DATO"/>
    <s v="ABIERTO"/>
    <n v="-75.607884999999996"/>
    <n v="6.2091620000000001"/>
    <s v="SUR-ENE"/>
    <s v="Metropolitana Sur"/>
  </r>
  <r>
    <s v="23592382"/>
    <s v="ENERES"/>
    <s v="NUEVO"/>
    <s v="ENERES"/>
    <s v="18/11/2025 10:51:51"/>
    <s v="2025-11-18 10:51:51"/>
    <n v="98462618"/>
    <s v="LEON ANGEL CORREA CHAVARRIA"/>
    <s v="SIN DATOS"/>
    <s v="3005873610"/>
    <s v="RURAL_122004401200009900_122004401200009900"/>
    <x v="0"/>
    <s v="122004401200009900"/>
    <s v="Medellín"/>
    <x v="1"/>
    <s v="Revisor Instal. Regadas Metrosur"/>
    <x v="1"/>
    <n v="10"/>
    <s v="2025-12-02 10:51:51"/>
    <s v="3 días 10:51"/>
    <s v="7 días 10:51"/>
    <x v="0"/>
    <s v="SIN DATO"/>
    <s v="SIN DATO"/>
    <s v="SIN DATO"/>
    <s v="ABIERTO"/>
    <n v="-75.522782520000007"/>
    <n v="6.2340416699999999"/>
    <s v="SUR-ENE"/>
    <s v="Metropolitana Sur"/>
  </r>
  <r>
    <s v="23592383"/>
    <s v="ENERES"/>
    <s v="NUEVO"/>
    <s v="ENERES"/>
    <s v="18/11/2025 10:52:43"/>
    <s v="2025-11-18 10:52:43"/>
    <n v="21526067"/>
    <s v="NORA ALEJANDRA RUIZ VALENCIA"/>
    <s v="SIN DATOS"/>
    <s v="3004543682"/>
    <s v="CL 29 SUR CR 25 -2 (INTERIOR 301 )"/>
    <x v="1"/>
    <s v="022219005000020301"/>
    <s v="Envigado"/>
    <x v="1"/>
    <s v="Revisor Instal. Regadas Metrosur"/>
    <x v="0"/>
    <n v="7"/>
    <s v="2025-11-27 10:52:43"/>
    <s v="3 días 10:52"/>
    <s v="4 días 10:52"/>
    <x v="0"/>
    <s v="SIN DATO"/>
    <s v="SIN DATO"/>
    <s v="SIN DATO"/>
    <s v="ABIERTO"/>
    <n v="-75.564647519999994"/>
    <n v="6.1678856800000004"/>
    <s v="SUR-ENE"/>
    <s v="Metropolitana Sur"/>
  </r>
  <r>
    <s v="23592428"/>
    <s v="ENERES"/>
    <s v="NUEVO"/>
    <s v="ENEDOM"/>
    <s v="18/11/2025 11:09:17"/>
    <s v="2025-11-18 11:09:17"/>
    <n v="43593626"/>
    <s v="LUZ ENAYDA HENAO ESCUDERO"/>
    <s v="SIN DATOS"/>
    <s v="3015713414"/>
    <s v="CL 35 D CR 107 -50"/>
    <x v="0"/>
    <s v="083015407000500000"/>
    <s v="Medellín"/>
    <x v="0"/>
    <s v="Habilitación Viviendas Metrosur"/>
    <x v="0"/>
    <n v="5"/>
    <s v="2025-11-25 11:09:17"/>
    <s v="3 días 11:09"/>
    <s v="2 días 11:09"/>
    <x v="2"/>
    <s v="SIN DATO"/>
    <s v="SIN DATO"/>
    <s v="SIN DATO"/>
    <s v="ABIERTO"/>
    <n v="-75.619641779999995"/>
    <n v="6.2494858400000002"/>
    <s v="SUR-ENE"/>
    <s v="Metropolitana Sur"/>
  </r>
  <r>
    <s v="23592429"/>
    <s v="ENEMRT"/>
    <s v="NUEVO"/>
    <s v="ENEMVI"/>
    <s v="18/11/2025 11:09:59"/>
    <s v="2025-11-18 11:09:59"/>
    <n v="43727781"/>
    <s v="LUZ DORIS SALDARRIAGA MUÑOZ"/>
    <s v="SIN DATOS"/>
    <s v="3012617176"/>
    <s v="CR 136 CL 63 -81 (INTERIOR 127 )"/>
    <x v="0"/>
    <s v="086326003000810127"/>
    <s v="Medellín"/>
    <x v="6"/>
    <s v="METR Mov Red Trans Anderson Castaño"/>
    <x v="0"/>
    <n v="9"/>
    <s v="2025-12-01 11:09:59"/>
    <s v="3 días 11:09"/>
    <s v="6 días 11:09"/>
    <x v="0"/>
    <s v="SIN DATO"/>
    <s v="SIN DATO"/>
    <s v="SIN DATO"/>
    <s v="ABIERTO"/>
    <n v="-75.639877350000006"/>
    <n v="6.2801434799999996"/>
    <s v="SUR-ENE"/>
    <s v="Metropolitana Sur"/>
  </r>
  <r>
    <s v="23592446"/>
    <s v="ENERES"/>
    <s v="NUEVO"/>
    <s v="ENEDOM"/>
    <s v="18/11/2025 11:17:31"/>
    <s v="2025-11-18 11:17:31"/>
    <n v="43735242"/>
    <s v="GLORIA AMPARO URREGO RESTREPO"/>
    <s v="SIN DATOS"/>
    <s v="3145361309"/>
    <s v="CR 119 CL 39 DA -25 (INTERIOR 301 )"/>
    <x v="0"/>
    <s v="083129009410250301"/>
    <s v="Medellín"/>
    <x v="0"/>
    <s v="Habilitación Viviendas Metrosur"/>
    <x v="0"/>
    <n v="5"/>
    <s v="2025-11-25 11:17:31"/>
    <s v="3 días 11:17"/>
    <s v="2 días 11:17"/>
    <x v="2"/>
    <s v="SIN DATO"/>
    <s v="SIN DATO"/>
    <s v="SIN DATO"/>
    <s v="ABIERTO"/>
    <n v="-75.629223409999994"/>
    <n v="6.2538538199999998"/>
    <s v="SUR-ENE"/>
    <s v="Metropolitana Sur"/>
  </r>
  <r>
    <s v="23592474"/>
    <s v="ENEMRT"/>
    <s v="NUEVO"/>
    <s v="ENEMVI"/>
    <s v="18/11/2025 11:31:19"/>
    <s v="2025-11-18 11:31:19"/>
    <n v="71782981"/>
    <s v="ANDRES FELIPE ALVAREZ GAÑAN"/>
    <s v="SIN DATOS"/>
    <s v="3113685705"/>
    <s v="CL 55 A CR 125 A -73 (INTERIOR 117 )"/>
    <x v="0"/>
    <s v="085215105100730117"/>
    <s v="Medellín"/>
    <x v="6"/>
    <s v="METR Mov Red Trans Anderson Castaño"/>
    <x v="0"/>
    <n v="9"/>
    <s v="2025-12-01 11:31:19"/>
    <s v="3 días 11:31"/>
    <s v="6 días 11:31"/>
    <x v="0"/>
    <s v="SIN DATO"/>
    <s v="SIN DATO"/>
    <s v="SIN DATO"/>
    <s v="ABIERTO"/>
    <n v="-75.633086000000006"/>
    <n v="6.2720469999999997"/>
    <s v="SUR-ENE"/>
    <s v="Metropolitana Sur"/>
  </r>
  <r>
    <s v="23592476"/>
    <s v="ENECNX"/>
    <s v="NUEVO"/>
    <s v="ENECNX"/>
    <s v="18/11/2025 11:31:36"/>
    <s v="2025-11-18 11:31:36"/>
    <n v="71368468"/>
    <s v="EDWUIN HUMBERTO CARDONA QUICENO"/>
    <s v="SIN DATOS"/>
    <s v="3043568913"/>
    <s v="CR 132 CL 59 -15 (INTERIOR 205 )"/>
    <x v="0"/>
    <s v="085322009000150205"/>
    <s v="Medellín"/>
    <x v="8"/>
    <s v="Revisor Puntos de Conexión Metrosur"/>
    <x v="0"/>
    <n v="4"/>
    <s v="2025-11-24 11:31:36"/>
    <s v="3 días 11:31"/>
    <s v="1 días 11:31"/>
    <x v="2"/>
    <s v="SIN DATO"/>
    <s v="SIN DATO"/>
    <s v="SIN DATO"/>
    <s v="ABIERTO"/>
    <n v="-75.637497999999994"/>
    <n v="6.2758700000000003"/>
    <s v="SUR-ENE"/>
    <s v="Metropolitana Sur"/>
  </r>
  <r>
    <s v="23592483"/>
    <s v="ENERES"/>
    <s v="NUEVO"/>
    <s v="ENEDOM"/>
    <s v="18/11/2025 11:37:18"/>
    <s v="2025-11-18 11:37:18"/>
    <n v="1017225647"/>
    <s v="PATRICIA MILENA GUERRA CARVAJAL"/>
    <s v="SIN DATOS"/>
    <s v="3114288509"/>
    <s v="CR 17 CL 57 -12 (INTERIOR 200 )"/>
    <x v="0"/>
    <s v="055127007000120200"/>
    <s v="Medellín"/>
    <x v="0"/>
    <s v="Habilitación Viviendas Metrosur"/>
    <x v="0"/>
    <n v="5"/>
    <s v="2025-11-25 11:37:18"/>
    <s v="3 días 11:37"/>
    <s v="2 días 11:37"/>
    <x v="2"/>
    <s v="SIN DATO"/>
    <s v="SIN DATO"/>
    <s v="SIN DATO"/>
    <s v="ABIERTO"/>
    <n v="-75.538747999999998"/>
    <n v="6.2501550000000003"/>
    <s v="SUR-ENE"/>
    <s v="Metropolitana Sur"/>
  </r>
  <r>
    <s v="23592492"/>
    <s v="ENECNX"/>
    <s v="NUEVO"/>
    <s v="ENECNX"/>
    <s v="18/11/2025 11:42:38"/>
    <s v="2025-11-18 11:42:38"/>
    <n v="14467832"/>
    <s v="CARLOS MIGUEL JURI MEJIA"/>
    <s v="SIN DATOS"/>
    <s v="3194234770"/>
    <s v="CR 50 CL 39 -64"/>
    <x v="0"/>
    <s v="053520009000640000"/>
    <s v="Medellín"/>
    <x v="8"/>
    <s v="Revisor Puntos de Conexión Metrosur"/>
    <x v="0"/>
    <n v="4"/>
    <s v="2025-11-24 11:42:38"/>
    <s v="3 días 11:42"/>
    <s v="1 días 11:42"/>
    <x v="2"/>
    <s v="SIN DATO"/>
    <s v="SIN DATO"/>
    <s v="SIN DATO"/>
    <s v="ABIERTO"/>
    <n v="-75.571375110000005"/>
    <n v="6.2404298300000001"/>
    <s v="SUR-ENE"/>
    <s v="Metropolitana Sur"/>
  </r>
  <r>
    <s v="23592517"/>
    <s v="ENERES"/>
    <s v="NUEVO"/>
    <s v="ENEDOM"/>
    <s v="18/11/2025 11:51:56"/>
    <s v="2025-11-18 11:51:56"/>
    <n v="1032180151"/>
    <s v="VALENTINA GOMEZ JULIO"/>
    <s v="SIN DATOS"/>
    <s v="3003149363"/>
    <s v="CR 10 CL 55 -214 (INTERIOR 246 )"/>
    <x v="0"/>
    <s v="055120005002140246"/>
    <s v="Medellín"/>
    <x v="0"/>
    <s v="Habilitación Viviendas Metrosur"/>
    <x v="0"/>
    <n v="5"/>
    <s v="2025-11-25 11:51:56"/>
    <s v="3 días 11:51"/>
    <s v="2 días 11:51"/>
    <x v="2"/>
    <s v="SIN DATO"/>
    <s v="SIN DATO"/>
    <s v="SIN DATO"/>
    <s v="ABIERTO"/>
    <n v="-75.534552000000005"/>
    <n v="6.2368209999999999"/>
    <s v="SUR-ENE"/>
    <s v="Metropolitana Sur"/>
  </r>
  <r>
    <s v="23592518"/>
    <s v="ENERES"/>
    <s v="NUEVO"/>
    <s v="ENEDOM"/>
    <s v="18/11/2025 11:52:53"/>
    <s v="2025-11-18 11:52:53"/>
    <n v="1017225647"/>
    <s v="PATRICIA MILENA GUERRA CARVAJAL"/>
    <s v="SIN DATOS"/>
    <s v="3114288509"/>
    <s v="CR 17 CL 57 -12 (INTERIOR 201 )"/>
    <x v="0"/>
    <s v="055127007000120201"/>
    <s v="Medellín"/>
    <x v="0"/>
    <s v="Habilitación Viviendas Metrosur"/>
    <x v="0"/>
    <n v="5"/>
    <s v="2025-11-25 11:52:53"/>
    <s v="3 días 11:52"/>
    <s v="2 días 11:52"/>
    <x v="2"/>
    <s v="SIN DATO"/>
    <s v="SIN DATO"/>
    <s v="SIN DATO"/>
    <s v="ABIERTO"/>
    <n v="-75.538747999999998"/>
    <n v="6.2501550000000003"/>
    <s v="SUR-ENE"/>
    <s v="Metropolitana Sur"/>
  </r>
  <r>
    <s v="23592537"/>
    <s v="ENERES"/>
    <s v="NUEVO"/>
    <s v="ENEDOM"/>
    <s v="18/11/2025 12:12:34"/>
    <s v="2025-11-18 12:12:34"/>
    <n v="1018224595"/>
    <s v="JESUS DAVID  HERNANDEZ GALLEGO"/>
    <s v="SIN DATOS"/>
    <s v="3042047868"/>
    <s v="CL 67 B CR 117 HC -47 (INTERIOR 110 )"/>
    <x v="0"/>
    <s v="086117207830470110"/>
    <s v="Medellín"/>
    <x v="0"/>
    <s v="Habilitación Viviendas Metrosur"/>
    <x v="0"/>
    <n v="5"/>
    <s v="2025-11-25 12:12:34"/>
    <s v="3 días 12:12"/>
    <s v="2 días 12:12"/>
    <x v="2"/>
    <s v="SIN DATO"/>
    <s v="SIN DATO"/>
    <s v="SIN DATO"/>
    <s v="ABIERTO"/>
    <n v="-75.623482999999993"/>
    <n v="6.2829459999999999"/>
    <s v="SUR-ENE"/>
    <s v="Metropolitana Sur"/>
  </r>
  <r>
    <s v="23592538"/>
    <s v="ENEMRT"/>
    <s v="NUEVO"/>
    <s v="ENEMVI"/>
    <s v="18/11/2025 12:13:42"/>
    <s v="2025-11-18 12:13:42"/>
    <n v="71383281"/>
    <s v="JUAN CAMILO BAENA GIRALDO"/>
    <s v="2841155"/>
    <s v="3008078930"/>
    <s v="CL 57 DD CR 23 -115"/>
    <x v="0"/>
    <s v="055217443001150000"/>
    <s v="Medellín"/>
    <x v="6"/>
    <s v="Mov Red Trans Dairo Gil"/>
    <x v="0"/>
    <n v="9"/>
    <s v="2025-12-01 12:13:42"/>
    <s v="3 días 12:13"/>
    <s v="6 días 12:13"/>
    <x v="0"/>
    <s v="SIN DATO"/>
    <s v="SIN DATO"/>
    <s v="SIN DATO"/>
    <s v="ABIERTO"/>
    <n v="-75.545281090000003"/>
    <n v="6.2494240799999998"/>
    <s v="SUR-ENE"/>
    <s v="Metropolitana Sur"/>
  </r>
  <r>
    <s v="23592540"/>
    <s v="ENERES"/>
    <s v="NUEVO"/>
    <s v="ENEDOM"/>
    <s v="18/11/2025 12:14:35"/>
    <s v="2025-11-18 12:14:35"/>
    <n v="1000872821"/>
    <s v="YULIANA RODRIGUEZ ARBOLEDA"/>
    <s v="2224246"/>
    <s v="3003342962"/>
    <s v="CR 3 CL 56 -23 (INTERIOR 108 )"/>
    <x v="0"/>
    <s v="055023006000230108"/>
    <s v="Medellín"/>
    <x v="0"/>
    <s v="Habilitación Viviendas Metrosur"/>
    <x v="0"/>
    <n v="5"/>
    <s v="2025-11-25 12:14:35"/>
    <s v="3 días 12:14"/>
    <s v="2 días 12:14"/>
    <x v="2"/>
    <s v="SIN DATO"/>
    <s v="SIN DATO"/>
    <s v="SIN DATO"/>
    <s v="ABIERTO"/>
    <n v="-75.528863029999997"/>
    <n v="6.2364729800000003"/>
    <s v="SUR-ENE"/>
    <s v="Metropolitana Sur"/>
  </r>
  <r>
    <s v="23592541"/>
    <s v="ENECNX"/>
    <s v="NUEVO"/>
    <s v="ENECNX"/>
    <s v="18/11/2025 12:14:59"/>
    <s v="2025-11-18 12:14:59"/>
    <n v="70099122"/>
    <s v="FRANCISCO JAVIER LOPEZ NAVARRETE"/>
    <s v="8888888"/>
    <s v="3122430202"/>
    <s v="CR 47 CL 48 -65 (INTERIOR 803 )"/>
    <x v="0"/>
    <s v="054427008000650803"/>
    <s v="Medellín"/>
    <x v="8"/>
    <s v="Revisor Puntos de Conexión Metrosur"/>
    <x v="0"/>
    <n v="4"/>
    <s v="2025-11-24 12:14:59"/>
    <s v="3 días 12:14"/>
    <s v="1 días 12:14"/>
    <x v="2"/>
    <s v="SIN DATO"/>
    <s v="SIN DATO"/>
    <s v="SIN DATO"/>
    <s v="ABIERTO"/>
    <n v="-75.566483109999993"/>
    <n v="6.2477560299999997"/>
    <s v="SUR-ENE"/>
    <s v="Metropolitana Sur"/>
  </r>
  <r>
    <s v="23592558"/>
    <s v="ENERES"/>
    <s v="NUEVO"/>
    <s v="ENEDOM"/>
    <s v="18/11/2025 12:29:00"/>
    <s v="2025-11-18 12:29:00"/>
    <n v="70876679"/>
    <s v="WILLIAM DE JESUS TORO BEDOYA"/>
    <s v="SIN DATOS"/>
    <s v="3133036167"/>
    <s v="CR 68 CL 64 SUR -16 (INTERIOR 313 )"/>
    <x v="0"/>
    <s v="046628004000160313"/>
    <s v="Medellín"/>
    <x v="0"/>
    <s v="Habilitación Viviendas Metrosur"/>
    <x v="0"/>
    <n v="5"/>
    <s v="2025-11-25 12:29:00"/>
    <s v="3 días 12:29"/>
    <s v="2 días 12:29"/>
    <x v="2"/>
    <s v="SIN DATO"/>
    <s v="SIN DATO"/>
    <s v="SIN DATO"/>
    <s v="ABIERTO"/>
    <n v="-75.649239179999995"/>
    <n v="6.1701818299999998"/>
    <s v="SUR-ENE"/>
    <s v="Metropolitana Sur"/>
  </r>
  <r>
    <s v="23592569"/>
    <s v="ENEMRT"/>
    <s v="NUEVO"/>
    <s v="ENEMVI"/>
    <s v="18/11/2025 12:46:47"/>
    <s v="2025-11-18 12:46:47"/>
    <n v="71273909"/>
    <s v="JORGE HERNAN PEREZ URIBE"/>
    <s v="5438517"/>
    <s v="3002681543"/>
    <s v="CR 52 D CL 75 AA SUR -197"/>
    <x v="2"/>
    <s v="777522405111970000"/>
    <s v="Itaguí"/>
    <x v="6"/>
    <s v="Mov Red Trans Dairo Gil"/>
    <x v="0"/>
    <n v="9"/>
    <s v="2025-12-01 12:46:47"/>
    <s v="3 días 12:46"/>
    <s v="6 días 12:46"/>
    <x v="0"/>
    <s v="SIN DATO"/>
    <s v="SIN DATO"/>
    <s v="SIN DATO"/>
    <s v="ABIERTO"/>
    <n v="-75.628490999999997"/>
    <n v="6.1622680000000001"/>
    <s v="SUR-ENE"/>
    <s v="Metropolitana Sur"/>
  </r>
  <r>
    <s v="23592575"/>
    <s v="ENERES"/>
    <s v="NUEVO"/>
    <s v="ENERES"/>
    <s v="18/11/2025 12:55:08"/>
    <s v="2025-11-18 12:55:08"/>
    <n v="98529708"/>
    <s v="MAURICIO ALBERTO BONILLA OSORIO"/>
    <s v="SIN DATOS"/>
    <s v="3113450499"/>
    <s v="CL 31 CR 61 -120 (INTERIOR 106 )"/>
    <x v="2"/>
    <s v="073611001001200106"/>
    <s v="Itaguí"/>
    <x v="1"/>
    <s v="Revisor Instal. Regadas Metrosur"/>
    <x v="0"/>
    <n v="7"/>
    <s v="2025-11-27 12:55:08"/>
    <s v="3 días 12:55"/>
    <s v="4 días 12:55"/>
    <x v="0"/>
    <s v="SIN DATO"/>
    <s v="SIN DATO"/>
    <s v="SIN DATO"/>
    <s v="ABIERTO"/>
    <n v="-75.629425139999995"/>
    <n v="6.1640009300000003"/>
    <s v="SUR-ENE"/>
    <s v="Metropolitana Sur"/>
  </r>
  <r>
    <s v="23592594"/>
    <s v="ENERES"/>
    <s v="NUEVO"/>
    <s v="ENERES"/>
    <s v="18/11/2025 13:13:46"/>
    <s v="2025-11-18 13:13:46"/>
    <n v="71398395"/>
    <s v="DAVID IGNACIO PALACIO QUINTERO"/>
    <s v="SIN DATOS"/>
    <s v="3128295134"/>
    <s v="RURAL_161021853000000000_LA CHUSCALA"/>
    <x v="3"/>
    <s v="161021853000000000"/>
    <s v="Caldas"/>
    <x v="1"/>
    <s v="MET Rev-Inst-Concentra E_CR014"/>
    <x v="1"/>
    <n v="10"/>
    <s v="2025-12-02 13:13:46"/>
    <s v="3 días 13:13"/>
    <s v="7 días 13:13"/>
    <x v="0"/>
    <s v="SIN DATO"/>
    <s v="SIN DATO"/>
    <s v="SIN DATO"/>
    <s v="ABIERTO"/>
    <n v="-75.640042679999993"/>
    <n v="6.08206633"/>
    <s v="SUR-ENE"/>
    <s v="Metropolitana Sur"/>
  </r>
  <r>
    <s v="23592595"/>
    <s v="ENENOR"/>
    <s v="NUEVO"/>
    <s v="ENENOR"/>
    <s v="18/11/2025 13:13:46"/>
    <s v="2025-11-18 13:13:46"/>
    <n v="71398395"/>
    <s v="DAVID IGNACIO PALACIO QUINTERO"/>
    <s v="SIN DATOS"/>
    <s v="3128295134"/>
    <s v="RURAL_161021852800000000_LA CHUSCALA_LC"/>
    <x v="3"/>
    <s v="161021852800000000"/>
    <s v="Caldas"/>
    <x v="2"/>
    <s v="MET Rev-Inst-Concentra E_CR014"/>
    <x v="1"/>
    <n v="10"/>
    <s v="2025-12-02 13:13:46"/>
    <s v="3 días 13:13"/>
    <s v="7 días 13:13"/>
    <x v="0"/>
    <s v="SIN DATO"/>
    <s v="SIN DATO"/>
    <s v="SIN DATO"/>
    <s v="ABIERTO"/>
    <n v="-75.640042679999993"/>
    <n v="6.08206633"/>
    <s v="SUR-ENE"/>
    <s v="Metropolitana Sur"/>
  </r>
  <r>
    <s v="23592596"/>
    <s v="ENERES"/>
    <s v="NUEVO"/>
    <s v="ENERES"/>
    <s v="18/11/2025 13:13:46"/>
    <s v="2025-11-18 13:13:46"/>
    <n v="71398395"/>
    <s v="DAVID IGNACIO PALACIO QUINTERO"/>
    <s v="SIN DATOS"/>
    <s v="3128295134"/>
    <s v="RURAL_161021853000009801_LA CHUSCALA"/>
    <x v="3"/>
    <s v="161021853000009801"/>
    <s v="Caldas"/>
    <x v="1"/>
    <s v="MET Rev-Inst-Concentra E_CR014"/>
    <x v="1"/>
    <n v="10"/>
    <s v="2025-12-02 13:13:46"/>
    <s v="3 días 13:13"/>
    <s v="7 días 13:13"/>
    <x v="0"/>
    <s v="SIN DATO"/>
    <s v="SIN DATO"/>
    <s v="SIN DATO"/>
    <s v="ABIERTO"/>
    <n v="-75.640042679999993"/>
    <n v="6.08206633"/>
    <s v="SUR-ENE"/>
    <s v="Metropolitana Sur"/>
  </r>
  <r>
    <s v="23592603"/>
    <s v="ENERES"/>
    <s v="NUEVO"/>
    <s v="ENERES"/>
    <s v="18/11/2025 13:20:13"/>
    <s v="2025-11-18 13:20:13"/>
    <n v="71398395"/>
    <s v="DAVID IGNACIO PALACIO QUINTERO"/>
    <s v="SIN DATOS"/>
    <s v="3128295134"/>
    <s v="RURAL_161021853000009901_LA CHUSCALA"/>
    <x v="3"/>
    <s v="161021853000009901"/>
    <s v="Caldas"/>
    <x v="1"/>
    <s v="MET Rev-Inst-Concentra E_CR014"/>
    <x v="1"/>
    <n v="10"/>
    <s v="2025-12-02 13:20:13"/>
    <s v="3 días 13:20"/>
    <s v="7 días 13:20"/>
    <x v="0"/>
    <s v="SIN DATO"/>
    <s v="SIN DATO"/>
    <s v="SIN DATO"/>
    <s v="ABIERTO"/>
    <n v="-75.640042679999993"/>
    <n v="6.08206633"/>
    <s v="SUR-ENE"/>
    <s v="Metropolitana Sur"/>
  </r>
  <r>
    <s v="23592604"/>
    <s v="ENERES"/>
    <s v="NUEVO"/>
    <s v="ENERES"/>
    <s v="18/11/2025 13:20:43"/>
    <s v="2025-11-18 13:20:43"/>
    <n v="70118254"/>
    <s v="ALVARO CORREA MOSQUERA"/>
    <s v="3735256"/>
    <s v="3226877423"/>
    <s v="CR 55 D CL 44 -15 (INTERIOR 302 )"/>
    <x v="2"/>
    <s v="074525404000150302"/>
    <s v="Itaguí"/>
    <x v="1"/>
    <s v="Revisor Instal. Regadas Metrosur"/>
    <x v="0"/>
    <n v="7"/>
    <s v="2025-11-27 13:20:43"/>
    <s v="3 días 13:20"/>
    <s v="4 días 13:20"/>
    <x v="0"/>
    <s v="SIN DATO"/>
    <s v="SIN DATO"/>
    <s v="SIN DATO"/>
    <s v="ABIERTO"/>
    <n v="-75.615879660000004"/>
    <n v="6.1740238999999999"/>
    <s v="SUR-ENE"/>
    <s v="Metropolitana Sur"/>
  </r>
  <r>
    <s v="23592611"/>
    <s v="ENERES"/>
    <s v="NUEVO"/>
    <s v="ENERES"/>
    <s v="18/11/2025 13:31:27"/>
    <s v="2025-11-18 13:31:27"/>
    <n v="71398395"/>
    <s v="DAVID IGNACIO PALACIO QUINTERO"/>
    <s v="SIN DATOS"/>
    <s v="3128295134"/>
    <s v="RURAL_161021853000009902_LA CHUSCALA"/>
    <x v="3"/>
    <s v="161021853000009902"/>
    <s v="Caldas"/>
    <x v="1"/>
    <s v="MET Rev-Inst-Concentra E_CR014"/>
    <x v="1"/>
    <n v="10"/>
    <s v="2025-12-02 13:31:27"/>
    <s v="3 días 13:31"/>
    <s v="7 días 13:31"/>
    <x v="0"/>
    <s v="SIN DATO"/>
    <s v="SIN DATO"/>
    <s v="SIN DATO"/>
    <s v="ABIERTO"/>
    <n v="-75.640042679999993"/>
    <n v="6.08206633"/>
    <s v="SUR-ENE"/>
    <s v="Metropolitana Sur"/>
  </r>
  <r>
    <s v="23592625"/>
    <s v="ENEMRT"/>
    <s v="NUEVO"/>
    <s v="ENEMVI"/>
    <s v="18/11/2025 13:50:54"/>
    <s v="2025-11-18 13:50:54"/>
    <n v="811021891"/>
    <s v="PROMATEL SAS"/>
    <s v="4309000"/>
    <s v="3156684905"/>
    <s v="CR 50 CL 79 C SUR -250"/>
    <x v="4"/>
    <s v="037520009302500000"/>
    <s v="La Estrella"/>
    <x v="6"/>
    <s v="Mov Red Trans Dairo Gil"/>
    <x v="0"/>
    <n v="9"/>
    <s v="2025-12-01 13:50:54"/>
    <s v="3 días 13:50"/>
    <s v="6 días 13:50"/>
    <x v="0"/>
    <s v="SIN DATO"/>
    <s v="SIN DATO"/>
    <s v="SIN DATO"/>
    <s v="ABIERTO"/>
    <n v="-75.632673269999998"/>
    <n v="6.1523552300000004"/>
    <s v="SUR-ENE"/>
    <s v="Metropolitana Sur"/>
  </r>
  <r>
    <s v="23592638"/>
    <s v="ENERES"/>
    <s v="NUEVO"/>
    <s v="ENEDOM"/>
    <s v="18/11/2025 14:04:26"/>
    <s v="2025-11-18 14:04:26"/>
    <n v="43877489"/>
    <s v="ANA MARIA SANCHEZ ZAPATA"/>
    <s v="SIN DATOS"/>
    <s v="3015644720"/>
    <s v="CR 99 CL 15 -41 (INTERIOR 102 )"/>
    <x v="0"/>
    <s v="051929005000410102"/>
    <s v="Medellín"/>
    <x v="0"/>
    <s v="Habilitación Viviendas Metrosur"/>
    <x v="0"/>
    <n v="5"/>
    <s v="2025-11-25 14:04:26"/>
    <s v="3 días 14:04"/>
    <s v="2 días 14:04"/>
    <x v="2"/>
    <s v="SIN DATO"/>
    <s v="SIN DATO"/>
    <s v="SIN DATO"/>
    <s v="ABIERTO"/>
    <n v="-75.622146000000001"/>
    <n v="6.2213000000000003"/>
    <s v="SUR-ENE"/>
    <s v="Metropolitana Sur"/>
  </r>
  <r>
    <s v="23592662"/>
    <s v="ENEMRT"/>
    <s v="NUEVO"/>
    <s v="ENEMVI"/>
    <s v="18/11/2025 14:18:06"/>
    <s v="2025-11-18 14:18:06"/>
    <n v="70412891"/>
    <s v="LUIS ENRIQUE DE JESUS PULGARIN MARTINEZ"/>
    <s v="SIN DATOS"/>
    <s v="3215879600"/>
    <s v="CL 49 AA CR 99 E -72 (INTERIOR 9933 )"/>
    <x v="0"/>
    <s v="054919119500729933"/>
    <s v="Medellín"/>
    <x v="6"/>
    <s v="METR Mov Red Trans Anderson Castaño"/>
    <x v="0"/>
    <n v="9"/>
    <s v="2025-12-01 14:18:06"/>
    <s v="3 días 14:18"/>
    <s v="6 días 14:18"/>
    <x v="0"/>
    <s v="SIN DATO"/>
    <s v="SIN DATO"/>
    <s v="SIN DATO"/>
    <s v="ABIERTO"/>
    <n v="-75.613264000000001"/>
    <n v="6.2673300000000003"/>
    <s v="SUR-ENE"/>
    <s v="Metropolitana Sur"/>
  </r>
  <r>
    <s v="23592694"/>
    <s v="ENERES"/>
    <s v="NUEVO"/>
    <s v="ENEDOM"/>
    <s v="18/11/2025 14:37:17"/>
    <s v="2025-11-18 14:37:17"/>
    <n v="70579449"/>
    <s v="SAMUEL DE JESUS VILLA"/>
    <s v="SIN DATOS"/>
    <s v="3113234929"/>
    <s v="CL 49 B CR 99 B -192 (INTERIOR 153 )"/>
    <x v="0"/>
    <s v="054919209201920153"/>
    <s v="Medellín"/>
    <x v="0"/>
    <s v="Habilitación Viviendas Metrosur"/>
    <x v="0"/>
    <n v="5"/>
    <s v="2025-11-25 14:37:17"/>
    <s v="3 días 14:37"/>
    <s v="2 días 14:37"/>
    <x v="2"/>
    <s v="SIN DATO"/>
    <s v="SIN DATO"/>
    <s v="SIN DATO"/>
    <s v="ABIERTO"/>
    <n v="-75.611627999999996"/>
    <n v="6.2671809999999999"/>
    <s v="SUR-ENE"/>
    <s v="Metropolitana Sur"/>
  </r>
  <r>
    <s v="23592718"/>
    <s v="ENECNX"/>
    <s v="NUEVO"/>
    <s v="ENECNX"/>
    <s v="18/11/2025 14:50:34"/>
    <s v="2025-11-18 14:50:34"/>
    <n v="811020804"/>
    <s v="CONALTURA CONSTRUCCIÓN Y VIVIENDA S.A.S"/>
    <s v="2662277"/>
    <s v="3206260550"/>
    <s v="CR 43 A CL 50 D SUR -106"/>
    <x v="1"/>
    <s v="025423100401060000"/>
    <s v="Envigado"/>
    <x v="8"/>
    <s v="Revisor Puntos de Conexión Metrosur"/>
    <x v="0"/>
    <n v="4"/>
    <s v="2025-11-24 14:50:34"/>
    <s v="3 días 14:50"/>
    <s v="1 días 14:50"/>
    <x v="2"/>
    <s v="SIN DATO"/>
    <s v="SIN DATO"/>
    <s v="SIN DATO"/>
    <s v="ABIERTO"/>
    <n v="-75.603904839999998"/>
    <n v="6.1585853799999999"/>
    <s v="SUR-ENE"/>
    <s v="Metropolitana Sur"/>
  </r>
  <r>
    <s v="23592723"/>
    <s v="ENERES"/>
    <s v="NUEVO"/>
    <s v="ENEDOM"/>
    <s v="18/11/2025 14:51:48"/>
    <s v="2025-11-18 14:51:48"/>
    <n v="70579335"/>
    <s v="LUIS SIGIFREDO SUCERQUIA CARO"/>
    <s v="SIN DATOS"/>
    <s v="3105125858"/>
    <s v="CR 13 CL 55 -96 (INTERIOR 9905 )"/>
    <x v="0"/>
    <s v="055123005000969905"/>
    <s v="Medellín"/>
    <x v="0"/>
    <s v="Habilitación Viviendas Metrosur"/>
    <x v="0"/>
    <n v="5"/>
    <s v="2025-11-25 14:51:48"/>
    <s v="3 días 14:51"/>
    <s v="2 días 14:51"/>
    <x v="2"/>
    <s v="SIN DATO"/>
    <s v="SIN DATO"/>
    <s v="SIN DATO"/>
    <s v="ABIERTO"/>
    <n v="-75.538121660000002"/>
    <n v="6.2374099200000002"/>
    <s v="SUR-ENE"/>
    <s v="Metropolitana Sur"/>
  </r>
  <r>
    <s v="23592732"/>
    <s v="ENERES"/>
    <s v="NUEVO"/>
    <s v="ENEDOM"/>
    <s v="18/11/2025 14:55:44"/>
    <s v="2025-11-18 14:55:44"/>
    <n v="39175957"/>
    <s v="OMAIRA ALEJANDRA CEBALLOS AGUDELO"/>
    <s v="SIN DATOS"/>
    <s v="3003322731"/>
    <s v="CR 118 CL 39 AD -87 (INTERIOR 204 )"/>
    <x v="0"/>
    <s v="083128009140870204"/>
    <s v="Medellín"/>
    <x v="0"/>
    <s v="Habilitación Viviendas Metrosur"/>
    <x v="0"/>
    <n v="5"/>
    <s v="2025-11-25 14:55:44"/>
    <s v="3 días 14:55"/>
    <s v="2 días 14:55"/>
    <x v="2"/>
    <s v="SIN DATO"/>
    <s v="SIN DATO"/>
    <s v="SIN DATO"/>
    <s v="ABIERTO"/>
    <n v="-75.629334999999998"/>
    <n v="6.2521930000000001"/>
    <s v="SUR-ENE"/>
    <s v="Metropolitana Sur"/>
  </r>
  <r>
    <s v="23592740"/>
    <s v="ENECNX"/>
    <s v="NUEVO"/>
    <s v="ENECNX"/>
    <s v="18/11/2025 15:01:26"/>
    <s v="2025-11-18 15:01:26"/>
    <n v="6913105"/>
    <s v="FELIX ANTONI JOHAN DE BRUIJN"/>
    <s v="SIN DATOS"/>
    <s v="3148226825"/>
    <s v="RURAL_126009500000000028_126009500000000028"/>
    <x v="0"/>
    <s v="126009500000000028"/>
    <s v="Medellín"/>
    <x v="8"/>
    <s v="Revisor Puntos de Conexión Metrosur"/>
    <x v="1"/>
    <n v="4"/>
    <s v="2025-11-24 15:01:26"/>
    <s v="3 días 15:01"/>
    <s v="1 días 15:01"/>
    <x v="2"/>
    <s v="SIN DATO"/>
    <s v="SIN DATO"/>
    <s v="SIN DATO"/>
    <s v="ABIERTO"/>
    <n v="-75.544891190000001"/>
    <n v="6.1923018599999997"/>
    <s v="SUR-ENE"/>
    <s v="Metropolitana Sur"/>
  </r>
  <r>
    <s v="23592765"/>
    <s v="ENECNX"/>
    <s v="NUEVO"/>
    <s v="ENECNX"/>
    <s v="18/11/2025 15:10:15"/>
    <s v="2025-11-18 15:10:15"/>
    <n v="1000748182"/>
    <s v="DAYHANA GARCIA RIOS"/>
    <s v="SIN DATOS"/>
    <s v="3192228133"/>
    <s v="CR 82 CL 9 SUR -450 (INTERIOR 1178 )"/>
    <x v="0"/>
    <s v="040822009004501178"/>
    <s v="Medellín"/>
    <x v="8"/>
    <s v="Revisor Puntos de Conexión Metrosur"/>
    <x v="0"/>
    <n v="4"/>
    <s v="2025-11-24 15:10:15"/>
    <s v="3 días 15:10"/>
    <s v="1 días 15:10"/>
    <x v="2"/>
    <s v="SIN DATO"/>
    <s v="SIN DATO"/>
    <s v="SIN DATO"/>
    <s v="ABIERTO"/>
    <n v="-75.606694000000005"/>
    <n v="6.199103"/>
    <s v="SUR-ENE"/>
    <s v="Metropolitana Sur"/>
  </r>
  <r>
    <s v="23592790"/>
    <s v="ENERES"/>
    <s v="NUEVO"/>
    <s v="ENEDOM"/>
    <s v="18/11/2025 15:18:28"/>
    <s v="2025-11-18 15:18:28"/>
    <n v="21818785"/>
    <s v="ALBANY DE JESUS POSSO ANGULO"/>
    <s v="SIN DATOS"/>
    <s v="3128702902"/>
    <s v="CL 49 B CR 99 B -192 (INTERIOR 154 )"/>
    <x v="0"/>
    <s v="054919209201920154"/>
    <s v="Medellín"/>
    <x v="0"/>
    <s v="Habilitación Viviendas Metrosur"/>
    <x v="0"/>
    <n v="5"/>
    <s v="2025-11-25 15:18:28"/>
    <s v="3 días 15:18"/>
    <s v="2 días 15:18"/>
    <x v="2"/>
    <s v="SIN DATO"/>
    <s v="SIN DATO"/>
    <s v="SIN DATO"/>
    <s v="ABIERTO"/>
    <n v="-75.611627999999996"/>
    <n v="6.2671809999999999"/>
    <s v="SUR-ENE"/>
    <s v="Metropolitana Sur"/>
  </r>
  <r>
    <s v="23592849"/>
    <s v="ENERES"/>
    <s v="NUEVO"/>
    <s v="ENEDOM"/>
    <s v="18/11/2025 15:43:29"/>
    <s v="2025-11-18 15:43:29"/>
    <n v="1128479008"/>
    <s v="STIVEN ALEXANDER CANO PULGARIN"/>
    <s v="SIN DATOS"/>
    <s v="3126243286"/>
    <s v="CR 120 ED CL 48 D -41 (INTERIOR 201 )"/>
    <x v="0"/>
    <s v="084220548400410201"/>
    <s v="Medellín"/>
    <x v="0"/>
    <s v="Habilitación Viviendas Metrosur"/>
    <x v="0"/>
    <n v="5"/>
    <s v="2025-11-25 15:43:29"/>
    <s v="3 días 15:43"/>
    <s v="2 días 15:43"/>
    <x v="2"/>
    <s v="SIN DATO"/>
    <s v="SIN DATO"/>
    <s v="SIN DATO"/>
    <s v="ABIERTO"/>
    <n v="-75.627454999999998"/>
    <n v="6.2669280000000001"/>
    <s v="SUR-ENE"/>
    <s v="Metropolitana Sur"/>
  </r>
  <r>
    <s v="23592854"/>
    <s v="ENECNX"/>
    <s v="NUEVO"/>
    <s v="ENECNX"/>
    <s v="18/11/2025 15:47:11"/>
    <s v="2025-11-18 15:47:11"/>
    <n v="43452619"/>
    <s v="BLANCA MARGARITA CANO ACEVEDO"/>
    <s v="SIN DATOS"/>
    <s v="3113534174"/>
    <s v="RURAL_147058586000000104_47058586000000104"/>
    <x v="0"/>
    <s v="147058586000000104"/>
    <s v="Medellín"/>
    <x v="8"/>
    <s v="Revisor Puntos de Conexión Metrosur"/>
    <x v="1"/>
    <n v="4"/>
    <s v="2025-11-24 15:47:11"/>
    <s v="3 días 15:47"/>
    <s v="1 días 15:47"/>
    <x v="2"/>
    <s v="SIN DATO"/>
    <s v="SIN DATO"/>
    <s v="SIN DATO"/>
    <s v="ABIERTO"/>
    <n v="-75.641040000000004"/>
    <n v="6.2885183299999996"/>
    <s v="SUR-ENE"/>
    <s v="Metropolitana Sur"/>
  </r>
  <r>
    <s v="23592870"/>
    <s v="ENERES"/>
    <s v="NUEVO"/>
    <s v="ENEDOM"/>
    <s v="18/11/2025 15:53:03"/>
    <s v="2025-11-18 15:53:03"/>
    <n v="23183922"/>
    <s v="DEYSI YURANNI PEREZ CEBALLOS"/>
    <s v="SIN DATOS"/>
    <s v="3137840537"/>
    <s v="CR 9 CL 56 -93 (INTERIOR 223 )"/>
    <x v="0"/>
    <s v="055029006000930223"/>
    <s v="Medellín"/>
    <x v="0"/>
    <s v="Habilitación Viviendas Metrosur"/>
    <x v="0"/>
    <n v="5"/>
    <s v="2025-11-25 15:53:03"/>
    <s v="3 días 15:53"/>
    <s v="2 días 15:53"/>
    <x v="2"/>
    <s v="SIN DATO"/>
    <s v="SIN DATO"/>
    <s v="SIN DATO"/>
    <s v="ABIERTO"/>
    <n v="-75.53456061"/>
    <n v="6.2361078799999996"/>
    <s v="SUR-ENE"/>
    <s v="Metropolitana Sur"/>
  </r>
  <r>
    <s v="23592879"/>
    <s v="ENERES"/>
    <s v="NUEVO"/>
    <s v="ENERES"/>
    <s v="18/11/2025 15:57:21"/>
    <s v="2025-11-18 15:57:21"/>
    <n v="1128275505"/>
    <s v="GLONDY FORERO LAVERDE"/>
    <s v="SIN DATOS"/>
    <s v="3212266181"/>
    <s v="CL 6 SUR CR 80 AC -36 (INTERIOR 301 )"/>
    <x v="0"/>
    <s v="040816000130360301"/>
    <s v="Medellín"/>
    <x v="1"/>
    <s v="Revisor Instal. Regadas Metrosur"/>
    <x v="0"/>
    <n v="7"/>
    <s v="2025-11-27 15:57:21"/>
    <s v="3 días 15:57"/>
    <s v="4 días 15:57"/>
    <x v="0"/>
    <s v="SIN DATO"/>
    <s v="SIN DATO"/>
    <s v="SIN DATO"/>
    <s v="ABIERTO"/>
    <n v="-75.60471167"/>
    <n v="6.2061333599999999"/>
    <s v="SUR-ENE"/>
    <s v="Metropolitana Sur"/>
  </r>
  <r>
    <s v="23592900"/>
    <s v="ENERES"/>
    <s v="NUEVO"/>
    <s v="ENEDOM"/>
    <s v="18/11/2025 16:12:00"/>
    <s v="2025-11-18 16:12:00"/>
    <n v="1039693505"/>
    <s v="LIDY FERNANDA SANDOVAL DUQUE"/>
    <s v="SIN DATOS"/>
    <s v="3107325994"/>
    <s v="RURAL_122005130000000101_122005130000000101 MEDELL"/>
    <x v="0"/>
    <s v="122005130000000101"/>
    <s v="Medellín"/>
    <x v="0"/>
    <s v="Habilitación Viviendas Metrosur"/>
    <x v="1"/>
    <n v="8"/>
    <s v="2025-11-28 16:12:00"/>
    <s v="3 días 16:12"/>
    <s v="5 días 16:12"/>
    <x v="0"/>
    <s v="SIN DATO"/>
    <s v="SIN DATO"/>
    <s v="SIN DATO"/>
    <s v="ABIERTO"/>
    <n v="-75.518090770000001"/>
    <n v="6.2350066599999998"/>
    <s v="SUR-ENE"/>
    <s v="Metropolitana Sur"/>
  </r>
  <r>
    <s v="23592914"/>
    <s v="ENECNX"/>
    <s v="NUEVO"/>
    <s v="ENECNX"/>
    <s v="18/11/2025 16:22:19"/>
    <s v="2025-11-18 16:22:19"/>
    <n v="98560607"/>
    <s v="CARLOS ESTEBAN URIBE LONDONO"/>
    <s v="5779432"/>
    <s v="3157144855"/>
    <s v="RURAL_126010500000000052_MEDELLIN LAS PALMAS"/>
    <x v="0"/>
    <s v="126010500000000052"/>
    <s v="Medellín"/>
    <x v="8"/>
    <s v="Revisor Puntos de Conexión Metrosur"/>
    <x v="1"/>
    <n v="4"/>
    <s v="2025-11-24 16:22:19"/>
    <s v="3 días 16:22"/>
    <s v="1 días 16:22"/>
    <x v="2"/>
    <s v="SIN DATO"/>
    <s v="SIN DATO"/>
    <s v="SIN DATO"/>
    <s v="ABIERTO"/>
    <n v="-75.543839809999994"/>
    <n v="6.2163443699999998"/>
    <s v="SUR-ENE"/>
    <s v="Metropolitana Sur"/>
  </r>
  <r>
    <s v="23592938"/>
    <s v="ENEPRE"/>
    <s v="NUEVO"/>
    <s v="ENEPRE"/>
    <s v="18/11/2025 16:44:33"/>
    <s v="2025-11-18 16:44:33"/>
    <n v="43496135"/>
    <s v="BEATRIZ EUGENIA CASTAÑO GALLEGO"/>
    <s v="SIN DATOS"/>
    <s v="3113275871"/>
    <s v="CL 59 A CR 80 A -204"/>
    <x v="0"/>
    <s v="055819100102040000"/>
    <s v="Medellín"/>
    <x v="3"/>
    <s v="Energía Prepago Metrosur"/>
    <x v="0"/>
    <n v="11"/>
    <s v="2025-12-03 16:44:33"/>
    <s v="3 días 16:44"/>
    <s v="8 días 16:44"/>
    <x v="0"/>
    <s v="SIN DATO"/>
    <s v="SIN DATO"/>
    <s v="SIN DATO"/>
    <s v="ABIERTO"/>
    <n v="-75.596012999999999"/>
    <n v="6.2724909999999996"/>
    <s v="SUR-ENE"/>
    <s v="Metropolitana Sur"/>
  </r>
  <r>
    <s v="23592984"/>
    <s v="ENERES"/>
    <s v="NUEVO"/>
    <s v="ENEDOM"/>
    <s v="18/11/2025 17:20:27"/>
    <s v="2025-11-18 17:20:27"/>
    <n v="43582355"/>
    <s v="MARYU LILIANA BAILARIN"/>
    <s v="SIN DATOS"/>
    <s v="3012527688"/>
    <s v="CR 106 A CL 36 -33 (INTERIOR 1001 )"/>
    <x v="0"/>
    <s v="083026106000331001"/>
    <s v="Medellín"/>
    <x v="0"/>
    <s v="Habilitación Viviendas Metrosur"/>
    <x v="0"/>
    <n v="5"/>
    <s v="2025-11-25 17:20:27"/>
    <s v="3 días 17:20"/>
    <s v="2 días 17:20"/>
    <x v="2"/>
    <s v="SIN DATO"/>
    <s v="SIN DATO"/>
    <s v="SIN DATO"/>
    <s v="ABIERTO"/>
    <n v="-75.618982520000003"/>
    <n v="6.2505800300000001"/>
    <s v="SUR-ENE"/>
    <s v="Metropolitana Sur"/>
  </r>
  <r>
    <s v="23592986"/>
    <s v="ENERES"/>
    <s v="NUEVO"/>
    <s v="ENEDOM"/>
    <s v="18/11/2025 17:21:48"/>
    <s v="2025-11-18 17:21:48"/>
    <n v="1036637379"/>
    <s v="ROBINSON DAMIAN TAMAYO GIRALDO"/>
    <s v="SIN DATOS"/>
    <s v="3008841733"/>
    <s v="RURAL_1630063600000001012_RURAL ITAGUI EL AJIZAL"/>
    <x v="2"/>
    <s v="163006360000000101"/>
    <s v="Itaguí"/>
    <x v="0"/>
    <s v="Habilitación Viviendas Metrosur"/>
    <x v="1"/>
    <n v="8"/>
    <s v="2025-11-28 17:21:48"/>
    <s v="3 días 17:21"/>
    <s v="5 días 17:21"/>
    <x v="0"/>
    <s v="SIN DATO"/>
    <s v="SIN DATO"/>
    <s v="SIN DATO"/>
    <s v="ABIERTO"/>
    <n v="-75.604207020000004"/>
    <n v="6.1927025699999998"/>
    <s v="SUR-ENE"/>
    <s v="Metropolitana Sur"/>
  </r>
  <r>
    <s v="23592992"/>
    <s v="ENECNX"/>
    <s v="NUEVO"/>
    <s v="ENECNX"/>
    <s v="18/11/2025 17:34:59"/>
    <s v="2025-11-18 17:34:59"/>
    <n v="1036635115"/>
    <s v="MIGUEL RODRIGO PADILLA ARANA"/>
    <s v="SIN DATOS"/>
    <s v="3136329425"/>
    <s v="CR 55 B CL 72 A -211"/>
    <x v="2"/>
    <s v="077525202102110000"/>
    <s v="Itaguí"/>
    <x v="8"/>
    <s v="Revisor Puntos de Conexión Metrosur"/>
    <x v="0"/>
    <n v="4"/>
    <s v="2025-11-24 17:34:59"/>
    <s v="3 días 17:34"/>
    <s v="1 días 17:34"/>
    <x v="2"/>
    <s v="SIN DATO"/>
    <s v="SIN DATO"/>
    <s v="SIN DATO"/>
    <s v="ABIERTO"/>
    <n v="-75.600145299999994"/>
    <n v="6.1871872400000001"/>
    <s v="SUR-ENE"/>
    <s v="Metropolitana Sur"/>
  </r>
  <r>
    <s v="23592996"/>
    <s v="ENERES"/>
    <s v="NUEVO"/>
    <s v="ENERES"/>
    <s v="18/11/2025 17:37:29"/>
    <s v="2025-11-18 17:37:29"/>
    <n v="98628766"/>
    <s v="ALEXANDER VALENCIA"/>
    <s v="3168976"/>
    <s v="3003296658"/>
    <s v="CR 26 DD CL 37 -76 (INTERIOR 401 )"/>
    <x v="0"/>
    <s v="053226447000760401"/>
    <s v="Medellín"/>
    <x v="1"/>
    <s v="Revisor Instal. Regadas Metrosur"/>
    <x v="0"/>
    <n v="7"/>
    <s v="2025-11-27 17:37:29"/>
    <s v="3 días 17:37"/>
    <s v="4 días 17:37"/>
    <x v="0"/>
    <s v="SIN DATO"/>
    <s v="SIN DATO"/>
    <s v="SIN DATO"/>
    <s v="ABIERTO"/>
    <n v="-75.554820160000006"/>
    <n v="6.2299704399999998"/>
    <s v="SUR-ENE"/>
    <s v="Metropolitana Sur"/>
  </r>
  <r>
    <s v="23593014"/>
    <s v="ENERES"/>
    <s v="NUEVO"/>
    <s v="ENEDOM"/>
    <s v="18/11/2025 19:38:14"/>
    <s v="2025-11-18 19:38:14"/>
    <n v="1036637379"/>
    <s v="ROBINSON DAMIAN TAMAYO GIRALDO"/>
    <s v="SIN DATOS"/>
    <s v="3008841733"/>
    <s v="RURAL_1630063600000002001_RURAL ITAGUI EL AJIZAL"/>
    <x v="2"/>
    <s v="163006360000000200"/>
    <s v="Itaguí"/>
    <x v="0"/>
    <s v="Habilitación Viviendas Metrosur"/>
    <x v="1"/>
    <n v="8"/>
    <s v="2025-11-28 19:38:14"/>
    <s v="3 días 19:38"/>
    <s v="5 días 19:38"/>
    <x v="0"/>
    <s v="SIN DATO"/>
    <s v="SIN DATO"/>
    <s v="SIN DATO"/>
    <s v="ABIERTO"/>
    <n v="-75.604207020000004"/>
    <n v="6.1927025699999998"/>
    <s v="SUR-ENE"/>
    <s v="Metropolitana Sur"/>
  </r>
  <r>
    <s v="23593018"/>
    <s v="ENEMRT"/>
    <s v="NUEVO"/>
    <s v="ENEMVI"/>
    <s v="18/11/2025 20:33:28"/>
    <s v="2025-11-18 20:33:29"/>
    <n v="901099031"/>
    <s v="SOLUSING S.A.S"/>
    <s v="4877474"/>
    <s v="3146031707"/>
    <s v="RURAL_103043302750000005_103043302750000005"/>
    <x v="0"/>
    <s v="103043302750000005"/>
    <s v="Medellín"/>
    <x v="6"/>
    <s v="Mov Red Trans Dairo Gil"/>
    <x v="1"/>
    <n v="14"/>
    <s v="2025-12-09 20:33:29"/>
    <s v="3 días 20:33"/>
    <s v="11 días 20:33"/>
    <x v="0"/>
    <s v="SIN DATO"/>
    <s v="SIN DATO"/>
    <s v="SIN DATO"/>
    <s v="ABIERTO"/>
    <n v="-75.676379449999999"/>
    <n v="6.1945998900000001"/>
    <s v="SUR-ENE"/>
    <s v="Metropolitana Sur"/>
  </r>
  <r>
    <s v="23593209"/>
    <s v="ENERES"/>
    <s v="NUEVO"/>
    <s v="ENERES"/>
    <s v="19/11/2025 07:08:57"/>
    <s v="2025-11-19 07:08:57"/>
    <n v="1036613884"/>
    <s v="DENIS CASTRILLON DURANGO"/>
    <s v="SIN DATOS"/>
    <s v="3195678890"/>
    <s v="RURAL_163014428000040000_RURAL ITAGUI EL PEDREGAL"/>
    <x v="2"/>
    <s v="163014428000040000"/>
    <s v="Itaguí"/>
    <x v="1"/>
    <s v="Revisor Instal. Regadas Metrosur"/>
    <x v="1"/>
    <n v="10"/>
    <s v="2025-12-03 07:08:57"/>
    <s v="2 días 07:08"/>
    <s v="8 días 07:08"/>
    <x v="0"/>
    <s v="SIN DATO"/>
    <s v="SIN DATO"/>
    <s v="SIN DATO"/>
    <s v="ABIERTO"/>
    <n v="-75.618211579999993"/>
    <n v="6.1904574300000004"/>
    <s v="SUR-ENE"/>
    <s v="Metropolitana Sur"/>
  </r>
  <r>
    <s v="23593214"/>
    <s v="ENECNX"/>
    <s v="NUEVO"/>
    <s v="ENECNX"/>
    <s v="19/11/2025 07:15:22"/>
    <s v="2025-11-19 07:15:22"/>
    <n v="1053861746"/>
    <s v="ALEJANDRO ZAPATA CASTELLANOS"/>
    <s v="SIN DATOS"/>
    <s v="3508999213"/>
    <s v="CR 44 CL 28 -51"/>
    <x v="0"/>
    <s v="052424008000510000"/>
    <s v="Medellín"/>
    <x v="8"/>
    <s v="Revisor Puntos de Conexión Metrosur"/>
    <x v="0"/>
    <n v="4"/>
    <s v="2025-11-25 07:15:22"/>
    <s v="2 días 07:15"/>
    <s v="2 días 07:15"/>
    <x v="2"/>
    <s v="SIN DATO"/>
    <s v="SIN DATO"/>
    <s v="SIN DATO"/>
    <s v="ABIERTO"/>
    <n v="-75.571629450000003"/>
    <n v="6.22879542"/>
    <s v="SUR-ENE"/>
    <s v="Metropolitana Sur"/>
  </r>
  <r>
    <s v="23593250"/>
    <s v="ENERES"/>
    <s v="NUEVO"/>
    <s v="ENEDOM"/>
    <s v="19/11/2025 07:45:12"/>
    <s v="2025-11-19 07:45:12"/>
    <n v="98762412"/>
    <s v="CESAR AUGUSTO ECHEVERRI ORTIZ"/>
    <s v="5504764"/>
    <s v="3015871892"/>
    <s v="CR 16 A CL 50 -26 (INTERIOR 201 )"/>
    <x v="0"/>
    <s v="055126100000260201"/>
    <s v="Medellín"/>
    <x v="0"/>
    <s v="Habilitación Viviendas Metrosur"/>
    <x v="0"/>
    <n v="5"/>
    <s v="2025-11-26 07:45:12"/>
    <s v="2 días 07:45"/>
    <s v="3 días 07:45"/>
    <x v="0"/>
    <s v="SIN DATO"/>
    <s v="SIN DATO"/>
    <s v="SIN DATO"/>
    <s v="ABIERTO"/>
    <n v="-75.542248150000006"/>
    <n v="6.2356925900000002"/>
    <s v="SUR-ENE"/>
    <s v="Metropolitana Sur"/>
  </r>
  <r>
    <s v="23593255"/>
    <s v="ENEMRT"/>
    <s v="NUEVO"/>
    <s v="ENEMVI"/>
    <s v="19/11/2025 07:50:00"/>
    <s v="2025-11-19 07:50:00"/>
    <n v="44007744"/>
    <s v="MARIA EUGENIA SALDARRIAGA GAVIRIA"/>
    <s v="SIN DATOS"/>
    <s v="3116384854"/>
    <s v="CL 38 B CR 28 A -25 (INTERIOR 203 )"/>
    <x v="0"/>
    <s v="053218208100250203"/>
    <s v="Medellín"/>
    <x v="6"/>
    <s v="METR Mov Red Trans Anderson Castaño"/>
    <x v="0"/>
    <n v="9"/>
    <s v="2025-12-02 07:50:00"/>
    <s v="2 días 07:50"/>
    <s v="7 días 07:50"/>
    <x v="0"/>
    <s v="SIN DATO"/>
    <s v="SIN DATO"/>
    <s v="SIN DATO"/>
    <s v="ABIERTO"/>
    <n v="-75.557436999999993"/>
    <n v="6.2316310000000001"/>
    <s v="SUR-ENE"/>
    <s v="Metropolitana Sur"/>
  </r>
  <r>
    <s v="23593261"/>
    <s v="ENECNX"/>
    <s v="NUEVO"/>
    <s v="ENECNX"/>
    <s v="19/11/2025 07:55:18"/>
    <s v="2025-11-19 07:55:18"/>
    <n v="1001014543"/>
    <s v="ESTEFANIA MORENO HENAO"/>
    <s v="SIN DATOS"/>
    <s v="3222843042"/>
    <s v="CL 49 CR 14 A -73"/>
    <x v="0"/>
    <s v="054119004100730000"/>
    <s v="Medellín"/>
    <x v="8"/>
    <s v="Revisor Puntos de Conexión Metrosur"/>
    <x v="0"/>
    <n v="4"/>
    <s v="2025-11-25 07:55:18"/>
    <s v="2 días 07:55"/>
    <s v="2 días 07:55"/>
    <x v="2"/>
    <s v="SIN DATO"/>
    <s v="SIN DATO"/>
    <s v="SIN DATO"/>
    <s v="ABIERTO"/>
    <n v="-75.542178860000007"/>
    <n v="6.2334551999999999"/>
    <s v="SUR-ENE"/>
    <s v="Metropolitana Sur"/>
  </r>
  <r>
    <s v="23593265"/>
    <s v="ENERES"/>
    <s v="NUEVO"/>
    <s v="ENERES"/>
    <s v="19/11/2025 08:00:33"/>
    <s v="2025-11-19 08:00:33"/>
    <n v="70828641"/>
    <s v="JHON EFREN QUINTERO GIRALDO"/>
    <s v="4956083"/>
    <s v="3125067446"/>
    <s v="CL 45 E CR 14 D -40 (INTERIOR 301 )"/>
    <x v="0"/>
    <s v="054115504400400301"/>
    <s v="Medellín"/>
    <x v="1"/>
    <s v="Revisor Instal. Regadas Metrosur"/>
    <x v="0"/>
    <n v="7"/>
    <s v="2025-11-28 08:00:33"/>
    <s v="2 días 08:00"/>
    <s v="5 días 08:00"/>
    <x v="0"/>
    <s v="SIN DATO"/>
    <s v="SIN DATO"/>
    <s v="SIN DATO"/>
    <s v="ABIERTO"/>
    <n v="-75.54394739"/>
    <n v="6.2318671500000002"/>
    <s v="SUR-ENE"/>
    <s v="Metropolitana Sur"/>
  </r>
  <r>
    <s v="23593278"/>
    <s v="ENECNX"/>
    <s v="NUEVO"/>
    <s v="ENECNX"/>
    <s v="19/11/2025 08:12:54"/>
    <s v="2025-11-19 08:12:54"/>
    <n v="1023633128"/>
    <s v="LIYEN PATIÑO GALLEGO"/>
    <s v="SIN DATOS"/>
    <s v="3165154829"/>
    <s v="RURAL_114004489000000201_VEREDA JARDIN ALTAVISTA K"/>
    <x v="0"/>
    <s v="114004489000000201"/>
    <s v="Medellín"/>
    <x v="8"/>
    <s v="Revisor Puntos de Conexión Metrosur"/>
    <x v="1"/>
    <n v="4"/>
    <s v="2025-11-25 08:12:54"/>
    <s v="2 días 08:12"/>
    <s v="2 días 08:12"/>
    <x v="2"/>
    <s v="SIN DATO"/>
    <s v="SIN DATO"/>
    <s v="SIN DATO"/>
    <s v="ABIERTO"/>
    <n v="-75.630603449999995"/>
    <n v="6.2036841300000001"/>
    <s v="SUR-ENE"/>
    <s v="Metropolitana Sur"/>
  </r>
  <r>
    <s v="23593280"/>
    <s v="ENECNX"/>
    <s v="NUEVO"/>
    <s v="ENECNX"/>
    <s v="19/11/2025 08:13:08"/>
    <s v="2025-11-19 08:13:08"/>
    <n v="1023633128"/>
    <s v="LIYEN PATIÑO GALLEGO"/>
    <s v="SIN DATOS"/>
    <s v="3165154829"/>
    <s v="RURAL_114004489000000102_VEREDA JARDIN ALTAVISTA K"/>
    <x v="0"/>
    <s v="114004489000000102"/>
    <s v="Medellín"/>
    <x v="8"/>
    <s v="Revisor Puntos de Conexión Metrosur"/>
    <x v="1"/>
    <n v="4"/>
    <s v="2025-11-25 08:13:08"/>
    <s v="2 días 08:13"/>
    <s v="2 días 08:13"/>
    <x v="2"/>
    <s v="SIN DATO"/>
    <s v="SIN DATO"/>
    <s v="SIN DATO"/>
    <s v="ABIERTO"/>
    <n v="-75.630603449999995"/>
    <n v="6.2036841300000001"/>
    <s v="SUR-ENE"/>
    <s v="Metropolitana Sur"/>
  </r>
  <r>
    <s v="23593292"/>
    <s v="ENERES"/>
    <s v="NUEVO"/>
    <s v="ENEDOM"/>
    <s v="19/11/2025 08:33:50"/>
    <s v="2025-11-19 08:33:50"/>
    <n v="80013104"/>
    <s v="CARLOS ALBERTO RODRIGUEZ MELO"/>
    <s v="SIN DATOS"/>
    <s v="3193886273"/>
    <s v="CR 10 ESTE CL 54 AA -0 (INTERIOR 102 )"/>
    <x v="0"/>
    <s v="705120004110000102"/>
    <s v="Medellín"/>
    <x v="0"/>
    <s v="Habilitación Viviendas Metrosur"/>
    <x v="0"/>
    <n v="5"/>
    <s v="2025-11-26 08:33:50"/>
    <s v="2 días 08:33"/>
    <s v="3 días 08:33"/>
    <x v="0"/>
    <s v="SIN DATO"/>
    <s v="SIN DATO"/>
    <s v="SIN DATO"/>
    <s v="ABIERTO"/>
    <n v="-75.525189490000002"/>
    <n v="6.2335035799999998"/>
    <s v="SUR-ENE"/>
    <s v="Metropolitana Sur"/>
  </r>
  <r>
    <s v="23593294"/>
    <s v="ENECNX"/>
    <s v="NUEVO"/>
    <s v="ENECNX"/>
    <s v="19/11/2025 08:35:17"/>
    <s v="2025-11-19 08:35:17"/>
    <n v="70727208"/>
    <s v="HUMBERTO DE JESUS BETANCUR OCAMPO"/>
    <s v="3278033"/>
    <s v="3103744773"/>
    <s v="RURAL_159051310000000000_MONACO-CARRILERA"/>
    <x v="4"/>
    <s v="159051310000000000"/>
    <s v="La Estrella"/>
    <x v="8"/>
    <s v="Revisor Puntos de Conexión Metrosur"/>
    <x v="1"/>
    <n v="4"/>
    <s v="2025-11-25 08:35:17"/>
    <s v="2 días 08:35"/>
    <s v="2 días 08:35"/>
    <x v="2"/>
    <s v="SIN DATO"/>
    <s v="SIN DATO"/>
    <s v="SIN DATO"/>
    <s v="ABIERTO"/>
    <n v="-75.633577209999999"/>
    <n v="6.1396153699999996"/>
    <s v="SUR-ENE"/>
    <s v="Metropolitana Sur"/>
  </r>
  <r>
    <s v="23593297"/>
    <s v="ENERES"/>
    <s v="NUEVO"/>
    <s v="ENEDOM"/>
    <s v="19/11/2025 08:37:06"/>
    <s v="2025-11-19 08:37:06"/>
    <n v="71380080"/>
    <s v="ALEJANDRO  DUQUE"/>
    <s v="SIN DATOS"/>
    <s v="3184051508"/>
    <s v="CL 51 B CR 1 ESTE -255 (INTERIOR 509 )"/>
    <x v="0"/>
    <s v="705011201002550509"/>
    <s v="Medellín"/>
    <x v="0"/>
    <s v="Habilitación Viviendas Metrosur"/>
    <x v="0"/>
    <n v="5"/>
    <s v="2025-11-26 08:37:06"/>
    <s v="2 días 08:37"/>
    <s v="3 días 08:37"/>
    <x v="0"/>
    <s v="SIN DATO"/>
    <s v="SIN DATO"/>
    <s v="SIN DATO"/>
    <s v="ABIERTO"/>
    <n v="-75.526510999999999"/>
    <n v="6.230772"/>
    <s v="SUR-ENE"/>
    <s v="Metropolitana Sur"/>
  </r>
  <r>
    <s v="23593305"/>
    <s v="ENERES"/>
    <s v="NUEVO"/>
    <s v="ENERES"/>
    <s v="19/11/2025 08:44:01"/>
    <s v="2025-11-19 08:44:01"/>
    <n v="3369956"/>
    <s v="JESUS ENRIQUE BARRERA CANO"/>
    <s v="SIN DATOS"/>
    <s v="3002991473"/>
    <s v="RURAL_114000574000000102_MANZANILLO"/>
    <x v="0"/>
    <s v="114000574000000102"/>
    <s v="Medellín"/>
    <x v="1"/>
    <s v="Revisor Instal. Regadas Metrosur"/>
    <x v="1"/>
    <n v="10"/>
    <s v="2025-12-03 08:44:01"/>
    <s v="2 días 08:44"/>
    <s v="8 días 08:44"/>
    <x v="0"/>
    <s v="SIN DATO"/>
    <s v="SIN DATO"/>
    <s v="SIN DATO"/>
    <s v="ABIERTO"/>
    <n v="-75.609279000000001"/>
    <n v="6.2115840000000002"/>
    <s v="SUR-ENE"/>
    <s v="Metropolitana Sur"/>
  </r>
  <r>
    <s v="23593334"/>
    <s v="ENERES"/>
    <s v="NUEVO"/>
    <s v="ENEDOM"/>
    <s v="19/11/2025 08:58:21"/>
    <s v="2025-11-19 08:58:21"/>
    <n v="1036337461"/>
    <s v="YULY MARCELA ORTIZ CANO"/>
    <s v="SIN DATOS"/>
    <s v="3147661572"/>
    <s v="RURAL_146029800000000000_PALMITAS URGUITA"/>
    <x v="0"/>
    <s v="146029800000000000"/>
    <s v="Medellín"/>
    <x v="0"/>
    <s v="Habilitación Viviendas Metrosur"/>
    <x v="1"/>
    <n v="8"/>
    <s v="2025-12-01 08:58:21"/>
    <s v="2 días 08:58"/>
    <s v="6 días 08:58"/>
    <x v="0"/>
    <s v="SIN DATO"/>
    <s v="SIN DATO"/>
    <s v="SIN DATO"/>
    <s v="ABIERTO"/>
    <n v="-75.699207999999999"/>
    <n v="6.366053"/>
    <s v="SUR-ENE"/>
    <s v="Metropolitana Sur"/>
  </r>
  <r>
    <s v="23593335"/>
    <s v="ENEPRE"/>
    <s v="NUEVO"/>
    <s v="ENEPRE"/>
    <s v="19/11/2025 08:59:26"/>
    <s v="2025-11-20 06:49:01"/>
    <n v="32354426"/>
    <s v="CECILIA DEL SOCORRO FLOREZ PALACIO"/>
    <s v="SIN DATOS"/>
    <s v="3113398725"/>
    <s v="RURAL_136028800000000101_OLAYA HERRERA"/>
    <x v="0"/>
    <s v="136028800000000101"/>
    <s v="Medellín"/>
    <x v="0"/>
    <s v="Energía Prepago Metrosur"/>
    <x v="1"/>
    <n v="8"/>
    <s v="2025-12-02 06:49:01"/>
    <s v="0 días 06:49"/>
    <s v="7 días 06:49"/>
    <x v="0"/>
    <s v="SIN DATO"/>
    <s v="SIN DATO"/>
    <s v="SIN DATO"/>
    <s v="ABIERTO"/>
    <n v="-75.612559489999995"/>
    <n v="6.2731295400000002"/>
    <s v="SUR-ENE"/>
    <s v="Metropolitana Sur"/>
  </r>
  <r>
    <s v="23593337"/>
    <s v="ENERES"/>
    <s v="NUEVO"/>
    <s v="ENEDOM"/>
    <s v="19/11/2025 08:58:47"/>
    <s v="2025-11-19 08:58:47"/>
    <n v="42756750"/>
    <s v="MARIA ELICENIA RODRIGUEZ RAMIREZ"/>
    <s v="SIN DATOS"/>
    <s v="3122677150"/>
    <s v="CL 26 CR 67 -2 (INTERIOR 1 )"/>
    <x v="2"/>
    <s v="072616007000020001"/>
    <s v="Itaguí"/>
    <x v="0"/>
    <s v="Habilitación Viviendas Metrosur"/>
    <x v="0"/>
    <n v="5"/>
    <s v="2025-11-26 08:58:47"/>
    <s v="2 días 08:58"/>
    <s v="3 días 08:58"/>
    <x v="0"/>
    <s v="SIN DATO"/>
    <s v="SIN DATO"/>
    <s v="SIN DATO"/>
    <s v="ABIERTO"/>
    <n v="-75.641924000000003"/>
    <n v="6.1700169999999996"/>
    <s v="SUR-ENE"/>
    <s v="Metropolitana Sur"/>
  </r>
  <r>
    <s v="23593349"/>
    <s v="ENERES"/>
    <s v="NUEVO"/>
    <s v="ENEDOM"/>
    <s v="19/11/2025 09:04:07"/>
    <s v="2025-11-19 09:04:07"/>
    <n v="42756750"/>
    <s v="MARIA ELICENIA RODRIGUEZ RAMIREZ"/>
    <s v="SIN DATOS"/>
    <s v="3122677150"/>
    <s v="CL 26 CR 67 -2 (INTERIOR 300 )"/>
    <x v="2"/>
    <s v="072616007000020300"/>
    <s v="Itaguí"/>
    <x v="0"/>
    <s v="Habilitación Viviendas Metrosur"/>
    <x v="0"/>
    <n v="5"/>
    <s v="2025-11-26 09:04:07"/>
    <s v="2 días 09:04"/>
    <s v="3 días 09:04"/>
    <x v="0"/>
    <s v="SIN DATO"/>
    <s v="SIN DATO"/>
    <s v="SIN DATO"/>
    <s v="ABIERTO"/>
    <n v="-75.641924000000003"/>
    <n v="6.1700169999999996"/>
    <s v="SUR-ENE"/>
    <s v="Metropolitana Sur"/>
  </r>
  <r>
    <s v="23593350"/>
    <s v="ENERES"/>
    <s v="NUEVO"/>
    <s v="ENEDOM"/>
    <s v="19/11/2025 09:04:16"/>
    <s v="2025-11-19 09:04:16"/>
    <n v="42756750"/>
    <s v="MARIA ELICENIA RODRIGUEZ RAMIREZ"/>
    <s v="SIN DATOS"/>
    <s v="3122677150"/>
    <s v="CL 26 CR 67 -2 (INTERIOR 200 )"/>
    <x v="2"/>
    <s v="072616007000020200"/>
    <s v="Itaguí"/>
    <x v="0"/>
    <s v="Habilitación Viviendas Metrosur"/>
    <x v="0"/>
    <n v="5"/>
    <s v="2025-11-26 09:04:16"/>
    <s v="2 días 09:04"/>
    <s v="3 días 09:04"/>
    <x v="0"/>
    <s v="SIN DATO"/>
    <s v="SIN DATO"/>
    <s v="SIN DATO"/>
    <s v="ABIERTO"/>
    <n v="-75.641924000000003"/>
    <n v="6.1700169999999996"/>
    <s v="SUR-ENE"/>
    <s v="Metropolitana Sur"/>
  </r>
  <r>
    <s v="23593357"/>
    <s v="ENERES"/>
    <s v="NUEVO"/>
    <s v="ENEDOM"/>
    <s v="19/11/2025 09:08:31"/>
    <s v="2025-11-19 09:08:31"/>
    <n v="42756750"/>
    <s v="MARIA ELICENIA RODRIGUEZ RAMIREZ"/>
    <s v="SIN DATOS"/>
    <s v="3122677150"/>
    <s v="CL 26 CR 67 -2 (INTERIOR 400 )"/>
    <x v="2"/>
    <s v="072616007000020400"/>
    <s v="Itaguí"/>
    <x v="0"/>
    <s v="Habilitación Viviendas Metrosur"/>
    <x v="0"/>
    <n v="5"/>
    <s v="2025-11-26 09:08:31"/>
    <s v="2 días 09:08"/>
    <s v="3 días 09:08"/>
    <x v="0"/>
    <s v="SIN DATO"/>
    <s v="SIN DATO"/>
    <s v="SIN DATO"/>
    <s v="ABIERTO"/>
    <n v="-75.641924000000003"/>
    <n v="6.1700169999999996"/>
    <s v="SUR-ENE"/>
    <s v="Metropolitana Sur"/>
  </r>
  <r>
    <s v="23593366"/>
    <s v="ENERES"/>
    <s v="NUEVO"/>
    <s v="ENERES"/>
    <s v="19/11/2025 09:14:00"/>
    <s v="2025-11-19 09:14:00"/>
    <n v="98527404"/>
    <s v="CARLOS ARTURO DIEZ TORO"/>
    <s v="SIN DATOS"/>
    <s v="3016833033"/>
    <s v="CR 15 AA CL 35 -3 (INTERIOR 201 )"/>
    <x v="0"/>
    <s v="053125115000030201"/>
    <s v="Medellín"/>
    <x v="1"/>
    <s v="METROSUR Vin. Leg. Ref. Concentrada"/>
    <x v="0"/>
    <n v="7"/>
    <s v="2025-11-28 09:14:00"/>
    <s v="2 días 09:14"/>
    <s v="5 días 09:14"/>
    <x v="0"/>
    <s v="SIN DATO"/>
    <s v="SIN DATO"/>
    <s v="SIN DATO"/>
    <s v="ABIERTO"/>
    <n v="-75.544404209999996"/>
    <n v="6.2284615600000004"/>
    <s v="SUR-ENE"/>
    <s v="Metropolitana Sur"/>
  </r>
  <r>
    <s v="23593369"/>
    <s v="ENERES"/>
    <s v="CAMBI"/>
    <s v="ENERES"/>
    <s v="19/11/2025 09:14:51"/>
    <s v="2025-11-19 09:14:51"/>
    <n v="98604082"/>
    <s v="JOHN ALEXANDER RAMIREZ URREGO"/>
    <s v="SIN DATOS"/>
    <s v="3116115932"/>
    <s v="CR 25 CL 39 B SUR -101 (INTERIOR 9911 )"/>
    <x v="1"/>
    <s v="023225009201019911"/>
    <s v="Envigado"/>
    <x v="4"/>
    <s v="METROSUR Vin. Leg. Ref. Concentrada"/>
    <x v="0"/>
    <n v="7"/>
    <s v="2025-11-28 09:14:51"/>
    <s v="2 días 09:14"/>
    <s v="5 días 09:14"/>
    <x v="0"/>
    <s v="SIN DATO"/>
    <s v="SIN DATO"/>
    <s v="SIN DATO"/>
    <s v="ABIERTO"/>
    <n v="-75.577117000000001"/>
    <n v="6.1544429999999997"/>
    <s v="SUR-ENE"/>
    <s v="Metropolitana Sur"/>
  </r>
  <r>
    <s v="23593376"/>
    <s v="ENECNX"/>
    <s v="NUEVO"/>
    <s v="ENECNX"/>
    <s v="19/11/2025 09:20:35"/>
    <s v="2025-11-19 09:20:35"/>
    <n v="8278972"/>
    <s v="LUIS FERNANDO SUAREZ GARCIA"/>
    <s v="5825761"/>
    <s v="3014272395"/>
    <s v="RURAL_053755009000330000_TRAN 40 DIAG 74 A -40"/>
    <x v="0"/>
    <s v="053755009000330000"/>
    <s v="Medellín"/>
    <x v="8"/>
    <s v="Revisor Puntos de Conexión Metrosur"/>
    <x v="0"/>
    <n v="4"/>
    <s v="2025-11-25 09:20:35"/>
    <s v="2 días 09:20"/>
    <s v="2 días 09:20"/>
    <x v="2"/>
    <s v="SIN DATO"/>
    <s v="SIN DATO"/>
    <s v="SIN DATO"/>
    <s v="ABIERTO"/>
    <n v="-75.596905000000007"/>
    <n v="6.2459509999999998"/>
    <s v="SUR-ENE"/>
    <s v="Metropolitana Sur"/>
  </r>
  <r>
    <s v="23593383"/>
    <s v="ENERES"/>
    <s v="NUEVO"/>
    <s v="ENERES"/>
    <s v="19/11/2025 09:24:31"/>
    <s v="2025-11-19 09:24:31"/>
    <n v="42961338"/>
    <s v="LUZ MARY IBARRA"/>
    <s v="SIN DATOS"/>
    <s v="3244785078"/>
    <s v="CR 15 AA CL 35 -19 (INTERIOR 201 )"/>
    <x v="0"/>
    <s v="053125115000190201"/>
    <s v="Medellín"/>
    <x v="1"/>
    <s v="METROSUR Vin. Leg. Ref. Concentrada"/>
    <x v="0"/>
    <n v="7"/>
    <s v="2025-11-28 09:24:31"/>
    <s v="2 días 09:24"/>
    <s v="5 días 09:24"/>
    <x v="0"/>
    <s v="SIN DATO"/>
    <s v="SIN DATO"/>
    <s v="SIN DATO"/>
    <s v="ABIERTO"/>
    <n v="-75.544417609999996"/>
    <n v="6.2286122500000003"/>
    <s v="SUR-ENE"/>
    <s v="Metropolitana Sur"/>
  </r>
  <r>
    <s v="23593384"/>
    <s v="ENEPRE"/>
    <s v="RETIR"/>
    <s v="ENEPRE"/>
    <s v="19/11/2025 09:25:24"/>
    <s v="2025-11-19 09:25:24"/>
    <n v="39175744"/>
    <s v="MARIA EUGENIA GRISALES OBANDO"/>
    <s v="SIN DATOS"/>
    <s v="3054777374"/>
    <s v="CL 64 BF CR 117 H -67 (INTERIOR 302 )"/>
    <x v="0"/>
    <s v="086114267800670302-ENEPRE"/>
    <s v="Medellín"/>
    <x v="11"/>
    <s v="Energía Prepago Metrosur"/>
    <x v="0"/>
    <n v="11"/>
    <s v="2025-12-04 09:25:24"/>
    <s v="2 días 09:25"/>
    <s v="9 días 09:25"/>
    <x v="0"/>
    <s v="SIN DATO"/>
    <s v="SIN DATO"/>
    <s v="SIN DATO"/>
    <s v="ABIERTO"/>
    <n v="-75.621131000000005"/>
    <n v="6.2816369999999999"/>
    <s v="SUR-ENE"/>
    <s v="Metropolitana Sur"/>
  </r>
  <r>
    <s v="23593387"/>
    <s v="ENERES"/>
    <s v="NUEVO"/>
    <s v="ENEDOM"/>
    <s v="19/11/2025 09:27:13"/>
    <s v="2025-11-19 09:27:13"/>
    <n v="3490006"/>
    <s v="NICOLAS ALBEIRO AGUDELO BARRIENTOS"/>
    <s v="SIN DATOS"/>
    <s v="3162760629"/>
    <s v="RURAL_122014511800000001_VDA MAZO"/>
    <x v="0"/>
    <s v="122014511800000001"/>
    <s v="Medellín"/>
    <x v="0"/>
    <s v="Habilitación Viviendas Metrosur"/>
    <x v="1"/>
    <n v="8"/>
    <s v="2025-12-01 09:27:13"/>
    <s v="2 días 09:27"/>
    <s v="6 días 09:27"/>
    <x v="0"/>
    <s v="SIN DATO"/>
    <s v="SIN DATO"/>
    <s v="SIN DATO"/>
    <s v="ABIERTO"/>
    <n v="-75.500567390000001"/>
    <n v="6.2530853899999999"/>
    <s v="SUR-ENE"/>
    <s v="Metropolitana Sur"/>
  </r>
  <r>
    <s v="23593394"/>
    <s v="ENERES"/>
    <s v="NUEVO"/>
    <s v="ENERES"/>
    <s v="19/11/2025 09:31:09"/>
    <s v="2025-11-19 09:31:09"/>
    <n v="43836232"/>
    <s v="MYRIAN ANGELICA RESTREPO RIOS"/>
    <s v="SIN DATOS"/>
    <s v="3147839454"/>
    <s v="TRAN 50 A SUR CR 63 -19 (INTERIOR 401 )"/>
    <x v="0"/>
    <s v="045690103000190401"/>
    <s v="Medellín"/>
    <x v="1"/>
    <s v="Revisor Instal. Regadas Metrosur"/>
    <x v="0"/>
    <n v="7"/>
    <s v="2025-11-28 09:31:09"/>
    <s v="2 días 09:31"/>
    <s v="5 días 09:31"/>
    <x v="0"/>
    <s v="SIN DATO"/>
    <s v="SIN DATO"/>
    <s v="SIN DATO"/>
    <s v="ABIERTO"/>
    <n v="-75.644721000000004"/>
    <n v="6.1776470000000003"/>
    <s v="SUR-ENE"/>
    <s v="Metropolitana Sur"/>
  </r>
  <r>
    <s v="23593415"/>
    <s v="ENERES"/>
    <s v="NUEVO"/>
    <s v="ENEDOM"/>
    <s v="19/11/2025 09:50:07"/>
    <s v="2025-11-19 09:50:07"/>
    <n v="21410351"/>
    <s v="MARIA CONCEPCION ATEHORTUA SOTO"/>
    <s v="SIN DATOS"/>
    <s v="3122988765"/>
    <s v="RURAL_122034820000000001_VDA EL LLANO_SECTOR LOS P"/>
    <x v="0"/>
    <s v="122034820000000001"/>
    <s v="Medellín"/>
    <x v="0"/>
    <s v="Habilitación Viviendas Metrosur"/>
    <x v="1"/>
    <n v="8"/>
    <s v="2025-12-01 09:50:07"/>
    <s v="2 días 09:50"/>
    <s v="6 días 09:50"/>
    <x v="0"/>
    <s v="SIN DATO"/>
    <s v="SIN DATO"/>
    <s v="SIN DATO"/>
    <s v="ABIERTO"/>
    <n v="-75.506682859999998"/>
    <n v="6.19655851"/>
    <s v="SUR-ENE"/>
    <s v="Metropolitana Sur"/>
  </r>
  <r>
    <s v="23593442"/>
    <s v="ENECNX"/>
    <s v="NUEVO"/>
    <s v="ENECNX"/>
    <s v="19/11/2025 10:08:20"/>
    <s v="2025-11-19 10:08:20"/>
    <n v="8432338"/>
    <s v="JOHN FREDY GUTIERREZ MONTOYA"/>
    <s v="SIN DATOS"/>
    <s v="3206983371"/>
    <s v="CR 51 A CL 3 SUR -30"/>
    <x v="0"/>
    <s v="040521103000300000"/>
    <s v="Medellín"/>
    <x v="8"/>
    <s v="Revisor Puntos de Conexión Metrosur"/>
    <x v="0"/>
    <n v="4"/>
    <s v="2025-11-25 10:08:20"/>
    <s v="2 días 10:08"/>
    <s v="2 días 10:08"/>
    <x v="2"/>
    <s v="SIN DATO"/>
    <s v="SIN DATO"/>
    <s v="SIN DATO"/>
    <s v="ABIERTO"/>
    <n v="-75.585129600000002"/>
    <n v="6.2051576700000002"/>
    <s v="SUR-ENE"/>
    <s v="Metropolitana Sur"/>
  </r>
  <r>
    <s v="23593444"/>
    <s v="ENERES"/>
    <s v="NUEVO"/>
    <s v="ENERES"/>
    <s v="19/11/2025 10:11:38"/>
    <s v="2025-11-19 10:11:38"/>
    <n v="1026155032"/>
    <s v="SEBASTIAN BERRIO MUÑOZ"/>
    <s v="SIN DATOS"/>
    <s v="3203141868"/>
    <s v="167036823000000301_167036823000000301"/>
    <x v="5"/>
    <s v="900056310001846881"/>
    <s v="Sabaneta"/>
    <x v="1"/>
    <s v="Revisor Instal. Regadas Metrosur"/>
    <x v="0"/>
    <n v="7"/>
    <s v="2025-11-28 10:11:38"/>
    <s v="2 días 10:11"/>
    <s v="5 días 10:11"/>
    <x v="0"/>
    <s v="SIN DATO"/>
    <s v="SIN DATO"/>
    <s v="SIN DATO"/>
    <s v="ABIERTO"/>
    <n v="-75.609673309000001"/>
    <n v="6.1384108720000699"/>
    <s v="SUR-ENE"/>
    <s v="Metropolitana Sur"/>
  </r>
  <r>
    <s v="23593447"/>
    <s v="ENERES"/>
    <s v="NUEVO"/>
    <s v="ENEDOM"/>
    <s v="19/11/2025 10:12:40"/>
    <s v="2025-11-19 10:12:40"/>
    <n v="15523655"/>
    <s v="WILLIAM RESTREPO OSPINA"/>
    <s v="2431647"/>
    <s v="SIN DATOS"/>
    <s v="RURAL_161115073000000201_RURAL CALDAS LA CORRALA"/>
    <x v="3"/>
    <s v="161115073000000201"/>
    <s v="Caldas"/>
    <x v="0"/>
    <s v="MET Rev-Inst-Concentra E_CR014"/>
    <x v="1"/>
    <n v="8"/>
    <s v="2025-12-01 10:12:40"/>
    <s v="2 días 10:12"/>
    <s v="6 días 10:12"/>
    <x v="0"/>
    <s v="SIN DATO"/>
    <s v="SIN DATO"/>
    <s v="SIN DATO"/>
    <s v="ABIERTO"/>
    <n v="-75.628093649999997"/>
    <n v="6.08757196"/>
    <s v="SUR-ENE"/>
    <s v="Metropolitana Sur"/>
  </r>
  <r>
    <s v="23593450"/>
    <s v="ENECNX"/>
    <s v="NUEVO"/>
    <s v="ENECNX"/>
    <s v="19/11/2025 10:13:40"/>
    <s v="2025-11-19 10:13:40"/>
    <n v="71718593"/>
    <s v="JUAN CARLOS AMAYA RAMIREZ"/>
    <s v="5992224"/>
    <s v="3044768471"/>
    <s v="CR 52 AA CL 75 B SUR -94"/>
    <x v="4"/>
    <s v="037522115200940000"/>
    <s v="La Estrella"/>
    <x v="8"/>
    <s v="Revisor Puntos de Conexión Metrosur"/>
    <x v="0"/>
    <n v="4"/>
    <s v="2025-11-25 10:13:40"/>
    <s v="2 días 10:13"/>
    <s v="2 días 10:13"/>
    <x v="2"/>
    <s v="SIN DATO"/>
    <s v="SIN DATO"/>
    <s v="SIN DATO"/>
    <s v="ABIERTO"/>
    <n v="-75.626094199999997"/>
    <n v="6.1597174900000002"/>
    <s v="SUR-ENE"/>
    <s v="Metropolitana Sur"/>
  </r>
  <r>
    <s v="23593451"/>
    <s v="ENERES"/>
    <s v="NUEVO"/>
    <s v="ENEDOM"/>
    <s v="19/11/2025 10:14:40"/>
    <s v="2025-11-19 10:14:40"/>
    <n v="42762632"/>
    <s v="LUZ STELLA GONZALEZ OCAMPO"/>
    <s v="6162175"/>
    <s v="3022922292"/>
    <s v="CL 69 CR 52 F -19 (INTERIOR 201 )"/>
    <x v="2"/>
    <s v="076519002600190201"/>
    <s v="Itaguí"/>
    <x v="0"/>
    <s v="Habilitación Viviendas Metrosur"/>
    <x v="0"/>
    <n v="5"/>
    <s v="2025-11-26 10:14:40"/>
    <s v="2 días 10:14"/>
    <s v="3 días 10:14"/>
    <x v="0"/>
    <s v="SIN DATO"/>
    <s v="SIN DATO"/>
    <s v="SIN DATO"/>
    <s v="ABIERTO"/>
    <n v="-75.600575829999997"/>
    <n v="6.1832497100000001"/>
    <s v="SUR-ENE"/>
    <s v="Metropolitana Sur"/>
  </r>
  <r>
    <s v="23593461"/>
    <s v="ENERES"/>
    <s v="NUEVO"/>
    <s v="ENEDOM"/>
    <s v="19/11/2025 10:21:18"/>
    <s v="2025-11-19 10:21:18"/>
    <n v="1022095620"/>
    <s v="DUBER HENEY RODRIGUEZ GUERRA"/>
    <s v="SIN DATOS"/>
    <s v="3053732633"/>
    <s v="CL 49 AA CR 99 CC -113 (INTERIOR 101 )"/>
    <x v="0"/>
    <s v="054919119331130101"/>
    <s v="Medellín"/>
    <x v="0"/>
    <s v="Habilitación Viviendas Metrosur"/>
    <x v="0"/>
    <n v="5"/>
    <s v="2025-11-26 10:21:18"/>
    <s v="2 días 10:21"/>
    <s v="3 días 10:21"/>
    <x v="0"/>
    <s v="SIN DATO"/>
    <s v="SIN DATO"/>
    <s v="SIN DATO"/>
    <s v="ABIERTO"/>
    <n v="-75.612365600000004"/>
    <n v="6.2656214300000004"/>
    <s v="SUR-ENE"/>
    <s v="Metropolitana Sur"/>
  </r>
  <r>
    <s v="23593466"/>
    <s v="ENECNX"/>
    <s v="NUEVO"/>
    <s v="ENECNX"/>
    <s v="19/11/2025 10:24:33"/>
    <s v="2025-11-19 10:24:33"/>
    <n v="1005150515"/>
    <s v="JERSON ADRIAN LOPEZ PACHECO"/>
    <s v="SIN DATOS"/>
    <s v="3135972591"/>
    <s v="CR 25 CL 10 B -190 (INTERIOR 125 )"/>
    <x v="0"/>
    <s v="051225000201900125"/>
    <s v="Medellín"/>
    <x v="8"/>
    <s v="Revisor Puntos de Conexión Metrosur"/>
    <x v="0"/>
    <n v="4"/>
    <s v="2025-11-25 10:24:33"/>
    <s v="2 días 10:24"/>
    <s v="2 días 10:24"/>
    <x v="2"/>
    <s v="SIN DATO"/>
    <s v="SIN DATO"/>
    <s v="SIN DATO"/>
    <s v="ABIERTO"/>
    <n v="-75.554665900000003"/>
    <n v="6.2115913699999998"/>
    <s v="SUR-ENE"/>
    <s v="Metropolitana Sur"/>
  </r>
  <r>
    <s v="23593468"/>
    <s v="ENERES"/>
    <s v="NUEVO"/>
    <s v="ENEDOM"/>
    <s v="19/11/2025 10:26:38"/>
    <s v="2025-11-19 10:26:38"/>
    <n v="70542931"/>
    <s v="WILLY ENRIQUE SANCHEZ AVILEZ"/>
    <s v="SIN DATOS"/>
    <s v="3105357105"/>
    <s v="CL 55 CR 106 D -230 (INTERIOR 1110 )"/>
    <x v="0"/>
    <s v="085015006402301110"/>
    <s v="Medellín"/>
    <x v="0"/>
    <s v="Habilitación Viviendas Metrosur"/>
    <x v="0"/>
    <n v="5"/>
    <s v="2025-11-26 10:26:38"/>
    <s v="2 días 10:26"/>
    <s v="3 días 10:26"/>
    <x v="0"/>
    <s v="SIN DATO"/>
    <s v="SIN DATO"/>
    <s v="SIN DATO"/>
    <s v="ABIERTO"/>
    <n v="-75.612482"/>
    <n v="6.271528"/>
    <s v="SUR-ENE"/>
    <s v="Metropolitana Sur"/>
  </r>
  <r>
    <s v="23593484"/>
    <s v="ENERES"/>
    <s v="NUEVO"/>
    <s v="ENEDOM"/>
    <s v="19/11/2025 10:38:00"/>
    <s v="2025-11-19 10:38:00"/>
    <n v="1000207874"/>
    <s v="CARLOS ANDRES QUERUBIN RUIZ"/>
    <s v="SIN DATOS"/>
    <s v="3016250313"/>
    <s v="CL 56 CR 121 -77 (INTERIOR 9900 )"/>
    <x v="0"/>
    <s v="085216001000779900"/>
    <s v="Medellín"/>
    <x v="0"/>
    <s v="Habilitación Viviendas Metrosur"/>
    <x v="0"/>
    <n v="5"/>
    <s v="2025-11-26 10:38:00"/>
    <s v="2 días 10:38"/>
    <s v="3 días 10:38"/>
    <x v="0"/>
    <s v="SIN DATO"/>
    <s v="SIN DATO"/>
    <s v="SIN DATO"/>
    <s v="ABIERTO"/>
    <n v="-75.628663000000003"/>
    <n v="6.2734519999999998"/>
    <s v="SUR-ENE"/>
    <s v="Metropolitana Sur"/>
  </r>
  <r>
    <s v="23593496"/>
    <s v="ENERES"/>
    <s v="NUEVO"/>
    <s v="ENERES"/>
    <s v="19/11/2025 10:43:33"/>
    <s v="2025-11-19 10:43:33"/>
    <n v="1152440071"/>
    <s v="MARIA CLARA JARAMILLO LONDOÑO"/>
    <s v="SIN DATOS"/>
    <s v="3157330236"/>
    <s v="RURAL_122012090000000107_PROV.VEREDA EL PLACER"/>
    <x v="0"/>
    <s v="122012090000000107"/>
    <s v="Medellín"/>
    <x v="1"/>
    <s v="Revisor Instal. Regadas Metrosur"/>
    <x v="1"/>
    <n v="10"/>
    <s v="2025-12-03 10:43:33"/>
    <s v="2 días 10:43"/>
    <s v="8 días 10:43"/>
    <x v="0"/>
    <s v="SIN DATO"/>
    <s v="SIN DATO"/>
    <s v="SIN DATO"/>
    <s v="ABIERTO"/>
    <n v="-75.498195999999993"/>
    <n v="6.2275790000000004"/>
    <s v="SUR-ENE"/>
    <s v="Metropolitana Sur"/>
  </r>
  <r>
    <s v="23593501"/>
    <s v="ENERES"/>
    <s v="NUEVO"/>
    <s v="ENEDOM"/>
    <s v="19/11/2025 10:44:27"/>
    <s v="2025-11-19 10:44:27"/>
    <n v="1152186609"/>
    <s v="HEIDY VANESSA IBARGUEN MOSQUERA"/>
    <s v="SIN DATOS"/>
    <s v="3237999240"/>
    <s v="CR 118 CL 39 DA -59 (INTERIOR 112 )"/>
    <x v="0"/>
    <s v="083128009410590112"/>
    <s v="Medellín"/>
    <x v="0"/>
    <s v="Habilitación Viviendas Metrosur"/>
    <x v="0"/>
    <n v="5"/>
    <s v="2025-11-26 10:44:27"/>
    <s v="2 días 10:44"/>
    <s v="3 días 10:44"/>
    <x v="0"/>
    <s v="SIN DATO"/>
    <s v="SIN DATO"/>
    <s v="SIN DATO"/>
    <s v="ABIERTO"/>
    <n v="-75.627517900000001"/>
    <n v="6.2543856900000003"/>
    <s v="SUR-ENE"/>
    <s v="Metropolitana Sur"/>
  </r>
  <r>
    <s v="23593550"/>
    <s v="ENERES"/>
    <s v="NUEVO"/>
    <s v="ENERES"/>
    <s v="19/11/2025 10:58:11"/>
    <s v="2025-11-19 10:58:11"/>
    <n v="1128475476"/>
    <s v="FELIPE ERNEY MUÑOZ ALVAREZ"/>
    <s v="SIN DATOS"/>
    <s v="3197776467"/>
    <s v="CL 66 CR 140 -82 (INTERIOR 1146 )"/>
    <x v="0"/>
    <s v="086416000000821146"/>
    <s v="Medellín"/>
    <x v="1"/>
    <s v="Revisor Instal. Regadas Metrosur"/>
    <x v="0"/>
    <n v="7"/>
    <s v="2025-11-28 10:58:11"/>
    <s v="2 días 10:58"/>
    <s v="5 días 10:58"/>
    <x v="0"/>
    <s v="SIN DATO"/>
    <s v="SIN DATO"/>
    <s v="SIN DATO"/>
    <s v="ABIERTO"/>
    <n v="-75.641147000000004"/>
    <n v="6.2826829999999996"/>
    <s v="SUR-ENE"/>
    <s v="Metropolitana Sur"/>
  </r>
  <r>
    <s v="23593555"/>
    <s v="ENERES"/>
    <s v="NUEVO"/>
    <s v="ENERES"/>
    <s v="19/11/2025 10:59:04"/>
    <s v="2025-11-19 10:59:04"/>
    <n v="71788238"/>
    <s v="ALEJANDRO LOPEZ HURTADO"/>
    <s v="3212471"/>
    <s v="3173636894"/>
    <s v="RURAL_122012090000000108_PROV.VEREDA EL PLACER"/>
    <x v="0"/>
    <s v="122012090000000108"/>
    <s v="Medellín"/>
    <x v="1"/>
    <s v="Revisor Instal. Regadas Metrosur"/>
    <x v="1"/>
    <n v="10"/>
    <s v="2025-12-03 10:59:04"/>
    <s v="2 días 10:59"/>
    <s v="8 días 10:59"/>
    <x v="0"/>
    <s v="SIN DATO"/>
    <s v="SIN DATO"/>
    <s v="SIN DATO"/>
    <s v="ABIERTO"/>
    <n v="-75.498195999999993"/>
    <n v="6.2275790000000004"/>
    <s v="SUR-ENE"/>
    <s v="Metropolitana Sur"/>
  </r>
  <r>
    <s v="23593590"/>
    <s v="ENECNX"/>
    <s v="NUEVO"/>
    <s v="ENECNX"/>
    <s v="19/11/2025 11:08:48"/>
    <s v="2025-11-19 11:08:48"/>
    <n v="890905627"/>
    <s v="CASA BRITANICA S.A."/>
    <s v="3227000"/>
    <s v="3215077035"/>
    <s v="CR 43 A CL 25 B SUR -176"/>
    <x v="1"/>
    <s v="022423105201760000"/>
    <s v="Envigado"/>
    <x v="8"/>
    <s v="Revisor Puntos de Conexión Metrosur"/>
    <x v="0"/>
    <n v="4"/>
    <s v="2025-11-25 11:08:48"/>
    <s v="2 días 11:08"/>
    <s v="2 días 11:08"/>
    <x v="2"/>
    <s v="SIN DATO"/>
    <s v="SIN DATO"/>
    <s v="SIN DATO"/>
    <s v="ABIERTO"/>
    <n v="-75.582722770000004"/>
    <n v="6.1806519800000004"/>
    <s v="SUR-ENE"/>
    <s v="Metropolitana Sur"/>
  </r>
  <r>
    <s v="23593591"/>
    <s v="ENECNX"/>
    <s v="NUEVO"/>
    <s v="ENECNX"/>
    <s v="19/11/2025 11:10:30"/>
    <s v="2025-11-19 11:10:30"/>
    <n v="21476124"/>
    <s v="DELCY DISNEY GARCIA GARCIA"/>
    <s v="SIN DATOS"/>
    <s v="3015181195"/>
    <s v="CL 52 A CR 18 -95"/>
    <x v="0"/>
    <s v="055112108000950000"/>
    <s v="Medellín"/>
    <x v="8"/>
    <s v="Revisor Puntos de Conexión Metrosur"/>
    <x v="0"/>
    <n v="4"/>
    <s v="2025-11-25 11:10:30"/>
    <s v="2 días 11:10"/>
    <s v="2 días 11:10"/>
    <x v="2"/>
    <s v="SIN DATO"/>
    <s v="SIN DATO"/>
    <s v="SIN DATO"/>
    <s v="ABIERTO"/>
    <n v="-75.543799500000006"/>
    <n v="6.2384407499999996"/>
    <s v="SUR-ENE"/>
    <s v="Metropolitana Sur"/>
  </r>
  <r>
    <s v="23593603"/>
    <s v="ENERES"/>
    <s v="NUEVO"/>
    <s v="ENERES"/>
    <s v="19/11/2025 11:13:22"/>
    <s v="2025-11-19 11:13:23"/>
    <n v="800093117"/>
    <s v="ARQUITECTURA Y CONCRETO S.A.S"/>
    <s v="3123618"/>
    <s v="3014555317"/>
    <s v="CL 30 SUR CR 48 -170 (INTERIOR 627 )"/>
    <x v="1"/>
    <s v="023410008001700627"/>
    <s v="Envigado"/>
    <x v="1"/>
    <s v="Revisor Inst. Particulares Metrosur"/>
    <x v="0"/>
    <n v="7"/>
    <s v="2025-11-28 11:13:23"/>
    <s v="2 días 11:13"/>
    <s v="5 días 11:13"/>
    <x v="0"/>
    <s v="SIN DATO"/>
    <s v="SIN DATO"/>
    <s v="SIN DATO"/>
    <s v="ABIERTO"/>
    <n v="-75.589465000000004"/>
    <n v="6.1798529999999996"/>
    <s v="SUR-ENE"/>
    <s v="Metropolitana Sur"/>
  </r>
  <r>
    <s v="23593606"/>
    <s v="ENERES"/>
    <s v="NUEVO"/>
    <s v="ENERES"/>
    <s v="19/11/2025 11:14:01"/>
    <s v="2025-11-19 11:14:01"/>
    <n v="800093117"/>
    <s v="ARQUITECTURA Y CONCRETO S.A.S"/>
    <s v="3123618"/>
    <s v="3014555317"/>
    <s v="CL 30 SUR CR 48 -170 (INTERIOR 727 )"/>
    <x v="1"/>
    <s v="023410008001700727"/>
    <s v="Envigado"/>
    <x v="1"/>
    <s v="Revisor Inst. Particulares Metrosur"/>
    <x v="0"/>
    <n v="7"/>
    <s v="2025-11-28 11:14:01"/>
    <s v="2 días 11:14"/>
    <s v="5 días 11:14"/>
    <x v="0"/>
    <s v="SIN DATO"/>
    <s v="SIN DATO"/>
    <s v="SIN DATO"/>
    <s v="ABIERTO"/>
    <n v="-75.589465000000004"/>
    <n v="6.1798529999999996"/>
    <s v="SUR-ENE"/>
    <s v="Metropolitana Sur"/>
  </r>
  <r>
    <s v="23593609"/>
    <s v="ENERES"/>
    <s v="NUEVO"/>
    <s v="ENERES"/>
    <s v="19/11/2025 11:14:31"/>
    <s v="2025-11-19 11:14:31"/>
    <n v="800093117"/>
    <s v="ARQUITECTURA Y CONCRETO S.A.S"/>
    <s v="3123618"/>
    <s v="3014555317"/>
    <s v="CL 30 SUR CR 48 -170 (INTERIOR 1227 )"/>
    <x v="1"/>
    <s v="023410008001701227"/>
    <s v="Envigado"/>
    <x v="1"/>
    <s v="Revisor Inst. Particulares Metrosur"/>
    <x v="0"/>
    <n v="7"/>
    <s v="2025-11-28 11:14:31"/>
    <s v="2 días 11:14"/>
    <s v="5 días 11:14"/>
    <x v="0"/>
    <s v="SIN DATO"/>
    <s v="SIN DATO"/>
    <s v="SIN DATO"/>
    <s v="ABIERTO"/>
    <n v="-75.589465000000004"/>
    <n v="6.1798529999999996"/>
    <s v="SUR-ENE"/>
    <s v="Metropolitana Sur"/>
  </r>
  <r>
    <s v="23593614"/>
    <s v="ENERES"/>
    <s v="NUEVO"/>
    <s v="ENERES"/>
    <s v="19/11/2025 11:15:38"/>
    <s v="2025-11-19 11:15:38"/>
    <n v="800093117"/>
    <s v="ARQUITECTURA Y CONCRETO S.A.S"/>
    <s v="3123618"/>
    <s v="3014555317"/>
    <s v="CL 30 SUR CR 48 -170 (INTERIOR 927 )"/>
    <x v="1"/>
    <s v="023410008001700927"/>
    <s v="Envigado"/>
    <x v="1"/>
    <s v="Revisor Inst. Particulares Metrosur"/>
    <x v="0"/>
    <n v="7"/>
    <s v="2025-11-28 11:15:38"/>
    <s v="2 días 11:15"/>
    <s v="5 días 11:15"/>
    <x v="0"/>
    <s v="SIN DATO"/>
    <s v="SIN DATO"/>
    <s v="SIN DATO"/>
    <s v="ABIERTO"/>
    <n v="-75.589465000000004"/>
    <n v="6.1798529999999996"/>
    <s v="SUR-ENE"/>
    <s v="Metropolitana Sur"/>
  </r>
  <r>
    <s v="23593615"/>
    <s v="ENERES"/>
    <s v="NUEVO"/>
    <s v="ENERES"/>
    <s v="19/11/2025 11:15:41"/>
    <s v="2025-11-19 11:15:41"/>
    <n v="800093117"/>
    <s v="ARQUITECTURA Y CONCRETO S.A.S"/>
    <s v="3123618"/>
    <s v="3014555317"/>
    <s v="CL 30 SUR CR 48 -170 (INTERIOR 1127 )"/>
    <x v="1"/>
    <s v="023410008001701127"/>
    <s v="Envigado"/>
    <x v="1"/>
    <s v="Revisor Inst. Particulares Metrosur"/>
    <x v="0"/>
    <n v="7"/>
    <s v="2025-11-28 11:15:41"/>
    <s v="2 días 11:15"/>
    <s v="5 días 11:15"/>
    <x v="0"/>
    <s v="SIN DATO"/>
    <s v="SIN DATO"/>
    <s v="SIN DATO"/>
    <s v="ABIERTO"/>
    <n v="-75.589465000000004"/>
    <n v="6.1798529999999996"/>
    <s v="SUR-ENE"/>
    <s v="Metropolitana Sur"/>
  </r>
  <r>
    <s v="23593625"/>
    <s v="ENERES"/>
    <s v="NUEVO"/>
    <s v="ENERES"/>
    <s v="19/11/2025 11:18:01"/>
    <s v="2025-11-19 11:18:01"/>
    <n v="800093117"/>
    <s v="ARQUITECTURA Y CONCRETO S.A.S"/>
    <s v="3123618"/>
    <s v="3014555317"/>
    <s v="CL 30 SUR CR 48 -170 (INTERIOR 1027 )"/>
    <x v="1"/>
    <s v="023410008001701027"/>
    <s v="Envigado"/>
    <x v="1"/>
    <s v="Revisor Inst. Particulares Metrosur"/>
    <x v="0"/>
    <n v="7"/>
    <s v="2025-11-28 11:18:01"/>
    <s v="2 días 11:18"/>
    <s v="5 días 11:18"/>
    <x v="0"/>
    <s v="SIN DATO"/>
    <s v="SIN DATO"/>
    <s v="SIN DATO"/>
    <s v="ABIERTO"/>
    <n v="-75.589465000000004"/>
    <n v="6.1798529999999996"/>
    <s v="SUR-ENE"/>
    <s v="Metropolitana Sur"/>
  </r>
  <r>
    <s v="23593626"/>
    <s v="ENERES"/>
    <s v="NUEVO"/>
    <s v="ENERES"/>
    <s v="19/11/2025 11:18:05"/>
    <s v="2025-11-19 11:18:05"/>
    <n v="800093117"/>
    <s v="ARQUITECTURA Y CONCRETO S.A.S"/>
    <s v="3123618"/>
    <s v="3014555317"/>
    <s v="CL 30 SUR CR 48 -170 (INTERIOR 827 )"/>
    <x v="1"/>
    <s v="023410008001700827"/>
    <s v="Envigado"/>
    <x v="1"/>
    <s v="Revisor Inst. Particulares Metrosur"/>
    <x v="0"/>
    <n v="7"/>
    <s v="2025-11-28 11:18:05"/>
    <s v="2 días 11:18"/>
    <s v="5 días 11:18"/>
    <x v="0"/>
    <s v="SIN DATO"/>
    <s v="SIN DATO"/>
    <s v="SIN DATO"/>
    <s v="ABIERTO"/>
    <n v="-75.589465000000004"/>
    <n v="6.1798529999999996"/>
    <s v="SUR-ENE"/>
    <s v="Metropolitana Sur"/>
  </r>
  <r>
    <s v="23593635"/>
    <s v="ENECNX"/>
    <s v="NUEVO"/>
    <s v="ENECNX"/>
    <s v="19/11/2025 11:19:22"/>
    <s v="2025-11-19 11:19:22"/>
    <n v="800093117"/>
    <s v="ARQUITECTURA Y CONCRETO S.A.S"/>
    <s v="3123618"/>
    <s v="3006512414"/>
    <s v="CL 36 A SUR CR 46 A -81"/>
    <x v="1"/>
    <s v="023416106100810000"/>
    <s v="Envigado"/>
    <x v="8"/>
    <s v="Revisor Puntos de Conexión Metrosur"/>
    <x v="0"/>
    <n v="4"/>
    <s v="2025-11-25 11:19:22"/>
    <s v="2 días 11:19"/>
    <s v="2 días 11:19"/>
    <x v="2"/>
    <s v="SIN DATO"/>
    <s v="SIN DATO"/>
    <s v="SIN DATO"/>
    <s v="ABIERTO"/>
    <n v="-75.591668069999997"/>
    <n v="6.1736735999999999"/>
    <s v="SUR-ENE"/>
    <s v="Metropolitana Sur"/>
  </r>
  <r>
    <s v="23593638"/>
    <s v="ENENOR"/>
    <s v="CAMBI"/>
    <s v="ENENOR"/>
    <s v="19/11/2025 11:19:47"/>
    <s v="2025-11-19 11:19:47"/>
    <n v="900934540"/>
    <s v="ALIMENTOS LAMACIA S.A.S"/>
    <s v="SIN DATOS"/>
    <s v="3155455910"/>
    <s v="CL 60 SUR CR 44 -6"/>
    <x v="5"/>
    <s v="016410004000060000"/>
    <s v="Sabaneta"/>
    <x v="7"/>
    <s v="METROSUR Vin. Leg. Ref. Concentrada"/>
    <x v="0"/>
    <n v="7"/>
    <s v="2025-11-28 11:19:47"/>
    <s v="2 días 11:19"/>
    <s v="5 días 11:19"/>
    <x v="0"/>
    <s v="SIN DATO"/>
    <s v="SIN DATO"/>
    <s v="SIN DATO"/>
    <s v="ABIERTO"/>
    <n v="-75.608602770000005"/>
    <n v="6.1570358000000001"/>
    <s v="SUR-ENE"/>
    <s v="Metropolitana Sur"/>
  </r>
  <r>
    <s v="23593643"/>
    <s v="ENERES"/>
    <s v="NUEVO"/>
    <s v="ENERES"/>
    <s v="19/11/2025 11:21:15"/>
    <s v="2025-11-19 11:21:15"/>
    <n v="1128475476"/>
    <s v="FELIPE ERNEY MUÑOZ ALVAREZ"/>
    <s v="SIN DATOS"/>
    <s v="3197776467"/>
    <s v="CL 66 CR 140 -82 (INTERIOR 1147 )"/>
    <x v="0"/>
    <s v="086416000000821147"/>
    <s v="Medellín"/>
    <x v="1"/>
    <s v="Revisor Instal. Regadas Metrosur"/>
    <x v="0"/>
    <n v="7"/>
    <s v="2025-11-28 11:21:15"/>
    <s v="2 días 11:21"/>
    <s v="5 días 11:21"/>
    <x v="0"/>
    <s v="SIN DATO"/>
    <s v="SIN DATO"/>
    <s v="SIN DATO"/>
    <s v="ABIERTO"/>
    <n v="-75.641147000000004"/>
    <n v="6.2826829999999996"/>
    <s v="SUR-ENE"/>
    <s v="Metropolitana Sur"/>
  </r>
  <r>
    <s v="23593652"/>
    <s v="ENERES"/>
    <s v="NUEVO"/>
    <s v="ENEDOM"/>
    <s v="19/11/2025 11:27:45"/>
    <s v="2025-11-19 11:27:45"/>
    <n v="43281195"/>
    <s v="GLADYS DE JESUS RAMIREZ RODRIGUEZ"/>
    <s v="SIN DATOS"/>
    <s v="3226597148"/>
    <s v="RURAL_116005095000000020-116005095000000020"/>
    <x v="0"/>
    <s v="116005095000000020"/>
    <s v="Medellín"/>
    <x v="0"/>
    <s v="Habilitación Viviendas Metrosur"/>
    <x v="1"/>
    <n v="8"/>
    <s v="2025-12-01 11:27:45"/>
    <s v="2 días 11:27"/>
    <s v="6 días 11:27"/>
    <x v="0"/>
    <s v="SIN DATO"/>
    <s v="SIN DATO"/>
    <s v="SIN DATO"/>
    <s v="ABIERTO"/>
    <n v="-75.628720869999995"/>
    <n v="6.2330737699999998"/>
    <s v="SUR-ENE"/>
    <s v="Metropolitana Sur"/>
  </r>
  <r>
    <s v="23593666"/>
    <s v="ENECNX"/>
    <s v="NUEVO"/>
    <s v="ENECNX"/>
    <s v="19/11/2025 11:33:10"/>
    <s v="2025-11-19 11:33:10"/>
    <n v="98662497"/>
    <s v="JAIME ALBERTO CASTAÑO ANGEL"/>
    <s v="4978093"/>
    <s v="3188277159"/>
    <s v="CL 36 SUR CR 22 -138"/>
    <x v="1"/>
    <s v="023216002001380000"/>
    <s v="Envigado"/>
    <x v="8"/>
    <s v="Revisor Puntos de Conexión Metrosur"/>
    <x v="0"/>
    <n v="4"/>
    <s v="2025-11-25 11:33:10"/>
    <s v="2 días 11:33"/>
    <s v="2 días 11:33"/>
    <x v="2"/>
    <s v="SIN DATO"/>
    <s v="SIN DATO"/>
    <s v="SIN DATO"/>
    <s v="ABIERTO"/>
    <n v="-75.559015669999994"/>
    <n v="6.1672280700000002"/>
    <s v="SUR-ENE"/>
    <s v="Metropolitana Sur"/>
  </r>
  <r>
    <s v="23593681"/>
    <s v="ENEMRT"/>
    <s v="NUEVO"/>
    <s v="ENEMVI"/>
    <s v="19/11/2025 11:39:06"/>
    <s v="2025-11-19 11:39:06"/>
    <n v="42783054"/>
    <s v="ADRIANA PATRICIA MOLINA SUAREZ"/>
    <s v="4112026"/>
    <s v="3052347532"/>
    <s v="CR 80 B CL 35 A -3"/>
    <x v="0"/>
    <s v="053820205100030000"/>
    <s v="Medellín"/>
    <x v="6"/>
    <s v="Mov Red Trans Dairo Gil"/>
    <x v="0"/>
    <n v="9"/>
    <s v="2025-12-02 11:39:06"/>
    <s v="2 días 11:39"/>
    <s v="7 días 11:39"/>
    <x v="0"/>
    <s v="SIN DATO"/>
    <s v="SIN DATO"/>
    <s v="SIN DATO"/>
    <s v="ABIERTO"/>
    <n v="-75.601973029999996"/>
    <n v="6.2436710299999998"/>
    <s v="SUR-ENE"/>
    <s v="Metropolitana Sur"/>
  </r>
  <r>
    <s v="23593687"/>
    <s v="ENERES"/>
    <s v="NUEVO"/>
    <s v="ENEDOM"/>
    <s v="19/11/2025 11:46:11"/>
    <s v="2025-11-19 11:46:11"/>
    <n v="1216725166"/>
    <s v="KELLY JOHANA PABON AGUDELO"/>
    <s v="SIN DATOS"/>
    <s v="3002513807"/>
    <s v="RURAL_117004494700000101_BELENCITO CORAZON"/>
    <x v="0"/>
    <s v="117004494700000101"/>
    <s v="Medellín"/>
    <x v="0"/>
    <s v="Habilitación Viviendas Metrosur"/>
    <x v="1"/>
    <n v="8"/>
    <s v="2025-12-01 11:46:11"/>
    <s v="2 días 11:46"/>
    <s v="6 días 11:46"/>
    <x v="0"/>
    <s v="SIN DATO"/>
    <s v="SIN DATO"/>
    <s v="SIN DATO"/>
    <s v="ABIERTO"/>
    <n v="-75.635640899999999"/>
    <n v="6.2466094400000003"/>
    <s v="SUR-ENE"/>
    <s v="Metropolitana Sur"/>
  </r>
  <r>
    <s v="23593697"/>
    <s v="ENERES"/>
    <s v="NUEVO"/>
    <s v="ENERES"/>
    <s v="19/11/2025 11:52:33"/>
    <s v="2025-11-19 11:52:33"/>
    <n v="1023832450"/>
    <s v="NELLY LORENA SERNA MURILLO"/>
    <s v="SIN DATOS"/>
    <s v="3104366937"/>
    <s v="CR 93 CL 62 B -8"/>
    <x v="0"/>
    <s v="056923002200080000"/>
    <s v="Medellín"/>
    <x v="1"/>
    <s v="Revisor Instal. Regadas Metrosur"/>
    <x v="0"/>
    <n v="7"/>
    <s v="2025-11-28 11:52:33"/>
    <s v="2 días 11:52"/>
    <s v="5 días 11:52"/>
    <x v="0"/>
    <s v="SIN DATO"/>
    <s v="SIN DATO"/>
    <s v="SIN DATO"/>
    <s v="ABIERTO"/>
    <n v="-75.605038030000003"/>
    <n v="6.2774986400000001"/>
    <s v="SUR-ENE"/>
    <s v="Metropolitana Sur"/>
  </r>
  <r>
    <s v="23593703"/>
    <s v="ENEMRT"/>
    <s v="NUEVO"/>
    <s v="ENEMVI"/>
    <s v="19/11/2025 11:56:29"/>
    <s v="2025-11-19 11:56:29"/>
    <n v="1146435484"/>
    <s v="MILDREY DURANGO DAVID"/>
    <s v="SIN DATOS"/>
    <s v="3132792322"/>
    <s v="RURAL_136029735311000000_CL 58C CR 98B-46 (IN 156)"/>
    <x v="0"/>
    <s v="136029735311000000"/>
    <s v="Medellín"/>
    <x v="6"/>
    <s v="Mov Red Trans Dairo Gil"/>
    <x v="1"/>
    <n v="14"/>
    <s v="2025-12-10 11:56:29"/>
    <s v="2 días 11:56"/>
    <s v="12 días 11:56"/>
    <x v="0"/>
    <s v="SIN DATO"/>
    <s v="SIN DATO"/>
    <s v="SIN DATO"/>
    <s v="ABIERTO"/>
    <n v="-75.610147449999999"/>
    <n v="6.2754529300000002"/>
    <s v="SUR-ENE"/>
    <s v="Metropolitana Sur"/>
  </r>
  <r>
    <s v="23593710"/>
    <s v="ENEMRT"/>
    <s v="NUEVO"/>
    <s v="ENEMVI"/>
    <s v="19/11/2025 12:03:04"/>
    <s v="2025-11-19 12:03:04"/>
    <n v="32207836"/>
    <s v="CLAUDIA ANDREA GONZALEZ TORO"/>
    <s v="2382262"/>
    <s v="3007048992"/>
    <s v="RURAL_116005603001100000_CL 30 110 -4"/>
    <x v="0"/>
    <s v="116005603001100000"/>
    <s v="Medellín"/>
    <x v="6"/>
    <s v="METR Mov Red Trans Anderson Castaño"/>
    <x v="1"/>
    <n v="14"/>
    <s v="2025-12-10 12:03:04"/>
    <s v="2 días 12:03"/>
    <s v="12 días 12:03"/>
    <x v="0"/>
    <s v="SIN DATO"/>
    <s v="SIN DATO"/>
    <s v="SIN DATO"/>
    <s v="ABIERTO"/>
    <n v="-75.630104290000006"/>
    <n v="6.2325584599999999"/>
    <s v="SUR-ENE"/>
    <s v="Metropolitana Sur"/>
  </r>
  <r>
    <s v="23593715"/>
    <s v="ENEPRE"/>
    <s v="NUEVO"/>
    <s v="ENEPRE"/>
    <s v="19/11/2025 12:09:43"/>
    <s v="2025-11-19 12:09:43"/>
    <n v="15434958"/>
    <s v="JORGE ARMANDO SOTO GRAJALES"/>
    <s v="SIN DATOS"/>
    <s v="3127470862"/>
    <s v="RURAL_122012575000000000_122012575000000000"/>
    <x v="0"/>
    <s v="122012575000000000"/>
    <s v="Medellín"/>
    <x v="3"/>
    <s v="Energía Prepago Metrosur"/>
    <x v="1"/>
    <n v="11"/>
    <s v="2025-12-04 12:09:43"/>
    <s v="2 días 12:09"/>
    <s v="9 días 12:09"/>
    <x v="0"/>
    <s v="SIN DATO"/>
    <s v="SIN DATO"/>
    <s v="SIN DATO"/>
    <s v="ABIERTO"/>
    <n v="-75.503912549999995"/>
    <n v="6.2312173900000003"/>
    <s v="SUR-ENE"/>
    <s v="Metropolitana Sur"/>
  </r>
  <r>
    <s v="23593717"/>
    <s v="ENERES"/>
    <s v="NUEVO"/>
    <s v="ENERES"/>
    <s v="19/11/2025 12:11:11"/>
    <s v="2025-11-19 12:11:11"/>
    <n v="1023832450"/>
    <s v="NELLY LORENA SERNA MURILLO"/>
    <s v="SIN DATOS"/>
    <s v="3104366937"/>
    <s v="CR 93 CL 62 B -8 (INTERIOR 101 )"/>
    <x v="0"/>
    <s v="056923002200080101"/>
    <s v="Medellín"/>
    <x v="1"/>
    <s v="Revisor Instal. Regadas Metrosur"/>
    <x v="0"/>
    <n v="7"/>
    <s v="2025-11-28 12:11:11"/>
    <s v="2 días 12:11"/>
    <s v="5 días 12:11"/>
    <x v="0"/>
    <s v="SIN DATO"/>
    <s v="SIN DATO"/>
    <s v="SIN DATO"/>
    <s v="ABIERTO"/>
    <n v="-75.604921000000004"/>
    <n v="6.2775420000000004"/>
    <s v="SUR-ENE"/>
    <s v="Metropolitana Sur"/>
  </r>
  <r>
    <s v="23593718"/>
    <s v="ENERES"/>
    <s v="NUEVO"/>
    <s v="ENERES"/>
    <s v="19/11/2025 12:11:50"/>
    <s v="2025-11-19 12:11:50"/>
    <n v="1017172477"/>
    <s v="ANDERSON ALEXIS BUSTAMANTE ZAPATA"/>
    <s v="SIN DATOS"/>
    <s v="3146525634"/>
    <s v="CL 38 C CR 26 -5 (INTERIOR 301 )"/>
    <x v="0"/>
    <s v="053218306000050301"/>
    <s v="Medellín"/>
    <x v="1"/>
    <s v="Revisor Instal. Regadas Metrosur"/>
    <x v="0"/>
    <n v="7"/>
    <s v="2025-11-28 12:11:50"/>
    <s v="2 días 12:11"/>
    <s v="5 días 12:11"/>
    <x v="0"/>
    <s v="SIN DATO"/>
    <s v="SIN DATO"/>
    <s v="SIN DATO"/>
    <s v="ABIERTO"/>
    <n v="-75.553368030000001"/>
    <n v="6.2314698699999997"/>
    <s v="SUR-ENE"/>
    <s v="Metropolitana Sur"/>
  </r>
  <r>
    <s v="23593727"/>
    <s v="ENERES"/>
    <s v="NUEVO"/>
    <s v="ENERES"/>
    <s v="19/11/2025 12:15:42"/>
    <s v="2025-11-19 12:15:42"/>
    <n v="71733692"/>
    <s v="FRANK OCTAVIO BETANCUR VELASQUEZ"/>
    <s v="SIN DATOS"/>
    <s v="3016507099"/>
    <s v="CR 16 CL 65 B -78 (INTERIOR 302 )"/>
    <x v="0"/>
    <s v="056126005200780302"/>
    <s v="Medellín"/>
    <x v="1"/>
    <s v="Revisor Instal. Regadas Metrosur"/>
    <x v="0"/>
    <n v="7"/>
    <s v="2025-11-28 12:15:42"/>
    <s v="2 días 12:15"/>
    <s v="5 días 12:15"/>
    <x v="0"/>
    <s v="SIN DATO"/>
    <s v="SIN DATO"/>
    <s v="SIN DATO"/>
    <s v="ABIERTO"/>
    <n v="-75.541661000000005"/>
    <n v="6.2540300000000002"/>
    <s v="SUR-ENE"/>
    <s v="Metropolitana Sur"/>
  </r>
  <r>
    <s v="23593729"/>
    <s v="ENENOR"/>
    <s v="NUEVO"/>
    <s v="ENENOR"/>
    <s v="19/11/2025 12:19:02"/>
    <s v="2025-11-19 12:19:02"/>
    <n v="801002376"/>
    <s v="CÁLCULO Y CONSTRUCCIONES SAS"/>
    <s v="5604850"/>
    <s v="3146813146"/>
    <s v="CL 34 AD CR 116 F -50 (INTERIOR 5 )"/>
    <x v="0"/>
    <s v="083114146600500005"/>
    <s v="Medellín"/>
    <x v="2"/>
    <s v="Revisor Inst. Particulares Metrosur"/>
    <x v="0"/>
    <n v="7"/>
    <s v="2025-11-28 12:19:02"/>
    <s v="2 días 12:19"/>
    <s v="5 días 12:19"/>
    <x v="0"/>
    <s v="SIN DATO"/>
    <s v="SIN DATO"/>
    <s v="SIN DATO"/>
    <s v="ABIERTO"/>
    <n v="-75.62976003"/>
    <n v="6.2477254799999997"/>
    <s v="SUR-ENE"/>
    <s v="Metropolitana Sur"/>
  </r>
  <r>
    <s v="23593732"/>
    <s v="ENERES"/>
    <s v="NUEVO"/>
    <s v="ENERES"/>
    <s v="19/11/2025 12:21:28"/>
    <s v="2025-11-19 12:21:28"/>
    <n v="43454345"/>
    <s v="BERTA LIA CORREA RESTREPO"/>
    <s v="SIN DATOS"/>
    <s v="3117842915"/>
    <s v="CR 81 A CL 44 A SUR -24 (INTERIOR 553 )"/>
    <x v="0"/>
    <s v="044821104100240553"/>
    <s v="Medellín"/>
    <x v="1"/>
    <s v="Revisor Instal. Regadas Metrosur"/>
    <x v="0"/>
    <n v="7"/>
    <s v="2025-11-28 12:21:28"/>
    <s v="2 días 12:21"/>
    <s v="5 días 12:21"/>
    <x v="0"/>
    <s v="SIN DATO"/>
    <s v="SIN DATO"/>
    <s v="SIN DATO"/>
    <s v="ABIERTO"/>
    <n v="-75.657941690000001"/>
    <n v="6.1827565199999999"/>
    <s v="SUR-ENE"/>
    <s v="Metropolitana Sur"/>
  </r>
  <r>
    <s v="23593742"/>
    <s v="ENENOR"/>
    <s v="NUEVO"/>
    <s v="ENENOR"/>
    <s v="19/11/2025 12:24:55"/>
    <s v="2025-11-19 12:24:55"/>
    <n v="1036603683"/>
    <s v="DIEGO ALEJANDRO QUIJANO LOPEZ"/>
    <s v="SIN DATOS"/>
    <s v="3104698850"/>
    <s v="RURAL_161110560000009900_VEREDA LA CORRALA CALDAS"/>
    <x v="3"/>
    <s v="161110560000009900"/>
    <s v="Caldas"/>
    <x v="2"/>
    <s v="Revisor Inst. Particulares Metrosur"/>
    <x v="1"/>
    <n v="10"/>
    <s v="2025-12-03 12:24:55"/>
    <s v="2 días 12:24"/>
    <s v="8 días 12:24"/>
    <x v="0"/>
    <s v="SIN DATO"/>
    <s v="SIN DATO"/>
    <s v="SIN DATO"/>
    <s v="ABIERTO"/>
    <n v="-75.625374170000001"/>
    <n v="6.08691899"/>
    <s v="SUR-ENE"/>
    <s v="Metropolitana Sur"/>
  </r>
  <r>
    <s v="23593744"/>
    <s v="ENERES"/>
    <s v="NUEVO"/>
    <s v="ENEDOM"/>
    <s v="19/11/2025 12:26:16"/>
    <s v="2025-11-19 12:26:16"/>
    <n v="1001808727"/>
    <s v="DAVID CARO BERRIO"/>
    <s v="SIN DATOS"/>
    <s v="3004709378"/>
    <s v="CL 54 B CR 58 -14 (INTERIOR 1103 )"/>
    <x v="2"/>
    <s v="075514208000141103"/>
    <s v="Itaguí"/>
    <x v="0"/>
    <s v="Habilitación Viviendas Metrosur"/>
    <x v="0"/>
    <n v="5"/>
    <s v="2025-11-26 12:26:16"/>
    <s v="2 días 12:26"/>
    <s v="3 días 12:26"/>
    <x v="0"/>
    <s v="SIN DATO"/>
    <s v="SIN DATO"/>
    <s v="SIN DATO"/>
    <s v="ABIERTO"/>
    <n v="-75.609866229999994"/>
    <n v="6.1768508500000001"/>
    <s v="SUR-ENE"/>
    <s v="Metropolitana Sur"/>
  </r>
  <r>
    <s v="23593749"/>
    <s v="ENERES"/>
    <s v="NUEVO"/>
    <s v="ENEDOM"/>
    <s v="19/11/2025 12:26:42"/>
    <s v="2025-11-19 12:26:42"/>
    <n v="1033653278"/>
    <s v="GUSTAVO ADOLFO TABORDA AGUDELO"/>
    <s v="SIN DATOS"/>
    <s v="3015266708"/>
    <s v="RURAL_163007734700000235_AJIZAL"/>
    <x v="2"/>
    <s v="163007734700000235"/>
    <s v="Itaguí"/>
    <x v="0"/>
    <s v="Habilitación Viviendas Metrosur"/>
    <x v="1"/>
    <n v="8"/>
    <s v="2025-12-01 12:26:42"/>
    <s v="2 días 12:26"/>
    <s v="6 días 12:26"/>
    <x v="0"/>
    <s v="SIN DATO"/>
    <s v="SIN DATO"/>
    <s v="SIN DATO"/>
    <s v="ABIERTO"/>
    <n v="-75.606826999999996"/>
    <n v="6.1959679999999997"/>
    <s v="SUR-ENE"/>
    <s v="Metropolitana Sur"/>
  </r>
  <r>
    <s v="23593755"/>
    <s v="ENERES"/>
    <s v="NUEVO"/>
    <s v="ENEDOM"/>
    <s v="19/11/2025 12:27:58"/>
    <s v="2025-11-19 12:27:58"/>
    <n v="43469163"/>
    <s v="ANA FABIOLA VILLEGAS GIRALDO"/>
    <s v="SIN DATOS"/>
    <s v="3153494003"/>
    <s v="RURAL_146019600000000001"/>
    <x v="0"/>
    <s v="146019600000000001"/>
    <s v="Medellín"/>
    <x v="0"/>
    <s v="Habilitación Viviendas Metrosur"/>
    <x v="1"/>
    <n v="8"/>
    <s v="2025-12-01 12:27:58"/>
    <s v="2 días 12:27"/>
    <s v="6 días 12:27"/>
    <x v="0"/>
    <s v="SIN DATO"/>
    <s v="SIN DATO"/>
    <s v="SIN DATO"/>
    <s v="ABIERTO"/>
    <n v="-75.705882130000006"/>
    <n v="6.3463955299999997"/>
    <s v="SUR-ENE"/>
    <s v="Metropolitana Sur"/>
  </r>
  <r>
    <s v="23593757"/>
    <s v="ENERES"/>
    <s v="NUEVO"/>
    <s v="ENERES"/>
    <s v="19/11/2025 12:28:03"/>
    <s v="2025-11-19 12:28:03"/>
    <n v="42786565"/>
    <s v="LUZ OMAIRA ARIAS ZAPATA"/>
    <s v="SIN DATOS"/>
    <s v="3015251161"/>
    <s v="RURAL_122015795000000103"/>
    <x v="0"/>
    <s v="122015795000000103"/>
    <s v="Medellín"/>
    <x v="1"/>
    <s v="Revisor Instal. Regadas Metrosur"/>
    <x v="1"/>
    <n v="10"/>
    <s v="2025-12-03 12:28:03"/>
    <s v="2 días 12:28"/>
    <s v="8 días 12:28"/>
    <x v="0"/>
    <s v="SIN DATO"/>
    <s v="SIN DATO"/>
    <s v="SIN DATO"/>
    <s v="ABIERTO"/>
    <n v="-75.492155069999995"/>
    <n v="6.2606401099999998"/>
    <s v="SUR-ENE"/>
    <s v="Metropolitana Sur"/>
  </r>
  <r>
    <s v="23593762"/>
    <s v="ENERES"/>
    <s v="NUEVO"/>
    <s v="ENERES"/>
    <s v="19/11/2025 12:37:14"/>
    <s v="2025-11-19 12:37:14"/>
    <n v="43070461"/>
    <s v="ANA DE JESUS GIRALDO MARTINEZ"/>
    <s v="SIN DATOS"/>
    <s v="3017512131"/>
    <s v="CR 30 CL 43 -28"/>
    <x v="0"/>
    <s v="054320003000280000"/>
    <s v="Medellín"/>
    <x v="1"/>
    <s v="Revisor Instal. Regadas Metrosur"/>
    <x v="0"/>
    <n v="7"/>
    <s v="2025-11-28 12:37:14"/>
    <s v="2 días 12:37"/>
    <s v="5 días 12:37"/>
    <x v="0"/>
    <s v="SIN DATO"/>
    <s v="SIN DATO"/>
    <s v="SIN DATO"/>
    <s v="ABIERTO"/>
    <n v="-75.554894910000002"/>
    <n v="6.2370385300000004"/>
    <s v="SUR-ENE"/>
    <s v="Metropolitana Sur"/>
  </r>
  <r>
    <s v="23593766"/>
    <s v="ENERES"/>
    <s v="NUEVO"/>
    <s v="ENEDOM"/>
    <s v="19/11/2025 12:40:51"/>
    <s v="2025-11-19 12:40:51"/>
    <n v="1036617789"/>
    <s v="JUAN PABLO RESTREPO RESTREPO"/>
    <s v="3767335"/>
    <s v="3045295931"/>
    <s v="RURAL_163010038000000304_IGLESIA GOMEZ ABAJO"/>
    <x v="2"/>
    <s v="163010038000000304"/>
    <s v="Itaguí"/>
    <x v="0"/>
    <s v="Habilitación Viviendas Metrosur"/>
    <x v="1"/>
    <n v="8"/>
    <s v="2025-12-01 12:40:51"/>
    <s v="2 días 12:40"/>
    <s v="6 días 12:40"/>
    <x v="0"/>
    <s v="SIN DATO"/>
    <s v="SIN DATO"/>
    <s v="SIN DATO"/>
    <s v="ABIERTO"/>
    <n v="-75.608472000000006"/>
    <n v="6.1923529999999998"/>
    <s v="SUR-ENE"/>
    <s v="Metropolitana Sur"/>
  </r>
  <r>
    <s v="23593767"/>
    <s v="ENECNX"/>
    <s v="NUEVO"/>
    <s v="ENECNX"/>
    <s v="19/11/2025 12:41:32"/>
    <s v="2025-11-19 12:41:32"/>
    <n v="8162675"/>
    <s v="CARLOS ANDRES JIMENEZ USUGA"/>
    <s v="2558548"/>
    <s v="3106018193"/>
    <s v="CR 50 B CL 6 SUR -40"/>
    <x v="0"/>
    <s v="040520206000400000"/>
    <s v="Medellín"/>
    <x v="8"/>
    <s v="Revisor Puntos de Conexión Metrosur"/>
    <x v="0"/>
    <n v="4"/>
    <s v="2025-11-25 12:41:32"/>
    <s v="2 días 12:41"/>
    <s v="2 días 12:41"/>
    <x v="2"/>
    <s v="SIN DATO"/>
    <s v="SIN DATO"/>
    <s v="SIN DATO"/>
    <s v="ABIERTO"/>
    <n v="-75.581367610000001"/>
    <n v="6.2011367999999996"/>
    <s v="SUR-ENE"/>
    <s v="Metropolitana Sur"/>
  </r>
  <r>
    <s v="23593769"/>
    <s v="ENERES"/>
    <s v="NUEVO"/>
    <s v="ENERES"/>
    <s v="19/11/2025 12:42:16"/>
    <s v="2025-11-19 12:42:16"/>
    <n v="800093117"/>
    <s v="ARQUITECTURA Y CONCRETO S.A.S"/>
    <s v="3123618"/>
    <s v="3014555317"/>
    <s v="CL 30 SUR CR 48 -170 (INTERIOR 1226 )"/>
    <x v="1"/>
    <s v="023410008001801226"/>
    <s v="Envigado"/>
    <x v="1"/>
    <s v="Revisor Inst. Particulares Metrosur"/>
    <x v="0"/>
    <n v="7"/>
    <s v="2025-11-28 12:42:16"/>
    <s v="2 días 12:42"/>
    <s v="5 días 12:42"/>
    <x v="0"/>
    <s v="SIN DATO"/>
    <s v="SIN DATO"/>
    <s v="SIN DATO"/>
    <s v="ABIERTO"/>
    <n v="-75.589465000000004"/>
    <n v="6.1798529999999996"/>
    <s v="SUR-ENE"/>
    <s v="Metropolitana Sur"/>
  </r>
  <r>
    <s v="23593771"/>
    <s v="ENERES"/>
    <s v="NUEVO"/>
    <s v="ENEDOM"/>
    <s v="19/11/2025 12:43:39"/>
    <s v="2025-11-19 12:43:39"/>
    <n v="1033646206"/>
    <s v="CARLOS DAVID TABORDA AGUDELO"/>
    <s v="SIN DATOS"/>
    <s v="3168541399"/>
    <s v="RURAL_163007734700000243_VDA_AJIZAL"/>
    <x v="2"/>
    <s v="163007734700000243"/>
    <s v="Itaguí"/>
    <x v="0"/>
    <s v="Habilitación Viviendas Metrosur"/>
    <x v="1"/>
    <n v="8"/>
    <s v="2025-12-01 12:43:39"/>
    <s v="2 días 12:43"/>
    <s v="6 días 12:43"/>
    <x v="0"/>
    <s v="SIN DATO"/>
    <s v="SIN DATO"/>
    <s v="SIN DATO"/>
    <s v="ABIERTO"/>
    <n v="-75.606826999999996"/>
    <n v="6.1959679999999997"/>
    <s v="SUR-ENE"/>
    <s v="Metropolitana Sur"/>
  </r>
  <r>
    <s v="23593772"/>
    <s v="ENERES"/>
    <s v="NUEVO"/>
    <s v="ENEDOM"/>
    <s v="19/11/2025 12:44:12"/>
    <s v="2025-11-19 12:44:12"/>
    <n v="42765675"/>
    <s v="LUZ ANGELA VELEZ COSSIO"/>
    <s v="SIN DATOS"/>
    <s v="3168847010"/>
    <s v="CR 55 A CL 57 A -46 (INTERIOR 101 )"/>
    <x v="2"/>
    <s v="075525107100460101"/>
    <s v="Itaguí"/>
    <x v="0"/>
    <s v="Habilitación Viviendas Metrosur"/>
    <x v="0"/>
    <n v="5"/>
    <s v="2025-11-26 12:44:12"/>
    <s v="2 días 12:44"/>
    <s v="3 días 12:44"/>
    <x v="0"/>
    <s v="SIN DATO"/>
    <s v="SIN DATO"/>
    <s v="SIN DATO"/>
    <s v="ABIERTO"/>
    <n v="-75.606214100000003"/>
    <n v="6.1778493900000004"/>
    <s v="SUR-ENE"/>
    <s v="Metropolitana Sur"/>
  </r>
  <r>
    <s v="23593781"/>
    <s v="ENERES"/>
    <s v="NUEVO"/>
    <s v="ENERES"/>
    <s v="19/11/2025 12:50:02"/>
    <s v="2025-11-19 12:50:02"/>
    <n v="800093117"/>
    <s v="ARQUITECTURA Y CONCRETO S.A.S"/>
    <s v="3123618"/>
    <s v="3014555317"/>
    <s v="CL 30 SUR CR 48 -170 (INTERIOR 1223 )"/>
    <x v="1"/>
    <s v="023410008001801223"/>
    <s v="Envigado"/>
    <x v="1"/>
    <s v="Revisor Inst. Particulares Metrosur"/>
    <x v="0"/>
    <n v="7"/>
    <s v="2025-11-28 12:50:02"/>
    <s v="2 días 12:50"/>
    <s v="5 días 12:50"/>
    <x v="0"/>
    <s v="SIN DATO"/>
    <s v="SIN DATO"/>
    <s v="SIN DATO"/>
    <s v="ABIERTO"/>
    <n v="-75.589465000000004"/>
    <n v="6.1798529999999996"/>
    <s v="SUR-ENE"/>
    <s v="Metropolitana Sur"/>
  </r>
  <r>
    <s v="23593782"/>
    <s v="ENERES"/>
    <s v="NUEVO"/>
    <s v="ENERES"/>
    <s v="19/11/2025 12:50:22"/>
    <s v="2025-11-19 12:50:22"/>
    <n v="800093117"/>
    <s v="ARQUITECTURA Y CONCRETO S.A.S"/>
    <s v="3123618"/>
    <s v="3014555317"/>
    <s v="CL 30 SUR CR 48 -170 (INTERIOR 1224 )"/>
    <x v="1"/>
    <s v="023410008001801224"/>
    <s v="Envigado"/>
    <x v="1"/>
    <s v="Revisor Inst. Particulares Metrosur"/>
    <x v="0"/>
    <n v="7"/>
    <s v="2025-11-28 12:50:22"/>
    <s v="2 días 12:50"/>
    <s v="5 días 12:50"/>
    <x v="0"/>
    <s v="SIN DATO"/>
    <s v="SIN DATO"/>
    <s v="SIN DATO"/>
    <s v="ABIERTO"/>
    <n v="-75.589465000000004"/>
    <n v="6.1798529999999996"/>
    <s v="SUR-ENE"/>
    <s v="Metropolitana Sur"/>
  </r>
  <r>
    <s v="23593783"/>
    <s v="ENERES"/>
    <s v="NUEVO"/>
    <s v="ENERES"/>
    <s v="19/11/2025 12:50:34"/>
    <s v="2025-11-19 12:50:34"/>
    <n v="800093117"/>
    <s v="ARQUITECTURA Y CONCRETO S.A.S"/>
    <s v="3123618"/>
    <s v="3014555317"/>
    <s v="CL 30 SUR CR 48 -170 (INTERIOR 1225 )"/>
    <x v="1"/>
    <s v="023410008001801225"/>
    <s v="Envigado"/>
    <x v="1"/>
    <s v="Revisor Inst. Particulares Metrosur"/>
    <x v="0"/>
    <n v="7"/>
    <s v="2025-11-28 12:50:34"/>
    <s v="2 días 12:50"/>
    <s v="5 días 12:50"/>
    <x v="0"/>
    <s v="SIN DATO"/>
    <s v="SIN DATO"/>
    <s v="SIN DATO"/>
    <s v="ABIERTO"/>
    <n v="-75.589465000000004"/>
    <n v="6.1798529999999996"/>
    <s v="SUR-ENE"/>
    <s v="Metropolitana Sur"/>
  </r>
  <r>
    <s v="23593784"/>
    <s v="ENERES"/>
    <s v="NUEVO"/>
    <s v="ENERES"/>
    <s v="19/11/2025 12:51:32"/>
    <s v="2025-11-19 12:51:32"/>
    <n v="800093117"/>
    <s v="ARQUITECTURA Y CONCRETO S.A.S"/>
    <s v="3123618"/>
    <s v="3014555317"/>
    <s v="CL 30 SUR CR 48 -170 (INTERIOR 1221 )"/>
    <x v="1"/>
    <s v="023410008001801221"/>
    <s v="Envigado"/>
    <x v="1"/>
    <s v="Revisor Inst. Particulares Metrosur"/>
    <x v="0"/>
    <n v="7"/>
    <s v="2025-11-28 12:51:32"/>
    <s v="2 días 12:51"/>
    <s v="5 días 12:51"/>
    <x v="0"/>
    <s v="SIN DATO"/>
    <s v="SIN DATO"/>
    <s v="SIN DATO"/>
    <s v="ABIERTO"/>
    <n v="-75.589465000000004"/>
    <n v="6.1798529999999996"/>
    <s v="SUR-ENE"/>
    <s v="Metropolitana Sur"/>
  </r>
  <r>
    <s v="23593804"/>
    <s v="ENERES"/>
    <s v="NUEVO"/>
    <s v="ENERES"/>
    <s v="19/11/2025 13:09:39"/>
    <s v="2025-11-19 13:09:39"/>
    <n v="800093117"/>
    <s v="ARQUITECTURA Y CONCRETO S.A.S"/>
    <s v="3123618"/>
    <s v="3014555317"/>
    <s v="CL 30 SUR CR 48 -170 (INTERIOR 1023 )"/>
    <x v="1"/>
    <s v="023410008001801023"/>
    <s v="Envigado"/>
    <x v="1"/>
    <s v="Revisor Inst. Particulares Metrosur"/>
    <x v="0"/>
    <n v="7"/>
    <s v="2025-11-28 13:09:39"/>
    <s v="2 días 13:09"/>
    <s v="5 días 13:09"/>
    <x v="0"/>
    <s v="SIN DATO"/>
    <s v="SIN DATO"/>
    <s v="SIN DATO"/>
    <s v="ABIERTO"/>
    <n v="-75.589465000000004"/>
    <n v="6.1798529999999996"/>
    <s v="SUR-ENE"/>
    <s v="Metropolitana Sur"/>
  </r>
  <r>
    <s v="23593805"/>
    <s v="ENERES"/>
    <s v="NUEVO"/>
    <s v="ENERES"/>
    <s v="19/11/2025 13:10:17"/>
    <s v="2025-11-19 13:10:17"/>
    <n v="800093117"/>
    <s v="ARQUITECTURA Y CONCRETO S.A.S"/>
    <s v="3123618"/>
    <s v="3014555317"/>
    <s v="CL 30 SUR CR 48 -170 (INTERIOR 1021 )"/>
    <x v="1"/>
    <s v="023410008001801021"/>
    <s v="Envigado"/>
    <x v="1"/>
    <s v="Revisor Inst. Particulares Metrosur"/>
    <x v="0"/>
    <n v="7"/>
    <s v="2025-11-28 13:10:17"/>
    <s v="2 días 13:10"/>
    <s v="5 días 13:10"/>
    <x v="0"/>
    <s v="SIN DATO"/>
    <s v="SIN DATO"/>
    <s v="SIN DATO"/>
    <s v="ABIERTO"/>
    <n v="-75.589465000000004"/>
    <n v="6.1798529999999996"/>
    <s v="SUR-ENE"/>
    <s v="Metropolitana Sur"/>
  </r>
  <r>
    <s v="23593809"/>
    <s v="ENERES"/>
    <s v="NUEVO"/>
    <s v="ENERES"/>
    <s v="19/11/2025 13:11:50"/>
    <s v="2025-11-19 13:11:50"/>
    <n v="800093117"/>
    <s v="ARQUITECTURA Y CONCRETO S.A.S"/>
    <s v="3123618"/>
    <s v="3014555317"/>
    <s v="CL 30 SUR CR 48 -170 (INTERIOR 1024 )"/>
    <x v="1"/>
    <s v="023410008001801024"/>
    <s v="Envigado"/>
    <x v="1"/>
    <s v="Revisor Inst. Particulares Metrosur"/>
    <x v="0"/>
    <n v="7"/>
    <s v="2025-11-28 13:11:50"/>
    <s v="2 días 13:11"/>
    <s v="5 días 13:11"/>
    <x v="0"/>
    <s v="SIN DATO"/>
    <s v="SIN DATO"/>
    <s v="SIN DATO"/>
    <s v="ABIERTO"/>
    <n v="-75.589465000000004"/>
    <n v="6.1798529999999996"/>
    <s v="SUR-ENE"/>
    <s v="Metropolitana Sur"/>
  </r>
  <r>
    <s v="23593811"/>
    <s v="ENERES"/>
    <s v="NUEVO"/>
    <s v="ENERES"/>
    <s v="19/11/2025 13:11:56"/>
    <s v="2025-11-19 13:11:56"/>
    <n v="800093117"/>
    <s v="ARQUITECTURA Y CONCRETO S.A.S"/>
    <s v="3123618"/>
    <s v="3014555317"/>
    <s v="CL 30 SUR CR 48 -170 (INTERIOR 1022 )"/>
    <x v="1"/>
    <s v="023410008001801022"/>
    <s v="Envigado"/>
    <x v="1"/>
    <s v="Revisor Inst. Particulares Metrosur"/>
    <x v="0"/>
    <n v="7"/>
    <s v="2025-11-28 13:11:56"/>
    <s v="2 días 13:11"/>
    <s v="5 días 13:11"/>
    <x v="0"/>
    <s v="SIN DATO"/>
    <s v="SIN DATO"/>
    <s v="SIN DATO"/>
    <s v="ABIERTO"/>
    <n v="-75.589465000000004"/>
    <n v="6.1798529999999996"/>
    <s v="SUR-ENE"/>
    <s v="Metropolitana Sur"/>
  </r>
  <r>
    <s v="23593813"/>
    <s v="ENERES"/>
    <s v="NUEVO"/>
    <s v="ENERES"/>
    <s v="19/11/2025 13:12:07"/>
    <s v="2025-11-19 13:12:07"/>
    <n v="800093117"/>
    <s v="ARQUITECTURA Y CONCRETO S.A.S"/>
    <s v="3123618"/>
    <s v="3014555317"/>
    <s v="CL 30 SUR CR 48 -170 (INTERIOR 621 )"/>
    <x v="1"/>
    <s v="023410008001800621"/>
    <s v="Envigado"/>
    <x v="1"/>
    <s v="Revisor Inst. Particulares Metrosur"/>
    <x v="0"/>
    <n v="7"/>
    <s v="2025-11-28 13:12:07"/>
    <s v="2 días 13:12"/>
    <s v="5 días 13:12"/>
    <x v="0"/>
    <s v="SIN DATO"/>
    <s v="SIN DATO"/>
    <s v="SIN DATO"/>
    <s v="ABIERTO"/>
    <n v="-75.589465000000004"/>
    <n v="6.1798529999999996"/>
    <s v="SUR-ENE"/>
    <s v="Metropolitana Sur"/>
  </r>
  <r>
    <s v="23593815"/>
    <s v="ENERES"/>
    <s v="NUEVO"/>
    <s v="ENERES"/>
    <s v="19/11/2025 13:13:28"/>
    <s v="2025-11-19 13:13:28"/>
    <n v="800093117"/>
    <s v="ARQUITECTURA Y CONCRETO S.A.S"/>
    <s v="3123618"/>
    <s v="3014555317"/>
    <s v="CL 30 SUR CR 48 -170 (INTERIOR 624 )"/>
    <x v="1"/>
    <s v="023410008001800624"/>
    <s v="Envigado"/>
    <x v="1"/>
    <s v="Revisor Inst. Particulares Metrosur"/>
    <x v="0"/>
    <n v="7"/>
    <s v="2025-11-28 13:13:28"/>
    <s v="2 días 13:13"/>
    <s v="5 días 13:13"/>
    <x v="0"/>
    <s v="SIN DATO"/>
    <s v="SIN DATO"/>
    <s v="SIN DATO"/>
    <s v="ABIERTO"/>
    <n v="-75.589465000000004"/>
    <n v="6.1798529999999996"/>
    <s v="SUR-ENE"/>
    <s v="Metropolitana Sur"/>
  </r>
  <r>
    <s v="23593817"/>
    <s v="ENERES"/>
    <s v="NUEVO"/>
    <s v="ENERES"/>
    <s v="19/11/2025 13:13:47"/>
    <s v="2025-11-19 13:13:47"/>
    <n v="800093117"/>
    <s v="ARQUITECTURA Y CONCRETO S.A.S"/>
    <s v="3123618"/>
    <s v="3014555317"/>
    <s v="CL 30 SUR CR 48 -170 (INTERIOR 623 )"/>
    <x v="1"/>
    <s v="023410008001800623"/>
    <s v="Envigado"/>
    <x v="1"/>
    <s v="Revisor Inst. Particulares Metrosur"/>
    <x v="0"/>
    <n v="7"/>
    <s v="2025-11-28 13:13:47"/>
    <s v="2 días 13:13"/>
    <s v="5 días 13:13"/>
    <x v="0"/>
    <s v="SIN DATO"/>
    <s v="SIN DATO"/>
    <s v="SIN DATO"/>
    <s v="ABIERTO"/>
    <n v="-75.589465000000004"/>
    <n v="6.1798529999999996"/>
    <s v="SUR-ENE"/>
    <s v="Metropolitana Sur"/>
  </r>
  <r>
    <s v="23593820"/>
    <s v="ENERES"/>
    <s v="NUEVO"/>
    <s v="ENERES"/>
    <s v="19/11/2025 13:14:06"/>
    <s v="2025-11-19 13:14:06"/>
    <n v="800093117"/>
    <s v="ARQUITECTURA Y CONCRETO S.A.S"/>
    <s v="3123618"/>
    <s v="3014555317"/>
    <s v="CL 30 SUR CR 48 -170 (INTERIOR 622 )"/>
    <x v="1"/>
    <s v="023410008001800622"/>
    <s v="Envigado"/>
    <x v="1"/>
    <s v="Revisor Inst. Particulares Metrosur"/>
    <x v="0"/>
    <n v="7"/>
    <s v="2025-11-28 13:14:06"/>
    <s v="2 días 13:14"/>
    <s v="5 días 13:14"/>
    <x v="0"/>
    <s v="SIN DATO"/>
    <s v="SIN DATO"/>
    <s v="SIN DATO"/>
    <s v="ABIERTO"/>
    <n v="-75.589465000000004"/>
    <n v="6.1798529999999996"/>
    <s v="SUR-ENE"/>
    <s v="Metropolitana Sur"/>
  </r>
  <r>
    <s v="23593830"/>
    <s v="ENERES"/>
    <s v="NUEVO"/>
    <s v="ENEDOM"/>
    <s v="19/11/2025 13:17:42"/>
    <s v="2025-11-19 13:17:42"/>
    <n v="1152693844"/>
    <s v="JUDITH CATERINE PEREZ RODRIGUEZ"/>
    <s v="SIN DATOS"/>
    <s v="3147405591"/>
    <s v="RURAL_114014081000000001"/>
    <x v="0"/>
    <s v="114014081000000001"/>
    <s v="Medellín"/>
    <x v="0"/>
    <s v="Habilitación Viviendas Metrosur"/>
    <x v="1"/>
    <n v="8"/>
    <s v="2025-12-01 13:17:42"/>
    <s v="2 días 13:17"/>
    <s v="6 días 13:17"/>
    <x v="0"/>
    <s v="SIN DATO"/>
    <s v="SIN DATO"/>
    <s v="SIN DATO"/>
    <s v="ABIERTO"/>
    <n v="-75.61283066"/>
    <n v="6.2054087300000003"/>
    <s v="SUR-ENE"/>
    <s v="Metropolitana Sur"/>
  </r>
  <r>
    <s v="23593835"/>
    <s v="ENERES"/>
    <s v="NUEVO"/>
    <s v="ENEDOM"/>
    <s v="19/11/2025 13:22:18"/>
    <s v="2025-11-19 13:22:18"/>
    <n v="1152199162"/>
    <s v="LUIS CARLOS CORTES SANCHEZ"/>
    <s v="SIN DATOS"/>
    <s v="3235101976"/>
    <s v="CR 18 CL 52 -130 (INTERIOR 301 )"/>
    <x v="0"/>
    <s v="055128002001300301"/>
    <s v="Medellín"/>
    <x v="0"/>
    <s v="Habilitación Viviendas Metrosur"/>
    <x v="0"/>
    <n v="5"/>
    <s v="2025-11-26 13:22:18"/>
    <s v="2 días 13:22"/>
    <s v="3 días 13:22"/>
    <x v="0"/>
    <s v="SIN DATO"/>
    <s v="SIN DATO"/>
    <s v="SIN DATO"/>
    <s v="ABIERTO"/>
    <n v="-75.543082420000005"/>
    <n v="6.2379671400000003"/>
    <s v="SUR-ENE"/>
    <s v="Metropolitana Sur"/>
  </r>
  <r>
    <s v="23593838"/>
    <s v="ENERES"/>
    <s v="NUEVO"/>
    <s v="ENERES"/>
    <s v="19/11/2025 13:23:34"/>
    <s v="2025-11-19 13:23:34"/>
    <n v="22188876"/>
    <s v="YOLANDA AMPARO MARTIMEZ QUINTANA"/>
    <s v="3710990"/>
    <s v="3005156070"/>
    <s v="CL 28 B CR 54 B -38 (INTERIOR 301 )"/>
    <x v="2"/>
    <s v="072518204200380301"/>
    <s v="Itaguí"/>
    <x v="1"/>
    <s v="Revisor Instal. Regadas Metrosur"/>
    <x v="0"/>
    <n v="7"/>
    <s v="2025-11-28 13:23:34"/>
    <s v="2 días 13:23"/>
    <s v="5 días 13:23"/>
    <x v="0"/>
    <s v="SIN DATO"/>
    <s v="SIN DATO"/>
    <s v="SIN DATO"/>
    <s v="ABIERTO"/>
    <n v="-75.626379159999999"/>
    <n v="6.1618559599999996"/>
    <s v="SUR-ENE"/>
    <s v="Metropolitana Sur"/>
  </r>
  <r>
    <s v="23593839"/>
    <s v="ENERES"/>
    <s v="NUEVO"/>
    <s v="ENEDOM"/>
    <s v="19/11/2025 13:23:53"/>
    <s v="2025-11-19 13:23:53"/>
    <n v="1128441970"/>
    <s v="YEYSON ARMANDO RIOS RIOS"/>
    <s v="5388362"/>
    <s v="3104683709"/>
    <s v="RURAL_146024705000000123_146024705000000000"/>
    <x v="0"/>
    <s v="146024705000000123"/>
    <s v="Medellín"/>
    <x v="0"/>
    <s v="Habilitación Viviendas Metrosur"/>
    <x v="1"/>
    <n v="8"/>
    <s v="2025-12-01 13:23:53"/>
    <s v="2 días 13:23"/>
    <s v="6 días 13:23"/>
    <x v="0"/>
    <s v="SIN DATO"/>
    <s v="SIN DATO"/>
    <s v="SIN DATO"/>
    <s v="ABIERTO"/>
    <n v="-75.705626460000005"/>
    <n v="6.3598196600000003"/>
    <s v="SUR-ENE"/>
    <s v="Metropolitana Sur"/>
  </r>
  <r>
    <s v="23593851"/>
    <s v="ENERES"/>
    <s v="NUEVO"/>
    <s v="ENERES"/>
    <s v="19/11/2025 13:33:22"/>
    <s v="2025-11-19 13:33:22"/>
    <n v="800093117"/>
    <s v="ARQUITECTURA Y CONCRETO S.A.S"/>
    <s v="3123618"/>
    <s v="3014555317"/>
    <s v="CL 30 SUR CR 48 -170 (INTERIOR 1123 )"/>
    <x v="1"/>
    <s v="023410008001801123"/>
    <s v="Envigado"/>
    <x v="1"/>
    <s v="Revisor Inst. Particulares Metrosur"/>
    <x v="0"/>
    <n v="7"/>
    <s v="2025-11-28 13:33:22"/>
    <s v="2 días 13:33"/>
    <s v="5 días 13:33"/>
    <x v="0"/>
    <s v="SIN DATO"/>
    <s v="SIN DATO"/>
    <s v="SIN DATO"/>
    <s v="ABIERTO"/>
    <n v="-75.589465000000004"/>
    <n v="6.1798529999999996"/>
    <s v="SUR-ENE"/>
    <s v="Metropolitana Sur"/>
  </r>
  <r>
    <s v="23593852"/>
    <s v="ENERES"/>
    <s v="NUEVO"/>
    <s v="ENERES"/>
    <s v="19/11/2025 13:34:25"/>
    <s v="2025-11-19 13:34:25"/>
    <n v="800093117"/>
    <s v="ARQUITECTURA Y CONCRETO S.A.S"/>
    <s v="3123618"/>
    <s v="3014555317"/>
    <s v="CL 30 SUR CR 48 -170 (INTERIOR 1121 )"/>
    <x v="1"/>
    <s v="023410008001801121"/>
    <s v="Envigado"/>
    <x v="1"/>
    <s v="Revisor Inst. Particulares Metrosur"/>
    <x v="0"/>
    <n v="7"/>
    <s v="2025-11-28 13:34:25"/>
    <s v="2 días 13:34"/>
    <s v="5 días 13:34"/>
    <x v="0"/>
    <s v="SIN DATO"/>
    <s v="SIN DATO"/>
    <s v="SIN DATO"/>
    <s v="ABIERTO"/>
    <n v="-75.589465000000004"/>
    <n v="6.1798529999999996"/>
    <s v="SUR-ENE"/>
    <s v="Metropolitana Sur"/>
  </r>
  <r>
    <s v="23593853"/>
    <s v="ENERES"/>
    <s v="NUEVO"/>
    <s v="ENERES"/>
    <s v="19/11/2025 13:34:28"/>
    <s v="2025-11-19 13:34:28"/>
    <n v="800093117"/>
    <s v="ARQUITECTURA Y CONCRETO S.A.S"/>
    <s v="3123618"/>
    <s v="3014555317"/>
    <s v="CL 30 SUR CR 48 -170 (INTERIOR 922 )"/>
    <x v="1"/>
    <s v="023410008001800922"/>
    <s v="Envigado"/>
    <x v="1"/>
    <s v="Revisor Inst. Particulares Metrosur"/>
    <x v="0"/>
    <n v="7"/>
    <s v="2025-11-28 13:34:28"/>
    <s v="2 días 13:34"/>
    <s v="5 días 13:34"/>
    <x v="0"/>
    <s v="SIN DATO"/>
    <s v="SIN DATO"/>
    <s v="SIN DATO"/>
    <s v="ABIERTO"/>
    <n v="-75.589465000000004"/>
    <n v="6.1798529999999996"/>
    <s v="SUR-ENE"/>
    <s v="Metropolitana Sur"/>
  </r>
  <r>
    <s v="23593854"/>
    <s v="ENERES"/>
    <s v="NUEVO"/>
    <s v="ENERES"/>
    <s v="19/11/2025 13:35:07"/>
    <s v="2025-11-19 13:35:07"/>
    <n v="800093117"/>
    <s v="ARQUITECTURA Y CONCRETO S.A.S"/>
    <s v="3123618"/>
    <s v="3014555317"/>
    <s v="CL 30 SUR CR 48 -170 (INTERIOR 926 )"/>
    <x v="1"/>
    <s v="023410008001800926"/>
    <s v="Envigado"/>
    <x v="1"/>
    <s v="Revisor Inst. Particulares Metrosur"/>
    <x v="0"/>
    <n v="7"/>
    <s v="2025-11-28 13:35:07"/>
    <s v="2 días 13:35"/>
    <s v="5 días 13:35"/>
    <x v="0"/>
    <s v="SIN DATO"/>
    <s v="SIN DATO"/>
    <s v="SIN DATO"/>
    <s v="ABIERTO"/>
    <n v="-75.589465000000004"/>
    <n v="6.1798529999999996"/>
    <s v="SUR-ENE"/>
    <s v="Metropolitana Sur"/>
  </r>
  <r>
    <s v="23593855"/>
    <s v="ENERES"/>
    <s v="NUEVO"/>
    <s v="ENERES"/>
    <s v="19/11/2025 13:35:39"/>
    <s v="2025-11-19 13:35:39"/>
    <n v="800093117"/>
    <s v="ARQUITECTURA Y CONCRETO S.A.S"/>
    <s v="3123618"/>
    <s v="3014555317"/>
    <s v="CL 30 SUR CR 48 -170 (INTERIOR 925 )"/>
    <x v="1"/>
    <s v="023410008001800925"/>
    <s v="Envigado"/>
    <x v="1"/>
    <s v="Revisor Inst. Particulares Metrosur"/>
    <x v="0"/>
    <n v="7"/>
    <s v="2025-11-28 13:35:39"/>
    <s v="2 días 13:35"/>
    <s v="5 días 13:35"/>
    <x v="0"/>
    <s v="SIN DATO"/>
    <s v="SIN DATO"/>
    <s v="SIN DATO"/>
    <s v="ABIERTO"/>
    <n v="-75.589465000000004"/>
    <n v="6.1798529999999996"/>
    <s v="SUR-ENE"/>
    <s v="Metropolitana Sur"/>
  </r>
  <r>
    <s v="23593856"/>
    <s v="ENERES"/>
    <s v="NUEVO"/>
    <s v="ENERES"/>
    <s v="19/11/2025 13:36:51"/>
    <s v="2025-11-19 13:36:51"/>
    <n v="800093117"/>
    <s v="ARQUITECTURA Y CONCRETO S.A.S"/>
    <s v="3123618"/>
    <s v="3014555317"/>
    <s v="CL 30 SUR CR 48 -170 (INTERIOR 1025 )"/>
    <x v="1"/>
    <s v="023410008001801025"/>
    <s v="Envigado"/>
    <x v="1"/>
    <s v="Revisor Inst. Particulares Metrosur"/>
    <x v="0"/>
    <n v="7"/>
    <s v="2025-11-28 13:36:51"/>
    <s v="2 días 13:36"/>
    <s v="5 días 13:36"/>
    <x v="0"/>
    <s v="SIN DATO"/>
    <s v="SIN DATO"/>
    <s v="SIN DATO"/>
    <s v="ABIERTO"/>
    <n v="-75.589465000000004"/>
    <n v="6.1798529999999996"/>
    <s v="SUR-ENE"/>
    <s v="Metropolitana Sur"/>
  </r>
  <r>
    <s v="23593858"/>
    <s v="ENERES"/>
    <s v="NUEVO"/>
    <s v="ENERES"/>
    <s v="19/11/2025 13:37:37"/>
    <s v="2025-11-19 13:37:37"/>
    <n v="800093117"/>
    <s v="ARQUITECTURA Y CONCRETO S.A.S"/>
    <s v="3123618"/>
    <s v="3014555317"/>
    <s v="CL 30 SUR CR 48 -170 (INTERIOR 1026 )"/>
    <x v="1"/>
    <s v="023410008001801026"/>
    <s v="Envigado"/>
    <x v="1"/>
    <s v="Revisor Inst. Particulares Metrosur"/>
    <x v="0"/>
    <n v="7"/>
    <s v="2025-11-28 13:37:37"/>
    <s v="2 días 13:37"/>
    <s v="5 días 13:37"/>
    <x v="0"/>
    <s v="SIN DATO"/>
    <s v="SIN DATO"/>
    <s v="SIN DATO"/>
    <s v="ABIERTO"/>
    <n v="-75.589465000000004"/>
    <n v="6.1798529999999996"/>
    <s v="SUR-ENE"/>
    <s v="Metropolitana Sur"/>
  </r>
  <r>
    <s v="23593859"/>
    <s v="ENERES"/>
    <s v="NUEVO"/>
    <s v="ENERES"/>
    <s v="19/11/2025 13:38:06"/>
    <s v="2025-11-19 13:38:06"/>
    <n v="800093117"/>
    <s v="ARQUITECTURA Y CONCRETO S.A.S"/>
    <s v="3123618"/>
    <s v="3014555317"/>
    <s v="CL 30 SUR CR 48 -170 (INTERIOR 924 )"/>
    <x v="1"/>
    <s v="023410008001800924"/>
    <s v="Envigado"/>
    <x v="1"/>
    <s v="Revisor Inst. Particulares Metrosur"/>
    <x v="0"/>
    <n v="7"/>
    <s v="2025-11-28 13:38:06"/>
    <s v="2 días 13:38"/>
    <s v="5 días 13:38"/>
    <x v="0"/>
    <s v="SIN DATO"/>
    <s v="SIN DATO"/>
    <s v="SIN DATO"/>
    <s v="ABIERTO"/>
    <n v="-75.589465000000004"/>
    <n v="6.1798529999999996"/>
    <s v="SUR-ENE"/>
    <s v="Metropolitana Sur"/>
  </r>
  <r>
    <s v="23593861"/>
    <s v="ENERES"/>
    <s v="NUEVO"/>
    <s v="ENERES"/>
    <s v="19/11/2025 13:38:38"/>
    <s v="2025-11-19 13:38:38"/>
    <n v="800093117"/>
    <s v="ARQUITECTURA Y CONCRETO S.A.S"/>
    <s v="3123618"/>
    <s v="3014555317"/>
    <s v="CL 30 SUR CR 48 -170 (INTERIOR 824 )"/>
    <x v="1"/>
    <s v="023410008001800824"/>
    <s v="Envigado"/>
    <x v="1"/>
    <s v="Revisor Inst. Particulares Metrosur"/>
    <x v="0"/>
    <n v="7"/>
    <s v="2025-11-28 13:38:38"/>
    <s v="2 días 13:38"/>
    <s v="5 días 13:38"/>
    <x v="0"/>
    <s v="SIN DATO"/>
    <s v="SIN DATO"/>
    <s v="SIN DATO"/>
    <s v="ABIERTO"/>
    <n v="-75.589465000000004"/>
    <n v="6.1798529999999996"/>
    <s v="SUR-ENE"/>
    <s v="Metropolitana Sur"/>
  </r>
  <r>
    <s v="23593862"/>
    <s v="ENERES"/>
    <s v="NUEVO"/>
    <s v="ENERES"/>
    <s v="19/11/2025 13:39:10"/>
    <s v="2025-11-19 13:39:10"/>
    <n v="800093117"/>
    <s v="ARQUITECTURA Y CONCRETO S.A.S"/>
    <s v="3123618"/>
    <s v="3014555317"/>
    <s v="CL 30 SUR CR 48 -170 (INTERIOR 625 )"/>
    <x v="1"/>
    <s v="023410008001800625"/>
    <s v="Envigado"/>
    <x v="1"/>
    <s v="Revisor Inst. Particulares Metrosur"/>
    <x v="0"/>
    <n v="7"/>
    <s v="2025-11-28 13:39:10"/>
    <s v="2 días 13:39"/>
    <s v="5 días 13:39"/>
    <x v="0"/>
    <s v="SIN DATO"/>
    <s v="SIN DATO"/>
    <s v="SIN DATO"/>
    <s v="ABIERTO"/>
    <n v="-75.589465000000004"/>
    <n v="6.1798529999999996"/>
    <s v="SUR-ENE"/>
    <s v="Metropolitana Sur"/>
  </r>
  <r>
    <s v="23593863"/>
    <s v="ENERES"/>
    <s v="NUEVO"/>
    <s v="ENERES"/>
    <s v="19/11/2025 13:40:16"/>
    <s v="2025-11-19 13:40:16"/>
    <n v="800093117"/>
    <s v="ARQUITECTURA Y CONCRETO S.A.S"/>
    <s v="3123618"/>
    <s v="3014555317"/>
    <s v="CL 30 SUR CR 48 -170 (INTERIOR 722 )"/>
    <x v="1"/>
    <s v="023410008001800722"/>
    <s v="Envigado"/>
    <x v="1"/>
    <s v="Revisor Inst. Particulares Metrosur"/>
    <x v="0"/>
    <n v="7"/>
    <s v="2025-11-28 13:40:16"/>
    <s v="2 días 13:40"/>
    <s v="5 días 13:40"/>
    <x v="0"/>
    <s v="SIN DATO"/>
    <s v="SIN DATO"/>
    <s v="SIN DATO"/>
    <s v="ABIERTO"/>
    <n v="-75.589465000000004"/>
    <n v="6.1798529999999996"/>
    <s v="SUR-ENE"/>
    <s v="Metropolitana Sur"/>
  </r>
  <r>
    <s v="23593868"/>
    <s v="ENEPRE"/>
    <s v="NUEVO"/>
    <s v="ENEPRE"/>
    <s v="19/11/2025 13:41:06"/>
    <s v="2025-11-19 13:41:06"/>
    <n v="43734687"/>
    <s v="TERESITA GARCIA RESTREPO"/>
    <s v="SIN DATOS"/>
    <s v="3135281239"/>
    <s v="RURAL_159146310000000201_SAN MIGUEL"/>
    <x v="4"/>
    <s v="159146310000000201"/>
    <s v="La Estrella"/>
    <x v="3"/>
    <s v="Energía Prepago Metrosur"/>
    <x v="1"/>
    <n v="11"/>
    <s v="2025-12-04 13:41:06"/>
    <s v="2 días 13:41"/>
    <s v="9 días 13:41"/>
    <x v="0"/>
    <s v="SIN DATO"/>
    <s v="SIN DATO"/>
    <s v="SIN DATO"/>
    <s v="ABIERTO"/>
    <n v="-75.638721829999994"/>
    <n v="6.1187351699999999"/>
    <s v="SUR-ENE"/>
    <s v="Metropolitana Sur"/>
  </r>
  <r>
    <s v="23593870"/>
    <s v="ENERES"/>
    <s v="NUEVO"/>
    <s v="ENEDOM"/>
    <s v="19/11/2025 13:43:42"/>
    <s v="2025-11-19 13:43:42"/>
    <n v="71719646"/>
    <s v="JOHN FREDY RODRIGUEZ BERRIO"/>
    <s v="SIN DATOS"/>
    <s v="3136556144"/>
    <s v="CL 59 CR 134 -102 (INTERIOR 100 )"/>
    <x v="0"/>
    <s v="085319004001020100"/>
    <s v="Medellín"/>
    <x v="0"/>
    <s v="Habilitación Viviendas Metrosur"/>
    <x v="0"/>
    <n v="5"/>
    <s v="2025-11-26 13:43:42"/>
    <s v="2 días 13:43"/>
    <s v="3 días 13:43"/>
    <x v="0"/>
    <s v="SIN DATO"/>
    <s v="SIN DATO"/>
    <s v="SIN DATO"/>
    <s v="ABIERTO"/>
    <n v="-75.640798000000004"/>
    <n v="6.2767580000000001"/>
    <s v="SUR-ENE"/>
    <s v="Metropolitana Sur"/>
  </r>
  <r>
    <s v="23593877"/>
    <s v="ENERES"/>
    <s v="NUEVO"/>
    <s v="ENERES"/>
    <s v="19/11/2025 13:46:53"/>
    <s v="2025-11-19 13:46:53"/>
    <n v="800093117"/>
    <s v="ARQUITECTURA Y CONCRETO S.A.S"/>
    <s v="3123618"/>
    <s v="3014555317"/>
    <s v="CL 30 SUR CR 48 -170 (INTERIOR 721 )"/>
    <x v="1"/>
    <s v="023410008001800721"/>
    <s v="Envigado"/>
    <x v="1"/>
    <s v="Revisor Inst. Particulares Metrosur"/>
    <x v="0"/>
    <n v="7"/>
    <s v="2025-11-28 13:46:53"/>
    <s v="2 días 13:46"/>
    <s v="5 días 13:46"/>
    <x v="0"/>
    <s v="SIN DATO"/>
    <s v="SIN DATO"/>
    <s v="SIN DATO"/>
    <s v="ABIERTO"/>
    <n v="-75.589465000000004"/>
    <n v="6.1798529999999996"/>
    <s v="SUR-ENE"/>
    <s v="Metropolitana Sur"/>
  </r>
  <r>
    <s v="23593879"/>
    <s v="ENECNX"/>
    <s v="NUEVO"/>
    <s v="ENECNX"/>
    <s v="19/11/2025 13:48:53"/>
    <s v="2025-11-19 13:48:53"/>
    <n v="811035719"/>
    <s v="AUTOMATISMOS ELECTRICOS E"/>
    <s v="5598635"/>
    <s v="3155900115"/>
    <s v="CR 49 CL 81 SUR -110"/>
    <x v="5"/>
    <s v="018429001001100000"/>
    <s v="Sabaneta"/>
    <x v="8"/>
    <s v="Revisor Puntos de Conexión Metrosur"/>
    <x v="0"/>
    <n v="4"/>
    <s v="2025-11-25 13:48:53"/>
    <s v="2 días 13:48"/>
    <s v="2 días 13:48"/>
    <x v="2"/>
    <s v="SIN DATO"/>
    <s v="SIN DATO"/>
    <s v="SIN DATO"/>
    <s v="ABIERTO"/>
    <n v="-75.630477999999997"/>
    <n v="6.1513790000000004"/>
    <s v="SUR-ENE"/>
    <s v="Metropolitana Sur"/>
  </r>
  <r>
    <s v="23593880"/>
    <s v="ENERES"/>
    <s v="NUEVO"/>
    <s v="ENEDOM"/>
    <s v="19/11/2025 13:49:11"/>
    <s v="2025-11-19 13:49:11"/>
    <n v="71393250"/>
    <s v="CESAR AUGUSTO GALLEGO TORRES"/>
    <s v="0"/>
    <s v="3142520510"/>
    <s v="RURAL_161015840000000001_PROV.VEREDA EL RAIZAL SEC"/>
    <x v="3"/>
    <s v="161015840000000001"/>
    <s v="Caldas"/>
    <x v="0"/>
    <s v="MET Rev-Inst-Concentra E_CR014"/>
    <x v="1"/>
    <n v="8"/>
    <s v="2025-12-01 13:49:11"/>
    <s v="2 días 13:49"/>
    <s v="6 días 13:49"/>
    <x v="0"/>
    <s v="SIN DATO"/>
    <s v="SIN DATO"/>
    <s v="SIN DATO"/>
    <s v="ABIERTO"/>
    <n v="-75.645366620000004"/>
    <n v="6.0870563100000004"/>
    <s v="SUR-ENE"/>
    <s v="Metropolitana Sur"/>
  </r>
  <r>
    <s v="23593884"/>
    <s v="ENERES"/>
    <s v="NUEVO"/>
    <s v="ENERES"/>
    <s v="19/11/2025 13:53:01"/>
    <s v="2025-11-19 13:53:01"/>
    <n v="800093117"/>
    <s v="ARQUITECTURA Y CONCRETO S.A.S"/>
    <s v="3123618"/>
    <s v="3014555317"/>
    <s v="CL 30 SUR CR 48 -170 (INTERIOR 723 )"/>
    <x v="1"/>
    <s v="023410008001800723"/>
    <s v="Envigado"/>
    <x v="1"/>
    <s v="Revisor Inst. Particulares Metrosur"/>
    <x v="0"/>
    <n v="7"/>
    <s v="2025-11-28 13:53:01"/>
    <s v="2 días 13:53"/>
    <s v="5 días 13:53"/>
    <x v="0"/>
    <s v="SIN DATO"/>
    <s v="SIN DATO"/>
    <s v="SIN DATO"/>
    <s v="ABIERTO"/>
    <n v="-75.589465000000004"/>
    <n v="6.1798529999999996"/>
    <s v="SUR-ENE"/>
    <s v="Metropolitana Sur"/>
  </r>
  <r>
    <s v="23593887"/>
    <s v="ENERES"/>
    <s v="NUEVO"/>
    <s v="ENERES"/>
    <s v="19/11/2025 13:53:20"/>
    <s v="2025-11-19 13:53:20"/>
    <n v="800093117"/>
    <s v="ARQUITECTURA Y CONCRETO S.A.S"/>
    <s v="3123618"/>
    <s v="3014555317"/>
    <s v="CL 30 SUR CR 48 -170 (INTERIOR 822 )"/>
    <x v="1"/>
    <s v="023410008001800822"/>
    <s v="Envigado"/>
    <x v="1"/>
    <s v="Revisor Inst. Particulares Metrosur"/>
    <x v="0"/>
    <n v="7"/>
    <s v="2025-11-28 13:53:20"/>
    <s v="2 días 13:53"/>
    <s v="5 días 13:53"/>
    <x v="0"/>
    <s v="SIN DATO"/>
    <s v="SIN DATO"/>
    <s v="SIN DATO"/>
    <s v="ABIERTO"/>
    <n v="-75.589465000000004"/>
    <n v="6.1798529999999996"/>
    <s v="SUR-ENE"/>
    <s v="Metropolitana Sur"/>
  </r>
  <r>
    <s v="23593888"/>
    <s v="ENEPRE"/>
    <s v="REUBI"/>
    <s v="ENEPRE"/>
    <s v="19/11/2025 13:54:04"/>
    <s v="2025-11-19 13:54:04"/>
    <n v="43503766"/>
    <s v="NORA ELSY MONTOYA URREGO"/>
    <s v="SIN DATOS"/>
    <s v="3008381530"/>
    <s v="CL 62 CR 85 -326 (INTERIOR 101 )"/>
    <x v="0"/>
    <s v="056812005003260101"/>
    <s v="Medellín"/>
    <x v="9"/>
    <s v="Energía Prepago Metrosur"/>
    <x v="0"/>
    <n v="11"/>
    <s v="2025-12-04 13:54:04"/>
    <s v="2 días 13:54"/>
    <s v="9 días 13:54"/>
    <x v="0"/>
    <s v="SIN DATO"/>
    <s v="SIN DATO"/>
    <s v="SIN DATO"/>
    <s v="ABIERTO"/>
    <n v="-75.598703920000005"/>
    <n v="6.2754780300000004"/>
    <s v="SUR-ENE"/>
    <s v="Metropolitana Sur"/>
  </r>
  <r>
    <s v="23593891"/>
    <s v="ENECNX"/>
    <s v="NUEVO"/>
    <s v="ENECNX"/>
    <s v="19/11/2025 13:54:28"/>
    <s v="2025-11-19 13:54:28"/>
    <n v="890924840"/>
    <s v="INVERSIONES FERBIENES SAS"/>
    <s v="5598635"/>
    <s v="3155900115"/>
    <s v="CR 49 CL 81 SUR -90"/>
    <x v="5"/>
    <s v="018429001000900000"/>
    <s v="Sabaneta"/>
    <x v="8"/>
    <s v="Revisor Puntos de Conexión Metrosur"/>
    <x v="0"/>
    <n v="4"/>
    <s v="2025-11-25 13:54:28"/>
    <s v="2 días 13:54"/>
    <s v="2 días 13:54"/>
    <x v="2"/>
    <s v="SIN DATO"/>
    <s v="SIN DATO"/>
    <s v="SIN DATO"/>
    <s v="ABIERTO"/>
    <n v="-75.630262999999999"/>
    <n v="6.1513739999999997"/>
    <s v="SUR-ENE"/>
    <s v="Metropolitana Sur"/>
  </r>
  <r>
    <s v="23593916"/>
    <s v="ENERES"/>
    <s v="NUEVO"/>
    <s v="ENERES"/>
    <s v="19/11/2025 14:03:23"/>
    <s v="2025-11-19 14:03:23"/>
    <n v="800093117"/>
    <s v="ARQUITECTURA Y CONCRETO S.A.S"/>
    <s v="3123618"/>
    <s v="3014555317"/>
    <s v="CL 30 SUR CR 48 -170 (INTERIOR 1124 )"/>
    <x v="1"/>
    <s v="023410008001801124"/>
    <s v="Envigado"/>
    <x v="1"/>
    <s v="Revisor Inst. Particulares Metrosur"/>
    <x v="0"/>
    <n v="7"/>
    <s v="2025-11-28 14:03:23"/>
    <s v="2 días 14:03"/>
    <s v="5 días 14:03"/>
    <x v="0"/>
    <s v="SIN DATO"/>
    <s v="SIN DATO"/>
    <s v="SIN DATO"/>
    <s v="ABIERTO"/>
    <n v="-75.589465000000004"/>
    <n v="6.1798529999999996"/>
    <s v="SUR-ENE"/>
    <s v="Metropolitana Sur"/>
  </r>
  <r>
    <s v="23593918"/>
    <s v="ENERES"/>
    <s v="NUEVO"/>
    <s v="ENERES"/>
    <s v="19/11/2025 14:04:30"/>
    <s v="2025-11-19 14:04:30"/>
    <n v="800093117"/>
    <s v="ARQUITECTURA Y CONCRETO S.A.S"/>
    <s v="3123618"/>
    <s v="3014555317"/>
    <s v="CL 30 SUR CR 48 -170 (INTERIOR 1222 )"/>
    <x v="1"/>
    <s v="023410008001801222"/>
    <s v="Envigado"/>
    <x v="1"/>
    <s v="Revisor Inst. Particulares Metrosur"/>
    <x v="0"/>
    <n v="7"/>
    <s v="2025-11-28 14:04:30"/>
    <s v="2 días 14:04"/>
    <s v="5 días 14:04"/>
    <x v="0"/>
    <s v="SIN DATO"/>
    <s v="SIN DATO"/>
    <s v="SIN DATO"/>
    <s v="ABIERTO"/>
    <n v="-75.589465000000004"/>
    <n v="6.1798529999999996"/>
    <s v="SUR-ENE"/>
    <s v="Metropolitana Sur"/>
  </r>
  <r>
    <s v="23593919"/>
    <s v="ENERES"/>
    <s v="NUEVO"/>
    <s v="ENERES"/>
    <s v="19/11/2025 14:04:51"/>
    <s v="2025-11-19 14:04:51"/>
    <n v="800093117"/>
    <s v="ARQUITECTURA Y CONCRETO S.A.S"/>
    <s v="3123618"/>
    <s v="3014555317"/>
    <s v="CL 30 SUR CR 48 -170 (INTERIOR 1125 )"/>
    <x v="1"/>
    <s v="023410008001801125"/>
    <s v="Envigado"/>
    <x v="1"/>
    <s v="Revisor Inst. Particulares Metrosur"/>
    <x v="0"/>
    <n v="7"/>
    <s v="2025-11-28 14:04:51"/>
    <s v="2 días 14:04"/>
    <s v="5 días 14:04"/>
    <x v="0"/>
    <s v="SIN DATO"/>
    <s v="SIN DATO"/>
    <s v="SIN DATO"/>
    <s v="ABIERTO"/>
    <n v="-75.589465000000004"/>
    <n v="6.1798529999999996"/>
    <s v="SUR-ENE"/>
    <s v="Metropolitana Sur"/>
  </r>
  <r>
    <s v="23593921"/>
    <s v="ENERES"/>
    <s v="NUEVO"/>
    <s v="ENERES"/>
    <s v="19/11/2025 14:07:27"/>
    <s v="2025-11-19 14:07:27"/>
    <n v="800093117"/>
    <s v="ARQUITECTURA Y CONCRETO S.A.S"/>
    <s v="3123618"/>
    <s v="3014555317"/>
    <s v="CL 30 SUR CR 48 -170 (INTERIOR 1126 )"/>
    <x v="1"/>
    <s v="023410008001801126"/>
    <s v="Envigado"/>
    <x v="1"/>
    <s v="Revisor Inst. Particulares Metrosur"/>
    <x v="0"/>
    <n v="7"/>
    <s v="2025-11-28 14:07:27"/>
    <s v="2 días 14:07"/>
    <s v="5 días 14:07"/>
    <x v="0"/>
    <s v="SIN DATO"/>
    <s v="SIN DATO"/>
    <s v="SIN DATO"/>
    <s v="ABIERTO"/>
    <n v="-75.589465000000004"/>
    <n v="6.1798529999999996"/>
    <s v="SUR-ENE"/>
    <s v="Metropolitana Sur"/>
  </r>
  <r>
    <s v="23593926"/>
    <s v="ENERES"/>
    <s v="NUEVO"/>
    <s v="ENEDOM"/>
    <s v="19/11/2025 14:13:54"/>
    <s v="2025-11-19 14:13:54"/>
    <n v="22186973"/>
    <s v="MARIA ELSY VASQUEZ RODRIGUEZ"/>
    <s v="5287842"/>
    <s v="3216109725"/>
    <s v="RURAL_163014803800000002_RURAL ITAGUI EL PEDREGAL"/>
    <x v="2"/>
    <s v="163014803800000002"/>
    <s v="Itaguí"/>
    <x v="0"/>
    <s v="Habilitación Viviendas Metrosur"/>
    <x v="1"/>
    <n v="8"/>
    <s v="2025-12-01 14:13:54"/>
    <s v="2 días 14:13"/>
    <s v="6 días 14:13"/>
    <x v="0"/>
    <s v="SIN DATO"/>
    <s v="SIN DATO"/>
    <s v="SIN DATO"/>
    <s v="ABIERTO"/>
    <n v="-75.619467560000004"/>
    <n v="6.1888718599999999"/>
    <s v="SUR-ENE"/>
    <s v="Metropolitana Sur"/>
  </r>
  <r>
    <s v="23593948"/>
    <s v="ENERES"/>
    <s v="NUEVO"/>
    <s v="ENERES"/>
    <s v="19/11/2025 14:29:59"/>
    <s v="2025-11-19 14:29:59"/>
    <n v="800093117"/>
    <s v="ARQUITECTURA Y CONCRETO S.A.S"/>
    <s v="3123618"/>
    <s v="3014555317"/>
    <s v="CL 30 SUR CR 48 -170 (INTERIOR 821 )"/>
    <x v="1"/>
    <s v="023410008001800821"/>
    <s v="Envigado"/>
    <x v="1"/>
    <s v="Revisor Inst. Particulares Metrosur"/>
    <x v="0"/>
    <n v="7"/>
    <s v="2025-11-28 14:29:59"/>
    <s v="2 días 14:29"/>
    <s v="5 días 14:29"/>
    <x v="0"/>
    <s v="SIN DATO"/>
    <s v="SIN DATO"/>
    <s v="SIN DATO"/>
    <s v="ABIERTO"/>
    <n v="-75.589465000000004"/>
    <n v="6.1798529999999996"/>
    <s v="SUR-ENE"/>
    <s v="Metropolitana Sur"/>
  </r>
  <r>
    <s v="23593950"/>
    <s v="ENERES"/>
    <s v="NUEVO"/>
    <s v="ENERES"/>
    <s v="19/11/2025 14:31:35"/>
    <s v="2025-11-19 14:31:35"/>
    <n v="800093117"/>
    <s v="ARQUITECTURA Y CONCRETO S.A.S"/>
    <s v="3123618"/>
    <s v="3014555317"/>
    <s v="CL 30 SUR CR 48 -170 (INTERIOR 725 )"/>
    <x v="1"/>
    <s v="023410008001800725"/>
    <s v="Envigado"/>
    <x v="1"/>
    <s v="Revisor Inst. Particulares Metrosur"/>
    <x v="0"/>
    <n v="7"/>
    <s v="2025-11-28 14:31:35"/>
    <s v="2 días 14:31"/>
    <s v="5 días 14:31"/>
    <x v="0"/>
    <s v="SIN DATO"/>
    <s v="SIN DATO"/>
    <s v="SIN DATO"/>
    <s v="ABIERTO"/>
    <n v="-75.589465000000004"/>
    <n v="6.1798529999999996"/>
    <s v="SUR-ENE"/>
    <s v="Metropolitana Sur"/>
  </r>
  <r>
    <s v="23593951"/>
    <s v="ENERES"/>
    <s v="NUEVO"/>
    <s v="ENERES"/>
    <s v="19/11/2025 14:31:35"/>
    <s v="2025-11-19 14:31:35"/>
    <n v="800093117"/>
    <s v="ARQUITECTURA Y CONCRETO S.A.S"/>
    <s v="3123618"/>
    <s v="3014555317"/>
    <s v="CL 30 SUR CR 48 -170 (INTERIOR 823 )"/>
    <x v="1"/>
    <s v="023410008001800823"/>
    <s v="Envigado"/>
    <x v="1"/>
    <s v="Revisor Inst. Particulares Metrosur"/>
    <x v="0"/>
    <n v="7"/>
    <s v="2025-11-28 14:31:35"/>
    <s v="2 días 14:31"/>
    <s v="5 días 14:31"/>
    <x v="0"/>
    <s v="SIN DATO"/>
    <s v="SIN DATO"/>
    <s v="SIN DATO"/>
    <s v="ABIERTO"/>
    <n v="-75.589465000000004"/>
    <n v="6.1798529999999996"/>
    <s v="SUR-ENE"/>
    <s v="Metropolitana Sur"/>
  </r>
  <r>
    <s v="23593952"/>
    <s v="ENERES"/>
    <s v="NUEVO"/>
    <s v="ENERES"/>
    <s v="19/11/2025 14:31:35"/>
    <s v="2025-11-19 14:31:35"/>
    <n v="800093117"/>
    <s v="ARQUITECTURA Y CONCRETO S.A.S"/>
    <s v="3123618"/>
    <s v="3014555317"/>
    <s v="CL 30 SUR CR 48 -170 (INTERIOR 923 )"/>
    <x v="1"/>
    <s v="023410008001900923"/>
    <s v="Envigado"/>
    <x v="1"/>
    <s v="Revisor Inst. Particulares Metrosur"/>
    <x v="0"/>
    <n v="7"/>
    <s v="2025-11-28 14:31:35"/>
    <s v="2 días 14:31"/>
    <s v="5 días 14:31"/>
    <x v="0"/>
    <s v="SIN DATO"/>
    <s v="SIN DATO"/>
    <s v="SIN DATO"/>
    <s v="ABIERTO"/>
    <n v="-75.589465000000004"/>
    <n v="6.1798529999999996"/>
    <s v="SUR-ENE"/>
    <s v="Metropolitana Sur"/>
  </r>
  <r>
    <s v="23593955"/>
    <s v="ENERES"/>
    <s v="NUEVO"/>
    <s v="ENERES"/>
    <s v="19/11/2025 14:33:54"/>
    <s v="2025-11-19 14:33:54"/>
    <n v="800093117"/>
    <s v="ARQUITECTURA Y CONCRETO S.A.S"/>
    <s v="3123618"/>
    <s v="3014555317"/>
    <s v="CL 30 SUR CR 48 -170 (INTERIOR 826 )"/>
    <x v="1"/>
    <s v="023410008001800826"/>
    <s v="Envigado"/>
    <x v="1"/>
    <s v="Revisor Inst. Particulares Metrosur"/>
    <x v="0"/>
    <n v="7"/>
    <s v="2025-11-28 14:33:54"/>
    <s v="2 días 14:33"/>
    <s v="5 días 14:33"/>
    <x v="0"/>
    <s v="SIN DATO"/>
    <s v="SIN DATO"/>
    <s v="SIN DATO"/>
    <s v="ABIERTO"/>
    <n v="-75.589465000000004"/>
    <n v="6.1798529999999996"/>
    <s v="SUR-ENE"/>
    <s v="Metropolitana Sur"/>
  </r>
  <r>
    <s v="23593958"/>
    <s v="ENERES"/>
    <s v="NUEVO"/>
    <s v="ENERES"/>
    <s v="19/11/2025 14:34:11"/>
    <s v="2025-11-19 14:34:11"/>
    <n v="800093117"/>
    <s v="ARQUITECTURA Y CONCRETO S.A.S"/>
    <s v="3123618"/>
    <s v="3014555317"/>
    <s v="CL 30 SUR CR 48 -170 (INTERIOR 1122 )"/>
    <x v="1"/>
    <s v="023410008001801122"/>
    <s v="Envigado"/>
    <x v="1"/>
    <s v="Revisor Inst. Particulares Metrosur"/>
    <x v="0"/>
    <n v="7"/>
    <s v="2025-11-28 14:34:11"/>
    <s v="2 días 14:34"/>
    <s v="5 días 14:34"/>
    <x v="0"/>
    <s v="SIN DATO"/>
    <s v="SIN DATO"/>
    <s v="SIN DATO"/>
    <s v="ABIERTO"/>
    <n v="-75.589465000000004"/>
    <n v="6.1798529999999996"/>
    <s v="SUR-ENE"/>
    <s v="Metropolitana Sur"/>
  </r>
  <r>
    <s v="23593959"/>
    <s v="ENERES"/>
    <s v="NUEVO"/>
    <s v="ENERES"/>
    <s v="19/11/2025 14:34:13"/>
    <s v="2025-11-19 14:34:13"/>
    <n v="800093117"/>
    <s v="ARQUITECTURA Y CONCRETO S.A.S"/>
    <s v="3123618"/>
    <s v="3014555317"/>
    <s v="CL 30 SUR CR 48 -170 (INTERIOR 921 )"/>
    <x v="1"/>
    <s v="023410008001800921"/>
    <s v="Envigado"/>
    <x v="1"/>
    <s v="Revisor Inst. Particulares Metrosur"/>
    <x v="0"/>
    <n v="7"/>
    <s v="2025-11-28 14:34:13"/>
    <s v="2 días 14:34"/>
    <s v="5 días 14:34"/>
    <x v="0"/>
    <s v="SIN DATO"/>
    <s v="SIN DATO"/>
    <s v="SIN DATO"/>
    <s v="ABIERTO"/>
    <n v="-75.589465000000004"/>
    <n v="6.1798529999999996"/>
    <s v="SUR-ENE"/>
    <s v="Metropolitana Sur"/>
  </r>
  <r>
    <s v="23593960"/>
    <s v="ENERES"/>
    <s v="NUEVO"/>
    <s v="ENERES"/>
    <s v="19/11/2025 14:34:20"/>
    <s v="2025-11-19 14:34:20"/>
    <n v="800093117"/>
    <s v="ARQUITECTURA Y CONCRETO S.A.S"/>
    <s v="3123618"/>
    <s v="3014555317"/>
    <s v="CL 30 SUR CR 48 -170 (INTERIOR 825 )"/>
    <x v="1"/>
    <s v="023410008001800825"/>
    <s v="Envigado"/>
    <x v="1"/>
    <s v="Revisor Inst. Particulares Metrosur"/>
    <x v="0"/>
    <n v="7"/>
    <s v="2025-11-28 14:34:20"/>
    <s v="2 días 14:34"/>
    <s v="5 días 14:34"/>
    <x v="0"/>
    <s v="SIN DATO"/>
    <s v="SIN DATO"/>
    <s v="SIN DATO"/>
    <s v="ABIERTO"/>
    <n v="-75.589465000000004"/>
    <n v="6.1798529999999996"/>
    <s v="SUR-ENE"/>
    <s v="Metropolitana Sur"/>
  </r>
  <r>
    <s v="23593963"/>
    <s v="ENERES"/>
    <s v="NUEVO"/>
    <s v="ENERES"/>
    <s v="19/11/2025 14:35:22"/>
    <s v="2025-11-19 14:35:22"/>
    <n v="800093117"/>
    <s v="ARQUITECTURA Y CONCRETO S.A.S"/>
    <s v="3123618"/>
    <s v="3014555317"/>
    <s v="CL 30 SUR CR 48 -170 (INTERIOR 724 )"/>
    <x v="1"/>
    <s v="023410008001800724"/>
    <s v="Envigado"/>
    <x v="1"/>
    <s v="Revisor Inst. Particulares Metrosur"/>
    <x v="0"/>
    <n v="7"/>
    <s v="2025-11-28 14:35:22"/>
    <s v="2 días 14:35"/>
    <s v="5 días 14:35"/>
    <x v="0"/>
    <s v="SIN DATO"/>
    <s v="SIN DATO"/>
    <s v="SIN DATO"/>
    <s v="ABIERTO"/>
    <n v="-75.589465000000004"/>
    <n v="6.1798529999999996"/>
    <s v="SUR-ENE"/>
    <s v="Metropolitana Sur"/>
  </r>
  <r>
    <s v="23593965"/>
    <s v="ENECNX"/>
    <s v="NUEVO"/>
    <s v="ENECNX"/>
    <s v="19/11/2025 14:38:26"/>
    <s v="2025-11-19 14:38:26"/>
    <n v="1128483026"/>
    <s v="JHOAN RESTREPO PALACIO"/>
    <s v="SIN DATOS"/>
    <s v="3126256252"/>
    <s v="CL 3 A CR 80 A -26"/>
    <x v="0"/>
    <s v="050813100100260000"/>
    <s v="Medellín"/>
    <x v="8"/>
    <s v="Revisor Puntos de Conexión Metrosur"/>
    <x v="0"/>
    <n v="4"/>
    <s v="2025-11-25 14:38:26"/>
    <s v="2 días 14:38"/>
    <s v="2 días 14:38"/>
    <x v="2"/>
    <s v="SIN DATO"/>
    <s v="SIN DATO"/>
    <s v="SIN DATO"/>
    <s v="ABIERTO"/>
    <n v="-75.604632289999998"/>
    <n v="6.2123805499999998"/>
    <s v="SUR-ENE"/>
    <s v="Metropolitana Sur"/>
  </r>
  <r>
    <s v="23593969"/>
    <s v="ENERES"/>
    <s v="NUEVO"/>
    <s v="ENEDOM"/>
    <s v="19/11/2025 14:41:26"/>
    <s v="2025-11-19 14:41:26"/>
    <n v="43633882"/>
    <s v="ASTRID ELIANA LONDOÑO SANCHEZ"/>
    <s v="SIN DATOS"/>
    <s v="3146767023"/>
    <s v="RURAL_122020300000000201_VDA BARRO BLANCO"/>
    <x v="0"/>
    <s v="122020300000000201"/>
    <s v="Medellín"/>
    <x v="0"/>
    <s v="Habilitación Viviendas Metrosur"/>
    <x v="1"/>
    <n v="8"/>
    <s v="2025-12-01 14:41:26"/>
    <s v="2 días 14:41"/>
    <s v="6 días 14:41"/>
    <x v="0"/>
    <s v="SIN DATO"/>
    <s v="SIN DATO"/>
    <s v="SIN DATO"/>
    <s v="ABIERTO"/>
    <n v="-75.476114219999999"/>
    <n v="6.2373210400000003"/>
    <s v="SUR-ENE"/>
    <s v="Metropolitana Sur"/>
  </r>
  <r>
    <s v="23593978"/>
    <s v="ENENOR"/>
    <s v="NUEVO"/>
    <s v="ENENOR"/>
    <s v="19/11/2025 14:48:54"/>
    <s v="2025-11-19 14:48:54"/>
    <n v="901622514"/>
    <s v="PROMOTORA LEAVING BOLIVARIANA"/>
    <s v="SIN DATOS"/>
    <s v="3137637975"/>
    <s v="CR 66 B CL 39 -29 (INTERIOR 5 )"/>
    <x v="0"/>
    <s v="053626209000290005"/>
    <s v="Medellín"/>
    <x v="2"/>
    <s v="Revisor Inst. Particulares Metrosur"/>
    <x v="0"/>
    <n v="7"/>
    <s v="2025-11-28 14:48:54"/>
    <s v="2 días 14:48"/>
    <s v="5 días 14:48"/>
    <x v="0"/>
    <s v="SIN DATO"/>
    <s v="SIN DATO"/>
    <s v="SIN DATO"/>
    <s v="ABIERTO"/>
    <n v="-75.584361999999999"/>
    <n v="6.244567"/>
    <s v="SUR-ENE"/>
    <s v="Metropolitana Sur"/>
  </r>
  <r>
    <s v="23593990"/>
    <s v="ENECNX"/>
    <s v="NUEVO"/>
    <s v="ENECNX"/>
    <s v="19/11/2025 14:55:02"/>
    <s v="2025-11-19 14:55:02"/>
    <n v="70073924"/>
    <s v="JORGE ALVARO CARDONA BOTERO"/>
    <s v="4449903"/>
    <s v="3012790042"/>
    <s v="CR 47 CL 75 -73 (INTERIOR 401 )"/>
    <x v="2"/>
    <s v="077427005000730401"/>
    <s v="Itaguí"/>
    <x v="8"/>
    <s v="Revisor Puntos de Conexión Metrosur"/>
    <x v="0"/>
    <n v="4"/>
    <s v="2025-11-25 14:55:02"/>
    <s v="2 días 14:55"/>
    <s v="2 días 14:55"/>
    <x v="2"/>
    <s v="SIN DATO"/>
    <s v="SIN DATO"/>
    <s v="SIN DATO"/>
    <s v="ABIERTO"/>
    <n v="-75.593209999999999"/>
    <n v="6.1829090000000004"/>
    <s v="SUR-ENE"/>
    <s v="Metropolitana Sur"/>
  </r>
  <r>
    <s v="23594011"/>
    <s v="ENERES"/>
    <s v="NUEVO"/>
    <s v="ENEDOM"/>
    <s v="19/11/2025 15:07:09"/>
    <s v="2025-11-19 15:07:09"/>
    <n v="10774441473"/>
    <s v="JHON FREDY CHAVERRA MOSQUERA"/>
    <s v="SIN DATOS"/>
    <s v="3012184288"/>
    <s v="CL 65 CR 16 DD -99 (INTERIOR 3040 )"/>
    <x v="0"/>
    <s v="056115006440993040"/>
    <s v="Medellín"/>
    <x v="0"/>
    <s v="Habilitación Viviendas Metrosur"/>
    <x v="0"/>
    <n v="5"/>
    <s v="2025-11-26 15:07:09"/>
    <s v="2 días 15:07"/>
    <s v="3 días 15:07"/>
    <x v="0"/>
    <s v="SIN DATO"/>
    <s v="SIN DATO"/>
    <s v="SIN DATO"/>
    <s v="ABIERTO"/>
    <n v="-75.538904900000006"/>
    <n v="6.2555585200000001"/>
    <s v="SUR-ENE"/>
    <s v="Metropolitana Sur"/>
  </r>
  <r>
    <s v="23594020"/>
    <s v="ENENOR"/>
    <s v="CAMBI"/>
    <s v="ENENOR"/>
    <s v="19/11/2025 15:13:02"/>
    <s v="2025-11-19 15:13:02"/>
    <n v="901122122"/>
    <s v="TERRANUM DESARROLLO"/>
    <s v="1111111"/>
    <s v="3113858308"/>
    <s v="DIAG 28 CL 16 -220 (INTERIOR 704 )"/>
    <x v="0"/>
    <s v="051228006002200704"/>
    <s v="Medellín"/>
    <x v="7"/>
    <s v="METROSUR Vin. Leg. Ref. Concentrada"/>
    <x v="0"/>
    <n v="7"/>
    <s v="2025-11-28 15:13:02"/>
    <s v="2 días 15:13"/>
    <s v="5 días 15:13"/>
    <x v="0"/>
    <s v="SIN DATO"/>
    <s v="SIN DATO"/>
    <s v="SIN DATO"/>
    <s v="ABIERTO"/>
    <n v="-75.559579999999997"/>
    <n v="6.2186110000000001"/>
    <s v="SUR-ENE"/>
    <s v="Metropolitana Sur"/>
  </r>
  <r>
    <s v="23594024"/>
    <s v="ENERES"/>
    <s v="NUEVO"/>
    <s v="ENERES"/>
    <s v="19/11/2025 15:15:21"/>
    <s v="2025-11-19 15:15:21"/>
    <n v="98533798"/>
    <s v="JESUS ALBEIRO GUERRA MESA"/>
    <s v="SIN DATOS"/>
    <s v="3004349710"/>
    <s v="CL 83 B CR 57 -96 ( )"/>
    <x v="2"/>
    <s v="078513207000960401"/>
    <s v="Itaguí"/>
    <x v="1"/>
    <s v="Revisor Instal. Regadas Metrosur"/>
    <x v="0"/>
    <n v="7"/>
    <s v="2025-11-28 15:15:21"/>
    <s v="2 días 15:15"/>
    <s v="5 días 15:15"/>
    <x v="0"/>
    <s v="SIN DATO"/>
    <s v="SIN DATO"/>
    <s v="SIN DATO"/>
    <s v="ABIERTO"/>
    <n v="-75.5981697"/>
    <n v="6.1936771300000002"/>
    <s v="SUR-ENE"/>
    <s v="Metropolitana Sur"/>
  </r>
  <r>
    <s v="23594031"/>
    <s v="ENERES"/>
    <s v="NUEVO"/>
    <s v="ENEDOM"/>
    <s v="19/11/2025 15:18:03"/>
    <s v="2025-11-19 15:18:03"/>
    <n v="1026158765"/>
    <s v="VERONICA BETANCOURT ARRUBLA"/>
    <s v="SIN DATOS"/>
    <s v="3216228180"/>
    <s v="RURAL_161113870000000002_PROV.RURAL_16111387000000"/>
    <x v="3"/>
    <s v="161113870000000002"/>
    <s v="Caldas"/>
    <x v="0"/>
    <s v="MET Rev-Inst-Concentra E_CR014"/>
    <x v="1"/>
    <n v="8"/>
    <s v="2025-12-01 15:18:03"/>
    <s v="2 días 15:18"/>
    <s v="6 días 15:18"/>
    <x v="0"/>
    <s v="SIN DATO"/>
    <s v="SIN DATO"/>
    <s v="SIN DATO"/>
    <s v="ABIERTO"/>
    <n v="-75.626033230000004"/>
    <n v="6.08803976"/>
    <s v="SUR-ENE"/>
    <s v="Metropolitana Sur"/>
  </r>
  <r>
    <s v="23594036"/>
    <s v="ENEMRT"/>
    <s v="NUEVO"/>
    <s v="ENEMVI"/>
    <s v="19/11/2025 15:20:27"/>
    <s v="2025-11-19 15:20:27"/>
    <n v="43694102"/>
    <s v="BERTHA CECILIA MEZA CUETO"/>
    <s v="SIN DATOS"/>
    <s v="3108909530"/>
    <s v="RURAL_136029793900000000_CR 99A CL 57B -66"/>
    <x v="0"/>
    <s v="136029793900000000"/>
    <s v="Medellín"/>
    <x v="6"/>
    <s v="Mov Red Trans Dairo Gil"/>
    <x v="1"/>
    <n v="14"/>
    <s v="2025-12-10 15:20:27"/>
    <s v="2 días 15:20"/>
    <s v="12 días 15:20"/>
    <x v="0"/>
    <s v="SIN DATO"/>
    <s v="SIN DATO"/>
    <s v="SIN DATO"/>
    <s v="ABIERTO"/>
    <n v="-75.609136399999997"/>
    <n v="6.2731417699999996"/>
    <s v="SUR-ENE"/>
    <s v="Metropolitana Sur"/>
  </r>
  <r>
    <s v="23594040"/>
    <s v="ENERES"/>
    <s v="NUEVO"/>
    <s v="ENEDOM"/>
    <s v="19/11/2025 15:21:38"/>
    <s v="2025-11-19 15:21:38"/>
    <n v="42765675"/>
    <s v="LUZ ANGELA VELEZ COSSIO"/>
    <s v="SIN DATOS"/>
    <s v="3168847010"/>
    <s v="CR 55 A CL 57 A -46 (INTERIOR 401 )"/>
    <x v="2"/>
    <s v="075525107100460401"/>
    <s v="Itaguí"/>
    <x v="0"/>
    <s v="Habilitación Viviendas Metrosur"/>
    <x v="0"/>
    <n v="5"/>
    <s v="2025-11-26 15:21:38"/>
    <s v="2 días 15:21"/>
    <s v="3 días 15:21"/>
    <x v="0"/>
    <s v="SIN DATO"/>
    <s v="SIN DATO"/>
    <s v="SIN DATO"/>
    <s v="ABIERTO"/>
    <n v="-75.606214100000003"/>
    <n v="6.1778493900000004"/>
    <s v="SUR-ENE"/>
    <s v="Metropolitana Sur"/>
  </r>
  <r>
    <s v="23594043"/>
    <s v="ENERES"/>
    <s v="NUEVO"/>
    <s v="ENERES"/>
    <s v="19/11/2025 15:22:03"/>
    <s v="2025-11-19 15:22:03"/>
    <n v="800093117"/>
    <s v="ARQUITECTURA Y CONCRETO S.A.S"/>
    <s v="3123618"/>
    <s v="3014555317"/>
    <s v="CL 30 SUR CR 48 -170 (INTERIOR 726 )"/>
    <x v="1"/>
    <s v="023410008001800726"/>
    <s v="Envigado"/>
    <x v="1"/>
    <s v="Revisor Inst. Particulares Metrosur"/>
    <x v="0"/>
    <n v="7"/>
    <s v="2025-11-28 15:22:03"/>
    <s v="2 días 15:22"/>
    <s v="5 días 15:22"/>
    <x v="0"/>
    <s v="SIN DATO"/>
    <s v="SIN DATO"/>
    <s v="SIN DATO"/>
    <s v="ABIERTO"/>
    <n v="-75.589465000000004"/>
    <n v="6.1798529999999996"/>
    <s v="SUR-ENE"/>
    <s v="Metropolitana Sur"/>
  </r>
  <r>
    <s v="23594051"/>
    <s v="ENERES"/>
    <s v="NUEVO"/>
    <s v="ENERES"/>
    <s v="19/11/2025 15:22:46"/>
    <s v="2025-11-19 15:22:46"/>
    <n v="71799202"/>
    <s v="JORGE MARIO USUGA VELASQUEZ"/>
    <s v="SIN DATOS"/>
    <s v="3202860166"/>
    <s v="CL 63 A CR 46 -52 (INTERIOR 301 )"/>
    <x v="0"/>
    <s v="056413106000520301"/>
    <s v="Medellín"/>
    <x v="1"/>
    <s v="MET Rev-Inst-Concentra E_CR014"/>
    <x v="0"/>
    <n v="7"/>
    <s v="2025-11-28 15:22:46"/>
    <s v="2 días 15:22"/>
    <s v="5 días 15:22"/>
    <x v="0"/>
    <s v="SIN DATO"/>
    <s v="SIN DATO"/>
    <s v="SIN DATO"/>
    <s v="ABIERTO"/>
    <n v="-75.559316510000002"/>
    <n v="6.2588269600000004"/>
    <s v="SUR-ENE"/>
    <s v="Metropolitana Sur"/>
  </r>
  <r>
    <s v="23594063"/>
    <s v="ENERES"/>
    <s v="CAMBI"/>
    <s v="ENERES"/>
    <s v="19/11/2025 15:27:50"/>
    <s v="2025-11-19 15:27:50"/>
    <n v="71621700"/>
    <s v="JORGE HERNAN URREA ORREGO"/>
    <s v="SIN DATOS"/>
    <s v="3043286515"/>
    <s v="TRAN 7 A CR 32 -155 (INTERIOR 301 )"/>
    <x v="0"/>
    <s v="050317102001550301"/>
    <s v="Medellín"/>
    <x v="4"/>
    <s v="METROSUR Vin. Leg. Ref. Concentrada"/>
    <x v="0"/>
    <n v="7"/>
    <s v="2025-11-28 15:27:50"/>
    <s v="2 días 15:27"/>
    <s v="5 días 15:27"/>
    <x v="0"/>
    <s v="SIN DATO"/>
    <s v="SIN DATO"/>
    <s v="SIN DATO"/>
    <s v="ABIERTO"/>
    <n v="-75.563589320000006"/>
    <n v="6.2063046699999997"/>
    <s v="SUR-ENE"/>
    <s v="Metropolitana Sur"/>
  </r>
  <r>
    <s v="23594085"/>
    <s v="ENEMRT"/>
    <s v="NUEVO"/>
    <s v="ENEMVI"/>
    <s v="19/11/2025 15:39:50"/>
    <s v="2025-11-19 15:39:50"/>
    <n v="1002065378"/>
    <s v="NATALIA ANDREA MONSALVE ROJO"/>
    <s v="SIN DATOS"/>
    <s v="3104242411"/>
    <s v="CL 58 CR 94 -95"/>
    <x v="0"/>
    <s v="055918004000950000"/>
    <s v="Medellín"/>
    <x v="6"/>
    <s v="Mov Red Trans Dairo Gil"/>
    <x v="0"/>
    <n v="9"/>
    <s v="2025-12-02 15:39:50"/>
    <s v="2 días 15:39"/>
    <s v="7 días 15:39"/>
    <x v="0"/>
    <s v="SIN DATO"/>
    <s v="SIN DATO"/>
    <s v="SIN DATO"/>
    <s v="ABIERTO"/>
    <n v="-75.605880400000004"/>
    <n v="6.2759845099999998"/>
    <s v="SUR-ENE"/>
    <s v="Metropolitana Sur"/>
  </r>
  <r>
    <s v="23594102"/>
    <s v="ENERES"/>
    <s v="NUEVO"/>
    <s v="ENERES"/>
    <s v="19/11/2025 15:45:32"/>
    <s v="2025-11-19 15:45:32"/>
    <n v="43585521"/>
    <s v="ALEXANDRA MARIA SARRIAS ARBOLEDA"/>
    <s v="5084930"/>
    <s v="3228484421"/>
    <s v="CL 65 BB CR 40 -11 (INTERIOR 201 )"/>
    <x v="0"/>
    <s v="056415220000110201"/>
    <s v="Medellín"/>
    <x v="1"/>
    <s v="Revisor Instal. Regadas Metrosur"/>
    <x v="0"/>
    <n v="7"/>
    <s v="2025-11-28 15:45:32"/>
    <s v="2 días 15:45"/>
    <s v="5 días 15:45"/>
    <x v="0"/>
    <s v="SIN DATO"/>
    <s v="SIN DATO"/>
    <s v="SIN DATO"/>
    <s v="ABIERTO"/>
    <n v="-75.553008770000005"/>
    <n v="6.2581888599999997"/>
    <s v="SUR-ENE"/>
    <s v="Metropolitana Sur"/>
  </r>
  <r>
    <s v="23594105"/>
    <s v="ENERES"/>
    <s v="NUEVO"/>
    <s v="ENEDOM"/>
    <s v="19/11/2025 15:50:23"/>
    <s v="2025-11-19 15:50:23"/>
    <n v="1036606266"/>
    <s v="JOHANA PATRICIA RODRIGUEZ CAÑAVERAL"/>
    <s v="2771174"/>
    <s v="3137872257"/>
    <s v="CL 61 E CR 88 B -36 (INTERIOR 100 )"/>
    <x v="0"/>
    <s v="056811508200360100"/>
    <s v="Medellín"/>
    <x v="0"/>
    <s v="Habilitación Viviendas Metrosur"/>
    <x v="0"/>
    <n v="5"/>
    <s v="2025-11-26 15:50:23"/>
    <s v="2 días 15:50"/>
    <s v="3 días 15:50"/>
    <x v="0"/>
    <s v="SIN DATO"/>
    <s v="SIN DATO"/>
    <s v="SIN DATO"/>
    <s v="ABIERTO"/>
    <n v="-75.599461000000005"/>
    <n v="6.2757209999999999"/>
    <s v="SUR-ENE"/>
    <s v="Metropolitana Sur"/>
  </r>
  <r>
    <s v="23594107"/>
    <s v="ENERES"/>
    <s v="NUEVO"/>
    <s v="ENERES"/>
    <s v="19/11/2025 15:50:23"/>
    <s v="2025-11-19 15:50:23"/>
    <n v="43432968"/>
    <s v="GLORIA CECILIA AGUDELO PATIÑO"/>
    <s v="SIN DATOS"/>
    <s v="3012421590"/>
    <s v="TRAN 37 CR 66 A -100"/>
    <x v="0"/>
    <s v="053697006101000000"/>
    <s v="Medellín"/>
    <x v="1"/>
    <s v="Revisor Instal. Regadas Metrosur"/>
    <x v="0"/>
    <n v="7"/>
    <s v="2025-11-28 15:50:23"/>
    <s v="2 días 15:50"/>
    <s v="5 días 15:50"/>
    <x v="0"/>
    <s v="SIN DATO"/>
    <s v="SIN DATO"/>
    <s v="SIN DATO"/>
    <s v="ABIERTO"/>
    <n v="-75.610884501000001"/>
    <n v="6.2574398200000596"/>
    <s v="SUR-ENE"/>
    <s v="Metropolitana Sur"/>
  </r>
  <r>
    <s v="23594111"/>
    <s v="ENECNX"/>
    <s v="NUEVO"/>
    <s v="ENECNX"/>
    <s v="19/11/2025 15:50:23"/>
    <s v="2025-11-19 15:50:23"/>
    <n v="1036934296"/>
    <s v="JUAN PABLO MARIN RIOS"/>
    <s v="SIN DATOS"/>
    <s v="3215586004"/>
    <s v="RURAL_125004498600000000_CL 20C SUR CR 3 - 157"/>
    <x v="1"/>
    <s v="125004498600000000"/>
    <s v="Envigado"/>
    <x v="8"/>
    <s v="Revisor Puntos de Conexión Metrosur"/>
    <x v="1"/>
    <n v="4"/>
    <s v="2025-11-25 15:50:23"/>
    <s v="2 días 15:50"/>
    <s v="2 días 15:50"/>
    <x v="2"/>
    <s v="SIN DATO"/>
    <s v="SIN DATO"/>
    <s v="SIN DATO"/>
    <s v="ABIERTO"/>
    <n v="-75.510422680000005"/>
    <n v="6.1861523800000002"/>
    <s v="SUR-ENE"/>
    <s v="Metropolitana Sur"/>
  </r>
  <r>
    <s v="23594127"/>
    <s v="ENECNX"/>
    <s v="NUEVO"/>
    <s v="ENECNX"/>
    <s v="19/11/2025 15:54:50"/>
    <s v="2025-11-19 15:54:50"/>
    <n v="901117979"/>
    <s v="INVERSIONES MONTOYA ANDRADE S.A.S"/>
    <s v="SIN DATOS"/>
    <s v="3104309060"/>
    <s v="CR 49 CL 50 SUR -24"/>
    <x v="5"/>
    <s v="015429000000240000"/>
    <s v="Sabaneta"/>
    <x v="8"/>
    <s v="Revisor Puntos de Conexión Metrosur"/>
    <x v="0"/>
    <n v="4"/>
    <s v="2025-11-25 15:54:50"/>
    <s v="2 días 15:54"/>
    <s v="2 días 15:54"/>
    <x v="2"/>
    <s v="SIN DATO"/>
    <s v="SIN DATO"/>
    <s v="SIN DATO"/>
    <s v="ABIERTO"/>
    <n v="-75.604985630000002"/>
    <n v="6.1625884600000003"/>
    <s v="SUR-ENE"/>
    <s v="Metropolitana Sur"/>
  </r>
  <r>
    <s v="23594130"/>
    <s v="ENEMRT"/>
    <s v="NUEVO"/>
    <s v="ENEMVI"/>
    <s v="19/11/2025 15:56:53"/>
    <s v="2025-11-19 15:56:53"/>
    <n v="1039886901"/>
    <s v="FABIAN ALEXIS ECHAVARRIA GONZALEZ"/>
    <s v="SIN DATOS"/>
    <s v="3128717998"/>
    <s v="RURAL_147058700000000000_LA CUMBRE-TRAVESIAS"/>
    <x v="0"/>
    <s v="147058700000000000"/>
    <s v="Medellín"/>
    <x v="6"/>
    <s v="METR Mov Red Trans Anderson Castaño"/>
    <x v="1"/>
    <n v="14"/>
    <s v="2025-12-10 15:56:53"/>
    <s v="2 días 15:56"/>
    <s v="12 días 15:56"/>
    <x v="0"/>
    <s v="SIN DATO"/>
    <s v="SIN DATO"/>
    <s v="SIN DATO"/>
    <s v="ABIERTO"/>
    <n v="-75.637008640000005"/>
    <n v="6.2854774500000001"/>
    <s v="SUR-ENE"/>
    <s v="Metropolitana Sur"/>
  </r>
  <r>
    <s v="23594136"/>
    <s v="ENERES"/>
    <s v="NUEVO"/>
    <s v="ENEDOM"/>
    <s v="19/11/2025 16:02:42"/>
    <s v="2025-11-19 16:02:43"/>
    <n v="1036606266"/>
    <s v="JOHANA PATRICIA RODRIGUEZ CAÑAVERAL"/>
    <s v="2771174"/>
    <s v="3137872257"/>
    <s v="CL 61 E CR 88 B -36 (INTERIOR 101 )"/>
    <x v="0"/>
    <s v="056811508200360101"/>
    <s v="Medellín"/>
    <x v="0"/>
    <s v="Habilitación Viviendas Metrosur"/>
    <x v="0"/>
    <n v="5"/>
    <s v="2025-11-26 16:02:43"/>
    <s v="2 días 16:02"/>
    <s v="3 días 16:02"/>
    <x v="0"/>
    <s v="SIN DATO"/>
    <s v="SIN DATO"/>
    <s v="SIN DATO"/>
    <s v="ABIERTO"/>
    <n v="-75.599461000000005"/>
    <n v="6.2757209999999999"/>
    <s v="SUR-ENE"/>
    <s v="Metropolitana Sur"/>
  </r>
  <r>
    <s v="23594140"/>
    <s v="ENERES"/>
    <s v="CAMBI"/>
    <s v="ENERES"/>
    <s v="19/11/2025 16:04:39"/>
    <s v="2025-11-19 16:04:39"/>
    <n v="79901472"/>
    <s v="PABLO EMILIO DANIELS GUTIERREZ"/>
    <s v="3007320"/>
    <s v="3145241759"/>
    <s v="CL 32 AA CR 69 -29"/>
    <x v="0"/>
    <s v="053612119000290000"/>
    <s v="Medellín"/>
    <x v="4"/>
    <s v="METROSUR Vin. Leg. Ref. Concentrada"/>
    <x v="0"/>
    <n v="7"/>
    <s v="2025-11-28 16:04:39"/>
    <s v="2 días 16:04"/>
    <s v="5 días 16:04"/>
    <x v="0"/>
    <s v="SIN DATO"/>
    <s v="SIN DATO"/>
    <s v="SIN DATO"/>
    <s v="ABIERTO"/>
    <n v="-75.590300740000004"/>
    <n v="6.2355427399999996"/>
    <s v="SUR-ENE"/>
    <s v="Metropolitana Sur"/>
  </r>
  <r>
    <s v="23594145"/>
    <s v="ENECNX"/>
    <s v="NUEVO"/>
    <s v="ENECNX"/>
    <s v="19/11/2025 16:06:10"/>
    <s v="2025-11-19 16:06:10"/>
    <n v="901653084"/>
    <s v="INMUEBLES SOSTENIBLES S.A.S"/>
    <s v="3120700"/>
    <s v="3046463544"/>
    <s v="CL 9 B SUR CR 25 -30"/>
    <x v="0"/>
    <s v="040219205000300000"/>
    <s v="Medellín"/>
    <x v="8"/>
    <s v="Revisor Puntos de Conexión Metrosur"/>
    <x v="0"/>
    <n v="4"/>
    <s v="2025-11-25 16:06:10"/>
    <s v="2 días 16:06"/>
    <s v="2 días 16:06"/>
    <x v="2"/>
    <s v="SIN DATO"/>
    <s v="SIN DATO"/>
    <s v="SIN DATO"/>
    <s v="ABIERTO"/>
    <n v="-75.561344160000004"/>
    <n v="6.1893639900000004"/>
    <s v="SUR-ENE"/>
    <s v="Metropolitana Sur"/>
  </r>
  <r>
    <s v="23594162"/>
    <s v="ENERES"/>
    <s v="NUEVO"/>
    <s v="ENERES"/>
    <s v="19/11/2025 16:17:45"/>
    <s v="2025-11-19 16:17:45"/>
    <n v="8273101"/>
    <s v="JOSE IGNACIO ACOSTA BETANCUR"/>
    <s v="SIN DATOS"/>
    <s v="3114399404"/>
    <s v="CL 40 SUR CR 74 A -5"/>
    <x v="0"/>
    <s v="044710004100050000"/>
    <s v="Medellín"/>
    <x v="1"/>
    <s v="Revisor Instal. Regadas Metrosur"/>
    <x v="0"/>
    <n v="7"/>
    <s v="2025-11-28 16:17:45"/>
    <s v="2 días 16:17"/>
    <s v="5 días 16:17"/>
    <x v="0"/>
    <s v="SIN DATO"/>
    <s v="SIN DATO"/>
    <s v="SIN DATO"/>
    <s v="ABIERTO"/>
    <n v="-75.652731380000006"/>
    <n v="6.1857651799999998"/>
    <s v="SUR-ENE"/>
    <s v="Metropolitana Sur"/>
  </r>
  <r>
    <s v="23594173"/>
    <s v="ENERES"/>
    <s v="NUEVO"/>
    <s v="ENERES"/>
    <s v="19/11/2025 16:21:52"/>
    <s v="2025-11-19 16:21:52"/>
    <n v="1017208254"/>
    <s v="YASNEY ALEXANDRA CALLEJAS GIL"/>
    <s v="SIN DATOS"/>
    <s v="3012800705"/>
    <s v="RURAL_114002950000000000_VEREDA_EL JARDIN"/>
    <x v="0"/>
    <s v="114002950000000000"/>
    <s v="Medellín"/>
    <x v="1"/>
    <s v="METROSUR Vin. Leg. Ref. Concentrada"/>
    <x v="1"/>
    <n v="10"/>
    <s v="2025-12-03 16:21:52"/>
    <s v="2 días 16:21"/>
    <s v="8 días 16:21"/>
    <x v="0"/>
    <s v="SIN DATO"/>
    <s v="SIN DATO"/>
    <s v="SIN DATO"/>
    <s v="ABIERTO"/>
    <n v="-75.625645500000005"/>
    <n v="6.2057538499999998"/>
    <s v="SUR-ENE"/>
    <s v="Metropolitana Sur"/>
  </r>
  <r>
    <s v="23594183"/>
    <s v="ENERES"/>
    <s v="NUEVO"/>
    <s v="ENERES"/>
    <s v="19/11/2025 16:26:15"/>
    <s v="2025-11-19 16:26:16"/>
    <n v="900303011"/>
    <s v="INGENIERIA EN CONSTRUCCIONES CIVILES SAS"/>
    <s v="2683620"/>
    <s v="3176655401"/>
    <s v="CL 27 SUR CR 27 D -99 (INTERIOR 90901 )"/>
    <x v="1"/>
    <s v="022217007400998888"/>
    <s v="Envigado"/>
    <x v="1"/>
    <s v="Revisor Inst. Particulares Metrosur"/>
    <x v="0"/>
    <n v="7"/>
    <s v="2025-11-28 16:26:16"/>
    <s v="2 días 16:26"/>
    <s v="5 días 16:26"/>
    <x v="0"/>
    <s v="SIN DATO"/>
    <s v="SIN DATO"/>
    <s v="SIN DATO"/>
    <s v="ABIERTO"/>
    <n v="-75.573425999999998"/>
    <n v="6.1751849999999999"/>
    <s v="SUR-ENE"/>
    <s v="Metropolitana Sur"/>
  </r>
  <r>
    <s v="23594186"/>
    <s v="ENERES"/>
    <s v="NUEVO"/>
    <s v="ENERES"/>
    <s v="19/11/2025 16:26:47"/>
    <s v="2025-11-19 16:26:47"/>
    <n v="900303011"/>
    <s v="INGENIERIA EN CONSTRUCCIONES CIVILES SAS"/>
    <s v="2683620"/>
    <s v="3176655401"/>
    <s v="CL 27 SUR CR 27 D -99 (INTERIOR 101 )"/>
    <x v="1"/>
    <s v="022217007400990101"/>
    <s v="Envigado"/>
    <x v="1"/>
    <s v="Revisor Inst. Particulares Metrosur"/>
    <x v="0"/>
    <n v="7"/>
    <s v="2025-11-28 16:26:47"/>
    <s v="2 días 16:26"/>
    <s v="5 días 16:26"/>
    <x v="0"/>
    <s v="SIN DATO"/>
    <s v="SIN DATO"/>
    <s v="SIN DATO"/>
    <s v="ABIERTO"/>
    <n v="-75.573436000000001"/>
    <n v="6.1752180000000001"/>
    <s v="SUR-ENE"/>
    <s v="Metropolitana Sur"/>
  </r>
  <r>
    <s v="23594188"/>
    <s v="ENERES"/>
    <s v="NUEVO"/>
    <s v="ENERES"/>
    <s v="19/11/2025 16:27:22"/>
    <s v="2025-11-19 16:27:22"/>
    <n v="1017208254"/>
    <s v="YASNEY ALEXANDRA CALLEJAS GIL"/>
    <s v="SIN DATOS"/>
    <s v="3012800705"/>
    <s v="RURAL_114002950000009801_VEREDA_EL JARDIN"/>
    <x v="0"/>
    <s v="114002950000009801"/>
    <s v="Medellín"/>
    <x v="1"/>
    <s v="METROSUR Vin. Leg. Ref. Concentrada"/>
    <x v="1"/>
    <n v="10"/>
    <s v="2025-12-03 16:27:22"/>
    <s v="2 días 16:27"/>
    <s v="8 días 16:27"/>
    <x v="0"/>
    <s v="SIN DATO"/>
    <s v="SIN DATO"/>
    <s v="SIN DATO"/>
    <s v="ABIERTO"/>
    <n v="-75.625645500000005"/>
    <n v="6.2057538499999998"/>
    <s v="SUR-ENE"/>
    <s v="Metropolitana Sur"/>
  </r>
  <r>
    <s v="23594193"/>
    <s v="ENERES"/>
    <s v="NUEVO"/>
    <s v="ENEDOM"/>
    <s v="19/11/2025 16:27:50"/>
    <s v="2025-11-19 16:27:50"/>
    <n v="42788190"/>
    <s v="MARTA ELCY VILLA CANO"/>
    <s v="5058030"/>
    <s v="3007260011"/>
    <s v="CL 9 SUR CR 53 -81 (INTERIOR 201 )"/>
    <x v="0"/>
    <s v="040519003000810201"/>
    <s v="Medellín"/>
    <x v="0"/>
    <s v="Habilitación Viviendas Metrosur"/>
    <x v="0"/>
    <n v="5"/>
    <s v="2025-11-26 16:27:50"/>
    <s v="2 días 16:27"/>
    <s v="3 días 16:27"/>
    <x v="0"/>
    <s v="SIN DATO"/>
    <s v="SIN DATO"/>
    <s v="SIN DATO"/>
    <s v="ABIERTO"/>
    <n v="-75.591280010000006"/>
    <n v="6.2018300100000001"/>
    <s v="SUR-ENE"/>
    <s v="Metropolitana Sur"/>
  </r>
  <r>
    <s v="23594198"/>
    <s v="ENENOR"/>
    <s v="CAMME"/>
    <s v="ENENOR"/>
    <s v="19/11/2025 16:32:48"/>
    <s v="2025-11-19 16:32:48"/>
    <n v="890900043"/>
    <s v="COMPAÑÍA COLOMBIANA DE TABACO SAS"/>
    <s v="3807237"/>
    <s v="SIN DATOS"/>
    <s v="CR 50 CL 5 -115 (INTERIOR 101 )"/>
    <x v="0"/>
    <s v="050520005001150101"/>
    <s v="Medellín"/>
    <x v="2"/>
    <s v="Revisor Instal. Regadas Metrosur"/>
    <x v="0"/>
    <n v="7"/>
    <s v="2025-11-28 16:32:48"/>
    <s v="2 días 16:32"/>
    <s v="5 días 16:32"/>
    <x v="0"/>
    <s v="SIN DATO"/>
    <s v="SIN DATO"/>
    <s v="SIN DATO"/>
    <s v="ABIERTO"/>
    <n v="-75.579201400000002"/>
    <n v="6.2107131200000003"/>
    <s v="SUR-ENE"/>
    <s v="Metropolitana Sur"/>
  </r>
  <r>
    <s v="23594200"/>
    <s v="ENEMRT"/>
    <s v="NUEVO"/>
    <s v="ENEMVI"/>
    <s v="19/11/2025 16:34:11"/>
    <s v="2025-11-19 16:34:11"/>
    <n v="43180623"/>
    <s v="YESSICA MARIA OSPINA OSPINA"/>
    <s v="SIN DATOS"/>
    <s v="3002835232"/>
    <s v="RURAL_147045228500000000_147045228500000000"/>
    <x v="0"/>
    <s v="147045228500000000"/>
    <s v="Medellín"/>
    <x v="6"/>
    <s v="METR Mov Red Trans Anderson Castaño"/>
    <x v="1"/>
    <n v="14"/>
    <s v="2025-12-10 16:34:11"/>
    <s v="2 días 16:34"/>
    <s v="12 días 16:34"/>
    <x v="0"/>
    <s v="SIN DATO"/>
    <s v="SIN DATO"/>
    <s v="SIN DATO"/>
    <s v="ABIERTO"/>
    <n v="-75.647926999999996"/>
    <n v="6.2980210000000003"/>
    <s v="SUR-ENE"/>
    <s v="Metropolitana Sur"/>
  </r>
  <r>
    <s v="23594202"/>
    <s v="ENERES"/>
    <s v="NUEVO"/>
    <s v="ENERES"/>
    <s v="19/11/2025 16:34:34"/>
    <s v="2025-11-19 16:34:34"/>
    <n v="1017208254"/>
    <s v="YASNEY ALEXANDRA CALLEJAS GIL"/>
    <s v="SIN DATOS"/>
    <s v="3012800705"/>
    <s v="RURAL_114002950000009901_VEREDA_EL JARDIN"/>
    <x v="0"/>
    <s v="114002950000009901"/>
    <s v="Medellín"/>
    <x v="1"/>
    <s v="METROSUR Vin. Leg. Ref. Concentrada"/>
    <x v="1"/>
    <n v="10"/>
    <s v="2025-12-03 16:34:34"/>
    <s v="2 días 16:34"/>
    <s v="8 días 16:34"/>
    <x v="0"/>
    <s v="SIN DATO"/>
    <s v="SIN DATO"/>
    <s v="SIN DATO"/>
    <s v="ABIERTO"/>
    <n v="-75.625645500000005"/>
    <n v="6.2057538499999998"/>
    <s v="SUR-ENE"/>
    <s v="Metropolitana Sur"/>
  </r>
  <r>
    <s v="23594211"/>
    <s v="ENERES"/>
    <s v="NUEVO"/>
    <s v="ENEDOM"/>
    <s v="19/11/2025 16:39:30"/>
    <s v="2025-11-19 16:39:30"/>
    <n v="1146434436"/>
    <s v="DEISY JIMENEZ ROJAS"/>
    <s v="SIN DATOS"/>
    <s v="3116985223"/>
    <s v="CR 24 CL 56 E -22 (INTERIOR 150 )"/>
    <x v="0"/>
    <s v="055224006500220150"/>
    <s v="Medellín"/>
    <x v="0"/>
    <s v="Habilitación Viviendas Metrosur"/>
    <x v="0"/>
    <n v="5"/>
    <s v="2025-11-26 16:39:30"/>
    <s v="2 días 16:39"/>
    <s v="3 días 16:39"/>
    <x v="0"/>
    <s v="SIN DATO"/>
    <s v="SIN DATO"/>
    <s v="SIN DATO"/>
    <s v="ABIERTO"/>
    <n v="-75.542572890000002"/>
    <n v="6.2437684500000001"/>
    <s v="SUR-ENE"/>
    <s v="Metropolitana Sur"/>
  </r>
  <r>
    <s v="23594218"/>
    <s v="ENECNX"/>
    <s v="NUEVO"/>
    <s v="ENECNX"/>
    <s v="19/11/2025 16:42:13"/>
    <s v="2025-11-19 16:42:13"/>
    <n v="98646653"/>
    <s v="HECTOR FABIO OQUENDO LOPEZ"/>
    <s v="SIN DATOS"/>
    <s v="3136360310"/>
    <s v="RURAL_116005634000000104_116005634000000104"/>
    <x v="0"/>
    <s v="116005634000000104"/>
    <s v="Medellín"/>
    <x v="8"/>
    <s v="Revisor Puntos de Conexión Metrosur"/>
    <x v="1"/>
    <n v="4"/>
    <s v="2025-11-25 16:42:13"/>
    <s v="2 días 16:42"/>
    <s v="2 días 16:42"/>
    <x v="2"/>
    <s v="SIN DATO"/>
    <s v="SIN DATO"/>
    <s v="SIN DATO"/>
    <s v="ABIERTO"/>
    <n v="-75.633148759999997"/>
    <n v="6.2303072999999998"/>
    <s v="SUR-ENE"/>
    <s v="Metropolitana Sur"/>
  </r>
  <r>
    <s v="23594221"/>
    <s v="ENERES"/>
    <s v="NUEVO"/>
    <s v="ENERES"/>
    <s v="19/11/2025 16:45:16"/>
    <s v="2025-11-19 16:45:16"/>
    <n v="900303011"/>
    <s v="INGENIERIA EN CONSTRUCCIONES CIVILES SAS"/>
    <s v="2683620"/>
    <s v="3176655401"/>
    <s v="CL 27 SUR CR 27 D -99 (INTERIOR 405 )"/>
    <x v="1"/>
    <s v="022217007400990405"/>
    <s v="Envigado"/>
    <x v="1"/>
    <s v="Revisor Inst. Particulares Metrosur"/>
    <x v="0"/>
    <n v="7"/>
    <s v="2025-11-28 16:45:16"/>
    <s v="2 días 16:45"/>
    <s v="5 días 16:45"/>
    <x v="0"/>
    <s v="SIN DATO"/>
    <s v="SIN DATO"/>
    <s v="SIN DATO"/>
    <s v="ABIERTO"/>
    <n v="-75.573436000000001"/>
    <n v="6.1752180000000001"/>
    <s v="SUR-ENE"/>
    <s v="Metropolitana Sur"/>
  </r>
  <r>
    <s v="23594222"/>
    <s v="ENERES"/>
    <s v="NUEVO"/>
    <s v="ENERES"/>
    <s v="19/11/2025 16:45:16"/>
    <s v="2025-11-19 16:45:16"/>
    <n v="900303011"/>
    <s v="INGENIERIA EN CONSTRUCCIONES CIVILES SAS"/>
    <s v="2683620"/>
    <s v="3176655401"/>
    <s v="CL 27 SUR CR 27 D -99 (INTERIOR 905 )"/>
    <x v="1"/>
    <s v="022217007400990905"/>
    <s v="Envigado"/>
    <x v="1"/>
    <s v="Revisor Inst. Particulares Metrosur"/>
    <x v="0"/>
    <n v="7"/>
    <s v="2025-11-28 16:45:16"/>
    <s v="2 días 16:45"/>
    <s v="5 días 16:45"/>
    <x v="0"/>
    <s v="SIN DATO"/>
    <s v="SIN DATO"/>
    <s v="SIN DATO"/>
    <s v="ABIERTO"/>
    <n v="-75.573436000000001"/>
    <n v="6.1752180000000001"/>
    <s v="SUR-ENE"/>
    <s v="Metropolitana Sur"/>
  </r>
  <r>
    <s v="23594223"/>
    <s v="ENERES"/>
    <s v="NUEVO"/>
    <s v="ENERES"/>
    <s v="19/11/2025 16:45:55"/>
    <s v="2025-11-19 16:45:55"/>
    <n v="900303011"/>
    <s v="INGENIERIA EN CONSTRUCCIONES CIVILES SAS"/>
    <s v="2683620"/>
    <s v="3176655401"/>
    <s v="CL 27 SUR CR 27 D -99 (INTERIOR 805 )"/>
    <x v="1"/>
    <s v="022217007400990805"/>
    <s v="Envigado"/>
    <x v="1"/>
    <s v="Revisor Inst. Particulares Metrosur"/>
    <x v="0"/>
    <n v="7"/>
    <s v="2025-11-28 16:45:55"/>
    <s v="2 días 16:45"/>
    <s v="5 días 16:45"/>
    <x v="0"/>
    <s v="SIN DATO"/>
    <s v="SIN DATO"/>
    <s v="SIN DATO"/>
    <s v="ABIERTO"/>
    <n v="-75.573436000000001"/>
    <n v="6.1752180000000001"/>
    <s v="SUR-ENE"/>
    <s v="Metropolitana Sur"/>
  </r>
  <r>
    <s v="23594224"/>
    <s v="ENERES"/>
    <s v="NUEVO"/>
    <s v="ENERES"/>
    <s v="19/11/2025 16:46:40"/>
    <s v="2025-11-19 16:46:40"/>
    <n v="900303011"/>
    <s v="INGENIERIA EN CONSTRUCCIONES CIVILES SAS"/>
    <s v="2683620"/>
    <s v="3176655401"/>
    <s v="CL 27 SUR CR 27 D -99 (INTERIOR 701 )"/>
    <x v="1"/>
    <s v="022217007400990701"/>
    <s v="Envigado"/>
    <x v="1"/>
    <s v="Revisor Inst. Particulares Metrosur"/>
    <x v="0"/>
    <n v="7"/>
    <s v="2025-11-28 16:46:40"/>
    <s v="2 días 16:46"/>
    <s v="5 días 16:46"/>
    <x v="0"/>
    <s v="SIN DATO"/>
    <s v="SIN DATO"/>
    <s v="SIN DATO"/>
    <s v="ABIERTO"/>
    <n v="-75.573436000000001"/>
    <n v="6.1752180000000001"/>
    <s v="SUR-ENE"/>
    <s v="Metropolitana Sur"/>
  </r>
  <r>
    <s v="23594225"/>
    <s v="ENERES"/>
    <s v="NUEVO"/>
    <s v="ENERES"/>
    <s v="19/11/2025 16:46:42"/>
    <s v="2025-11-19 16:46:42"/>
    <n v="1128448070"/>
    <s v="LYDA ESTHER ACOSTA MONTOYA"/>
    <s v="5124010"/>
    <s v="3105998171"/>
    <s v="CL 48 SUR CR 69 A -59 (INTERIOR 202 )"/>
    <x v="0"/>
    <s v="044618009100590202"/>
    <s v="Medellín"/>
    <x v="1"/>
    <s v="METROSUR Vin. Leg. Ref. Concentrada"/>
    <x v="0"/>
    <n v="7"/>
    <s v="2025-11-28 16:46:42"/>
    <s v="2 días 16:46"/>
    <s v="5 días 16:46"/>
    <x v="0"/>
    <s v="SIN DATO"/>
    <s v="SIN DATO"/>
    <s v="SIN DATO"/>
    <s v="ABIERTO"/>
    <n v="-75.650276759999997"/>
    <n v="6.1783437000000001"/>
    <s v="SUR-ENE"/>
    <s v="Metropolitana Sur"/>
  </r>
  <r>
    <s v="23594227"/>
    <s v="ENERES"/>
    <s v="NUEVO"/>
    <s v="ENERES"/>
    <s v="19/11/2025 16:47:07"/>
    <s v="2025-11-19 16:47:07"/>
    <n v="900303011"/>
    <s v="INGENIERIA EN CONSTRUCCIONES CIVILES SAS"/>
    <s v="2683620"/>
    <s v="3176655401"/>
    <s v="CL 27 SUR CR 27 D -99 (INTERIOR 902 )"/>
    <x v="1"/>
    <s v="022217007400990902"/>
    <s v="Envigado"/>
    <x v="1"/>
    <s v="Revisor Inst. Particulares Metrosur"/>
    <x v="0"/>
    <n v="7"/>
    <s v="2025-11-28 16:47:07"/>
    <s v="2 días 16:47"/>
    <s v="5 días 16:47"/>
    <x v="0"/>
    <s v="SIN DATO"/>
    <s v="SIN DATO"/>
    <s v="SIN DATO"/>
    <s v="ABIERTO"/>
    <n v="-75.573436000000001"/>
    <n v="6.1752180000000001"/>
    <s v="SUR-ENE"/>
    <s v="Metropolitana Sur"/>
  </r>
  <r>
    <s v="23594230"/>
    <s v="ENERES"/>
    <s v="NUEVO"/>
    <s v="ENERES"/>
    <s v="19/11/2025 16:48:53"/>
    <s v="2025-11-19 16:48:53"/>
    <n v="900303011"/>
    <s v="INGENIERIA EN CONSTRUCCIONES CIVILES SAS"/>
    <s v="2683620"/>
    <s v="3176655401"/>
    <s v="CL 27 SUR CR 27 D -99 (INTERIOR 604 )"/>
    <x v="1"/>
    <s v="022217007400990604"/>
    <s v="Envigado"/>
    <x v="1"/>
    <s v="Revisor Inst. Particulares Metrosur"/>
    <x v="0"/>
    <n v="7"/>
    <s v="2025-11-28 16:48:53"/>
    <s v="2 días 16:48"/>
    <s v="5 días 16:48"/>
    <x v="0"/>
    <s v="SIN DATO"/>
    <s v="SIN DATO"/>
    <s v="SIN DATO"/>
    <s v="ABIERTO"/>
    <n v="-75.573436000000001"/>
    <n v="6.1752180000000001"/>
    <s v="SUR-ENE"/>
    <s v="Metropolitana Sur"/>
  </r>
  <r>
    <s v="23594231"/>
    <s v="ENERES"/>
    <s v="NUEVO"/>
    <s v="ENERES"/>
    <s v="19/11/2025 16:49:15"/>
    <s v="2025-11-19 16:49:15"/>
    <n v="1128448070"/>
    <s v="LYDA ESTHER ACOSTA MONTOYA"/>
    <s v="5124010"/>
    <s v="3105998171"/>
    <s v="CL 48 SUR CR 69 A -59 (INTERIOR 203 )"/>
    <x v="0"/>
    <s v="044618009100590203"/>
    <s v="Medellín"/>
    <x v="1"/>
    <s v="METROSUR Vin. Leg. Ref. Concentrada"/>
    <x v="0"/>
    <n v="7"/>
    <s v="2025-11-28 16:49:15"/>
    <s v="2 días 16:49"/>
    <s v="5 días 16:49"/>
    <x v="0"/>
    <s v="SIN DATO"/>
    <s v="SIN DATO"/>
    <s v="SIN DATO"/>
    <s v="ABIERTO"/>
    <n v="-75.650276759999997"/>
    <n v="6.1783437000000001"/>
    <s v="SUR-ENE"/>
    <s v="Metropolitana Sur"/>
  </r>
  <r>
    <s v="23594232"/>
    <s v="ENERES"/>
    <s v="NUEVO"/>
    <s v="ENERES"/>
    <s v="19/11/2025 16:49:17"/>
    <s v="2025-11-19 16:49:17"/>
    <n v="900303011"/>
    <s v="INGENIERIA EN CONSTRUCCIONES CIVILES SAS"/>
    <s v="2683620"/>
    <s v="3176655401"/>
    <s v="CL 27 SUR CR 27 D -99 (INTERIOR 601 )"/>
    <x v="1"/>
    <s v="022217007400990601"/>
    <s v="Envigado"/>
    <x v="1"/>
    <s v="Revisor Inst. Particulares Metrosur"/>
    <x v="0"/>
    <n v="7"/>
    <s v="2025-11-28 16:49:17"/>
    <s v="2 días 16:49"/>
    <s v="5 días 16:49"/>
    <x v="0"/>
    <s v="SIN DATO"/>
    <s v="SIN DATO"/>
    <s v="SIN DATO"/>
    <s v="ABIERTO"/>
    <n v="-75.573436000000001"/>
    <n v="6.1752180000000001"/>
    <s v="SUR-ENE"/>
    <s v="Metropolitana Sur"/>
  </r>
  <r>
    <s v="23594242"/>
    <s v="ENERES"/>
    <s v="NUEVO"/>
    <s v="ENERES"/>
    <s v="19/11/2025 16:56:17"/>
    <s v="2025-11-19 16:56:17"/>
    <n v="900303011"/>
    <s v="INGENIERIA EN CONSTRUCCIONES CIVILES SAS"/>
    <s v="2683620"/>
    <s v="3176655401"/>
    <s v="CL 27 SUR CR 27 D -99 (INTERIOR 001 ZN COMUN )"/>
    <x v="1"/>
    <s v="022217007400990001"/>
    <s v="Envigado"/>
    <x v="1"/>
    <s v="Revisor Inst. Particulares Metrosur"/>
    <x v="0"/>
    <n v="7"/>
    <s v="2025-11-28 16:56:17"/>
    <s v="2 días 16:56"/>
    <s v="5 días 16:56"/>
    <x v="0"/>
    <s v="SIN DATO"/>
    <s v="SIN DATO"/>
    <s v="SIN DATO"/>
    <s v="ABIERTO"/>
    <n v="-75.573425999999998"/>
    <n v="6.1751849999999999"/>
    <s v="SUR-ENE"/>
    <s v="Metropolitana Sur"/>
  </r>
  <r>
    <s v="23594245"/>
    <s v="ENERES"/>
    <s v="NUEVO"/>
    <s v="ENERES"/>
    <s v="19/11/2025 16:56:56"/>
    <s v="2025-11-19 16:56:56"/>
    <n v="900303011"/>
    <s v="INGENIERIA EN CONSTRUCCIONES CIVILES SAS"/>
    <s v="2683620"/>
    <s v="3176655401"/>
    <s v="CL 27 SUR CR 27 D -99 (INTERIOR 904 )"/>
    <x v="1"/>
    <s v="022217007400990904"/>
    <s v="Envigado"/>
    <x v="1"/>
    <s v="Revisor Inst. Particulares Metrosur"/>
    <x v="0"/>
    <n v="7"/>
    <s v="2025-11-28 16:56:56"/>
    <s v="2 días 16:56"/>
    <s v="5 días 16:56"/>
    <x v="0"/>
    <s v="SIN DATO"/>
    <s v="SIN DATO"/>
    <s v="SIN DATO"/>
    <s v="ABIERTO"/>
    <n v="-75.573436000000001"/>
    <n v="6.1752180000000001"/>
    <s v="SUR-ENE"/>
    <s v="Metropolitana Sur"/>
  </r>
  <r>
    <s v="23594248"/>
    <s v="ENERES"/>
    <s v="NUEVO"/>
    <s v="ENERES"/>
    <s v="19/11/2025 16:59:02"/>
    <s v="2025-11-19 16:59:02"/>
    <n v="900303011"/>
    <s v="INGENIERIA EN CONSTRUCCIONES CIVILES SAS"/>
    <s v="2683620"/>
    <s v="3176655401"/>
    <s v="CL 27 SUR CR 27 D -99 (INTERIOR 301 )"/>
    <x v="1"/>
    <s v="022217007400990301"/>
    <s v="Envigado"/>
    <x v="1"/>
    <s v="Revisor Inst. Particulares Metrosur"/>
    <x v="0"/>
    <n v="7"/>
    <s v="2025-11-28 16:59:02"/>
    <s v="2 días 16:59"/>
    <s v="5 días 16:59"/>
    <x v="0"/>
    <s v="SIN DATO"/>
    <s v="SIN DATO"/>
    <s v="SIN DATO"/>
    <s v="ABIERTO"/>
    <n v="-75.573436000000001"/>
    <n v="6.1752180000000001"/>
    <s v="SUR-ENE"/>
    <s v="Metropolitana Sur"/>
  </r>
  <r>
    <s v="23594249"/>
    <s v="ENERES"/>
    <s v="NUEVO"/>
    <s v="ENERES"/>
    <s v="19/11/2025 16:59:12"/>
    <s v="2025-11-19 16:59:12"/>
    <n v="900303011"/>
    <s v="INGENIERIA EN CONSTRUCCIONES CIVILES SAS"/>
    <s v="2683620"/>
    <s v="3176655401"/>
    <s v="CL 27 SUR CR 27 D -99 (INTERIOR 305 )"/>
    <x v="1"/>
    <s v="022217007400990305"/>
    <s v="Envigado"/>
    <x v="1"/>
    <s v="Revisor Inst. Particulares Metrosur"/>
    <x v="0"/>
    <n v="7"/>
    <s v="2025-11-28 16:59:12"/>
    <s v="2 días 16:59"/>
    <s v="5 días 16:59"/>
    <x v="0"/>
    <s v="SIN DATO"/>
    <s v="SIN DATO"/>
    <s v="SIN DATO"/>
    <s v="ABIERTO"/>
    <n v="-75.573436000000001"/>
    <n v="6.1752180000000001"/>
    <s v="SUR-ENE"/>
    <s v="Metropolitana Sur"/>
  </r>
  <r>
    <s v="23594250"/>
    <s v="ENERES"/>
    <s v="NUEVO"/>
    <s v="ENERES"/>
    <s v="19/11/2025 16:59:52"/>
    <s v="2025-11-19 16:59:52"/>
    <n v="900303011"/>
    <s v="INGENIERIA EN CONSTRUCCIONES CIVILES SAS"/>
    <s v="2683620"/>
    <s v="3176655401"/>
    <s v="CL 27 SUR CR 27 D -99 (INTERIOR 803 )"/>
    <x v="1"/>
    <s v="022217007400990803"/>
    <s v="Envigado"/>
    <x v="1"/>
    <s v="Revisor Inst. Particulares Metrosur"/>
    <x v="0"/>
    <n v="7"/>
    <s v="2025-11-28 16:59:52"/>
    <s v="2 días 16:59"/>
    <s v="5 días 16:59"/>
    <x v="0"/>
    <s v="SIN DATO"/>
    <s v="SIN DATO"/>
    <s v="SIN DATO"/>
    <s v="ABIERTO"/>
    <n v="-75.573436000000001"/>
    <n v="6.1752180000000001"/>
    <s v="SUR-ENE"/>
    <s v="Metropolitana Sur"/>
  </r>
  <r>
    <s v="23594253"/>
    <s v="ENERES"/>
    <s v="NUEVO"/>
    <s v="ENERES"/>
    <s v="19/11/2025 17:00:43"/>
    <s v="2025-11-19 17:00:43"/>
    <n v="900303011"/>
    <s v="INGENIERIA EN CONSTRUCCIONES CIVILES SAS"/>
    <s v="2683620"/>
    <s v="3176655401"/>
    <s v="CL 27 SUR CR 27 D -99 (INTERIOR 302 )"/>
    <x v="1"/>
    <s v="022217007400990302"/>
    <s v="Envigado"/>
    <x v="1"/>
    <s v="Revisor Inst. Particulares Metrosur"/>
    <x v="0"/>
    <n v="7"/>
    <s v="2025-11-28 17:00:43"/>
    <s v="2 días 17:00"/>
    <s v="5 días 17:00"/>
    <x v="0"/>
    <s v="SIN DATO"/>
    <s v="SIN DATO"/>
    <s v="SIN DATO"/>
    <s v="ABIERTO"/>
    <n v="-75.573436000000001"/>
    <n v="6.1752180000000001"/>
    <s v="SUR-ENE"/>
    <s v="Metropolitana Sur"/>
  </r>
  <r>
    <s v="23594254"/>
    <s v="ENERES"/>
    <s v="NUEVO"/>
    <s v="ENERES"/>
    <s v="19/11/2025 17:00:54"/>
    <s v="2025-11-19 17:00:54"/>
    <n v="900303011"/>
    <s v="INGENIERIA EN CONSTRUCCIONES CIVILES SAS"/>
    <s v="2683620"/>
    <s v="3176655401"/>
    <s v="CL 27 SUR CR 27 D -99 (INTERIOR 603 )"/>
    <x v="1"/>
    <s v="022217007400990603"/>
    <s v="Envigado"/>
    <x v="1"/>
    <s v="Revisor Inst. Particulares Metrosur"/>
    <x v="0"/>
    <n v="7"/>
    <s v="2025-11-28 17:00:54"/>
    <s v="2 días 17:00"/>
    <s v="5 días 17:00"/>
    <x v="0"/>
    <s v="SIN DATO"/>
    <s v="SIN DATO"/>
    <s v="SIN DATO"/>
    <s v="ABIERTO"/>
    <n v="-75.573436000000001"/>
    <n v="6.1752180000000001"/>
    <s v="SUR-ENE"/>
    <s v="Metropolitana Sur"/>
  </r>
  <r>
    <s v="23594259"/>
    <s v="ENERES"/>
    <s v="NUEVO"/>
    <s v="ENERES"/>
    <s v="19/11/2025 17:02:11"/>
    <s v="2025-11-19 17:02:11"/>
    <n v="900303011"/>
    <s v="INGENIERIA EN CONSTRUCCIONES CIVILES SAS"/>
    <s v="2683620"/>
    <s v="3176655401"/>
    <s v="CL 27 SUR CR 27 D -99 (INTERIOR 105 )"/>
    <x v="1"/>
    <s v="022217007400990105"/>
    <s v="Envigado"/>
    <x v="1"/>
    <s v="Revisor Inst. Particulares Metrosur"/>
    <x v="0"/>
    <n v="7"/>
    <s v="2025-11-28 17:02:11"/>
    <s v="2 días 17:02"/>
    <s v="5 días 17:02"/>
    <x v="0"/>
    <s v="SIN DATO"/>
    <s v="SIN DATO"/>
    <s v="SIN DATO"/>
    <s v="ABIERTO"/>
    <n v="-75.573436000000001"/>
    <n v="6.1752180000000001"/>
    <s v="SUR-ENE"/>
    <s v="Metropolitana Sur"/>
  </r>
  <r>
    <s v="23594260"/>
    <s v="ENERES"/>
    <s v="NUEVO"/>
    <s v="ENERES"/>
    <s v="19/11/2025 17:02:31"/>
    <s v="2025-11-19 17:02:31"/>
    <n v="900303011"/>
    <s v="INGENIERIA EN CONSTRUCCIONES CIVILES SAS"/>
    <s v="2683620"/>
    <s v="3176655401"/>
    <s v="CL 27 SUR CR 27 D -99 (INTERIOR 502 )"/>
    <x v="1"/>
    <s v="022217007400990502"/>
    <s v="Envigado"/>
    <x v="1"/>
    <s v="Revisor Inst. Particulares Metrosur"/>
    <x v="0"/>
    <n v="7"/>
    <s v="2025-11-28 17:02:31"/>
    <s v="2 días 17:02"/>
    <s v="5 días 17:02"/>
    <x v="0"/>
    <s v="SIN DATO"/>
    <s v="SIN DATO"/>
    <s v="SIN DATO"/>
    <s v="ABIERTO"/>
    <n v="-75.573436000000001"/>
    <n v="6.1752180000000001"/>
    <s v="SUR-ENE"/>
    <s v="Metropolitana Sur"/>
  </r>
  <r>
    <s v="23594263"/>
    <s v="ENENOR"/>
    <s v="CAMBI"/>
    <s v="ENENOR"/>
    <s v="19/11/2025 17:02:57"/>
    <s v="2025-11-19 17:02:57"/>
    <n v="890904996"/>
    <s v="EMPRESAS PUBLICAS DE MEDELLIN E.S.P."/>
    <s v="3808080"/>
    <s v="3163553990"/>
    <s v="CR 27 CL 40 A -1"/>
    <x v="0"/>
    <s v="054227000100010000"/>
    <s v="Medellín"/>
    <x v="7"/>
    <s v="METROSUR Vin. Leg. Ref. Concentrada"/>
    <x v="0"/>
    <n v="7"/>
    <s v="2025-11-28 17:02:57"/>
    <s v="2 días 17:02"/>
    <s v="5 días 17:02"/>
    <x v="0"/>
    <s v="SIN DATO"/>
    <s v="SIN DATO"/>
    <s v="SIN DATO"/>
    <s v="ABIERTO"/>
    <n v="-75.553844999999995"/>
    <n v="6.2333220000000003"/>
    <s v="SUR-ENE"/>
    <s v="Metropolitana Sur"/>
  </r>
  <r>
    <s v="23594265"/>
    <s v="ENERES"/>
    <s v="NUEVO"/>
    <s v="ENERES"/>
    <s v="19/11/2025 17:03:09"/>
    <s v="2025-11-19 17:03:09"/>
    <n v="900303011"/>
    <s v="INGENIERIA EN CONSTRUCCIONES CIVILES SAS"/>
    <s v="2683620"/>
    <s v="3176655401"/>
    <s v="CL 27 SUR CR 27 D -99 (INTERIOR 504 )"/>
    <x v="1"/>
    <s v="022217007400990504"/>
    <s v="Envigado"/>
    <x v="1"/>
    <s v="Revisor Inst. Particulares Metrosur"/>
    <x v="0"/>
    <n v="7"/>
    <s v="2025-11-28 17:03:09"/>
    <s v="2 días 17:03"/>
    <s v="5 días 17:03"/>
    <x v="0"/>
    <s v="SIN DATO"/>
    <s v="SIN DATO"/>
    <s v="SIN DATO"/>
    <s v="ABIERTO"/>
    <n v="-75.573436000000001"/>
    <n v="6.1752180000000001"/>
    <s v="SUR-ENE"/>
    <s v="Metropolitana Sur"/>
  </r>
  <r>
    <s v="23594268"/>
    <s v="ENERES"/>
    <s v="NUEVO"/>
    <s v="ENERES"/>
    <s v="19/11/2025 17:04:15"/>
    <s v="2025-11-19 17:04:15"/>
    <n v="900303011"/>
    <s v="INGENIERIA EN CONSTRUCCIONES CIVILES SAS"/>
    <s v="2683620"/>
    <s v="3176655401"/>
    <s v="CL 27 SUR CR 27 D -99 (INTERIOR 602 )"/>
    <x v="1"/>
    <s v="022217007400990602"/>
    <s v="Envigado"/>
    <x v="1"/>
    <s v="Revisor Inst. Particulares Metrosur"/>
    <x v="0"/>
    <n v="7"/>
    <s v="2025-11-28 17:04:15"/>
    <s v="2 días 17:04"/>
    <s v="5 días 17:04"/>
    <x v="0"/>
    <s v="SIN DATO"/>
    <s v="SIN DATO"/>
    <s v="SIN DATO"/>
    <s v="ABIERTO"/>
    <n v="-75.573436000000001"/>
    <n v="6.1752180000000001"/>
    <s v="SUR-ENE"/>
    <s v="Metropolitana Sur"/>
  </r>
  <r>
    <s v="23594272"/>
    <s v="ENERES"/>
    <s v="NUEVO"/>
    <s v="ENERES"/>
    <s v="19/11/2025 17:05:44"/>
    <s v="2025-11-19 17:05:44"/>
    <n v="900303011"/>
    <s v="INGENIERIA EN CONSTRUCCIONES CIVILES SAS"/>
    <s v="2683620"/>
    <s v="3176655401"/>
    <s v="CL 27 SUR CR 27 D -99 (INTERIOR 801 )"/>
    <x v="1"/>
    <s v="022217007400990801"/>
    <s v="Envigado"/>
    <x v="1"/>
    <s v="Revisor Inst. Particulares Metrosur"/>
    <x v="0"/>
    <n v="7"/>
    <s v="2025-11-28 17:05:44"/>
    <s v="2 días 17:05"/>
    <s v="5 días 17:05"/>
    <x v="0"/>
    <s v="SIN DATO"/>
    <s v="SIN DATO"/>
    <s v="SIN DATO"/>
    <s v="ABIERTO"/>
    <n v="-75.573436000000001"/>
    <n v="6.1752180000000001"/>
    <s v="SUR-ENE"/>
    <s v="Metropolitana Sur"/>
  </r>
  <r>
    <s v="23594273"/>
    <s v="ENERES"/>
    <s v="NUEVO"/>
    <s v="ENERES"/>
    <s v="19/11/2025 17:05:46"/>
    <s v="2025-11-19 17:05:46"/>
    <n v="900303011"/>
    <s v="INGENIERIA EN CONSTRUCCIONES CIVILES SAS"/>
    <s v="2683620"/>
    <s v="3176655401"/>
    <s v="CL 27 SUR CR 27 D -99 (INTERIOR 104 )"/>
    <x v="1"/>
    <s v="022217007400990104"/>
    <s v="Envigado"/>
    <x v="1"/>
    <s v="Revisor Inst. Particulares Metrosur"/>
    <x v="0"/>
    <n v="7"/>
    <s v="2025-11-28 17:05:46"/>
    <s v="2 días 17:05"/>
    <s v="5 días 17:05"/>
    <x v="0"/>
    <s v="SIN DATO"/>
    <s v="SIN DATO"/>
    <s v="SIN DATO"/>
    <s v="ABIERTO"/>
    <n v="-75.573783000000006"/>
    <n v="6.1751259999999997"/>
    <s v="SUR-ENE"/>
    <s v="Metropolitana Sur"/>
  </r>
  <r>
    <s v="23594278"/>
    <s v="ENERES"/>
    <s v="NUEVO"/>
    <s v="ENERES"/>
    <s v="19/11/2025 17:07:29"/>
    <s v="2025-11-19 17:07:29"/>
    <n v="900303011"/>
    <s v="INGENIERIA EN CONSTRUCCIONES CIVILES SAS"/>
    <s v="2683620"/>
    <s v="3176655401"/>
    <s v="CL 27 SUR CR 27 D -99 (INTERIOR 802 )"/>
    <x v="1"/>
    <s v="022217007400990802"/>
    <s v="Envigado"/>
    <x v="1"/>
    <s v="Revisor Inst. Particulares Metrosur"/>
    <x v="0"/>
    <n v="7"/>
    <s v="2025-11-28 17:07:29"/>
    <s v="2 días 17:07"/>
    <s v="5 días 17:07"/>
    <x v="0"/>
    <s v="SIN DATO"/>
    <s v="SIN DATO"/>
    <s v="SIN DATO"/>
    <s v="ABIERTO"/>
    <n v="-75.573436000000001"/>
    <n v="6.1752180000000001"/>
    <s v="SUR-ENE"/>
    <s v="Metropolitana Sur"/>
  </r>
  <r>
    <s v="23594280"/>
    <s v="ENERES"/>
    <s v="NUEVO"/>
    <s v="ENERES"/>
    <s v="19/11/2025 17:07:46"/>
    <s v="2025-11-19 17:07:46"/>
    <n v="900303011"/>
    <s v="INGENIERIA EN CONSTRUCCIONES CIVILES SAS"/>
    <s v="2683620"/>
    <s v="3176655401"/>
    <s v="CL 27 SUR CR 27 D -99 (INTERIOR 204 )"/>
    <x v="1"/>
    <s v="022217007400990204"/>
    <s v="Envigado"/>
    <x v="1"/>
    <s v="Revisor Inst. Particulares Metrosur"/>
    <x v="0"/>
    <n v="7"/>
    <s v="2025-11-28 17:07:46"/>
    <s v="2 días 17:07"/>
    <s v="5 días 17:07"/>
    <x v="0"/>
    <s v="SIN DATO"/>
    <s v="SIN DATO"/>
    <s v="SIN DATO"/>
    <s v="ABIERTO"/>
    <n v="-75.573436000000001"/>
    <n v="6.1752180000000001"/>
    <s v="SUR-ENE"/>
    <s v="Metropolitana Sur"/>
  </r>
  <r>
    <s v="23594282"/>
    <s v="ENERES"/>
    <s v="NUEVO"/>
    <s v="ENERES"/>
    <s v="19/11/2025 17:07:58"/>
    <s v="2025-11-19 17:07:58"/>
    <n v="900303011"/>
    <s v="INGENIERIA EN CONSTRUCCIONES CIVILES SAS"/>
    <s v="2683620"/>
    <s v="3176655401"/>
    <s v="CL 27 SUR CR 27 D -99 (INTERIOR 201 )"/>
    <x v="1"/>
    <s v="022217007400990201"/>
    <s v="Envigado"/>
    <x v="1"/>
    <s v="Revisor Inst. Particulares Metrosur"/>
    <x v="0"/>
    <n v="7"/>
    <s v="2025-11-28 17:07:58"/>
    <s v="2 días 17:07"/>
    <s v="5 días 17:07"/>
    <x v="0"/>
    <s v="SIN DATO"/>
    <s v="SIN DATO"/>
    <s v="SIN DATO"/>
    <s v="ABIERTO"/>
    <n v="-75.573436000000001"/>
    <n v="6.1752180000000001"/>
    <s v="SUR-ENE"/>
    <s v="Metropolitana Sur"/>
  </r>
  <r>
    <s v="23594286"/>
    <s v="ENERES"/>
    <s v="NUEVO"/>
    <s v="ENERES"/>
    <s v="19/11/2025 17:10:03"/>
    <s v="2025-11-19 17:10:03"/>
    <n v="900303011"/>
    <s v="INGENIERIA EN CONSTRUCCIONES CIVILES SAS"/>
    <s v="2683620"/>
    <s v="3176655401"/>
    <s v="CL 27 SUR CR 27 D -99 (INTERIOR 303 )"/>
    <x v="1"/>
    <s v="022217007400990303"/>
    <s v="Envigado"/>
    <x v="1"/>
    <s v="Revisor Inst. Particulares Metrosur"/>
    <x v="0"/>
    <n v="7"/>
    <s v="2025-11-28 17:10:03"/>
    <s v="2 días 17:10"/>
    <s v="5 días 17:10"/>
    <x v="0"/>
    <s v="SIN DATO"/>
    <s v="SIN DATO"/>
    <s v="SIN DATO"/>
    <s v="ABIERTO"/>
    <n v="-75.573436000000001"/>
    <n v="6.1752180000000001"/>
    <s v="SUR-ENE"/>
    <s v="Metropolitana Sur"/>
  </r>
  <r>
    <s v="23594291"/>
    <s v="ENERES"/>
    <s v="NUEVO"/>
    <s v="ENERES"/>
    <s v="19/11/2025 17:12:10"/>
    <s v="2025-11-19 17:12:10"/>
    <n v="43205673"/>
    <s v="JOHANA GUZMAN MURIEL"/>
    <s v="SIN DATOS"/>
    <s v="3173686410"/>
    <s v="RURAL_125004526000000102_CL 20C SUR CR 7 - 504"/>
    <x v="1"/>
    <s v="125004526000000102"/>
    <s v="Envigado"/>
    <x v="1"/>
    <s v="Revisor Inst. Particulares Metrosur"/>
    <x v="1"/>
    <n v="10"/>
    <s v="2025-12-03 17:12:10"/>
    <s v="2 días 17:12"/>
    <s v="8 días 17:12"/>
    <x v="0"/>
    <s v="SIN DATO"/>
    <s v="SIN DATO"/>
    <s v="SIN DATO"/>
    <s v="ABIERTO"/>
    <n v="-75.526851289999996"/>
    <n v="6.1940976499999998"/>
    <s v="SUR-ENE"/>
    <s v="Metropolitana Sur"/>
  </r>
  <r>
    <s v="23594301"/>
    <s v="ENERES"/>
    <s v="NUEVO"/>
    <s v="ENERES"/>
    <s v="19/11/2025 17:17:47"/>
    <s v="2025-11-19 17:17:47"/>
    <n v="900303011"/>
    <s v="INGENIERIA EN CONSTRUCCIONES CIVILES SAS"/>
    <s v="2683620"/>
    <s v="3176655401"/>
    <s v="CL 27 SUR CR 27 D -99 (INTERIOR 403 )"/>
    <x v="1"/>
    <s v="022217007400990403"/>
    <s v="Envigado"/>
    <x v="1"/>
    <s v="Revisor Inst. Particulares Metrosur"/>
    <x v="0"/>
    <n v="7"/>
    <s v="2025-11-28 17:17:47"/>
    <s v="2 días 17:17"/>
    <s v="5 días 17:17"/>
    <x v="0"/>
    <s v="SIN DATO"/>
    <s v="SIN DATO"/>
    <s v="SIN DATO"/>
    <s v="ABIERTO"/>
    <n v="-75.573436000000001"/>
    <n v="6.1752180000000001"/>
    <s v="SUR-ENE"/>
    <s v="Metropolitana Sur"/>
  </r>
  <r>
    <s v="23594303"/>
    <s v="ENERES"/>
    <s v="NUEVO"/>
    <s v="ENERES"/>
    <s v="19/11/2025 17:18:20"/>
    <s v="2025-11-19 17:18:20"/>
    <n v="900303011"/>
    <s v="INGENIERIA EN CONSTRUCCIONES CIVILES SAS"/>
    <s v="2683620"/>
    <s v="3176655401"/>
    <s v="CL 27 SUR CR 27 D -99 (INTERIOR 401 )"/>
    <x v="1"/>
    <s v="022217007400990401"/>
    <s v="Envigado"/>
    <x v="1"/>
    <s v="Revisor Inst. Particulares Metrosur"/>
    <x v="0"/>
    <n v="7"/>
    <s v="2025-11-28 17:18:20"/>
    <s v="2 días 17:18"/>
    <s v="5 días 17:18"/>
    <x v="0"/>
    <s v="SIN DATO"/>
    <s v="SIN DATO"/>
    <s v="SIN DATO"/>
    <s v="ABIERTO"/>
    <n v="-75.573436000000001"/>
    <n v="6.1752180000000001"/>
    <s v="SUR-ENE"/>
    <s v="Metropolitana Sur"/>
  </r>
  <r>
    <s v="23594304"/>
    <s v="ENERES"/>
    <s v="NUEVO"/>
    <s v="ENERES"/>
    <s v="19/11/2025 17:18:44"/>
    <s v="2025-11-19 17:18:44"/>
    <n v="900303011"/>
    <s v="INGENIERIA EN CONSTRUCCIONES CIVILES SAS"/>
    <s v="2683620"/>
    <s v="3176655401"/>
    <s v="CL 27 SUR CR 27 D -99 (INTERIOR 404 )"/>
    <x v="1"/>
    <s v="022217007400990404"/>
    <s v="Envigado"/>
    <x v="1"/>
    <s v="Revisor Inst. Particulares Metrosur"/>
    <x v="0"/>
    <n v="7"/>
    <s v="2025-11-28 17:18:44"/>
    <s v="2 días 17:18"/>
    <s v="5 días 17:18"/>
    <x v="0"/>
    <s v="SIN DATO"/>
    <s v="SIN DATO"/>
    <s v="SIN DATO"/>
    <s v="ABIERTO"/>
    <n v="-75.573436000000001"/>
    <n v="6.1752180000000001"/>
    <s v="SUR-ENE"/>
    <s v="Metropolitana Sur"/>
  </r>
  <r>
    <s v="23594306"/>
    <s v="ENERES"/>
    <s v="NUEVO"/>
    <s v="ENERES"/>
    <s v="19/11/2025 17:19:20"/>
    <s v="2025-11-19 17:19:20"/>
    <n v="900303011"/>
    <s v="INGENIERIA EN CONSTRUCCIONES CIVILES SAS"/>
    <s v="2683620"/>
    <s v="3176655401"/>
    <s v="CL 27 SUR CR 27 D -99 (INTERIOR 501 )"/>
    <x v="1"/>
    <s v="022217007400990501"/>
    <s v="Envigado"/>
    <x v="1"/>
    <s v="Revisor Inst. Particulares Metrosur"/>
    <x v="0"/>
    <n v="7"/>
    <s v="2025-11-28 17:19:20"/>
    <s v="2 días 17:19"/>
    <s v="5 días 17:19"/>
    <x v="0"/>
    <s v="SIN DATO"/>
    <s v="SIN DATO"/>
    <s v="SIN DATO"/>
    <s v="ABIERTO"/>
    <n v="-75.573436000000001"/>
    <n v="6.1752180000000001"/>
    <s v="SUR-ENE"/>
    <s v="Metropolitana Sur"/>
  </r>
  <r>
    <s v="23594310"/>
    <s v="ENERES"/>
    <s v="NUEVO"/>
    <s v="ENERES"/>
    <s v="19/11/2025 17:20:21"/>
    <s v="2025-11-19 17:20:21"/>
    <n v="900303011"/>
    <s v="INGENIERIA EN CONSTRUCCIONES CIVILES SAS"/>
    <s v="2683620"/>
    <s v="3176655401"/>
    <s v="CL 27 SUR CR 27 D -99 (INTERIOR 402 )"/>
    <x v="1"/>
    <s v="022217007400990402"/>
    <s v="Envigado"/>
    <x v="1"/>
    <s v="Revisor Inst. Particulares Metrosur"/>
    <x v="0"/>
    <n v="7"/>
    <s v="2025-11-28 17:20:21"/>
    <s v="2 días 17:20"/>
    <s v="5 días 17:20"/>
    <x v="0"/>
    <s v="SIN DATO"/>
    <s v="SIN DATO"/>
    <s v="SIN DATO"/>
    <s v="ABIERTO"/>
    <n v="-75.573436000000001"/>
    <n v="6.1752180000000001"/>
    <s v="SUR-ENE"/>
    <s v="Metropolitana Sur"/>
  </r>
  <r>
    <s v="23594312"/>
    <s v="ENERES"/>
    <s v="NUEVO"/>
    <s v="ENERES"/>
    <s v="19/11/2025 17:20:47"/>
    <s v="2025-11-19 17:20:47"/>
    <n v="900303011"/>
    <s v="INGENIERIA EN CONSTRUCCIONES CIVILES SAS"/>
    <s v="2683620"/>
    <s v="3176655401"/>
    <s v="CL 27 SUR CR 27 D -99 (INTERIOR 205 )"/>
    <x v="1"/>
    <s v="022217007400990205"/>
    <s v="Envigado"/>
    <x v="1"/>
    <s v="Revisor Inst. Particulares Metrosur"/>
    <x v="0"/>
    <n v="7"/>
    <s v="2025-11-28 17:20:47"/>
    <s v="2 días 17:20"/>
    <s v="5 días 17:20"/>
    <x v="0"/>
    <s v="SIN DATO"/>
    <s v="SIN DATO"/>
    <s v="SIN DATO"/>
    <s v="ABIERTO"/>
    <n v="-75.573436000000001"/>
    <n v="6.1752180000000001"/>
    <s v="SUR-ENE"/>
    <s v="Metropolitana Sur"/>
  </r>
  <r>
    <s v="23594313"/>
    <s v="ENERES"/>
    <s v="NUEVO"/>
    <s v="ENERES"/>
    <s v="19/11/2025 17:20:48"/>
    <s v="2025-11-19 17:20:48"/>
    <n v="900303011"/>
    <s v="INGENIERIA EN CONSTRUCCIONES CIVILES SAS"/>
    <s v="2683620"/>
    <s v="3176655401"/>
    <s v="CL 27 SUR CR 27 D -99 (INTERIOR 304 )"/>
    <x v="1"/>
    <s v="022217007400990304"/>
    <s v="Envigado"/>
    <x v="1"/>
    <s v="Revisor Inst. Particulares Metrosur"/>
    <x v="0"/>
    <n v="7"/>
    <s v="2025-11-28 17:20:48"/>
    <s v="2 días 17:20"/>
    <s v="5 días 17:20"/>
    <x v="0"/>
    <s v="SIN DATO"/>
    <s v="SIN DATO"/>
    <s v="SIN DATO"/>
    <s v="ABIERTO"/>
    <n v="-75.573436000000001"/>
    <n v="6.1752180000000001"/>
    <s v="SUR-ENE"/>
    <s v="Metropolitana Sur"/>
  </r>
  <r>
    <s v="23594336"/>
    <s v="ENECNX"/>
    <s v="NUEVO"/>
    <s v="ENECNX"/>
    <s v="19/11/2025 17:30:15"/>
    <s v="2025-11-19 17:30:15"/>
    <n v="8161337"/>
    <s v="JULIAN ANDRES JARAMILLO QUINTERO"/>
    <s v="3223898"/>
    <s v="3217757424"/>
    <s v="CR 82 A CL 35 -40"/>
    <x v="0"/>
    <s v="053822105000400000"/>
    <s v="Medellín"/>
    <x v="8"/>
    <s v="Revisor Puntos de Conexión Metrosur"/>
    <x v="0"/>
    <n v="4"/>
    <s v="2025-11-25 17:30:15"/>
    <s v="2 días 17:30"/>
    <s v="2 días 17:30"/>
    <x v="2"/>
    <s v="SIN DATO"/>
    <s v="SIN DATO"/>
    <s v="SIN DATO"/>
    <s v="ABIERTO"/>
    <n v="-75.604566370000001"/>
    <n v="6.2441871600000001"/>
    <s v="SUR-ENE"/>
    <s v="Metropolitana Sur"/>
  </r>
  <r>
    <s v="23594337"/>
    <s v="ENERES"/>
    <s v="NUEVO"/>
    <s v="ENERES"/>
    <s v="19/11/2025 17:30:25"/>
    <s v="2025-11-19 17:30:25"/>
    <n v="1128448070"/>
    <s v="LYDA ESTHER ACOSTA MONTOYA"/>
    <s v="5124010"/>
    <s v="3105998171"/>
    <s v="CL 48 SUR CR 69 A -59"/>
    <x v="0"/>
    <s v="044618009100590000"/>
    <s v="Medellín"/>
    <x v="1"/>
    <s v="METROSUR Vin. Leg. Ref. Concentrada"/>
    <x v="0"/>
    <n v="7"/>
    <s v="2025-11-28 17:30:25"/>
    <s v="2 días 17:30"/>
    <s v="5 días 17:30"/>
    <x v="0"/>
    <s v="SIN DATO"/>
    <s v="SIN DATO"/>
    <s v="SIN DATO"/>
    <s v="ABIERTO"/>
    <n v="-75.650276759999997"/>
    <n v="6.1783437000000001"/>
    <s v="SUR-ENE"/>
    <s v="Metropolitana Sur"/>
  </r>
  <r>
    <s v="23594344"/>
    <s v="ENERES"/>
    <s v="NUEVO"/>
    <s v="ENERES"/>
    <s v="19/11/2025 17:32:27"/>
    <s v="2025-11-19 17:32:27"/>
    <n v="1128448070"/>
    <s v="LYDA ESTHER ACOSTA MONTOYA"/>
    <s v="5124010"/>
    <s v="3105998171"/>
    <s v="CL 48 SUR CR 69 A -59 (INTERIOR 303 )"/>
    <x v="0"/>
    <s v="044618009100590303"/>
    <s v="Medellín"/>
    <x v="1"/>
    <s v="METROSUR Vin. Leg. Ref. Concentrada"/>
    <x v="0"/>
    <n v="7"/>
    <s v="2025-11-28 17:32:27"/>
    <s v="2 días 17:32"/>
    <s v="5 días 17:32"/>
    <x v="0"/>
    <s v="SIN DATO"/>
    <s v="SIN DATO"/>
    <s v="SIN DATO"/>
    <s v="ABIERTO"/>
    <n v="-75.650276759999997"/>
    <n v="6.1783437000000001"/>
    <s v="SUR-ENE"/>
    <s v="Metropolitana Sur"/>
  </r>
  <r>
    <s v="23594350"/>
    <s v="ENECNX"/>
    <s v="NUEVO"/>
    <s v="ENECNX"/>
    <s v="19/11/2025 17:35:00"/>
    <s v="2025-11-19 17:35:00"/>
    <n v="94518139"/>
    <s v="GUSTAVO DE JESUS NOREÑA NARANJO"/>
    <s v="SIN DATOS"/>
    <s v="3217757424"/>
    <s v="CL 34 B CR 94 -103"/>
    <x v="0"/>
    <s v="053914204001030000"/>
    <s v="Medellín"/>
    <x v="8"/>
    <s v="Revisor Puntos de Conexión Metrosur"/>
    <x v="0"/>
    <n v="4"/>
    <s v="2025-11-25 17:35:00"/>
    <s v="2 días 17:35"/>
    <s v="2 días 17:35"/>
    <x v="2"/>
    <s v="SIN DATO"/>
    <s v="SIN DATO"/>
    <s v="SIN DATO"/>
    <s v="ABIERTO"/>
    <n v="-75.620634629999998"/>
    <n v="6.2452725999999998"/>
    <s v="SUR-ENE"/>
    <s v="Metropolitana Sur"/>
  </r>
  <r>
    <s v="23594351"/>
    <s v="ENERES"/>
    <s v="NUEVO"/>
    <s v="ENERES"/>
    <s v="19/11/2025 17:35:20"/>
    <s v="2025-11-19 17:35:20"/>
    <n v="1128448070"/>
    <s v="LYDA ESTHER ACOSTA MONTOYA"/>
    <s v="5124010"/>
    <s v="3105998171"/>
    <s v="CL 48 SUR CR 69 A -59 (INTERIOR 306 )"/>
    <x v="0"/>
    <s v="044618009100590306"/>
    <s v="Medellín"/>
    <x v="1"/>
    <s v="METROSUR Vin. Leg. Ref. Concentrada"/>
    <x v="0"/>
    <n v="7"/>
    <s v="2025-11-28 17:35:20"/>
    <s v="2 días 17:35"/>
    <s v="5 días 17:35"/>
    <x v="0"/>
    <s v="SIN DATO"/>
    <s v="SIN DATO"/>
    <s v="SIN DATO"/>
    <s v="ABIERTO"/>
    <n v="-75.650276759999997"/>
    <n v="6.1783437000000001"/>
    <s v="SUR-ENE"/>
    <s v="Metropolitana Sur"/>
  </r>
  <r>
    <s v="23594362"/>
    <s v="ENERES"/>
    <s v="NUEVO"/>
    <s v="ENERES"/>
    <s v="19/11/2025 17:38:20"/>
    <s v="2025-11-19 17:38:20"/>
    <n v="1128448070"/>
    <s v="LYDA ESTHER ACOSTA MONTOYA"/>
    <s v="5124010"/>
    <s v="3105998171"/>
    <s v="CL 48 A CR 69 A -59 (INTERIOR 307 )"/>
    <x v="0"/>
    <s v="054618109100590307"/>
    <s v="Medellín"/>
    <x v="1"/>
    <s v="METROSUR Vin. Leg. Ref. Concentrada"/>
    <x v="0"/>
    <n v="7"/>
    <s v="2025-11-28 17:38:20"/>
    <s v="2 días 17:38"/>
    <s v="5 días 17:38"/>
    <x v="0"/>
    <s v="SIN DATO"/>
    <s v="SIN DATO"/>
    <s v="SIN DATO"/>
    <s v="ABIERTO"/>
    <n v="-75.588719999999995"/>
    <n v="6.2538049999999998"/>
    <s v="SUR-ENE"/>
    <s v="Metropolitana Sur"/>
  </r>
  <r>
    <s v="23594370"/>
    <s v="ENERES"/>
    <s v="NUEVO"/>
    <s v="ENERES"/>
    <s v="19/11/2025 17:42:09"/>
    <s v="2025-11-19 17:42:09"/>
    <n v="1128448070"/>
    <s v="LYDA ESTHER ACOSTA MONTOYA"/>
    <s v="5124010"/>
    <s v="3105998171"/>
    <s v="CL 48 SUR CR 69 A -59 (INTERIOR 401 )"/>
    <x v="0"/>
    <s v="044618009100590401"/>
    <s v="Medellín"/>
    <x v="1"/>
    <s v="METROSUR Vin. Leg. Ref. Concentrada"/>
    <x v="0"/>
    <n v="7"/>
    <s v="2025-11-28 17:42:09"/>
    <s v="2 días 17:42"/>
    <s v="5 días 17:42"/>
    <x v="0"/>
    <s v="SIN DATO"/>
    <s v="SIN DATO"/>
    <s v="SIN DATO"/>
    <s v="ABIERTO"/>
    <n v="-75.650276759999997"/>
    <n v="6.1783437000000001"/>
    <s v="SUR-ENE"/>
    <s v="Metropolitana Sur"/>
  </r>
  <r>
    <s v="23594373"/>
    <s v="ENERES"/>
    <s v="NUEVO"/>
    <s v="ENERES"/>
    <s v="19/11/2025 17:44:12"/>
    <s v="2025-11-19 17:44:12"/>
    <n v="1128448070"/>
    <s v="LYDA ESTHER ACOSTA MONTOYA"/>
    <s v="5124010"/>
    <s v="3105998171"/>
    <s v="CL 48 SUR CR 69 A -59 (INTERIOR 402 )"/>
    <x v="0"/>
    <s v="044618009100590402"/>
    <s v="Medellín"/>
    <x v="1"/>
    <s v="METROSUR Vin. Leg. Ref. Concentrada"/>
    <x v="0"/>
    <n v="7"/>
    <s v="2025-11-28 17:44:12"/>
    <s v="2 días 17:44"/>
    <s v="5 días 17:44"/>
    <x v="0"/>
    <s v="SIN DATO"/>
    <s v="SIN DATO"/>
    <s v="SIN DATO"/>
    <s v="ABIERTO"/>
    <n v="-75.650276759999997"/>
    <n v="6.1783437000000001"/>
    <s v="SUR-ENE"/>
    <s v="Metropolitana Sur"/>
  </r>
  <r>
    <s v="23594378"/>
    <s v="ENECNX"/>
    <s v="NUEVO"/>
    <s v="ENECNX"/>
    <s v="19/11/2025 17:48:50"/>
    <s v="2025-11-19 17:48:51"/>
    <n v="70567226"/>
    <s v="JAIRO ALBERTO MORENO MONTOYA"/>
    <s v="SIN DATOS"/>
    <s v="3217757424"/>
    <s v="CL 76 CR 52 D -22"/>
    <x v="2"/>
    <s v="077516002400220000"/>
    <s v="Itaguí"/>
    <x v="8"/>
    <s v="Revisor Puntos de Conexión Metrosur"/>
    <x v="0"/>
    <n v="4"/>
    <s v="2025-11-25 17:48:51"/>
    <s v="2 días 17:48"/>
    <s v="2 días 17:48"/>
    <x v="2"/>
    <s v="SIN DATO"/>
    <s v="SIN DATO"/>
    <s v="SIN DATO"/>
    <s v="ABIERTO"/>
    <n v="-75.597628520000001"/>
    <n v="6.1876651200000001"/>
    <s v="SUR-ENE"/>
    <s v="Metropolitana Sur"/>
  </r>
  <r>
    <s v="23594386"/>
    <s v="ENERES"/>
    <s v="NUEVO"/>
    <s v="ENERES"/>
    <s v="19/11/2025 18:29:46"/>
    <s v="2025-11-19 18:29:46"/>
    <n v="43979780"/>
    <s v="PAULA ANDREA VELEZ SIERRA"/>
    <s v="9876543"/>
    <s v="3146525634"/>
    <s v="CL 61 CR 128 A -99 (INTERIOR 402 )"/>
    <x v="0"/>
    <s v="086211008100990402"/>
    <s v="Medellín"/>
    <x v="1"/>
    <s v="Revisor Instal. Regadas Metrosur"/>
    <x v="0"/>
    <n v="7"/>
    <s v="2025-11-28 18:29:46"/>
    <s v="2 días 18:29"/>
    <s v="5 días 18:29"/>
    <x v="0"/>
    <s v="SIN DATO"/>
    <s v="SIN DATO"/>
    <s v="SIN DATO"/>
    <s v="ABIERTO"/>
    <n v="-75.634262359999994"/>
    <n v="6.2774681899999996"/>
    <s v="SUR-ENE"/>
    <s v="Metropolitana Sur"/>
  </r>
  <r>
    <s v="23594394"/>
    <s v="ENERES"/>
    <s v="NUEVO"/>
    <s v="ENEDOM"/>
    <s v="19/11/2025 20:21:45"/>
    <s v="2025-11-19 20:21:45"/>
    <n v="1022095529"/>
    <s v="YOVANNY RUIZ VARGAS"/>
    <s v="SIN DATOS"/>
    <s v="3022050303"/>
    <s v="CR 2 AH CL 46 -99"/>
    <x v="0"/>
    <s v="054022186000990000"/>
    <s v="Medellín"/>
    <x v="0"/>
    <s v="Habilitación Viviendas Metrosur"/>
    <x v="0"/>
    <n v="5"/>
    <s v="2025-11-26 20:21:45"/>
    <s v="2 días 20:21"/>
    <s v="3 días 20:21"/>
    <x v="0"/>
    <s v="SIN DATO"/>
    <s v="SIN DATO"/>
    <s v="SIN DATO"/>
    <s v="ABIERTO"/>
    <n v="-75.531705770000002"/>
    <n v="6.22799323"/>
    <s v="SUR-ENE"/>
    <s v="Metropolitana Sur"/>
  </r>
  <r>
    <s v="23594688"/>
    <s v="ENERES"/>
    <s v="NUEVO"/>
    <s v="ENERES"/>
    <s v="20/11/2025 07:00:00"/>
    <s v="2025-11-20 07:00:00"/>
    <n v="900303011"/>
    <s v="INGENIERIA EN CONSTRUCCIONES CIVILES SAS"/>
    <s v="2683620"/>
    <s v="3176655401"/>
    <s v="CL 27 SUR CR 27 D -99 (INTERIOR 903 )"/>
    <x v="1"/>
    <s v="022217007400990903"/>
    <s v="Envigado"/>
    <x v="1"/>
    <s v="Revisor Inst. Particulares Metrosur"/>
    <x v="0"/>
    <n v="7"/>
    <s v="2025-12-01 07:00:00"/>
    <s v="0 días 07:00"/>
    <s v="6 días 07:00"/>
    <x v="0"/>
    <s v="SIN DATO"/>
    <s v="SIN DATO"/>
    <s v="SIN DATO"/>
    <s v="ABIERTO"/>
    <n v="-75.573436000000001"/>
    <n v="6.1752180000000001"/>
    <s v="SUR-ENE"/>
    <s v="Metropolitana Sur"/>
  </r>
  <r>
    <s v="23594689"/>
    <s v="ENERES"/>
    <s v="NUEVO"/>
    <s v="ENERES"/>
    <s v="20/11/2025 07:00:02"/>
    <s v="2025-11-20 07:00:03"/>
    <n v="900303011"/>
    <s v="INGENIERIA EN CONSTRUCCIONES CIVILES SAS"/>
    <s v="2683620"/>
    <s v="3176655401"/>
    <s v="CL 27 SUR CR 27 D -99 (INTERIOR 804 )"/>
    <x v="1"/>
    <s v="022217007400990804"/>
    <s v="Envigado"/>
    <x v="1"/>
    <s v="Revisor Inst. Particulares Metrosur"/>
    <x v="0"/>
    <n v="7"/>
    <s v="2025-12-01 07:00:03"/>
    <s v="0 días 07:00"/>
    <s v="6 días 07:00"/>
    <x v="0"/>
    <s v="SIN DATO"/>
    <s v="SIN DATO"/>
    <s v="SIN DATO"/>
    <s v="ABIERTO"/>
    <n v="-75.573436000000001"/>
    <n v="6.1752180000000001"/>
    <s v="SUR-ENE"/>
    <s v="Metropolitana Sur"/>
  </r>
  <r>
    <s v="23594691"/>
    <s v="ENERES"/>
    <s v="NUEVO"/>
    <s v="ENERES"/>
    <s v="20/11/2025 07:01:18"/>
    <s v="2025-11-20 07:01:18"/>
    <n v="900303011"/>
    <s v="INGENIERIA EN CONSTRUCCIONES CIVILES SAS"/>
    <s v="2683620"/>
    <s v="3176655401"/>
    <s v="CL 27 SUR CR 27 D -99 (INTERIOR 705 )"/>
    <x v="1"/>
    <s v="022217007400990705"/>
    <s v="Envigado"/>
    <x v="1"/>
    <s v="Revisor Inst. Particulares Metrosur"/>
    <x v="0"/>
    <n v="7"/>
    <s v="2025-12-01 07:01:18"/>
    <s v="0 días 07:01"/>
    <s v="6 días 07:01"/>
    <x v="0"/>
    <s v="SIN DATO"/>
    <s v="SIN DATO"/>
    <s v="SIN DATO"/>
    <s v="ABIERTO"/>
    <n v="-75.573436000000001"/>
    <n v="6.1752180000000001"/>
    <s v="SUR-ENE"/>
    <s v="Metropolitana Sur"/>
  </r>
  <r>
    <s v="23594692"/>
    <s v="ENERES"/>
    <s v="NUEVO"/>
    <s v="ENERES"/>
    <s v="20/11/2025 07:01:20"/>
    <s v="2025-11-20 07:01:20"/>
    <n v="900303011"/>
    <s v="INGENIERIA EN CONSTRUCCIONES CIVILES SAS"/>
    <s v="2683620"/>
    <s v="3176655401"/>
    <s v="CL 27 SUR CR 27 D -99 (INTERIOR 703 )"/>
    <x v="1"/>
    <s v="022217007400990703"/>
    <s v="Envigado"/>
    <x v="1"/>
    <s v="Revisor Inst. Particulares Metrosur"/>
    <x v="0"/>
    <n v="7"/>
    <s v="2025-12-01 07:01:20"/>
    <s v="0 días 07:01"/>
    <s v="6 días 07:01"/>
    <x v="0"/>
    <s v="SIN DATO"/>
    <s v="SIN DATO"/>
    <s v="SIN DATO"/>
    <s v="ABIERTO"/>
    <n v="-75.573436000000001"/>
    <n v="6.1752180000000001"/>
    <s v="SUR-ENE"/>
    <s v="Metropolitana Sur"/>
  </r>
  <r>
    <s v="23594694"/>
    <s v="ENERES"/>
    <s v="NUEVO"/>
    <s v="ENERES"/>
    <s v="20/11/2025 07:01:36"/>
    <s v="2025-11-20 07:01:36"/>
    <n v="900303011"/>
    <s v="INGENIERIA EN CONSTRUCCIONES CIVILES SAS"/>
    <s v="2683620"/>
    <s v="3176655401"/>
    <s v="CL 27 SUR CR 27 D -99 (INTERIOR 702 )"/>
    <x v="1"/>
    <s v="022217007400990702"/>
    <s v="Envigado"/>
    <x v="1"/>
    <s v="Revisor Inst. Particulares Metrosur"/>
    <x v="0"/>
    <n v="7"/>
    <s v="2025-12-01 07:01:36"/>
    <s v="0 días 07:01"/>
    <s v="6 días 07:01"/>
    <x v="0"/>
    <s v="SIN DATO"/>
    <s v="SIN DATO"/>
    <s v="SIN DATO"/>
    <s v="ABIERTO"/>
    <n v="-75.573436000000001"/>
    <n v="6.1752180000000001"/>
    <s v="SUR-ENE"/>
    <s v="Metropolitana Sur"/>
  </r>
  <r>
    <s v="23594695"/>
    <s v="ENERES"/>
    <s v="NUEVO"/>
    <s v="ENERES"/>
    <s v="20/11/2025 07:02:06"/>
    <s v="2025-11-20 07:02:06"/>
    <n v="900303011"/>
    <s v="INGENIERIA EN CONSTRUCCIONES CIVILES SAS"/>
    <s v="2683620"/>
    <s v="3176655401"/>
    <s v="CL 27 SUR CR 27 D -99 (INTERIOR 901 )"/>
    <x v="1"/>
    <s v="022217007400990901"/>
    <s v="Envigado"/>
    <x v="1"/>
    <s v="Revisor Inst. Particulares Metrosur"/>
    <x v="0"/>
    <n v="7"/>
    <s v="2025-12-01 07:02:06"/>
    <s v="0 días 07:02"/>
    <s v="6 días 07:02"/>
    <x v="0"/>
    <s v="SIN DATO"/>
    <s v="SIN DATO"/>
    <s v="SIN DATO"/>
    <s v="ABIERTO"/>
    <n v="-75.573436000000001"/>
    <n v="6.1752180000000001"/>
    <s v="SUR-ENE"/>
    <s v="Metropolitana Sur"/>
  </r>
  <r>
    <s v="23594696"/>
    <s v="ENERES"/>
    <s v="NUEVO"/>
    <s v="ENERES"/>
    <s v="20/11/2025 07:02:46"/>
    <s v="2025-11-20 07:02:46"/>
    <n v="900303011"/>
    <s v="INGENIERIA EN CONSTRUCCIONES CIVILES SAS"/>
    <s v="2683620"/>
    <s v="3176655401"/>
    <s v="CL 27 SUR CR 27 D -99 (INTERIOR 605 )"/>
    <x v="1"/>
    <s v="022217007400990605"/>
    <s v="Envigado"/>
    <x v="1"/>
    <s v="Revisor Inst. Particulares Metrosur"/>
    <x v="0"/>
    <n v="7"/>
    <s v="2025-12-01 07:02:46"/>
    <s v="0 días 07:02"/>
    <s v="6 días 07:02"/>
    <x v="0"/>
    <s v="SIN DATO"/>
    <s v="SIN DATO"/>
    <s v="SIN DATO"/>
    <s v="ABIERTO"/>
    <n v="-75.573436000000001"/>
    <n v="6.1752180000000001"/>
    <s v="SUR-ENE"/>
    <s v="Metropolitana Sur"/>
  </r>
  <r>
    <s v="23594697"/>
    <s v="ENERES"/>
    <s v="NUEVO"/>
    <s v="ENERES"/>
    <s v="20/11/2025 07:03:27"/>
    <s v="2025-11-20 07:03:27"/>
    <n v="900303011"/>
    <s v="INGENIERIA EN CONSTRUCCIONES CIVILES SAS"/>
    <s v="2683620"/>
    <s v="3176655401"/>
    <s v="CL 27 SUR CR 27 D -99 (INTERIOR 505 )"/>
    <x v="1"/>
    <s v="022217007400990505"/>
    <s v="Envigado"/>
    <x v="1"/>
    <s v="Revisor Inst. Particulares Metrosur"/>
    <x v="0"/>
    <n v="7"/>
    <s v="2025-12-01 07:03:27"/>
    <s v="0 días 07:03"/>
    <s v="6 días 07:03"/>
    <x v="0"/>
    <s v="SIN DATO"/>
    <s v="SIN DATO"/>
    <s v="SIN DATO"/>
    <s v="ABIERTO"/>
    <n v="-75.573436000000001"/>
    <n v="6.1752180000000001"/>
    <s v="SUR-ENE"/>
    <s v="Metropolitana Sur"/>
  </r>
  <r>
    <s v="23594698"/>
    <s v="ENECNX"/>
    <s v="NUEVO"/>
    <s v="ENECNX"/>
    <s v="20/11/2025 07:05:29"/>
    <s v="2025-11-20 07:05:29"/>
    <n v="1017196144"/>
    <s v="LUZ ADIELA LOPEZ GARCIA"/>
    <s v="4642218"/>
    <s v="3136322696"/>
    <s v="CL 21 CR 81 C -144 (INTERIOR 301 )"/>
    <x v="0"/>
    <s v="052811001301440301"/>
    <s v="Medellín"/>
    <x v="8"/>
    <s v="Revisor Puntos de Conexión Metrosur"/>
    <x v="0"/>
    <n v="4"/>
    <s v="2025-11-26 07:05:29"/>
    <s v="0 días 07:05"/>
    <s v="3 días 07:05"/>
    <x v="0"/>
    <s v="SIN DATO"/>
    <s v="SIN DATO"/>
    <s v="SIN DATO"/>
    <s v="ABIERTO"/>
    <n v="-75.602829"/>
    <n v="6.2265759999999997"/>
    <s v="SUR-ENE"/>
    <s v="Metropolitana Sur"/>
  </r>
  <r>
    <s v="23594699"/>
    <s v="ENERES"/>
    <s v="NUEVO"/>
    <s v="ENERES"/>
    <s v="20/11/2025 07:05:32"/>
    <s v="2025-11-20 07:05:32"/>
    <n v="900303011"/>
    <s v="INGENIERIA EN CONSTRUCCIONES CIVILES SAS"/>
    <s v="2683620"/>
    <s v="3176655401"/>
    <s v="CL 27 SUR CR 27 D -99 (INTERIOR 503 )"/>
    <x v="1"/>
    <s v="022217007400990503"/>
    <s v="Envigado"/>
    <x v="1"/>
    <s v="Revisor Inst. Particulares Metrosur"/>
    <x v="0"/>
    <n v="7"/>
    <s v="2025-12-01 07:05:32"/>
    <s v="0 días 07:05"/>
    <s v="6 días 07:05"/>
    <x v="0"/>
    <s v="SIN DATO"/>
    <s v="SIN DATO"/>
    <s v="SIN DATO"/>
    <s v="ABIERTO"/>
    <n v="-75.573436000000001"/>
    <n v="6.1752180000000001"/>
    <s v="SUR-ENE"/>
    <s v="Metropolitana Sur"/>
  </r>
  <r>
    <s v="23594700"/>
    <s v="ENERES"/>
    <s v="NUEVO"/>
    <s v="ENERES"/>
    <s v="20/11/2025 07:05:33"/>
    <s v="2025-11-20 07:05:33"/>
    <n v="900303011"/>
    <s v="INGENIERIA EN CONSTRUCCIONES CIVILES SAS"/>
    <s v="2683620"/>
    <s v="3176655401"/>
    <s v="CL 27 SUR CR 27 D -99 (INTERIOR 202 )"/>
    <x v="1"/>
    <s v="022217007400990202"/>
    <s v="Envigado"/>
    <x v="1"/>
    <s v="Revisor Inst. Particulares Metrosur"/>
    <x v="0"/>
    <n v="7"/>
    <s v="2025-12-01 07:05:33"/>
    <s v="0 días 07:05"/>
    <s v="6 días 07:05"/>
    <x v="0"/>
    <s v="SIN DATO"/>
    <s v="SIN DATO"/>
    <s v="SIN DATO"/>
    <s v="ABIERTO"/>
    <n v="-75.573436000000001"/>
    <n v="6.1752180000000001"/>
    <s v="SUR-ENE"/>
    <s v="Metropolitana Sur"/>
  </r>
  <r>
    <s v="23594701"/>
    <s v="ENERES"/>
    <s v="NUEVO"/>
    <s v="ENERES"/>
    <s v="20/11/2025 07:05:50"/>
    <s v="2025-11-20 07:05:50"/>
    <n v="900303011"/>
    <s v="INGENIERIA EN CONSTRUCCIONES CIVILES SAS"/>
    <s v="2683620"/>
    <s v="3176655401"/>
    <s v="CL 27 SUR CR 27 D -99 (INTERIOR 203 )"/>
    <x v="1"/>
    <s v="022217007400990203"/>
    <s v="Envigado"/>
    <x v="1"/>
    <s v="Revisor Inst. Particulares Metrosur"/>
    <x v="0"/>
    <n v="7"/>
    <s v="2025-12-01 07:05:50"/>
    <s v="0 días 07:05"/>
    <s v="6 días 07:05"/>
    <x v="0"/>
    <s v="SIN DATO"/>
    <s v="SIN DATO"/>
    <s v="SIN DATO"/>
    <s v="ABIERTO"/>
    <n v="-75.573436000000001"/>
    <n v="6.1752180000000001"/>
    <s v="SUR-ENE"/>
    <s v="Metropolitana Sur"/>
  </r>
  <r>
    <s v="23594702"/>
    <s v="ENERES"/>
    <s v="NUEVO"/>
    <s v="ENERES"/>
    <s v="20/11/2025 07:08:50"/>
    <s v="2025-11-20 07:08:50"/>
    <n v="900303011"/>
    <s v="INGENIERIA EN CONSTRUCCIONES CIVILES SAS"/>
    <s v="2683620"/>
    <s v="3176655401"/>
    <s v="CL 27 SUR CR 27 D -99 (INTERIOR 704 )"/>
    <x v="1"/>
    <s v="022217007400990704"/>
    <s v="Envigado"/>
    <x v="1"/>
    <s v="Revisor Inst. Particulares Metrosur"/>
    <x v="0"/>
    <n v="7"/>
    <s v="2025-12-01 07:08:50"/>
    <s v="0 días 07:08"/>
    <s v="6 días 07:08"/>
    <x v="0"/>
    <s v="SIN DATO"/>
    <s v="SIN DATO"/>
    <s v="SIN DATO"/>
    <s v="ABIERTO"/>
    <n v="-75.573436000000001"/>
    <n v="6.1752180000000001"/>
    <s v="SUR-ENE"/>
    <s v="Metropolitana Sur"/>
  </r>
  <r>
    <s v="23594714"/>
    <s v="ENERES"/>
    <s v="NUEVO"/>
    <s v="ENEDOM"/>
    <s v="20/11/2025 07:26:48"/>
    <s v="2025-11-20 07:26:48"/>
    <n v="43107017"/>
    <s v="LINA MARIA RESTREPO SALINAS"/>
    <s v="SIN DATOS"/>
    <s v="3116314937"/>
    <s v="163017848500000202_LOMA LOS ZULETA"/>
    <x v="2"/>
    <s v="900053600001852053"/>
    <s v="Itaguí"/>
    <x v="0"/>
    <s v="Habilitación Viviendas Metrosur"/>
    <x v="0"/>
    <n v="5"/>
    <s v="2025-11-27 07:26:48"/>
    <s v="0 días 07:26"/>
    <s v="4 días 07:26"/>
    <x v="0"/>
    <s v="SIN DATO"/>
    <s v="SIN DATO"/>
    <s v="SIN DATO"/>
    <s v="ABIERTO"/>
    <n v="-75.614312745000007"/>
    <n v="6.1789636690000398"/>
    <s v="SUR-ENE"/>
    <s v="Metropolitana Sur"/>
  </r>
  <r>
    <s v="23594741"/>
    <s v="ENEMRT"/>
    <s v="NUEVO"/>
    <s v="ENEMVI"/>
    <s v="20/11/2025 07:44:39"/>
    <s v="2025-11-20 07:44:39"/>
    <n v="71262365"/>
    <s v="ANDRES MAURICIO ARROYAVE ATEHORTUA"/>
    <s v="SIN DATOS"/>
    <s v="3213935325"/>
    <s v="CR 62 CL 87 SUR -32 (INTERIOR 5 )"/>
    <x v="4"/>
    <s v="038622007000320005"/>
    <s v="La Estrella"/>
    <x v="6"/>
    <s v="Mov Red Trans Dairo Gil"/>
    <x v="0"/>
    <n v="9"/>
    <s v="2025-12-03 07:44:39"/>
    <s v="0 días 07:44"/>
    <s v="8 días 07:44"/>
    <x v="0"/>
    <s v="SIN DATO"/>
    <s v="SIN DATO"/>
    <s v="SIN DATO"/>
    <s v="ABIERTO"/>
    <n v="-75.646837000000005"/>
    <n v="6.1526269999999998"/>
    <s v="SUR-ENE"/>
    <s v="Metropolitana Sur"/>
  </r>
  <r>
    <s v="23594746"/>
    <s v="ENERES"/>
    <s v="NUEVO"/>
    <s v="ENERES"/>
    <s v="20/11/2025 07:55:36"/>
    <s v="2025-11-20 07:55:36"/>
    <n v="900303011"/>
    <s v="INGENIERIA EN CONSTRUCCIONES CIVILES SAS"/>
    <s v="2683620"/>
    <s v="3176655401"/>
    <s v="CL 27 SUR CR 27 D -99 (INTERIOR 992 )"/>
    <x v="1"/>
    <s v="022217007400990992"/>
    <s v="Envigado"/>
    <x v="1"/>
    <s v="Revisor Inst. Particulares Metrosur"/>
    <x v="0"/>
    <n v="7"/>
    <s v="2025-12-01 07:55:36"/>
    <s v="0 días 07:55"/>
    <s v="6 días 07:55"/>
    <x v="0"/>
    <s v="SIN DATO"/>
    <s v="SIN DATO"/>
    <s v="SIN DATO"/>
    <s v="ABIERTO"/>
    <n v="-75.573425999999998"/>
    <n v="6.1751849999999999"/>
    <s v="SUR-ENE"/>
    <s v="Metropolitana Sur"/>
  </r>
  <r>
    <s v="23594914"/>
    <s v="ENEPRE"/>
    <s v="RETIR"/>
    <s v="ENEPRE"/>
    <s v="20/11/2025 08:44:04"/>
    <s v="2025-11-20 08:44:04"/>
    <n v="43835602"/>
    <s v="ALINA MARIA MALDONADO JARAMILLO"/>
    <s v="SIN DATOS"/>
    <s v="3245529072"/>
    <s v="CR 53 CL 73 -35 (INTERIOR 211 )"/>
    <x v="2"/>
    <s v="077523003000350211-ENEPRE"/>
    <s v="Itaguí"/>
    <x v="11"/>
    <s v="Energía Prepago Metrosur"/>
    <x v="0"/>
    <n v="11"/>
    <s v="2025-12-05 08:44:04"/>
    <s v="0 días 08:44"/>
    <s v="10 días 08:44"/>
    <x v="0"/>
    <s v="SIN DATO"/>
    <s v="SIN DATO"/>
    <s v="SIN DATO"/>
    <s v="ABIERTO"/>
    <n v="-75.599817490000007"/>
    <n v="6.1861674300000002"/>
    <s v="SUR-ENE"/>
    <s v="Metropolitana Sur"/>
  </r>
  <r>
    <s v="23594951"/>
    <s v="ENERES"/>
    <s v="NUEVO"/>
    <s v="ENEDOM"/>
    <s v="20/11/2025 09:03:12"/>
    <s v="2025-11-20 09:03:12"/>
    <n v="1000757228"/>
    <s v="EVELYN ZAPATA MONTOYA"/>
    <s v="SIN DATOS"/>
    <s v="3003193696"/>
    <s v="CR 11 CL 54 -120 (INTERIOR 121 )"/>
    <x v="0"/>
    <s v="055121004001200121"/>
    <s v="Medellín"/>
    <x v="0"/>
    <s v="Habilitación Viviendas Metrosur"/>
    <x v="0"/>
    <n v="5"/>
    <s v="2025-11-27 09:03:12"/>
    <s v="0 días 09:03"/>
    <s v="4 días 09:03"/>
    <x v="0"/>
    <s v="SIN DATO"/>
    <s v="SIN DATO"/>
    <s v="SIN DATO"/>
    <s v="ABIERTO"/>
    <n v="-75.536349000000001"/>
    <n v="6.2362929999999999"/>
    <s v="SUR-ENE"/>
    <s v="Metropolitana Sur"/>
  </r>
  <r>
    <s v="23594956"/>
    <s v="ENEPRE"/>
    <s v="RETIR"/>
    <s v="ENEPRE"/>
    <s v="20/11/2025 09:05:58"/>
    <s v="2025-11-20 09:05:58"/>
    <n v="43620521"/>
    <s v="ERIKA SUJEY GOMEZ CATAÑO"/>
    <s v="5805945"/>
    <s v="3234212759"/>
    <s v="CL 48 E CR 90 A -5 (INTERIOR 201 )"/>
    <x v="0"/>
    <s v="054918500100050201-ENEPRE"/>
    <s v="Medellín"/>
    <x v="11"/>
    <s v="Energía Prepago Metrosur"/>
    <x v="0"/>
    <n v="11"/>
    <s v="2025-12-05 09:05:58"/>
    <s v="0 días 09:05"/>
    <s v="10 días 09:05"/>
    <x v="0"/>
    <s v="SIN DATO"/>
    <s v="SIN DATO"/>
    <s v="SIN DATO"/>
    <s v="ABIERTO"/>
    <n v="-75.607661140000005"/>
    <n v="6.2600248499999998"/>
    <s v="SUR-ENE"/>
    <s v="Metropolitana Sur"/>
  </r>
  <r>
    <s v="23594960"/>
    <s v="ENEMRT"/>
    <s v="NUEVO"/>
    <s v="ENEMVI"/>
    <s v="20/11/2025 09:08:26"/>
    <s v="2025-11-20 09:08:26"/>
    <n v="1037468291"/>
    <s v="JAIDER  LEMOS ZUÑIGA"/>
    <s v="SIN DATOS"/>
    <s v="3218060885"/>
    <s v="CL 55 CR 106 D -230 (INTERIOR 251 )"/>
    <x v="0"/>
    <s v="085015006402300251"/>
    <s v="Medellín"/>
    <x v="6"/>
    <s v="METR Mov Red Trans Anderson Castaño"/>
    <x v="0"/>
    <n v="9"/>
    <s v="2025-12-03 09:08:26"/>
    <s v="0 días 09:08"/>
    <s v="8 días 09:08"/>
    <x v="0"/>
    <s v="SIN DATO"/>
    <s v="SIN DATO"/>
    <s v="SIN DATO"/>
    <s v="ABIERTO"/>
    <n v="-75.614359010000001"/>
    <n v="6.27110536"/>
    <s v="SUR-ENE"/>
    <s v="Metropolitana Sur"/>
  </r>
  <r>
    <s v="23594968"/>
    <s v="ENERES"/>
    <s v="NUEVO"/>
    <s v="ENEDOM"/>
    <s v="20/11/2025 09:15:58"/>
    <s v="2025-11-20 09:15:58"/>
    <n v="1128269145"/>
    <s v="EIDY YOLIMA MAZO VELEZ"/>
    <s v="SIN DATOS"/>
    <s v="3142052998"/>
    <s v="CR 99 B CL 15 B -14 (INTERIOR 202 )"/>
    <x v="0"/>
    <s v="051929205200140202"/>
    <s v="Medellín"/>
    <x v="0"/>
    <s v="Habilitación Viviendas Metrosur"/>
    <x v="0"/>
    <n v="5"/>
    <s v="2025-11-27 09:15:58"/>
    <s v="0 días 09:15"/>
    <s v="4 días 09:15"/>
    <x v="0"/>
    <s v="SIN DATO"/>
    <s v="SIN DATO"/>
    <s v="SIN DATO"/>
    <s v="ABIERTO"/>
    <n v="-75.622347000000005"/>
    <n v="6.2218239999999998"/>
    <s v="SUR-ENE"/>
    <s v="Metropolitana Sur"/>
  </r>
  <r>
    <s v="23594985"/>
    <s v="ENERES"/>
    <s v="NUEVO"/>
    <s v="ENERES"/>
    <s v="20/11/2025 09:34:12"/>
    <s v="2025-11-20 09:34:12"/>
    <n v="71580057"/>
    <s v="CARLOS MARIO BALDRICH MUÑOZ"/>
    <s v="4980793"/>
    <s v="3007787401"/>
    <s v="CR 79 CL 57 -80 (INTERIOR 101 )"/>
    <x v="0"/>
    <s v="055729007000800101"/>
    <s v="Medellín"/>
    <x v="1"/>
    <s v="Revisor Instal. Regadas Metrosur"/>
    <x v="0"/>
    <n v="7"/>
    <s v="2025-12-01 09:34:12"/>
    <s v="0 días 09:34"/>
    <s v="6 días 09:34"/>
    <x v="0"/>
    <s v="SIN DATO"/>
    <s v="SIN DATO"/>
    <s v="SIN DATO"/>
    <s v="ABIERTO"/>
    <n v="-75.594018779999999"/>
    <n v="6.2709004500000001"/>
    <s v="SUR-ENE"/>
    <s v="Metropolitana Sur"/>
  </r>
  <r>
    <s v="23594987"/>
    <s v="ENERES"/>
    <s v="NUEVO"/>
    <s v="ENERES"/>
    <s v="20/11/2025 09:34:26"/>
    <s v="2025-11-20 09:34:26"/>
    <n v="42766573"/>
    <s v="MARIA DORIS GARCIA ZULUAGA"/>
    <s v="2771094"/>
    <s v="3052348158"/>
    <s v="CL 68 CR 52 -35 (INTERIOR 601 )"/>
    <x v="2"/>
    <s v="076518002000350601"/>
    <s v="Itaguí"/>
    <x v="1"/>
    <s v="Revisor Instal. Regadas Metrosur"/>
    <x v="0"/>
    <n v="7"/>
    <s v="2025-12-01 09:34:26"/>
    <s v="0 días 09:34"/>
    <s v="6 días 09:34"/>
    <x v="0"/>
    <s v="SIN DATO"/>
    <s v="SIN DATO"/>
    <s v="SIN DATO"/>
    <s v="ABIERTO"/>
    <n v="-75.59945673"/>
    <n v="6.1821824400000001"/>
    <s v="SUR-ENE"/>
    <s v="Metropolitana Sur"/>
  </r>
  <r>
    <s v="23594991"/>
    <s v="ENEMRT"/>
    <s v="NUEVO"/>
    <s v="ENEMVI"/>
    <s v="20/11/2025 09:37:15"/>
    <s v="2025-11-20 09:37:15"/>
    <n v="71637652"/>
    <s v="RAMIRO DE JESUS MEJIA BENITEZ"/>
    <s v="SIN DATOS"/>
    <s v="3207593219"/>
    <s v="CL 57 F CR 92 CC -7 (INTERIOR 120 )"/>
    <x v="0"/>
    <s v="055917602330070120"/>
    <s v="Medellín"/>
    <x v="6"/>
    <s v="METR Mov Red Trans Anderson Castaño"/>
    <x v="0"/>
    <n v="9"/>
    <s v="2025-12-03 09:37:15"/>
    <s v="0 días 09:37"/>
    <s v="8 días 09:37"/>
    <x v="0"/>
    <s v="SIN DATO"/>
    <s v="SIN DATO"/>
    <s v="SIN DATO"/>
    <s v="ABIERTO"/>
    <n v="-75.604655080000001"/>
    <n v="6.2742202599999999"/>
    <s v="SUR-ENE"/>
    <s v="Metropolitana Sur"/>
  </r>
  <r>
    <s v="23595000"/>
    <s v="ENEPRE"/>
    <s v="NUEVO"/>
    <s v="ENEPRE"/>
    <s v="20/11/2025 09:42:07"/>
    <s v="2025-11-20 09:42:07"/>
    <n v="22108273"/>
    <s v="CARMEN EMILIA PAMPLONA ARANGO"/>
    <s v="SIN DATOS"/>
    <s v="3014506241"/>
    <s v="CR 18 B CL 56 HG -63"/>
    <x v="0"/>
    <s v="055128206870630000"/>
    <s v="Medellín"/>
    <x v="3"/>
    <s v="Energía Prepago Metrosur"/>
    <x v="0"/>
    <n v="11"/>
    <s v="2025-12-05 09:42:07"/>
    <s v="0 días 09:42"/>
    <s v="10 días 09:42"/>
    <x v="0"/>
    <s v="SIN DATO"/>
    <s v="SIN DATO"/>
    <s v="SIN DATO"/>
    <s v="ABIERTO"/>
    <n v="-75.540311869999996"/>
    <n v="6.2488550099999998"/>
    <s v="SUR-ENE"/>
    <s v="Metropolitana Sur"/>
  </r>
  <r>
    <s v="23595010"/>
    <s v="ENERES"/>
    <s v="NUEVO"/>
    <s v="ENERES"/>
    <s v="20/11/2025 09:45:54"/>
    <s v="2025-11-20 09:45:54"/>
    <n v="1128430693"/>
    <s v="MARLON JIMENEZ JARAMILLO"/>
    <s v="SIN DATOS"/>
    <s v="3195099339"/>
    <s v="CR 25 BB CL 54 -46"/>
    <x v="0"/>
    <s v="055225224000460000"/>
    <s v="Medellín"/>
    <x v="1"/>
    <s v="Revisor Instal. Regadas Metrosur"/>
    <x v="0"/>
    <n v="7"/>
    <s v="2025-12-01 09:45:54"/>
    <s v="0 días 09:45"/>
    <s v="6 días 09:45"/>
    <x v="0"/>
    <s v="SIN DATO"/>
    <s v="SIN DATO"/>
    <s v="SIN DATO"/>
    <s v="ABIERTO"/>
    <n v="-75.547679189999997"/>
    <n v="6.2433201199999999"/>
    <s v="SUR-ENE"/>
    <s v="Metropolitana Sur"/>
  </r>
  <r>
    <s v="23595019"/>
    <s v="ENERES"/>
    <s v="NUEVO"/>
    <s v="ENERES"/>
    <s v="20/11/2025 09:51:02"/>
    <s v="2025-11-20 09:51:02"/>
    <n v="1128430693"/>
    <s v="MARLON JIMENEZ JARAMILLO"/>
    <s v="SIN DATOS"/>
    <s v="3195099339"/>
    <s v="CR 25 BB CL 54 -46 (INTERIOR 201 )"/>
    <x v="0"/>
    <s v="055225224000460201"/>
    <s v="Medellín"/>
    <x v="1"/>
    <s v="Revisor Instal. Regadas Metrosur"/>
    <x v="0"/>
    <n v="7"/>
    <s v="2025-12-01 09:51:02"/>
    <s v="0 días 09:51"/>
    <s v="6 días 09:51"/>
    <x v="0"/>
    <s v="SIN DATO"/>
    <s v="SIN DATO"/>
    <s v="SIN DATO"/>
    <s v="ABIERTO"/>
    <n v="-75.547679189999997"/>
    <n v="6.2433201199999999"/>
    <s v="SUR-ENE"/>
    <s v="Metropolitana Sur"/>
  </r>
  <r>
    <s v="23595043"/>
    <s v="ENENOR"/>
    <s v="NUEVO"/>
    <s v="ENENOR"/>
    <s v="20/11/2025 10:07:19"/>
    <s v="2025-11-20 10:07:19"/>
    <n v="15450528"/>
    <s v="JUAN FERNANDO VELEZ OSORIO"/>
    <s v="SIN DATOS"/>
    <s v="3135981769"/>
    <s v="CL 136 SUR CR 48 -52"/>
    <x v="3"/>
    <s v="003416008000520000"/>
    <s v="Caldas"/>
    <x v="2"/>
    <s v="METROSUR Vin. Leg. Ref. Concentrada"/>
    <x v="0"/>
    <n v="7"/>
    <s v="2025-12-01 10:07:19"/>
    <s v="0 días 10:07"/>
    <s v="6 días 10:07"/>
    <x v="0"/>
    <s v="SIN DATO"/>
    <s v="SIN DATO"/>
    <s v="SIN DATO"/>
    <s v="ABIERTO"/>
    <n v="-75.634754659999999"/>
    <n v="6.0862583600000004"/>
    <s v="SUR-ENE"/>
    <s v="Metropolitana Sur"/>
  </r>
  <r>
    <s v="23595045"/>
    <s v="ENEPRE"/>
    <s v="NUEVO"/>
    <s v="ENEPRE"/>
    <s v="20/11/2025 10:09:37"/>
    <s v="2025-11-20 10:09:37"/>
    <n v="33069131"/>
    <s v="ZUYIS MILENA DORADO MORALES"/>
    <s v="SIN DATOS"/>
    <s v="3207047769"/>
    <s v="CL 56 BD CR 21 -106 (INTERIOR 113 )"/>
    <x v="0"/>
    <s v="055216241001060113"/>
    <s v="Medellín"/>
    <x v="3"/>
    <s v="Energía Prepago Metrosur"/>
    <x v="0"/>
    <n v="11"/>
    <s v="2025-12-05 10:09:37"/>
    <s v="0 días 10:09"/>
    <s v="10 días 10:09"/>
    <x v="0"/>
    <s v="SIN DATO"/>
    <s v="SIN DATO"/>
    <s v="SIN DATO"/>
    <s v="ABIERTO"/>
    <n v="-75.542443000000006"/>
    <n v="6.2438120000000001"/>
    <s v="SUR-ENE"/>
    <s v="Metropolitana Sur"/>
  </r>
  <r>
    <s v="23595053"/>
    <s v="ENERES"/>
    <s v="NUEVO"/>
    <s v="ENEDOM"/>
    <s v="20/11/2025 10:12:18"/>
    <s v="2025-11-20 10:12:18"/>
    <n v="71930087"/>
    <s v="PABLO JOAQUIN SANCHEZ CAÑIZALES"/>
    <s v="SIN DATOS"/>
    <s v="3224152390"/>
    <s v="CL 39 A CR 114 -61 (INTERIOR 101 )"/>
    <x v="0"/>
    <s v="083119104000610101"/>
    <s v="Medellín"/>
    <x v="0"/>
    <s v="Habilitación Viviendas Metrosur"/>
    <x v="0"/>
    <n v="5"/>
    <s v="2025-11-27 10:12:18"/>
    <s v="0 días 10:12"/>
    <s v="4 días 10:12"/>
    <x v="0"/>
    <s v="SIN DATO"/>
    <s v="SIN DATO"/>
    <s v="SIN DATO"/>
    <s v="ABIERTO"/>
    <n v="-75.626892999999995"/>
    <n v="6.2499580000000003"/>
    <s v="SUR-ENE"/>
    <s v="Metropolitana Sur"/>
  </r>
  <r>
    <s v="23595058"/>
    <s v="ENERES"/>
    <s v="NUEVO"/>
    <s v="ENEDOM"/>
    <s v="20/11/2025 10:14:04"/>
    <s v="2025-11-20 10:14:04"/>
    <n v="1216716889"/>
    <s v="CARLOS ANDRES GARCIA CANO"/>
    <s v="SIN DATOS"/>
    <s v="3045285074"/>
    <s v="RURAL_147006682000000001_147006682000000001"/>
    <x v="0"/>
    <s v="147006682000000001"/>
    <s v="Medellín"/>
    <x v="0"/>
    <s v="Habilitación Viviendas Metrosur"/>
    <x v="1"/>
    <n v="8"/>
    <s v="2025-12-02 10:14:04"/>
    <s v="0 días 10:14"/>
    <s v="7 días 10:14"/>
    <x v="0"/>
    <s v="SIN DATO"/>
    <s v="SIN DATO"/>
    <s v="SIN DATO"/>
    <s v="ABIERTO"/>
    <n v="-75.654974999999993"/>
    <n v="6.2702419999999996"/>
    <s v="SUR-ENE"/>
    <s v="Metropolitana Sur"/>
  </r>
  <r>
    <s v="23595070"/>
    <s v="ENERES"/>
    <s v="NUEVO"/>
    <s v="ENERES"/>
    <s v="20/11/2025 10:22:03"/>
    <s v="2025-11-20 10:22:03"/>
    <n v="901244087"/>
    <s v="CONSTRUCTORA ALTOS DEL BOSQUE S.A.S."/>
    <s v="2593823"/>
    <s v="3104139340"/>
    <s v="CL 87 A SUR CR 56 C -72 (INTERIOR 401 BQ 1 )"/>
    <x v="4"/>
    <s v="038517106300720401"/>
    <s v="La Estrella"/>
    <x v="1"/>
    <s v="Revisor Inst. Particulares Metrosur"/>
    <x v="0"/>
    <n v="7"/>
    <s v="2025-12-01 10:22:03"/>
    <s v="0 días 10:22"/>
    <s v="6 días 10:22"/>
    <x v="0"/>
    <s v="SIN DATO"/>
    <s v="SIN DATO"/>
    <s v="SIN DATO"/>
    <s v="ABIERTO"/>
    <n v="-75.641370280000004"/>
    <n v="6.1506908300000003"/>
    <s v="SUR-ENE"/>
    <s v="Metropolitana Sur"/>
  </r>
  <r>
    <s v="23595071"/>
    <s v="ENERES"/>
    <s v="NUEVO"/>
    <s v="ENERES"/>
    <s v="20/11/2025 10:22:10"/>
    <s v="2025-11-20 10:22:10"/>
    <n v="901244087"/>
    <s v="CONSTRUCTORA ALTOS DEL BOSQUE S.A.S."/>
    <s v="2593823"/>
    <s v="3104139340"/>
    <s v="CL 87 A SUR CR 56 C -72 (INTERIOR 204 BQ 1 )"/>
    <x v="4"/>
    <s v="038517106300720204"/>
    <s v="La Estrella"/>
    <x v="1"/>
    <s v="Revisor Inst. Particulares Metrosur"/>
    <x v="0"/>
    <n v="7"/>
    <s v="2025-12-01 10:22:10"/>
    <s v="0 días 10:22"/>
    <s v="6 días 10:22"/>
    <x v="0"/>
    <s v="SIN DATO"/>
    <s v="SIN DATO"/>
    <s v="SIN DATO"/>
    <s v="ABIERTO"/>
    <n v="-75.641370280000004"/>
    <n v="6.1506908300000003"/>
    <s v="SUR-ENE"/>
    <s v="Metropolitana Sur"/>
  </r>
  <r>
    <s v="23595074"/>
    <s v="ENERES"/>
    <s v="NUEVO"/>
    <s v="ENERES"/>
    <s v="20/11/2025 10:23:05"/>
    <s v="2025-11-20 10:23:05"/>
    <n v="901244087"/>
    <s v="CONSTRUCTORA ALTOS DEL BOSQUE S.A.S."/>
    <s v="2593823"/>
    <s v="3104139340"/>
    <s v="CL 87 A SUR CR 56 C -72 (INTERIOR 202 BQ 1 )"/>
    <x v="4"/>
    <s v="038517106300720202"/>
    <s v="La Estrella"/>
    <x v="1"/>
    <s v="Revisor Inst. Particulares Metrosur"/>
    <x v="0"/>
    <n v="7"/>
    <s v="2025-12-01 10:23:05"/>
    <s v="0 días 10:23"/>
    <s v="6 días 10:23"/>
    <x v="0"/>
    <s v="SIN DATO"/>
    <s v="SIN DATO"/>
    <s v="SIN DATO"/>
    <s v="ABIERTO"/>
    <n v="-75.641370280000004"/>
    <n v="6.1506908300000003"/>
    <s v="SUR-ENE"/>
    <s v="Metropolitana Sur"/>
  </r>
  <r>
    <s v="23595076"/>
    <s v="ENERES"/>
    <s v="NUEVO"/>
    <s v="ENEDOM"/>
    <s v="20/11/2025 10:24:34"/>
    <s v="2025-11-20 10:24:34"/>
    <n v="1017151188"/>
    <s v="RODRIGO ALBERTO ZAPATA CAÑAVERAL"/>
    <s v="SIN DATOS"/>
    <s v="3177137677"/>
    <s v="CL 39 AC CR 115 B -111 (INTERIOR 202 )"/>
    <x v="0"/>
    <s v="083119135201110202"/>
    <s v="Medellín"/>
    <x v="0"/>
    <s v="Habilitación Viviendas Metrosur"/>
    <x v="0"/>
    <n v="5"/>
    <s v="2025-11-27 10:24:34"/>
    <s v="0 días 10:24"/>
    <s v="4 días 10:24"/>
    <x v="0"/>
    <s v="SIN DATO"/>
    <s v="SIN DATO"/>
    <s v="SIN DATO"/>
    <s v="ABIERTO"/>
    <n v="-75.628117000000003"/>
    <n v="6.251093"/>
    <s v="SUR-ENE"/>
    <s v="Metropolitana Sur"/>
  </r>
  <r>
    <s v="23595079"/>
    <s v="ENENOR"/>
    <s v="NUEVO"/>
    <s v="ENENOR"/>
    <s v="20/11/2025 10:26:36"/>
    <s v="2025-11-20 10:26:36"/>
    <n v="15450528"/>
    <s v="JUAN FERNANDO VELEZ OSORIO"/>
    <s v="SIN DATOS"/>
    <s v="3135981769"/>
    <s v="CL 136 SUR CR 48 -56"/>
    <x v="3"/>
    <s v="003416008000560000"/>
    <s v="Caldas"/>
    <x v="2"/>
    <s v="METROSUR Vin. Leg. Ref. Concentrada"/>
    <x v="0"/>
    <n v="7"/>
    <s v="2025-12-01 10:26:36"/>
    <s v="0 días 10:26"/>
    <s v="6 días 10:26"/>
    <x v="0"/>
    <s v="SIN DATO"/>
    <s v="SIN DATO"/>
    <s v="SIN DATO"/>
    <s v="ABIERTO"/>
    <n v="-75.634779769999994"/>
    <n v="6.0862563600000001"/>
    <s v="SUR-ENE"/>
    <s v="Metropolitana Sur"/>
  </r>
  <r>
    <s v="23595105"/>
    <s v="ENERES"/>
    <s v="NUEVO"/>
    <s v="ENEDOM"/>
    <s v="20/11/2025 10:41:40"/>
    <s v="2025-11-20 10:41:40"/>
    <n v="1128407390"/>
    <s v="DORA ISABEL RODRIGUEZ RESTREPO"/>
    <s v="SIN DATOS"/>
    <s v="3104181759"/>
    <s v="CL 39 AC CR 115 B -111 (INTERIOR 301 )"/>
    <x v="0"/>
    <s v="083119135201110301"/>
    <s v="Medellín"/>
    <x v="0"/>
    <s v="Habilitación Viviendas Metrosur"/>
    <x v="0"/>
    <n v="5"/>
    <s v="2025-11-27 10:41:40"/>
    <s v="0 días 10:41"/>
    <s v="4 días 10:41"/>
    <x v="0"/>
    <s v="SIN DATO"/>
    <s v="SIN DATO"/>
    <s v="SIN DATO"/>
    <s v="ABIERTO"/>
    <n v="-75.628117000000003"/>
    <n v="6.251093"/>
    <s v="SUR-ENE"/>
    <s v="Metropolitana Sur"/>
  </r>
  <r>
    <s v="23595117"/>
    <s v="ENERES"/>
    <s v="NUEVO"/>
    <s v="ENERES"/>
    <s v="20/11/2025 10:46:24"/>
    <s v="2025-11-20 10:46:24"/>
    <n v="70730163"/>
    <s v="HENRY ALBERTO QUINTERO VALENCIA"/>
    <s v="SIN DATOS"/>
    <s v="3128671550"/>
    <s v="CL 28 CR 65 -9 (INTERIOR 101 )"/>
    <x v="2"/>
    <s v="072618005000090101"/>
    <s v="Itaguí"/>
    <x v="1"/>
    <s v="Revisor Instal. Regadas Metrosur"/>
    <x v="0"/>
    <n v="7"/>
    <s v="2025-12-01 10:46:24"/>
    <s v="0 días 10:46"/>
    <s v="6 días 10:46"/>
    <x v="0"/>
    <s v="SIN DATO"/>
    <s v="SIN DATO"/>
    <s v="SIN DATO"/>
    <s v="ABIERTO"/>
    <n v="-75.639167069999999"/>
    <n v="6.1700358700000004"/>
    <s v="SUR-ENE"/>
    <s v="Metropolitana Sur"/>
  </r>
  <r>
    <s v="23595118"/>
    <s v="ENERES"/>
    <s v="NUEVO"/>
    <s v="ENERES"/>
    <s v="20/11/2025 10:46:31"/>
    <s v="2025-11-20 10:46:31"/>
    <n v="70431284"/>
    <s v="LUIS EMILIO CASTAÑEDA USUGA"/>
    <s v="2227879"/>
    <s v="3117489510"/>
    <s v="CL 45 A CR 24 -30 (INTERIOR 402 )"/>
    <x v="0"/>
    <s v="054215104000300402"/>
    <s v="Medellín"/>
    <x v="1"/>
    <s v="Revisor Instal. Regadas Metrosur"/>
    <x v="0"/>
    <n v="7"/>
    <s v="2025-12-01 10:46:31"/>
    <s v="0 días 10:46"/>
    <s v="6 días 10:46"/>
    <x v="0"/>
    <s v="SIN DATO"/>
    <s v="SIN DATO"/>
    <s v="SIN DATO"/>
    <s v="ABIERTO"/>
    <n v="-75.551085490000006"/>
    <n v="6.23628523"/>
    <s v="SUR-ENE"/>
    <s v="Metropolitana Sur"/>
  </r>
  <r>
    <s v="23595125"/>
    <s v="ENERES"/>
    <s v="NUEVO"/>
    <s v="ENERES"/>
    <s v="20/11/2025 10:48:59"/>
    <s v="2025-11-20 10:48:59"/>
    <n v="43686637"/>
    <s v="ADRIANA YANED TORO SEPULVEDA"/>
    <s v="SIN DATOS"/>
    <s v="3005207592"/>
    <s v="CL 139 SUR CR 52 -4 (INTERIOR 501 )"/>
    <x v="3"/>
    <s v="003519002000040501"/>
    <s v="Caldas"/>
    <x v="1"/>
    <s v="METROSUR Vin. Leg. Ref. Concentrada"/>
    <x v="0"/>
    <n v="7"/>
    <s v="2025-12-01 10:48:59"/>
    <s v="0 días 10:48"/>
    <s v="6 días 10:48"/>
    <x v="0"/>
    <s v="SIN DATO"/>
    <s v="SIN DATO"/>
    <s v="SIN DATO"/>
    <s v="ABIERTO"/>
    <n v="-75.636646999999996"/>
    <n v="6.0826659999999997"/>
    <s v="SUR-ENE"/>
    <s v="Metropolitana Sur"/>
  </r>
  <r>
    <s v="23595129"/>
    <s v="ENERES"/>
    <s v="NUEVO"/>
    <s v="ENERES"/>
    <s v="20/11/2025 10:51:04"/>
    <s v="2025-11-20 10:51:04"/>
    <n v="43501464"/>
    <s v="LUZ MERY ZAPATA PELAEZ"/>
    <s v="SIN DATOS"/>
    <s v="3014559775"/>
    <s v="CL 65 A CR 144 -56 (INTERIOR 2236 )"/>
    <x v="0"/>
    <s v="086415104000562236"/>
    <s v="Medellín"/>
    <x v="1"/>
    <s v="Revisor Instal. Regadas Metrosur"/>
    <x v="0"/>
    <n v="7"/>
    <s v="2025-12-01 10:51:04"/>
    <s v="0 días 10:51"/>
    <s v="6 días 10:51"/>
    <x v="0"/>
    <s v="SIN DATO"/>
    <s v="SIN DATO"/>
    <s v="SIN DATO"/>
    <s v="ABIERTO"/>
    <n v="-75.643765999999999"/>
    <n v="6.2822719999999999"/>
    <s v="SUR-ENE"/>
    <s v="Metropolitana Sur"/>
  </r>
  <r>
    <s v="23595160"/>
    <s v="ENENOR"/>
    <s v="NUEVO"/>
    <s v="ENENOR"/>
    <s v="20/11/2025 11:06:25"/>
    <s v="2025-11-20 11:06:25"/>
    <n v="890909377"/>
    <s v="INSTITUCION UNIVERSITARIA ESCOLME"/>
    <s v="4442828"/>
    <s v="3113147794"/>
    <s v="CL 54 CR 42 -24"/>
    <x v="0"/>
    <s v="055414002000240000"/>
    <s v="Medellín"/>
    <x v="2"/>
    <s v="Revisor Instal. Regadas Metrosur"/>
    <x v="0"/>
    <n v="7"/>
    <s v="2025-12-01 11:06:25"/>
    <s v="0 días 11:06"/>
    <s v="6 días 11:06"/>
    <x v="0"/>
    <s v="SIN DATO"/>
    <s v="SIN DATO"/>
    <s v="SIN DATO"/>
    <s v="ABIERTO"/>
    <n v="-75.560771009999996"/>
    <n v="6.2497135400000001"/>
    <s v="SUR-ENE"/>
    <s v="Metropolitana Sur"/>
  </r>
  <r>
    <s v="23595169"/>
    <s v="ENERES"/>
    <s v="NUEVO"/>
    <s v="ENERES"/>
    <s v="20/11/2025 11:12:45"/>
    <s v="2025-11-20 11:12:45"/>
    <n v="1128283557"/>
    <s v="ADRIANA JINETH GALINDO FORERO"/>
    <s v="3433839"/>
    <s v="3174277750"/>
    <s v="CR 74 CL 22 -47 (INTERIOR 202 )"/>
    <x v="0"/>
    <s v="052724002000470202"/>
    <s v="Medellín"/>
    <x v="1"/>
    <s v="Revisor Instal. Regadas Metrosur"/>
    <x v="0"/>
    <n v="7"/>
    <s v="2025-12-01 11:12:45"/>
    <s v="0 días 11:12"/>
    <s v="6 días 11:12"/>
    <x v="0"/>
    <s v="SIN DATO"/>
    <s v="SIN DATO"/>
    <s v="SIN DATO"/>
    <s v="ABIERTO"/>
    <n v="-75.595123310000005"/>
    <n v="6.2258626699999997"/>
    <s v="SUR-ENE"/>
    <s v="Metropolitana Sur"/>
  </r>
  <r>
    <s v="23595170"/>
    <s v="ENERES"/>
    <s v="NUEVO"/>
    <s v="ENERES"/>
    <s v="20/11/2025 11:13:14"/>
    <s v="2025-11-20 11:13:14"/>
    <n v="43686637"/>
    <s v="ADRIANA YANED TORO SEPULVEDA"/>
    <s v="SIN DATOS"/>
    <s v="3005207592"/>
    <s v="CL 139 SUR CR 52 -4 (INTERIOR 502 )"/>
    <x v="3"/>
    <s v="003519002000040502"/>
    <s v="Caldas"/>
    <x v="1"/>
    <s v="METROSUR Vin. Leg. Ref. Concentrada"/>
    <x v="0"/>
    <n v="7"/>
    <s v="2025-12-01 11:13:14"/>
    <s v="0 días 11:13"/>
    <s v="6 días 11:13"/>
    <x v="0"/>
    <s v="SIN DATO"/>
    <s v="SIN DATO"/>
    <s v="SIN DATO"/>
    <s v="ABIERTO"/>
    <n v="-75.636646999999996"/>
    <n v="6.0826659999999997"/>
    <s v="SUR-ENE"/>
    <s v="Metropolitana Sur"/>
  </r>
  <r>
    <s v="23595171"/>
    <s v="ENERES"/>
    <s v="NUEVO"/>
    <s v="ENEDOM"/>
    <s v="20/11/2025 11:13:37"/>
    <s v="2025-11-20 11:13:37"/>
    <n v="42781778"/>
    <s v="DURLEY RODRIGUEZ RESTREPO"/>
    <s v="3734780"/>
    <s v="3017914634"/>
    <s v="CL 35 CR 51 -4 (INTERIOR 101 )"/>
    <x v="2"/>
    <s v="073515001000040101"/>
    <s v="Itaguí"/>
    <x v="0"/>
    <s v="Habilitación Viviendas Metrosur"/>
    <x v="0"/>
    <n v="5"/>
    <s v="2025-11-27 11:13:37"/>
    <s v="0 días 11:13"/>
    <s v="4 días 11:13"/>
    <x v="0"/>
    <s v="SIN DATO"/>
    <s v="SIN DATO"/>
    <s v="SIN DATO"/>
    <s v="ABIERTO"/>
    <n v="-75.621526880000005"/>
    <n v="6.1674374299999997"/>
    <s v="SUR-ENE"/>
    <s v="Metropolitana Sur"/>
  </r>
  <r>
    <s v="23595174"/>
    <s v="ENERES"/>
    <s v="NUEVO"/>
    <s v="ENERES"/>
    <s v="20/11/2025 11:14:18"/>
    <s v="2025-11-20 11:14:18"/>
    <n v="42898574"/>
    <s v="BLANCA MARIELA DIOSA QUICENO"/>
    <s v="SIN DATOS"/>
    <s v="3127873927"/>
    <s v="CR 24 EE CL 39 A SUR -54 (INTERIOR 201 )"/>
    <x v="1"/>
    <s v="023224559100540201"/>
    <s v="Envigado"/>
    <x v="1"/>
    <s v="Revisor Instal. Regadas Metrosur"/>
    <x v="0"/>
    <n v="7"/>
    <s v="2025-12-01 11:14:18"/>
    <s v="0 días 11:14"/>
    <s v="6 días 11:14"/>
    <x v="0"/>
    <s v="SIN DATO"/>
    <s v="SIN DATO"/>
    <s v="SIN DATO"/>
    <s v="ABIERTO"/>
    <n v="-75.574168450000002"/>
    <n v="6.1485248700000001"/>
    <s v="SUR-ENE"/>
    <s v="Metropolitana Sur"/>
  </r>
  <r>
    <s v="23595177"/>
    <s v="ENERES"/>
    <s v="NUEVO"/>
    <s v="ENEDOM"/>
    <s v="20/11/2025 11:18:20"/>
    <s v="2025-11-20 11:18:20"/>
    <n v="70220020"/>
    <s v="JAVIER ALBERTO CASTRILLON"/>
    <s v="SIN DATOS"/>
    <s v="3011086793"/>
    <s v="RURAL_167041832000000201_VEREDA PAN DE AZUCAR"/>
    <x v="5"/>
    <s v="167041832000000201"/>
    <s v="Sabaneta"/>
    <x v="0"/>
    <s v="Habilitación Viviendas Metrosur"/>
    <x v="1"/>
    <n v="8"/>
    <s v="2025-12-02 11:18:20"/>
    <s v="0 días 11:18"/>
    <s v="7 días 11:18"/>
    <x v="0"/>
    <s v="SIN DATO"/>
    <s v="SIN DATO"/>
    <s v="SIN DATO"/>
    <s v="ABIERTO"/>
    <n v="-75.63061218"/>
    <n v="6.1389063300000002"/>
    <s v="SUR-ENE"/>
    <s v="Metropolitana Sur"/>
  </r>
  <r>
    <s v="23595179"/>
    <s v="ENEMRT"/>
    <s v="NUEVO"/>
    <s v="ENEMVI"/>
    <s v="20/11/2025 11:18:49"/>
    <s v="2025-11-20 11:18:49"/>
    <n v="1040745085"/>
    <s v="JESSICA PAOLA HERNANDEZ GAVIRIA"/>
    <s v="4898040"/>
    <s v="3107227722"/>
    <s v="RURAL_159051140000000201_MONACO-CARRILERA"/>
    <x v="4"/>
    <s v="159051140000000201"/>
    <s v="La Estrella"/>
    <x v="6"/>
    <s v="Mov Red Trans Dairo Gil"/>
    <x v="1"/>
    <n v="14"/>
    <s v="2025-12-11 11:18:49"/>
    <s v="0 días 11:18"/>
    <s v="13 días 11:18"/>
    <x v="0"/>
    <s v="SIN DATO"/>
    <s v="SIN DATO"/>
    <s v="SIN DATO"/>
    <s v="ABIERTO"/>
    <n v="-75.63339904"/>
    <n v="6.1402806400000003"/>
    <s v="SUR-ENE"/>
    <s v="Metropolitana Sur"/>
  </r>
  <r>
    <s v="23595182"/>
    <s v="ENENOR"/>
    <s v="CAMBI"/>
    <s v="ENENOR"/>
    <s v="20/11/2025 11:21:39"/>
    <s v="2025-11-20 11:21:39"/>
    <n v="71718019"/>
    <s v="WILTON VARGAS CAMPERO"/>
    <s v="6043223"/>
    <s v="3155645863"/>
    <s v="CR 50 C CL 61 -52"/>
    <x v="0"/>
    <s v="056520301000520000"/>
    <s v="Medellín"/>
    <x v="7"/>
    <s v="METROSUR Vin. Leg. Ref. Concentrada"/>
    <x v="0"/>
    <n v="7"/>
    <s v="2025-12-01 11:21:39"/>
    <s v="0 días 11:21"/>
    <s v="6 días 11:21"/>
    <x v="0"/>
    <s v="SIN DATO"/>
    <s v="SIN DATO"/>
    <s v="SIN DATO"/>
    <s v="ABIERTO"/>
    <n v="-75.563850579999993"/>
    <n v="6.2593720299999998"/>
    <s v="SUR-ENE"/>
    <s v="Metropolitana Sur"/>
  </r>
  <r>
    <s v="23595213"/>
    <s v="ENERES"/>
    <s v="NUEVO"/>
    <s v="ENEDOM"/>
    <s v="20/11/2025 11:33:05"/>
    <s v="2025-11-20 11:33:05"/>
    <n v="71791002"/>
    <s v="JONNY RICHARD MORALES MORALES"/>
    <s v="SIN DATOS"/>
    <s v="3117995908"/>
    <s v="CL 45 CR 10 A -23 (INTERIOR 101 )"/>
    <x v="0"/>
    <s v="054115000100230101"/>
    <s v="Medellín"/>
    <x v="0"/>
    <s v="Habilitación Viviendas Metrosur"/>
    <x v="0"/>
    <n v="5"/>
    <s v="2025-11-27 11:33:05"/>
    <s v="0 días 11:33"/>
    <s v="4 días 11:33"/>
    <x v="0"/>
    <s v="SIN DATO"/>
    <s v="SIN DATO"/>
    <s v="SIN DATO"/>
    <s v="ABIERTO"/>
    <n v="-75.54290211"/>
    <n v="6.2297539500000001"/>
    <s v="SUR-ENE"/>
    <s v="Metropolitana Sur"/>
  </r>
  <r>
    <s v="23595221"/>
    <s v="ENERES"/>
    <s v="NUEVO"/>
    <s v="ENERES"/>
    <s v="20/11/2025 11:37:08"/>
    <s v="2025-11-20 11:37:08"/>
    <n v="15450528"/>
    <s v="JUAN FERNANDO VELEZ OSORIO"/>
    <s v="SIN DATOS"/>
    <s v="3135981769"/>
    <s v="CL 136 SUR CR 48 -54 (INTERIOR 201 )"/>
    <x v="3"/>
    <s v="003416008000540201"/>
    <s v="Caldas"/>
    <x v="1"/>
    <s v="METROSUR Vin. Leg. Ref. Concentrada"/>
    <x v="0"/>
    <n v="7"/>
    <s v="2025-12-01 11:37:08"/>
    <s v="0 días 11:37"/>
    <s v="6 días 11:37"/>
    <x v="0"/>
    <s v="SIN DATO"/>
    <s v="SIN DATO"/>
    <s v="SIN DATO"/>
    <s v="ABIERTO"/>
    <n v="-75.634779769999994"/>
    <n v="6.0862563600000001"/>
    <s v="SUR-ENE"/>
    <s v="Metropolitana Sur"/>
  </r>
  <r>
    <s v="23595242"/>
    <s v="ENERES"/>
    <s v="NUEVO"/>
    <s v="ENEDOM"/>
    <s v="20/11/2025 11:46:31"/>
    <s v="2025-11-20 11:46:31"/>
    <n v="1128479533"/>
    <s v="JHON FERNANDO OROZCO MARTINEZ"/>
    <s v="SIN DATOS"/>
    <s v="3503752209"/>
    <s v="CL 57 C CR 23 -184 (INTERIOR 301 )"/>
    <x v="0"/>
    <s v="055217303001840301"/>
    <s v="Medellín"/>
    <x v="0"/>
    <s v="Habilitación Viviendas Metrosur"/>
    <x v="0"/>
    <n v="5"/>
    <s v="2025-11-27 11:46:31"/>
    <s v="0 días 11:46"/>
    <s v="4 días 11:46"/>
    <x v="0"/>
    <s v="SIN DATO"/>
    <s v="SIN DATO"/>
    <s v="SIN DATO"/>
    <s v="ABIERTO"/>
    <n v="-75.545536159999997"/>
    <n v="6.24877679"/>
    <s v="SUR-ENE"/>
    <s v="Metropolitana Sur"/>
  </r>
  <r>
    <s v="23595243"/>
    <s v="ENEMRT"/>
    <s v="NUEVO"/>
    <s v="ENEMVI"/>
    <s v="20/11/2025 11:46:32"/>
    <s v="2025-11-20 11:46:32"/>
    <n v="3424884"/>
    <s v="RAMON ALCIDES ACOSTA LAVERDE"/>
    <s v="SIN DATOS"/>
    <s v="3117263326"/>
    <s v="CL 62 AA CR 96 -120 (INTERIOR 1105 )"/>
    <x v="0"/>
    <s v="056912116001201105"/>
    <s v="Medellín"/>
    <x v="6"/>
    <s v="METR Mov Red Trans Anderson Castaño"/>
    <x v="0"/>
    <n v="9"/>
    <s v="2025-12-03 11:46:32"/>
    <s v="0 días 11:46"/>
    <s v="8 días 11:46"/>
    <x v="0"/>
    <s v="SIN DATO"/>
    <s v="SIN DATO"/>
    <s v="SIN DATO"/>
    <s v="ABIERTO"/>
    <n v="-75.607009210000001"/>
    <n v="6.2786223200000002"/>
    <s v="SUR-ENE"/>
    <s v="Metropolitana Sur"/>
  </r>
  <r>
    <s v="23595268"/>
    <s v="ENERES"/>
    <s v="NUEVO"/>
    <s v="ENEDOM"/>
    <s v="20/11/2025 12:02:52"/>
    <s v="2025-11-20 12:02:52"/>
    <n v="8103260"/>
    <s v="JONHATAN VALENCIA OROZCO"/>
    <s v="SIN DATOS"/>
    <s v="3017109763"/>
    <s v="CL 46 CR 29 -68 (INTERIOR 201 )"/>
    <x v="0"/>
    <s v="054216009000680201"/>
    <s v="Medellín"/>
    <x v="0"/>
    <s v="Habilitación Viviendas Metrosur"/>
    <x v="0"/>
    <n v="5"/>
    <s v="2025-11-27 12:02:52"/>
    <s v="0 días 12:02"/>
    <s v="4 días 12:02"/>
    <x v="0"/>
    <s v="SIN DATO"/>
    <s v="SIN DATO"/>
    <s v="SIN DATO"/>
    <s v="ABIERTO"/>
    <n v="-75.553870099999997"/>
    <n v="6.2383464000000002"/>
    <s v="SUR-ENE"/>
    <s v="Metropolitana Sur"/>
  </r>
  <r>
    <s v="23595269"/>
    <s v="ENECNX"/>
    <s v="NUEVO"/>
    <s v="ENECNX"/>
    <s v="20/11/2025 12:04:22"/>
    <s v="2025-11-20 12:04:22"/>
    <n v="900667001"/>
    <s v="IRAL TECHNOLOGY S.A.S."/>
    <s v="SIN DATOS"/>
    <s v="3207175025"/>
    <s v="CL 30 A CR 80 -73 (INTERIOR 5 )"/>
    <x v="0"/>
    <s v="053810100000730005"/>
    <s v="Medellín"/>
    <x v="8"/>
    <s v="Revisor Puntos de Conexión Metrosur"/>
    <x v="0"/>
    <n v="4"/>
    <s v="2025-11-26 12:04:22"/>
    <s v="0 días 12:04"/>
    <s v="3 días 12:04"/>
    <x v="0"/>
    <s v="SIN DATO"/>
    <s v="SIN DATO"/>
    <s v="SIN DATO"/>
    <s v="ABIERTO"/>
    <n v="-75.601429999999993"/>
    <n v="6.2318369999999996"/>
    <s v="SUR-ENE"/>
    <s v="Metropolitana Sur"/>
  </r>
  <r>
    <s v="23595273"/>
    <s v="ENERES"/>
    <s v="NUEVO"/>
    <s v="ENERES"/>
    <s v="20/11/2025 12:07:17"/>
    <s v="2025-11-20 12:07:17"/>
    <n v="15450528"/>
    <s v="JUAN FERNANDO VELEZ OSORIO"/>
    <s v="SIN DATOS"/>
    <s v="3135981769"/>
    <s v="CL 136 SUR CR 48 -54 (INTERIOR 202 )"/>
    <x v="3"/>
    <s v="003416008000540202"/>
    <s v="Caldas"/>
    <x v="1"/>
    <s v="METROSUR Vin. Leg. Ref. Concentrada"/>
    <x v="0"/>
    <n v="7"/>
    <s v="2025-12-01 12:07:17"/>
    <s v="0 días 12:07"/>
    <s v="6 días 12:07"/>
    <x v="0"/>
    <s v="SIN DATO"/>
    <s v="SIN DATO"/>
    <s v="SIN DATO"/>
    <s v="ABIERTO"/>
    <n v="-75.634779769999994"/>
    <n v="6.0862563600000001"/>
    <s v="SUR-ENE"/>
    <s v="Metropolitana Sur"/>
  </r>
  <r>
    <s v="23595277"/>
    <s v="ENECNX"/>
    <s v="NUEVO"/>
    <s v="ENECNX"/>
    <s v="20/11/2025 12:12:15"/>
    <s v="2025-11-20 12:12:15"/>
    <n v="1214725872"/>
    <s v="MARIO ALEJANDRO PINEDA ZULETA"/>
    <s v="SIN DATOS"/>
    <s v="3508575159"/>
    <s v="CR 42 CL 16 B SUR -20"/>
    <x v="0"/>
    <s v="041422006200200000"/>
    <s v="Medellín"/>
    <x v="8"/>
    <s v="Revisor Puntos de Conexión Metrosur"/>
    <x v="0"/>
    <n v="4"/>
    <s v="2025-11-26 12:12:15"/>
    <s v="0 días 12:12"/>
    <s v="3 días 12:12"/>
    <x v="0"/>
    <s v="SIN DATO"/>
    <s v="SIN DATO"/>
    <s v="SIN DATO"/>
    <s v="ABIERTO"/>
    <n v="-75.57630863"/>
    <n v="6.1882346799999999"/>
    <s v="SUR-ENE"/>
    <s v="Metropolitana Sur"/>
  </r>
  <r>
    <s v="23595279"/>
    <s v="ENERES"/>
    <s v="NUEVO"/>
    <s v="ENERES"/>
    <s v="20/11/2025 12:14:15"/>
    <s v="2025-11-20 12:14:15"/>
    <n v="1047399689"/>
    <s v="JHON ANDERSON ESTEBAN ANAYA"/>
    <s v="SIN DATOS"/>
    <s v="3215638249"/>
    <s v="CL 49 B CR 99 EE -221 (INTERIOR 327 )"/>
    <x v="0"/>
    <s v="054919209552210327"/>
    <s v="Medellín"/>
    <x v="1"/>
    <s v="Revisor Instal. Regadas Metrosur"/>
    <x v="0"/>
    <n v="7"/>
    <s v="2025-12-01 12:14:15"/>
    <s v="0 días 12:14"/>
    <s v="6 días 12:14"/>
    <x v="0"/>
    <s v="SIN DATO"/>
    <s v="SIN DATO"/>
    <s v="SIN DATO"/>
    <s v="ABIERTO"/>
    <n v="-75.612498930000001"/>
    <n v="6.2670641299999996"/>
    <s v="SUR-ENE"/>
    <s v="Metropolitana Sur"/>
  </r>
  <r>
    <s v="23595289"/>
    <s v="ENERES"/>
    <s v="NUEVO"/>
    <s v="ENERES"/>
    <s v="20/11/2025 12:26:00"/>
    <s v="2025-11-20 12:26:00"/>
    <n v="70516157"/>
    <s v="MAURICIO ARMANDO VELEZ GALLEGO"/>
    <s v="4977452"/>
    <s v="3043508907"/>
    <s v="CR 50 CL 134 A SUR -17 (INTERIOR 302 )"/>
    <x v="3"/>
    <s v="003520004100170302"/>
    <s v="Caldas"/>
    <x v="1"/>
    <s v="Revisor Instal. Regadas Metrosur"/>
    <x v="0"/>
    <n v="7"/>
    <s v="2025-12-01 12:26:00"/>
    <s v="0 días 12:26"/>
    <s v="6 días 12:26"/>
    <x v="0"/>
    <s v="SIN DATO"/>
    <s v="SIN DATO"/>
    <s v="SIN DATO"/>
    <s v="ABIERTO"/>
    <n v="-75.635908310000005"/>
    <n v="6.0874888900000004"/>
    <s v="SUR-ENE"/>
    <s v="Metropolitana Sur"/>
  </r>
  <r>
    <s v="23595308"/>
    <s v="ENEMRT"/>
    <s v="NUEVO"/>
    <s v="ENEMVI"/>
    <s v="20/11/2025 12:46:15"/>
    <s v="2025-11-20 12:46:15"/>
    <n v="1128415776"/>
    <s v="LEDYS YAHETH SUAREZ CASTAÑEDA"/>
    <s v="4932222"/>
    <s v="3105456972"/>
    <s v="CR 114 CL 39 AA -0 (INTERIOR 201 )"/>
    <x v="0"/>
    <s v="083124009110000201"/>
    <s v="Medellín"/>
    <x v="6"/>
    <s v="METR Mov Red Trans Anderson Castaño"/>
    <x v="0"/>
    <n v="9"/>
    <s v="2025-12-03 12:46:15"/>
    <s v="0 días 12:46"/>
    <s v="8 días 12:46"/>
    <x v="0"/>
    <s v="SIN DATO"/>
    <s v="SIN DATO"/>
    <s v="SIN DATO"/>
    <s v="ABIERTO"/>
    <n v="-75.626514"/>
    <n v="6.2499200000000004"/>
    <s v="SUR-ENE"/>
    <s v="Metropolitana Sur"/>
  </r>
  <r>
    <s v="23595318"/>
    <s v="ENECNX"/>
    <s v="NUEVO"/>
    <s v="ENECNX"/>
    <s v="20/11/2025 12:51:34"/>
    <s v="2025-11-20 12:51:34"/>
    <n v="16368503"/>
    <s v="ALEXANDER LOZANO"/>
    <s v="3222120"/>
    <s v="3216367553"/>
    <s v="CL 16 A SUR CR 9 E -50 (INTERIOR 114 )"/>
    <x v="0"/>
    <s v="041016109500500114"/>
    <s v="Medellín"/>
    <x v="8"/>
    <s v="Revisor Puntos de Conexión Metrosur"/>
    <x v="0"/>
    <n v="4"/>
    <s v="2025-11-26 12:51:34"/>
    <s v="0 días 12:51"/>
    <s v="3 días 12:51"/>
    <x v="0"/>
    <s v="SIN DATO"/>
    <s v="SIN DATO"/>
    <s v="SIN DATO"/>
    <s v="ABIERTO"/>
    <n v="-75.548160909999993"/>
    <n v="6.1865163000000001"/>
    <s v="SUR-ENE"/>
    <s v="Metropolitana Sur"/>
  </r>
  <r>
    <s v="23595321"/>
    <s v="ENERES"/>
    <s v="NUEVO"/>
    <s v="ENERES"/>
    <s v="20/11/2025 12:53:14"/>
    <s v="2025-11-20 12:53:14"/>
    <n v="43250593"/>
    <s v="MARILUZ AGUDELO PEREZ"/>
    <s v="2225639"/>
    <s v="3122429460"/>
    <s v="CR 25 AA CL 56 EE -27 (INTERIOR 302 )"/>
    <x v="0"/>
    <s v="055225116550270302"/>
    <s v="Medellín"/>
    <x v="1"/>
    <s v="Revisor Instal. Regadas Metrosur"/>
    <x v="0"/>
    <n v="7"/>
    <s v="2025-12-01 12:53:14"/>
    <s v="0 días 12:53"/>
    <s v="6 días 12:53"/>
    <x v="0"/>
    <s v="SIN DATO"/>
    <s v="SIN DATO"/>
    <s v="SIN DATO"/>
    <s v="ABIERTO"/>
    <n v="-75.543591269999993"/>
    <n v="6.2462377699999996"/>
    <s v="SUR-ENE"/>
    <s v="Metropolitana Sur"/>
  </r>
  <r>
    <s v="23595328"/>
    <s v="ENEPRE"/>
    <s v="NUEVO"/>
    <s v="ENEPRE"/>
    <s v="20/11/2025 13:03:17"/>
    <s v="2025-11-20 13:03:18"/>
    <n v="1017142179"/>
    <s v="DEYSY CAROLINA MORENO ORTIZ"/>
    <s v="4769638"/>
    <s v="3004067155"/>
    <s v="CR 83 C CL 21 -15 (INTERIOR 301 )"/>
    <x v="0"/>
    <s v="052823301000150301"/>
    <s v="Medellín"/>
    <x v="3"/>
    <s v="Energía Prepago Metrosur"/>
    <x v="0"/>
    <n v="11"/>
    <s v="2025-12-05 13:03:18"/>
    <s v="0 días 13:03"/>
    <s v="10 días 13:03"/>
    <x v="0"/>
    <s v="SIN DATO"/>
    <s v="SIN DATO"/>
    <s v="SIN DATO"/>
    <s v="ABIERTO"/>
    <n v="-75.60671533"/>
    <n v="6.22674255"/>
    <s v="SUR-ENE"/>
    <s v="Metropolitana Sur"/>
  </r>
  <r>
    <s v="23595332"/>
    <s v="ENERES"/>
    <s v="NUEVO"/>
    <s v="ENERES"/>
    <s v="20/11/2025 13:07:24"/>
    <s v="2025-11-20 13:07:24"/>
    <n v="901244087"/>
    <s v="CONSTRUCTORA ALTOS DEL BOSQUE S.A.S."/>
    <s v="2593823"/>
    <s v="3104139340"/>
    <s v="CL 87 A SUR CR 56 C -72 (INTERIOR 2007 BQ 1 )"/>
    <x v="4"/>
    <s v="038517106300722007"/>
    <s v="La Estrella"/>
    <x v="1"/>
    <s v="Revisor Inst. Particulares Metrosur"/>
    <x v="0"/>
    <n v="7"/>
    <s v="2025-12-01 13:07:24"/>
    <s v="0 días 13:07"/>
    <s v="6 días 13:07"/>
    <x v="0"/>
    <s v="SIN DATO"/>
    <s v="SIN DATO"/>
    <s v="SIN DATO"/>
    <s v="ABIERTO"/>
    <n v="-75.641370280000004"/>
    <n v="6.1506908300000003"/>
    <s v="SUR-ENE"/>
    <s v="Metropolitana Sur"/>
  </r>
  <r>
    <s v="23595336"/>
    <s v="ENERES"/>
    <s v="NUEVO"/>
    <s v="ENERES"/>
    <s v="20/11/2025 13:10:56"/>
    <s v="2025-11-20 13:10:56"/>
    <n v="901244087"/>
    <s v="CONSTRUCTORA ALTOS DEL BOSQUE S.A.S."/>
    <s v="2593823"/>
    <s v="3104139340"/>
    <s v="CL 87 A SUR CR 56 C -72 (INTERIOR 1507 BQ 1 )"/>
    <x v="4"/>
    <s v="038517106300721507"/>
    <s v="La Estrella"/>
    <x v="1"/>
    <s v="Revisor Inst. Particulares Metrosur"/>
    <x v="0"/>
    <n v="7"/>
    <s v="2025-12-01 13:10:56"/>
    <s v="0 días 13:10"/>
    <s v="6 días 13:10"/>
    <x v="0"/>
    <s v="SIN DATO"/>
    <s v="SIN DATO"/>
    <s v="SIN DATO"/>
    <s v="ABIERTO"/>
    <n v="-75.641370280000004"/>
    <n v="6.1506908300000003"/>
    <s v="SUR-ENE"/>
    <s v="Metropolitana Sur"/>
  </r>
  <r>
    <s v="23595337"/>
    <s v="ENERES"/>
    <s v="NUEVO"/>
    <s v="ENERES"/>
    <s v="20/11/2025 13:10:57"/>
    <s v="2025-11-20 13:10:57"/>
    <n v="901244087"/>
    <s v="CONSTRUCTORA ALTOS DEL BOSQUE S.A.S."/>
    <s v="2593823"/>
    <s v="3104139340"/>
    <s v="CL 87 A SUR CR 56 C -72 (INTERIOR 2005 BQ 1 )"/>
    <x v="4"/>
    <s v="038517106300722005"/>
    <s v="La Estrella"/>
    <x v="1"/>
    <s v="Revisor Inst. Particulares Metrosur"/>
    <x v="0"/>
    <n v="7"/>
    <s v="2025-12-01 13:10:57"/>
    <s v="0 días 13:10"/>
    <s v="6 días 13:10"/>
    <x v="0"/>
    <s v="SIN DATO"/>
    <s v="SIN DATO"/>
    <s v="SIN DATO"/>
    <s v="ABIERTO"/>
    <n v="-75.641370280000004"/>
    <n v="6.1506908300000003"/>
    <s v="SUR-ENE"/>
    <s v="Metropolitana Sur"/>
  </r>
  <r>
    <s v="23595338"/>
    <s v="ENERES"/>
    <s v="NUEVO"/>
    <s v="ENERES"/>
    <s v="20/11/2025 13:10:59"/>
    <s v="2025-11-20 13:10:59"/>
    <n v="901244087"/>
    <s v="CONSTRUCTORA ALTOS DEL BOSQUE S.A.S."/>
    <s v="2593823"/>
    <s v="3104139340"/>
    <s v="CL 87 A SUR CR 56 C -72 (INTERIOR 1008 BQ 1 )"/>
    <x v="4"/>
    <s v="038517106300721008"/>
    <s v="La Estrella"/>
    <x v="1"/>
    <s v="Revisor Inst. Particulares Metrosur"/>
    <x v="0"/>
    <n v="7"/>
    <s v="2025-12-01 13:10:59"/>
    <s v="0 días 13:10"/>
    <s v="6 días 13:10"/>
    <x v="0"/>
    <s v="SIN DATO"/>
    <s v="SIN DATO"/>
    <s v="SIN DATO"/>
    <s v="ABIERTO"/>
    <n v="-75.641370280000004"/>
    <n v="6.1506908300000003"/>
    <s v="SUR-ENE"/>
    <s v="Metropolitana Sur"/>
  </r>
  <r>
    <s v="23595340"/>
    <s v="ENERES"/>
    <s v="NUEVO"/>
    <s v="ENERES"/>
    <s v="20/11/2025 13:11:41"/>
    <s v="2025-11-20 13:11:41"/>
    <n v="901244087"/>
    <s v="CONSTRUCTORA ALTOS DEL BOSQUE S.A.S."/>
    <s v="2593823"/>
    <s v="3104139340"/>
    <s v="CL 87 A SUR CR 56 C -72 (INTERIOR 2004 BQ 1 )"/>
    <x v="4"/>
    <s v="038517106300722004"/>
    <s v="La Estrella"/>
    <x v="1"/>
    <s v="Revisor Inst. Particulares Metrosur"/>
    <x v="0"/>
    <n v="7"/>
    <s v="2025-12-01 13:11:41"/>
    <s v="0 días 13:11"/>
    <s v="6 días 13:11"/>
    <x v="0"/>
    <s v="SIN DATO"/>
    <s v="SIN DATO"/>
    <s v="SIN DATO"/>
    <s v="ABIERTO"/>
    <n v="-75.641370280000004"/>
    <n v="6.1506908300000003"/>
    <s v="SUR-ENE"/>
    <s v="Metropolitana Sur"/>
  </r>
  <r>
    <s v="23595342"/>
    <s v="ENERES"/>
    <s v="NUEVO"/>
    <s v="ENERES"/>
    <s v="20/11/2025 13:12:44"/>
    <s v="2025-11-20 13:12:44"/>
    <n v="901244087"/>
    <s v="CONSTRUCTORA ALTOS DEL BOSQUE S.A.S."/>
    <s v="2593823"/>
    <s v="3104139340"/>
    <s v="CL 87 A SUR CR 56 C -72 (INTERIOR 1805 BQ 1 )"/>
    <x v="4"/>
    <s v="038517106300721805"/>
    <s v="La Estrella"/>
    <x v="1"/>
    <s v="Revisor Inst. Particulares Metrosur"/>
    <x v="0"/>
    <n v="7"/>
    <s v="2025-12-01 13:12:44"/>
    <s v="0 días 13:12"/>
    <s v="6 días 13:12"/>
    <x v="0"/>
    <s v="SIN DATO"/>
    <s v="SIN DATO"/>
    <s v="SIN DATO"/>
    <s v="ABIERTO"/>
    <n v="-75.641370280000004"/>
    <n v="6.1506908300000003"/>
    <s v="SUR-ENE"/>
    <s v="Metropolitana Sur"/>
  </r>
  <r>
    <s v="23595344"/>
    <s v="ENERES"/>
    <s v="NUEVO"/>
    <s v="ENERES"/>
    <s v="20/11/2025 13:14:39"/>
    <s v="2025-11-20 13:14:39"/>
    <n v="901244087"/>
    <s v="CONSTRUCTORA ALTOS DEL BOSQUE S.A.S."/>
    <s v="2593823"/>
    <s v="3104139340"/>
    <s v="CL 87 A SUR CR 56 C -72 (INTERIOR 808 BQ 1 )"/>
    <x v="4"/>
    <s v="038517106300720808"/>
    <s v="La Estrella"/>
    <x v="1"/>
    <s v="Revisor Inst. Particulares Metrosur"/>
    <x v="0"/>
    <n v="7"/>
    <s v="2025-12-01 13:14:39"/>
    <s v="0 días 13:14"/>
    <s v="6 días 13:14"/>
    <x v="0"/>
    <s v="SIN DATO"/>
    <s v="SIN DATO"/>
    <s v="SIN DATO"/>
    <s v="ABIERTO"/>
    <n v="-75.641370280000004"/>
    <n v="6.1506908300000003"/>
    <s v="SUR-ENE"/>
    <s v="Metropolitana Sur"/>
  </r>
  <r>
    <s v="23595345"/>
    <s v="ENERES"/>
    <s v="NUEVO"/>
    <s v="ENERES"/>
    <s v="20/11/2025 13:15:03"/>
    <s v="2025-11-20 13:15:03"/>
    <n v="901244087"/>
    <s v="CONSTRUCTORA ALTOS DEL BOSQUE S.A.S."/>
    <s v="2593823"/>
    <s v="3104139340"/>
    <s v="CL 87 A SUR CR 56 C -72 (INTERIOR 607 BQ 1 )"/>
    <x v="4"/>
    <s v="038517106300720607"/>
    <s v="La Estrella"/>
    <x v="1"/>
    <s v="Revisor Inst. Particulares Metrosur"/>
    <x v="0"/>
    <n v="7"/>
    <s v="2025-12-01 13:15:03"/>
    <s v="0 días 13:15"/>
    <s v="6 días 13:15"/>
    <x v="0"/>
    <s v="SIN DATO"/>
    <s v="SIN DATO"/>
    <s v="SIN DATO"/>
    <s v="ABIERTO"/>
    <n v="-75.641370280000004"/>
    <n v="6.1506908300000003"/>
    <s v="SUR-ENE"/>
    <s v="Metropolitana Sur"/>
  </r>
  <r>
    <s v="23595346"/>
    <s v="ENERES"/>
    <s v="NUEVO"/>
    <s v="ENEDOM"/>
    <s v="20/11/2025 13:15:36"/>
    <s v="2025-11-20 13:15:36"/>
    <n v="34985249"/>
    <s v="NACIRA TORREGLOSA DIAZ"/>
    <s v="SIN DATOS"/>
    <s v="3104519146"/>
    <s v="RURAL_163007734700000240_163007734700000240"/>
    <x v="2"/>
    <s v="163007734700000240"/>
    <s v="Itaguí"/>
    <x v="0"/>
    <s v="Habilitación Viviendas Metrosur"/>
    <x v="1"/>
    <n v="8"/>
    <s v="2025-12-02 13:15:36"/>
    <s v="0 días 13:15"/>
    <s v="7 días 13:15"/>
    <x v="0"/>
    <s v="SIN DATO"/>
    <s v="SIN DATO"/>
    <s v="SIN DATO"/>
    <s v="ABIERTO"/>
    <n v="-75.606993849999995"/>
    <n v="6.1954807599999997"/>
    <s v="SUR-ENE"/>
    <s v="Metropolitana Sur"/>
  </r>
  <r>
    <s v="23595347"/>
    <s v="ENECNX"/>
    <s v="NUEVO"/>
    <s v="ENECNX"/>
    <s v="20/11/2025 13:16:36"/>
    <s v="2025-11-20 13:16:36"/>
    <n v="98709451"/>
    <s v="JAMES HINCAPIE"/>
    <s v="6044444"/>
    <s v="3217757424"/>
    <s v="CR 40 CL 52 -51"/>
    <x v="0"/>
    <s v="055420002000510000"/>
    <s v="Medellín"/>
    <x v="8"/>
    <s v="Revisor Puntos de Conexión Metrosur"/>
    <x v="0"/>
    <n v="4"/>
    <s v="2025-11-26 13:16:36"/>
    <s v="0 días 13:16"/>
    <s v="3 días 13:16"/>
    <x v="0"/>
    <s v="SIN DATO"/>
    <s v="SIN DATO"/>
    <s v="SIN DATO"/>
    <s v="ABIERTO"/>
    <n v="-75.559600000000003"/>
    <n v="6.2481840000000002"/>
    <s v="SUR-ENE"/>
    <s v="Metropolitana Sur"/>
  </r>
  <r>
    <s v="23595350"/>
    <s v="ENERES"/>
    <s v="NUEVO"/>
    <s v="ENERES"/>
    <s v="20/11/2025 13:17:31"/>
    <s v="2025-11-20 13:17:31"/>
    <n v="901244087"/>
    <s v="CONSTRUCTORA ALTOS DEL BOSQUE S.A.S."/>
    <s v="2593823"/>
    <s v="3104139340"/>
    <s v="CL 87 A SUR CR 56 C -72 (INTERIOR 408 BQ 1 )"/>
    <x v="4"/>
    <s v="038517106300720408"/>
    <s v="La Estrella"/>
    <x v="1"/>
    <s v="Revisor Inst. Particulares Metrosur"/>
    <x v="0"/>
    <n v="7"/>
    <s v="2025-12-01 13:17:31"/>
    <s v="0 días 13:17"/>
    <s v="6 días 13:17"/>
    <x v="0"/>
    <s v="SIN DATO"/>
    <s v="SIN DATO"/>
    <s v="SIN DATO"/>
    <s v="ABIERTO"/>
    <n v="-75.641370280000004"/>
    <n v="6.1506908300000003"/>
    <s v="SUR-ENE"/>
    <s v="Metropolitana Sur"/>
  </r>
  <r>
    <s v="23595360"/>
    <s v="ENERES"/>
    <s v="NUEVO"/>
    <s v="ENERES"/>
    <s v="20/11/2025 13:25:48"/>
    <s v="2025-11-20 13:25:48"/>
    <n v="43781255"/>
    <s v="OMAIRA DEL SOCORRO AGUDELO HIGUITA"/>
    <s v="SIN DATOS"/>
    <s v="3186285841"/>
    <s v="CL 63 CR 18 C -70 (INTERIOR 330 )"/>
    <x v="0"/>
    <s v="056113008300700330"/>
    <s v="Medellín"/>
    <x v="1"/>
    <s v="Revisor Instal. Regadas Metrosur"/>
    <x v="0"/>
    <n v="7"/>
    <s v="2025-12-01 13:25:48"/>
    <s v="0 días 13:25"/>
    <s v="6 días 13:25"/>
    <x v="0"/>
    <s v="SIN DATO"/>
    <s v="SIN DATO"/>
    <s v="SIN DATO"/>
    <s v="ABIERTO"/>
    <n v="-75.541076000000004"/>
    <n v="6.2545859999999998"/>
    <s v="SUR-ENE"/>
    <s v="Metropolitana Sur"/>
  </r>
  <r>
    <s v="23595390"/>
    <s v="ENECNX"/>
    <s v="NUEVO"/>
    <s v="ENECNX"/>
    <s v="20/11/2025 13:44:41"/>
    <s v="2025-11-20 13:44:41"/>
    <n v="71627481"/>
    <s v="RUBEN DARIO POSADA GALLEGO"/>
    <s v="SIN DATOS"/>
    <s v="3244617829"/>
    <s v="CL 75 SUR CR 54 A -179"/>
    <x v="4"/>
    <s v="037515004101790000"/>
    <s v="La Estrella"/>
    <x v="8"/>
    <s v="Revisor Puntos de Conexión Metrosur"/>
    <x v="0"/>
    <n v="4"/>
    <s v="2025-11-26 13:44:41"/>
    <s v="0 días 13:44"/>
    <s v="3 días 13:44"/>
    <x v="0"/>
    <s v="SIN DATO"/>
    <s v="SIN DATO"/>
    <s v="SIN DATO"/>
    <s v="ABIERTO"/>
    <n v="-75.637612950000005"/>
    <n v="6.1638231000000001"/>
    <s v="SUR-ENE"/>
    <s v="Metropolitana Sur"/>
  </r>
  <r>
    <s v="23595407"/>
    <s v="ENECNX"/>
    <s v="NUEVO"/>
    <s v="ENECNX"/>
    <s v="20/11/2025 13:52:39"/>
    <s v="2025-11-20 13:52:39"/>
    <n v="10284305"/>
    <s v="RUBEN DIAZ"/>
    <s v="SIN DATOS"/>
    <s v="3214779690"/>
    <s v="CR 33 CL 28 -10 (INTERIOR 405 )"/>
    <x v="0"/>
    <s v="052323008000100405"/>
    <s v="Medellín"/>
    <x v="8"/>
    <s v="Revisor Puntos de Conexión Metrosur"/>
    <x v="0"/>
    <n v="4"/>
    <s v="2025-11-26 13:52:39"/>
    <s v="0 días 13:52"/>
    <s v="3 días 13:52"/>
    <x v="0"/>
    <s v="SIN DATO"/>
    <s v="SIN DATO"/>
    <s v="SIN DATO"/>
    <s v="ABIERTO"/>
    <n v="-75.561064000000002"/>
    <n v="6.226502"/>
    <s v="SUR-ENE"/>
    <s v="Metropolitana Sur"/>
  </r>
  <r>
    <s v="23595431"/>
    <s v="ENERES"/>
    <s v="NUEVO"/>
    <s v="ENERES"/>
    <s v="20/11/2025 13:58:08"/>
    <s v="2025-11-20 13:58:08"/>
    <n v="15450528"/>
    <s v="JUAN FERNANDO VELEZ OSORIO"/>
    <s v="SIN DATOS"/>
    <s v="3135981769"/>
    <s v="CL 136 SUR CR 48 -54 (INTERIOR 301 )"/>
    <x v="3"/>
    <s v="003416008000540301"/>
    <s v="Caldas"/>
    <x v="1"/>
    <s v="METROSUR Vin. Leg. Ref. Concentrada"/>
    <x v="0"/>
    <n v="7"/>
    <s v="2025-12-01 13:58:08"/>
    <s v="0 días 13:58"/>
    <s v="6 días 13:58"/>
    <x v="0"/>
    <s v="SIN DATO"/>
    <s v="SIN DATO"/>
    <s v="SIN DATO"/>
    <s v="ABIERTO"/>
    <n v="-75.634779769999994"/>
    <n v="6.0862563600000001"/>
    <s v="SUR-ENE"/>
    <s v="Metropolitana Sur"/>
  </r>
  <r>
    <s v="23595433"/>
    <s v="ENERES"/>
    <s v="NUEVO"/>
    <s v="ENERES"/>
    <s v="20/11/2025 13:58:43"/>
    <s v="2025-11-20 13:58:43"/>
    <n v="15450528"/>
    <s v="JUAN FERNANDO VELEZ OSORIO"/>
    <s v="SIN DATOS"/>
    <s v="3135981769"/>
    <s v="CL 136 SUR CR 48 -54 (INTERIOR 302 )"/>
    <x v="3"/>
    <s v="003416008000540302"/>
    <s v="Caldas"/>
    <x v="1"/>
    <s v="METROSUR Vin. Leg. Ref. Concentrada"/>
    <x v="0"/>
    <n v="7"/>
    <s v="2025-12-01 13:58:43"/>
    <s v="0 días 13:58"/>
    <s v="6 días 13:58"/>
    <x v="0"/>
    <s v="SIN DATO"/>
    <s v="SIN DATO"/>
    <s v="SIN DATO"/>
    <s v="ABIERTO"/>
    <n v="-75.634779769999994"/>
    <n v="6.0862563600000001"/>
    <s v="SUR-ENE"/>
    <s v="Metropolitana Sur"/>
  </r>
  <r>
    <s v="23595440"/>
    <s v="ENERES"/>
    <s v="NUEVO"/>
    <s v="ENERES"/>
    <s v="20/11/2025 14:01:32"/>
    <s v="2025-11-20 14:01:32"/>
    <n v="21486882"/>
    <s v="MIRIAM DEL SOCORRO HENAO PIEDRAHITA"/>
    <s v="SIN DATOS"/>
    <s v="3117268685"/>
    <s v="RURAL_147014950000000001_147014950000000001"/>
    <x v="0"/>
    <s v="147014950000000001"/>
    <s v="Medellín"/>
    <x v="1"/>
    <s v="Revisor Instal. Regadas Metrosur"/>
    <x v="1"/>
    <n v="10"/>
    <s v="2025-12-04 14:01:32"/>
    <s v="0 días 14:01"/>
    <s v="9 días 14:01"/>
    <x v="0"/>
    <s v="SIN DATO"/>
    <s v="SIN DATO"/>
    <s v="SIN DATO"/>
    <s v="ABIERTO"/>
    <n v="-75.650988999999996"/>
    <n v="6.2775230000000004"/>
    <s v="SUR-ENE"/>
    <s v="Metropolitana Sur"/>
  </r>
  <r>
    <s v="23595449"/>
    <s v="ENERES"/>
    <s v="NUEVO"/>
    <s v="ENEDOM"/>
    <s v="20/11/2025 14:03:37"/>
    <s v="2025-11-20 14:03:37"/>
    <n v="98635608"/>
    <s v="DUBAN ALEXANDER MESA LOAIZA"/>
    <s v="SIN DATOS"/>
    <s v="3137011809"/>
    <s v="CR 51 A CL 46 -77 (INTERIOR 101 )"/>
    <x v="2"/>
    <s v="074521106000770101"/>
    <s v="Itaguí"/>
    <x v="0"/>
    <s v="Habilitación Viviendas Metrosur"/>
    <x v="0"/>
    <n v="5"/>
    <s v="2025-11-27 14:03:37"/>
    <s v="0 días 14:03"/>
    <s v="4 días 14:03"/>
    <x v="0"/>
    <s v="SIN DATO"/>
    <s v="SIN DATO"/>
    <s v="SIN DATO"/>
    <s v="ABIERTO"/>
    <n v="-75.612204980000001"/>
    <n v="6.1720251800000003"/>
    <s v="SUR-ENE"/>
    <s v="Metropolitana Sur"/>
  </r>
  <r>
    <s v="23595455"/>
    <s v="ENERES"/>
    <s v="NUEVO"/>
    <s v="ENEDOM"/>
    <s v="20/11/2025 14:06:27"/>
    <s v="2025-11-20 14:06:27"/>
    <n v="43830914"/>
    <s v="MARTHA CECILIA OSORIO CARMONA"/>
    <s v="SIN DATOS"/>
    <s v="3235939123"/>
    <s v="RURAL_163015365000000000"/>
    <x v="2"/>
    <s v="163015365000000000"/>
    <s v="Itaguí"/>
    <x v="0"/>
    <s v="Habilitación Viviendas Metrosur"/>
    <x v="1"/>
    <n v="8"/>
    <s v="2025-12-02 14:06:27"/>
    <s v="0 días 14:06"/>
    <s v="7 días 14:06"/>
    <x v="0"/>
    <s v="SIN DATO"/>
    <s v="SIN DATO"/>
    <s v="SIN DATO"/>
    <s v="ABIERTO"/>
    <n v="-75.614379119999995"/>
    <n v="6.1857919900000002"/>
    <s v="SUR-ENE"/>
    <s v="Metropolitana Sur"/>
  </r>
  <r>
    <s v="23595456"/>
    <s v="ENERES"/>
    <s v="NUEVO"/>
    <s v="ENEDOM"/>
    <s v="20/11/2025 14:06:56"/>
    <s v="2025-11-20 14:06:56"/>
    <n v="98635608"/>
    <s v="DUBAN ALEXANDER MESA LOAIZA"/>
    <s v="SIN DATOS"/>
    <s v="3137011809"/>
    <s v="CR 51 A CL 46 -77 (INTERIOR 102 )"/>
    <x v="2"/>
    <s v="074521106000770102"/>
    <s v="Itaguí"/>
    <x v="0"/>
    <s v="Habilitación Viviendas Metrosur"/>
    <x v="0"/>
    <n v="5"/>
    <s v="2025-11-27 14:06:56"/>
    <s v="0 días 14:06"/>
    <s v="4 días 14:06"/>
    <x v="0"/>
    <s v="SIN DATO"/>
    <s v="SIN DATO"/>
    <s v="SIN DATO"/>
    <s v="ABIERTO"/>
    <n v="-75.612204980000001"/>
    <n v="6.1720251800000003"/>
    <s v="SUR-ENE"/>
    <s v="Metropolitana Sur"/>
  </r>
  <r>
    <s v="23595466"/>
    <s v="ENECNX"/>
    <s v="NUEVO"/>
    <s v="ENECNX"/>
    <s v="20/11/2025 14:16:34"/>
    <s v="2025-11-20 14:16:34"/>
    <n v="98524958"/>
    <s v="JOHN MARIO ARANGO OCAMPO"/>
    <s v="3294635"/>
    <s v="3218008176"/>
    <s v="CL 40 A SUR CR 67 -68"/>
    <x v="0"/>
    <s v="044610107000680000"/>
    <s v="Medellín"/>
    <x v="8"/>
    <s v="Revisor Puntos de Conexión Metrosur"/>
    <x v="0"/>
    <n v="4"/>
    <s v="2025-11-26 14:16:34"/>
    <s v="0 días 14:16"/>
    <s v="3 días 14:16"/>
    <x v="0"/>
    <s v="SIN DATO"/>
    <s v="SIN DATO"/>
    <s v="SIN DATO"/>
    <s v="ABIERTO"/>
    <n v="-75.649053820000006"/>
    <n v="6.1850273500000004"/>
    <s v="SUR-ENE"/>
    <s v="Metropolitana Sur"/>
  </r>
  <r>
    <s v="23595470"/>
    <s v="ENERES"/>
    <s v="NUEVO"/>
    <s v="ENEDOM"/>
    <s v="20/11/2025 14:19:47"/>
    <s v="2025-11-20 14:19:47"/>
    <n v="1085165184"/>
    <s v="EILER OSPINO QUINTERO"/>
    <s v="SIN DATOS"/>
    <s v="3213529836"/>
    <s v="RURAL_163015373000000000_RURAL ITAGUI EL PROGRESO"/>
    <x v="2"/>
    <s v="163015373000000000"/>
    <s v="Itaguí"/>
    <x v="0"/>
    <s v="Habilitación Viviendas Metrosur"/>
    <x v="1"/>
    <n v="8"/>
    <s v="2025-12-02 14:19:47"/>
    <s v="0 días 14:19"/>
    <s v="7 días 14:19"/>
    <x v="0"/>
    <s v="SIN DATO"/>
    <s v="SIN DATO"/>
    <s v="SIN DATO"/>
    <s v="ABIERTO"/>
    <n v="-75.614293610000004"/>
    <n v="6.1857372799999997"/>
    <s v="SUR-ENE"/>
    <s v="Metropolitana Sur"/>
  </r>
  <r>
    <s v="23595472"/>
    <s v="ENERES"/>
    <s v="NUEVO"/>
    <s v="ENEDOM"/>
    <s v="20/11/2025 14:20:43"/>
    <s v="2025-11-20 14:20:43"/>
    <n v="1085165184"/>
    <s v="EILER OSPINO QUINTERO"/>
    <s v="SIN DATOS"/>
    <s v="3213529836"/>
    <s v="RURAL_163015373000000101"/>
    <x v="2"/>
    <s v="163015373000000101"/>
    <s v="Itaguí"/>
    <x v="0"/>
    <s v="Habilitación Viviendas Metrosur"/>
    <x v="1"/>
    <n v="8"/>
    <s v="2025-12-02 14:20:43"/>
    <s v="0 días 14:20"/>
    <s v="7 días 14:20"/>
    <x v="0"/>
    <s v="SIN DATO"/>
    <s v="SIN DATO"/>
    <s v="SIN DATO"/>
    <s v="ABIERTO"/>
    <n v="-75.614291530000003"/>
    <n v="6.18573796"/>
    <s v="SUR-ENE"/>
    <s v="Metropolitana Sur"/>
  </r>
  <r>
    <s v="23595474"/>
    <s v="ENERES"/>
    <s v="NUEVO"/>
    <s v="ENEDOM"/>
    <s v="20/11/2025 14:21:56"/>
    <s v="2025-11-20 14:21:56"/>
    <n v="1085165184"/>
    <s v="EILER OSPINO QUINTERO"/>
    <s v="SIN DATOS"/>
    <s v="3213529836"/>
    <s v="RURAL_163015373000000201_RURAL ITAGUI EL PROGRESO"/>
    <x v="2"/>
    <s v="163015373000000201"/>
    <s v="Itaguí"/>
    <x v="0"/>
    <s v="Habilitación Viviendas Metrosur"/>
    <x v="1"/>
    <n v="8"/>
    <s v="2025-12-02 14:21:56"/>
    <s v="0 días 14:21"/>
    <s v="7 días 14:21"/>
    <x v="0"/>
    <s v="SIN DATO"/>
    <s v="SIN DATO"/>
    <s v="SIN DATO"/>
    <s v="ABIERTO"/>
    <n v="-75.614291530000003"/>
    <n v="6.18573796"/>
    <s v="SUR-ENE"/>
    <s v="Metropolitana Sur"/>
  </r>
  <r>
    <s v="23595483"/>
    <s v="ENERES"/>
    <s v="NUEVO"/>
    <s v="ENEDOM"/>
    <s v="20/11/2025 14:25:46"/>
    <s v="2025-11-20 14:25:46"/>
    <n v="1085165184"/>
    <s v="EILER OSPINO QUINTERO"/>
    <s v="SIN DATOS"/>
    <s v="3213529836"/>
    <s v="RURAL_163015373000009901"/>
    <x v="2"/>
    <s v="163015373000009901"/>
    <s v="Itaguí"/>
    <x v="0"/>
    <s v="Habilitación Viviendas Metrosur"/>
    <x v="1"/>
    <n v="8"/>
    <s v="2025-12-02 14:25:46"/>
    <s v="0 días 14:25"/>
    <s v="7 días 14:25"/>
    <x v="0"/>
    <s v="SIN DATO"/>
    <s v="SIN DATO"/>
    <s v="SIN DATO"/>
    <s v="ABIERTO"/>
    <n v="-75.614291530000003"/>
    <n v="6.18573796"/>
    <s v="SUR-ENE"/>
    <s v="Metropolitana Sur"/>
  </r>
  <r>
    <s v="23595484"/>
    <s v="ENERES"/>
    <s v="NUEVO"/>
    <s v="ENERES"/>
    <s v="20/11/2025 14:26:22"/>
    <s v="2025-11-20 14:26:22"/>
    <n v="98533798"/>
    <s v="JESUS ALBEIRO GUERRA MESA"/>
    <s v="SIN DATOS"/>
    <s v="3004349710"/>
    <s v="CL 83 B CR 57 -96 (INTERIOR 301 )"/>
    <x v="2"/>
    <s v="078513207000960301"/>
    <s v="Itaguí"/>
    <x v="1"/>
    <s v="Revisor Instal. Regadas Metrosur"/>
    <x v="0"/>
    <n v="7"/>
    <s v="2025-12-01 14:26:22"/>
    <s v="0 días 14:26"/>
    <s v="6 días 14:26"/>
    <x v="0"/>
    <s v="SIN DATO"/>
    <s v="SIN DATO"/>
    <s v="SIN DATO"/>
    <s v="ABIERTO"/>
    <n v="-75.5981697"/>
    <n v="6.1936771300000002"/>
    <s v="SUR-ENE"/>
    <s v="Metropolitana Sur"/>
  </r>
  <r>
    <s v="23595485"/>
    <s v="ENERES"/>
    <s v="NUEVO"/>
    <s v="ENEDOM"/>
    <s v="20/11/2025 14:26:48"/>
    <s v="2025-11-20 14:26:48"/>
    <n v="42748817"/>
    <s v="LUZ IRENE CARMONA GOMEZ"/>
    <s v="3766707"/>
    <s v="SIN DATOS"/>
    <s v="RURAL_163015784500000000_EL PROGRESO"/>
    <x v="2"/>
    <s v="163015784500000000"/>
    <s v="Itaguí"/>
    <x v="0"/>
    <s v="Habilitación Viviendas Metrosur"/>
    <x v="1"/>
    <n v="8"/>
    <s v="2025-12-02 14:26:48"/>
    <s v="0 días 14:26"/>
    <s v="7 días 14:26"/>
    <x v="0"/>
    <s v="SIN DATO"/>
    <s v="SIN DATO"/>
    <s v="SIN DATO"/>
    <s v="ABIERTO"/>
    <n v="-75.613603659999995"/>
    <n v="6.1840218900000004"/>
    <s v="SUR-ENE"/>
    <s v="Metropolitana Sur"/>
  </r>
  <r>
    <s v="23595488"/>
    <s v="ENERES"/>
    <s v="NUEVO"/>
    <s v="ENEDOM"/>
    <s v="20/11/2025 14:28:56"/>
    <s v="2025-11-20 14:28:56"/>
    <n v="42748817"/>
    <s v="LUZ IRENE CARMONA GOMEZ"/>
    <s v="3766707"/>
    <s v="SIN DATOS"/>
    <s v="RURAL_163015784600000000_EL PROGRESO"/>
    <x v="2"/>
    <s v="163015784600000000"/>
    <s v="Itaguí"/>
    <x v="0"/>
    <s v="Habilitación Viviendas Metrosur"/>
    <x v="1"/>
    <n v="8"/>
    <s v="2025-12-02 14:28:56"/>
    <s v="0 días 14:28"/>
    <s v="7 días 14:28"/>
    <x v="0"/>
    <s v="SIN DATO"/>
    <s v="SIN DATO"/>
    <s v="SIN DATO"/>
    <s v="ABIERTO"/>
    <n v="-75.613603659999995"/>
    <n v="6.1840218900000004"/>
    <s v="SUR-ENE"/>
    <s v="Metropolitana Sur"/>
  </r>
  <r>
    <s v="23595517"/>
    <s v="ENERES"/>
    <s v="NUEVO"/>
    <s v="ENERES"/>
    <s v="20/11/2025 14:51:16"/>
    <s v="2025-11-20 14:51:16"/>
    <n v="15450528"/>
    <s v="JUAN FERNANDO VELEZ OSORIO"/>
    <s v="SIN DATOS"/>
    <s v="3135981769"/>
    <s v="CL 136 SUR CR 48 -54 (INTERIOR 402 )"/>
    <x v="3"/>
    <s v="003416008000540402"/>
    <s v="Caldas"/>
    <x v="1"/>
    <s v="METROSUR Vin. Leg. Ref. Concentrada"/>
    <x v="0"/>
    <n v="7"/>
    <s v="2025-12-01 14:51:16"/>
    <s v="0 días 14:51"/>
    <s v="6 días 14:51"/>
    <x v="0"/>
    <s v="SIN DATO"/>
    <s v="SIN DATO"/>
    <s v="SIN DATO"/>
    <s v="ABIERTO"/>
    <n v="-75.634779769999994"/>
    <n v="6.0862563600000001"/>
    <s v="SUR-ENE"/>
    <s v="Metropolitana Sur"/>
  </r>
  <r>
    <s v="23595523"/>
    <s v="ENERES"/>
    <s v="NUEVO"/>
    <s v="ENERES"/>
    <s v="20/11/2025 14:53:37"/>
    <s v="2025-11-20 14:53:37"/>
    <n v="15450528"/>
    <s v="JUAN FERNANDO VELEZ OSORIO"/>
    <s v="SIN DATOS"/>
    <s v="3135981769"/>
    <s v="CL 136 SUR CR 48 -54 (INTERIOR 401 )"/>
    <x v="3"/>
    <s v="003416008000540401"/>
    <s v="Caldas"/>
    <x v="1"/>
    <s v="METROSUR Vin. Leg. Ref. Concentrada"/>
    <x v="0"/>
    <n v="7"/>
    <s v="2025-12-01 14:53:37"/>
    <s v="0 días 14:53"/>
    <s v="6 días 14:53"/>
    <x v="0"/>
    <s v="SIN DATO"/>
    <s v="SIN DATO"/>
    <s v="SIN DATO"/>
    <s v="ABIERTO"/>
    <n v="-75.634779769999994"/>
    <n v="6.0862563600000001"/>
    <s v="SUR-ENE"/>
    <s v="Metropolitana Sur"/>
  </r>
  <r>
    <s v="23595554"/>
    <s v="ENEMRT"/>
    <s v="NUEVO"/>
    <s v="ENEMVI"/>
    <s v="20/11/2025 15:03:58"/>
    <s v="2025-11-20 15:03:58"/>
    <n v="43036921"/>
    <s v="NURY DEL CARMEN TORRES SANCHEZ"/>
    <s v="SIN DATOS"/>
    <s v="3004999389"/>
    <s v="RURAL_147048860000000001_ VEREDA TRAVESIAS"/>
    <x v="0"/>
    <s v="147048860000000001"/>
    <s v="Medellín"/>
    <x v="6"/>
    <s v="METR Mov Red Trans Anderson Castaño"/>
    <x v="1"/>
    <n v="14"/>
    <s v="2025-12-11 15:03:58"/>
    <s v="0 días 15:03"/>
    <s v="13 días 15:03"/>
    <x v="0"/>
    <s v="SIN DATO"/>
    <s v="SIN DATO"/>
    <s v="SIN DATO"/>
    <s v="ABIERTO"/>
    <n v="-75.646938899999995"/>
    <n v="6.2852713400000004"/>
    <s v="SUR-ENE"/>
    <s v="Metropolitana Sur"/>
  </r>
  <r>
    <s v="23595562"/>
    <s v="ENERES"/>
    <s v="NUEVO"/>
    <s v="ENERES"/>
    <s v="20/11/2025 15:08:53"/>
    <s v="2025-11-20 15:08:53"/>
    <n v="15450528"/>
    <s v="JUAN FERNANDO VELEZ OSORIO"/>
    <s v="SIN DATOS"/>
    <s v="3135981769"/>
    <s v="CL 136 SUR CR 48 -56 (INTERIOR 502 )"/>
    <x v="3"/>
    <s v="003416008000560502"/>
    <s v="Caldas"/>
    <x v="1"/>
    <s v="METROSUR Vin. Leg. Ref. Concentrada"/>
    <x v="0"/>
    <n v="7"/>
    <s v="2025-12-01 15:08:53"/>
    <s v="0 días 15:08"/>
    <s v="6 días 15:08"/>
    <x v="0"/>
    <s v="SIN DATO"/>
    <s v="SIN DATO"/>
    <s v="SIN DATO"/>
    <s v="ABIERTO"/>
    <n v="-75.634779769999994"/>
    <n v="6.0862563600000001"/>
    <s v="SUR-ENE"/>
    <s v="Metropolitana Sur"/>
  </r>
  <r>
    <s v="23595568"/>
    <s v="ENERES"/>
    <s v="NUEVO"/>
    <s v="ENERES"/>
    <s v="20/11/2025 15:12:45"/>
    <s v="2025-11-20 15:12:45"/>
    <n v="15450528"/>
    <s v="JUAN FERNANDO VELEZ OSORIO"/>
    <s v="SIN DATOS"/>
    <s v="3135981769"/>
    <s v="CL 136 SUR CR 48 -56 (INTERIOR 501 )"/>
    <x v="3"/>
    <s v="003416008000560501"/>
    <s v="Caldas"/>
    <x v="1"/>
    <s v="METROSUR Vin. Leg. Ref. Concentrada"/>
    <x v="0"/>
    <n v="7"/>
    <s v="2025-12-01 15:12:45"/>
    <s v="0 días 15:12"/>
    <s v="6 días 15:12"/>
    <x v="0"/>
    <s v="SIN DATO"/>
    <s v="SIN DATO"/>
    <s v="SIN DATO"/>
    <s v="ABIERTO"/>
    <n v="-75.634779769999994"/>
    <n v="6.0862563600000001"/>
    <s v="SUR-ENE"/>
    <s v="Metropolitana Sur"/>
  </r>
  <r>
    <s v="23595638"/>
    <s v="ENERES"/>
    <s v="NUEVO"/>
    <s v="ENERES"/>
    <s v="20/11/2025 15:43:20"/>
    <s v="2025-11-20 15:43:20"/>
    <n v="1036620899"/>
    <s v="JOHN JAIRO MARULANDA GARCIA"/>
    <s v="3864430"/>
    <s v="3226250047"/>
    <s v="CR 26 EE CL 38 B -10 (INTERIOR 403 )"/>
    <x v="0"/>
    <s v="053226558200100403"/>
    <s v="Medellín"/>
    <x v="1"/>
    <s v="Revisor Instal. Regadas Metrosur"/>
    <x v="0"/>
    <n v="7"/>
    <s v="2025-12-01 15:43:20"/>
    <s v="0 días 15:43"/>
    <s v="6 días 15:43"/>
    <x v="0"/>
    <s v="SIN DATO"/>
    <s v="SIN DATO"/>
    <s v="SIN DATO"/>
    <s v="ABIERTO"/>
    <n v="-75.554834999999997"/>
    <n v="6.2315120000000004"/>
    <s v="SUR-ENE"/>
    <s v="Metropolitana Sur"/>
  </r>
  <r>
    <s v="23595654"/>
    <s v="ENERES"/>
    <s v="NUEVO"/>
    <s v="ENERES"/>
    <s v="20/11/2025 15:50:43"/>
    <s v="2025-11-20 15:50:43"/>
    <n v="15372136"/>
    <s v="OSWALDO ECHEVERRY ESCOBAR"/>
    <s v="SIN DATOS"/>
    <s v="3502286522"/>
    <s v="CR 26 EE CL 38 B -10 (INTERIOR 402 )"/>
    <x v="0"/>
    <s v="053226558200100402"/>
    <s v="Medellín"/>
    <x v="1"/>
    <s v="Revisor Instal. Regadas Metrosur"/>
    <x v="0"/>
    <n v="7"/>
    <s v="2025-12-01 15:50:43"/>
    <s v="0 días 15:50"/>
    <s v="6 días 15:50"/>
    <x v="0"/>
    <s v="SIN DATO"/>
    <s v="SIN DATO"/>
    <s v="SIN DATO"/>
    <s v="ABIERTO"/>
    <n v="-75.554834999999997"/>
    <n v="6.2315120000000004"/>
    <s v="SUR-ENE"/>
    <s v="Metropolitana Sur"/>
  </r>
  <r>
    <s v="23595690"/>
    <s v="ENERES"/>
    <s v="NUEVO"/>
    <s v="ENERES"/>
    <s v="20/11/2025 15:59:45"/>
    <s v="2025-11-20 15:59:45"/>
    <n v="42899029"/>
    <s v="MONICA PATRICIA PEREZ DIAZ"/>
    <s v="3315418"/>
    <s v="3103547981"/>
    <s v="DIAG 31 F TRAN 34 D SUR -5"/>
    <x v="1"/>
    <s v="023371604400050000"/>
    <s v="Envigado"/>
    <x v="1"/>
    <s v="Revisor Instal. Regadas Metrosur"/>
    <x v="0"/>
    <n v="7"/>
    <s v="2025-12-01 15:59:45"/>
    <s v="0 días 15:59"/>
    <s v="6 días 15:59"/>
    <x v="0"/>
    <s v="SIN DATO"/>
    <s v="SIN DATO"/>
    <s v="SIN DATO"/>
    <s v="ABIERTO"/>
    <n v="-75.580574220000003"/>
    <n v="6.1715946400000004"/>
    <s v="SUR-ENE"/>
    <s v="Metropolitana Sur"/>
  </r>
  <r>
    <s v="23595703"/>
    <s v="ENENOR"/>
    <s v="NUEVO"/>
    <s v="ENENOR"/>
    <s v="20/11/2025 16:08:51"/>
    <s v="2025-11-20 16:08:51"/>
    <n v="42763443"/>
    <s v="GLORIA MARIA OCHOA PINEDA"/>
    <s v="4446890"/>
    <s v="SIN DATOS"/>
    <s v="CR 54 CL 75 AA SUR -81"/>
    <x v="4"/>
    <s v="037524005110810000"/>
    <s v="La Estrella"/>
    <x v="2"/>
    <s v="Revisor Instal. Regadas Metrosur"/>
    <x v="0"/>
    <n v="7"/>
    <s v="2025-12-01 16:08:51"/>
    <s v="0 días 16:08"/>
    <s v="6 días 16:08"/>
    <x v="0"/>
    <s v="SIN DATO"/>
    <s v="SIN DATO"/>
    <s v="SIN DATO"/>
    <s v="ABIERTO"/>
    <n v="-75.636073170000003"/>
    <n v="6.1620525199999996"/>
    <s v="SUR-ENE"/>
    <s v="Metropolitana Sur"/>
  </r>
  <r>
    <s v="23595720"/>
    <s v="ENERES"/>
    <s v="NUEVO"/>
    <s v="ENERES"/>
    <s v="20/11/2025 16:25:54"/>
    <s v="2025-11-20 16:25:54"/>
    <n v="1037652903"/>
    <s v="JORGE LUIS ARANGO PRIETO"/>
    <s v="SIN DATOS"/>
    <s v="3156405196"/>
    <s v="CL 45 B SUR CR 30 -167"/>
    <x v="1"/>
    <s v="024315200001670000"/>
    <s v="Envigado"/>
    <x v="1"/>
    <s v="Revisor Instal. Regadas Metrosur"/>
    <x v="0"/>
    <n v="7"/>
    <s v="2025-12-01 16:25:54"/>
    <s v="0 días 16:25"/>
    <s v="6 días 16:25"/>
    <x v="0"/>
    <s v="SIN DATO"/>
    <s v="SIN DATO"/>
    <s v="SIN DATO"/>
    <s v="ABIERTO"/>
    <n v="-75.589614260000005"/>
    <n v="6.1541164300000002"/>
    <s v="SUR-ENE"/>
    <s v="Metropolitana Sur"/>
  </r>
  <r>
    <s v="23595741"/>
    <s v="ENERES"/>
    <s v="NUEVO"/>
    <s v="ENERES"/>
    <s v="20/11/2025 16:35:16"/>
    <s v="2025-11-20 16:35:16"/>
    <n v="6788033"/>
    <s v="LAUREANO DE JESUS PEREZ SANCHEZ"/>
    <s v="SIN DATOS"/>
    <s v="3136363857"/>
    <s v="CR 45 CL 46 -9 (INTERIOR 401 )"/>
    <x v="2"/>
    <s v="074425006000090401"/>
    <s v="Itaguí"/>
    <x v="1"/>
    <s v="METROSUR Vin. Leg. Ref. Concentrada"/>
    <x v="0"/>
    <n v="7"/>
    <s v="2025-12-01 16:35:16"/>
    <s v="0 días 16:35"/>
    <s v="6 días 16:35"/>
    <x v="0"/>
    <s v="SIN DATO"/>
    <s v="SIN DATO"/>
    <s v="SIN DATO"/>
    <s v="ABIERTO"/>
    <n v="-75.611063999999999"/>
    <n v="6.1674889999999998"/>
    <s v="SUR-ENE"/>
    <s v="Metropolitana Sur"/>
  </r>
  <r>
    <s v="23595742"/>
    <s v="ENERES"/>
    <s v="NUEVO"/>
    <s v="ENERES"/>
    <s v="20/11/2025 16:35:16"/>
    <s v="2025-11-20 16:35:16"/>
    <n v="6788033"/>
    <s v="LAUREANO DE JESUS PEREZ SANCHEZ"/>
    <s v="SIN DATOS"/>
    <s v="3136363857"/>
    <s v="CR 45 CL 46 -9 (INTERIOR 301 )"/>
    <x v="2"/>
    <s v="074425006000090301"/>
    <s v="Itaguí"/>
    <x v="1"/>
    <s v="METROSUR Vin. Leg. Ref. Concentrada"/>
    <x v="0"/>
    <n v="7"/>
    <s v="2025-12-01 16:35:16"/>
    <s v="0 días 16:35"/>
    <s v="6 días 16:35"/>
    <x v="0"/>
    <s v="SIN DATO"/>
    <s v="SIN DATO"/>
    <s v="SIN DATO"/>
    <s v="ABIERTO"/>
    <n v="-75.611063999999999"/>
    <n v="6.1674889999999998"/>
    <s v="SUR-ENE"/>
    <s v="Metropolitana Sur"/>
  </r>
  <r>
    <s v="23595744"/>
    <s v="ENERES"/>
    <s v="NUEVO"/>
    <s v="ENERES"/>
    <s v="20/11/2025 16:36:06"/>
    <s v="2025-11-20 16:36:06"/>
    <n v="6788033"/>
    <s v="LAUREANO DE JESUS PEREZ SANCHEZ"/>
    <s v="SIN DATOS"/>
    <s v="3136363857"/>
    <s v="CR 45 CL 46 -9 (INTERIOR 302 )"/>
    <x v="2"/>
    <s v="074425006000090302"/>
    <s v="Itaguí"/>
    <x v="1"/>
    <s v="METROSUR Vin. Leg. Ref. Concentrada"/>
    <x v="0"/>
    <n v="7"/>
    <s v="2025-12-01 16:36:06"/>
    <s v="0 días 16:36"/>
    <s v="6 días 16:36"/>
    <x v="0"/>
    <s v="SIN DATO"/>
    <s v="SIN DATO"/>
    <s v="SIN DATO"/>
    <s v="ABIERTO"/>
    <n v="-75.611063999999999"/>
    <n v="6.1674889999999998"/>
    <s v="SUR-ENE"/>
    <s v="Metropolitana Sur"/>
  </r>
  <r>
    <s v="23595748"/>
    <s v="ENERES"/>
    <s v="NUEVO"/>
    <s v="ENERES"/>
    <s v="20/11/2025 16:42:11"/>
    <s v="2025-11-20 16:42:11"/>
    <n v="6788033"/>
    <s v="LAUREANO DE JESUS PEREZ SANCHEZ"/>
    <s v="SIN DATOS"/>
    <s v="3136363857"/>
    <s v="CR 45 CL 46 -9 (INTERIOR 402 )"/>
    <x v="2"/>
    <s v="074425006000090402"/>
    <s v="Itaguí"/>
    <x v="1"/>
    <s v="METROSUR Vin. Leg. Ref. Concentrada"/>
    <x v="0"/>
    <n v="7"/>
    <s v="2025-12-01 16:42:11"/>
    <s v="0 días 16:42"/>
    <s v="6 días 16:42"/>
    <x v="0"/>
    <s v="SIN DATO"/>
    <s v="SIN DATO"/>
    <s v="SIN DATO"/>
    <s v="ABIERTO"/>
    <n v="-75.611063999999999"/>
    <n v="6.1674889999999998"/>
    <s v="SUR-ENE"/>
    <s v="Metropolitana Sur"/>
  </r>
  <r>
    <s v="23595756"/>
    <s v="ENERES"/>
    <s v="NUEVO"/>
    <s v="ENERES"/>
    <s v="20/11/2025 16:47:58"/>
    <s v="2025-11-20 16:47:58"/>
    <n v="901244087"/>
    <s v="CONSTRUCTORA ALTOS DEL BOSQUE S.A.S."/>
    <s v="2593823"/>
    <s v="3104139340"/>
    <s v="CL 87 A SUR CR 56 C -72 (INTERIOR 2002 BQ 1 )"/>
    <x v="4"/>
    <s v="038517106300722002"/>
    <s v="La Estrella"/>
    <x v="1"/>
    <s v="Revisor Inst. Particulares Metrosur"/>
    <x v="0"/>
    <n v="7"/>
    <s v="2025-12-01 16:47:58"/>
    <s v="0 días 16:47"/>
    <s v="6 días 16:47"/>
    <x v="0"/>
    <s v="SIN DATO"/>
    <s v="SIN DATO"/>
    <s v="SIN DATO"/>
    <s v="ABIERTO"/>
    <n v="-75.641370280000004"/>
    <n v="6.1506908300000003"/>
    <s v="SUR-ENE"/>
    <s v="Metropolitana Sur"/>
  </r>
  <r>
    <s v="23595782"/>
    <s v="ENERES"/>
    <s v="NUEVO"/>
    <s v="ENERES"/>
    <s v="20/11/2025 17:11:05"/>
    <s v="2025-11-20 17:11:05"/>
    <n v="70723802"/>
    <s v="HECTOR ELI ARROYAVE SANCHEZ"/>
    <s v="SIN DATOS"/>
    <s v="3206685868"/>
    <s v="CL 4 CR 58 -25 (INTERIOR 202 )"/>
    <x v="0"/>
    <s v="050514008000250202"/>
    <s v="Medellín"/>
    <x v="1"/>
    <s v="Revisor Instal. Regadas Metrosur"/>
    <x v="0"/>
    <n v="7"/>
    <s v="2025-12-01 17:11:05"/>
    <s v="0 días 17:11"/>
    <s v="6 días 17:11"/>
    <x v="0"/>
    <s v="SIN DATO"/>
    <s v="SIN DATO"/>
    <s v="SIN DATO"/>
    <s v="ABIERTO"/>
    <n v="-75.586939299999997"/>
    <n v="6.2116381199999999"/>
    <s v="SUR-ENE"/>
    <s v="Metropolitana Sur"/>
  </r>
  <r>
    <s v="23595813"/>
    <s v="ENERES"/>
    <s v="NUEVO"/>
    <s v="ENERES"/>
    <s v="20/11/2025 17:53:26"/>
    <s v="2025-11-20 17:53:26"/>
    <n v="1152457195"/>
    <s v="GIRLEZA MARTINEZ ANGULO"/>
    <s v="SIN DATOS"/>
    <s v="3106006556"/>
    <s v="CL 26 CR 84 -41 (INTERIOR 408 )"/>
    <x v="0"/>
    <s v="052816004000410408"/>
    <s v="Medellín"/>
    <x v="1"/>
    <s v="Revisor Instal. Regadas Metrosur"/>
    <x v="0"/>
    <n v="7"/>
    <s v="2025-12-01 17:53:26"/>
    <s v="0 días 17:53"/>
    <s v="6 días 17:53"/>
    <x v="0"/>
    <s v="SIN DATO"/>
    <s v="SIN DATO"/>
    <s v="SIN DATO"/>
    <s v="ABIERTO"/>
    <n v="-75.607443000000004"/>
    <n v="6.2277149999999999"/>
    <s v="SUR-ENE"/>
    <s v="Metropolitana Sur"/>
  </r>
  <r>
    <s v="23596150"/>
    <s v="ENERES"/>
    <s v="NUEVO"/>
    <s v="ENERES"/>
    <s v="21/11/2025 06:54:54"/>
    <s v="2025-11-21 06:54:54"/>
    <n v="71661547"/>
    <s v="SERGIO ANTONIO JIMENEZ CORDOBA"/>
    <s v="SIN DATOS"/>
    <s v="3116195589"/>
    <s v="CR 21 CL 45 -83 (INTERIOR 301 )"/>
    <x v="0"/>
    <s v="054221005000830301"/>
    <s v="Medellín"/>
    <x v="1"/>
    <s v="Revisor Instal. Regadas Metrosur"/>
    <x v="0"/>
    <n v="7"/>
    <s v="2025-12-02 06:54:54"/>
    <s v="0 días 06:54"/>
    <s v="7 días 06:54"/>
    <x v="0"/>
    <s v="SIN DATO"/>
    <s v="SIN DATO"/>
    <s v="SIN DATO"/>
    <s v="ABIERTO"/>
    <n v="-75.548812029999993"/>
    <n v="6.2356052399999999"/>
    <s v="SUR-ENE"/>
    <s v="Metropolitana Sur"/>
  </r>
  <r>
    <s v="23596156"/>
    <s v="ENERES"/>
    <s v="NUEVO"/>
    <s v="ENERES"/>
    <s v="21/11/2025 07:14:53"/>
    <s v="2025-11-21 07:14:53"/>
    <n v="1152211782"/>
    <s v="JULIAN ALEXANDER MOLINA LARGO"/>
    <s v="5110613"/>
    <s v="3202513614"/>
    <s v="CR 28 A CL 38 F -173 (INTERIOR 102 )"/>
    <x v="0"/>
    <s v="053228108601730102"/>
    <s v="Medellín"/>
    <x v="1"/>
    <s v="Revisor Instal. Regadas Metrosur"/>
    <x v="0"/>
    <n v="7"/>
    <s v="2025-12-02 07:14:53"/>
    <s v="0 días 07:14"/>
    <s v="7 días 07:14"/>
    <x v="0"/>
    <s v="SIN DATO"/>
    <s v="SIN DATO"/>
    <s v="SIN DATO"/>
    <s v="ABIERTO"/>
    <n v="-75.555242030000002"/>
    <n v="6.2334978799999998"/>
    <s v="SUR-ENE"/>
    <s v="Metropolitana Sur"/>
  </r>
  <r>
    <s v="23596161"/>
    <s v="ENERES"/>
    <s v="NUEVO"/>
    <s v="ENERES"/>
    <s v="21/11/2025 07:29:37"/>
    <s v="2025-11-21 07:29:37"/>
    <n v="8015766"/>
    <s v="IGNACIO ANDRES GAVIRIA JIMENEZ"/>
    <s v="SIN DATOS"/>
    <s v="3166914822"/>
    <s v="CL 58 SUR CR 59 C -14"/>
    <x v="0"/>
    <s v="045518009300140000"/>
    <s v="Medellín"/>
    <x v="1"/>
    <s v="Revisor Instal. Regadas Metrosur"/>
    <x v="0"/>
    <n v="7"/>
    <s v="2025-12-02 07:29:37"/>
    <s v="0 días 07:29"/>
    <s v="7 días 07:29"/>
    <x v="0"/>
    <s v="SIN DATO"/>
    <s v="SIN DATO"/>
    <s v="SIN DATO"/>
    <s v="ABIERTO"/>
    <n v="-75.640937480000005"/>
    <n v="6.1732368700000002"/>
    <s v="SUR-ENE"/>
    <s v="Metropolitana Sur"/>
  </r>
  <r>
    <s v="23596168"/>
    <s v="ENERES"/>
    <s v="NUEVO"/>
    <s v="ENERES"/>
    <s v="21/11/2025 07:37:31"/>
    <s v="2025-11-21 07:37:31"/>
    <n v="98514738"/>
    <s v="JHON JAIRO PUERTA MORENO"/>
    <s v="SIN DATOS"/>
    <s v="3502803321"/>
    <s v="RURAL_122042104000000001"/>
    <x v="0"/>
    <s v="122042104000000001"/>
    <s v="Medellín"/>
    <x v="1"/>
    <s v="Revisor Instal. Regadas Metrosur"/>
    <x v="1"/>
    <n v="10"/>
    <s v="2025-12-05 07:37:31"/>
    <s v="0 días 07:37"/>
    <s v="10 días 07:37"/>
    <x v="0"/>
    <s v="SIN DATO"/>
    <s v="SIN DATO"/>
    <s v="SIN DATO"/>
    <s v="ABIERTO"/>
    <n v="-75.493556220000002"/>
    <n v="6.2040910699999996"/>
    <s v="SUR-ENE"/>
    <s v="Metropolitana Sur"/>
  </r>
  <r>
    <s v="23596175"/>
    <s v="ENERES"/>
    <s v="NUEVO"/>
    <s v="ENERES"/>
    <s v="21/11/2025 07:52:44"/>
    <s v="2025-11-21 07:52:44"/>
    <n v="6788033"/>
    <s v="LAUREANO DE JESUS PEREZ SANCHEZ"/>
    <s v="SIN DATOS"/>
    <s v="3136363857"/>
    <s v="CR 45 CL 46 -9 (INTERIOR 501 )"/>
    <x v="2"/>
    <s v="074425006000090501"/>
    <s v="Itaguí"/>
    <x v="1"/>
    <s v="METROSUR Vin. Leg. Ref. Concentrada"/>
    <x v="0"/>
    <n v="7"/>
    <s v="2025-12-02 07:52:44"/>
    <s v="0 días 07:52"/>
    <s v="7 días 07:52"/>
    <x v="0"/>
    <s v="SIN DATO"/>
    <s v="SIN DATO"/>
    <s v="SIN DATO"/>
    <s v="ABIERTO"/>
    <n v="-75.611063999999999"/>
    <n v="6.1674889999999998"/>
    <s v="SUR-ENE"/>
    <s v="Metropolitana Sur"/>
  </r>
  <r>
    <s v="23596176"/>
    <s v="ENERES"/>
    <s v="NUEVO"/>
    <s v="ENERES"/>
    <s v="21/11/2025 07:53:29"/>
    <s v="2025-11-21 07:53:29"/>
    <n v="42780898"/>
    <s v="OLGA LUCIA GUTIERREZ RAMIREZ"/>
    <s v="SIN DATOS"/>
    <s v="3219509344"/>
    <s v="DIAG 47 A CL 31 -11 (INTERIOR 101 )"/>
    <x v="2"/>
    <s v="073477101000110101"/>
    <s v="Itaguí"/>
    <x v="1"/>
    <s v="Revisor Instal. Regadas Metrosur"/>
    <x v="0"/>
    <n v="7"/>
    <s v="2025-12-02 07:53:29"/>
    <s v="0 días 07:53"/>
    <s v="7 días 07:53"/>
    <x v="0"/>
    <s v="SIN DATO"/>
    <s v="SIN DATO"/>
    <s v="SIN DATO"/>
    <s v="ABIERTO"/>
    <n v="-75.620338739999994"/>
    <n v="6.1633239700000004"/>
    <s v="SUR-ENE"/>
    <s v="Metropolitana Sur"/>
  </r>
  <r>
    <s v="23596179"/>
    <s v="ENERES"/>
    <s v="NUEVO"/>
    <s v="ENERES"/>
    <s v="21/11/2025 07:58:12"/>
    <s v="2025-11-21 07:58:12"/>
    <n v="901244087"/>
    <s v="CONSTRUCTORA ALTOS DEL BOSQUE S.A.S."/>
    <s v="2593823"/>
    <s v="3104139340"/>
    <s v="CL 87 A SUR CR 56 C -72 (INTERIOR 1701 BQ 1 )"/>
    <x v="4"/>
    <s v="038517106300721701"/>
    <s v="La Estrella"/>
    <x v="1"/>
    <s v="METROSUR Vin. Leg. Ref. Concentrada"/>
    <x v="0"/>
    <n v="7"/>
    <s v="2025-12-02 07:58:12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80"/>
    <s v="ENERES"/>
    <s v="NUEVO"/>
    <s v="ENERES"/>
    <s v="21/11/2025 07:58:11"/>
    <s v="2025-11-21 07:58:11"/>
    <n v="901244087"/>
    <s v="CONSTRUCTORA ALTOS DEL BOSQUE S.A.S."/>
    <s v="2593823"/>
    <s v="3104139340"/>
    <s v="CL 87 A SUR CR 56 C -72 (INTERIOR 1908 BQ 1 )"/>
    <x v="4"/>
    <s v="038517106300721908"/>
    <s v="La Estrella"/>
    <x v="1"/>
    <s v="Revisor Inst. Particulares Metrosur"/>
    <x v="0"/>
    <n v="7"/>
    <s v="2025-12-02 07:58:11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81"/>
    <s v="ENERES"/>
    <s v="NUEVO"/>
    <s v="ENERES"/>
    <s v="21/11/2025 07:58:11"/>
    <s v="2025-11-21 07:58:11"/>
    <n v="901244087"/>
    <s v="CONSTRUCTORA ALTOS DEL BOSQUE S.A.S."/>
    <s v="2593823"/>
    <s v="3104139340"/>
    <s v="CL 87 A SUR CR 56 C -72 (INTERIOR 708 BQ 1 )"/>
    <x v="4"/>
    <s v="038517106300720708"/>
    <s v="La Estrella"/>
    <x v="1"/>
    <s v="Revisor Inst. Particulares Metrosur"/>
    <x v="0"/>
    <n v="7"/>
    <s v="2025-12-02 07:58:11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82"/>
    <s v="ENERES"/>
    <s v="NUEVO"/>
    <s v="ENERES"/>
    <s v="21/11/2025 07:58:11"/>
    <s v="2025-11-21 07:58:11"/>
    <n v="901244087"/>
    <s v="CONSTRUCTORA ALTOS DEL BOSQUE S.A.S."/>
    <s v="2593823"/>
    <s v="3104139340"/>
    <s v="CL 87 A SUR CR 56 C -72 (INTERIOR 1603 BQ 1 )"/>
    <x v="4"/>
    <s v="038517106300721603"/>
    <s v="La Estrella"/>
    <x v="1"/>
    <s v="Revisor Inst. Particulares Metrosur"/>
    <x v="0"/>
    <n v="7"/>
    <s v="2025-12-02 07:58:11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83"/>
    <s v="ENERES"/>
    <s v="NUEVO"/>
    <s v="ENERES"/>
    <s v="21/11/2025 07:58:14"/>
    <s v="2025-11-21 07:58:14"/>
    <n v="901244087"/>
    <s v="CONSTRUCTORA ALTOS DEL BOSQUE S.A.S."/>
    <s v="2593823"/>
    <s v="3104139340"/>
    <s v="CL 87 A SUR CR 56 C -72 (INTERIOR 502 BQ 1 )"/>
    <x v="4"/>
    <s v="038517106300720502"/>
    <s v="La Estrella"/>
    <x v="1"/>
    <s v="Revisor Inst. Particulares Metrosur"/>
    <x v="0"/>
    <n v="7"/>
    <s v="2025-12-02 07:58:14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84"/>
    <s v="ENERES"/>
    <s v="NUEVO"/>
    <s v="ENERES"/>
    <s v="21/11/2025 07:58:16"/>
    <s v="2025-11-21 07:58:16"/>
    <n v="901244087"/>
    <s v="CONSTRUCTORA ALTOS DEL BOSQUE S.A.S."/>
    <s v="2593823"/>
    <s v="3104139340"/>
    <s v="CL 87 A SUR CR 56 C -72 (INTERIOR 1705 BQ 1 )"/>
    <x v="4"/>
    <s v="038517106300721705"/>
    <s v="La Estrella"/>
    <x v="1"/>
    <s v="Revisor Inst. Particulares Metrosur"/>
    <x v="0"/>
    <n v="7"/>
    <s v="2025-12-02 07:58:16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85"/>
    <s v="ENERES"/>
    <s v="NUEVO"/>
    <s v="ENERES"/>
    <s v="21/11/2025 07:58:21"/>
    <s v="2025-11-21 07:58:21"/>
    <n v="901244087"/>
    <s v="CONSTRUCTORA ALTOS DEL BOSQUE S.A.S."/>
    <s v="2593823"/>
    <s v="3104139340"/>
    <s v="CL 87 A SUR CR 56 C -72 (INTERIOR 1802 BQ 1 )"/>
    <x v="4"/>
    <s v="038517106300721802"/>
    <s v="La Estrella"/>
    <x v="1"/>
    <s v="Revisor Inst. Particulares Metrosur"/>
    <x v="0"/>
    <n v="7"/>
    <s v="2025-12-02 07:58:21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87"/>
    <s v="ENERES"/>
    <s v="NUEVO"/>
    <s v="ENERES"/>
    <s v="21/11/2025 07:58:29"/>
    <s v="2025-11-21 07:58:29"/>
    <n v="901244087"/>
    <s v="CONSTRUCTORA ALTOS DEL BOSQUE S.A.S."/>
    <s v="2593823"/>
    <s v="3104139340"/>
    <s v="CL 87 A SUR CR 56 C -72 (INTERIOR 602 BQ 1 )"/>
    <x v="4"/>
    <s v="038517106300720602"/>
    <s v="La Estrella"/>
    <x v="1"/>
    <s v="METROSUR Vin. Leg. Ref. Concentrada"/>
    <x v="0"/>
    <n v="7"/>
    <s v="2025-12-02 07:58:29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88"/>
    <s v="ENERES"/>
    <s v="NUEVO"/>
    <s v="ENERES"/>
    <s v="21/11/2025 07:58:30"/>
    <s v="2025-11-21 07:58:30"/>
    <n v="901244087"/>
    <s v="CONSTRUCTORA ALTOS DEL BOSQUE S.A.S."/>
    <s v="2593823"/>
    <s v="3104139340"/>
    <s v="CL 87 A SUR CR 56 C -72 (INTERIOR 1801 BQ 1 )"/>
    <x v="4"/>
    <s v="038517106300721801"/>
    <s v="La Estrella"/>
    <x v="1"/>
    <s v="Revisor Inst. Particulares Metrosur"/>
    <x v="0"/>
    <n v="7"/>
    <s v="2025-12-02 07:58:30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89"/>
    <s v="ENERES"/>
    <s v="NUEVO"/>
    <s v="ENERES"/>
    <s v="21/11/2025 07:58:30"/>
    <s v="2025-11-21 07:58:30"/>
    <n v="901244087"/>
    <s v="CONSTRUCTORA ALTOS DEL BOSQUE S.A.S."/>
    <s v="2593823"/>
    <s v="3104139340"/>
    <s v="CL 87 A SUR CR 56 C -72 (INTERIOR 1401 BQ 1 )"/>
    <x v="4"/>
    <s v="038517106300721401"/>
    <s v="La Estrella"/>
    <x v="1"/>
    <s v="METROSUR Vin. Leg. Ref. Concentrada"/>
    <x v="0"/>
    <n v="7"/>
    <s v="2025-12-02 07:58:30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90"/>
    <s v="ENERES"/>
    <s v="NUEVO"/>
    <s v="ENERES"/>
    <s v="21/11/2025 07:58:30"/>
    <s v="2025-11-21 07:58:30"/>
    <n v="901244087"/>
    <s v="CONSTRUCTORA ALTOS DEL BOSQUE S.A.S."/>
    <s v="2593823"/>
    <s v="3104139340"/>
    <s v="CL 87 A SUR CR 56 C -72 (INTERIOR 1806 BQ 1 )"/>
    <x v="4"/>
    <s v="038517106300721806"/>
    <s v="La Estrella"/>
    <x v="1"/>
    <s v="Revisor Inst. Particulares Metrosur"/>
    <x v="0"/>
    <n v="7"/>
    <s v="2025-12-02 07:58:30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91"/>
    <s v="ENERES"/>
    <s v="NUEVO"/>
    <s v="ENERES"/>
    <s v="21/11/2025 07:58:30"/>
    <s v="2025-11-21 07:58:30"/>
    <n v="901244087"/>
    <s v="CONSTRUCTORA ALTOS DEL BOSQUE S.A.S."/>
    <s v="2593823"/>
    <s v="3104139340"/>
    <s v="CL 87 A SUR CR 56 C -72 (INTERIOR 1302 BQ 1 )"/>
    <x v="4"/>
    <s v="038517106300721302"/>
    <s v="La Estrella"/>
    <x v="1"/>
    <s v="METROSUR Vin. Leg. Ref. Concentrada"/>
    <x v="0"/>
    <n v="7"/>
    <s v="2025-12-02 07:58:30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92"/>
    <s v="ENERES"/>
    <s v="NUEVO"/>
    <s v="ENERES"/>
    <s v="21/11/2025 07:58:32"/>
    <s v="2025-11-21 07:58:32"/>
    <n v="901244087"/>
    <s v="CONSTRUCTORA ALTOS DEL BOSQUE S.A.S."/>
    <s v="2593823"/>
    <s v="3104139340"/>
    <s v="CL 87 A SUR CR 56 C -72 (INTERIOR 1607 BQ 1 )"/>
    <x v="4"/>
    <s v="038517106300721607"/>
    <s v="La Estrella"/>
    <x v="1"/>
    <s v="Revisor Inst. Particulares Metrosur"/>
    <x v="0"/>
    <n v="7"/>
    <s v="2025-12-02 07:58:32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94"/>
    <s v="ENERES"/>
    <s v="NUEVO"/>
    <s v="ENERES"/>
    <s v="21/11/2025 07:58:43"/>
    <s v="2025-11-21 07:58:43"/>
    <n v="901244087"/>
    <s v="CONSTRUCTORA ALTOS DEL BOSQUE S.A.S."/>
    <s v="2593823"/>
    <s v="3104139340"/>
    <s v="CL 87 A SUR CR 56 C -72 (INTERIOR 1501 BQ 1 )"/>
    <x v="4"/>
    <s v="038517106300721501"/>
    <s v="La Estrella"/>
    <x v="1"/>
    <s v="Revisor Inst. Particulares Metrosur"/>
    <x v="0"/>
    <n v="7"/>
    <s v="2025-12-02 07:58:43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95"/>
    <s v="ENERES"/>
    <s v="NUEVO"/>
    <s v="ENERES"/>
    <s v="21/11/2025 07:58:44"/>
    <s v="2025-11-21 07:58:44"/>
    <n v="901244087"/>
    <s v="CONSTRUCTORA ALTOS DEL BOSQUE S.A.S."/>
    <s v="2593823"/>
    <s v="3104139340"/>
    <s v="CL 87 A SUR CR 56 C -72 (INTERIOR 1308 BQ 1 )"/>
    <x v="4"/>
    <s v="038517106300721308"/>
    <s v="La Estrella"/>
    <x v="1"/>
    <s v="Revisor Inst. Particulares Metrosur"/>
    <x v="0"/>
    <n v="7"/>
    <s v="2025-12-02 07:58:44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96"/>
    <s v="ENERES"/>
    <s v="NUEVO"/>
    <s v="ENERES"/>
    <s v="21/11/2025 07:58:44"/>
    <s v="2025-11-21 07:58:44"/>
    <n v="901244087"/>
    <s v="CONSTRUCTORA ALTOS DEL BOSQUE S.A.S."/>
    <s v="2593823"/>
    <s v="3104139340"/>
    <s v="CL 87 A SUR CR 56 C -72 (INTERIOR 1508 BQ 1 )"/>
    <x v="4"/>
    <s v="038517106300721508"/>
    <s v="La Estrella"/>
    <x v="1"/>
    <s v="Revisor Inst. Particulares Metrosur"/>
    <x v="0"/>
    <n v="7"/>
    <s v="2025-12-02 07:58:44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97"/>
    <s v="ENERES"/>
    <s v="NUEVO"/>
    <s v="ENERES"/>
    <s v="21/11/2025 07:58:44"/>
    <s v="2025-11-21 07:58:44"/>
    <n v="901244087"/>
    <s v="CONSTRUCTORA ALTOS DEL BOSQUE S.A.S."/>
    <s v="2593823"/>
    <s v="3104139340"/>
    <s v="CL 87 A SUR CR 56 C -72 (INTERIOR 508 BQ 1 )"/>
    <x v="4"/>
    <s v="038517106300720508"/>
    <s v="La Estrella"/>
    <x v="1"/>
    <s v="Revisor Inst. Particulares Metrosur"/>
    <x v="0"/>
    <n v="7"/>
    <s v="2025-12-02 07:58:44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98"/>
    <s v="ENERES"/>
    <s v="NUEVO"/>
    <s v="ENERES"/>
    <s v="21/11/2025 07:58:50"/>
    <s v="2025-11-21 07:58:50"/>
    <n v="901244087"/>
    <s v="CONSTRUCTORA ALTOS DEL BOSQUE S.A.S."/>
    <s v="2593823"/>
    <s v="3104139340"/>
    <s v="CL 87 A SUR CR 56 C -72 (INTERIOR 1101 BQ 1 )"/>
    <x v="4"/>
    <s v="038517106300721101"/>
    <s v="La Estrella"/>
    <x v="1"/>
    <s v="Revisor Inst. Particulares Metrosur"/>
    <x v="0"/>
    <n v="7"/>
    <s v="2025-12-02 07:58:50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99"/>
    <s v="ENERES"/>
    <s v="NUEVO"/>
    <s v="ENERES"/>
    <s v="21/11/2025 07:58:54"/>
    <s v="2025-11-21 07:58:54"/>
    <n v="901244087"/>
    <s v="CONSTRUCTORA ALTOS DEL BOSQUE S.A.S."/>
    <s v="2593823"/>
    <s v="3104139340"/>
    <s v="CL 87 A SUR CR 56 C -72 (INTERIOR 1708 BQ 1 )"/>
    <x v="4"/>
    <s v="038517106300721708"/>
    <s v="La Estrella"/>
    <x v="1"/>
    <s v="Revisor Inst. Particulares Metrosur"/>
    <x v="0"/>
    <n v="7"/>
    <s v="2025-12-02 07:58:54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200"/>
    <s v="ENERES"/>
    <s v="NUEVO"/>
    <s v="ENERES"/>
    <s v="21/11/2025 07:58:58"/>
    <s v="2025-11-21 07:58:58"/>
    <n v="901244087"/>
    <s v="CONSTRUCTORA ALTOS DEL BOSQUE S.A.S."/>
    <s v="2593823"/>
    <s v="3104139340"/>
    <s v="CL 87 A SUR CR 56 C -72 (INTERIOR 1808 BQ 1 )"/>
    <x v="4"/>
    <s v="038517106300721808"/>
    <s v="La Estrella"/>
    <x v="1"/>
    <s v="Revisor Inst. Particulares Metrosur"/>
    <x v="0"/>
    <n v="7"/>
    <s v="2025-12-02 07:58:58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202"/>
    <s v="ENERES"/>
    <s v="NUEVO"/>
    <s v="ENERES"/>
    <s v="21/11/2025 07:59:10"/>
    <s v="2025-11-21 07:59:10"/>
    <n v="901244087"/>
    <s v="CONSTRUCTORA ALTOS DEL BOSQUE S.A.S."/>
    <s v="2593823"/>
    <s v="3104139340"/>
    <s v="CL 87 A SUR CR 56 C -72 (INTERIOR 901 BQ 1 )"/>
    <x v="4"/>
    <s v="038517106300720901"/>
    <s v="La Estrella"/>
    <x v="1"/>
    <s v="Revisor Inst. Particulares Metrosur"/>
    <x v="0"/>
    <n v="7"/>
    <s v="2025-12-02 07:59:10"/>
    <s v="0 días 07:59"/>
    <s v="7 días 07:59"/>
    <x v="0"/>
    <s v="SIN DATO"/>
    <s v="SIN DATO"/>
    <s v="SIN DATO"/>
    <s v="ABIERTO"/>
    <n v="-75.641370280000004"/>
    <n v="6.1506908300000003"/>
    <s v="SUR-ENE"/>
    <s v="Metropolitana Sur"/>
  </r>
  <r>
    <s v="23596203"/>
    <s v="ENERES"/>
    <s v="NUEVO"/>
    <s v="ENERES"/>
    <s v="21/11/2025 07:59:13"/>
    <s v="2025-11-21 07:59:13"/>
    <n v="901244087"/>
    <s v="CONSTRUCTORA ALTOS DEL BOSQUE S.A.S."/>
    <s v="2593823"/>
    <s v="3104139340"/>
    <s v="CL 87 A SUR CR 56 C -72 (INTERIOR 1408 BQ 1 )"/>
    <x v="4"/>
    <s v="038517106300721408"/>
    <s v="La Estrella"/>
    <x v="1"/>
    <s v="Revisor Inst. Particulares Metrosur"/>
    <x v="0"/>
    <n v="7"/>
    <s v="2025-12-02 07:59:13"/>
    <s v="0 días 07:59"/>
    <s v="7 días 07:59"/>
    <x v="0"/>
    <s v="SIN DATO"/>
    <s v="SIN DATO"/>
    <s v="SIN DATO"/>
    <s v="ABIERTO"/>
    <n v="-75.641370280000004"/>
    <n v="6.1506908300000003"/>
    <s v="SUR-ENE"/>
    <s v="Metropolitana Sur"/>
  </r>
  <r>
    <s v="23596204"/>
    <s v="ENERES"/>
    <s v="NUEVO"/>
    <s v="ENERES"/>
    <s v="21/11/2025 07:59:16"/>
    <s v="2025-11-21 07:59:16"/>
    <n v="901244087"/>
    <s v="CONSTRUCTORA ALTOS DEL BOSQUE S.A.S."/>
    <s v="2593823"/>
    <s v="3104139340"/>
    <s v="CL 87 A SUR CR 56 C -72 (INTERIOR 1807 BQ 1 )"/>
    <x v="4"/>
    <s v="038517106300721807"/>
    <s v="La Estrella"/>
    <x v="1"/>
    <s v="Revisor Inst. Particulares Metrosur"/>
    <x v="0"/>
    <n v="7"/>
    <s v="2025-12-02 07:59:16"/>
    <s v="0 días 07:59"/>
    <s v="7 días 07:59"/>
    <x v="0"/>
    <s v="SIN DATO"/>
    <s v="SIN DATO"/>
    <s v="SIN DATO"/>
    <s v="ABIERTO"/>
    <n v="-75.641370280000004"/>
    <n v="6.1506908300000003"/>
    <s v="SUR-ENE"/>
    <s v="Metropolitana Sur"/>
  </r>
  <r>
    <s v="23596205"/>
    <s v="ENERES"/>
    <s v="NUEVO"/>
    <s v="ENERES"/>
    <s v="21/11/2025 07:59:18"/>
    <s v="2025-11-21 07:59:18"/>
    <n v="901244087"/>
    <s v="CONSTRUCTORA ALTOS DEL BOSQUE S.A.S."/>
    <s v="2593823"/>
    <s v="3104139340"/>
    <s v="CL 87 A SUR CR 56 C -72 (INTERIOR 1505 BQ 1 )"/>
    <x v="4"/>
    <s v="038517106300721505"/>
    <s v="La Estrella"/>
    <x v="1"/>
    <s v="Revisor Inst. Particulares Metrosur"/>
    <x v="0"/>
    <n v="7"/>
    <s v="2025-12-02 07:59:18"/>
    <s v="0 días 07:59"/>
    <s v="7 días 07:59"/>
    <x v="0"/>
    <s v="SIN DATO"/>
    <s v="SIN DATO"/>
    <s v="SIN DATO"/>
    <s v="ABIERTO"/>
    <n v="-75.641370280000004"/>
    <n v="6.1506908300000003"/>
    <s v="SUR-ENE"/>
    <s v="Metropolitana Sur"/>
  </r>
  <r>
    <s v="23596206"/>
    <s v="ENERES"/>
    <s v="NUEVO"/>
    <s v="ENERES"/>
    <s v="21/11/2025 07:59:19"/>
    <s v="2025-11-21 07:59:19"/>
    <n v="901244087"/>
    <s v="CONSTRUCTORA ALTOS DEL BOSQUE S.A.S."/>
    <s v="2593823"/>
    <s v="3104139340"/>
    <s v="CL 87 A SUR CR 56 C -72 (INTERIOR 1301 BQ 1 )"/>
    <x v="4"/>
    <s v="038517106300721301"/>
    <s v="La Estrella"/>
    <x v="1"/>
    <s v="Revisor Inst. Particulares Metrosur"/>
    <x v="0"/>
    <n v="7"/>
    <s v="2025-12-02 07:59:19"/>
    <s v="0 días 07:59"/>
    <s v="7 días 07:59"/>
    <x v="0"/>
    <s v="SIN DATO"/>
    <s v="SIN DATO"/>
    <s v="SIN DATO"/>
    <s v="ABIERTO"/>
    <n v="-75.641370280000004"/>
    <n v="6.1506908300000003"/>
    <s v="SUR-ENE"/>
    <s v="Metropolitana Sur"/>
  </r>
  <r>
    <s v="23596207"/>
    <s v="ENERES"/>
    <s v="NUEVO"/>
    <s v="ENERES"/>
    <s v="21/11/2025 07:59:22"/>
    <s v="2025-11-21 07:59:22"/>
    <n v="901244087"/>
    <s v="CONSTRUCTORA ALTOS DEL BOSQUE S.A.S."/>
    <s v="2593823"/>
    <s v="3104139340"/>
    <s v="CL 87 A SUR CR 56 C -72 (INTERIOR 1905 BQ 1 )"/>
    <x v="4"/>
    <s v="038517106300721905"/>
    <s v="La Estrella"/>
    <x v="1"/>
    <s v="Revisor Inst. Particulares Metrosur"/>
    <x v="0"/>
    <n v="7"/>
    <s v="2025-12-02 07:59:22"/>
    <s v="0 días 07:59"/>
    <s v="7 días 07:59"/>
    <x v="0"/>
    <s v="SIN DATO"/>
    <s v="SIN DATO"/>
    <s v="SIN DATO"/>
    <s v="ABIERTO"/>
    <n v="-75.641370280000004"/>
    <n v="6.1506908300000003"/>
    <s v="SUR-ENE"/>
    <s v="Metropolitana Sur"/>
  </r>
  <r>
    <s v="23596208"/>
    <s v="ENERES"/>
    <s v="NUEVO"/>
    <s v="ENERES"/>
    <s v="21/11/2025 07:59:24"/>
    <s v="2025-11-21 07:59:24"/>
    <n v="901244087"/>
    <s v="CONSTRUCTORA ALTOS DEL BOSQUE S.A.S."/>
    <s v="2593823"/>
    <s v="3104139340"/>
    <s v="CL 87 A SUR CR 56 C -72 (INTERIOR 801 BQ 1 )"/>
    <x v="4"/>
    <s v="038517106300720801"/>
    <s v="La Estrella"/>
    <x v="1"/>
    <s v="Revisor Inst. Particulares Metrosur"/>
    <x v="0"/>
    <n v="7"/>
    <s v="2025-12-02 07:59:24"/>
    <s v="0 días 07:59"/>
    <s v="7 días 07:59"/>
    <x v="0"/>
    <s v="SIN DATO"/>
    <s v="SIN DATO"/>
    <s v="SIN DATO"/>
    <s v="ABIERTO"/>
    <n v="-75.641370280000004"/>
    <n v="6.1506908300000003"/>
    <s v="SUR-ENE"/>
    <s v="Metropolitana Sur"/>
  </r>
  <r>
    <s v="23596209"/>
    <s v="ENERES"/>
    <s v="NUEVO"/>
    <s v="ENERES"/>
    <s v="21/11/2025 07:59:32"/>
    <s v="2025-11-21 07:59:32"/>
    <n v="901244087"/>
    <s v="CONSTRUCTORA ALTOS DEL BOSQUE S.A.S."/>
    <s v="2593823"/>
    <s v="3104139340"/>
    <s v="CL 87 A SUR CR 56 C -72 (INTERIOR 1506 BQ 1 )"/>
    <x v="4"/>
    <s v="038517106300721506"/>
    <s v="La Estrella"/>
    <x v="1"/>
    <s v="Revisor Inst. Particulares Metrosur"/>
    <x v="0"/>
    <n v="7"/>
    <s v="2025-12-02 07:59:32"/>
    <s v="0 días 07:59"/>
    <s v="7 días 07:59"/>
    <x v="0"/>
    <s v="SIN DATO"/>
    <s v="SIN DATO"/>
    <s v="SIN DATO"/>
    <s v="ABIERTO"/>
    <n v="-75.641370280000004"/>
    <n v="6.1506908300000003"/>
    <s v="SUR-ENE"/>
    <s v="Metropolitana Sur"/>
  </r>
  <r>
    <s v="23596210"/>
    <s v="ENERES"/>
    <s v="NUEVO"/>
    <s v="ENERES"/>
    <s v="21/11/2025 07:59:33"/>
    <s v="2025-11-21 07:59:33"/>
    <n v="901244087"/>
    <s v="CONSTRUCTORA ALTOS DEL BOSQUE S.A.S."/>
    <s v="2593823"/>
    <s v="3104139340"/>
    <s v="CL 87 A SUR CR 56 C -72 (INTERIOR 1702 BQ 1 )"/>
    <x v="4"/>
    <s v="038517106300721702"/>
    <s v="La Estrella"/>
    <x v="1"/>
    <s v="Revisor Inst. Particulares Metrosur"/>
    <x v="0"/>
    <n v="7"/>
    <s v="2025-12-02 07:59:33"/>
    <s v="0 días 07:59"/>
    <s v="7 días 07:59"/>
    <x v="0"/>
    <s v="SIN DATO"/>
    <s v="SIN DATO"/>
    <s v="SIN DATO"/>
    <s v="ABIERTO"/>
    <n v="-75.641370280000004"/>
    <n v="6.1506908300000003"/>
    <s v="SUR-ENE"/>
    <s v="Metropolitana Sur"/>
  </r>
  <r>
    <s v="23596212"/>
    <s v="ENERES"/>
    <s v="NUEVO"/>
    <s v="ENERES"/>
    <s v="21/11/2025 07:59:38"/>
    <s v="2025-11-21 07:59:38"/>
    <n v="901244087"/>
    <s v="CONSTRUCTORA ALTOS DEL BOSQUE S.A.S."/>
    <s v="2593823"/>
    <s v="3104139340"/>
    <s v="CL 87 A SUR CR 56 C -72 (INTERIOR 1208 BQ 1 )"/>
    <x v="4"/>
    <s v="038517106300721208"/>
    <s v="La Estrella"/>
    <x v="1"/>
    <s v="Revisor Inst. Particulares Metrosur"/>
    <x v="0"/>
    <n v="7"/>
    <s v="2025-12-02 07:59:38"/>
    <s v="0 días 07:59"/>
    <s v="7 días 07:59"/>
    <x v="0"/>
    <s v="SIN DATO"/>
    <s v="SIN DATO"/>
    <s v="SIN DATO"/>
    <s v="ABIERTO"/>
    <n v="-75.641370280000004"/>
    <n v="6.1506908300000003"/>
    <s v="SUR-ENE"/>
    <s v="Metropolitana Sur"/>
  </r>
  <r>
    <s v="23596213"/>
    <s v="ENERES"/>
    <s v="NUEVO"/>
    <s v="ENERES"/>
    <s v="21/11/2025 07:59:39"/>
    <s v="2025-11-21 07:59:39"/>
    <n v="901244087"/>
    <s v="CONSTRUCTORA ALTOS DEL BOSQUE S.A.S."/>
    <s v="2593823"/>
    <s v="3104139340"/>
    <s v="CL 87 A SUR CR 56 C -72 (INTERIOR 908 BQ 1 )"/>
    <x v="4"/>
    <s v="038517106300720908"/>
    <s v="La Estrella"/>
    <x v="1"/>
    <s v="Revisor Inst. Particulares Metrosur"/>
    <x v="0"/>
    <n v="7"/>
    <s v="2025-12-02 07:59:39"/>
    <s v="0 días 07:59"/>
    <s v="7 días 07:59"/>
    <x v="0"/>
    <s v="SIN DATO"/>
    <s v="SIN DATO"/>
    <s v="SIN DATO"/>
    <s v="ABIERTO"/>
    <n v="-75.641370280000004"/>
    <n v="6.1506908300000003"/>
    <s v="SUR-ENE"/>
    <s v="Metropolitana Sur"/>
  </r>
  <r>
    <s v="23596214"/>
    <s v="ENERES"/>
    <s v="NUEVO"/>
    <s v="ENERES"/>
    <s v="21/11/2025 07:59:51"/>
    <s v="2025-11-21 07:59:51"/>
    <n v="901244087"/>
    <s v="CONSTRUCTORA ALTOS DEL BOSQUE S.A.S."/>
    <s v="2593823"/>
    <s v="3104139340"/>
    <s v="CL 87 A SUR CR 56 C -72 (INTERIOR 1001 BQ 1 )"/>
    <x v="4"/>
    <s v="038517106300721001"/>
    <s v="La Estrella"/>
    <x v="1"/>
    <s v="Revisor Inst. Particulares Metrosur"/>
    <x v="0"/>
    <n v="7"/>
    <s v="2025-12-02 07:59:51"/>
    <s v="0 días 07:59"/>
    <s v="7 días 07:59"/>
    <x v="0"/>
    <s v="SIN DATO"/>
    <s v="SIN DATO"/>
    <s v="SIN DATO"/>
    <s v="ABIERTO"/>
    <n v="-75.641370280000004"/>
    <n v="6.1506908300000003"/>
    <s v="SUR-ENE"/>
    <s v="Metropolitana Sur"/>
  </r>
  <r>
    <s v="23596243"/>
    <s v="ENERES"/>
    <s v="NUEVO"/>
    <s v="ENERES"/>
    <s v="21/11/2025 08:05:29"/>
    <s v="2025-11-21 08:05:29"/>
    <n v="71763401"/>
    <s v="EDISON FERNEY CARMONA MESA"/>
    <s v="SIN DATOS"/>
    <s v="3127663137"/>
    <s v="CR 55 CL 3 SUR -39 (INTERIOR 201 )"/>
    <x v="0"/>
    <s v="040525003000390201"/>
    <s v="Medellín"/>
    <x v="1"/>
    <s v="Revisor Instal. Regadas Metrosur"/>
    <x v="0"/>
    <n v="7"/>
    <s v="2025-12-02 08:05:29"/>
    <s v="0 días 08:05"/>
    <s v="7 días 08:05"/>
    <x v="0"/>
    <s v="SIN DATO"/>
    <s v="SIN DATO"/>
    <s v="SIN DATO"/>
    <s v="ABIERTO"/>
    <n v="-75.588233680000002"/>
    <n v="6.2061455199999997"/>
    <s v="SUR-ENE"/>
    <s v="Metropolitana Sur"/>
  </r>
  <r>
    <s v="23596276"/>
    <s v="ENERES"/>
    <s v="NUEVO"/>
    <s v="ENERES"/>
    <s v="21/11/2025 08:15:01"/>
    <s v="2025-11-21 08:15:01"/>
    <n v="70697734"/>
    <s v="RUBEN DARIO HOYOS ZULUAGA"/>
    <s v="SIN DATOS"/>
    <s v="3137515458"/>
    <s v="CR 52 CL 52 -18 (INTERIOR 201 )"/>
    <x v="2"/>
    <s v="075522002000180201"/>
    <s v="Itaguí"/>
    <x v="1"/>
    <s v="METROSUR Vin. Leg. Ref. Concentrada"/>
    <x v="0"/>
    <n v="7"/>
    <s v="2025-12-02 08:15:01"/>
    <s v="0 días 08:15"/>
    <s v="7 días 08:15"/>
    <x v="0"/>
    <s v="SIN DATO"/>
    <s v="SIN DATO"/>
    <s v="SIN DATO"/>
    <s v="ABIERTO"/>
    <n v="-75.608620959999996"/>
    <n v="6.1741252800000002"/>
    <s v="SUR-ENE"/>
    <s v="Metropolitana Sur"/>
  </r>
  <r>
    <s v="23596280"/>
    <s v="ENERES"/>
    <s v="NUEVO"/>
    <s v="ENERES"/>
    <s v="21/11/2025 08:19:13"/>
    <s v="2025-11-21 08:19:14"/>
    <n v="6788033"/>
    <s v="LAUREANO DE JESUS PEREZ SANCHEZ"/>
    <s v="SIN DATOS"/>
    <s v="3136363857"/>
    <s v="CR 45 CL 46 -9 (INTERIOR 502 )"/>
    <x v="2"/>
    <s v="074425006000090502"/>
    <s v="Itaguí"/>
    <x v="1"/>
    <s v="Revisor Instal. Regadas Metrosur"/>
    <x v="0"/>
    <n v="7"/>
    <s v="2025-12-02 08:19:14"/>
    <s v="0 días 08:19"/>
    <s v="7 días 08:19"/>
    <x v="0"/>
    <s v="SIN DATO"/>
    <s v="SIN DATO"/>
    <s v="SIN DATO"/>
    <s v="ABIERTO"/>
    <n v="-75.611063999999999"/>
    <n v="6.1674889999999998"/>
    <s v="SUR-ENE"/>
    <s v="Metropolitana Sur"/>
  </r>
  <r>
    <s v="23596295"/>
    <s v="ENERES"/>
    <s v="NUEVO"/>
    <s v="ENERES"/>
    <s v="21/11/2025 08:28:13"/>
    <s v="2025-11-21 08:28:13"/>
    <n v="70697734"/>
    <s v="RUBEN DARIO HOYOS ZULUAGA"/>
    <s v="SIN DATOS"/>
    <s v="3137515458"/>
    <s v="CR 52 CL 52 -18 (INTERIOR 301 )"/>
    <x v="2"/>
    <s v="075522002000180301"/>
    <s v="Itaguí"/>
    <x v="1"/>
    <s v="METROSUR Vin. Leg. Ref. Concentrada"/>
    <x v="0"/>
    <n v="7"/>
    <s v="2025-12-02 08:28:13"/>
    <s v="0 días 08:28"/>
    <s v="7 días 08:28"/>
    <x v="0"/>
    <s v="SIN DATO"/>
    <s v="SIN DATO"/>
    <s v="SIN DATO"/>
    <s v="ABIERTO"/>
    <n v="-75.608620959999996"/>
    <n v="6.1741252800000002"/>
    <s v="SUR-ENE"/>
    <s v="Metropolitana Sur"/>
  </r>
  <r>
    <s v="23596299"/>
    <s v="ENERES"/>
    <s v="NUEVO"/>
    <s v="ENERES"/>
    <s v="21/11/2025 08:31:49"/>
    <s v="2025-11-21 08:31:49"/>
    <n v="70697734"/>
    <s v="RUBEN DARIO HOYOS ZULUAGA"/>
    <s v="SIN DATOS"/>
    <s v="3137515458"/>
    <s v="CR 52 CL 52 -18 (INTERIOR 401 )"/>
    <x v="2"/>
    <s v="075522002000180401"/>
    <s v="Itaguí"/>
    <x v="1"/>
    <s v="METROSUR Vin. Leg. Ref. Concentrada"/>
    <x v="0"/>
    <n v="7"/>
    <s v="2025-12-02 08:31:49"/>
    <s v="0 días 08:31"/>
    <s v="7 días 08:31"/>
    <x v="0"/>
    <s v="SIN DATO"/>
    <s v="SIN DATO"/>
    <s v="SIN DATO"/>
    <s v="ABIERTO"/>
    <n v="-75.608620959999996"/>
    <n v="6.1741252800000002"/>
    <s v="SUR-ENE"/>
    <s v="Metropolitana Sur"/>
  </r>
  <r>
    <s v="23596341"/>
    <s v="ENENOR"/>
    <s v="CAMBI"/>
    <s v="ENENOR"/>
    <s v="21/11/2025 09:04:33"/>
    <s v="2025-11-21 09:04:33"/>
    <n v="1017123436"/>
    <s v="CRISTIAN ADRIAN GOMEZ MUÑOZ"/>
    <s v="SIN DATOS"/>
    <s v="3113651861"/>
    <s v="CR 49 CL 48 -58 (INTERIOR 1001 )"/>
    <x v="0"/>
    <s v="054429008000581001"/>
    <s v="Medellín"/>
    <x v="7"/>
    <s v="METROSUR Vin. Leg. Ref. Concentrada"/>
    <x v="0"/>
    <n v="7"/>
    <s v="2025-12-02 09:04:33"/>
    <s v="0 días 09:04"/>
    <s v="7 días 09:04"/>
    <x v="0"/>
    <s v="SIN DATO"/>
    <s v="SIN DATO"/>
    <s v="SIN DATO"/>
    <s v="ABIERTO"/>
    <n v="-75.567274999999995"/>
    <n v="6.2479990000000001"/>
    <s v="SUR-ENE"/>
    <s v="Metropolitana Sur"/>
  </r>
  <r>
    <s v="23596355"/>
    <s v="ENERES"/>
    <s v="NUEVO"/>
    <s v="ENERES"/>
    <s v="21/11/2025 09:18:42"/>
    <s v="2025-11-21 09:18:42"/>
    <n v="1036642801"/>
    <s v="STEFANIA MORALES TOBON"/>
    <s v="SIN DATOS"/>
    <s v="3136145990"/>
    <s v="CL 57 DD CR 23 B -48 (INTERIOR 201 )"/>
    <x v="0"/>
    <s v="055217443200480201"/>
    <s v="Medellín"/>
    <x v="1"/>
    <s v="Revisor Instal. Regadas Metrosur"/>
    <x v="0"/>
    <n v="7"/>
    <s v="2025-12-02 09:18:42"/>
    <s v="0 días 09:18"/>
    <s v="7 días 09:18"/>
    <x v="0"/>
    <s v="SIN DATO"/>
    <s v="SIN DATO"/>
    <s v="SIN DATO"/>
    <s v="ABIERTO"/>
    <n v="-75.545776630000006"/>
    <n v="6.24923552"/>
    <s v="SUR-ENE"/>
    <s v="Metropolitana Sur"/>
  </r>
  <r>
    <s v="23596360"/>
    <s v="ENENOR"/>
    <s v="CAMBI"/>
    <s v="ENENOR"/>
    <s v="21/11/2025 09:23:35"/>
    <s v="2025-11-21 09:23:35"/>
    <n v="70697734"/>
    <s v="RUBEN DARIO HOYOS ZULUAGA"/>
    <s v="SIN DATOS"/>
    <s v="3137515458"/>
    <s v="CR 52 CL 52 -18"/>
    <x v="2"/>
    <s v="075522002000180000"/>
    <s v="Itaguí"/>
    <x v="7"/>
    <s v="METROSUR Vin. Leg. Ref. Concentrada"/>
    <x v="0"/>
    <n v="7"/>
    <s v="2025-12-02 09:23:35"/>
    <s v="0 días 09:23"/>
    <s v="7 días 09:23"/>
    <x v="0"/>
    <s v="SIN DATO"/>
    <s v="SIN DATO"/>
    <s v="SIN DATO"/>
    <s v="ABIERTO"/>
    <n v="-75.608620959999996"/>
    <n v="6.1741252800000002"/>
    <s v="SUR-ENE"/>
    <s v="Metropolitana Sur"/>
  </r>
  <r>
    <s v="23596365"/>
    <s v="ENERES"/>
    <s v="NUEVO"/>
    <s v="ENERES"/>
    <s v="21/11/2025 09:27:00"/>
    <s v="2025-11-21 09:27:00"/>
    <n v="1128270419"/>
    <s v="CARLOS ANDRES MOSQUERA MOSQUERA"/>
    <s v="5781670"/>
    <s v="3127031160"/>
    <s v="CL 47 CR 2 BB -139"/>
    <x v="0"/>
    <s v="054017002221390000"/>
    <s v="Medellín"/>
    <x v="1"/>
    <s v="Revisor Instal. Regadas Metrosur"/>
    <x v="0"/>
    <n v="7"/>
    <s v="2025-12-02 09:27:00"/>
    <s v="0 días 09:27"/>
    <s v="7 días 09:27"/>
    <x v="0"/>
    <s v="SIN DATO"/>
    <s v="SIN DATO"/>
    <s v="SIN DATO"/>
    <s v="ABIERTO"/>
    <n v="-75.53280341"/>
    <n v="6.2279257499999998"/>
    <s v="SUR-ENE"/>
    <s v="Metropolitana Sur"/>
  </r>
  <r>
    <s v="23596372"/>
    <s v="ENERES"/>
    <s v="NUEVO"/>
    <s v="ENERES"/>
    <s v="21/11/2025 09:32:46"/>
    <s v="2025-11-21 09:32:46"/>
    <n v="901244087"/>
    <s v="CONSTRUCTORA ALTOS DEL BOSQUE S.A.S."/>
    <s v="2593823"/>
    <s v="3104139340"/>
    <s v="CL 87 A SUR CR 56 C -72 (INTERIOR 1703 BQ 1 )"/>
    <x v="4"/>
    <s v="038517106300721703"/>
    <s v="La Estrella"/>
    <x v="1"/>
    <s v="Revisor Inst. Particulares Metrosur"/>
    <x v="0"/>
    <n v="7"/>
    <s v="2025-12-02 09:32:46"/>
    <s v="0 días 09:32"/>
    <s v="7 días 09:32"/>
    <x v="0"/>
    <s v="SIN DATO"/>
    <s v="SIN DATO"/>
    <s v="SIN DATO"/>
    <s v="ABIERTO"/>
    <n v="-75.641370280000004"/>
    <n v="6.1506908300000003"/>
    <s v="SUR-ENE"/>
    <s v="Metropolitana Sur"/>
  </r>
  <r>
    <s v="23596373"/>
    <s v="ENERES"/>
    <s v="NUEVO"/>
    <s v="ENERES"/>
    <s v="21/11/2025 09:32:46"/>
    <s v="2025-11-21 09:32:46"/>
    <n v="901244087"/>
    <s v="CONSTRUCTORA ALTOS DEL BOSQUE S.A.S."/>
    <s v="2593823"/>
    <s v="3104139340"/>
    <s v="CL 87 A SUR CR 56 C -72 (INTERIOR 701 BQ 1 )"/>
    <x v="4"/>
    <s v="038517106300720701"/>
    <s v="La Estrella"/>
    <x v="1"/>
    <s v="Revisor Inst. Particulares Metrosur"/>
    <x v="0"/>
    <n v="7"/>
    <s v="2025-12-02 09:32:46"/>
    <s v="0 días 09:32"/>
    <s v="7 días 09:32"/>
    <x v="0"/>
    <s v="SIN DATO"/>
    <s v="SIN DATO"/>
    <s v="SIN DATO"/>
    <s v="ABIERTO"/>
    <n v="-75.641370280000004"/>
    <n v="6.1506908300000003"/>
    <s v="SUR-ENE"/>
    <s v="Metropolitana Sur"/>
  </r>
  <r>
    <s v="23596374"/>
    <s v="ENERES"/>
    <s v="NUEVO"/>
    <s v="ENERES"/>
    <s v="21/11/2025 09:32:46"/>
    <s v="2025-11-21 09:32:46"/>
    <n v="901244087"/>
    <s v="CONSTRUCTORA ALTOS DEL BOSQUE S.A.S."/>
    <s v="2593823"/>
    <s v="3104139340"/>
    <s v="CL 87 A SUR CR 56 C -72 (INTERIOR 405 BQ 1 )"/>
    <x v="4"/>
    <s v="038517106300720405"/>
    <s v="La Estrella"/>
    <x v="1"/>
    <s v="Revisor Inst. Particulares Metrosur"/>
    <x v="0"/>
    <n v="7"/>
    <s v="2025-12-02 09:32:46"/>
    <s v="0 días 09:32"/>
    <s v="7 días 09:32"/>
    <x v="0"/>
    <s v="SIN DATO"/>
    <s v="SIN DATO"/>
    <s v="SIN DATO"/>
    <s v="ABIERTO"/>
    <n v="-75.641370280000004"/>
    <n v="6.1506908300000003"/>
    <s v="SUR-ENE"/>
    <s v="Metropolitana Sur"/>
  </r>
  <r>
    <s v="23596376"/>
    <s v="ENERES"/>
    <s v="NUEVO"/>
    <s v="ENERES"/>
    <s v="21/11/2025 09:32:50"/>
    <s v="2025-11-21 09:32:50"/>
    <n v="901244087"/>
    <s v="CONSTRUCTORA ALTOS DEL BOSQUE S.A.S."/>
    <s v="2593823"/>
    <s v="3104139340"/>
    <s v="CL 87 A SUR CR 56 C -72 (INTERIOR 608 BQ 1 )"/>
    <x v="4"/>
    <s v="038517106300720608"/>
    <s v="La Estrella"/>
    <x v="1"/>
    <s v="Revisor Inst. Particulares Metrosur"/>
    <x v="0"/>
    <n v="7"/>
    <s v="2025-12-02 09:32:50"/>
    <s v="0 días 09:32"/>
    <s v="7 días 09:32"/>
    <x v="0"/>
    <s v="SIN DATO"/>
    <s v="SIN DATO"/>
    <s v="SIN DATO"/>
    <s v="ABIERTO"/>
    <n v="-75.641370280000004"/>
    <n v="6.1506908300000003"/>
    <s v="SUR-ENE"/>
    <s v="Metropolitana Sur"/>
  </r>
  <r>
    <s v="23596378"/>
    <s v="ENERES"/>
    <s v="NUEVO"/>
    <s v="ENERES"/>
    <s v="21/11/2025 09:32:53"/>
    <s v="2025-11-21 09:32:53"/>
    <n v="901244087"/>
    <s v="CONSTRUCTORA ALTOS DEL BOSQUE S.A.S."/>
    <s v="2593823"/>
    <s v="3104139340"/>
    <s v="CL 87 A SUR CR 56 C -72 (INTERIOR 1108 BQ 1 )"/>
    <x v="4"/>
    <s v="038517106300721108"/>
    <s v="La Estrella"/>
    <x v="1"/>
    <s v="Revisor Inst. Particulares Metrosur"/>
    <x v="0"/>
    <n v="7"/>
    <s v="2025-12-02 09:32:53"/>
    <s v="0 días 09:32"/>
    <s v="7 días 09:32"/>
    <x v="0"/>
    <s v="SIN DATO"/>
    <s v="SIN DATO"/>
    <s v="SIN DATO"/>
    <s v="ABIERTO"/>
    <n v="-75.641370280000004"/>
    <n v="6.1506908300000003"/>
    <s v="SUR-ENE"/>
    <s v="Metropolitana Sur"/>
  </r>
  <r>
    <s v="23596379"/>
    <s v="ENERES"/>
    <s v="NUEVO"/>
    <s v="ENERES"/>
    <s v="21/11/2025 09:32:53"/>
    <s v="2025-11-21 09:32:53"/>
    <n v="901244087"/>
    <s v="CONSTRUCTORA ALTOS DEL BOSQUE S.A.S."/>
    <s v="2593823"/>
    <s v="3104139340"/>
    <s v="CL 87 A SUR CR 56 C -72 (INTERIOR 1502 BQ 1 )"/>
    <x v="4"/>
    <s v="038517106300721502"/>
    <s v="La Estrella"/>
    <x v="1"/>
    <s v="Revisor Inst. Particulares Metrosur"/>
    <x v="0"/>
    <n v="7"/>
    <s v="2025-12-02 09:32:53"/>
    <s v="0 días 09:32"/>
    <s v="7 días 09:32"/>
    <x v="0"/>
    <s v="SIN DATO"/>
    <s v="SIN DATO"/>
    <s v="SIN DATO"/>
    <s v="ABIERTO"/>
    <n v="-75.641370280000004"/>
    <n v="6.1506908300000003"/>
    <s v="SUR-ENE"/>
    <s v="Metropolitana Su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16FCF2-53A5-44F5-B52D-7F508000DE9D}" name="TablaDiná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16:D23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3"/>
        <item x="1"/>
        <item h="1" m="1" x="7"/>
        <item x="2"/>
        <item x="4"/>
        <item x="0"/>
        <item x="5"/>
        <item h="1" m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7">
    <i>
      <x/>
    </i>
    <i>
      <x v="1"/>
    </i>
    <i>
      <x v="3"/>
    </i>
    <i>
      <x v="4"/>
    </i>
    <i>
      <x v="5"/>
    </i>
    <i>
      <x v="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3:I6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3"/>
        <item x="1"/>
        <item h="1" m="1" x="7"/>
        <item x="2"/>
        <item x="4"/>
        <item x="0"/>
        <item x="5"/>
        <item h="1" m="1" x="6"/>
        <item t="default"/>
      </items>
    </pivotField>
    <pivotField showAll="0"/>
    <pivotField showAll="0"/>
    <pivotField showAll="0">
      <items count="14">
        <item x="7"/>
        <item x="8"/>
        <item x="5"/>
        <item x="4"/>
        <item x="1"/>
        <item x="2"/>
        <item x="6"/>
        <item x="10"/>
        <item x="0"/>
        <item x="11"/>
        <item x="3"/>
        <item x="9"/>
        <item m="1" x="12"/>
        <item t="default"/>
      </items>
    </pivotField>
    <pivotField showAll="0"/>
    <pivotField axis="axisRow" dataField="1" showAll="0">
      <items count="4">
        <item x="1"/>
        <item x="0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3">
    <i>
      <x/>
    </i>
    <i>
      <x v="1"/>
    </i>
    <i t="grand">
      <x/>
    </i>
  </rowItems>
  <colItems count="1">
    <i/>
  </colItems>
  <dataFields count="1">
    <dataField name="Cuenta de TIPO_DIRECCION" fld="16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3000000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6:B29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3"/>
        <item x="1"/>
        <item h="1" m="1" x="7"/>
        <item x="2"/>
        <item x="4"/>
        <item x="0"/>
        <item x="5"/>
        <item h="1" m="1" x="6"/>
        <item t="default"/>
      </items>
    </pivotField>
    <pivotField showAll="0"/>
    <pivotField showAll="0"/>
    <pivotField axis="axisRow" dataField="1" showAll="0">
      <items count="14">
        <item x="7"/>
        <item x="8"/>
        <item x="5"/>
        <item x="1"/>
        <item x="2"/>
        <item x="6"/>
        <item x="0"/>
        <item x="11"/>
        <item x="3"/>
        <item x="9"/>
        <item m="1" x="12"/>
        <item x="4"/>
        <item x="10"/>
        <item t="default"/>
      </items>
    </pivotField>
    <pivotField showAll="0"/>
    <pivotField showAll="0">
      <items count="4">
        <item x="1"/>
        <item x="0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 t="grand">
      <x/>
    </i>
  </rowItems>
  <colItems count="1">
    <i/>
  </colItems>
  <dataFields count="1">
    <dataField name="Cuenta de ACTIVIDAD" fld="14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A3:B9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3"/>
        <item x="1"/>
        <item h="1" m="1" x="7"/>
        <item x="2"/>
        <item x="4"/>
        <item x="0"/>
        <item x="5"/>
        <item h="1" m="1" x="6"/>
        <item t="default"/>
      </items>
    </pivotField>
    <pivotField showAll="0"/>
    <pivotField showAll="0"/>
    <pivotField showAll="0">
      <items count="14">
        <item x="7"/>
        <item x="8"/>
        <item x="5"/>
        <item x="4"/>
        <item x="1"/>
        <item x="2"/>
        <item x="6"/>
        <item x="10"/>
        <item x="0"/>
        <item x="11"/>
        <item x="3"/>
        <item x="9"/>
        <item m="1" x="12"/>
        <item t="default"/>
      </items>
    </pivotField>
    <pivotField showAll="0"/>
    <pivotField showAll="0">
      <items count="4">
        <item x="1"/>
        <item x="0"/>
        <item m="1" x="2"/>
        <item t="default"/>
      </items>
    </pivotField>
    <pivotField showAll="0"/>
    <pivotField showAll="0"/>
    <pivotField showAll="0"/>
    <pivotField showAll="0"/>
    <pivotField axis="axisRow" dataField="1" showAll="0">
      <items count="7">
        <item x="0"/>
        <item x="2"/>
        <item x="1"/>
        <item m="1" x="5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1"/>
  </rowFields>
  <rowItems count="6">
    <i>
      <x/>
    </i>
    <i>
      <x v="1"/>
    </i>
    <i>
      <x v="2"/>
    </i>
    <i>
      <x v="4"/>
    </i>
    <i>
      <x v="5"/>
    </i>
    <i t="grand">
      <x/>
    </i>
  </rowItems>
  <colItems count="1">
    <i/>
  </colItems>
  <dataFields count="1">
    <dataField name="Cuenta de ESTADO" fld="21" subtotal="count" baseField="0" baseItem="0"/>
  </dataFields>
  <chartFormats count="8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E3:F9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3"/>
        <item x="1"/>
        <item h="1" m="1" x="7"/>
        <item x="2"/>
        <item x="4"/>
        <item x="0"/>
        <item x="5"/>
        <item h="1" m="1" x="6"/>
        <item t="default"/>
      </items>
    </pivotField>
    <pivotField showAll="0"/>
    <pivotField showAll="0"/>
    <pivotField showAll="0">
      <items count="14">
        <item x="7"/>
        <item x="8"/>
        <item x="5"/>
        <item x="4"/>
        <item x="1"/>
        <item x="2"/>
        <item x="6"/>
        <item x="10"/>
        <item x="0"/>
        <item x="11"/>
        <item x="3"/>
        <item x="9"/>
        <item m="1" x="12"/>
        <item t="default"/>
      </items>
    </pivotField>
    <pivotField showAll="0"/>
    <pivotField showAll="0">
      <items count="4">
        <item x="1"/>
        <item x="0"/>
        <item m="1" x="2"/>
        <item t="default"/>
      </items>
    </pivotField>
    <pivotField showAll="0"/>
    <pivotField showAll="0"/>
    <pivotField showAll="0"/>
    <pivotField showAll="0"/>
    <pivotField axis="axisRow" dataField="1" showAll="0">
      <items count="7">
        <item x="0"/>
        <item x="2"/>
        <item x="1"/>
        <item h="1" m="1" x="5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1"/>
  </rowFields>
  <rowItems count="6">
    <i>
      <x/>
    </i>
    <i>
      <x v="1"/>
    </i>
    <i>
      <x v="2"/>
    </i>
    <i>
      <x v="4"/>
    </i>
    <i>
      <x v="5"/>
    </i>
    <i t="grand">
      <x/>
    </i>
  </rowItems>
  <colItems count="1">
    <i/>
  </colItems>
  <dataFields count="1">
    <dataField name="Cuenta de ESTADO" fld="21" subtotal="count" showDataAs="percentOfTotal" baseField="21" baseItem="0" numFmtId="10"/>
  </dataFields>
  <chartFormats count="8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ENIX_ANS_TABLA" displayName="FENIX_ANS_TABLA" ref="A4:AD1013" headerRowDxfId="0" headerRowBorderDxfId="1">
  <autoFilter ref="A4:AD1013" xr:uid="{00000000-000C-0000-FFFF-FFFF00000000}"/>
  <tableColumns count="30">
    <tableColumn id="1" xr3:uid="{00000000-0010-0000-0000-000001000000}" name="PEDIDO"/>
    <tableColumn id="2" xr3:uid="{00000000-0010-0000-0000-000002000000}" name="PRODUCTO_ID"/>
    <tableColumn id="3" xr3:uid="{00000000-0010-0000-0000-000003000000}" name="TIPO_TRABAJO"/>
    <tableColumn id="4" xr3:uid="{00000000-0010-0000-0000-000004000000}" name="TIPO_ELEMENTO_ID"/>
    <tableColumn id="5" xr3:uid="{00000000-0010-0000-0000-000005000000}" name="FECHA_RECIBO"/>
    <tableColumn id="6" xr3:uid="{00000000-0010-0000-0000-000006000000}" name="FECHA_INICIO_ANS"/>
    <tableColumn id="7" xr3:uid="{00000000-0010-0000-0000-000007000000}" name="CLIENTEID"/>
    <tableColumn id="8" xr3:uid="{00000000-0010-0000-0000-000008000000}" name="NOMBRE_CLIENTE"/>
    <tableColumn id="9" xr3:uid="{00000000-0010-0000-0000-000009000000}" name="TELEFONO_CONTACTO" dataDxfId="24"/>
    <tableColumn id="10" xr3:uid="{00000000-0010-0000-0000-00000A000000}" name="CELULAR_CONTACTO" dataDxfId="23"/>
    <tableColumn id="11" xr3:uid="{00000000-0010-0000-0000-00000B000000}" name="DIRECCION"/>
    <tableColumn id="12" xr3:uid="{00000000-0010-0000-0000-00000C000000}" name="MUNICIPIO"/>
    <tableColumn id="13" xr3:uid="{00000000-0010-0000-0000-00000D000000}" name="INSTALACION"/>
    <tableColumn id="14" xr3:uid="{00000000-0010-0000-0000-00000E000000}" name="AREA_TRABAJO"/>
    <tableColumn id="15" xr3:uid="{00000000-0010-0000-0000-00000F000000}" name="ACTIVIDAD"/>
    <tableColumn id="16" xr3:uid="{00000000-0010-0000-0000-000010000000}" name="NOMBRE"/>
    <tableColumn id="17" xr3:uid="{00000000-0010-0000-0000-000011000000}" name="TIPO_DIRECCION"/>
    <tableColumn id="18" xr3:uid="{00000000-0010-0000-0000-000012000000}" name="DIAS_PACTADOS"/>
    <tableColumn id="19" xr3:uid="{00000000-0010-0000-0000-000013000000}" name="FECHA_LIMITE_ANS"/>
    <tableColumn id="20" xr3:uid="{00000000-0010-0000-0000-000014000000}" name="DIAS_TRANSCURRIDOS"/>
    <tableColumn id="21" xr3:uid="{00000000-0010-0000-0000-000015000000}" name="DIAS_RESTANTES"/>
    <tableColumn id="22" xr3:uid="{00000000-0010-0000-0000-000016000000}" name="ESTADO"/>
    <tableColumn id="23" xr3:uid="{00000000-0010-0000-0000-000017000000}" name="REPORTE_TECNICO"/>
    <tableColumn id="24" xr3:uid="{00000000-0010-0000-0000-000018000000}" name="TECNICO_EJECUTA"/>
    <tableColumn id="25" xr3:uid="{00000000-0010-0000-0000-000019000000}" name="OBSERVACION" dataDxfId="22"/>
    <tableColumn id="26" xr3:uid="{19912D2A-7EAA-4613-BFE6-9B829F564078}" name="ESTADO_FENIX"/>
    <tableColumn id="27" xr3:uid="{4D8C3716-955D-4CAD-AE41-F55FE0002145}" name="COORDENADAX"/>
    <tableColumn id="28" xr3:uid="{A2A40A87-705F-4DC7-B65F-15F43DC86A66}" name="COORDENADAY"/>
    <tableColumn id="29" xr3:uid="{2C7FF450-324D-4716-9AC5-78CE7FD62C56}" name="AREA_OPERATIVA"/>
    <tableColumn id="30" xr3:uid="{4C915C63-5646-45EF-8267-87EBFD00B878}" name="SUBZON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>
    <tabColor rgb="FFFFC000"/>
  </sheetPr>
  <dimension ref="A4:AD1013"/>
  <sheetViews>
    <sheetView showGridLines="0" tabSelected="1" topLeftCell="U1" workbookViewId="0">
      <selection activeCell="A4" sqref="A4:AD4"/>
    </sheetView>
  </sheetViews>
  <sheetFormatPr baseColWidth="10" defaultRowHeight="15" x14ac:dyDescent="0.25"/>
  <cols>
    <col min="1" max="1" width="12.28515625" bestFit="1" customWidth="1"/>
    <col min="2" max="2" width="18.42578125" bestFit="1" customWidth="1"/>
    <col min="3" max="3" width="18.7109375" bestFit="1" customWidth="1"/>
    <col min="4" max="4" width="23.28515625" bestFit="1" customWidth="1"/>
    <col min="5" max="5" width="18.7109375" bestFit="1" customWidth="1"/>
    <col min="6" max="6" width="22.85546875" bestFit="1" customWidth="1"/>
    <col min="7" max="7" width="14.42578125" bestFit="1" customWidth="1"/>
    <col min="8" max="8" width="52.28515625" bestFit="1" customWidth="1"/>
    <col min="9" max="9" width="25.85546875" bestFit="1" customWidth="1"/>
    <col min="10" max="10" width="24.28515625" bestFit="1" customWidth="1"/>
    <col min="11" max="11" width="56.42578125" bestFit="1" customWidth="1"/>
    <col min="12" max="12" width="15.7109375" bestFit="1" customWidth="1"/>
    <col min="13" max="13" width="26.85546875" bestFit="1" customWidth="1"/>
    <col min="14" max="14" width="19.28515625" bestFit="1" customWidth="1"/>
    <col min="15" max="15" width="15.28515625" bestFit="1" customWidth="1"/>
    <col min="16" max="16" width="36" bestFit="1" customWidth="1"/>
    <col min="17" max="17" width="20.42578125" bestFit="1" customWidth="1"/>
    <col min="18" max="18" width="20.28515625" bestFit="1" customWidth="1"/>
    <col min="19" max="19" width="23" bestFit="1" customWidth="1"/>
    <col min="20" max="20" width="26" bestFit="1" customWidth="1"/>
    <col min="21" max="21" width="20.7109375" bestFit="1" customWidth="1"/>
    <col min="22" max="22" width="13.5703125" bestFit="1" customWidth="1"/>
    <col min="23" max="23" width="22.28515625" bestFit="1" customWidth="1"/>
    <col min="24" max="24" width="22" bestFit="1" customWidth="1"/>
    <col min="25" max="25" width="18.7109375" bestFit="1" customWidth="1"/>
    <col min="26" max="27" width="19.42578125" bestFit="1" customWidth="1"/>
    <col min="28" max="28" width="21.5703125" bestFit="1" customWidth="1"/>
    <col min="29" max="29" width="14.28515625" bestFit="1" customWidth="1"/>
    <col min="30" max="30" width="16.85546875" bestFit="1" customWidth="1"/>
  </cols>
  <sheetData>
    <row r="4" spans="1:30" x14ac:dyDescent="0.25">
      <c r="A4" s="6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7" t="s">
        <v>8</v>
      </c>
      <c r="J4" s="7" t="s">
        <v>9</v>
      </c>
      <c r="K4" s="6" t="s">
        <v>10</v>
      </c>
      <c r="L4" s="6" t="s">
        <v>11</v>
      </c>
      <c r="M4" s="6" t="s">
        <v>12</v>
      </c>
      <c r="N4" s="6" t="s">
        <v>13</v>
      </c>
      <c r="O4" s="6" t="s">
        <v>14</v>
      </c>
      <c r="P4" s="6" t="s">
        <v>15</v>
      </c>
      <c r="Q4" s="6" t="s">
        <v>16</v>
      </c>
      <c r="R4" s="6" t="s">
        <v>17</v>
      </c>
      <c r="S4" s="6" t="s">
        <v>18</v>
      </c>
      <c r="T4" s="6" t="s">
        <v>19</v>
      </c>
      <c r="U4" s="6" t="s">
        <v>20</v>
      </c>
      <c r="V4" s="6" t="s">
        <v>21</v>
      </c>
      <c r="W4" s="6" t="s">
        <v>22</v>
      </c>
      <c r="X4" s="6" t="s">
        <v>23</v>
      </c>
      <c r="Y4" s="6" t="s">
        <v>8727</v>
      </c>
      <c r="Z4" s="6" t="s">
        <v>24</v>
      </c>
      <c r="AA4" s="6" t="s">
        <v>528</v>
      </c>
      <c r="AB4" s="6" t="s">
        <v>529</v>
      </c>
      <c r="AC4" s="6" t="s">
        <v>530</v>
      </c>
      <c r="AD4" s="6" t="s">
        <v>531</v>
      </c>
    </row>
    <row r="5" spans="1:30" x14ac:dyDescent="0.25">
      <c r="A5" t="s">
        <v>5111</v>
      </c>
      <c r="B5" t="s">
        <v>25</v>
      </c>
      <c r="C5" t="s">
        <v>26</v>
      </c>
      <c r="D5" t="s">
        <v>39</v>
      </c>
      <c r="E5" t="s">
        <v>5112</v>
      </c>
      <c r="F5" t="s">
        <v>5113</v>
      </c>
      <c r="G5">
        <v>1017150851</v>
      </c>
      <c r="H5" t="s">
        <v>5114</v>
      </c>
      <c r="I5" s="4" t="s">
        <v>35</v>
      </c>
      <c r="J5" s="4" t="s">
        <v>5115</v>
      </c>
      <c r="K5" t="s">
        <v>5116</v>
      </c>
      <c r="L5" t="s">
        <v>27</v>
      </c>
      <c r="M5" t="s">
        <v>5117</v>
      </c>
      <c r="N5" t="s">
        <v>28</v>
      </c>
      <c r="O5" t="s">
        <v>40</v>
      </c>
      <c r="P5" t="s">
        <v>41</v>
      </c>
      <c r="Q5" t="s">
        <v>31</v>
      </c>
      <c r="R5">
        <v>5</v>
      </c>
      <c r="S5" t="s">
        <v>5118</v>
      </c>
      <c r="T5" t="s">
        <v>6393</v>
      </c>
      <c r="U5" t="s">
        <v>6394</v>
      </c>
      <c r="V5" t="s">
        <v>32</v>
      </c>
      <c r="W5" t="s">
        <v>33</v>
      </c>
      <c r="X5" t="s">
        <v>33</v>
      </c>
      <c r="Y5" t="s">
        <v>33</v>
      </c>
      <c r="Z5" s="5" t="s">
        <v>34</v>
      </c>
      <c r="AA5">
        <v>-75.538028999999995</v>
      </c>
      <c r="AB5">
        <v>6.2381989999999998</v>
      </c>
      <c r="AC5" t="s">
        <v>456</v>
      </c>
      <c r="AD5" t="s">
        <v>457</v>
      </c>
    </row>
    <row r="6" spans="1:30" x14ac:dyDescent="0.25">
      <c r="A6" t="s">
        <v>5119</v>
      </c>
      <c r="B6" t="s">
        <v>25</v>
      </c>
      <c r="C6" t="s">
        <v>26</v>
      </c>
      <c r="D6" t="s">
        <v>25</v>
      </c>
      <c r="E6" t="s">
        <v>5120</v>
      </c>
      <c r="F6" t="s">
        <v>5121</v>
      </c>
      <c r="G6">
        <v>43637045</v>
      </c>
      <c r="H6" t="s">
        <v>5122</v>
      </c>
      <c r="I6" s="4" t="s">
        <v>5123</v>
      </c>
      <c r="J6" s="4" t="s">
        <v>5124</v>
      </c>
      <c r="K6" t="s">
        <v>5125</v>
      </c>
      <c r="L6" t="s">
        <v>27</v>
      </c>
      <c r="M6" t="s">
        <v>5126</v>
      </c>
      <c r="N6" t="s">
        <v>28</v>
      </c>
      <c r="O6" t="s">
        <v>29</v>
      </c>
      <c r="P6" t="s">
        <v>37</v>
      </c>
      <c r="Q6" t="s">
        <v>31</v>
      </c>
      <c r="R6">
        <v>7</v>
      </c>
      <c r="S6" t="s">
        <v>5127</v>
      </c>
      <c r="T6" t="s">
        <v>6395</v>
      </c>
      <c r="U6" t="s">
        <v>6396</v>
      </c>
      <c r="V6" t="s">
        <v>32</v>
      </c>
      <c r="W6" t="s">
        <v>33</v>
      </c>
      <c r="X6" t="s">
        <v>33</v>
      </c>
      <c r="Y6" t="s">
        <v>33</v>
      </c>
      <c r="Z6" s="5" t="s">
        <v>34</v>
      </c>
      <c r="AA6">
        <v>-75.608886979999994</v>
      </c>
      <c r="AB6">
        <v>6.2472212899999997</v>
      </c>
      <c r="AC6" t="s">
        <v>456</v>
      </c>
      <c r="AD6" t="s">
        <v>457</v>
      </c>
    </row>
    <row r="7" spans="1:30" x14ac:dyDescent="0.25">
      <c r="A7" t="s">
        <v>532</v>
      </c>
      <c r="B7" t="s">
        <v>25</v>
      </c>
      <c r="C7" t="s">
        <v>26</v>
      </c>
      <c r="D7" t="s">
        <v>25</v>
      </c>
      <c r="E7" t="s">
        <v>533</v>
      </c>
      <c r="F7" t="s">
        <v>534</v>
      </c>
      <c r="G7">
        <v>43606118</v>
      </c>
      <c r="H7" t="s">
        <v>535</v>
      </c>
      <c r="I7" s="4" t="s">
        <v>35</v>
      </c>
      <c r="J7" s="4" t="s">
        <v>536</v>
      </c>
      <c r="K7" t="s">
        <v>537</v>
      </c>
      <c r="L7" t="s">
        <v>27</v>
      </c>
      <c r="M7" t="s">
        <v>538</v>
      </c>
      <c r="N7" t="s">
        <v>28</v>
      </c>
      <c r="O7" t="s">
        <v>29</v>
      </c>
      <c r="P7" t="s">
        <v>36</v>
      </c>
      <c r="Q7" t="s">
        <v>31</v>
      </c>
      <c r="R7">
        <v>7</v>
      </c>
      <c r="S7" t="s">
        <v>539</v>
      </c>
      <c r="T7" t="s">
        <v>6397</v>
      </c>
      <c r="U7" t="s">
        <v>47</v>
      </c>
      <c r="V7" t="s">
        <v>47</v>
      </c>
      <c r="W7" t="s">
        <v>33</v>
      </c>
      <c r="X7" t="s">
        <v>33</v>
      </c>
      <c r="Y7" t="s">
        <v>33</v>
      </c>
      <c r="Z7" s="5" t="s">
        <v>34</v>
      </c>
      <c r="AA7">
        <v>-75.64258031</v>
      </c>
      <c r="AB7">
        <v>6.1725723400000003</v>
      </c>
      <c r="AC7" t="s">
        <v>456</v>
      </c>
      <c r="AD7" t="s">
        <v>457</v>
      </c>
    </row>
    <row r="8" spans="1:30" x14ac:dyDescent="0.25">
      <c r="A8" t="s">
        <v>5128</v>
      </c>
      <c r="B8" t="s">
        <v>25</v>
      </c>
      <c r="C8" t="s">
        <v>26</v>
      </c>
      <c r="D8" t="s">
        <v>39</v>
      </c>
      <c r="E8" t="s">
        <v>5129</v>
      </c>
      <c r="F8" t="s">
        <v>5130</v>
      </c>
      <c r="G8">
        <v>3351020</v>
      </c>
      <c r="H8" t="s">
        <v>5131</v>
      </c>
      <c r="I8" s="4" t="s">
        <v>35</v>
      </c>
      <c r="J8" s="4" t="s">
        <v>5132</v>
      </c>
      <c r="K8" t="s">
        <v>5133</v>
      </c>
      <c r="L8" t="s">
        <v>27</v>
      </c>
      <c r="M8" t="s">
        <v>5134</v>
      </c>
      <c r="N8" t="s">
        <v>28</v>
      </c>
      <c r="O8" t="s">
        <v>40</v>
      </c>
      <c r="P8" t="s">
        <v>41</v>
      </c>
      <c r="Q8" t="s">
        <v>31</v>
      </c>
      <c r="R8">
        <v>5</v>
      </c>
      <c r="S8" t="s">
        <v>5135</v>
      </c>
      <c r="T8" t="s">
        <v>6398</v>
      </c>
      <c r="U8" t="s">
        <v>6399</v>
      </c>
      <c r="V8" t="s">
        <v>32</v>
      </c>
      <c r="W8" t="s">
        <v>33</v>
      </c>
      <c r="X8" t="s">
        <v>33</v>
      </c>
      <c r="Y8" t="s">
        <v>33</v>
      </c>
      <c r="Z8" s="5" t="s">
        <v>34</v>
      </c>
      <c r="AA8">
        <v>-75.614869999999996</v>
      </c>
      <c r="AB8">
        <v>6.262105</v>
      </c>
      <c r="AC8" t="s">
        <v>456</v>
      </c>
      <c r="AD8" t="s">
        <v>457</v>
      </c>
    </row>
    <row r="9" spans="1:30" x14ac:dyDescent="0.25">
      <c r="A9" t="s">
        <v>5136</v>
      </c>
      <c r="B9" t="s">
        <v>25</v>
      </c>
      <c r="C9" t="s">
        <v>26</v>
      </c>
      <c r="D9" t="s">
        <v>39</v>
      </c>
      <c r="E9" t="s">
        <v>5137</v>
      </c>
      <c r="F9" t="s">
        <v>5138</v>
      </c>
      <c r="G9">
        <v>3351020</v>
      </c>
      <c r="H9" t="s">
        <v>5131</v>
      </c>
      <c r="I9" s="4" t="s">
        <v>35</v>
      </c>
      <c r="J9" s="4" t="s">
        <v>5132</v>
      </c>
      <c r="K9" t="s">
        <v>5139</v>
      </c>
      <c r="L9" t="s">
        <v>27</v>
      </c>
      <c r="M9" t="s">
        <v>5140</v>
      </c>
      <c r="N9" t="s">
        <v>28</v>
      </c>
      <c r="O9" t="s">
        <v>40</v>
      </c>
      <c r="P9" t="s">
        <v>41</v>
      </c>
      <c r="Q9" t="s">
        <v>31</v>
      </c>
      <c r="R9">
        <v>5</v>
      </c>
      <c r="S9" t="s">
        <v>5141</v>
      </c>
      <c r="T9" t="s">
        <v>6400</v>
      </c>
      <c r="U9" t="s">
        <v>6401</v>
      </c>
      <c r="V9" t="s">
        <v>32</v>
      </c>
      <c r="W9" t="s">
        <v>33</v>
      </c>
      <c r="X9" t="s">
        <v>33</v>
      </c>
      <c r="Y9" t="s">
        <v>33</v>
      </c>
      <c r="Z9" s="5" t="s">
        <v>34</v>
      </c>
      <c r="AA9">
        <v>-75.615510999999998</v>
      </c>
      <c r="AB9">
        <v>6.2621700000000002</v>
      </c>
      <c r="AC9" t="s">
        <v>456</v>
      </c>
      <c r="AD9" t="s">
        <v>457</v>
      </c>
    </row>
    <row r="10" spans="1:30" x14ac:dyDescent="0.25">
      <c r="A10" t="s">
        <v>5142</v>
      </c>
      <c r="B10" t="s">
        <v>25</v>
      </c>
      <c r="C10" t="s">
        <v>26</v>
      </c>
      <c r="D10" t="s">
        <v>25</v>
      </c>
      <c r="E10" t="s">
        <v>5143</v>
      </c>
      <c r="F10" t="s">
        <v>5144</v>
      </c>
      <c r="G10">
        <v>1017152762</v>
      </c>
      <c r="H10" t="s">
        <v>5145</v>
      </c>
      <c r="I10" s="4" t="s">
        <v>35</v>
      </c>
      <c r="J10" s="4" t="s">
        <v>5146</v>
      </c>
      <c r="K10" t="s">
        <v>5147</v>
      </c>
      <c r="L10" t="s">
        <v>49</v>
      </c>
      <c r="M10" t="s">
        <v>5148</v>
      </c>
      <c r="N10" t="s">
        <v>84</v>
      </c>
      <c r="O10" t="s">
        <v>29</v>
      </c>
      <c r="P10" t="s">
        <v>37</v>
      </c>
      <c r="Q10" t="s">
        <v>31</v>
      </c>
      <c r="R10">
        <v>7</v>
      </c>
      <c r="S10" t="s">
        <v>5149</v>
      </c>
      <c r="T10" t="s">
        <v>4939</v>
      </c>
      <c r="U10" t="s">
        <v>4823</v>
      </c>
      <c r="V10" t="s">
        <v>32</v>
      </c>
      <c r="W10" t="s">
        <v>33</v>
      </c>
      <c r="X10" t="s">
        <v>33</v>
      </c>
      <c r="Y10" t="s">
        <v>33</v>
      </c>
      <c r="Z10" s="5" t="s">
        <v>34</v>
      </c>
      <c r="AA10">
        <v>-75.565573999999998</v>
      </c>
      <c r="AB10">
        <v>6.1502509999999999</v>
      </c>
      <c r="AC10" t="s">
        <v>456</v>
      </c>
      <c r="AD10" t="s">
        <v>457</v>
      </c>
    </row>
    <row r="11" spans="1:30" x14ac:dyDescent="0.25">
      <c r="A11" t="s">
        <v>2981</v>
      </c>
      <c r="B11" t="s">
        <v>42</v>
      </c>
      <c r="C11" t="s">
        <v>26</v>
      </c>
      <c r="D11" t="s">
        <v>42</v>
      </c>
      <c r="E11" t="s">
        <v>2982</v>
      </c>
      <c r="F11" t="s">
        <v>2983</v>
      </c>
      <c r="G11">
        <v>42759616</v>
      </c>
      <c r="H11" t="s">
        <v>2984</v>
      </c>
      <c r="I11" s="4" t="s">
        <v>2985</v>
      </c>
      <c r="J11" s="4" t="s">
        <v>2986</v>
      </c>
      <c r="K11" t="s">
        <v>2987</v>
      </c>
      <c r="L11" t="s">
        <v>27</v>
      </c>
      <c r="M11" t="s">
        <v>2988</v>
      </c>
      <c r="N11" t="s">
        <v>28</v>
      </c>
      <c r="O11" t="s">
        <v>43</v>
      </c>
      <c r="P11" t="s">
        <v>30</v>
      </c>
      <c r="Q11" t="s">
        <v>31</v>
      </c>
      <c r="R11">
        <v>7</v>
      </c>
      <c r="S11" t="s">
        <v>2989</v>
      </c>
      <c r="T11" t="s">
        <v>6402</v>
      </c>
      <c r="U11" t="s">
        <v>6403</v>
      </c>
      <c r="V11" t="s">
        <v>50</v>
      </c>
      <c r="W11" t="s">
        <v>33</v>
      </c>
      <c r="X11" t="s">
        <v>33</v>
      </c>
      <c r="Y11" t="s">
        <v>33</v>
      </c>
      <c r="Z11" s="5" t="s">
        <v>34</v>
      </c>
      <c r="AA11">
        <v>-75.639846019999993</v>
      </c>
      <c r="AB11">
        <v>6.1761010799999996</v>
      </c>
      <c r="AC11" t="s">
        <v>456</v>
      </c>
      <c r="AD11" t="s">
        <v>457</v>
      </c>
    </row>
    <row r="12" spans="1:30" x14ac:dyDescent="0.25">
      <c r="A12" t="s">
        <v>600</v>
      </c>
      <c r="B12" t="s">
        <v>51</v>
      </c>
      <c r="C12" t="s">
        <v>26</v>
      </c>
      <c r="D12" t="s">
        <v>51</v>
      </c>
      <c r="E12" t="s">
        <v>601</v>
      </c>
      <c r="F12" t="s">
        <v>602</v>
      </c>
      <c r="G12">
        <v>32350805</v>
      </c>
      <c r="H12" t="s">
        <v>603</v>
      </c>
      <c r="I12" s="4" t="s">
        <v>35</v>
      </c>
      <c r="J12" s="4" t="s">
        <v>604</v>
      </c>
      <c r="K12" t="s">
        <v>605</v>
      </c>
      <c r="L12" t="s">
        <v>44</v>
      </c>
      <c r="M12" t="s">
        <v>606</v>
      </c>
      <c r="N12" t="s">
        <v>45</v>
      </c>
      <c r="O12" t="s">
        <v>52</v>
      </c>
      <c r="P12" t="s">
        <v>53</v>
      </c>
      <c r="Q12" t="s">
        <v>31</v>
      </c>
      <c r="R12">
        <v>11</v>
      </c>
      <c r="S12" t="s">
        <v>607</v>
      </c>
      <c r="T12" t="s">
        <v>6404</v>
      </c>
      <c r="U12" t="s">
        <v>6405</v>
      </c>
      <c r="V12" t="s">
        <v>32</v>
      </c>
      <c r="W12" t="s">
        <v>33</v>
      </c>
      <c r="X12" t="s">
        <v>33</v>
      </c>
      <c r="Y12" t="s">
        <v>33</v>
      </c>
      <c r="Z12" s="5" t="s">
        <v>34</v>
      </c>
      <c r="AA12">
        <v>-75.608276950000004</v>
      </c>
      <c r="AB12">
        <v>6.1932554599999996</v>
      </c>
      <c r="AC12" t="s">
        <v>456</v>
      </c>
      <c r="AD12" t="s">
        <v>457</v>
      </c>
    </row>
    <row r="13" spans="1:30" x14ac:dyDescent="0.25">
      <c r="A13" t="s">
        <v>1970</v>
      </c>
      <c r="B13" t="s">
        <v>25</v>
      </c>
      <c r="C13" t="s">
        <v>26</v>
      </c>
      <c r="D13" t="s">
        <v>25</v>
      </c>
      <c r="E13" t="s">
        <v>1971</v>
      </c>
      <c r="F13" t="s">
        <v>1972</v>
      </c>
      <c r="G13">
        <v>43048766</v>
      </c>
      <c r="H13" t="s">
        <v>1973</v>
      </c>
      <c r="I13" s="4" t="s">
        <v>1974</v>
      </c>
      <c r="J13" s="4" t="s">
        <v>1975</v>
      </c>
      <c r="K13" t="s">
        <v>1976</v>
      </c>
      <c r="L13" t="s">
        <v>27</v>
      </c>
      <c r="M13" t="s">
        <v>1977</v>
      </c>
      <c r="N13" t="s">
        <v>28</v>
      </c>
      <c r="O13" t="s">
        <v>29</v>
      </c>
      <c r="P13" t="s">
        <v>30</v>
      </c>
      <c r="Q13" t="s">
        <v>31</v>
      </c>
      <c r="R13">
        <v>7</v>
      </c>
      <c r="S13" t="s">
        <v>1978</v>
      </c>
      <c r="T13" t="s">
        <v>4652</v>
      </c>
      <c r="U13" t="s">
        <v>4651</v>
      </c>
      <c r="V13" t="s">
        <v>32</v>
      </c>
      <c r="W13" t="s">
        <v>33</v>
      </c>
      <c r="X13" t="s">
        <v>33</v>
      </c>
      <c r="Y13" t="s">
        <v>33</v>
      </c>
      <c r="Z13" s="5" t="s">
        <v>34</v>
      </c>
      <c r="AA13">
        <v>-75.555959990000005</v>
      </c>
      <c r="AB13">
        <v>6.2389200100000002</v>
      </c>
      <c r="AC13" t="s">
        <v>456</v>
      </c>
      <c r="AD13" t="s">
        <v>457</v>
      </c>
    </row>
    <row r="14" spans="1:30" x14ac:dyDescent="0.25">
      <c r="A14" t="s">
        <v>608</v>
      </c>
      <c r="B14" t="s">
        <v>25</v>
      </c>
      <c r="C14" t="s">
        <v>166</v>
      </c>
      <c r="D14" t="s">
        <v>25</v>
      </c>
      <c r="E14" t="s">
        <v>609</v>
      </c>
      <c r="F14" t="s">
        <v>610</v>
      </c>
      <c r="G14">
        <v>250390</v>
      </c>
      <c r="H14" t="s">
        <v>611</v>
      </c>
      <c r="I14" s="4" t="s">
        <v>35</v>
      </c>
      <c r="J14" s="4" t="s">
        <v>612</v>
      </c>
      <c r="K14" t="s">
        <v>613</v>
      </c>
      <c r="L14" t="s">
        <v>27</v>
      </c>
      <c r="M14" t="s">
        <v>614</v>
      </c>
      <c r="N14" t="s">
        <v>28</v>
      </c>
      <c r="O14" t="s">
        <v>467</v>
      </c>
      <c r="P14" t="s">
        <v>36</v>
      </c>
      <c r="Q14" t="s">
        <v>31</v>
      </c>
      <c r="R14">
        <v>7</v>
      </c>
      <c r="S14" t="s">
        <v>615</v>
      </c>
      <c r="T14" t="s">
        <v>6406</v>
      </c>
      <c r="U14" t="s">
        <v>47</v>
      </c>
      <c r="V14" t="s">
        <v>47</v>
      </c>
      <c r="W14" t="s">
        <v>33</v>
      </c>
      <c r="X14" t="s">
        <v>33</v>
      </c>
      <c r="Y14" t="s">
        <v>33</v>
      </c>
      <c r="Z14" s="5" t="s">
        <v>34</v>
      </c>
      <c r="AA14">
        <v>-75.591133040000003</v>
      </c>
      <c r="AB14">
        <v>6.2507997399999997</v>
      </c>
      <c r="AC14" t="s">
        <v>456</v>
      </c>
      <c r="AD14" t="s">
        <v>457</v>
      </c>
    </row>
    <row r="15" spans="1:30" x14ac:dyDescent="0.25">
      <c r="A15" t="s">
        <v>616</v>
      </c>
      <c r="B15" t="s">
        <v>25</v>
      </c>
      <c r="C15" t="s">
        <v>166</v>
      </c>
      <c r="D15" t="s">
        <v>25</v>
      </c>
      <c r="E15" t="s">
        <v>617</v>
      </c>
      <c r="F15" t="s">
        <v>618</v>
      </c>
      <c r="G15">
        <v>250390</v>
      </c>
      <c r="H15" t="s">
        <v>611</v>
      </c>
      <c r="I15" s="4" t="s">
        <v>35</v>
      </c>
      <c r="J15" s="4" t="s">
        <v>612</v>
      </c>
      <c r="K15" t="s">
        <v>619</v>
      </c>
      <c r="L15" t="s">
        <v>27</v>
      </c>
      <c r="M15" t="s">
        <v>620</v>
      </c>
      <c r="N15" t="s">
        <v>28</v>
      </c>
      <c r="O15" t="s">
        <v>467</v>
      </c>
      <c r="P15" t="s">
        <v>36</v>
      </c>
      <c r="Q15" t="s">
        <v>31</v>
      </c>
      <c r="R15">
        <v>7</v>
      </c>
      <c r="S15" t="s">
        <v>621</v>
      </c>
      <c r="T15" t="s">
        <v>6406</v>
      </c>
      <c r="U15" t="s">
        <v>47</v>
      </c>
      <c r="V15" t="s">
        <v>47</v>
      </c>
      <c r="W15" t="s">
        <v>33</v>
      </c>
      <c r="X15" t="s">
        <v>33</v>
      </c>
      <c r="Y15" t="s">
        <v>33</v>
      </c>
      <c r="Z15" s="5" t="s">
        <v>34</v>
      </c>
      <c r="AA15">
        <v>-75.591133040000003</v>
      </c>
      <c r="AB15">
        <v>6.2507997399999997</v>
      </c>
      <c r="AC15" t="s">
        <v>456</v>
      </c>
      <c r="AD15" t="s">
        <v>457</v>
      </c>
    </row>
    <row r="16" spans="1:30" x14ac:dyDescent="0.25">
      <c r="A16" t="s">
        <v>622</v>
      </c>
      <c r="B16" t="s">
        <v>25</v>
      </c>
      <c r="C16" t="s">
        <v>166</v>
      </c>
      <c r="D16" t="s">
        <v>25</v>
      </c>
      <c r="E16" t="s">
        <v>623</v>
      </c>
      <c r="F16" t="s">
        <v>624</v>
      </c>
      <c r="G16">
        <v>250390</v>
      </c>
      <c r="H16" t="s">
        <v>611</v>
      </c>
      <c r="I16" s="4" t="s">
        <v>35</v>
      </c>
      <c r="J16" s="4" t="s">
        <v>612</v>
      </c>
      <c r="K16" t="s">
        <v>625</v>
      </c>
      <c r="L16" t="s">
        <v>27</v>
      </c>
      <c r="M16" t="s">
        <v>626</v>
      </c>
      <c r="N16" t="s">
        <v>28</v>
      </c>
      <c r="O16" t="s">
        <v>467</v>
      </c>
      <c r="P16" t="s">
        <v>36</v>
      </c>
      <c r="Q16" t="s">
        <v>31</v>
      </c>
      <c r="R16">
        <v>7</v>
      </c>
      <c r="S16" t="s">
        <v>627</v>
      </c>
      <c r="T16" t="s">
        <v>4911</v>
      </c>
      <c r="U16" t="s">
        <v>47</v>
      </c>
      <c r="V16" t="s">
        <v>47</v>
      </c>
      <c r="W16" t="s">
        <v>33</v>
      </c>
      <c r="X16" t="s">
        <v>33</v>
      </c>
      <c r="Y16" t="s">
        <v>33</v>
      </c>
      <c r="Z16" s="5" t="s">
        <v>34</v>
      </c>
      <c r="AA16">
        <v>-75.591152780000002</v>
      </c>
      <c r="AB16">
        <v>6.2507429800000001</v>
      </c>
      <c r="AC16" t="s">
        <v>456</v>
      </c>
      <c r="AD16" t="s">
        <v>457</v>
      </c>
    </row>
    <row r="17" spans="1:30" x14ac:dyDescent="0.25">
      <c r="A17" t="s">
        <v>7842</v>
      </c>
      <c r="B17" t="s">
        <v>42</v>
      </c>
      <c r="C17" t="s">
        <v>26</v>
      </c>
      <c r="D17" t="s">
        <v>42</v>
      </c>
      <c r="E17" t="s">
        <v>7843</v>
      </c>
      <c r="F17" t="s">
        <v>7844</v>
      </c>
      <c r="G17">
        <v>15645247</v>
      </c>
      <c r="H17" t="s">
        <v>7845</v>
      </c>
      <c r="I17" s="4" t="s">
        <v>35</v>
      </c>
      <c r="J17" s="4" t="s">
        <v>7846</v>
      </c>
      <c r="K17" t="s">
        <v>7847</v>
      </c>
      <c r="L17" t="s">
        <v>27</v>
      </c>
      <c r="M17" t="s">
        <v>7848</v>
      </c>
      <c r="N17" t="s">
        <v>28</v>
      </c>
      <c r="O17" t="s">
        <v>43</v>
      </c>
      <c r="P17" t="s">
        <v>37</v>
      </c>
      <c r="Q17" t="s">
        <v>31</v>
      </c>
      <c r="R17">
        <v>7</v>
      </c>
      <c r="S17" t="s">
        <v>7849</v>
      </c>
      <c r="T17" t="s">
        <v>7392</v>
      </c>
      <c r="U17" t="s">
        <v>7393</v>
      </c>
      <c r="V17" t="s">
        <v>32</v>
      </c>
      <c r="W17" t="s">
        <v>33</v>
      </c>
      <c r="X17" t="s">
        <v>33</v>
      </c>
      <c r="Y17" t="s">
        <v>33</v>
      </c>
      <c r="Z17" s="5" t="s">
        <v>34</v>
      </c>
      <c r="AA17">
        <v>-75.607496800000007</v>
      </c>
      <c r="AB17">
        <v>6.2535831899999996</v>
      </c>
      <c r="AC17" t="s">
        <v>456</v>
      </c>
      <c r="AD17" t="s">
        <v>457</v>
      </c>
    </row>
    <row r="18" spans="1:30" x14ac:dyDescent="0.25">
      <c r="A18" t="s">
        <v>628</v>
      </c>
      <c r="B18" t="s">
        <v>25</v>
      </c>
      <c r="C18" t="s">
        <v>26</v>
      </c>
      <c r="D18" t="s">
        <v>25</v>
      </c>
      <c r="E18" t="s">
        <v>629</v>
      </c>
      <c r="F18" t="s">
        <v>630</v>
      </c>
      <c r="G18">
        <v>70067381</v>
      </c>
      <c r="H18" t="s">
        <v>631</v>
      </c>
      <c r="I18" s="4" t="s">
        <v>632</v>
      </c>
      <c r="J18" s="4" t="s">
        <v>633</v>
      </c>
      <c r="K18" t="s">
        <v>634</v>
      </c>
      <c r="L18" t="s">
        <v>27</v>
      </c>
      <c r="M18" t="s">
        <v>635</v>
      </c>
      <c r="N18" t="s">
        <v>28</v>
      </c>
      <c r="O18" t="s">
        <v>29</v>
      </c>
      <c r="P18" t="s">
        <v>37</v>
      </c>
      <c r="Q18" t="s">
        <v>31</v>
      </c>
      <c r="R18">
        <v>7</v>
      </c>
      <c r="S18" t="s">
        <v>636</v>
      </c>
      <c r="T18" t="s">
        <v>6407</v>
      </c>
      <c r="U18" t="s">
        <v>6408</v>
      </c>
      <c r="V18" t="s">
        <v>50</v>
      </c>
      <c r="W18" t="s">
        <v>33</v>
      </c>
      <c r="X18" t="s">
        <v>33</v>
      </c>
      <c r="Y18" t="s">
        <v>33</v>
      </c>
      <c r="Z18" s="5" t="s">
        <v>34</v>
      </c>
      <c r="AA18">
        <v>-75.542468990000003</v>
      </c>
      <c r="AB18">
        <v>6.2275933800000001</v>
      </c>
      <c r="AC18" t="s">
        <v>456</v>
      </c>
      <c r="AD18" t="s">
        <v>457</v>
      </c>
    </row>
    <row r="19" spans="1:30" x14ac:dyDescent="0.25">
      <c r="A19" t="s">
        <v>5150</v>
      </c>
      <c r="B19" t="s">
        <v>25</v>
      </c>
      <c r="C19" t="s">
        <v>26</v>
      </c>
      <c r="D19" t="s">
        <v>25</v>
      </c>
      <c r="E19" t="s">
        <v>5151</v>
      </c>
      <c r="F19" t="s">
        <v>5152</v>
      </c>
      <c r="G19">
        <v>1047399689</v>
      </c>
      <c r="H19" t="s">
        <v>5153</v>
      </c>
      <c r="I19" s="4" t="s">
        <v>35</v>
      </c>
      <c r="J19" s="4" t="s">
        <v>5154</v>
      </c>
      <c r="K19" t="s">
        <v>5155</v>
      </c>
      <c r="L19" t="s">
        <v>27</v>
      </c>
      <c r="M19" t="s">
        <v>5156</v>
      </c>
      <c r="N19" t="s">
        <v>28</v>
      </c>
      <c r="O19" t="s">
        <v>29</v>
      </c>
      <c r="P19" t="s">
        <v>30</v>
      </c>
      <c r="Q19" t="s">
        <v>31</v>
      </c>
      <c r="R19">
        <v>7</v>
      </c>
      <c r="S19" t="s">
        <v>5157</v>
      </c>
      <c r="T19" t="s">
        <v>3453</v>
      </c>
      <c r="U19" t="s">
        <v>4937</v>
      </c>
      <c r="V19" t="s">
        <v>32</v>
      </c>
      <c r="W19" t="s">
        <v>33</v>
      </c>
      <c r="X19" t="s">
        <v>33</v>
      </c>
      <c r="Y19" t="s">
        <v>33</v>
      </c>
      <c r="Z19" s="5" t="s">
        <v>34</v>
      </c>
      <c r="AA19">
        <v>-75.612498930000001</v>
      </c>
      <c r="AB19">
        <v>6.2670641299999996</v>
      </c>
      <c r="AC19" t="s">
        <v>456</v>
      </c>
      <c r="AD19" t="s">
        <v>457</v>
      </c>
    </row>
    <row r="20" spans="1:30" x14ac:dyDescent="0.25">
      <c r="A20" t="s">
        <v>5158</v>
      </c>
      <c r="B20" t="s">
        <v>25</v>
      </c>
      <c r="C20" t="s">
        <v>26</v>
      </c>
      <c r="D20" t="s">
        <v>25</v>
      </c>
      <c r="E20" t="s">
        <v>5159</v>
      </c>
      <c r="F20" t="s">
        <v>5160</v>
      </c>
      <c r="G20">
        <v>1047399689</v>
      </c>
      <c r="H20" t="s">
        <v>5153</v>
      </c>
      <c r="I20" s="4" t="s">
        <v>35</v>
      </c>
      <c r="J20" s="4" t="s">
        <v>5154</v>
      </c>
      <c r="K20" t="s">
        <v>5161</v>
      </c>
      <c r="L20" t="s">
        <v>27</v>
      </c>
      <c r="M20" t="s">
        <v>5162</v>
      </c>
      <c r="N20" t="s">
        <v>28</v>
      </c>
      <c r="O20" t="s">
        <v>29</v>
      </c>
      <c r="P20" t="s">
        <v>30</v>
      </c>
      <c r="Q20" t="s">
        <v>31</v>
      </c>
      <c r="R20">
        <v>7</v>
      </c>
      <c r="S20" t="s">
        <v>5163</v>
      </c>
      <c r="T20" t="s">
        <v>3453</v>
      </c>
      <c r="U20" t="s">
        <v>4937</v>
      </c>
      <c r="V20" t="s">
        <v>32</v>
      </c>
      <c r="W20" t="s">
        <v>33</v>
      </c>
      <c r="X20" t="s">
        <v>33</v>
      </c>
      <c r="Y20" t="s">
        <v>33</v>
      </c>
      <c r="Z20" s="5" t="s">
        <v>34</v>
      </c>
      <c r="AA20">
        <v>-75.612498930000001</v>
      </c>
      <c r="AB20">
        <v>6.2670641299999996</v>
      </c>
      <c r="AC20" t="s">
        <v>456</v>
      </c>
      <c r="AD20" t="s">
        <v>457</v>
      </c>
    </row>
    <row r="21" spans="1:30" x14ac:dyDescent="0.25">
      <c r="A21" t="s">
        <v>5164</v>
      </c>
      <c r="B21" t="s">
        <v>25</v>
      </c>
      <c r="C21" t="s">
        <v>26</v>
      </c>
      <c r="D21" t="s">
        <v>25</v>
      </c>
      <c r="E21" t="s">
        <v>5165</v>
      </c>
      <c r="F21" t="s">
        <v>5166</v>
      </c>
      <c r="G21">
        <v>43027867</v>
      </c>
      <c r="H21" t="s">
        <v>5167</v>
      </c>
      <c r="I21" s="4" t="s">
        <v>5168</v>
      </c>
      <c r="J21" s="4" t="s">
        <v>5169</v>
      </c>
      <c r="K21" t="s">
        <v>5170</v>
      </c>
      <c r="L21" t="s">
        <v>27</v>
      </c>
      <c r="M21" t="s">
        <v>5171</v>
      </c>
      <c r="N21" t="s">
        <v>28</v>
      </c>
      <c r="O21" t="s">
        <v>29</v>
      </c>
      <c r="P21" t="s">
        <v>30</v>
      </c>
      <c r="Q21" t="s">
        <v>31</v>
      </c>
      <c r="R21">
        <v>7</v>
      </c>
      <c r="S21" t="s">
        <v>5172</v>
      </c>
      <c r="T21" t="s">
        <v>2644</v>
      </c>
      <c r="U21" t="s">
        <v>6409</v>
      </c>
      <c r="V21" t="s">
        <v>32</v>
      </c>
      <c r="W21" t="s">
        <v>33</v>
      </c>
      <c r="X21" t="s">
        <v>33</v>
      </c>
      <c r="Y21" t="s">
        <v>33</v>
      </c>
      <c r="Z21" s="5" t="s">
        <v>34</v>
      </c>
      <c r="AA21">
        <v>-75.55324847</v>
      </c>
      <c r="AB21">
        <v>6.2325591300000003</v>
      </c>
      <c r="AC21" t="s">
        <v>456</v>
      </c>
      <c r="AD21" t="s">
        <v>457</v>
      </c>
    </row>
    <row r="22" spans="1:30" x14ac:dyDescent="0.25">
      <c r="A22" t="s">
        <v>637</v>
      </c>
      <c r="B22" t="s">
        <v>25</v>
      </c>
      <c r="C22" t="s">
        <v>26</v>
      </c>
      <c r="D22" t="s">
        <v>39</v>
      </c>
      <c r="E22" t="s">
        <v>638</v>
      </c>
      <c r="F22" t="s">
        <v>639</v>
      </c>
      <c r="G22">
        <v>43165576</v>
      </c>
      <c r="H22" t="s">
        <v>640</v>
      </c>
      <c r="I22" s="4" t="s">
        <v>641</v>
      </c>
      <c r="J22" s="4" t="s">
        <v>642</v>
      </c>
      <c r="K22" t="s">
        <v>643</v>
      </c>
      <c r="L22" t="s">
        <v>27</v>
      </c>
      <c r="M22" t="s">
        <v>644</v>
      </c>
      <c r="N22" t="s">
        <v>28</v>
      </c>
      <c r="O22" t="s">
        <v>46</v>
      </c>
      <c r="P22" t="s">
        <v>41</v>
      </c>
      <c r="Q22" t="s">
        <v>31</v>
      </c>
      <c r="R22">
        <v>5</v>
      </c>
      <c r="S22" t="s">
        <v>645</v>
      </c>
      <c r="T22" t="s">
        <v>6410</v>
      </c>
      <c r="U22" t="s">
        <v>6411</v>
      </c>
      <c r="V22" t="s">
        <v>50</v>
      </c>
      <c r="W22" t="s">
        <v>33</v>
      </c>
      <c r="X22" t="s">
        <v>33</v>
      </c>
      <c r="Y22" t="s">
        <v>33</v>
      </c>
      <c r="Z22" s="5" t="s">
        <v>34</v>
      </c>
      <c r="AA22">
        <v>-75.622797520000006</v>
      </c>
      <c r="AB22">
        <v>6.2353818700000003</v>
      </c>
      <c r="AC22" t="s">
        <v>456</v>
      </c>
      <c r="AD22" t="s">
        <v>457</v>
      </c>
    </row>
    <row r="23" spans="1:30" x14ac:dyDescent="0.25">
      <c r="A23" t="s">
        <v>2990</v>
      </c>
      <c r="B23" t="s">
        <v>42</v>
      </c>
      <c r="C23" t="s">
        <v>26</v>
      </c>
      <c r="D23" t="s">
        <v>42</v>
      </c>
      <c r="E23" t="s">
        <v>2991</v>
      </c>
      <c r="F23" t="s">
        <v>2992</v>
      </c>
      <c r="G23">
        <v>1037633477</v>
      </c>
      <c r="H23" t="s">
        <v>2993</v>
      </c>
      <c r="I23" s="4" t="s">
        <v>35</v>
      </c>
      <c r="J23" s="4" t="s">
        <v>2994</v>
      </c>
      <c r="K23" t="s">
        <v>2995</v>
      </c>
      <c r="L23" t="s">
        <v>27</v>
      </c>
      <c r="M23" t="s">
        <v>2996</v>
      </c>
      <c r="N23" t="s">
        <v>28</v>
      </c>
      <c r="O23" t="s">
        <v>43</v>
      </c>
      <c r="P23" t="s">
        <v>37</v>
      </c>
      <c r="Q23" t="s">
        <v>31</v>
      </c>
      <c r="R23">
        <v>7</v>
      </c>
      <c r="S23" t="s">
        <v>2997</v>
      </c>
      <c r="T23" t="s">
        <v>4820</v>
      </c>
      <c r="U23" t="s">
        <v>4821</v>
      </c>
      <c r="V23" t="s">
        <v>50</v>
      </c>
      <c r="W23" t="s">
        <v>33</v>
      </c>
      <c r="X23" t="s">
        <v>33</v>
      </c>
      <c r="Y23" t="s">
        <v>33</v>
      </c>
      <c r="Z23" s="5" t="s">
        <v>34</v>
      </c>
      <c r="AA23">
        <v>-75.571025730000002</v>
      </c>
      <c r="AB23">
        <v>6.2128298900000001</v>
      </c>
      <c r="AC23" t="s">
        <v>456</v>
      </c>
      <c r="AD23" t="s">
        <v>457</v>
      </c>
    </row>
    <row r="24" spans="1:30" x14ac:dyDescent="0.25">
      <c r="A24" t="s">
        <v>2363</v>
      </c>
      <c r="B24" t="s">
        <v>42</v>
      </c>
      <c r="C24" t="s">
        <v>26</v>
      </c>
      <c r="D24" t="s">
        <v>42</v>
      </c>
      <c r="E24" t="s">
        <v>2364</v>
      </c>
      <c r="F24" t="s">
        <v>2365</v>
      </c>
      <c r="G24">
        <v>98562300</v>
      </c>
      <c r="H24" t="s">
        <v>2366</v>
      </c>
      <c r="I24" s="4" t="s">
        <v>35</v>
      </c>
      <c r="J24" s="4" t="s">
        <v>2367</v>
      </c>
      <c r="K24" t="s">
        <v>2368</v>
      </c>
      <c r="L24" t="s">
        <v>77</v>
      </c>
      <c r="M24" t="s">
        <v>2369</v>
      </c>
      <c r="N24" t="s">
        <v>78</v>
      </c>
      <c r="O24" t="s">
        <v>43</v>
      </c>
      <c r="P24" t="s">
        <v>36</v>
      </c>
      <c r="Q24" t="s">
        <v>31</v>
      </c>
      <c r="R24">
        <v>7</v>
      </c>
      <c r="S24" t="s">
        <v>2370</v>
      </c>
      <c r="T24" t="s">
        <v>6412</v>
      </c>
      <c r="U24" t="s">
        <v>6413</v>
      </c>
      <c r="V24" t="s">
        <v>50</v>
      </c>
      <c r="W24" t="s">
        <v>33</v>
      </c>
      <c r="X24" t="s">
        <v>33</v>
      </c>
      <c r="Y24" t="s">
        <v>33</v>
      </c>
      <c r="Z24" s="5" t="s">
        <v>34</v>
      </c>
      <c r="AA24">
        <v>-75.632518669999996</v>
      </c>
      <c r="AB24">
        <v>6.0881332400000003</v>
      </c>
      <c r="AC24" t="s">
        <v>456</v>
      </c>
      <c r="AD24" t="s">
        <v>457</v>
      </c>
    </row>
    <row r="25" spans="1:30" x14ac:dyDescent="0.25">
      <c r="A25" t="s">
        <v>2371</v>
      </c>
      <c r="B25" t="s">
        <v>42</v>
      </c>
      <c r="C25" t="s">
        <v>26</v>
      </c>
      <c r="D25" t="s">
        <v>42</v>
      </c>
      <c r="E25" t="s">
        <v>2372</v>
      </c>
      <c r="F25" t="s">
        <v>2373</v>
      </c>
      <c r="G25">
        <v>98562300</v>
      </c>
      <c r="H25" t="s">
        <v>2366</v>
      </c>
      <c r="I25" s="4" t="s">
        <v>35</v>
      </c>
      <c r="J25" s="4" t="s">
        <v>2367</v>
      </c>
      <c r="K25" t="s">
        <v>2374</v>
      </c>
      <c r="L25" t="s">
        <v>77</v>
      </c>
      <c r="M25" t="s">
        <v>2375</v>
      </c>
      <c r="N25" t="s">
        <v>78</v>
      </c>
      <c r="O25" t="s">
        <v>43</v>
      </c>
      <c r="P25" t="s">
        <v>36</v>
      </c>
      <c r="Q25" t="s">
        <v>31</v>
      </c>
      <c r="R25">
        <v>7</v>
      </c>
      <c r="S25" t="s">
        <v>2376</v>
      </c>
      <c r="T25" t="s">
        <v>6414</v>
      </c>
      <c r="U25" t="s">
        <v>6415</v>
      </c>
      <c r="V25" t="s">
        <v>50</v>
      </c>
      <c r="W25" t="s">
        <v>33</v>
      </c>
      <c r="X25" t="s">
        <v>33</v>
      </c>
      <c r="Y25" t="s">
        <v>33</v>
      </c>
      <c r="Z25" s="5" t="s">
        <v>34</v>
      </c>
      <c r="AA25">
        <v>-75.632518669999996</v>
      </c>
      <c r="AB25">
        <v>6.0881332400000003</v>
      </c>
      <c r="AC25" t="s">
        <v>456</v>
      </c>
      <c r="AD25" t="s">
        <v>457</v>
      </c>
    </row>
    <row r="26" spans="1:30" x14ac:dyDescent="0.25">
      <c r="A26" t="s">
        <v>2377</v>
      </c>
      <c r="B26" t="s">
        <v>42</v>
      </c>
      <c r="C26" t="s">
        <v>26</v>
      </c>
      <c r="D26" t="s">
        <v>42</v>
      </c>
      <c r="E26" t="s">
        <v>2378</v>
      </c>
      <c r="F26" t="s">
        <v>2379</v>
      </c>
      <c r="G26">
        <v>98562300</v>
      </c>
      <c r="H26" t="s">
        <v>2366</v>
      </c>
      <c r="I26" s="4" t="s">
        <v>35</v>
      </c>
      <c r="J26" s="4" t="s">
        <v>2367</v>
      </c>
      <c r="K26" t="s">
        <v>2380</v>
      </c>
      <c r="L26" t="s">
        <v>77</v>
      </c>
      <c r="M26" t="s">
        <v>2381</v>
      </c>
      <c r="N26" t="s">
        <v>78</v>
      </c>
      <c r="O26" t="s">
        <v>43</v>
      </c>
      <c r="P26" t="s">
        <v>36</v>
      </c>
      <c r="Q26" t="s">
        <v>31</v>
      </c>
      <c r="R26">
        <v>7</v>
      </c>
      <c r="S26" t="s">
        <v>2382</v>
      </c>
      <c r="T26" t="s">
        <v>6416</v>
      </c>
      <c r="U26" t="s">
        <v>4895</v>
      </c>
      <c r="V26" t="s">
        <v>50</v>
      </c>
      <c r="W26" t="s">
        <v>33</v>
      </c>
      <c r="X26" t="s">
        <v>33</v>
      </c>
      <c r="Y26" t="s">
        <v>33</v>
      </c>
      <c r="Z26" s="5" t="s">
        <v>34</v>
      </c>
      <c r="AA26">
        <v>-75.632518669999996</v>
      </c>
      <c r="AB26">
        <v>6.0881332400000003</v>
      </c>
      <c r="AC26" t="s">
        <v>456</v>
      </c>
      <c r="AD26" t="s">
        <v>457</v>
      </c>
    </row>
    <row r="27" spans="1:30" x14ac:dyDescent="0.25">
      <c r="A27" t="s">
        <v>3531</v>
      </c>
      <c r="B27" t="s">
        <v>25</v>
      </c>
      <c r="C27" t="s">
        <v>26</v>
      </c>
      <c r="D27" t="s">
        <v>25</v>
      </c>
      <c r="E27" t="s">
        <v>3532</v>
      </c>
      <c r="F27" t="s">
        <v>3533</v>
      </c>
      <c r="G27">
        <v>43271228</v>
      </c>
      <c r="H27" t="s">
        <v>3534</v>
      </c>
      <c r="I27" s="4" t="s">
        <v>35</v>
      </c>
      <c r="J27" s="4" t="s">
        <v>3535</v>
      </c>
      <c r="K27" t="s">
        <v>3536</v>
      </c>
      <c r="L27" t="s">
        <v>27</v>
      </c>
      <c r="M27" t="s">
        <v>3537</v>
      </c>
      <c r="N27" t="s">
        <v>28</v>
      </c>
      <c r="O27" t="s">
        <v>29</v>
      </c>
      <c r="P27" t="s">
        <v>30</v>
      </c>
      <c r="Q27" t="s">
        <v>31</v>
      </c>
      <c r="R27">
        <v>7</v>
      </c>
      <c r="S27" t="s">
        <v>3538</v>
      </c>
      <c r="T27" t="s">
        <v>2490</v>
      </c>
      <c r="U27" t="s">
        <v>6417</v>
      </c>
      <c r="V27" t="s">
        <v>32</v>
      </c>
      <c r="W27" t="s">
        <v>33</v>
      </c>
      <c r="X27" t="s">
        <v>33</v>
      </c>
      <c r="Y27" t="s">
        <v>33</v>
      </c>
      <c r="Z27" s="5" t="s">
        <v>34</v>
      </c>
      <c r="AA27">
        <v>-75.542099359999995</v>
      </c>
      <c r="AB27">
        <v>6.2327710600000001</v>
      </c>
      <c r="AC27" t="s">
        <v>456</v>
      </c>
      <c r="AD27" t="s">
        <v>457</v>
      </c>
    </row>
    <row r="28" spans="1:30" x14ac:dyDescent="0.25">
      <c r="A28" t="s">
        <v>648</v>
      </c>
      <c r="B28" t="s">
        <v>25</v>
      </c>
      <c r="C28" t="s">
        <v>26</v>
      </c>
      <c r="D28" t="s">
        <v>25</v>
      </c>
      <c r="E28" t="s">
        <v>649</v>
      </c>
      <c r="F28" t="s">
        <v>650</v>
      </c>
      <c r="G28">
        <v>98582694</v>
      </c>
      <c r="H28" t="s">
        <v>651</v>
      </c>
      <c r="I28" s="4" t="s">
        <v>35</v>
      </c>
      <c r="J28" s="4" t="s">
        <v>652</v>
      </c>
      <c r="K28" t="s">
        <v>653</v>
      </c>
      <c r="L28" t="s">
        <v>27</v>
      </c>
      <c r="M28" t="s">
        <v>654</v>
      </c>
      <c r="N28" t="s">
        <v>28</v>
      </c>
      <c r="O28" t="s">
        <v>29</v>
      </c>
      <c r="P28" t="s">
        <v>37</v>
      </c>
      <c r="Q28" t="s">
        <v>38</v>
      </c>
      <c r="R28">
        <v>10</v>
      </c>
      <c r="S28" t="s">
        <v>655</v>
      </c>
      <c r="T28" t="s">
        <v>6418</v>
      </c>
      <c r="U28" t="s">
        <v>6419</v>
      </c>
      <c r="V28" t="s">
        <v>32</v>
      </c>
      <c r="W28" t="s">
        <v>33</v>
      </c>
      <c r="X28" t="s">
        <v>33</v>
      </c>
      <c r="Y28" t="s">
        <v>33</v>
      </c>
      <c r="Z28" s="5" t="s">
        <v>34</v>
      </c>
      <c r="AA28">
        <v>-75.524905709999999</v>
      </c>
      <c r="AB28">
        <v>6.2313653599999999</v>
      </c>
      <c r="AC28" t="s">
        <v>456</v>
      </c>
      <c r="AD28" t="s">
        <v>457</v>
      </c>
    </row>
    <row r="29" spans="1:30" x14ac:dyDescent="0.25">
      <c r="A29" t="s">
        <v>1979</v>
      </c>
      <c r="B29" t="s">
        <v>25</v>
      </c>
      <c r="C29" t="s">
        <v>26</v>
      </c>
      <c r="D29" t="s">
        <v>39</v>
      </c>
      <c r="E29" t="s">
        <v>1980</v>
      </c>
      <c r="F29" t="s">
        <v>1981</v>
      </c>
      <c r="G29">
        <v>71388550</v>
      </c>
      <c r="H29" t="s">
        <v>1982</v>
      </c>
      <c r="I29" s="4" t="s">
        <v>1983</v>
      </c>
      <c r="J29" s="4" t="s">
        <v>1984</v>
      </c>
      <c r="K29" t="s">
        <v>1985</v>
      </c>
      <c r="L29" t="s">
        <v>27</v>
      </c>
      <c r="M29" t="s">
        <v>1986</v>
      </c>
      <c r="N29" t="s">
        <v>28</v>
      </c>
      <c r="O29" t="s">
        <v>40</v>
      </c>
      <c r="P29" t="s">
        <v>41</v>
      </c>
      <c r="Q29" t="s">
        <v>31</v>
      </c>
      <c r="R29">
        <v>5</v>
      </c>
      <c r="S29" t="s">
        <v>1987</v>
      </c>
      <c r="T29" t="s">
        <v>6420</v>
      </c>
      <c r="U29" t="s">
        <v>6421</v>
      </c>
      <c r="V29" t="s">
        <v>50</v>
      </c>
      <c r="W29" t="s">
        <v>33</v>
      </c>
      <c r="X29" t="s">
        <v>33</v>
      </c>
      <c r="Y29" t="s">
        <v>33</v>
      </c>
      <c r="Z29" s="5" t="s">
        <v>34</v>
      </c>
      <c r="AA29">
        <v>-75.603645720000003</v>
      </c>
      <c r="AB29">
        <v>6.2741341999999998</v>
      </c>
      <c r="AC29" t="s">
        <v>456</v>
      </c>
      <c r="AD29" t="s">
        <v>457</v>
      </c>
    </row>
    <row r="30" spans="1:30" x14ac:dyDescent="0.25">
      <c r="A30" t="s">
        <v>1988</v>
      </c>
      <c r="B30" t="s">
        <v>25</v>
      </c>
      <c r="C30" t="s">
        <v>26</v>
      </c>
      <c r="D30" t="s">
        <v>39</v>
      </c>
      <c r="E30" t="s">
        <v>1989</v>
      </c>
      <c r="F30" t="s">
        <v>1990</v>
      </c>
      <c r="G30">
        <v>71388550</v>
      </c>
      <c r="H30" t="s">
        <v>1982</v>
      </c>
      <c r="I30" s="4" t="s">
        <v>1983</v>
      </c>
      <c r="J30" s="4" t="s">
        <v>1984</v>
      </c>
      <c r="K30" t="s">
        <v>1991</v>
      </c>
      <c r="L30" t="s">
        <v>27</v>
      </c>
      <c r="M30" t="s">
        <v>1992</v>
      </c>
      <c r="N30" t="s">
        <v>28</v>
      </c>
      <c r="O30" t="s">
        <v>40</v>
      </c>
      <c r="P30" t="s">
        <v>41</v>
      </c>
      <c r="Q30" t="s">
        <v>31</v>
      </c>
      <c r="R30">
        <v>5</v>
      </c>
      <c r="S30" t="s">
        <v>1993</v>
      </c>
      <c r="T30" t="s">
        <v>6422</v>
      </c>
      <c r="U30" t="s">
        <v>6423</v>
      </c>
      <c r="V30" t="s">
        <v>50</v>
      </c>
      <c r="W30" t="s">
        <v>33</v>
      </c>
      <c r="X30" t="s">
        <v>33</v>
      </c>
      <c r="Y30" t="s">
        <v>33</v>
      </c>
      <c r="Z30" s="5" t="s">
        <v>34</v>
      </c>
      <c r="AA30">
        <v>-75.603645720000003</v>
      </c>
      <c r="AB30">
        <v>6.2741341999999998</v>
      </c>
      <c r="AC30" t="s">
        <v>456</v>
      </c>
      <c r="AD30" t="s">
        <v>457</v>
      </c>
    </row>
    <row r="31" spans="1:30" x14ac:dyDescent="0.25">
      <c r="A31" t="s">
        <v>1994</v>
      </c>
      <c r="B31" t="s">
        <v>25</v>
      </c>
      <c r="C31" t="s">
        <v>26</v>
      </c>
      <c r="D31" t="s">
        <v>39</v>
      </c>
      <c r="E31" t="s">
        <v>1995</v>
      </c>
      <c r="F31" t="s">
        <v>1996</v>
      </c>
      <c r="G31">
        <v>71388550</v>
      </c>
      <c r="H31" t="s">
        <v>1982</v>
      </c>
      <c r="I31" s="4" t="s">
        <v>1983</v>
      </c>
      <c r="J31" s="4" t="s">
        <v>1984</v>
      </c>
      <c r="K31" t="s">
        <v>1997</v>
      </c>
      <c r="L31" t="s">
        <v>27</v>
      </c>
      <c r="M31" t="s">
        <v>1998</v>
      </c>
      <c r="N31" t="s">
        <v>28</v>
      </c>
      <c r="O31" t="s">
        <v>40</v>
      </c>
      <c r="P31" t="s">
        <v>41</v>
      </c>
      <c r="Q31" t="s">
        <v>31</v>
      </c>
      <c r="R31">
        <v>5</v>
      </c>
      <c r="S31" t="s">
        <v>1999</v>
      </c>
      <c r="T31" t="s">
        <v>6424</v>
      </c>
      <c r="U31" t="s">
        <v>6425</v>
      </c>
      <c r="V31" t="s">
        <v>50</v>
      </c>
      <c r="W31" t="s">
        <v>33</v>
      </c>
      <c r="X31" t="s">
        <v>33</v>
      </c>
      <c r="Y31" t="s">
        <v>33</v>
      </c>
      <c r="Z31" s="5" t="s">
        <v>34</v>
      </c>
      <c r="AA31">
        <v>-75.603516999999997</v>
      </c>
      <c r="AB31">
        <v>6.2738500000000004</v>
      </c>
      <c r="AC31" t="s">
        <v>456</v>
      </c>
      <c r="AD31" t="s">
        <v>457</v>
      </c>
    </row>
    <row r="32" spans="1:30" x14ac:dyDescent="0.25">
      <c r="A32" t="s">
        <v>2000</v>
      </c>
      <c r="B32" t="s">
        <v>25</v>
      </c>
      <c r="C32" t="s">
        <v>26</v>
      </c>
      <c r="D32" t="s">
        <v>39</v>
      </c>
      <c r="E32" t="s">
        <v>2001</v>
      </c>
      <c r="F32" t="s">
        <v>2002</v>
      </c>
      <c r="G32">
        <v>71388550</v>
      </c>
      <c r="H32" t="s">
        <v>1982</v>
      </c>
      <c r="I32" s="4" t="s">
        <v>1983</v>
      </c>
      <c r="J32" s="4" t="s">
        <v>1984</v>
      </c>
      <c r="K32" t="s">
        <v>2003</v>
      </c>
      <c r="L32" t="s">
        <v>27</v>
      </c>
      <c r="M32" t="s">
        <v>2004</v>
      </c>
      <c r="N32" t="s">
        <v>28</v>
      </c>
      <c r="O32" t="s">
        <v>40</v>
      </c>
      <c r="P32" t="s">
        <v>41</v>
      </c>
      <c r="Q32" t="s">
        <v>31</v>
      </c>
      <c r="R32">
        <v>5</v>
      </c>
      <c r="S32" t="s">
        <v>2005</v>
      </c>
      <c r="T32" t="s">
        <v>6426</v>
      </c>
      <c r="U32" t="s">
        <v>6427</v>
      </c>
      <c r="V32" t="s">
        <v>50</v>
      </c>
      <c r="W32" t="s">
        <v>33</v>
      </c>
      <c r="X32" t="s">
        <v>33</v>
      </c>
      <c r="Y32" t="s">
        <v>33</v>
      </c>
      <c r="Z32" s="5" t="s">
        <v>34</v>
      </c>
      <c r="AA32">
        <v>-75.603516999999997</v>
      </c>
      <c r="AB32">
        <v>6.2738500000000004</v>
      </c>
      <c r="AC32" t="s">
        <v>456</v>
      </c>
      <c r="AD32" t="s">
        <v>457</v>
      </c>
    </row>
    <row r="33" spans="1:30" x14ac:dyDescent="0.25">
      <c r="A33" t="s">
        <v>5173</v>
      </c>
      <c r="B33" t="s">
        <v>25</v>
      </c>
      <c r="C33" t="s">
        <v>26</v>
      </c>
      <c r="D33" t="s">
        <v>39</v>
      </c>
      <c r="E33" t="s">
        <v>5174</v>
      </c>
      <c r="F33" t="s">
        <v>5175</v>
      </c>
      <c r="G33">
        <v>32419380</v>
      </c>
      <c r="H33" t="s">
        <v>5176</v>
      </c>
      <c r="I33" s="4" t="s">
        <v>5177</v>
      </c>
      <c r="J33" s="4" t="s">
        <v>5178</v>
      </c>
      <c r="K33" t="s">
        <v>5179</v>
      </c>
      <c r="L33" t="s">
        <v>27</v>
      </c>
      <c r="M33" t="s">
        <v>5180</v>
      </c>
      <c r="N33" t="s">
        <v>28</v>
      </c>
      <c r="O33" t="s">
        <v>40</v>
      </c>
      <c r="P33" t="s">
        <v>41</v>
      </c>
      <c r="Q33" t="s">
        <v>31</v>
      </c>
      <c r="R33">
        <v>5</v>
      </c>
      <c r="S33" t="s">
        <v>5181</v>
      </c>
      <c r="T33" t="s">
        <v>6428</v>
      </c>
      <c r="U33" t="s">
        <v>6429</v>
      </c>
      <c r="V33" t="s">
        <v>32</v>
      </c>
      <c r="W33" t="s">
        <v>33</v>
      </c>
      <c r="X33" t="s">
        <v>33</v>
      </c>
      <c r="Y33" t="s">
        <v>33</v>
      </c>
      <c r="Z33" s="5" t="s">
        <v>34</v>
      </c>
      <c r="AA33">
        <v>-75.528789360000005</v>
      </c>
      <c r="AB33">
        <v>6.2353311500000004</v>
      </c>
      <c r="AC33" t="s">
        <v>456</v>
      </c>
      <c r="AD33" t="s">
        <v>457</v>
      </c>
    </row>
    <row r="34" spans="1:30" x14ac:dyDescent="0.25">
      <c r="A34" t="s">
        <v>2383</v>
      </c>
      <c r="B34" t="s">
        <v>25</v>
      </c>
      <c r="C34" t="s">
        <v>26</v>
      </c>
      <c r="D34" t="s">
        <v>39</v>
      </c>
      <c r="E34" t="s">
        <v>2384</v>
      </c>
      <c r="F34" t="s">
        <v>2385</v>
      </c>
      <c r="G34">
        <v>98766041</v>
      </c>
      <c r="H34" t="s">
        <v>2386</v>
      </c>
      <c r="I34" s="4" t="s">
        <v>35</v>
      </c>
      <c r="J34" s="4" t="s">
        <v>2387</v>
      </c>
      <c r="K34" t="s">
        <v>2388</v>
      </c>
      <c r="L34" t="s">
        <v>27</v>
      </c>
      <c r="M34" t="s">
        <v>2389</v>
      </c>
      <c r="N34" t="s">
        <v>28</v>
      </c>
      <c r="O34" t="s">
        <v>46</v>
      </c>
      <c r="P34" t="s">
        <v>41</v>
      </c>
      <c r="Q34" t="s">
        <v>38</v>
      </c>
      <c r="R34">
        <v>8</v>
      </c>
      <c r="S34" t="s">
        <v>2390</v>
      </c>
      <c r="T34" t="s">
        <v>6430</v>
      </c>
      <c r="U34" t="s">
        <v>6431</v>
      </c>
      <c r="V34" t="s">
        <v>32</v>
      </c>
      <c r="W34" t="s">
        <v>33</v>
      </c>
      <c r="X34" t="s">
        <v>33</v>
      </c>
      <c r="Y34" t="s">
        <v>33</v>
      </c>
      <c r="Z34" s="5" t="s">
        <v>34</v>
      </c>
      <c r="AA34">
        <v>-75.484250259999996</v>
      </c>
      <c r="AB34">
        <v>6.2364157999999996</v>
      </c>
      <c r="AC34" t="s">
        <v>456</v>
      </c>
      <c r="AD34" t="s">
        <v>457</v>
      </c>
    </row>
    <row r="35" spans="1:30" x14ac:dyDescent="0.25">
      <c r="A35" t="s">
        <v>458</v>
      </c>
      <c r="B35" t="s">
        <v>25</v>
      </c>
      <c r="C35" t="s">
        <v>26</v>
      </c>
      <c r="D35" t="s">
        <v>39</v>
      </c>
      <c r="E35" t="s">
        <v>56</v>
      </c>
      <c r="F35" t="s">
        <v>57</v>
      </c>
      <c r="G35">
        <v>43321359</v>
      </c>
      <c r="H35" t="s">
        <v>58</v>
      </c>
      <c r="I35" s="4" t="s">
        <v>35</v>
      </c>
      <c r="J35" s="4" t="s">
        <v>59</v>
      </c>
      <c r="K35" t="s">
        <v>60</v>
      </c>
      <c r="L35" t="s">
        <v>61</v>
      </c>
      <c r="M35" t="s">
        <v>62</v>
      </c>
      <c r="N35" t="s">
        <v>63</v>
      </c>
      <c r="O35" t="s">
        <v>40</v>
      </c>
      <c r="P35" t="s">
        <v>36</v>
      </c>
      <c r="Q35" t="s">
        <v>38</v>
      </c>
      <c r="R35">
        <v>8</v>
      </c>
      <c r="S35" t="s">
        <v>64</v>
      </c>
      <c r="T35" t="s">
        <v>6432</v>
      </c>
      <c r="U35" t="s">
        <v>47</v>
      </c>
      <c r="V35" t="s">
        <v>47</v>
      </c>
      <c r="W35" t="s">
        <v>33</v>
      </c>
      <c r="X35" t="s">
        <v>33</v>
      </c>
      <c r="Y35" t="s">
        <v>33</v>
      </c>
      <c r="Z35" s="5" t="s">
        <v>34</v>
      </c>
      <c r="AA35">
        <v>-75.631912270000001</v>
      </c>
      <c r="AB35">
        <v>6.1167776099999998</v>
      </c>
      <c r="AC35" t="s">
        <v>456</v>
      </c>
      <c r="AD35" t="s">
        <v>457</v>
      </c>
    </row>
    <row r="36" spans="1:30" x14ac:dyDescent="0.25">
      <c r="A36" t="s">
        <v>459</v>
      </c>
      <c r="B36" t="s">
        <v>25</v>
      </c>
      <c r="C36" t="s">
        <v>26</v>
      </c>
      <c r="D36" t="s">
        <v>39</v>
      </c>
      <c r="E36" t="s">
        <v>65</v>
      </c>
      <c r="F36" t="s">
        <v>66</v>
      </c>
      <c r="G36">
        <v>43321359</v>
      </c>
      <c r="H36" t="s">
        <v>58</v>
      </c>
      <c r="I36" s="4" t="s">
        <v>35</v>
      </c>
      <c r="J36" s="4" t="s">
        <v>59</v>
      </c>
      <c r="K36" t="s">
        <v>67</v>
      </c>
      <c r="L36" t="s">
        <v>61</v>
      </c>
      <c r="M36" t="s">
        <v>68</v>
      </c>
      <c r="N36" t="s">
        <v>63</v>
      </c>
      <c r="O36" t="s">
        <v>40</v>
      </c>
      <c r="P36" t="s">
        <v>36</v>
      </c>
      <c r="Q36" t="s">
        <v>38</v>
      </c>
      <c r="R36">
        <v>8</v>
      </c>
      <c r="S36" t="s">
        <v>69</v>
      </c>
      <c r="T36" t="s">
        <v>6433</v>
      </c>
      <c r="U36" t="s">
        <v>47</v>
      </c>
      <c r="V36" t="s">
        <v>47</v>
      </c>
      <c r="W36" t="s">
        <v>33</v>
      </c>
      <c r="X36" t="s">
        <v>33</v>
      </c>
      <c r="Y36" t="s">
        <v>33</v>
      </c>
      <c r="Z36" s="5" t="s">
        <v>34</v>
      </c>
      <c r="AA36">
        <v>-75.631912270000001</v>
      </c>
      <c r="AB36">
        <v>6.1167776099999998</v>
      </c>
      <c r="AC36" t="s">
        <v>456</v>
      </c>
      <c r="AD36" t="s">
        <v>457</v>
      </c>
    </row>
    <row r="37" spans="1:30" x14ac:dyDescent="0.25">
      <c r="A37" t="s">
        <v>460</v>
      </c>
      <c r="B37" t="s">
        <v>25</v>
      </c>
      <c r="C37" t="s">
        <v>26</v>
      </c>
      <c r="D37" t="s">
        <v>39</v>
      </c>
      <c r="E37" t="s">
        <v>70</v>
      </c>
      <c r="F37" t="s">
        <v>71</v>
      </c>
      <c r="G37">
        <v>71392465</v>
      </c>
      <c r="H37" t="s">
        <v>72</v>
      </c>
      <c r="I37" s="4" t="s">
        <v>35</v>
      </c>
      <c r="J37" s="4" t="s">
        <v>73</v>
      </c>
      <c r="K37" t="s">
        <v>74</v>
      </c>
      <c r="L37" t="s">
        <v>61</v>
      </c>
      <c r="M37" t="s">
        <v>75</v>
      </c>
      <c r="N37" t="s">
        <v>63</v>
      </c>
      <c r="O37" t="s">
        <v>40</v>
      </c>
      <c r="P37" t="s">
        <v>36</v>
      </c>
      <c r="Q37" t="s">
        <v>38</v>
      </c>
      <c r="R37">
        <v>8</v>
      </c>
      <c r="S37" t="s">
        <v>76</v>
      </c>
      <c r="T37" t="s">
        <v>6434</v>
      </c>
      <c r="U37" t="s">
        <v>47</v>
      </c>
      <c r="V37" t="s">
        <v>47</v>
      </c>
      <c r="W37" t="s">
        <v>33</v>
      </c>
      <c r="X37" t="s">
        <v>33</v>
      </c>
      <c r="Y37" t="s">
        <v>33</v>
      </c>
      <c r="Z37" s="5" t="s">
        <v>34</v>
      </c>
      <c r="AA37">
        <v>-75.629416120000002</v>
      </c>
      <c r="AB37">
        <v>6.1161046900000002</v>
      </c>
      <c r="AC37" t="s">
        <v>456</v>
      </c>
      <c r="AD37" t="s">
        <v>457</v>
      </c>
    </row>
    <row r="38" spans="1:30" x14ac:dyDescent="0.25">
      <c r="A38" t="s">
        <v>657</v>
      </c>
      <c r="B38" t="s">
        <v>25</v>
      </c>
      <c r="C38" t="s">
        <v>26</v>
      </c>
      <c r="D38" t="s">
        <v>39</v>
      </c>
      <c r="E38" t="s">
        <v>658</v>
      </c>
      <c r="F38" t="s">
        <v>659</v>
      </c>
      <c r="G38">
        <v>1026133067</v>
      </c>
      <c r="H38" t="s">
        <v>660</v>
      </c>
      <c r="I38" s="4" t="s">
        <v>35</v>
      </c>
      <c r="J38" s="4" t="s">
        <v>423</v>
      </c>
      <c r="K38" t="s">
        <v>661</v>
      </c>
      <c r="L38" t="s">
        <v>77</v>
      </c>
      <c r="M38" t="s">
        <v>662</v>
      </c>
      <c r="N38" t="s">
        <v>78</v>
      </c>
      <c r="O38" t="s">
        <v>40</v>
      </c>
      <c r="P38" t="s">
        <v>36</v>
      </c>
      <c r="Q38" t="s">
        <v>31</v>
      </c>
      <c r="R38">
        <v>5</v>
      </c>
      <c r="S38" t="s">
        <v>663</v>
      </c>
      <c r="T38" t="s">
        <v>6435</v>
      </c>
      <c r="U38" t="s">
        <v>47</v>
      </c>
      <c r="V38" t="s">
        <v>47</v>
      </c>
      <c r="W38" t="s">
        <v>33</v>
      </c>
      <c r="X38" t="s">
        <v>33</v>
      </c>
      <c r="Y38" t="s">
        <v>33</v>
      </c>
      <c r="Z38" s="5" t="s">
        <v>34</v>
      </c>
      <c r="AA38">
        <v>-75.634807350000003</v>
      </c>
      <c r="AB38">
        <v>6.0763302000000001</v>
      </c>
      <c r="AC38" t="s">
        <v>456</v>
      </c>
      <c r="AD38" t="s">
        <v>457</v>
      </c>
    </row>
    <row r="39" spans="1:30" x14ac:dyDescent="0.25">
      <c r="A39" t="s">
        <v>664</v>
      </c>
      <c r="B39" t="s">
        <v>25</v>
      </c>
      <c r="C39" t="s">
        <v>26</v>
      </c>
      <c r="D39" t="s">
        <v>25</v>
      </c>
      <c r="E39" t="s">
        <v>665</v>
      </c>
      <c r="F39" t="s">
        <v>666</v>
      </c>
      <c r="G39">
        <v>1128461918</v>
      </c>
      <c r="H39" t="s">
        <v>667</v>
      </c>
      <c r="I39" s="4" t="s">
        <v>35</v>
      </c>
      <c r="J39" s="4" t="s">
        <v>668</v>
      </c>
      <c r="K39" t="s">
        <v>669</v>
      </c>
      <c r="L39" t="s">
        <v>77</v>
      </c>
      <c r="M39" t="s">
        <v>670</v>
      </c>
      <c r="N39" t="s">
        <v>78</v>
      </c>
      <c r="O39" t="s">
        <v>29</v>
      </c>
      <c r="P39" t="s">
        <v>36</v>
      </c>
      <c r="Q39" t="s">
        <v>38</v>
      </c>
      <c r="R39">
        <v>10</v>
      </c>
      <c r="S39" t="s">
        <v>671</v>
      </c>
      <c r="T39" t="s">
        <v>6436</v>
      </c>
      <c r="U39" t="s">
        <v>6437</v>
      </c>
      <c r="V39" t="s">
        <v>32</v>
      </c>
      <c r="W39" t="s">
        <v>33</v>
      </c>
      <c r="X39" t="s">
        <v>33</v>
      </c>
      <c r="Y39" t="s">
        <v>33</v>
      </c>
      <c r="Z39" s="5" t="s">
        <v>34</v>
      </c>
      <c r="AA39">
        <v>-75.635639749999996</v>
      </c>
      <c r="AB39">
        <v>6.0736636800000001</v>
      </c>
      <c r="AC39" t="s">
        <v>456</v>
      </c>
      <c r="AD39" t="s">
        <v>457</v>
      </c>
    </row>
    <row r="40" spans="1:30" x14ac:dyDescent="0.25">
      <c r="A40" t="s">
        <v>672</v>
      </c>
      <c r="B40" t="s">
        <v>25</v>
      </c>
      <c r="C40" t="s">
        <v>26</v>
      </c>
      <c r="D40" t="s">
        <v>25</v>
      </c>
      <c r="E40" t="s">
        <v>673</v>
      </c>
      <c r="F40" t="s">
        <v>674</v>
      </c>
      <c r="G40">
        <v>1128461918</v>
      </c>
      <c r="H40" t="s">
        <v>667</v>
      </c>
      <c r="I40" s="4" t="s">
        <v>35</v>
      </c>
      <c r="J40" s="4" t="s">
        <v>668</v>
      </c>
      <c r="K40" t="s">
        <v>675</v>
      </c>
      <c r="L40" t="s">
        <v>27</v>
      </c>
      <c r="M40" t="s">
        <v>676</v>
      </c>
      <c r="N40" t="s">
        <v>28</v>
      </c>
      <c r="O40" t="s">
        <v>29</v>
      </c>
      <c r="P40" t="s">
        <v>36</v>
      </c>
      <c r="Q40" t="s">
        <v>38</v>
      </c>
      <c r="R40">
        <v>10</v>
      </c>
      <c r="S40" t="s">
        <v>677</v>
      </c>
      <c r="T40" t="s">
        <v>6436</v>
      </c>
      <c r="U40" t="s">
        <v>6437</v>
      </c>
      <c r="V40" t="s">
        <v>32</v>
      </c>
      <c r="W40" t="s">
        <v>33</v>
      </c>
      <c r="X40" t="s">
        <v>33</v>
      </c>
      <c r="Y40" t="s">
        <v>33</v>
      </c>
      <c r="Z40" s="5" t="s">
        <v>34</v>
      </c>
      <c r="AA40">
        <v>-75.610884501000001</v>
      </c>
      <c r="AB40">
        <v>6.2574398200000596</v>
      </c>
      <c r="AC40" t="s">
        <v>456</v>
      </c>
      <c r="AD40" t="s">
        <v>457</v>
      </c>
    </row>
    <row r="41" spans="1:30" x14ac:dyDescent="0.25">
      <c r="A41" t="s">
        <v>678</v>
      </c>
      <c r="B41" t="s">
        <v>25</v>
      </c>
      <c r="C41" t="s">
        <v>26</v>
      </c>
      <c r="D41" t="s">
        <v>25</v>
      </c>
      <c r="E41" t="s">
        <v>679</v>
      </c>
      <c r="F41" t="s">
        <v>680</v>
      </c>
      <c r="G41">
        <v>1128461918</v>
      </c>
      <c r="H41" t="s">
        <v>667</v>
      </c>
      <c r="I41" s="4" t="s">
        <v>35</v>
      </c>
      <c r="J41" s="4" t="s">
        <v>668</v>
      </c>
      <c r="K41" t="s">
        <v>681</v>
      </c>
      <c r="L41" t="s">
        <v>77</v>
      </c>
      <c r="M41" t="s">
        <v>682</v>
      </c>
      <c r="N41" t="s">
        <v>78</v>
      </c>
      <c r="O41" t="s">
        <v>29</v>
      </c>
      <c r="P41" t="s">
        <v>36</v>
      </c>
      <c r="Q41" t="s">
        <v>38</v>
      </c>
      <c r="R41">
        <v>10</v>
      </c>
      <c r="S41" t="s">
        <v>683</v>
      </c>
      <c r="T41" t="s">
        <v>6438</v>
      </c>
      <c r="U41" t="s">
        <v>727</v>
      </c>
      <c r="V41" t="s">
        <v>32</v>
      </c>
      <c r="W41" t="s">
        <v>33</v>
      </c>
      <c r="X41" t="s">
        <v>33</v>
      </c>
      <c r="Y41" t="s">
        <v>33</v>
      </c>
      <c r="Z41" s="5" t="s">
        <v>34</v>
      </c>
      <c r="AA41">
        <v>-75.635639749999996</v>
      </c>
      <c r="AB41">
        <v>6.0736636800000001</v>
      </c>
      <c r="AC41" t="s">
        <v>456</v>
      </c>
      <c r="AD41" t="s">
        <v>457</v>
      </c>
    </row>
    <row r="42" spans="1:30" x14ac:dyDescent="0.25">
      <c r="A42" t="s">
        <v>684</v>
      </c>
      <c r="B42" t="s">
        <v>25</v>
      </c>
      <c r="C42" t="s">
        <v>26</v>
      </c>
      <c r="D42" t="s">
        <v>39</v>
      </c>
      <c r="E42" t="s">
        <v>685</v>
      </c>
      <c r="F42" t="s">
        <v>686</v>
      </c>
      <c r="G42">
        <v>1152704372</v>
      </c>
      <c r="H42" t="s">
        <v>687</v>
      </c>
      <c r="I42" s="4" t="s">
        <v>688</v>
      </c>
      <c r="J42" s="4" t="s">
        <v>689</v>
      </c>
      <c r="K42" t="s">
        <v>690</v>
      </c>
      <c r="L42" t="s">
        <v>27</v>
      </c>
      <c r="M42" t="s">
        <v>691</v>
      </c>
      <c r="N42" t="s">
        <v>28</v>
      </c>
      <c r="O42" t="s">
        <v>40</v>
      </c>
      <c r="P42" t="s">
        <v>41</v>
      </c>
      <c r="Q42" t="s">
        <v>38</v>
      </c>
      <c r="R42">
        <v>8</v>
      </c>
      <c r="S42" t="s">
        <v>692</v>
      </c>
      <c r="T42" t="s">
        <v>5312</v>
      </c>
      <c r="U42" t="s">
        <v>646</v>
      </c>
      <c r="V42" t="s">
        <v>50</v>
      </c>
      <c r="W42" t="s">
        <v>33</v>
      </c>
      <c r="X42" t="s">
        <v>33</v>
      </c>
      <c r="Y42" t="s">
        <v>33</v>
      </c>
      <c r="Z42" s="5" t="s">
        <v>34</v>
      </c>
      <c r="AA42">
        <v>-75.477000680000003</v>
      </c>
      <c r="AB42">
        <v>6.2314278099999996</v>
      </c>
      <c r="AC42" t="s">
        <v>456</v>
      </c>
      <c r="AD42" t="s">
        <v>457</v>
      </c>
    </row>
    <row r="43" spans="1:30" x14ac:dyDescent="0.25">
      <c r="A43" t="s">
        <v>2998</v>
      </c>
      <c r="B43" t="s">
        <v>25</v>
      </c>
      <c r="C43" t="s">
        <v>26</v>
      </c>
      <c r="D43" t="s">
        <v>25</v>
      </c>
      <c r="E43" t="s">
        <v>2999</v>
      </c>
      <c r="F43" t="s">
        <v>3000</v>
      </c>
      <c r="G43">
        <v>1037618997</v>
      </c>
      <c r="H43" t="s">
        <v>3001</v>
      </c>
      <c r="I43" s="4" t="s">
        <v>3002</v>
      </c>
      <c r="J43" s="4" t="s">
        <v>3003</v>
      </c>
      <c r="K43" t="s">
        <v>3004</v>
      </c>
      <c r="L43" t="s">
        <v>49</v>
      </c>
      <c r="M43" t="s">
        <v>3005</v>
      </c>
      <c r="N43" t="s">
        <v>84</v>
      </c>
      <c r="O43" t="s">
        <v>29</v>
      </c>
      <c r="P43" t="s">
        <v>37</v>
      </c>
      <c r="Q43" t="s">
        <v>31</v>
      </c>
      <c r="R43">
        <v>7</v>
      </c>
      <c r="S43" t="s">
        <v>3006</v>
      </c>
      <c r="T43" t="s">
        <v>4848</v>
      </c>
      <c r="U43" t="s">
        <v>2816</v>
      </c>
      <c r="V43" t="s">
        <v>32</v>
      </c>
      <c r="W43" t="s">
        <v>33</v>
      </c>
      <c r="X43" t="s">
        <v>33</v>
      </c>
      <c r="Y43" t="s">
        <v>33</v>
      </c>
      <c r="Z43" s="5" t="s">
        <v>34</v>
      </c>
      <c r="AA43">
        <v>-75.595409230000001</v>
      </c>
      <c r="AB43">
        <v>6.1602441900000002</v>
      </c>
      <c r="AC43" t="s">
        <v>456</v>
      </c>
      <c r="AD43" t="s">
        <v>457</v>
      </c>
    </row>
    <row r="44" spans="1:30" x14ac:dyDescent="0.25">
      <c r="A44" t="s">
        <v>693</v>
      </c>
      <c r="B44" t="s">
        <v>25</v>
      </c>
      <c r="C44" t="s">
        <v>166</v>
      </c>
      <c r="D44" t="s">
        <v>25</v>
      </c>
      <c r="E44" t="s">
        <v>694</v>
      </c>
      <c r="F44" t="s">
        <v>695</v>
      </c>
      <c r="G44">
        <v>32799355</v>
      </c>
      <c r="H44" t="s">
        <v>696</v>
      </c>
      <c r="I44" s="4" t="s">
        <v>35</v>
      </c>
      <c r="J44" s="4" t="s">
        <v>697</v>
      </c>
      <c r="K44" t="s">
        <v>698</v>
      </c>
      <c r="L44" t="s">
        <v>49</v>
      </c>
      <c r="M44" t="s">
        <v>699</v>
      </c>
      <c r="N44" t="s">
        <v>84</v>
      </c>
      <c r="O44" t="s">
        <v>467</v>
      </c>
      <c r="P44" t="s">
        <v>30</v>
      </c>
      <c r="Q44" t="s">
        <v>38</v>
      </c>
      <c r="R44">
        <v>10</v>
      </c>
      <c r="S44" t="s">
        <v>700</v>
      </c>
      <c r="T44" t="s">
        <v>6439</v>
      </c>
      <c r="U44" t="s">
        <v>6440</v>
      </c>
      <c r="V44" t="s">
        <v>50</v>
      </c>
      <c r="W44" t="s">
        <v>33</v>
      </c>
      <c r="X44" t="s">
        <v>33</v>
      </c>
      <c r="Y44" t="s">
        <v>33</v>
      </c>
      <c r="Z44" s="5" t="s">
        <v>34</v>
      </c>
      <c r="AA44">
        <v>-75.546239</v>
      </c>
      <c r="AB44">
        <v>6.1506759999999998</v>
      </c>
      <c r="AC44" t="s">
        <v>456</v>
      </c>
      <c r="AD44" t="s">
        <v>457</v>
      </c>
    </row>
    <row r="45" spans="1:30" x14ac:dyDescent="0.25">
      <c r="A45" t="s">
        <v>3007</v>
      </c>
      <c r="B45" t="s">
        <v>42</v>
      </c>
      <c r="C45" t="s">
        <v>26</v>
      </c>
      <c r="D45" t="s">
        <v>42</v>
      </c>
      <c r="E45" t="s">
        <v>3008</v>
      </c>
      <c r="F45" t="s">
        <v>3009</v>
      </c>
      <c r="G45">
        <v>70811061</v>
      </c>
      <c r="H45" t="s">
        <v>3010</v>
      </c>
      <c r="I45" s="4" t="s">
        <v>35</v>
      </c>
      <c r="J45" s="4" t="s">
        <v>922</v>
      </c>
      <c r="K45" t="s">
        <v>3011</v>
      </c>
      <c r="L45" t="s">
        <v>79</v>
      </c>
      <c r="M45" t="s">
        <v>3012</v>
      </c>
      <c r="N45" t="s">
        <v>80</v>
      </c>
      <c r="O45" t="s">
        <v>43</v>
      </c>
      <c r="P45" t="s">
        <v>37</v>
      </c>
      <c r="Q45" t="s">
        <v>31</v>
      </c>
      <c r="R45">
        <v>7</v>
      </c>
      <c r="S45" t="s">
        <v>3013</v>
      </c>
      <c r="T45" t="s">
        <v>6441</v>
      </c>
      <c r="U45" t="s">
        <v>6442</v>
      </c>
      <c r="V45" t="s">
        <v>50</v>
      </c>
      <c r="W45" t="s">
        <v>33</v>
      </c>
      <c r="X45" t="s">
        <v>33</v>
      </c>
      <c r="Y45" t="s">
        <v>33</v>
      </c>
      <c r="Z45" s="5" t="s">
        <v>34</v>
      </c>
      <c r="AA45">
        <v>-75.621694899999994</v>
      </c>
      <c r="AB45">
        <v>6.1527560699999997</v>
      </c>
      <c r="AC45" t="s">
        <v>456</v>
      </c>
      <c r="AD45" t="s">
        <v>457</v>
      </c>
    </row>
    <row r="46" spans="1:30" x14ac:dyDescent="0.25">
      <c r="A46" t="s">
        <v>7850</v>
      </c>
      <c r="B46" t="s">
        <v>25</v>
      </c>
      <c r="C46" t="s">
        <v>26</v>
      </c>
      <c r="D46" t="s">
        <v>25</v>
      </c>
      <c r="E46" t="s">
        <v>7851</v>
      </c>
      <c r="F46" t="s">
        <v>7852</v>
      </c>
      <c r="G46">
        <v>71295944</v>
      </c>
      <c r="H46" t="s">
        <v>7853</v>
      </c>
      <c r="I46" s="4" t="s">
        <v>7854</v>
      </c>
      <c r="J46" s="4" t="s">
        <v>7855</v>
      </c>
      <c r="K46" t="s">
        <v>7856</v>
      </c>
      <c r="L46" t="s">
        <v>61</v>
      </c>
      <c r="M46" t="s">
        <v>7857</v>
      </c>
      <c r="N46" t="s">
        <v>63</v>
      </c>
      <c r="O46" t="s">
        <v>29</v>
      </c>
      <c r="P46" t="s">
        <v>55</v>
      </c>
      <c r="Q46" t="s">
        <v>38</v>
      </c>
      <c r="R46">
        <v>10</v>
      </c>
      <c r="S46" t="s">
        <v>7858</v>
      </c>
      <c r="T46" t="s">
        <v>7859</v>
      </c>
      <c r="U46" t="s">
        <v>7860</v>
      </c>
      <c r="V46" t="s">
        <v>32</v>
      </c>
      <c r="W46" t="s">
        <v>33</v>
      </c>
      <c r="X46" t="s">
        <v>33</v>
      </c>
      <c r="Y46" t="s">
        <v>33</v>
      </c>
      <c r="Z46" s="5" t="s">
        <v>34</v>
      </c>
      <c r="AA46">
        <v>-75.65706978</v>
      </c>
      <c r="AB46">
        <v>6.1663872900000003</v>
      </c>
      <c r="AC46" t="s">
        <v>456</v>
      </c>
      <c r="AD46" t="s">
        <v>457</v>
      </c>
    </row>
    <row r="47" spans="1:30" x14ac:dyDescent="0.25">
      <c r="A47" t="s">
        <v>4658</v>
      </c>
      <c r="B47" t="s">
        <v>25</v>
      </c>
      <c r="C47" t="s">
        <v>26</v>
      </c>
      <c r="D47" t="s">
        <v>39</v>
      </c>
      <c r="E47" t="s">
        <v>4659</v>
      </c>
      <c r="F47" t="s">
        <v>4660</v>
      </c>
      <c r="G47">
        <v>43206264</v>
      </c>
      <c r="H47" t="s">
        <v>4661</v>
      </c>
      <c r="I47" s="4" t="s">
        <v>35</v>
      </c>
      <c r="J47" s="4" t="s">
        <v>4662</v>
      </c>
      <c r="K47" t="s">
        <v>4663</v>
      </c>
      <c r="L47" t="s">
        <v>27</v>
      </c>
      <c r="M47" t="s">
        <v>4664</v>
      </c>
      <c r="N47" t="s">
        <v>28</v>
      </c>
      <c r="O47" t="s">
        <v>40</v>
      </c>
      <c r="P47" t="s">
        <v>41</v>
      </c>
      <c r="Q47" t="s">
        <v>31</v>
      </c>
      <c r="R47">
        <v>5</v>
      </c>
      <c r="S47" t="s">
        <v>4665</v>
      </c>
      <c r="T47" t="s">
        <v>4678</v>
      </c>
      <c r="U47" t="s">
        <v>6443</v>
      </c>
      <c r="V47" t="s">
        <v>32</v>
      </c>
      <c r="W47" t="s">
        <v>33</v>
      </c>
      <c r="X47" t="s">
        <v>33</v>
      </c>
      <c r="Y47" t="s">
        <v>33</v>
      </c>
      <c r="Z47" s="5" t="s">
        <v>34</v>
      </c>
      <c r="AA47">
        <v>-75.529749210000006</v>
      </c>
      <c r="AB47">
        <v>6.2340702400000003</v>
      </c>
      <c r="AC47" t="s">
        <v>456</v>
      </c>
      <c r="AD47" t="s">
        <v>457</v>
      </c>
    </row>
    <row r="48" spans="1:30" x14ac:dyDescent="0.25">
      <c r="A48" t="s">
        <v>4666</v>
      </c>
      <c r="B48" t="s">
        <v>25</v>
      </c>
      <c r="C48" t="s">
        <v>26</v>
      </c>
      <c r="D48" t="s">
        <v>39</v>
      </c>
      <c r="E48" t="s">
        <v>4667</v>
      </c>
      <c r="F48" t="s">
        <v>4668</v>
      </c>
      <c r="G48">
        <v>32544367</v>
      </c>
      <c r="H48" t="s">
        <v>4669</v>
      </c>
      <c r="I48" s="4" t="s">
        <v>4670</v>
      </c>
      <c r="J48" s="4" t="s">
        <v>4671</v>
      </c>
      <c r="K48" t="s">
        <v>4672</v>
      </c>
      <c r="L48" t="s">
        <v>44</v>
      </c>
      <c r="M48" t="s">
        <v>4673</v>
      </c>
      <c r="N48" t="s">
        <v>45</v>
      </c>
      <c r="O48" t="s">
        <v>40</v>
      </c>
      <c r="P48" t="s">
        <v>41</v>
      </c>
      <c r="Q48" t="s">
        <v>31</v>
      </c>
      <c r="R48">
        <v>5</v>
      </c>
      <c r="S48" t="s">
        <v>4674</v>
      </c>
      <c r="T48" t="s">
        <v>4678</v>
      </c>
      <c r="U48" t="s">
        <v>6443</v>
      </c>
      <c r="V48" t="s">
        <v>32</v>
      </c>
      <c r="W48" t="s">
        <v>33</v>
      </c>
      <c r="X48" t="s">
        <v>33</v>
      </c>
      <c r="Y48" t="s">
        <v>33</v>
      </c>
      <c r="Z48" s="5" t="s">
        <v>34</v>
      </c>
      <c r="AA48">
        <v>-75.616200390000003</v>
      </c>
      <c r="AB48">
        <v>6.1669234800000003</v>
      </c>
      <c r="AC48" t="s">
        <v>456</v>
      </c>
      <c r="AD48" t="s">
        <v>457</v>
      </c>
    </row>
    <row r="49" spans="1:30" x14ac:dyDescent="0.25">
      <c r="A49" t="s">
        <v>540</v>
      </c>
      <c r="B49" t="s">
        <v>25</v>
      </c>
      <c r="C49" t="s">
        <v>26</v>
      </c>
      <c r="D49" t="s">
        <v>25</v>
      </c>
      <c r="E49" t="s">
        <v>541</v>
      </c>
      <c r="F49" t="s">
        <v>542</v>
      </c>
      <c r="G49">
        <v>71379184</v>
      </c>
      <c r="H49" t="s">
        <v>543</v>
      </c>
      <c r="I49" s="4" t="s">
        <v>54</v>
      </c>
      <c r="J49" s="4" t="s">
        <v>544</v>
      </c>
      <c r="K49" t="s">
        <v>545</v>
      </c>
      <c r="L49" t="s">
        <v>27</v>
      </c>
      <c r="M49" t="s">
        <v>546</v>
      </c>
      <c r="N49" t="s">
        <v>28</v>
      </c>
      <c r="O49" t="s">
        <v>29</v>
      </c>
      <c r="P49" t="s">
        <v>36</v>
      </c>
      <c r="Q49" t="s">
        <v>31</v>
      </c>
      <c r="R49">
        <v>7</v>
      </c>
      <c r="S49" t="s">
        <v>547</v>
      </c>
      <c r="T49" t="s">
        <v>6444</v>
      </c>
      <c r="U49" t="s">
        <v>47</v>
      </c>
      <c r="V49" t="s">
        <v>47</v>
      </c>
      <c r="W49" t="s">
        <v>33</v>
      </c>
      <c r="X49" t="s">
        <v>33</v>
      </c>
      <c r="Y49" t="s">
        <v>33</v>
      </c>
      <c r="Z49" s="5" t="s">
        <v>34</v>
      </c>
      <c r="AA49">
        <v>-75.601681060000004</v>
      </c>
      <c r="AB49">
        <v>6.2539904699999997</v>
      </c>
      <c r="AC49" t="s">
        <v>456</v>
      </c>
      <c r="AD49" t="s">
        <v>457</v>
      </c>
    </row>
    <row r="50" spans="1:30" x14ac:dyDescent="0.25">
      <c r="A50" t="s">
        <v>5182</v>
      </c>
      <c r="B50" t="s">
        <v>25</v>
      </c>
      <c r="C50" t="s">
        <v>26</v>
      </c>
      <c r="D50" t="s">
        <v>25</v>
      </c>
      <c r="E50" t="s">
        <v>5183</v>
      </c>
      <c r="F50" t="s">
        <v>5184</v>
      </c>
      <c r="G50">
        <v>15255626</v>
      </c>
      <c r="H50" t="s">
        <v>5185</v>
      </c>
      <c r="I50" s="4" t="s">
        <v>5186</v>
      </c>
      <c r="J50" s="4" t="s">
        <v>5187</v>
      </c>
      <c r="K50" t="s">
        <v>5188</v>
      </c>
      <c r="L50" t="s">
        <v>77</v>
      </c>
      <c r="M50" t="s">
        <v>5189</v>
      </c>
      <c r="N50" t="s">
        <v>78</v>
      </c>
      <c r="O50" t="s">
        <v>29</v>
      </c>
      <c r="P50" t="s">
        <v>37</v>
      </c>
      <c r="Q50" t="s">
        <v>31</v>
      </c>
      <c r="R50">
        <v>7</v>
      </c>
      <c r="S50" t="s">
        <v>5190</v>
      </c>
      <c r="T50" t="s">
        <v>2634</v>
      </c>
      <c r="U50" t="s">
        <v>6445</v>
      </c>
      <c r="V50" t="s">
        <v>32</v>
      </c>
      <c r="W50" t="s">
        <v>33</v>
      </c>
      <c r="X50" t="s">
        <v>33</v>
      </c>
      <c r="Y50" t="s">
        <v>33</v>
      </c>
      <c r="Z50" s="5" t="s">
        <v>34</v>
      </c>
      <c r="AA50">
        <v>-75.640293839999998</v>
      </c>
      <c r="AB50">
        <v>6.1074971800000002</v>
      </c>
      <c r="AC50" t="s">
        <v>456</v>
      </c>
      <c r="AD50" t="s">
        <v>457</v>
      </c>
    </row>
    <row r="51" spans="1:30" x14ac:dyDescent="0.25">
      <c r="A51" t="s">
        <v>5191</v>
      </c>
      <c r="B51" t="s">
        <v>25</v>
      </c>
      <c r="C51" t="s">
        <v>26</v>
      </c>
      <c r="D51" t="s">
        <v>25</v>
      </c>
      <c r="E51" t="s">
        <v>5192</v>
      </c>
      <c r="F51" t="s">
        <v>5193</v>
      </c>
      <c r="G51">
        <v>8355368</v>
      </c>
      <c r="H51" t="s">
        <v>5194</v>
      </c>
      <c r="I51" s="4" t="s">
        <v>5195</v>
      </c>
      <c r="J51" s="4" t="s">
        <v>5196</v>
      </c>
      <c r="K51" t="s">
        <v>5197</v>
      </c>
      <c r="L51" t="s">
        <v>27</v>
      </c>
      <c r="M51" t="s">
        <v>5198</v>
      </c>
      <c r="N51" t="s">
        <v>28</v>
      </c>
      <c r="O51" t="s">
        <v>29</v>
      </c>
      <c r="P51" t="s">
        <v>37</v>
      </c>
      <c r="Q51" t="s">
        <v>31</v>
      </c>
      <c r="R51">
        <v>7</v>
      </c>
      <c r="S51" t="s">
        <v>5199</v>
      </c>
      <c r="T51" t="s">
        <v>6446</v>
      </c>
      <c r="U51" t="s">
        <v>6447</v>
      </c>
      <c r="V51" t="s">
        <v>32</v>
      </c>
      <c r="W51" t="s">
        <v>33</v>
      </c>
      <c r="X51" t="s">
        <v>33</v>
      </c>
      <c r="Y51" t="s">
        <v>33</v>
      </c>
      <c r="Z51" s="5" t="s">
        <v>34</v>
      </c>
      <c r="AA51">
        <v>-75.573042000000001</v>
      </c>
      <c r="AB51">
        <v>6.2089119999999998</v>
      </c>
      <c r="AC51" t="s">
        <v>456</v>
      </c>
      <c r="AD51" t="s">
        <v>457</v>
      </c>
    </row>
    <row r="52" spans="1:30" x14ac:dyDescent="0.25">
      <c r="A52" t="s">
        <v>702</v>
      </c>
      <c r="B52" t="s">
        <v>25</v>
      </c>
      <c r="C52" t="s">
        <v>26</v>
      </c>
      <c r="D52" t="s">
        <v>25</v>
      </c>
      <c r="E52" t="s">
        <v>703</v>
      </c>
      <c r="F52" t="s">
        <v>704</v>
      </c>
      <c r="G52">
        <v>1026147160</v>
      </c>
      <c r="H52" t="s">
        <v>705</v>
      </c>
      <c r="I52" s="4" t="s">
        <v>35</v>
      </c>
      <c r="J52" s="4" t="s">
        <v>706</v>
      </c>
      <c r="K52" t="s">
        <v>707</v>
      </c>
      <c r="L52" t="s">
        <v>77</v>
      </c>
      <c r="M52" t="s">
        <v>708</v>
      </c>
      <c r="N52" t="s">
        <v>78</v>
      </c>
      <c r="O52" t="s">
        <v>29</v>
      </c>
      <c r="P52" t="s">
        <v>36</v>
      </c>
      <c r="Q52" t="s">
        <v>38</v>
      </c>
      <c r="R52">
        <v>10</v>
      </c>
      <c r="S52" t="s">
        <v>709</v>
      </c>
      <c r="T52" t="s">
        <v>6438</v>
      </c>
      <c r="U52" t="s">
        <v>727</v>
      </c>
      <c r="V52" t="s">
        <v>32</v>
      </c>
      <c r="W52" t="s">
        <v>33</v>
      </c>
      <c r="X52" t="s">
        <v>33</v>
      </c>
      <c r="Y52" t="s">
        <v>33</v>
      </c>
      <c r="Z52" s="5" t="s">
        <v>34</v>
      </c>
      <c r="AA52">
        <v>-75.626904001</v>
      </c>
      <c r="AB52">
        <v>6.0546154810000399</v>
      </c>
      <c r="AC52" t="s">
        <v>456</v>
      </c>
      <c r="AD52" t="s">
        <v>457</v>
      </c>
    </row>
    <row r="53" spans="1:30" x14ac:dyDescent="0.25">
      <c r="A53" t="s">
        <v>3014</v>
      </c>
      <c r="B53" t="s">
        <v>42</v>
      </c>
      <c r="C53" t="s">
        <v>26</v>
      </c>
      <c r="D53" t="s">
        <v>42</v>
      </c>
      <c r="E53" t="s">
        <v>3015</v>
      </c>
      <c r="F53" t="s">
        <v>3016</v>
      </c>
      <c r="G53">
        <v>98706438</v>
      </c>
      <c r="H53" t="s">
        <v>3017</v>
      </c>
      <c r="I53" s="4" t="s">
        <v>35</v>
      </c>
      <c r="J53" s="4" t="s">
        <v>3018</v>
      </c>
      <c r="K53" t="s">
        <v>3019</v>
      </c>
      <c r="L53" t="s">
        <v>49</v>
      </c>
      <c r="M53" t="s">
        <v>3020</v>
      </c>
      <c r="N53" t="s">
        <v>84</v>
      </c>
      <c r="O53" t="s">
        <v>43</v>
      </c>
      <c r="P53" t="s">
        <v>37</v>
      </c>
      <c r="Q53" t="s">
        <v>31</v>
      </c>
      <c r="R53">
        <v>7</v>
      </c>
      <c r="S53" t="s">
        <v>3021</v>
      </c>
      <c r="T53" t="s">
        <v>6448</v>
      </c>
      <c r="U53" t="s">
        <v>6449</v>
      </c>
      <c r="V53" t="s">
        <v>50</v>
      </c>
      <c r="W53" t="s">
        <v>33</v>
      </c>
      <c r="X53" t="s">
        <v>33</v>
      </c>
      <c r="Y53" t="s">
        <v>33</v>
      </c>
      <c r="Z53" s="5" t="s">
        <v>34</v>
      </c>
      <c r="AA53">
        <v>-75.561433219999998</v>
      </c>
      <c r="AB53">
        <v>6.1762823100000004</v>
      </c>
      <c r="AC53" t="s">
        <v>456</v>
      </c>
      <c r="AD53" t="s">
        <v>457</v>
      </c>
    </row>
    <row r="54" spans="1:30" x14ac:dyDescent="0.25">
      <c r="A54" t="s">
        <v>711</v>
      </c>
      <c r="B54" t="s">
        <v>25</v>
      </c>
      <c r="C54" t="s">
        <v>26</v>
      </c>
      <c r="D54" t="s">
        <v>39</v>
      </c>
      <c r="E54" t="s">
        <v>712</v>
      </c>
      <c r="F54" t="s">
        <v>713</v>
      </c>
      <c r="G54">
        <v>1041351052</v>
      </c>
      <c r="H54" t="s">
        <v>714</v>
      </c>
      <c r="I54" s="4" t="s">
        <v>35</v>
      </c>
      <c r="J54" s="4" t="s">
        <v>715</v>
      </c>
      <c r="K54" t="s">
        <v>716</v>
      </c>
      <c r="L54" t="s">
        <v>77</v>
      </c>
      <c r="M54" t="s">
        <v>717</v>
      </c>
      <c r="N54" t="s">
        <v>78</v>
      </c>
      <c r="O54" t="s">
        <v>40</v>
      </c>
      <c r="P54" t="s">
        <v>36</v>
      </c>
      <c r="Q54" t="s">
        <v>38</v>
      </c>
      <c r="R54">
        <v>8</v>
      </c>
      <c r="S54" t="s">
        <v>718</v>
      </c>
      <c r="T54" t="s">
        <v>6438</v>
      </c>
      <c r="U54" t="s">
        <v>2401</v>
      </c>
      <c r="V54" t="s">
        <v>50</v>
      </c>
      <c r="W54" t="s">
        <v>33</v>
      </c>
      <c r="X54" t="s">
        <v>33</v>
      </c>
      <c r="Y54" t="s">
        <v>33</v>
      </c>
      <c r="Z54" s="5" t="s">
        <v>34</v>
      </c>
      <c r="AA54">
        <v>-75.639686170000004</v>
      </c>
      <c r="AB54">
        <v>6.0816494499999996</v>
      </c>
      <c r="AC54" t="s">
        <v>456</v>
      </c>
      <c r="AD54" t="s">
        <v>457</v>
      </c>
    </row>
    <row r="55" spans="1:30" x14ac:dyDescent="0.25">
      <c r="A55" t="s">
        <v>2392</v>
      </c>
      <c r="B55" t="s">
        <v>25</v>
      </c>
      <c r="C55" t="s">
        <v>26</v>
      </c>
      <c r="D55" t="s">
        <v>39</v>
      </c>
      <c r="E55" t="s">
        <v>2393</v>
      </c>
      <c r="F55" t="s">
        <v>2394</v>
      </c>
      <c r="G55">
        <v>43976318</v>
      </c>
      <c r="H55" t="s">
        <v>2395</v>
      </c>
      <c r="I55" s="4" t="s">
        <v>2396</v>
      </c>
      <c r="J55" s="4" t="s">
        <v>2397</v>
      </c>
      <c r="K55" t="s">
        <v>2398</v>
      </c>
      <c r="L55" t="s">
        <v>77</v>
      </c>
      <c r="M55" t="s">
        <v>2399</v>
      </c>
      <c r="N55" t="s">
        <v>78</v>
      </c>
      <c r="O55" t="s">
        <v>40</v>
      </c>
      <c r="P55" t="s">
        <v>36</v>
      </c>
      <c r="Q55" t="s">
        <v>31</v>
      </c>
      <c r="R55">
        <v>5</v>
      </c>
      <c r="S55" t="s">
        <v>2400</v>
      </c>
      <c r="T55" t="s">
        <v>599</v>
      </c>
      <c r="U55" t="s">
        <v>47</v>
      </c>
      <c r="V55" t="s">
        <v>47</v>
      </c>
      <c r="W55" t="s">
        <v>33</v>
      </c>
      <c r="X55" t="s">
        <v>33</v>
      </c>
      <c r="Y55" t="s">
        <v>33</v>
      </c>
      <c r="Z55" s="5" t="s">
        <v>34</v>
      </c>
      <c r="AA55">
        <v>-75.638831859999996</v>
      </c>
      <c r="AB55">
        <v>6.1047384899999999</v>
      </c>
      <c r="AC55" t="s">
        <v>456</v>
      </c>
      <c r="AD55" t="s">
        <v>457</v>
      </c>
    </row>
    <row r="56" spans="1:30" x14ac:dyDescent="0.25">
      <c r="A56" t="s">
        <v>719</v>
      </c>
      <c r="B56" t="s">
        <v>25</v>
      </c>
      <c r="C56" t="s">
        <v>26</v>
      </c>
      <c r="D56" t="s">
        <v>39</v>
      </c>
      <c r="E56" t="s">
        <v>720</v>
      </c>
      <c r="F56" t="s">
        <v>721</v>
      </c>
      <c r="G56">
        <v>1037666442</v>
      </c>
      <c r="H56" t="s">
        <v>722</v>
      </c>
      <c r="I56" s="4" t="s">
        <v>35</v>
      </c>
      <c r="J56" s="4" t="s">
        <v>723</v>
      </c>
      <c r="K56" t="s">
        <v>724</v>
      </c>
      <c r="L56" t="s">
        <v>77</v>
      </c>
      <c r="M56" t="s">
        <v>725</v>
      </c>
      <c r="N56" t="s">
        <v>78</v>
      </c>
      <c r="O56" t="s">
        <v>40</v>
      </c>
      <c r="P56" t="s">
        <v>36</v>
      </c>
      <c r="Q56" t="s">
        <v>38</v>
      </c>
      <c r="R56">
        <v>8</v>
      </c>
      <c r="S56" t="s">
        <v>726</v>
      </c>
      <c r="T56" t="s">
        <v>6438</v>
      </c>
      <c r="U56" t="s">
        <v>2401</v>
      </c>
      <c r="V56" t="s">
        <v>50</v>
      </c>
      <c r="W56" t="s">
        <v>33</v>
      </c>
      <c r="X56" t="s">
        <v>33</v>
      </c>
      <c r="Y56" t="s">
        <v>33</v>
      </c>
      <c r="Z56" s="5" t="s">
        <v>34</v>
      </c>
      <c r="AA56">
        <v>-75.613804130000005</v>
      </c>
      <c r="AB56">
        <v>6.0969629300000001</v>
      </c>
      <c r="AC56" t="s">
        <v>456</v>
      </c>
      <c r="AD56" t="s">
        <v>457</v>
      </c>
    </row>
    <row r="57" spans="1:30" x14ac:dyDescent="0.25">
      <c r="A57" t="s">
        <v>3539</v>
      </c>
      <c r="B57" t="s">
        <v>25</v>
      </c>
      <c r="C57" t="s">
        <v>166</v>
      </c>
      <c r="D57" t="s">
        <v>25</v>
      </c>
      <c r="E57" t="s">
        <v>3540</v>
      </c>
      <c r="F57" t="s">
        <v>3541</v>
      </c>
      <c r="G57">
        <v>71790117</v>
      </c>
      <c r="H57" t="s">
        <v>3542</v>
      </c>
      <c r="I57" s="4" t="s">
        <v>3543</v>
      </c>
      <c r="J57" s="4" t="s">
        <v>3544</v>
      </c>
      <c r="K57" t="s">
        <v>3545</v>
      </c>
      <c r="L57" t="s">
        <v>49</v>
      </c>
      <c r="M57" t="s">
        <v>3546</v>
      </c>
      <c r="N57" t="s">
        <v>84</v>
      </c>
      <c r="O57" t="s">
        <v>467</v>
      </c>
      <c r="P57" t="s">
        <v>30</v>
      </c>
      <c r="Q57" t="s">
        <v>38</v>
      </c>
      <c r="R57">
        <v>10</v>
      </c>
      <c r="S57" t="s">
        <v>3547</v>
      </c>
      <c r="T57" t="s">
        <v>6450</v>
      </c>
      <c r="U57" t="s">
        <v>6451</v>
      </c>
      <c r="V57" t="s">
        <v>32</v>
      </c>
      <c r="W57" t="s">
        <v>33</v>
      </c>
      <c r="X57" t="s">
        <v>33</v>
      </c>
      <c r="Y57" t="s">
        <v>33</v>
      </c>
      <c r="Z57" s="5" t="s">
        <v>34</v>
      </c>
      <c r="AA57">
        <v>-75.532007160000006</v>
      </c>
      <c r="AB57">
        <v>6.1637369</v>
      </c>
      <c r="AC57" t="s">
        <v>456</v>
      </c>
      <c r="AD57" t="s">
        <v>457</v>
      </c>
    </row>
    <row r="58" spans="1:30" x14ac:dyDescent="0.25">
      <c r="A58" t="s">
        <v>3022</v>
      </c>
      <c r="B58" t="s">
        <v>42</v>
      </c>
      <c r="C58" t="s">
        <v>26</v>
      </c>
      <c r="D58" t="s">
        <v>42</v>
      </c>
      <c r="E58" t="s">
        <v>3023</v>
      </c>
      <c r="F58" t="s">
        <v>3024</v>
      </c>
      <c r="G58">
        <v>73167107</v>
      </c>
      <c r="H58" t="s">
        <v>3025</v>
      </c>
      <c r="I58" s="4" t="s">
        <v>3026</v>
      </c>
      <c r="J58" s="4" t="s">
        <v>3027</v>
      </c>
      <c r="K58" t="s">
        <v>3028</v>
      </c>
      <c r="L58" t="s">
        <v>27</v>
      </c>
      <c r="M58" t="s">
        <v>3029</v>
      </c>
      <c r="N58" t="s">
        <v>28</v>
      </c>
      <c r="O58" t="s">
        <v>43</v>
      </c>
      <c r="P58" t="s">
        <v>37</v>
      </c>
      <c r="Q58" t="s">
        <v>31</v>
      </c>
      <c r="R58">
        <v>7</v>
      </c>
      <c r="S58" t="s">
        <v>3030</v>
      </c>
      <c r="T58" t="s">
        <v>4677</v>
      </c>
      <c r="U58" t="s">
        <v>4676</v>
      </c>
      <c r="V58" t="s">
        <v>32</v>
      </c>
      <c r="W58" t="s">
        <v>33</v>
      </c>
      <c r="X58" t="s">
        <v>33</v>
      </c>
      <c r="Y58" t="s">
        <v>33</v>
      </c>
      <c r="Z58" s="5" t="s">
        <v>34</v>
      </c>
      <c r="AA58">
        <v>-75.572590009999999</v>
      </c>
      <c r="AB58">
        <v>6.2540113699999997</v>
      </c>
      <c r="AC58" t="s">
        <v>456</v>
      </c>
      <c r="AD58" t="s">
        <v>457</v>
      </c>
    </row>
    <row r="59" spans="1:30" x14ac:dyDescent="0.25">
      <c r="A59" t="s">
        <v>3548</v>
      </c>
      <c r="B59" t="s">
        <v>25</v>
      </c>
      <c r="C59" t="s">
        <v>26</v>
      </c>
      <c r="D59" t="s">
        <v>25</v>
      </c>
      <c r="E59" t="s">
        <v>3549</v>
      </c>
      <c r="F59" t="s">
        <v>3550</v>
      </c>
      <c r="G59">
        <v>43154304</v>
      </c>
      <c r="H59" t="s">
        <v>3551</v>
      </c>
      <c r="I59" s="4" t="s">
        <v>3552</v>
      </c>
      <c r="J59" s="4" t="s">
        <v>3553</v>
      </c>
      <c r="K59" t="s">
        <v>3554</v>
      </c>
      <c r="L59" t="s">
        <v>27</v>
      </c>
      <c r="M59" t="s">
        <v>3555</v>
      </c>
      <c r="N59" t="s">
        <v>28</v>
      </c>
      <c r="O59" t="s">
        <v>29</v>
      </c>
      <c r="P59" t="s">
        <v>36</v>
      </c>
      <c r="Q59" t="s">
        <v>31</v>
      </c>
      <c r="R59">
        <v>7</v>
      </c>
      <c r="S59" t="s">
        <v>3556</v>
      </c>
      <c r="T59" t="s">
        <v>6452</v>
      </c>
      <c r="U59" t="s">
        <v>6453</v>
      </c>
      <c r="V59" t="s">
        <v>32</v>
      </c>
      <c r="W59" t="s">
        <v>33</v>
      </c>
      <c r="X59" t="s">
        <v>33</v>
      </c>
      <c r="Y59" t="s">
        <v>33</v>
      </c>
      <c r="Z59" s="5" t="s">
        <v>34</v>
      </c>
      <c r="AA59">
        <v>-75.614635190000001</v>
      </c>
      <c r="AB59">
        <v>6.2473113800000002</v>
      </c>
      <c r="AC59" t="s">
        <v>456</v>
      </c>
      <c r="AD59" t="s">
        <v>457</v>
      </c>
    </row>
    <row r="60" spans="1:30" x14ac:dyDescent="0.25">
      <c r="A60" t="s">
        <v>3557</v>
      </c>
      <c r="B60" t="s">
        <v>25</v>
      </c>
      <c r="C60" t="s">
        <v>26</v>
      </c>
      <c r="D60" t="s">
        <v>39</v>
      </c>
      <c r="E60" t="s">
        <v>3558</v>
      </c>
      <c r="F60" t="s">
        <v>3559</v>
      </c>
      <c r="G60">
        <v>82383867</v>
      </c>
      <c r="H60" t="s">
        <v>3560</v>
      </c>
      <c r="I60" s="4" t="s">
        <v>35</v>
      </c>
      <c r="J60" s="4" t="s">
        <v>3561</v>
      </c>
      <c r="K60" t="s">
        <v>3562</v>
      </c>
      <c r="L60" t="s">
        <v>27</v>
      </c>
      <c r="M60" t="s">
        <v>3563</v>
      </c>
      <c r="N60" t="s">
        <v>28</v>
      </c>
      <c r="O60" t="s">
        <v>40</v>
      </c>
      <c r="P60" t="s">
        <v>41</v>
      </c>
      <c r="Q60" t="s">
        <v>31</v>
      </c>
      <c r="R60">
        <v>5</v>
      </c>
      <c r="S60" t="s">
        <v>3564</v>
      </c>
      <c r="T60" t="s">
        <v>6454</v>
      </c>
      <c r="U60" t="s">
        <v>6455</v>
      </c>
      <c r="V60" t="s">
        <v>32</v>
      </c>
      <c r="W60" t="s">
        <v>33</v>
      </c>
      <c r="X60" t="s">
        <v>33</v>
      </c>
      <c r="Y60" t="s">
        <v>33</v>
      </c>
      <c r="Z60" s="5" t="s">
        <v>34</v>
      </c>
      <c r="AA60">
        <v>-75.629580000000004</v>
      </c>
      <c r="AB60">
        <v>6.2543179999999996</v>
      </c>
      <c r="AC60" t="s">
        <v>456</v>
      </c>
      <c r="AD60" t="s">
        <v>457</v>
      </c>
    </row>
    <row r="61" spans="1:30" x14ac:dyDescent="0.25">
      <c r="A61" t="s">
        <v>3565</v>
      </c>
      <c r="B61" t="s">
        <v>25</v>
      </c>
      <c r="C61" t="s">
        <v>26</v>
      </c>
      <c r="D61" t="s">
        <v>39</v>
      </c>
      <c r="E61" t="s">
        <v>3566</v>
      </c>
      <c r="F61" t="s">
        <v>3567</v>
      </c>
      <c r="G61">
        <v>32355673</v>
      </c>
      <c r="H61" t="s">
        <v>3568</v>
      </c>
      <c r="I61" s="4" t="s">
        <v>35</v>
      </c>
      <c r="J61" s="4" t="s">
        <v>3569</v>
      </c>
      <c r="K61" t="s">
        <v>3570</v>
      </c>
      <c r="L61" t="s">
        <v>27</v>
      </c>
      <c r="M61" t="s">
        <v>3571</v>
      </c>
      <c r="N61" t="s">
        <v>28</v>
      </c>
      <c r="O61" t="s">
        <v>46</v>
      </c>
      <c r="P61" t="s">
        <v>41</v>
      </c>
      <c r="Q61" t="s">
        <v>38</v>
      </c>
      <c r="R61">
        <v>8</v>
      </c>
      <c r="S61" t="s">
        <v>3572</v>
      </c>
      <c r="T61" t="s">
        <v>4882</v>
      </c>
      <c r="U61" t="s">
        <v>6456</v>
      </c>
      <c r="V61" t="s">
        <v>32</v>
      </c>
      <c r="W61" t="s">
        <v>33</v>
      </c>
      <c r="X61" t="s">
        <v>33</v>
      </c>
      <c r="Y61" t="s">
        <v>33</v>
      </c>
      <c r="Z61" s="5" t="s">
        <v>34</v>
      </c>
      <c r="AA61">
        <v>-75.708866599999993</v>
      </c>
      <c r="AB61">
        <v>6.3239767100000002</v>
      </c>
      <c r="AC61" t="s">
        <v>456</v>
      </c>
      <c r="AD61" t="s">
        <v>457</v>
      </c>
    </row>
    <row r="62" spans="1:30" x14ac:dyDescent="0.25">
      <c r="A62" t="s">
        <v>3031</v>
      </c>
      <c r="B62" t="s">
        <v>42</v>
      </c>
      <c r="C62" t="s">
        <v>26</v>
      </c>
      <c r="D62" t="s">
        <v>42</v>
      </c>
      <c r="E62" t="s">
        <v>3032</v>
      </c>
      <c r="F62" t="s">
        <v>3033</v>
      </c>
      <c r="G62">
        <v>98671625</v>
      </c>
      <c r="H62" t="s">
        <v>3034</v>
      </c>
      <c r="I62" s="4" t="s">
        <v>35</v>
      </c>
      <c r="J62" s="4" t="s">
        <v>3035</v>
      </c>
      <c r="K62" t="s">
        <v>3036</v>
      </c>
      <c r="L62" t="s">
        <v>49</v>
      </c>
      <c r="M62" t="s">
        <v>3037</v>
      </c>
      <c r="N62" t="s">
        <v>84</v>
      </c>
      <c r="O62" t="s">
        <v>43</v>
      </c>
      <c r="P62" t="s">
        <v>37</v>
      </c>
      <c r="Q62" t="s">
        <v>31</v>
      </c>
      <c r="R62">
        <v>7</v>
      </c>
      <c r="S62" t="s">
        <v>3038</v>
      </c>
      <c r="T62" t="s">
        <v>4819</v>
      </c>
      <c r="U62" t="s">
        <v>6457</v>
      </c>
      <c r="V62" t="s">
        <v>32</v>
      </c>
      <c r="W62" t="s">
        <v>33</v>
      </c>
      <c r="X62" t="s">
        <v>33</v>
      </c>
      <c r="Y62" t="s">
        <v>33</v>
      </c>
      <c r="Z62" s="5" t="s">
        <v>34</v>
      </c>
      <c r="AA62">
        <v>-75.591401680000004</v>
      </c>
      <c r="AB62">
        <v>6.1737714800000001</v>
      </c>
      <c r="AC62" t="s">
        <v>456</v>
      </c>
      <c r="AD62" t="s">
        <v>457</v>
      </c>
    </row>
    <row r="63" spans="1:30" x14ac:dyDescent="0.25">
      <c r="A63" t="s">
        <v>2006</v>
      </c>
      <c r="B63" t="s">
        <v>25</v>
      </c>
      <c r="C63" t="s">
        <v>26</v>
      </c>
      <c r="D63" t="s">
        <v>39</v>
      </c>
      <c r="E63" t="s">
        <v>2007</v>
      </c>
      <c r="F63" t="s">
        <v>2008</v>
      </c>
      <c r="G63">
        <v>10248763</v>
      </c>
      <c r="H63" t="s">
        <v>2009</v>
      </c>
      <c r="I63" s="4" t="s">
        <v>35</v>
      </c>
      <c r="J63" s="4" t="s">
        <v>2010</v>
      </c>
      <c r="K63" t="s">
        <v>2011</v>
      </c>
      <c r="L63" t="s">
        <v>27</v>
      </c>
      <c r="M63" t="s">
        <v>2012</v>
      </c>
      <c r="N63" t="s">
        <v>28</v>
      </c>
      <c r="O63" t="s">
        <v>40</v>
      </c>
      <c r="P63" t="s">
        <v>41</v>
      </c>
      <c r="Q63" t="s">
        <v>31</v>
      </c>
      <c r="R63">
        <v>5</v>
      </c>
      <c r="S63" t="s">
        <v>2013</v>
      </c>
      <c r="T63" t="s">
        <v>775</v>
      </c>
      <c r="U63" t="s">
        <v>6458</v>
      </c>
      <c r="V63" t="s">
        <v>50</v>
      </c>
      <c r="W63" t="s">
        <v>33</v>
      </c>
      <c r="X63" t="s">
        <v>33</v>
      </c>
      <c r="Y63" t="s">
        <v>33</v>
      </c>
      <c r="Z63" s="5" t="s">
        <v>34</v>
      </c>
      <c r="AA63">
        <v>-75.600030000000004</v>
      </c>
      <c r="AB63">
        <v>6.2743799999999998</v>
      </c>
      <c r="AC63" t="s">
        <v>456</v>
      </c>
      <c r="AD63" t="s">
        <v>457</v>
      </c>
    </row>
    <row r="64" spans="1:30" x14ac:dyDescent="0.25">
      <c r="A64" t="s">
        <v>3039</v>
      </c>
      <c r="B64" t="s">
        <v>42</v>
      </c>
      <c r="C64" t="s">
        <v>26</v>
      </c>
      <c r="D64" t="s">
        <v>42</v>
      </c>
      <c r="E64" t="s">
        <v>3040</v>
      </c>
      <c r="F64" t="s">
        <v>3041</v>
      </c>
      <c r="G64">
        <v>71682456</v>
      </c>
      <c r="H64" t="s">
        <v>3042</v>
      </c>
      <c r="I64" s="4" t="s">
        <v>35</v>
      </c>
      <c r="J64" s="4" t="s">
        <v>3043</v>
      </c>
      <c r="K64" t="s">
        <v>3044</v>
      </c>
      <c r="L64" t="s">
        <v>27</v>
      </c>
      <c r="M64" t="s">
        <v>3045</v>
      </c>
      <c r="N64" t="s">
        <v>28</v>
      </c>
      <c r="O64" t="s">
        <v>43</v>
      </c>
      <c r="P64" t="s">
        <v>37</v>
      </c>
      <c r="Q64" t="s">
        <v>31</v>
      </c>
      <c r="R64">
        <v>7</v>
      </c>
      <c r="S64" t="s">
        <v>3046</v>
      </c>
      <c r="T64" t="s">
        <v>6459</v>
      </c>
      <c r="U64" t="s">
        <v>6460</v>
      </c>
      <c r="V64" t="s">
        <v>50</v>
      </c>
      <c r="W64" t="s">
        <v>33</v>
      </c>
      <c r="X64" t="s">
        <v>33</v>
      </c>
      <c r="Y64" t="s">
        <v>33</v>
      </c>
      <c r="Z64" s="5" t="s">
        <v>34</v>
      </c>
      <c r="AA64">
        <v>-75.561802990000004</v>
      </c>
      <c r="AB64">
        <v>6.2475714699999996</v>
      </c>
      <c r="AC64" t="s">
        <v>456</v>
      </c>
      <c r="AD64" t="s">
        <v>457</v>
      </c>
    </row>
    <row r="65" spans="1:30" x14ac:dyDescent="0.25">
      <c r="A65" t="s">
        <v>728</v>
      </c>
      <c r="B65" t="s">
        <v>25</v>
      </c>
      <c r="C65" t="s">
        <v>26</v>
      </c>
      <c r="D65" t="s">
        <v>25</v>
      </c>
      <c r="E65" t="s">
        <v>729</v>
      </c>
      <c r="F65" t="s">
        <v>730</v>
      </c>
      <c r="G65">
        <v>43818997</v>
      </c>
      <c r="H65" t="s">
        <v>731</v>
      </c>
      <c r="I65" s="4" t="s">
        <v>35</v>
      </c>
      <c r="J65" s="4" t="s">
        <v>732</v>
      </c>
      <c r="K65" t="s">
        <v>733</v>
      </c>
      <c r="L65" t="s">
        <v>27</v>
      </c>
      <c r="M65" t="s">
        <v>734</v>
      </c>
      <c r="N65" t="s">
        <v>28</v>
      </c>
      <c r="O65" t="s">
        <v>29</v>
      </c>
      <c r="P65" t="s">
        <v>36</v>
      </c>
      <c r="Q65" t="s">
        <v>31</v>
      </c>
      <c r="R65">
        <v>7</v>
      </c>
      <c r="S65" t="s">
        <v>735</v>
      </c>
      <c r="T65" t="s">
        <v>6461</v>
      </c>
      <c r="U65" t="s">
        <v>6462</v>
      </c>
      <c r="V65" t="s">
        <v>50</v>
      </c>
      <c r="W65" t="s">
        <v>33</v>
      </c>
      <c r="X65" t="s">
        <v>33</v>
      </c>
      <c r="Y65" t="s">
        <v>33</v>
      </c>
      <c r="Z65" s="5" t="s">
        <v>34</v>
      </c>
      <c r="AA65">
        <v>-75.553940999999995</v>
      </c>
      <c r="AB65">
        <v>6.238378</v>
      </c>
      <c r="AC65" t="s">
        <v>456</v>
      </c>
      <c r="AD65" t="s">
        <v>457</v>
      </c>
    </row>
    <row r="66" spans="1:30" x14ac:dyDescent="0.25">
      <c r="A66" t="s">
        <v>461</v>
      </c>
      <c r="B66" t="s">
        <v>25</v>
      </c>
      <c r="C66" t="s">
        <v>26</v>
      </c>
      <c r="D66" t="s">
        <v>25</v>
      </c>
      <c r="E66" t="s">
        <v>85</v>
      </c>
      <c r="F66" t="s">
        <v>736</v>
      </c>
      <c r="G66">
        <v>1125787193</v>
      </c>
      <c r="H66" t="s">
        <v>86</v>
      </c>
      <c r="I66" s="4" t="s">
        <v>35</v>
      </c>
      <c r="J66" s="4" t="s">
        <v>87</v>
      </c>
      <c r="K66" t="s">
        <v>88</v>
      </c>
      <c r="L66" t="s">
        <v>27</v>
      </c>
      <c r="M66" t="s">
        <v>89</v>
      </c>
      <c r="N66" t="s">
        <v>28</v>
      </c>
      <c r="O66" t="s">
        <v>29</v>
      </c>
      <c r="P66" t="s">
        <v>30</v>
      </c>
      <c r="Q66" t="s">
        <v>31</v>
      </c>
      <c r="R66">
        <v>7</v>
      </c>
      <c r="S66" t="s">
        <v>737</v>
      </c>
      <c r="T66" t="s">
        <v>4680</v>
      </c>
      <c r="U66" t="s">
        <v>4679</v>
      </c>
      <c r="V66" t="s">
        <v>32</v>
      </c>
      <c r="W66" t="s">
        <v>33</v>
      </c>
      <c r="X66" t="s">
        <v>33</v>
      </c>
      <c r="Y66" t="s">
        <v>33</v>
      </c>
      <c r="Z66" s="5" t="s">
        <v>34</v>
      </c>
      <c r="AA66">
        <v>-75.551805619999996</v>
      </c>
      <c r="AB66">
        <v>6.1934242700000004</v>
      </c>
      <c r="AC66" t="s">
        <v>456</v>
      </c>
      <c r="AD66" t="s">
        <v>457</v>
      </c>
    </row>
    <row r="67" spans="1:30" x14ac:dyDescent="0.25">
      <c r="A67" t="s">
        <v>462</v>
      </c>
      <c r="B67" t="s">
        <v>25</v>
      </c>
      <c r="C67" t="s">
        <v>26</v>
      </c>
      <c r="D67" t="s">
        <v>25</v>
      </c>
      <c r="E67" t="s">
        <v>90</v>
      </c>
      <c r="F67" t="s">
        <v>738</v>
      </c>
      <c r="G67">
        <v>566385527</v>
      </c>
      <c r="H67" t="s">
        <v>91</v>
      </c>
      <c r="I67" s="4" t="s">
        <v>35</v>
      </c>
      <c r="J67" s="4" t="s">
        <v>92</v>
      </c>
      <c r="K67" t="s">
        <v>93</v>
      </c>
      <c r="L67" t="s">
        <v>27</v>
      </c>
      <c r="M67" t="s">
        <v>94</v>
      </c>
      <c r="N67" t="s">
        <v>28</v>
      </c>
      <c r="O67" t="s">
        <v>29</v>
      </c>
      <c r="P67" t="s">
        <v>30</v>
      </c>
      <c r="Q67" t="s">
        <v>31</v>
      </c>
      <c r="R67">
        <v>7</v>
      </c>
      <c r="S67" t="s">
        <v>739</v>
      </c>
      <c r="T67" t="s">
        <v>6463</v>
      </c>
      <c r="U67" t="s">
        <v>6464</v>
      </c>
      <c r="V67" t="s">
        <v>50</v>
      </c>
      <c r="W67" t="s">
        <v>33</v>
      </c>
      <c r="X67" t="s">
        <v>33</v>
      </c>
      <c r="Y67" t="s">
        <v>33</v>
      </c>
      <c r="Z67" s="5" t="s">
        <v>34</v>
      </c>
      <c r="AA67">
        <v>-75.553837830000006</v>
      </c>
      <c r="AB67">
        <v>6.1940448300000002</v>
      </c>
      <c r="AC67" t="s">
        <v>456</v>
      </c>
      <c r="AD67" t="s">
        <v>457</v>
      </c>
    </row>
    <row r="68" spans="1:30" x14ac:dyDescent="0.25">
      <c r="A68" t="s">
        <v>2402</v>
      </c>
      <c r="B68" t="s">
        <v>42</v>
      </c>
      <c r="C68" t="s">
        <v>26</v>
      </c>
      <c r="D68" t="s">
        <v>42</v>
      </c>
      <c r="E68" t="s">
        <v>2403</v>
      </c>
      <c r="F68" t="s">
        <v>2404</v>
      </c>
      <c r="G68">
        <v>43985561</v>
      </c>
      <c r="H68" t="s">
        <v>2405</v>
      </c>
      <c r="I68" s="4" t="s">
        <v>2406</v>
      </c>
      <c r="J68" s="4" t="s">
        <v>2407</v>
      </c>
      <c r="K68" t="s">
        <v>2408</v>
      </c>
      <c r="L68" t="s">
        <v>27</v>
      </c>
      <c r="M68" t="s">
        <v>2409</v>
      </c>
      <c r="N68" t="s">
        <v>28</v>
      </c>
      <c r="O68" t="s">
        <v>43</v>
      </c>
      <c r="P68" t="s">
        <v>36</v>
      </c>
      <c r="Q68" t="s">
        <v>31</v>
      </c>
      <c r="R68">
        <v>7</v>
      </c>
      <c r="S68" t="s">
        <v>2410</v>
      </c>
      <c r="T68" t="s">
        <v>6465</v>
      </c>
      <c r="U68" t="s">
        <v>6437</v>
      </c>
      <c r="V68" t="s">
        <v>32</v>
      </c>
      <c r="W68" t="s">
        <v>33</v>
      </c>
      <c r="X68" t="s">
        <v>33</v>
      </c>
      <c r="Y68" t="s">
        <v>33</v>
      </c>
      <c r="Z68" s="5" t="s">
        <v>34</v>
      </c>
      <c r="AA68">
        <v>-75.607306429999994</v>
      </c>
      <c r="AB68">
        <v>6.2495971199999998</v>
      </c>
      <c r="AC68" t="s">
        <v>456</v>
      </c>
      <c r="AD68" t="s">
        <v>457</v>
      </c>
    </row>
    <row r="69" spans="1:30" x14ac:dyDescent="0.25">
      <c r="A69" t="s">
        <v>2014</v>
      </c>
      <c r="B69" t="s">
        <v>25</v>
      </c>
      <c r="C69" t="s">
        <v>26</v>
      </c>
      <c r="D69" t="s">
        <v>39</v>
      </c>
      <c r="E69" t="s">
        <v>2015</v>
      </c>
      <c r="F69" t="s">
        <v>2016</v>
      </c>
      <c r="G69">
        <v>1128389071</v>
      </c>
      <c r="H69" t="s">
        <v>2017</v>
      </c>
      <c r="I69" s="4" t="s">
        <v>35</v>
      </c>
      <c r="J69" s="4" t="s">
        <v>2018</v>
      </c>
      <c r="K69" t="s">
        <v>2019</v>
      </c>
      <c r="L69" t="s">
        <v>27</v>
      </c>
      <c r="M69" t="s">
        <v>2020</v>
      </c>
      <c r="N69" t="s">
        <v>28</v>
      </c>
      <c r="O69" t="s">
        <v>40</v>
      </c>
      <c r="P69" t="s">
        <v>41</v>
      </c>
      <c r="Q69" t="s">
        <v>38</v>
      </c>
      <c r="R69">
        <v>8</v>
      </c>
      <c r="S69" t="s">
        <v>2021</v>
      </c>
      <c r="T69" t="s">
        <v>6466</v>
      </c>
      <c r="U69" t="s">
        <v>6466</v>
      </c>
      <c r="V69" t="s">
        <v>32</v>
      </c>
      <c r="W69" t="s">
        <v>33</v>
      </c>
      <c r="X69" t="s">
        <v>33</v>
      </c>
      <c r="Y69" t="s">
        <v>33</v>
      </c>
      <c r="Z69" s="5" t="s">
        <v>34</v>
      </c>
      <c r="AA69">
        <v>-75.646771999999999</v>
      </c>
      <c r="AB69">
        <v>6.2871425800000003</v>
      </c>
      <c r="AC69" t="s">
        <v>456</v>
      </c>
      <c r="AD69" t="s">
        <v>457</v>
      </c>
    </row>
    <row r="70" spans="1:30" x14ac:dyDescent="0.25">
      <c r="A70" t="s">
        <v>2022</v>
      </c>
      <c r="B70" t="s">
        <v>25</v>
      </c>
      <c r="C70" t="s">
        <v>26</v>
      </c>
      <c r="D70" t="s">
        <v>25</v>
      </c>
      <c r="E70" t="s">
        <v>2023</v>
      </c>
      <c r="F70" t="s">
        <v>2024</v>
      </c>
      <c r="G70">
        <v>43090922</v>
      </c>
      <c r="H70" t="s">
        <v>2025</v>
      </c>
      <c r="I70" s="4" t="s">
        <v>2026</v>
      </c>
      <c r="J70" s="4" t="s">
        <v>2027</v>
      </c>
      <c r="K70" t="s">
        <v>2028</v>
      </c>
      <c r="L70" t="s">
        <v>79</v>
      </c>
      <c r="M70" t="s">
        <v>2029</v>
      </c>
      <c r="N70" t="s">
        <v>80</v>
      </c>
      <c r="O70" t="s">
        <v>29</v>
      </c>
      <c r="P70" t="s">
        <v>30</v>
      </c>
      <c r="Q70" t="s">
        <v>38</v>
      </c>
      <c r="R70">
        <v>10</v>
      </c>
      <c r="S70" t="s">
        <v>2030</v>
      </c>
      <c r="T70" t="s">
        <v>4682</v>
      </c>
      <c r="U70" t="s">
        <v>6467</v>
      </c>
      <c r="V70" t="s">
        <v>32</v>
      </c>
      <c r="W70" t="s">
        <v>33</v>
      </c>
      <c r="X70" t="s">
        <v>33</v>
      </c>
      <c r="Y70" t="s">
        <v>33</v>
      </c>
      <c r="Z70" s="5" t="s">
        <v>34</v>
      </c>
      <c r="AA70">
        <v>-75.598749170000005</v>
      </c>
      <c r="AB70">
        <v>6.1483877199999997</v>
      </c>
      <c r="AC70" t="s">
        <v>456</v>
      </c>
      <c r="AD70" t="s">
        <v>457</v>
      </c>
    </row>
    <row r="71" spans="1:30" x14ac:dyDescent="0.25">
      <c r="A71" t="s">
        <v>2031</v>
      </c>
      <c r="B71" t="s">
        <v>25</v>
      </c>
      <c r="C71" t="s">
        <v>26</v>
      </c>
      <c r="D71" t="s">
        <v>25</v>
      </c>
      <c r="E71" t="s">
        <v>2032</v>
      </c>
      <c r="F71" t="s">
        <v>2033</v>
      </c>
      <c r="G71">
        <v>43090922</v>
      </c>
      <c r="H71" t="s">
        <v>2025</v>
      </c>
      <c r="I71" s="4" t="s">
        <v>2026</v>
      </c>
      <c r="J71" s="4" t="s">
        <v>2034</v>
      </c>
      <c r="K71" t="s">
        <v>2035</v>
      </c>
      <c r="L71" t="s">
        <v>79</v>
      </c>
      <c r="M71" t="s">
        <v>2036</v>
      </c>
      <c r="N71" t="s">
        <v>80</v>
      </c>
      <c r="O71" t="s">
        <v>29</v>
      </c>
      <c r="P71" t="s">
        <v>30</v>
      </c>
      <c r="Q71" t="s">
        <v>38</v>
      </c>
      <c r="R71">
        <v>10</v>
      </c>
      <c r="S71" t="s">
        <v>2037</v>
      </c>
      <c r="T71" t="s">
        <v>4652</v>
      </c>
      <c r="U71" t="s">
        <v>6468</v>
      </c>
      <c r="V71" t="s">
        <v>32</v>
      </c>
      <c r="W71" t="s">
        <v>33</v>
      </c>
      <c r="X71" t="s">
        <v>33</v>
      </c>
      <c r="Y71" t="s">
        <v>33</v>
      </c>
      <c r="Z71" s="5" t="s">
        <v>34</v>
      </c>
      <c r="AA71">
        <v>-75.598749170000005</v>
      </c>
      <c r="AB71">
        <v>6.1483877199999997</v>
      </c>
      <c r="AC71" t="s">
        <v>456</v>
      </c>
      <c r="AD71" t="s">
        <v>457</v>
      </c>
    </row>
    <row r="72" spans="1:30" x14ac:dyDescent="0.25">
      <c r="A72" t="s">
        <v>463</v>
      </c>
      <c r="B72" t="s">
        <v>95</v>
      </c>
      <c r="C72" t="s">
        <v>26</v>
      </c>
      <c r="D72" t="s">
        <v>96</v>
      </c>
      <c r="E72" t="s">
        <v>97</v>
      </c>
      <c r="F72" t="s">
        <v>98</v>
      </c>
      <c r="G72">
        <v>71590457</v>
      </c>
      <c r="H72" t="s">
        <v>99</v>
      </c>
      <c r="I72" s="4" t="s">
        <v>35</v>
      </c>
      <c r="J72" s="4" t="s">
        <v>100</v>
      </c>
      <c r="K72" t="s">
        <v>101</v>
      </c>
      <c r="L72" t="s">
        <v>27</v>
      </c>
      <c r="M72" t="s">
        <v>102</v>
      </c>
      <c r="N72" t="s">
        <v>28</v>
      </c>
      <c r="O72" t="s">
        <v>103</v>
      </c>
      <c r="P72" t="s">
        <v>104</v>
      </c>
      <c r="Q72" t="s">
        <v>38</v>
      </c>
      <c r="R72">
        <v>14</v>
      </c>
      <c r="S72" t="s">
        <v>464</v>
      </c>
      <c r="T72" t="s">
        <v>6469</v>
      </c>
      <c r="U72" t="s">
        <v>47</v>
      </c>
      <c r="V72" t="s">
        <v>47</v>
      </c>
      <c r="W72" t="s">
        <v>33</v>
      </c>
      <c r="X72" t="s">
        <v>33</v>
      </c>
      <c r="Y72" t="s">
        <v>33</v>
      </c>
      <c r="Z72" s="5" t="s">
        <v>34</v>
      </c>
      <c r="AA72">
        <v>-75.646240000000006</v>
      </c>
      <c r="AB72">
        <v>6.2754110000000001</v>
      </c>
      <c r="AC72" t="s">
        <v>456</v>
      </c>
      <c r="AD72" t="s">
        <v>457</v>
      </c>
    </row>
    <row r="73" spans="1:30" x14ac:dyDescent="0.25">
      <c r="A73" t="s">
        <v>740</v>
      </c>
      <c r="B73" t="s">
        <v>25</v>
      </c>
      <c r="C73" t="s">
        <v>26</v>
      </c>
      <c r="D73" t="s">
        <v>25</v>
      </c>
      <c r="E73" t="s">
        <v>741</v>
      </c>
      <c r="F73" t="s">
        <v>742</v>
      </c>
      <c r="G73">
        <v>43976242</v>
      </c>
      <c r="H73" t="s">
        <v>743</v>
      </c>
      <c r="I73" s="4" t="s">
        <v>35</v>
      </c>
      <c r="J73" s="4" t="s">
        <v>744</v>
      </c>
      <c r="K73" t="s">
        <v>745</v>
      </c>
      <c r="L73" t="s">
        <v>27</v>
      </c>
      <c r="M73" t="s">
        <v>746</v>
      </c>
      <c r="N73" t="s">
        <v>28</v>
      </c>
      <c r="O73" t="s">
        <v>29</v>
      </c>
      <c r="P73" t="s">
        <v>37</v>
      </c>
      <c r="Q73" t="s">
        <v>31</v>
      </c>
      <c r="R73">
        <v>7</v>
      </c>
      <c r="S73" t="s">
        <v>747</v>
      </c>
      <c r="T73" t="s">
        <v>6470</v>
      </c>
      <c r="U73" t="s">
        <v>47</v>
      </c>
      <c r="V73" t="s">
        <v>47</v>
      </c>
      <c r="W73" t="s">
        <v>33</v>
      </c>
      <c r="X73" t="s">
        <v>33</v>
      </c>
      <c r="Y73" t="s">
        <v>33</v>
      </c>
      <c r="Z73" s="5" t="s">
        <v>34</v>
      </c>
      <c r="AA73">
        <v>-75.627528999999996</v>
      </c>
      <c r="AB73">
        <v>6.274502</v>
      </c>
      <c r="AC73" t="s">
        <v>456</v>
      </c>
      <c r="AD73" t="s">
        <v>457</v>
      </c>
    </row>
    <row r="74" spans="1:30" x14ac:dyDescent="0.25">
      <c r="A74" t="s">
        <v>2038</v>
      </c>
      <c r="B74" t="s">
        <v>25</v>
      </c>
      <c r="C74" t="s">
        <v>26</v>
      </c>
      <c r="D74" t="s">
        <v>25</v>
      </c>
      <c r="E74" t="s">
        <v>2039</v>
      </c>
      <c r="F74" t="s">
        <v>2040</v>
      </c>
      <c r="G74">
        <v>8434330</v>
      </c>
      <c r="H74" t="s">
        <v>2041</v>
      </c>
      <c r="I74" s="4" t="s">
        <v>2042</v>
      </c>
      <c r="J74" s="4" t="s">
        <v>2043</v>
      </c>
      <c r="K74" t="s">
        <v>2044</v>
      </c>
      <c r="L74" t="s">
        <v>44</v>
      </c>
      <c r="M74" t="s">
        <v>2045</v>
      </c>
      <c r="N74" t="s">
        <v>45</v>
      </c>
      <c r="O74" t="s">
        <v>29</v>
      </c>
      <c r="P74" t="s">
        <v>36</v>
      </c>
      <c r="Q74" t="s">
        <v>31</v>
      </c>
      <c r="R74">
        <v>7</v>
      </c>
      <c r="S74" t="s">
        <v>2046</v>
      </c>
      <c r="T74" t="s">
        <v>4682</v>
      </c>
      <c r="U74" t="s">
        <v>4681</v>
      </c>
      <c r="V74" t="s">
        <v>32</v>
      </c>
      <c r="W74" t="s">
        <v>33</v>
      </c>
      <c r="X74" t="s">
        <v>33</v>
      </c>
      <c r="Y74" t="s">
        <v>33</v>
      </c>
      <c r="Z74" s="5" t="s">
        <v>34</v>
      </c>
      <c r="AA74">
        <v>-75.635305529999997</v>
      </c>
      <c r="AB74">
        <v>6.1712143700000004</v>
      </c>
      <c r="AC74" t="s">
        <v>456</v>
      </c>
      <c r="AD74" t="s">
        <v>457</v>
      </c>
    </row>
    <row r="75" spans="1:30" x14ac:dyDescent="0.25">
      <c r="A75" t="s">
        <v>5200</v>
      </c>
      <c r="B75" t="s">
        <v>25</v>
      </c>
      <c r="C75" t="s">
        <v>26</v>
      </c>
      <c r="D75" t="s">
        <v>25</v>
      </c>
      <c r="E75" t="s">
        <v>5201</v>
      </c>
      <c r="F75" t="s">
        <v>5202</v>
      </c>
      <c r="G75">
        <v>70193022</v>
      </c>
      <c r="H75" t="s">
        <v>5203</v>
      </c>
      <c r="I75" s="4" t="s">
        <v>35</v>
      </c>
      <c r="J75" s="4" t="s">
        <v>5204</v>
      </c>
      <c r="K75" t="s">
        <v>5205</v>
      </c>
      <c r="L75" t="s">
        <v>44</v>
      </c>
      <c r="M75" t="s">
        <v>5206</v>
      </c>
      <c r="N75" t="s">
        <v>45</v>
      </c>
      <c r="O75" t="s">
        <v>29</v>
      </c>
      <c r="P75" t="s">
        <v>37</v>
      </c>
      <c r="Q75" t="s">
        <v>31</v>
      </c>
      <c r="R75">
        <v>7</v>
      </c>
      <c r="S75" t="s">
        <v>5207</v>
      </c>
      <c r="T75" t="s">
        <v>6472</v>
      </c>
      <c r="U75" t="s">
        <v>6473</v>
      </c>
      <c r="V75" t="s">
        <v>32</v>
      </c>
      <c r="W75" t="s">
        <v>33</v>
      </c>
      <c r="X75" t="s">
        <v>33</v>
      </c>
      <c r="Y75" t="s">
        <v>33</v>
      </c>
      <c r="Z75" s="5" t="s">
        <v>34</v>
      </c>
      <c r="AA75">
        <v>-75.615727000000007</v>
      </c>
      <c r="AB75">
        <v>6.1756349999999998</v>
      </c>
      <c r="AC75" t="s">
        <v>456</v>
      </c>
      <c r="AD75" t="s">
        <v>457</v>
      </c>
    </row>
    <row r="76" spans="1:30" x14ac:dyDescent="0.25">
      <c r="A76" t="s">
        <v>4683</v>
      </c>
      <c r="B76" t="s">
        <v>25</v>
      </c>
      <c r="C76" t="s">
        <v>26</v>
      </c>
      <c r="D76" t="s">
        <v>25</v>
      </c>
      <c r="E76" t="s">
        <v>4684</v>
      </c>
      <c r="F76" t="s">
        <v>4685</v>
      </c>
      <c r="G76">
        <v>42996563</v>
      </c>
      <c r="H76" t="s">
        <v>4686</v>
      </c>
      <c r="I76" s="4" t="s">
        <v>4687</v>
      </c>
      <c r="J76" s="4" t="s">
        <v>4688</v>
      </c>
      <c r="K76" t="s">
        <v>4689</v>
      </c>
      <c r="L76" t="s">
        <v>27</v>
      </c>
      <c r="M76" t="s">
        <v>4690</v>
      </c>
      <c r="N76" t="s">
        <v>28</v>
      </c>
      <c r="O76" t="s">
        <v>29</v>
      </c>
      <c r="P76" t="s">
        <v>36</v>
      </c>
      <c r="Q76" t="s">
        <v>31</v>
      </c>
      <c r="R76">
        <v>7</v>
      </c>
      <c r="S76" t="s">
        <v>4691</v>
      </c>
      <c r="T76" t="s">
        <v>6474</v>
      </c>
      <c r="U76" t="s">
        <v>6475</v>
      </c>
      <c r="V76" t="s">
        <v>32</v>
      </c>
      <c r="W76" t="s">
        <v>33</v>
      </c>
      <c r="X76" t="s">
        <v>33</v>
      </c>
      <c r="Y76" t="s">
        <v>33</v>
      </c>
      <c r="Z76" s="5" t="s">
        <v>34</v>
      </c>
      <c r="AA76">
        <v>-75.589658009999994</v>
      </c>
      <c r="AB76">
        <v>6.2109658699999999</v>
      </c>
      <c r="AC76" t="s">
        <v>456</v>
      </c>
      <c r="AD76" t="s">
        <v>457</v>
      </c>
    </row>
    <row r="77" spans="1:30" x14ac:dyDescent="0.25">
      <c r="A77" t="s">
        <v>4692</v>
      </c>
      <c r="B77" t="s">
        <v>25</v>
      </c>
      <c r="C77" t="s">
        <v>26</v>
      </c>
      <c r="D77" t="s">
        <v>25</v>
      </c>
      <c r="E77" t="s">
        <v>4693</v>
      </c>
      <c r="F77" t="s">
        <v>4694</v>
      </c>
      <c r="G77">
        <v>42996563</v>
      </c>
      <c r="H77" t="s">
        <v>4686</v>
      </c>
      <c r="I77" s="4" t="s">
        <v>4687</v>
      </c>
      <c r="J77" s="4" t="s">
        <v>4688</v>
      </c>
      <c r="K77" t="s">
        <v>4695</v>
      </c>
      <c r="L77" t="s">
        <v>27</v>
      </c>
      <c r="M77" t="s">
        <v>4696</v>
      </c>
      <c r="N77" t="s">
        <v>28</v>
      </c>
      <c r="O77" t="s">
        <v>29</v>
      </c>
      <c r="P77" t="s">
        <v>36</v>
      </c>
      <c r="Q77" t="s">
        <v>31</v>
      </c>
      <c r="R77">
        <v>7</v>
      </c>
      <c r="S77" t="s">
        <v>4697</v>
      </c>
      <c r="T77" t="s">
        <v>6476</v>
      </c>
      <c r="U77" t="s">
        <v>6477</v>
      </c>
      <c r="V77" t="s">
        <v>32</v>
      </c>
      <c r="W77" t="s">
        <v>33</v>
      </c>
      <c r="X77" t="s">
        <v>33</v>
      </c>
      <c r="Y77" t="s">
        <v>33</v>
      </c>
      <c r="Z77" s="5" t="s">
        <v>34</v>
      </c>
      <c r="AA77">
        <v>-75.589658009999994</v>
      </c>
      <c r="AB77">
        <v>6.2109658699999999</v>
      </c>
      <c r="AC77" t="s">
        <v>456</v>
      </c>
      <c r="AD77" t="s">
        <v>457</v>
      </c>
    </row>
    <row r="78" spans="1:30" x14ac:dyDescent="0.25">
      <c r="A78" t="s">
        <v>2047</v>
      </c>
      <c r="B78" t="s">
        <v>42</v>
      </c>
      <c r="C78" t="s">
        <v>166</v>
      </c>
      <c r="D78" t="s">
        <v>42</v>
      </c>
      <c r="E78" t="s">
        <v>2048</v>
      </c>
      <c r="F78" t="s">
        <v>2049</v>
      </c>
      <c r="G78">
        <v>8031469</v>
      </c>
      <c r="H78" t="s">
        <v>2050</v>
      </c>
      <c r="I78" s="4" t="s">
        <v>1887</v>
      </c>
      <c r="J78" s="4" t="s">
        <v>1888</v>
      </c>
      <c r="K78" t="s">
        <v>2051</v>
      </c>
      <c r="L78" t="s">
        <v>27</v>
      </c>
      <c r="M78" t="s">
        <v>2052</v>
      </c>
      <c r="N78" t="s">
        <v>28</v>
      </c>
      <c r="O78" t="s">
        <v>167</v>
      </c>
      <c r="P78" t="s">
        <v>55</v>
      </c>
      <c r="Q78" t="s">
        <v>31</v>
      </c>
      <c r="R78">
        <v>7</v>
      </c>
      <c r="S78" t="s">
        <v>2053</v>
      </c>
      <c r="T78" t="s">
        <v>6478</v>
      </c>
      <c r="U78" t="s">
        <v>6479</v>
      </c>
      <c r="V78" t="s">
        <v>32</v>
      </c>
      <c r="W78" t="s">
        <v>33</v>
      </c>
      <c r="X78" t="s">
        <v>33</v>
      </c>
      <c r="Y78" t="s">
        <v>33</v>
      </c>
      <c r="Z78" s="5" t="s">
        <v>34</v>
      </c>
      <c r="AA78">
        <v>-75.565188550000002</v>
      </c>
      <c r="AB78">
        <v>6.2073471299999996</v>
      </c>
      <c r="AC78" t="s">
        <v>456</v>
      </c>
      <c r="AD78" t="s">
        <v>457</v>
      </c>
    </row>
    <row r="79" spans="1:30" x14ac:dyDescent="0.25">
      <c r="A79" t="s">
        <v>5208</v>
      </c>
      <c r="B79" t="s">
        <v>25</v>
      </c>
      <c r="C79" t="s">
        <v>26</v>
      </c>
      <c r="D79" t="s">
        <v>25</v>
      </c>
      <c r="E79" t="s">
        <v>5209</v>
      </c>
      <c r="F79" t="s">
        <v>5210</v>
      </c>
      <c r="G79">
        <v>22215642</v>
      </c>
      <c r="H79" t="s">
        <v>5211</v>
      </c>
      <c r="I79" s="4" t="s">
        <v>35</v>
      </c>
      <c r="J79" s="4" t="s">
        <v>5212</v>
      </c>
      <c r="K79" t="s">
        <v>5213</v>
      </c>
      <c r="L79" t="s">
        <v>27</v>
      </c>
      <c r="M79" t="s">
        <v>5214</v>
      </c>
      <c r="N79" t="s">
        <v>28</v>
      </c>
      <c r="O79" t="s">
        <v>29</v>
      </c>
      <c r="P79" t="s">
        <v>30</v>
      </c>
      <c r="Q79" t="s">
        <v>31</v>
      </c>
      <c r="R79">
        <v>7</v>
      </c>
      <c r="S79" t="s">
        <v>5215</v>
      </c>
      <c r="T79" t="s">
        <v>6480</v>
      </c>
      <c r="U79" t="s">
        <v>6481</v>
      </c>
      <c r="V79" t="s">
        <v>32</v>
      </c>
      <c r="W79" t="s">
        <v>33</v>
      </c>
      <c r="X79" t="s">
        <v>33</v>
      </c>
      <c r="Y79" t="s">
        <v>33</v>
      </c>
      <c r="Z79" s="5" t="s">
        <v>34</v>
      </c>
      <c r="AA79">
        <v>-75.532651759999993</v>
      </c>
      <c r="AB79">
        <v>6.2342652599999999</v>
      </c>
      <c r="AC79" t="s">
        <v>456</v>
      </c>
      <c r="AD79" t="s">
        <v>457</v>
      </c>
    </row>
    <row r="80" spans="1:30" x14ac:dyDescent="0.25">
      <c r="A80" t="s">
        <v>5217</v>
      </c>
      <c r="B80" t="s">
        <v>25</v>
      </c>
      <c r="C80" t="s">
        <v>26</v>
      </c>
      <c r="D80" t="s">
        <v>25</v>
      </c>
      <c r="E80" t="s">
        <v>5218</v>
      </c>
      <c r="F80" t="s">
        <v>5219</v>
      </c>
      <c r="G80">
        <v>22215642</v>
      </c>
      <c r="H80" t="s">
        <v>5211</v>
      </c>
      <c r="I80" s="4" t="s">
        <v>35</v>
      </c>
      <c r="J80" s="4" t="s">
        <v>5212</v>
      </c>
      <c r="K80" t="s">
        <v>5220</v>
      </c>
      <c r="L80" t="s">
        <v>27</v>
      </c>
      <c r="M80" t="s">
        <v>5221</v>
      </c>
      <c r="N80" t="s">
        <v>28</v>
      </c>
      <c r="O80" t="s">
        <v>29</v>
      </c>
      <c r="P80" t="s">
        <v>30</v>
      </c>
      <c r="Q80" t="s">
        <v>31</v>
      </c>
      <c r="R80">
        <v>7</v>
      </c>
      <c r="S80" t="s">
        <v>5222</v>
      </c>
      <c r="T80" t="s">
        <v>6480</v>
      </c>
      <c r="U80" t="s">
        <v>6481</v>
      </c>
      <c r="V80" t="s">
        <v>32</v>
      </c>
      <c r="W80" t="s">
        <v>33</v>
      </c>
      <c r="X80" t="s">
        <v>33</v>
      </c>
      <c r="Y80" t="s">
        <v>33</v>
      </c>
      <c r="Z80" s="5" t="s">
        <v>34</v>
      </c>
      <c r="AA80">
        <v>-75.532651759999993</v>
      </c>
      <c r="AB80">
        <v>6.2342652599999999</v>
      </c>
      <c r="AC80" t="s">
        <v>456</v>
      </c>
      <c r="AD80" t="s">
        <v>457</v>
      </c>
    </row>
    <row r="81" spans="1:30" x14ac:dyDescent="0.25">
      <c r="A81" t="s">
        <v>2054</v>
      </c>
      <c r="B81" t="s">
        <v>25</v>
      </c>
      <c r="C81" t="s">
        <v>26</v>
      </c>
      <c r="D81" t="s">
        <v>25</v>
      </c>
      <c r="E81" t="s">
        <v>2055</v>
      </c>
      <c r="F81" t="s">
        <v>2056</v>
      </c>
      <c r="G81">
        <v>3506852</v>
      </c>
      <c r="H81" t="s">
        <v>2057</v>
      </c>
      <c r="I81" s="4" t="s">
        <v>2058</v>
      </c>
      <c r="J81" s="4" t="s">
        <v>2059</v>
      </c>
      <c r="K81" t="s">
        <v>2060</v>
      </c>
      <c r="L81" t="s">
        <v>44</v>
      </c>
      <c r="M81" t="s">
        <v>2061</v>
      </c>
      <c r="N81" t="s">
        <v>45</v>
      </c>
      <c r="O81" t="s">
        <v>29</v>
      </c>
      <c r="P81" t="s">
        <v>30</v>
      </c>
      <c r="Q81" t="s">
        <v>31</v>
      </c>
      <c r="R81">
        <v>7</v>
      </c>
      <c r="S81" t="s">
        <v>2062</v>
      </c>
      <c r="T81" t="s">
        <v>4699</v>
      </c>
      <c r="U81" t="s">
        <v>4698</v>
      </c>
      <c r="V81" t="s">
        <v>32</v>
      </c>
      <c r="W81" t="s">
        <v>33</v>
      </c>
      <c r="X81" t="s">
        <v>33</v>
      </c>
      <c r="Y81" t="s">
        <v>33</v>
      </c>
      <c r="Z81" s="5" t="s">
        <v>34</v>
      </c>
      <c r="AA81">
        <v>-75.610371220000005</v>
      </c>
      <c r="AB81">
        <v>6.18199904</v>
      </c>
      <c r="AC81" t="s">
        <v>456</v>
      </c>
      <c r="AD81" t="s">
        <v>457</v>
      </c>
    </row>
    <row r="82" spans="1:30" x14ac:dyDescent="0.25">
      <c r="A82" t="s">
        <v>2063</v>
      </c>
      <c r="B82" t="s">
        <v>25</v>
      </c>
      <c r="C82" t="s">
        <v>26</v>
      </c>
      <c r="D82" t="s">
        <v>25</v>
      </c>
      <c r="E82" t="s">
        <v>2064</v>
      </c>
      <c r="F82" t="s">
        <v>2065</v>
      </c>
      <c r="G82">
        <v>3506852</v>
      </c>
      <c r="H82" t="s">
        <v>2057</v>
      </c>
      <c r="I82" s="4" t="s">
        <v>2058</v>
      </c>
      <c r="J82" s="4" t="s">
        <v>2059</v>
      </c>
      <c r="K82" t="s">
        <v>2066</v>
      </c>
      <c r="L82" t="s">
        <v>44</v>
      </c>
      <c r="M82" t="s">
        <v>2067</v>
      </c>
      <c r="N82" t="s">
        <v>45</v>
      </c>
      <c r="O82" t="s">
        <v>29</v>
      </c>
      <c r="P82" t="s">
        <v>30</v>
      </c>
      <c r="Q82" t="s">
        <v>31</v>
      </c>
      <c r="R82">
        <v>7</v>
      </c>
      <c r="S82" t="s">
        <v>2068</v>
      </c>
      <c r="T82" t="s">
        <v>4701</v>
      </c>
      <c r="U82" t="s">
        <v>4700</v>
      </c>
      <c r="V82" t="s">
        <v>32</v>
      </c>
      <c r="W82" t="s">
        <v>33</v>
      </c>
      <c r="X82" t="s">
        <v>33</v>
      </c>
      <c r="Y82" t="s">
        <v>33</v>
      </c>
      <c r="Z82" s="5" t="s">
        <v>34</v>
      </c>
      <c r="AA82">
        <v>-75.610371220000005</v>
      </c>
      <c r="AB82">
        <v>6.18199904</v>
      </c>
      <c r="AC82" t="s">
        <v>456</v>
      </c>
      <c r="AD82" t="s">
        <v>457</v>
      </c>
    </row>
    <row r="83" spans="1:30" x14ac:dyDescent="0.25">
      <c r="A83" t="s">
        <v>548</v>
      </c>
      <c r="B83" t="s">
        <v>25</v>
      </c>
      <c r="C83" t="s">
        <v>26</v>
      </c>
      <c r="D83" t="s">
        <v>25</v>
      </c>
      <c r="E83" t="s">
        <v>549</v>
      </c>
      <c r="F83" t="s">
        <v>550</v>
      </c>
      <c r="G83">
        <v>43029293</v>
      </c>
      <c r="H83" t="s">
        <v>551</v>
      </c>
      <c r="I83" s="4" t="s">
        <v>35</v>
      </c>
      <c r="J83" s="4" t="s">
        <v>552</v>
      </c>
      <c r="K83" t="s">
        <v>553</v>
      </c>
      <c r="L83" t="s">
        <v>27</v>
      </c>
      <c r="M83" t="s">
        <v>554</v>
      </c>
      <c r="N83" t="s">
        <v>28</v>
      </c>
      <c r="O83" t="s">
        <v>29</v>
      </c>
      <c r="P83" t="s">
        <v>36</v>
      </c>
      <c r="Q83" t="s">
        <v>31</v>
      </c>
      <c r="R83">
        <v>7</v>
      </c>
      <c r="S83" t="s">
        <v>555</v>
      </c>
      <c r="T83" t="s">
        <v>6482</v>
      </c>
      <c r="U83" t="s">
        <v>47</v>
      </c>
      <c r="V83" t="s">
        <v>47</v>
      </c>
      <c r="W83" t="s">
        <v>33</v>
      </c>
      <c r="X83" t="s">
        <v>33</v>
      </c>
      <c r="Y83" t="s">
        <v>33</v>
      </c>
      <c r="Z83" s="5" t="s">
        <v>34</v>
      </c>
      <c r="AA83">
        <v>-75.606602629999998</v>
      </c>
      <c r="AB83">
        <v>6.2538589800000004</v>
      </c>
      <c r="AC83" t="s">
        <v>456</v>
      </c>
      <c r="AD83" t="s">
        <v>457</v>
      </c>
    </row>
    <row r="84" spans="1:30" x14ac:dyDescent="0.25">
      <c r="A84" t="s">
        <v>7861</v>
      </c>
      <c r="B84" t="s">
        <v>25</v>
      </c>
      <c r="C84" t="s">
        <v>26</v>
      </c>
      <c r="D84" t="s">
        <v>25</v>
      </c>
      <c r="E84" t="s">
        <v>7862</v>
      </c>
      <c r="F84" t="s">
        <v>7863</v>
      </c>
      <c r="G84">
        <v>71722829</v>
      </c>
      <c r="H84" t="s">
        <v>7864</v>
      </c>
      <c r="I84" s="4" t="s">
        <v>35</v>
      </c>
      <c r="J84" s="4" t="s">
        <v>7865</v>
      </c>
      <c r="K84" t="s">
        <v>7866</v>
      </c>
      <c r="L84" t="s">
        <v>27</v>
      </c>
      <c r="M84" t="s">
        <v>7867</v>
      </c>
      <c r="N84" t="s">
        <v>28</v>
      </c>
      <c r="O84" t="s">
        <v>29</v>
      </c>
      <c r="P84" t="s">
        <v>36</v>
      </c>
      <c r="Q84" t="s">
        <v>31</v>
      </c>
      <c r="R84">
        <v>7</v>
      </c>
      <c r="S84" t="s">
        <v>7868</v>
      </c>
      <c r="T84" t="s">
        <v>7869</v>
      </c>
      <c r="U84" t="s">
        <v>7870</v>
      </c>
      <c r="V84" t="s">
        <v>32</v>
      </c>
      <c r="W84" t="s">
        <v>33</v>
      </c>
      <c r="X84" t="s">
        <v>33</v>
      </c>
      <c r="Y84" t="s">
        <v>33</v>
      </c>
      <c r="Z84" s="5" t="s">
        <v>34</v>
      </c>
      <c r="AA84">
        <v>-75.612865839999998</v>
      </c>
      <c r="AB84">
        <v>6.2336444799999997</v>
      </c>
      <c r="AC84" t="s">
        <v>456</v>
      </c>
      <c r="AD84" t="s">
        <v>457</v>
      </c>
    </row>
    <row r="85" spans="1:30" x14ac:dyDescent="0.25">
      <c r="A85" t="s">
        <v>750</v>
      </c>
      <c r="B85" t="s">
        <v>25</v>
      </c>
      <c r="C85" t="s">
        <v>26</v>
      </c>
      <c r="D85" t="s">
        <v>25</v>
      </c>
      <c r="E85" t="s">
        <v>751</v>
      </c>
      <c r="F85" t="s">
        <v>752</v>
      </c>
      <c r="G85">
        <v>1010208498</v>
      </c>
      <c r="H85" t="s">
        <v>753</v>
      </c>
      <c r="I85" s="4" t="s">
        <v>35</v>
      </c>
      <c r="J85" s="4" t="s">
        <v>754</v>
      </c>
      <c r="K85" t="s">
        <v>755</v>
      </c>
      <c r="L85" t="s">
        <v>77</v>
      </c>
      <c r="M85" t="s">
        <v>756</v>
      </c>
      <c r="N85" t="s">
        <v>78</v>
      </c>
      <c r="O85" t="s">
        <v>29</v>
      </c>
      <c r="P85" t="s">
        <v>30</v>
      </c>
      <c r="Q85" t="s">
        <v>38</v>
      </c>
      <c r="R85">
        <v>10</v>
      </c>
      <c r="S85" t="s">
        <v>757</v>
      </c>
      <c r="T85" t="s">
        <v>6483</v>
      </c>
      <c r="U85" t="s">
        <v>6484</v>
      </c>
      <c r="V85" t="s">
        <v>32</v>
      </c>
      <c r="W85" t="s">
        <v>33</v>
      </c>
      <c r="X85" t="s">
        <v>33</v>
      </c>
      <c r="Y85" t="s">
        <v>33</v>
      </c>
      <c r="Z85" s="5" t="s">
        <v>34</v>
      </c>
      <c r="AA85">
        <v>-75.578744999999998</v>
      </c>
      <c r="AB85">
        <v>6.1070650000000004</v>
      </c>
      <c r="AC85" t="s">
        <v>456</v>
      </c>
      <c r="AD85" t="s">
        <v>457</v>
      </c>
    </row>
    <row r="86" spans="1:30" x14ac:dyDescent="0.25">
      <c r="A86" t="s">
        <v>2069</v>
      </c>
      <c r="B86" t="s">
        <v>25</v>
      </c>
      <c r="C86" t="s">
        <v>26</v>
      </c>
      <c r="D86" t="s">
        <v>25</v>
      </c>
      <c r="E86" t="s">
        <v>2070</v>
      </c>
      <c r="F86" t="s">
        <v>2071</v>
      </c>
      <c r="G86">
        <v>1037070963</v>
      </c>
      <c r="H86" t="s">
        <v>2072</v>
      </c>
      <c r="I86" s="4" t="s">
        <v>35</v>
      </c>
      <c r="J86" s="4" t="s">
        <v>2073</v>
      </c>
      <c r="K86" t="s">
        <v>2074</v>
      </c>
      <c r="L86" t="s">
        <v>27</v>
      </c>
      <c r="M86" t="s">
        <v>2075</v>
      </c>
      <c r="N86" t="s">
        <v>28</v>
      </c>
      <c r="O86" t="s">
        <v>29</v>
      </c>
      <c r="P86" t="s">
        <v>37</v>
      </c>
      <c r="Q86" t="s">
        <v>31</v>
      </c>
      <c r="R86">
        <v>7</v>
      </c>
      <c r="S86" t="s">
        <v>2076</v>
      </c>
      <c r="T86" t="s">
        <v>4703</v>
      </c>
      <c r="U86" t="s">
        <v>4702</v>
      </c>
      <c r="V86" t="s">
        <v>32</v>
      </c>
      <c r="W86" t="s">
        <v>33</v>
      </c>
      <c r="X86" t="s">
        <v>33</v>
      </c>
      <c r="Y86" t="s">
        <v>33</v>
      </c>
      <c r="Z86" s="5" t="s">
        <v>34</v>
      </c>
      <c r="AA86">
        <v>-75.592341730000001</v>
      </c>
      <c r="AB86">
        <v>6.2232379800000004</v>
      </c>
      <c r="AC86" t="s">
        <v>456</v>
      </c>
      <c r="AD86" t="s">
        <v>457</v>
      </c>
    </row>
    <row r="87" spans="1:30" x14ac:dyDescent="0.25">
      <c r="A87" t="s">
        <v>5223</v>
      </c>
      <c r="B87" t="s">
        <v>25</v>
      </c>
      <c r="C87" t="s">
        <v>26</v>
      </c>
      <c r="D87" t="s">
        <v>25</v>
      </c>
      <c r="E87" t="s">
        <v>5224</v>
      </c>
      <c r="F87" t="s">
        <v>5225</v>
      </c>
      <c r="G87">
        <v>42682611</v>
      </c>
      <c r="H87" t="s">
        <v>5226</v>
      </c>
      <c r="I87" s="4" t="s">
        <v>5227</v>
      </c>
      <c r="J87" s="4" t="s">
        <v>5228</v>
      </c>
      <c r="K87" t="s">
        <v>5229</v>
      </c>
      <c r="L87" t="s">
        <v>61</v>
      </c>
      <c r="M87" t="s">
        <v>5230</v>
      </c>
      <c r="N87" t="s">
        <v>63</v>
      </c>
      <c r="O87" t="s">
        <v>29</v>
      </c>
      <c r="P87" t="s">
        <v>37</v>
      </c>
      <c r="Q87" t="s">
        <v>38</v>
      </c>
      <c r="R87">
        <v>10</v>
      </c>
      <c r="S87" t="s">
        <v>5231</v>
      </c>
      <c r="T87" t="s">
        <v>4809</v>
      </c>
      <c r="U87" t="s">
        <v>6485</v>
      </c>
      <c r="V87" t="s">
        <v>32</v>
      </c>
      <c r="W87" t="s">
        <v>33</v>
      </c>
      <c r="X87" t="s">
        <v>33</v>
      </c>
      <c r="Y87" t="s">
        <v>33</v>
      </c>
      <c r="Z87" s="5" t="s">
        <v>34</v>
      </c>
      <c r="AA87">
        <v>-75.642095999999995</v>
      </c>
      <c r="AB87">
        <v>6.1142409999999998</v>
      </c>
      <c r="AC87" t="s">
        <v>456</v>
      </c>
      <c r="AD87" t="s">
        <v>457</v>
      </c>
    </row>
    <row r="88" spans="1:30" x14ac:dyDescent="0.25">
      <c r="A88" t="s">
        <v>758</v>
      </c>
      <c r="B88" t="s">
        <v>25</v>
      </c>
      <c r="C88" t="s">
        <v>26</v>
      </c>
      <c r="D88" t="s">
        <v>25</v>
      </c>
      <c r="E88" t="s">
        <v>759</v>
      </c>
      <c r="F88" t="s">
        <v>760</v>
      </c>
      <c r="G88">
        <v>71650203</v>
      </c>
      <c r="H88" t="s">
        <v>761</v>
      </c>
      <c r="I88" s="4" t="s">
        <v>35</v>
      </c>
      <c r="J88" s="4" t="s">
        <v>762</v>
      </c>
      <c r="K88" t="s">
        <v>763</v>
      </c>
      <c r="L88" t="s">
        <v>27</v>
      </c>
      <c r="M88" t="s">
        <v>764</v>
      </c>
      <c r="N88" t="s">
        <v>28</v>
      </c>
      <c r="O88" t="s">
        <v>29</v>
      </c>
      <c r="P88" t="s">
        <v>37</v>
      </c>
      <c r="Q88" t="s">
        <v>38</v>
      </c>
      <c r="R88">
        <v>10</v>
      </c>
      <c r="S88" t="s">
        <v>765</v>
      </c>
      <c r="T88" t="s">
        <v>5490</v>
      </c>
      <c r="U88" t="s">
        <v>5490</v>
      </c>
      <c r="V88" t="s">
        <v>32</v>
      </c>
      <c r="W88" t="s">
        <v>33</v>
      </c>
      <c r="X88" t="s">
        <v>33</v>
      </c>
      <c r="Y88" t="s">
        <v>33</v>
      </c>
      <c r="Z88" s="5" t="s">
        <v>34</v>
      </c>
      <c r="AA88">
        <v>-75.647180000000006</v>
      </c>
      <c r="AB88">
        <v>6.2907190000000002</v>
      </c>
      <c r="AC88" t="s">
        <v>456</v>
      </c>
      <c r="AD88" t="s">
        <v>457</v>
      </c>
    </row>
    <row r="89" spans="1:30" x14ac:dyDescent="0.25">
      <c r="A89" t="s">
        <v>3573</v>
      </c>
      <c r="B89" t="s">
        <v>25</v>
      </c>
      <c r="C89" t="s">
        <v>26</v>
      </c>
      <c r="D89" t="s">
        <v>25</v>
      </c>
      <c r="E89" t="s">
        <v>3574</v>
      </c>
      <c r="F89" t="s">
        <v>3575</v>
      </c>
      <c r="G89">
        <v>71589282</v>
      </c>
      <c r="H89" t="s">
        <v>3576</v>
      </c>
      <c r="I89" s="4" t="s">
        <v>35</v>
      </c>
      <c r="J89" s="4" t="s">
        <v>3577</v>
      </c>
      <c r="K89" t="s">
        <v>3578</v>
      </c>
      <c r="L89" t="s">
        <v>44</v>
      </c>
      <c r="M89" t="s">
        <v>3579</v>
      </c>
      <c r="N89" t="s">
        <v>45</v>
      </c>
      <c r="O89" t="s">
        <v>29</v>
      </c>
      <c r="P89" t="s">
        <v>37</v>
      </c>
      <c r="Q89" t="s">
        <v>31</v>
      </c>
      <c r="R89">
        <v>7</v>
      </c>
      <c r="S89" t="s">
        <v>3580</v>
      </c>
      <c r="T89" t="s">
        <v>6486</v>
      </c>
      <c r="U89" t="s">
        <v>6487</v>
      </c>
      <c r="V89" t="s">
        <v>32</v>
      </c>
      <c r="W89" t="s">
        <v>33</v>
      </c>
      <c r="X89" t="s">
        <v>33</v>
      </c>
      <c r="Y89" t="s">
        <v>33</v>
      </c>
      <c r="Z89" s="5" t="s">
        <v>34</v>
      </c>
      <c r="AA89">
        <v>-75.640045639999997</v>
      </c>
      <c r="AB89">
        <v>6.1674334899999996</v>
      </c>
      <c r="AC89" t="s">
        <v>456</v>
      </c>
      <c r="AD89" t="s">
        <v>457</v>
      </c>
    </row>
    <row r="90" spans="1:30" x14ac:dyDescent="0.25">
      <c r="A90" t="s">
        <v>7871</v>
      </c>
      <c r="B90" t="s">
        <v>25</v>
      </c>
      <c r="C90" t="s">
        <v>26</v>
      </c>
      <c r="D90" t="s">
        <v>25</v>
      </c>
      <c r="E90" t="s">
        <v>7872</v>
      </c>
      <c r="F90" t="s">
        <v>7873</v>
      </c>
      <c r="G90">
        <v>8036062</v>
      </c>
      <c r="H90" t="s">
        <v>7874</v>
      </c>
      <c r="I90" s="4" t="s">
        <v>35</v>
      </c>
      <c r="J90" s="4" t="s">
        <v>7875</v>
      </c>
      <c r="K90" t="s">
        <v>7876</v>
      </c>
      <c r="L90" t="s">
        <v>61</v>
      </c>
      <c r="M90" t="s">
        <v>7877</v>
      </c>
      <c r="N90" t="s">
        <v>63</v>
      </c>
      <c r="O90" t="s">
        <v>29</v>
      </c>
      <c r="P90" t="s">
        <v>36</v>
      </c>
      <c r="Q90" t="s">
        <v>38</v>
      </c>
      <c r="R90">
        <v>10</v>
      </c>
      <c r="S90" t="s">
        <v>7878</v>
      </c>
      <c r="T90" t="s">
        <v>7859</v>
      </c>
      <c r="U90" t="s">
        <v>7860</v>
      </c>
      <c r="V90" t="s">
        <v>32</v>
      </c>
      <c r="W90" t="s">
        <v>33</v>
      </c>
      <c r="X90" t="s">
        <v>33</v>
      </c>
      <c r="Y90" t="s">
        <v>33</v>
      </c>
      <c r="Z90" s="5" t="s">
        <v>34</v>
      </c>
      <c r="AA90">
        <v>-75.647189999999995</v>
      </c>
      <c r="AB90">
        <v>6.1162409999999996</v>
      </c>
      <c r="AC90" t="s">
        <v>456</v>
      </c>
      <c r="AD90" t="s">
        <v>457</v>
      </c>
    </row>
    <row r="91" spans="1:30" x14ac:dyDescent="0.25">
      <c r="A91" t="s">
        <v>3581</v>
      </c>
      <c r="B91" t="s">
        <v>25</v>
      </c>
      <c r="C91" t="s">
        <v>26</v>
      </c>
      <c r="D91" t="s">
        <v>25</v>
      </c>
      <c r="E91" t="s">
        <v>3582</v>
      </c>
      <c r="F91" t="s">
        <v>3583</v>
      </c>
      <c r="G91">
        <v>42886507</v>
      </c>
      <c r="H91" t="s">
        <v>3584</v>
      </c>
      <c r="I91" s="4" t="s">
        <v>35</v>
      </c>
      <c r="J91" s="4" t="s">
        <v>3585</v>
      </c>
      <c r="K91" t="s">
        <v>3586</v>
      </c>
      <c r="L91" t="s">
        <v>77</v>
      </c>
      <c r="M91" t="s">
        <v>3587</v>
      </c>
      <c r="N91" t="s">
        <v>78</v>
      </c>
      <c r="O91" t="s">
        <v>29</v>
      </c>
      <c r="P91" t="s">
        <v>30</v>
      </c>
      <c r="Q91" t="s">
        <v>38</v>
      </c>
      <c r="R91">
        <v>10</v>
      </c>
      <c r="S91" t="s">
        <v>3588</v>
      </c>
      <c r="T91" t="s">
        <v>6488</v>
      </c>
      <c r="U91" t="s">
        <v>6489</v>
      </c>
      <c r="V91" t="s">
        <v>32</v>
      </c>
      <c r="W91" t="s">
        <v>33</v>
      </c>
      <c r="X91" t="s">
        <v>33</v>
      </c>
      <c r="Y91" t="s">
        <v>33</v>
      </c>
      <c r="Z91" s="5" t="s">
        <v>34</v>
      </c>
      <c r="AA91">
        <v>-75.579159000000004</v>
      </c>
      <c r="AB91">
        <v>6.103218</v>
      </c>
      <c r="AC91" t="s">
        <v>456</v>
      </c>
      <c r="AD91" t="s">
        <v>457</v>
      </c>
    </row>
    <row r="92" spans="1:30" x14ac:dyDescent="0.25">
      <c r="A92" t="s">
        <v>3589</v>
      </c>
      <c r="B92" t="s">
        <v>25</v>
      </c>
      <c r="C92" t="s">
        <v>26</v>
      </c>
      <c r="D92" t="s">
        <v>25</v>
      </c>
      <c r="E92" t="s">
        <v>3590</v>
      </c>
      <c r="F92" t="s">
        <v>3591</v>
      </c>
      <c r="G92">
        <v>3396938</v>
      </c>
      <c r="H92" t="s">
        <v>3592</v>
      </c>
      <c r="I92" s="4" t="s">
        <v>35</v>
      </c>
      <c r="J92" s="4" t="s">
        <v>3593</v>
      </c>
      <c r="K92" t="s">
        <v>3594</v>
      </c>
      <c r="L92" t="s">
        <v>77</v>
      </c>
      <c r="M92" t="s">
        <v>3595</v>
      </c>
      <c r="N92" t="s">
        <v>78</v>
      </c>
      <c r="O92" t="s">
        <v>29</v>
      </c>
      <c r="P92" t="s">
        <v>30</v>
      </c>
      <c r="Q92" t="s">
        <v>38</v>
      </c>
      <c r="R92">
        <v>10</v>
      </c>
      <c r="S92" t="s">
        <v>3596</v>
      </c>
      <c r="T92" t="s">
        <v>6488</v>
      </c>
      <c r="U92" t="s">
        <v>6489</v>
      </c>
      <c r="V92" t="s">
        <v>32</v>
      </c>
      <c r="W92" t="s">
        <v>33</v>
      </c>
      <c r="X92" t="s">
        <v>33</v>
      </c>
      <c r="Y92" t="s">
        <v>33</v>
      </c>
      <c r="Z92" s="5" t="s">
        <v>34</v>
      </c>
      <c r="AA92">
        <v>-75.579159000000004</v>
      </c>
      <c r="AB92">
        <v>6.103218</v>
      </c>
      <c r="AC92" t="s">
        <v>456</v>
      </c>
      <c r="AD92" t="s">
        <v>457</v>
      </c>
    </row>
    <row r="93" spans="1:30" x14ac:dyDescent="0.25">
      <c r="A93" t="s">
        <v>465</v>
      </c>
      <c r="B93" t="s">
        <v>25</v>
      </c>
      <c r="C93" t="s">
        <v>26</v>
      </c>
      <c r="D93" t="s">
        <v>25</v>
      </c>
      <c r="E93" t="s">
        <v>105</v>
      </c>
      <c r="F93" t="s">
        <v>106</v>
      </c>
      <c r="G93">
        <v>98573536</v>
      </c>
      <c r="H93" t="s">
        <v>107</v>
      </c>
      <c r="I93" s="4" t="s">
        <v>35</v>
      </c>
      <c r="J93" s="4" t="s">
        <v>108</v>
      </c>
      <c r="K93" t="s">
        <v>109</v>
      </c>
      <c r="L93" t="s">
        <v>27</v>
      </c>
      <c r="M93" t="s">
        <v>110</v>
      </c>
      <c r="N93" t="s">
        <v>28</v>
      </c>
      <c r="O93" t="s">
        <v>29</v>
      </c>
      <c r="P93" t="s">
        <v>36</v>
      </c>
      <c r="Q93" t="s">
        <v>31</v>
      </c>
      <c r="R93">
        <v>7</v>
      </c>
      <c r="S93" t="s">
        <v>111</v>
      </c>
      <c r="T93" t="s">
        <v>6490</v>
      </c>
      <c r="U93" t="s">
        <v>47</v>
      </c>
      <c r="V93" t="s">
        <v>47</v>
      </c>
      <c r="W93" t="s">
        <v>33</v>
      </c>
      <c r="X93" t="s">
        <v>33</v>
      </c>
      <c r="Y93" t="s">
        <v>33</v>
      </c>
      <c r="Z93" s="5" t="s">
        <v>34</v>
      </c>
      <c r="AA93">
        <v>-75.586306120000003</v>
      </c>
      <c r="AB93">
        <v>6.2245846900000004</v>
      </c>
      <c r="AC93" t="s">
        <v>456</v>
      </c>
      <c r="AD93" t="s">
        <v>457</v>
      </c>
    </row>
    <row r="94" spans="1:30" x14ac:dyDescent="0.25">
      <c r="A94" t="s">
        <v>5232</v>
      </c>
      <c r="B94" t="s">
        <v>25</v>
      </c>
      <c r="C94" t="s">
        <v>26</v>
      </c>
      <c r="D94" t="s">
        <v>25</v>
      </c>
      <c r="E94" t="s">
        <v>5233</v>
      </c>
      <c r="F94" t="s">
        <v>5234</v>
      </c>
      <c r="G94">
        <v>70414162</v>
      </c>
      <c r="H94" t="s">
        <v>5235</v>
      </c>
      <c r="I94" s="4" t="s">
        <v>5236</v>
      </c>
      <c r="J94" s="4" t="s">
        <v>5237</v>
      </c>
      <c r="K94" t="s">
        <v>5238</v>
      </c>
      <c r="L94" t="s">
        <v>27</v>
      </c>
      <c r="M94" t="s">
        <v>5239</v>
      </c>
      <c r="N94" t="s">
        <v>28</v>
      </c>
      <c r="O94" t="s">
        <v>29</v>
      </c>
      <c r="P94" t="s">
        <v>37</v>
      </c>
      <c r="Q94" t="s">
        <v>31</v>
      </c>
      <c r="R94">
        <v>7</v>
      </c>
      <c r="S94" t="s">
        <v>5240</v>
      </c>
      <c r="T94" t="s">
        <v>6491</v>
      </c>
      <c r="U94" t="s">
        <v>6492</v>
      </c>
      <c r="V94" t="s">
        <v>32</v>
      </c>
      <c r="W94" t="s">
        <v>33</v>
      </c>
      <c r="X94" t="s">
        <v>33</v>
      </c>
      <c r="Y94" t="s">
        <v>33</v>
      </c>
      <c r="Z94" s="5" t="s">
        <v>34</v>
      </c>
      <c r="AA94">
        <v>-75.613772209999993</v>
      </c>
      <c r="AB94">
        <v>6.26506002</v>
      </c>
      <c r="AC94" t="s">
        <v>456</v>
      </c>
      <c r="AD94" t="s">
        <v>457</v>
      </c>
    </row>
    <row r="95" spans="1:30" x14ac:dyDescent="0.25">
      <c r="A95" t="s">
        <v>7879</v>
      </c>
      <c r="B95" t="s">
        <v>25</v>
      </c>
      <c r="C95" t="s">
        <v>26</v>
      </c>
      <c r="D95" t="s">
        <v>25</v>
      </c>
      <c r="E95" t="s">
        <v>7880</v>
      </c>
      <c r="F95" t="s">
        <v>7881</v>
      </c>
      <c r="G95">
        <v>1036617826</v>
      </c>
      <c r="H95" t="s">
        <v>7882</v>
      </c>
      <c r="I95" s="4" t="s">
        <v>7883</v>
      </c>
      <c r="J95" s="4" t="s">
        <v>196</v>
      </c>
      <c r="K95" t="s">
        <v>7884</v>
      </c>
      <c r="L95" t="s">
        <v>61</v>
      </c>
      <c r="M95" t="s">
        <v>7885</v>
      </c>
      <c r="N95" t="s">
        <v>63</v>
      </c>
      <c r="O95" t="s">
        <v>29</v>
      </c>
      <c r="P95" t="s">
        <v>37</v>
      </c>
      <c r="Q95" t="s">
        <v>38</v>
      </c>
      <c r="R95">
        <v>10</v>
      </c>
      <c r="S95" t="s">
        <v>7886</v>
      </c>
      <c r="T95" t="s">
        <v>7859</v>
      </c>
      <c r="U95" t="s">
        <v>7860</v>
      </c>
      <c r="V95" t="s">
        <v>32</v>
      </c>
      <c r="W95" t="s">
        <v>33</v>
      </c>
      <c r="X95" t="s">
        <v>33</v>
      </c>
      <c r="Y95" t="s">
        <v>33</v>
      </c>
      <c r="Z95" s="5" t="s">
        <v>34</v>
      </c>
      <c r="AA95">
        <v>-75.640771409999999</v>
      </c>
      <c r="AB95">
        <v>6.11245423</v>
      </c>
      <c r="AC95" t="s">
        <v>456</v>
      </c>
      <c r="AD95" t="s">
        <v>457</v>
      </c>
    </row>
    <row r="96" spans="1:30" x14ac:dyDescent="0.25">
      <c r="A96" t="s">
        <v>766</v>
      </c>
      <c r="B96" t="s">
        <v>25</v>
      </c>
      <c r="C96" t="s">
        <v>26</v>
      </c>
      <c r="D96" t="s">
        <v>25</v>
      </c>
      <c r="E96" t="s">
        <v>767</v>
      </c>
      <c r="F96" t="s">
        <v>768</v>
      </c>
      <c r="G96">
        <v>43681923</v>
      </c>
      <c r="H96" t="s">
        <v>769</v>
      </c>
      <c r="I96" s="4" t="s">
        <v>35</v>
      </c>
      <c r="J96" s="4" t="s">
        <v>770</v>
      </c>
      <c r="K96" t="s">
        <v>771</v>
      </c>
      <c r="L96" t="s">
        <v>77</v>
      </c>
      <c r="M96" t="s">
        <v>772</v>
      </c>
      <c r="N96" t="s">
        <v>78</v>
      </c>
      <c r="O96" t="s">
        <v>29</v>
      </c>
      <c r="P96" t="s">
        <v>36</v>
      </c>
      <c r="Q96" t="s">
        <v>38</v>
      </c>
      <c r="R96">
        <v>10</v>
      </c>
      <c r="S96" t="s">
        <v>773</v>
      </c>
      <c r="T96" t="s">
        <v>6493</v>
      </c>
      <c r="U96" t="s">
        <v>6494</v>
      </c>
      <c r="V96" t="s">
        <v>32</v>
      </c>
      <c r="W96" t="s">
        <v>33</v>
      </c>
      <c r="X96" t="s">
        <v>33</v>
      </c>
      <c r="Y96" t="s">
        <v>33</v>
      </c>
      <c r="Z96" s="5" t="s">
        <v>34</v>
      </c>
      <c r="AA96">
        <v>-75.622718340000006</v>
      </c>
      <c r="AB96">
        <v>6.1024570499999999</v>
      </c>
      <c r="AC96" t="s">
        <v>456</v>
      </c>
      <c r="AD96" t="s">
        <v>457</v>
      </c>
    </row>
    <row r="97" spans="1:30" x14ac:dyDescent="0.25">
      <c r="A97" t="s">
        <v>2411</v>
      </c>
      <c r="B97" t="s">
        <v>25</v>
      </c>
      <c r="C97" t="s">
        <v>26</v>
      </c>
      <c r="D97" t="s">
        <v>39</v>
      </c>
      <c r="E97" t="s">
        <v>2412</v>
      </c>
      <c r="F97" t="s">
        <v>2413</v>
      </c>
      <c r="G97">
        <v>32537864</v>
      </c>
      <c r="H97" t="s">
        <v>2414</v>
      </c>
      <c r="I97" s="4" t="s">
        <v>35</v>
      </c>
      <c r="J97" s="4" t="s">
        <v>2415</v>
      </c>
      <c r="K97" t="s">
        <v>2416</v>
      </c>
      <c r="L97" t="s">
        <v>27</v>
      </c>
      <c r="M97" t="s">
        <v>2417</v>
      </c>
      <c r="N97" t="s">
        <v>28</v>
      </c>
      <c r="O97" t="s">
        <v>40</v>
      </c>
      <c r="P97" t="s">
        <v>41</v>
      </c>
      <c r="Q97" t="s">
        <v>31</v>
      </c>
      <c r="R97">
        <v>5</v>
      </c>
      <c r="S97" t="s">
        <v>2418</v>
      </c>
      <c r="T97" t="s">
        <v>2606</v>
      </c>
      <c r="U97" t="s">
        <v>2605</v>
      </c>
      <c r="V97" t="s">
        <v>50</v>
      </c>
      <c r="W97" t="s">
        <v>33</v>
      </c>
      <c r="X97" t="s">
        <v>33</v>
      </c>
      <c r="Y97" t="s">
        <v>33</v>
      </c>
      <c r="Z97" s="5" t="s">
        <v>34</v>
      </c>
      <c r="AA97">
        <v>-75.604724529999999</v>
      </c>
      <c r="AB97">
        <v>6.2746372299999997</v>
      </c>
      <c r="AC97" t="s">
        <v>456</v>
      </c>
      <c r="AD97" t="s">
        <v>457</v>
      </c>
    </row>
    <row r="98" spans="1:30" x14ac:dyDescent="0.25">
      <c r="A98" t="s">
        <v>5241</v>
      </c>
      <c r="B98" t="s">
        <v>25</v>
      </c>
      <c r="C98" t="s">
        <v>26</v>
      </c>
      <c r="D98" t="s">
        <v>39</v>
      </c>
      <c r="E98" t="s">
        <v>5242</v>
      </c>
      <c r="F98" t="s">
        <v>5243</v>
      </c>
      <c r="G98">
        <v>1017133481</v>
      </c>
      <c r="H98" t="s">
        <v>5244</v>
      </c>
      <c r="I98" s="4" t="s">
        <v>35</v>
      </c>
      <c r="J98" s="4" t="s">
        <v>5245</v>
      </c>
      <c r="K98" t="s">
        <v>5246</v>
      </c>
      <c r="L98" t="s">
        <v>27</v>
      </c>
      <c r="M98" t="s">
        <v>5247</v>
      </c>
      <c r="N98" t="s">
        <v>28</v>
      </c>
      <c r="O98" t="s">
        <v>46</v>
      </c>
      <c r="P98" t="s">
        <v>41</v>
      </c>
      <c r="Q98" t="s">
        <v>31</v>
      </c>
      <c r="R98">
        <v>5</v>
      </c>
      <c r="S98" t="s">
        <v>5248</v>
      </c>
      <c r="T98" t="s">
        <v>4678</v>
      </c>
      <c r="U98" t="s">
        <v>6443</v>
      </c>
      <c r="V98" t="s">
        <v>32</v>
      </c>
      <c r="W98" t="s">
        <v>33</v>
      </c>
      <c r="X98" t="s">
        <v>33</v>
      </c>
      <c r="Y98" t="s">
        <v>33</v>
      </c>
      <c r="Z98" s="5" t="s">
        <v>34</v>
      </c>
      <c r="AA98">
        <v>-75.630061670000003</v>
      </c>
      <c r="AB98">
        <v>6.23489833</v>
      </c>
      <c r="AC98" t="s">
        <v>456</v>
      </c>
      <c r="AD98" t="s">
        <v>457</v>
      </c>
    </row>
    <row r="99" spans="1:30" x14ac:dyDescent="0.25">
      <c r="A99" t="s">
        <v>5249</v>
      </c>
      <c r="B99" t="s">
        <v>25</v>
      </c>
      <c r="C99" t="s">
        <v>26</v>
      </c>
      <c r="D99" t="s">
        <v>39</v>
      </c>
      <c r="E99" t="s">
        <v>5250</v>
      </c>
      <c r="F99" t="s">
        <v>5251</v>
      </c>
      <c r="G99">
        <v>30079806</v>
      </c>
      <c r="H99" t="s">
        <v>5252</v>
      </c>
      <c r="I99" s="4" t="s">
        <v>35</v>
      </c>
      <c r="J99" s="4" t="s">
        <v>5245</v>
      </c>
      <c r="K99" t="s">
        <v>5253</v>
      </c>
      <c r="L99" t="s">
        <v>27</v>
      </c>
      <c r="M99" t="s">
        <v>5254</v>
      </c>
      <c r="N99" t="s">
        <v>28</v>
      </c>
      <c r="O99" t="s">
        <v>46</v>
      </c>
      <c r="P99" t="s">
        <v>41</v>
      </c>
      <c r="Q99" t="s">
        <v>31</v>
      </c>
      <c r="R99">
        <v>5</v>
      </c>
      <c r="S99" t="s">
        <v>5255</v>
      </c>
      <c r="T99" t="s">
        <v>4678</v>
      </c>
      <c r="U99" t="s">
        <v>6443</v>
      </c>
      <c r="V99" t="s">
        <v>32</v>
      </c>
      <c r="W99" t="s">
        <v>33</v>
      </c>
      <c r="X99" t="s">
        <v>33</v>
      </c>
      <c r="Y99" t="s">
        <v>33</v>
      </c>
      <c r="Z99" s="5" t="s">
        <v>34</v>
      </c>
      <c r="AA99">
        <v>-75.630061670000003</v>
      </c>
      <c r="AB99">
        <v>6.23489833</v>
      </c>
      <c r="AC99" t="s">
        <v>456</v>
      </c>
      <c r="AD99" t="s">
        <v>457</v>
      </c>
    </row>
    <row r="100" spans="1:30" x14ac:dyDescent="0.25">
      <c r="A100" t="s">
        <v>5256</v>
      </c>
      <c r="B100" t="s">
        <v>25</v>
      </c>
      <c r="C100" t="s">
        <v>26</v>
      </c>
      <c r="D100" t="s">
        <v>39</v>
      </c>
      <c r="E100" t="s">
        <v>5257</v>
      </c>
      <c r="F100" t="s">
        <v>5258</v>
      </c>
      <c r="G100">
        <v>93372430</v>
      </c>
      <c r="H100" t="s">
        <v>5259</v>
      </c>
      <c r="I100" s="4" t="s">
        <v>35</v>
      </c>
      <c r="J100" s="4" t="s">
        <v>5260</v>
      </c>
      <c r="K100" t="s">
        <v>5261</v>
      </c>
      <c r="L100" t="s">
        <v>27</v>
      </c>
      <c r="M100" t="s">
        <v>5262</v>
      </c>
      <c r="N100" t="s">
        <v>28</v>
      </c>
      <c r="O100" t="s">
        <v>46</v>
      </c>
      <c r="P100" t="s">
        <v>41</v>
      </c>
      <c r="Q100" t="s">
        <v>31</v>
      </c>
      <c r="R100">
        <v>5</v>
      </c>
      <c r="S100" t="s">
        <v>5263</v>
      </c>
      <c r="T100" t="s">
        <v>4678</v>
      </c>
      <c r="U100" t="s">
        <v>6443</v>
      </c>
      <c r="V100" t="s">
        <v>32</v>
      </c>
      <c r="W100" t="s">
        <v>33</v>
      </c>
      <c r="X100" t="s">
        <v>33</v>
      </c>
      <c r="Y100" t="s">
        <v>33</v>
      </c>
      <c r="Z100" s="5" t="s">
        <v>34</v>
      </c>
      <c r="AA100">
        <v>-75.630061670000003</v>
      </c>
      <c r="AB100">
        <v>6.23489833</v>
      </c>
      <c r="AC100" t="s">
        <v>456</v>
      </c>
      <c r="AD100" t="s">
        <v>457</v>
      </c>
    </row>
    <row r="101" spans="1:30" x14ac:dyDescent="0.25">
      <c r="A101" t="s">
        <v>5264</v>
      </c>
      <c r="B101" t="s">
        <v>25</v>
      </c>
      <c r="C101" t="s">
        <v>26</v>
      </c>
      <c r="D101" t="s">
        <v>39</v>
      </c>
      <c r="E101" t="s">
        <v>5265</v>
      </c>
      <c r="F101" t="s">
        <v>5266</v>
      </c>
      <c r="G101">
        <v>1214747991</v>
      </c>
      <c r="H101" t="s">
        <v>5267</v>
      </c>
      <c r="I101" s="4" t="s">
        <v>35</v>
      </c>
      <c r="J101" s="4" t="s">
        <v>5268</v>
      </c>
      <c r="K101" t="s">
        <v>5269</v>
      </c>
      <c r="L101" t="s">
        <v>27</v>
      </c>
      <c r="M101" t="s">
        <v>5270</v>
      </c>
      <c r="N101" t="s">
        <v>28</v>
      </c>
      <c r="O101" t="s">
        <v>46</v>
      </c>
      <c r="P101" t="s">
        <v>41</v>
      </c>
      <c r="Q101" t="s">
        <v>31</v>
      </c>
      <c r="R101">
        <v>5</v>
      </c>
      <c r="S101" t="s">
        <v>5271</v>
      </c>
      <c r="T101" t="s">
        <v>4678</v>
      </c>
      <c r="U101" t="s">
        <v>6443</v>
      </c>
      <c r="V101" t="s">
        <v>32</v>
      </c>
      <c r="W101" t="s">
        <v>33</v>
      </c>
      <c r="X101" t="s">
        <v>33</v>
      </c>
      <c r="Y101" t="s">
        <v>33</v>
      </c>
      <c r="Z101" s="5" t="s">
        <v>34</v>
      </c>
      <c r="AA101">
        <v>-75.630061670000003</v>
      </c>
      <c r="AB101">
        <v>6.23489833</v>
      </c>
      <c r="AC101" t="s">
        <v>456</v>
      </c>
      <c r="AD101" t="s">
        <v>457</v>
      </c>
    </row>
    <row r="102" spans="1:30" x14ac:dyDescent="0.25">
      <c r="A102" t="s">
        <v>3597</v>
      </c>
      <c r="B102" t="s">
        <v>25</v>
      </c>
      <c r="C102" t="s">
        <v>26</v>
      </c>
      <c r="D102" t="s">
        <v>25</v>
      </c>
      <c r="E102" t="s">
        <v>3598</v>
      </c>
      <c r="F102" t="s">
        <v>3599</v>
      </c>
      <c r="G102">
        <v>43154304</v>
      </c>
      <c r="H102" t="s">
        <v>3551</v>
      </c>
      <c r="I102" s="4" t="s">
        <v>3552</v>
      </c>
      <c r="J102" s="4" t="s">
        <v>3600</v>
      </c>
      <c r="K102" t="s">
        <v>3601</v>
      </c>
      <c r="L102" t="s">
        <v>27</v>
      </c>
      <c r="M102" t="s">
        <v>3602</v>
      </c>
      <c r="N102" t="s">
        <v>28</v>
      </c>
      <c r="O102" t="s">
        <v>29</v>
      </c>
      <c r="P102" t="s">
        <v>36</v>
      </c>
      <c r="Q102" t="s">
        <v>31</v>
      </c>
      <c r="R102">
        <v>7</v>
      </c>
      <c r="S102" t="s">
        <v>3603</v>
      </c>
      <c r="T102" t="s">
        <v>6495</v>
      </c>
      <c r="U102" t="s">
        <v>6496</v>
      </c>
      <c r="V102" t="s">
        <v>32</v>
      </c>
      <c r="W102" t="s">
        <v>33</v>
      </c>
      <c r="X102" t="s">
        <v>33</v>
      </c>
      <c r="Y102" t="s">
        <v>33</v>
      </c>
      <c r="Z102" s="5" t="s">
        <v>34</v>
      </c>
      <c r="AA102">
        <v>-75.614635190000001</v>
      </c>
      <c r="AB102">
        <v>6.2473113800000002</v>
      </c>
      <c r="AC102" t="s">
        <v>456</v>
      </c>
      <c r="AD102" t="s">
        <v>457</v>
      </c>
    </row>
    <row r="103" spans="1:30" x14ac:dyDescent="0.25">
      <c r="A103" t="s">
        <v>7887</v>
      </c>
      <c r="B103" t="s">
        <v>25</v>
      </c>
      <c r="C103" t="s">
        <v>26</v>
      </c>
      <c r="D103" t="s">
        <v>25</v>
      </c>
      <c r="E103" t="s">
        <v>7888</v>
      </c>
      <c r="F103" t="s">
        <v>7889</v>
      </c>
      <c r="G103">
        <v>42789138</v>
      </c>
      <c r="H103" t="s">
        <v>7890</v>
      </c>
      <c r="I103" s="4" t="s">
        <v>7891</v>
      </c>
      <c r="J103" s="4" t="s">
        <v>7892</v>
      </c>
      <c r="K103" t="s">
        <v>7893</v>
      </c>
      <c r="L103" t="s">
        <v>61</v>
      </c>
      <c r="M103" t="s">
        <v>7894</v>
      </c>
      <c r="N103" t="s">
        <v>63</v>
      </c>
      <c r="O103" t="s">
        <v>29</v>
      </c>
      <c r="P103" t="s">
        <v>37</v>
      </c>
      <c r="Q103" t="s">
        <v>38</v>
      </c>
      <c r="R103">
        <v>10</v>
      </c>
      <c r="S103" t="s">
        <v>7895</v>
      </c>
      <c r="T103" t="s">
        <v>7859</v>
      </c>
      <c r="U103" t="s">
        <v>7860</v>
      </c>
      <c r="V103" t="s">
        <v>32</v>
      </c>
      <c r="W103" t="s">
        <v>33</v>
      </c>
      <c r="X103" t="s">
        <v>33</v>
      </c>
      <c r="Y103" t="s">
        <v>33</v>
      </c>
      <c r="Z103" s="5" t="s">
        <v>34</v>
      </c>
      <c r="AA103">
        <v>-75.630894979999994</v>
      </c>
      <c r="AB103">
        <v>6.1177863300000004</v>
      </c>
      <c r="AC103" t="s">
        <v>456</v>
      </c>
      <c r="AD103" t="s">
        <v>457</v>
      </c>
    </row>
    <row r="104" spans="1:30" x14ac:dyDescent="0.25">
      <c r="A104" t="s">
        <v>7896</v>
      </c>
      <c r="B104" t="s">
        <v>25</v>
      </c>
      <c r="C104" t="s">
        <v>26</v>
      </c>
      <c r="D104" t="s">
        <v>25</v>
      </c>
      <c r="E104" t="s">
        <v>7897</v>
      </c>
      <c r="F104" t="s">
        <v>7898</v>
      </c>
      <c r="G104">
        <v>43057046</v>
      </c>
      <c r="H104" t="s">
        <v>7899</v>
      </c>
      <c r="I104" s="4" t="s">
        <v>35</v>
      </c>
      <c r="J104" s="4" t="s">
        <v>7900</v>
      </c>
      <c r="K104" t="s">
        <v>7901</v>
      </c>
      <c r="L104" t="s">
        <v>61</v>
      </c>
      <c r="M104" t="s">
        <v>7902</v>
      </c>
      <c r="N104" t="s">
        <v>63</v>
      </c>
      <c r="O104" t="s">
        <v>29</v>
      </c>
      <c r="P104" t="s">
        <v>37</v>
      </c>
      <c r="Q104" t="s">
        <v>38</v>
      </c>
      <c r="R104">
        <v>10</v>
      </c>
      <c r="S104" t="s">
        <v>7903</v>
      </c>
      <c r="T104" t="s">
        <v>7859</v>
      </c>
      <c r="U104" t="s">
        <v>7860</v>
      </c>
      <c r="V104" t="s">
        <v>32</v>
      </c>
      <c r="W104" t="s">
        <v>33</v>
      </c>
      <c r="X104" t="s">
        <v>33</v>
      </c>
      <c r="Y104" t="s">
        <v>33</v>
      </c>
      <c r="Z104" s="5" t="s">
        <v>34</v>
      </c>
      <c r="AA104">
        <v>-75.634586330000005</v>
      </c>
      <c r="AB104">
        <v>6.1472644900000004</v>
      </c>
      <c r="AC104" t="s">
        <v>456</v>
      </c>
      <c r="AD104" t="s">
        <v>457</v>
      </c>
    </row>
    <row r="105" spans="1:30" x14ac:dyDescent="0.25">
      <c r="A105" t="s">
        <v>7904</v>
      </c>
      <c r="B105" t="s">
        <v>25</v>
      </c>
      <c r="C105" t="s">
        <v>26</v>
      </c>
      <c r="D105" t="s">
        <v>25</v>
      </c>
      <c r="E105" t="s">
        <v>7905</v>
      </c>
      <c r="F105" t="s">
        <v>7906</v>
      </c>
      <c r="G105">
        <v>42939372</v>
      </c>
      <c r="H105" t="s">
        <v>7907</v>
      </c>
      <c r="I105" s="4" t="s">
        <v>54</v>
      </c>
      <c r="J105" s="4" t="s">
        <v>7908</v>
      </c>
      <c r="K105" t="s">
        <v>7909</v>
      </c>
      <c r="L105" t="s">
        <v>27</v>
      </c>
      <c r="M105" t="s">
        <v>7910</v>
      </c>
      <c r="N105" t="s">
        <v>28</v>
      </c>
      <c r="O105" t="s">
        <v>29</v>
      </c>
      <c r="P105" t="s">
        <v>30</v>
      </c>
      <c r="Q105" t="s">
        <v>31</v>
      </c>
      <c r="R105">
        <v>7</v>
      </c>
      <c r="S105" t="s">
        <v>7911</v>
      </c>
      <c r="T105" t="s">
        <v>7912</v>
      </c>
      <c r="U105" t="s">
        <v>7913</v>
      </c>
      <c r="V105" t="s">
        <v>32</v>
      </c>
      <c r="W105" t="s">
        <v>33</v>
      </c>
      <c r="X105" t="s">
        <v>33</v>
      </c>
      <c r="Y105" t="s">
        <v>33</v>
      </c>
      <c r="Z105" s="5" t="s">
        <v>34</v>
      </c>
      <c r="AA105">
        <v>-75.540931999999998</v>
      </c>
      <c r="AB105">
        <v>6.2391940000000004</v>
      </c>
      <c r="AC105" t="s">
        <v>456</v>
      </c>
      <c r="AD105" t="s">
        <v>457</v>
      </c>
    </row>
    <row r="106" spans="1:30" x14ac:dyDescent="0.25">
      <c r="A106" t="s">
        <v>7914</v>
      </c>
      <c r="B106" t="s">
        <v>25</v>
      </c>
      <c r="C106" t="s">
        <v>26</v>
      </c>
      <c r="D106" t="s">
        <v>25</v>
      </c>
      <c r="E106" t="s">
        <v>7915</v>
      </c>
      <c r="F106" t="s">
        <v>7916</v>
      </c>
      <c r="G106">
        <v>70783398</v>
      </c>
      <c r="H106" t="s">
        <v>7917</v>
      </c>
      <c r="I106" s="4" t="s">
        <v>35</v>
      </c>
      <c r="J106" s="4" t="s">
        <v>1804</v>
      </c>
      <c r="K106" t="s">
        <v>7918</v>
      </c>
      <c r="L106" t="s">
        <v>27</v>
      </c>
      <c r="M106" t="s">
        <v>7919</v>
      </c>
      <c r="N106" t="s">
        <v>28</v>
      </c>
      <c r="O106" t="s">
        <v>29</v>
      </c>
      <c r="P106" t="s">
        <v>37</v>
      </c>
      <c r="Q106" t="s">
        <v>31</v>
      </c>
      <c r="R106">
        <v>7</v>
      </c>
      <c r="S106" t="s">
        <v>7920</v>
      </c>
      <c r="T106" t="s">
        <v>7912</v>
      </c>
      <c r="U106" t="s">
        <v>7913</v>
      </c>
      <c r="V106" t="s">
        <v>32</v>
      </c>
      <c r="W106" t="s">
        <v>33</v>
      </c>
      <c r="X106" t="s">
        <v>33</v>
      </c>
      <c r="Y106" t="s">
        <v>33</v>
      </c>
      <c r="Z106" s="5" t="s">
        <v>34</v>
      </c>
      <c r="AA106">
        <v>-75.549368999999999</v>
      </c>
      <c r="AB106">
        <v>6.2430250000000003</v>
      </c>
      <c r="AC106" t="s">
        <v>456</v>
      </c>
      <c r="AD106" t="s">
        <v>457</v>
      </c>
    </row>
    <row r="107" spans="1:30" x14ac:dyDescent="0.25">
      <c r="A107" t="s">
        <v>7921</v>
      </c>
      <c r="B107" t="s">
        <v>25</v>
      </c>
      <c r="C107" t="s">
        <v>26</v>
      </c>
      <c r="D107" t="s">
        <v>25</v>
      </c>
      <c r="E107" t="s">
        <v>7922</v>
      </c>
      <c r="F107" t="s">
        <v>7923</v>
      </c>
      <c r="G107">
        <v>1037585469</v>
      </c>
      <c r="H107" t="s">
        <v>7924</v>
      </c>
      <c r="I107" s="4" t="s">
        <v>35</v>
      </c>
      <c r="J107" s="4" t="s">
        <v>7925</v>
      </c>
      <c r="K107" t="s">
        <v>7926</v>
      </c>
      <c r="L107" t="s">
        <v>27</v>
      </c>
      <c r="M107" t="s">
        <v>7927</v>
      </c>
      <c r="N107" t="s">
        <v>28</v>
      </c>
      <c r="O107" t="s">
        <v>29</v>
      </c>
      <c r="P107" t="s">
        <v>37</v>
      </c>
      <c r="Q107" t="s">
        <v>31</v>
      </c>
      <c r="R107">
        <v>7</v>
      </c>
      <c r="S107" t="s">
        <v>7928</v>
      </c>
      <c r="T107" t="s">
        <v>7912</v>
      </c>
      <c r="U107" t="s">
        <v>7913</v>
      </c>
      <c r="V107" t="s">
        <v>32</v>
      </c>
      <c r="W107" t="s">
        <v>33</v>
      </c>
      <c r="X107" t="s">
        <v>33</v>
      </c>
      <c r="Y107" t="s">
        <v>33</v>
      </c>
      <c r="Z107" s="5" t="s">
        <v>34</v>
      </c>
      <c r="AA107">
        <v>-75.54384684</v>
      </c>
      <c r="AB107">
        <v>6.23960252</v>
      </c>
      <c r="AC107" t="s">
        <v>456</v>
      </c>
      <c r="AD107" t="s">
        <v>457</v>
      </c>
    </row>
    <row r="108" spans="1:30" x14ac:dyDescent="0.25">
      <c r="A108" t="s">
        <v>7929</v>
      </c>
      <c r="B108" t="s">
        <v>25</v>
      </c>
      <c r="C108" t="s">
        <v>26</v>
      </c>
      <c r="D108" t="s">
        <v>25</v>
      </c>
      <c r="E108" t="s">
        <v>7930</v>
      </c>
      <c r="F108" t="s">
        <v>7931</v>
      </c>
      <c r="G108">
        <v>1044100607</v>
      </c>
      <c r="H108" t="s">
        <v>7932</v>
      </c>
      <c r="I108" s="4" t="s">
        <v>35</v>
      </c>
      <c r="J108" s="4" t="s">
        <v>7933</v>
      </c>
      <c r="K108" t="s">
        <v>7934</v>
      </c>
      <c r="L108" t="s">
        <v>27</v>
      </c>
      <c r="M108" t="s">
        <v>7935</v>
      </c>
      <c r="N108" t="s">
        <v>28</v>
      </c>
      <c r="O108" t="s">
        <v>29</v>
      </c>
      <c r="P108" t="s">
        <v>37</v>
      </c>
      <c r="Q108" t="s">
        <v>31</v>
      </c>
      <c r="R108">
        <v>7</v>
      </c>
      <c r="S108" t="s">
        <v>7936</v>
      </c>
      <c r="T108" t="s">
        <v>7912</v>
      </c>
      <c r="U108" t="s">
        <v>7913</v>
      </c>
      <c r="V108" t="s">
        <v>32</v>
      </c>
      <c r="W108" t="s">
        <v>33</v>
      </c>
      <c r="X108" t="s">
        <v>33</v>
      </c>
      <c r="Y108" t="s">
        <v>33</v>
      </c>
      <c r="Z108" s="5" t="s">
        <v>34</v>
      </c>
      <c r="AA108">
        <v>-75.5464001</v>
      </c>
      <c r="AB108">
        <v>6.2420340000000003</v>
      </c>
      <c r="AC108" t="s">
        <v>456</v>
      </c>
      <c r="AD108" t="s">
        <v>457</v>
      </c>
    </row>
    <row r="109" spans="1:30" x14ac:dyDescent="0.25">
      <c r="A109" t="s">
        <v>7937</v>
      </c>
      <c r="B109" t="s">
        <v>25</v>
      </c>
      <c r="C109" t="s">
        <v>26</v>
      </c>
      <c r="D109" t="s">
        <v>25</v>
      </c>
      <c r="E109" t="s">
        <v>7938</v>
      </c>
      <c r="F109" t="s">
        <v>7939</v>
      </c>
      <c r="G109">
        <v>43455146</v>
      </c>
      <c r="H109" t="s">
        <v>7940</v>
      </c>
      <c r="I109" s="4" t="s">
        <v>35</v>
      </c>
      <c r="J109" s="4" t="s">
        <v>7941</v>
      </c>
      <c r="K109" t="s">
        <v>7942</v>
      </c>
      <c r="L109" t="s">
        <v>27</v>
      </c>
      <c r="M109" t="s">
        <v>7943</v>
      </c>
      <c r="N109" t="s">
        <v>28</v>
      </c>
      <c r="O109" t="s">
        <v>29</v>
      </c>
      <c r="P109" t="s">
        <v>37</v>
      </c>
      <c r="Q109" t="s">
        <v>31</v>
      </c>
      <c r="R109">
        <v>7</v>
      </c>
      <c r="S109" t="s">
        <v>7944</v>
      </c>
      <c r="T109" t="s">
        <v>7912</v>
      </c>
      <c r="U109" t="s">
        <v>7913</v>
      </c>
      <c r="V109" t="s">
        <v>32</v>
      </c>
      <c r="W109" t="s">
        <v>33</v>
      </c>
      <c r="X109" t="s">
        <v>33</v>
      </c>
      <c r="Y109" t="s">
        <v>33</v>
      </c>
      <c r="Z109" s="5" t="s">
        <v>34</v>
      </c>
      <c r="AA109">
        <v>-75.542180000000002</v>
      </c>
      <c r="AB109">
        <v>6.2385890000000002</v>
      </c>
      <c r="AC109" t="s">
        <v>456</v>
      </c>
      <c r="AD109" t="s">
        <v>457</v>
      </c>
    </row>
    <row r="110" spans="1:30" x14ac:dyDescent="0.25">
      <c r="A110" t="s">
        <v>776</v>
      </c>
      <c r="B110" t="s">
        <v>25</v>
      </c>
      <c r="C110" t="s">
        <v>26</v>
      </c>
      <c r="D110" t="s">
        <v>25</v>
      </c>
      <c r="E110" t="s">
        <v>777</v>
      </c>
      <c r="F110" t="s">
        <v>778</v>
      </c>
      <c r="G110">
        <v>98531846</v>
      </c>
      <c r="H110" t="s">
        <v>779</v>
      </c>
      <c r="I110" s="4" t="s">
        <v>780</v>
      </c>
      <c r="J110" s="4" t="s">
        <v>781</v>
      </c>
      <c r="K110" t="s">
        <v>782</v>
      </c>
      <c r="L110" t="s">
        <v>27</v>
      </c>
      <c r="M110" t="s">
        <v>783</v>
      </c>
      <c r="N110" t="s">
        <v>28</v>
      </c>
      <c r="O110" t="s">
        <v>29</v>
      </c>
      <c r="P110" t="s">
        <v>36</v>
      </c>
      <c r="Q110" t="s">
        <v>31</v>
      </c>
      <c r="R110">
        <v>7</v>
      </c>
      <c r="S110" t="s">
        <v>784</v>
      </c>
      <c r="T110" t="s">
        <v>6461</v>
      </c>
      <c r="U110" t="s">
        <v>6462</v>
      </c>
      <c r="V110" t="s">
        <v>50</v>
      </c>
      <c r="W110" t="s">
        <v>33</v>
      </c>
      <c r="X110" t="s">
        <v>33</v>
      </c>
      <c r="Y110" t="s">
        <v>33</v>
      </c>
      <c r="Z110" s="5" t="s">
        <v>34</v>
      </c>
      <c r="AA110">
        <v>-75.541352000000003</v>
      </c>
      <c r="AB110">
        <v>6.2326050000000004</v>
      </c>
      <c r="AC110" t="s">
        <v>456</v>
      </c>
      <c r="AD110" t="s">
        <v>457</v>
      </c>
    </row>
    <row r="111" spans="1:30" x14ac:dyDescent="0.25">
      <c r="A111" t="s">
        <v>785</v>
      </c>
      <c r="B111" t="s">
        <v>42</v>
      </c>
      <c r="C111" t="s">
        <v>166</v>
      </c>
      <c r="D111" t="s">
        <v>42</v>
      </c>
      <c r="E111" t="s">
        <v>786</v>
      </c>
      <c r="F111" t="s">
        <v>787</v>
      </c>
      <c r="G111">
        <v>678262</v>
      </c>
      <c r="H111" t="s">
        <v>788</v>
      </c>
      <c r="I111" s="4" t="s">
        <v>35</v>
      </c>
      <c r="J111" s="4" t="s">
        <v>789</v>
      </c>
      <c r="K111" t="s">
        <v>790</v>
      </c>
      <c r="L111" t="s">
        <v>27</v>
      </c>
      <c r="M111" t="s">
        <v>791</v>
      </c>
      <c r="N111" t="s">
        <v>28</v>
      </c>
      <c r="O111" t="s">
        <v>167</v>
      </c>
      <c r="P111" t="s">
        <v>36</v>
      </c>
      <c r="Q111" t="s">
        <v>31</v>
      </c>
      <c r="R111">
        <v>7</v>
      </c>
      <c r="S111" t="s">
        <v>792</v>
      </c>
      <c r="T111" t="s">
        <v>6498</v>
      </c>
      <c r="U111" t="s">
        <v>47</v>
      </c>
      <c r="V111" t="s">
        <v>47</v>
      </c>
      <c r="W111" t="s">
        <v>33</v>
      </c>
      <c r="X111" t="s">
        <v>33</v>
      </c>
      <c r="Y111" t="s">
        <v>33</v>
      </c>
      <c r="Z111" s="5" t="s">
        <v>34</v>
      </c>
      <c r="AA111">
        <v>-75.560830760000002</v>
      </c>
      <c r="AB111">
        <v>6.2583005500000004</v>
      </c>
      <c r="AC111" t="s">
        <v>456</v>
      </c>
      <c r="AD111" t="s">
        <v>457</v>
      </c>
    </row>
    <row r="112" spans="1:30" x14ac:dyDescent="0.25">
      <c r="A112" t="s">
        <v>466</v>
      </c>
      <c r="B112" t="s">
        <v>25</v>
      </c>
      <c r="C112" t="s">
        <v>26</v>
      </c>
      <c r="D112" t="s">
        <v>25</v>
      </c>
      <c r="E112" t="s">
        <v>113</v>
      </c>
      <c r="F112" t="s">
        <v>114</v>
      </c>
      <c r="G112">
        <v>98551916</v>
      </c>
      <c r="H112" t="s">
        <v>115</v>
      </c>
      <c r="I112" s="4" t="s">
        <v>35</v>
      </c>
      <c r="J112" s="4" t="s">
        <v>116</v>
      </c>
      <c r="K112" t="s">
        <v>117</v>
      </c>
      <c r="L112" t="s">
        <v>27</v>
      </c>
      <c r="M112" t="s">
        <v>118</v>
      </c>
      <c r="N112" t="s">
        <v>28</v>
      </c>
      <c r="O112" t="s">
        <v>29</v>
      </c>
      <c r="P112" t="s">
        <v>36</v>
      </c>
      <c r="Q112" t="s">
        <v>31</v>
      </c>
      <c r="R112">
        <v>7</v>
      </c>
      <c r="S112" t="s">
        <v>119</v>
      </c>
      <c r="T112" t="s">
        <v>6499</v>
      </c>
      <c r="U112" t="s">
        <v>47</v>
      </c>
      <c r="V112" t="s">
        <v>47</v>
      </c>
      <c r="W112" t="s">
        <v>33</v>
      </c>
      <c r="X112" t="s">
        <v>33</v>
      </c>
      <c r="Y112" t="s">
        <v>33</v>
      </c>
      <c r="Z112" s="5" t="s">
        <v>34</v>
      </c>
      <c r="AA112">
        <v>-75.604590000000002</v>
      </c>
      <c r="AB112">
        <v>6.278384</v>
      </c>
      <c r="AC112" t="s">
        <v>456</v>
      </c>
      <c r="AD112" t="s">
        <v>457</v>
      </c>
    </row>
    <row r="113" spans="1:30" x14ac:dyDescent="0.25">
      <c r="A113" t="s">
        <v>2420</v>
      </c>
      <c r="B113" t="s">
        <v>42</v>
      </c>
      <c r="C113" t="s">
        <v>26</v>
      </c>
      <c r="D113" t="s">
        <v>42</v>
      </c>
      <c r="E113" t="s">
        <v>2421</v>
      </c>
      <c r="F113" t="s">
        <v>2422</v>
      </c>
      <c r="G113">
        <v>10274994</v>
      </c>
      <c r="H113" t="s">
        <v>2423</v>
      </c>
      <c r="I113" s="4" t="s">
        <v>2424</v>
      </c>
      <c r="J113" s="4" t="s">
        <v>2425</v>
      </c>
      <c r="K113" t="s">
        <v>2426</v>
      </c>
      <c r="L113" t="s">
        <v>27</v>
      </c>
      <c r="M113" t="s">
        <v>2427</v>
      </c>
      <c r="N113" t="s">
        <v>28</v>
      </c>
      <c r="O113" t="s">
        <v>43</v>
      </c>
      <c r="P113" t="s">
        <v>36</v>
      </c>
      <c r="Q113" t="s">
        <v>31</v>
      </c>
      <c r="R113">
        <v>7</v>
      </c>
      <c r="S113" t="s">
        <v>2428</v>
      </c>
      <c r="T113" t="s">
        <v>599</v>
      </c>
      <c r="U113" t="s">
        <v>6500</v>
      </c>
      <c r="V113" t="s">
        <v>50</v>
      </c>
      <c r="W113" t="s">
        <v>33</v>
      </c>
      <c r="X113" t="s">
        <v>33</v>
      </c>
      <c r="Y113" t="s">
        <v>33</v>
      </c>
      <c r="Z113" s="5" t="s">
        <v>34</v>
      </c>
      <c r="AA113">
        <v>-75.56814996</v>
      </c>
      <c r="AB113">
        <v>6.2470900199999999</v>
      </c>
      <c r="AC113" t="s">
        <v>456</v>
      </c>
      <c r="AD113" t="s">
        <v>457</v>
      </c>
    </row>
    <row r="114" spans="1:30" x14ac:dyDescent="0.25">
      <c r="A114" t="s">
        <v>793</v>
      </c>
      <c r="B114" t="s">
        <v>25</v>
      </c>
      <c r="C114" t="s">
        <v>26</v>
      </c>
      <c r="D114" t="s">
        <v>25</v>
      </c>
      <c r="E114" t="s">
        <v>794</v>
      </c>
      <c r="F114" t="s">
        <v>795</v>
      </c>
      <c r="G114">
        <v>43049491</v>
      </c>
      <c r="H114" t="s">
        <v>796</v>
      </c>
      <c r="I114" s="4" t="s">
        <v>35</v>
      </c>
      <c r="J114" s="4" t="s">
        <v>797</v>
      </c>
      <c r="K114" t="s">
        <v>798</v>
      </c>
      <c r="L114" t="s">
        <v>77</v>
      </c>
      <c r="M114" t="s">
        <v>799</v>
      </c>
      <c r="N114" t="s">
        <v>78</v>
      </c>
      <c r="O114" t="s">
        <v>29</v>
      </c>
      <c r="P114" t="s">
        <v>36</v>
      </c>
      <c r="Q114" t="s">
        <v>38</v>
      </c>
      <c r="R114">
        <v>10</v>
      </c>
      <c r="S114" t="s">
        <v>800</v>
      </c>
      <c r="T114" t="s">
        <v>6493</v>
      </c>
      <c r="U114" t="s">
        <v>6494</v>
      </c>
      <c r="V114" t="s">
        <v>32</v>
      </c>
      <c r="W114" t="s">
        <v>33</v>
      </c>
      <c r="X114" t="s">
        <v>33</v>
      </c>
      <c r="Y114" t="s">
        <v>33</v>
      </c>
      <c r="Z114" s="5" t="s">
        <v>34</v>
      </c>
      <c r="AA114">
        <v>-75.627960000000002</v>
      </c>
      <c r="AB114">
        <v>6.0895797600000003</v>
      </c>
      <c r="AC114" t="s">
        <v>456</v>
      </c>
      <c r="AD114" t="s">
        <v>457</v>
      </c>
    </row>
    <row r="115" spans="1:30" x14ac:dyDescent="0.25">
      <c r="A115" t="s">
        <v>801</v>
      </c>
      <c r="B115" t="s">
        <v>25</v>
      </c>
      <c r="C115" t="s">
        <v>26</v>
      </c>
      <c r="D115" t="s">
        <v>39</v>
      </c>
      <c r="E115" t="s">
        <v>802</v>
      </c>
      <c r="F115" t="s">
        <v>803</v>
      </c>
      <c r="G115">
        <v>1038263376</v>
      </c>
      <c r="H115" t="s">
        <v>804</v>
      </c>
      <c r="I115" s="4" t="s">
        <v>35</v>
      </c>
      <c r="J115" s="4" t="s">
        <v>805</v>
      </c>
      <c r="K115" t="s">
        <v>806</v>
      </c>
      <c r="L115" t="s">
        <v>49</v>
      </c>
      <c r="M115" t="s">
        <v>807</v>
      </c>
      <c r="N115" t="s">
        <v>84</v>
      </c>
      <c r="O115" t="s">
        <v>46</v>
      </c>
      <c r="P115" t="s">
        <v>41</v>
      </c>
      <c r="Q115" t="s">
        <v>38</v>
      </c>
      <c r="R115">
        <v>8</v>
      </c>
      <c r="S115" t="s">
        <v>808</v>
      </c>
      <c r="T115" t="s">
        <v>6501</v>
      </c>
      <c r="U115" t="s">
        <v>47</v>
      </c>
      <c r="V115" t="s">
        <v>47</v>
      </c>
      <c r="W115" t="s">
        <v>33</v>
      </c>
      <c r="X115" t="s">
        <v>33</v>
      </c>
      <c r="Y115" t="s">
        <v>33</v>
      </c>
      <c r="Z115" s="5" t="s">
        <v>34</v>
      </c>
      <c r="AA115">
        <v>-75.490615090000006</v>
      </c>
      <c r="AB115">
        <v>6.1745318200000003</v>
      </c>
      <c r="AC115" t="s">
        <v>456</v>
      </c>
      <c r="AD115" t="s">
        <v>457</v>
      </c>
    </row>
    <row r="116" spans="1:30" x14ac:dyDescent="0.25">
      <c r="A116" t="s">
        <v>809</v>
      </c>
      <c r="B116" t="s">
        <v>25</v>
      </c>
      <c r="C116" t="s">
        <v>26</v>
      </c>
      <c r="D116" t="s">
        <v>25</v>
      </c>
      <c r="E116" t="s">
        <v>810</v>
      </c>
      <c r="F116" t="s">
        <v>811</v>
      </c>
      <c r="G116">
        <v>71600193</v>
      </c>
      <c r="H116" t="s">
        <v>812</v>
      </c>
      <c r="I116" s="4" t="s">
        <v>813</v>
      </c>
      <c r="J116" s="4" t="s">
        <v>814</v>
      </c>
      <c r="K116" t="s">
        <v>815</v>
      </c>
      <c r="L116" t="s">
        <v>61</v>
      </c>
      <c r="M116" t="s">
        <v>816</v>
      </c>
      <c r="N116" t="s">
        <v>63</v>
      </c>
      <c r="O116" t="s">
        <v>29</v>
      </c>
      <c r="P116" t="s">
        <v>36</v>
      </c>
      <c r="Q116" t="s">
        <v>38</v>
      </c>
      <c r="R116">
        <v>10</v>
      </c>
      <c r="S116" t="s">
        <v>817</v>
      </c>
      <c r="T116" t="s">
        <v>6502</v>
      </c>
      <c r="U116" t="s">
        <v>6503</v>
      </c>
      <c r="V116" t="s">
        <v>32</v>
      </c>
      <c r="W116" t="s">
        <v>33</v>
      </c>
      <c r="X116" t="s">
        <v>33</v>
      </c>
      <c r="Y116" t="s">
        <v>33</v>
      </c>
      <c r="Z116" s="5" t="s">
        <v>34</v>
      </c>
      <c r="AA116">
        <v>-75.640242150000006</v>
      </c>
      <c r="AB116">
        <v>6.1400813799999998</v>
      </c>
      <c r="AC116" t="s">
        <v>456</v>
      </c>
      <c r="AD116" t="s">
        <v>457</v>
      </c>
    </row>
    <row r="117" spans="1:30" x14ac:dyDescent="0.25">
      <c r="A117" t="s">
        <v>3604</v>
      </c>
      <c r="B117" t="s">
        <v>25</v>
      </c>
      <c r="C117" t="s">
        <v>26</v>
      </c>
      <c r="D117" t="s">
        <v>25</v>
      </c>
      <c r="E117" t="s">
        <v>3605</v>
      </c>
      <c r="F117" t="s">
        <v>3606</v>
      </c>
      <c r="G117">
        <v>32352420</v>
      </c>
      <c r="H117" t="s">
        <v>3607</v>
      </c>
      <c r="I117" s="4" t="s">
        <v>35</v>
      </c>
      <c r="J117" s="4" t="s">
        <v>3608</v>
      </c>
      <c r="K117" t="s">
        <v>3609</v>
      </c>
      <c r="L117" t="s">
        <v>27</v>
      </c>
      <c r="M117" t="s">
        <v>3610</v>
      </c>
      <c r="N117" t="s">
        <v>28</v>
      </c>
      <c r="O117" t="s">
        <v>29</v>
      </c>
      <c r="P117" t="s">
        <v>36</v>
      </c>
      <c r="Q117" t="s">
        <v>31</v>
      </c>
      <c r="R117">
        <v>7</v>
      </c>
      <c r="S117" t="s">
        <v>3611</v>
      </c>
      <c r="T117" t="s">
        <v>6486</v>
      </c>
      <c r="U117" t="s">
        <v>6487</v>
      </c>
      <c r="V117" t="s">
        <v>32</v>
      </c>
      <c r="W117" t="s">
        <v>33</v>
      </c>
      <c r="X117" t="s">
        <v>33</v>
      </c>
      <c r="Y117" t="s">
        <v>33</v>
      </c>
      <c r="Z117" s="5" t="s">
        <v>34</v>
      </c>
      <c r="AA117">
        <v>-75.624371999999994</v>
      </c>
      <c r="AB117">
        <v>6.2627889999999997</v>
      </c>
      <c r="AC117" t="s">
        <v>456</v>
      </c>
      <c r="AD117" t="s">
        <v>457</v>
      </c>
    </row>
    <row r="118" spans="1:30" x14ac:dyDescent="0.25">
      <c r="A118" t="s">
        <v>5272</v>
      </c>
      <c r="B118" t="s">
        <v>25</v>
      </c>
      <c r="C118" t="s">
        <v>26</v>
      </c>
      <c r="D118" t="s">
        <v>25</v>
      </c>
      <c r="E118" t="s">
        <v>5273</v>
      </c>
      <c r="F118" t="s">
        <v>5274</v>
      </c>
      <c r="G118">
        <v>71986021</v>
      </c>
      <c r="H118" t="s">
        <v>5275</v>
      </c>
      <c r="I118" s="4" t="s">
        <v>35</v>
      </c>
      <c r="J118" s="4" t="s">
        <v>5276</v>
      </c>
      <c r="K118" t="s">
        <v>5277</v>
      </c>
      <c r="L118" t="s">
        <v>27</v>
      </c>
      <c r="M118" t="s">
        <v>5278</v>
      </c>
      <c r="N118" t="s">
        <v>28</v>
      </c>
      <c r="O118" t="s">
        <v>29</v>
      </c>
      <c r="P118" t="s">
        <v>30</v>
      </c>
      <c r="Q118" t="s">
        <v>31</v>
      </c>
      <c r="R118">
        <v>7</v>
      </c>
      <c r="S118" t="s">
        <v>5279</v>
      </c>
      <c r="T118" t="s">
        <v>6504</v>
      </c>
      <c r="U118" t="s">
        <v>6505</v>
      </c>
      <c r="V118" t="s">
        <v>32</v>
      </c>
      <c r="W118" t="s">
        <v>33</v>
      </c>
      <c r="X118" t="s">
        <v>33</v>
      </c>
      <c r="Y118" t="s">
        <v>33</v>
      </c>
      <c r="Z118" s="5" t="s">
        <v>34</v>
      </c>
      <c r="AA118">
        <v>-75.544489819999995</v>
      </c>
      <c r="AB118">
        <v>6.2411185700000003</v>
      </c>
      <c r="AC118" t="s">
        <v>456</v>
      </c>
      <c r="AD118" t="s">
        <v>457</v>
      </c>
    </row>
    <row r="119" spans="1:30" x14ac:dyDescent="0.25">
      <c r="A119" t="s">
        <v>818</v>
      </c>
      <c r="B119" t="s">
        <v>42</v>
      </c>
      <c r="C119" t="s">
        <v>26</v>
      </c>
      <c r="D119" t="s">
        <v>42</v>
      </c>
      <c r="E119" t="s">
        <v>819</v>
      </c>
      <c r="F119" t="s">
        <v>820</v>
      </c>
      <c r="G119">
        <v>15252769</v>
      </c>
      <c r="H119" t="s">
        <v>821</v>
      </c>
      <c r="I119" s="4" t="s">
        <v>822</v>
      </c>
      <c r="J119" s="4" t="s">
        <v>126</v>
      </c>
      <c r="K119" t="s">
        <v>823</v>
      </c>
      <c r="L119" t="s">
        <v>77</v>
      </c>
      <c r="M119" t="s">
        <v>824</v>
      </c>
      <c r="N119" t="s">
        <v>78</v>
      </c>
      <c r="O119" t="s">
        <v>43</v>
      </c>
      <c r="P119" t="s">
        <v>36</v>
      </c>
      <c r="Q119" t="s">
        <v>31</v>
      </c>
      <c r="R119">
        <v>7</v>
      </c>
      <c r="S119" t="s">
        <v>825</v>
      </c>
      <c r="T119" t="s">
        <v>6506</v>
      </c>
      <c r="U119" t="s">
        <v>47</v>
      </c>
      <c r="V119" t="s">
        <v>47</v>
      </c>
      <c r="W119" t="s">
        <v>33</v>
      </c>
      <c r="X119" t="s">
        <v>33</v>
      </c>
      <c r="Y119" t="s">
        <v>33</v>
      </c>
      <c r="Z119" s="5" t="s">
        <v>34</v>
      </c>
      <c r="AA119">
        <v>-75.636057789999995</v>
      </c>
      <c r="AB119">
        <v>6.0896314</v>
      </c>
      <c r="AC119" t="s">
        <v>456</v>
      </c>
      <c r="AD119" t="s">
        <v>457</v>
      </c>
    </row>
    <row r="120" spans="1:30" x14ac:dyDescent="0.25">
      <c r="A120" t="s">
        <v>826</v>
      </c>
      <c r="B120" t="s">
        <v>25</v>
      </c>
      <c r="C120" t="s">
        <v>26</v>
      </c>
      <c r="D120" t="s">
        <v>25</v>
      </c>
      <c r="E120" t="s">
        <v>827</v>
      </c>
      <c r="F120" t="s">
        <v>828</v>
      </c>
      <c r="G120">
        <v>1036657898</v>
      </c>
      <c r="H120" t="s">
        <v>829</v>
      </c>
      <c r="I120" s="4" t="s">
        <v>35</v>
      </c>
      <c r="J120" s="4" t="s">
        <v>830</v>
      </c>
      <c r="K120" t="s">
        <v>831</v>
      </c>
      <c r="L120" t="s">
        <v>61</v>
      </c>
      <c r="M120" t="s">
        <v>832</v>
      </c>
      <c r="N120" t="s">
        <v>63</v>
      </c>
      <c r="O120" t="s">
        <v>29</v>
      </c>
      <c r="P120" t="s">
        <v>36</v>
      </c>
      <c r="Q120" t="s">
        <v>38</v>
      </c>
      <c r="R120">
        <v>10</v>
      </c>
      <c r="S120" t="s">
        <v>833</v>
      </c>
      <c r="T120" t="s">
        <v>6507</v>
      </c>
      <c r="U120" t="s">
        <v>6507</v>
      </c>
      <c r="V120" t="s">
        <v>32</v>
      </c>
      <c r="W120" t="s">
        <v>33</v>
      </c>
      <c r="X120" t="s">
        <v>33</v>
      </c>
      <c r="Y120" t="s">
        <v>33</v>
      </c>
      <c r="Z120" s="5" t="s">
        <v>34</v>
      </c>
      <c r="AA120">
        <v>-75.631007210000007</v>
      </c>
      <c r="AB120">
        <v>6.1170650599999998</v>
      </c>
      <c r="AC120" t="s">
        <v>456</v>
      </c>
      <c r="AD120" t="s">
        <v>457</v>
      </c>
    </row>
    <row r="121" spans="1:30" x14ac:dyDescent="0.25">
      <c r="A121" t="s">
        <v>7945</v>
      </c>
      <c r="B121" t="s">
        <v>42</v>
      </c>
      <c r="C121" t="s">
        <v>26</v>
      </c>
      <c r="D121" t="s">
        <v>42</v>
      </c>
      <c r="E121" t="s">
        <v>7946</v>
      </c>
      <c r="F121" t="s">
        <v>7947</v>
      </c>
      <c r="G121">
        <v>3556792</v>
      </c>
      <c r="H121" t="s">
        <v>7948</v>
      </c>
      <c r="I121" s="4" t="s">
        <v>35</v>
      </c>
      <c r="J121" s="4" t="s">
        <v>7949</v>
      </c>
      <c r="K121" t="s">
        <v>7950</v>
      </c>
      <c r="L121" t="s">
        <v>27</v>
      </c>
      <c r="M121" t="s">
        <v>7951</v>
      </c>
      <c r="N121" t="s">
        <v>28</v>
      </c>
      <c r="O121" t="s">
        <v>43</v>
      </c>
      <c r="P121" t="s">
        <v>30</v>
      </c>
      <c r="Q121" t="s">
        <v>31</v>
      </c>
      <c r="R121">
        <v>7</v>
      </c>
      <c r="S121" t="s">
        <v>7952</v>
      </c>
      <c r="T121" t="s">
        <v>7953</v>
      </c>
      <c r="U121" t="s">
        <v>7954</v>
      </c>
      <c r="V121" t="s">
        <v>32</v>
      </c>
      <c r="W121" t="s">
        <v>33</v>
      </c>
      <c r="X121" t="s">
        <v>33</v>
      </c>
      <c r="Y121" t="s">
        <v>33</v>
      </c>
      <c r="Z121" t="s">
        <v>455</v>
      </c>
      <c r="AA121">
        <v>-75.570068359999993</v>
      </c>
      <c r="AB121">
        <v>6.2148957300000003</v>
      </c>
      <c r="AC121" t="s">
        <v>456</v>
      </c>
      <c r="AD121" t="s">
        <v>457</v>
      </c>
    </row>
    <row r="122" spans="1:30" x14ac:dyDescent="0.25">
      <c r="A122" t="s">
        <v>5280</v>
      </c>
      <c r="B122" t="s">
        <v>25</v>
      </c>
      <c r="C122" t="s">
        <v>26</v>
      </c>
      <c r="D122" t="s">
        <v>39</v>
      </c>
      <c r="E122" t="s">
        <v>5281</v>
      </c>
      <c r="F122" t="s">
        <v>5282</v>
      </c>
      <c r="G122">
        <v>43631010</v>
      </c>
      <c r="H122" t="s">
        <v>5283</v>
      </c>
      <c r="I122" s="4" t="s">
        <v>35</v>
      </c>
      <c r="J122" s="4" t="s">
        <v>5284</v>
      </c>
      <c r="K122" t="s">
        <v>5285</v>
      </c>
      <c r="L122" t="s">
        <v>27</v>
      </c>
      <c r="M122" t="s">
        <v>5286</v>
      </c>
      <c r="N122" t="s">
        <v>28</v>
      </c>
      <c r="O122" t="s">
        <v>46</v>
      </c>
      <c r="P122" t="s">
        <v>41</v>
      </c>
      <c r="Q122" t="s">
        <v>31</v>
      </c>
      <c r="R122">
        <v>5</v>
      </c>
      <c r="S122" t="s">
        <v>5287</v>
      </c>
      <c r="T122" t="s">
        <v>6508</v>
      </c>
      <c r="U122" t="s">
        <v>6509</v>
      </c>
      <c r="V122" t="s">
        <v>32</v>
      </c>
      <c r="W122" t="s">
        <v>33</v>
      </c>
      <c r="X122" t="s">
        <v>33</v>
      </c>
      <c r="Y122" t="s">
        <v>33</v>
      </c>
      <c r="Z122" s="5" t="s">
        <v>34</v>
      </c>
      <c r="AA122">
        <v>-75.542108909999996</v>
      </c>
      <c r="AB122">
        <v>6.2395951900000002</v>
      </c>
      <c r="AC122" t="s">
        <v>456</v>
      </c>
      <c r="AD122" t="s">
        <v>457</v>
      </c>
    </row>
    <row r="123" spans="1:30" x14ac:dyDescent="0.25">
      <c r="A123" t="s">
        <v>5288</v>
      </c>
      <c r="B123" t="s">
        <v>81</v>
      </c>
      <c r="C123" t="s">
        <v>26</v>
      </c>
      <c r="D123" t="s">
        <v>81</v>
      </c>
      <c r="E123" t="s">
        <v>5289</v>
      </c>
      <c r="F123" t="s">
        <v>5290</v>
      </c>
      <c r="G123">
        <v>70557991</v>
      </c>
      <c r="H123" t="s">
        <v>5291</v>
      </c>
      <c r="I123" s="4" t="s">
        <v>35</v>
      </c>
      <c r="J123" s="4" t="s">
        <v>5292</v>
      </c>
      <c r="K123" t="s">
        <v>5293</v>
      </c>
      <c r="L123" t="s">
        <v>49</v>
      </c>
      <c r="M123" t="s">
        <v>5294</v>
      </c>
      <c r="N123" t="s">
        <v>84</v>
      </c>
      <c r="O123" t="s">
        <v>82</v>
      </c>
      <c r="P123" t="s">
        <v>83</v>
      </c>
      <c r="Q123" t="s">
        <v>31</v>
      </c>
      <c r="R123">
        <v>4</v>
      </c>
      <c r="S123" t="s">
        <v>5295</v>
      </c>
      <c r="T123" t="s">
        <v>6510</v>
      </c>
      <c r="U123" t="s">
        <v>2561</v>
      </c>
      <c r="V123" t="s">
        <v>32</v>
      </c>
      <c r="W123" t="s">
        <v>33</v>
      </c>
      <c r="X123" t="s">
        <v>33</v>
      </c>
      <c r="Y123" t="s">
        <v>33</v>
      </c>
      <c r="Z123" t="s">
        <v>455</v>
      </c>
      <c r="AA123">
        <v>-75.592515199999994</v>
      </c>
      <c r="AB123">
        <v>6.1719902500000003</v>
      </c>
      <c r="AC123" t="s">
        <v>456</v>
      </c>
      <c r="AD123" t="s">
        <v>457</v>
      </c>
    </row>
    <row r="124" spans="1:30" x14ac:dyDescent="0.25">
      <c r="A124" t="s">
        <v>468</v>
      </c>
      <c r="B124" t="s">
        <v>25</v>
      </c>
      <c r="C124" t="s">
        <v>26</v>
      </c>
      <c r="D124" t="s">
        <v>25</v>
      </c>
      <c r="E124" t="s">
        <v>123</v>
      </c>
      <c r="F124" t="s">
        <v>124</v>
      </c>
      <c r="G124">
        <v>70220901</v>
      </c>
      <c r="H124" t="s">
        <v>125</v>
      </c>
      <c r="I124" s="4" t="s">
        <v>35</v>
      </c>
      <c r="J124" s="4" t="s">
        <v>126</v>
      </c>
      <c r="K124" t="s">
        <v>127</v>
      </c>
      <c r="L124" t="s">
        <v>77</v>
      </c>
      <c r="M124" t="s">
        <v>128</v>
      </c>
      <c r="N124" t="s">
        <v>78</v>
      </c>
      <c r="O124" t="s">
        <v>29</v>
      </c>
      <c r="P124" t="s">
        <v>36</v>
      </c>
      <c r="Q124" t="s">
        <v>31</v>
      </c>
      <c r="R124">
        <v>7</v>
      </c>
      <c r="S124" t="s">
        <v>129</v>
      </c>
      <c r="T124" t="s">
        <v>6511</v>
      </c>
      <c r="U124" t="s">
        <v>47</v>
      </c>
      <c r="V124" t="s">
        <v>47</v>
      </c>
      <c r="W124" t="s">
        <v>33</v>
      </c>
      <c r="X124" t="s">
        <v>33</v>
      </c>
      <c r="Y124" t="s">
        <v>33</v>
      </c>
      <c r="Z124" s="5" t="s">
        <v>34</v>
      </c>
      <c r="AA124">
        <v>-75.634867</v>
      </c>
      <c r="AB124">
        <v>6.0873989999999996</v>
      </c>
      <c r="AC124" t="s">
        <v>456</v>
      </c>
      <c r="AD124" t="s">
        <v>457</v>
      </c>
    </row>
    <row r="125" spans="1:30" x14ac:dyDescent="0.25">
      <c r="A125" t="s">
        <v>556</v>
      </c>
      <c r="B125" t="s">
        <v>42</v>
      </c>
      <c r="C125" t="s">
        <v>26</v>
      </c>
      <c r="D125" t="s">
        <v>42</v>
      </c>
      <c r="E125" t="s">
        <v>557</v>
      </c>
      <c r="F125" t="s">
        <v>558</v>
      </c>
      <c r="G125">
        <v>1037608935</v>
      </c>
      <c r="H125" t="s">
        <v>559</v>
      </c>
      <c r="I125" s="4" t="s">
        <v>35</v>
      </c>
      <c r="J125" s="4" t="s">
        <v>560</v>
      </c>
      <c r="K125" t="s">
        <v>561</v>
      </c>
      <c r="L125" t="s">
        <v>49</v>
      </c>
      <c r="M125" t="s">
        <v>562</v>
      </c>
      <c r="N125" t="s">
        <v>84</v>
      </c>
      <c r="O125" t="s">
        <v>43</v>
      </c>
      <c r="P125" t="s">
        <v>36</v>
      </c>
      <c r="Q125" t="s">
        <v>31</v>
      </c>
      <c r="R125">
        <v>7</v>
      </c>
      <c r="S125" t="s">
        <v>563</v>
      </c>
      <c r="T125" t="s">
        <v>6512</v>
      </c>
      <c r="U125" t="s">
        <v>47</v>
      </c>
      <c r="V125" t="s">
        <v>47</v>
      </c>
      <c r="W125" t="s">
        <v>33</v>
      </c>
      <c r="X125" t="s">
        <v>33</v>
      </c>
      <c r="Y125" t="s">
        <v>33</v>
      </c>
      <c r="Z125" s="5" t="s">
        <v>34</v>
      </c>
      <c r="AA125">
        <v>-75.546760286999998</v>
      </c>
      <c r="AB125">
        <v>6.15418410400002</v>
      </c>
      <c r="AC125" t="s">
        <v>456</v>
      </c>
      <c r="AD125" t="s">
        <v>457</v>
      </c>
    </row>
    <row r="126" spans="1:30" x14ac:dyDescent="0.25">
      <c r="A126" t="s">
        <v>7955</v>
      </c>
      <c r="B126" t="s">
        <v>42</v>
      </c>
      <c r="C126" t="s">
        <v>26</v>
      </c>
      <c r="D126" t="s">
        <v>42</v>
      </c>
      <c r="E126" t="s">
        <v>7956</v>
      </c>
      <c r="F126" t="s">
        <v>7957</v>
      </c>
      <c r="G126">
        <v>43667274</v>
      </c>
      <c r="H126" t="s">
        <v>7958</v>
      </c>
      <c r="I126" s="4" t="s">
        <v>7959</v>
      </c>
      <c r="J126" s="4" t="s">
        <v>7960</v>
      </c>
      <c r="K126" t="s">
        <v>7961</v>
      </c>
      <c r="L126" t="s">
        <v>49</v>
      </c>
      <c r="M126" t="s">
        <v>7962</v>
      </c>
      <c r="N126" t="s">
        <v>84</v>
      </c>
      <c r="O126" t="s">
        <v>43</v>
      </c>
      <c r="P126" t="s">
        <v>37</v>
      </c>
      <c r="Q126" t="s">
        <v>31</v>
      </c>
      <c r="R126">
        <v>7</v>
      </c>
      <c r="S126" t="s">
        <v>7963</v>
      </c>
      <c r="T126" t="s">
        <v>7964</v>
      </c>
      <c r="U126" t="s">
        <v>6527</v>
      </c>
      <c r="V126" t="s">
        <v>32</v>
      </c>
      <c r="W126" t="s">
        <v>33</v>
      </c>
      <c r="X126" t="s">
        <v>33</v>
      </c>
      <c r="Y126" t="s">
        <v>33</v>
      </c>
      <c r="Z126" s="5" t="s">
        <v>34</v>
      </c>
      <c r="AA126">
        <v>-75.594663999999995</v>
      </c>
      <c r="AB126">
        <v>6.1526959999999997</v>
      </c>
      <c r="AC126" t="s">
        <v>456</v>
      </c>
      <c r="AD126" t="s">
        <v>457</v>
      </c>
    </row>
    <row r="127" spans="1:30" x14ac:dyDescent="0.25">
      <c r="A127" t="s">
        <v>834</v>
      </c>
      <c r="B127" t="s">
        <v>25</v>
      </c>
      <c r="C127" t="s">
        <v>26</v>
      </c>
      <c r="D127" t="s">
        <v>25</v>
      </c>
      <c r="E127" t="s">
        <v>835</v>
      </c>
      <c r="F127" t="s">
        <v>836</v>
      </c>
      <c r="G127">
        <v>43911165</v>
      </c>
      <c r="H127" t="s">
        <v>837</v>
      </c>
      <c r="I127" s="4" t="s">
        <v>838</v>
      </c>
      <c r="J127" s="4" t="s">
        <v>839</v>
      </c>
      <c r="K127" t="s">
        <v>840</v>
      </c>
      <c r="L127" t="s">
        <v>44</v>
      </c>
      <c r="M127" t="s">
        <v>841</v>
      </c>
      <c r="N127" t="s">
        <v>45</v>
      </c>
      <c r="O127" t="s">
        <v>29</v>
      </c>
      <c r="P127" t="s">
        <v>37</v>
      </c>
      <c r="Q127" t="s">
        <v>31</v>
      </c>
      <c r="R127">
        <v>7</v>
      </c>
      <c r="S127" t="s">
        <v>842</v>
      </c>
      <c r="T127" t="s">
        <v>6513</v>
      </c>
      <c r="U127" t="s">
        <v>5216</v>
      </c>
      <c r="V127" t="s">
        <v>452</v>
      </c>
      <c r="W127" t="s">
        <v>33</v>
      </c>
      <c r="X127" t="s">
        <v>33</v>
      </c>
      <c r="Y127" t="s">
        <v>33</v>
      </c>
      <c r="Z127" s="5" t="s">
        <v>34</v>
      </c>
      <c r="AA127">
        <v>-75.616451889999993</v>
      </c>
      <c r="AB127">
        <v>6.1888940899999998</v>
      </c>
      <c r="AC127" t="s">
        <v>456</v>
      </c>
      <c r="AD127" t="s">
        <v>457</v>
      </c>
    </row>
    <row r="128" spans="1:30" x14ac:dyDescent="0.25">
      <c r="A128" t="s">
        <v>7965</v>
      </c>
      <c r="B128" t="s">
        <v>42</v>
      </c>
      <c r="C128" t="s">
        <v>26</v>
      </c>
      <c r="D128" t="s">
        <v>42</v>
      </c>
      <c r="E128" t="s">
        <v>7966</v>
      </c>
      <c r="F128" t="s">
        <v>7967</v>
      </c>
      <c r="G128">
        <v>15511037</v>
      </c>
      <c r="H128" t="s">
        <v>7968</v>
      </c>
      <c r="I128" s="4" t="s">
        <v>35</v>
      </c>
      <c r="J128" s="4" t="s">
        <v>789</v>
      </c>
      <c r="K128" t="s">
        <v>7969</v>
      </c>
      <c r="L128" t="s">
        <v>27</v>
      </c>
      <c r="M128" t="s">
        <v>7970</v>
      </c>
      <c r="N128" t="s">
        <v>28</v>
      </c>
      <c r="O128" t="s">
        <v>43</v>
      </c>
      <c r="P128" t="s">
        <v>37</v>
      </c>
      <c r="Q128" t="s">
        <v>31</v>
      </c>
      <c r="R128">
        <v>7</v>
      </c>
      <c r="S128" t="s">
        <v>7971</v>
      </c>
      <c r="T128" t="s">
        <v>7869</v>
      </c>
      <c r="U128" t="s">
        <v>7870</v>
      </c>
      <c r="V128" t="s">
        <v>32</v>
      </c>
      <c r="W128" t="s">
        <v>33</v>
      </c>
      <c r="X128" t="s">
        <v>33</v>
      </c>
      <c r="Y128" t="s">
        <v>33</v>
      </c>
      <c r="Z128" s="5" t="s">
        <v>34</v>
      </c>
      <c r="AA128">
        <v>-75.606615820000002</v>
      </c>
      <c r="AB128">
        <v>6.2408473100000004</v>
      </c>
      <c r="AC128" t="s">
        <v>456</v>
      </c>
      <c r="AD128" t="s">
        <v>457</v>
      </c>
    </row>
    <row r="129" spans="1:30" x14ac:dyDescent="0.25">
      <c r="A129" t="s">
        <v>3612</v>
      </c>
      <c r="B129" t="s">
        <v>25</v>
      </c>
      <c r="C129" t="s">
        <v>26</v>
      </c>
      <c r="D129" t="s">
        <v>39</v>
      </c>
      <c r="E129" t="s">
        <v>3613</v>
      </c>
      <c r="F129" t="s">
        <v>3614</v>
      </c>
      <c r="G129">
        <v>3349275</v>
      </c>
      <c r="H129" t="s">
        <v>3615</v>
      </c>
      <c r="I129" s="4" t="s">
        <v>3616</v>
      </c>
      <c r="J129" s="4" t="s">
        <v>3617</v>
      </c>
      <c r="K129" t="s">
        <v>3618</v>
      </c>
      <c r="L129" t="s">
        <v>27</v>
      </c>
      <c r="M129" t="s">
        <v>3619</v>
      </c>
      <c r="N129" t="s">
        <v>28</v>
      </c>
      <c r="O129" t="s">
        <v>40</v>
      </c>
      <c r="P129" t="s">
        <v>41</v>
      </c>
      <c r="Q129" t="s">
        <v>38</v>
      </c>
      <c r="R129">
        <v>8</v>
      </c>
      <c r="S129" t="s">
        <v>3620</v>
      </c>
      <c r="T129" t="s">
        <v>4869</v>
      </c>
      <c r="U129" t="s">
        <v>6409</v>
      </c>
      <c r="V129" t="s">
        <v>32</v>
      </c>
      <c r="W129" t="s">
        <v>33</v>
      </c>
      <c r="X129" t="s">
        <v>33</v>
      </c>
      <c r="Y129" t="s">
        <v>33</v>
      </c>
      <c r="Z129" s="5" t="s">
        <v>34</v>
      </c>
      <c r="AA129">
        <v>-75.691736829999996</v>
      </c>
      <c r="AB129">
        <v>6.3258423300000004</v>
      </c>
      <c r="AC129" t="s">
        <v>456</v>
      </c>
      <c r="AD129" t="s">
        <v>457</v>
      </c>
    </row>
    <row r="130" spans="1:30" x14ac:dyDescent="0.25">
      <c r="A130" t="s">
        <v>2077</v>
      </c>
      <c r="B130" t="s">
        <v>25</v>
      </c>
      <c r="C130" t="s">
        <v>26</v>
      </c>
      <c r="D130" t="s">
        <v>25</v>
      </c>
      <c r="E130" t="s">
        <v>2078</v>
      </c>
      <c r="F130" t="s">
        <v>2079</v>
      </c>
      <c r="G130">
        <v>71593003</v>
      </c>
      <c r="H130" t="s">
        <v>2080</v>
      </c>
      <c r="I130" s="4" t="s">
        <v>35</v>
      </c>
      <c r="J130" s="4" t="s">
        <v>2081</v>
      </c>
      <c r="K130" t="s">
        <v>2082</v>
      </c>
      <c r="L130" t="s">
        <v>44</v>
      </c>
      <c r="M130" t="s">
        <v>2083</v>
      </c>
      <c r="N130" t="s">
        <v>45</v>
      </c>
      <c r="O130" t="s">
        <v>29</v>
      </c>
      <c r="P130" t="s">
        <v>37</v>
      </c>
      <c r="Q130" t="s">
        <v>31</v>
      </c>
      <c r="R130">
        <v>7</v>
      </c>
      <c r="S130" t="s">
        <v>2084</v>
      </c>
      <c r="T130" t="s">
        <v>4559</v>
      </c>
      <c r="U130" t="s">
        <v>4705</v>
      </c>
      <c r="V130" t="s">
        <v>32</v>
      </c>
      <c r="W130" t="s">
        <v>33</v>
      </c>
      <c r="X130" t="s">
        <v>33</v>
      </c>
      <c r="Y130" t="s">
        <v>33</v>
      </c>
      <c r="Z130" s="5" t="s">
        <v>34</v>
      </c>
      <c r="AA130">
        <v>-75.629459190000006</v>
      </c>
      <c r="AB130">
        <v>6.1743618700000003</v>
      </c>
      <c r="AC130" t="s">
        <v>456</v>
      </c>
      <c r="AD130" t="s">
        <v>457</v>
      </c>
    </row>
    <row r="131" spans="1:30" x14ac:dyDescent="0.25">
      <c r="A131" t="s">
        <v>843</v>
      </c>
      <c r="B131" t="s">
        <v>25</v>
      </c>
      <c r="C131" t="s">
        <v>26</v>
      </c>
      <c r="D131" t="s">
        <v>39</v>
      </c>
      <c r="E131" t="s">
        <v>844</v>
      </c>
      <c r="F131" t="s">
        <v>845</v>
      </c>
      <c r="G131">
        <v>43922481</v>
      </c>
      <c r="H131" t="s">
        <v>846</v>
      </c>
      <c r="I131" s="4" t="s">
        <v>35</v>
      </c>
      <c r="J131" s="4" t="s">
        <v>847</v>
      </c>
      <c r="K131" t="s">
        <v>848</v>
      </c>
      <c r="L131" t="s">
        <v>61</v>
      </c>
      <c r="M131" t="s">
        <v>849</v>
      </c>
      <c r="N131" t="s">
        <v>63</v>
      </c>
      <c r="O131" t="s">
        <v>40</v>
      </c>
      <c r="P131" t="s">
        <v>36</v>
      </c>
      <c r="Q131" t="s">
        <v>31</v>
      </c>
      <c r="R131">
        <v>5</v>
      </c>
      <c r="S131" t="s">
        <v>850</v>
      </c>
      <c r="T131" t="s">
        <v>6514</v>
      </c>
      <c r="U131" t="s">
        <v>47</v>
      </c>
      <c r="V131" t="s">
        <v>47</v>
      </c>
      <c r="W131" t="s">
        <v>33</v>
      </c>
      <c r="X131" t="s">
        <v>33</v>
      </c>
      <c r="Y131" t="s">
        <v>33</v>
      </c>
      <c r="Z131" s="5" t="s">
        <v>34</v>
      </c>
      <c r="AA131">
        <v>-75.632193000000001</v>
      </c>
      <c r="AB131">
        <v>6.1541759999999996</v>
      </c>
      <c r="AC131" t="s">
        <v>456</v>
      </c>
      <c r="AD131" t="s">
        <v>457</v>
      </c>
    </row>
    <row r="132" spans="1:30" x14ac:dyDescent="0.25">
      <c r="A132" t="s">
        <v>2429</v>
      </c>
      <c r="B132" t="s">
        <v>25</v>
      </c>
      <c r="C132" t="s">
        <v>26</v>
      </c>
      <c r="D132" t="s">
        <v>39</v>
      </c>
      <c r="E132" t="s">
        <v>2430</v>
      </c>
      <c r="F132" t="s">
        <v>2431</v>
      </c>
      <c r="G132">
        <v>71361295</v>
      </c>
      <c r="H132" t="s">
        <v>2432</v>
      </c>
      <c r="I132" s="4" t="s">
        <v>35</v>
      </c>
      <c r="J132" s="4" t="s">
        <v>2433</v>
      </c>
      <c r="K132" t="s">
        <v>2434</v>
      </c>
      <c r="L132" t="s">
        <v>27</v>
      </c>
      <c r="M132" t="s">
        <v>2435</v>
      </c>
      <c r="N132" t="s">
        <v>28</v>
      </c>
      <c r="O132" t="s">
        <v>40</v>
      </c>
      <c r="P132" t="s">
        <v>41</v>
      </c>
      <c r="Q132" t="s">
        <v>31</v>
      </c>
      <c r="R132">
        <v>5</v>
      </c>
      <c r="S132" t="s">
        <v>2436</v>
      </c>
      <c r="T132" t="s">
        <v>4707</v>
      </c>
      <c r="U132" t="s">
        <v>4706</v>
      </c>
      <c r="V132" t="s">
        <v>50</v>
      </c>
      <c r="W132" t="s">
        <v>33</v>
      </c>
      <c r="X132" t="s">
        <v>33</v>
      </c>
      <c r="Y132" t="s">
        <v>33</v>
      </c>
      <c r="Z132" s="5" t="s">
        <v>34</v>
      </c>
      <c r="AA132">
        <v>-75.540260590000003</v>
      </c>
      <c r="AB132">
        <v>6.2531014200000001</v>
      </c>
      <c r="AC132" t="s">
        <v>456</v>
      </c>
      <c r="AD132" t="s">
        <v>457</v>
      </c>
    </row>
    <row r="133" spans="1:30" x14ac:dyDescent="0.25">
      <c r="A133" t="s">
        <v>5296</v>
      </c>
      <c r="B133" t="s">
        <v>25</v>
      </c>
      <c r="C133" t="s">
        <v>26</v>
      </c>
      <c r="D133" t="s">
        <v>39</v>
      </c>
      <c r="E133" t="s">
        <v>5297</v>
      </c>
      <c r="F133" t="s">
        <v>5298</v>
      </c>
      <c r="G133">
        <v>70077026</v>
      </c>
      <c r="H133" t="s">
        <v>5299</v>
      </c>
      <c r="I133" s="4" t="s">
        <v>35</v>
      </c>
      <c r="J133" s="4" t="s">
        <v>5300</v>
      </c>
      <c r="K133" t="s">
        <v>5301</v>
      </c>
      <c r="L133" t="s">
        <v>27</v>
      </c>
      <c r="M133" t="s">
        <v>5302</v>
      </c>
      <c r="N133" t="s">
        <v>28</v>
      </c>
      <c r="O133" t="s">
        <v>46</v>
      </c>
      <c r="P133" t="s">
        <v>41</v>
      </c>
      <c r="Q133" t="s">
        <v>31</v>
      </c>
      <c r="R133">
        <v>5</v>
      </c>
      <c r="S133" t="s">
        <v>5303</v>
      </c>
      <c r="T133" t="s">
        <v>6508</v>
      </c>
      <c r="U133" t="s">
        <v>6509</v>
      </c>
      <c r="V133" t="s">
        <v>32</v>
      </c>
      <c r="W133" t="s">
        <v>33</v>
      </c>
      <c r="X133" t="s">
        <v>33</v>
      </c>
      <c r="Y133" t="s">
        <v>33</v>
      </c>
      <c r="Z133" s="5" t="s">
        <v>34</v>
      </c>
      <c r="AA133">
        <v>-75.544597550000006</v>
      </c>
      <c r="AB133">
        <v>6.2449102300000003</v>
      </c>
      <c r="AC133" t="s">
        <v>456</v>
      </c>
      <c r="AD133" t="s">
        <v>457</v>
      </c>
    </row>
    <row r="134" spans="1:30" x14ac:dyDescent="0.25">
      <c r="A134" t="s">
        <v>3621</v>
      </c>
      <c r="B134" t="s">
        <v>25</v>
      </c>
      <c r="C134" t="s">
        <v>26</v>
      </c>
      <c r="D134" t="s">
        <v>39</v>
      </c>
      <c r="E134" t="s">
        <v>3622</v>
      </c>
      <c r="F134" t="s">
        <v>3623</v>
      </c>
      <c r="G134">
        <v>1041087232</v>
      </c>
      <c r="H134" t="s">
        <v>3624</v>
      </c>
      <c r="I134" s="4" t="s">
        <v>35</v>
      </c>
      <c r="J134" s="4" t="s">
        <v>3625</v>
      </c>
      <c r="K134" t="s">
        <v>3626</v>
      </c>
      <c r="L134" t="s">
        <v>27</v>
      </c>
      <c r="M134" t="s">
        <v>3627</v>
      </c>
      <c r="N134" t="s">
        <v>28</v>
      </c>
      <c r="O134" t="s">
        <v>40</v>
      </c>
      <c r="P134" t="s">
        <v>41</v>
      </c>
      <c r="Q134" t="s">
        <v>31</v>
      </c>
      <c r="R134">
        <v>5</v>
      </c>
      <c r="S134" t="s">
        <v>3628</v>
      </c>
      <c r="T134" t="s">
        <v>6515</v>
      </c>
      <c r="U134" t="s">
        <v>6516</v>
      </c>
      <c r="V134" t="s">
        <v>32</v>
      </c>
      <c r="W134" t="s">
        <v>33</v>
      </c>
      <c r="X134" t="s">
        <v>33</v>
      </c>
      <c r="Y134" t="s">
        <v>33</v>
      </c>
      <c r="Z134" s="5" t="s">
        <v>34</v>
      </c>
      <c r="AA134">
        <v>-75.531844239999998</v>
      </c>
      <c r="AB134">
        <v>6.23185856</v>
      </c>
      <c r="AC134" t="s">
        <v>456</v>
      </c>
      <c r="AD134" t="s">
        <v>457</v>
      </c>
    </row>
    <row r="135" spans="1:30" x14ac:dyDescent="0.25">
      <c r="A135" t="s">
        <v>2085</v>
      </c>
      <c r="B135" t="s">
        <v>81</v>
      </c>
      <c r="C135" t="s">
        <v>26</v>
      </c>
      <c r="D135" t="s">
        <v>81</v>
      </c>
      <c r="E135" t="s">
        <v>2086</v>
      </c>
      <c r="F135" t="s">
        <v>2087</v>
      </c>
      <c r="G135">
        <v>21500494</v>
      </c>
      <c r="H135" t="s">
        <v>2088</v>
      </c>
      <c r="I135" s="4" t="s">
        <v>2089</v>
      </c>
      <c r="J135" s="4" t="s">
        <v>2090</v>
      </c>
      <c r="K135" t="s">
        <v>2091</v>
      </c>
      <c r="L135" t="s">
        <v>27</v>
      </c>
      <c r="M135" t="s">
        <v>2092</v>
      </c>
      <c r="N135" t="s">
        <v>28</v>
      </c>
      <c r="O135" t="s">
        <v>82</v>
      </c>
      <c r="P135" t="s">
        <v>83</v>
      </c>
      <c r="Q135" t="s">
        <v>31</v>
      </c>
      <c r="R135">
        <v>4</v>
      </c>
      <c r="S135" t="s">
        <v>2093</v>
      </c>
      <c r="T135" t="s">
        <v>6517</v>
      </c>
      <c r="U135" t="s">
        <v>47</v>
      </c>
      <c r="V135" t="s">
        <v>47</v>
      </c>
      <c r="W135" t="s">
        <v>33</v>
      </c>
      <c r="X135" t="s">
        <v>33</v>
      </c>
      <c r="Y135" t="s">
        <v>33</v>
      </c>
      <c r="Z135" t="s">
        <v>455</v>
      </c>
      <c r="AA135">
        <v>-75.617882170000001</v>
      </c>
      <c r="AB135">
        <v>6.2760082700000002</v>
      </c>
      <c r="AC135" t="s">
        <v>456</v>
      </c>
      <c r="AD135" t="s">
        <v>457</v>
      </c>
    </row>
    <row r="136" spans="1:30" x14ac:dyDescent="0.25">
      <c r="A136" t="s">
        <v>5304</v>
      </c>
      <c r="B136" t="s">
        <v>25</v>
      </c>
      <c r="C136" t="s">
        <v>26</v>
      </c>
      <c r="D136" t="s">
        <v>25</v>
      </c>
      <c r="E136" t="s">
        <v>5305</v>
      </c>
      <c r="F136" t="s">
        <v>5306</v>
      </c>
      <c r="G136">
        <v>1128467009</v>
      </c>
      <c r="H136" t="s">
        <v>5307</v>
      </c>
      <c r="I136" s="4" t="s">
        <v>35</v>
      </c>
      <c r="J136" s="4" t="s">
        <v>5308</v>
      </c>
      <c r="K136" t="s">
        <v>5309</v>
      </c>
      <c r="L136" t="s">
        <v>27</v>
      </c>
      <c r="M136" t="s">
        <v>5310</v>
      </c>
      <c r="N136" t="s">
        <v>28</v>
      </c>
      <c r="O136" t="s">
        <v>29</v>
      </c>
      <c r="P136" t="s">
        <v>37</v>
      </c>
      <c r="Q136" t="s">
        <v>31</v>
      </c>
      <c r="R136">
        <v>7</v>
      </c>
      <c r="S136" t="s">
        <v>5311</v>
      </c>
      <c r="T136" t="s">
        <v>646</v>
      </c>
      <c r="U136" t="s">
        <v>4654</v>
      </c>
      <c r="V136" t="s">
        <v>32</v>
      </c>
      <c r="W136" t="s">
        <v>33</v>
      </c>
      <c r="X136" t="s">
        <v>33</v>
      </c>
      <c r="Y136" t="s">
        <v>33</v>
      </c>
      <c r="Z136" s="5" t="s">
        <v>34</v>
      </c>
      <c r="AA136">
        <v>-75.637477000000004</v>
      </c>
      <c r="AB136">
        <v>6.2758909999999997</v>
      </c>
      <c r="AC136" t="s">
        <v>456</v>
      </c>
      <c r="AD136" t="s">
        <v>457</v>
      </c>
    </row>
    <row r="137" spans="1:30" x14ac:dyDescent="0.25">
      <c r="A137" t="s">
        <v>7972</v>
      </c>
      <c r="B137" t="s">
        <v>42</v>
      </c>
      <c r="C137" t="s">
        <v>26</v>
      </c>
      <c r="D137" t="s">
        <v>42</v>
      </c>
      <c r="E137" t="s">
        <v>7973</v>
      </c>
      <c r="F137" t="s">
        <v>7974</v>
      </c>
      <c r="G137">
        <v>1039679141</v>
      </c>
      <c r="H137" t="s">
        <v>7975</v>
      </c>
      <c r="I137" s="4" t="s">
        <v>35</v>
      </c>
      <c r="J137" s="4" t="s">
        <v>7976</v>
      </c>
      <c r="K137" t="s">
        <v>7977</v>
      </c>
      <c r="L137" t="s">
        <v>49</v>
      </c>
      <c r="M137" t="s">
        <v>7978</v>
      </c>
      <c r="N137" t="s">
        <v>84</v>
      </c>
      <c r="O137" t="s">
        <v>43</v>
      </c>
      <c r="P137" t="s">
        <v>37</v>
      </c>
      <c r="Q137" t="s">
        <v>31</v>
      </c>
      <c r="R137">
        <v>7</v>
      </c>
      <c r="S137" t="s">
        <v>7979</v>
      </c>
      <c r="T137" t="s">
        <v>646</v>
      </c>
      <c r="U137" t="s">
        <v>4654</v>
      </c>
      <c r="V137" t="s">
        <v>32</v>
      </c>
      <c r="W137" t="s">
        <v>33</v>
      </c>
      <c r="X137" t="s">
        <v>33</v>
      </c>
      <c r="Y137" t="s">
        <v>33</v>
      </c>
      <c r="Z137" s="5" t="s">
        <v>34</v>
      </c>
      <c r="AA137">
        <v>-75.588147000000006</v>
      </c>
      <c r="AB137">
        <v>6.1710649999999996</v>
      </c>
      <c r="AC137" t="s">
        <v>456</v>
      </c>
      <c r="AD137" t="s">
        <v>457</v>
      </c>
    </row>
    <row r="138" spans="1:30" x14ac:dyDescent="0.25">
      <c r="A138" t="s">
        <v>7980</v>
      </c>
      <c r="B138" t="s">
        <v>42</v>
      </c>
      <c r="C138" t="s">
        <v>26</v>
      </c>
      <c r="D138" t="s">
        <v>42</v>
      </c>
      <c r="E138" t="s">
        <v>7981</v>
      </c>
      <c r="F138" t="s">
        <v>7982</v>
      </c>
      <c r="G138">
        <v>1038814449</v>
      </c>
      <c r="H138" t="s">
        <v>7983</v>
      </c>
      <c r="I138" s="4" t="s">
        <v>35</v>
      </c>
      <c r="J138" s="4" t="s">
        <v>7984</v>
      </c>
      <c r="K138" t="s">
        <v>7985</v>
      </c>
      <c r="L138" t="s">
        <v>27</v>
      </c>
      <c r="M138" t="s">
        <v>7986</v>
      </c>
      <c r="N138" t="s">
        <v>28</v>
      </c>
      <c r="O138" t="s">
        <v>43</v>
      </c>
      <c r="P138" t="s">
        <v>37</v>
      </c>
      <c r="Q138" t="s">
        <v>31</v>
      </c>
      <c r="R138">
        <v>7</v>
      </c>
      <c r="S138" t="s">
        <v>7987</v>
      </c>
      <c r="T138" t="s">
        <v>7988</v>
      </c>
      <c r="U138" t="s">
        <v>6461</v>
      </c>
      <c r="V138" t="s">
        <v>32</v>
      </c>
      <c r="W138" t="s">
        <v>33</v>
      </c>
      <c r="X138" t="s">
        <v>33</v>
      </c>
      <c r="Y138" t="s">
        <v>33</v>
      </c>
      <c r="Z138" s="5" t="s">
        <v>34</v>
      </c>
      <c r="AA138">
        <v>-75.6286001</v>
      </c>
      <c r="AB138">
        <v>6.2679910000000003</v>
      </c>
      <c r="AC138" t="s">
        <v>456</v>
      </c>
      <c r="AD138" t="s">
        <v>457</v>
      </c>
    </row>
    <row r="139" spans="1:30" x14ac:dyDescent="0.25">
      <c r="A139" t="s">
        <v>5313</v>
      </c>
      <c r="B139" t="s">
        <v>25</v>
      </c>
      <c r="C139" t="s">
        <v>26</v>
      </c>
      <c r="D139" t="s">
        <v>25</v>
      </c>
      <c r="E139" t="s">
        <v>5314</v>
      </c>
      <c r="F139" t="s">
        <v>5315</v>
      </c>
      <c r="G139">
        <v>71748800</v>
      </c>
      <c r="H139" t="s">
        <v>5316</v>
      </c>
      <c r="I139" s="4" t="s">
        <v>5317</v>
      </c>
      <c r="J139" s="4" t="s">
        <v>5318</v>
      </c>
      <c r="K139" t="s">
        <v>5319</v>
      </c>
      <c r="L139" t="s">
        <v>44</v>
      </c>
      <c r="M139" t="s">
        <v>5320</v>
      </c>
      <c r="N139" t="s">
        <v>45</v>
      </c>
      <c r="O139" t="s">
        <v>29</v>
      </c>
      <c r="P139" t="s">
        <v>37</v>
      </c>
      <c r="Q139" t="s">
        <v>31</v>
      </c>
      <c r="R139">
        <v>7</v>
      </c>
      <c r="S139" t="s">
        <v>5321</v>
      </c>
      <c r="T139" t="s">
        <v>646</v>
      </c>
      <c r="U139" t="s">
        <v>4654</v>
      </c>
      <c r="V139" t="s">
        <v>32</v>
      </c>
      <c r="W139" t="s">
        <v>33</v>
      </c>
      <c r="X139" t="s">
        <v>33</v>
      </c>
      <c r="Y139" t="s">
        <v>33</v>
      </c>
      <c r="Z139" s="5" t="s">
        <v>34</v>
      </c>
      <c r="AA139">
        <v>-75.598052999999993</v>
      </c>
      <c r="AB139">
        <v>6.1787619999999999</v>
      </c>
      <c r="AC139" t="s">
        <v>456</v>
      </c>
      <c r="AD139" t="s">
        <v>457</v>
      </c>
    </row>
    <row r="140" spans="1:30" x14ac:dyDescent="0.25">
      <c r="A140" t="s">
        <v>5322</v>
      </c>
      <c r="B140" t="s">
        <v>25</v>
      </c>
      <c r="C140" t="s">
        <v>26</v>
      </c>
      <c r="D140" t="s">
        <v>25</v>
      </c>
      <c r="E140" t="s">
        <v>5323</v>
      </c>
      <c r="F140" t="s">
        <v>5324</v>
      </c>
      <c r="G140">
        <v>44004142</v>
      </c>
      <c r="H140" t="s">
        <v>5325</v>
      </c>
      <c r="I140" s="4" t="s">
        <v>35</v>
      </c>
      <c r="J140" s="4" t="s">
        <v>5326</v>
      </c>
      <c r="K140" t="s">
        <v>5327</v>
      </c>
      <c r="L140" t="s">
        <v>27</v>
      </c>
      <c r="M140" t="s">
        <v>5328</v>
      </c>
      <c r="N140" t="s">
        <v>28</v>
      </c>
      <c r="O140" t="s">
        <v>29</v>
      </c>
      <c r="P140" t="s">
        <v>37</v>
      </c>
      <c r="Q140" t="s">
        <v>31</v>
      </c>
      <c r="R140">
        <v>7</v>
      </c>
      <c r="S140" t="s">
        <v>5329</v>
      </c>
      <c r="T140" t="s">
        <v>6480</v>
      </c>
      <c r="U140" t="s">
        <v>6481</v>
      </c>
      <c r="V140" t="s">
        <v>32</v>
      </c>
      <c r="W140" t="s">
        <v>33</v>
      </c>
      <c r="X140" t="s">
        <v>33</v>
      </c>
      <c r="Y140" t="s">
        <v>33</v>
      </c>
      <c r="Z140" s="5" t="s">
        <v>34</v>
      </c>
      <c r="AA140">
        <v>-75.530877050000001</v>
      </c>
      <c r="AB140">
        <v>6.2286028900000003</v>
      </c>
      <c r="AC140" t="s">
        <v>456</v>
      </c>
      <c r="AD140" t="s">
        <v>457</v>
      </c>
    </row>
    <row r="141" spans="1:30" x14ac:dyDescent="0.25">
      <c r="A141" t="s">
        <v>5330</v>
      </c>
      <c r="B141" t="s">
        <v>25</v>
      </c>
      <c r="C141" t="s">
        <v>26</v>
      </c>
      <c r="D141" t="s">
        <v>25</v>
      </c>
      <c r="E141" t="s">
        <v>5331</v>
      </c>
      <c r="F141" t="s">
        <v>5332</v>
      </c>
      <c r="G141">
        <v>94350721</v>
      </c>
      <c r="H141" t="s">
        <v>5333</v>
      </c>
      <c r="I141" s="4" t="s">
        <v>35</v>
      </c>
      <c r="J141" s="4" t="s">
        <v>5334</v>
      </c>
      <c r="K141" t="s">
        <v>5335</v>
      </c>
      <c r="L141" t="s">
        <v>27</v>
      </c>
      <c r="M141" t="s">
        <v>5336</v>
      </c>
      <c r="N141" t="s">
        <v>28</v>
      </c>
      <c r="O141" t="s">
        <v>29</v>
      </c>
      <c r="P141" t="s">
        <v>37</v>
      </c>
      <c r="Q141" t="s">
        <v>31</v>
      </c>
      <c r="R141">
        <v>7</v>
      </c>
      <c r="S141" t="s">
        <v>5337</v>
      </c>
      <c r="T141" t="s">
        <v>6480</v>
      </c>
      <c r="U141" t="s">
        <v>6481</v>
      </c>
      <c r="V141" t="s">
        <v>32</v>
      </c>
      <c r="W141" t="s">
        <v>33</v>
      </c>
      <c r="X141" t="s">
        <v>33</v>
      </c>
      <c r="Y141" t="s">
        <v>33</v>
      </c>
      <c r="Z141" s="5" t="s">
        <v>34</v>
      </c>
      <c r="AA141">
        <v>-75.572222479999994</v>
      </c>
      <c r="AB141">
        <v>6.2554813600000001</v>
      </c>
      <c r="AC141" t="s">
        <v>456</v>
      </c>
      <c r="AD141" t="s">
        <v>457</v>
      </c>
    </row>
    <row r="142" spans="1:30" x14ac:dyDescent="0.25">
      <c r="A142" t="s">
        <v>5338</v>
      </c>
      <c r="B142" t="s">
        <v>25</v>
      </c>
      <c r="C142" t="s">
        <v>26</v>
      </c>
      <c r="D142" t="s">
        <v>25</v>
      </c>
      <c r="E142" t="s">
        <v>5339</v>
      </c>
      <c r="F142" t="s">
        <v>5340</v>
      </c>
      <c r="G142">
        <v>14249065</v>
      </c>
      <c r="H142" t="s">
        <v>5341</v>
      </c>
      <c r="I142" s="4" t="s">
        <v>35</v>
      </c>
      <c r="J142" s="4" t="s">
        <v>5342</v>
      </c>
      <c r="K142" t="s">
        <v>5343</v>
      </c>
      <c r="L142" t="s">
        <v>27</v>
      </c>
      <c r="M142" t="s">
        <v>5344</v>
      </c>
      <c r="N142" t="s">
        <v>28</v>
      </c>
      <c r="O142" t="s">
        <v>29</v>
      </c>
      <c r="P142" t="s">
        <v>37</v>
      </c>
      <c r="Q142" t="s">
        <v>31</v>
      </c>
      <c r="R142">
        <v>7</v>
      </c>
      <c r="S142" t="s">
        <v>5345</v>
      </c>
      <c r="T142" t="s">
        <v>646</v>
      </c>
      <c r="U142" t="s">
        <v>4654</v>
      </c>
      <c r="V142" t="s">
        <v>32</v>
      </c>
      <c r="W142" t="s">
        <v>33</v>
      </c>
      <c r="X142" t="s">
        <v>33</v>
      </c>
      <c r="Y142" t="s">
        <v>33</v>
      </c>
      <c r="Z142" s="5" t="s">
        <v>34</v>
      </c>
      <c r="AA142">
        <v>-75.642425750000001</v>
      </c>
      <c r="AB142">
        <v>6.2802868600000004</v>
      </c>
      <c r="AC142" t="s">
        <v>456</v>
      </c>
      <c r="AD142" t="s">
        <v>457</v>
      </c>
    </row>
    <row r="143" spans="1:30" x14ac:dyDescent="0.25">
      <c r="A143" t="s">
        <v>469</v>
      </c>
      <c r="B143" t="s">
        <v>25</v>
      </c>
      <c r="C143" t="s">
        <v>26</v>
      </c>
      <c r="D143" t="s">
        <v>39</v>
      </c>
      <c r="E143" t="s">
        <v>130</v>
      </c>
      <c r="F143" t="s">
        <v>131</v>
      </c>
      <c r="G143">
        <v>43321359</v>
      </c>
      <c r="H143" t="s">
        <v>58</v>
      </c>
      <c r="I143" s="4" t="s">
        <v>35</v>
      </c>
      <c r="J143" s="4" t="s">
        <v>132</v>
      </c>
      <c r="K143" t="s">
        <v>133</v>
      </c>
      <c r="L143" t="s">
        <v>61</v>
      </c>
      <c r="M143" t="s">
        <v>134</v>
      </c>
      <c r="N143" t="s">
        <v>63</v>
      </c>
      <c r="O143" t="s">
        <v>40</v>
      </c>
      <c r="P143" t="s">
        <v>36</v>
      </c>
      <c r="Q143" t="s">
        <v>38</v>
      </c>
      <c r="R143">
        <v>8</v>
      </c>
      <c r="S143" t="s">
        <v>135</v>
      </c>
      <c r="T143" t="s">
        <v>6518</v>
      </c>
      <c r="U143" t="s">
        <v>47</v>
      </c>
      <c r="V143" t="s">
        <v>47</v>
      </c>
      <c r="W143" t="s">
        <v>33</v>
      </c>
      <c r="X143" t="s">
        <v>33</v>
      </c>
      <c r="Y143" t="s">
        <v>33</v>
      </c>
      <c r="Z143" s="5" t="s">
        <v>34</v>
      </c>
      <c r="AA143">
        <v>-75.631997999999996</v>
      </c>
      <c r="AB143">
        <v>6.1167420000000003</v>
      </c>
      <c r="AC143" t="s">
        <v>456</v>
      </c>
      <c r="AD143" t="s">
        <v>457</v>
      </c>
    </row>
    <row r="144" spans="1:30" x14ac:dyDescent="0.25">
      <c r="A144" t="s">
        <v>470</v>
      </c>
      <c r="B144" t="s">
        <v>25</v>
      </c>
      <c r="C144" t="s">
        <v>26</v>
      </c>
      <c r="D144" t="s">
        <v>39</v>
      </c>
      <c r="E144" t="s">
        <v>136</v>
      </c>
      <c r="F144" t="s">
        <v>137</v>
      </c>
      <c r="G144">
        <v>43321359</v>
      </c>
      <c r="H144" t="s">
        <v>58</v>
      </c>
      <c r="I144" s="4" t="s">
        <v>35</v>
      </c>
      <c r="J144" s="4" t="s">
        <v>132</v>
      </c>
      <c r="K144" t="s">
        <v>138</v>
      </c>
      <c r="L144" t="s">
        <v>61</v>
      </c>
      <c r="M144" t="s">
        <v>139</v>
      </c>
      <c r="N144" t="s">
        <v>63</v>
      </c>
      <c r="O144" t="s">
        <v>40</v>
      </c>
      <c r="P144" t="s">
        <v>36</v>
      </c>
      <c r="Q144" t="s">
        <v>38</v>
      </c>
      <c r="R144">
        <v>8</v>
      </c>
      <c r="S144" t="s">
        <v>140</v>
      </c>
      <c r="T144" t="s">
        <v>6519</v>
      </c>
      <c r="U144" t="s">
        <v>47</v>
      </c>
      <c r="V144" t="s">
        <v>47</v>
      </c>
      <c r="W144" t="s">
        <v>33</v>
      </c>
      <c r="X144" t="s">
        <v>33</v>
      </c>
      <c r="Y144" t="s">
        <v>33</v>
      </c>
      <c r="Z144" s="5" t="s">
        <v>34</v>
      </c>
      <c r="AA144">
        <v>-75.631773999999993</v>
      </c>
      <c r="AB144">
        <v>6.1164398000000002</v>
      </c>
      <c r="AC144" t="s">
        <v>456</v>
      </c>
      <c r="AD144" t="s">
        <v>457</v>
      </c>
    </row>
    <row r="145" spans="1:30" x14ac:dyDescent="0.25">
      <c r="A145" t="s">
        <v>2095</v>
      </c>
      <c r="B145" t="s">
        <v>25</v>
      </c>
      <c r="C145" t="s">
        <v>26</v>
      </c>
      <c r="D145" t="s">
        <v>25</v>
      </c>
      <c r="E145" t="s">
        <v>2096</v>
      </c>
      <c r="F145" t="s">
        <v>2097</v>
      </c>
      <c r="G145">
        <v>1064709921</v>
      </c>
      <c r="H145" t="s">
        <v>2098</v>
      </c>
      <c r="I145" s="4" t="s">
        <v>35</v>
      </c>
      <c r="J145" s="4" t="s">
        <v>2099</v>
      </c>
      <c r="K145" t="s">
        <v>2100</v>
      </c>
      <c r="L145" t="s">
        <v>27</v>
      </c>
      <c r="M145" t="s">
        <v>2101</v>
      </c>
      <c r="N145" t="s">
        <v>28</v>
      </c>
      <c r="O145" t="s">
        <v>29</v>
      </c>
      <c r="P145" t="s">
        <v>30</v>
      </c>
      <c r="Q145" t="s">
        <v>31</v>
      </c>
      <c r="R145">
        <v>7</v>
      </c>
      <c r="S145" t="s">
        <v>2102</v>
      </c>
      <c r="T145" t="s">
        <v>4712</v>
      </c>
      <c r="U145" t="s">
        <v>4711</v>
      </c>
      <c r="V145" t="s">
        <v>32</v>
      </c>
      <c r="W145" t="s">
        <v>33</v>
      </c>
      <c r="X145" t="s">
        <v>33</v>
      </c>
      <c r="Y145" t="s">
        <v>33</v>
      </c>
      <c r="Z145" s="5" t="s">
        <v>34</v>
      </c>
      <c r="AA145">
        <v>-75.605977999999993</v>
      </c>
      <c r="AB145">
        <v>6.2775800000000004</v>
      </c>
      <c r="AC145" t="s">
        <v>456</v>
      </c>
      <c r="AD145" t="s">
        <v>457</v>
      </c>
    </row>
    <row r="146" spans="1:30" x14ac:dyDescent="0.25">
      <c r="A146" t="s">
        <v>2103</v>
      </c>
      <c r="B146" t="s">
        <v>25</v>
      </c>
      <c r="C146" t="s">
        <v>26</v>
      </c>
      <c r="D146" t="s">
        <v>25</v>
      </c>
      <c r="E146" t="s">
        <v>2104</v>
      </c>
      <c r="F146" t="s">
        <v>2105</v>
      </c>
      <c r="G146">
        <v>1064709921</v>
      </c>
      <c r="H146" t="s">
        <v>2098</v>
      </c>
      <c r="I146" s="4" t="s">
        <v>35</v>
      </c>
      <c r="J146" s="4" t="s">
        <v>2099</v>
      </c>
      <c r="K146" t="s">
        <v>2106</v>
      </c>
      <c r="L146" t="s">
        <v>27</v>
      </c>
      <c r="M146" t="s">
        <v>2107</v>
      </c>
      <c r="N146" t="s">
        <v>28</v>
      </c>
      <c r="O146" t="s">
        <v>29</v>
      </c>
      <c r="P146" t="s">
        <v>30</v>
      </c>
      <c r="Q146" t="s">
        <v>31</v>
      </c>
      <c r="R146">
        <v>7</v>
      </c>
      <c r="S146" t="s">
        <v>2108</v>
      </c>
      <c r="T146" t="s">
        <v>4682</v>
      </c>
      <c r="U146" t="s">
        <v>4681</v>
      </c>
      <c r="V146" t="s">
        <v>32</v>
      </c>
      <c r="W146" t="s">
        <v>33</v>
      </c>
      <c r="X146" t="s">
        <v>33</v>
      </c>
      <c r="Y146" t="s">
        <v>33</v>
      </c>
      <c r="Z146" s="5" t="s">
        <v>34</v>
      </c>
      <c r="AA146">
        <v>-75.605977999999993</v>
      </c>
      <c r="AB146">
        <v>6.2775800000000004</v>
      </c>
      <c r="AC146" t="s">
        <v>456</v>
      </c>
      <c r="AD146" t="s">
        <v>457</v>
      </c>
    </row>
    <row r="147" spans="1:30" x14ac:dyDescent="0.25">
      <c r="A147" t="s">
        <v>852</v>
      </c>
      <c r="B147" t="s">
        <v>25</v>
      </c>
      <c r="C147" t="s">
        <v>26</v>
      </c>
      <c r="D147" t="s">
        <v>25</v>
      </c>
      <c r="E147" t="s">
        <v>853</v>
      </c>
      <c r="F147" t="s">
        <v>854</v>
      </c>
      <c r="G147">
        <v>1026149467</v>
      </c>
      <c r="H147" t="s">
        <v>855</v>
      </c>
      <c r="I147" s="4" t="s">
        <v>35</v>
      </c>
      <c r="J147" s="4" t="s">
        <v>647</v>
      </c>
      <c r="K147" t="s">
        <v>856</v>
      </c>
      <c r="L147" t="s">
        <v>77</v>
      </c>
      <c r="M147" t="s">
        <v>857</v>
      </c>
      <c r="N147" t="s">
        <v>78</v>
      </c>
      <c r="O147" t="s">
        <v>29</v>
      </c>
      <c r="P147" t="s">
        <v>36</v>
      </c>
      <c r="Q147" t="s">
        <v>38</v>
      </c>
      <c r="R147">
        <v>10</v>
      </c>
      <c r="S147" t="s">
        <v>858</v>
      </c>
      <c r="T147" t="s">
        <v>599</v>
      </c>
      <c r="U147" t="s">
        <v>701</v>
      </c>
      <c r="V147" t="s">
        <v>32</v>
      </c>
      <c r="W147" t="s">
        <v>33</v>
      </c>
      <c r="X147" t="s">
        <v>33</v>
      </c>
      <c r="Y147" t="s">
        <v>33</v>
      </c>
      <c r="Z147" s="5" t="s">
        <v>34</v>
      </c>
      <c r="AA147">
        <v>-75.625281909999998</v>
      </c>
      <c r="AB147">
        <v>6.05262601</v>
      </c>
      <c r="AC147" t="s">
        <v>456</v>
      </c>
      <c r="AD147" t="s">
        <v>457</v>
      </c>
    </row>
    <row r="148" spans="1:30" x14ac:dyDescent="0.25">
      <c r="A148" t="s">
        <v>2109</v>
      </c>
      <c r="B148" t="s">
        <v>25</v>
      </c>
      <c r="C148" t="s">
        <v>26</v>
      </c>
      <c r="D148" t="s">
        <v>25</v>
      </c>
      <c r="E148" t="s">
        <v>2110</v>
      </c>
      <c r="F148" t="s">
        <v>2111</v>
      </c>
      <c r="G148">
        <v>1128266481</v>
      </c>
      <c r="H148" t="s">
        <v>2112</v>
      </c>
      <c r="I148" s="4" t="s">
        <v>2113</v>
      </c>
      <c r="J148" s="4" t="s">
        <v>2114</v>
      </c>
      <c r="K148" t="s">
        <v>2115</v>
      </c>
      <c r="L148" t="s">
        <v>27</v>
      </c>
      <c r="M148" t="s">
        <v>2116</v>
      </c>
      <c r="N148" t="s">
        <v>28</v>
      </c>
      <c r="O148" t="s">
        <v>29</v>
      </c>
      <c r="P148" t="s">
        <v>37</v>
      </c>
      <c r="Q148" t="s">
        <v>31</v>
      </c>
      <c r="R148">
        <v>7</v>
      </c>
      <c r="S148" t="s">
        <v>2117</v>
      </c>
      <c r="T148" t="s">
        <v>4677</v>
      </c>
      <c r="U148" t="s">
        <v>4676</v>
      </c>
      <c r="V148" t="s">
        <v>32</v>
      </c>
      <c r="W148" t="s">
        <v>33</v>
      </c>
      <c r="X148" t="s">
        <v>33</v>
      </c>
      <c r="Y148" t="s">
        <v>33</v>
      </c>
      <c r="Z148" s="5" t="s">
        <v>34</v>
      </c>
      <c r="AA148">
        <v>-75.608866370000001</v>
      </c>
      <c r="AB148">
        <v>6.2267254999999997</v>
      </c>
      <c r="AC148" t="s">
        <v>456</v>
      </c>
      <c r="AD148" t="s">
        <v>457</v>
      </c>
    </row>
    <row r="149" spans="1:30" x14ac:dyDescent="0.25">
      <c r="A149" t="s">
        <v>859</v>
      </c>
      <c r="B149" t="s">
        <v>25</v>
      </c>
      <c r="C149" t="s">
        <v>26</v>
      </c>
      <c r="D149" t="s">
        <v>25</v>
      </c>
      <c r="E149" t="s">
        <v>860</v>
      </c>
      <c r="F149" t="s">
        <v>861</v>
      </c>
      <c r="G149">
        <v>1028005363</v>
      </c>
      <c r="H149" t="s">
        <v>862</v>
      </c>
      <c r="I149" s="4" t="s">
        <v>35</v>
      </c>
      <c r="J149" s="4" t="s">
        <v>863</v>
      </c>
      <c r="K149" t="s">
        <v>864</v>
      </c>
      <c r="L149" t="s">
        <v>77</v>
      </c>
      <c r="M149" t="s">
        <v>865</v>
      </c>
      <c r="N149" t="s">
        <v>78</v>
      </c>
      <c r="O149" t="s">
        <v>29</v>
      </c>
      <c r="P149" t="s">
        <v>36</v>
      </c>
      <c r="Q149" t="s">
        <v>38</v>
      </c>
      <c r="R149">
        <v>10</v>
      </c>
      <c r="S149" t="s">
        <v>866</v>
      </c>
      <c r="T149" t="s">
        <v>599</v>
      </c>
      <c r="U149" t="s">
        <v>701</v>
      </c>
      <c r="V149" t="s">
        <v>32</v>
      </c>
      <c r="W149" t="s">
        <v>33</v>
      </c>
      <c r="X149" t="s">
        <v>33</v>
      </c>
      <c r="Y149" t="s">
        <v>33</v>
      </c>
      <c r="Z149" s="5" t="s">
        <v>34</v>
      </c>
      <c r="AA149">
        <v>-75.626788329999997</v>
      </c>
      <c r="AB149">
        <v>6.0543135399999999</v>
      </c>
      <c r="AC149" t="s">
        <v>456</v>
      </c>
      <c r="AD149" t="s">
        <v>457</v>
      </c>
    </row>
    <row r="150" spans="1:30" x14ac:dyDescent="0.25">
      <c r="A150" t="s">
        <v>7989</v>
      </c>
      <c r="B150" t="s">
        <v>25</v>
      </c>
      <c r="C150" t="s">
        <v>26</v>
      </c>
      <c r="D150" t="s">
        <v>25</v>
      </c>
      <c r="E150" t="s">
        <v>7990</v>
      </c>
      <c r="F150" t="s">
        <v>7991</v>
      </c>
      <c r="G150">
        <v>15511037</v>
      </c>
      <c r="H150" t="s">
        <v>7968</v>
      </c>
      <c r="I150" s="4" t="s">
        <v>35</v>
      </c>
      <c r="J150" s="4" t="s">
        <v>789</v>
      </c>
      <c r="K150" t="s">
        <v>7992</v>
      </c>
      <c r="L150" t="s">
        <v>27</v>
      </c>
      <c r="M150" t="s">
        <v>7993</v>
      </c>
      <c r="N150" t="s">
        <v>28</v>
      </c>
      <c r="O150" t="s">
        <v>29</v>
      </c>
      <c r="P150" t="s">
        <v>36</v>
      </c>
      <c r="Q150" t="s">
        <v>31</v>
      </c>
      <c r="R150">
        <v>7</v>
      </c>
      <c r="S150" t="s">
        <v>7994</v>
      </c>
      <c r="T150" t="s">
        <v>7869</v>
      </c>
      <c r="U150" t="s">
        <v>7870</v>
      </c>
      <c r="V150" t="s">
        <v>32</v>
      </c>
      <c r="W150" t="s">
        <v>33</v>
      </c>
      <c r="X150" t="s">
        <v>33</v>
      </c>
      <c r="Y150" t="s">
        <v>33</v>
      </c>
      <c r="Z150" s="5" t="s">
        <v>34</v>
      </c>
      <c r="AA150">
        <v>-75.606615820000002</v>
      </c>
      <c r="AB150">
        <v>6.2408473100000004</v>
      </c>
      <c r="AC150" t="s">
        <v>456</v>
      </c>
      <c r="AD150" t="s">
        <v>457</v>
      </c>
    </row>
    <row r="151" spans="1:30" x14ac:dyDescent="0.25">
      <c r="A151" t="s">
        <v>7995</v>
      </c>
      <c r="B151" t="s">
        <v>25</v>
      </c>
      <c r="C151" t="s">
        <v>26</v>
      </c>
      <c r="D151" t="s">
        <v>25</v>
      </c>
      <c r="E151" t="s">
        <v>7996</v>
      </c>
      <c r="F151" t="s">
        <v>7997</v>
      </c>
      <c r="G151">
        <v>15511037</v>
      </c>
      <c r="H151" t="s">
        <v>7968</v>
      </c>
      <c r="I151" s="4" t="s">
        <v>35</v>
      </c>
      <c r="J151" s="4" t="s">
        <v>789</v>
      </c>
      <c r="K151" t="s">
        <v>7998</v>
      </c>
      <c r="L151" t="s">
        <v>27</v>
      </c>
      <c r="M151" t="s">
        <v>7999</v>
      </c>
      <c r="N151" t="s">
        <v>28</v>
      </c>
      <c r="O151" t="s">
        <v>29</v>
      </c>
      <c r="P151" t="s">
        <v>36</v>
      </c>
      <c r="Q151" t="s">
        <v>31</v>
      </c>
      <c r="R151">
        <v>7</v>
      </c>
      <c r="S151" t="s">
        <v>8000</v>
      </c>
      <c r="T151" t="s">
        <v>7869</v>
      </c>
      <c r="U151" t="s">
        <v>7870</v>
      </c>
      <c r="V151" t="s">
        <v>32</v>
      </c>
      <c r="W151" t="s">
        <v>33</v>
      </c>
      <c r="X151" t="s">
        <v>33</v>
      </c>
      <c r="Y151" t="s">
        <v>33</v>
      </c>
      <c r="Z151" s="5" t="s">
        <v>34</v>
      </c>
      <c r="AA151">
        <v>-75.606615820000002</v>
      </c>
      <c r="AB151">
        <v>6.2408473100000004</v>
      </c>
      <c r="AC151" t="s">
        <v>456</v>
      </c>
      <c r="AD151" t="s">
        <v>457</v>
      </c>
    </row>
    <row r="152" spans="1:30" x14ac:dyDescent="0.25">
      <c r="A152" t="s">
        <v>4714</v>
      </c>
      <c r="B152" t="s">
        <v>25</v>
      </c>
      <c r="C152" t="s">
        <v>26</v>
      </c>
      <c r="D152" t="s">
        <v>39</v>
      </c>
      <c r="E152" t="s">
        <v>4715</v>
      </c>
      <c r="F152" t="s">
        <v>4716</v>
      </c>
      <c r="G152">
        <v>43839322</v>
      </c>
      <c r="H152" t="s">
        <v>4717</v>
      </c>
      <c r="I152" s="4" t="s">
        <v>35</v>
      </c>
      <c r="J152" s="4" t="s">
        <v>4718</v>
      </c>
      <c r="K152" t="s">
        <v>4719</v>
      </c>
      <c r="L152" t="s">
        <v>27</v>
      </c>
      <c r="M152" t="s">
        <v>4720</v>
      </c>
      <c r="N152" t="s">
        <v>28</v>
      </c>
      <c r="O152" t="s">
        <v>40</v>
      </c>
      <c r="P152" t="s">
        <v>41</v>
      </c>
      <c r="Q152" t="s">
        <v>38</v>
      </c>
      <c r="R152">
        <v>8</v>
      </c>
      <c r="S152" t="s">
        <v>4721</v>
      </c>
      <c r="T152" t="s">
        <v>646</v>
      </c>
      <c r="U152" t="s">
        <v>5312</v>
      </c>
      <c r="V152" t="s">
        <v>32</v>
      </c>
      <c r="W152" t="s">
        <v>33</v>
      </c>
      <c r="X152" t="s">
        <v>33</v>
      </c>
      <c r="Y152" t="s">
        <v>33</v>
      </c>
      <c r="Z152" s="5" t="s">
        <v>34</v>
      </c>
      <c r="AA152">
        <v>-75.630633329999995</v>
      </c>
      <c r="AB152">
        <v>6.2350233299999998</v>
      </c>
      <c r="AC152" t="s">
        <v>456</v>
      </c>
      <c r="AD152" t="s">
        <v>457</v>
      </c>
    </row>
    <row r="153" spans="1:30" x14ac:dyDescent="0.25">
      <c r="A153" t="s">
        <v>868</v>
      </c>
      <c r="B153" t="s">
        <v>42</v>
      </c>
      <c r="C153" t="s">
        <v>26</v>
      </c>
      <c r="D153" t="s">
        <v>42</v>
      </c>
      <c r="E153" t="s">
        <v>869</v>
      </c>
      <c r="F153" t="s">
        <v>870</v>
      </c>
      <c r="G153">
        <v>71393065</v>
      </c>
      <c r="H153" t="s">
        <v>871</v>
      </c>
      <c r="I153" s="4" t="s">
        <v>872</v>
      </c>
      <c r="J153" s="4" t="s">
        <v>873</v>
      </c>
      <c r="K153" t="s">
        <v>874</v>
      </c>
      <c r="L153" t="s">
        <v>77</v>
      </c>
      <c r="M153" t="s">
        <v>875</v>
      </c>
      <c r="N153" t="s">
        <v>78</v>
      </c>
      <c r="O153" t="s">
        <v>43</v>
      </c>
      <c r="P153" t="s">
        <v>36</v>
      </c>
      <c r="Q153" t="s">
        <v>31</v>
      </c>
      <c r="R153">
        <v>7</v>
      </c>
      <c r="S153" t="s">
        <v>876</v>
      </c>
      <c r="T153" t="s">
        <v>6520</v>
      </c>
      <c r="U153" t="s">
        <v>47</v>
      </c>
      <c r="V153" t="s">
        <v>47</v>
      </c>
      <c r="W153" t="s">
        <v>33</v>
      </c>
      <c r="X153" t="s">
        <v>33</v>
      </c>
      <c r="Y153" t="s">
        <v>33</v>
      </c>
      <c r="Z153" s="5" t="s">
        <v>34</v>
      </c>
      <c r="AA153">
        <v>-75.636893520000001</v>
      </c>
      <c r="AB153">
        <v>6.0916210099999999</v>
      </c>
      <c r="AC153" t="s">
        <v>456</v>
      </c>
      <c r="AD153" t="s">
        <v>457</v>
      </c>
    </row>
    <row r="154" spans="1:30" x14ac:dyDescent="0.25">
      <c r="A154" t="s">
        <v>3047</v>
      </c>
      <c r="B154" t="s">
        <v>42</v>
      </c>
      <c r="C154" t="s">
        <v>26</v>
      </c>
      <c r="D154" t="s">
        <v>42</v>
      </c>
      <c r="E154" t="s">
        <v>3048</v>
      </c>
      <c r="F154" t="s">
        <v>3049</v>
      </c>
      <c r="G154">
        <v>890980331</v>
      </c>
      <c r="H154" t="s">
        <v>3050</v>
      </c>
      <c r="I154" s="4" t="s">
        <v>3051</v>
      </c>
      <c r="J154" s="4" t="s">
        <v>3052</v>
      </c>
      <c r="K154" t="s">
        <v>3053</v>
      </c>
      <c r="L154" t="s">
        <v>79</v>
      </c>
      <c r="M154" t="s">
        <v>3054</v>
      </c>
      <c r="N154" t="s">
        <v>80</v>
      </c>
      <c r="O154" t="s">
        <v>43</v>
      </c>
      <c r="P154" t="s">
        <v>30</v>
      </c>
      <c r="Q154" t="s">
        <v>31</v>
      </c>
      <c r="R154">
        <v>7</v>
      </c>
      <c r="S154" t="s">
        <v>3055</v>
      </c>
      <c r="T154" t="s">
        <v>5312</v>
      </c>
      <c r="U154" t="s">
        <v>6521</v>
      </c>
      <c r="V154" t="s">
        <v>50</v>
      </c>
      <c r="W154" t="s">
        <v>33</v>
      </c>
      <c r="X154" t="s">
        <v>33</v>
      </c>
      <c r="Y154" t="s">
        <v>33</v>
      </c>
      <c r="Z154" s="5" t="s">
        <v>34</v>
      </c>
      <c r="AA154">
        <v>-75.618769999999998</v>
      </c>
      <c r="AB154">
        <v>6.1497890000000002</v>
      </c>
      <c r="AC154" t="s">
        <v>456</v>
      </c>
      <c r="AD154" t="s">
        <v>457</v>
      </c>
    </row>
    <row r="155" spans="1:30" x14ac:dyDescent="0.25">
      <c r="A155" t="s">
        <v>3056</v>
      </c>
      <c r="B155" t="s">
        <v>42</v>
      </c>
      <c r="C155" t="s">
        <v>26</v>
      </c>
      <c r="D155" t="s">
        <v>42</v>
      </c>
      <c r="E155" t="s">
        <v>3057</v>
      </c>
      <c r="F155" t="s">
        <v>3058</v>
      </c>
      <c r="G155">
        <v>890980331</v>
      </c>
      <c r="H155" t="s">
        <v>3050</v>
      </c>
      <c r="I155" s="4" t="s">
        <v>3051</v>
      </c>
      <c r="J155" s="4" t="s">
        <v>3052</v>
      </c>
      <c r="K155" t="s">
        <v>3059</v>
      </c>
      <c r="L155" t="s">
        <v>79</v>
      </c>
      <c r="M155" t="s">
        <v>3060</v>
      </c>
      <c r="N155" t="s">
        <v>80</v>
      </c>
      <c r="O155" t="s">
        <v>43</v>
      </c>
      <c r="P155" t="s">
        <v>30</v>
      </c>
      <c r="Q155" t="s">
        <v>31</v>
      </c>
      <c r="R155">
        <v>7</v>
      </c>
      <c r="S155" t="s">
        <v>3061</v>
      </c>
      <c r="T155" t="s">
        <v>5312</v>
      </c>
      <c r="U155" t="s">
        <v>6521</v>
      </c>
      <c r="V155" t="s">
        <v>50</v>
      </c>
      <c r="W155" t="s">
        <v>33</v>
      </c>
      <c r="X155" t="s">
        <v>33</v>
      </c>
      <c r="Y155" t="s">
        <v>33</v>
      </c>
      <c r="Z155" s="5" t="s">
        <v>34</v>
      </c>
      <c r="AA155">
        <v>-75.618769999999998</v>
      </c>
      <c r="AB155">
        <v>6.1497890000000002</v>
      </c>
      <c r="AC155" t="s">
        <v>456</v>
      </c>
      <c r="AD155" t="s">
        <v>457</v>
      </c>
    </row>
    <row r="156" spans="1:30" x14ac:dyDescent="0.25">
      <c r="A156" t="s">
        <v>3062</v>
      </c>
      <c r="B156" t="s">
        <v>42</v>
      </c>
      <c r="C156" t="s">
        <v>26</v>
      </c>
      <c r="D156" t="s">
        <v>42</v>
      </c>
      <c r="E156" t="s">
        <v>3063</v>
      </c>
      <c r="F156" t="s">
        <v>3064</v>
      </c>
      <c r="G156">
        <v>890980331</v>
      </c>
      <c r="H156" t="s">
        <v>3050</v>
      </c>
      <c r="I156" s="4" t="s">
        <v>3051</v>
      </c>
      <c r="J156" s="4" t="s">
        <v>3052</v>
      </c>
      <c r="K156" t="s">
        <v>3065</v>
      </c>
      <c r="L156" t="s">
        <v>79</v>
      </c>
      <c r="M156" t="s">
        <v>3066</v>
      </c>
      <c r="N156" t="s">
        <v>80</v>
      </c>
      <c r="O156" t="s">
        <v>43</v>
      </c>
      <c r="P156" t="s">
        <v>30</v>
      </c>
      <c r="Q156" t="s">
        <v>31</v>
      </c>
      <c r="R156">
        <v>7</v>
      </c>
      <c r="S156" t="s">
        <v>3067</v>
      </c>
      <c r="T156" t="s">
        <v>5312</v>
      </c>
      <c r="U156" t="s">
        <v>6521</v>
      </c>
      <c r="V156" t="s">
        <v>50</v>
      </c>
      <c r="W156" t="s">
        <v>33</v>
      </c>
      <c r="X156" t="s">
        <v>33</v>
      </c>
      <c r="Y156" t="s">
        <v>33</v>
      </c>
      <c r="Z156" s="5" t="s">
        <v>34</v>
      </c>
      <c r="AA156">
        <v>-75.618680999999995</v>
      </c>
      <c r="AB156">
        <v>6.149654</v>
      </c>
      <c r="AC156" t="s">
        <v>456</v>
      </c>
      <c r="AD156" t="s">
        <v>457</v>
      </c>
    </row>
    <row r="157" spans="1:30" x14ac:dyDescent="0.25">
      <c r="A157" t="s">
        <v>3068</v>
      </c>
      <c r="B157" t="s">
        <v>42</v>
      </c>
      <c r="C157" t="s">
        <v>26</v>
      </c>
      <c r="D157" t="s">
        <v>42</v>
      </c>
      <c r="E157" t="s">
        <v>3069</v>
      </c>
      <c r="F157" t="s">
        <v>3070</v>
      </c>
      <c r="G157">
        <v>890980331</v>
      </c>
      <c r="H157" t="s">
        <v>3050</v>
      </c>
      <c r="I157" s="4" t="s">
        <v>3051</v>
      </c>
      <c r="J157" s="4" t="s">
        <v>3052</v>
      </c>
      <c r="K157" t="s">
        <v>3071</v>
      </c>
      <c r="L157" t="s">
        <v>79</v>
      </c>
      <c r="M157" t="s">
        <v>3072</v>
      </c>
      <c r="N157" t="s">
        <v>80</v>
      </c>
      <c r="O157" t="s">
        <v>43</v>
      </c>
      <c r="P157" t="s">
        <v>30</v>
      </c>
      <c r="Q157" t="s">
        <v>31</v>
      </c>
      <c r="R157">
        <v>7</v>
      </c>
      <c r="S157" t="s">
        <v>3073</v>
      </c>
      <c r="T157" t="s">
        <v>5312</v>
      </c>
      <c r="U157" t="s">
        <v>6521</v>
      </c>
      <c r="V157" t="s">
        <v>50</v>
      </c>
      <c r="W157" t="s">
        <v>33</v>
      </c>
      <c r="X157" t="s">
        <v>33</v>
      </c>
      <c r="Y157" t="s">
        <v>33</v>
      </c>
      <c r="Z157" s="5" t="s">
        <v>34</v>
      </c>
      <c r="AA157">
        <v>-75.618680999999995</v>
      </c>
      <c r="AB157">
        <v>6.149654</v>
      </c>
      <c r="AC157" t="s">
        <v>456</v>
      </c>
      <c r="AD157" t="s">
        <v>457</v>
      </c>
    </row>
    <row r="158" spans="1:30" x14ac:dyDescent="0.25">
      <c r="A158" t="s">
        <v>3074</v>
      </c>
      <c r="B158" t="s">
        <v>42</v>
      </c>
      <c r="C158" t="s">
        <v>26</v>
      </c>
      <c r="D158" t="s">
        <v>42</v>
      </c>
      <c r="E158" t="s">
        <v>3075</v>
      </c>
      <c r="F158" t="s">
        <v>3076</v>
      </c>
      <c r="G158">
        <v>890980331</v>
      </c>
      <c r="H158" t="s">
        <v>3050</v>
      </c>
      <c r="I158" s="4" t="s">
        <v>3051</v>
      </c>
      <c r="J158" s="4" t="s">
        <v>3052</v>
      </c>
      <c r="K158" t="s">
        <v>3077</v>
      </c>
      <c r="L158" t="s">
        <v>79</v>
      </c>
      <c r="M158" t="s">
        <v>3078</v>
      </c>
      <c r="N158" t="s">
        <v>80</v>
      </c>
      <c r="O158" t="s">
        <v>43</v>
      </c>
      <c r="P158" t="s">
        <v>30</v>
      </c>
      <c r="Q158" t="s">
        <v>31</v>
      </c>
      <c r="R158">
        <v>7</v>
      </c>
      <c r="S158" t="s">
        <v>3079</v>
      </c>
      <c r="T158" t="s">
        <v>5312</v>
      </c>
      <c r="U158" t="s">
        <v>6521</v>
      </c>
      <c r="V158" t="s">
        <v>50</v>
      </c>
      <c r="W158" t="s">
        <v>33</v>
      </c>
      <c r="X158" t="s">
        <v>33</v>
      </c>
      <c r="Y158" t="s">
        <v>33</v>
      </c>
      <c r="Z158" s="5" t="s">
        <v>34</v>
      </c>
      <c r="AA158">
        <v>-75.619851999999995</v>
      </c>
      <c r="AB158">
        <v>6.148981</v>
      </c>
      <c r="AC158" t="s">
        <v>456</v>
      </c>
      <c r="AD158" t="s">
        <v>457</v>
      </c>
    </row>
    <row r="159" spans="1:30" x14ac:dyDescent="0.25">
      <c r="A159" t="s">
        <v>8001</v>
      </c>
      <c r="B159" t="s">
        <v>42</v>
      </c>
      <c r="C159" t="s">
        <v>26</v>
      </c>
      <c r="D159" t="s">
        <v>42</v>
      </c>
      <c r="E159" t="s">
        <v>8002</v>
      </c>
      <c r="F159" t="s">
        <v>8003</v>
      </c>
      <c r="G159">
        <v>4355134</v>
      </c>
      <c r="H159" t="s">
        <v>8004</v>
      </c>
      <c r="I159" s="4" t="s">
        <v>35</v>
      </c>
      <c r="J159" s="4" t="s">
        <v>8005</v>
      </c>
      <c r="K159" t="s">
        <v>8006</v>
      </c>
      <c r="L159" t="s">
        <v>44</v>
      </c>
      <c r="M159" t="s">
        <v>8007</v>
      </c>
      <c r="N159" t="s">
        <v>45</v>
      </c>
      <c r="O159" t="s">
        <v>43</v>
      </c>
      <c r="P159" t="s">
        <v>37</v>
      </c>
      <c r="Q159" t="s">
        <v>31</v>
      </c>
      <c r="R159">
        <v>7</v>
      </c>
      <c r="S159" t="s">
        <v>8008</v>
      </c>
      <c r="T159" t="s">
        <v>646</v>
      </c>
      <c r="U159" t="s">
        <v>4654</v>
      </c>
      <c r="V159" t="s">
        <v>32</v>
      </c>
      <c r="W159" t="s">
        <v>33</v>
      </c>
      <c r="X159" t="s">
        <v>33</v>
      </c>
      <c r="Y159" t="s">
        <v>33</v>
      </c>
      <c r="Z159" s="5" t="s">
        <v>34</v>
      </c>
      <c r="AA159">
        <v>-75.598912619999993</v>
      </c>
      <c r="AB159">
        <v>6.1778248500000004</v>
      </c>
      <c r="AC159" t="s">
        <v>456</v>
      </c>
      <c r="AD159" t="s">
        <v>457</v>
      </c>
    </row>
    <row r="160" spans="1:30" x14ac:dyDescent="0.25">
      <c r="A160" t="s">
        <v>5346</v>
      </c>
      <c r="B160" t="s">
        <v>25</v>
      </c>
      <c r="C160" t="s">
        <v>26</v>
      </c>
      <c r="D160" t="s">
        <v>25</v>
      </c>
      <c r="E160" t="s">
        <v>5347</v>
      </c>
      <c r="F160" t="s">
        <v>5348</v>
      </c>
      <c r="G160">
        <v>43099899</v>
      </c>
      <c r="H160" t="s">
        <v>5349</v>
      </c>
      <c r="I160" s="4" t="s">
        <v>35</v>
      </c>
      <c r="J160" s="4" t="s">
        <v>5350</v>
      </c>
      <c r="K160" t="s">
        <v>5351</v>
      </c>
      <c r="L160" t="s">
        <v>27</v>
      </c>
      <c r="M160" t="s">
        <v>5352</v>
      </c>
      <c r="N160" t="s">
        <v>28</v>
      </c>
      <c r="O160" t="s">
        <v>29</v>
      </c>
      <c r="P160" t="s">
        <v>37</v>
      </c>
      <c r="Q160" t="s">
        <v>31</v>
      </c>
      <c r="R160">
        <v>7</v>
      </c>
      <c r="S160" t="s">
        <v>5353</v>
      </c>
      <c r="T160" t="s">
        <v>2361</v>
      </c>
      <c r="U160" t="s">
        <v>6522</v>
      </c>
      <c r="V160" t="s">
        <v>32</v>
      </c>
      <c r="W160" t="s">
        <v>33</v>
      </c>
      <c r="X160" t="s">
        <v>33</v>
      </c>
      <c r="Y160" t="s">
        <v>33</v>
      </c>
      <c r="Z160" s="5" t="s">
        <v>34</v>
      </c>
      <c r="AA160">
        <v>-75.605864999999994</v>
      </c>
      <c r="AB160">
        <v>6.2635750000000003</v>
      </c>
      <c r="AC160" t="s">
        <v>456</v>
      </c>
      <c r="AD160" t="s">
        <v>457</v>
      </c>
    </row>
    <row r="161" spans="1:30" x14ac:dyDescent="0.25">
      <c r="A161" t="s">
        <v>877</v>
      </c>
      <c r="B161" t="s">
        <v>25</v>
      </c>
      <c r="C161" t="s">
        <v>26</v>
      </c>
      <c r="D161" t="s">
        <v>39</v>
      </c>
      <c r="E161" t="s">
        <v>878</v>
      </c>
      <c r="F161" t="s">
        <v>879</v>
      </c>
      <c r="G161">
        <v>43091104</v>
      </c>
      <c r="H161" t="s">
        <v>880</v>
      </c>
      <c r="I161" s="4" t="s">
        <v>35</v>
      </c>
      <c r="J161" s="4" t="s">
        <v>881</v>
      </c>
      <c r="K161" t="s">
        <v>882</v>
      </c>
      <c r="L161" t="s">
        <v>27</v>
      </c>
      <c r="M161" t="s">
        <v>883</v>
      </c>
      <c r="N161" t="s">
        <v>28</v>
      </c>
      <c r="O161" t="s">
        <v>40</v>
      </c>
      <c r="P161" t="s">
        <v>41</v>
      </c>
      <c r="Q161" t="s">
        <v>38</v>
      </c>
      <c r="R161">
        <v>8</v>
      </c>
      <c r="S161" t="s">
        <v>884</v>
      </c>
      <c r="T161" t="s">
        <v>6524</v>
      </c>
      <c r="U161" t="s">
        <v>6525</v>
      </c>
      <c r="V161" t="s">
        <v>50</v>
      </c>
      <c r="W161" t="s">
        <v>33</v>
      </c>
      <c r="X161" t="s">
        <v>33</v>
      </c>
      <c r="Y161" t="s">
        <v>33</v>
      </c>
      <c r="Z161" s="5" t="s">
        <v>34</v>
      </c>
      <c r="AA161">
        <v>-75.688861000000003</v>
      </c>
      <c r="AB161">
        <v>6.3401940000000003</v>
      </c>
      <c r="AC161" t="s">
        <v>456</v>
      </c>
      <c r="AD161" t="s">
        <v>457</v>
      </c>
    </row>
    <row r="162" spans="1:30" x14ac:dyDescent="0.25">
      <c r="A162" t="s">
        <v>2118</v>
      </c>
      <c r="B162" t="s">
        <v>25</v>
      </c>
      <c r="C162" t="s">
        <v>26</v>
      </c>
      <c r="D162" t="s">
        <v>25</v>
      </c>
      <c r="E162" t="s">
        <v>2119</v>
      </c>
      <c r="F162" t="s">
        <v>2120</v>
      </c>
      <c r="G162">
        <v>43847673</v>
      </c>
      <c r="H162" t="s">
        <v>2121</v>
      </c>
      <c r="I162" s="4" t="s">
        <v>35</v>
      </c>
      <c r="J162" s="4" t="s">
        <v>2122</v>
      </c>
      <c r="K162" t="s">
        <v>2123</v>
      </c>
      <c r="L162" t="s">
        <v>27</v>
      </c>
      <c r="M162" t="s">
        <v>2124</v>
      </c>
      <c r="N162" t="s">
        <v>28</v>
      </c>
      <c r="O162" t="s">
        <v>29</v>
      </c>
      <c r="P162" t="s">
        <v>30</v>
      </c>
      <c r="Q162" t="s">
        <v>31</v>
      </c>
      <c r="R162">
        <v>7</v>
      </c>
      <c r="S162" t="s">
        <v>2125</v>
      </c>
      <c r="T162" t="s">
        <v>4677</v>
      </c>
      <c r="U162" t="s">
        <v>4676</v>
      </c>
      <c r="V162" t="s">
        <v>32</v>
      </c>
      <c r="W162" t="s">
        <v>33</v>
      </c>
      <c r="X162" t="s">
        <v>33</v>
      </c>
      <c r="Y162" t="s">
        <v>33</v>
      </c>
      <c r="Z162" s="5" t="s">
        <v>34</v>
      </c>
      <c r="AA162">
        <v>-75.617171490000004</v>
      </c>
      <c r="AB162">
        <v>6.2760647699999996</v>
      </c>
      <c r="AC162" t="s">
        <v>456</v>
      </c>
      <c r="AD162" t="s">
        <v>457</v>
      </c>
    </row>
    <row r="163" spans="1:30" x14ac:dyDescent="0.25">
      <c r="A163" t="s">
        <v>2126</v>
      </c>
      <c r="B163" t="s">
        <v>25</v>
      </c>
      <c r="C163" t="s">
        <v>26</v>
      </c>
      <c r="D163" t="s">
        <v>25</v>
      </c>
      <c r="E163" t="s">
        <v>2127</v>
      </c>
      <c r="F163" t="s">
        <v>2128</v>
      </c>
      <c r="G163">
        <v>43847673</v>
      </c>
      <c r="H163" t="s">
        <v>2121</v>
      </c>
      <c r="I163" s="4" t="s">
        <v>35</v>
      </c>
      <c r="J163" s="4" t="s">
        <v>2122</v>
      </c>
      <c r="K163" t="s">
        <v>2129</v>
      </c>
      <c r="L163" t="s">
        <v>27</v>
      </c>
      <c r="M163" t="s">
        <v>2130</v>
      </c>
      <c r="N163" t="s">
        <v>28</v>
      </c>
      <c r="O163" t="s">
        <v>29</v>
      </c>
      <c r="P163" t="s">
        <v>30</v>
      </c>
      <c r="Q163" t="s">
        <v>31</v>
      </c>
      <c r="R163">
        <v>7</v>
      </c>
      <c r="S163" t="s">
        <v>2131</v>
      </c>
      <c r="T163" t="s">
        <v>4677</v>
      </c>
      <c r="U163" t="s">
        <v>4676</v>
      </c>
      <c r="V163" t="s">
        <v>32</v>
      </c>
      <c r="W163" t="s">
        <v>33</v>
      </c>
      <c r="X163" t="s">
        <v>33</v>
      </c>
      <c r="Y163" t="s">
        <v>33</v>
      </c>
      <c r="Z163" s="5" t="s">
        <v>34</v>
      </c>
      <c r="AA163">
        <v>-75.617171490000004</v>
      </c>
      <c r="AB163">
        <v>6.2760647699999996</v>
      </c>
      <c r="AC163" t="s">
        <v>456</v>
      </c>
      <c r="AD163" t="s">
        <v>457</v>
      </c>
    </row>
    <row r="164" spans="1:30" x14ac:dyDescent="0.25">
      <c r="A164" t="s">
        <v>8009</v>
      </c>
      <c r="B164" t="s">
        <v>25</v>
      </c>
      <c r="C164" t="s">
        <v>26</v>
      </c>
      <c r="D164" t="s">
        <v>25</v>
      </c>
      <c r="E164" t="s">
        <v>8010</v>
      </c>
      <c r="F164" t="s">
        <v>8011</v>
      </c>
      <c r="G164">
        <v>43688434</v>
      </c>
      <c r="H164" t="s">
        <v>8012</v>
      </c>
      <c r="I164" s="4" t="s">
        <v>35</v>
      </c>
      <c r="J164" s="4" t="s">
        <v>8013</v>
      </c>
      <c r="K164" t="s">
        <v>8014</v>
      </c>
      <c r="L164" t="s">
        <v>61</v>
      </c>
      <c r="M164" t="s">
        <v>8015</v>
      </c>
      <c r="N164" t="s">
        <v>63</v>
      </c>
      <c r="O164" t="s">
        <v>29</v>
      </c>
      <c r="P164" t="s">
        <v>36</v>
      </c>
      <c r="Q164" t="s">
        <v>38</v>
      </c>
      <c r="R164">
        <v>10</v>
      </c>
      <c r="S164" t="s">
        <v>8016</v>
      </c>
      <c r="T164" t="s">
        <v>7859</v>
      </c>
      <c r="U164" t="s">
        <v>7860</v>
      </c>
      <c r="V164" t="s">
        <v>32</v>
      </c>
      <c r="W164" t="s">
        <v>33</v>
      </c>
      <c r="X164" t="s">
        <v>33</v>
      </c>
      <c r="Y164" t="s">
        <v>33</v>
      </c>
      <c r="Z164" s="5" t="s">
        <v>34</v>
      </c>
      <c r="AA164">
        <v>-75.638875369999994</v>
      </c>
      <c r="AB164">
        <v>6.1188010999999998</v>
      </c>
      <c r="AC164" t="s">
        <v>456</v>
      </c>
      <c r="AD164" t="s">
        <v>457</v>
      </c>
    </row>
    <row r="165" spans="1:30" x14ac:dyDescent="0.25">
      <c r="A165" t="s">
        <v>5354</v>
      </c>
      <c r="B165" t="s">
        <v>25</v>
      </c>
      <c r="C165" t="s">
        <v>26</v>
      </c>
      <c r="D165" t="s">
        <v>25</v>
      </c>
      <c r="E165" t="s">
        <v>5355</v>
      </c>
      <c r="F165" t="s">
        <v>5356</v>
      </c>
      <c r="G165">
        <v>43734995</v>
      </c>
      <c r="H165" t="s">
        <v>5357</v>
      </c>
      <c r="I165" s="4" t="s">
        <v>5358</v>
      </c>
      <c r="J165" s="4" t="s">
        <v>5359</v>
      </c>
      <c r="K165" t="s">
        <v>5360</v>
      </c>
      <c r="L165" t="s">
        <v>27</v>
      </c>
      <c r="M165" t="s">
        <v>5361</v>
      </c>
      <c r="N165" t="s">
        <v>28</v>
      </c>
      <c r="O165" t="s">
        <v>29</v>
      </c>
      <c r="P165" t="s">
        <v>37</v>
      </c>
      <c r="Q165" t="s">
        <v>31</v>
      </c>
      <c r="R165">
        <v>7</v>
      </c>
      <c r="S165" t="s">
        <v>5362</v>
      </c>
      <c r="T165" t="s">
        <v>6480</v>
      </c>
      <c r="U165" t="s">
        <v>6481</v>
      </c>
      <c r="V165" t="s">
        <v>32</v>
      </c>
      <c r="W165" t="s">
        <v>33</v>
      </c>
      <c r="X165" t="s">
        <v>33</v>
      </c>
      <c r="Y165" t="s">
        <v>33</v>
      </c>
      <c r="Z165" s="5" t="s">
        <v>34</v>
      </c>
      <c r="AA165">
        <v>-75.600928519999997</v>
      </c>
      <c r="AB165">
        <v>6.2273551100000004</v>
      </c>
      <c r="AC165" t="s">
        <v>456</v>
      </c>
      <c r="AD165" t="s">
        <v>457</v>
      </c>
    </row>
    <row r="166" spans="1:30" x14ac:dyDescent="0.25">
      <c r="A166" t="s">
        <v>885</v>
      </c>
      <c r="B166" t="s">
        <v>25</v>
      </c>
      <c r="C166" t="s">
        <v>26</v>
      </c>
      <c r="D166" t="s">
        <v>39</v>
      </c>
      <c r="E166" t="s">
        <v>886</v>
      </c>
      <c r="F166" t="s">
        <v>887</v>
      </c>
      <c r="G166">
        <v>71391065</v>
      </c>
      <c r="H166" t="s">
        <v>888</v>
      </c>
      <c r="I166" s="4" t="s">
        <v>35</v>
      </c>
      <c r="J166" s="4" t="s">
        <v>889</v>
      </c>
      <c r="K166" t="s">
        <v>890</v>
      </c>
      <c r="L166" t="s">
        <v>77</v>
      </c>
      <c r="M166" t="s">
        <v>891</v>
      </c>
      <c r="N166" t="s">
        <v>78</v>
      </c>
      <c r="O166" t="s">
        <v>40</v>
      </c>
      <c r="P166" t="s">
        <v>36</v>
      </c>
      <c r="Q166" t="s">
        <v>38</v>
      </c>
      <c r="R166">
        <v>8</v>
      </c>
      <c r="S166" t="s">
        <v>892</v>
      </c>
      <c r="T166" t="s">
        <v>6493</v>
      </c>
      <c r="U166" t="s">
        <v>6526</v>
      </c>
      <c r="V166" t="s">
        <v>50</v>
      </c>
      <c r="W166" t="s">
        <v>33</v>
      </c>
      <c r="X166" t="s">
        <v>33</v>
      </c>
      <c r="Y166" t="s">
        <v>33</v>
      </c>
      <c r="Z166" s="5" t="s">
        <v>34</v>
      </c>
      <c r="AA166">
        <v>-75.635639749999996</v>
      </c>
      <c r="AB166">
        <v>6.0736636800000001</v>
      </c>
      <c r="AC166" t="s">
        <v>456</v>
      </c>
      <c r="AD166" t="s">
        <v>457</v>
      </c>
    </row>
    <row r="167" spans="1:30" x14ac:dyDescent="0.25">
      <c r="A167" t="s">
        <v>8017</v>
      </c>
      <c r="B167" t="s">
        <v>25</v>
      </c>
      <c r="C167" t="s">
        <v>26</v>
      </c>
      <c r="D167" t="s">
        <v>25</v>
      </c>
      <c r="E167" t="s">
        <v>8018</v>
      </c>
      <c r="F167" t="s">
        <v>8019</v>
      </c>
      <c r="G167">
        <v>15511037</v>
      </c>
      <c r="H167" t="s">
        <v>7968</v>
      </c>
      <c r="I167" s="4" t="s">
        <v>35</v>
      </c>
      <c r="J167" s="4" t="s">
        <v>789</v>
      </c>
      <c r="K167" t="s">
        <v>8020</v>
      </c>
      <c r="L167" t="s">
        <v>27</v>
      </c>
      <c r="M167" t="s">
        <v>8021</v>
      </c>
      <c r="N167" t="s">
        <v>28</v>
      </c>
      <c r="O167" t="s">
        <v>29</v>
      </c>
      <c r="P167" t="s">
        <v>36</v>
      </c>
      <c r="Q167" t="s">
        <v>31</v>
      </c>
      <c r="R167">
        <v>7</v>
      </c>
      <c r="S167" t="s">
        <v>8022</v>
      </c>
      <c r="T167" t="s">
        <v>7869</v>
      </c>
      <c r="U167" t="s">
        <v>7870</v>
      </c>
      <c r="V167" t="s">
        <v>32</v>
      </c>
      <c r="W167" t="s">
        <v>33</v>
      </c>
      <c r="X167" t="s">
        <v>33</v>
      </c>
      <c r="Y167" t="s">
        <v>33</v>
      </c>
      <c r="Z167" s="5" t="s">
        <v>34</v>
      </c>
      <c r="AA167">
        <v>-75.606615820000002</v>
      </c>
      <c r="AB167">
        <v>6.2408473100000004</v>
      </c>
      <c r="AC167" t="s">
        <v>456</v>
      </c>
      <c r="AD167" t="s">
        <v>457</v>
      </c>
    </row>
    <row r="168" spans="1:30" x14ac:dyDescent="0.25">
      <c r="A168" t="s">
        <v>8023</v>
      </c>
      <c r="B168" t="s">
        <v>25</v>
      </c>
      <c r="C168" t="s">
        <v>26</v>
      </c>
      <c r="D168" t="s">
        <v>25</v>
      </c>
      <c r="E168" t="s">
        <v>8024</v>
      </c>
      <c r="F168" t="s">
        <v>8025</v>
      </c>
      <c r="G168">
        <v>15511037</v>
      </c>
      <c r="H168" t="s">
        <v>7968</v>
      </c>
      <c r="I168" s="4" t="s">
        <v>35</v>
      </c>
      <c r="J168" s="4" t="s">
        <v>789</v>
      </c>
      <c r="K168" t="s">
        <v>8026</v>
      </c>
      <c r="L168" t="s">
        <v>27</v>
      </c>
      <c r="M168" t="s">
        <v>8027</v>
      </c>
      <c r="N168" t="s">
        <v>28</v>
      </c>
      <c r="O168" t="s">
        <v>29</v>
      </c>
      <c r="P168" t="s">
        <v>36</v>
      </c>
      <c r="Q168" t="s">
        <v>31</v>
      </c>
      <c r="R168">
        <v>7</v>
      </c>
      <c r="S168" t="s">
        <v>8028</v>
      </c>
      <c r="T168" t="s">
        <v>7869</v>
      </c>
      <c r="U168" t="s">
        <v>7870</v>
      </c>
      <c r="V168" t="s">
        <v>32</v>
      </c>
      <c r="W168" t="s">
        <v>33</v>
      </c>
      <c r="X168" t="s">
        <v>33</v>
      </c>
      <c r="Y168" t="s">
        <v>33</v>
      </c>
      <c r="Z168" s="5" t="s">
        <v>34</v>
      </c>
      <c r="AA168">
        <v>-75.606615820000002</v>
      </c>
      <c r="AB168">
        <v>6.2408473100000004</v>
      </c>
      <c r="AC168" t="s">
        <v>456</v>
      </c>
      <c r="AD168" t="s">
        <v>457</v>
      </c>
    </row>
    <row r="169" spans="1:30" x14ac:dyDescent="0.25">
      <c r="A169" t="s">
        <v>2438</v>
      </c>
      <c r="B169" t="s">
        <v>25</v>
      </c>
      <c r="C169" t="s">
        <v>26</v>
      </c>
      <c r="D169" t="s">
        <v>39</v>
      </c>
      <c r="E169" t="s">
        <v>2439</v>
      </c>
      <c r="F169" t="s">
        <v>2440</v>
      </c>
      <c r="G169">
        <v>43752510</v>
      </c>
      <c r="H169" t="s">
        <v>2441</v>
      </c>
      <c r="I169" s="4" t="s">
        <v>35</v>
      </c>
      <c r="J169" s="4" t="s">
        <v>2442</v>
      </c>
      <c r="K169" t="s">
        <v>2443</v>
      </c>
      <c r="L169" t="s">
        <v>77</v>
      </c>
      <c r="M169" t="s">
        <v>2444</v>
      </c>
      <c r="N169" t="s">
        <v>78</v>
      </c>
      <c r="O169" t="s">
        <v>40</v>
      </c>
      <c r="P169" t="s">
        <v>36</v>
      </c>
      <c r="Q169" t="s">
        <v>38</v>
      </c>
      <c r="R169">
        <v>8</v>
      </c>
      <c r="S169" t="s">
        <v>2445</v>
      </c>
      <c r="T169" t="s">
        <v>6527</v>
      </c>
      <c r="U169" t="s">
        <v>6528</v>
      </c>
      <c r="V169" t="s">
        <v>50</v>
      </c>
      <c r="W169" t="s">
        <v>33</v>
      </c>
      <c r="X169" t="s">
        <v>33</v>
      </c>
      <c r="Y169" t="s">
        <v>33</v>
      </c>
      <c r="Z169" s="5" t="s">
        <v>34</v>
      </c>
      <c r="AA169">
        <v>-75.621536890000002</v>
      </c>
      <c r="AB169">
        <v>6.0882243899999997</v>
      </c>
      <c r="AC169" t="s">
        <v>456</v>
      </c>
      <c r="AD169" t="s">
        <v>457</v>
      </c>
    </row>
    <row r="170" spans="1:30" x14ac:dyDescent="0.25">
      <c r="A170" t="s">
        <v>5363</v>
      </c>
      <c r="B170" t="s">
        <v>25</v>
      </c>
      <c r="C170" t="s">
        <v>26</v>
      </c>
      <c r="D170" t="s">
        <v>25</v>
      </c>
      <c r="E170" t="s">
        <v>5364</v>
      </c>
      <c r="F170" t="s">
        <v>5365</v>
      </c>
      <c r="G170">
        <v>32090693</v>
      </c>
      <c r="H170" t="s">
        <v>5366</v>
      </c>
      <c r="I170" s="4" t="s">
        <v>5367</v>
      </c>
      <c r="J170" s="4" t="s">
        <v>5368</v>
      </c>
      <c r="K170" t="s">
        <v>5369</v>
      </c>
      <c r="L170" t="s">
        <v>27</v>
      </c>
      <c r="M170" t="s">
        <v>5370</v>
      </c>
      <c r="N170" t="s">
        <v>28</v>
      </c>
      <c r="O170" t="s">
        <v>29</v>
      </c>
      <c r="P170" t="s">
        <v>37</v>
      </c>
      <c r="Q170" t="s">
        <v>31</v>
      </c>
      <c r="R170">
        <v>7</v>
      </c>
      <c r="S170" t="s">
        <v>5371</v>
      </c>
      <c r="T170" t="s">
        <v>6504</v>
      </c>
      <c r="U170" t="s">
        <v>6505</v>
      </c>
      <c r="V170" t="s">
        <v>32</v>
      </c>
      <c r="W170" t="s">
        <v>33</v>
      </c>
      <c r="X170" t="s">
        <v>33</v>
      </c>
      <c r="Y170" t="s">
        <v>33</v>
      </c>
      <c r="Z170" s="5" t="s">
        <v>34</v>
      </c>
      <c r="AA170">
        <v>-75.528627130000004</v>
      </c>
      <c r="AB170">
        <v>6.22896056</v>
      </c>
      <c r="AC170" t="s">
        <v>456</v>
      </c>
      <c r="AD170" t="s">
        <v>457</v>
      </c>
    </row>
    <row r="171" spans="1:30" x14ac:dyDescent="0.25">
      <c r="A171" t="s">
        <v>893</v>
      </c>
      <c r="B171" t="s">
        <v>42</v>
      </c>
      <c r="C171" t="s">
        <v>26</v>
      </c>
      <c r="D171" t="s">
        <v>42</v>
      </c>
      <c r="E171" t="s">
        <v>894</v>
      </c>
      <c r="F171" t="s">
        <v>895</v>
      </c>
      <c r="G171">
        <v>890923668</v>
      </c>
      <c r="H171" t="s">
        <v>896</v>
      </c>
      <c r="I171" s="4" t="s">
        <v>897</v>
      </c>
      <c r="J171" s="4" t="s">
        <v>898</v>
      </c>
      <c r="K171" t="s">
        <v>899</v>
      </c>
      <c r="L171" t="s">
        <v>49</v>
      </c>
      <c r="M171" t="s">
        <v>900</v>
      </c>
      <c r="N171" t="s">
        <v>84</v>
      </c>
      <c r="O171" t="s">
        <v>43</v>
      </c>
      <c r="P171" t="s">
        <v>36</v>
      </c>
      <c r="Q171" t="s">
        <v>31</v>
      </c>
      <c r="R171">
        <v>7</v>
      </c>
      <c r="S171" t="s">
        <v>901</v>
      </c>
      <c r="T171" t="s">
        <v>6529</v>
      </c>
      <c r="U171" t="s">
        <v>47</v>
      </c>
      <c r="V171" t="s">
        <v>47</v>
      </c>
      <c r="W171" t="s">
        <v>33</v>
      </c>
      <c r="X171" t="s">
        <v>33</v>
      </c>
      <c r="Y171" t="s">
        <v>33</v>
      </c>
      <c r="Z171" s="5" t="s">
        <v>34</v>
      </c>
      <c r="AA171">
        <v>-75.596101000000004</v>
      </c>
      <c r="AB171">
        <v>6.1743085000000004</v>
      </c>
      <c r="AC171" t="s">
        <v>456</v>
      </c>
      <c r="AD171" t="s">
        <v>457</v>
      </c>
    </row>
    <row r="172" spans="1:30" x14ac:dyDescent="0.25">
      <c r="A172" t="s">
        <v>5372</v>
      </c>
      <c r="B172" t="s">
        <v>25</v>
      </c>
      <c r="C172" t="s">
        <v>26</v>
      </c>
      <c r="D172" t="s">
        <v>25</v>
      </c>
      <c r="E172" t="s">
        <v>5373</v>
      </c>
      <c r="F172" t="s">
        <v>5374</v>
      </c>
      <c r="G172">
        <v>32090693</v>
      </c>
      <c r="H172" t="s">
        <v>5366</v>
      </c>
      <c r="I172" s="4" t="s">
        <v>35</v>
      </c>
      <c r="J172" s="4" t="s">
        <v>5375</v>
      </c>
      <c r="K172" t="s">
        <v>5376</v>
      </c>
      <c r="L172" t="s">
        <v>27</v>
      </c>
      <c r="M172" t="s">
        <v>5377</v>
      </c>
      <c r="N172" t="s">
        <v>28</v>
      </c>
      <c r="O172" t="s">
        <v>29</v>
      </c>
      <c r="P172" t="s">
        <v>37</v>
      </c>
      <c r="Q172" t="s">
        <v>31</v>
      </c>
      <c r="R172">
        <v>7</v>
      </c>
      <c r="S172" t="s">
        <v>5378</v>
      </c>
      <c r="T172" t="s">
        <v>6504</v>
      </c>
      <c r="U172" t="s">
        <v>6505</v>
      </c>
      <c r="V172" t="s">
        <v>32</v>
      </c>
      <c r="W172" t="s">
        <v>33</v>
      </c>
      <c r="X172" t="s">
        <v>33</v>
      </c>
      <c r="Y172" t="s">
        <v>33</v>
      </c>
      <c r="Z172" s="5" t="s">
        <v>34</v>
      </c>
      <c r="AA172">
        <v>-75.528627130000004</v>
      </c>
      <c r="AB172">
        <v>6.22896056</v>
      </c>
      <c r="AC172" t="s">
        <v>456</v>
      </c>
      <c r="AD172" t="s">
        <v>457</v>
      </c>
    </row>
    <row r="173" spans="1:30" x14ac:dyDescent="0.25">
      <c r="A173" t="s">
        <v>2132</v>
      </c>
      <c r="B173" t="s">
        <v>25</v>
      </c>
      <c r="C173" t="s">
        <v>26</v>
      </c>
      <c r="D173" t="s">
        <v>39</v>
      </c>
      <c r="E173" t="s">
        <v>2133</v>
      </c>
      <c r="F173" t="s">
        <v>2134</v>
      </c>
      <c r="G173">
        <v>1192816161</v>
      </c>
      <c r="H173" t="s">
        <v>2135</v>
      </c>
      <c r="I173" s="4" t="s">
        <v>35</v>
      </c>
      <c r="J173" s="4" t="s">
        <v>2136</v>
      </c>
      <c r="K173" t="s">
        <v>2137</v>
      </c>
      <c r="L173" t="s">
        <v>27</v>
      </c>
      <c r="M173" t="s">
        <v>2138</v>
      </c>
      <c r="N173" t="s">
        <v>28</v>
      </c>
      <c r="O173" t="s">
        <v>40</v>
      </c>
      <c r="P173" t="s">
        <v>41</v>
      </c>
      <c r="Q173" t="s">
        <v>31</v>
      </c>
      <c r="R173">
        <v>5</v>
      </c>
      <c r="S173" t="s">
        <v>2139</v>
      </c>
      <c r="T173" t="s">
        <v>6530</v>
      </c>
      <c r="U173" t="s">
        <v>6442</v>
      </c>
      <c r="V173" t="s">
        <v>50</v>
      </c>
      <c r="W173" t="s">
        <v>33</v>
      </c>
      <c r="X173" t="s">
        <v>33</v>
      </c>
      <c r="Y173" t="s">
        <v>33</v>
      </c>
      <c r="Z173" s="5" t="s">
        <v>34</v>
      </c>
      <c r="AA173">
        <v>-75.607009000000005</v>
      </c>
      <c r="AB173">
        <v>6.2786229999999996</v>
      </c>
      <c r="AC173" t="s">
        <v>456</v>
      </c>
      <c r="AD173" t="s">
        <v>457</v>
      </c>
    </row>
    <row r="174" spans="1:30" x14ac:dyDescent="0.25">
      <c r="A174" t="s">
        <v>8029</v>
      </c>
      <c r="B174" t="s">
        <v>25</v>
      </c>
      <c r="C174" t="s">
        <v>26</v>
      </c>
      <c r="D174" t="s">
        <v>25</v>
      </c>
      <c r="E174" t="s">
        <v>8030</v>
      </c>
      <c r="F174" t="s">
        <v>8031</v>
      </c>
      <c r="G174">
        <v>42763236</v>
      </c>
      <c r="H174" t="s">
        <v>8032</v>
      </c>
      <c r="I174" s="4" t="s">
        <v>35</v>
      </c>
      <c r="J174" s="4" t="s">
        <v>8033</v>
      </c>
      <c r="K174" t="s">
        <v>8034</v>
      </c>
      <c r="L174" t="s">
        <v>44</v>
      </c>
      <c r="M174" t="s">
        <v>8035</v>
      </c>
      <c r="N174" t="s">
        <v>45</v>
      </c>
      <c r="O174" t="s">
        <v>29</v>
      </c>
      <c r="P174" t="s">
        <v>37</v>
      </c>
      <c r="Q174" t="s">
        <v>31</v>
      </c>
      <c r="R174">
        <v>7</v>
      </c>
      <c r="S174" t="s">
        <v>8036</v>
      </c>
      <c r="T174" t="s">
        <v>7988</v>
      </c>
      <c r="U174" t="s">
        <v>6461</v>
      </c>
      <c r="V174" t="s">
        <v>32</v>
      </c>
      <c r="W174" t="s">
        <v>33</v>
      </c>
      <c r="X174" t="s">
        <v>33</v>
      </c>
      <c r="Y174" t="s">
        <v>33</v>
      </c>
      <c r="Z174" s="5" t="s">
        <v>34</v>
      </c>
      <c r="AA174">
        <v>-75.622332400000005</v>
      </c>
      <c r="AB174">
        <v>6.16797459</v>
      </c>
      <c r="AC174" t="s">
        <v>456</v>
      </c>
      <c r="AD174" t="s">
        <v>457</v>
      </c>
    </row>
    <row r="175" spans="1:30" x14ac:dyDescent="0.25">
      <c r="A175" t="s">
        <v>5379</v>
      </c>
      <c r="B175" t="s">
        <v>25</v>
      </c>
      <c r="C175" t="s">
        <v>26</v>
      </c>
      <c r="D175" t="s">
        <v>25</v>
      </c>
      <c r="E175" t="s">
        <v>5380</v>
      </c>
      <c r="F175" t="s">
        <v>5381</v>
      </c>
      <c r="G175">
        <v>71777246</v>
      </c>
      <c r="H175" t="s">
        <v>5382</v>
      </c>
      <c r="I175" s="4" t="s">
        <v>35</v>
      </c>
      <c r="J175" s="4" t="s">
        <v>5383</v>
      </c>
      <c r="K175" t="s">
        <v>5384</v>
      </c>
      <c r="L175" t="s">
        <v>27</v>
      </c>
      <c r="M175" t="s">
        <v>5385</v>
      </c>
      <c r="N175" t="s">
        <v>28</v>
      </c>
      <c r="O175" t="s">
        <v>29</v>
      </c>
      <c r="P175" t="s">
        <v>37</v>
      </c>
      <c r="Q175" t="s">
        <v>31</v>
      </c>
      <c r="R175">
        <v>7</v>
      </c>
      <c r="S175" t="s">
        <v>5386</v>
      </c>
      <c r="T175" t="s">
        <v>6531</v>
      </c>
      <c r="U175" t="s">
        <v>6532</v>
      </c>
      <c r="V175" t="s">
        <v>32</v>
      </c>
      <c r="W175" t="s">
        <v>33</v>
      </c>
      <c r="X175" t="s">
        <v>33</v>
      </c>
      <c r="Y175" t="s">
        <v>33</v>
      </c>
      <c r="Z175" s="5" t="s">
        <v>34</v>
      </c>
      <c r="AA175">
        <v>-75.633378359999995</v>
      </c>
      <c r="AB175">
        <v>6.24921025</v>
      </c>
      <c r="AC175" t="s">
        <v>456</v>
      </c>
      <c r="AD175" t="s">
        <v>457</v>
      </c>
    </row>
    <row r="176" spans="1:30" x14ac:dyDescent="0.25">
      <c r="A176" t="s">
        <v>3080</v>
      </c>
      <c r="B176" t="s">
        <v>42</v>
      </c>
      <c r="C176" t="s">
        <v>26</v>
      </c>
      <c r="D176" t="s">
        <v>42</v>
      </c>
      <c r="E176" t="s">
        <v>3081</v>
      </c>
      <c r="F176" t="s">
        <v>3082</v>
      </c>
      <c r="G176">
        <v>811012208</v>
      </c>
      <c r="H176" t="s">
        <v>3083</v>
      </c>
      <c r="I176" s="4" t="s">
        <v>3084</v>
      </c>
      <c r="J176" s="4" t="s">
        <v>3085</v>
      </c>
      <c r="K176" t="s">
        <v>3086</v>
      </c>
      <c r="L176" t="s">
        <v>49</v>
      </c>
      <c r="M176" t="s">
        <v>3087</v>
      </c>
      <c r="N176" t="s">
        <v>84</v>
      </c>
      <c r="O176" t="s">
        <v>43</v>
      </c>
      <c r="P176" t="s">
        <v>37</v>
      </c>
      <c r="Q176" t="s">
        <v>38</v>
      </c>
      <c r="R176">
        <v>10</v>
      </c>
      <c r="S176" t="s">
        <v>3088</v>
      </c>
      <c r="T176" t="s">
        <v>6533</v>
      </c>
      <c r="U176" t="s">
        <v>6534</v>
      </c>
      <c r="V176" t="s">
        <v>32</v>
      </c>
      <c r="W176" t="s">
        <v>33</v>
      </c>
      <c r="X176" t="s">
        <v>33</v>
      </c>
      <c r="Y176" t="s">
        <v>33</v>
      </c>
      <c r="Z176" s="5" t="s">
        <v>34</v>
      </c>
      <c r="AA176">
        <v>-75.579853110000002</v>
      </c>
      <c r="AB176">
        <v>6.1357671299999996</v>
      </c>
      <c r="AC176" t="s">
        <v>456</v>
      </c>
      <c r="AD176" t="s">
        <v>457</v>
      </c>
    </row>
    <row r="177" spans="1:30" x14ac:dyDescent="0.25">
      <c r="A177" t="s">
        <v>902</v>
      </c>
      <c r="B177" t="s">
        <v>25</v>
      </c>
      <c r="C177" t="s">
        <v>26</v>
      </c>
      <c r="D177" t="s">
        <v>39</v>
      </c>
      <c r="E177" t="s">
        <v>903</v>
      </c>
      <c r="F177" t="s">
        <v>904</v>
      </c>
      <c r="G177">
        <v>15257247</v>
      </c>
      <c r="H177" t="s">
        <v>905</v>
      </c>
      <c r="I177" s="4" t="s">
        <v>35</v>
      </c>
      <c r="J177" s="4" t="s">
        <v>906</v>
      </c>
      <c r="K177" t="s">
        <v>907</v>
      </c>
      <c r="L177" t="s">
        <v>77</v>
      </c>
      <c r="M177" t="s">
        <v>908</v>
      </c>
      <c r="N177" t="s">
        <v>78</v>
      </c>
      <c r="O177" t="s">
        <v>40</v>
      </c>
      <c r="P177" t="s">
        <v>36</v>
      </c>
      <c r="Q177" t="s">
        <v>38</v>
      </c>
      <c r="R177">
        <v>8</v>
      </c>
      <c r="S177" t="s">
        <v>909</v>
      </c>
      <c r="T177" t="s">
        <v>6493</v>
      </c>
      <c r="U177" t="s">
        <v>6526</v>
      </c>
      <c r="V177" t="s">
        <v>50</v>
      </c>
      <c r="W177" t="s">
        <v>33</v>
      </c>
      <c r="X177" t="s">
        <v>33</v>
      </c>
      <c r="Y177" t="s">
        <v>33</v>
      </c>
      <c r="Z177" s="5" t="s">
        <v>34</v>
      </c>
      <c r="AA177">
        <v>-75.644391999999996</v>
      </c>
      <c r="AB177">
        <v>6.1033770000000001</v>
      </c>
      <c r="AC177" t="s">
        <v>456</v>
      </c>
      <c r="AD177" t="s">
        <v>457</v>
      </c>
    </row>
    <row r="178" spans="1:30" x14ac:dyDescent="0.25">
      <c r="A178" t="s">
        <v>2140</v>
      </c>
      <c r="B178" t="s">
        <v>25</v>
      </c>
      <c r="C178" t="s">
        <v>26</v>
      </c>
      <c r="D178" t="s">
        <v>39</v>
      </c>
      <c r="E178" t="s">
        <v>2141</v>
      </c>
      <c r="F178" t="s">
        <v>2142</v>
      </c>
      <c r="G178">
        <v>1036659292</v>
      </c>
      <c r="H178" t="s">
        <v>2143</v>
      </c>
      <c r="I178" s="4" t="s">
        <v>35</v>
      </c>
      <c r="J178" s="4" t="s">
        <v>2144</v>
      </c>
      <c r="K178" t="s">
        <v>2145</v>
      </c>
      <c r="L178" t="s">
        <v>44</v>
      </c>
      <c r="M178" t="s">
        <v>2146</v>
      </c>
      <c r="N178" t="s">
        <v>45</v>
      </c>
      <c r="O178" t="s">
        <v>46</v>
      </c>
      <c r="P178" t="s">
        <v>41</v>
      </c>
      <c r="Q178" t="s">
        <v>31</v>
      </c>
      <c r="R178">
        <v>5</v>
      </c>
      <c r="S178" t="s">
        <v>2147</v>
      </c>
      <c r="T178" t="s">
        <v>6535</v>
      </c>
      <c r="U178" t="s">
        <v>6536</v>
      </c>
      <c r="V178" t="s">
        <v>50</v>
      </c>
      <c r="W178" t="s">
        <v>33</v>
      </c>
      <c r="X178" t="s">
        <v>33</v>
      </c>
      <c r="Y178" t="s">
        <v>33</v>
      </c>
      <c r="Z178" s="5" t="s">
        <v>34</v>
      </c>
      <c r="AA178">
        <v>-75.611142529999995</v>
      </c>
      <c r="AB178">
        <v>6.1768238100000001</v>
      </c>
      <c r="AC178" t="s">
        <v>456</v>
      </c>
      <c r="AD178" t="s">
        <v>457</v>
      </c>
    </row>
    <row r="179" spans="1:30" x14ac:dyDescent="0.25">
      <c r="A179" t="s">
        <v>2148</v>
      </c>
      <c r="B179" t="s">
        <v>25</v>
      </c>
      <c r="C179" t="s">
        <v>26</v>
      </c>
      <c r="D179" t="s">
        <v>25</v>
      </c>
      <c r="E179" t="s">
        <v>2149</v>
      </c>
      <c r="F179" t="s">
        <v>2150</v>
      </c>
      <c r="G179">
        <v>70080671</v>
      </c>
      <c r="H179" t="s">
        <v>2151</v>
      </c>
      <c r="I179" s="4" t="s">
        <v>2152</v>
      </c>
      <c r="J179" s="4" t="s">
        <v>2153</v>
      </c>
      <c r="K179" t="s">
        <v>2154</v>
      </c>
      <c r="L179" t="s">
        <v>27</v>
      </c>
      <c r="M179" t="s">
        <v>2155</v>
      </c>
      <c r="N179" t="s">
        <v>28</v>
      </c>
      <c r="O179" t="s">
        <v>29</v>
      </c>
      <c r="P179" t="s">
        <v>30</v>
      </c>
      <c r="Q179" t="s">
        <v>31</v>
      </c>
      <c r="R179">
        <v>7</v>
      </c>
      <c r="S179" t="s">
        <v>2156</v>
      </c>
      <c r="T179" t="s">
        <v>4652</v>
      </c>
      <c r="U179" t="s">
        <v>4651</v>
      </c>
      <c r="V179" t="s">
        <v>32</v>
      </c>
      <c r="W179" t="s">
        <v>33</v>
      </c>
      <c r="X179" t="s">
        <v>33</v>
      </c>
      <c r="Y179" t="s">
        <v>33</v>
      </c>
      <c r="Z179" s="5" t="s">
        <v>34</v>
      </c>
      <c r="AA179">
        <v>-75.541843830000005</v>
      </c>
      <c r="AB179">
        <v>6.2354862400000002</v>
      </c>
      <c r="AC179" t="s">
        <v>456</v>
      </c>
      <c r="AD179" t="s">
        <v>457</v>
      </c>
    </row>
    <row r="180" spans="1:30" x14ac:dyDescent="0.25">
      <c r="A180" t="s">
        <v>2157</v>
      </c>
      <c r="B180" t="s">
        <v>25</v>
      </c>
      <c r="C180" t="s">
        <v>26</v>
      </c>
      <c r="D180" t="s">
        <v>25</v>
      </c>
      <c r="E180" t="s">
        <v>2158</v>
      </c>
      <c r="F180" t="s">
        <v>2159</v>
      </c>
      <c r="G180">
        <v>70080671</v>
      </c>
      <c r="H180" t="s">
        <v>2151</v>
      </c>
      <c r="I180" s="4" t="s">
        <v>2152</v>
      </c>
      <c r="J180" s="4" t="s">
        <v>2153</v>
      </c>
      <c r="K180" t="s">
        <v>2160</v>
      </c>
      <c r="L180" t="s">
        <v>27</v>
      </c>
      <c r="M180" t="s">
        <v>2161</v>
      </c>
      <c r="N180" t="s">
        <v>28</v>
      </c>
      <c r="O180" t="s">
        <v>29</v>
      </c>
      <c r="P180" t="s">
        <v>30</v>
      </c>
      <c r="Q180" t="s">
        <v>31</v>
      </c>
      <c r="R180">
        <v>7</v>
      </c>
      <c r="S180" t="s">
        <v>2162</v>
      </c>
      <c r="T180" t="s">
        <v>4682</v>
      </c>
      <c r="U180" t="s">
        <v>4681</v>
      </c>
      <c r="V180" t="s">
        <v>32</v>
      </c>
      <c r="W180" t="s">
        <v>33</v>
      </c>
      <c r="X180" t="s">
        <v>33</v>
      </c>
      <c r="Y180" t="s">
        <v>33</v>
      </c>
      <c r="Z180" s="5" t="s">
        <v>34</v>
      </c>
      <c r="AA180">
        <v>-75.541843830000005</v>
      </c>
      <c r="AB180">
        <v>6.2354862400000002</v>
      </c>
      <c r="AC180" t="s">
        <v>456</v>
      </c>
      <c r="AD180" t="s">
        <v>457</v>
      </c>
    </row>
    <row r="181" spans="1:30" x14ac:dyDescent="0.25">
      <c r="A181" t="s">
        <v>910</v>
      </c>
      <c r="B181" t="s">
        <v>25</v>
      </c>
      <c r="C181" t="s">
        <v>26</v>
      </c>
      <c r="D181" t="s">
        <v>25</v>
      </c>
      <c r="E181" t="s">
        <v>911</v>
      </c>
      <c r="F181" t="s">
        <v>912</v>
      </c>
      <c r="G181">
        <v>70757270</v>
      </c>
      <c r="H181" t="s">
        <v>913</v>
      </c>
      <c r="I181" s="4" t="s">
        <v>35</v>
      </c>
      <c r="J181" s="4" t="s">
        <v>914</v>
      </c>
      <c r="K181" t="s">
        <v>915</v>
      </c>
      <c r="L181" t="s">
        <v>77</v>
      </c>
      <c r="M181" t="s">
        <v>916</v>
      </c>
      <c r="N181" t="s">
        <v>78</v>
      </c>
      <c r="O181" t="s">
        <v>29</v>
      </c>
      <c r="P181" t="s">
        <v>36</v>
      </c>
      <c r="Q181" t="s">
        <v>38</v>
      </c>
      <c r="R181">
        <v>10</v>
      </c>
      <c r="S181" t="s">
        <v>917</v>
      </c>
      <c r="T181" t="s">
        <v>6493</v>
      </c>
      <c r="U181" t="s">
        <v>6494</v>
      </c>
      <c r="V181" t="s">
        <v>32</v>
      </c>
      <c r="W181" t="s">
        <v>33</v>
      </c>
      <c r="X181" t="s">
        <v>33</v>
      </c>
      <c r="Y181" t="s">
        <v>33</v>
      </c>
      <c r="Z181" s="5" t="s">
        <v>34</v>
      </c>
      <c r="AA181">
        <v>-75.625926419999999</v>
      </c>
      <c r="AB181">
        <v>6.0252134000000002</v>
      </c>
      <c r="AC181" t="s">
        <v>456</v>
      </c>
      <c r="AD181" t="s">
        <v>457</v>
      </c>
    </row>
    <row r="182" spans="1:30" x14ac:dyDescent="0.25">
      <c r="A182" t="s">
        <v>4723</v>
      </c>
      <c r="B182" t="s">
        <v>51</v>
      </c>
      <c r="C182" t="s">
        <v>26</v>
      </c>
      <c r="D182" t="s">
        <v>51</v>
      </c>
      <c r="E182" t="s">
        <v>4724</v>
      </c>
      <c r="F182" t="s">
        <v>4725</v>
      </c>
      <c r="G182">
        <v>1001398558</v>
      </c>
      <c r="H182" t="s">
        <v>4726</v>
      </c>
      <c r="I182" s="4" t="s">
        <v>35</v>
      </c>
      <c r="J182" s="4" t="s">
        <v>2419</v>
      </c>
      <c r="K182" t="s">
        <v>4727</v>
      </c>
      <c r="L182" t="s">
        <v>27</v>
      </c>
      <c r="M182" t="s">
        <v>4728</v>
      </c>
      <c r="N182" t="s">
        <v>28</v>
      </c>
      <c r="O182" t="s">
        <v>40</v>
      </c>
      <c r="P182" t="s">
        <v>53</v>
      </c>
      <c r="Q182" t="s">
        <v>31</v>
      </c>
      <c r="R182">
        <v>5</v>
      </c>
      <c r="S182" t="s">
        <v>4729</v>
      </c>
      <c r="T182" t="s">
        <v>2361</v>
      </c>
      <c r="U182" t="s">
        <v>774</v>
      </c>
      <c r="V182" t="s">
        <v>32</v>
      </c>
      <c r="W182" t="s">
        <v>33</v>
      </c>
      <c r="X182" t="s">
        <v>33</v>
      </c>
      <c r="Y182" t="s">
        <v>33</v>
      </c>
      <c r="Z182" s="5" t="s">
        <v>34</v>
      </c>
      <c r="AA182">
        <v>-75.615593000000004</v>
      </c>
      <c r="AB182">
        <v>6.261755</v>
      </c>
      <c r="AC182" t="s">
        <v>456</v>
      </c>
      <c r="AD182" t="s">
        <v>457</v>
      </c>
    </row>
    <row r="183" spans="1:30" x14ac:dyDescent="0.25">
      <c r="A183" t="s">
        <v>2163</v>
      </c>
      <c r="B183" t="s">
        <v>25</v>
      </c>
      <c r="C183" t="s">
        <v>26</v>
      </c>
      <c r="D183" t="s">
        <v>39</v>
      </c>
      <c r="E183" t="s">
        <v>2164</v>
      </c>
      <c r="F183" t="s">
        <v>2165</v>
      </c>
      <c r="G183">
        <v>1003047902</v>
      </c>
      <c r="H183" t="s">
        <v>2166</v>
      </c>
      <c r="I183" s="4" t="s">
        <v>35</v>
      </c>
      <c r="J183" s="4" t="s">
        <v>2167</v>
      </c>
      <c r="K183" t="s">
        <v>2168</v>
      </c>
      <c r="L183" t="s">
        <v>44</v>
      </c>
      <c r="M183" t="s">
        <v>2169</v>
      </c>
      <c r="N183" t="s">
        <v>45</v>
      </c>
      <c r="O183" t="s">
        <v>40</v>
      </c>
      <c r="P183" t="s">
        <v>41</v>
      </c>
      <c r="Q183" t="s">
        <v>38</v>
      </c>
      <c r="R183">
        <v>8</v>
      </c>
      <c r="S183" t="s">
        <v>2170</v>
      </c>
      <c r="T183" t="s">
        <v>6537</v>
      </c>
      <c r="U183" t="s">
        <v>6537</v>
      </c>
      <c r="V183" t="s">
        <v>32</v>
      </c>
      <c r="W183" t="s">
        <v>33</v>
      </c>
      <c r="X183" t="s">
        <v>33</v>
      </c>
      <c r="Y183" t="s">
        <v>33</v>
      </c>
      <c r="Z183" s="5" t="s">
        <v>34</v>
      </c>
      <c r="AA183">
        <v>-75.626549389999994</v>
      </c>
      <c r="AB183">
        <v>6.1771974700000003</v>
      </c>
      <c r="AC183" t="s">
        <v>456</v>
      </c>
      <c r="AD183" t="s">
        <v>457</v>
      </c>
    </row>
    <row r="184" spans="1:30" x14ac:dyDescent="0.25">
      <c r="A184" t="s">
        <v>4730</v>
      </c>
      <c r="B184" t="s">
        <v>51</v>
      </c>
      <c r="C184" t="s">
        <v>26</v>
      </c>
      <c r="D184" t="s">
        <v>51</v>
      </c>
      <c r="E184" t="s">
        <v>4731</v>
      </c>
      <c r="F184" t="s">
        <v>4732</v>
      </c>
      <c r="G184">
        <v>1001398558</v>
      </c>
      <c r="H184" t="s">
        <v>4726</v>
      </c>
      <c r="I184" s="4" t="s">
        <v>35</v>
      </c>
      <c r="J184" s="4" t="s">
        <v>2419</v>
      </c>
      <c r="K184" t="s">
        <v>4733</v>
      </c>
      <c r="L184" t="s">
        <v>27</v>
      </c>
      <c r="M184" t="s">
        <v>4734</v>
      </c>
      <c r="N184" t="s">
        <v>28</v>
      </c>
      <c r="O184" t="s">
        <v>40</v>
      </c>
      <c r="P184" t="s">
        <v>53</v>
      </c>
      <c r="Q184" t="s">
        <v>31</v>
      </c>
      <c r="R184">
        <v>5</v>
      </c>
      <c r="S184" t="s">
        <v>4735</v>
      </c>
      <c r="T184" t="s">
        <v>2361</v>
      </c>
      <c r="U184" t="s">
        <v>774</v>
      </c>
      <c r="V184" t="s">
        <v>32</v>
      </c>
      <c r="W184" t="s">
        <v>33</v>
      </c>
      <c r="X184" t="s">
        <v>33</v>
      </c>
      <c r="Y184" t="s">
        <v>33</v>
      </c>
      <c r="Z184" s="5" t="s">
        <v>34</v>
      </c>
      <c r="AA184">
        <v>-75.615572999999998</v>
      </c>
      <c r="AB184">
        <v>6.2617580000000004</v>
      </c>
      <c r="AC184" t="s">
        <v>456</v>
      </c>
      <c r="AD184" t="s">
        <v>457</v>
      </c>
    </row>
    <row r="185" spans="1:30" x14ac:dyDescent="0.25">
      <c r="A185" t="s">
        <v>2171</v>
      </c>
      <c r="B185" t="s">
        <v>25</v>
      </c>
      <c r="C185" t="s">
        <v>26</v>
      </c>
      <c r="D185" t="s">
        <v>39</v>
      </c>
      <c r="E185" t="s">
        <v>2172</v>
      </c>
      <c r="F185" t="s">
        <v>2173</v>
      </c>
      <c r="G185">
        <v>22100902</v>
      </c>
      <c r="H185" t="s">
        <v>2174</v>
      </c>
      <c r="I185" s="4" t="s">
        <v>2175</v>
      </c>
      <c r="J185" s="4" t="s">
        <v>2176</v>
      </c>
      <c r="K185" t="s">
        <v>2177</v>
      </c>
      <c r="L185" t="s">
        <v>27</v>
      </c>
      <c r="M185" t="s">
        <v>2178</v>
      </c>
      <c r="N185" t="s">
        <v>28</v>
      </c>
      <c r="O185" t="s">
        <v>40</v>
      </c>
      <c r="P185" t="s">
        <v>41</v>
      </c>
      <c r="Q185" t="s">
        <v>31</v>
      </c>
      <c r="R185">
        <v>5</v>
      </c>
      <c r="S185" t="s">
        <v>2179</v>
      </c>
      <c r="T185" t="s">
        <v>6530</v>
      </c>
      <c r="U185" t="s">
        <v>6442</v>
      </c>
      <c r="V185" t="s">
        <v>50</v>
      </c>
      <c r="W185" t="s">
        <v>33</v>
      </c>
      <c r="X185" t="s">
        <v>33</v>
      </c>
      <c r="Y185" t="s">
        <v>33</v>
      </c>
      <c r="Z185" s="5" t="s">
        <v>34</v>
      </c>
      <c r="AA185">
        <v>-75.626061370000002</v>
      </c>
      <c r="AB185">
        <v>6.2485393800000004</v>
      </c>
      <c r="AC185" t="s">
        <v>456</v>
      </c>
      <c r="AD185" t="s">
        <v>457</v>
      </c>
    </row>
    <row r="186" spans="1:30" x14ac:dyDescent="0.25">
      <c r="A186" t="s">
        <v>3629</v>
      </c>
      <c r="B186" t="s">
        <v>42</v>
      </c>
      <c r="C186" t="s">
        <v>26</v>
      </c>
      <c r="D186" t="s">
        <v>42</v>
      </c>
      <c r="E186" t="s">
        <v>3630</v>
      </c>
      <c r="F186" t="s">
        <v>3631</v>
      </c>
      <c r="G186">
        <v>98707797</v>
      </c>
      <c r="H186" t="s">
        <v>3632</v>
      </c>
      <c r="I186" s="4" t="s">
        <v>35</v>
      </c>
      <c r="J186" s="4" t="s">
        <v>3633</v>
      </c>
      <c r="K186" t="s">
        <v>3634</v>
      </c>
      <c r="L186" t="s">
        <v>27</v>
      </c>
      <c r="M186" t="s">
        <v>3635</v>
      </c>
      <c r="N186" t="s">
        <v>28</v>
      </c>
      <c r="O186" t="s">
        <v>43</v>
      </c>
      <c r="P186" t="s">
        <v>37</v>
      </c>
      <c r="Q186" t="s">
        <v>31</v>
      </c>
      <c r="R186">
        <v>7</v>
      </c>
      <c r="S186" t="s">
        <v>3636</v>
      </c>
      <c r="T186" t="s">
        <v>6538</v>
      </c>
      <c r="U186" t="s">
        <v>6539</v>
      </c>
      <c r="V186" t="s">
        <v>32</v>
      </c>
      <c r="W186" t="s">
        <v>33</v>
      </c>
      <c r="X186" t="s">
        <v>33</v>
      </c>
      <c r="Y186" t="s">
        <v>33</v>
      </c>
      <c r="Z186" s="5" t="s">
        <v>34</v>
      </c>
      <c r="AA186">
        <v>-75.58909955</v>
      </c>
      <c r="AB186">
        <v>6.2668565599999999</v>
      </c>
      <c r="AC186" t="s">
        <v>456</v>
      </c>
      <c r="AD186" t="s">
        <v>457</v>
      </c>
    </row>
    <row r="187" spans="1:30" x14ac:dyDescent="0.25">
      <c r="A187" t="s">
        <v>3089</v>
      </c>
      <c r="B187" t="s">
        <v>25</v>
      </c>
      <c r="C187" t="s">
        <v>26</v>
      </c>
      <c r="D187" t="s">
        <v>25</v>
      </c>
      <c r="E187" t="s">
        <v>3090</v>
      </c>
      <c r="F187" t="s">
        <v>3091</v>
      </c>
      <c r="G187">
        <v>1152198552</v>
      </c>
      <c r="H187" t="s">
        <v>3092</v>
      </c>
      <c r="I187" s="4" t="s">
        <v>35</v>
      </c>
      <c r="J187" s="4" t="s">
        <v>3093</v>
      </c>
      <c r="K187" t="s">
        <v>3094</v>
      </c>
      <c r="L187" t="s">
        <v>27</v>
      </c>
      <c r="M187" t="s">
        <v>3095</v>
      </c>
      <c r="N187" t="s">
        <v>28</v>
      </c>
      <c r="O187" t="s">
        <v>29</v>
      </c>
      <c r="P187" t="s">
        <v>36</v>
      </c>
      <c r="Q187" t="s">
        <v>31</v>
      </c>
      <c r="R187">
        <v>7</v>
      </c>
      <c r="S187" t="s">
        <v>3096</v>
      </c>
      <c r="T187" t="s">
        <v>6540</v>
      </c>
      <c r="U187" t="s">
        <v>6541</v>
      </c>
      <c r="V187" t="s">
        <v>32</v>
      </c>
      <c r="W187" t="s">
        <v>33</v>
      </c>
      <c r="X187" t="s">
        <v>33</v>
      </c>
      <c r="Y187" t="s">
        <v>33</v>
      </c>
      <c r="Z187" s="5" t="s">
        <v>34</v>
      </c>
      <c r="AA187">
        <v>-75.59235674</v>
      </c>
      <c r="AB187">
        <v>6.2504042399999999</v>
      </c>
      <c r="AC187" t="s">
        <v>456</v>
      </c>
      <c r="AD187" t="s">
        <v>457</v>
      </c>
    </row>
    <row r="188" spans="1:30" x14ac:dyDescent="0.25">
      <c r="A188" t="s">
        <v>2180</v>
      </c>
      <c r="B188" t="s">
        <v>42</v>
      </c>
      <c r="C188" t="s">
        <v>26</v>
      </c>
      <c r="D188" t="s">
        <v>42</v>
      </c>
      <c r="E188" t="s">
        <v>2181</v>
      </c>
      <c r="F188" t="s">
        <v>2182</v>
      </c>
      <c r="G188">
        <v>8909236681</v>
      </c>
      <c r="H188" t="s">
        <v>2183</v>
      </c>
      <c r="I188" s="4" t="s">
        <v>35</v>
      </c>
      <c r="J188" s="4" t="s">
        <v>898</v>
      </c>
      <c r="K188" t="s">
        <v>2184</v>
      </c>
      <c r="L188" t="s">
        <v>27</v>
      </c>
      <c r="M188" t="s">
        <v>2185</v>
      </c>
      <c r="N188" t="s">
        <v>28</v>
      </c>
      <c r="O188" t="s">
        <v>43</v>
      </c>
      <c r="P188" t="s">
        <v>36</v>
      </c>
      <c r="Q188" t="s">
        <v>31</v>
      </c>
      <c r="R188">
        <v>7</v>
      </c>
      <c r="S188" t="s">
        <v>2186</v>
      </c>
      <c r="T188" t="s">
        <v>4652</v>
      </c>
      <c r="U188" t="s">
        <v>4651</v>
      </c>
      <c r="V188" t="s">
        <v>32</v>
      </c>
      <c r="W188" t="s">
        <v>33</v>
      </c>
      <c r="X188" t="s">
        <v>33</v>
      </c>
      <c r="Y188" t="s">
        <v>33</v>
      </c>
      <c r="Z188" s="5" t="s">
        <v>34</v>
      </c>
      <c r="AA188">
        <v>-75.577607999999998</v>
      </c>
      <c r="AB188">
        <v>6.2129120000000002</v>
      </c>
      <c r="AC188" t="s">
        <v>456</v>
      </c>
      <c r="AD188" t="s">
        <v>457</v>
      </c>
    </row>
    <row r="189" spans="1:30" x14ac:dyDescent="0.25">
      <c r="A189" t="s">
        <v>4736</v>
      </c>
      <c r="B189" t="s">
        <v>25</v>
      </c>
      <c r="C189" t="s">
        <v>26</v>
      </c>
      <c r="D189" t="s">
        <v>39</v>
      </c>
      <c r="E189" t="s">
        <v>4737</v>
      </c>
      <c r="F189" t="s">
        <v>4738</v>
      </c>
      <c r="G189">
        <v>43496416</v>
      </c>
      <c r="H189" t="s">
        <v>4739</v>
      </c>
      <c r="I189" s="4" t="s">
        <v>4740</v>
      </c>
      <c r="J189" s="4" t="s">
        <v>4741</v>
      </c>
      <c r="K189" t="s">
        <v>4742</v>
      </c>
      <c r="L189" t="s">
        <v>27</v>
      </c>
      <c r="M189" t="s">
        <v>4743</v>
      </c>
      <c r="N189" t="s">
        <v>28</v>
      </c>
      <c r="O189" t="s">
        <v>40</v>
      </c>
      <c r="P189" t="s">
        <v>41</v>
      </c>
      <c r="Q189" t="s">
        <v>31</v>
      </c>
      <c r="R189">
        <v>5</v>
      </c>
      <c r="S189" t="s">
        <v>4744</v>
      </c>
      <c r="T189" t="s">
        <v>2361</v>
      </c>
      <c r="U189" t="s">
        <v>774</v>
      </c>
      <c r="V189" t="s">
        <v>32</v>
      </c>
      <c r="W189" t="s">
        <v>33</v>
      </c>
      <c r="X189" t="s">
        <v>33</v>
      </c>
      <c r="Y189" t="s">
        <v>33</v>
      </c>
      <c r="Z189" s="5" t="s">
        <v>34</v>
      </c>
      <c r="AA189">
        <v>-75.625715</v>
      </c>
      <c r="AB189">
        <v>6.2764319999999998</v>
      </c>
      <c r="AC189" t="s">
        <v>456</v>
      </c>
      <c r="AD189" t="s">
        <v>457</v>
      </c>
    </row>
    <row r="190" spans="1:30" x14ac:dyDescent="0.25">
      <c r="A190" t="s">
        <v>471</v>
      </c>
      <c r="B190" t="s">
        <v>25</v>
      </c>
      <c r="C190" t="s">
        <v>26</v>
      </c>
      <c r="D190" t="s">
        <v>39</v>
      </c>
      <c r="E190" t="s">
        <v>141</v>
      </c>
      <c r="F190" t="s">
        <v>142</v>
      </c>
      <c r="G190">
        <v>1017145643</v>
      </c>
      <c r="H190" t="s">
        <v>143</v>
      </c>
      <c r="I190" s="4" t="s">
        <v>35</v>
      </c>
      <c r="J190" s="4" t="s">
        <v>144</v>
      </c>
      <c r="K190" t="s">
        <v>145</v>
      </c>
      <c r="L190" t="s">
        <v>61</v>
      </c>
      <c r="M190" t="s">
        <v>146</v>
      </c>
      <c r="N190" t="s">
        <v>63</v>
      </c>
      <c r="O190" t="s">
        <v>40</v>
      </c>
      <c r="P190" t="s">
        <v>36</v>
      </c>
      <c r="Q190" t="s">
        <v>38</v>
      </c>
      <c r="R190">
        <v>8</v>
      </c>
      <c r="S190" t="s">
        <v>147</v>
      </c>
      <c r="T190" t="s">
        <v>6542</v>
      </c>
      <c r="U190" t="s">
        <v>47</v>
      </c>
      <c r="V190" t="s">
        <v>47</v>
      </c>
      <c r="W190" t="s">
        <v>33</v>
      </c>
      <c r="X190" t="s">
        <v>33</v>
      </c>
      <c r="Y190" t="s">
        <v>33</v>
      </c>
      <c r="Z190" s="5" t="s">
        <v>34</v>
      </c>
      <c r="AA190">
        <v>-75.641842780000005</v>
      </c>
      <c r="AB190">
        <v>6.1135202099999999</v>
      </c>
      <c r="AC190" t="s">
        <v>456</v>
      </c>
      <c r="AD190" t="s">
        <v>457</v>
      </c>
    </row>
    <row r="191" spans="1:30" x14ac:dyDescent="0.25">
      <c r="A191" t="s">
        <v>4745</v>
      </c>
      <c r="B191" t="s">
        <v>25</v>
      </c>
      <c r="C191" t="s">
        <v>26</v>
      </c>
      <c r="D191" t="s">
        <v>39</v>
      </c>
      <c r="E191" t="s">
        <v>4746</v>
      </c>
      <c r="F191" t="s">
        <v>4747</v>
      </c>
      <c r="G191">
        <v>43068052</v>
      </c>
      <c r="H191" t="s">
        <v>1414</v>
      </c>
      <c r="I191" s="4" t="s">
        <v>35</v>
      </c>
      <c r="J191" s="4" t="s">
        <v>1415</v>
      </c>
      <c r="K191" t="s">
        <v>4748</v>
      </c>
      <c r="L191" t="s">
        <v>27</v>
      </c>
      <c r="M191" t="s">
        <v>4749</v>
      </c>
      <c r="N191" t="s">
        <v>28</v>
      </c>
      <c r="O191" t="s">
        <v>40</v>
      </c>
      <c r="P191" t="s">
        <v>41</v>
      </c>
      <c r="Q191" t="s">
        <v>31</v>
      </c>
      <c r="R191">
        <v>5</v>
      </c>
      <c r="S191" t="s">
        <v>4750</v>
      </c>
      <c r="T191" t="s">
        <v>2361</v>
      </c>
      <c r="U191" t="s">
        <v>774</v>
      </c>
      <c r="V191" t="s">
        <v>32</v>
      </c>
      <c r="W191" t="s">
        <v>33</v>
      </c>
      <c r="X191" t="s">
        <v>33</v>
      </c>
      <c r="Y191" t="s">
        <v>33</v>
      </c>
      <c r="Z191" s="5" t="s">
        <v>34</v>
      </c>
      <c r="AA191">
        <v>-75.641147000000004</v>
      </c>
      <c r="AB191">
        <v>6.2826829999999996</v>
      </c>
      <c r="AC191" t="s">
        <v>456</v>
      </c>
      <c r="AD191" t="s">
        <v>457</v>
      </c>
    </row>
    <row r="192" spans="1:30" x14ac:dyDescent="0.25">
      <c r="A192" t="s">
        <v>4751</v>
      </c>
      <c r="B192" t="s">
        <v>25</v>
      </c>
      <c r="C192" t="s">
        <v>26</v>
      </c>
      <c r="D192" t="s">
        <v>39</v>
      </c>
      <c r="E192" t="s">
        <v>4752</v>
      </c>
      <c r="F192" t="s">
        <v>4753</v>
      </c>
      <c r="G192">
        <v>43496416</v>
      </c>
      <c r="H192" t="s">
        <v>4739</v>
      </c>
      <c r="I192" s="4" t="s">
        <v>4740</v>
      </c>
      <c r="J192" s="4" t="s">
        <v>4741</v>
      </c>
      <c r="K192" t="s">
        <v>4754</v>
      </c>
      <c r="L192" t="s">
        <v>27</v>
      </c>
      <c r="M192" t="s">
        <v>4755</v>
      </c>
      <c r="N192" t="s">
        <v>28</v>
      </c>
      <c r="O192" t="s">
        <v>40</v>
      </c>
      <c r="P192" t="s">
        <v>41</v>
      </c>
      <c r="Q192" t="s">
        <v>31</v>
      </c>
      <c r="R192">
        <v>5</v>
      </c>
      <c r="S192" t="s">
        <v>4756</v>
      </c>
      <c r="T192" t="s">
        <v>2361</v>
      </c>
      <c r="U192" t="s">
        <v>774</v>
      </c>
      <c r="V192" t="s">
        <v>32</v>
      </c>
      <c r="W192" t="s">
        <v>33</v>
      </c>
      <c r="X192" t="s">
        <v>33</v>
      </c>
      <c r="Y192" t="s">
        <v>33</v>
      </c>
      <c r="Z192" s="5" t="s">
        <v>34</v>
      </c>
      <c r="AA192">
        <v>-75.625715</v>
      </c>
      <c r="AB192">
        <v>6.2764319999999998</v>
      </c>
      <c r="AC192" t="s">
        <v>456</v>
      </c>
      <c r="AD192" t="s">
        <v>457</v>
      </c>
    </row>
    <row r="193" spans="1:30" x14ac:dyDescent="0.25">
      <c r="A193" t="s">
        <v>2187</v>
      </c>
      <c r="B193" t="s">
        <v>81</v>
      </c>
      <c r="C193" t="s">
        <v>26</v>
      </c>
      <c r="D193" t="s">
        <v>81</v>
      </c>
      <c r="E193" t="s">
        <v>2188</v>
      </c>
      <c r="F193" t="s">
        <v>2189</v>
      </c>
      <c r="G193">
        <v>900019519</v>
      </c>
      <c r="H193" t="s">
        <v>918</v>
      </c>
      <c r="I193" s="4" t="s">
        <v>919</v>
      </c>
      <c r="J193" s="4" t="s">
        <v>1393</v>
      </c>
      <c r="K193" t="s">
        <v>2190</v>
      </c>
      <c r="L193" t="s">
        <v>27</v>
      </c>
      <c r="M193" t="s">
        <v>2191</v>
      </c>
      <c r="N193" t="s">
        <v>28</v>
      </c>
      <c r="O193" t="s">
        <v>82</v>
      </c>
      <c r="P193" t="s">
        <v>83</v>
      </c>
      <c r="Q193" t="s">
        <v>31</v>
      </c>
      <c r="R193">
        <v>4</v>
      </c>
      <c r="S193" t="s">
        <v>2192</v>
      </c>
      <c r="T193" t="s">
        <v>6543</v>
      </c>
      <c r="U193" t="s">
        <v>5676</v>
      </c>
      <c r="V193" t="s">
        <v>452</v>
      </c>
      <c r="W193" t="s">
        <v>33</v>
      </c>
      <c r="X193" t="s">
        <v>33</v>
      </c>
      <c r="Y193" t="s">
        <v>33</v>
      </c>
      <c r="Z193" t="s">
        <v>455</v>
      </c>
      <c r="AA193">
        <v>-75.586925859999994</v>
      </c>
      <c r="AB193">
        <v>6.1971170300000002</v>
      </c>
      <c r="AC193" t="s">
        <v>456</v>
      </c>
      <c r="AD193" t="s">
        <v>457</v>
      </c>
    </row>
    <row r="194" spans="1:30" x14ac:dyDescent="0.25">
      <c r="A194" t="s">
        <v>4757</v>
      </c>
      <c r="B194" t="s">
        <v>25</v>
      </c>
      <c r="C194" t="s">
        <v>26</v>
      </c>
      <c r="D194" t="s">
        <v>39</v>
      </c>
      <c r="E194" t="s">
        <v>4758</v>
      </c>
      <c r="F194" t="s">
        <v>4759</v>
      </c>
      <c r="G194">
        <v>1042060895</v>
      </c>
      <c r="H194" t="s">
        <v>4760</v>
      </c>
      <c r="I194" s="4" t="s">
        <v>35</v>
      </c>
      <c r="J194" s="4" t="s">
        <v>4761</v>
      </c>
      <c r="K194" t="s">
        <v>4762</v>
      </c>
      <c r="L194" t="s">
        <v>27</v>
      </c>
      <c r="M194" t="s">
        <v>4763</v>
      </c>
      <c r="N194" t="s">
        <v>28</v>
      </c>
      <c r="O194" t="s">
        <v>40</v>
      </c>
      <c r="P194" t="s">
        <v>41</v>
      </c>
      <c r="Q194" t="s">
        <v>31</v>
      </c>
      <c r="R194">
        <v>5</v>
      </c>
      <c r="S194" t="s">
        <v>4764</v>
      </c>
      <c r="T194" t="s">
        <v>4678</v>
      </c>
      <c r="U194" t="s">
        <v>6443</v>
      </c>
      <c r="V194" t="s">
        <v>32</v>
      </c>
      <c r="W194" t="s">
        <v>33</v>
      </c>
      <c r="X194" t="s">
        <v>33</v>
      </c>
      <c r="Y194" t="s">
        <v>33</v>
      </c>
      <c r="Z194" s="5" t="s">
        <v>34</v>
      </c>
      <c r="AA194">
        <v>-75.621269350000006</v>
      </c>
      <c r="AB194">
        <v>6.2602137500000001</v>
      </c>
      <c r="AC194" t="s">
        <v>456</v>
      </c>
      <c r="AD194" t="s">
        <v>457</v>
      </c>
    </row>
    <row r="195" spans="1:30" x14ac:dyDescent="0.25">
      <c r="A195" t="s">
        <v>4765</v>
      </c>
      <c r="B195" t="s">
        <v>25</v>
      </c>
      <c r="C195" t="s">
        <v>26</v>
      </c>
      <c r="D195" t="s">
        <v>39</v>
      </c>
      <c r="E195" t="s">
        <v>4766</v>
      </c>
      <c r="F195" t="s">
        <v>4767</v>
      </c>
      <c r="G195">
        <v>1042060895</v>
      </c>
      <c r="H195" t="s">
        <v>4760</v>
      </c>
      <c r="I195" s="4" t="s">
        <v>35</v>
      </c>
      <c r="J195" s="4" t="s">
        <v>4761</v>
      </c>
      <c r="K195" t="s">
        <v>4768</v>
      </c>
      <c r="L195" t="s">
        <v>27</v>
      </c>
      <c r="M195" t="s">
        <v>4769</v>
      </c>
      <c r="N195" t="s">
        <v>28</v>
      </c>
      <c r="O195" t="s">
        <v>40</v>
      </c>
      <c r="P195" t="s">
        <v>41</v>
      </c>
      <c r="Q195" t="s">
        <v>31</v>
      </c>
      <c r="R195">
        <v>5</v>
      </c>
      <c r="S195" t="s">
        <v>4770</v>
      </c>
      <c r="T195" t="s">
        <v>4678</v>
      </c>
      <c r="U195" t="s">
        <v>6443</v>
      </c>
      <c r="V195" t="s">
        <v>32</v>
      </c>
      <c r="W195" t="s">
        <v>33</v>
      </c>
      <c r="X195" t="s">
        <v>33</v>
      </c>
      <c r="Y195" t="s">
        <v>33</v>
      </c>
      <c r="Z195" s="5" t="s">
        <v>34</v>
      </c>
      <c r="AA195">
        <v>-75.621269350000006</v>
      </c>
      <c r="AB195">
        <v>6.2602137500000001</v>
      </c>
      <c r="AC195" t="s">
        <v>456</v>
      </c>
      <c r="AD195" t="s">
        <v>457</v>
      </c>
    </row>
    <row r="196" spans="1:30" x14ac:dyDescent="0.25">
      <c r="A196" t="s">
        <v>4771</v>
      </c>
      <c r="B196" t="s">
        <v>25</v>
      </c>
      <c r="C196" t="s">
        <v>26</v>
      </c>
      <c r="D196" t="s">
        <v>39</v>
      </c>
      <c r="E196" t="s">
        <v>4772</v>
      </c>
      <c r="F196" t="s">
        <v>4773</v>
      </c>
      <c r="G196">
        <v>1042060895</v>
      </c>
      <c r="H196" t="s">
        <v>4760</v>
      </c>
      <c r="I196" s="4" t="s">
        <v>35</v>
      </c>
      <c r="J196" s="4" t="s">
        <v>4761</v>
      </c>
      <c r="K196" t="s">
        <v>4774</v>
      </c>
      <c r="L196" t="s">
        <v>27</v>
      </c>
      <c r="M196" t="s">
        <v>4775</v>
      </c>
      <c r="N196" t="s">
        <v>28</v>
      </c>
      <c r="O196" t="s">
        <v>40</v>
      </c>
      <c r="P196" t="s">
        <v>41</v>
      </c>
      <c r="Q196" t="s">
        <v>31</v>
      </c>
      <c r="R196">
        <v>5</v>
      </c>
      <c r="S196" t="s">
        <v>4776</v>
      </c>
      <c r="T196" t="s">
        <v>4678</v>
      </c>
      <c r="U196" t="s">
        <v>6443</v>
      </c>
      <c r="V196" t="s">
        <v>32</v>
      </c>
      <c r="W196" t="s">
        <v>33</v>
      </c>
      <c r="X196" t="s">
        <v>33</v>
      </c>
      <c r="Y196" t="s">
        <v>33</v>
      </c>
      <c r="Z196" s="5" t="s">
        <v>34</v>
      </c>
      <c r="AA196">
        <v>-75.621269350000006</v>
      </c>
      <c r="AB196">
        <v>6.2602137500000001</v>
      </c>
      <c r="AC196" t="s">
        <v>456</v>
      </c>
      <c r="AD196" t="s">
        <v>457</v>
      </c>
    </row>
    <row r="197" spans="1:30" x14ac:dyDescent="0.25">
      <c r="A197" t="s">
        <v>4777</v>
      </c>
      <c r="B197" t="s">
        <v>25</v>
      </c>
      <c r="C197" t="s">
        <v>26</v>
      </c>
      <c r="D197" t="s">
        <v>39</v>
      </c>
      <c r="E197" t="s">
        <v>4778</v>
      </c>
      <c r="F197" t="s">
        <v>4779</v>
      </c>
      <c r="G197">
        <v>1042060895</v>
      </c>
      <c r="H197" t="s">
        <v>4760</v>
      </c>
      <c r="I197" s="4" t="s">
        <v>35</v>
      </c>
      <c r="J197" s="4" t="s">
        <v>4761</v>
      </c>
      <c r="K197" t="s">
        <v>4780</v>
      </c>
      <c r="L197" t="s">
        <v>27</v>
      </c>
      <c r="M197" t="s">
        <v>4781</v>
      </c>
      <c r="N197" t="s">
        <v>28</v>
      </c>
      <c r="O197" t="s">
        <v>40</v>
      </c>
      <c r="P197" t="s">
        <v>41</v>
      </c>
      <c r="Q197" t="s">
        <v>31</v>
      </c>
      <c r="R197">
        <v>5</v>
      </c>
      <c r="S197" t="s">
        <v>4782</v>
      </c>
      <c r="T197" t="s">
        <v>4678</v>
      </c>
      <c r="U197" t="s">
        <v>6443</v>
      </c>
      <c r="V197" t="s">
        <v>32</v>
      </c>
      <c r="W197" t="s">
        <v>33</v>
      </c>
      <c r="X197" t="s">
        <v>33</v>
      </c>
      <c r="Y197" t="s">
        <v>33</v>
      </c>
      <c r="Z197" s="5" t="s">
        <v>34</v>
      </c>
      <c r="AA197">
        <v>-75.621269350000006</v>
      </c>
      <c r="AB197">
        <v>6.2602137500000001</v>
      </c>
      <c r="AC197" t="s">
        <v>456</v>
      </c>
      <c r="AD197" t="s">
        <v>457</v>
      </c>
    </row>
    <row r="198" spans="1:30" x14ac:dyDescent="0.25">
      <c r="A198" t="s">
        <v>8037</v>
      </c>
      <c r="B198" t="s">
        <v>25</v>
      </c>
      <c r="C198" t="s">
        <v>26</v>
      </c>
      <c r="D198" t="s">
        <v>25</v>
      </c>
      <c r="E198" t="s">
        <v>8038</v>
      </c>
      <c r="F198" t="s">
        <v>8039</v>
      </c>
      <c r="G198">
        <v>71800196</v>
      </c>
      <c r="H198" t="s">
        <v>8040</v>
      </c>
      <c r="I198" s="4" t="s">
        <v>35</v>
      </c>
      <c r="J198" s="4" t="s">
        <v>8041</v>
      </c>
      <c r="K198" t="s">
        <v>8042</v>
      </c>
      <c r="L198" t="s">
        <v>27</v>
      </c>
      <c r="M198" t="s">
        <v>8043</v>
      </c>
      <c r="N198" t="s">
        <v>28</v>
      </c>
      <c r="O198" t="s">
        <v>29</v>
      </c>
      <c r="P198" t="s">
        <v>37</v>
      </c>
      <c r="Q198" t="s">
        <v>31</v>
      </c>
      <c r="R198">
        <v>7</v>
      </c>
      <c r="S198" t="s">
        <v>8044</v>
      </c>
      <c r="T198" t="s">
        <v>8045</v>
      </c>
      <c r="U198" t="s">
        <v>8046</v>
      </c>
      <c r="V198" t="s">
        <v>32</v>
      </c>
      <c r="W198" t="s">
        <v>33</v>
      </c>
      <c r="X198" t="s">
        <v>33</v>
      </c>
      <c r="Y198" t="s">
        <v>33</v>
      </c>
      <c r="Z198" s="5" t="s">
        <v>34</v>
      </c>
      <c r="AA198">
        <v>-75.543281370000003</v>
      </c>
      <c r="AB198">
        <v>6.2507798000000001</v>
      </c>
      <c r="AC198" t="s">
        <v>456</v>
      </c>
      <c r="AD198" t="s">
        <v>457</v>
      </c>
    </row>
    <row r="199" spans="1:30" x14ac:dyDescent="0.25">
      <c r="A199" t="s">
        <v>5387</v>
      </c>
      <c r="B199" t="s">
        <v>25</v>
      </c>
      <c r="C199" t="s">
        <v>26</v>
      </c>
      <c r="D199" t="s">
        <v>25</v>
      </c>
      <c r="E199" t="s">
        <v>5388</v>
      </c>
      <c r="F199" t="s">
        <v>5389</v>
      </c>
      <c r="G199">
        <v>21399132</v>
      </c>
      <c r="H199" t="s">
        <v>5390</v>
      </c>
      <c r="I199" s="4" t="s">
        <v>5391</v>
      </c>
      <c r="J199" s="4" t="s">
        <v>5392</v>
      </c>
      <c r="K199" t="s">
        <v>5393</v>
      </c>
      <c r="L199" t="s">
        <v>27</v>
      </c>
      <c r="M199" t="s">
        <v>5394</v>
      </c>
      <c r="N199" t="s">
        <v>28</v>
      </c>
      <c r="O199" t="s">
        <v>29</v>
      </c>
      <c r="P199" t="s">
        <v>36</v>
      </c>
      <c r="Q199" t="s">
        <v>31</v>
      </c>
      <c r="R199">
        <v>7</v>
      </c>
      <c r="S199" t="s">
        <v>5395</v>
      </c>
      <c r="T199" t="s">
        <v>6544</v>
      </c>
      <c r="U199" t="s">
        <v>6545</v>
      </c>
      <c r="V199" t="s">
        <v>32</v>
      </c>
      <c r="W199" t="s">
        <v>33</v>
      </c>
      <c r="X199" t="s">
        <v>33</v>
      </c>
      <c r="Y199" t="s">
        <v>33</v>
      </c>
      <c r="Z199" s="5" t="s">
        <v>34</v>
      </c>
      <c r="AA199">
        <v>-75.588422679999994</v>
      </c>
      <c r="AB199">
        <v>6.2511689400000003</v>
      </c>
      <c r="AC199" t="s">
        <v>456</v>
      </c>
      <c r="AD199" t="s">
        <v>457</v>
      </c>
    </row>
    <row r="200" spans="1:30" x14ac:dyDescent="0.25">
      <c r="A200" t="s">
        <v>5396</v>
      </c>
      <c r="B200" t="s">
        <v>25</v>
      </c>
      <c r="C200" t="s">
        <v>26</v>
      </c>
      <c r="D200" t="s">
        <v>25</v>
      </c>
      <c r="E200" t="s">
        <v>5388</v>
      </c>
      <c r="F200" t="s">
        <v>5397</v>
      </c>
      <c r="G200">
        <v>21399132</v>
      </c>
      <c r="H200" t="s">
        <v>5390</v>
      </c>
      <c r="I200" s="4" t="s">
        <v>5391</v>
      </c>
      <c r="J200" s="4" t="s">
        <v>5392</v>
      </c>
      <c r="K200" t="s">
        <v>5398</v>
      </c>
      <c r="L200" t="s">
        <v>27</v>
      </c>
      <c r="M200" t="s">
        <v>5399</v>
      </c>
      <c r="N200" t="s">
        <v>28</v>
      </c>
      <c r="O200" t="s">
        <v>29</v>
      </c>
      <c r="P200" t="s">
        <v>36</v>
      </c>
      <c r="Q200" t="s">
        <v>31</v>
      </c>
      <c r="R200">
        <v>7</v>
      </c>
      <c r="S200" t="s">
        <v>5400</v>
      </c>
      <c r="T200" t="s">
        <v>6546</v>
      </c>
      <c r="U200" t="s">
        <v>6547</v>
      </c>
      <c r="V200" t="s">
        <v>32</v>
      </c>
      <c r="W200" t="s">
        <v>33</v>
      </c>
      <c r="X200" t="s">
        <v>33</v>
      </c>
      <c r="Y200" t="s">
        <v>33</v>
      </c>
      <c r="Z200" s="5" t="s">
        <v>34</v>
      </c>
      <c r="AA200">
        <v>-75.588422679999994</v>
      </c>
      <c r="AB200">
        <v>6.2511689400000003</v>
      </c>
      <c r="AC200" t="s">
        <v>456</v>
      </c>
      <c r="AD200" t="s">
        <v>457</v>
      </c>
    </row>
    <row r="201" spans="1:30" x14ac:dyDescent="0.25">
      <c r="A201" t="s">
        <v>5401</v>
      </c>
      <c r="B201" t="s">
        <v>25</v>
      </c>
      <c r="C201" t="s">
        <v>26</v>
      </c>
      <c r="D201" t="s">
        <v>25</v>
      </c>
      <c r="E201" t="s">
        <v>5402</v>
      </c>
      <c r="F201" t="s">
        <v>5403</v>
      </c>
      <c r="G201">
        <v>21399132</v>
      </c>
      <c r="H201" t="s">
        <v>5390</v>
      </c>
      <c r="I201" s="4" t="s">
        <v>5391</v>
      </c>
      <c r="J201" s="4" t="s">
        <v>5392</v>
      </c>
      <c r="K201" t="s">
        <v>5404</v>
      </c>
      <c r="L201" t="s">
        <v>27</v>
      </c>
      <c r="M201" t="s">
        <v>5405</v>
      </c>
      <c r="N201" t="s">
        <v>28</v>
      </c>
      <c r="O201" t="s">
        <v>29</v>
      </c>
      <c r="P201" t="s">
        <v>36</v>
      </c>
      <c r="Q201" t="s">
        <v>31</v>
      </c>
      <c r="R201">
        <v>7</v>
      </c>
      <c r="S201" t="s">
        <v>5406</v>
      </c>
      <c r="T201" t="s">
        <v>6548</v>
      </c>
      <c r="U201" t="s">
        <v>4816</v>
      </c>
      <c r="V201" t="s">
        <v>32</v>
      </c>
      <c r="W201" t="s">
        <v>33</v>
      </c>
      <c r="X201" t="s">
        <v>33</v>
      </c>
      <c r="Y201" t="s">
        <v>33</v>
      </c>
      <c r="Z201" s="5" t="s">
        <v>34</v>
      </c>
      <c r="AA201">
        <v>-75.588422679999994</v>
      </c>
      <c r="AB201">
        <v>6.2511689400000003</v>
      </c>
      <c r="AC201" t="s">
        <v>456</v>
      </c>
      <c r="AD201" t="s">
        <v>457</v>
      </c>
    </row>
    <row r="202" spans="1:30" x14ac:dyDescent="0.25">
      <c r="A202" t="s">
        <v>8047</v>
      </c>
      <c r="B202" t="s">
        <v>42</v>
      </c>
      <c r="C202" t="s">
        <v>26</v>
      </c>
      <c r="D202" t="s">
        <v>42</v>
      </c>
      <c r="E202" t="s">
        <v>8048</v>
      </c>
      <c r="F202" t="s">
        <v>8049</v>
      </c>
      <c r="G202">
        <v>21399132</v>
      </c>
      <c r="H202" t="s">
        <v>5390</v>
      </c>
      <c r="I202" s="4" t="s">
        <v>5391</v>
      </c>
      <c r="J202" s="4" t="s">
        <v>5392</v>
      </c>
      <c r="K202" t="s">
        <v>8050</v>
      </c>
      <c r="L202" t="s">
        <v>27</v>
      </c>
      <c r="M202" t="s">
        <v>8051</v>
      </c>
      <c r="N202" t="s">
        <v>28</v>
      </c>
      <c r="O202" t="s">
        <v>43</v>
      </c>
      <c r="P202" t="s">
        <v>36</v>
      </c>
      <c r="Q202" t="s">
        <v>31</v>
      </c>
      <c r="R202">
        <v>7</v>
      </c>
      <c r="S202" t="s">
        <v>8052</v>
      </c>
      <c r="T202" t="s">
        <v>8053</v>
      </c>
      <c r="U202" t="s">
        <v>8054</v>
      </c>
      <c r="V202" t="s">
        <v>32</v>
      </c>
      <c r="W202" t="s">
        <v>33</v>
      </c>
      <c r="X202" t="s">
        <v>33</v>
      </c>
      <c r="Y202" t="s">
        <v>33</v>
      </c>
      <c r="Z202" s="5" t="s">
        <v>34</v>
      </c>
      <c r="AA202">
        <v>-75.588422679999994</v>
      </c>
      <c r="AB202">
        <v>6.2511689400000003</v>
      </c>
      <c r="AC202" t="s">
        <v>456</v>
      </c>
      <c r="AD202" t="s">
        <v>457</v>
      </c>
    </row>
    <row r="203" spans="1:30" x14ac:dyDescent="0.25">
      <c r="A203" t="s">
        <v>5407</v>
      </c>
      <c r="B203" t="s">
        <v>25</v>
      </c>
      <c r="C203" t="s">
        <v>26</v>
      </c>
      <c r="D203" t="s">
        <v>25</v>
      </c>
      <c r="E203" t="s">
        <v>5408</v>
      </c>
      <c r="F203" t="s">
        <v>5409</v>
      </c>
      <c r="G203">
        <v>21399132</v>
      </c>
      <c r="H203" t="s">
        <v>5390</v>
      </c>
      <c r="I203" s="4" t="s">
        <v>5391</v>
      </c>
      <c r="J203" s="4" t="s">
        <v>5392</v>
      </c>
      <c r="K203" t="s">
        <v>5410</v>
      </c>
      <c r="L203" t="s">
        <v>27</v>
      </c>
      <c r="M203" t="s">
        <v>5411</v>
      </c>
      <c r="N203" t="s">
        <v>28</v>
      </c>
      <c r="O203" t="s">
        <v>29</v>
      </c>
      <c r="P203" t="s">
        <v>36</v>
      </c>
      <c r="Q203" t="s">
        <v>31</v>
      </c>
      <c r="R203">
        <v>7</v>
      </c>
      <c r="S203" t="s">
        <v>5412</v>
      </c>
      <c r="T203" t="s">
        <v>6549</v>
      </c>
      <c r="U203" t="s">
        <v>6550</v>
      </c>
      <c r="V203" t="s">
        <v>32</v>
      </c>
      <c r="W203" t="s">
        <v>33</v>
      </c>
      <c r="X203" t="s">
        <v>33</v>
      </c>
      <c r="Y203" t="s">
        <v>33</v>
      </c>
      <c r="Z203" s="5" t="s">
        <v>34</v>
      </c>
      <c r="AA203">
        <v>-75.588422679999994</v>
      </c>
      <c r="AB203">
        <v>6.2511689400000003</v>
      </c>
      <c r="AC203" t="s">
        <v>456</v>
      </c>
      <c r="AD203" t="s">
        <v>457</v>
      </c>
    </row>
    <row r="204" spans="1:30" x14ac:dyDescent="0.25">
      <c r="A204" t="s">
        <v>472</v>
      </c>
      <c r="B204" t="s">
        <v>25</v>
      </c>
      <c r="C204" t="s">
        <v>26</v>
      </c>
      <c r="D204" t="s">
        <v>25</v>
      </c>
      <c r="E204" t="s">
        <v>151</v>
      </c>
      <c r="F204" t="s">
        <v>152</v>
      </c>
      <c r="G204">
        <v>1128406235</v>
      </c>
      <c r="H204" t="s">
        <v>153</v>
      </c>
      <c r="I204" s="4" t="s">
        <v>35</v>
      </c>
      <c r="J204" s="4" t="s">
        <v>154</v>
      </c>
      <c r="K204" t="s">
        <v>155</v>
      </c>
      <c r="L204" t="s">
        <v>27</v>
      </c>
      <c r="M204" t="s">
        <v>156</v>
      </c>
      <c r="N204" t="s">
        <v>28</v>
      </c>
      <c r="O204" t="s">
        <v>29</v>
      </c>
      <c r="P204" t="s">
        <v>36</v>
      </c>
      <c r="Q204" t="s">
        <v>31</v>
      </c>
      <c r="R204">
        <v>7</v>
      </c>
      <c r="S204" t="s">
        <v>157</v>
      </c>
      <c r="T204" t="s">
        <v>6551</v>
      </c>
      <c r="U204" t="s">
        <v>47</v>
      </c>
      <c r="V204" t="s">
        <v>47</v>
      </c>
      <c r="W204" t="s">
        <v>33</v>
      </c>
      <c r="X204" t="s">
        <v>33</v>
      </c>
      <c r="Y204" t="s">
        <v>33</v>
      </c>
      <c r="Z204" s="5" t="s">
        <v>34</v>
      </c>
      <c r="AA204">
        <v>-75.632935180000004</v>
      </c>
      <c r="AB204">
        <v>6.2846970300000002</v>
      </c>
      <c r="AC204" t="s">
        <v>456</v>
      </c>
      <c r="AD204" t="s">
        <v>457</v>
      </c>
    </row>
    <row r="205" spans="1:30" x14ac:dyDescent="0.25">
      <c r="A205" t="s">
        <v>3637</v>
      </c>
      <c r="B205" t="s">
        <v>25</v>
      </c>
      <c r="C205" t="s">
        <v>26</v>
      </c>
      <c r="D205" t="s">
        <v>39</v>
      </c>
      <c r="E205" t="s">
        <v>3638</v>
      </c>
      <c r="F205" t="s">
        <v>3639</v>
      </c>
      <c r="G205">
        <v>23215288</v>
      </c>
      <c r="H205" t="s">
        <v>3640</v>
      </c>
      <c r="I205" s="4" t="s">
        <v>3641</v>
      </c>
      <c r="J205" s="4" t="s">
        <v>3642</v>
      </c>
      <c r="K205" t="s">
        <v>3643</v>
      </c>
      <c r="L205" t="s">
        <v>44</v>
      </c>
      <c r="M205" t="s">
        <v>3644</v>
      </c>
      <c r="N205" t="s">
        <v>45</v>
      </c>
      <c r="O205" t="s">
        <v>40</v>
      </c>
      <c r="P205" t="s">
        <v>41</v>
      </c>
      <c r="Q205" t="s">
        <v>31</v>
      </c>
      <c r="R205">
        <v>5</v>
      </c>
      <c r="S205" t="s">
        <v>3645</v>
      </c>
      <c r="T205" t="s">
        <v>6552</v>
      </c>
      <c r="U205" t="s">
        <v>6553</v>
      </c>
      <c r="V205" t="s">
        <v>32</v>
      </c>
      <c r="W205" t="s">
        <v>33</v>
      </c>
      <c r="X205" t="s">
        <v>33</v>
      </c>
      <c r="Y205" t="s">
        <v>33</v>
      </c>
      <c r="Z205" s="5" t="s">
        <v>34</v>
      </c>
      <c r="AA205">
        <v>-75.612360789999997</v>
      </c>
      <c r="AB205">
        <v>6.1784671400000004</v>
      </c>
      <c r="AC205" t="s">
        <v>456</v>
      </c>
      <c r="AD205" t="s">
        <v>457</v>
      </c>
    </row>
    <row r="206" spans="1:30" x14ac:dyDescent="0.25">
      <c r="A206" t="s">
        <v>8055</v>
      </c>
      <c r="B206" t="s">
        <v>25</v>
      </c>
      <c r="C206" t="s">
        <v>26</v>
      </c>
      <c r="D206" t="s">
        <v>25</v>
      </c>
      <c r="E206" t="s">
        <v>8056</v>
      </c>
      <c r="F206" t="s">
        <v>8057</v>
      </c>
      <c r="G206">
        <v>71748800</v>
      </c>
      <c r="H206" t="s">
        <v>5316</v>
      </c>
      <c r="I206" s="4" t="s">
        <v>5317</v>
      </c>
      <c r="J206" s="4" t="s">
        <v>8058</v>
      </c>
      <c r="K206" t="s">
        <v>8059</v>
      </c>
      <c r="L206" t="s">
        <v>44</v>
      </c>
      <c r="M206" t="s">
        <v>8060</v>
      </c>
      <c r="N206" t="s">
        <v>45</v>
      </c>
      <c r="O206" t="s">
        <v>29</v>
      </c>
      <c r="P206" t="s">
        <v>55</v>
      </c>
      <c r="Q206" t="s">
        <v>31</v>
      </c>
      <c r="R206">
        <v>7</v>
      </c>
      <c r="S206" t="s">
        <v>8061</v>
      </c>
      <c r="T206" t="s">
        <v>8062</v>
      </c>
      <c r="U206" t="s">
        <v>6468</v>
      </c>
      <c r="V206" t="s">
        <v>32</v>
      </c>
      <c r="W206" t="s">
        <v>33</v>
      </c>
      <c r="X206" t="s">
        <v>33</v>
      </c>
      <c r="Y206" t="s">
        <v>33</v>
      </c>
      <c r="Z206" s="5" t="s">
        <v>34</v>
      </c>
      <c r="AA206">
        <v>-75.613298</v>
      </c>
      <c r="AB206">
        <v>6.17023001</v>
      </c>
      <c r="AC206" t="s">
        <v>456</v>
      </c>
      <c r="AD206" t="s">
        <v>457</v>
      </c>
    </row>
    <row r="207" spans="1:30" x14ac:dyDescent="0.25">
      <c r="A207" t="s">
        <v>8063</v>
      </c>
      <c r="B207" t="s">
        <v>42</v>
      </c>
      <c r="C207" t="s">
        <v>26</v>
      </c>
      <c r="D207" t="s">
        <v>42</v>
      </c>
      <c r="E207" t="s">
        <v>8064</v>
      </c>
      <c r="F207" t="s">
        <v>8065</v>
      </c>
      <c r="G207">
        <v>901155697</v>
      </c>
      <c r="H207" t="s">
        <v>8066</v>
      </c>
      <c r="I207" s="4" t="s">
        <v>35</v>
      </c>
      <c r="J207" s="4" t="s">
        <v>8067</v>
      </c>
      <c r="K207" t="s">
        <v>8068</v>
      </c>
      <c r="L207" t="s">
        <v>49</v>
      </c>
      <c r="M207" t="s">
        <v>8069</v>
      </c>
      <c r="N207" t="s">
        <v>84</v>
      </c>
      <c r="O207" t="s">
        <v>43</v>
      </c>
      <c r="P207" t="s">
        <v>55</v>
      </c>
      <c r="Q207" t="s">
        <v>38</v>
      </c>
      <c r="R207">
        <v>10</v>
      </c>
      <c r="S207" t="s">
        <v>8070</v>
      </c>
      <c r="T207" t="s">
        <v>8071</v>
      </c>
      <c r="U207" t="s">
        <v>8072</v>
      </c>
      <c r="V207" t="s">
        <v>32</v>
      </c>
      <c r="W207" t="s">
        <v>33</v>
      </c>
      <c r="X207" t="s">
        <v>33</v>
      </c>
      <c r="Y207" t="s">
        <v>33</v>
      </c>
      <c r="Z207" s="5" t="s">
        <v>34</v>
      </c>
      <c r="AA207">
        <v>-75.555611089999999</v>
      </c>
      <c r="AB207">
        <v>6.1364091199999997</v>
      </c>
      <c r="AC207" t="s">
        <v>456</v>
      </c>
      <c r="AD207" t="s">
        <v>457</v>
      </c>
    </row>
    <row r="208" spans="1:30" x14ac:dyDescent="0.25">
      <c r="A208" t="s">
        <v>5413</v>
      </c>
      <c r="B208" t="s">
        <v>25</v>
      </c>
      <c r="C208" t="s">
        <v>26</v>
      </c>
      <c r="D208" t="s">
        <v>39</v>
      </c>
      <c r="E208" t="s">
        <v>5414</v>
      </c>
      <c r="F208" t="s">
        <v>5415</v>
      </c>
      <c r="G208">
        <v>1193066999</v>
      </c>
      <c r="H208" t="s">
        <v>5416</v>
      </c>
      <c r="I208" s="4" t="s">
        <v>35</v>
      </c>
      <c r="J208" s="4" t="s">
        <v>5417</v>
      </c>
      <c r="K208" t="s">
        <v>5418</v>
      </c>
      <c r="L208" t="s">
        <v>27</v>
      </c>
      <c r="M208" t="s">
        <v>5419</v>
      </c>
      <c r="N208" t="s">
        <v>28</v>
      </c>
      <c r="O208" t="s">
        <v>46</v>
      </c>
      <c r="P208" t="s">
        <v>41</v>
      </c>
      <c r="Q208" t="s">
        <v>31</v>
      </c>
      <c r="R208">
        <v>5</v>
      </c>
      <c r="S208" t="s">
        <v>5420</v>
      </c>
      <c r="T208" t="s">
        <v>6471</v>
      </c>
      <c r="U208" t="s">
        <v>6554</v>
      </c>
      <c r="V208" t="s">
        <v>32</v>
      </c>
      <c r="W208" t="s">
        <v>33</v>
      </c>
      <c r="X208" t="s">
        <v>33</v>
      </c>
      <c r="Y208" t="s">
        <v>33</v>
      </c>
      <c r="Z208" s="5" t="s">
        <v>34</v>
      </c>
      <c r="AA208">
        <v>-75.620369190000005</v>
      </c>
      <c r="AB208">
        <v>6.2499049700000002</v>
      </c>
      <c r="AC208" t="s">
        <v>456</v>
      </c>
      <c r="AD208" t="s">
        <v>457</v>
      </c>
    </row>
    <row r="209" spans="1:30" x14ac:dyDescent="0.25">
      <c r="A209" t="s">
        <v>8073</v>
      </c>
      <c r="B209" t="s">
        <v>42</v>
      </c>
      <c r="C209" t="s">
        <v>26</v>
      </c>
      <c r="D209" t="s">
        <v>42</v>
      </c>
      <c r="E209" t="s">
        <v>8074</v>
      </c>
      <c r="F209" t="s">
        <v>8075</v>
      </c>
      <c r="G209">
        <v>98552913</v>
      </c>
      <c r="H209" t="s">
        <v>8076</v>
      </c>
      <c r="I209" s="4" t="s">
        <v>35</v>
      </c>
      <c r="J209" s="4" t="s">
        <v>8077</v>
      </c>
      <c r="K209" t="s">
        <v>8078</v>
      </c>
      <c r="L209" t="s">
        <v>27</v>
      </c>
      <c r="M209" t="s">
        <v>8079</v>
      </c>
      <c r="N209" t="s">
        <v>28</v>
      </c>
      <c r="O209" t="s">
        <v>43</v>
      </c>
      <c r="P209" t="s">
        <v>37</v>
      </c>
      <c r="Q209" t="s">
        <v>31</v>
      </c>
      <c r="R209">
        <v>7</v>
      </c>
      <c r="S209" t="s">
        <v>8080</v>
      </c>
      <c r="T209" t="s">
        <v>8081</v>
      </c>
      <c r="U209" t="s">
        <v>8082</v>
      </c>
      <c r="V209" t="s">
        <v>32</v>
      </c>
      <c r="W209" t="s">
        <v>33</v>
      </c>
      <c r="X209" t="s">
        <v>33</v>
      </c>
      <c r="Y209" t="s">
        <v>33</v>
      </c>
      <c r="Z209" s="5" t="s">
        <v>34</v>
      </c>
      <c r="AA209">
        <v>-75.591483679999996</v>
      </c>
      <c r="AB209">
        <v>6.2328010799999998</v>
      </c>
      <c r="AC209" t="s">
        <v>456</v>
      </c>
      <c r="AD209" t="s">
        <v>457</v>
      </c>
    </row>
    <row r="210" spans="1:30" x14ac:dyDescent="0.25">
      <c r="A210" t="s">
        <v>3646</v>
      </c>
      <c r="B210" t="s">
        <v>25</v>
      </c>
      <c r="C210" t="s">
        <v>26</v>
      </c>
      <c r="D210" t="s">
        <v>39</v>
      </c>
      <c r="E210" t="s">
        <v>3647</v>
      </c>
      <c r="F210" t="s">
        <v>3648</v>
      </c>
      <c r="G210">
        <v>26377095</v>
      </c>
      <c r="H210" t="s">
        <v>3649</v>
      </c>
      <c r="I210" s="4" t="s">
        <v>35</v>
      </c>
      <c r="J210" s="4" t="s">
        <v>3650</v>
      </c>
      <c r="K210" t="s">
        <v>3651</v>
      </c>
      <c r="L210" t="s">
        <v>27</v>
      </c>
      <c r="M210" t="s">
        <v>3652</v>
      </c>
      <c r="N210" t="s">
        <v>28</v>
      </c>
      <c r="O210" t="s">
        <v>40</v>
      </c>
      <c r="P210" t="s">
        <v>41</v>
      </c>
      <c r="Q210" t="s">
        <v>31</v>
      </c>
      <c r="R210">
        <v>5</v>
      </c>
      <c r="S210" t="s">
        <v>3653</v>
      </c>
      <c r="T210" t="s">
        <v>6555</v>
      </c>
      <c r="U210" t="s">
        <v>47</v>
      </c>
      <c r="V210" t="s">
        <v>47</v>
      </c>
      <c r="W210" t="s">
        <v>33</v>
      </c>
      <c r="X210" t="s">
        <v>33</v>
      </c>
      <c r="Y210" t="s">
        <v>33</v>
      </c>
      <c r="Z210" s="5" t="s">
        <v>34</v>
      </c>
      <c r="AA210">
        <v>-75.533365559999993</v>
      </c>
      <c r="AB210">
        <v>6.2352789399999997</v>
      </c>
      <c r="AC210" t="s">
        <v>456</v>
      </c>
      <c r="AD210" t="s">
        <v>457</v>
      </c>
    </row>
    <row r="211" spans="1:30" x14ac:dyDescent="0.25">
      <c r="A211" t="s">
        <v>2193</v>
      </c>
      <c r="B211" t="s">
        <v>25</v>
      </c>
      <c r="C211" t="s">
        <v>26</v>
      </c>
      <c r="D211" t="s">
        <v>25</v>
      </c>
      <c r="E211" t="s">
        <v>2194</v>
      </c>
      <c r="F211" t="s">
        <v>2195</v>
      </c>
      <c r="G211">
        <v>71593125</v>
      </c>
      <c r="H211" t="s">
        <v>2196</v>
      </c>
      <c r="I211" s="4" t="s">
        <v>2197</v>
      </c>
      <c r="J211" s="4" t="s">
        <v>1154</v>
      </c>
      <c r="K211" t="s">
        <v>2198</v>
      </c>
      <c r="L211" t="s">
        <v>27</v>
      </c>
      <c r="M211" t="s">
        <v>2199</v>
      </c>
      <c r="N211" t="s">
        <v>28</v>
      </c>
      <c r="O211" t="s">
        <v>29</v>
      </c>
      <c r="P211" t="s">
        <v>37</v>
      </c>
      <c r="Q211" t="s">
        <v>31</v>
      </c>
      <c r="R211">
        <v>7</v>
      </c>
      <c r="S211" t="s">
        <v>2200</v>
      </c>
      <c r="T211" t="s">
        <v>4786</v>
      </c>
      <c r="U211" t="s">
        <v>1277</v>
      </c>
      <c r="V211" t="s">
        <v>32</v>
      </c>
      <c r="W211" t="s">
        <v>33</v>
      </c>
      <c r="X211" t="s">
        <v>33</v>
      </c>
      <c r="Y211" t="s">
        <v>33</v>
      </c>
      <c r="Z211" s="5" t="s">
        <v>34</v>
      </c>
      <c r="AA211">
        <v>-75.605942909999996</v>
      </c>
      <c r="AB211">
        <v>6.2207912700000003</v>
      </c>
      <c r="AC211" t="s">
        <v>456</v>
      </c>
      <c r="AD211" t="s">
        <v>457</v>
      </c>
    </row>
    <row r="212" spans="1:30" x14ac:dyDescent="0.25">
      <c r="A212" t="s">
        <v>2449</v>
      </c>
      <c r="B212" t="s">
        <v>25</v>
      </c>
      <c r="C212" t="s">
        <v>26</v>
      </c>
      <c r="D212" t="s">
        <v>39</v>
      </c>
      <c r="E212" t="s">
        <v>2450</v>
      </c>
      <c r="F212" t="s">
        <v>2451</v>
      </c>
      <c r="G212">
        <v>42731271</v>
      </c>
      <c r="H212" t="s">
        <v>2452</v>
      </c>
      <c r="I212" s="4" t="s">
        <v>35</v>
      </c>
      <c r="J212" s="4" t="s">
        <v>2453</v>
      </c>
      <c r="K212" t="s">
        <v>2454</v>
      </c>
      <c r="L212" t="s">
        <v>77</v>
      </c>
      <c r="M212" t="s">
        <v>2455</v>
      </c>
      <c r="N212" t="s">
        <v>78</v>
      </c>
      <c r="O212" t="s">
        <v>40</v>
      </c>
      <c r="P212" t="s">
        <v>36</v>
      </c>
      <c r="Q212" t="s">
        <v>31</v>
      </c>
      <c r="R212">
        <v>5</v>
      </c>
      <c r="S212" t="s">
        <v>2456</v>
      </c>
      <c r="T212" t="s">
        <v>6556</v>
      </c>
      <c r="U212" t="s">
        <v>6557</v>
      </c>
      <c r="V212" t="s">
        <v>452</v>
      </c>
      <c r="W212" t="s">
        <v>33</v>
      </c>
      <c r="X212" t="s">
        <v>33</v>
      </c>
      <c r="Y212" t="s">
        <v>33</v>
      </c>
      <c r="Z212" s="5" t="s">
        <v>34</v>
      </c>
      <c r="AA212">
        <v>-75.642190200000002</v>
      </c>
      <c r="AB212">
        <v>6.1108130100000002</v>
      </c>
      <c r="AC212" t="s">
        <v>456</v>
      </c>
      <c r="AD212" t="s">
        <v>457</v>
      </c>
    </row>
    <row r="213" spans="1:30" x14ac:dyDescent="0.25">
      <c r="A213" t="s">
        <v>5421</v>
      </c>
      <c r="B213" t="s">
        <v>25</v>
      </c>
      <c r="C213" t="s">
        <v>26</v>
      </c>
      <c r="D213" t="s">
        <v>39</v>
      </c>
      <c r="E213" t="s">
        <v>5422</v>
      </c>
      <c r="F213" t="s">
        <v>5423</v>
      </c>
      <c r="G213">
        <v>98631117</v>
      </c>
      <c r="H213" t="s">
        <v>5424</v>
      </c>
      <c r="I213" s="4" t="s">
        <v>35</v>
      </c>
      <c r="J213" s="4" t="s">
        <v>5425</v>
      </c>
      <c r="K213" t="s">
        <v>5426</v>
      </c>
      <c r="L213" t="s">
        <v>27</v>
      </c>
      <c r="M213" t="s">
        <v>5427</v>
      </c>
      <c r="N213" t="s">
        <v>28</v>
      </c>
      <c r="O213" t="s">
        <v>40</v>
      </c>
      <c r="P213" t="s">
        <v>41</v>
      </c>
      <c r="Q213" t="s">
        <v>31</v>
      </c>
      <c r="R213">
        <v>5</v>
      </c>
      <c r="S213" t="s">
        <v>5428</v>
      </c>
      <c r="T213" t="s">
        <v>6558</v>
      </c>
      <c r="U213" t="s">
        <v>6559</v>
      </c>
      <c r="V213" t="s">
        <v>32</v>
      </c>
      <c r="W213" t="s">
        <v>33</v>
      </c>
      <c r="X213" t="s">
        <v>33</v>
      </c>
      <c r="Y213" t="s">
        <v>33</v>
      </c>
      <c r="Z213" s="5" t="s">
        <v>34</v>
      </c>
      <c r="AA213">
        <v>-75.587588330000003</v>
      </c>
      <c r="AB213">
        <v>6.2258483299999998</v>
      </c>
      <c r="AC213" t="s">
        <v>456</v>
      </c>
      <c r="AD213" t="s">
        <v>457</v>
      </c>
    </row>
    <row r="214" spans="1:30" x14ac:dyDescent="0.25">
      <c r="A214" t="s">
        <v>5429</v>
      </c>
      <c r="B214" t="s">
        <v>25</v>
      </c>
      <c r="C214" t="s">
        <v>26</v>
      </c>
      <c r="D214" t="s">
        <v>39</v>
      </c>
      <c r="E214" t="s">
        <v>5430</v>
      </c>
      <c r="F214" t="s">
        <v>5431</v>
      </c>
      <c r="G214">
        <v>98631117</v>
      </c>
      <c r="H214" t="s">
        <v>5424</v>
      </c>
      <c r="I214" s="4" t="s">
        <v>35</v>
      </c>
      <c r="J214" s="4" t="s">
        <v>5425</v>
      </c>
      <c r="K214" t="s">
        <v>5432</v>
      </c>
      <c r="L214" t="s">
        <v>27</v>
      </c>
      <c r="M214" t="s">
        <v>5433</v>
      </c>
      <c r="N214" t="s">
        <v>28</v>
      </c>
      <c r="O214" t="s">
        <v>40</v>
      </c>
      <c r="P214" t="s">
        <v>41</v>
      </c>
      <c r="Q214" t="s">
        <v>31</v>
      </c>
      <c r="R214">
        <v>5</v>
      </c>
      <c r="S214" t="s">
        <v>5434</v>
      </c>
      <c r="T214" t="s">
        <v>6560</v>
      </c>
      <c r="U214" t="s">
        <v>6561</v>
      </c>
      <c r="V214" t="s">
        <v>32</v>
      </c>
      <c r="W214" t="s">
        <v>33</v>
      </c>
      <c r="X214" t="s">
        <v>33</v>
      </c>
      <c r="Y214" t="s">
        <v>33</v>
      </c>
      <c r="Z214" s="5" t="s">
        <v>34</v>
      </c>
      <c r="AA214">
        <v>-75.587588330000003</v>
      </c>
      <c r="AB214">
        <v>6.2258483299999998</v>
      </c>
      <c r="AC214" t="s">
        <v>456</v>
      </c>
      <c r="AD214" t="s">
        <v>457</v>
      </c>
    </row>
    <row r="215" spans="1:30" x14ac:dyDescent="0.25">
      <c r="A215" t="s">
        <v>5435</v>
      </c>
      <c r="B215" t="s">
        <v>25</v>
      </c>
      <c r="C215" t="s">
        <v>26</v>
      </c>
      <c r="D215" t="s">
        <v>39</v>
      </c>
      <c r="E215" t="s">
        <v>5436</v>
      </c>
      <c r="F215" t="s">
        <v>5437</v>
      </c>
      <c r="G215">
        <v>98631117</v>
      </c>
      <c r="H215" t="s">
        <v>5424</v>
      </c>
      <c r="I215" s="4" t="s">
        <v>35</v>
      </c>
      <c r="J215" s="4" t="s">
        <v>5425</v>
      </c>
      <c r="K215" t="s">
        <v>5438</v>
      </c>
      <c r="L215" t="s">
        <v>27</v>
      </c>
      <c r="M215" t="s">
        <v>5439</v>
      </c>
      <c r="N215" t="s">
        <v>28</v>
      </c>
      <c r="O215" t="s">
        <v>40</v>
      </c>
      <c r="P215" t="s">
        <v>41</v>
      </c>
      <c r="Q215" t="s">
        <v>31</v>
      </c>
      <c r="R215">
        <v>5</v>
      </c>
      <c r="S215" t="s">
        <v>5440</v>
      </c>
      <c r="T215" t="s">
        <v>6562</v>
      </c>
      <c r="U215" t="s">
        <v>6563</v>
      </c>
      <c r="V215" t="s">
        <v>32</v>
      </c>
      <c r="W215" t="s">
        <v>33</v>
      </c>
      <c r="X215" t="s">
        <v>33</v>
      </c>
      <c r="Y215" t="s">
        <v>33</v>
      </c>
      <c r="Z215" s="5" t="s">
        <v>34</v>
      </c>
      <c r="AA215">
        <v>-75.587588330000003</v>
      </c>
      <c r="AB215">
        <v>6.2258483299999998</v>
      </c>
      <c r="AC215" t="s">
        <v>456</v>
      </c>
      <c r="AD215" t="s">
        <v>457</v>
      </c>
    </row>
    <row r="216" spans="1:30" x14ac:dyDescent="0.25">
      <c r="A216" t="s">
        <v>3654</v>
      </c>
      <c r="B216" t="s">
        <v>42</v>
      </c>
      <c r="C216" t="s">
        <v>26</v>
      </c>
      <c r="D216" t="s">
        <v>42</v>
      </c>
      <c r="E216" t="s">
        <v>3655</v>
      </c>
      <c r="F216" t="s">
        <v>3656</v>
      </c>
      <c r="G216">
        <v>901876950</v>
      </c>
      <c r="H216" t="s">
        <v>3657</v>
      </c>
      <c r="I216" s="4" t="s">
        <v>35</v>
      </c>
      <c r="J216" s="4" t="s">
        <v>3658</v>
      </c>
      <c r="K216" t="s">
        <v>3659</v>
      </c>
      <c r="L216" t="s">
        <v>61</v>
      </c>
      <c r="M216" t="s">
        <v>3660</v>
      </c>
      <c r="N216" t="s">
        <v>63</v>
      </c>
      <c r="O216" t="s">
        <v>43</v>
      </c>
      <c r="P216" t="s">
        <v>37</v>
      </c>
      <c r="Q216" t="s">
        <v>31</v>
      </c>
      <c r="R216">
        <v>7</v>
      </c>
      <c r="S216" t="s">
        <v>3661</v>
      </c>
      <c r="T216" t="s">
        <v>2604</v>
      </c>
      <c r="U216" t="s">
        <v>6564</v>
      </c>
      <c r="V216" t="s">
        <v>32</v>
      </c>
      <c r="W216" t="s">
        <v>33</v>
      </c>
      <c r="X216" t="s">
        <v>33</v>
      </c>
      <c r="Y216" t="s">
        <v>33</v>
      </c>
      <c r="Z216" s="5" t="s">
        <v>34</v>
      </c>
      <c r="AA216">
        <v>-75.634446339999997</v>
      </c>
      <c r="AB216">
        <v>6.1194920000000002</v>
      </c>
      <c r="AC216" t="s">
        <v>456</v>
      </c>
      <c r="AD216" t="s">
        <v>457</v>
      </c>
    </row>
    <row r="217" spans="1:30" x14ac:dyDescent="0.25">
      <c r="A217" t="s">
        <v>5441</v>
      </c>
      <c r="B217" t="s">
        <v>25</v>
      </c>
      <c r="C217" t="s">
        <v>26</v>
      </c>
      <c r="D217" t="s">
        <v>25</v>
      </c>
      <c r="E217" t="s">
        <v>5442</v>
      </c>
      <c r="F217" t="s">
        <v>5443</v>
      </c>
      <c r="G217">
        <v>1102837513</v>
      </c>
      <c r="H217" t="s">
        <v>5444</v>
      </c>
      <c r="I217" s="4" t="s">
        <v>35</v>
      </c>
      <c r="J217" s="4" t="s">
        <v>5445</v>
      </c>
      <c r="K217" t="s">
        <v>5446</v>
      </c>
      <c r="L217" t="s">
        <v>27</v>
      </c>
      <c r="M217" t="s">
        <v>5447</v>
      </c>
      <c r="N217" t="s">
        <v>28</v>
      </c>
      <c r="O217" t="s">
        <v>29</v>
      </c>
      <c r="P217" t="s">
        <v>36</v>
      </c>
      <c r="Q217" t="s">
        <v>31</v>
      </c>
      <c r="R217">
        <v>7</v>
      </c>
      <c r="S217" t="s">
        <v>5448</v>
      </c>
      <c r="T217" t="s">
        <v>6565</v>
      </c>
      <c r="U217" t="s">
        <v>6566</v>
      </c>
      <c r="V217" t="s">
        <v>32</v>
      </c>
      <c r="W217" t="s">
        <v>33</v>
      </c>
      <c r="X217" t="s">
        <v>33</v>
      </c>
      <c r="Y217" t="s">
        <v>33</v>
      </c>
      <c r="Z217" s="5" t="s">
        <v>34</v>
      </c>
      <c r="AA217">
        <v>-75.593856540000004</v>
      </c>
      <c r="AB217">
        <v>6.2509838599999998</v>
      </c>
      <c r="AC217" t="s">
        <v>456</v>
      </c>
      <c r="AD217" t="s">
        <v>457</v>
      </c>
    </row>
    <row r="218" spans="1:30" x14ac:dyDescent="0.25">
      <c r="A218" t="s">
        <v>5449</v>
      </c>
      <c r="B218" t="s">
        <v>25</v>
      </c>
      <c r="C218" t="s">
        <v>26</v>
      </c>
      <c r="D218" t="s">
        <v>25</v>
      </c>
      <c r="E218" t="s">
        <v>5450</v>
      </c>
      <c r="F218" t="s">
        <v>5451</v>
      </c>
      <c r="G218">
        <v>79470052</v>
      </c>
      <c r="H218" t="s">
        <v>5452</v>
      </c>
      <c r="I218" s="4" t="s">
        <v>5453</v>
      </c>
      <c r="J218" s="4" t="s">
        <v>5445</v>
      </c>
      <c r="K218" t="s">
        <v>5454</v>
      </c>
      <c r="L218" t="s">
        <v>27</v>
      </c>
      <c r="M218" t="s">
        <v>5455</v>
      </c>
      <c r="N218" t="s">
        <v>28</v>
      </c>
      <c r="O218" t="s">
        <v>29</v>
      </c>
      <c r="P218" t="s">
        <v>36</v>
      </c>
      <c r="Q218" t="s">
        <v>31</v>
      </c>
      <c r="R218">
        <v>7</v>
      </c>
      <c r="S218" t="s">
        <v>5456</v>
      </c>
      <c r="T218" t="s">
        <v>6567</v>
      </c>
      <c r="U218" t="s">
        <v>6568</v>
      </c>
      <c r="V218" t="s">
        <v>32</v>
      </c>
      <c r="W218" t="s">
        <v>33</v>
      </c>
      <c r="X218" t="s">
        <v>33</v>
      </c>
      <c r="Y218" t="s">
        <v>33</v>
      </c>
      <c r="Z218" s="5" t="s">
        <v>34</v>
      </c>
      <c r="AA218">
        <v>-75.593856540000004</v>
      </c>
      <c r="AB218">
        <v>6.2509838599999998</v>
      </c>
      <c r="AC218" t="s">
        <v>456</v>
      </c>
      <c r="AD218" t="s">
        <v>457</v>
      </c>
    </row>
    <row r="219" spans="1:30" x14ac:dyDescent="0.25">
      <c r="A219" t="s">
        <v>5457</v>
      </c>
      <c r="B219" t="s">
        <v>25</v>
      </c>
      <c r="C219" t="s">
        <v>26</v>
      </c>
      <c r="D219" t="s">
        <v>39</v>
      </c>
      <c r="E219" t="s">
        <v>5458</v>
      </c>
      <c r="F219" t="s">
        <v>5459</v>
      </c>
      <c r="G219">
        <v>1128385841</v>
      </c>
      <c r="H219" t="s">
        <v>5460</v>
      </c>
      <c r="I219" s="4" t="s">
        <v>5461</v>
      </c>
      <c r="J219" s="4" t="s">
        <v>5462</v>
      </c>
      <c r="K219" t="s">
        <v>5463</v>
      </c>
      <c r="L219" t="s">
        <v>27</v>
      </c>
      <c r="M219" t="s">
        <v>5464</v>
      </c>
      <c r="N219" t="s">
        <v>28</v>
      </c>
      <c r="O219" t="s">
        <v>46</v>
      </c>
      <c r="P219" t="s">
        <v>41</v>
      </c>
      <c r="Q219" t="s">
        <v>38</v>
      </c>
      <c r="R219">
        <v>8</v>
      </c>
      <c r="S219" t="s">
        <v>5465</v>
      </c>
      <c r="T219" t="s">
        <v>6569</v>
      </c>
      <c r="U219" t="s">
        <v>6098</v>
      </c>
      <c r="V219" t="s">
        <v>32</v>
      </c>
      <c r="W219" t="s">
        <v>33</v>
      </c>
      <c r="X219" t="s">
        <v>33</v>
      </c>
      <c r="Y219" t="s">
        <v>33</v>
      </c>
      <c r="Z219" s="5" t="s">
        <v>34</v>
      </c>
      <c r="AA219">
        <v>-75.702757809999994</v>
      </c>
      <c r="AB219">
        <v>6.3122691</v>
      </c>
      <c r="AC219" t="s">
        <v>456</v>
      </c>
      <c r="AD219" t="s">
        <v>457</v>
      </c>
    </row>
    <row r="220" spans="1:30" x14ac:dyDescent="0.25">
      <c r="A220" t="s">
        <v>925</v>
      </c>
      <c r="B220" t="s">
        <v>25</v>
      </c>
      <c r="C220" t="s">
        <v>26</v>
      </c>
      <c r="D220" t="s">
        <v>39</v>
      </c>
      <c r="E220" t="s">
        <v>926</v>
      </c>
      <c r="F220" t="s">
        <v>927</v>
      </c>
      <c r="G220">
        <v>98518808</v>
      </c>
      <c r="H220" t="s">
        <v>928</v>
      </c>
      <c r="I220" s="4" t="s">
        <v>929</v>
      </c>
      <c r="J220" s="4" t="s">
        <v>423</v>
      </c>
      <c r="K220" t="s">
        <v>930</v>
      </c>
      <c r="L220" t="s">
        <v>77</v>
      </c>
      <c r="M220" t="s">
        <v>931</v>
      </c>
      <c r="N220" t="s">
        <v>78</v>
      </c>
      <c r="O220" t="s">
        <v>40</v>
      </c>
      <c r="P220" t="s">
        <v>36</v>
      </c>
      <c r="Q220" t="s">
        <v>38</v>
      </c>
      <c r="R220">
        <v>8</v>
      </c>
      <c r="S220" t="s">
        <v>932</v>
      </c>
      <c r="T220" t="s">
        <v>6571</v>
      </c>
      <c r="U220" t="s">
        <v>6572</v>
      </c>
      <c r="V220" t="s">
        <v>50</v>
      </c>
      <c r="W220" t="s">
        <v>33</v>
      </c>
      <c r="X220" t="s">
        <v>33</v>
      </c>
      <c r="Y220" t="s">
        <v>33</v>
      </c>
      <c r="Z220" s="5" t="s">
        <v>34</v>
      </c>
      <c r="AA220">
        <v>-75.645488029999996</v>
      </c>
      <c r="AB220">
        <v>6.08697394</v>
      </c>
      <c r="AC220" t="s">
        <v>456</v>
      </c>
      <c r="AD220" t="s">
        <v>457</v>
      </c>
    </row>
    <row r="221" spans="1:30" x14ac:dyDescent="0.25">
      <c r="A221" t="s">
        <v>8083</v>
      </c>
      <c r="B221" t="s">
        <v>42</v>
      </c>
      <c r="C221" t="s">
        <v>26</v>
      </c>
      <c r="D221" t="s">
        <v>42</v>
      </c>
      <c r="E221" t="s">
        <v>8084</v>
      </c>
      <c r="F221" t="s">
        <v>8085</v>
      </c>
      <c r="G221">
        <v>890980232</v>
      </c>
      <c r="H221" t="s">
        <v>8086</v>
      </c>
      <c r="I221" s="4" t="s">
        <v>8087</v>
      </c>
      <c r="J221" s="4" t="s">
        <v>4645</v>
      </c>
      <c r="K221" t="s">
        <v>8088</v>
      </c>
      <c r="L221" t="s">
        <v>27</v>
      </c>
      <c r="M221" t="s">
        <v>8089</v>
      </c>
      <c r="N221" t="s">
        <v>28</v>
      </c>
      <c r="O221" t="s">
        <v>43</v>
      </c>
      <c r="P221" t="s">
        <v>55</v>
      </c>
      <c r="Q221" t="s">
        <v>31</v>
      </c>
      <c r="R221">
        <v>7</v>
      </c>
      <c r="S221" t="s">
        <v>8090</v>
      </c>
      <c r="T221" t="s">
        <v>8091</v>
      </c>
      <c r="U221" t="s">
        <v>8092</v>
      </c>
      <c r="V221" t="s">
        <v>32</v>
      </c>
      <c r="W221" t="s">
        <v>33</v>
      </c>
      <c r="X221" t="s">
        <v>33</v>
      </c>
      <c r="Y221" t="s">
        <v>33</v>
      </c>
      <c r="Z221" s="5" t="s">
        <v>34</v>
      </c>
      <c r="AA221">
        <v>-75.566159999999996</v>
      </c>
      <c r="AB221">
        <v>6.1813820000000002</v>
      </c>
      <c r="AC221" t="s">
        <v>456</v>
      </c>
      <c r="AD221" t="s">
        <v>457</v>
      </c>
    </row>
    <row r="222" spans="1:30" x14ac:dyDescent="0.25">
      <c r="A222" t="s">
        <v>5466</v>
      </c>
      <c r="B222" t="s">
        <v>25</v>
      </c>
      <c r="C222" t="s">
        <v>26</v>
      </c>
      <c r="D222" t="s">
        <v>39</v>
      </c>
      <c r="E222" t="s">
        <v>5467</v>
      </c>
      <c r="F222" t="s">
        <v>5468</v>
      </c>
      <c r="G222">
        <v>45756577</v>
      </c>
      <c r="H222" t="s">
        <v>5469</v>
      </c>
      <c r="I222" s="4" t="s">
        <v>35</v>
      </c>
      <c r="J222" s="4" t="s">
        <v>5470</v>
      </c>
      <c r="K222" t="s">
        <v>5471</v>
      </c>
      <c r="L222" t="s">
        <v>27</v>
      </c>
      <c r="M222" t="s">
        <v>5472</v>
      </c>
      <c r="N222" t="s">
        <v>28</v>
      </c>
      <c r="O222" t="s">
        <v>40</v>
      </c>
      <c r="P222" t="s">
        <v>41</v>
      </c>
      <c r="Q222" t="s">
        <v>31</v>
      </c>
      <c r="R222">
        <v>5</v>
      </c>
      <c r="S222" t="s">
        <v>5473</v>
      </c>
      <c r="T222" t="s">
        <v>4952</v>
      </c>
      <c r="U222" t="s">
        <v>6573</v>
      </c>
      <c r="V222" t="s">
        <v>32</v>
      </c>
      <c r="W222" t="s">
        <v>33</v>
      </c>
      <c r="X222" t="s">
        <v>33</v>
      </c>
      <c r="Y222" t="s">
        <v>33</v>
      </c>
      <c r="Z222" s="5" t="s">
        <v>34</v>
      </c>
      <c r="AA222">
        <v>-75.612482</v>
      </c>
      <c r="AB222">
        <v>6.271528</v>
      </c>
      <c r="AC222" t="s">
        <v>456</v>
      </c>
      <c r="AD222" t="s">
        <v>457</v>
      </c>
    </row>
    <row r="223" spans="1:30" x14ac:dyDescent="0.25">
      <c r="A223" t="s">
        <v>933</v>
      </c>
      <c r="B223" t="s">
        <v>25</v>
      </c>
      <c r="C223" t="s">
        <v>26</v>
      </c>
      <c r="D223" t="s">
        <v>39</v>
      </c>
      <c r="E223" t="s">
        <v>934</v>
      </c>
      <c r="F223" t="s">
        <v>935</v>
      </c>
      <c r="G223">
        <v>1000919208</v>
      </c>
      <c r="H223" t="s">
        <v>936</v>
      </c>
      <c r="I223" s="4" t="s">
        <v>35</v>
      </c>
      <c r="J223" s="4" t="s">
        <v>937</v>
      </c>
      <c r="K223" t="s">
        <v>938</v>
      </c>
      <c r="L223" t="s">
        <v>77</v>
      </c>
      <c r="M223" t="s">
        <v>939</v>
      </c>
      <c r="N223" t="s">
        <v>78</v>
      </c>
      <c r="O223" t="s">
        <v>40</v>
      </c>
      <c r="P223" t="s">
        <v>36</v>
      </c>
      <c r="Q223" t="s">
        <v>38</v>
      </c>
      <c r="R223">
        <v>8</v>
      </c>
      <c r="S223" t="s">
        <v>940</v>
      </c>
      <c r="T223" t="s">
        <v>6571</v>
      </c>
      <c r="U223" t="s">
        <v>6572</v>
      </c>
      <c r="V223" t="s">
        <v>50</v>
      </c>
      <c r="W223" t="s">
        <v>33</v>
      </c>
      <c r="X223" t="s">
        <v>33</v>
      </c>
      <c r="Y223" t="s">
        <v>33</v>
      </c>
      <c r="Z223" s="5" t="s">
        <v>34</v>
      </c>
      <c r="AA223">
        <v>-75.64584533</v>
      </c>
      <c r="AB223">
        <v>6.0906396599999999</v>
      </c>
      <c r="AC223" t="s">
        <v>456</v>
      </c>
      <c r="AD223" t="s">
        <v>457</v>
      </c>
    </row>
    <row r="224" spans="1:30" x14ac:dyDescent="0.25">
      <c r="A224" t="s">
        <v>2457</v>
      </c>
      <c r="B224" t="s">
        <v>25</v>
      </c>
      <c r="C224" t="s">
        <v>26</v>
      </c>
      <c r="D224" t="s">
        <v>39</v>
      </c>
      <c r="E224" t="s">
        <v>2458</v>
      </c>
      <c r="F224" t="s">
        <v>2459</v>
      </c>
      <c r="G224">
        <v>42879571</v>
      </c>
      <c r="H224" t="s">
        <v>2460</v>
      </c>
      <c r="I224" s="4" t="s">
        <v>35</v>
      </c>
      <c r="J224" s="4" t="s">
        <v>2461</v>
      </c>
      <c r="K224" t="s">
        <v>2462</v>
      </c>
      <c r="L224" t="s">
        <v>27</v>
      </c>
      <c r="M224" t="s">
        <v>2463</v>
      </c>
      <c r="N224" t="s">
        <v>28</v>
      </c>
      <c r="O224" t="s">
        <v>46</v>
      </c>
      <c r="P224" t="s">
        <v>41</v>
      </c>
      <c r="Q224" t="s">
        <v>31</v>
      </c>
      <c r="R224">
        <v>5</v>
      </c>
      <c r="S224" t="s">
        <v>2464</v>
      </c>
      <c r="T224" t="s">
        <v>4788</v>
      </c>
      <c r="U224" t="s">
        <v>4787</v>
      </c>
      <c r="V224" t="s">
        <v>50</v>
      </c>
      <c r="W224" t="s">
        <v>33</v>
      </c>
      <c r="X224" t="s">
        <v>33</v>
      </c>
      <c r="Y224" t="s">
        <v>33</v>
      </c>
      <c r="Z224" s="5" t="s">
        <v>34</v>
      </c>
      <c r="AA224">
        <v>-75.557316130000004</v>
      </c>
      <c r="AB224">
        <v>6.1800870300000001</v>
      </c>
      <c r="AC224" t="s">
        <v>456</v>
      </c>
      <c r="AD224" t="s">
        <v>457</v>
      </c>
    </row>
    <row r="225" spans="1:30" x14ac:dyDescent="0.25">
      <c r="A225" t="s">
        <v>8093</v>
      </c>
      <c r="B225" t="s">
        <v>25</v>
      </c>
      <c r="C225" t="s">
        <v>26</v>
      </c>
      <c r="D225" t="s">
        <v>25</v>
      </c>
      <c r="E225" t="s">
        <v>8094</v>
      </c>
      <c r="F225" t="s">
        <v>8095</v>
      </c>
      <c r="G225">
        <v>8432390</v>
      </c>
      <c r="H225" t="s">
        <v>8096</v>
      </c>
      <c r="I225" s="4" t="s">
        <v>35</v>
      </c>
      <c r="J225" s="4" t="s">
        <v>8097</v>
      </c>
      <c r="K225" t="s">
        <v>8098</v>
      </c>
      <c r="L225" t="s">
        <v>61</v>
      </c>
      <c r="M225" t="s">
        <v>8099</v>
      </c>
      <c r="N225" t="s">
        <v>63</v>
      </c>
      <c r="O225" t="s">
        <v>29</v>
      </c>
      <c r="P225" t="s">
        <v>36</v>
      </c>
      <c r="Q225" t="s">
        <v>38</v>
      </c>
      <c r="R225">
        <v>10</v>
      </c>
      <c r="S225" t="s">
        <v>8100</v>
      </c>
      <c r="T225" t="s">
        <v>7859</v>
      </c>
      <c r="U225" t="s">
        <v>7860</v>
      </c>
      <c r="V225" t="s">
        <v>32</v>
      </c>
      <c r="W225" t="s">
        <v>33</v>
      </c>
      <c r="X225" t="s">
        <v>33</v>
      </c>
      <c r="Y225" t="s">
        <v>33</v>
      </c>
      <c r="Z225" s="5" t="s">
        <v>34</v>
      </c>
      <c r="AA225">
        <v>-75.632421780000001</v>
      </c>
      <c r="AB225">
        <v>6.1178880400000004</v>
      </c>
      <c r="AC225" t="s">
        <v>456</v>
      </c>
      <c r="AD225" t="s">
        <v>457</v>
      </c>
    </row>
    <row r="226" spans="1:30" x14ac:dyDescent="0.25">
      <c r="A226" t="s">
        <v>8101</v>
      </c>
      <c r="B226" t="s">
        <v>25</v>
      </c>
      <c r="C226" t="s">
        <v>26</v>
      </c>
      <c r="D226" t="s">
        <v>25</v>
      </c>
      <c r="E226" t="s">
        <v>8102</v>
      </c>
      <c r="F226" t="s">
        <v>8095</v>
      </c>
      <c r="G226">
        <v>8432390</v>
      </c>
      <c r="H226" t="s">
        <v>8096</v>
      </c>
      <c r="I226" s="4" t="s">
        <v>35</v>
      </c>
      <c r="J226" s="4" t="s">
        <v>8097</v>
      </c>
      <c r="K226" t="s">
        <v>8103</v>
      </c>
      <c r="L226" t="s">
        <v>61</v>
      </c>
      <c r="M226" t="s">
        <v>8104</v>
      </c>
      <c r="N226" t="s">
        <v>63</v>
      </c>
      <c r="O226" t="s">
        <v>29</v>
      </c>
      <c r="P226" t="s">
        <v>36</v>
      </c>
      <c r="Q226" t="s">
        <v>38</v>
      </c>
      <c r="R226">
        <v>10</v>
      </c>
      <c r="S226" t="s">
        <v>8100</v>
      </c>
      <c r="T226" t="s">
        <v>7859</v>
      </c>
      <c r="U226" t="s">
        <v>7860</v>
      </c>
      <c r="V226" t="s">
        <v>32</v>
      </c>
      <c r="W226" t="s">
        <v>33</v>
      </c>
      <c r="X226" t="s">
        <v>33</v>
      </c>
      <c r="Y226" t="s">
        <v>33</v>
      </c>
      <c r="Z226" s="5" t="s">
        <v>34</v>
      </c>
      <c r="AA226">
        <v>-75.632421780000001</v>
      </c>
      <c r="AB226">
        <v>6.1178880400000004</v>
      </c>
      <c r="AC226" t="s">
        <v>456</v>
      </c>
      <c r="AD226" t="s">
        <v>457</v>
      </c>
    </row>
    <row r="227" spans="1:30" x14ac:dyDescent="0.25">
      <c r="A227" t="s">
        <v>8105</v>
      </c>
      <c r="B227" t="s">
        <v>25</v>
      </c>
      <c r="C227" t="s">
        <v>26</v>
      </c>
      <c r="D227" t="s">
        <v>25</v>
      </c>
      <c r="E227" t="s">
        <v>8106</v>
      </c>
      <c r="F227" t="s">
        <v>8107</v>
      </c>
      <c r="G227">
        <v>8432390</v>
      </c>
      <c r="H227" t="s">
        <v>8096</v>
      </c>
      <c r="I227" s="4" t="s">
        <v>35</v>
      </c>
      <c r="J227" s="4" t="s">
        <v>8097</v>
      </c>
      <c r="K227" t="s">
        <v>8108</v>
      </c>
      <c r="L227" t="s">
        <v>61</v>
      </c>
      <c r="M227" t="s">
        <v>8109</v>
      </c>
      <c r="N227" t="s">
        <v>63</v>
      </c>
      <c r="O227" t="s">
        <v>29</v>
      </c>
      <c r="P227" t="s">
        <v>36</v>
      </c>
      <c r="Q227" t="s">
        <v>38</v>
      </c>
      <c r="R227">
        <v>10</v>
      </c>
      <c r="S227" t="s">
        <v>8110</v>
      </c>
      <c r="T227" t="s">
        <v>8111</v>
      </c>
      <c r="U227" t="s">
        <v>8112</v>
      </c>
      <c r="V227" t="s">
        <v>32</v>
      </c>
      <c r="W227" t="s">
        <v>33</v>
      </c>
      <c r="X227" t="s">
        <v>33</v>
      </c>
      <c r="Y227" t="s">
        <v>33</v>
      </c>
      <c r="Z227" s="5" t="s">
        <v>34</v>
      </c>
      <c r="AA227">
        <v>-75.632421780000001</v>
      </c>
      <c r="AB227">
        <v>6.1178880400000004</v>
      </c>
      <c r="AC227" t="s">
        <v>456</v>
      </c>
      <c r="AD227" t="s">
        <v>457</v>
      </c>
    </row>
    <row r="228" spans="1:30" x14ac:dyDescent="0.25">
      <c r="A228" t="s">
        <v>8113</v>
      </c>
      <c r="B228" t="s">
        <v>25</v>
      </c>
      <c r="C228" t="s">
        <v>26</v>
      </c>
      <c r="D228" t="s">
        <v>25</v>
      </c>
      <c r="E228" t="s">
        <v>8114</v>
      </c>
      <c r="F228" t="s">
        <v>8107</v>
      </c>
      <c r="G228">
        <v>8432390</v>
      </c>
      <c r="H228" t="s">
        <v>8096</v>
      </c>
      <c r="I228" s="4" t="s">
        <v>35</v>
      </c>
      <c r="J228" s="4" t="s">
        <v>8097</v>
      </c>
      <c r="K228" t="s">
        <v>8115</v>
      </c>
      <c r="L228" t="s">
        <v>61</v>
      </c>
      <c r="M228" t="s">
        <v>8116</v>
      </c>
      <c r="N228" t="s">
        <v>63</v>
      </c>
      <c r="O228" t="s">
        <v>29</v>
      </c>
      <c r="P228" t="s">
        <v>36</v>
      </c>
      <c r="Q228" t="s">
        <v>38</v>
      </c>
      <c r="R228">
        <v>10</v>
      </c>
      <c r="S228" t="s">
        <v>8110</v>
      </c>
      <c r="T228" t="s">
        <v>8111</v>
      </c>
      <c r="U228" t="s">
        <v>8112</v>
      </c>
      <c r="V228" t="s">
        <v>32</v>
      </c>
      <c r="W228" t="s">
        <v>33</v>
      </c>
      <c r="X228" t="s">
        <v>33</v>
      </c>
      <c r="Y228" t="s">
        <v>33</v>
      </c>
      <c r="Z228" s="5" t="s">
        <v>34</v>
      </c>
      <c r="AA228">
        <v>-75.632421780000001</v>
      </c>
      <c r="AB228">
        <v>6.1178880400000004</v>
      </c>
      <c r="AC228" t="s">
        <v>456</v>
      </c>
      <c r="AD228" t="s">
        <v>457</v>
      </c>
    </row>
    <row r="229" spans="1:30" x14ac:dyDescent="0.25">
      <c r="A229" t="s">
        <v>8117</v>
      </c>
      <c r="B229" t="s">
        <v>25</v>
      </c>
      <c r="C229" t="s">
        <v>26</v>
      </c>
      <c r="D229" t="s">
        <v>25</v>
      </c>
      <c r="E229" t="s">
        <v>8118</v>
      </c>
      <c r="F229" t="s">
        <v>8107</v>
      </c>
      <c r="G229">
        <v>15338612</v>
      </c>
      <c r="H229" t="s">
        <v>8119</v>
      </c>
      <c r="I229" s="4" t="s">
        <v>35</v>
      </c>
      <c r="J229" s="4" t="s">
        <v>8120</v>
      </c>
      <c r="K229" t="s">
        <v>8121</v>
      </c>
      <c r="L229" t="s">
        <v>61</v>
      </c>
      <c r="M229" t="s">
        <v>8122</v>
      </c>
      <c r="N229" t="s">
        <v>63</v>
      </c>
      <c r="O229" t="s">
        <v>29</v>
      </c>
      <c r="P229" t="s">
        <v>36</v>
      </c>
      <c r="Q229" t="s">
        <v>38</v>
      </c>
      <c r="R229">
        <v>10</v>
      </c>
      <c r="S229" t="s">
        <v>8110</v>
      </c>
      <c r="T229" t="s">
        <v>8111</v>
      </c>
      <c r="U229" t="s">
        <v>8112</v>
      </c>
      <c r="V229" t="s">
        <v>32</v>
      </c>
      <c r="W229" t="s">
        <v>33</v>
      </c>
      <c r="X229" t="s">
        <v>33</v>
      </c>
      <c r="Y229" t="s">
        <v>33</v>
      </c>
      <c r="Z229" s="5" t="s">
        <v>34</v>
      </c>
      <c r="AA229">
        <v>-75.629652820000004</v>
      </c>
      <c r="AB229">
        <v>6.1181262600000004</v>
      </c>
      <c r="AC229" t="s">
        <v>456</v>
      </c>
      <c r="AD229" t="s">
        <v>457</v>
      </c>
    </row>
    <row r="230" spans="1:30" x14ac:dyDescent="0.25">
      <c r="A230" t="s">
        <v>2465</v>
      </c>
      <c r="B230" t="s">
        <v>25</v>
      </c>
      <c r="C230" t="s">
        <v>26</v>
      </c>
      <c r="D230" t="s">
        <v>39</v>
      </c>
      <c r="E230" t="s">
        <v>2466</v>
      </c>
      <c r="F230" t="s">
        <v>2467</v>
      </c>
      <c r="G230">
        <v>1017122928</v>
      </c>
      <c r="H230" t="s">
        <v>2468</v>
      </c>
      <c r="I230" s="4" t="s">
        <v>35</v>
      </c>
      <c r="J230" s="4" t="s">
        <v>2469</v>
      </c>
      <c r="K230" t="s">
        <v>2470</v>
      </c>
      <c r="L230" t="s">
        <v>27</v>
      </c>
      <c r="M230" t="s">
        <v>2471</v>
      </c>
      <c r="N230" t="s">
        <v>28</v>
      </c>
      <c r="O230" t="s">
        <v>40</v>
      </c>
      <c r="P230" t="s">
        <v>41</v>
      </c>
      <c r="Q230" t="s">
        <v>38</v>
      </c>
      <c r="R230">
        <v>8</v>
      </c>
      <c r="S230" t="s">
        <v>2472</v>
      </c>
      <c r="T230" t="s">
        <v>6574</v>
      </c>
      <c r="U230" t="s">
        <v>6575</v>
      </c>
      <c r="V230" t="s">
        <v>32</v>
      </c>
      <c r="W230" t="s">
        <v>33</v>
      </c>
      <c r="X230" t="s">
        <v>33</v>
      </c>
      <c r="Y230" t="s">
        <v>33</v>
      </c>
      <c r="Z230" s="5" t="s">
        <v>34</v>
      </c>
      <c r="AA230">
        <v>-75.706355590000001</v>
      </c>
      <c r="AB230">
        <v>6.3203501500000003</v>
      </c>
      <c r="AC230" t="s">
        <v>456</v>
      </c>
      <c r="AD230" t="s">
        <v>457</v>
      </c>
    </row>
    <row r="231" spans="1:30" x14ac:dyDescent="0.25">
      <c r="A231" t="s">
        <v>941</v>
      </c>
      <c r="B231" t="s">
        <v>25</v>
      </c>
      <c r="C231" t="s">
        <v>26</v>
      </c>
      <c r="D231" t="s">
        <v>39</v>
      </c>
      <c r="E231" t="s">
        <v>942</v>
      </c>
      <c r="F231" t="s">
        <v>943</v>
      </c>
      <c r="G231">
        <v>21493698</v>
      </c>
      <c r="H231" t="s">
        <v>944</v>
      </c>
      <c r="I231" s="4" t="s">
        <v>35</v>
      </c>
      <c r="J231" s="4" t="s">
        <v>945</v>
      </c>
      <c r="K231" t="s">
        <v>946</v>
      </c>
      <c r="L231" t="s">
        <v>77</v>
      </c>
      <c r="M231" t="s">
        <v>947</v>
      </c>
      <c r="N231" t="s">
        <v>78</v>
      </c>
      <c r="O231" t="s">
        <v>40</v>
      </c>
      <c r="P231" t="s">
        <v>36</v>
      </c>
      <c r="Q231" t="s">
        <v>38</v>
      </c>
      <c r="R231">
        <v>8</v>
      </c>
      <c r="S231" t="s">
        <v>948</v>
      </c>
      <c r="T231" t="s">
        <v>6571</v>
      </c>
      <c r="U231" t="s">
        <v>6572</v>
      </c>
      <c r="V231" t="s">
        <v>50</v>
      </c>
      <c r="W231" t="s">
        <v>33</v>
      </c>
      <c r="X231" t="s">
        <v>33</v>
      </c>
      <c r="Y231" t="s">
        <v>33</v>
      </c>
      <c r="Z231" s="5" t="s">
        <v>34</v>
      </c>
      <c r="AA231">
        <v>-75.63509578</v>
      </c>
      <c r="AB231">
        <v>6.07050891</v>
      </c>
      <c r="AC231" t="s">
        <v>456</v>
      </c>
      <c r="AD231" t="s">
        <v>457</v>
      </c>
    </row>
    <row r="232" spans="1:30" x14ac:dyDescent="0.25">
      <c r="A232" t="s">
        <v>949</v>
      </c>
      <c r="B232" t="s">
        <v>25</v>
      </c>
      <c r="C232" t="s">
        <v>26</v>
      </c>
      <c r="D232" t="s">
        <v>39</v>
      </c>
      <c r="E232" t="s">
        <v>950</v>
      </c>
      <c r="F232" t="s">
        <v>951</v>
      </c>
      <c r="G232">
        <v>71395395</v>
      </c>
      <c r="H232" t="s">
        <v>952</v>
      </c>
      <c r="I232" s="4" t="s">
        <v>35</v>
      </c>
      <c r="J232" s="4" t="s">
        <v>953</v>
      </c>
      <c r="K232" t="s">
        <v>954</v>
      </c>
      <c r="L232" t="s">
        <v>77</v>
      </c>
      <c r="M232" t="s">
        <v>955</v>
      </c>
      <c r="N232" t="s">
        <v>78</v>
      </c>
      <c r="O232" t="s">
        <v>40</v>
      </c>
      <c r="P232" t="s">
        <v>36</v>
      </c>
      <c r="Q232" t="s">
        <v>38</v>
      </c>
      <c r="R232">
        <v>8</v>
      </c>
      <c r="S232" t="s">
        <v>956</v>
      </c>
      <c r="T232" t="s">
        <v>6571</v>
      </c>
      <c r="U232" t="s">
        <v>6572</v>
      </c>
      <c r="V232" t="s">
        <v>50</v>
      </c>
      <c r="W232" t="s">
        <v>33</v>
      </c>
      <c r="X232" t="s">
        <v>33</v>
      </c>
      <c r="Y232" t="s">
        <v>33</v>
      </c>
      <c r="Z232" s="5" t="s">
        <v>34</v>
      </c>
      <c r="AA232">
        <v>-75.635050000000007</v>
      </c>
      <c r="AB232">
        <v>6.070354</v>
      </c>
      <c r="AC232" t="s">
        <v>456</v>
      </c>
      <c r="AD232" t="s">
        <v>457</v>
      </c>
    </row>
    <row r="233" spans="1:30" x14ac:dyDescent="0.25">
      <c r="A233" t="s">
        <v>957</v>
      </c>
      <c r="B233" t="s">
        <v>25</v>
      </c>
      <c r="C233" t="s">
        <v>26</v>
      </c>
      <c r="D233" t="s">
        <v>39</v>
      </c>
      <c r="E233" t="s">
        <v>958</v>
      </c>
      <c r="F233" t="s">
        <v>959</v>
      </c>
      <c r="G233">
        <v>1026159445</v>
      </c>
      <c r="H233" t="s">
        <v>960</v>
      </c>
      <c r="I233" s="4" t="s">
        <v>961</v>
      </c>
      <c r="J233" s="4" t="s">
        <v>962</v>
      </c>
      <c r="K233" t="s">
        <v>963</v>
      </c>
      <c r="L233" t="s">
        <v>77</v>
      </c>
      <c r="M233" t="s">
        <v>964</v>
      </c>
      <c r="N233" t="s">
        <v>78</v>
      </c>
      <c r="O233" t="s">
        <v>40</v>
      </c>
      <c r="P233" t="s">
        <v>36</v>
      </c>
      <c r="Q233" t="s">
        <v>38</v>
      </c>
      <c r="R233">
        <v>8</v>
      </c>
      <c r="S233" t="s">
        <v>965</v>
      </c>
      <c r="T233" t="s">
        <v>6571</v>
      </c>
      <c r="U233" t="s">
        <v>6572</v>
      </c>
      <c r="V233" t="s">
        <v>50</v>
      </c>
      <c r="W233" t="s">
        <v>33</v>
      </c>
      <c r="X233" t="s">
        <v>33</v>
      </c>
      <c r="Y233" t="s">
        <v>33</v>
      </c>
      <c r="Z233" s="5" t="s">
        <v>34</v>
      </c>
      <c r="AA233">
        <v>-75.645960160000001</v>
      </c>
      <c r="AB233">
        <v>6.0904045299999998</v>
      </c>
      <c r="AC233" t="s">
        <v>456</v>
      </c>
      <c r="AD233" t="s">
        <v>457</v>
      </c>
    </row>
    <row r="234" spans="1:30" x14ac:dyDescent="0.25">
      <c r="A234" t="s">
        <v>2201</v>
      </c>
      <c r="B234" t="s">
        <v>25</v>
      </c>
      <c r="C234" t="s">
        <v>26</v>
      </c>
      <c r="D234" t="s">
        <v>25</v>
      </c>
      <c r="E234" t="s">
        <v>2202</v>
      </c>
      <c r="F234" t="s">
        <v>2203</v>
      </c>
      <c r="G234">
        <v>42827651</v>
      </c>
      <c r="H234" t="s">
        <v>2204</v>
      </c>
      <c r="I234" s="4" t="s">
        <v>2205</v>
      </c>
      <c r="J234" s="4" t="s">
        <v>2206</v>
      </c>
      <c r="K234" t="s">
        <v>2207</v>
      </c>
      <c r="L234" t="s">
        <v>27</v>
      </c>
      <c r="M234" t="s">
        <v>2208</v>
      </c>
      <c r="N234" t="s">
        <v>28</v>
      </c>
      <c r="O234" t="s">
        <v>29</v>
      </c>
      <c r="P234" t="s">
        <v>37</v>
      </c>
      <c r="Q234" t="s">
        <v>31</v>
      </c>
      <c r="R234">
        <v>7</v>
      </c>
      <c r="S234" t="s">
        <v>2209</v>
      </c>
      <c r="T234" t="s">
        <v>4790</v>
      </c>
      <c r="U234" t="s">
        <v>4789</v>
      </c>
      <c r="V234" t="s">
        <v>32</v>
      </c>
      <c r="W234" t="s">
        <v>33</v>
      </c>
      <c r="X234" t="s">
        <v>33</v>
      </c>
      <c r="Y234" t="s">
        <v>33</v>
      </c>
      <c r="Z234" s="5" t="s">
        <v>34</v>
      </c>
      <c r="AA234">
        <v>-75.641391290000001</v>
      </c>
      <c r="AB234">
        <v>6.1845155500000004</v>
      </c>
      <c r="AC234" t="s">
        <v>456</v>
      </c>
      <c r="AD234" t="s">
        <v>457</v>
      </c>
    </row>
    <row r="235" spans="1:30" x14ac:dyDescent="0.25">
      <c r="A235" t="s">
        <v>2473</v>
      </c>
      <c r="B235" t="s">
        <v>25</v>
      </c>
      <c r="C235" t="s">
        <v>26</v>
      </c>
      <c r="D235" t="s">
        <v>39</v>
      </c>
      <c r="E235" t="s">
        <v>2474</v>
      </c>
      <c r="F235" t="s">
        <v>2475</v>
      </c>
      <c r="G235">
        <v>43426674</v>
      </c>
      <c r="H235" t="s">
        <v>2476</v>
      </c>
      <c r="I235" s="4" t="s">
        <v>2477</v>
      </c>
      <c r="J235" s="4" t="s">
        <v>2478</v>
      </c>
      <c r="K235" t="s">
        <v>2479</v>
      </c>
      <c r="L235" t="s">
        <v>27</v>
      </c>
      <c r="M235" t="s">
        <v>2480</v>
      </c>
      <c r="N235" t="s">
        <v>28</v>
      </c>
      <c r="O235" t="s">
        <v>46</v>
      </c>
      <c r="P235" t="s">
        <v>41</v>
      </c>
      <c r="Q235" t="s">
        <v>31</v>
      </c>
      <c r="R235">
        <v>5</v>
      </c>
      <c r="S235" t="s">
        <v>2481</v>
      </c>
      <c r="T235" t="s">
        <v>4792</v>
      </c>
      <c r="U235" t="s">
        <v>4791</v>
      </c>
      <c r="V235" t="s">
        <v>50</v>
      </c>
      <c r="W235" t="s">
        <v>33</v>
      </c>
      <c r="X235" t="s">
        <v>33</v>
      </c>
      <c r="Y235" t="s">
        <v>33</v>
      </c>
      <c r="Z235" s="5" t="s">
        <v>34</v>
      </c>
      <c r="AA235">
        <v>-75.542194109999997</v>
      </c>
      <c r="AB235">
        <v>6.2392318600000003</v>
      </c>
      <c r="AC235" t="s">
        <v>456</v>
      </c>
      <c r="AD235" t="s">
        <v>457</v>
      </c>
    </row>
    <row r="236" spans="1:30" x14ac:dyDescent="0.25">
      <c r="A236" t="s">
        <v>966</v>
      </c>
      <c r="B236" t="s">
        <v>25</v>
      </c>
      <c r="C236" t="s">
        <v>26</v>
      </c>
      <c r="D236" t="s">
        <v>25</v>
      </c>
      <c r="E236" t="s">
        <v>967</v>
      </c>
      <c r="F236" t="s">
        <v>968</v>
      </c>
      <c r="G236">
        <v>98545915</v>
      </c>
      <c r="H236" t="s">
        <v>969</v>
      </c>
      <c r="I236" s="4" t="s">
        <v>35</v>
      </c>
      <c r="J236" s="4" t="s">
        <v>970</v>
      </c>
      <c r="K236" t="s">
        <v>971</v>
      </c>
      <c r="L236" t="s">
        <v>49</v>
      </c>
      <c r="M236" t="s">
        <v>972</v>
      </c>
      <c r="N236" t="s">
        <v>84</v>
      </c>
      <c r="O236" t="s">
        <v>29</v>
      </c>
      <c r="P236" t="s">
        <v>37</v>
      </c>
      <c r="Q236" t="s">
        <v>31</v>
      </c>
      <c r="R236">
        <v>7</v>
      </c>
      <c r="S236" t="s">
        <v>973</v>
      </c>
      <c r="T236" t="s">
        <v>4794</v>
      </c>
      <c r="U236" t="s">
        <v>4793</v>
      </c>
      <c r="V236" t="s">
        <v>32</v>
      </c>
      <c r="W236" t="s">
        <v>33</v>
      </c>
      <c r="X236" t="s">
        <v>33</v>
      </c>
      <c r="Y236" t="s">
        <v>33</v>
      </c>
      <c r="Z236" s="5" t="s">
        <v>34</v>
      </c>
      <c r="AA236">
        <v>-75.58228106</v>
      </c>
      <c r="AB236">
        <v>6.1663364200000004</v>
      </c>
      <c r="AC236" t="s">
        <v>456</v>
      </c>
      <c r="AD236" t="s">
        <v>457</v>
      </c>
    </row>
    <row r="237" spans="1:30" x14ac:dyDescent="0.25">
      <c r="A237" t="s">
        <v>3662</v>
      </c>
      <c r="B237" t="s">
        <v>25</v>
      </c>
      <c r="C237" t="s">
        <v>26</v>
      </c>
      <c r="D237" t="s">
        <v>25</v>
      </c>
      <c r="E237" t="s">
        <v>3663</v>
      </c>
      <c r="F237" t="s">
        <v>3664</v>
      </c>
      <c r="G237">
        <v>32296024</v>
      </c>
      <c r="H237" t="s">
        <v>3665</v>
      </c>
      <c r="I237" s="4" t="s">
        <v>35</v>
      </c>
      <c r="J237" s="4" t="s">
        <v>3666</v>
      </c>
      <c r="K237" t="s">
        <v>3667</v>
      </c>
      <c r="L237" t="s">
        <v>79</v>
      </c>
      <c r="M237" t="s">
        <v>3668</v>
      </c>
      <c r="N237" t="s">
        <v>80</v>
      </c>
      <c r="O237" t="s">
        <v>29</v>
      </c>
      <c r="P237" t="s">
        <v>37</v>
      </c>
      <c r="Q237" t="s">
        <v>31</v>
      </c>
      <c r="R237">
        <v>7</v>
      </c>
      <c r="S237" t="s">
        <v>3669</v>
      </c>
      <c r="T237" t="s">
        <v>6576</v>
      </c>
      <c r="U237" t="s">
        <v>6577</v>
      </c>
      <c r="V237" t="s">
        <v>32</v>
      </c>
      <c r="W237" t="s">
        <v>33</v>
      </c>
      <c r="X237" t="s">
        <v>33</v>
      </c>
      <c r="Y237" t="s">
        <v>33</v>
      </c>
      <c r="Z237" s="5" t="s">
        <v>34</v>
      </c>
      <c r="AA237">
        <v>-75.599127749999994</v>
      </c>
      <c r="AB237">
        <v>6.1502203599999996</v>
      </c>
      <c r="AC237" t="s">
        <v>456</v>
      </c>
      <c r="AD237" t="s">
        <v>457</v>
      </c>
    </row>
    <row r="238" spans="1:30" x14ac:dyDescent="0.25">
      <c r="A238" t="s">
        <v>974</v>
      </c>
      <c r="B238" t="s">
        <v>25</v>
      </c>
      <c r="C238" t="s">
        <v>26</v>
      </c>
      <c r="D238" t="s">
        <v>39</v>
      </c>
      <c r="E238" t="s">
        <v>975</v>
      </c>
      <c r="F238" t="s">
        <v>976</v>
      </c>
      <c r="G238">
        <v>21991377</v>
      </c>
      <c r="H238" t="s">
        <v>977</v>
      </c>
      <c r="I238" s="4" t="s">
        <v>35</v>
      </c>
      <c r="J238" s="4" t="s">
        <v>978</v>
      </c>
      <c r="K238" t="s">
        <v>979</v>
      </c>
      <c r="L238" t="s">
        <v>77</v>
      </c>
      <c r="M238" t="s">
        <v>980</v>
      </c>
      <c r="N238" t="s">
        <v>78</v>
      </c>
      <c r="O238" t="s">
        <v>40</v>
      </c>
      <c r="P238" t="s">
        <v>36</v>
      </c>
      <c r="Q238" t="s">
        <v>38</v>
      </c>
      <c r="R238">
        <v>8</v>
      </c>
      <c r="S238" t="s">
        <v>981</v>
      </c>
      <c r="T238" t="s">
        <v>6571</v>
      </c>
      <c r="U238" t="s">
        <v>6572</v>
      </c>
      <c r="V238" t="s">
        <v>50</v>
      </c>
      <c r="W238" t="s">
        <v>33</v>
      </c>
      <c r="X238" t="s">
        <v>33</v>
      </c>
      <c r="Y238" t="s">
        <v>33</v>
      </c>
      <c r="Z238" s="5" t="s">
        <v>34</v>
      </c>
      <c r="AA238">
        <v>-75.638880999999998</v>
      </c>
      <c r="AB238">
        <v>6.0835499999999998</v>
      </c>
      <c r="AC238" t="s">
        <v>456</v>
      </c>
      <c r="AD238" t="s">
        <v>457</v>
      </c>
    </row>
    <row r="239" spans="1:30" x14ac:dyDescent="0.25">
      <c r="A239" t="s">
        <v>982</v>
      </c>
      <c r="B239" t="s">
        <v>25</v>
      </c>
      <c r="C239" t="s">
        <v>26</v>
      </c>
      <c r="D239" t="s">
        <v>39</v>
      </c>
      <c r="E239" t="s">
        <v>983</v>
      </c>
      <c r="F239" t="s">
        <v>984</v>
      </c>
      <c r="G239">
        <v>43000605</v>
      </c>
      <c r="H239" t="s">
        <v>985</v>
      </c>
      <c r="I239" s="4" t="s">
        <v>35</v>
      </c>
      <c r="J239" s="4" t="s">
        <v>986</v>
      </c>
      <c r="K239" t="s">
        <v>987</v>
      </c>
      <c r="L239" t="s">
        <v>77</v>
      </c>
      <c r="M239" t="s">
        <v>988</v>
      </c>
      <c r="N239" t="s">
        <v>78</v>
      </c>
      <c r="O239" t="s">
        <v>40</v>
      </c>
      <c r="P239" t="s">
        <v>36</v>
      </c>
      <c r="Q239" t="s">
        <v>38</v>
      </c>
      <c r="R239">
        <v>8</v>
      </c>
      <c r="S239" t="s">
        <v>989</v>
      </c>
      <c r="T239" t="s">
        <v>6571</v>
      </c>
      <c r="U239" t="s">
        <v>6572</v>
      </c>
      <c r="V239" t="s">
        <v>50</v>
      </c>
      <c r="W239" t="s">
        <v>33</v>
      </c>
      <c r="X239" t="s">
        <v>33</v>
      </c>
      <c r="Y239" t="s">
        <v>33</v>
      </c>
      <c r="Z239" s="5" t="s">
        <v>34</v>
      </c>
      <c r="AA239">
        <v>-75.627865850000006</v>
      </c>
      <c r="AB239">
        <v>6.0573459300000003</v>
      </c>
      <c r="AC239" t="s">
        <v>456</v>
      </c>
      <c r="AD239" t="s">
        <v>457</v>
      </c>
    </row>
    <row r="240" spans="1:30" x14ac:dyDescent="0.25">
      <c r="A240" t="s">
        <v>990</v>
      </c>
      <c r="B240" t="s">
        <v>25</v>
      </c>
      <c r="C240" t="s">
        <v>26</v>
      </c>
      <c r="D240" t="s">
        <v>39</v>
      </c>
      <c r="E240" t="s">
        <v>991</v>
      </c>
      <c r="F240" t="s">
        <v>992</v>
      </c>
      <c r="G240">
        <v>43485510</v>
      </c>
      <c r="H240" t="s">
        <v>993</v>
      </c>
      <c r="I240" s="4" t="s">
        <v>35</v>
      </c>
      <c r="J240" s="4" t="s">
        <v>994</v>
      </c>
      <c r="K240" t="s">
        <v>995</v>
      </c>
      <c r="L240" t="s">
        <v>27</v>
      </c>
      <c r="M240" t="s">
        <v>996</v>
      </c>
      <c r="N240" t="s">
        <v>28</v>
      </c>
      <c r="O240" t="s">
        <v>46</v>
      </c>
      <c r="P240" t="s">
        <v>41</v>
      </c>
      <c r="Q240" t="s">
        <v>38</v>
      </c>
      <c r="R240">
        <v>8</v>
      </c>
      <c r="S240" t="s">
        <v>997</v>
      </c>
      <c r="T240" t="s">
        <v>6578</v>
      </c>
      <c r="U240" t="s">
        <v>6579</v>
      </c>
      <c r="V240" t="s">
        <v>50</v>
      </c>
      <c r="W240" t="s">
        <v>33</v>
      </c>
      <c r="X240" t="s">
        <v>33</v>
      </c>
      <c r="Y240" t="s">
        <v>33</v>
      </c>
      <c r="Z240" s="5" t="s">
        <v>34</v>
      </c>
      <c r="AA240">
        <v>-75.492155069999995</v>
      </c>
      <c r="AB240">
        <v>6.2606401099999998</v>
      </c>
      <c r="AC240" t="s">
        <v>456</v>
      </c>
      <c r="AD240" t="s">
        <v>457</v>
      </c>
    </row>
    <row r="241" spans="1:30" x14ac:dyDescent="0.25">
      <c r="A241" t="s">
        <v>3670</v>
      </c>
      <c r="B241" t="s">
        <v>25</v>
      </c>
      <c r="C241" t="s">
        <v>26</v>
      </c>
      <c r="D241" t="s">
        <v>39</v>
      </c>
      <c r="E241" t="s">
        <v>3671</v>
      </c>
      <c r="F241" t="s">
        <v>3672</v>
      </c>
      <c r="G241">
        <v>43677882</v>
      </c>
      <c r="H241" t="s">
        <v>3673</v>
      </c>
      <c r="I241" s="4" t="s">
        <v>35</v>
      </c>
      <c r="J241" s="4" t="s">
        <v>3674</v>
      </c>
      <c r="K241" t="s">
        <v>3675</v>
      </c>
      <c r="L241" t="s">
        <v>27</v>
      </c>
      <c r="M241" t="s">
        <v>3676</v>
      </c>
      <c r="N241" t="s">
        <v>28</v>
      </c>
      <c r="O241" t="s">
        <v>46</v>
      </c>
      <c r="P241" t="s">
        <v>41</v>
      </c>
      <c r="Q241" t="s">
        <v>31</v>
      </c>
      <c r="R241">
        <v>5</v>
      </c>
      <c r="S241" t="s">
        <v>3677</v>
      </c>
      <c r="T241" t="s">
        <v>4879</v>
      </c>
      <c r="U241" t="s">
        <v>6580</v>
      </c>
      <c r="V241" t="s">
        <v>32</v>
      </c>
      <c r="W241" t="s">
        <v>33</v>
      </c>
      <c r="X241" t="s">
        <v>33</v>
      </c>
      <c r="Y241" t="s">
        <v>33</v>
      </c>
      <c r="Z241" s="5" t="s">
        <v>34</v>
      </c>
      <c r="AA241">
        <v>-75.632484790000007</v>
      </c>
      <c r="AB241">
        <v>6.2847516900000002</v>
      </c>
      <c r="AC241" t="s">
        <v>456</v>
      </c>
      <c r="AD241" t="s">
        <v>457</v>
      </c>
    </row>
    <row r="242" spans="1:30" x14ac:dyDescent="0.25">
      <c r="A242" t="s">
        <v>998</v>
      </c>
      <c r="B242" t="s">
        <v>25</v>
      </c>
      <c r="C242" t="s">
        <v>26</v>
      </c>
      <c r="D242" t="s">
        <v>25</v>
      </c>
      <c r="E242" t="s">
        <v>999</v>
      </c>
      <c r="F242" t="s">
        <v>1000</v>
      </c>
      <c r="G242">
        <v>98518408</v>
      </c>
      <c r="H242" t="s">
        <v>1001</v>
      </c>
      <c r="I242" s="4" t="s">
        <v>35</v>
      </c>
      <c r="J242" s="4" t="s">
        <v>1002</v>
      </c>
      <c r="K242" t="s">
        <v>1003</v>
      </c>
      <c r="L242" t="s">
        <v>61</v>
      </c>
      <c r="M242" t="s">
        <v>1004</v>
      </c>
      <c r="N242" t="s">
        <v>63</v>
      </c>
      <c r="O242" t="s">
        <v>29</v>
      </c>
      <c r="P242" t="s">
        <v>36</v>
      </c>
      <c r="Q242" t="s">
        <v>38</v>
      </c>
      <c r="R242">
        <v>10</v>
      </c>
      <c r="S242" t="s">
        <v>1005</v>
      </c>
      <c r="T242" t="s">
        <v>6581</v>
      </c>
      <c r="U242" t="s">
        <v>6582</v>
      </c>
      <c r="V242" t="s">
        <v>50</v>
      </c>
      <c r="W242" t="s">
        <v>33</v>
      </c>
      <c r="X242" t="s">
        <v>33</v>
      </c>
      <c r="Y242" t="s">
        <v>33</v>
      </c>
      <c r="Z242" s="5" t="s">
        <v>34</v>
      </c>
      <c r="AA242">
        <v>-75.635803039999999</v>
      </c>
      <c r="AB242">
        <v>6.1372650899999996</v>
      </c>
      <c r="AC242" t="s">
        <v>456</v>
      </c>
      <c r="AD242" t="s">
        <v>457</v>
      </c>
    </row>
    <row r="243" spans="1:30" x14ac:dyDescent="0.25">
      <c r="A243" t="s">
        <v>564</v>
      </c>
      <c r="B243" t="s">
        <v>25</v>
      </c>
      <c r="C243" t="s">
        <v>26</v>
      </c>
      <c r="D243" t="s">
        <v>25</v>
      </c>
      <c r="E243" t="s">
        <v>565</v>
      </c>
      <c r="F243" t="s">
        <v>566</v>
      </c>
      <c r="G243">
        <v>98521717</v>
      </c>
      <c r="H243" t="s">
        <v>567</v>
      </c>
      <c r="I243" s="4" t="s">
        <v>35</v>
      </c>
      <c r="J243" s="4" t="s">
        <v>568</v>
      </c>
      <c r="K243" t="s">
        <v>569</v>
      </c>
      <c r="L243" t="s">
        <v>77</v>
      </c>
      <c r="M243" t="s">
        <v>570</v>
      </c>
      <c r="N243" t="s">
        <v>78</v>
      </c>
      <c r="O243" t="s">
        <v>29</v>
      </c>
      <c r="P243" t="s">
        <v>36</v>
      </c>
      <c r="Q243" t="s">
        <v>31</v>
      </c>
      <c r="R243">
        <v>7</v>
      </c>
      <c r="S243" t="s">
        <v>571</v>
      </c>
      <c r="T243" t="s">
        <v>6583</v>
      </c>
      <c r="U243" t="s">
        <v>47</v>
      </c>
      <c r="V243" t="s">
        <v>47</v>
      </c>
      <c r="W243" t="s">
        <v>33</v>
      </c>
      <c r="X243" t="s">
        <v>33</v>
      </c>
      <c r="Y243" t="s">
        <v>33</v>
      </c>
      <c r="Z243" s="5" t="s">
        <v>34</v>
      </c>
      <c r="AA243">
        <v>-75.634003919999998</v>
      </c>
      <c r="AB243">
        <v>6.0871521800000004</v>
      </c>
      <c r="AC243" t="s">
        <v>456</v>
      </c>
      <c r="AD243" t="s">
        <v>457</v>
      </c>
    </row>
    <row r="244" spans="1:30" x14ac:dyDescent="0.25">
      <c r="A244" t="s">
        <v>1006</v>
      </c>
      <c r="B244" t="s">
        <v>25</v>
      </c>
      <c r="C244" t="s">
        <v>26</v>
      </c>
      <c r="D244" t="s">
        <v>39</v>
      </c>
      <c r="E244" t="s">
        <v>1007</v>
      </c>
      <c r="F244" t="s">
        <v>1008</v>
      </c>
      <c r="G244">
        <v>21533978</v>
      </c>
      <c r="H244" t="s">
        <v>1009</v>
      </c>
      <c r="I244" s="4" t="s">
        <v>35</v>
      </c>
      <c r="J244" s="4" t="s">
        <v>1010</v>
      </c>
      <c r="K244" t="s">
        <v>1011</v>
      </c>
      <c r="L244" t="s">
        <v>77</v>
      </c>
      <c r="M244" t="s">
        <v>1012</v>
      </c>
      <c r="N244" t="s">
        <v>78</v>
      </c>
      <c r="O244" t="s">
        <v>40</v>
      </c>
      <c r="P244" t="s">
        <v>36</v>
      </c>
      <c r="Q244" t="s">
        <v>38</v>
      </c>
      <c r="R244">
        <v>8</v>
      </c>
      <c r="S244" t="s">
        <v>1013</v>
      </c>
      <c r="T244" t="s">
        <v>6571</v>
      </c>
      <c r="U244" t="s">
        <v>6572</v>
      </c>
      <c r="V244" t="s">
        <v>50</v>
      </c>
      <c r="W244" t="s">
        <v>33</v>
      </c>
      <c r="X244" t="s">
        <v>33</v>
      </c>
      <c r="Y244" t="s">
        <v>33</v>
      </c>
      <c r="Z244" s="5" t="s">
        <v>34</v>
      </c>
      <c r="AA244">
        <v>-75.618030540000007</v>
      </c>
      <c r="AB244">
        <v>6.0968372799999999</v>
      </c>
      <c r="AC244" t="s">
        <v>456</v>
      </c>
      <c r="AD244" t="s">
        <v>457</v>
      </c>
    </row>
    <row r="245" spans="1:30" x14ac:dyDescent="0.25">
      <c r="A245" t="s">
        <v>3678</v>
      </c>
      <c r="B245" t="s">
        <v>25</v>
      </c>
      <c r="C245" t="s">
        <v>26</v>
      </c>
      <c r="D245" t="s">
        <v>39</v>
      </c>
      <c r="E245" t="s">
        <v>3679</v>
      </c>
      <c r="F245" t="s">
        <v>3680</v>
      </c>
      <c r="G245">
        <v>45371641</v>
      </c>
      <c r="H245" t="s">
        <v>3681</v>
      </c>
      <c r="I245" s="4" t="s">
        <v>1124</v>
      </c>
      <c r="J245" s="4" t="s">
        <v>3682</v>
      </c>
      <c r="K245" t="s">
        <v>3683</v>
      </c>
      <c r="L245" t="s">
        <v>27</v>
      </c>
      <c r="M245" t="s">
        <v>3684</v>
      </c>
      <c r="N245" t="s">
        <v>28</v>
      </c>
      <c r="O245" t="s">
        <v>40</v>
      </c>
      <c r="P245" t="s">
        <v>41</v>
      </c>
      <c r="Q245" t="s">
        <v>31</v>
      </c>
      <c r="R245">
        <v>5</v>
      </c>
      <c r="S245" t="s">
        <v>3685</v>
      </c>
      <c r="T245" t="s">
        <v>4886</v>
      </c>
      <c r="U245" t="s">
        <v>4887</v>
      </c>
      <c r="V245" t="s">
        <v>32</v>
      </c>
      <c r="W245" t="s">
        <v>33</v>
      </c>
      <c r="X245" t="s">
        <v>33</v>
      </c>
      <c r="Y245" t="s">
        <v>33</v>
      </c>
      <c r="Z245" s="5" t="s">
        <v>34</v>
      </c>
      <c r="AA245">
        <v>-75.542432270000006</v>
      </c>
      <c r="AB245">
        <v>6.2435485599999998</v>
      </c>
      <c r="AC245" t="s">
        <v>456</v>
      </c>
      <c r="AD245" t="s">
        <v>457</v>
      </c>
    </row>
    <row r="246" spans="1:30" x14ac:dyDescent="0.25">
      <c r="A246" t="s">
        <v>2482</v>
      </c>
      <c r="B246" t="s">
        <v>25</v>
      </c>
      <c r="C246" t="s">
        <v>26</v>
      </c>
      <c r="D246" t="s">
        <v>39</v>
      </c>
      <c r="E246" t="s">
        <v>2483</v>
      </c>
      <c r="F246" t="s">
        <v>2484</v>
      </c>
      <c r="G246">
        <v>39166721</v>
      </c>
      <c r="H246" t="s">
        <v>2485</v>
      </c>
      <c r="I246" s="4" t="s">
        <v>35</v>
      </c>
      <c r="J246" s="4" t="s">
        <v>2486</v>
      </c>
      <c r="K246" t="s">
        <v>2487</v>
      </c>
      <c r="L246" t="s">
        <v>77</v>
      </c>
      <c r="M246" t="s">
        <v>2488</v>
      </c>
      <c r="N246" t="s">
        <v>78</v>
      </c>
      <c r="O246" t="s">
        <v>40</v>
      </c>
      <c r="P246" t="s">
        <v>36</v>
      </c>
      <c r="Q246" t="s">
        <v>31</v>
      </c>
      <c r="R246">
        <v>5</v>
      </c>
      <c r="S246" t="s">
        <v>2489</v>
      </c>
      <c r="T246" t="s">
        <v>4796</v>
      </c>
      <c r="U246" t="s">
        <v>3139</v>
      </c>
      <c r="V246" t="s">
        <v>50</v>
      </c>
      <c r="W246" t="s">
        <v>33</v>
      </c>
      <c r="X246" t="s">
        <v>33</v>
      </c>
      <c r="Y246" t="s">
        <v>33</v>
      </c>
      <c r="Z246" s="5" t="s">
        <v>34</v>
      </c>
      <c r="AA246">
        <v>-75.641378149999994</v>
      </c>
      <c r="AB246">
        <v>6.1099101300000003</v>
      </c>
      <c r="AC246" t="s">
        <v>456</v>
      </c>
      <c r="AD246" t="s">
        <v>457</v>
      </c>
    </row>
    <row r="247" spans="1:30" x14ac:dyDescent="0.25">
      <c r="A247" t="s">
        <v>1014</v>
      </c>
      <c r="B247" t="s">
        <v>25</v>
      </c>
      <c r="C247" t="s">
        <v>26</v>
      </c>
      <c r="D247" t="s">
        <v>39</v>
      </c>
      <c r="E247" t="s">
        <v>1015</v>
      </c>
      <c r="F247" t="s">
        <v>1016</v>
      </c>
      <c r="G247">
        <v>70567716</v>
      </c>
      <c r="H247" t="s">
        <v>1017</v>
      </c>
      <c r="I247" s="4" t="s">
        <v>1018</v>
      </c>
      <c r="J247" s="4" t="s">
        <v>1019</v>
      </c>
      <c r="K247" t="s">
        <v>1020</v>
      </c>
      <c r="L247" t="s">
        <v>77</v>
      </c>
      <c r="M247" t="s">
        <v>1021</v>
      </c>
      <c r="N247" t="s">
        <v>78</v>
      </c>
      <c r="O247" t="s">
        <v>40</v>
      </c>
      <c r="P247" t="s">
        <v>36</v>
      </c>
      <c r="Q247" t="s">
        <v>38</v>
      </c>
      <c r="R247">
        <v>8</v>
      </c>
      <c r="S247" t="s">
        <v>1022</v>
      </c>
      <c r="T247" t="s">
        <v>6571</v>
      </c>
      <c r="U247" t="s">
        <v>6572</v>
      </c>
      <c r="V247" t="s">
        <v>50</v>
      </c>
      <c r="W247" t="s">
        <v>33</v>
      </c>
      <c r="X247" t="s">
        <v>33</v>
      </c>
      <c r="Y247" t="s">
        <v>33</v>
      </c>
      <c r="Z247" s="5" t="s">
        <v>34</v>
      </c>
      <c r="AA247">
        <v>-75.638816480000003</v>
      </c>
      <c r="AB247">
        <v>6.0835469399999997</v>
      </c>
      <c r="AC247" t="s">
        <v>456</v>
      </c>
      <c r="AD247" t="s">
        <v>457</v>
      </c>
    </row>
    <row r="248" spans="1:30" x14ac:dyDescent="0.25">
      <c r="A248" t="s">
        <v>1023</v>
      </c>
      <c r="B248" t="s">
        <v>25</v>
      </c>
      <c r="C248" t="s">
        <v>26</v>
      </c>
      <c r="D248" t="s">
        <v>39</v>
      </c>
      <c r="E248" t="s">
        <v>1024</v>
      </c>
      <c r="F248" t="s">
        <v>1025</v>
      </c>
      <c r="G248">
        <v>21620236</v>
      </c>
      <c r="H248" t="s">
        <v>1026</v>
      </c>
      <c r="I248" s="4" t="s">
        <v>35</v>
      </c>
      <c r="J248" s="4" t="s">
        <v>1027</v>
      </c>
      <c r="K248" t="s">
        <v>1028</v>
      </c>
      <c r="L248" t="s">
        <v>77</v>
      </c>
      <c r="M248" t="s">
        <v>1029</v>
      </c>
      <c r="N248" t="s">
        <v>78</v>
      </c>
      <c r="O248" t="s">
        <v>40</v>
      </c>
      <c r="P248" t="s">
        <v>36</v>
      </c>
      <c r="Q248" t="s">
        <v>38</v>
      </c>
      <c r="R248">
        <v>8</v>
      </c>
      <c r="S248" t="s">
        <v>1030</v>
      </c>
      <c r="T248" t="s">
        <v>6571</v>
      </c>
      <c r="U248" t="s">
        <v>6572</v>
      </c>
      <c r="V248" t="s">
        <v>50</v>
      </c>
      <c r="W248" t="s">
        <v>33</v>
      </c>
      <c r="X248" t="s">
        <v>33</v>
      </c>
      <c r="Y248" t="s">
        <v>33</v>
      </c>
      <c r="Z248" s="5" t="s">
        <v>34</v>
      </c>
      <c r="AA248">
        <v>-75.618901129999998</v>
      </c>
      <c r="AB248">
        <v>6.0442584400000001</v>
      </c>
      <c r="AC248" t="s">
        <v>456</v>
      </c>
      <c r="AD248" t="s">
        <v>457</v>
      </c>
    </row>
    <row r="249" spans="1:30" x14ac:dyDescent="0.25">
      <c r="A249" t="s">
        <v>1031</v>
      </c>
      <c r="B249" t="s">
        <v>25</v>
      </c>
      <c r="C249" t="s">
        <v>26</v>
      </c>
      <c r="D249" t="s">
        <v>39</v>
      </c>
      <c r="E249" t="s">
        <v>1032</v>
      </c>
      <c r="F249" t="s">
        <v>1033</v>
      </c>
      <c r="G249">
        <v>43681705</v>
      </c>
      <c r="H249" t="s">
        <v>1034</v>
      </c>
      <c r="I249" s="4" t="s">
        <v>1035</v>
      </c>
      <c r="J249" s="4" t="s">
        <v>1036</v>
      </c>
      <c r="K249" t="s">
        <v>1037</v>
      </c>
      <c r="L249" t="s">
        <v>61</v>
      </c>
      <c r="M249" t="s">
        <v>1038</v>
      </c>
      <c r="N249" t="s">
        <v>63</v>
      </c>
      <c r="O249" t="s">
        <v>40</v>
      </c>
      <c r="P249" t="s">
        <v>36</v>
      </c>
      <c r="Q249" t="s">
        <v>38</v>
      </c>
      <c r="R249">
        <v>8</v>
      </c>
      <c r="S249" t="s">
        <v>1039</v>
      </c>
      <c r="T249" t="s">
        <v>6584</v>
      </c>
      <c r="U249" t="s">
        <v>47</v>
      </c>
      <c r="V249" t="s">
        <v>47</v>
      </c>
      <c r="W249" t="s">
        <v>33</v>
      </c>
      <c r="X249" t="s">
        <v>33</v>
      </c>
      <c r="Y249" t="s">
        <v>33</v>
      </c>
      <c r="Z249" s="5" t="s">
        <v>34</v>
      </c>
      <c r="AA249">
        <v>-75.632054659999994</v>
      </c>
      <c r="AB249">
        <v>6.1164638199999999</v>
      </c>
      <c r="AC249" t="s">
        <v>456</v>
      </c>
      <c r="AD249" t="s">
        <v>457</v>
      </c>
    </row>
    <row r="250" spans="1:30" x14ac:dyDescent="0.25">
      <c r="A250" t="s">
        <v>1040</v>
      </c>
      <c r="B250" t="s">
        <v>25</v>
      </c>
      <c r="C250" t="s">
        <v>26</v>
      </c>
      <c r="D250" t="s">
        <v>39</v>
      </c>
      <c r="E250" t="s">
        <v>1041</v>
      </c>
      <c r="F250" t="s">
        <v>1042</v>
      </c>
      <c r="G250">
        <v>71758692</v>
      </c>
      <c r="H250" t="s">
        <v>1043</v>
      </c>
      <c r="I250" s="4" t="s">
        <v>35</v>
      </c>
      <c r="J250" s="4" t="s">
        <v>1044</v>
      </c>
      <c r="K250" t="s">
        <v>1045</v>
      </c>
      <c r="L250" t="s">
        <v>27</v>
      </c>
      <c r="M250" t="s">
        <v>1046</v>
      </c>
      <c r="N250" t="s">
        <v>28</v>
      </c>
      <c r="O250" t="s">
        <v>46</v>
      </c>
      <c r="P250" t="s">
        <v>41</v>
      </c>
      <c r="Q250" t="s">
        <v>31</v>
      </c>
      <c r="R250">
        <v>5</v>
      </c>
      <c r="S250" t="s">
        <v>1047</v>
      </c>
      <c r="T250" t="s">
        <v>6585</v>
      </c>
      <c r="U250" t="s">
        <v>6586</v>
      </c>
      <c r="V250" t="s">
        <v>50</v>
      </c>
      <c r="W250" t="s">
        <v>33</v>
      </c>
      <c r="X250" t="s">
        <v>33</v>
      </c>
      <c r="Y250" t="s">
        <v>33</v>
      </c>
      <c r="Z250" s="5" t="s">
        <v>34</v>
      </c>
      <c r="AA250">
        <v>-75.539600149999998</v>
      </c>
      <c r="AB250">
        <v>6.2562855900000001</v>
      </c>
      <c r="AC250" t="s">
        <v>456</v>
      </c>
      <c r="AD250" t="s">
        <v>457</v>
      </c>
    </row>
    <row r="251" spans="1:30" x14ac:dyDescent="0.25">
      <c r="A251" t="s">
        <v>1048</v>
      </c>
      <c r="B251" t="s">
        <v>25</v>
      </c>
      <c r="C251" t="s">
        <v>26</v>
      </c>
      <c r="D251" t="s">
        <v>39</v>
      </c>
      <c r="E251" t="s">
        <v>1049</v>
      </c>
      <c r="F251" t="s">
        <v>1050</v>
      </c>
      <c r="G251">
        <v>71758692</v>
      </c>
      <c r="H251" t="s">
        <v>1043</v>
      </c>
      <c r="I251" s="4" t="s">
        <v>35</v>
      </c>
      <c r="J251" s="4" t="s">
        <v>1044</v>
      </c>
      <c r="K251" t="s">
        <v>1051</v>
      </c>
      <c r="L251" t="s">
        <v>27</v>
      </c>
      <c r="M251" t="s">
        <v>1052</v>
      </c>
      <c r="N251" t="s">
        <v>28</v>
      </c>
      <c r="O251" t="s">
        <v>46</v>
      </c>
      <c r="P251" t="s">
        <v>41</v>
      </c>
      <c r="Q251" t="s">
        <v>31</v>
      </c>
      <c r="R251">
        <v>5</v>
      </c>
      <c r="S251" t="s">
        <v>1053</v>
      </c>
      <c r="T251" t="s">
        <v>6587</v>
      </c>
      <c r="U251" t="s">
        <v>6588</v>
      </c>
      <c r="V251" t="s">
        <v>50</v>
      </c>
      <c r="W251" t="s">
        <v>33</v>
      </c>
      <c r="X251" t="s">
        <v>33</v>
      </c>
      <c r="Y251" t="s">
        <v>33</v>
      </c>
      <c r="Z251" s="5" t="s">
        <v>34</v>
      </c>
      <c r="AA251">
        <v>-75.539600149999998</v>
      </c>
      <c r="AB251">
        <v>6.2562855900000001</v>
      </c>
      <c r="AC251" t="s">
        <v>456</v>
      </c>
      <c r="AD251" t="s">
        <v>457</v>
      </c>
    </row>
    <row r="252" spans="1:30" x14ac:dyDescent="0.25">
      <c r="A252" t="s">
        <v>2492</v>
      </c>
      <c r="B252" t="s">
        <v>25</v>
      </c>
      <c r="C252" t="s">
        <v>26</v>
      </c>
      <c r="D252" t="s">
        <v>39</v>
      </c>
      <c r="E252" t="s">
        <v>2493</v>
      </c>
      <c r="F252" t="s">
        <v>2494</v>
      </c>
      <c r="G252">
        <v>70471888</v>
      </c>
      <c r="H252" t="s">
        <v>2495</v>
      </c>
      <c r="I252" s="4" t="s">
        <v>35</v>
      </c>
      <c r="J252" s="4" t="s">
        <v>2496</v>
      </c>
      <c r="K252" t="s">
        <v>2497</v>
      </c>
      <c r="L252" t="s">
        <v>61</v>
      </c>
      <c r="M252" t="s">
        <v>2498</v>
      </c>
      <c r="N252" t="s">
        <v>63</v>
      </c>
      <c r="O252" t="s">
        <v>40</v>
      </c>
      <c r="P252" t="s">
        <v>36</v>
      </c>
      <c r="Q252" t="s">
        <v>31</v>
      </c>
      <c r="R252">
        <v>5</v>
      </c>
      <c r="S252" t="s">
        <v>2499</v>
      </c>
      <c r="T252" t="s">
        <v>6570</v>
      </c>
      <c r="U252" t="s">
        <v>6589</v>
      </c>
      <c r="V252" t="s">
        <v>50</v>
      </c>
      <c r="W252" t="s">
        <v>33</v>
      </c>
      <c r="X252" t="s">
        <v>33</v>
      </c>
      <c r="Y252" t="s">
        <v>33</v>
      </c>
      <c r="Z252" s="5" t="s">
        <v>34</v>
      </c>
      <c r="AA252">
        <v>-75.628871270000005</v>
      </c>
      <c r="AB252">
        <v>6.1542556599999996</v>
      </c>
      <c r="AC252" t="s">
        <v>456</v>
      </c>
      <c r="AD252" t="s">
        <v>457</v>
      </c>
    </row>
    <row r="253" spans="1:30" x14ac:dyDescent="0.25">
      <c r="A253" t="s">
        <v>2213</v>
      </c>
      <c r="B253" t="s">
        <v>25</v>
      </c>
      <c r="C253" t="s">
        <v>26</v>
      </c>
      <c r="D253" t="s">
        <v>39</v>
      </c>
      <c r="E253" t="s">
        <v>2214</v>
      </c>
      <c r="F253" t="s">
        <v>2215</v>
      </c>
      <c r="G253">
        <v>71758692</v>
      </c>
      <c r="H253" t="s">
        <v>1043</v>
      </c>
      <c r="I253" s="4" t="s">
        <v>35</v>
      </c>
      <c r="J253" s="4" t="s">
        <v>1044</v>
      </c>
      <c r="K253" t="s">
        <v>2216</v>
      </c>
      <c r="L253" t="s">
        <v>27</v>
      </c>
      <c r="M253" t="s">
        <v>2217</v>
      </c>
      <c r="N253" t="s">
        <v>28</v>
      </c>
      <c r="O253" t="s">
        <v>46</v>
      </c>
      <c r="P253" t="s">
        <v>41</v>
      </c>
      <c r="Q253" t="s">
        <v>31</v>
      </c>
      <c r="R253">
        <v>5</v>
      </c>
      <c r="S253" t="s">
        <v>2218</v>
      </c>
      <c r="T253" t="s">
        <v>4798</v>
      </c>
      <c r="U253" t="s">
        <v>4797</v>
      </c>
      <c r="V253" t="s">
        <v>50</v>
      </c>
      <c r="W253" t="s">
        <v>33</v>
      </c>
      <c r="X253" t="s">
        <v>33</v>
      </c>
      <c r="Y253" t="s">
        <v>33</v>
      </c>
      <c r="Z253" s="5" t="s">
        <v>34</v>
      </c>
      <c r="AA253">
        <v>-75.539600149999998</v>
      </c>
      <c r="AB253">
        <v>6.2562855900000001</v>
      </c>
      <c r="AC253" t="s">
        <v>456</v>
      </c>
      <c r="AD253" t="s">
        <v>457</v>
      </c>
    </row>
    <row r="254" spans="1:30" x14ac:dyDescent="0.25">
      <c r="A254" t="s">
        <v>1054</v>
      </c>
      <c r="B254" t="s">
        <v>25</v>
      </c>
      <c r="C254" t="s">
        <v>26</v>
      </c>
      <c r="D254" t="s">
        <v>25</v>
      </c>
      <c r="E254" t="s">
        <v>1055</v>
      </c>
      <c r="F254" t="s">
        <v>1056</v>
      </c>
      <c r="G254">
        <v>890984423</v>
      </c>
      <c r="H254" t="s">
        <v>335</v>
      </c>
      <c r="I254" s="4" t="s">
        <v>336</v>
      </c>
      <c r="J254" s="4" t="s">
        <v>337</v>
      </c>
      <c r="K254" t="s">
        <v>1057</v>
      </c>
      <c r="L254" t="s">
        <v>27</v>
      </c>
      <c r="M254" t="s">
        <v>1058</v>
      </c>
      <c r="N254" t="s">
        <v>28</v>
      </c>
      <c r="O254" t="s">
        <v>29</v>
      </c>
      <c r="P254" t="s">
        <v>37</v>
      </c>
      <c r="Q254" t="s">
        <v>31</v>
      </c>
      <c r="R254">
        <v>7</v>
      </c>
      <c r="S254" t="s">
        <v>1059</v>
      </c>
      <c r="T254" t="s">
        <v>4786</v>
      </c>
      <c r="U254" t="s">
        <v>1277</v>
      </c>
      <c r="V254" t="s">
        <v>32</v>
      </c>
      <c r="W254" t="s">
        <v>33</v>
      </c>
      <c r="X254" t="s">
        <v>33</v>
      </c>
      <c r="Y254" t="s">
        <v>33</v>
      </c>
      <c r="Z254" s="5" t="s">
        <v>34</v>
      </c>
      <c r="AA254">
        <v>-75.550951069999996</v>
      </c>
      <c r="AB254">
        <v>6.2546717599999999</v>
      </c>
      <c r="AC254" t="s">
        <v>456</v>
      </c>
      <c r="AD254" t="s">
        <v>457</v>
      </c>
    </row>
    <row r="255" spans="1:30" x14ac:dyDescent="0.25">
      <c r="A255" t="s">
        <v>1060</v>
      </c>
      <c r="B255" t="s">
        <v>25</v>
      </c>
      <c r="C255" t="s">
        <v>26</v>
      </c>
      <c r="D255" t="s">
        <v>39</v>
      </c>
      <c r="E255" t="s">
        <v>1061</v>
      </c>
      <c r="F255" t="s">
        <v>1062</v>
      </c>
      <c r="G255">
        <v>70567716</v>
      </c>
      <c r="H255" t="s">
        <v>1017</v>
      </c>
      <c r="I255" s="4" t="s">
        <v>1018</v>
      </c>
      <c r="J255" s="4" t="s">
        <v>1019</v>
      </c>
      <c r="K255" t="s">
        <v>1063</v>
      </c>
      <c r="L255" t="s">
        <v>77</v>
      </c>
      <c r="M255" t="s">
        <v>1064</v>
      </c>
      <c r="N255" t="s">
        <v>78</v>
      </c>
      <c r="O255" t="s">
        <v>40</v>
      </c>
      <c r="P255" t="s">
        <v>36</v>
      </c>
      <c r="Q255" t="s">
        <v>38</v>
      </c>
      <c r="R255">
        <v>8</v>
      </c>
      <c r="S255" t="s">
        <v>1065</v>
      </c>
      <c r="T255" t="s">
        <v>6571</v>
      </c>
      <c r="U255" t="s">
        <v>6572</v>
      </c>
      <c r="V255" t="s">
        <v>50</v>
      </c>
      <c r="W255" t="s">
        <v>33</v>
      </c>
      <c r="X255" t="s">
        <v>33</v>
      </c>
      <c r="Y255" t="s">
        <v>33</v>
      </c>
      <c r="Z255" s="5" t="s">
        <v>34</v>
      </c>
      <c r="AA255">
        <v>-75.638816480000003</v>
      </c>
      <c r="AB255">
        <v>6.0835469399999997</v>
      </c>
      <c r="AC255" t="s">
        <v>456</v>
      </c>
      <c r="AD255" t="s">
        <v>457</v>
      </c>
    </row>
    <row r="256" spans="1:30" x14ac:dyDescent="0.25">
      <c r="A256" t="s">
        <v>3097</v>
      </c>
      <c r="B256" t="s">
        <v>42</v>
      </c>
      <c r="C256" t="s">
        <v>26</v>
      </c>
      <c r="D256" t="s">
        <v>42</v>
      </c>
      <c r="E256" t="s">
        <v>3098</v>
      </c>
      <c r="F256" t="s">
        <v>3099</v>
      </c>
      <c r="G256">
        <v>98647307</v>
      </c>
      <c r="H256" t="s">
        <v>3100</v>
      </c>
      <c r="I256" s="4" t="s">
        <v>35</v>
      </c>
      <c r="J256" s="4" t="s">
        <v>3101</v>
      </c>
      <c r="K256" t="s">
        <v>3102</v>
      </c>
      <c r="L256" t="s">
        <v>44</v>
      </c>
      <c r="M256" t="s">
        <v>3103</v>
      </c>
      <c r="N256" t="s">
        <v>45</v>
      </c>
      <c r="O256" t="s">
        <v>43</v>
      </c>
      <c r="P256" t="s">
        <v>37</v>
      </c>
      <c r="Q256" t="s">
        <v>31</v>
      </c>
      <c r="R256">
        <v>7</v>
      </c>
      <c r="S256" t="s">
        <v>3104</v>
      </c>
      <c r="T256" t="s">
        <v>4800</v>
      </c>
      <c r="U256" t="s">
        <v>4799</v>
      </c>
      <c r="V256" t="s">
        <v>32</v>
      </c>
      <c r="W256" t="s">
        <v>33</v>
      </c>
      <c r="X256" t="s">
        <v>33</v>
      </c>
      <c r="Y256" t="s">
        <v>33</v>
      </c>
      <c r="Z256" s="5" t="s">
        <v>34</v>
      </c>
      <c r="AA256">
        <v>-75.603324000000001</v>
      </c>
      <c r="AB256">
        <v>6.1808800100000001</v>
      </c>
      <c r="AC256" t="s">
        <v>456</v>
      </c>
      <c r="AD256" t="s">
        <v>457</v>
      </c>
    </row>
    <row r="257" spans="1:30" x14ac:dyDescent="0.25">
      <c r="A257" t="s">
        <v>1066</v>
      </c>
      <c r="B257" t="s">
        <v>25</v>
      </c>
      <c r="C257" t="s">
        <v>26</v>
      </c>
      <c r="D257" t="s">
        <v>39</v>
      </c>
      <c r="E257" t="s">
        <v>1067</v>
      </c>
      <c r="F257" t="s">
        <v>1068</v>
      </c>
      <c r="G257">
        <v>21424514</v>
      </c>
      <c r="H257" t="s">
        <v>1069</v>
      </c>
      <c r="I257" s="4" t="s">
        <v>35</v>
      </c>
      <c r="J257" s="4" t="s">
        <v>1070</v>
      </c>
      <c r="K257" t="s">
        <v>1071</v>
      </c>
      <c r="L257" t="s">
        <v>77</v>
      </c>
      <c r="M257" t="s">
        <v>1072</v>
      </c>
      <c r="N257" t="s">
        <v>78</v>
      </c>
      <c r="O257" t="s">
        <v>40</v>
      </c>
      <c r="P257" t="s">
        <v>36</v>
      </c>
      <c r="Q257" t="s">
        <v>38</v>
      </c>
      <c r="R257">
        <v>8</v>
      </c>
      <c r="S257" t="s">
        <v>1073</v>
      </c>
      <c r="T257" t="s">
        <v>6571</v>
      </c>
      <c r="U257" t="s">
        <v>6572</v>
      </c>
      <c r="V257" t="s">
        <v>50</v>
      </c>
      <c r="W257" t="s">
        <v>33</v>
      </c>
      <c r="X257" t="s">
        <v>33</v>
      </c>
      <c r="Y257" t="s">
        <v>33</v>
      </c>
      <c r="Z257" s="5" t="s">
        <v>34</v>
      </c>
      <c r="AA257">
        <v>-75.638514060000006</v>
      </c>
      <c r="AB257">
        <v>6.08192295</v>
      </c>
      <c r="AC257" t="s">
        <v>456</v>
      </c>
      <c r="AD257" t="s">
        <v>457</v>
      </c>
    </row>
    <row r="258" spans="1:30" x14ac:dyDescent="0.25">
      <c r="A258" t="s">
        <v>1074</v>
      </c>
      <c r="B258" t="s">
        <v>25</v>
      </c>
      <c r="C258" t="s">
        <v>26</v>
      </c>
      <c r="D258" t="s">
        <v>39</v>
      </c>
      <c r="E258" t="s">
        <v>1075</v>
      </c>
      <c r="F258" t="s">
        <v>1076</v>
      </c>
      <c r="G258">
        <v>43534700</v>
      </c>
      <c r="H258" t="s">
        <v>1077</v>
      </c>
      <c r="I258" s="4" t="s">
        <v>35</v>
      </c>
      <c r="J258" s="4" t="s">
        <v>1078</v>
      </c>
      <c r="K258" t="s">
        <v>1079</v>
      </c>
      <c r="L258" t="s">
        <v>77</v>
      </c>
      <c r="M258" t="s">
        <v>1080</v>
      </c>
      <c r="N258" t="s">
        <v>78</v>
      </c>
      <c r="O258" t="s">
        <v>40</v>
      </c>
      <c r="P258" t="s">
        <v>36</v>
      </c>
      <c r="Q258" t="s">
        <v>38</v>
      </c>
      <c r="R258">
        <v>8</v>
      </c>
      <c r="S258" t="s">
        <v>1081</v>
      </c>
      <c r="T258" t="s">
        <v>6571</v>
      </c>
      <c r="U258" t="s">
        <v>6572</v>
      </c>
      <c r="V258" t="s">
        <v>50</v>
      </c>
      <c r="W258" t="s">
        <v>33</v>
      </c>
      <c r="X258" t="s">
        <v>33</v>
      </c>
      <c r="Y258" t="s">
        <v>33</v>
      </c>
      <c r="Z258" s="5" t="s">
        <v>34</v>
      </c>
      <c r="AA258">
        <v>-75.623941919999993</v>
      </c>
      <c r="AB258">
        <v>6.1008311099999997</v>
      </c>
      <c r="AC258" t="s">
        <v>456</v>
      </c>
      <c r="AD258" t="s">
        <v>457</v>
      </c>
    </row>
    <row r="259" spans="1:30" x14ac:dyDescent="0.25">
      <c r="A259" t="s">
        <v>1082</v>
      </c>
      <c r="B259" t="s">
        <v>25</v>
      </c>
      <c r="C259" t="s">
        <v>26</v>
      </c>
      <c r="D259" t="s">
        <v>39</v>
      </c>
      <c r="E259" t="s">
        <v>1083</v>
      </c>
      <c r="F259" t="s">
        <v>1084</v>
      </c>
      <c r="G259">
        <v>1026159625</v>
      </c>
      <c r="H259" t="s">
        <v>1085</v>
      </c>
      <c r="I259" s="4" t="s">
        <v>35</v>
      </c>
      <c r="J259" s="4" t="s">
        <v>1086</v>
      </c>
      <c r="K259" t="s">
        <v>1087</v>
      </c>
      <c r="L259" t="s">
        <v>77</v>
      </c>
      <c r="M259" t="s">
        <v>1088</v>
      </c>
      <c r="N259" t="s">
        <v>78</v>
      </c>
      <c r="O259" t="s">
        <v>40</v>
      </c>
      <c r="P259" t="s">
        <v>36</v>
      </c>
      <c r="Q259" t="s">
        <v>38</v>
      </c>
      <c r="R259">
        <v>8</v>
      </c>
      <c r="S259" t="s">
        <v>1089</v>
      </c>
      <c r="T259" t="s">
        <v>6571</v>
      </c>
      <c r="U259" t="s">
        <v>6572</v>
      </c>
      <c r="V259" t="s">
        <v>50</v>
      </c>
      <c r="W259" t="s">
        <v>33</v>
      </c>
      <c r="X259" t="s">
        <v>33</v>
      </c>
      <c r="Y259" t="s">
        <v>33</v>
      </c>
      <c r="Z259" s="5" t="s">
        <v>34</v>
      </c>
      <c r="AA259">
        <v>-75.619720560000005</v>
      </c>
      <c r="AB259">
        <v>6.0500862199999998</v>
      </c>
      <c r="AC259" t="s">
        <v>456</v>
      </c>
      <c r="AD259" t="s">
        <v>457</v>
      </c>
    </row>
    <row r="260" spans="1:30" x14ac:dyDescent="0.25">
      <c r="A260" t="s">
        <v>473</v>
      </c>
      <c r="B260" t="s">
        <v>25</v>
      </c>
      <c r="C260" t="s">
        <v>26</v>
      </c>
      <c r="D260" t="s">
        <v>39</v>
      </c>
      <c r="E260" t="s">
        <v>159</v>
      </c>
      <c r="F260" t="s">
        <v>160</v>
      </c>
      <c r="G260">
        <v>98588252</v>
      </c>
      <c r="H260" t="s">
        <v>161</v>
      </c>
      <c r="I260" s="4" t="s">
        <v>35</v>
      </c>
      <c r="J260" s="4" t="s">
        <v>162</v>
      </c>
      <c r="K260" t="s">
        <v>163</v>
      </c>
      <c r="L260" t="s">
        <v>61</v>
      </c>
      <c r="M260" t="s">
        <v>164</v>
      </c>
      <c r="N260" t="s">
        <v>63</v>
      </c>
      <c r="O260" t="s">
        <v>40</v>
      </c>
      <c r="P260" t="s">
        <v>36</v>
      </c>
      <c r="Q260" t="s">
        <v>38</v>
      </c>
      <c r="R260">
        <v>8</v>
      </c>
      <c r="S260" t="s">
        <v>165</v>
      </c>
      <c r="T260" t="s">
        <v>6590</v>
      </c>
      <c r="U260" t="s">
        <v>47</v>
      </c>
      <c r="V260" t="s">
        <v>47</v>
      </c>
      <c r="W260" t="s">
        <v>33</v>
      </c>
      <c r="X260" t="s">
        <v>33</v>
      </c>
      <c r="Y260" t="s">
        <v>33</v>
      </c>
      <c r="Z260" s="5" t="s">
        <v>34</v>
      </c>
      <c r="AA260">
        <v>-75.634648130000002</v>
      </c>
      <c r="AB260">
        <v>6.1448420199999996</v>
      </c>
      <c r="AC260" t="s">
        <v>456</v>
      </c>
      <c r="AD260" t="s">
        <v>457</v>
      </c>
    </row>
    <row r="261" spans="1:30" x14ac:dyDescent="0.25">
      <c r="A261" t="s">
        <v>1090</v>
      </c>
      <c r="B261" t="s">
        <v>25</v>
      </c>
      <c r="C261" t="s">
        <v>26</v>
      </c>
      <c r="D261" t="s">
        <v>39</v>
      </c>
      <c r="E261" t="s">
        <v>1091</v>
      </c>
      <c r="F261" t="s">
        <v>1092</v>
      </c>
      <c r="G261">
        <v>32151011</v>
      </c>
      <c r="H261" t="s">
        <v>1093</v>
      </c>
      <c r="I261" s="4" t="s">
        <v>35</v>
      </c>
      <c r="J261" s="4" t="s">
        <v>1094</v>
      </c>
      <c r="K261" t="s">
        <v>1095</v>
      </c>
      <c r="L261" t="s">
        <v>77</v>
      </c>
      <c r="M261" t="s">
        <v>1096</v>
      </c>
      <c r="N261" t="s">
        <v>78</v>
      </c>
      <c r="O261" t="s">
        <v>40</v>
      </c>
      <c r="P261" t="s">
        <v>36</v>
      </c>
      <c r="Q261" t="s">
        <v>38</v>
      </c>
      <c r="R261">
        <v>8</v>
      </c>
      <c r="S261" t="s">
        <v>1097</v>
      </c>
      <c r="T261" t="s">
        <v>6571</v>
      </c>
      <c r="U261" t="s">
        <v>6572</v>
      </c>
      <c r="V261" t="s">
        <v>50</v>
      </c>
      <c r="W261" t="s">
        <v>33</v>
      </c>
      <c r="X261" t="s">
        <v>33</v>
      </c>
      <c r="Y261" t="s">
        <v>33</v>
      </c>
      <c r="Z261" s="5" t="s">
        <v>34</v>
      </c>
      <c r="AA261">
        <v>-75.619245280000001</v>
      </c>
      <c r="AB261">
        <v>6.0495144500000002</v>
      </c>
      <c r="AC261" t="s">
        <v>456</v>
      </c>
      <c r="AD261" t="s">
        <v>457</v>
      </c>
    </row>
    <row r="262" spans="1:30" x14ac:dyDescent="0.25">
      <c r="A262" t="s">
        <v>1098</v>
      </c>
      <c r="B262" t="s">
        <v>25</v>
      </c>
      <c r="C262" t="s">
        <v>26</v>
      </c>
      <c r="D262" t="s">
        <v>39</v>
      </c>
      <c r="E262" t="s">
        <v>1099</v>
      </c>
      <c r="F262" t="s">
        <v>1100</v>
      </c>
      <c r="G262">
        <v>71396945</v>
      </c>
      <c r="H262" t="s">
        <v>1101</v>
      </c>
      <c r="I262" s="4" t="s">
        <v>35</v>
      </c>
      <c r="J262" s="4" t="s">
        <v>1102</v>
      </c>
      <c r="K262" t="s">
        <v>1103</v>
      </c>
      <c r="L262" t="s">
        <v>77</v>
      </c>
      <c r="M262" t="s">
        <v>1104</v>
      </c>
      <c r="N262" t="s">
        <v>78</v>
      </c>
      <c r="O262" t="s">
        <v>40</v>
      </c>
      <c r="P262" t="s">
        <v>36</v>
      </c>
      <c r="Q262" t="s">
        <v>38</v>
      </c>
      <c r="R262">
        <v>8</v>
      </c>
      <c r="S262" t="s">
        <v>1105</v>
      </c>
      <c r="T262" t="s">
        <v>6571</v>
      </c>
      <c r="U262" t="s">
        <v>6572</v>
      </c>
      <c r="V262" t="s">
        <v>50</v>
      </c>
      <c r="W262" t="s">
        <v>33</v>
      </c>
      <c r="X262" t="s">
        <v>33</v>
      </c>
      <c r="Y262" t="s">
        <v>33</v>
      </c>
      <c r="Z262" s="5" t="s">
        <v>34</v>
      </c>
      <c r="AA262">
        <v>-75.638514060000006</v>
      </c>
      <c r="AB262">
        <v>6.08192295</v>
      </c>
      <c r="AC262" t="s">
        <v>456</v>
      </c>
      <c r="AD262" t="s">
        <v>457</v>
      </c>
    </row>
    <row r="263" spans="1:30" x14ac:dyDescent="0.25">
      <c r="A263" t="s">
        <v>8123</v>
      </c>
      <c r="B263" t="s">
        <v>42</v>
      </c>
      <c r="C263" t="s">
        <v>26</v>
      </c>
      <c r="D263" t="s">
        <v>42</v>
      </c>
      <c r="E263" t="s">
        <v>8124</v>
      </c>
      <c r="G263">
        <v>901235512</v>
      </c>
      <c r="H263" t="s">
        <v>8125</v>
      </c>
      <c r="I263" s="4" t="s">
        <v>35</v>
      </c>
      <c r="J263" s="4" t="s">
        <v>8126</v>
      </c>
      <c r="K263" t="s">
        <v>8127</v>
      </c>
      <c r="L263" t="s">
        <v>49</v>
      </c>
      <c r="M263" t="s">
        <v>8128</v>
      </c>
      <c r="N263" t="s">
        <v>84</v>
      </c>
      <c r="O263" t="s">
        <v>43</v>
      </c>
      <c r="P263" t="s">
        <v>55</v>
      </c>
      <c r="Q263" t="s">
        <v>38</v>
      </c>
      <c r="R263">
        <v>10</v>
      </c>
      <c r="V263" t="s">
        <v>453</v>
      </c>
      <c r="W263" t="s">
        <v>33</v>
      </c>
      <c r="X263" t="s">
        <v>33</v>
      </c>
      <c r="Y263" t="s">
        <v>33</v>
      </c>
      <c r="Z263" s="5" t="s">
        <v>34</v>
      </c>
      <c r="AA263">
        <v>-75.524680880000005</v>
      </c>
      <c r="AB263">
        <v>6.1614959100000002</v>
      </c>
      <c r="AC263" t="s">
        <v>456</v>
      </c>
      <c r="AD263" t="s">
        <v>457</v>
      </c>
    </row>
    <row r="264" spans="1:30" x14ac:dyDescent="0.25">
      <c r="A264" t="s">
        <v>474</v>
      </c>
      <c r="B264" t="s">
        <v>25</v>
      </c>
      <c r="C264" t="s">
        <v>26</v>
      </c>
      <c r="D264" t="s">
        <v>39</v>
      </c>
      <c r="E264" t="s">
        <v>168</v>
      </c>
      <c r="F264" t="s">
        <v>169</v>
      </c>
      <c r="G264">
        <v>1040743836</v>
      </c>
      <c r="H264" t="s">
        <v>170</v>
      </c>
      <c r="I264" s="4" t="s">
        <v>35</v>
      </c>
      <c r="J264" s="4" t="s">
        <v>171</v>
      </c>
      <c r="K264" t="s">
        <v>172</v>
      </c>
      <c r="L264" t="s">
        <v>61</v>
      </c>
      <c r="M264" t="s">
        <v>173</v>
      </c>
      <c r="N264" t="s">
        <v>63</v>
      </c>
      <c r="O264" t="s">
        <v>40</v>
      </c>
      <c r="P264" t="s">
        <v>36</v>
      </c>
      <c r="Q264" t="s">
        <v>38</v>
      </c>
      <c r="R264">
        <v>8</v>
      </c>
      <c r="S264" t="s">
        <v>174</v>
      </c>
      <c r="T264" t="s">
        <v>6591</v>
      </c>
      <c r="U264" t="s">
        <v>47</v>
      </c>
      <c r="V264" t="s">
        <v>47</v>
      </c>
      <c r="W264" t="s">
        <v>33</v>
      </c>
      <c r="X264" t="s">
        <v>33</v>
      </c>
      <c r="Y264" t="s">
        <v>33</v>
      </c>
      <c r="Z264" s="5" t="s">
        <v>34</v>
      </c>
      <c r="AA264">
        <v>-75.644123109999995</v>
      </c>
      <c r="AB264">
        <v>6.1337471700000004</v>
      </c>
      <c r="AC264" t="s">
        <v>456</v>
      </c>
      <c r="AD264" t="s">
        <v>457</v>
      </c>
    </row>
    <row r="265" spans="1:30" x14ac:dyDescent="0.25">
      <c r="A265" t="s">
        <v>475</v>
      </c>
      <c r="B265" t="s">
        <v>25</v>
      </c>
      <c r="C265" t="s">
        <v>26</v>
      </c>
      <c r="D265" t="s">
        <v>39</v>
      </c>
      <c r="E265" t="s">
        <v>175</v>
      </c>
      <c r="F265" t="s">
        <v>176</v>
      </c>
      <c r="G265">
        <v>1001710150</v>
      </c>
      <c r="H265" t="s">
        <v>177</v>
      </c>
      <c r="I265" s="4" t="s">
        <v>35</v>
      </c>
      <c r="J265" s="4" t="s">
        <v>178</v>
      </c>
      <c r="K265" t="s">
        <v>179</v>
      </c>
      <c r="L265" t="s">
        <v>61</v>
      </c>
      <c r="M265" t="s">
        <v>180</v>
      </c>
      <c r="N265" t="s">
        <v>63</v>
      </c>
      <c r="O265" t="s">
        <v>40</v>
      </c>
      <c r="P265" t="s">
        <v>36</v>
      </c>
      <c r="Q265" t="s">
        <v>38</v>
      </c>
      <c r="R265">
        <v>8</v>
      </c>
      <c r="S265" t="s">
        <v>181</v>
      </c>
      <c r="T265" t="s">
        <v>6592</v>
      </c>
      <c r="U265" t="s">
        <v>47</v>
      </c>
      <c r="V265" t="s">
        <v>47</v>
      </c>
      <c r="W265" t="s">
        <v>33</v>
      </c>
      <c r="X265" t="s">
        <v>33</v>
      </c>
      <c r="Y265" t="s">
        <v>33</v>
      </c>
      <c r="Z265" s="5" t="s">
        <v>34</v>
      </c>
      <c r="AA265">
        <v>-75.636893299999997</v>
      </c>
      <c r="AB265">
        <v>6.1373815900000004</v>
      </c>
      <c r="AC265" t="s">
        <v>456</v>
      </c>
      <c r="AD265" t="s">
        <v>457</v>
      </c>
    </row>
    <row r="266" spans="1:30" x14ac:dyDescent="0.25">
      <c r="A266" t="s">
        <v>1106</v>
      </c>
      <c r="B266" t="s">
        <v>25</v>
      </c>
      <c r="C266" t="s">
        <v>26</v>
      </c>
      <c r="D266" t="s">
        <v>25</v>
      </c>
      <c r="E266" t="s">
        <v>1107</v>
      </c>
      <c r="F266" t="s">
        <v>1108</v>
      </c>
      <c r="G266">
        <v>15432150</v>
      </c>
      <c r="H266" t="s">
        <v>1109</v>
      </c>
      <c r="I266" s="4" t="s">
        <v>35</v>
      </c>
      <c r="J266" s="4" t="s">
        <v>1110</v>
      </c>
      <c r="K266" t="s">
        <v>1111</v>
      </c>
      <c r="L266" t="s">
        <v>27</v>
      </c>
      <c r="M266" t="s">
        <v>1112</v>
      </c>
      <c r="N266" t="s">
        <v>28</v>
      </c>
      <c r="O266" t="s">
        <v>29</v>
      </c>
      <c r="P266" t="s">
        <v>37</v>
      </c>
      <c r="Q266" t="s">
        <v>38</v>
      </c>
      <c r="R266">
        <v>10</v>
      </c>
      <c r="S266" t="s">
        <v>1113</v>
      </c>
      <c r="T266" t="s">
        <v>6593</v>
      </c>
      <c r="U266" t="s">
        <v>6594</v>
      </c>
      <c r="V266" t="s">
        <v>32</v>
      </c>
      <c r="W266" t="s">
        <v>33</v>
      </c>
      <c r="X266" t="s">
        <v>33</v>
      </c>
      <c r="Y266" t="s">
        <v>33</v>
      </c>
      <c r="Z266" s="5" t="s">
        <v>34</v>
      </c>
      <c r="AA266">
        <v>-75.521034470000004</v>
      </c>
      <c r="AB266">
        <v>6.2325751199999999</v>
      </c>
      <c r="AC266" t="s">
        <v>456</v>
      </c>
      <c r="AD266" t="s">
        <v>457</v>
      </c>
    </row>
    <row r="267" spans="1:30" x14ac:dyDescent="0.25">
      <c r="A267" t="s">
        <v>5475</v>
      </c>
      <c r="B267" t="s">
        <v>51</v>
      </c>
      <c r="C267" t="s">
        <v>182</v>
      </c>
      <c r="D267" t="s">
        <v>51</v>
      </c>
      <c r="E267" t="s">
        <v>5476</v>
      </c>
      <c r="F267" t="s">
        <v>5477</v>
      </c>
      <c r="G267">
        <v>1083883398</v>
      </c>
      <c r="H267" t="s">
        <v>5478</v>
      </c>
      <c r="I267" s="4" t="s">
        <v>35</v>
      </c>
      <c r="J267" s="4" t="s">
        <v>5479</v>
      </c>
      <c r="K267" t="s">
        <v>5480</v>
      </c>
      <c r="L267" t="s">
        <v>27</v>
      </c>
      <c r="M267" t="s">
        <v>5481</v>
      </c>
      <c r="N267" t="s">
        <v>28</v>
      </c>
      <c r="O267" t="s">
        <v>183</v>
      </c>
      <c r="P267" t="s">
        <v>53</v>
      </c>
      <c r="Q267" t="s">
        <v>31</v>
      </c>
      <c r="R267">
        <v>11</v>
      </c>
      <c r="S267" t="s">
        <v>5482</v>
      </c>
      <c r="T267" t="s">
        <v>6595</v>
      </c>
      <c r="U267" t="s">
        <v>6596</v>
      </c>
      <c r="V267" t="s">
        <v>32</v>
      </c>
      <c r="W267" t="s">
        <v>33</v>
      </c>
      <c r="X267" t="s">
        <v>33</v>
      </c>
      <c r="Y267" t="s">
        <v>33</v>
      </c>
      <c r="Z267" s="5" t="s">
        <v>34</v>
      </c>
      <c r="AA267">
        <v>-75.606734000000003</v>
      </c>
      <c r="AB267">
        <v>6.2758279999999997</v>
      </c>
      <c r="AC267" t="s">
        <v>456</v>
      </c>
      <c r="AD267" t="s">
        <v>457</v>
      </c>
    </row>
    <row r="268" spans="1:30" x14ac:dyDescent="0.25">
      <c r="A268" t="s">
        <v>476</v>
      </c>
      <c r="B268" t="s">
        <v>25</v>
      </c>
      <c r="C268" t="s">
        <v>26</v>
      </c>
      <c r="D268" t="s">
        <v>25</v>
      </c>
      <c r="E268" t="s">
        <v>185</v>
      </c>
      <c r="F268" t="s">
        <v>186</v>
      </c>
      <c r="G268">
        <v>39161052</v>
      </c>
      <c r="H268" t="s">
        <v>187</v>
      </c>
      <c r="I268" s="4" t="s">
        <v>188</v>
      </c>
      <c r="J268" s="4" t="s">
        <v>189</v>
      </c>
      <c r="K268" t="s">
        <v>190</v>
      </c>
      <c r="L268" t="s">
        <v>77</v>
      </c>
      <c r="M268" t="s">
        <v>191</v>
      </c>
      <c r="N268" t="s">
        <v>78</v>
      </c>
      <c r="O268" t="s">
        <v>29</v>
      </c>
      <c r="P268" t="s">
        <v>36</v>
      </c>
      <c r="Q268" t="s">
        <v>31</v>
      </c>
      <c r="R268">
        <v>7</v>
      </c>
      <c r="S268" t="s">
        <v>192</v>
      </c>
      <c r="T268" t="s">
        <v>6597</v>
      </c>
      <c r="U268" t="s">
        <v>47</v>
      </c>
      <c r="V268" t="s">
        <v>47</v>
      </c>
      <c r="W268" t="s">
        <v>33</v>
      </c>
      <c r="X268" t="s">
        <v>33</v>
      </c>
      <c r="Y268" t="s">
        <v>33</v>
      </c>
      <c r="Z268" s="5" t="s">
        <v>34</v>
      </c>
      <c r="AA268">
        <v>-75.640410529999997</v>
      </c>
      <c r="AB268">
        <v>6.0921169500000003</v>
      </c>
      <c r="AC268" t="s">
        <v>456</v>
      </c>
      <c r="AD268" t="s">
        <v>457</v>
      </c>
    </row>
    <row r="269" spans="1:30" x14ac:dyDescent="0.25">
      <c r="A269" t="s">
        <v>477</v>
      </c>
      <c r="B269" t="s">
        <v>25</v>
      </c>
      <c r="C269" t="s">
        <v>26</v>
      </c>
      <c r="D269" t="s">
        <v>25</v>
      </c>
      <c r="E269" t="s">
        <v>193</v>
      </c>
      <c r="F269" t="s">
        <v>194</v>
      </c>
      <c r="G269">
        <v>1026134673</v>
      </c>
      <c r="H269" t="s">
        <v>195</v>
      </c>
      <c r="I269" s="4" t="s">
        <v>35</v>
      </c>
      <c r="J269" s="4" t="s">
        <v>196</v>
      </c>
      <c r="K269" t="s">
        <v>197</v>
      </c>
      <c r="L269" t="s">
        <v>77</v>
      </c>
      <c r="M269" t="s">
        <v>198</v>
      </c>
      <c r="N269" t="s">
        <v>78</v>
      </c>
      <c r="O269" t="s">
        <v>29</v>
      </c>
      <c r="P269" t="s">
        <v>36</v>
      </c>
      <c r="Q269" t="s">
        <v>31</v>
      </c>
      <c r="R269">
        <v>7</v>
      </c>
      <c r="S269" t="s">
        <v>199</v>
      </c>
      <c r="T269" t="s">
        <v>6598</v>
      </c>
      <c r="U269" t="s">
        <v>47</v>
      </c>
      <c r="V269" t="s">
        <v>47</v>
      </c>
      <c r="W269" t="s">
        <v>33</v>
      </c>
      <c r="X269" t="s">
        <v>33</v>
      </c>
      <c r="Y269" t="s">
        <v>33</v>
      </c>
      <c r="Z269" s="5" t="s">
        <v>34</v>
      </c>
      <c r="AA269">
        <v>-75.636188500000003</v>
      </c>
      <c r="AB269">
        <v>6.0810917</v>
      </c>
      <c r="AC269" t="s">
        <v>456</v>
      </c>
      <c r="AD269" t="s">
        <v>457</v>
      </c>
    </row>
    <row r="270" spans="1:30" x14ac:dyDescent="0.25">
      <c r="A270" t="s">
        <v>478</v>
      </c>
      <c r="B270" t="s">
        <v>25</v>
      </c>
      <c r="C270" t="s">
        <v>26</v>
      </c>
      <c r="D270" t="s">
        <v>25</v>
      </c>
      <c r="E270" t="s">
        <v>200</v>
      </c>
      <c r="F270" t="s">
        <v>201</v>
      </c>
      <c r="G270">
        <v>1026152158</v>
      </c>
      <c r="H270" t="s">
        <v>202</v>
      </c>
      <c r="I270" s="4" t="s">
        <v>35</v>
      </c>
      <c r="J270" s="4" t="s">
        <v>203</v>
      </c>
      <c r="K270" t="s">
        <v>204</v>
      </c>
      <c r="L270" t="s">
        <v>77</v>
      </c>
      <c r="M270" t="s">
        <v>205</v>
      </c>
      <c r="N270" t="s">
        <v>78</v>
      </c>
      <c r="O270" t="s">
        <v>29</v>
      </c>
      <c r="P270" t="s">
        <v>36</v>
      </c>
      <c r="Q270" t="s">
        <v>31</v>
      </c>
      <c r="R270">
        <v>7</v>
      </c>
      <c r="S270" t="s">
        <v>206</v>
      </c>
      <c r="T270" t="s">
        <v>6599</v>
      </c>
      <c r="U270" t="s">
        <v>47</v>
      </c>
      <c r="V270" t="s">
        <v>47</v>
      </c>
      <c r="W270" t="s">
        <v>33</v>
      </c>
      <c r="X270" t="s">
        <v>33</v>
      </c>
      <c r="Y270" t="s">
        <v>33</v>
      </c>
      <c r="Z270" s="5" t="s">
        <v>34</v>
      </c>
      <c r="AA270">
        <v>-75.636188500000003</v>
      </c>
      <c r="AB270">
        <v>6.0810917</v>
      </c>
      <c r="AC270" t="s">
        <v>456</v>
      </c>
      <c r="AD270" t="s">
        <v>457</v>
      </c>
    </row>
    <row r="271" spans="1:30" x14ac:dyDescent="0.25">
      <c r="A271" t="s">
        <v>5483</v>
      </c>
      <c r="B271" t="s">
        <v>25</v>
      </c>
      <c r="C271" t="s">
        <v>26</v>
      </c>
      <c r="D271" t="s">
        <v>39</v>
      </c>
      <c r="E271" t="s">
        <v>5484</v>
      </c>
      <c r="F271" t="s">
        <v>5485</v>
      </c>
      <c r="G271">
        <v>32392980</v>
      </c>
      <c r="H271" t="s">
        <v>5486</v>
      </c>
      <c r="I271" s="4" t="s">
        <v>35</v>
      </c>
      <c r="J271" s="4" t="s">
        <v>5425</v>
      </c>
      <c r="K271" t="s">
        <v>5487</v>
      </c>
      <c r="L271" t="s">
        <v>27</v>
      </c>
      <c r="M271" t="s">
        <v>5488</v>
      </c>
      <c r="N271" t="s">
        <v>28</v>
      </c>
      <c r="O271" t="s">
        <v>40</v>
      </c>
      <c r="P271" t="s">
        <v>41</v>
      </c>
      <c r="Q271" t="s">
        <v>31</v>
      </c>
      <c r="R271">
        <v>5</v>
      </c>
      <c r="S271" t="s">
        <v>5489</v>
      </c>
      <c r="T271" t="s">
        <v>6600</v>
      </c>
      <c r="U271" t="s">
        <v>4704</v>
      </c>
      <c r="V271" t="s">
        <v>32</v>
      </c>
      <c r="W271" t="s">
        <v>33</v>
      </c>
      <c r="X271" t="s">
        <v>33</v>
      </c>
      <c r="Y271" t="s">
        <v>33</v>
      </c>
      <c r="Z271" s="5" t="s">
        <v>34</v>
      </c>
      <c r="AA271">
        <v>-75.617151039999996</v>
      </c>
      <c r="AB271">
        <v>6.2608900900000002</v>
      </c>
      <c r="AC271" t="s">
        <v>456</v>
      </c>
      <c r="AD271" t="s">
        <v>457</v>
      </c>
    </row>
    <row r="272" spans="1:30" x14ac:dyDescent="0.25">
      <c r="A272" t="s">
        <v>5491</v>
      </c>
      <c r="B272" t="s">
        <v>25</v>
      </c>
      <c r="C272" t="s">
        <v>26</v>
      </c>
      <c r="D272" t="s">
        <v>39</v>
      </c>
      <c r="E272" t="s">
        <v>5492</v>
      </c>
      <c r="F272" t="s">
        <v>5493</v>
      </c>
      <c r="G272">
        <v>32392980</v>
      </c>
      <c r="H272" t="s">
        <v>5486</v>
      </c>
      <c r="I272" s="4" t="s">
        <v>35</v>
      </c>
      <c r="J272" s="4" t="s">
        <v>5425</v>
      </c>
      <c r="K272" t="s">
        <v>5494</v>
      </c>
      <c r="L272" t="s">
        <v>27</v>
      </c>
      <c r="M272" t="s">
        <v>5495</v>
      </c>
      <c r="N272" t="s">
        <v>28</v>
      </c>
      <c r="O272" t="s">
        <v>40</v>
      </c>
      <c r="P272" t="s">
        <v>41</v>
      </c>
      <c r="Q272" t="s">
        <v>31</v>
      </c>
      <c r="R272">
        <v>5</v>
      </c>
      <c r="S272" t="s">
        <v>5496</v>
      </c>
      <c r="T272" t="s">
        <v>6601</v>
      </c>
      <c r="U272" t="s">
        <v>6602</v>
      </c>
      <c r="V272" t="s">
        <v>32</v>
      </c>
      <c r="W272" t="s">
        <v>33</v>
      </c>
      <c r="X272" t="s">
        <v>33</v>
      </c>
      <c r="Y272" t="s">
        <v>33</v>
      </c>
      <c r="Z272" s="5" t="s">
        <v>34</v>
      </c>
      <c r="AA272">
        <v>-75.617151039999996</v>
      </c>
      <c r="AB272">
        <v>6.2608900900000002</v>
      </c>
      <c r="AC272" t="s">
        <v>456</v>
      </c>
      <c r="AD272" t="s">
        <v>457</v>
      </c>
    </row>
    <row r="273" spans="1:30" x14ac:dyDescent="0.25">
      <c r="A273" t="s">
        <v>1114</v>
      </c>
      <c r="B273" t="s">
        <v>25</v>
      </c>
      <c r="C273" t="s">
        <v>26</v>
      </c>
      <c r="D273" t="s">
        <v>25</v>
      </c>
      <c r="E273" t="s">
        <v>1115</v>
      </c>
      <c r="F273" t="s">
        <v>1116</v>
      </c>
      <c r="G273">
        <v>890984423</v>
      </c>
      <c r="H273" t="s">
        <v>335</v>
      </c>
      <c r="I273" s="4" t="s">
        <v>336</v>
      </c>
      <c r="J273" s="4" t="s">
        <v>337</v>
      </c>
      <c r="K273" t="s">
        <v>1117</v>
      </c>
      <c r="L273" t="s">
        <v>27</v>
      </c>
      <c r="M273" t="s">
        <v>1118</v>
      </c>
      <c r="N273" t="s">
        <v>28</v>
      </c>
      <c r="O273" t="s">
        <v>29</v>
      </c>
      <c r="P273" t="s">
        <v>37</v>
      </c>
      <c r="Q273" t="s">
        <v>31</v>
      </c>
      <c r="R273">
        <v>7</v>
      </c>
      <c r="S273" t="s">
        <v>1119</v>
      </c>
      <c r="T273" t="s">
        <v>4802</v>
      </c>
      <c r="U273" t="s">
        <v>1129</v>
      </c>
      <c r="V273" t="s">
        <v>32</v>
      </c>
      <c r="W273" t="s">
        <v>33</v>
      </c>
      <c r="X273" t="s">
        <v>33</v>
      </c>
      <c r="Y273" t="s">
        <v>33</v>
      </c>
      <c r="Z273" s="5" t="s">
        <v>34</v>
      </c>
      <c r="AA273">
        <v>-75.574018300000006</v>
      </c>
      <c r="AB273">
        <v>6.2691668299999996</v>
      </c>
      <c r="AC273" t="s">
        <v>456</v>
      </c>
      <c r="AD273" t="s">
        <v>457</v>
      </c>
    </row>
    <row r="274" spans="1:30" x14ac:dyDescent="0.25">
      <c r="A274" t="s">
        <v>1120</v>
      </c>
      <c r="B274" t="s">
        <v>81</v>
      </c>
      <c r="C274" t="s">
        <v>26</v>
      </c>
      <c r="D274" t="s">
        <v>81</v>
      </c>
      <c r="E274" t="s">
        <v>1121</v>
      </c>
      <c r="F274" t="s">
        <v>1122</v>
      </c>
      <c r="G274">
        <v>21501477</v>
      </c>
      <c r="H274" t="s">
        <v>1123</v>
      </c>
      <c r="I274" s="4" t="s">
        <v>1124</v>
      </c>
      <c r="J274" s="4" t="s">
        <v>1125</v>
      </c>
      <c r="K274" t="s">
        <v>1126</v>
      </c>
      <c r="L274" t="s">
        <v>79</v>
      </c>
      <c r="M274" t="s">
        <v>1127</v>
      </c>
      <c r="N274" t="s">
        <v>80</v>
      </c>
      <c r="O274" t="s">
        <v>82</v>
      </c>
      <c r="P274" t="s">
        <v>83</v>
      </c>
      <c r="Q274" t="s">
        <v>31</v>
      </c>
      <c r="R274">
        <v>4</v>
      </c>
      <c r="S274" t="s">
        <v>1128</v>
      </c>
      <c r="T274" t="s">
        <v>6603</v>
      </c>
      <c r="U274" t="s">
        <v>47</v>
      </c>
      <c r="V274" t="s">
        <v>47</v>
      </c>
      <c r="W274" t="s">
        <v>33</v>
      </c>
      <c r="X274" t="s">
        <v>33</v>
      </c>
      <c r="Y274" t="s">
        <v>33</v>
      </c>
      <c r="Z274" t="s">
        <v>455</v>
      </c>
      <c r="AA274">
        <v>-75.621250439999997</v>
      </c>
      <c r="AB274">
        <v>6.1469248199999997</v>
      </c>
      <c r="AC274" t="s">
        <v>456</v>
      </c>
      <c r="AD274" t="s">
        <v>457</v>
      </c>
    </row>
    <row r="275" spans="1:30" x14ac:dyDescent="0.25">
      <c r="A275" t="s">
        <v>1130</v>
      </c>
      <c r="B275" t="s">
        <v>51</v>
      </c>
      <c r="C275" t="s">
        <v>26</v>
      </c>
      <c r="D275" t="s">
        <v>51</v>
      </c>
      <c r="E275" t="s">
        <v>1131</v>
      </c>
      <c r="F275" t="s">
        <v>1132</v>
      </c>
      <c r="G275">
        <v>1128407195</v>
      </c>
      <c r="H275" t="s">
        <v>1133</v>
      </c>
      <c r="I275" s="4" t="s">
        <v>35</v>
      </c>
      <c r="J275" s="4" t="s">
        <v>1134</v>
      </c>
      <c r="K275" t="s">
        <v>1135</v>
      </c>
      <c r="L275" t="s">
        <v>27</v>
      </c>
      <c r="M275" t="s">
        <v>1136</v>
      </c>
      <c r="N275" t="s">
        <v>28</v>
      </c>
      <c r="O275" t="s">
        <v>1137</v>
      </c>
      <c r="P275" t="s">
        <v>37</v>
      </c>
      <c r="Q275" t="s">
        <v>31</v>
      </c>
      <c r="R275">
        <v>0</v>
      </c>
      <c r="T275" t="s">
        <v>6604</v>
      </c>
      <c r="V275" t="s">
        <v>453</v>
      </c>
      <c r="W275" t="s">
        <v>33</v>
      </c>
      <c r="X275" t="s">
        <v>33</v>
      </c>
      <c r="Y275" t="s">
        <v>33</v>
      </c>
      <c r="Z275" s="5" t="s">
        <v>34</v>
      </c>
      <c r="AA275">
        <v>-75.630776999999995</v>
      </c>
      <c r="AB275">
        <v>6.2531040000000004</v>
      </c>
      <c r="AC275" t="s">
        <v>456</v>
      </c>
      <c r="AD275" t="s">
        <v>457</v>
      </c>
    </row>
    <row r="276" spans="1:30" x14ac:dyDescent="0.25">
      <c r="A276" t="s">
        <v>2502</v>
      </c>
      <c r="B276" t="s">
        <v>25</v>
      </c>
      <c r="C276" t="s">
        <v>26</v>
      </c>
      <c r="D276" t="s">
        <v>39</v>
      </c>
      <c r="E276" t="s">
        <v>2503</v>
      </c>
      <c r="F276" t="s">
        <v>2504</v>
      </c>
      <c r="G276">
        <v>1216723965</v>
      </c>
      <c r="H276" t="s">
        <v>2505</v>
      </c>
      <c r="I276" s="4" t="s">
        <v>35</v>
      </c>
      <c r="J276" s="4" t="s">
        <v>2506</v>
      </c>
      <c r="K276" t="s">
        <v>2507</v>
      </c>
      <c r="L276" t="s">
        <v>27</v>
      </c>
      <c r="M276" t="s">
        <v>2508</v>
      </c>
      <c r="N276" t="s">
        <v>28</v>
      </c>
      <c r="O276" t="s">
        <v>40</v>
      </c>
      <c r="P276" t="s">
        <v>41</v>
      </c>
      <c r="Q276" t="s">
        <v>38</v>
      </c>
      <c r="R276">
        <v>8</v>
      </c>
      <c r="S276" t="s">
        <v>2509</v>
      </c>
      <c r="T276" t="s">
        <v>6605</v>
      </c>
      <c r="U276" t="s">
        <v>6606</v>
      </c>
      <c r="V276" t="s">
        <v>32</v>
      </c>
      <c r="W276" t="s">
        <v>33</v>
      </c>
      <c r="X276" t="s">
        <v>33</v>
      </c>
      <c r="Y276" t="s">
        <v>33</v>
      </c>
      <c r="Z276" s="5" t="s">
        <v>34</v>
      </c>
      <c r="AA276">
        <v>-75.697424190000007</v>
      </c>
      <c r="AB276">
        <v>6.3573157599999996</v>
      </c>
      <c r="AC276" t="s">
        <v>456</v>
      </c>
      <c r="AD276" t="s">
        <v>457</v>
      </c>
    </row>
    <row r="277" spans="1:30" x14ac:dyDescent="0.25">
      <c r="A277" t="s">
        <v>8129</v>
      </c>
      <c r="B277" t="s">
        <v>95</v>
      </c>
      <c r="C277" t="s">
        <v>26</v>
      </c>
      <c r="D277" t="s">
        <v>96</v>
      </c>
      <c r="E277" t="s">
        <v>8130</v>
      </c>
      <c r="F277" t="s">
        <v>8131</v>
      </c>
      <c r="G277">
        <v>162285721</v>
      </c>
      <c r="H277" t="s">
        <v>8132</v>
      </c>
      <c r="I277" s="4" t="s">
        <v>35</v>
      </c>
      <c r="J277" s="4" t="s">
        <v>8133</v>
      </c>
      <c r="K277" t="s">
        <v>3520</v>
      </c>
      <c r="L277" t="s">
        <v>27</v>
      </c>
      <c r="M277" t="s">
        <v>3521</v>
      </c>
      <c r="N277" t="s">
        <v>28</v>
      </c>
      <c r="O277" t="s">
        <v>103</v>
      </c>
      <c r="P277" t="s">
        <v>158</v>
      </c>
      <c r="Q277" t="s">
        <v>38</v>
      </c>
      <c r="R277">
        <v>14</v>
      </c>
      <c r="S277" t="s">
        <v>8134</v>
      </c>
      <c r="T277" t="s">
        <v>8135</v>
      </c>
      <c r="U277" t="s">
        <v>47</v>
      </c>
      <c r="V277" t="s">
        <v>47</v>
      </c>
      <c r="W277" t="s">
        <v>33</v>
      </c>
      <c r="X277" t="s">
        <v>33</v>
      </c>
      <c r="Y277" t="s">
        <v>33</v>
      </c>
      <c r="Z277" t="s">
        <v>455</v>
      </c>
      <c r="AA277">
        <v>-75.676379449999999</v>
      </c>
      <c r="AB277">
        <v>6.1945998900000001</v>
      </c>
      <c r="AC277" t="s">
        <v>456</v>
      </c>
      <c r="AD277" t="s">
        <v>457</v>
      </c>
    </row>
    <row r="278" spans="1:30" x14ac:dyDescent="0.25">
      <c r="A278" t="s">
        <v>3686</v>
      </c>
      <c r="B278" t="s">
        <v>51</v>
      </c>
      <c r="C278" t="s">
        <v>26</v>
      </c>
      <c r="D278" t="s">
        <v>51</v>
      </c>
      <c r="E278" t="s">
        <v>3687</v>
      </c>
      <c r="F278" t="s">
        <v>3688</v>
      </c>
      <c r="G278">
        <v>25996567</v>
      </c>
      <c r="H278" t="s">
        <v>3689</v>
      </c>
      <c r="I278" s="4" t="s">
        <v>35</v>
      </c>
      <c r="J278" s="4" t="s">
        <v>3690</v>
      </c>
      <c r="K278" t="s">
        <v>3691</v>
      </c>
      <c r="L278" t="s">
        <v>27</v>
      </c>
      <c r="M278" t="s">
        <v>3692</v>
      </c>
      <c r="N278" t="s">
        <v>28</v>
      </c>
      <c r="O278" t="s">
        <v>52</v>
      </c>
      <c r="P278" t="s">
        <v>41</v>
      </c>
      <c r="Q278" t="s">
        <v>38</v>
      </c>
      <c r="R278">
        <v>11</v>
      </c>
      <c r="S278" t="s">
        <v>3693</v>
      </c>
      <c r="T278" t="s">
        <v>6607</v>
      </c>
      <c r="U278" t="s">
        <v>6608</v>
      </c>
      <c r="V278" t="s">
        <v>32</v>
      </c>
      <c r="W278" t="s">
        <v>33</v>
      </c>
      <c r="X278" t="s">
        <v>33</v>
      </c>
      <c r="Y278" t="s">
        <v>33</v>
      </c>
      <c r="Z278" s="5" t="s">
        <v>34</v>
      </c>
      <c r="AA278">
        <v>-75.612797659999998</v>
      </c>
      <c r="AB278">
        <v>6.2733274100000003</v>
      </c>
      <c r="AC278" t="s">
        <v>456</v>
      </c>
      <c r="AD278" t="s">
        <v>457</v>
      </c>
    </row>
    <row r="279" spans="1:30" x14ac:dyDescent="0.25">
      <c r="A279" t="s">
        <v>479</v>
      </c>
      <c r="B279" t="s">
        <v>25</v>
      </c>
      <c r="C279" t="s">
        <v>26</v>
      </c>
      <c r="D279" t="s">
        <v>39</v>
      </c>
      <c r="E279" t="s">
        <v>207</v>
      </c>
      <c r="F279" t="s">
        <v>208</v>
      </c>
      <c r="G279">
        <v>1026144901</v>
      </c>
      <c r="H279" t="s">
        <v>209</v>
      </c>
      <c r="I279" s="4" t="s">
        <v>35</v>
      </c>
      <c r="J279" s="4" t="s">
        <v>210</v>
      </c>
      <c r="K279" t="s">
        <v>211</v>
      </c>
      <c r="L279" t="s">
        <v>77</v>
      </c>
      <c r="M279" t="s">
        <v>212</v>
      </c>
      <c r="N279" t="s">
        <v>78</v>
      </c>
      <c r="O279" t="s">
        <v>40</v>
      </c>
      <c r="P279" t="s">
        <v>36</v>
      </c>
      <c r="Q279" t="s">
        <v>38</v>
      </c>
      <c r="R279">
        <v>8</v>
      </c>
      <c r="S279" t="s">
        <v>213</v>
      </c>
      <c r="T279" t="s">
        <v>6609</v>
      </c>
      <c r="U279" t="s">
        <v>47</v>
      </c>
      <c r="V279" t="s">
        <v>47</v>
      </c>
      <c r="W279" t="s">
        <v>33</v>
      </c>
      <c r="X279" t="s">
        <v>33</v>
      </c>
      <c r="Y279" t="s">
        <v>33</v>
      </c>
      <c r="Z279" s="5" t="s">
        <v>34</v>
      </c>
      <c r="AA279">
        <v>-75.636968719999999</v>
      </c>
      <c r="AB279">
        <v>6.0529956599999997</v>
      </c>
      <c r="AC279" t="s">
        <v>456</v>
      </c>
      <c r="AD279" t="s">
        <v>457</v>
      </c>
    </row>
    <row r="280" spans="1:30" x14ac:dyDescent="0.25">
      <c r="A280" t="s">
        <v>480</v>
      </c>
      <c r="B280" t="s">
        <v>25</v>
      </c>
      <c r="C280" t="s">
        <v>26</v>
      </c>
      <c r="D280" t="s">
        <v>39</v>
      </c>
      <c r="E280" t="s">
        <v>214</v>
      </c>
      <c r="F280" t="s">
        <v>215</v>
      </c>
      <c r="G280">
        <v>70878252</v>
      </c>
      <c r="H280" t="s">
        <v>216</v>
      </c>
      <c r="I280" s="4" t="s">
        <v>217</v>
      </c>
      <c r="J280" s="4" t="s">
        <v>218</v>
      </c>
      <c r="K280" t="s">
        <v>219</v>
      </c>
      <c r="L280" t="s">
        <v>61</v>
      </c>
      <c r="M280" t="s">
        <v>220</v>
      </c>
      <c r="N280" t="s">
        <v>63</v>
      </c>
      <c r="O280" t="s">
        <v>40</v>
      </c>
      <c r="P280" t="s">
        <v>36</v>
      </c>
      <c r="Q280" t="s">
        <v>31</v>
      </c>
      <c r="R280">
        <v>5</v>
      </c>
      <c r="S280" t="s">
        <v>221</v>
      </c>
      <c r="T280" t="s">
        <v>6610</v>
      </c>
      <c r="U280" t="s">
        <v>47</v>
      </c>
      <c r="V280" t="s">
        <v>47</v>
      </c>
      <c r="W280" t="s">
        <v>33</v>
      </c>
      <c r="X280" t="s">
        <v>33</v>
      </c>
      <c r="Y280" t="s">
        <v>33</v>
      </c>
      <c r="Z280" s="5" t="s">
        <v>34</v>
      </c>
      <c r="AA280">
        <v>-75.643524880000001</v>
      </c>
      <c r="AB280">
        <v>6.1639648999999999</v>
      </c>
      <c r="AC280" t="s">
        <v>456</v>
      </c>
      <c r="AD280" t="s">
        <v>457</v>
      </c>
    </row>
    <row r="281" spans="1:30" x14ac:dyDescent="0.25">
      <c r="A281" t="s">
        <v>481</v>
      </c>
      <c r="B281" t="s">
        <v>25</v>
      </c>
      <c r="C281" t="s">
        <v>166</v>
      </c>
      <c r="D281" t="s">
        <v>25</v>
      </c>
      <c r="E281" t="s">
        <v>482</v>
      </c>
      <c r="F281" t="s">
        <v>483</v>
      </c>
      <c r="G281">
        <v>43254050</v>
      </c>
      <c r="H281" t="s">
        <v>484</v>
      </c>
      <c r="I281" s="4" t="s">
        <v>35</v>
      </c>
      <c r="J281" s="4" t="s">
        <v>485</v>
      </c>
      <c r="K281" t="s">
        <v>486</v>
      </c>
      <c r="L281" t="s">
        <v>77</v>
      </c>
      <c r="M281" t="s">
        <v>487</v>
      </c>
      <c r="N281" t="s">
        <v>78</v>
      </c>
      <c r="O281" t="s">
        <v>467</v>
      </c>
      <c r="P281" t="s">
        <v>36</v>
      </c>
      <c r="Q281" t="s">
        <v>38</v>
      </c>
      <c r="R281">
        <v>10</v>
      </c>
      <c r="S281" t="s">
        <v>488</v>
      </c>
      <c r="T281" t="s">
        <v>6611</v>
      </c>
      <c r="U281" t="s">
        <v>47</v>
      </c>
      <c r="V281" t="s">
        <v>47</v>
      </c>
      <c r="W281" t="s">
        <v>33</v>
      </c>
      <c r="X281" t="s">
        <v>33</v>
      </c>
      <c r="Y281" t="s">
        <v>33</v>
      </c>
      <c r="Z281" s="5" t="s">
        <v>34</v>
      </c>
      <c r="AA281">
        <v>-75.635334999999998</v>
      </c>
      <c r="AB281">
        <v>6.0730683299999999</v>
      </c>
      <c r="AC281" t="s">
        <v>456</v>
      </c>
      <c r="AD281" t="s">
        <v>457</v>
      </c>
    </row>
    <row r="282" spans="1:30" x14ac:dyDescent="0.25">
      <c r="A282" t="s">
        <v>5497</v>
      </c>
      <c r="B282" t="s">
        <v>25</v>
      </c>
      <c r="C282" t="s">
        <v>26</v>
      </c>
      <c r="D282" t="s">
        <v>25</v>
      </c>
      <c r="E282" t="s">
        <v>5498</v>
      </c>
      <c r="F282" t="s">
        <v>5499</v>
      </c>
      <c r="G282">
        <v>43507068</v>
      </c>
      <c r="H282" t="s">
        <v>5500</v>
      </c>
      <c r="I282" s="4" t="s">
        <v>5501</v>
      </c>
      <c r="J282" s="4" t="s">
        <v>5502</v>
      </c>
      <c r="K282" t="s">
        <v>5503</v>
      </c>
      <c r="L282" t="s">
        <v>27</v>
      </c>
      <c r="M282" t="s">
        <v>5504</v>
      </c>
      <c r="N282" t="s">
        <v>28</v>
      </c>
      <c r="O282" t="s">
        <v>29</v>
      </c>
      <c r="P282" t="s">
        <v>30</v>
      </c>
      <c r="Q282" t="s">
        <v>31</v>
      </c>
      <c r="R282">
        <v>7</v>
      </c>
      <c r="S282" t="s">
        <v>5505</v>
      </c>
      <c r="T282" t="s">
        <v>4942</v>
      </c>
      <c r="U282" t="s">
        <v>4943</v>
      </c>
      <c r="V282" t="s">
        <v>32</v>
      </c>
      <c r="W282" t="s">
        <v>33</v>
      </c>
      <c r="X282" t="s">
        <v>33</v>
      </c>
      <c r="Y282" t="s">
        <v>33</v>
      </c>
      <c r="Z282" s="5" t="s">
        <v>34</v>
      </c>
      <c r="AA282">
        <v>-75.59462997</v>
      </c>
      <c r="AB282">
        <v>6.2370120099999999</v>
      </c>
      <c r="AC282" t="s">
        <v>456</v>
      </c>
      <c r="AD282" t="s">
        <v>457</v>
      </c>
    </row>
    <row r="283" spans="1:30" x14ac:dyDescent="0.25">
      <c r="A283" t="s">
        <v>5506</v>
      </c>
      <c r="B283" t="s">
        <v>25</v>
      </c>
      <c r="C283" t="s">
        <v>26</v>
      </c>
      <c r="D283" t="s">
        <v>25</v>
      </c>
      <c r="E283" t="s">
        <v>5507</v>
      </c>
      <c r="F283" t="s">
        <v>5508</v>
      </c>
      <c r="G283">
        <v>43507068</v>
      </c>
      <c r="H283" t="s">
        <v>5500</v>
      </c>
      <c r="I283" s="4" t="s">
        <v>5501</v>
      </c>
      <c r="J283" s="4" t="s">
        <v>5502</v>
      </c>
      <c r="K283" t="s">
        <v>5509</v>
      </c>
      <c r="L283" t="s">
        <v>27</v>
      </c>
      <c r="M283" t="s">
        <v>5510</v>
      </c>
      <c r="N283" t="s">
        <v>28</v>
      </c>
      <c r="O283" t="s">
        <v>29</v>
      </c>
      <c r="P283" t="s">
        <v>30</v>
      </c>
      <c r="Q283" t="s">
        <v>31</v>
      </c>
      <c r="R283">
        <v>7</v>
      </c>
      <c r="S283" t="s">
        <v>5511</v>
      </c>
      <c r="T283" t="s">
        <v>6595</v>
      </c>
      <c r="U283" t="s">
        <v>6612</v>
      </c>
      <c r="V283" t="s">
        <v>32</v>
      </c>
      <c r="W283" t="s">
        <v>33</v>
      </c>
      <c r="X283" t="s">
        <v>33</v>
      </c>
      <c r="Y283" t="s">
        <v>33</v>
      </c>
      <c r="Z283" s="5" t="s">
        <v>34</v>
      </c>
      <c r="AA283">
        <v>-75.59462997</v>
      </c>
      <c r="AB283">
        <v>6.2370120099999999</v>
      </c>
      <c r="AC283" t="s">
        <v>456</v>
      </c>
      <c r="AD283" t="s">
        <v>457</v>
      </c>
    </row>
    <row r="284" spans="1:30" x14ac:dyDescent="0.25">
      <c r="A284" t="s">
        <v>5512</v>
      </c>
      <c r="B284" t="s">
        <v>25</v>
      </c>
      <c r="C284" t="s">
        <v>26</v>
      </c>
      <c r="D284" t="s">
        <v>25</v>
      </c>
      <c r="E284" t="s">
        <v>5507</v>
      </c>
      <c r="F284" t="s">
        <v>5513</v>
      </c>
      <c r="G284">
        <v>43507068</v>
      </c>
      <c r="H284" t="s">
        <v>5500</v>
      </c>
      <c r="I284" s="4" t="s">
        <v>5501</v>
      </c>
      <c r="J284" s="4" t="s">
        <v>5502</v>
      </c>
      <c r="K284" t="s">
        <v>5514</v>
      </c>
      <c r="L284" t="s">
        <v>27</v>
      </c>
      <c r="M284" t="s">
        <v>5515</v>
      </c>
      <c r="N284" t="s">
        <v>28</v>
      </c>
      <c r="O284" t="s">
        <v>29</v>
      </c>
      <c r="P284" t="s">
        <v>30</v>
      </c>
      <c r="Q284" t="s">
        <v>31</v>
      </c>
      <c r="R284">
        <v>7</v>
      </c>
      <c r="S284" t="s">
        <v>5516</v>
      </c>
      <c r="T284" t="s">
        <v>4950</v>
      </c>
      <c r="U284" t="s">
        <v>6613</v>
      </c>
      <c r="V284" t="s">
        <v>32</v>
      </c>
      <c r="W284" t="s">
        <v>33</v>
      </c>
      <c r="X284" t="s">
        <v>33</v>
      </c>
      <c r="Y284" t="s">
        <v>33</v>
      </c>
      <c r="Z284" s="5" t="s">
        <v>34</v>
      </c>
      <c r="AA284">
        <v>-75.59462997</v>
      </c>
      <c r="AB284">
        <v>6.2370120099999999</v>
      </c>
      <c r="AC284" t="s">
        <v>456</v>
      </c>
      <c r="AD284" t="s">
        <v>457</v>
      </c>
    </row>
    <row r="285" spans="1:30" x14ac:dyDescent="0.25">
      <c r="A285" t="s">
        <v>5517</v>
      </c>
      <c r="B285" t="s">
        <v>25</v>
      </c>
      <c r="C285" t="s">
        <v>26</v>
      </c>
      <c r="D285" t="s">
        <v>25</v>
      </c>
      <c r="E285" t="s">
        <v>5518</v>
      </c>
      <c r="F285" t="s">
        <v>5519</v>
      </c>
      <c r="G285">
        <v>43507068</v>
      </c>
      <c r="H285" t="s">
        <v>5500</v>
      </c>
      <c r="I285" s="4" t="s">
        <v>5501</v>
      </c>
      <c r="J285" s="4" t="s">
        <v>5502</v>
      </c>
      <c r="K285" t="s">
        <v>5520</v>
      </c>
      <c r="L285" t="s">
        <v>27</v>
      </c>
      <c r="M285" t="s">
        <v>5521</v>
      </c>
      <c r="N285" t="s">
        <v>28</v>
      </c>
      <c r="O285" t="s">
        <v>29</v>
      </c>
      <c r="P285" t="s">
        <v>30</v>
      </c>
      <c r="Q285" t="s">
        <v>31</v>
      </c>
      <c r="R285">
        <v>7</v>
      </c>
      <c r="S285" t="s">
        <v>5522</v>
      </c>
      <c r="T285" t="s">
        <v>6614</v>
      </c>
      <c r="U285" t="s">
        <v>6615</v>
      </c>
      <c r="V285" t="s">
        <v>32</v>
      </c>
      <c r="W285" t="s">
        <v>33</v>
      </c>
      <c r="X285" t="s">
        <v>33</v>
      </c>
      <c r="Y285" t="s">
        <v>33</v>
      </c>
      <c r="Z285" s="5" t="s">
        <v>34</v>
      </c>
      <c r="AA285">
        <v>-75.59462997</v>
      </c>
      <c r="AB285">
        <v>6.2370120099999999</v>
      </c>
      <c r="AC285" t="s">
        <v>456</v>
      </c>
      <c r="AD285" t="s">
        <v>457</v>
      </c>
    </row>
    <row r="286" spans="1:30" x14ac:dyDescent="0.25">
      <c r="A286" t="s">
        <v>5524</v>
      </c>
      <c r="B286" t="s">
        <v>25</v>
      </c>
      <c r="C286" t="s">
        <v>26</v>
      </c>
      <c r="D286" t="s">
        <v>25</v>
      </c>
      <c r="E286" t="s">
        <v>5525</v>
      </c>
      <c r="F286" t="s">
        <v>5526</v>
      </c>
      <c r="G286">
        <v>43507068</v>
      </c>
      <c r="H286" t="s">
        <v>5500</v>
      </c>
      <c r="I286" s="4" t="s">
        <v>5501</v>
      </c>
      <c r="J286" s="4" t="s">
        <v>5502</v>
      </c>
      <c r="K286" t="s">
        <v>5527</v>
      </c>
      <c r="L286" t="s">
        <v>27</v>
      </c>
      <c r="M286" t="s">
        <v>5528</v>
      </c>
      <c r="N286" t="s">
        <v>28</v>
      </c>
      <c r="O286" t="s">
        <v>29</v>
      </c>
      <c r="P286" t="s">
        <v>30</v>
      </c>
      <c r="Q286" t="s">
        <v>31</v>
      </c>
      <c r="R286">
        <v>7</v>
      </c>
      <c r="S286" t="s">
        <v>5529</v>
      </c>
      <c r="T286" t="s">
        <v>4948</v>
      </c>
      <c r="U286" t="s">
        <v>4949</v>
      </c>
      <c r="V286" t="s">
        <v>32</v>
      </c>
      <c r="W286" t="s">
        <v>33</v>
      </c>
      <c r="X286" t="s">
        <v>33</v>
      </c>
      <c r="Y286" t="s">
        <v>33</v>
      </c>
      <c r="Z286" s="5" t="s">
        <v>34</v>
      </c>
      <c r="AA286">
        <v>-75.59462997</v>
      </c>
      <c r="AB286">
        <v>6.2370120099999999</v>
      </c>
      <c r="AC286" t="s">
        <v>456</v>
      </c>
      <c r="AD286" t="s">
        <v>457</v>
      </c>
    </row>
    <row r="287" spans="1:30" x14ac:dyDescent="0.25">
      <c r="A287" t="s">
        <v>5530</v>
      </c>
      <c r="B287" t="s">
        <v>25</v>
      </c>
      <c r="C287" t="s">
        <v>26</v>
      </c>
      <c r="D287" t="s">
        <v>25</v>
      </c>
      <c r="E287" t="s">
        <v>5531</v>
      </c>
      <c r="F287" t="s">
        <v>5532</v>
      </c>
      <c r="G287">
        <v>43507068</v>
      </c>
      <c r="H287" t="s">
        <v>5500</v>
      </c>
      <c r="I287" s="4" t="s">
        <v>5501</v>
      </c>
      <c r="J287" s="4" t="s">
        <v>5502</v>
      </c>
      <c r="K287" t="s">
        <v>5533</v>
      </c>
      <c r="L287" t="s">
        <v>27</v>
      </c>
      <c r="M287" t="s">
        <v>5534</v>
      </c>
      <c r="N287" t="s">
        <v>28</v>
      </c>
      <c r="O287" t="s">
        <v>29</v>
      </c>
      <c r="P287" t="s">
        <v>30</v>
      </c>
      <c r="Q287" t="s">
        <v>31</v>
      </c>
      <c r="R287">
        <v>7</v>
      </c>
      <c r="S287" t="s">
        <v>5535</v>
      </c>
      <c r="T287" t="s">
        <v>2920</v>
      </c>
      <c r="U287" t="s">
        <v>4947</v>
      </c>
      <c r="V287" t="s">
        <v>32</v>
      </c>
      <c r="W287" t="s">
        <v>33</v>
      </c>
      <c r="X287" t="s">
        <v>33</v>
      </c>
      <c r="Y287" t="s">
        <v>33</v>
      </c>
      <c r="Z287" s="5" t="s">
        <v>34</v>
      </c>
      <c r="AA287">
        <v>-75.59462997</v>
      </c>
      <c r="AB287">
        <v>6.2370120099999999</v>
      </c>
      <c r="AC287" t="s">
        <v>456</v>
      </c>
      <c r="AD287" t="s">
        <v>457</v>
      </c>
    </row>
    <row r="288" spans="1:30" x14ac:dyDescent="0.25">
      <c r="A288" t="s">
        <v>5537</v>
      </c>
      <c r="B288" t="s">
        <v>25</v>
      </c>
      <c r="C288" t="s">
        <v>26</v>
      </c>
      <c r="D288" t="s">
        <v>25</v>
      </c>
      <c r="E288" t="s">
        <v>5538</v>
      </c>
      <c r="F288" t="s">
        <v>5539</v>
      </c>
      <c r="G288">
        <v>43507068</v>
      </c>
      <c r="H288" t="s">
        <v>5500</v>
      </c>
      <c r="I288" s="4" t="s">
        <v>5501</v>
      </c>
      <c r="J288" s="4" t="s">
        <v>5502</v>
      </c>
      <c r="K288" t="s">
        <v>5540</v>
      </c>
      <c r="L288" t="s">
        <v>27</v>
      </c>
      <c r="M288" t="s">
        <v>5541</v>
      </c>
      <c r="N288" t="s">
        <v>28</v>
      </c>
      <c r="O288" t="s">
        <v>29</v>
      </c>
      <c r="P288" t="s">
        <v>30</v>
      </c>
      <c r="Q288" t="s">
        <v>31</v>
      </c>
      <c r="R288">
        <v>7</v>
      </c>
      <c r="S288" t="s">
        <v>5542</v>
      </c>
      <c r="T288" t="s">
        <v>6614</v>
      </c>
      <c r="U288" t="s">
        <v>6615</v>
      </c>
      <c r="V288" t="s">
        <v>32</v>
      </c>
      <c r="W288" t="s">
        <v>33</v>
      </c>
      <c r="X288" t="s">
        <v>33</v>
      </c>
      <c r="Y288" t="s">
        <v>33</v>
      </c>
      <c r="Z288" s="5" t="s">
        <v>34</v>
      </c>
      <c r="AA288">
        <v>-75.59462997</v>
      </c>
      <c r="AB288">
        <v>6.2370120099999999</v>
      </c>
      <c r="AC288" t="s">
        <v>456</v>
      </c>
      <c r="AD288" t="s">
        <v>457</v>
      </c>
    </row>
    <row r="289" spans="1:30" x14ac:dyDescent="0.25">
      <c r="A289" t="s">
        <v>5543</v>
      </c>
      <c r="B289" t="s">
        <v>25</v>
      </c>
      <c r="C289" t="s">
        <v>26</v>
      </c>
      <c r="D289" t="s">
        <v>25</v>
      </c>
      <c r="E289" t="s">
        <v>5544</v>
      </c>
      <c r="F289" t="s">
        <v>5545</v>
      </c>
      <c r="G289">
        <v>43507068</v>
      </c>
      <c r="H289" t="s">
        <v>5500</v>
      </c>
      <c r="I289" s="4" t="s">
        <v>5501</v>
      </c>
      <c r="J289" s="4" t="s">
        <v>5502</v>
      </c>
      <c r="K289" t="s">
        <v>5546</v>
      </c>
      <c r="L289" t="s">
        <v>27</v>
      </c>
      <c r="M289" t="s">
        <v>5547</v>
      </c>
      <c r="N289" t="s">
        <v>28</v>
      </c>
      <c r="O289" t="s">
        <v>29</v>
      </c>
      <c r="P289" t="s">
        <v>30</v>
      </c>
      <c r="Q289" t="s">
        <v>31</v>
      </c>
      <c r="R289">
        <v>7</v>
      </c>
      <c r="S289" t="s">
        <v>5548</v>
      </c>
      <c r="T289" t="s">
        <v>4944</v>
      </c>
      <c r="U289" t="s">
        <v>4824</v>
      </c>
      <c r="V289" t="s">
        <v>32</v>
      </c>
      <c r="W289" t="s">
        <v>33</v>
      </c>
      <c r="X289" t="s">
        <v>33</v>
      </c>
      <c r="Y289" t="s">
        <v>33</v>
      </c>
      <c r="Z289" s="5" t="s">
        <v>34</v>
      </c>
      <c r="AA289">
        <v>-75.59462997</v>
      </c>
      <c r="AB289">
        <v>6.2370120099999999</v>
      </c>
      <c r="AC289" t="s">
        <v>456</v>
      </c>
      <c r="AD289" t="s">
        <v>457</v>
      </c>
    </row>
    <row r="290" spans="1:30" x14ac:dyDescent="0.25">
      <c r="A290" t="s">
        <v>489</v>
      </c>
      <c r="B290" t="s">
        <v>25</v>
      </c>
      <c r="C290" t="s">
        <v>26</v>
      </c>
      <c r="D290" t="s">
        <v>39</v>
      </c>
      <c r="E290" t="s">
        <v>224</v>
      </c>
      <c r="F290" t="s">
        <v>225</v>
      </c>
      <c r="G290">
        <v>430781714</v>
      </c>
      <c r="H290" t="s">
        <v>226</v>
      </c>
      <c r="I290" s="4" t="s">
        <v>35</v>
      </c>
      <c r="J290" s="4" t="s">
        <v>227</v>
      </c>
      <c r="K290" t="s">
        <v>228</v>
      </c>
      <c r="L290" t="s">
        <v>77</v>
      </c>
      <c r="M290" t="s">
        <v>229</v>
      </c>
      <c r="N290" t="s">
        <v>78</v>
      </c>
      <c r="O290" t="s">
        <v>40</v>
      </c>
      <c r="P290" t="s">
        <v>36</v>
      </c>
      <c r="Q290" t="s">
        <v>38</v>
      </c>
      <c r="R290">
        <v>8</v>
      </c>
      <c r="S290" t="s">
        <v>230</v>
      </c>
      <c r="T290" t="s">
        <v>6617</v>
      </c>
      <c r="U290" t="s">
        <v>47</v>
      </c>
      <c r="V290" t="s">
        <v>47</v>
      </c>
      <c r="W290" t="s">
        <v>33</v>
      </c>
      <c r="X290" t="s">
        <v>33</v>
      </c>
      <c r="Y290" t="s">
        <v>33</v>
      </c>
      <c r="Z290" s="5" t="s">
        <v>34</v>
      </c>
      <c r="AA290">
        <v>-75.620897999999997</v>
      </c>
      <c r="AB290">
        <v>6.0887789999999997</v>
      </c>
      <c r="AC290" t="s">
        <v>456</v>
      </c>
      <c r="AD290" t="s">
        <v>457</v>
      </c>
    </row>
    <row r="291" spans="1:30" x14ac:dyDescent="0.25">
      <c r="A291" t="s">
        <v>490</v>
      </c>
      <c r="B291" t="s">
        <v>25</v>
      </c>
      <c r="C291" t="s">
        <v>26</v>
      </c>
      <c r="D291" t="s">
        <v>39</v>
      </c>
      <c r="E291" t="s">
        <v>231</v>
      </c>
      <c r="F291" t="s">
        <v>232</v>
      </c>
      <c r="G291">
        <v>1000922602</v>
      </c>
      <c r="H291" t="s">
        <v>233</v>
      </c>
      <c r="I291" s="4" t="s">
        <v>35</v>
      </c>
      <c r="J291" s="4" t="s">
        <v>234</v>
      </c>
      <c r="K291" t="s">
        <v>235</v>
      </c>
      <c r="L291" t="s">
        <v>77</v>
      </c>
      <c r="M291" t="s">
        <v>236</v>
      </c>
      <c r="N291" t="s">
        <v>78</v>
      </c>
      <c r="O291" t="s">
        <v>40</v>
      </c>
      <c r="P291" t="s">
        <v>36</v>
      </c>
      <c r="Q291" t="s">
        <v>38</v>
      </c>
      <c r="R291">
        <v>8</v>
      </c>
      <c r="S291" t="s">
        <v>237</v>
      </c>
      <c r="T291" t="s">
        <v>6618</v>
      </c>
      <c r="U291" t="s">
        <v>47</v>
      </c>
      <c r="V291" t="s">
        <v>47</v>
      </c>
      <c r="W291" t="s">
        <v>33</v>
      </c>
      <c r="X291" t="s">
        <v>33</v>
      </c>
      <c r="Y291" t="s">
        <v>33</v>
      </c>
      <c r="Z291" s="5" t="s">
        <v>34</v>
      </c>
      <c r="AA291">
        <v>-75.640614859999999</v>
      </c>
      <c r="AB291">
        <v>6.0822918899999996</v>
      </c>
      <c r="AC291" t="s">
        <v>456</v>
      </c>
      <c r="AD291" t="s">
        <v>457</v>
      </c>
    </row>
    <row r="292" spans="1:30" x14ac:dyDescent="0.25">
      <c r="A292" t="s">
        <v>491</v>
      </c>
      <c r="B292" t="s">
        <v>25</v>
      </c>
      <c r="C292" t="s">
        <v>26</v>
      </c>
      <c r="D292" t="s">
        <v>25</v>
      </c>
      <c r="E292" t="s">
        <v>238</v>
      </c>
      <c r="F292" t="s">
        <v>239</v>
      </c>
      <c r="G292">
        <v>15458130</v>
      </c>
      <c r="H292" t="s">
        <v>240</v>
      </c>
      <c r="I292" s="4" t="s">
        <v>35</v>
      </c>
      <c r="J292" s="4" t="s">
        <v>241</v>
      </c>
      <c r="K292" t="s">
        <v>242</v>
      </c>
      <c r="L292" t="s">
        <v>77</v>
      </c>
      <c r="M292" t="s">
        <v>243</v>
      </c>
      <c r="N292" t="s">
        <v>78</v>
      </c>
      <c r="O292" t="s">
        <v>29</v>
      </c>
      <c r="P292" t="s">
        <v>36</v>
      </c>
      <c r="Q292" t="s">
        <v>31</v>
      </c>
      <c r="R292">
        <v>7</v>
      </c>
      <c r="S292" t="s">
        <v>244</v>
      </c>
      <c r="T292" t="s">
        <v>6619</v>
      </c>
      <c r="U292" t="s">
        <v>47</v>
      </c>
      <c r="V292" t="s">
        <v>47</v>
      </c>
      <c r="W292" t="s">
        <v>33</v>
      </c>
      <c r="X292" t="s">
        <v>33</v>
      </c>
      <c r="Y292" t="s">
        <v>33</v>
      </c>
      <c r="Z292" s="5" t="s">
        <v>34</v>
      </c>
      <c r="AA292">
        <v>-75.630044339999998</v>
      </c>
      <c r="AB292">
        <v>6.0963919600000001</v>
      </c>
      <c r="AC292" t="s">
        <v>456</v>
      </c>
      <c r="AD292" t="s">
        <v>457</v>
      </c>
    </row>
    <row r="293" spans="1:30" x14ac:dyDescent="0.25">
      <c r="A293" t="s">
        <v>492</v>
      </c>
      <c r="B293" t="s">
        <v>25</v>
      </c>
      <c r="C293" t="s">
        <v>26</v>
      </c>
      <c r="D293" t="s">
        <v>25</v>
      </c>
      <c r="E293" t="s">
        <v>245</v>
      </c>
      <c r="F293" t="s">
        <v>246</v>
      </c>
      <c r="G293">
        <v>15458130</v>
      </c>
      <c r="H293" t="s">
        <v>240</v>
      </c>
      <c r="I293" s="4" t="s">
        <v>35</v>
      </c>
      <c r="J293" s="4" t="s">
        <v>241</v>
      </c>
      <c r="K293" t="s">
        <v>247</v>
      </c>
      <c r="L293" t="s">
        <v>77</v>
      </c>
      <c r="M293" t="s">
        <v>248</v>
      </c>
      <c r="N293" t="s">
        <v>78</v>
      </c>
      <c r="O293" t="s">
        <v>29</v>
      </c>
      <c r="P293" t="s">
        <v>36</v>
      </c>
      <c r="Q293" t="s">
        <v>31</v>
      </c>
      <c r="R293">
        <v>7</v>
      </c>
      <c r="S293" t="s">
        <v>249</v>
      </c>
      <c r="T293" t="s">
        <v>6620</v>
      </c>
      <c r="U293" t="s">
        <v>47</v>
      </c>
      <c r="V293" t="s">
        <v>47</v>
      </c>
      <c r="W293" t="s">
        <v>33</v>
      </c>
      <c r="X293" t="s">
        <v>33</v>
      </c>
      <c r="Y293" t="s">
        <v>33</v>
      </c>
      <c r="Z293" s="5" t="s">
        <v>34</v>
      </c>
      <c r="AA293">
        <v>-75.630044339999998</v>
      </c>
      <c r="AB293">
        <v>6.0963919600000001</v>
      </c>
      <c r="AC293" t="s">
        <v>456</v>
      </c>
      <c r="AD293" t="s">
        <v>457</v>
      </c>
    </row>
    <row r="294" spans="1:30" x14ac:dyDescent="0.25">
      <c r="A294" t="s">
        <v>493</v>
      </c>
      <c r="B294" t="s">
        <v>25</v>
      </c>
      <c r="C294" t="s">
        <v>26</v>
      </c>
      <c r="D294" t="s">
        <v>25</v>
      </c>
      <c r="E294" t="s">
        <v>250</v>
      </c>
      <c r="F294" t="s">
        <v>251</v>
      </c>
      <c r="G294">
        <v>43681290</v>
      </c>
      <c r="H294" t="s">
        <v>252</v>
      </c>
      <c r="I294" s="4" t="s">
        <v>35</v>
      </c>
      <c r="J294" s="4" t="s">
        <v>253</v>
      </c>
      <c r="K294" t="s">
        <v>254</v>
      </c>
      <c r="L294" t="s">
        <v>77</v>
      </c>
      <c r="M294" t="s">
        <v>255</v>
      </c>
      <c r="N294" t="s">
        <v>78</v>
      </c>
      <c r="O294" t="s">
        <v>29</v>
      </c>
      <c r="P294" t="s">
        <v>36</v>
      </c>
      <c r="Q294" t="s">
        <v>31</v>
      </c>
      <c r="R294">
        <v>7</v>
      </c>
      <c r="S294" t="s">
        <v>256</v>
      </c>
      <c r="T294" t="s">
        <v>6621</v>
      </c>
      <c r="U294" t="s">
        <v>47</v>
      </c>
      <c r="V294" t="s">
        <v>47</v>
      </c>
      <c r="W294" t="s">
        <v>33</v>
      </c>
      <c r="X294" t="s">
        <v>33</v>
      </c>
      <c r="Y294" t="s">
        <v>33</v>
      </c>
      <c r="Z294" s="5" t="s">
        <v>34</v>
      </c>
      <c r="AA294">
        <v>-75.635442999999995</v>
      </c>
      <c r="AB294">
        <v>6.0956049999999999</v>
      </c>
      <c r="AC294" t="s">
        <v>456</v>
      </c>
      <c r="AD294" t="s">
        <v>457</v>
      </c>
    </row>
    <row r="295" spans="1:30" x14ac:dyDescent="0.25">
      <c r="A295" t="s">
        <v>494</v>
      </c>
      <c r="B295" t="s">
        <v>25</v>
      </c>
      <c r="C295" t="s">
        <v>166</v>
      </c>
      <c r="D295" t="s">
        <v>25</v>
      </c>
      <c r="E295" t="s">
        <v>495</v>
      </c>
      <c r="F295" t="s">
        <v>496</v>
      </c>
      <c r="G295">
        <v>15458130</v>
      </c>
      <c r="H295" t="s">
        <v>240</v>
      </c>
      <c r="I295" s="4" t="s">
        <v>35</v>
      </c>
      <c r="J295" s="4" t="s">
        <v>241</v>
      </c>
      <c r="K295" t="s">
        <v>497</v>
      </c>
      <c r="L295" t="s">
        <v>77</v>
      </c>
      <c r="M295" t="s">
        <v>498</v>
      </c>
      <c r="N295" t="s">
        <v>78</v>
      </c>
      <c r="O295" t="s">
        <v>467</v>
      </c>
      <c r="P295" t="s">
        <v>36</v>
      </c>
      <c r="Q295" t="s">
        <v>31</v>
      </c>
      <c r="R295">
        <v>7</v>
      </c>
      <c r="S295" t="s">
        <v>499</v>
      </c>
      <c r="T295" t="s">
        <v>6622</v>
      </c>
      <c r="U295" t="s">
        <v>47</v>
      </c>
      <c r="V295" t="s">
        <v>47</v>
      </c>
      <c r="W295" t="s">
        <v>33</v>
      </c>
      <c r="X295" t="s">
        <v>33</v>
      </c>
      <c r="Y295" t="s">
        <v>33</v>
      </c>
      <c r="Z295" s="5" t="s">
        <v>34</v>
      </c>
      <c r="AA295">
        <v>-75.629795000000001</v>
      </c>
      <c r="AB295">
        <v>6.0959989999999999</v>
      </c>
      <c r="AC295" t="s">
        <v>456</v>
      </c>
      <c r="AD295" t="s">
        <v>457</v>
      </c>
    </row>
    <row r="296" spans="1:30" x14ac:dyDescent="0.25">
      <c r="A296" t="s">
        <v>500</v>
      </c>
      <c r="B296" t="s">
        <v>25</v>
      </c>
      <c r="C296" t="s">
        <v>26</v>
      </c>
      <c r="D296" t="s">
        <v>25</v>
      </c>
      <c r="E296" t="s">
        <v>257</v>
      </c>
      <c r="F296" t="s">
        <v>258</v>
      </c>
      <c r="G296">
        <v>43681290</v>
      </c>
      <c r="H296" t="s">
        <v>252</v>
      </c>
      <c r="I296" s="4" t="s">
        <v>35</v>
      </c>
      <c r="J296" s="4" t="s">
        <v>253</v>
      </c>
      <c r="K296" t="s">
        <v>259</v>
      </c>
      <c r="L296" t="s">
        <v>77</v>
      </c>
      <c r="M296" t="s">
        <v>260</v>
      </c>
      <c r="N296" t="s">
        <v>78</v>
      </c>
      <c r="O296" t="s">
        <v>29</v>
      </c>
      <c r="P296" t="s">
        <v>36</v>
      </c>
      <c r="Q296" t="s">
        <v>31</v>
      </c>
      <c r="R296">
        <v>7</v>
      </c>
      <c r="S296" t="s">
        <v>261</v>
      </c>
      <c r="T296" t="s">
        <v>6623</v>
      </c>
      <c r="U296" t="s">
        <v>47</v>
      </c>
      <c r="V296" t="s">
        <v>47</v>
      </c>
      <c r="W296" t="s">
        <v>33</v>
      </c>
      <c r="X296" t="s">
        <v>33</v>
      </c>
      <c r="Y296" t="s">
        <v>33</v>
      </c>
      <c r="Z296" s="5" t="s">
        <v>34</v>
      </c>
      <c r="AA296">
        <v>-75.635415660000007</v>
      </c>
      <c r="AB296">
        <v>6.0955846200000003</v>
      </c>
      <c r="AC296" t="s">
        <v>456</v>
      </c>
      <c r="AD296" t="s">
        <v>457</v>
      </c>
    </row>
    <row r="297" spans="1:30" x14ac:dyDescent="0.25">
      <c r="A297" t="s">
        <v>501</v>
      </c>
      <c r="B297" t="s">
        <v>25</v>
      </c>
      <c r="C297" t="s">
        <v>26</v>
      </c>
      <c r="D297" t="s">
        <v>25</v>
      </c>
      <c r="E297" t="s">
        <v>263</v>
      </c>
      <c r="F297" t="s">
        <v>264</v>
      </c>
      <c r="G297">
        <v>8071683</v>
      </c>
      <c r="H297" t="s">
        <v>265</v>
      </c>
      <c r="I297" s="4" t="s">
        <v>35</v>
      </c>
      <c r="J297" s="4" t="s">
        <v>266</v>
      </c>
      <c r="K297" t="s">
        <v>267</v>
      </c>
      <c r="L297" t="s">
        <v>77</v>
      </c>
      <c r="M297" t="s">
        <v>268</v>
      </c>
      <c r="N297" t="s">
        <v>78</v>
      </c>
      <c r="O297" t="s">
        <v>29</v>
      </c>
      <c r="P297" t="s">
        <v>36</v>
      </c>
      <c r="Q297" t="s">
        <v>31</v>
      </c>
      <c r="R297">
        <v>7</v>
      </c>
      <c r="S297" t="s">
        <v>269</v>
      </c>
      <c r="T297" t="s">
        <v>6624</v>
      </c>
      <c r="U297" t="s">
        <v>47</v>
      </c>
      <c r="V297" t="s">
        <v>47</v>
      </c>
      <c r="W297" t="s">
        <v>33</v>
      </c>
      <c r="X297" t="s">
        <v>33</v>
      </c>
      <c r="Y297" t="s">
        <v>33</v>
      </c>
      <c r="Z297" s="5" t="s">
        <v>34</v>
      </c>
      <c r="AA297">
        <v>-75.6373356</v>
      </c>
      <c r="AB297">
        <v>6.0961241299999998</v>
      </c>
      <c r="AC297" t="s">
        <v>456</v>
      </c>
      <c r="AD297" t="s">
        <v>457</v>
      </c>
    </row>
    <row r="298" spans="1:30" x14ac:dyDescent="0.25">
      <c r="A298" t="s">
        <v>502</v>
      </c>
      <c r="B298" t="s">
        <v>25</v>
      </c>
      <c r="C298" t="s">
        <v>26</v>
      </c>
      <c r="D298" t="s">
        <v>25</v>
      </c>
      <c r="E298" t="s">
        <v>270</v>
      </c>
      <c r="F298" t="s">
        <v>271</v>
      </c>
      <c r="G298">
        <v>1036619513</v>
      </c>
      <c r="H298" t="s">
        <v>272</v>
      </c>
      <c r="I298" s="4" t="s">
        <v>35</v>
      </c>
      <c r="J298" s="4" t="s">
        <v>273</v>
      </c>
      <c r="K298" t="s">
        <v>274</v>
      </c>
      <c r="L298" t="s">
        <v>77</v>
      </c>
      <c r="M298" t="s">
        <v>275</v>
      </c>
      <c r="N298" t="s">
        <v>78</v>
      </c>
      <c r="O298" t="s">
        <v>29</v>
      </c>
      <c r="P298" t="s">
        <v>36</v>
      </c>
      <c r="Q298" t="s">
        <v>31</v>
      </c>
      <c r="R298">
        <v>7</v>
      </c>
      <c r="S298" t="s">
        <v>276</v>
      </c>
      <c r="T298" t="s">
        <v>6625</v>
      </c>
      <c r="U298" t="s">
        <v>47</v>
      </c>
      <c r="V298" t="s">
        <v>47</v>
      </c>
      <c r="W298" t="s">
        <v>33</v>
      </c>
      <c r="X298" t="s">
        <v>33</v>
      </c>
      <c r="Y298" t="s">
        <v>33</v>
      </c>
      <c r="Z298" s="5" t="s">
        <v>34</v>
      </c>
      <c r="AA298">
        <v>-75.634260999999995</v>
      </c>
      <c r="AB298">
        <v>6.0901019999999999</v>
      </c>
      <c r="AC298" t="s">
        <v>456</v>
      </c>
      <c r="AD298" t="s">
        <v>457</v>
      </c>
    </row>
    <row r="299" spans="1:30" x14ac:dyDescent="0.25">
      <c r="A299" t="s">
        <v>503</v>
      </c>
      <c r="B299" t="s">
        <v>25</v>
      </c>
      <c r="C299" t="s">
        <v>26</v>
      </c>
      <c r="D299" t="s">
        <v>25</v>
      </c>
      <c r="E299" t="s">
        <v>277</v>
      </c>
      <c r="F299" t="s">
        <v>278</v>
      </c>
      <c r="G299">
        <v>71115875</v>
      </c>
      <c r="H299" t="s">
        <v>279</v>
      </c>
      <c r="I299" s="4" t="s">
        <v>35</v>
      </c>
      <c r="J299" s="4" t="s">
        <v>280</v>
      </c>
      <c r="K299" t="s">
        <v>281</v>
      </c>
      <c r="L299" t="s">
        <v>77</v>
      </c>
      <c r="M299" t="s">
        <v>282</v>
      </c>
      <c r="N299" t="s">
        <v>78</v>
      </c>
      <c r="O299" t="s">
        <v>29</v>
      </c>
      <c r="P299" t="s">
        <v>36</v>
      </c>
      <c r="Q299" t="s">
        <v>31</v>
      </c>
      <c r="R299">
        <v>7</v>
      </c>
      <c r="S299" t="s">
        <v>283</v>
      </c>
      <c r="T299" t="s">
        <v>6626</v>
      </c>
      <c r="U299" t="s">
        <v>47</v>
      </c>
      <c r="V299" t="s">
        <v>47</v>
      </c>
      <c r="W299" t="s">
        <v>33</v>
      </c>
      <c r="X299" t="s">
        <v>33</v>
      </c>
      <c r="Y299" t="s">
        <v>33</v>
      </c>
      <c r="Z299" s="5" t="s">
        <v>34</v>
      </c>
      <c r="AA299">
        <v>-75.630864239999994</v>
      </c>
      <c r="AB299">
        <v>6.0888506299999996</v>
      </c>
      <c r="AC299" t="s">
        <v>456</v>
      </c>
      <c r="AD299" t="s">
        <v>457</v>
      </c>
    </row>
    <row r="300" spans="1:30" x14ac:dyDescent="0.25">
      <c r="A300" t="s">
        <v>504</v>
      </c>
      <c r="B300" t="s">
        <v>25</v>
      </c>
      <c r="C300" t="s">
        <v>26</v>
      </c>
      <c r="D300" t="s">
        <v>25</v>
      </c>
      <c r="E300" t="s">
        <v>284</v>
      </c>
      <c r="F300" t="s">
        <v>285</v>
      </c>
      <c r="G300">
        <v>1034987754</v>
      </c>
      <c r="H300" t="s">
        <v>286</v>
      </c>
      <c r="I300" s="4" t="s">
        <v>35</v>
      </c>
      <c r="J300" s="4" t="s">
        <v>287</v>
      </c>
      <c r="K300" t="s">
        <v>288</v>
      </c>
      <c r="L300" t="s">
        <v>61</v>
      </c>
      <c r="M300" t="s">
        <v>289</v>
      </c>
      <c r="N300" t="s">
        <v>63</v>
      </c>
      <c r="O300" t="s">
        <v>29</v>
      </c>
      <c r="P300" t="s">
        <v>36</v>
      </c>
      <c r="Q300" t="s">
        <v>31</v>
      </c>
      <c r="R300">
        <v>7</v>
      </c>
      <c r="S300" t="s">
        <v>290</v>
      </c>
      <c r="T300" t="s">
        <v>6627</v>
      </c>
      <c r="U300" t="s">
        <v>47</v>
      </c>
      <c r="V300" t="s">
        <v>47</v>
      </c>
      <c r="W300" t="s">
        <v>33</v>
      </c>
      <c r="X300" t="s">
        <v>33</v>
      </c>
      <c r="Y300" t="s">
        <v>33</v>
      </c>
      <c r="Z300" s="5" t="s">
        <v>34</v>
      </c>
      <c r="AA300">
        <v>-75.62468715</v>
      </c>
      <c r="AB300">
        <v>6.1542639100000001</v>
      </c>
      <c r="AC300" t="s">
        <v>456</v>
      </c>
      <c r="AD300" t="s">
        <v>457</v>
      </c>
    </row>
    <row r="301" spans="1:30" x14ac:dyDescent="0.25">
      <c r="A301" t="s">
        <v>505</v>
      </c>
      <c r="B301" t="s">
        <v>25</v>
      </c>
      <c r="C301" t="s">
        <v>26</v>
      </c>
      <c r="D301" t="s">
        <v>25</v>
      </c>
      <c r="E301" t="s">
        <v>291</v>
      </c>
      <c r="F301" t="s">
        <v>292</v>
      </c>
      <c r="G301">
        <v>1034987754</v>
      </c>
      <c r="H301" t="s">
        <v>286</v>
      </c>
      <c r="I301" s="4" t="s">
        <v>35</v>
      </c>
      <c r="J301" s="4" t="s">
        <v>287</v>
      </c>
      <c r="K301" t="s">
        <v>293</v>
      </c>
      <c r="L301" t="s">
        <v>61</v>
      </c>
      <c r="M301" t="s">
        <v>294</v>
      </c>
      <c r="N301" t="s">
        <v>63</v>
      </c>
      <c r="O301" t="s">
        <v>29</v>
      </c>
      <c r="P301" t="s">
        <v>36</v>
      </c>
      <c r="Q301" t="s">
        <v>31</v>
      </c>
      <c r="R301">
        <v>7</v>
      </c>
      <c r="S301" t="s">
        <v>295</v>
      </c>
      <c r="T301" t="s">
        <v>6628</v>
      </c>
      <c r="U301" t="s">
        <v>47</v>
      </c>
      <c r="V301" t="s">
        <v>47</v>
      </c>
      <c r="W301" t="s">
        <v>33</v>
      </c>
      <c r="X301" t="s">
        <v>33</v>
      </c>
      <c r="Y301" t="s">
        <v>33</v>
      </c>
      <c r="Z301" s="5" t="s">
        <v>34</v>
      </c>
      <c r="AA301">
        <v>-75.62468715</v>
      </c>
      <c r="AB301">
        <v>6.1542639100000001</v>
      </c>
      <c r="AC301" t="s">
        <v>456</v>
      </c>
      <c r="AD301" t="s">
        <v>457</v>
      </c>
    </row>
    <row r="302" spans="1:30" x14ac:dyDescent="0.25">
      <c r="A302" t="s">
        <v>506</v>
      </c>
      <c r="B302" t="s">
        <v>25</v>
      </c>
      <c r="C302" t="s">
        <v>26</v>
      </c>
      <c r="D302" t="s">
        <v>25</v>
      </c>
      <c r="E302" t="s">
        <v>296</v>
      </c>
      <c r="F302" t="s">
        <v>297</v>
      </c>
      <c r="G302">
        <v>1034987754</v>
      </c>
      <c r="H302" t="s">
        <v>286</v>
      </c>
      <c r="I302" s="4" t="s">
        <v>35</v>
      </c>
      <c r="J302" s="4" t="s">
        <v>287</v>
      </c>
      <c r="K302" t="s">
        <v>298</v>
      </c>
      <c r="L302" t="s">
        <v>61</v>
      </c>
      <c r="M302" t="s">
        <v>299</v>
      </c>
      <c r="N302" t="s">
        <v>63</v>
      </c>
      <c r="O302" t="s">
        <v>29</v>
      </c>
      <c r="P302" t="s">
        <v>36</v>
      </c>
      <c r="Q302" t="s">
        <v>31</v>
      </c>
      <c r="R302">
        <v>7</v>
      </c>
      <c r="S302" t="s">
        <v>300</v>
      </c>
      <c r="T302" t="s">
        <v>6629</v>
      </c>
      <c r="U302" t="s">
        <v>47</v>
      </c>
      <c r="V302" t="s">
        <v>47</v>
      </c>
      <c r="W302" t="s">
        <v>33</v>
      </c>
      <c r="X302" t="s">
        <v>33</v>
      </c>
      <c r="Y302" t="s">
        <v>33</v>
      </c>
      <c r="Z302" s="5" t="s">
        <v>34</v>
      </c>
      <c r="AA302">
        <v>-75.62468715</v>
      </c>
      <c r="AB302">
        <v>6.1542639100000001</v>
      </c>
      <c r="AC302" t="s">
        <v>456</v>
      </c>
      <c r="AD302" t="s">
        <v>457</v>
      </c>
    </row>
    <row r="303" spans="1:30" x14ac:dyDescent="0.25">
      <c r="A303" t="s">
        <v>507</v>
      </c>
      <c r="B303" t="s">
        <v>25</v>
      </c>
      <c r="C303" t="s">
        <v>26</v>
      </c>
      <c r="D303" t="s">
        <v>25</v>
      </c>
      <c r="E303" t="s">
        <v>301</v>
      </c>
      <c r="F303" t="s">
        <v>302</v>
      </c>
      <c r="G303">
        <v>1034987754</v>
      </c>
      <c r="H303" t="s">
        <v>286</v>
      </c>
      <c r="I303" s="4" t="s">
        <v>35</v>
      </c>
      <c r="J303" s="4" t="s">
        <v>287</v>
      </c>
      <c r="K303" t="s">
        <v>303</v>
      </c>
      <c r="L303" t="s">
        <v>61</v>
      </c>
      <c r="M303" t="s">
        <v>304</v>
      </c>
      <c r="N303" t="s">
        <v>63</v>
      </c>
      <c r="O303" t="s">
        <v>29</v>
      </c>
      <c r="P303" t="s">
        <v>36</v>
      </c>
      <c r="Q303" t="s">
        <v>31</v>
      </c>
      <c r="R303">
        <v>7</v>
      </c>
      <c r="S303" t="s">
        <v>305</v>
      </c>
      <c r="T303" t="s">
        <v>6630</v>
      </c>
      <c r="U303" t="s">
        <v>47</v>
      </c>
      <c r="V303" t="s">
        <v>47</v>
      </c>
      <c r="W303" t="s">
        <v>33</v>
      </c>
      <c r="X303" t="s">
        <v>33</v>
      </c>
      <c r="Y303" t="s">
        <v>33</v>
      </c>
      <c r="Z303" s="5" t="s">
        <v>34</v>
      </c>
      <c r="AA303">
        <v>-75.624977689999994</v>
      </c>
      <c r="AB303">
        <v>6.1541064900000002</v>
      </c>
      <c r="AC303" t="s">
        <v>456</v>
      </c>
      <c r="AD303" t="s">
        <v>457</v>
      </c>
    </row>
    <row r="304" spans="1:30" x14ac:dyDescent="0.25">
      <c r="A304" t="s">
        <v>508</v>
      </c>
      <c r="B304" t="s">
        <v>42</v>
      </c>
      <c r="C304" t="s">
        <v>26</v>
      </c>
      <c r="D304" t="s">
        <v>42</v>
      </c>
      <c r="E304" t="s">
        <v>306</v>
      </c>
      <c r="F304" t="s">
        <v>307</v>
      </c>
      <c r="G304">
        <v>15373757</v>
      </c>
      <c r="H304" t="s">
        <v>308</v>
      </c>
      <c r="I304" s="4" t="s">
        <v>35</v>
      </c>
      <c r="J304" s="4" t="s">
        <v>309</v>
      </c>
      <c r="K304" t="s">
        <v>310</v>
      </c>
      <c r="L304" t="s">
        <v>27</v>
      </c>
      <c r="M304" t="s">
        <v>311</v>
      </c>
      <c r="N304" t="s">
        <v>28</v>
      </c>
      <c r="O304" t="s">
        <v>43</v>
      </c>
      <c r="P304" t="s">
        <v>36</v>
      </c>
      <c r="Q304" t="s">
        <v>31</v>
      </c>
      <c r="R304">
        <v>7</v>
      </c>
      <c r="S304" t="s">
        <v>312</v>
      </c>
      <c r="T304" t="s">
        <v>6631</v>
      </c>
      <c r="U304" t="s">
        <v>47</v>
      </c>
      <c r="V304" t="s">
        <v>47</v>
      </c>
      <c r="W304" t="s">
        <v>33</v>
      </c>
      <c r="X304" t="s">
        <v>33</v>
      </c>
      <c r="Y304" t="s">
        <v>33</v>
      </c>
      <c r="Z304" s="5" t="s">
        <v>34</v>
      </c>
      <c r="AA304">
        <v>-75.605133769999995</v>
      </c>
      <c r="AB304">
        <v>6.2317616600000001</v>
      </c>
      <c r="AC304" t="s">
        <v>456</v>
      </c>
      <c r="AD304" t="s">
        <v>457</v>
      </c>
    </row>
    <row r="305" spans="1:30" x14ac:dyDescent="0.25">
      <c r="A305" t="s">
        <v>509</v>
      </c>
      <c r="B305" t="s">
        <v>25</v>
      </c>
      <c r="C305" t="s">
        <v>26</v>
      </c>
      <c r="D305" t="s">
        <v>25</v>
      </c>
      <c r="E305" t="s">
        <v>313</v>
      </c>
      <c r="F305" t="s">
        <v>314</v>
      </c>
      <c r="G305">
        <v>70500061</v>
      </c>
      <c r="H305" t="s">
        <v>315</v>
      </c>
      <c r="I305" s="4" t="s">
        <v>35</v>
      </c>
      <c r="J305" s="4" t="s">
        <v>316</v>
      </c>
      <c r="K305" t="s">
        <v>317</v>
      </c>
      <c r="L305" t="s">
        <v>27</v>
      </c>
      <c r="M305" t="s">
        <v>318</v>
      </c>
      <c r="N305" t="s">
        <v>28</v>
      </c>
      <c r="O305" t="s">
        <v>29</v>
      </c>
      <c r="P305" t="s">
        <v>36</v>
      </c>
      <c r="Q305" t="s">
        <v>31</v>
      </c>
      <c r="R305">
        <v>7</v>
      </c>
      <c r="S305" t="s">
        <v>319</v>
      </c>
      <c r="T305" t="s">
        <v>6632</v>
      </c>
      <c r="U305" t="s">
        <v>47</v>
      </c>
      <c r="V305" t="s">
        <v>47</v>
      </c>
      <c r="W305" t="s">
        <v>33</v>
      </c>
      <c r="X305" t="s">
        <v>33</v>
      </c>
      <c r="Y305" t="s">
        <v>33</v>
      </c>
      <c r="Z305" s="5" t="s">
        <v>34</v>
      </c>
      <c r="AA305">
        <v>-75.581468569999998</v>
      </c>
      <c r="AB305">
        <v>6.2194975699999997</v>
      </c>
      <c r="AC305" t="s">
        <v>456</v>
      </c>
      <c r="AD305" t="s">
        <v>457</v>
      </c>
    </row>
    <row r="306" spans="1:30" x14ac:dyDescent="0.25">
      <c r="A306" t="s">
        <v>510</v>
      </c>
      <c r="B306" t="s">
        <v>25</v>
      </c>
      <c r="C306" t="s">
        <v>26</v>
      </c>
      <c r="D306" t="s">
        <v>25</v>
      </c>
      <c r="E306" t="s">
        <v>320</v>
      </c>
      <c r="F306" t="s">
        <v>321</v>
      </c>
      <c r="G306">
        <v>1036619513</v>
      </c>
      <c r="H306" t="s">
        <v>272</v>
      </c>
      <c r="I306" s="4" t="s">
        <v>35</v>
      </c>
      <c r="J306" s="4" t="s">
        <v>273</v>
      </c>
      <c r="K306" t="s">
        <v>322</v>
      </c>
      <c r="L306" t="s">
        <v>77</v>
      </c>
      <c r="M306" t="s">
        <v>323</v>
      </c>
      <c r="N306" t="s">
        <v>78</v>
      </c>
      <c r="O306" t="s">
        <v>29</v>
      </c>
      <c r="P306" t="s">
        <v>36</v>
      </c>
      <c r="Q306" t="s">
        <v>31</v>
      </c>
      <c r="R306">
        <v>7</v>
      </c>
      <c r="S306" t="s">
        <v>324</v>
      </c>
      <c r="T306" t="s">
        <v>6633</v>
      </c>
      <c r="U306" t="s">
        <v>47</v>
      </c>
      <c r="V306" t="s">
        <v>47</v>
      </c>
      <c r="W306" t="s">
        <v>33</v>
      </c>
      <c r="X306" t="s">
        <v>33</v>
      </c>
      <c r="Y306" t="s">
        <v>33</v>
      </c>
      <c r="Z306" s="5" t="s">
        <v>34</v>
      </c>
      <c r="AA306">
        <v>-75.634260999999995</v>
      </c>
      <c r="AB306">
        <v>6.0901019999999999</v>
      </c>
      <c r="AC306" t="s">
        <v>456</v>
      </c>
      <c r="AD306" t="s">
        <v>457</v>
      </c>
    </row>
    <row r="307" spans="1:30" x14ac:dyDescent="0.25">
      <c r="A307" t="s">
        <v>3694</v>
      </c>
      <c r="B307" t="s">
        <v>25</v>
      </c>
      <c r="C307" t="s">
        <v>26</v>
      </c>
      <c r="D307" t="s">
        <v>25</v>
      </c>
      <c r="E307" t="s">
        <v>3695</v>
      </c>
      <c r="F307" t="s">
        <v>3696</v>
      </c>
      <c r="G307">
        <v>29553196</v>
      </c>
      <c r="H307" t="s">
        <v>3697</v>
      </c>
      <c r="I307" s="4" t="s">
        <v>35</v>
      </c>
      <c r="J307" s="4" t="s">
        <v>3698</v>
      </c>
      <c r="K307" t="s">
        <v>3699</v>
      </c>
      <c r="L307" t="s">
        <v>27</v>
      </c>
      <c r="M307" t="s">
        <v>3700</v>
      </c>
      <c r="N307" t="s">
        <v>28</v>
      </c>
      <c r="O307" t="s">
        <v>29</v>
      </c>
      <c r="P307" t="s">
        <v>37</v>
      </c>
      <c r="Q307" t="s">
        <v>31</v>
      </c>
      <c r="R307">
        <v>7</v>
      </c>
      <c r="S307" t="s">
        <v>3701</v>
      </c>
      <c r="T307" t="s">
        <v>2604</v>
      </c>
      <c r="U307" t="s">
        <v>6564</v>
      </c>
      <c r="V307" t="s">
        <v>32</v>
      </c>
      <c r="W307" t="s">
        <v>33</v>
      </c>
      <c r="X307" t="s">
        <v>33</v>
      </c>
      <c r="Y307" t="s">
        <v>33</v>
      </c>
      <c r="Z307" s="5" t="s">
        <v>34</v>
      </c>
      <c r="AA307">
        <v>-75.64168343</v>
      </c>
      <c r="AB307">
        <v>6.1822594999999998</v>
      </c>
      <c r="AC307" t="s">
        <v>456</v>
      </c>
      <c r="AD307" t="s">
        <v>457</v>
      </c>
    </row>
    <row r="308" spans="1:30" x14ac:dyDescent="0.25">
      <c r="A308" t="s">
        <v>511</v>
      </c>
      <c r="B308" t="s">
        <v>25</v>
      </c>
      <c r="C308" t="s">
        <v>26</v>
      </c>
      <c r="D308" t="s">
        <v>25</v>
      </c>
      <c r="E308" t="s">
        <v>325</v>
      </c>
      <c r="F308" t="s">
        <v>326</v>
      </c>
      <c r="G308">
        <v>1036619513</v>
      </c>
      <c r="H308" t="s">
        <v>272</v>
      </c>
      <c r="I308" s="4" t="s">
        <v>35</v>
      </c>
      <c r="J308" s="4" t="s">
        <v>273</v>
      </c>
      <c r="K308" t="s">
        <v>327</v>
      </c>
      <c r="L308" t="s">
        <v>77</v>
      </c>
      <c r="M308" t="s">
        <v>328</v>
      </c>
      <c r="N308" t="s">
        <v>78</v>
      </c>
      <c r="O308" t="s">
        <v>29</v>
      </c>
      <c r="P308" t="s">
        <v>36</v>
      </c>
      <c r="Q308" t="s">
        <v>31</v>
      </c>
      <c r="R308">
        <v>7</v>
      </c>
      <c r="S308" t="s">
        <v>329</v>
      </c>
      <c r="T308" t="s">
        <v>6634</v>
      </c>
      <c r="U308" t="s">
        <v>47</v>
      </c>
      <c r="V308" t="s">
        <v>47</v>
      </c>
      <c r="W308" t="s">
        <v>33</v>
      </c>
      <c r="X308" t="s">
        <v>33</v>
      </c>
      <c r="Y308" t="s">
        <v>33</v>
      </c>
      <c r="Z308" s="5" t="s">
        <v>34</v>
      </c>
      <c r="AA308">
        <v>-75.634260999999995</v>
      </c>
      <c r="AB308">
        <v>6.0901019999999999</v>
      </c>
      <c r="AC308" t="s">
        <v>456</v>
      </c>
      <c r="AD308" t="s">
        <v>457</v>
      </c>
    </row>
    <row r="309" spans="1:30" x14ac:dyDescent="0.25">
      <c r="A309" t="s">
        <v>512</v>
      </c>
      <c r="B309" t="s">
        <v>25</v>
      </c>
      <c r="C309" t="s">
        <v>26</v>
      </c>
      <c r="D309" t="s">
        <v>25</v>
      </c>
      <c r="E309" t="s">
        <v>330</v>
      </c>
      <c r="F309" t="s">
        <v>331</v>
      </c>
      <c r="G309">
        <v>1036619513</v>
      </c>
      <c r="H309" t="s">
        <v>272</v>
      </c>
      <c r="I309" s="4" t="s">
        <v>35</v>
      </c>
      <c r="J309" s="4" t="s">
        <v>273</v>
      </c>
      <c r="K309" t="s">
        <v>332</v>
      </c>
      <c r="L309" t="s">
        <v>77</v>
      </c>
      <c r="M309" t="s">
        <v>333</v>
      </c>
      <c r="N309" t="s">
        <v>78</v>
      </c>
      <c r="O309" t="s">
        <v>29</v>
      </c>
      <c r="P309" t="s">
        <v>36</v>
      </c>
      <c r="Q309" t="s">
        <v>31</v>
      </c>
      <c r="R309">
        <v>7</v>
      </c>
      <c r="S309" t="s">
        <v>334</v>
      </c>
      <c r="T309" t="s">
        <v>6635</v>
      </c>
      <c r="U309" t="s">
        <v>47</v>
      </c>
      <c r="V309" t="s">
        <v>47</v>
      </c>
      <c r="W309" t="s">
        <v>33</v>
      </c>
      <c r="X309" t="s">
        <v>33</v>
      </c>
      <c r="Y309" t="s">
        <v>33</v>
      </c>
      <c r="Z309" s="5" t="s">
        <v>34</v>
      </c>
      <c r="AA309">
        <v>-75.634260999999995</v>
      </c>
      <c r="AB309">
        <v>6.0901019999999999</v>
      </c>
      <c r="AC309" t="s">
        <v>456</v>
      </c>
      <c r="AD309" t="s">
        <v>457</v>
      </c>
    </row>
    <row r="310" spans="1:30" x14ac:dyDescent="0.25">
      <c r="A310" t="s">
        <v>5550</v>
      </c>
      <c r="B310" t="s">
        <v>25</v>
      </c>
      <c r="C310" t="s">
        <v>26</v>
      </c>
      <c r="D310" t="s">
        <v>25</v>
      </c>
      <c r="E310" t="s">
        <v>5551</v>
      </c>
      <c r="F310" t="s">
        <v>5552</v>
      </c>
      <c r="G310">
        <v>811040443</v>
      </c>
      <c r="H310" t="s">
        <v>5038</v>
      </c>
      <c r="I310" s="4" t="s">
        <v>5039</v>
      </c>
      <c r="J310" s="4" t="s">
        <v>5040</v>
      </c>
      <c r="K310" t="s">
        <v>5553</v>
      </c>
      <c r="L310" t="s">
        <v>44</v>
      </c>
      <c r="M310" t="s">
        <v>5554</v>
      </c>
      <c r="N310" t="s">
        <v>45</v>
      </c>
      <c r="O310" t="s">
        <v>29</v>
      </c>
      <c r="P310" t="s">
        <v>55</v>
      </c>
      <c r="Q310" t="s">
        <v>31</v>
      </c>
      <c r="R310">
        <v>7</v>
      </c>
      <c r="S310" t="s">
        <v>5555</v>
      </c>
      <c r="T310" t="s">
        <v>6636</v>
      </c>
      <c r="U310" t="s">
        <v>6637</v>
      </c>
      <c r="V310" t="s">
        <v>32</v>
      </c>
      <c r="W310" t="s">
        <v>33</v>
      </c>
      <c r="X310" t="s">
        <v>33</v>
      </c>
      <c r="Y310" t="s">
        <v>33</v>
      </c>
      <c r="Z310" s="5" t="s">
        <v>34</v>
      </c>
      <c r="AA310">
        <v>-75.610108999999994</v>
      </c>
      <c r="AB310">
        <v>6.1759700000000004</v>
      </c>
      <c r="AC310" t="s">
        <v>456</v>
      </c>
      <c r="AD310" t="s">
        <v>457</v>
      </c>
    </row>
    <row r="311" spans="1:30" x14ac:dyDescent="0.25">
      <c r="A311" t="s">
        <v>5556</v>
      </c>
      <c r="B311" t="s">
        <v>25</v>
      </c>
      <c r="C311" t="s">
        <v>26</v>
      </c>
      <c r="D311" t="s">
        <v>25</v>
      </c>
      <c r="E311" t="s">
        <v>5557</v>
      </c>
      <c r="F311" t="s">
        <v>5558</v>
      </c>
      <c r="G311">
        <v>811040443</v>
      </c>
      <c r="H311" t="s">
        <v>5038</v>
      </c>
      <c r="I311" s="4" t="s">
        <v>5039</v>
      </c>
      <c r="J311" s="4" t="s">
        <v>5040</v>
      </c>
      <c r="K311" t="s">
        <v>5559</v>
      </c>
      <c r="L311" t="s">
        <v>44</v>
      </c>
      <c r="M311" t="s">
        <v>5560</v>
      </c>
      <c r="N311" t="s">
        <v>45</v>
      </c>
      <c r="O311" t="s">
        <v>29</v>
      </c>
      <c r="P311" t="s">
        <v>55</v>
      </c>
      <c r="Q311" t="s">
        <v>31</v>
      </c>
      <c r="R311">
        <v>7</v>
      </c>
      <c r="S311" t="s">
        <v>5561</v>
      </c>
      <c r="T311" t="s">
        <v>6636</v>
      </c>
      <c r="U311" t="s">
        <v>6637</v>
      </c>
      <c r="V311" t="s">
        <v>32</v>
      </c>
      <c r="W311" t="s">
        <v>33</v>
      </c>
      <c r="X311" t="s">
        <v>33</v>
      </c>
      <c r="Y311" t="s">
        <v>33</v>
      </c>
      <c r="Z311" s="5" t="s">
        <v>34</v>
      </c>
      <c r="AA311">
        <v>-75.610108999999994</v>
      </c>
      <c r="AB311">
        <v>6.1759700000000004</v>
      </c>
      <c r="AC311" t="s">
        <v>456</v>
      </c>
      <c r="AD311" t="s">
        <v>457</v>
      </c>
    </row>
    <row r="312" spans="1:30" x14ac:dyDescent="0.25">
      <c r="A312" t="s">
        <v>5562</v>
      </c>
      <c r="B312" t="s">
        <v>25</v>
      </c>
      <c r="C312" t="s">
        <v>26</v>
      </c>
      <c r="D312" t="s">
        <v>25</v>
      </c>
      <c r="E312" t="s">
        <v>5563</v>
      </c>
      <c r="F312" t="s">
        <v>5558</v>
      </c>
      <c r="G312">
        <v>811040443</v>
      </c>
      <c r="H312" t="s">
        <v>5038</v>
      </c>
      <c r="I312" s="4" t="s">
        <v>5039</v>
      </c>
      <c r="J312" s="4" t="s">
        <v>5040</v>
      </c>
      <c r="K312" t="s">
        <v>5564</v>
      </c>
      <c r="L312" t="s">
        <v>44</v>
      </c>
      <c r="M312" t="s">
        <v>5565</v>
      </c>
      <c r="N312" t="s">
        <v>45</v>
      </c>
      <c r="O312" t="s">
        <v>29</v>
      </c>
      <c r="P312" t="s">
        <v>55</v>
      </c>
      <c r="Q312" t="s">
        <v>31</v>
      </c>
      <c r="R312">
        <v>7</v>
      </c>
      <c r="S312" t="s">
        <v>5561</v>
      </c>
      <c r="T312" t="s">
        <v>6636</v>
      </c>
      <c r="U312" t="s">
        <v>6637</v>
      </c>
      <c r="V312" t="s">
        <v>32</v>
      </c>
      <c r="W312" t="s">
        <v>33</v>
      </c>
      <c r="X312" t="s">
        <v>33</v>
      </c>
      <c r="Y312" t="s">
        <v>33</v>
      </c>
      <c r="Z312" s="5" t="s">
        <v>34</v>
      </c>
      <c r="AA312">
        <v>-75.610108999999994</v>
      </c>
      <c r="AB312">
        <v>6.1759700000000004</v>
      </c>
      <c r="AC312" t="s">
        <v>456</v>
      </c>
      <c r="AD312" t="s">
        <v>457</v>
      </c>
    </row>
    <row r="313" spans="1:30" x14ac:dyDescent="0.25">
      <c r="A313" t="s">
        <v>6638</v>
      </c>
      <c r="B313" t="s">
        <v>25</v>
      </c>
      <c r="C313" t="s">
        <v>26</v>
      </c>
      <c r="D313" t="s">
        <v>25</v>
      </c>
      <c r="E313" t="s">
        <v>6639</v>
      </c>
      <c r="F313" t="s">
        <v>6640</v>
      </c>
      <c r="G313">
        <v>811040443</v>
      </c>
      <c r="H313" t="s">
        <v>5038</v>
      </c>
      <c r="I313" s="4" t="s">
        <v>5039</v>
      </c>
      <c r="J313" s="4" t="s">
        <v>5040</v>
      </c>
      <c r="K313" t="s">
        <v>6641</v>
      </c>
      <c r="L313" t="s">
        <v>44</v>
      </c>
      <c r="M313" t="s">
        <v>6642</v>
      </c>
      <c r="N313" t="s">
        <v>45</v>
      </c>
      <c r="O313" t="s">
        <v>29</v>
      </c>
      <c r="P313" t="s">
        <v>55</v>
      </c>
      <c r="Q313" t="s">
        <v>31</v>
      </c>
      <c r="R313">
        <v>7</v>
      </c>
      <c r="S313" t="s">
        <v>6643</v>
      </c>
      <c r="T313" t="s">
        <v>6644</v>
      </c>
      <c r="U313" t="s">
        <v>6645</v>
      </c>
      <c r="V313" t="s">
        <v>32</v>
      </c>
      <c r="W313" t="s">
        <v>33</v>
      </c>
      <c r="X313" t="s">
        <v>33</v>
      </c>
      <c r="Y313" t="s">
        <v>33</v>
      </c>
      <c r="Z313" s="5" t="s">
        <v>34</v>
      </c>
      <c r="AA313">
        <v>-75.610108999999994</v>
      </c>
      <c r="AB313">
        <v>6.1759700000000004</v>
      </c>
      <c r="AC313" t="s">
        <v>456</v>
      </c>
      <c r="AD313" t="s">
        <v>457</v>
      </c>
    </row>
    <row r="314" spans="1:30" x14ac:dyDescent="0.25">
      <c r="A314" t="s">
        <v>5566</v>
      </c>
      <c r="B314" t="s">
        <v>25</v>
      </c>
      <c r="C314" t="s">
        <v>26</v>
      </c>
      <c r="D314" t="s">
        <v>25</v>
      </c>
      <c r="E314" t="s">
        <v>5567</v>
      </c>
      <c r="F314" t="s">
        <v>5558</v>
      </c>
      <c r="G314">
        <v>811040443</v>
      </c>
      <c r="H314" t="s">
        <v>5038</v>
      </c>
      <c r="I314" s="4" t="s">
        <v>5039</v>
      </c>
      <c r="J314" s="4" t="s">
        <v>5040</v>
      </c>
      <c r="K314" t="s">
        <v>5568</v>
      </c>
      <c r="L314" t="s">
        <v>44</v>
      </c>
      <c r="M314" t="s">
        <v>5569</v>
      </c>
      <c r="N314" t="s">
        <v>45</v>
      </c>
      <c r="O314" t="s">
        <v>29</v>
      </c>
      <c r="P314" t="s">
        <v>55</v>
      </c>
      <c r="Q314" t="s">
        <v>31</v>
      </c>
      <c r="R314">
        <v>7</v>
      </c>
      <c r="S314" t="s">
        <v>5561</v>
      </c>
      <c r="T314" t="s">
        <v>6636</v>
      </c>
      <c r="U314" t="s">
        <v>6637</v>
      </c>
      <c r="V314" t="s">
        <v>32</v>
      </c>
      <c r="W314" t="s">
        <v>33</v>
      </c>
      <c r="X314" t="s">
        <v>33</v>
      </c>
      <c r="Y314" t="s">
        <v>33</v>
      </c>
      <c r="Z314" s="5" t="s">
        <v>34</v>
      </c>
      <c r="AA314">
        <v>-75.610108999999994</v>
      </c>
      <c r="AB314">
        <v>6.1759700000000004</v>
      </c>
      <c r="AC314" t="s">
        <v>456</v>
      </c>
      <c r="AD314" t="s">
        <v>457</v>
      </c>
    </row>
    <row r="315" spans="1:30" x14ac:dyDescent="0.25">
      <c r="A315" t="s">
        <v>5570</v>
      </c>
      <c r="B315" t="s">
        <v>25</v>
      </c>
      <c r="C315" t="s">
        <v>26</v>
      </c>
      <c r="D315" t="s">
        <v>25</v>
      </c>
      <c r="E315" t="s">
        <v>5571</v>
      </c>
      <c r="F315" t="s">
        <v>5558</v>
      </c>
      <c r="G315">
        <v>811040443</v>
      </c>
      <c r="H315" t="s">
        <v>5038</v>
      </c>
      <c r="I315" s="4" t="s">
        <v>5039</v>
      </c>
      <c r="J315" s="4" t="s">
        <v>5040</v>
      </c>
      <c r="K315" t="s">
        <v>5572</v>
      </c>
      <c r="L315" t="s">
        <v>44</v>
      </c>
      <c r="M315" t="s">
        <v>5573</v>
      </c>
      <c r="N315" t="s">
        <v>45</v>
      </c>
      <c r="O315" t="s">
        <v>29</v>
      </c>
      <c r="P315" t="s">
        <v>55</v>
      </c>
      <c r="Q315" t="s">
        <v>31</v>
      </c>
      <c r="R315">
        <v>7</v>
      </c>
      <c r="S315" t="s">
        <v>5561</v>
      </c>
      <c r="T315" t="s">
        <v>6636</v>
      </c>
      <c r="U315" t="s">
        <v>6637</v>
      </c>
      <c r="V315" t="s">
        <v>32</v>
      </c>
      <c r="W315" t="s">
        <v>33</v>
      </c>
      <c r="X315" t="s">
        <v>33</v>
      </c>
      <c r="Y315" t="s">
        <v>33</v>
      </c>
      <c r="Z315" s="5" t="s">
        <v>34</v>
      </c>
      <c r="AA315">
        <v>-75.610108999999994</v>
      </c>
      <c r="AB315">
        <v>6.1759700000000004</v>
      </c>
      <c r="AC315" t="s">
        <v>456</v>
      </c>
      <c r="AD315" t="s">
        <v>457</v>
      </c>
    </row>
    <row r="316" spans="1:30" x14ac:dyDescent="0.25">
      <c r="A316" t="s">
        <v>5574</v>
      </c>
      <c r="B316" t="s">
        <v>25</v>
      </c>
      <c r="C316" t="s">
        <v>26</v>
      </c>
      <c r="D316" t="s">
        <v>25</v>
      </c>
      <c r="E316" t="s">
        <v>5575</v>
      </c>
      <c r="F316" t="s">
        <v>5576</v>
      </c>
      <c r="G316">
        <v>811040443</v>
      </c>
      <c r="H316" t="s">
        <v>5038</v>
      </c>
      <c r="I316" s="4" t="s">
        <v>5039</v>
      </c>
      <c r="J316" s="4" t="s">
        <v>5040</v>
      </c>
      <c r="K316" t="s">
        <v>5577</v>
      </c>
      <c r="L316" t="s">
        <v>44</v>
      </c>
      <c r="M316" t="s">
        <v>5578</v>
      </c>
      <c r="N316" t="s">
        <v>45</v>
      </c>
      <c r="O316" t="s">
        <v>29</v>
      </c>
      <c r="P316" t="s">
        <v>55</v>
      </c>
      <c r="Q316" t="s">
        <v>31</v>
      </c>
      <c r="R316">
        <v>7</v>
      </c>
      <c r="S316" t="s">
        <v>5579</v>
      </c>
      <c r="T316" t="s">
        <v>6636</v>
      </c>
      <c r="U316" t="s">
        <v>6637</v>
      </c>
      <c r="V316" t="s">
        <v>32</v>
      </c>
      <c r="W316" t="s">
        <v>33</v>
      </c>
      <c r="X316" t="s">
        <v>33</v>
      </c>
      <c r="Y316" t="s">
        <v>33</v>
      </c>
      <c r="Z316" s="5" t="s">
        <v>34</v>
      </c>
      <c r="AA316">
        <v>-75.610108999999994</v>
      </c>
      <c r="AB316">
        <v>6.1759700000000004</v>
      </c>
      <c r="AC316" t="s">
        <v>456</v>
      </c>
      <c r="AD316" t="s">
        <v>457</v>
      </c>
    </row>
    <row r="317" spans="1:30" x14ac:dyDescent="0.25">
      <c r="A317" t="s">
        <v>5580</v>
      </c>
      <c r="B317" t="s">
        <v>25</v>
      </c>
      <c r="C317" t="s">
        <v>26</v>
      </c>
      <c r="D317" t="s">
        <v>25</v>
      </c>
      <c r="E317" t="s">
        <v>5581</v>
      </c>
      <c r="F317" t="s">
        <v>5576</v>
      </c>
      <c r="G317">
        <v>811040443</v>
      </c>
      <c r="H317" t="s">
        <v>5038</v>
      </c>
      <c r="I317" s="4" t="s">
        <v>5039</v>
      </c>
      <c r="J317" s="4" t="s">
        <v>5040</v>
      </c>
      <c r="K317" t="s">
        <v>5582</v>
      </c>
      <c r="L317" t="s">
        <v>44</v>
      </c>
      <c r="M317" t="s">
        <v>5583</v>
      </c>
      <c r="N317" t="s">
        <v>45</v>
      </c>
      <c r="O317" t="s">
        <v>29</v>
      </c>
      <c r="P317" t="s">
        <v>55</v>
      </c>
      <c r="Q317" t="s">
        <v>31</v>
      </c>
      <c r="R317">
        <v>7</v>
      </c>
      <c r="S317" t="s">
        <v>5579</v>
      </c>
      <c r="T317" t="s">
        <v>6636</v>
      </c>
      <c r="U317" t="s">
        <v>6637</v>
      </c>
      <c r="V317" t="s">
        <v>32</v>
      </c>
      <c r="W317" t="s">
        <v>33</v>
      </c>
      <c r="X317" t="s">
        <v>33</v>
      </c>
      <c r="Y317" t="s">
        <v>33</v>
      </c>
      <c r="Z317" s="5" t="s">
        <v>34</v>
      </c>
      <c r="AA317">
        <v>-75.610108999999994</v>
      </c>
      <c r="AB317">
        <v>6.1759700000000004</v>
      </c>
      <c r="AC317" t="s">
        <v>456</v>
      </c>
      <c r="AD317" t="s">
        <v>457</v>
      </c>
    </row>
    <row r="318" spans="1:30" x14ac:dyDescent="0.25">
      <c r="A318" t="s">
        <v>5584</v>
      </c>
      <c r="B318" t="s">
        <v>25</v>
      </c>
      <c r="C318" t="s">
        <v>26</v>
      </c>
      <c r="D318" t="s">
        <v>25</v>
      </c>
      <c r="E318" t="s">
        <v>5585</v>
      </c>
      <c r="F318" t="s">
        <v>5576</v>
      </c>
      <c r="G318">
        <v>811040443</v>
      </c>
      <c r="H318" t="s">
        <v>5038</v>
      </c>
      <c r="I318" s="4" t="s">
        <v>5039</v>
      </c>
      <c r="J318" s="4" t="s">
        <v>5040</v>
      </c>
      <c r="K318" t="s">
        <v>5586</v>
      </c>
      <c r="L318" t="s">
        <v>44</v>
      </c>
      <c r="M318" t="s">
        <v>5587</v>
      </c>
      <c r="N318" t="s">
        <v>45</v>
      </c>
      <c r="O318" t="s">
        <v>29</v>
      </c>
      <c r="P318" t="s">
        <v>55</v>
      </c>
      <c r="Q318" t="s">
        <v>31</v>
      </c>
      <c r="R318">
        <v>7</v>
      </c>
      <c r="S318" t="s">
        <v>5579</v>
      </c>
      <c r="T318" t="s">
        <v>6636</v>
      </c>
      <c r="U318" t="s">
        <v>6637</v>
      </c>
      <c r="V318" t="s">
        <v>32</v>
      </c>
      <c r="W318" t="s">
        <v>33</v>
      </c>
      <c r="X318" t="s">
        <v>33</v>
      </c>
      <c r="Y318" t="s">
        <v>33</v>
      </c>
      <c r="Z318" s="5" t="s">
        <v>34</v>
      </c>
      <c r="AA318">
        <v>-75.610108999999994</v>
      </c>
      <c r="AB318">
        <v>6.1759700000000004</v>
      </c>
      <c r="AC318" t="s">
        <v>456</v>
      </c>
      <c r="AD318" t="s">
        <v>457</v>
      </c>
    </row>
    <row r="319" spans="1:30" x14ac:dyDescent="0.25">
      <c r="A319" t="s">
        <v>6646</v>
      </c>
      <c r="B319" t="s">
        <v>25</v>
      </c>
      <c r="C319" t="s">
        <v>26</v>
      </c>
      <c r="D319" t="s">
        <v>25</v>
      </c>
      <c r="E319" t="s">
        <v>6647</v>
      </c>
      <c r="F319" t="s">
        <v>6640</v>
      </c>
      <c r="G319">
        <v>811040443</v>
      </c>
      <c r="H319" t="s">
        <v>5038</v>
      </c>
      <c r="I319" s="4" t="s">
        <v>5039</v>
      </c>
      <c r="J319" s="4" t="s">
        <v>5040</v>
      </c>
      <c r="K319" t="s">
        <v>6648</v>
      </c>
      <c r="L319" t="s">
        <v>44</v>
      </c>
      <c r="M319" t="s">
        <v>6649</v>
      </c>
      <c r="N319" t="s">
        <v>45</v>
      </c>
      <c r="O319" t="s">
        <v>29</v>
      </c>
      <c r="P319" t="s">
        <v>55</v>
      </c>
      <c r="Q319" t="s">
        <v>31</v>
      </c>
      <c r="R319">
        <v>7</v>
      </c>
      <c r="S319" t="s">
        <v>6643</v>
      </c>
      <c r="T319" t="s">
        <v>6644</v>
      </c>
      <c r="U319" t="s">
        <v>6645</v>
      </c>
      <c r="V319" t="s">
        <v>32</v>
      </c>
      <c r="W319" t="s">
        <v>33</v>
      </c>
      <c r="X319" t="s">
        <v>33</v>
      </c>
      <c r="Y319" t="s">
        <v>33</v>
      </c>
      <c r="Z319" s="5" t="s">
        <v>34</v>
      </c>
      <c r="AA319">
        <v>-75.610108999999994</v>
      </c>
      <c r="AB319">
        <v>6.1759700000000004</v>
      </c>
      <c r="AC319" t="s">
        <v>456</v>
      </c>
      <c r="AD319" t="s">
        <v>457</v>
      </c>
    </row>
    <row r="320" spans="1:30" x14ac:dyDescent="0.25">
      <c r="A320" t="s">
        <v>6650</v>
      </c>
      <c r="B320" t="s">
        <v>25</v>
      </c>
      <c r="C320" t="s">
        <v>26</v>
      </c>
      <c r="D320" t="s">
        <v>25</v>
      </c>
      <c r="E320" t="s">
        <v>6647</v>
      </c>
      <c r="F320" t="s">
        <v>6640</v>
      </c>
      <c r="G320">
        <v>811040443</v>
      </c>
      <c r="H320" t="s">
        <v>5038</v>
      </c>
      <c r="I320" s="4" t="s">
        <v>5039</v>
      </c>
      <c r="J320" s="4" t="s">
        <v>5040</v>
      </c>
      <c r="K320" t="s">
        <v>6651</v>
      </c>
      <c r="L320" t="s">
        <v>44</v>
      </c>
      <c r="M320" t="s">
        <v>6652</v>
      </c>
      <c r="N320" t="s">
        <v>45</v>
      </c>
      <c r="O320" t="s">
        <v>29</v>
      </c>
      <c r="P320" t="s">
        <v>55</v>
      </c>
      <c r="Q320" t="s">
        <v>31</v>
      </c>
      <c r="R320">
        <v>7</v>
      </c>
      <c r="S320" t="s">
        <v>6643</v>
      </c>
      <c r="T320" t="s">
        <v>6644</v>
      </c>
      <c r="U320" t="s">
        <v>6645</v>
      </c>
      <c r="V320" t="s">
        <v>32</v>
      </c>
      <c r="W320" t="s">
        <v>33</v>
      </c>
      <c r="X320" t="s">
        <v>33</v>
      </c>
      <c r="Y320" t="s">
        <v>33</v>
      </c>
      <c r="Z320" s="5" t="s">
        <v>34</v>
      </c>
      <c r="AA320">
        <v>-75.610108999999994</v>
      </c>
      <c r="AB320">
        <v>6.1759700000000004</v>
      </c>
      <c r="AC320" t="s">
        <v>456</v>
      </c>
      <c r="AD320" t="s">
        <v>457</v>
      </c>
    </row>
    <row r="321" spans="1:30" x14ac:dyDescent="0.25">
      <c r="A321" t="s">
        <v>6653</v>
      </c>
      <c r="B321" t="s">
        <v>25</v>
      </c>
      <c r="C321" t="s">
        <v>26</v>
      </c>
      <c r="D321" t="s">
        <v>25</v>
      </c>
      <c r="E321" t="s">
        <v>6654</v>
      </c>
      <c r="F321" t="s">
        <v>6655</v>
      </c>
      <c r="G321">
        <v>811040443</v>
      </c>
      <c r="H321" t="s">
        <v>5038</v>
      </c>
      <c r="I321" s="4" t="s">
        <v>5039</v>
      </c>
      <c r="J321" s="4" t="s">
        <v>5040</v>
      </c>
      <c r="K321" t="s">
        <v>6656</v>
      </c>
      <c r="L321" t="s">
        <v>44</v>
      </c>
      <c r="M321" t="s">
        <v>6657</v>
      </c>
      <c r="N321" t="s">
        <v>45</v>
      </c>
      <c r="O321" t="s">
        <v>29</v>
      </c>
      <c r="P321" t="s">
        <v>55</v>
      </c>
      <c r="Q321" t="s">
        <v>31</v>
      </c>
      <c r="R321">
        <v>7</v>
      </c>
      <c r="S321" t="s">
        <v>6658</v>
      </c>
      <c r="T321" t="s">
        <v>6644</v>
      </c>
      <c r="U321" t="s">
        <v>6645</v>
      </c>
      <c r="V321" t="s">
        <v>32</v>
      </c>
      <c r="W321" t="s">
        <v>33</v>
      </c>
      <c r="X321" t="s">
        <v>33</v>
      </c>
      <c r="Y321" t="s">
        <v>33</v>
      </c>
      <c r="Z321" s="5" t="s">
        <v>34</v>
      </c>
      <c r="AA321">
        <v>-75.610108999999994</v>
      </c>
      <c r="AB321">
        <v>6.1759700000000004</v>
      </c>
      <c r="AC321" t="s">
        <v>456</v>
      </c>
      <c r="AD321" t="s">
        <v>457</v>
      </c>
    </row>
    <row r="322" spans="1:30" x14ac:dyDescent="0.25">
      <c r="A322" t="s">
        <v>6659</v>
      </c>
      <c r="B322" t="s">
        <v>25</v>
      </c>
      <c r="C322" t="s">
        <v>26</v>
      </c>
      <c r="D322" t="s">
        <v>25</v>
      </c>
      <c r="E322" t="s">
        <v>6660</v>
      </c>
      <c r="F322" t="s">
        <v>6655</v>
      </c>
      <c r="G322">
        <v>811040443</v>
      </c>
      <c r="H322" t="s">
        <v>5038</v>
      </c>
      <c r="I322" s="4" t="s">
        <v>5039</v>
      </c>
      <c r="J322" s="4" t="s">
        <v>5040</v>
      </c>
      <c r="K322" t="s">
        <v>6661</v>
      </c>
      <c r="L322" t="s">
        <v>44</v>
      </c>
      <c r="M322" t="s">
        <v>6662</v>
      </c>
      <c r="N322" t="s">
        <v>45</v>
      </c>
      <c r="O322" t="s">
        <v>29</v>
      </c>
      <c r="P322" t="s">
        <v>55</v>
      </c>
      <c r="Q322" t="s">
        <v>31</v>
      </c>
      <c r="R322">
        <v>7</v>
      </c>
      <c r="S322" t="s">
        <v>6658</v>
      </c>
      <c r="T322" t="s">
        <v>6644</v>
      </c>
      <c r="U322" t="s">
        <v>6645</v>
      </c>
      <c r="V322" t="s">
        <v>32</v>
      </c>
      <c r="W322" t="s">
        <v>33</v>
      </c>
      <c r="X322" t="s">
        <v>33</v>
      </c>
      <c r="Y322" t="s">
        <v>33</v>
      </c>
      <c r="Z322" s="5" t="s">
        <v>34</v>
      </c>
      <c r="AA322">
        <v>-75.610108999999994</v>
      </c>
      <c r="AB322">
        <v>6.1759700000000004</v>
      </c>
      <c r="AC322" t="s">
        <v>456</v>
      </c>
      <c r="AD322" t="s">
        <v>457</v>
      </c>
    </row>
    <row r="323" spans="1:30" x14ac:dyDescent="0.25">
      <c r="A323" t="s">
        <v>6663</v>
      </c>
      <c r="B323" t="s">
        <v>25</v>
      </c>
      <c r="C323" t="s">
        <v>26</v>
      </c>
      <c r="D323" t="s">
        <v>25</v>
      </c>
      <c r="E323" t="s">
        <v>6664</v>
      </c>
      <c r="F323" t="s">
        <v>6655</v>
      </c>
      <c r="G323">
        <v>811040443</v>
      </c>
      <c r="H323" t="s">
        <v>5038</v>
      </c>
      <c r="I323" s="4" t="s">
        <v>5039</v>
      </c>
      <c r="J323" s="4" t="s">
        <v>5040</v>
      </c>
      <c r="K323" t="s">
        <v>6665</v>
      </c>
      <c r="L323" t="s">
        <v>44</v>
      </c>
      <c r="M323" t="s">
        <v>6666</v>
      </c>
      <c r="N323" t="s">
        <v>45</v>
      </c>
      <c r="O323" t="s">
        <v>29</v>
      </c>
      <c r="P323" t="s">
        <v>55</v>
      </c>
      <c r="Q323" t="s">
        <v>31</v>
      </c>
      <c r="R323">
        <v>7</v>
      </c>
      <c r="S323" t="s">
        <v>6658</v>
      </c>
      <c r="T323" t="s">
        <v>6644</v>
      </c>
      <c r="U323" t="s">
        <v>6645</v>
      </c>
      <c r="V323" t="s">
        <v>32</v>
      </c>
      <c r="W323" t="s">
        <v>33</v>
      </c>
      <c r="X323" t="s">
        <v>33</v>
      </c>
      <c r="Y323" t="s">
        <v>33</v>
      </c>
      <c r="Z323" s="5" t="s">
        <v>34</v>
      </c>
      <c r="AA323">
        <v>-75.610108999999994</v>
      </c>
      <c r="AB323">
        <v>6.1759700000000004</v>
      </c>
      <c r="AC323" t="s">
        <v>456</v>
      </c>
      <c r="AD323" t="s">
        <v>457</v>
      </c>
    </row>
    <row r="324" spans="1:30" x14ac:dyDescent="0.25">
      <c r="A324" t="s">
        <v>6667</v>
      </c>
      <c r="B324" t="s">
        <v>25</v>
      </c>
      <c r="C324" t="s">
        <v>26</v>
      </c>
      <c r="D324" t="s">
        <v>25</v>
      </c>
      <c r="E324" t="s">
        <v>6664</v>
      </c>
      <c r="F324" t="s">
        <v>6668</v>
      </c>
      <c r="G324">
        <v>811040443</v>
      </c>
      <c r="H324" t="s">
        <v>5038</v>
      </c>
      <c r="I324" s="4" t="s">
        <v>5039</v>
      </c>
      <c r="J324" s="4" t="s">
        <v>5040</v>
      </c>
      <c r="K324" t="s">
        <v>6669</v>
      </c>
      <c r="L324" t="s">
        <v>44</v>
      </c>
      <c r="M324" t="s">
        <v>6670</v>
      </c>
      <c r="N324" t="s">
        <v>45</v>
      </c>
      <c r="O324" t="s">
        <v>29</v>
      </c>
      <c r="P324" t="s">
        <v>55</v>
      </c>
      <c r="Q324" t="s">
        <v>31</v>
      </c>
      <c r="R324">
        <v>7</v>
      </c>
      <c r="S324" t="s">
        <v>6671</v>
      </c>
      <c r="T324" t="s">
        <v>6644</v>
      </c>
      <c r="U324" t="s">
        <v>6645</v>
      </c>
      <c r="V324" t="s">
        <v>32</v>
      </c>
      <c r="W324" t="s">
        <v>33</v>
      </c>
      <c r="X324" t="s">
        <v>33</v>
      </c>
      <c r="Y324" t="s">
        <v>33</v>
      </c>
      <c r="Z324" s="5" t="s">
        <v>34</v>
      </c>
      <c r="AA324">
        <v>-75.610108999999994</v>
      </c>
      <c r="AB324">
        <v>6.1759700000000004</v>
      </c>
      <c r="AC324" t="s">
        <v>456</v>
      </c>
      <c r="AD324" t="s">
        <v>457</v>
      </c>
    </row>
    <row r="325" spans="1:30" x14ac:dyDescent="0.25">
      <c r="A325" t="s">
        <v>6672</v>
      </c>
      <c r="B325" t="s">
        <v>25</v>
      </c>
      <c r="C325" t="s">
        <v>26</v>
      </c>
      <c r="D325" t="s">
        <v>25</v>
      </c>
      <c r="E325" t="s">
        <v>6664</v>
      </c>
      <c r="F325" t="s">
        <v>6668</v>
      </c>
      <c r="G325">
        <v>811040443</v>
      </c>
      <c r="H325" t="s">
        <v>5038</v>
      </c>
      <c r="I325" s="4" t="s">
        <v>5039</v>
      </c>
      <c r="J325" s="4" t="s">
        <v>5040</v>
      </c>
      <c r="K325" t="s">
        <v>6673</v>
      </c>
      <c r="L325" t="s">
        <v>44</v>
      </c>
      <c r="M325" t="s">
        <v>6674</v>
      </c>
      <c r="N325" t="s">
        <v>45</v>
      </c>
      <c r="O325" t="s">
        <v>29</v>
      </c>
      <c r="P325" t="s">
        <v>55</v>
      </c>
      <c r="Q325" t="s">
        <v>31</v>
      </c>
      <c r="R325">
        <v>7</v>
      </c>
      <c r="S325" t="s">
        <v>6671</v>
      </c>
      <c r="T325" t="s">
        <v>6644</v>
      </c>
      <c r="U325" t="s">
        <v>6645</v>
      </c>
      <c r="V325" t="s">
        <v>32</v>
      </c>
      <c r="W325" t="s">
        <v>33</v>
      </c>
      <c r="X325" t="s">
        <v>33</v>
      </c>
      <c r="Y325" t="s">
        <v>33</v>
      </c>
      <c r="Z325" s="5" t="s">
        <v>34</v>
      </c>
      <c r="AA325">
        <v>-75.610108999999994</v>
      </c>
      <c r="AB325">
        <v>6.1759700000000004</v>
      </c>
      <c r="AC325" t="s">
        <v>456</v>
      </c>
      <c r="AD325" t="s">
        <v>457</v>
      </c>
    </row>
    <row r="326" spans="1:30" x14ac:dyDescent="0.25">
      <c r="A326" t="s">
        <v>6675</v>
      </c>
      <c r="B326" t="s">
        <v>25</v>
      </c>
      <c r="C326" t="s">
        <v>26</v>
      </c>
      <c r="D326" t="s">
        <v>25</v>
      </c>
      <c r="E326" t="s">
        <v>6676</v>
      </c>
      <c r="F326" t="s">
        <v>6668</v>
      </c>
      <c r="G326">
        <v>811040443</v>
      </c>
      <c r="H326" t="s">
        <v>5038</v>
      </c>
      <c r="I326" s="4" t="s">
        <v>5039</v>
      </c>
      <c r="J326" s="4" t="s">
        <v>5040</v>
      </c>
      <c r="K326" t="s">
        <v>6677</v>
      </c>
      <c r="L326" t="s">
        <v>44</v>
      </c>
      <c r="M326" t="s">
        <v>6678</v>
      </c>
      <c r="N326" t="s">
        <v>45</v>
      </c>
      <c r="O326" t="s">
        <v>29</v>
      </c>
      <c r="P326" t="s">
        <v>55</v>
      </c>
      <c r="Q326" t="s">
        <v>31</v>
      </c>
      <c r="R326">
        <v>7</v>
      </c>
      <c r="S326" t="s">
        <v>6671</v>
      </c>
      <c r="T326" t="s">
        <v>6644</v>
      </c>
      <c r="U326" t="s">
        <v>6645</v>
      </c>
      <c r="V326" t="s">
        <v>32</v>
      </c>
      <c r="W326" t="s">
        <v>33</v>
      </c>
      <c r="X326" t="s">
        <v>33</v>
      </c>
      <c r="Y326" t="s">
        <v>33</v>
      </c>
      <c r="Z326" s="5" t="s">
        <v>34</v>
      </c>
      <c r="AA326">
        <v>-75.610108999999994</v>
      </c>
      <c r="AB326">
        <v>6.1759700000000004</v>
      </c>
      <c r="AC326" t="s">
        <v>456</v>
      </c>
      <c r="AD326" t="s">
        <v>457</v>
      </c>
    </row>
    <row r="327" spans="1:30" x14ac:dyDescent="0.25">
      <c r="A327" t="s">
        <v>6679</v>
      </c>
      <c r="B327" t="s">
        <v>25</v>
      </c>
      <c r="C327" t="s">
        <v>26</v>
      </c>
      <c r="D327" t="s">
        <v>25</v>
      </c>
      <c r="E327" t="s">
        <v>6676</v>
      </c>
      <c r="F327" t="s">
        <v>6680</v>
      </c>
      <c r="G327">
        <v>811040443</v>
      </c>
      <c r="H327" t="s">
        <v>5038</v>
      </c>
      <c r="I327" s="4" t="s">
        <v>5039</v>
      </c>
      <c r="J327" s="4" t="s">
        <v>5040</v>
      </c>
      <c r="K327" t="s">
        <v>6681</v>
      </c>
      <c r="L327" t="s">
        <v>44</v>
      </c>
      <c r="M327" t="s">
        <v>6682</v>
      </c>
      <c r="N327" t="s">
        <v>45</v>
      </c>
      <c r="O327" t="s">
        <v>29</v>
      </c>
      <c r="P327" t="s">
        <v>55</v>
      </c>
      <c r="Q327" t="s">
        <v>31</v>
      </c>
      <c r="R327">
        <v>7</v>
      </c>
      <c r="S327" t="s">
        <v>6683</v>
      </c>
      <c r="T327" t="s">
        <v>6644</v>
      </c>
      <c r="U327" t="s">
        <v>6645</v>
      </c>
      <c r="V327" t="s">
        <v>32</v>
      </c>
      <c r="W327" t="s">
        <v>33</v>
      </c>
      <c r="X327" t="s">
        <v>33</v>
      </c>
      <c r="Y327" t="s">
        <v>33</v>
      </c>
      <c r="Z327" s="5" t="s">
        <v>34</v>
      </c>
      <c r="AA327">
        <v>-75.610108999999994</v>
      </c>
      <c r="AB327">
        <v>6.1759700000000004</v>
      </c>
      <c r="AC327" t="s">
        <v>456</v>
      </c>
      <c r="AD327" t="s">
        <v>457</v>
      </c>
    </row>
    <row r="328" spans="1:30" x14ac:dyDescent="0.25">
      <c r="A328" t="s">
        <v>6684</v>
      </c>
      <c r="B328" t="s">
        <v>25</v>
      </c>
      <c r="C328" t="s">
        <v>26</v>
      </c>
      <c r="D328" t="s">
        <v>25</v>
      </c>
      <c r="E328" t="s">
        <v>6685</v>
      </c>
      <c r="F328" t="s">
        <v>6680</v>
      </c>
      <c r="G328">
        <v>811040443</v>
      </c>
      <c r="H328" t="s">
        <v>5038</v>
      </c>
      <c r="I328" s="4" t="s">
        <v>5039</v>
      </c>
      <c r="J328" s="4" t="s">
        <v>5040</v>
      </c>
      <c r="K328" t="s">
        <v>6686</v>
      </c>
      <c r="L328" t="s">
        <v>44</v>
      </c>
      <c r="M328" t="s">
        <v>6687</v>
      </c>
      <c r="N328" t="s">
        <v>45</v>
      </c>
      <c r="O328" t="s">
        <v>29</v>
      </c>
      <c r="P328" t="s">
        <v>55</v>
      </c>
      <c r="Q328" t="s">
        <v>31</v>
      </c>
      <c r="R328">
        <v>7</v>
      </c>
      <c r="S328" t="s">
        <v>6683</v>
      </c>
      <c r="T328" t="s">
        <v>6644</v>
      </c>
      <c r="U328" t="s">
        <v>6645</v>
      </c>
      <c r="V328" t="s">
        <v>32</v>
      </c>
      <c r="W328" t="s">
        <v>33</v>
      </c>
      <c r="X328" t="s">
        <v>33</v>
      </c>
      <c r="Y328" t="s">
        <v>33</v>
      </c>
      <c r="Z328" s="5" t="s">
        <v>34</v>
      </c>
      <c r="AA328">
        <v>-75.610108999999994</v>
      </c>
      <c r="AB328">
        <v>6.1759700000000004</v>
      </c>
      <c r="AC328" t="s">
        <v>456</v>
      </c>
      <c r="AD328" t="s">
        <v>457</v>
      </c>
    </row>
    <row r="329" spans="1:30" x14ac:dyDescent="0.25">
      <c r="A329" t="s">
        <v>6688</v>
      </c>
      <c r="B329" t="s">
        <v>25</v>
      </c>
      <c r="C329" t="s">
        <v>26</v>
      </c>
      <c r="D329" t="s">
        <v>25</v>
      </c>
      <c r="E329" t="s">
        <v>6685</v>
      </c>
      <c r="F329" t="s">
        <v>6680</v>
      </c>
      <c r="G329">
        <v>811040443</v>
      </c>
      <c r="H329" t="s">
        <v>5038</v>
      </c>
      <c r="I329" s="4" t="s">
        <v>5039</v>
      </c>
      <c r="J329" s="4" t="s">
        <v>5040</v>
      </c>
      <c r="K329" t="s">
        <v>6689</v>
      </c>
      <c r="L329" t="s">
        <v>44</v>
      </c>
      <c r="M329" t="s">
        <v>6690</v>
      </c>
      <c r="N329" t="s">
        <v>45</v>
      </c>
      <c r="O329" t="s">
        <v>29</v>
      </c>
      <c r="P329" t="s">
        <v>55</v>
      </c>
      <c r="Q329" t="s">
        <v>31</v>
      </c>
      <c r="R329">
        <v>7</v>
      </c>
      <c r="S329" t="s">
        <v>6683</v>
      </c>
      <c r="T329" t="s">
        <v>6644</v>
      </c>
      <c r="U329" t="s">
        <v>6645</v>
      </c>
      <c r="V329" t="s">
        <v>32</v>
      </c>
      <c r="W329" t="s">
        <v>33</v>
      </c>
      <c r="X329" t="s">
        <v>33</v>
      </c>
      <c r="Y329" t="s">
        <v>33</v>
      </c>
      <c r="Z329" s="5" t="s">
        <v>34</v>
      </c>
      <c r="AA329">
        <v>-75.610108999999994</v>
      </c>
      <c r="AB329">
        <v>6.1759700000000004</v>
      </c>
      <c r="AC329" t="s">
        <v>456</v>
      </c>
      <c r="AD329" t="s">
        <v>457</v>
      </c>
    </row>
    <row r="330" spans="1:30" x14ac:dyDescent="0.25">
      <c r="A330" t="s">
        <v>6691</v>
      </c>
      <c r="B330" t="s">
        <v>25</v>
      </c>
      <c r="C330" t="s">
        <v>26</v>
      </c>
      <c r="D330" t="s">
        <v>25</v>
      </c>
      <c r="E330" t="s">
        <v>6692</v>
      </c>
      <c r="F330" t="s">
        <v>6680</v>
      </c>
      <c r="G330">
        <v>811040443</v>
      </c>
      <c r="H330" t="s">
        <v>5038</v>
      </c>
      <c r="I330" s="4" t="s">
        <v>5039</v>
      </c>
      <c r="J330" s="4" t="s">
        <v>5040</v>
      </c>
      <c r="K330" t="s">
        <v>6693</v>
      </c>
      <c r="L330" t="s">
        <v>44</v>
      </c>
      <c r="M330" t="s">
        <v>6694</v>
      </c>
      <c r="N330" t="s">
        <v>45</v>
      </c>
      <c r="O330" t="s">
        <v>29</v>
      </c>
      <c r="P330" t="s">
        <v>55</v>
      </c>
      <c r="Q330" t="s">
        <v>31</v>
      </c>
      <c r="R330">
        <v>7</v>
      </c>
      <c r="S330" t="s">
        <v>6683</v>
      </c>
      <c r="T330" t="s">
        <v>6644</v>
      </c>
      <c r="U330" t="s">
        <v>6645</v>
      </c>
      <c r="V330" t="s">
        <v>32</v>
      </c>
      <c r="W330" t="s">
        <v>33</v>
      </c>
      <c r="X330" t="s">
        <v>33</v>
      </c>
      <c r="Y330" t="s">
        <v>33</v>
      </c>
      <c r="Z330" s="5" t="s">
        <v>34</v>
      </c>
      <c r="AA330">
        <v>-75.610108999999994</v>
      </c>
      <c r="AB330">
        <v>6.1759700000000004</v>
      </c>
      <c r="AC330" t="s">
        <v>456</v>
      </c>
      <c r="AD330" t="s">
        <v>457</v>
      </c>
    </row>
    <row r="331" spans="1:30" x14ac:dyDescent="0.25">
      <c r="A331" t="s">
        <v>6695</v>
      </c>
      <c r="B331" t="s">
        <v>25</v>
      </c>
      <c r="C331" t="s">
        <v>26</v>
      </c>
      <c r="D331" t="s">
        <v>25</v>
      </c>
      <c r="E331" t="s">
        <v>6696</v>
      </c>
      <c r="F331" t="s">
        <v>6697</v>
      </c>
      <c r="G331">
        <v>811040443</v>
      </c>
      <c r="H331" t="s">
        <v>5038</v>
      </c>
      <c r="I331" s="4" t="s">
        <v>5039</v>
      </c>
      <c r="J331" s="4" t="s">
        <v>5040</v>
      </c>
      <c r="K331" t="s">
        <v>6698</v>
      </c>
      <c r="L331" t="s">
        <v>44</v>
      </c>
      <c r="M331" t="s">
        <v>6699</v>
      </c>
      <c r="N331" t="s">
        <v>45</v>
      </c>
      <c r="O331" t="s">
        <v>29</v>
      </c>
      <c r="P331" t="s">
        <v>55</v>
      </c>
      <c r="Q331" t="s">
        <v>31</v>
      </c>
      <c r="R331">
        <v>7</v>
      </c>
      <c r="S331" t="s">
        <v>6700</v>
      </c>
      <c r="T331" t="s">
        <v>6644</v>
      </c>
      <c r="U331" t="s">
        <v>6645</v>
      </c>
      <c r="V331" t="s">
        <v>32</v>
      </c>
      <c r="W331" t="s">
        <v>33</v>
      </c>
      <c r="X331" t="s">
        <v>33</v>
      </c>
      <c r="Y331" t="s">
        <v>33</v>
      </c>
      <c r="Z331" s="5" t="s">
        <v>34</v>
      </c>
      <c r="AA331">
        <v>-75.610108999999994</v>
      </c>
      <c r="AB331">
        <v>6.1759700000000004</v>
      </c>
      <c r="AC331" t="s">
        <v>456</v>
      </c>
      <c r="AD331" t="s">
        <v>457</v>
      </c>
    </row>
    <row r="332" spans="1:30" x14ac:dyDescent="0.25">
      <c r="A332" t="s">
        <v>6701</v>
      </c>
      <c r="B332" t="s">
        <v>25</v>
      </c>
      <c r="C332" t="s">
        <v>26</v>
      </c>
      <c r="D332" t="s">
        <v>25</v>
      </c>
      <c r="E332" t="s">
        <v>6702</v>
      </c>
      <c r="F332" t="s">
        <v>6697</v>
      </c>
      <c r="G332">
        <v>811040443</v>
      </c>
      <c r="H332" t="s">
        <v>5038</v>
      </c>
      <c r="I332" s="4" t="s">
        <v>5039</v>
      </c>
      <c r="J332" s="4" t="s">
        <v>5040</v>
      </c>
      <c r="K332" t="s">
        <v>6703</v>
      </c>
      <c r="L332" t="s">
        <v>44</v>
      </c>
      <c r="M332" t="s">
        <v>6704</v>
      </c>
      <c r="N332" t="s">
        <v>45</v>
      </c>
      <c r="O332" t="s">
        <v>29</v>
      </c>
      <c r="P332" t="s">
        <v>55</v>
      </c>
      <c r="Q332" t="s">
        <v>31</v>
      </c>
      <c r="R332">
        <v>7</v>
      </c>
      <c r="S332" t="s">
        <v>6700</v>
      </c>
      <c r="T332" t="s">
        <v>6644</v>
      </c>
      <c r="U332" t="s">
        <v>6645</v>
      </c>
      <c r="V332" t="s">
        <v>32</v>
      </c>
      <c r="W332" t="s">
        <v>33</v>
      </c>
      <c r="X332" t="s">
        <v>33</v>
      </c>
      <c r="Y332" t="s">
        <v>33</v>
      </c>
      <c r="Z332" s="5" t="s">
        <v>34</v>
      </c>
      <c r="AA332">
        <v>-75.610108999999994</v>
      </c>
      <c r="AB332">
        <v>6.1759700000000004</v>
      </c>
      <c r="AC332" t="s">
        <v>456</v>
      </c>
      <c r="AD332" t="s">
        <v>457</v>
      </c>
    </row>
    <row r="333" spans="1:30" x14ac:dyDescent="0.25">
      <c r="A333" t="s">
        <v>6705</v>
      </c>
      <c r="B333" t="s">
        <v>25</v>
      </c>
      <c r="C333" t="s">
        <v>26</v>
      </c>
      <c r="D333" t="s">
        <v>25</v>
      </c>
      <c r="E333" t="s">
        <v>6706</v>
      </c>
      <c r="F333" t="s">
        <v>6697</v>
      </c>
      <c r="G333">
        <v>811040443</v>
      </c>
      <c r="H333" t="s">
        <v>5038</v>
      </c>
      <c r="I333" s="4" t="s">
        <v>5039</v>
      </c>
      <c r="J333" s="4" t="s">
        <v>5040</v>
      </c>
      <c r="K333" t="s">
        <v>6707</v>
      </c>
      <c r="L333" t="s">
        <v>44</v>
      </c>
      <c r="M333" t="s">
        <v>6708</v>
      </c>
      <c r="N333" t="s">
        <v>45</v>
      </c>
      <c r="O333" t="s">
        <v>29</v>
      </c>
      <c r="P333" t="s">
        <v>55</v>
      </c>
      <c r="Q333" t="s">
        <v>31</v>
      </c>
      <c r="R333">
        <v>7</v>
      </c>
      <c r="S333" t="s">
        <v>6700</v>
      </c>
      <c r="T333" t="s">
        <v>6644</v>
      </c>
      <c r="U333" t="s">
        <v>6645</v>
      </c>
      <c r="V333" t="s">
        <v>32</v>
      </c>
      <c r="W333" t="s">
        <v>33</v>
      </c>
      <c r="X333" t="s">
        <v>33</v>
      </c>
      <c r="Y333" t="s">
        <v>33</v>
      </c>
      <c r="Z333" s="5" t="s">
        <v>34</v>
      </c>
      <c r="AA333">
        <v>-75.610108999999994</v>
      </c>
      <c r="AB333">
        <v>6.1759700000000004</v>
      </c>
      <c r="AC333" t="s">
        <v>456</v>
      </c>
      <c r="AD333" t="s">
        <v>457</v>
      </c>
    </row>
    <row r="334" spans="1:30" x14ac:dyDescent="0.25">
      <c r="A334" t="s">
        <v>6709</v>
      </c>
      <c r="B334" t="s">
        <v>25</v>
      </c>
      <c r="C334" t="s">
        <v>26</v>
      </c>
      <c r="D334" t="s">
        <v>25</v>
      </c>
      <c r="E334" t="s">
        <v>6706</v>
      </c>
      <c r="F334" t="s">
        <v>6697</v>
      </c>
      <c r="G334">
        <v>811040443</v>
      </c>
      <c r="H334" t="s">
        <v>5038</v>
      </c>
      <c r="I334" s="4" t="s">
        <v>5039</v>
      </c>
      <c r="J334" s="4" t="s">
        <v>5040</v>
      </c>
      <c r="K334" t="s">
        <v>6710</v>
      </c>
      <c r="L334" t="s">
        <v>44</v>
      </c>
      <c r="M334" t="s">
        <v>6711</v>
      </c>
      <c r="N334" t="s">
        <v>45</v>
      </c>
      <c r="O334" t="s">
        <v>29</v>
      </c>
      <c r="P334" t="s">
        <v>55</v>
      </c>
      <c r="Q334" t="s">
        <v>31</v>
      </c>
      <c r="R334">
        <v>7</v>
      </c>
      <c r="S334" t="s">
        <v>6700</v>
      </c>
      <c r="T334" t="s">
        <v>6644</v>
      </c>
      <c r="U334" t="s">
        <v>6645</v>
      </c>
      <c r="V334" t="s">
        <v>32</v>
      </c>
      <c r="W334" t="s">
        <v>33</v>
      </c>
      <c r="X334" t="s">
        <v>33</v>
      </c>
      <c r="Y334" t="s">
        <v>33</v>
      </c>
      <c r="Z334" s="5" t="s">
        <v>34</v>
      </c>
      <c r="AA334">
        <v>-75.610108999999994</v>
      </c>
      <c r="AB334">
        <v>6.1759700000000004</v>
      </c>
      <c r="AC334" t="s">
        <v>456</v>
      </c>
      <c r="AD334" t="s">
        <v>457</v>
      </c>
    </row>
    <row r="335" spans="1:30" x14ac:dyDescent="0.25">
      <c r="A335" t="s">
        <v>6712</v>
      </c>
      <c r="B335" t="s">
        <v>25</v>
      </c>
      <c r="C335" t="s">
        <v>26</v>
      </c>
      <c r="D335" t="s">
        <v>25</v>
      </c>
      <c r="E335" t="s">
        <v>6713</v>
      </c>
      <c r="F335" t="s">
        <v>6714</v>
      </c>
      <c r="G335">
        <v>811040443</v>
      </c>
      <c r="H335" t="s">
        <v>5038</v>
      </c>
      <c r="I335" s="4" t="s">
        <v>5039</v>
      </c>
      <c r="J335" s="4" t="s">
        <v>5040</v>
      </c>
      <c r="K335" t="s">
        <v>6715</v>
      </c>
      <c r="L335" t="s">
        <v>44</v>
      </c>
      <c r="M335" t="s">
        <v>6716</v>
      </c>
      <c r="N335" t="s">
        <v>45</v>
      </c>
      <c r="O335" t="s">
        <v>29</v>
      </c>
      <c r="P335" t="s">
        <v>55</v>
      </c>
      <c r="Q335" t="s">
        <v>31</v>
      </c>
      <c r="R335">
        <v>7</v>
      </c>
      <c r="S335" t="s">
        <v>6717</v>
      </c>
      <c r="T335" t="s">
        <v>6644</v>
      </c>
      <c r="U335" t="s">
        <v>6645</v>
      </c>
      <c r="V335" t="s">
        <v>32</v>
      </c>
      <c r="W335" t="s">
        <v>33</v>
      </c>
      <c r="X335" t="s">
        <v>33</v>
      </c>
      <c r="Y335" t="s">
        <v>33</v>
      </c>
      <c r="Z335" s="5" t="s">
        <v>34</v>
      </c>
      <c r="AA335">
        <v>-75.610108999999994</v>
      </c>
      <c r="AB335">
        <v>6.1759700000000004</v>
      </c>
      <c r="AC335" t="s">
        <v>456</v>
      </c>
      <c r="AD335" t="s">
        <v>457</v>
      </c>
    </row>
    <row r="336" spans="1:30" x14ac:dyDescent="0.25">
      <c r="A336" t="s">
        <v>6718</v>
      </c>
      <c r="B336" t="s">
        <v>25</v>
      </c>
      <c r="C336" t="s">
        <v>26</v>
      </c>
      <c r="D336" t="s">
        <v>25</v>
      </c>
      <c r="E336" t="s">
        <v>6719</v>
      </c>
      <c r="F336" t="s">
        <v>6714</v>
      </c>
      <c r="G336">
        <v>811040443</v>
      </c>
      <c r="H336" t="s">
        <v>5038</v>
      </c>
      <c r="I336" s="4" t="s">
        <v>5039</v>
      </c>
      <c r="J336" s="4" t="s">
        <v>5040</v>
      </c>
      <c r="K336" t="s">
        <v>6720</v>
      </c>
      <c r="L336" t="s">
        <v>44</v>
      </c>
      <c r="M336" t="s">
        <v>6721</v>
      </c>
      <c r="N336" t="s">
        <v>45</v>
      </c>
      <c r="O336" t="s">
        <v>29</v>
      </c>
      <c r="P336" t="s">
        <v>55</v>
      </c>
      <c r="Q336" t="s">
        <v>31</v>
      </c>
      <c r="R336">
        <v>7</v>
      </c>
      <c r="S336" t="s">
        <v>6717</v>
      </c>
      <c r="T336" t="s">
        <v>6644</v>
      </c>
      <c r="U336" t="s">
        <v>6645</v>
      </c>
      <c r="V336" t="s">
        <v>32</v>
      </c>
      <c r="W336" t="s">
        <v>33</v>
      </c>
      <c r="X336" t="s">
        <v>33</v>
      </c>
      <c r="Y336" t="s">
        <v>33</v>
      </c>
      <c r="Z336" s="5" t="s">
        <v>34</v>
      </c>
      <c r="AA336">
        <v>-75.610108999999994</v>
      </c>
      <c r="AB336">
        <v>6.1759700000000004</v>
      </c>
      <c r="AC336" t="s">
        <v>456</v>
      </c>
      <c r="AD336" t="s">
        <v>457</v>
      </c>
    </row>
    <row r="337" spans="1:30" x14ac:dyDescent="0.25">
      <c r="A337" t="s">
        <v>5588</v>
      </c>
      <c r="B337" t="s">
        <v>25</v>
      </c>
      <c r="C337" t="s">
        <v>26</v>
      </c>
      <c r="D337" t="s">
        <v>25</v>
      </c>
      <c r="E337" t="s">
        <v>5589</v>
      </c>
      <c r="F337" t="s">
        <v>5576</v>
      </c>
      <c r="G337">
        <v>811040443</v>
      </c>
      <c r="H337" t="s">
        <v>5038</v>
      </c>
      <c r="I337" s="4" t="s">
        <v>5039</v>
      </c>
      <c r="J337" s="4" t="s">
        <v>5040</v>
      </c>
      <c r="K337" t="s">
        <v>5590</v>
      </c>
      <c r="L337" t="s">
        <v>44</v>
      </c>
      <c r="M337" t="s">
        <v>5591</v>
      </c>
      <c r="N337" t="s">
        <v>45</v>
      </c>
      <c r="O337" t="s">
        <v>29</v>
      </c>
      <c r="P337" t="s">
        <v>55</v>
      </c>
      <c r="Q337" t="s">
        <v>31</v>
      </c>
      <c r="R337">
        <v>7</v>
      </c>
      <c r="S337" t="s">
        <v>5579</v>
      </c>
      <c r="T337" t="s">
        <v>6636</v>
      </c>
      <c r="U337" t="s">
        <v>6637</v>
      </c>
      <c r="V337" t="s">
        <v>32</v>
      </c>
      <c r="W337" t="s">
        <v>33</v>
      </c>
      <c r="X337" t="s">
        <v>33</v>
      </c>
      <c r="Y337" t="s">
        <v>33</v>
      </c>
      <c r="Z337" s="5" t="s">
        <v>34</v>
      </c>
      <c r="AA337">
        <v>-75.610108999999994</v>
      </c>
      <c r="AB337">
        <v>6.1759700000000004</v>
      </c>
      <c r="AC337" t="s">
        <v>456</v>
      </c>
      <c r="AD337" t="s">
        <v>457</v>
      </c>
    </row>
    <row r="338" spans="1:30" x14ac:dyDescent="0.25">
      <c r="A338" t="s">
        <v>5592</v>
      </c>
      <c r="B338" t="s">
        <v>25</v>
      </c>
      <c r="C338" t="s">
        <v>26</v>
      </c>
      <c r="D338" t="s">
        <v>25</v>
      </c>
      <c r="E338" t="s">
        <v>5593</v>
      </c>
      <c r="F338" t="s">
        <v>5594</v>
      </c>
      <c r="G338">
        <v>811040443</v>
      </c>
      <c r="H338" t="s">
        <v>5038</v>
      </c>
      <c r="I338" s="4" t="s">
        <v>5039</v>
      </c>
      <c r="J338" s="4" t="s">
        <v>5040</v>
      </c>
      <c r="K338" t="s">
        <v>5595</v>
      </c>
      <c r="L338" t="s">
        <v>44</v>
      </c>
      <c r="M338" t="s">
        <v>5596</v>
      </c>
      <c r="N338" t="s">
        <v>45</v>
      </c>
      <c r="O338" t="s">
        <v>29</v>
      </c>
      <c r="P338" t="s">
        <v>55</v>
      </c>
      <c r="Q338" t="s">
        <v>31</v>
      </c>
      <c r="R338">
        <v>7</v>
      </c>
      <c r="S338" t="s">
        <v>5597</v>
      </c>
      <c r="T338" t="s">
        <v>6636</v>
      </c>
      <c r="U338" t="s">
        <v>6637</v>
      </c>
      <c r="V338" t="s">
        <v>32</v>
      </c>
      <c r="W338" t="s">
        <v>33</v>
      </c>
      <c r="X338" t="s">
        <v>33</v>
      </c>
      <c r="Y338" t="s">
        <v>33</v>
      </c>
      <c r="Z338" s="5" t="s">
        <v>34</v>
      </c>
      <c r="AA338">
        <v>-75.610108999999994</v>
      </c>
      <c r="AB338">
        <v>6.1759700000000004</v>
      </c>
      <c r="AC338" t="s">
        <v>456</v>
      </c>
      <c r="AD338" t="s">
        <v>457</v>
      </c>
    </row>
    <row r="339" spans="1:30" x14ac:dyDescent="0.25">
      <c r="A339" t="s">
        <v>6722</v>
      </c>
      <c r="B339" t="s">
        <v>25</v>
      </c>
      <c r="C339" t="s">
        <v>26</v>
      </c>
      <c r="D339" t="s">
        <v>25</v>
      </c>
      <c r="E339" t="s">
        <v>6723</v>
      </c>
      <c r="F339" t="s">
        <v>6714</v>
      </c>
      <c r="G339">
        <v>811040443</v>
      </c>
      <c r="H339" t="s">
        <v>5038</v>
      </c>
      <c r="I339" s="4" t="s">
        <v>5039</v>
      </c>
      <c r="J339" s="4" t="s">
        <v>5040</v>
      </c>
      <c r="K339" t="s">
        <v>6724</v>
      </c>
      <c r="L339" t="s">
        <v>44</v>
      </c>
      <c r="M339" t="s">
        <v>6725</v>
      </c>
      <c r="N339" t="s">
        <v>45</v>
      </c>
      <c r="O339" t="s">
        <v>29</v>
      </c>
      <c r="P339" t="s">
        <v>55</v>
      </c>
      <c r="Q339" t="s">
        <v>31</v>
      </c>
      <c r="R339">
        <v>7</v>
      </c>
      <c r="S339" t="s">
        <v>6717</v>
      </c>
      <c r="T339" t="s">
        <v>6644</v>
      </c>
      <c r="U339" t="s">
        <v>6645</v>
      </c>
      <c r="V339" t="s">
        <v>32</v>
      </c>
      <c r="W339" t="s">
        <v>33</v>
      </c>
      <c r="X339" t="s">
        <v>33</v>
      </c>
      <c r="Y339" t="s">
        <v>33</v>
      </c>
      <c r="Z339" s="5" t="s">
        <v>34</v>
      </c>
      <c r="AA339">
        <v>-75.610108999999994</v>
      </c>
      <c r="AB339">
        <v>6.1759700000000004</v>
      </c>
      <c r="AC339" t="s">
        <v>456</v>
      </c>
      <c r="AD339" t="s">
        <v>457</v>
      </c>
    </row>
    <row r="340" spans="1:30" x14ac:dyDescent="0.25">
      <c r="A340" t="s">
        <v>6726</v>
      </c>
      <c r="B340" t="s">
        <v>25</v>
      </c>
      <c r="C340" t="s">
        <v>26</v>
      </c>
      <c r="D340" t="s">
        <v>25</v>
      </c>
      <c r="E340" t="s">
        <v>6727</v>
      </c>
      <c r="F340" t="s">
        <v>6728</v>
      </c>
      <c r="G340">
        <v>811040443</v>
      </c>
      <c r="H340" t="s">
        <v>5038</v>
      </c>
      <c r="I340" s="4" t="s">
        <v>5039</v>
      </c>
      <c r="J340" s="4" t="s">
        <v>5040</v>
      </c>
      <c r="K340" t="s">
        <v>6729</v>
      </c>
      <c r="L340" t="s">
        <v>44</v>
      </c>
      <c r="M340" t="s">
        <v>6730</v>
      </c>
      <c r="N340" t="s">
        <v>45</v>
      </c>
      <c r="O340" t="s">
        <v>29</v>
      </c>
      <c r="P340" t="s">
        <v>55</v>
      </c>
      <c r="Q340" t="s">
        <v>31</v>
      </c>
      <c r="R340">
        <v>7</v>
      </c>
      <c r="S340" t="s">
        <v>6731</v>
      </c>
      <c r="T340" t="s">
        <v>6644</v>
      </c>
      <c r="U340" t="s">
        <v>6645</v>
      </c>
      <c r="V340" t="s">
        <v>32</v>
      </c>
      <c r="W340" t="s">
        <v>33</v>
      </c>
      <c r="X340" t="s">
        <v>33</v>
      </c>
      <c r="Y340" t="s">
        <v>33</v>
      </c>
      <c r="Z340" s="5" t="s">
        <v>34</v>
      </c>
      <c r="AA340">
        <v>-75.610108999999994</v>
      </c>
      <c r="AB340">
        <v>6.1759700000000004</v>
      </c>
      <c r="AC340" t="s">
        <v>456</v>
      </c>
      <c r="AD340" t="s">
        <v>457</v>
      </c>
    </row>
    <row r="341" spans="1:30" x14ac:dyDescent="0.25">
      <c r="A341" t="s">
        <v>6732</v>
      </c>
      <c r="B341" t="s">
        <v>25</v>
      </c>
      <c r="C341" t="s">
        <v>26</v>
      </c>
      <c r="D341" t="s">
        <v>25</v>
      </c>
      <c r="E341" t="s">
        <v>6733</v>
      </c>
      <c r="F341" t="s">
        <v>6728</v>
      </c>
      <c r="G341">
        <v>811040443</v>
      </c>
      <c r="H341" t="s">
        <v>5038</v>
      </c>
      <c r="I341" s="4" t="s">
        <v>5039</v>
      </c>
      <c r="J341" s="4" t="s">
        <v>5040</v>
      </c>
      <c r="K341" t="s">
        <v>6734</v>
      </c>
      <c r="L341" t="s">
        <v>44</v>
      </c>
      <c r="M341" t="s">
        <v>6735</v>
      </c>
      <c r="N341" t="s">
        <v>45</v>
      </c>
      <c r="O341" t="s">
        <v>29</v>
      </c>
      <c r="P341" t="s">
        <v>55</v>
      </c>
      <c r="Q341" t="s">
        <v>31</v>
      </c>
      <c r="R341">
        <v>7</v>
      </c>
      <c r="S341" t="s">
        <v>6731</v>
      </c>
      <c r="T341" t="s">
        <v>6644</v>
      </c>
      <c r="U341" t="s">
        <v>6645</v>
      </c>
      <c r="V341" t="s">
        <v>32</v>
      </c>
      <c r="W341" t="s">
        <v>33</v>
      </c>
      <c r="X341" t="s">
        <v>33</v>
      </c>
      <c r="Y341" t="s">
        <v>33</v>
      </c>
      <c r="Z341" s="5" t="s">
        <v>34</v>
      </c>
      <c r="AA341">
        <v>-75.610108999999994</v>
      </c>
      <c r="AB341">
        <v>6.1759700000000004</v>
      </c>
      <c r="AC341" t="s">
        <v>456</v>
      </c>
      <c r="AD341" t="s">
        <v>457</v>
      </c>
    </row>
    <row r="342" spans="1:30" x14ac:dyDescent="0.25">
      <c r="A342" t="s">
        <v>6736</v>
      </c>
      <c r="B342" t="s">
        <v>25</v>
      </c>
      <c r="C342" t="s">
        <v>26</v>
      </c>
      <c r="D342" t="s">
        <v>25</v>
      </c>
      <c r="E342" t="s">
        <v>6737</v>
      </c>
      <c r="F342" t="s">
        <v>6728</v>
      </c>
      <c r="G342">
        <v>811040443</v>
      </c>
      <c r="H342" t="s">
        <v>5038</v>
      </c>
      <c r="I342" s="4" t="s">
        <v>5039</v>
      </c>
      <c r="J342" s="4" t="s">
        <v>5040</v>
      </c>
      <c r="K342" t="s">
        <v>6738</v>
      </c>
      <c r="L342" t="s">
        <v>44</v>
      </c>
      <c r="M342" t="s">
        <v>6739</v>
      </c>
      <c r="N342" t="s">
        <v>45</v>
      </c>
      <c r="O342" t="s">
        <v>29</v>
      </c>
      <c r="P342" t="s">
        <v>55</v>
      </c>
      <c r="Q342" t="s">
        <v>31</v>
      </c>
      <c r="R342">
        <v>7</v>
      </c>
      <c r="S342" t="s">
        <v>6731</v>
      </c>
      <c r="T342" t="s">
        <v>6644</v>
      </c>
      <c r="U342" t="s">
        <v>6645</v>
      </c>
      <c r="V342" t="s">
        <v>32</v>
      </c>
      <c r="W342" t="s">
        <v>33</v>
      </c>
      <c r="X342" t="s">
        <v>33</v>
      </c>
      <c r="Y342" t="s">
        <v>33</v>
      </c>
      <c r="Z342" s="5" t="s">
        <v>34</v>
      </c>
      <c r="AA342">
        <v>-75.610108999999994</v>
      </c>
      <c r="AB342">
        <v>6.1759700000000004</v>
      </c>
      <c r="AC342" t="s">
        <v>456</v>
      </c>
      <c r="AD342" t="s">
        <v>457</v>
      </c>
    </row>
    <row r="343" spans="1:30" x14ac:dyDescent="0.25">
      <c r="A343" t="s">
        <v>6740</v>
      </c>
      <c r="B343" t="s">
        <v>25</v>
      </c>
      <c r="C343" t="s">
        <v>26</v>
      </c>
      <c r="D343" t="s">
        <v>25</v>
      </c>
      <c r="E343" t="s">
        <v>6741</v>
      </c>
      <c r="F343" t="s">
        <v>6728</v>
      </c>
      <c r="G343">
        <v>811040443</v>
      </c>
      <c r="H343" t="s">
        <v>5038</v>
      </c>
      <c r="I343" s="4" t="s">
        <v>5039</v>
      </c>
      <c r="J343" s="4" t="s">
        <v>5040</v>
      </c>
      <c r="K343" t="s">
        <v>6742</v>
      </c>
      <c r="L343" t="s">
        <v>44</v>
      </c>
      <c r="M343" t="s">
        <v>6743</v>
      </c>
      <c r="N343" t="s">
        <v>45</v>
      </c>
      <c r="O343" t="s">
        <v>29</v>
      </c>
      <c r="P343" t="s">
        <v>55</v>
      </c>
      <c r="Q343" t="s">
        <v>31</v>
      </c>
      <c r="R343">
        <v>7</v>
      </c>
      <c r="S343" t="s">
        <v>6731</v>
      </c>
      <c r="T343" t="s">
        <v>6644</v>
      </c>
      <c r="U343" t="s">
        <v>6645</v>
      </c>
      <c r="V343" t="s">
        <v>32</v>
      </c>
      <c r="W343" t="s">
        <v>33</v>
      </c>
      <c r="X343" t="s">
        <v>33</v>
      </c>
      <c r="Y343" t="s">
        <v>33</v>
      </c>
      <c r="Z343" s="5" t="s">
        <v>34</v>
      </c>
      <c r="AA343">
        <v>-75.610108999999994</v>
      </c>
      <c r="AB343">
        <v>6.1759700000000004</v>
      </c>
      <c r="AC343" t="s">
        <v>456</v>
      </c>
      <c r="AD343" t="s">
        <v>457</v>
      </c>
    </row>
    <row r="344" spans="1:30" x14ac:dyDescent="0.25">
      <c r="A344" t="s">
        <v>5598</v>
      </c>
      <c r="B344" t="s">
        <v>25</v>
      </c>
      <c r="C344" t="s">
        <v>26</v>
      </c>
      <c r="D344" t="s">
        <v>25</v>
      </c>
      <c r="E344" t="s">
        <v>5599</v>
      </c>
      <c r="F344" t="s">
        <v>5594</v>
      </c>
      <c r="G344">
        <v>811040443</v>
      </c>
      <c r="H344" t="s">
        <v>5038</v>
      </c>
      <c r="I344" s="4" t="s">
        <v>5039</v>
      </c>
      <c r="J344" s="4" t="s">
        <v>5040</v>
      </c>
      <c r="K344" t="s">
        <v>5600</v>
      </c>
      <c r="L344" t="s">
        <v>44</v>
      </c>
      <c r="M344" t="s">
        <v>5601</v>
      </c>
      <c r="N344" t="s">
        <v>45</v>
      </c>
      <c r="O344" t="s">
        <v>29</v>
      </c>
      <c r="P344" t="s">
        <v>55</v>
      </c>
      <c r="Q344" t="s">
        <v>31</v>
      </c>
      <c r="R344">
        <v>7</v>
      </c>
      <c r="S344" t="s">
        <v>5597</v>
      </c>
      <c r="T344" t="s">
        <v>6636</v>
      </c>
      <c r="U344" t="s">
        <v>6637</v>
      </c>
      <c r="V344" t="s">
        <v>32</v>
      </c>
      <c r="W344" t="s">
        <v>33</v>
      </c>
      <c r="X344" t="s">
        <v>33</v>
      </c>
      <c r="Y344" t="s">
        <v>33</v>
      </c>
      <c r="Z344" s="5" t="s">
        <v>34</v>
      </c>
      <c r="AA344">
        <v>-75.610108999999994</v>
      </c>
      <c r="AB344">
        <v>6.1759700000000004</v>
      </c>
      <c r="AC344" t="s">
        <v>456</v>
      </c>
      <c r="AD344" t="s">
        <v>457</v>
      </c>
    </row>
    <row r="345" spans="1:30" x14ac:dyDescent="0.25">
      <c r="A345" t="s">
        <v>5602</v>
      </c>
      <c r="B345" t="s">
        <v>25</v>
      </c>
      <c r="C345" t="s">
        <v>26</v>
      </c>
      <c r="D345" t="s">
        <v>25</v>
      </c>
      <c r="E345" t="s">
        <v>5603</v>
      </c>
      <c r="F345" t="s">
        <v>5594</v>
      </c>
      <c r="G345">
        <v>811040443</v>
      </c>
      <c r="H345" t="s">
        <v>5038</v>
      </c>
      <c r="I345" s="4" t="s">
        <v>5039</v>
      </c>
      <c r="J345" s="4" t="s">
        <v>5040</v>
      </c>
      <c r="K345" t="s">
        <v>5604</v>
      </c>
      <c r="L345" t="s">
        <v>44</v>
      </c>
      <c r="M345" t="s">
        <v>5605</v>
      </c>
      <c r="N345" t="s">
        <v>45</v>
      </c>
      <c r="O345" t="s">
        <v>29</v>
      </c>
      <c r="P345" t="s">
        <v>55</v>
      </c>
      <c r="Q345" t="s">
        <v>31</v>
      </c>
      <c r="R345">
        <v>7</v>
      </c>
      <c r="S345" t="s">
        <v>5597</v>
      </c>
      <c r="T345" t="s">
        <v>6636</v>
      </c>
      <c r="U345" t="s">
        <v>6637</v>
      </c>
      <c r="V345" t="s">
        <v>32</v>
      </c>
      <c r="W345" t="s">
        <v>33</v>
      </c>
      <c r="X345" t="s">
        <v>33</v>
      </c>
      <c r="Y345" t="s">
        <v>33</v>
      </c>
      <c r="Z345" s="5" t="s">
        <v>34</v>
      </c>
      <c r="AA345">
        <v>-75.610108999999994</v>
      </c>
      <c r="AB345">
        <v>6.1759700000000004</v>
      </c>
      <c r="AC345" t="s">
        <v>456</v>
      </c>
      <c r="AD345" t="s">
        <v>457</v>
      </c>
    </row>
    <row r="346" spans="1:30" x14ac:dyDescent="0.25">
      <c r="A346" t="s">
        <v>5606</v>
      </c>
      <c r="B346" t="s">
        <v>25</v>
      </c>
      <c r="C346" t="s">
        <v>26</v>
      </c>
      <c r="D346" t="s">
        <v>25</v>
      </c>
      <c r="E346" t="s">
        <v>5599</v>
      </c>
      <c r="F346" t="s">
        <v>5594</v>
      </c>
      <c r="G346">
        <v>811040443</v>
      </c>
      <c r="H346" t="s">
        <v>5038</v>
      </c>
      <c r="I346" s="4" t="s">
        <v>5039</v>
      </c>
      <c r="J346" s="4" t="s">
        <v>5040</v>
      </c>
      <c r="K346" t="s">
        <v>5607</v>
      </c>
      <c r="L346" t="s">
        <v>44</v>
      </c>
      <c r="M346" t="s">
        <v>5608</v>
      </c>
      <c r="N346" t="s">
        <v>45</v>
      </c>
      <c r="O346" t="s">
        <v>29</v>
      </c>
      <c r="P346" t="s">
        <v>55</v>
      </c>
      <c r="Q346" t="s">
        <v>31</v>
      </c>
      <c r="R346">
        <v>7</v>
      </c>
      <c r="S346" t="s">
        <v>5597</v>
      </c>
      <c r="T346" t="s">
        <v>6636</v>
      </c>
      <c r="U346" t="s">
        <v>6637</v>
      </c>
      <c r="V346" t="s">
        <v>32</v>
      </c>
      <c r="W346" t="s">
        <v>33</v>
      </c>
      <c r="X346" t="s">
        <v>33</v>
      </c>
      <c r="Y346" t="s">
        <v>33</v>
      </c>
      <c r="Z346" s="5" t="s">
        <v>34</v>
      </c>
      <c r="AA346">
        <v>-75.610108999999994</v>
      </c>
      <c r="AB346">
        <v>6.1759700000000004</v>
      </c>
      <c r="AC346" t="s">
        <v>456</v>
      </c>
      <c r="AD346" t="s">
        <v>457</v>
      </c>
    </row>
    <row r="347" spans="1:30" x14ac:dyDescent="0.25">
      <c r="A347" t="s">
        <v>5609</v>
      </c>
      <c r="B347" t="s">
        <v>25</v>
      </c>
      <c r="C347" t="s">
        <v>26</v>
      </c>
      <c r="D347" t="s">
        <v>25</v>
      </c>
      <c r="E347" t="s">
        <v>5610</v>
      </c>
      <c r="F347" t="s">
        <v>5611</v>
      </c>
      <c r="G347">
        <v>811040443</v>
      </c>
      <c r="H347" t="s">
        <v>5038</v>
      </c>
      <c r="I347" s="4" t="s">
        <v>5039</v>
      </c>
      <c r="J347" s="4" t="s">
        <v>5040</v>
      </c>
      <c r="K347" t="s">
        <v>5612</v>
      </c>
      <c r="L347" t="s">
        <v>44</v>
      </c>
      <c r="M347" t="s">
        <v>5613</v>
      </c>
      <c r="N347" t="s">
        <v>45</v>
      </c>
      <c r="O347" t="s">
        <v>29</v>
      </c>
      <c r="P347" t="s">
        <v>55</v>
      </c>
      <c r="Q347" t="s">
        <v>31</v>
      </c>
      <c r="R347">
        <v>7</v>
      </c>
      <c r="S347" t="s">
        <v>5614</v>
      </c>
      <c r="T347" t="s">
        <v>6636</v>
      </c>
      <c r="U347" t="s">
        <v>6637</v>
      </c>
      <c r="V347" t="s">
        <v>32</v>
      </c>
      <c r="W347" t="s">
        <v>33</v>
      </c>
      <c r="X347" t="s">
        <v>33</v>
      </c>
      <c r="Y347" t="s">
        <v>33</v>
      </c>
      <c r="Z347" s="5" t="s">
        <v>34</v>
      </c>
      <c r="AA347">
        <v>-75.610108999999994</v>
      </c>
      <c r="AB347">
        <v>6.1759700000000004</v>
      </c>
      <c r="AC347" t="s">
        <v>456</v>
      </c>
      <c r="AD347" t="s">
        <v>457</v>
      </c>
    </row>
    <row r="348" spans="1:30" x14ac:dyDescent="0.25">
      <c r="A348" t="s">
        <v>5615</v>
      </c>
      <c r="B348" t="s">
        <v>25</v>
      </c>
      <c r="C348" t="s">
        <v>26</v>
      </c>
      <c r="D348" t="s">
        <v>25</v>
      </c>
      <c r="E348" t="s">
        <v>5616</v>
      </c>
      <c r="F348" t="s">
        <v>5611</v>
      </c>
      <c r="G348">
        <v>811040443</v>
      </c>
      <c r="H348" t="s">
        <v>5038</v>
      </c>
      <c r="I348" s="4" t="s">
        <v>5039</v>
      </c>
      <c r="J348" s="4" t="s">
        <v>5040</v>
      </c>
      <c r="K348" t="s">
        <v>5617</v>
      </c>
      <c r="L348" t="s">
        <v>44</v>
      </c>
      <c r="M348" t="s">
        <v>5618</v>
      </c>
      <c r="N348" t="s">
        <v>45</v>
      </c>
      <c r="O348" t="s">
        <v>29</v>
      </c>
      <c r="P348" t="s">
        <v>55</v>
      </c>
      <c r="Q348" t="s">
        <v>31</v>
      </c>
      <c r="R348">
        <v>7</v>
      </c>
      <c r="S348" t="s">
        <v>5614</v>
      </c>
      <c r="T348" t="s">
        <v>6636</v>
      </c>
      <c r="U348" t="s">
        <v>6637</v>
      </c>
      <c r="V348" t="s">
        <v>32</v>
      </c>
      <c r="W348" t="s">
        <v>33</v>
      </c>
      <c r="X348" t="s">
        <v>33</v>
      </c>
      <c r="Y348" t="s">
        <v>33</v>
      </c>
      <c r="Z348" s="5" t="s">
        <v>34</v>
      </c>
      <c r="AA348">
        <v>-75.610108999999994</v>
      </c>
      <c r="AB348">
        <v>6.1759700000000004</v>
      </c>
      <c r="AC348" t="s">
        <v>456</v>
      </c>
      <c r="AD348" t="s">
        <v>457</v>
      </c>
    </row>
    <row r="349" spans="1:30" x14ac:dyDescent="0.25">
      <c r="A349" t="s">
        <v>5619</v>
      </c>
      <c r="B349" t="s">
        <v>25</v>
      </c>
      <c r="C349" t="s">
        <v>26</v>
      </c>
      <c r="D349" t="s">
        <v>25</v>
      </c>
      <c r="E349" t="s">
        <v>5616</v>
      </c>
      <c r="F349" t="s">
        <v>5611</v>
      </c>
      <c r="G349">
        <v>811040443</v>
      </c>
      <c r="H349" t="s">
        <v>5038</v>
      </c>
      <c r="I349" s="4" t="s">
        <v>5039</v>
      </c>
      <c r="J349" s="4" t="s">
        <v>5040</v>
      </c>
      <c r="K349" t="s">
        <v>5620</v>
      </c>
      <c r="L349" t="s">
        <v>44</v>
      </c>
      <c r="M349" t="s">
        <v>5621</v>
      </c>
      <c r="N349" t="s">
        <v>45</v>
      </c>
      <c r="O349" t="s">
        <v>29</v>
      </c>
      <c r="P349" t="s">
        <v>55</v>
      </c>
      <c r="Q349" t="s">
        <v>31</v>
      </c>
      <c r="R349">
        <v>7</v>
      </c>
      <c r="S349" t="s">
        <v>5614</v>
      </c>
      <c r="T349" t="s">
        <v>6636</v>
      </c>
      <c r="U349" t="s">
        <v>6637</v>
      </c>
      <c r="V349" t="s">
        <v>32</v>
      </c>
      <c r="W349" t="s">
        <v>33</v>
      </c>
      <c r="X349" t="s">
        <v>33</v>
      </c>
      <c r="Y349" t="s">
        <v>33</v>
      </c>
      <c r="Z349" s="5" t="s">
        <v>34</v>
      </c>
      <c r="AA349">
        <v>-75.610108999999994</v>
      </c>
      <c r="AB349">
        <v>6.1759700000000004</v>
      </c>
      <c r="AC349" t="s">
        <v>456</v>
      </c>
      <c r="AD349" t="s">
        <v>457</v>
      </c>
    </row>
    <row r="350" spans="1:30" x14ac:dyDescent="0.25">
      <c r="A350" t="s">
        <v>5622</v>
      </c>
      <c r="B350" t="s">
        <v>25</v>
      </c>
      <c r="C350" t="s">
        <v>26</v>
      </c>
      <c r="D350" t="s">
        <v>25</v>
      </c>
      <c r="E350" t="s">
        <v>5623</v>
      </c>
      <c r="F350" t="s">
        <v>5611</v>
      </c>
      <c r="G350">
        <v>811040443</v>
      </c>
      <c r="H350" t="s">
        <v>5038</v>
      </c>
      <c r="I350" s="4" t="s">
        <v>5039</v>
      </c>
      <c r="J350" s="4" t="s">
        <v>5040</v>
      </c>
      <c r="K350" t="s">
        <v>5624</v>
      </c>
      <c r="L350" t="s">
        <v>44</v>
      </c>
      <c r="M350" t="s">
        <v>5625</v>
      </c>
      <c r="N350" t="s">
        <v>45</v>
      </c>
      <c r="O350" t="s">
        <v>29</v>
      </c>
      <c r="P350" t="s">
        <v>55</v>
      </c>
      <c r="Q350" t="s">
        <v>31</v>
      </c>
      <c r="R350">
        <v>7</v>
      </c>
      <c r="S350" t="s">
        <v>5614</v>
      </c>
      <c r="T350" t="s">
        <v>6636</v>
      </c>
      <c r="U350" t="s">
        <v>6637</v>
      </c>
      <c r="V350" t="s">
        <v>32</v>
      </c>
      <c r="W350" t="s">
        <v>33</v>
      </c>
      <c r="X350" t="s">
        <v>33</v>
      </c>
      <c r="Y350" t="s">
        <v>33</v>
      </c>
      <c r="Z350" s="5" t="s">
        <v>34</v>
      </c>
      <c r="AA350">
        <v>-75.610108999999994</v>
      </c>
      <c r="AB350">
        <v>6.1759700000000004</v>
      </c>
      <c r="AC350" t="s">
        <v>456</v>
      </c>
      <c r="AD350" t="s">
        <v>457</v>
      </c>
    </row>
    <row r="351" spans="1:30" x14ac:dyDescent="0.25">
      <c r="A351" t="s">
        <v>5626</v>
      </c>
      <c r="B351" t="s">
        <v>25</v>
      </c>
      <c r="C351" t="s">
        <v>26</v>
      </c>
      <c r="D351" t="s">
        <v>25</v>
      </c>
      <c r="E351" t="s">
        <v>5623</v>
      </c>
      <c r="F351" t="s">
        <v>5627</v>
      </c>
      <c r="G351">
        <v>811040443</v>
      </c>
      <c r="H351" t="s">
        <v>5038</v>
      </c>
      <c r="I351" s="4" t="s">
        <v>5039</v>
      </c>
      <c r="J351" s="4" t="s">
        <v>5040</v>
      </c>
      <c r="K351" t="s">
        <v>5628</v>
      </c>
      <c r="L351" t="s">
        <v>44</v>
      </c>
      <c r="M351" t="s">
        <v>5629</v>
      </c>
      <c r="N351" t="s">
        <v>45</v>
      </c>
      <c r="O351" t="s">
        <v>29</v>
      </c>
      <c r="P351" t="s">
        <v>55</v>
      </c>
      <c r="Q351" t="s">
        <v>31</v>
      </c>
      <c r="R351">
        <v>7</v>
      </c>
      <c r="S351" t="s">
        <v>5630</v>
      </c>
      <c r="T351" t="s">
        <v>6636</v>
      </c>
      <c r="U351" t="s">
        <v>6637</v>
      </c>
      <c r="V351" t="s">
        <v>32</v>
      </c>
      <c r="W351" t="s">
        <v>33</v>
      </c>
      <c r="X351" t="s">
        <v>33</v>
      </c>
      <c r="Y351" t="s">
        <v>33</v>
      </c>
      <c r="Z351" s="5" t="s">
        <v>34</v>
      </c>
      <c r="AA351">
        <v>-75.610108999999994</v>
      </c>
      <c r="AB351">
        <v>6.1759700000000004</v>
      </c>
      <c r="AC351" t="s">
        <v>456</v>
      </c>
      <c r="AD351" t="s">
        <v>457</v>
      </c>
    </row>
    <row r="352" spans="1:30" x14ac:dyDescent="0.25">
      <c r="A352" t="s">
        <v>5631</v>
      </c>
      <c r="B352" t="s">
        <v>25</v>
      </c>
      <c r="C352" t="s">
        <v>26</v>
      </c>
      <c r="D352" t="s">
        <v>25</v>
      </c>
      <c r="E352" t="s">
        <v>5623</v>
      </c>
      <c r="F352" t="s">
        <v>5627</v>
      </c>
      <c r="G352">
        <v>811040443</v>
      </c>
      <c r="H352" t="s">
        <v>5038</v>
      </c>
      <c r="I352" s="4" t="s">
        <v>5039</v>
      </c>
      <c r="J352" s="4" t="s">
        <v>5040</v>
      </c>
      <c r="K352" t="s">
        <v>5632</v>
      </c>
      <c r="L352" t="s">
        <v>44</v>
      </c>
      <c r="M352" t="s">
        <v>5633</v>
      </c>
      <c r="N352" t="s">
        <v>45</v>
      </c>
      <c r="O352" t="s">
        <v>29</v>
      </c>
      <c r="P352" t="s">
        <v>55</v>
      </c>
      <c r="Q352" t="s">
        <v>31</v>
      </c>
      <c r="R352">
        <v>7</v>
      </c>
      <c r="S352" t="s">
        <v>5630</v>
      </c>
      <c r="T352" t="s">
        <v>6636</v>
      </c>
      <c r="U352" t="s">
        <v>6637</v>
      </c>
      <c r="V352" t="s">
        <v>32</v>
      </c>
      <c r="W352" t="s">
        <v>33</v>
      </c>
      <c r="X352" t="s">
        <v>33</v>
      </c>
      <c r="Y352" t="s">
        <v>33</v>
      </c>
      <c r="Z352" s="5" t="s">
        <v>34</v>
      </c>
      <c r="AA352">
        <v>-75.610108999999994</v>
      </c>
      <c r="AB352">
        <v>6.1759700000000004</v>
      </c>
      <c r="AC352" t="s">
        <v>456</v>
      </c>
      <c r="AD352" t="s">
        <v>457</v>
      </c>
    </row>
    <row r="353" spans="1:30" x14ac:dyDescent="0.25">
      <c r="A353" t="s">
        <v>5634</v>
      </c>
      <c r="B353" t="s">
        <v>25</v>
      </c>
      <c r="C353" t="s">
        <v>26</v>
      </c>
      <c r="D353" t="s">
        <v>25</v>
      </c>
      <c r="E353" t="s">
        <v>5623</v>
      </c>
      <c r="F353" t="s">
        <v>5627</v>
      </c>
      <c r="G353">
        <v>811040443</v>
      </c>
      <c r="H353" t="s">
        <v>5038</v>
      </c>
      <c r="I353" s="4" t="s">
        <v>5039</v>
      </c>
      <c r="J353" s="4" t="s">
        <v>5040</v>
      </c>
      <c r="K353" t="s">
        <v>5635</v>
      </c>
      <c r="L353" t="s">
        <v>44</v>
      </c>
      <c r="M353" t="s">
        <v>5636</v>
      </c>
      <c r="N353" t="s">
        <v>45</v>
      </c>
      <c r="O353" t="s">
        <v>29</v>
      </c>
      <c r="P353" t="s">
        <v>55</v>
      </c>
      <c r="Q353" t="s">
        <v>31</v>
      </c>
      <c r="R353">
        <v>7</v>
      </c>
      <c r="S353" t="s">
        <v>5630</v>
      </c>
      <c r="T353" t="s">
        <v>6636</v>
      </c>
      <c r="U353" t="s">
        <v>6637</v>
      </c>
      <c r="V353" t="s">
        <v>32</v>
      </c>
      <c r="W353" t="s">
        <v>33</v>
      </c>
      <c r="X353" t="s">
        <v>33</v>
      </c>
      <c r="Y353" t="s">
        <v>33</v>
      </c>
      <c r="Z353" s="5" t="s">
        <v>34</v>
      </c>
      <c r="AA353">
        <v>-75.610108999999994</v>
      </c>
      <c r="AB353">
        <v>6.1759700000000004</v>
      </c>
      <c r="AC353" t="s">
        <v>456</v>
      </c>
      <c r="AD353" t="s">
        <v>457</v>
      </c>
    </row>
    <row r="354" spans="1:30" x14ac:dyDescent="0.25">
      <c r="A354" t="s">
        <v>5637</v>
      </c>
      <c r="B354" t="s">
        <v>25</v>
      </c>
      <c r="C354" t="s">
        <v>26</v>
      </c>
      <c r="D354" t="s">
        <v>25</v>
      </c>
      <c r="E354" t="s">
        <v>5638</v>
      </c>
      <c r="F354" t="s">
        <v>5627</v>
      </c>
      <c r="G354">
        <v>811040443</v>
      </c>
      <c r="H354" t="s">
        <v>5038</v>
      </c>
      <c r="I354" s="4" t="s">
        <v>5039</v>
      </c>
      <c r="J354" s="4" t="s">
        <v>5040</v>
      </c>
      <c r="K354" t="s">
        <v>5639</v>
      </c>
      <c r="L354" t="s">
        <v>44</v>
      </c>
      <c r="M354" t="s">
        <v>5640</v>
      </c>
      <c r="N354" t="s">
        <v>45</v>
      </c>
      <c r="O354" t="s">
        <v>29</v>
      </c>
      <c r="P354" t="s">
        <v>55</v>
      </c>
      <c r="Q354" t="s">
        <v>31</v>
      </c>
      <c r="R354">
        <v>7</v>
      </c>
      <c r="S354" t="s">
        <v>5630</v>
      </c>
      <c r="T354" t="s">
        <v>6636</v>
      </c>
      <c r="U354" t="s">
        <v>6637</v>
      </c>
      <c r="V354" t="s">
        <v>32</v>
      </c>
      <c r="W354" t="s">
        <v>33</v>
      </c>
      <c r="X354" t="s">
        <v>33</v>
      </c>
      <c r="Y354" t="s">
        <v>33</v>
      </c>
      <c r="Z354" s="5" t="s">
        <v>34</v>
      </c>
      <c r="AA354">
        <v>-75.610108999999994</v>
      </c>
      <c r="AB354">
        <v>6.1759700000000004</v>
      </c>
      <c r="AC354" t="s">
        <v>456</v>
      </c>
      <c r="AD354" t="s">
        <v>457</v>
      </c>
    </row>
    <row r="355" spans="1:30" x14ac:dyDescent="0.25">
      <c r="A355" t="s">
        <v>5641</v>
      </c>
      <c r="B355" t="s">
        <v>25</v>
      </c>
      <c r="C355" t="s">
        <v>26</v>
      </c>
      <c r="D355" t="s">
        <v>25</v>
      </c>
      <c r="E355" t="s">
        <v>5642</v>
      </c>
      <c r="F355" t="s">
        <v>5643</v>
      </c>
      <c r="G355">
        <v>811040443</v>
      </c>
      <c r="H355" t="s">
        <v>5038</v>
      </c>
      <c r="I355" s="4" t="s">
        <v>5039</v>
      </c>
      <c r="J355" s="4" t="s">
        <v>5040</v>
      </c>
      <c r="K355" t="s">
        <v>5644</v>
      </c>
      <c r="L355" t="s">
        <v>44</v>
      </c>
      <c r="M355" t="s">
        <v>5645</v>
      </c>
      <c r="N355" t="s">
        <v>45</v>
      </c>
      <c r="O355" t="s">
        <v>29</v>
      </c>
      <c r="P355" t="s">
        <v>55</v>
      </c>
      <c r="Q355" t="s">
        <v>31</v>
      </c>
      <c r="R355">
        <v>7</v>
      </c>
      <c r="S355" t="s">
        <v>5646</v>
      </c>
      <c r="T355" t="s">
        <v>6636</v>
      </c>
      <c r="U355" t="s">
        <v>6637</v>
      </c>
      <c r="V355" t="s">
        <v>32</v>
      </c>
      <c r="W355" t="s">
        <v>33</v>
      </c>
      <c r="X355" t="s">
        <v>33</v>
      </c>
      <c r="Y355" t="s">
        <v>33</v>
      </c>
      <c r="Z355" s="5" t="s">
        <v>34</v>
      </c>
      <c r="AA355">
        <v>-75.610108999999994</v>
      </c>
      <c r="AB355">
        <v>6.1759700000000004</v>
      </c>
      <c r="AC355" t="s">
        <v>456</v>
      </c>
      <c r="AD355" t="s">
        <v>457</v>
      </c>
    </row>
    <row r="356" spans="1:30" x14ac:dyDescent="0.25">
      <c r="A356" t="s">
        <v>5647</v>
      </c>
      <c r="B356" t="s">
        <v>25</v>
      </c>
      <c r="C356" t="s">
        <v>26</v>
      </c>
      <c r="D356" t="s">
        <v>25</v>
      </c>
      <c r="E356" t="s">
        <v>5642</v>
      </c>
      <c r="F356" t="s">
        <v>5643</v>
      </c>
      <c r="G356">
        <v>811040443</v>
      </c>
      <c r="H356" t="s">
        <v>5038</v>
      </c>
      <c r="I356" s="4" t="s">
        <v>5039</v>
      </c>
      <c r="J356" s="4" t="s">
        <v>5040</v>
      </c>
      <c r="K356" t="s">
        <v>5648</v>
      </c>
      <c r="L356" t="s">
        <v>44</v>
      </c>
      <c r="M356" t="s">
        <v>5649</v>
      </c>
      <c r="N356" t="s">
        <v>45</v>
      </c>
      <c r="O356" t="s">
        <v>29</v>
      </c>
      <c r="P356" t="s">
        <v>55</v>
      </c>
      <c r="Q356" t="s">
        <v>31</v>
      </c>
      <c r="R356">
        <v>7</v>
      </c>
      <c r="S356" t="s">
        <v>5646</v>
      </c>
      <c r="T356" t="s">
        <v>6636</v>
      </c>
      <c r="U356" t="s">
        <v>6637</v>
      </c>
      <c r="V356" t="s">
        <v>32</v>
      </c>
      <c r="W356" t="s">
        <v>33</v>
      </c>
      <c r="X356" t="s">
        <v>33</v>
      </c>
      <c r="Y356" t="s">
        <v>33</v>
      </c>
      <c r="Z356" s="5" t="s">
        <v>34</v>
      </c>
      <c r="AA356">
        <v>-75.610108999999994</v>
      </c>
      <c r="AB356">
        <v>6.1759700000000004</v>
      </c>
      <c r="AC356" t="s">
        <v>456</v>
      </c>
      <c r="AD356" t="s">
        <v>457</v>
      </c>
    </row>
    <row r="357" spans="1:30" x14ac:dyDescent="0.25">
      <c r="A357" t="s">
        <v>5650</v>
      </c>
      <c r="B357" t="s">
        <v>25</v>
      </c>
      <c r="C357" t="s">
        <v>26</v>
      </c>
      <c r="D357" t="s">
        <v>25</v>
      </c>
      <c r="E357" t="s">
        <v>5651</v>
      </c>
      <c r="F357" t="s">
        <v>5643</v>
      </c>
      <c r="G357">
        <v>811040443</v>
      </c>
      <c r="H357" t="s">
        <v>5038</v>
      </c>
      <c r="I357" s="4" t="s">
        <v>5039</v>
      </c>
      <c r="J357" s="4" t="s">
        <v>5040</v>
      </c>
      <c r="K357" t="s">
        <v>5652</v>
      </c>
      <c r="L357" t="s">
        <v>44</v>
      </c>
      <c r="M357" t="s">
        <v>5653</v>
      </c>
      <c r="N357" t="s">
        <v>45</v>
      </c>
      <c r="O357" t="s">
        <v>29</v>
      </c>
      <c r="P357" t="s">
        <v>55</v>
      </c>
      <c r="Q357" t="s">
        <v>31</v>
      </c>
      <c r="R357">
        <v>7</v>
      </c>
      <c r="S357" t="s">
        <v>5646</v>
      </c>
      <c r="T357" t="s">
        <v>6636</v>
      </c>
      <c r="U357" t="s">
        <v>6637</v>
      </c>
      <c r="V357" t="s">
        <v>32</v>
      </c>
      <c r="W357" t="s">
        <v>33</v>
      </c>
      <c r="X357" t="s">
        <v>33</v>
      </c>
      <c r="Y357" t="s">
        <v>33</v>
      </c>
      <c r="Z357" s="5" t="s">
        <v>34</v>
      </c>
      <c r="AA357">
        <v>-75.610108999999994</v>
      </c>
      <c r="AB357">
        <v>6.1759700000000004</v>
      </c>
      <c r="AC357" t="s">
        <v>456</v>
      </c>
      <c r="AD357" t="s">
        <v>457</v>
      </c>
    </row>
    <row r="358" spans="1:30" x14ac:dyDescent="0.25">
      <c r="A358" t="s">
        <v>5654</v>
      </c>
      <c r="B358" t="s">
        <v>25</v>
      </c>
      <c r="C358" t="s">
        <v>26</v>
      </c>
      <c r="D358" t="s">
        <v>39</v>
      </c>
      <c r="E358" t="s">
        <v>5655</v>
      </c>
      <c r="F358" t="s">
        <v>5656</v>
      </c>
      <c r="G358">
        <v>43599880</v>
      </c>
      <c r="H358" t="s">
        <v>5657</v>
      </c>
      <c r="I358" s="4" t="s">
        <v>35</v>
      </c>
      <c r="J358" s="4" t="s">
        <v>5658</v>
      </c>
      <c r="K358" t="s">
        <v>5659</v>
      </c>
      <c r="L358" t="s">
        <v>27</v>
      </c>
      <c r="M358" t="s">
        <v>5660</v>
      </c>
      <c r="N358" t="s">
        <v>28</v>
      </c>
      <c r="O358" t="s">
        <v>40</v>
      </c>
      <c r="P358" t="s">
        <v>41</v>
      </c>
      <c r="Q358" t="s">
        <v>31</v>
      </c>
      <c r="R358">
        <v>5</v>
      </c>
      <c r="S358" t="s">
        <v>5661</v>
      </c>
      <c r="T358" t="s">
        <v>6744</v>
      </c>
      <c r="U358" t="s">
        <v>6745</v>
      </c>
      <c r="V358" t="s">
        <v>32</v>
      </c>
      <c r="W358" t="s">
        <v>33</v>
      </c>
      <c r="X358" t="s">
        <v>33</v>
      </c>
      <c r="Y358" t="s">
        <v>33</v>
      </c>
      <c r="Z358" s="5" t="s">
        <v>34</v>
      </c>
      <c r="AA358">
        <v>-75.542329339999995</v>
      </c>
      <c r="AB358">
        <v>6.2408634300000001</v>
      </c>
      <c r="AC358" t="s">
        <v>456</v>
      </c>
      <c r="AD358" t="s">
        <v>457</v>
      </c>
    </row>
    <row r="359" spans="1:30" x14ac:dyDescent="0.25">
      <c r="A359" t="s">
        <v>2511</v>
      </c>
      <c r="B359" t="s">
        <v>42</v>
      </c>
      <c r="C359" t="s">
        <v>26</v>
      </c>
      <c r="D359" t="s">
        <v>42</v>
      </c>
      <c r="E359" t="s">
        <v>2512</v>
      </c>
      <c r="F359" t="s">
        <v>2513</v>
      </c>
      <c r="G359">
        <v>39163791</v>
      </c>
      <c r="H359" t="s">
        <v>148</v>
      </c>
      <c r="I359" s="4" t="s">
        <v>149</v>
      </c>
      <c r="J359" s="4" t="s">
        <v>150</v>
      </c>
      <c r="K359" t="s">
        <v>2514</v>
      </c>
      <c r="L359" t="s">
        <v>77</v>
      </c>
      <c r="M359" t="s">
        <v>2515</v>
      </c>
      <c r="N359" t="s">
        <v>78</v>
      </c>
      <c r="O359" t="s">
        <v>43</v>
      </c>
      <c r="P359" t="s">
        <v>36</v>
      </c>
      <c r="Q359" t="s">
        <v>31</v>
      </c>
      <c r="R359">
        <v>7</v>
      </c>
      <c r="S359" t="s">
        <v>2516</v>
      </c>
      <c r="T359" t="s">
        <v>6746</v>
      </c>
      <c r="U359" t="s">
        <v>47</v>
      </c>
      <c r="V359" t="s">
        <v>47</v>
      </c>
      <c r="W359" t="s">
        <v>33</v>
      </c>
      <c r="X359" t="s">
        <v>33</v>
      </c>
      <c r="Y359" t="s">
        <v>33</v>
      </c>
      <c r="Z359" s="5" t="s">
        <v>34</v>
      </c>
      <c r="AA359">
        <v>-75.637564819999994</v>
      </c>
      <c r="AB359">
        <v>6.09188201</v>
      </c>
      <c r="AC359" t="s">
        <v>456</v>
      </c>
      <c r="AD359" t="s">
        <v>457</v>
      </c>
    </row>
    <row r="360" spans="1:30" x14ac:dyDescent="0.25">
      <c r="A360" t="s">
        <v>513</v>
      </c>
      <c r="B360" t="s">
        <v>25</v>
      </c>
      <c r="C360" t="s">
        <v>26</v>
      </c>
      <c r="D360" t="s">
        <v>39</v>
      </c>
      <c r="E360" t="s">
        <v>340</v>
      </c>
      <c r="F360" t="s">
        <v>341</v>
      </c>
      <c r="G360">
        <v>43865754</v>
      </c>
      <c r="H360" t="s">
        <v>342</v>
      </c>
      <c r="I360" s="4" t="s">
        <v>343</v>
      </c>
      <c r="J360" s="4" t="s">
        <v>344</v>
      </c>
      <c r="K360" t="s">
        <v>345</v>
      </c>
      <c r="L360" t="s">
        <v>61</v>
      </c>
      <c r="M360" t="s">
        <v>346</v>
      </c>
      <c r="N360" t="s">
        <v>63</v>
      </c>
      <c r="O360" t="s">
        <v>40</v>
      </c>
      <c r="P360" t="s">
        <v>36</v>
      </c>
      <c r="Q360" t="s">
        <v>38</v>
      </c>
      <c r="R360">
        <v>8</v>
      </c>
      <c r="S360" t="s">
        <v>347</v>
      </c>
      <c r="T360" t="s">
        <v>6748</v>
      </c>
      <c r="U360" t="s">
        <v>47</v>
      </c>
      <c r="V360" t="s">
        <v>47</v>
      </c>
      <c r="W360" t="s">
        <v>33</v>
      </c>
      <c r="X360" t="s">
        <v>33</v>
      </c>
      <c r="Y360" t="s">
        <v>33</v>
      </c>
      <c r="Z360" s="5" t="s">
        <v>34</v>
      </c>
      <c r="AA360">
        <v>-75.636249710000001</v>
      </c>
      <c r="AB360">
        <v>6.1368862499999999</v>
      </c>
      <c r="AC360" t="s">
        <v>456</v>
      </c>
      <c r="AD360" t="s">
        <v>457</v>
      </c>
    </row>
    <row r="361" spans="1:30" x14ac:dyDescent="0.25">
      <c r="A361" t="s">
        <v>514</v>
      </c>
      <c r="B361" t="s">
        <v>25</v>
      </c>
      <c r="C361" t="s">
        <v>26</v>
      </c>
      <c r="D361" t="s">
        <v>39</v>
      </c>
      <c r="E361" t="s">
        <v>348</v>
      </c>
      <c r="F361" t="s">
        <v>349</v>
      </c>
      <c r="G361">
        <v>1023801247</v>
      </c>
      <c r="H361" t="s">
        <v>350</v>
      </c>
      <c r="I361" s="4" t="s">
        <v>35</v>
      </c>
      <c r="J361" s="4" t="s">
        <v>351</v>
      </c>
      <c r="K361" t="s">
        <v>352</v>
      </c>
      <c r="L361" t="s">
        <v>77</v>
      </c>
      <c r="M361" t="s">
        <v>353</v>
      </c>
      <c r="N361" t="s">
        <v>78</v>
      </c>
      <c r="O361" t="s">
        <v>40</v>
      </c>
      <c r="P361" t="s">
        <v>36</v>
      </c>
      <c r="Q361" t="s">
        <v>31</v>
      </c>
      <c r="R361">
        <v>5</v>
      </c>
      <c r="S361" t="s">
        <v>354</v>
      </c>
      <c r="T361" t="s">
        <v>6748</v>
      </c>
      <c r="U361" t="s">
        <v>47</v>
      </c>
      <c r="V361" t="s">
        <v>47</v>
      </c>
      <c r="W361" t="s">
        <v>33</v>
      </c>
      <c r="X361" t="s">
        <v>33</v>
      </c>
      <c r="Y361" t="s">
        <v>33</v>
      </c>
      <c r="Z361" s="5" t="s">
        <v>34</v>
      </c>
      <c r="AA361">
        <v>-75.635902439999995</v>
      </c>
      <c r="AB361">
        <v>6.0789530999999997</v>
      </c>
      <c r="AC361" t="s">
        <v>456</v>
      </c>
      <c r="AD361" t="s">
        <v>457</v>
      </c>
    </row>
    <row r="362" spans="1:30" x14ac:dyDescent="0.25">
      <c r="A362" t="s">
        <v>5662</v>
      </c>
      <c r="B362" t="s">
        <v>25</v>
      </c>
      <c r="C362" t="s">
        <v>26</v>
      </c>
      <c r="D362" t="s">
        <v>25</v>
      </c>
      <c r="E362" t="s">
        <v>5663</v>
      </c>
      <c r="F362" t="s">
        <v>5664</v>
      </c>
      <c r="G362">
        <v>43507068</v>
      </c>
      <c r="H362" t="s">
        <v>5500</v>
      </c>
      <c r="I362" s="4" t="s">
        <v>5501</v>
      </c>
      <c r="J362" s="4" t="s">
        <v>5502</v>
      </c>
      <c r="K362" t="s">
        <v>5665</v>
      </c>
      <c r="L362" t="s">
        <v>27</v>
      </c>
      <c r="M362" t="s">
        <v>5666</v>
      </c>
      <c r="N362" t="s">
        <v>28</v>
      </c>
      <c r="O362" t="s">
        <v>29</v>
      </c>
      <c r="P362" t="s">
        <v>30</v>
      </c>
      <c r="Q362" t="s">
        <v>31</v>
      </c>
      <c r="R362">
        <v>7</v>
      </c>
      <c r="S362" t="s">
        <v>5667</v>
      </c>
      <c r="T362" t="s">
        <v>6749</v>
      </c>
      <c r="U362" t="s">
        <v>6750</v>
      </c>
      <c r="V362" t="s">
        <v>32</v>
      </c>
      <c r="W362" t="s">
        <v>33</v>
      </c>
      <c r="X362" t="s">
        <v>33</v>
      </c>
      <c r="Y362" t="s">
        <v>33</v>
      </c>
      <c r="Z362" s="5" t="s">
        <v>34</v>
      </c>
      <c r="AA362">
        <v>-75.59462997</v>
      </c>
      <c r="AB362">
        <v>6.2370120099999999</v>
      </c>
      <c r="AC362" t="s">
        <v>456</v>
      </c>
      <c r="AD362" t="s">
        <v>457</v>
      </c>
    </row>
    <row r="363" spans="1:30" x14ac:dyDescent="0.25">
      <c r="A363" t="s">
        <v>515</v>
      </c>
      <c r="B363" t="s">
        <v>51</v>
      </c>
      <c r="C363" t="s">
        <v>26</v>
      </c>
      <c r="D363" t="s">
        <v>51</v>
      </c>
      <c r="E363" t="s">
        <v>355</v>
      </c>
      <c r="F363" t="s">
        <v>1138</v>
      </c>
      <c r="G363">
        <v>31839227</v>
      </c>
      <c r="H363" t="s">
        <v>356</v>
      </c>
      <c r="I363" s="4" t="s">
        <v>35</v>
      </c>
      <c r="J363" s="4" t="s">
        <v>357</v>
      </c>
      <c r="K363" t="s">
        <v>358</v>
      </c>
      <c r="L363" t="s">
        <v>27</v>
      </c>
      <c r="M363" t="s">
        <v>359</v>
      </c>
      <c r="N363" t="s">
        <v>28</v>
      </c>
      <c r="O363" t="s">
        <v>40</v>
      </c>
      <c r="P363" t="s">
        <v>53</v>
      </c>
      <c r="Q363" t="s">
        <v>31</v>
      </c>
      <c r="R363">
        <v>5</v>
      </c>
      <c r="S363" t="s">
        <v>1139</v>
      </c>
      <c r="T363" t="s">
        <v>6751</v>
      </c>
      <c r="U363" t="s">
        <v>6752</v>
      </c>
      <c r="V363" t="s">
        <v>50</v>
      </c>
      <c r="W363" t="s">
        <v>33</v>
      </c>
      <c r="X363" t="s">
        <v>33</v>
      </c>
      <c r="Y363" t="s">
        <v>33</v>
      </c>
      <c r="Z363" s="5" t="s">
        <v>34</v>
      </c>
      <c r="AA363">
        <v>-75.588729999999998</v>
      </c>
      <c r="AB363">
        <v>6.2500869999999997</v>
      </c>
      <c r="AC363" t="s">
        <v>456</v>
      </c>
      <c r="AD363" t="s">
        <v>457</v>
      </c>
    </row>
    <row r="364" spans="1:30" x14ac:dyDescent="0.25">
      <c r="A364" t="s">
        <v>3702</v>
      </c>
      <c r="B364" t="s">
        <v>81</v>
      </c>
      <c r="C364" t="s">
        <v>26</v>
      </c>
      <c r="D364" t="s">
        <v>81</v>
      </c>
      <c r="E364" t="s">
        <v>3703</v>
      </c>
      <c r="F364" t="s">
        <v>3704</v>
      </c>
      <c r="G364">
        <v>1036663975</v>
      </c>
      <c r="H364" t="s">
        <v>3705</v>
      </c>
      <c r="I364" s="4" t="s">
        <v>35</v>
      </c>
      <c r="J364" s="4" t="s">
        <v>3706</v>
      </c>
      <c r="K364" t="s">
        <v>3707</v>
      </c>
      <c r="L364" t="s">
        <v>77</v>
      </c>
      <c r="M364" t="s">
        <v>3708</v>
      </c>
      <c r="N364" t="s">
        <v>78</v>
      </c>
      <c r="O364" t="s">
        <v>82</v>
      </c>
      <c r="P364" t="s">
        <v>83</v>
      </c>
      <c r="Q364" t="s">
        <v>38</v>
      </c>
      <c r="R364">
        <v>4</v>
      </c>
      <c r="S364" t="s">
        <v>3709</v>
      </c>
      <c r="T364" t="s">
        <v>6753</v>
      </c>
      <c r="U364" t="s">
        <v>6754</v>
      </c>
      <c r="V364" t="s">
        <v>50</v>
      </c>
      <c r="W364" t="s">
        <v>33</v>
      </c>
      <c r="X364" t="s">
        <v>33</v>
      </c>
      <c r="Y364" t="s">
        <v>33</v>
      </c>
      <c r="Z364" t="s">
        <v>455</v>
      </c>
      <c r="AA364">
        <v>-75.659865670000002</v>
      </c>
      <c r="AB364">
        <v>6.0469407899999998</v>
      </c>
      <c r="AC364" t="s">
        <v>456</v>
      </c>
      <c r="AD364" t="s">
        <v>457</v>
      </c>
    </row>
    <row r="365" spans="1:30" x14ac:dyDescent="0.25">
      <c r="A365" t="s">
        <v>2517</v>
      </c>
      <c r="B365" t="s">
        <v>51</v>
      </c>
      <c r="C365" t="s">
        <v>26</v>
      </c>
      <c r="D365" t="s">
        <v>51</v>
      </c>
      <c r="E365" t="s">
        <v>2518</v>
      </c>
      <c r="F365" t="s">
        <v>2519</v>
      </c>
      <c r="G365">
        <v>71185509</v>
      </c>
      <c r="H365" t="s">
        <v>2520</v>
      </c>
      <c r="I365" s="4" t="s">
        <v>2521</v>
      </c>
      <c r="J365" s="4" t="s">
        <v>2522</v>
      </c>
      <c r="K365" t="s">
        <v>2523</v>
      </c>
      <c r="L365" t="s">
        <v>27</v>
      </c>
      <c r="M365" t="s">
        <v>2524</v>
      </c>
      <c r="N365" t="s">
        <v>28</v>
      </c>
      <c r="O365" t="s">
        <v>52</v>
      </c>
      <c r="P365" t="s">
        <v>53</v>
      </c>
      <c r="Q365" t="s">
        <v>31</v>
      </c>
      <c r="R365">
        <v>11</v>
      </c>
      <c r="S365" t="s">
        <v>2525</v>
      </c>
      <c r="T365" t="s">
        <v>6755</v>
      </c>
      <c r="U365" t="s">
        <v>6306</v>
      </c>
      <c r="V365" t="s">
        <v>32</v>
      </c>
      <c r="W365" t="s">
        <v>33</v>
      </c>
      <c r="X365" t="s">
        <v>33</v>
      </c>
      <c r="Y365" t="s">
        <v>33</v>
      </c>
      <c r="Z365" s="5" t="s">
        <v>34</v>
      </c>
      <c r="AA365">
        <v>-75.593659459999998</v>
      </c>
      <c r="AB365">
        <v>6.22966087</v>
      </c>
      <c r="AC365" t="s">
        <v>456</v>
      </c>
      <c r="AD365" t="s">
        <v>457</v>
      </c>
    </row>
    <row r="366" spans="1:30" x14ac:dyDescent="0.25">
      <c r="A366" t="s">
        <v>5668</v>
      </c>
      <c r="B366" t="s">
        <v>51</v>
      </c>
      <c r="C366" t="s">
        <v>182</v>
      </c>
      <c r="D366" t="s">
        <v>51</v>
      </c>
      <c r="E366" t="s">
        <v>5669</v>
      </c>
      <c r="F366" t="s">
        <v>5670</v>
      </c>
      <c r="G366">
        <v>43672289</v>
      </c>
      <c r="H366" t="s">
        <v>5671</v>
      </c>
      <c r="I366" s="4" t="s">
        <v>35</v>
      </c>
      <c r="J366" s="4" t="s">
        <v>5672</v>
      </c>
      <c r="K366" t="s">
        <v>5673</v>
      </c>
      <c r="L366" t="s">
        <v>27</v>
      </c>
      <c r="M366" t="s">
        <v>5674</v>
      </c>
      <c r="N366" t="s">
        <v>28</v>
      </c>
      <c r="O366" t="s">
        <v>183</v>
      </c>
      <c r="P366" t="s">
        <v>53</v>
      </c>
      <c r="Q366" t="s">
        <v>31</v>
      </c>
      <c r="R366">
        <v>11</v>
      </c>
      <c r="S366" t="s">
        <v>5675</v>
      </c>
      <c r="T366" t="s">
        <v>6756</v>
      </c>
      <c r="U366" t="s">
        <v>6757</v>
      </c>
      <c r="V366" t="s">
        <v>32</v>
      </c>
      <c r="W366" t="s">
        <v>33</v>
      </c>
      <c r="X366" t="s">
        <v>33</v>
      </c>
      <c r="Y366" t="s">
        <v>33</v>
      </c>
      <c r="Z366" s="5" t="s">
        <v>34</v>
      </c>
      <c r="AA366">
        <v>-75.605506210000001</v>
      </c>
      <c r="AB366">
        <v>6.2629534800000002</v>
      </c>
      <c r="AC366" t="s">
        <v>456</v>
      </c>
      <c r="AD366" t="s">
        <v>457</v>
      </c>
    </row>
    <row r="367" spans="1:30" x14ac:dyDescent="0.25">
      <c r="A367" t="s">
        <v>3105</v>
      </c>
      <c r="B367" t="s">
        <v>25</v>
      </c>
      <c r="C367" t="s">
        <v>26</v>
      </c>
      <c r="D367" t="s">
        <v>25</v>
      </c>
      <c r="E367" t="s">
        <v>3106</v>
      </c>
      <c r="F367" t="s">
        <v>3107</v>
      </c>
      <c r="G367">
        <v>5586248</v>
      </c>
      <c r="H367" t="s">
        <v>3108</v>
      </c>
      <c r="I367" s="4" t="s">
        <v>3109</v>
      </c>
      <c r="J367" s="4" t="s">
        <v>3110</v>
      </c>
      <c r="K367" t="s">
        <v>3111</v>
      </c>
      <c r="L367" t="s">
        <v>44</v>
      </c>
      <c r="M367" t="s">
        <v>3112</v>
      </c>
      <c r="N367" t="s">
        <v>45</v>
      </c>
      <c r="O367" t="s">
        <v>29</v>
      </c>
      <c r="P367" t="s">
        <v>37</v>
      </c>
      <c r="Q367" t="s">
        <v>31</v>
      </c>
      <c r="R367">
        <v>7</v>
      </c>
      <c r="S367" t="s">
        <v>3113</v>
      </c>
      <c r="T367" t="s">
        <v>4835</v>
      </c>
      <c r="U367" t="s">
        <v>6758</v>
      </c>
      <c r="V367" t="s">
        <v>32</v>
      </c>
      <c r="W367" t="s">
        <v>33</v>
      </c>
      <c r="X367" t="s">
        <v>33</v>
      </c>
      <c r="Y367" t="s">
        <v>33</v>
      </c>
      <c r="Z367" s="5" t="s">
        <v>34</v>
      </c>
      <c r="AA367">
        <v>-75.603403959999994</v>
      </c>
      <c r="AB367">
        <v>6.1790002199999998</v>
      </c>
      <c r="AC367" t="s">
        <v>456</v>
      </c>
      <c r="AD367" t="s">
        <v>457</v>
      </c>
    </row>
    <row r="368" spans="1:30" x14ac:dyDescent="0.25">
      <c r="A368" t="s">
        <v>516</v>
      </c>
      <c r="B368" t="s">
        <v>25</v>
      </c>
      <c r="C368" t="s">
        <v>26</v>
      </c>
      <c r="D368" t="s">
        <v>39</v>
      </c>
      <c r="E368" t="s">
        <v>363</v>
      </c>
      <c r="F368" t="s">
        <v>364</v>
      </c>
      <c r="G368">
        <v>1128397875</v>
      </c>
      <c r="H368" t="s">
        <v>365</v>
      </c>
      <c r="I368" s="4" t="s">
        <v>35</v>
      </c>
      <c r="J368" s="4" t="s">
        <v>366</v>
      </c>
      <c r="K368" t="s">
        <v>367</v>
      </c>
      <c r="L368" t="s">
        <v>61</v>
      </c>
      <c r="M368" t="s">
        <v>368</v>
      </c>
      <c r="N368" t="s">
        <v>63</v>
      </c>
      <c r="O368" t="s">
        <v>40</v>
      </c>
      <c r="P368" t="s">
        <v>36</v>
      </c>
      <c r="Q368" t="s">
        <v>31</v>
      </c>
      <c r="R368">
        <v>5</v>
      </c>
      <c r="S368" t="s">
        <v>369</v>
      </c>
      <c r="T368" t="s">
        <v>6759</v>
      </c>
      <c r="U368" t="s">
        <v>47</v>
      </c>
      <c r="V368" t="s">
        <v>47</v>
      </c>
      <c r="W368" t="s">
        <v>33</v>
      </c>
      <c r="X368" t="s">
        <v>33</v>
      </c>
      <c r="Y368" t="s">
        <v>33</v>
      </c>
      <c r="Z368" s="5" t="s">
        <v>34</v>
      </c>
      <c r="AA368">
        <v>-75.649831634999899</v>
      </c>
      <c r="AB368">
        <v>6.1379125160000303</v>
      </c>
      <c r="AC368" t="s">
        <v>456</v>
      </c>
      <c r="AD368" t="s">
        <v>457</v>
      </c>
    </row>
    <row r="369" spans="1:30" x14ac:dyDescent="0.25">
      <c r="A369" t="s">
        <v>517</v>
      </c>
      <c r="B369" t="s">
        <v>25</v>
      </c>
      <c r="C369" t="s">
        <v>26</v>
      </c>
      <c r="D369" t="s">
        <v>39</v>
      </c>
      <c r="E369" t="s">
        <v>372</v>
      </c>
      <c r="F369" t="s">
        <v>373</v>
      </c>
      <c r="G369">
        <v>1026150666</v>
      </c>
      <c r="H369" t="s">
        <v>374</v>
      </c>
      <c r="I369" s="4" t="s">
        <v>375</v>
      </c>
      <c r="J369" s="4" t="s">
        <v>376</v>
      </c>
      <c r="K369" t="s">
        <v>377</v>
      </c>
      <c r="L369" t="s">
        <v>77</v>
      </c>
      <c r="M369" t="s">
        <v>378</v>
      </c>
      <c r="N369" t="s">
        <v>78</v>
      </c>
      <c r="O369" t="s">
        <v>40</v>
      </c>
      <c r="P369" t="s">
        <v>36</v>
      </c>
      <c r="Q369" t="s">
        <v>38</v>
      </c>
      <c r="R369">
        <v>8</v>
      </c>
      <c r="S369" t="s">
        <v>379</v>
      </c>
      <c r="T369" t="s">
        <v>6760</v>
      </c>
      <c r="U369" t="s">
        <v>47</v>
      </c>
      <c r="V369" t="s">
        <v>47</v>
      </c>
      <c r="W369" t="s">
        <v>33</v>
      </c>
      <c r="X369" t="s">
        <v>33</v>
      </c>
      <c r="Y369" t="s">
        <v>33</v>
      </c>
      <c r="Z369" s="5" t="s">
        <v>34</v>
      </c>
      <c r="AA369">
        <v>-75.624387049999996</v>
      </c>
      <c r="AB369">
        <v>6.0470949799999998</v>
      </c>
      <c r="AC369" t="s">
        <v>456</v>
      </c>
      <c r="AD369" t="s">
        <v>457</v>
      </c>
    </row>
    <row r="370" spans="1:30" x14ac:dyDescent="0.25">
      <c r="A370" t="s">
        <v>518</v>
      </c>
      <c r="B370" t="s">
        <v>25</v>
      </c>
      <c r="C370" t="s">
        <v>26</v>
      </c>
      <c r="D370" t="s">
        <v>39</v>
      </c>
      <c r="E370" t="s">
        <v>380</v>
      </c>
      <c r="F370" t="s">
        <v>1141</v>
      </c>
      <c r="G370">
        <v>1040327988</v>
      </c>
      <c r="H370" t="s">
        <v>381</v>
      </c>
      <c r="I370" s="4" t="s">
        <v>35</v>
      </c>
      <c r="J370" s="4" t="s">
        <v>382</v>
      </c>
      <c r="K370" t="s">
        <v>383</v>
      </c>
      <c r="L370" t="s">
        <v>27</v>
      </c>
      <c r="M370" t="s">
        <v>384</v>
      </c>
      <c r="N370" t="s">
        <v>28</v>
      </c>
      <c r="O370" t="s">
        <v>40</v>
      </c>
      <c r="P370" t="s">
        <v>41</v>
      </c>
      <c r="Q370" t="s">
        <v>31</v>
      </c>
      <c r="R370">
        <v>5</v>
      </c>
      <c r="S370" t="s">
        <v>1142</v>
      </c>
      <c r="T370" t="s">
        <v>6761</v>
      </c>
      <c r="U370" t="s">
        <v>6762</v>
      </c>
      <c r="V370" t="s">
        <v>50</v>
      </c>
      <c r="W370" t="s">
        <v>33</v>
      </c>
      <c r="X370" t="s">
        <v>33</v>
      </c>
      <c r="Y370" t="s">
        <v>33</v>
      </c>
      <c r="Z370" s="5" t="s">
        <v>34</v>
      </c>
      <c r="AA370">
        <v>-75.6286001</v>
      </c>
      <c r="AB370">
        <v>6.2679910000000003</v>
      </c>
      <c r="AC370" t="s">
        <v>456</v>
      </c>
      <c r="AD370" t="s">
        <v>457</v>
      </c>
    </row>
    <row r="371" spans="1:30" x14ac:dyDescent="0.25">
      <c r="A371" t="s">
        <v>519</v>
      </c>
      <c r="B371" t="s">
        <v>25</v>
      </c>
      <c r="C371" t="s">
        <v>26</v>
      </c>
      <c r="D371" t="s">
        <v>39</v>
      </c>
      <c r="E371" t="s">
        <v>385</v>
      </c>
      <c r="F371" t="s">
        <v>1143</v>
      </c>
      <c r="G371">
        <v>42025558</v>
      </c>
      <c r="H371" t="s">
        <v>386</v>
      </c>
      <c r="I371" s="4" t="s">
        <v>35</v>
      </c>
      <c r="J371" s="4" t="s">
        <v>387</v>
      </c>
      <c r="K371" t="s">
        <v>388</v>
      </c>
      <c r="L371" t="s">
        <v>27</v>
      </c>
      <c r="M371" t="s">
        <v>389</v>
      </c>
      <c r="N371" t="s">
        <v>28</v>
      </c>
      <c r="O371" t="s">
        <v>40</v>
      </c>
      <c r="P371" t="s">
        <v>41</v>
      </c>
      <c r="Q371" t="s">
        <v>31</v>
      </c>
      <c r="R371">
        <v>5</v>
      </c>
      <c r="S371" t="s">
        <v>1144</v>
      </c>
      <c r="T371" t="s">
        <v>6763</v>
      </c>
      <c r="U371" t="s">
        <v>6764</v>
      </c>
      <c r="V371" t="s">
        <v>50</v>
      </c>
      <c r="W371" t="s">
        <v>33</v>
      </c>
      <c r="X371" t="s">
        <v>33</v>
      </c>
      <c r="Y371" t="s">
        <v>33</v>
      </c>
      <c r="Z371" s="5" t="s">
        <v>34</v>
      </c>
      <c r="AA371">
        <v>-75.544802390000001</v>
      </c>
      <c r="AB371">
        <v>6.2511299100000004</v>
      </c>
      <c r="AC371" t="s">
        <v>456</v>
      </c>
      <c r="AD371" t="s">
        <v>457</v>
      </c>
    </row>
    <row r="372" spans="1:30" x14ac:dyDescent="0.25">
      <c r="A372" t="s">
        <v>520</v>
      </c>
      <c r="B372" t="s">
        <v>25</v>
      </c>
      <c r="C372" t="s">
        <v>26</v>
      </c>
      <c r="D372" t="s">
        <v>39</v>
      </c>
      <c r="E372" t="s">
        <v>390</v>
      </c>
      <c r="F372" t="s">
        <v>391</v>
      </c>
      <c r="G372">
        <v>50978135</v>
      </c>
      <c r="H372" t="s">
        <v>392</v>
      </c>
      <c r="I372" s="4" t="s">
        <v>35</v>
      </c>
      <c r="J372" s="4" t="s">
        <v>393</v>
      </c>
      <c r="K372" t="s">
        <v>394</v>
      </c>
      <c r="L372" t="s">
        <v>61</v>
      </c>
      <c r="M372" t="s">
        <v>395</v>
      </c>
      <c r="N372" t="s">
        <v>63</v>
      </c>
      <c r="O372" t="s">
        <v>40</v>
      </c>
      <c r="P372" t="s">
        <v>36</v>
      </c>
      <c r="Q372" t="s">
        <v>31</v>
      </c>
      <c r="R372">
        <v>5</v>
      </c>
      <c r="S372" t="s">
        <v>1145</v>
      </c>
      <c r="T372" t="s">
        <v>6765</v>
      </c>
      <c r="U372" t="s">
        <v>47</v>
      </c>
      <c r="V372" t="s">
        <v>47</v>
      </c>
      <c r="W372" t="s">
        <v>33</v>
      </c>
      <c r="X372" t="s">
        <v>33</v>
      </c>
      <c r="Y372" t="s">
        <v>33</v>
      </c>
      <c r="Z372" s="5" t="s">
        <v>34</v>
      </c>
      <c r="AA372">
        <v>-75.639253429999997</v>
      </c>
      <c r="AB372">
        <v>6.12152428</v>
      </c>
      <c r="AC372" t="s">
        <v>456</v>
      </c>
      <c r="AD372" t="s">
        <v>457</v>
      </c>
    </row>
    <row r="373" spans="1:30" x14ac:dyDescent="0.25">
      <c r="A373" t="s">
        <v>2526</v>
      </c>
      <c r="B373" t="s">
        <v>81</v>
      </c>
      <c r="C373" t="s">
        <v>26</v>
      </c>
      <c r="D373" t="s">
        <v>81</v>
      </c>
      <c r="E373" t="s">
        <v>2527</v>
      </c>
      <c r="F373" t="s">
        <v>2528</v>
      </c>
      <c r="G373">
        <v>1037583187</v>
      </c>
      <c r="H373" t="s">
        <v>2529</v>
      </c>
      <c r="I373" s="4" t="s">
        <v>2530</v>
      </c>
      <c r="J373" s="4" t="s">
        <v>397</v>
      </c>
      <c r="K373" t="s">
        <v>2531</v>
      </c>
      <c r="L373" t="s">
        <v>27</v>
      </c>
      <c r="M373" t="s">
        <v>2532</v>
      </c>
      <c r="N373" t="s">
        <v>28</v>
      </c>
      <c r="O373" t="s">
        <v>82</v>
      </c>
      <c r="P373" t="s">
        <v>83</v>
      </c>
      <c r="Q373" t="s">
        <v>31</v>
      </c>
      <c r="R373">
        <v>4</v>
      </c>
      <c r="S373" t="s">
        <v>2533</v>
      </c>
      <c r="T373" t="s">
        <v>6766</v>
      </c>
      <c r="U373" t="s">
        <v>6767</v>
      </c>
      <c r="V373" t="s">
        <v>50</v>
      </c>
      <c r="W373" t="s">
        <v>33</v>
      </c>
      <c r="X373" t="s">
        <v>33</v>
      </c>
      <c r="Y373" t="s">
        <v>33</v>
      </c>
      <c r="Z373" t="s">
        <v>455</v>
      </c>
      <c r="AA373">
        <v>-75.575727509999993</v>
      </c>
      <c r="AB373">
        <v>6.2094408100000003</v>
      </c>
      <c r="AC373" t="s">
        <v>456</v>
      </c>
      <c r="AD373" t="s">
        <v>457</v>
      </c>
    </row>
    <row r="374" spans="1:30" x14ac:dyDescent="0.25">
      <c r="A374" t="s">
        <v>3710</v>
      </c>
      <c r="B374" t="s">
        <v>81</v>
      </c>
      <c r="C374" t="s">
        <v>26</v>
      </c>
      <c r="D374" t="s">
        <v>81</v>
      </c>
      <c r="E374" t="s">
        <v>3711</v>
      </c>
      <c r="F374" t="s">
        <v>3712</v>
      </c>
      <c r="G374">
        <v>1037575804</v>
      </c>
      <c r="H374" t="s">
        <v>370</v>
      </c>
      <c r="I374" s="4" t="s">
        <v>35</v>
      </c>
      <c r="J374" s="4" t="s">
        <v>3237</v>
      </c>
      <c r="K374" t="s">
        <v>3713</v>
      </c>
      <c r="L374" t="s">
        <v>49</v>
      </c>
      <c r="M374" t="s">
        <v>3714</v>
      </c>
      <c r="N374" t="s">
        <v>84</v>
      </c>
      <c r="O374" t="s">
        <v>82</v>
      </c>
      <c r="P374" t="s">
        <v>83</v>
      </c>
      <c r="Q374" t="s">
        <v>31</v>
      </c>
      <c r="R374">
        <v>4</v>
      </c>
      <c r="S374" t="s">
        <v>3715</v>
      </c>
      <c r="T374" t="s">
        <v>6616</v>
      </c>
      <c r="U374" t="s">
        <v>6768</v>
      </c>
      <c r="V374" t="s">
        <v>50</v>
      </c>
      <c r="W374" t="s">
        <v>33</v>
      </c>
      <c r="X374" t="s">
        <v>33</v>
      </c>
      <c r="Y374" t="s">
        <v>33</v>
      </c>
      <c r="Z374" t="s">
        <v>455</v>
      </c>
      <c r="AA374">
        <v>-75.567858999999999</v>
      </c>
      <c r="AB374">
        <v>6.1766259999999997</v>
      </c>
      <c r="AC374" t="s">
        <v>456</v>
      </c>
      <c r="AD374" t="s">
        <v>457</v>
      </c>
    </row>
    <row r="375" spans="1:30" x14ac:dyDescent="0.25">
      <c r="A375" t="s">
        <v>521</v>
      </c>
      <c r="B375" t="s">
        <v>42</v>
      </c>
      <c r="C375" t="s">
        <v>26</v>
      </c>
      <c r="D375" t="s">
        <v>42</v>
      </c>
      <c r="E375" t="s">
        <v>398</v>
      </c>
      <c r="F375" t="s">
        <v>399</v>
      </c>
      <c r="G375">
        <v>43681489</v>
      </c>
      <c r="H375" t="s">
        <v>400</v>
      </c>
      <c r="I375" s="4" t="s">
        <v>35</v>
      </c>
      <c r="J375" s="4" t="s">
        <v>401</v>
      </c>
      <c r="K375" t="s">
        <v>402</v>
      </c>
      <c r="L375" t="s">
        <v>27</v>
      </c>
      <c r="M375" t="s">
        <v>403</v>
      </c>
      <c r="N375" t="s">
        <v>28</v>
      </c>
      <c r="O375" t="s">
        <v>43</v>
      </c>
      <c r="P375" t="s">
        <v>36</v>
      </c>
      <c r="Q375" t="s">
        <v>31</v>
      </c>
      <c r="R375">
        <v>7</v>
      </c>
      <c r="S375" t="s">
        <v>404</v>
      </c>
      <c r="T375" t="s">
        <v>6769</v>
      </c>
      <c r="U375" t="s">
        <v>47</v>
      </c>
      <c r="V375" t="s">
        <v>47</v>
      </c>
      <c r="W375" t="s">
        <v>33</v>
      </c>
      <c r="X375" t="s">
        <v>33</v>
      </c>
      <c r="Y375" t="s">
        <v>33</v>
      </c>
      <c r="Z375" s="5" t="s">
        <v>34</v>
      </c>
      <c r="AA375">
        <v>-75.569931690000004</v>
      </c>
      <c r="AB375">
        <v>6.2107174499999998</v>
      </c>
      <c r="AC375" t="s">
        <v>456</v>
      </c>
      <c r="AD375" t="s">
        <v>457</v>
      </c>
    </row>
    <row r="376" spans="1:30" x14ac:dyDescent="0.25">
      <c r="A376" t="s">
        <v>522</v>
      </c>
      <c r="B376" t="s">
        <v>42</v>
      </c>
      <c r="C376" t="s">
        <v>26</v>
      </c>
      <c r="D376" t="s">
        <v>42</v>
      </c>
      <c r="E376" t="s">
        <v>405</v>
      </c>
      <c r="F376" t="s">
        <v>406</v>
      </c>
      <c r="G376">
        <v>1152467812</v>
      </c>
      <c r="H376" t="s">
        <v>407</v>
      </c>
      <c r="I376" s="4" t="s">
        <v>408</v>
      </c>
      <c r="J376" s="4" t="s">
        <v>409</v>
      </c>
      <c r="K376" t="s">
        <v>410</v>
      </c>
      <c r="L376" t="s">
        <v>27</v>
      </c>
      <c r="M376" t="s">
        <v>411</v>
      </c>
      <c r="N376" t="s">
        <v>28</v>
      </c>
      <c r="O376" t="s">
        <v>43</v>
      </c>
      <c r="P376" t="s">
        <v>36</v>
      </c>
      <c r="Q376" t="s">
        <v>31</v>
      </c>
      <c r="R376">
        <v>7</v>
      </c>
      <c r="S376" t="s">
        <v>412</v>
      </c>
      <c r="T376" t="s">
        <v>6770</v>
      </c>
      <c r="U376" t="s">
        <v>47</v>
      </c>
      <c r="V376" t="s">
        <v>47</v>
      </c>
      <c r="W376" t="s">
        <v>33</v>
      </c>
      <c r="X376" t="s">
        <v>33</v>
      </c>
      <c r="Y376" t="s">
        <v>33</v>
      </c>
      <c r="Z376" s="5" t="s">
        <v>34</v>
      </c>
      <c r="AA376">
        <v>-75.569931690000004</v>
      </c>
      <c r="AB376">
        <v>6.2107174499999998</v>
      </c>
      <c r="AC376" t="s">
        <v>456</v>
      </c>
      <c r="AD376" t="s">
        <v>457</v>
      </c>
    </row>
    <row r="377" spans="1:30" x14ac:dyDescent="0.25">
      <c r="A377" t="s">
        <v>523</v>
      </c>
      <c r="B377" t="s">
        <v>25</v>
      </c>
      <c r="C377" t="s">
        <v>26</v>
      </c>
      <c r="D377" t="s">
        <v>39</v>
      </c>
      <c r="E377" t="s">
        <v>413</v>
      </c>
      <c r="F377" t="s">
        <v>414</v>
      </c>
      <c r="G377">
        <v>1042060657</v>
      </c>
      <c r="H377" t="s">
        <v>415</v>
      </c>
      <c r="I377" s="4" t="s">
        <v>35</v>
      </c>
      <c r="J377" s="4" t="s">
        <v>416</v>
      </c>
      <c r="K377" t="s">
        <v>417</v>
      </c>
      <c r="L377" t="s">
        <v>61</v>
      </c>
      <c r="M377" t="s">
        <v>418</v>
      </c>
      <c r="N377" t="s">
        <v>63</v>
      </c>
      <c r="O377" t="s">
        <v>40</v>
      </c>
      <c r="P377" t="s">
        <v>36</v>
      </c>
      <c r="Q377" t="s">
        <v>38</v>
      </c>
      <c r="R377">
        <v>8</v>
      </c>
      <c r="S377" t="s">
        <v>419</v>
      </c>
      <c r="T377" t="s">
        <v>6771</v>
      </c>
      <c r="U377" t="s">
        <v>47</v>
      </c>
      <c r="V377" t="s">
        <v>47</v>
      </c>
      <c r="W377" t="s">
        <v>33</v>
      </c>
      <c r="X377" t="s">
        <v>33</v>
      </c>
      <c r="Y377" t="s">
        <v>33</v>
      </c>
      <c r="Z377" s="5" t="s">
        <v>34</v>
      </c>
      <c r="AA377">
        <v>-75.624132160000002</v>
      </c>
      <c r="AB377">
        <v>6.1170712500000004</v>
      </c>
      <c r="AC377" t="s">
        <v>456</v>
      </c>
      <c r="AD377" t="s">
        <v>457</v>
      </c>
    </row>
    <row r="378" spans="1:30" x14ac:dyDescent="0.25">
      <c r="A378" t="s">
        <v>524</v>
      </c>
      <c r="B378" t="s">
        <v>25</v>
      </c>
      <c r="C378" t="s">
        <v>26</v>
      </c>
      <c r="D378" t="s">
        <v>39</v>
      </c>
      <c r="E378" t="s">
        <v>420</v>
      </c>
      <c r="F378" t="s">
        <v>421</v>
      </c>
      <c r="G378">
        <v>43686177</v>
      </c>
      <c r="H378" t="s">
        <v>422</v>
      </c>
      <c r="I378" s="4" t="s">
        <v>35</v>
      </c>
      <c r="J378" s="4" t="s">
        <v>423</v>
      </c>
      <c r="K378" t="s">
        <v>424</v>
      </c>
      <c r="L378" t="s">
        <v>77</v>
      </c>
      <c r="M378" t="s">
        <v>425</v>
      </c>
      <c r="N378" t="s">
        <v>78</v>
      </c>
      <c r="O378" t="s">
        <v>40</v>
      </c>
      <c r="P378" t="s">
        <v>36</v>
      </c>
      <c r="Q378" t="s">
        <v>31</v>
      </c>
      <c r="R378">
        <v>5</v>
      </c>
      <c r="S378" t="s">
        <v>426</v>
      </c>
      <c r="T378" t="s">
        <v>6772</v>
      </c>
      <c r="U378" t="s">
        <v>47</v>
      </c>
      <c r="V378" t="s">
        <v>47</v>
      </c>
      <c r="W378" t="s">
        <v>33</v>
      </c>
      <c r="X378" t="s">
        <v>33</v>
      </c>
      <c r="Y378" t="s">
        <v>33</v>
      </c>
      <c r="Z378" s="5" t="s">
        <v>34</v>
      </c>
      <c r="AA378">
        <v>-75.640576999999993</v>
      </c>
      <c r="AB378">
        <v>6.1065620000000003</v>
      </c>
      <c r="AC378" t="s">
        <v>456</v>
      </c>
      <c r="AD378" t="s">
        <v>457</v>
      </c>
    </row>
    <row r="379" spans="1:30" x14ac:dyDescent="0.25">
      <c r="A379" t="s">
        <v>525</v>
      </c>
      <c r="B379" t="s">
        <v>25</v>
      </c>
      <c r="C379" t="s">
        <v>26</v>
      </c>
      <c r="D379" t="s">
        <v>39</v>
      </c>
      <c r="E379" t="s">
        <v>427</v>
      </c>
      <c r="F379" t="s">
        <v>428</v>
      </c>
      <c r="G379">
        <v>43686177</v>
      </c>
      <c r="H379" t="s">
        <v>422</v>
      </c>
      <c r="I379" s="4" t="s">
        <v>35</v>
      </c>
      <c r="J379" s="4" t="s">
        <v>423</v>
      </c>
      <c r="K379" t="s">
        <v>429</v>
      </c>
      <c r="L379" t="s">
        <v>77</v>
      </c>
      <c r="M379" t="s">
        <v>430</v>
      </c>
      <c r="N379" t="s">
        <v>78</v>
      </c>
      <c r="O379" t="s">
        <v>40</v>
      </c>
      <c r="P379" t="s">
        <v>36</v>
      </c>
      <c r="Q379" t="s">
        <v>31</v>
      </c>
      <c r="R379">
        <v>5</v>
      </c>
      <c r="S379" t="s">
        <v>431</v>
      </c>
      <c r="T379" t="s">
        <v>6773</v>
      </c>
      <c r="U379" t="s">
        <v>47</v>
      </c>
      <c r="V379" t="s">
        <v>47</v>
      </c>
      <c r="W379" t="s">
        <v>33</v>
      </c>
      <c r="X379" t="s">
        <v>33</v>
      </c>
      <c r="Y379" t="s">
        <v>33</v>
      </c>
      <c r="Z379" s="5" t="s">
        <v>34</v>
      </c>
      <c r="AA379">
        <v>-75.640576999999993</v>
      </c>
      <c r="AB379">
        <v>6.1065620000000003</v>
      </c>
      <c r="AC379" t="s">
        <v>456</v>
      </c>
      <c r="AD379" t="s">
        <v>457</v>
      </c>
    </row>
    <row r="380" spans="1:30" x14ac:dyDescent="0.25">
      <c r="A380" t="s">
        <v>526</v>
      </c>
      <c r="B380" t="s">
        <v>25</v>
      </c>
      <c r="C380" t="s">
        <v>26</v>
      </c>
      <c r="D380" t="s">
        <v>39</v>
      </c>
      <c r="E380" t="s">
        <v>432</v>
      </c>
      <c r="F380" t="s">
        <v>433</v>
      </c>
      <c r="G380">
        <v>43758836</v>
      </c>
      <c r="H380" t="s">
        <v>434</v>
      </c>
      <c r="I380" s="4" t="s">
        <v>35</v>
      </c>
      <c r="J380" s="4" t="s">
        <v>423</v>
      </c>
      <c r="K380" t="s">
        <v>435</v>
      </c>
      <c r="L380" t="s">
        <v>77</v>
      </c>
      <c r="M380" t="s">
        <v>436</v>
      </c>
      <c r="N380" t="s">
        <v>78</v>
      </c>
      <c r="O380" t="s">
        <v>40</v>
      </c>
      <c r="P380" t="s">
        <v>36</v>
      </c>
      <c r="Q380" t="s">
        <v>31</v>
      </c>
      <c r="R380">
        <v>5</v>
      </c>
      <c r="S380" t="s">
        <v>437</v>
      </c>
      <c r="T380" t="s">
        <v>6774</v>
      </c>
      <c r="U380" t="s">
        <v>47</v>
      </c>
      <c r="V380" t="s">
        <v>47</v>
      </c>
      <c r="W380" t="s">
        <v>33</v>
      </c>
      <c r="X380" t="s">
        <v>33</v>
      </c>
      <c r="Y380" t="s">
        <v>33</v>
      </c>
      <c r="Z380" s="5" t="s">
        <v>34</v>
      </c>
      <c r="AA380">
        <v>-75.641244060000005</v>
      </c>
      <c r="AB380">
        <v>6.1107932099999998</v>
      </c>
      <c r="AC380" t="s">
        <v>456</v>
      </c>
      <c r="AD380" t="s">
        <v>457</v>
      </c>
    </row>
    <row r="381" spans="1:30" x14ac:dyDescent="0.25">
      <c r="A381" t="s">
        <v>5041</v>
      </c>
      <c r="B381" t="s">
        <v>25</v>
      </c>
      <c r="C381" t="s">
        <v>26</v>
      </c>
      <c r="D381" t="s">
        <v>39</v>
      </c>
      <c r="E381" t="s">
        <v>5042</v>
      </c>
      <c r="F381" t="s">
        <v>5043</v>
      </c>
      <c r="G381">
        <v>21659760</v>
      </c>
      <c r="H381" t="s">
        <v>5044</v>
      </c>
      <c r="I381" s="4" t="s">
        <v>5045</v>
      </c>
      <c r="J381" s="4" t="s">
        <v>5046</v>
      </c>
      <c r="K381" t="s">
        <v>5047</v>
      </c>
      <c r="L381" t="s">
        <v>27</v>
      </c>
      <c r="M381" t="s">
        <v>5048</v>
      </c>
      <c r="N381" t="s">
        <v>28</v>
      </c>
      <c r="O381" t="s">
        <v>46</v>
      </c>
      <c r="P381" t="s">
        <v>41</v>
      </c>
      <c r="Q381" t="s">
        <v>31</v>
      </c>
      <c r="R381">
        <v>5</v>
      </c>
      <c r="S381" t="s">
        <v>5049</v>
      </c>
      <c r="T381" t="s">
        <v>6775</v>
      </c>
      <c r="U381" t="s">
        <v>6776</v>
      </c>
      <c r="V381" t="s">
        <v>32</v>
      </c>
      <c r="W381" t="s">
        <v>33</v>
      </c>
      <c r="X381" t="s">
        <v>33</v>
      </c>
      <c r="Y381" t="s">
        <v>33</v>
      </c>
      <c r="Z381" s="5" t="s">
        <v>34</v>
      </c>
      <c r="AA381">
        <v>-75.626542999999998</v>
      </c>
      <c r="AB381">
        <v>6.2692240000000004</v>
      </c>
      <c r="AC381" t="s">
        <v>456</v>
      </c>
      <c r="AD381" t="s">
        <v>457</v>
      </c>
    </row>
    <row r="382" spans="1:30" x14ac:dyDescent="0.25">
      <c r="A382" t="s">
        <v>527</v>
      </c>
      <c r="B382" t="s">
        <v>25</v>
      </c>
      <c r="C382" t="s">
        <v>26</v>
      </c>
      <c r="D382" t="s">
        <v>39</v>
      </c>
      <c r="E382" t="s">
        <v>438</v>
      </c>
      <c r="F382" t="s">
        <v>439</v>
      </c>
      <c r="G382">
        <v>70879323</v>
      </c>
      <c r="H382" t="s">
        <v>440</v>
      </c>
      <c r="I382" s="4" t="s">
        <v>35</v>
      </c>
      <c r="J382" s="4" t="s">
        <v>441</v>
      </c>
      <c r="K382" t="s">
        <v>442</v>
      </c>
      <c r="L382" t="s">
        <v>61</v>
      </c>
      <c r="M382" t="s">
        <v>443</v>
      </c>
      <c r="N382" t="s">
        <v>63</v>
      </c>
      <c r="O382" t="s">
        <v>40</v>
      </c>
      <c r="P382" t="s">
        <v>36</v>
      </c>
      <c r="Q382" t="s">
        <v>38</v>
      </c>
      <c r="R382">
        <v>8</v>
      </c>
      <c r="S382" t="s">
        <v>444</v>
      </c>
      <c r="T382" t="s">
        <v>6777</v>
      </c>
      <c r="U382" t="s">
        <v>47</v>
      </c>
      <c r="V382" t="s">
        <v>47</v>
      </c>
      <c r="W382" t="s">
        <v>33</v>
      </c>
      <c r="X382" t="s">
        <v>33</v>
      </c>
      <c r="Y382" t="s">
        <v>33</v>
      </c>
      <c r="Z382" s="5" t="s">
        <v>34</v>
      </c>
      <c r="AA382">
        <v>-75.648910319999999</v>
      </c>
      <c r="AB382">
        <v>6.1160711900000004</v>
      </c>
      <c r="AC382" t="s">
        <v>456</v>
      </c>
      <c r="AD382" t="s">
        <v>457</v>
      </c>
    </row>
    <row r="383" spans="1:30" x14ac:dyDescent="0.25">
      <c r="A383" t="s">
        <v>586</v>
      </c>
      <c r="B383" t="s">
        <v>81</v>
      </c>
      <c r="C383" t="s">
        <v>26</v>
      </c>
      <c r="D383" t="s">
        <v>81</v>
      </c>
      <c r="E383" t="s">
        <v>1147</v>
      </c>
      <c r="F383" t="s">
        <v>1148</v>
      </c>
      <c r="G383">
        <v>890900608</v>
      </c>
      <c r="H383" t="s">
        <v>587</v>
      </c>
      <c r="I383" s="4" t="s">
        <v>588</v>
      </c>
      <c r="J383" s="4" t="s">
        <v>589</v>
      </c>
      <c r="K383" t="s">
        <v>590</v>
      </c>
      <c r="L383" t="s">
        <v>49</v>
      </c>
      <c r="M383" t="s">
        <v>591</v>
      </c>
      <c r="N383" t="s">
        <v>84</v>
      </c>
      <c r="O383" t="s">
        <v>82</v>
      </c>
      <c r="P383" t="s">
        <v>83</v>
      </c>
      <c r="Q383" t="s">
        <v>31</v>
      </c>
      <c r="R383">
        <v>4</v>
      </c>
      <c r="S383" t="s">
        <v>1149</v>
      </c>
      <c r="T383" t="s">
        <v>6778</v>
      </c>
      <c r="U383" t="s">
        <v>47</v>
      </c>
      <c r="V383" t="s">
        <v>47</v>
      </c>
      <c r="W383" t="s">
        <v>33</v>
      </c>
      <c r="X383" t="s">
        <v>33</v>
      </c>
      <c r="Y383" t="s">
        <v>33</v>
      </c>
      <c r="Z383" s="5" t="s">
        <v>34</v>
      </c>
      <c r="AA383">
        <v>-75.591769999999997</v>
      </c>
      <c r="AB383">
        <v>6.1763370000000002</v>
      </c>
      <c r="AC383" t="s">
        <v>456</v>
      </c>
      <c r="AD383" t="s">
        <v>457</v>
      </c>
    </row>
    <row r="384" spans="1:30" x14ac:dyDescent="0.25">
      <c r="A384" t="s">
        <v>592</v>
      </c>
      <c r="B384" t="s">
        <v>25</v>
      </c>
      <c r="C384" t="s">
        <v>26</v>
      </c>
      <c r="D384" t="s">
        <v>39</v>
      </c>
      <c r="E384" t="s">
        <v>593</v>
      </c>
      <c r="F384" t="s">
        <v>1152</v>
      </c>
      <c r="G384">
        <v>1152451855</v>
      </c>
      <c r="H384" t="s">
        <v>594</v>
      </c>
      <c r="I384" s="4" t="s">
        <v>595</v>
      </c>
      <c r="J384" s="4" t="s">
        <v>596</v>
      </c>
      <c r="K384" t="s">
        <v>597</v>
      </c>
      <c r="L384" t="s">
        <v>27</v>
      </c>
      <c r="M384" t="s">
        <v>598</v>
      </c>
      <c r="N384" t="s">
        <v>28</v>
      </c>
      <c r="O384" t="s">
        <v>40</v>
      </c>
      <c r="P384" t="s">
        <v>41</v>
      </c>
      <c r="Q384" t="s">
        <v>38</v>
      </c>
      <c r="R384">
        <v>8</v>
      </c>
      <c r="S384" t="s">
        <v>1153</v>
      </c>
      <c r="T384" t="s">
        <v>6779</v>
      </c>
      <c r="U384" t="s">
        <v>6779</v>
      </c>
      <c r="V384" t="s">
        <v>32</v>
      </c>
      <c r="W384" t="s">
        <v>33</v>
      </c>
      <c r="X384" t="s">
        <v>33</v>
      </c>
      <c r="Y384" t="s">
        <v>33</v>
      </c>
      <c r="Z384" s="5" t="s">
        <v>34</v>
      </c>
      <c r="AA384">
        <v>-75.632039800000001</v>
      </c>
      <c r="AB384">
        <v>6.2328325099999997</v>
      </c>
      <c r="AC384" t="s">
        <v>456</v>
      </c>
      <c r="AD384" t="s">
        <v>457</v>
      </c>
    </row>
    <row r="385" spans="1:30" x14ac:dyDescent="0.25">
      <c r="A385" t="s">
        <v>578</v>
      </c>
      <c r="B385" t="s">
        <v>25</v>
      </c>
      <c r="C385" t="s">
        <v>26</v>
      </c>
      <c r="D385" t="s">
        <v>39</v>
      </c>
      <c r="E385" t="s">
        <v>579</v>
      </c>
      <c r="F385" t="s">
        <v>580</v>
      </c>
      <c r="G385">
        <v>1026159840</v>
      </c>
      <c r="H385" t="s">
        <v>581</v>
      </c>
      <c r="I385" s="4" t="s">
        <v>35</v>
      </c>
      <c r="J385" s="4" t="s">
        <v>582</v>
      </c>
      <c r="K385" t="s">
        <v>583</v>
      </c>
      <c r="L385" t="s">
        <v>77</v>
      </c>
      <c r="M385" t="s">
        <v>584</v>
      </c>
      <c r="N385" t="s">
        <v>78</v>
      </c>
      <c r="O385" t="s">
        <v>40</v>
      </c>
      <c r="P385" t="s">
        <v>36</v>
      </c>
      <c r="Q385" t="s">
        <v>31</v>
      </c>
      <c r="R385">
        <v>5</v>
      </c>
      <c r="S385" t="s">
        <v>585</v>
      </c>
      <c r="T385" t="s">
        <v>6780</v>
      </c>
      <c r="U385" t="s">
        <v>47</v>
      </c>
      <c r="V385" t="s">
        <v>47</v>
      </c>
      <c r="W385" t="s">
        <v>33</v>
      </c>
      <c r="X385" t="s">
        <v>33</v>
      </c>
      <c r="Y385" t="s">
        <v>33</v>
      </c>
      <c r="Z385" s="5" t="s">
        <v>34</v>
      </c>
      <c r="AA385">
        <v>-75.628265999999996</v>
      </c>
      <c r="AB385">
        <v>6.0937809999999999</v>
      </c>
      <c r="AC385" t="s">
        <v>456</v>
      </c>
      <c r="AD385" t="s">
        <v>457</v>
      </c>
    </row>
    <row r="386" spans="1:30" x14ac:dyDescent="0.25">
      <c r="A386" t="s">
        <v>5677</v>
      </c>
      <c r="B386" t="s">
        <v>81</v>
      </c>
      <c r="C386" t="s">
        <v>26</v>
      </c>
      <c r="D386" t="s">
        <v>81</v>
      </c>
      <c r="E386" t="s">
        <v>5678</v>
      </c>
      <c r="F386" t="s">
        <v>5679</v>
      </c>
      <c r="G386">
        <v>12022498</v>
      </c>
      <c r="H386" t="s">
        <v>5680</v>
      </c>
      <c r="I386" s="4" t="s">
        <v>35</v>
      </c>
      <c r="J386" s="4" t="s">
        <v>5681</v>
      </c>
      <c r="K386" t="s">
        <v>5682</v>
      </c>
      <c r="L386" t="s">
        <v>27</v>
      </c>
      <c r="M386" t="s">
        <v>5683</v>
      </c>
      <c r="N386" t="s">
        <v>28</v>
      </c>
      <c r="O386" t="s">
        <v>82</v>
      </c>
      <c r="P386" t="s">
        <v>83</v>
      </c>
      <c r="Q386" t="s">
        <v>31</v>
      </c>
      <c r="R386">
        <v>4</v>
      </c>
      <c r="S386" t="s">
        <v>5684</v>
      </c>
      <c r="T386" t="s">
        <v>4930</v>
      </c>
      <c r="U386" t="s">
        <v>4931</v>
      </c>
      <c r="V386" t="s">
        <v>32</v>
      </c>
      <c r="W386" t="s">
        <v>33</v>
      </c>
      <c r="X386" t="s">
        <v>33</v>
      </c>
      <c r="Y386" t="s">
        <v>33</v>
      </c>
      <c r="Z386" s="5" t="s">
        <v>34</v>
      </c>
      <c r="AA386">
        <v>-75.573350559999994</v>
      </c>
      <c r="AB386">
        <v>6.2523452600000002</v>
      </c>
      <c r="AC386" t="s">
        <v>456</v>
      </c>
      <c r="AD386" t="s">
        <v>457</v>
      </c>
    </row>
    <row r="387" spans="1:30" x14ac:dyDescent="0.25">
      <c r="A387" t="s">
        <v>5685</v>
      </c>
      <c r="B387" t="s">
        <v>25</v>
      </c>
      <c r="C387" t="s">
        <v>26</v>
      </c>
      <c r="D387" t="s">
        <v>25</v>
      </c>
      <c r="E387" t="s">
        <v>5686</v>
      </c>
      <c r="F387" t="s">
        <v>5687</v>
      </c>
      <c r="G387">
        <v>71615331</v>
      </c>
      <c r="H387" t="s">
        <v>5688</v>
      </c>
      <c r="I387" s="4" t="s">
        <v>5689</v>
      </c>
      <c r="J387" s="4" t="s">
        <v>4233</v>
      </c>
      <c r="K387" t="s">
        <v>5690</v>
      </c>
      <c r="L387" t="s">
        <v>27</v>
      </c>
      <c r="M387" t="s">
        <v>5691</v>
      </c>
      <c r="N387" t="s">
        <v>28</v>
      </c>
      <c r="O387" t="s">
        <v>29</v>
      </c>
      <c r="P387" t="s">
        <v>30</v>
      </c>
      <c r="Q387" t="s">
        <v>31</v>
      </c>
      <c r="R387">
        <v>7</v>
      </c>
      <c r="S387" t="s">
        <v>5692</v>
      </c>
      <c r="T387" t="s">
        <v>6781</v>
      </c>
      <c r="U387" t="s">
        <v>6782</v>
      </c>
      <c r="V387" t="s">
        <v>32</v>
      </c>
      <c r="W387" t="s">
        <v>33</v>
      </c>
      <c r="X387" t="s">
        <v>33</v>
      </c>
      <c r="Y387" t="s">
        <v>33</v>
      </c>
      <c r="Z387" s="5" t="s">
        <v>34</v>
      </c>
      <c r="AA387">
        <v>-75.598738740000002</v>
      </c>
      <c r="AB387">
        <v>6.2631471899999998</v>
      </c>
      <c r="AC387" t="s">
        <v>456</v>
      </c>
      <c r="AD387" t="s">
        <v>457</v>
      </c>
    </row>
    <row r="388" spans="1:30" x14ac:dyDescent="0.25">
      <c r="A388" t="s">
        <v>5693</v>
      </c>
      <c r="B388" t="s">
        <v>25</v>
      </c>
      <c r="C388" t="s">
        <v>26</v>
      </c>
      <c r="D388" t="s">
        <v>25</v>
      </c>
      <c r="E388" t="s">
        <v>5694</v>
      </c>
      <c r="F388" t="s">
        <v>5695</v>
      </c>
      <c r="G388">
        <v>71615331</v>
      </c>
      <c r="H388" t="s">
        <v>5688</v>
      </c>
      <c r="I388" s="4" t="s">
        <v>5689</v>
      </c>
      <c r="J388" s="4" t="s">
        <v>4233</v>
      </c>
      <c r="K388" t="s">
        <v>5696</v>
      </c>
      <c r="L388" t="s">
        <v>27</v>
      </c>
      <c r="M388" t="s">
        <v>5697</v>
      </c>
      <c r="N388" t="s">
        <v>28</v>
      </c>
      <c r="O388" t="s">
        <v>29</v>
      </c>
      <c r="P388" t="s">
        <v>30</v>
      </c>
      <c r="Q388" t="s">
        <v>31</v>
      </c>
      <c r="R388">
        <v>7</v>
      </c>
      <c r="S388" t="s">
        <v>5698</v>
      </c>
      <c r="T388" t="s">
        <v>4807</v>
      </c>
      <c r="U388" t="s">
        <v>4808</v>
      </c>
      <c r="V388" t="s">
        <v>32</v>
      </c>
      <c r="W388" t="s">
        <v>33</v>
      </c>
      <c r="X388" t="s">
        <v>33</v>
      </c>
      <c r="Y388" t="s">
        <v>33</v>
      </c>
      <c r="Z388" s="5" t="s">
        <v>34</v>
      </c>
      <c r="AA388">
        <v>-75.598738740000002</v>
      </c>
      <c r="AB388">
        <v>6.2631471899999998</v>
      </c>
      <c r="AC388" t="s">
        <v>456</v>
      </c>
      <c r="AD388" t="s">
        <v>457</v>
      </c>
    </row>
    <row r="389" spans="1:30" x14ac:dyDescent="0.25">
      <c r="A389" t="s">
        <v>5699</v>
      </c>
      <c r="B389" t="s">
        <v>25</v>
      </c>
      <c r="C389" t="s">
        <v>26</v>
      </c>
      <c r="D389" t="s">
        <v>25</v>
      </c>
      <c r="E389" t="s">
        <v>5700</v>
      </c>
      <c r="F389" t="s">
        <v>5701</v>
      </c>
      <c r="G389">
        <v>71615331</v>
      </c>
      <c r="H389" t="s">
        <v>5688</v>
      </c>
      <c r="I389" s="4" t="s">
        <v>5689</v>
      </c>
      <c r="J389" s="4" t="s">
        <v>4233</v>
      </c>
      <c r="K389" t="s">
        <v>5702</v>
      </c>
      <c r="L389" t="s">
        <v>27</v>
      </c>
      <c r="M389" t="s">
        <v>5703</v>
      </c>
      <c r="N389" t="s">
        <v>28</v>
      </c>
      <c r="O389" t="s">
        <v>29</v>
      </c>
      <c r="P389" t="s">
        <v>30</v>
      </c>
      <c r="Q389" t="s">
        <v>31</v>
      </c>
      <c r="R389">
        <v>7</v>
      </c>
      <c r="S389" t="s">
        <v>5704</v>
      </c>
      <c r="T389" t="s">
        <v>2635</v>
      </c>
      <c r="U389" t="s">
        <v>4868</v>
      </c>
      <c r="V389" t="s">
        <v>32</v>
      </c>
      <c r="W389" t="s">
        <v>33</v>
      </c>
      <c r="X389" t="s">
        <v>33</v>
      </c>
      <c r="Y389" t="s">
        <v>33</v>
      </c>
      <c r="Z389" s="5" t="s">
        <v>34</v>
      </c>
      <c r="AA389">
        <v>-75.598738740000002</v>
      </c>
      <c r="AB389">
        <v>6.2631471899999998</v>
      </c>
      <c r="AC389" t="s">
        <v>456</v>
      </c>
      <c r="AD389" t="s">
        <v>457</v>
      </c>
    </row>
    <row r="390" spans="1:30" x14ac:dyDescent="0.25">
      <c r="A390" t="s">
        <v>5705</v>
      </c>
      <c r="B390" t="s">
        <v>25</v>
      </c>
      <c r="C390" t="s">
        <v>26</v>
      </c>
      <c r="D390" t="s">
        <v>25</v>
      </c>
      <c r="E390" t="s">
        <v>5706</v>
      </c>
      <c r="F390" t="s">
        <v>5707</v>
      </c>
      <c r="G390">
        <v>71615331</v>
      </c>
      <c r="H390" t="s">
        <v>5688</v>
      </c>
      <c r="I390" s="4" t="s">
        <v>5689</v>
      </c>
      <c r="J390" s="4" t="s">
        <v>4233</v>
      </c>
      <c r="K390" t="s">
        <v>5708</v>
      </c>
      <c r="L390" t="s">
        <v>27</v>
      </c>
      <c r="M390" t="s">
        <v>5709</v>
      </c>
      <c r="N390" t="s">
        <v>28</v>
      </c>
      <c r="O390" t="s">
        <v>29</v>
      </c>
      <c r="P390" t="s">
        <v>30</v>
      </c>
      <c r="Q390" t="s">
        <v>31</v>
      </c>
      <c r="R390">
        <v>7</v>
      </c>
      <c r="S390" t="s">
        <v>5710</v>
      </c>
      <c r="T390" t="s">
        <v>6783</v>
      </c>
      <c r="U390" t="s">
        <v>6784</v>
      </c>
      <c r="V390" t="s">
        <v>32</v>
      </c>
      <c r="W390" t="s">
        <v>33</v>
      </c>
      <c r="X390" t="s">
        <v>33</v>
      </c>
      <c r="Y390" t="s">
        <v>33</v>
      </c>
      <c r="Z390" s="5" t="s">
        <v>34</v>
      </c>
      <c r="AA390">
        <v>-75.598738740000002</v>
      </c>
      <c r="AB390">
        <v>6.2631471899999998</v>
      </c>
      <c r="AC390" t="s">
        <v>456</v>
      </c>
      <c r="AD390" t="s">
        <v>457</v>
      </c>
    </row>
    <row r="391" spans="1:30" x14ac:dyDescent="0.25">
      <c r="A391" t="s">
        <v>5711</v>
      </c>
      <c r="B391" t="s">
        <v>25</v>
      </c>
      <c r="C391" t="s">
        <v>26</v>
      </c>
      <c r="D391" t="s">
        <v>25</v>
      </c>
      <c r="E391" t="s">
        <v>5712</v>
      </c>
      <c r="F391" t="s">
        <v>5713</v>
      </c>
      <c r="G391">
        <v>71615331</v>
      </c>
      <c r="H391" t="s">
        <v>5688</v>
      </c>
      <c r="I391" s="4" t="s">
        <v>5689</v>
      </c>
      <c r="J391" s="4" t="s">
        <v>4233</v>
      </c>
      <c r="K391" t="s">
        <v>5714</v>
      </c>
      <c r="L391" t="s">
        <v>27</v>
      </c>
      <c r="M391" t="s">
        <v>5715</v>
      </c>
      <c r="N391" t="s">
        <v>28</v>
      </c>
      <c r="O391" t="s">
        <v>29</v>
      </c>
      <c r="P391" t="s">
        <v>30</v>
      </c>
      <c r="Q391" t="s">
        <v>31</v>
      </c>
      <c r="R391">
        <v>7</v>
      </c>
      <c r="S391" t="s">
        <v>5716</v>
      </c>
      <c r="T391" t="s">
        <v>4806</v>
      </c>
      <c r="U391" t="s">
        <v>4805</v>
      </c>
      <c r="V391" t="s">
        <v>32</v>
      </c>
      <c r="W391" t="s">
        <v>33</v>
      </c>
      <c r="X391" t="s">
        <v>33</v>
      </c>
      <c r="Y391" t="s">
        <v>33</v>
      </c>
      <c r="Z391" s="5" t="s">
        <v>34</v>
      </c>
      <c r="AA391">
        <v>-75.598738740000002</v>
      </c>
      <c r="AB391">
        <v>6.2631471899999998</v>
      </c>
      <c r="AC391" t="s">
        <v>456</v>
      </c>
      <c r="AD391" t="s">
        <v>457</v>
      </c>
    </row>
    <row r="392" spans="1:30" x14ac:dyDescent="0.25">
      <c r="A392" t="s">
        <v>5717</v>
      </c>
      <c r="B392" t="s">
        <v>25</v>
      </c>
      <c r="C392" t="s">
        <v>26</v>
      </c>
      <c r="D392" t="s">
        <v>25</v>
      </c>
      <c r="E392" t="s">
        <v>5718</v>
      </c>
      <c r="F392" t="s">
        <v>5719</v>
      </c>
      <c r="G392">
        <v>71615331</v>
      </c>
      <c r="H392" t="s">
        <v>5688</v>
      </c>
      <c r="I392" s="4" t="s">
        <v>5689</v>
      </c>
      <c r="J392" s="4" t="s">
        <v>4233</v>
      </c>
      <c r="K392" t="s">
        <v>5720</v>
      </c>
      <c r="L392" t="s">
        <v>27</v>
      </c>
      <c r="M392" t="s">
        <v>5721</v>
      </c>
      <c r="N392" t="s">
        <v>28</v>
      </c>
      <c r="O392" t="s">
        <v>29</v>
      </c>
      <c r="P392" t="s">
        <v>30</v>
      </c>
      <c r="Q392" t="s">
        <v>31</v>
      </c>
      <c r="R392">
        <v>7</v>
      </c>
      <c r="S392" t="s">
        <v>5722</v>
      </c>
      <c r="T392" t="s">
        <v>2635</v>
      </c>
      <c r="U392" t="s">
        <v>4868</v>
      </c>
      <c r="V392" t="s">
        <v>32</v>
      </c>
      <c r="W392" t="s">
        <v>33</v>
      </c>
      <c r="X392" t="s">
        <v>33</v>
      </c>
      <c r="Y392" t="s">
        <v>33</v>
      </c>
      <c r="Z392" s="5" t="s">
        <v>34</v>
      </c>
      <c r="AA392">
        <v>-75.598738740000002</v>
      </c>
      <c r="AB392">
        <v>6.2631471899999998</v>
      </c>
      <c r="AC392" t="s">
        <v>456</v>
      </c>
      <c r="AD392" t="s">
        <v>457</v>
      </c>
    </row>
    <row r="393" spans="1:30" x14ac:dyDescent="0.25">
      <c r="A393" t="s">
        <v>5723</v>
      </c>
      <c r="B393" t="s">
        <v>25</v>
      </c>
      <c r="C393" t="s">
        <v>26</v>
      </c>
      <c r="D393" t="s">
        <v>25</v>
      </c>
      <c r="E393" t="s">
        <v>5724</v>
      </c>
      <c r="F393" t="s">
        <v>5725</v>
      </c>
      <c r="G393">
        <v>71615331</v>
      </c>
      <c r="H393" t="s">
        <v>5688</v>
      </c>
      <c r="I393" s="4" t="s">
        <v>5689</v>
      </c>
      <c r="J393" s="4" t="s">
        <v>4233</v>
      </c>
      <c r="K393" t="s">
        <v>5726</v>
      </c>
      <c r="L393" t="s">
        <v>27</v>
      </c>
      <c r="M393" t="s">
        <v>5727</v>
      </c>
      <c r="N393" t="s">
        <v>28</v>
      </c>
      <c r="O393" t="s">
        <v>29</v>
      </c>
      <c r="P393" t="s">
        <v>30</v>
      </c>
      <c r="Q393" t="s">
        <v>31</v>
      </c>
      <c r="R393">
        <v>7</v>
      </c>
      <c r="S393" t="s">
        <v>5728</v>
      </c>
      <c r="T393" t="s">
        <v>4806</v>
      </c>
      <c r="U393" t="s">
        <v>4805</v>
      </c>
      <c r="V393" t="s">
        <v>32</v>
      </c>
      <c r="W393" t="s">
        <v>33</v>
      </c>
      <c r="X393" t="s">
        <v>33</v>
      </c>
      <c r="Y393" t="s">
        <v>33</v>
      </c>
      <c r="Z393" s="5" t="s">
        <v>34</v>
      </c>
      <c r="AA393">
        <v>-75.598738740000002</v>
      </c>
      <c r="AB393">
        <v>6.2631471899999998</v>
      </c>
      <c r="AC393" t="s">
        <v>456</v>
      </c>
      <c r="AD393" t="s">
        <v>457</v>
      </c>
    </row>
    <row r="394" spans="1:30" x14ac:dyDescent="0.25">
      <c r="A394" t="s">
        <v>1155</v>
      </c>
      <c r="B394" t="s">
        <v>25</v>
      </c>
      <c r="C394" t="s">
        <v>26</v>
      </c>
      <c r="D394" t="s">
        <v>25</v>
      </c>
      <c r="E394" t="s">
        <v>1156</v>
      </c>
      <c r="F394" t="s">
        <v>1157</v>
      </c>
      <c r="G394">
        <v>43321555</v>
      </c>
      <c r="H394" t="s">
        <v>1158</v>
      </c>
      <c r="I394" s="4" t="s">
        <v>35</v>
      </c>
      <c r="J394" s="4" t="s">
        <v>1159</v>
      </c>
      <c r="K394" t="s">
        <v>1160</v>
      </c>
      <c r="L394" t="s">
        <v>79</v>
      </c>
      <c r="M394" t="s">
        <v>1161</v>
      </c>
      <c r="N394" t="s">
        <v>80</v>
      </c>
      <c r="O394" t="s">
        <v>29</v>
      </c>
      <c r="P394" t="s">
        <v>37</v>
      </c>
      <c r="Q394" t="s">
        <v>38</v>
      </c>
      <c r="R394">
        <v>10</v>
      </c>
      <c r="S394" t="s">
        <v>1162</v>
      </c>
      <c r="T394" t="s">
        <v>6786</v>
      </c>
      <c r="U394" t="s">
        <v>6787</v>
      </c>
      <c r="V394" t="s">
        <v>50</v>
      </c>
      <c r="W394" t="s">
        <v>33</v>
      </c>
      <c r="X394" t="s">
        <v>33</v>
      </c>
      <c r="Y394" t="s">
        <v>33</v>
      </c>
      <c r="Z394" s="5" t="s">
        <v>34</v>
      </c>
      <c r="AA394">
        <v>-75.609233489999994</v>
      </c>
      <c r="AB394">
        <v>6.1344013300000002</v>
      </c>
      <c r="AC394" t="s">
        <v>456</v>
      </c>
      <c r="AD394" t="s">
        <v>457</v>
      </c>
    </row>
    <row r="395" spans="1:30" x14ac:dyDescent="0.25">
      <c r="A395" t="s">
        <v>8136</v>
      </c>
      <c r="B395" t="s">
        <v>25</v>
      </c>
      <c r="C395" t="s">
        <v>26</v>
      </c>
      <c r="D395" t="s">
        <v>25</v>
      </c>
      <c r="E395" t="s">
        <v>8137</v>
      </c>
      <c r="F395" t="s">
        <v>8138</v>
      </c>
      <c r="G395">
        <v>15348718</v>
      </c>
      <c r="H395" t="s">
        <v>8139</v>
      </c>
      <c r="I395" s="4" t="s">
        <v>8140</v>
      </c>
      <c r="J395" s="4" t="s">
        <v>8141</v>
      </c>
      <c r="K395" t="s">
        <v>8142</v>
      </c>
      <c r="L395" t="s">
        <v>61</v>
      </c>
      <c r="M395" t="s">
        <v>8143</v>
      </c>
      <c r="N395" t="s">
        <v>63</v>
      </c>
      <c r="O395" t="s">
        <v>29</v>
      </c>
      <c r="P395" t="s">
        <v>30</v>
      </c>
      <c r="Q395" t="s">
        <v>31</v>
      </c>
      <c r="R395">
        <v>7</v>
      </c>
      <c r="S395" t="s">
        <v>8144</v>
      </c>
      <c r="T395" t="s">
        <v>8145</v>
      </c>
      <c r="U395" t="s">
        <v>8146</v>
      </c>
      <c r="V395" t="s">
        <v>32</v>
      </c>
      <c r="W395" t="s">
        <v>33</v>
      </c>
      <c r="X395" t="s">
        <v>33</v>
      </c>
      <c r="Y395" t="s">
        <v>33</v>
      </c>
      <c r="Z395" s="5" t="s">
        <v>34</v>
      </c>
      <c r="AA395">
        <v>-75.635771390000002</v>
      </c>
      <c r="AB395">
        <v>6.1369019800000002</v>
      </c>
      <c r="AC395" t="s">
        <v>456</v>
      </c>
      <c r="AD395" t="s">
        <v>457</v>
      </c>
    </row>
    <row r="396" spans="1:30" x14ac:dyDescent="0.25">
      <c r="A396" t="s">
        <v>8147</v>
      </c>
      <c r="B396" t="s">
        <v>25</v>
      </c>
      <c r="C396" t="s">
        <v>26</v>
      </c>
      <c r="D396" t="s">
        <v>25</v>
      </c>
      <c r="E396" t="s">
        <v>8148</v>
      </c>
      <c r="F396" t="s">
        <v>8149</v>
      </c>
      <c r="G396">
        <v>15348718</v>
      </c>
      <c r="H396" t="s">
        <v>8139</v>
      </c>
      <c r="I396" s="4" t="s">
        <v>8140</v>
      </c>
      <c r="J396" s="4" t="s">
        <v>8141</v>
      </c>
      <c r="K396" t="s">
        <v>8150</v>
      </c>
      <c r="L396" t="s">
        <v>61</v>
      </c>
      <c r="M396" t="s">
        <v>8151</v>
      </c>
      <c r="N396" t="s">
        <v>63</v>
      </c>
      <c r="O396" t="s">
        <v>29</v>
      </c>
      <c r="P396" t="s">
        <v>30</v>
      </c>
      <c r="Q396" t="s">
        <v>31</v>
      </c>
      <c r="R396">
        <v>7</v>
      </c>
      <c r="S396" t="s">
        <v>8152</v>
      </c>
      <c r="T396" t="s">
        <v>8153</v>
      </c>
      <c r="U396" t="s">
        <v>8154</v>
      </c>
      <c r="V396" t="s">
        <v>32</v>
      </c>
      <c r="W396" t="s">
        <v>33</v>
      </c>
      <c r="X396" t="s">
        <v>33</v>
      </c>
      <c r="Y396" t="s">
        <v>33</v>
      </c>
      <c r="Z396" s="5" t="s">
        <v>34</v>
      </c>
      <c r="AA396">
        <v>-75.635771390000002</v>
      </c>
      <c r="AB396">
        <v>6.1369019800000002</v>
      </c>
      <c r="AC396" t="s">
        <v>456</v>
      </c>
      <c r="AD396" t="s">
        <v>457</v>
      </c>
    </row>
    <row r="397" spans="1:30" x14ac:dyDescent="0.25">
      <c r="A397" t="s">
        <v>1163</v>
      </c>
      <c r="B397" t="s">
        <v>95</v>
      </c>
      <c r="C397" t="s">
        <v>26</v>
      </c>
      <c r="D397" t="s">
        <v>96</v>
      </c>
      <c r="E397" t="s">
        <v>1164</v>
      </c>
      <c r="F397" t="s">
        <v>1165</v>
      </c>
      <c r="G397">
        <v>71370057</v>
      </c>
      <c r="H397" t="s">
        <v>1166</v>
      </c>
      <c r="I397" s="4" t="s">
        <v>35</v>
      </c>
      <c r="J397" s="4" t="s">
        <v>1167</v>
      </c>
      <c r="K397" t="s">
        <v>1168</v>
      </c>
      <c r="L397" t="s">
        <v>27</v>
      </c>
      <c r="M397" t="s">
        <v>1169</v>
      </c>
      <c r="N397" t="s">
        <v>28</v>
      </c>
      <c r="O397" t="s">
        <v>103</v>
      </c>
      <c r="P397" t="s">
        <v>120</v>
      </c>
      <c r="Q397" t="s">
        <v>38</v>
      </c>
      <c r="R397">
        <v>14</v>
      </c>
      <c r="S397" t="s">
        <v>1170</v>
      </c>
      <c r="T397" t="s">
        <v>6788</v>
      </c>
      <c r="U397" t="s">
        <v>6789</v>
      </c>
      <c r="V397" t="s">
        <v>32</v>
      </c>
      <c r="W397" t="s">
        <v>33</v>
      </c>
      <c r="X397" t="s">
        <v>33</v>
      </c>
      <c r="Y397" t="s">
        <v>33</v>
      </c>
      <c r="Z397" s="5" t="s">
        <v>34</v>
      </c>
      <c r="AA397">
        <v>-75.631152999999998</v>
      </c>
      <c r="AB397">
        <v>6.2028829999999999</v>
      </c>
      <c r="AC397" t="s">
        <v>456</v>
      </c>
      <c r="AD397" t="s">
        <v>457</v>
      </c>
    </row>
    <row r="398" spans="1:30" x14ac:dyDescent="0.25">
      <c r="A398" t="s">
        <v>1171</v>
      </c>
      <c r="B398" t="s">
        <v>25</v>
      </c>
      <c r="C398" t="s">
        <v>26</v>
      </c>
      <c r="D398" t="s">
        <v>39</v>
      </c>
      <c r="E398" t="s">
        <v>1172</v>
      </c>
      <c r="F398" t="s">
        <v>1173</v>
      </c>
      <c r="G398">
        <v>43022546</v>
      </c>
      <c r="H398" t="s">
        <v>1174</v>
      </c>
      <c r="I398" s="4" t="s">
        <v>35</v>
      </c>
      <c r="J398" s="4" t="s">
        <v>1175</v>
      </c>
      <c r="K398" t="s">
        <v>1176</v>
      </c>
      <c r="L398" t="s">
        <v>77</v>
      </c>
      <c r="M398" t="s">
        <v>1177</v>
      </c>
      <c r="N398" t="s">
        <v>78</v>
      </c>
      <c r="O398" t="s">
        <v>40</v>
      </c>
      <c r="P398" t="s">
        <v>36</v>
      </c>
      <c r="Q398" t="s">
        <v>38</v>
      </c>
      <c r="R398">
        <v>8</v>
      </c>
      <c r="S398" t="s">
        <v>1178</v>
      </c>
      <c r="T398" t="s">
        <v>6498</v>
      </c>
      <c r="U398" t="s">
        <v>47</v>
      </c>
      <c r="V398" t="s">
        <v>47</v>
      </c>
      <c r="W398" t="s">
        <v>33</v>
      </c>
      <c r="X398" t="s">
        <v>33</v>
      </c>
      <c r="Y398" t="s">
        <v>33</v>
      </c>
      <c r="Z398" s="5" t="s">
        <v>34</v>
      </c>
      <c r="AA398">
        <v>-75.622352800000002</v>
      </c>
      <c r="AB398">
        <v>6.0841204800000002</v>
      </c>
      <c r="AC398" t="s">
        <v>456</v>
      </c>
      <c r="AD398" t="s">
        <v>457</v>
      </c>
    </row>
    <row r="399" spans="1:30" x14ac:dyDescent="0.25">
      <c r="A399" t="s">
        <v>5729</v>
      </c>
      <c r="B399" t="s">
        <v>81</v>
      </c>
      <c r="C399" t="s">
        <v>26</v>
      </c>
      <c r="D399" t="s">
        <v>81</v>
      </c>
      <c r="E399" t="s">
        <v>5730</v>
      </c>
      <c r="F399" t="s">
        <v>5731</v>
      </c>
      <c r="G399">
        <v>43057395</v>
      </c>
      <c r="H399" t="s">
        <v>5732</v>
      </c>
      <c r="I399" s="4" t="s">
        <v>5733</v>
      </c>
      <c r="J399" s="4" t="s">
        <v>1179</v>
      </c>
      <c r="K399" t="s">
        <v>5734</v>
      </c>
      <c r="L399" t="s">
        <v>44</v>
      </c>
      <c r="M399" t="s">
        <v>5735</v>
      </c>
      <c r="N399" t="s">
        <v>45</v>
      </c>
      <c r="O399" t="s">
        <v>82</v>
      </c>
      <c r="P399" t="s">
        <v>83</v>
      </c>
      <c r="Q399" t="s">
        <v>38</v>
      </c>
      <c r="R399">
        <v>4</v>
      </c>
      <c r="S399" t="s">
        <v>5736</v>
      </c>
      <c r="T399" t="s">
        <v>6790</v>
      </c>
      <c r="U399" t="s">
        <v>6790</v>
      </c>
      <c r="V399" t="s">
        <v>50</v>
      </c>
      <c r="W399" t="s">
        <v>33</v>
      </c>
      <c r="X399" t="s">
        <v>33</v>
      </c>
      <c r="Y399" t="s">
        <v>33</v>
      </c>
      <c r="Z399" s="5" t="s">
        <v>34</v>
      </c>
      <c r="AA399">
        <v>-75.6157228</v>
      </c>
      <c r="AB399">
        <v>6.17715076</v>
      </c>
      <c r="AC399" t="s">
        <v>456</v>
      </c>
      <c r="AD399" t="s">
        <v>457</v>
      </c>
    </row>
    <row r="400" spans="1:30" x14ac:dyDescent="0.25">
      <c r="A400" t="s">
        <v>1180</v>
      </c>
      <c r="B400" t="s">
        <v>25</v>
      </c>
      <c r="C400" t="s">
        <v>26</v>
      </c>
      <c r="D400" t="s">
        <v>25</v>
      </c>
      <c r="E400" t="s">
        <v>1181</v>
      </c>
      <c r="F400" t="s">
        <v>1182</v>
      </c>
      <c r="G400">
        <v>3518362</v>
      </c>
      <c r="H400" t="s">
        <v>1183</v>
      </c>
      <c r="I400" s="4" t="s">
        <v>35</v>
      </c>
      <c r="J400" s="4" t="s">
        <v>1184</v>
      </c>
      <c r="K400" t="s">
        <v>1185</v>
      </c>
      <c r="L400" t="s">
        <v>61</v>
      </c>
      <c r="M400" t="s">
        <v>1186</v>
      </c>
      <c r="N400" t="s">
        <v>63</v>
      </c>
      <c r="O400" t="s">
        <v>29</v>
      </c>
      <c r="P400" t="s">
        <v>36</v>
      </c>
      <c r="Q400" t="s">
        <v>31</v>
      </c>
      <c r="R400">
        <v>7</v>
      </c>
      <c r="S400" t="s">
        <v>1187</v>
      </c>
      <c r="T400" t="s">
        <v>6792</v>
      </c>
      <c r="U400" t="s">
        <v>47</v>
      </c>
      <c r="V400" t="s">
        <v>47</v>
      </c>
      <c r="W400" t="s">
        <v>33</v>
      </c>
      <c r="X400" t="s">
        <v>33</v>
      </c>
      <c r="Y400" t="s">
        <v>33</v>
      </c>
      <c r="Z400" s="5" t="s">
        <v>34</v>
      </c>
      <c r="AA400">
        <v>-75.647666060000006</v>
      </c>
      <c r="AB400">
        <v>6.1529794799999999</v>
      </c>
      <c r="AC400" t="s">
        <v>456</v>
      </c>
      <c r="AD400" t="s">
        <v>457</v>
      </c>
    </row>
    <row r="401" spans="1:30" x14ac:dyDescent="0.25">
      <c r="A401" t="s">
        <v>1188</v>
      </c>
      <c r="B401" t="s">
        <v>51</v>
      </c>
      <c r="C401" t="s">
        <v>182</v>
      </c>
      <c r="D401" t="s">
        <v>51</v>
      </c>
      <c r="E401" t="s">
        <v>1189</v>
      </c>
      <c r="F401" t="s">
        <v>1190</v>
      </c>
      <c r="G401">
        <v>71586546</v>
      </c>
      <c r="H401" t="s">
        <v>1191</v>
      </c>
      <c r="I401" s="4" t="s">
        <v>35</v>
      </c>
      <c r="J401" s="4" t="s">
        <v>1192</v>
      </c>
      <c r="K401" t="s">
        <v>1193</v>
      </c>
      <c r="L401" t="s">
        <v>27</v>
      </c>
      <c r="M401" t="s">
        <v>1194</v>
      </c>
      <c r="N401" t="s">
        <v>28</v>
      </c>
      <c r="O401" t="s">
        <v>183</v>
      </c>
      <c r="P401" t="s">
        <v>53</v>
      </c>
      <c r="Q401" t="s">
        <v>31</v>
      </c>
      <c r="R401">
        <v>11</v>
      </c>
      <c r="S401" t="s">
        <v>1195</v>
      </c>
      <c r="T401" t="s">
        <v>6793</v>
      </c>
      <c r="U401" t="s">
        <v>6794</v>
      </c>
      <c r="V401" t="s">
        <v>50</v>
      </c>
      <c r="W401" t="s">
        <v>33</v>
      </c>
      <c r="X401" t="s">
        <v>33</v>
      </c>
      <c r="Y401" t="s">
        <v>33</v>
      </c>
      <c r="Z401" s="5" t="s">
        <v>34</v>
      </c>
      <c r="AA401">
        <v>-75.641230590000006</v>
      </c>
      <c r="AB401">
        <v>6.2807536099999997</v>
      </c>
      <c r="AC401" t="s">
        <v>456</v>
      </c>
      <c r="AD401" t="s">
        <v>457</v>
      </c>
    </row>
    <row r="402" spans="1:30" x14ac:dyDescent="0.25">
      <c r="A402" t="s">
        <v>1196</v>
      </c>
      <c r="B402" t="s">
        <v>95</v>
      </c>
      <c r="C402" t="s">
        <v>26</v>
      </c>
      <c r="D402" t="s">
        <v>96</v>
      </c>
      <c r="E402" t="s">
        <v>1197</v>
      </c>
      <c r="F402" t="s">
        <v>1198</v>
      </c>
      <c r="G402">
        <v>71747654</v>
      </c>
      <c r="H402" t="s">
        <v>1199</v>
      </c>
      <c r="I402" s="4" t="s">
        <v>35</v>
      </c>
      <c r="J402" s="4" t="s">
        <v>1200</v>
      </c>
      <c r="K402" t="s">
        <v>1201</v>
      </c>
      <c r="L402" t="s">
        <v>27</v>
      </c>
      <c r="M402" t="s">
        <v>1202</v>
      </c>
      <c r="N402" t="s">
        <v>28</v>
      </c>
      <c r="O402" t="s">
        <v>103</v>
      </c>
      <c r="P402" t="s">
        <v>158</v>
      </c>
      <c r="Q402" t="s">
        <v>31</v>
      </c>
      <c r="R402">
        <v>9</v>
      </c>
      <c r="S402" t="s">
        <v>1203</v>
      </c>
      <c r="T402" t="s">
        <v>6795</v>
      </c>
      <c r="U402" t="s">
        <v>6796</v>
      </c>
      <c r="V402" t="s">
        <v>50</v>
      </c>
      <c r="W402" t="s">
        <v>33</v>
      </c>
      <c r="X402" t="s">
        <v>33</v>
      </c>
      <c r="Y402" t="s">
        <v>33</v>
      </c>
      <c r="Z402" s="5" t="s">
        <v>34</v>
      </c>
      <c r="AA402">
        <v>-75.614580649999994</v>
      </c>
      <c r="AB402">
        <v>6.2671031800000003</v>
      </c>
      <c r="AC402" t="s">
        <v>456</v>
      </c>
      <c r="AD402" t="s">
        <v>457</v>
      </c>
    </row>
    <row r="403" spans="1:30" x14ac:dyDescent="0.25">
      <c r="A403" t="s">
        <v>3114</v>
      </c>
      <c r="B403" t="s">
        <v>95</v>
      </c>
      <c r="C403" t="s">
        <v>26</v>
      </c>
      <c r="D403" t="s">
        <v>96</v>
      </c>
      <c r="E403" t="s">
        <v>3115</v>
      </c>
      <c r="F403" t="s">
        <v>3116</v>
      </c>
      <c r="G403">
        <v>15450391</v>
      </c>
      <c r="H403" t="s">
        <v>3117</v>
      </c>
      <c r="I403" s="4" t="s">
        <v>3118</v>
      </c>
      <c r="J403" s="4" t="s">
        <v>3119</v>
      </c>
      <c r="K403" t="s">
        <v>3120</v>
      </c>
      <c r="L403" t="s">
        <v>27</v>
      </c>
      <c r="M403" t="s">
        <v>3121</v>
      </c>
      <c r="N403" t="s">
        <v>28</v>
      </c>
      <c r="O403" t="s">
        <v>103</v>
      </c>
      <c r="P403" t="s">
        <v>120</v>
      </c>
      <c r="Q403" t="s">
        <v>38</v>
      </c>
      <c r="R403">
        <v>14</v>
      </c>
      <c r="S403" t="s">
        <v>3122</v>
      </c>
      <c r="T403" t="s">
        <v>6797</v>
      </c>
      <c r="U403" t="s">
        <v>2721</v>
      </c>
      <c r="V403" t="s">
        <v>32</v>
      </c>
      <c r="W403" t="s">
        <v>33</v>
      </c>
      <c r="X403" t="s">
        <v>33</v>
      </c>
      <c r="Y403" t="s">
        <v>33</v>
      </c>
      <c r="Z403" s="5" t="s">
        <v>34</v>
      </c>
      <c r="AA403">
        <v>-75.545015829999997</v>
      </c>
      <c r="AB403">
        <v>6.2018336700000001</v>
      </c>
      <c r="AC403" t="s">
        <v>456</v>
      </c>
      <c r="AD403" t="s">
        <v>457</v>
      </c>
    </row>
    <row r="404" spans="1:30" x14ac:dyDescent="0.25">
      <c r="A404" t="s">
        <v>1204</v>
      </c>
      <c r="B404" t="s">
        <v>95</v>
      </c>
      <c r="C404" t="s">
        <v>26</v>
      </c>
      <c r="D404" t="s">
        <v>96</v>
      </c>
      <c r="E404" t="s">
        <v>1205</v>
      </c>
      <c r="F404" t="s">
        <v>1206</v>
      </c>
      <c r="G404">
        <v>1017180703</v>
      </c>
      <c r="H404" t="s">
        <v>1207</v>
      </c>
      <c r="I404" s="4" t="s">
        <v>1208</v>
      </c>
      <c r="J404" s="4" t="s">
        <v>1209</v>
      </c>
      <c r="K404" t="s">
        <v>1210</v>
      </c>
      <c r="L404" t="s">
        <v>27</v>
      </c>
      <c r="M404" t="s">
        <v>1211</v>
      </c>
      <c r="N404" t="s">
        <v>28</v>
      </c>
      <c r="O404" t="s">
        <v>103</v>
      </c>
      <c r="P404" t="s">
        <v>120</v>
      </c>
      <c r="Q404" t="s">
        <v>31</v>
      </c>
      <c r="R404">
        <v>9</v>
      </c>
      <c r="S404" t="s">
        <v>1212</v>
      </c>
      <c r="T404" t="s">
        <v>6798</v>
      </c>
      <c r="U404" t="s">
        <v>6799</v>
      </c>
      <c r="V404" t="s">
        <v>50</v>
      </c>
      <c r="W404" t="s">
        <v>33</v>
      </c>
      <c r="X404" t="s">
        <v>33</v>
      </c>
      <c r="Y404" t="s">
        <v>33</v>
      </c>
      <c r="Z404" s="5" t="s">
        <v>34</v>
      </c>
      <c r="AA404">
        <v>-75.541204260000001</v>
      </c>
      <c r="AB404">
        <v>6.2379256400000003</v>
      </c>
      <c r="AC404" t="s">
        <v>456</v>
      </c>
      <c r="AD404" t="s">
        <v>457</v>
      </c>
    </row>
    <row r="405" spans="1:30" x14ac:dyDescent="0.25">
      <c r="A405" t="s">
        <v>1213</v>
      </c>
      <c r="B405" t="s">
        <v>51</v>
      </c>
      <c r="C405" t="s">
        <v>26</v>
      </c>
      <c r="D405" t="s">
        <v>51</v>
      </c>
      <c r="E405" t="s">
        <v>1214</v>
      </c>
      <c r="F405" t="s">
        <v>1215</v>
      </c>
      <c r="G405">
        <v>42767391</v>
      </c>
      <c r="H405" t="s">
        <v>1216</v>
      </c>
      <c r="I405" s="4" t="s">
        <v>35</v>
      </c>
      <c r="J405" s="4" t="s">
        <v>1217</v>
      </c>
      <c r="K405" t="s">
        <v>1218</v>
      </c>
      <c r="L405" t="s">
        <v>27</v>
      </c>
      <c r="M405" t="s">
        <v>1219</v>
      </c>
      <c r="N405" t="s">
        <v>28</v>
      </c>
      <c r="O405" t="s">
        <v>52</v>
      </c>
      <c r="P405" t="s">
        <v>53</v>
      </c>
      <c r="Q405" t="s">
        <v>31</v>
      </c>
      <c r="R405">
        <v>11</v>
      </c>
      <c r="S405" t="s">
        <v>1220</v>
      </c>
      <c r="T405" t="s">
        <v>6800</v>
      </c>
      <c r="U405" t="s">
        <v>6801</v>
      </c>
      <c r="V405" t="s">
        <v>32</v>
      </c>
      <c r="W405" t="s">
        <v>33</v>
      </c>
      <c r="X405" t="s">
        <v>33</v>
      </c>
      <c r="Y405" t="s">
        <v>33</v>
      </c>
      <c r="Z405" s="5" t="s">
        <v>34</v>
      </c>
      <c r="AA405">
        <v>-75.629919000000001</v>
      </c>
      <c r="AB405">
        <v>6.2669509999999997</v>
      </c>
      <c r="AC405" t="s">
        <v>456</v>
      </c>
      <c r="AD405" t="s">
        <v>457</v>
      </c>
    </row>
    <row r="406" spans="1:30" x14ac:dyDescent="0.25">
      <c r="A406" t="s">
        <v>1221</v>
      </c>
      <c r="B406" t="s">
        <v>42</v>
      </c>
      <c r="C406" t="s">
        <v>166</v>
      </c>
      <c r="D406" t="s">
        <v>42</v>
      </c>
      <c r="E406" t="s">
        <v>1222</v>
      </c>
      <c r="F406" t="s">
        <v>3716</v>
      </c>
      <c r="G406">
        <v>70164868</v>
      </c>
      <c r="H406" t="s">
        <v>1223</v>
      </c>
      <c r="I406" s="4" t="s">
        <v>35</v>
      </c>
      <c r="J406" s="4" t="s">
        <v>1224</v>
      </c>
      <c r="K406" t="s">
        <v>1225</v>
      </c>
      <c r="L406" t="s">
        <v>77</v>
      </c>
      <c r="M406" t="s">
        <v>1226</v>
      </c>
      <c r="N406" t="s">
        <v>78</v>
      </c>
      <c r="O406" t="s">
        <v>167</v>
      </c>
      <c r="P406" t="s">
        <v>30</v>
      </c>
      <c r="Q406" t="s">
        <v>31</v>
      </c>
      <c r="R406">
        <v>7</v>
      </c>
      <c r="S406" t="s">
        <v>3717</v>
      </c>
      <c r="T406" t="s">
        <v>6802</v>
      </c>
      <c r="U406" t="s">
        <v>6803</v>
      </c>
      <c r="V406" t="s">
        <v>32</v>
      </c>
      <c r="W406" t="s">
        <v>33</v>
      </c>
      <c r="X406" t="s">
        <v>33</v>
      </c>
      <c r="Y406" t="s">
        <v>33</v>
      </c>
      <c r="Z406" s="5" t="s">
        <v>34</v>
      </c>
      <c r="AA406">
        <v>-75.636119359999995</v>
      </c>
      <c r="AB406">
        <v>6.0915284099999996</v>
      </c>
      <c r="AC406" t="s">
        <v>456</v>
      </c>
      <c r="AD406" t="s">
        <v>457</v>
      </c>
    </row>
    <row r="407" spans="1:30" x14ac:dyDescent="0.25">
      <c r="A407" t="s">
        <v>1227</v>
      </c>
      <c r="B407" t="s">
        <v>95</v>
      </c>
      <c r="C407" t="s">
        <v>26</v>
      </c>
      <c r="D407" t="s">
        <v>96</v>
      </c>
      <c r="E407" t="s">
        <v>1228</v>
      </c>
      <c r="F407" t="s">
        <v>1229</v>
      </c>
      <c r="G407">
        <v>1020794173</v>
      </c>
      <c r="H407" t="s">
        <v>1230</v>
      </c>
      <c r="I407" s="4" t="s">
        <v>35</v>
      </c>
      <c r="J407" s="4" t="s">
        <v>1231</v>
      </c>
      <c r="K407" t="s">
        <v>1232</v>
      </c>
      <c r="L407" t="s">
        <v>27</v>
      </c>
      <c r="M407" t="s">
        <v>1233</v>
      </c>
      <c r="N407" t="s">
        <v>28</v>
      </c>
      <c r="O407" t="s">
        <v>103</v>
      </c>
      <c r="P407" t="s">
        <v>120</v>
      </c>
      <c r="Q407" t="s">
        <v>38</v>
      </c>
      <c r="R407">
        <v>14</v>
      </c>
      <c r="S407" t="s">
        <v>1234</v>
      </c>
      <c r="T407" t="s">
        <v>6804</v>
      </c>
      <c r="U407" t="s">
        <v>6405</v>
      </c>
      <c r="V407" t="s">
        <v>32</v>
      </c>
      <c r="W407" t="s">
        <v>33</v>
      </c>
      <c r="X407" t="s">
        <v>33</v>
      </c>
      <c r="Y407" t="s">
        <v>33</v>
      </c>
      <c r="Z407" s="5" t="s">
        <v>34</v>
      </c>
      <c r="AA407">
        <v>-75.633617380000004</v>
      </c>
      <c r="AB407">
        <v>6.2341269500000003</v>
      </c>
      <c r="AC407" t="s">
        <v>456</v>
      </c>
      <c r="AD407" t="s">
        <v>457</v>
      </c>
    </row>
    <row r="408" spans="1:30" x14ac:dyDescent="0.25">
      <c r="A408" t="s">
        <v>3123</v>
      </c>
      <c r="B408" t="s">
        <v>95</v>
      </c>
      <c r="C408" t="s">
        <v>26</v>
      </c>
      <c r="D408" t="s">
        <v>96</v>
      </c>
      <c r="E408" t="s">
        <v>3124</v>
      </c>
      <c r="F408" t="s">
        <v>3125</v>
      </c>
      <c r="G408">
        <v>43493995</v>
      </c>
      <c r="H408" t="s">
        <v>3126</v>
      </c>
      <c r="I408" s="4" t="s">
        <v>35</v>
      </c>
      <c r="J408" s="4" t="s">
        <v>3127</v>
      </c>
      <c r="K408" t="s">
        <v>3128</v>
      </c>
      <c r="L408" t="s">
        <v>27</v>
      </c>
      <c r="M408" t="s">
        <v>3129</v>
      </c>
      <c r="N408" t="s">
        <v>28</v>
      </c>
      <c r="O408" t="s">
        <v>103</v>
      </c>
      <c r="P408" t="s">
        <v>120</v>
      </c>
      <c r="Q408" t="s">
        <v>38</v>
      </c>
      <c r="R408">
        <v>14</v>
      </c>
      <c r="S408" t="s">
        <v>3130</v>
      </c>
      <c r="T408" t="s">
        <v>6805</v>
      </c>
      <c r="U408" t="s">
        <v>3131</v>
      </c>
      <c r="V408" t="s">
        <v>32</v>
      </c>
      <c r="W408" t="s">
        <v>33</v>
      </c>
      <c r="X408" t="s">
        <v>33</v>
      </c>
      <c r="Y408" t="s">
        <v>33</v>
      </c>
      <c r="Z408" s="5" t="s">
        <v>34</v>
      </c>
      <c r="AA408">
        <v>-75.647907000000004</v>
      </c>
      <c r="AB408">
        <v>6.3065001000000001</v>
      </c>
      <c r="AC408" t="s">
        <v>456</v>
      </c>
      <c r="AD408" t="s">
        <v>457</v>
      </c>
    </row>
    <row r="409" spans="1:30" x14ac:dyDescent="0.25">
      <c r="A409" t="s">
        <v>1235</v>
      </c>
      <c r="B409" t="s">
        <v>25</v>
      </c>
      <c r="C409" t="s">
        <v>26</v>
      </c>
      <c r="D409" t="s">
        <v>39</v>
      </c>
      <c r="E409" t="s">
        <v>1236</v>
      </c>
      <c r="F409" t="s">
        <v>1237</v>
      </c>
      <c r="G409">
        <v>1037665983</v>
      </c>
      <c r="H409" t="s">
        <v>1238</v>
      </c>
      <c r="I409" s="4" t="s">
        <v>35</v>
      </c>
      <c r="J409" s="4" t="s">
        <v>1239</v>
      </c>
      <c r="K409" t="s">
        <v>1240</v>
      </c>
      <c r="L409" t="s">
        <v>61</v>
      </c>
      <c r="M409" t="s">
        <v>1241</v>
      </c>
      <c r="N409" t="s">
        <v>63</v>
      </c>
      <c r="O409" t="s">
        <v>40</v>
      </c>
      <c r="P409" t="s">
        <v>36</v>
      </c>
      <c r="Q409" t="s">
        <v>38</v>
      </c>
      <c r="R409">
        <v>8</v>
      </c>
      <c r="S409" t="s">
        <v>1242</v>
      </c>
      <c r="T409" t="s">
        <v>6806</v>
      </c>
      <c r="U409" t="s">
        <v>6807</v>
      </c>
      <c r="V409" t="s">
        <v>50</v>
      </c>
      <c r="W409" t="s">
        <v>33</v>
      </c>
      <c r="X409" t="s">
        <v>33</v>
      </c>
      <c r="Y409" t="s">
        <v>33</v>
      </c>
      <c r="Z409" s="5" t="s">
        <v>34</v>
      </c>
      <c r="AA409">
        <v>-75.649729030000003</v>
      </c>
      <c r="AB409">
        <v>6.13705224</v>
      </c>
      <c r="AC409" t="s">
        <v>456</v>
      </c>
      <c r="AD409" t="s">
        <v>457</v>
      </c>
    </row>
    <row r="410" spans="1:30" x14ac:dyDescent="0.25">
      <c r="A410" t="s">
        <v>1243</v>
      </c>
      <c r="B410" t="s">
        <v>25</v>
      </c>
      <c r="C410" t="s">
        <v>26</v>
      </c>
      <c r="D410" t="s">
        <v>39</v>
      </c>
      <c r="E410" t="s">
        <v>1244</v>
      </c>
      <c r="F410" t="s">
        <v>1245</v>
      </c>
      <c r="G410">
        <v>8070239</v>
      </c>
      <c r="H410" t="s">
        <v>1246</v>
      </c>
      <c r="I410" s="4" t="s">
        <v>35</v>
      </c>
      <c r="J410" s="4" t="s">
        <v>1247</v>
      </c>
      <c r="K410" t="s">
        <v>1248</v>
      </c>
      <c r="L410" t="s">
        <v>61</v>
      </c>
      <c r="M410" t="s">
        <v>1249</v>
      </c>
      <c r="N410" t="s">
        <v>63</v>
      </c>
      <c r="O410" t="s">
        <v>40</v>
      </c>
      <c r="P410" t="s">
        <v>36</v>
      </c>
      <c r="Q410" t="s">
        <v>38</v>
      </c>
      <c r="R410">
        <v>8</v>
      </c>
      <c r="S410" t="s">
        <v>1250</v>
      </c>
      <c r="T410" t="s">
        <v>6808</v>
      </c>
      <c r="U410" t="s">
        <v>6809</v>
      </c>
      <c r="V410" t="s">
        <v>50</v>
      </c>
      <c r="W410" t="s">
        <v>33</v>
      </c>
      <c r="X410" t="s">
        <v>33</v>
      </c>
      <c r="Y410" t="s">
        <v>33</v>
      </c>
      <c r="Z410" s="5" t="s">
        <v>34</v>
      </c>
      <c r="AA410">
        <v>-75.640313000000006</v>
      </c>
      <c r="AB410">
        <v>6.1219950000000001</v>
      </c>
      <c r="AC410" t="s">
        <v>456</v>
      </c>
      <c r="AD410" t="s">
        <v>457</v>
      </c>
    </row>
    <row r="411" spans="1:30" x14ac:dyDescent="0.25">
      <c r="A411" t="s">
        <v>1251</v>
      </c>
      <c r="B411" t="s">
        <v>25</v>
      </c>
      <c r="C411" t="s">
        <v>26</v>
      </c>
      <c r="D411" t="s">
        <v>39</v>
      </c>
      <c r="E411" t="s">
        <v>1252</v>
      </c>
      <c r="F411" t="s">
        <v>1253</v>
      </c>
      <c r="G411">
        <v>24435050</v>
      </c>
      <c r="H411" t="s">
        <v>1254</v>
      </c>
      <c r="I411" s="4" t="s">
        <v>35</v>
      </c>
      <c r="J411" s="4" t="s">
        <v>1255</v>
      </c>
      <c r="K411" t="s">
        <v>1256</v>
      </c>
      <c r="L411" t="s">
        <v>77</v>
      </c>
      <c r="M411" t="s">
        <v>1257</v>
      </c>
      <c r="N411" t="s">
        <v>78</v>
      </c>
      <c r="O411" t="s">
        <v>40</v>
      </c>
      <c r="P411" t="s">
        <v>36</v>
      </c>
      <c r="Q411" t="s">
        <v>31</v>
      </c>
      <c r="R411">
        <v>5</v>
      </c>
      <c r="S411" t="s">
        <v>1258</v>
      </c>
      <c r="T411" t="s">
        <v>6810</v>
      </c>
      <c r="U411" t="s">
        <v>47</v>
      </c>
      <c r="V411" t="s">
        <v>47</v>
      </c>
      <c r="W411" t="s">
        <v>33</v>
      </c>
      <c r="X411" t="s">
        <v>33</v>
      </c>
      <c r="Y411" t="s">
        <v>33</v>
      </c>
      <c r="Z411" s="5" t="s">
        <v>34</v>
      </c>
      <c r="AA411">
        <v>-75.641452639999997</v>
      </c>
      <c r="AB411">
        <v>6.1099124600000003</v>
      </c>
      <c r="AC411" t="s">
        <v>456</v>
      </c>
      <c r="AD411" t="s">
        <v>457</v>
      </c>
    </row>
    <row r="412" spans="1:30" x14ac:dyDescent="0.25">
      <c r="A412" t="s">
        <v>5737</v>
      </c>
      <c r="B412" t="s">
        <v>25</v>
      </c>
      <c r="C412" t="s">
        <v>26</v>
      </c>
      <c r="D412" t="s">
        <v>39</v>
      </c>
      <c r="E412" t="s">
        <v>5738</v>
      </c>
      <c r="F412" t="s">
        <v>5739</v>
      </c>
      <c r="G412">
        <v>71592362</v>
      </c>
      <c r="H412" t="s">
        <v>5740</v>
      </c>
      <c r="I412" s="4" t="s">
        <v>5741</v>
      </c>
      <c r="J412" s="4" t="s">
        <v>5742</v>
      </c>
      <c r="K412" t="s">
        <v>5743</v>
      </c>
      <c r="L412" t="s">
        <v>27</v>
      </c>
      <c r="M412" t="s">
        <v>5744</v>
      </c>
      <c r="N412" t="s">
        <v>28</v>
      </c>
      <c r="O412" t="s">
        <v>40</v>
      </c>
      <c r="P412" t="s">
        <v>41</v>
      </c>
      <c r="Q412" t="s">
        <v>31</v>
      </c>
      <c r="R412">
        <v>5</v>
      </c>
      <c r="S412" t="s">
        <v>5745</v>
      </c>
      <c r="T412" t="s">
        <v>4913</v>
      </c>
      <c r="U412" t="s">
        <v>6811</v>
      </c>
      <c r="V412" t="s">
        <v>32</v>
      </c>
      <c r="W412" t="s">
        <v>33</v>
      </c>
      <c r="X412" t="s">
        <v>33</v>
      </c>
      <c r="Y412" t="s">
        <v>33</v>
      </c>
      <c r="Z412" s="5" t="s">
        <v>34</v>
      </c>
      <c r="AA412">
        <v>-75.547156999999999</v>
      </c>
      <c r="AB412">
        <v>6.2520819999999997</v>
      </c>
      <c r="AC412" t="s">
        <v>456</v>
      </c>
      <c r="AD412" t="s">
        <v>457</v>
      </c>
    </row>
    <row r="413" spans="1:30" x14ac:dyDescent="0.25">
      <c r="A413" t="s">
        <v>3132</v>
      </c>
      <c r="B413" t="s">
        <v>42</v>
      </c>
      <c r="C413" t="s">
        <v>26</v>
      </c>
      <c r="D413" t="s">
        <v>42</v>
      </c>
      <c r="E413" t="s">
        <v>3133</v>
      </c>
      <c r="F413" t="s">
        <v>3134</v>
      </c>
      <c r="G413">
        <v>43041141</v>
      </c>
      <c r="H413" t="s">
        <v>3135</v>
      </c>
      <c r="I413" s="4" t="s">
        <v>35</v>
      </c>
      <c r="J413" s="4" t="s">
        <v>3003</v>
      </c>
      <c r="K413" t="s">
        <v>3136</v>
      </c>
      <c r="L413" t="s">
        <v>44</v>
      </c>
      <c r="M413" t="s">
        <v>3137</v>
      </c>
      <c r="N413" t="s">
        <v>45</v>
      </c>
      <c r="O413" t="s">
        <v>43</v>
      </c>
      <c r="P413" t="s">
        <v>30</v>
      </c>
      <c r="Q413" t="s">
        <v>31</v>
      </c>
      <c r="R413">
        <v>7</v>
      </c>
      <c r="S413" t="s">
        <v>3138</v>
      </c>
      <c r="T413" t="s">
        <v>6812</v>
      </c>
      <c r="U413" t="s">
        <v>47</v>
      </c>
      <c r="V413" t="s">
        <v>47</v>
      </c>
      <c r="W413" t="s">
        <v>33</v>
      </c>
      <c r="X413" t="s">
        <v>33</v>
      </c>
      <c r="Y413" t="s">
        <v>33</v>
      </c>
      <c r="Z413" s="5" t="s">
        <v>34</v>
      </c>
      <c r="AA413">
        <v>-75.634686669999994</v>
      </c>
      <c r="AB413">
        <v>6.1745599999999996</v>
      </c>
      <c r="AC413" t="s">
        <v>456</v>
      </c>
      <c r="AD413" t="s">
        <v>457</v>
      </c>
    </row>
    <row r="414" spans="1:30" x14ac:dyDescent="0.25">
      <c r="A414" t="s">
        <v>3140</v>
      </c>
      <c r="B414" t="s">
        <v>42</v>
      </c>
      <c r="C414" t="s">
        <v>26</v>
      </c>
      <c r="D414" t="s">
        <v>42</v>
      </c>
      <c r="E414" t="s">
        <v>3141</v>
      </c>
      <c r="F414" t="s">
        <v>3142</v>
      </c>
      <c r="G414">
        <v>43041141</v>
      </c>
      <c r="H414" t="s">
        <v>3135</v>
      </c>
      <c r="I414" s="4" t="s">
        <v>35</v>
      </c>
      <c r="J414" s="4" t="s">
        <v>3003</v>
      </c>
      <c r="K414" t="s">
        <v>3143</v>
      </c>
      <c r="L414" t="s">
        <v>44</v>
      </c>
      <c r="M414" t="s">
        <v>3144</v>
      </c>
      <c r="N414" t="s">
        <v>45</v>
      </c>
      <c r="O414" t="s">
        <v>43</v>
      </c>
      <c r="P414" t="s">
        <v>30</v>
      </c>
      <c r="Q414" t="s">
        <v>31</v>
      </c>
      <c r="R414">
        <v>7</v>
      </c>
      <c r="S414" t="s">
        <v>3145</v>
      </c>
      <c r="T414" t="s">
        <v>6812</v>
      </c>
      <c r="U414" t="s">
        <v>47</v>
      </c>
      <c r="V414" t="s">
        <v>47</v>
      </c>
      <c r="W414" t="s">
        <v>33</v>
      </c>
      <c r="X414" t="s">
        <v>33</v>
      </c>
      <c r="Y414" t="s">
        <v>33</v>
      </c>
      <c r="Z414" s="5" t="s">
        <v>34</v>
      </c>
      <c r="AA414">
        <v>-75.634686669999994</v>
      </c>
      <c r="AB414">
        <v>6.1745599999999996</v>
      </c>
      <c r="AC414" t="s">
        <v>456</v>
      </c>
      <c r="AD414" t="s">
        <v>457</v>
      </c>
    </row>
    <row r="415" spans="1:30" x14ac:dyDescent="0.25">
      <c r="A415" t="s">
        <v>3146</v>
      </c>
      <c r="B415" t="s">
        <v>95</v>
      </c>
      <c r="C415" t="s">
        <v>26</v>
      </c>
      <c r="D415" t="s">
        <v>96</v>
      </c>
      <c r="E415" t="s">
        <v>3147</v>
      </c>
      <c r="F415" t="s">
        <v>3148</v>
      </c>
      <c r="G415">
        <v>71530522</v>
      </c>
      <c r="H415" t="s">
        <v>3149</v>
      </c>
      <c r="I415" s="4" t="s">
        <v>35</v>
      </c>
      <c r="J415" s="4" t="s">
        <v>3150</v>
      </c>
      <c r="K415" t="s">
        <v>3151</v>
      </c>
      <c r="L415" t="s">
        <v>27</v>
      </c>
      <c r="M415" t="s">
        <v>3152</v>
      </c>
      <c r="N415" t="s">
        <v>28</v>
      </c>
      <c r="O415" t="s">
        <v>103</v>
      </c>
      <c r="P415" t="s">
        <v>120</v>
      </c>
      <c r="Q415" t="s">
        <v>38</v>
      </c>
      <c r="R415">
        <v>14</v>
      </c>
      <c r="S415" t="s">
        <v>3153</v>
      </c>
      <c r="T415" t="s">
        <v>6813</v>
      </c>
      <c r="U415" t="s">
        <v>6813</v>
      </c>
      <c r="V415" t="s">
        <v>32</v>
      </c>
      <c r="W415" t="s">
        <v>33</v>
      </c>
      <c r="X415" t="s">
        <v>33</v>
      </c>
      <c r="Y415" t="s">
        <v>33</v>
      </c>
      <c r="Z415" s="5" t="s">
        <v>34</v>
      </c>
      <c r="AA415">
        <v>-75.703671670000006</v>
      </c>
      <c r="AB415">
        <v>6.3413566699999997</v>
      </c>
      <c r="AC415" t="s">
        <v>456</v>
      </c>
      <c r="AD415" t="s">
        <v>457</v>
      </c>
    </row>
    <row r="416" spans="1:30" x14ac:dyDescent="0.25">
      <c r="A416" t="s">
        <v>1267</v>
      </c>
      <c r="B416" t="s">
        <v>25</v>
      </c>
      <c r="C416" t="s">
        <v>26</v>
      </c>
      <c r="D416" t="s">
        <v>25</v>
      </c>
      <c r="E416" t="s">
        <v>1268</v>
      </c>
      <c r="F416" t="s">
        <v>1269</v>
      </c>
      <c r="G416">
        <v>1039464584</v>
      </c>
      <c r="H416" t="s">
        <v>1270</v>
      </c>
      <c r="I416" s="4" t="s">
        <v>1271</v>
      </c>
      <c r="J416" s="4" t="s">
        <v>1272</v>
      </c>
      <c r="K416" t="s">
        <v>1273</v>
      </c>
      <c r="L416" t="s">
        <v>79</v>
      </c>
      <c r="M416" t="s">
        <v>1274</v>
      </c>
      <c r="N416" t="s">
        <v>80</v>
      </c>
      <c r="O416" t="s">
        <v>29</v>
      </c>
      <c r="P416" t="s">
        <v>37</v>
      </c>
      <c r="Q416" t="s">
        <v>38</v>
      </c>
      <c r="R416">
        <v>10</v>
      </c>
      <c r="S416" t="s">
        <v>1275</v>
      </c>
      <c r="T416" t="s">
        <v>6079</v>
      </c>
      <c r="U416" t="s">
        <v>6766</v>
      </c>
      <c r="V416" t="s">
        <v>32</v>
      </c>
      <c r="W416" t="s">
        <v>33</v>
      </c>
      <c r="X416" t="s">
        <v>33</v>
      </c>
      <c r="Y416" t="s">
        <v>33</v>
      </c>
      <c r="Z416" s="5" t="s">
        <v>34</v>
      </c>
      <c r="AA416">
        <v>-75.630382460000007</v>
      </c>
      <c r="AB416">
        <v>6.1397966799999999</v>
      </c>
      <c r="AC416" t="s">
        <v>456</v>
      </c>
      <c r="AD416" t="s">
        <v>457</v>
      </c>
    </row>
    <row r="417" spans="1:30" x14ac:dyDescent="0.25">
      <c r="A417" t="s">
        <v>3154</v>
      </c>
      <c r="B417" t="s">
        <v>42</v>
      </c>
      <c r="C417" t="s">
        <v>26</v>
      </c>
      <c r="D417" t="s">
        <v>42</v>
      </c>
      <c r="E417" t="s">
        <v>3155</v>
      </c>
      <c r="F417" t="s">
        <v>3156</v>
      </c>
      <c r="G417">
        <v>43041141</v>
      </c>
      <c r="H417" t="s">
        <v>3135</v>
      </c>
      <c r="I417" s="4" t="s">
        <v>35</v>
      </c>
      <c r="J417" s="4" t="s">
        <v>3003</v>
      </c>
      <c r="K417" t="s">
        <v>3157</v>
      </c>
      <c r="L417" t="s">
        <v>44</v>
      </c>
      <c r="M417" t="s">
        <v>3158</v>
      </c>
      <c r="N417" t="s">
        <v>45</v>
      </c>
      <c r="O417" t="s">
        <v>43</v>
      </c>
      <c r="P417" t="s">
        <v>30</v>
      </c>
      <c r="Q417" t="s">
        <v>31</v>
      </c>
      <c r="R417">
        <v>7</v>
      </c>
      <c r="S417" t="s">
        <v>3159</v>
      </c>
      <c r="T417" t="s">
        <v>6814</v>
      </c>
      <c r="U417" t="s">
        <v>47</v>
      </c>
      <c r="V417" t="s">
        <v>47</v>
      </c>
      <c r="W417" t="s">
        <v>33</v>
      </c>
      <c r="X417" t="s">
        <v>33</v>
      </c>
      <c r="Y417" t="s">
        <v>33</v>
      </c>
      <c r="Z417" s="5" t="s">
        <v>34</v>
      </c>
      <c r="AA417">
        <v>-75.634686669999994</v>
      </c>
      <c r="AB417">
        <v>6.1745599999999996</v>
      </c>
      <c r="AC417" t="s">
        <v>456</v>
      </c>
      <c r="AD417" t="s">
        <v>457</v>
      </c>
    </row>
    <row r="418" spans="1:30" x14ac:dyDescent="0.25">
      <c r="A418" t="s">
        <v>3160</v>
      </c>
      <c r="B418" t="s">
        <v>42</v>
      </c>
      <c r="C418" t="s">
        <v>26</v>
      </c>
      <c r="D418" t="s">
        <v>42</v>
      </c>
      <c r="E418" t="s">
        <v>3161</v>
      </c>
      <c r="F418" t="s">
        <v>3162</v>
      </c>
      <c r="G418">
        <v>43041141</v>
      </c>
      <c r="H418" t="s">
        <v>3135</v>
      </c>
      <c r="I418" s="4" t="s">
        <v>35</v>
      </c>
      <c r="J418" s="4" t="s">
        <v>3003</v>
      </c>
      <c r="K418" t="s">
        <v>3163</v>
      </c>
      <c r="L418" t="s">
        <v>44</v>
      </c>
      <c r="M418" t="s">
        <v>3164</v>
      </c>
      <c r="N418" t="s">
        <v>45</v>
      </c>
      <c r="O418" t="s">
        <v>43</v>
      </c>
      <c r="P418" t="s">
        <v>30</v>
      </c>
      <c r="Q418" t="s">
        <v>31</v>
      </c>
      <c r="R418">
        <v>7</v>
      </c>
      <c r="S418" t="s">
        <v>3165</v>
      </c>
      <c r="T418" t="s">
        <v>6814</v>
      </c>
      <c r="U418" t="s">
        <v>47</v>
      </c>
      <c r="V418" t="s">
        <v>47</v>
      </c>
      <c r="W418" t="s">
        <v>33</v>
      </c>
      <c r="X418" t="s">
        <v>33</v>
      </c>
      <c r="Y418" t="s">
        <v>33</v>
      </c>
      <c r="Z418" s="5" t="s">
        <v>34</v>
      </c>
      <c r="AA418">
        <v>-75.634686669999994</v>
      </c>
      <c r="AB418">
        <v>6.1745599999999996</v>
      </c>
      <c r="AC418" t="s">
        <v>456</v>
      </c>
      <c r="AD418" t="s">
        <v>457</v>
      </c>
    </row>
    <row r="419" spans="1:30" x14ac:dyDescent="0.25">
      <c r="A419" t="s">
        <v>3166</v>
      </c>
      <c r="B419" t="s">
        <v>42</v>
      </c>
      <c r="C419" t="s">
        <v>26</v>
      </c>
      <c r="D419" t="s">
        <v>42</v>
      </c>
      <c r="E419" t="s">
        <v>3167</v>
      </c>
      <c r="F419" t="s">
        <v>3168</v>
      </c>
      <c r="G419">
        <v>43041141</v>
      </c>
      <c r="H419" t="s">
        <v>3135</v>
      </c>
      <c r="I419" s="4" t="s">
        <v>35</v>
      </c>
      <c r="J419" s="4" t="s">
        <v>3003</v>
      </c>
      <c r="K419" t="s">
        <v>3169</v>
      </c>
      <c r="L419" t="s">
        <v>44</v>
      </c>
      <c r="M419" t="s">
        <v>3170</v>
      </c>
      <c r="N419" t="s">
        <v>45</v>
      </c>
      <c r="O419" t="s">
        <v>43</v>
      </c>
      <c r="P419" t="s">
        <v>30</v>
      </c>
      <c r="Q419" t="s">
        <v>31</v>
      </c>
      <c r="R419">
        <v>7</v>
      </c>
      <c r="S419" t="s">
        <v>3171</v>
      </c>
      <c r="T419" t="s">
        <v>6814</v>
      </c>
      <c r="U419" t="s">
        <v>47</v>
      </c>
      <c r="V419" t="s">
        <v>47</v>
      </c>
      <c r="W419" t="s">
        <v>33</v>
      </c>
      <c r="X419" t="s">
        <v>33</v>
      </c>
      <c r="Y419" t="s">
        <v>33</v>
      </c>
      <c r="Z419" s="5" t="s">
        <v>34</v>
      </c>
      <c r="AA419">
        <v>-75.634686669999994</v>
      </c>
      <c r="AB419">
        <v>6.1745599999999996</v>
      </c>
      <c r="AC419" t="s">
        <v>456</v>
      </c>
      <c r="AD419" t="s">
        <v>457</v>
      </c>
    </row>
    <row r="420" spans="1:30" x14ac:dyDescent="0.25">
      <c r="A420" t="s">
        <v>3172</v>
      </c>
      <c r="B420" t="s">
        <v>42</v>
      </c>
      <c r="C420" t="s">
        <v>26</v>
      </c>
      <c r="D420" t="s">
        <v>42</v>
      </c>
      <c r="E420" t="s">
        <v>3173</v>
      </c>
      <c r="F420" t="s">
        <v>3174</v>
      </c>
      <c r="G420">
        <v>43041141</v>
      </c>
      <c r="H420" t="s">
        <v>3135</v>
      </c>
      <c r="I420" s="4" t="s">
        <v>35</v>
      </c>
      <c r="J420" s="4" t="s">
        <v>3003</v>
      </c>
      <c r="K420" t="s">
        <v>3175</v>
      </c>
      <c r="L420" t="s">
        <v>44</v>
      </c>
      <c r="M420" t="s">
        <v>3176</v>
      </c>
      <c r="N420" t="s">
        <v>45</v>
      </c>
      <c r="O420" t="s">
        <v>43</v>
      </c>
      <c r="P420" t="s">
        <v>30</v>
      </c>
      <c r="Q420" t="s">
        <v>31</v>
      </c>
      <c r="R420">
        <v>7</v>
      </c>
      <c r="S420" t="s">
        <v>3177</v>
      </c>
      <c r="T420" t="s">
        <v>6814</v>
      </c>
      <c r="U420" t="s">
        <v>47</v>
      </c>
      <c r="V420" t="s">
        <v>47</v>
      </c>
      <c r="W420" t="s">
        <v>33</v>
      </c>
      <c r="X420" t="s">
        <v>33</v>
      </c>
      <c r="Y420" t="s">
        <v>33</v>
      </c>
      <c r="Z420" s="5" t="s">
        <v>34</v>
      </c>
      <c r="AA420">
        <v>-75.634686669999994</v>
      </c>
      <c r="AB420">
        <v>6.1745599999999996</v>
      </c>
      <c r="AC420" t="s">
        <v>456</v>
      </c>
      <c r="AD420" t="s">
        <v>457</v>
      </c>
    </row>
    <row r="421" spans="1:30" x14ac:dyDescent="0.25">
      <c r="A421" t="s">
        <v>3178</v>
      </c>
      <c r="B421" t="s">
        <v>42</v>
      </c>
      <c r="C421" t="s">
        <v>26</v>
      </c>
      <c r="D421" t="s">
        <v>42</v>
      </c>
      <c r="E421" t="s">
        <v>3179</v>
      </c>
      <c r="F421" t="s">
        <v>3180</v>
      </c>
      <c r="G421">
        <v>43041141</v>
      </c>
      <c r="H421" t="s">
        <v>3135</v>
      </c>
      <c r="I421" s="4" t="s">
        <v>35</v>
      </c>
      <c r="J421" s="4" t="s">
        <v>3003</v>
      </c>
      <c r="K421" t="s">
        <v>3181</v>
      </c>
      <c r="L421" t="s">
        <v>44</v>
      </c>
      <c r="M421" t="s">
        <v>3182</v>
      </c>
      <c r="N421" t="s">
        <v>45</v>
      </c>
      <c r="O421" t="s">
        <v>43</v>
      </c>
      <c r="P421" t="s">
        <v>30</v>
      </c>
      <c r="Q421" t="s">
        <v>31</v>
      </c>
      <c r="R421">
        <v>7</v>
      </c>
      <c r="S421" t="s">
        <v>3183</v>
      </c>
      <c r="T421" t="s">
        <v>6815</v>
      </c>
      <c r="U421" t="s">
        <v>47</v>
      </c>
      <c r="V421" t="s">
        <v>47</v>
      </c>
      <c r="W421" t="s">
        <v>33</v>
      </c>
      <c r="X421" t="s">
        <v>33</v>
      </c>
      <c r="Y421" t="s">
        <v>33</v>
      </c>
      <c r="Z421" s="5" t="s">
        <v>34</v>
      </c>
      <c r="AA421">
        <v>-75.634686669999994</v>
      </c>
      <c r="AB421">
        <v>6.1745599999999996</v>
      </c>
      <c r="AC421" t="s">
        <v>456</v>
      </c>
      <c r="AD421" t="s">
        <v>457</v>
      </c>
    </row>
    <row r="422" spans="1:30" x14ac:dyDescent="0.25">
      <c r="A422" t="s">
        <v>1278</v>
      </c>
      <c r="B422" t="s">
        <v>25</v>
      </c>
      <c r="C422" t="s">
        <v>26</v>
      </c>
      <c r="D422" t="s">
        <v>25</v>
      </c>
      <c r="E422" t="s">
        <v>1279</v>
      </c>
      <c r="F422" t="s">
        <v>1280</v>
      </c>
      <c r="G422">
        <v>44000559</v>
      </c>
      <c r="H422" t="s">
        <v>1281</v>
      </c>
      <c r="I422" s="4" t="s">
        <v>35</v>
      </c>
      <c r="J422" s="4" t="s">
        <v>1282</v>
      </c>
      <c r="K422" t="s">
        <v>1283</v>
      </c>
      <c r="L422" t="s">
        <v>27</v>
      </c>
      <c r="M422" t="s">
        <v>1284</v>
      </c>
      <c r="N422" t="s">
        <v>28</v>
      </c>
      <c r="O422" t="s">
        <v>29</v>
      </c>
      <c r="P422" t="s">
        <v>37</v>
      </c>
      <c r="Q422" t="s">
        <v>38</v>
      </c>
      <c r="R422">
        <v>10</v>
      </c>
      <c r="S422" t="s">
        <v>1285</v>
      </c>
      <c r="T422" t="s">
        <v>6815</v>
      </c>
      <c r="U422" t="s">
        <v>6816</v>
      </c>
      <c r="V422" t="s">
        <v>32</v>
      </c>
      <c r="W422" t="s">
        <v>33</v>
      </c>
      <c r="X422" t="s">
        <v>33</v>
      </c>
      <c r="Y422" t="s">
        <v>33</v>
      </c>
      <c r="Z422" s="5" t="s">
        <v>34</v>
      </c>
      <c r="AA422">
        <v>-75.499201040000003</v>
      </c>
      <c r="AB422">
        <v>6.2294133800000004</v>
      </c>
      <c r="AC422" t="s">
        <v>456</v>
      </c>
      <c r="AD422" t="s">
        <v>457</v>
      </c>
    </row>
    <row r="423" spans="1:30" x14ac:dyDescent="0.25">
      <c r="A423" t="s">
        <v>1286</v>
      </c>
      <c r="B423" t="s">
        <v>25</v>
      </c>
      <c r="C423" t="s">
        <v>26</v>
      </c>
      <c r="D423" t="s">
        <v>25</v>
      </c>
      <c r="E423" t="s">
        <v>1287</v>
      </c>
      <c r="F423" t="s">
        <v>1288</v>
      </c>
      <c r="G423">
        <v>43439600</v>
      </c>
      <c r="H423" t="s">
        <v>1289</v>
      </c>
      <c r="I423" s="4" t="s">
        <v>1290</v>
      </c>
      <c r="J423" s="4" t="s">
        <v>1291</v>
      </c>
      <c r="K423" t="s">
        <v>1292</v>
      </c>
      <c r="L423" t="s">
        <v>27</v>
      </c>
      <c r="M423" t="s">
        <v>1293</v>
      </c>
      <c r="N423" t="s">
        <v>28</v>
      </c>
      <c r="O423" t="s">
        <v>29</v>
      </c>
      <c r="P423" t="s">
        <v>37</v>
      </c>
      <c r="Q423" t="s">
        <v>38</v>
      </c>
      <c r="R423">
        <v>10</v>
      </c>
      <c r="S423" t="s">
        <v>1294</v>
      </c>
      <c r="T423" t="s">
        <v>6817</v>
      </c>
      <c r="U423" t="s">
        <v>6818</v>
      </c>
      <c r="V423" t="s">
        <v>32</v>
      </c>
      <c r="W423" t="s">
        <v>33</v>
      </c>
      <c r="X423" t="s">
        <v>33</v>
      </c>
      <c r="Y423" t="s">
        <v>33</v>
      </c>
      <c r="Z423" s="5" t="s">
        <v>34</v>
      </c>
      <c r="AA423">
        <v>-75.520175589999994</v>
      </c>
      <c r="AB423">
        <v>6.2014890899999999</v>
      </c>
      <c r="AC423" t="s">
        <v>456</v>
      </c>
      <c r="AD423" t="s">
        <v>457</v>
      </c>
    </row>
    <row r="424" spans="1:30" x14ac:dyDescent="0.25">
      <c r="A424" t="s">
        <v>3184</v>
      </c>
      <c r="B424" t="s">
        <v>42</v>
      </c>
      <c r="C424" t="s">
        <v>26</v>
      </c>
      <c r="D424" t="s">
        <v>42</v>
      </c>
      <c r="E424" t="s">
        <v>3185</v>
      </c>
      <c r="F424" t="s">
        <v>3186</v>
      </c>
      <c r="G424">
        <v>70827128</v>
      </c>
      <c r="H424" t="s">
        <v>3187</v>
      </c>
      <c r="I424" s="4" t="s">
        <v>3188</v>
      </c>
      <c r="J424" s="4" t="s">
        <v>3189</v>
      </c>
      <c r="K424" t="s">
        <v>3190</v>
      </c>
      <c r="L424" t="s">
        <v>27</v>
      </c>
      <c r="M424" t="s">
        <v>3191</v>
      </c>
      <c r="N424" t="s">
        <v>28</v>
      </c>
      <c r="O424" t="s">
        <v>43</v>
      </c>
      <c r="P424" t="s">
        <v>37</v>
      </c>
      <c r="Q424" t="s">
        <v>38</v>
      </c>
      <c r="R424">
        <v>10</v>
      </c>
      <c r="S424" t="s">
        <v>3192</v>
      </c>
      <c r="T424" t="s">
        <v>6817</v>
      </c>
      <c r="U424" t="s">
        <v>6818</v>
      </c>
      <c r="V424" t="s">
        <v>32</v>
      </c>
      <c r="W424" t="s">
        <v>33</v>
      </c>
      <c r="X424" t="s">
        <v>33</v>
      </c>
      <c r="Y424" t="s">
        <v>33</v>
      </c>
      <c r="Z424" s="5" t="s">
        <v>34</v>
      </c>
      <c r="AA424">
        <v>-75.631766389999996</v>
      </c>
      <c r="AB424">
        <v>6.2811912999999997</v>
      </c>
      <c r="AC424" t="s">
        <v>456</v>
      </c>
      <c r="AD424" t="s">
        <v>457</v>
      </c>
    </row>
    <row r="425" spans="1:30" x14ac:dyDescent="0.25">
      <c r="A425" t="s">
        <v>2219</v>
      </c>
      <c r="B425" t="s">
        <v>95</v>
      </c>
      <c r="C425" t="s">
        <v>26</v>
      </c>
      <c r="D425" t="s">
        <v>96</v>
      </c>
      <c r="E425" t="s">
        <v>2220</v>
      </c>
      <c r="F425" t="s">
        <v>2221</v>
      </c>
      <c r="G425">
        <v>1001592924</v>
      </c>
      <c r="H425" t="s">
        <v>2222</v>
      </c>
      <c r="I425" s="4" t="s">
        <v>35</v>
      </c>
      <c r="J425" s="4" t="s">
        <v>2223</v>
      </c>
      <c r="K425" t="s">
        <v>2224</v>
      </c>
      <c r="L425" t="s">
        <v>27</v>
      </c>
      <c r="M425" t="s">
        <v>2225</v>
      </c>
      <c r="N425" t="s">
        <v>28</v>
      </c>
      <c r="O425" t="s">
        <v>103</v>
      </c>
      <c r="P425" t="s">
        <v>158</v>
      </c>
      <c r="Q425" t="s">
        <v>31</v>
      </c>
      <c r="R425">
        <v>9</v>
      </c>
      <c r="S425" t="s">
        <v>2226</v>
      </c>
      <c r="T425" t="s">
        <v>4936</v>
      </c>
      <c r="U425" t="s">
        <v>6819</v>
      </c>
      <c r="V425" t="s">
        <v>50</v>
      </c>
      <c r="W425" t="s">
        <v>33</v>
      </c>
      <c r="X425" t="s">
        <v>33</v>
      </c>
      <c r="Y425" t="s">
        <v>33</v>
      </c>
      <c r="Z425" s="5" t="s">
        <v>34</v>
      </c>
      <c r="AA425">
        <v>-75.613376700000003</v>
      </c>
      <c r="AB425">
        <v>6.2752399399999996</v>
      </c>
      <c r="AC425" t="s">
        <v>456</v>
      </c>
      <c r="AD425" t="s">
        <v>457</v>
      </c>
    </row>
    <row r="426" spans="1:30" x14ac:dyDescent="0.25">
      <c r="A426" t="s">
        <v>5747</v>
      </c>
      <c r="B426" t="s">
        <v>25</v>
      </c>
      <c r="C426" t="s">
        <v>26</v>
      </c>
      <c r="D426" t="s">
        <v>39</v>
      </c>
      <c r="E426" t="s">
        <v>5748</v>
      </c>
      <c r="F426" t="s">
        <v>5749</v>
      </c>
      <c r="G426">
        <v>43749066</v>
      </c>
      <c r="H426" t="s">
        <v>5750</v>
      </c>
      <c r="I426" s="4" t="s">
        <v>35</v>
      </c>
      <c r="J426" s="4" t="s">
        <v>5751</v>
      </c>
      <c r="K426" t="s">
        <v>5752</v>
      </c>
      <c r="L426" t="s">
        <v>27</v>
      </c>
      <c r="M426" t="s">
        <v>5753</v>
      </c>
      <c r="N426" t="s">
        <v>28</v>
      </c>
      <c r="O426" t="s">
        <v>40</v>
      </c>
      <c r="P426" t="s">
        <v>41</v>
      </c>
      <c r="Q426" t="s">
        <v>38</v>
      </c>
      <c r="R426">
        <v>8</v>
      </c>
      <c r="S426" t="s">
        <v>5754</v>
      </c>
      <c r="T426" t="s">
        <v>6820</v>
      </c>
      <c r="U426" t="s">
        <v>6821</v>
      </c>
      <c r="V426" t="s">
        <v>32</v>
      </c>
      <c r="W426" t="s">
        <v>33</v>
      </c>
      <c r="X426" t="s">
        <v>33</v>
      </c>
      <c r="Y426" t="s">
        <v>33</v>
      </c>
      <c r="Z426" s="5" t="s">
        <v>34</v>
      </c>
      <c r="AA426">
        <v>-75.631817560000002</v>
      </c>
      <c r="AB426">
        <v>6.2335741699999998</v>
      </c>
      <c r="AC426" t="s">
        <v>456</v>
      </c>
      <c r="AD426" t="s">
        <v>457</v>
      </c>
    </row>
    <row r="427" spans="1:30" x14ac:dyDescent="0.25">
      <c r="A427" t="s">
        <v>1295</v>
      </c>
      <c r="B427" t="s">
        <v>25</v>
      </c>
      <c r="C427" t="s">
        <v>26</v>
      </c>
      <c r="D427" t="s">
        <v>39</v>
      </c>
      <c r="E427" t="s">
        <v>1296</v>
      </c>
      <c r="F427" t="s">
        <v>1297</v>
      </c>
      <c r="G427">
        <v>39161165</v>
      </c>
      <c r="H427" t="s">
        <v>1298</v>
      </c>
      <c r="I427" s="4" t="s">
        <v>35</v>
      </c>
      <c r="J427" s="4" t="s">
        <v>1299</v>
      </c>
      <c r="K427" t="s">
        <v>1300</v>
      </c>
      <c r="L427" t="s">
        <v>77</v>
      </c>
      <c r="M427" t="s">
        <v>1301</v>
      </c>
      <c r="N427" t="s">
        <v>78</v>
      </c>
      <c r="O427" t="s">
        <v>40</v>
      </c>
      <c r="P427" t="s">
        <v>36</v>
      </c>
      <c r="Q427" t="s">
        <v>31</v>
      </c>
      <c r="R427">
        <v>5</v>
      </c>
      <c r="S427" t="s">
        <v>1302</v>
      </c>
      <c r="T427" t="s">
        <v>4940</v>
      </c>
      <c r="U427" t="s">
        <v>47</v>
      </c>
      <c r="V427" t="s">
        <v>47</v>
      </c>
      <c r="W427" t="s">
        <v>33</v>
      </c>
      <c r="X427" t="s">
        <v>33</v>
      </c>
      <c r="Y427" t="s">
        <v>33</v>
      </c>
      <c r="Z427" s="5" t="s">
        <v>34</v>
      </c>
      <c r="AA427">
        <v>-75.641575000000003</v>
      </c>
      <c r="AB427">
        <v>6.1097330000000003</v>
      </c>
      <c r="AC427" t="s">
        <v>456</v>
      </c>
      <c r="AD427" t="s">
        <v>457</v>
      </c>
    </row>
    <row r="428" spans="1:30" x14ac:dyDescent="0.25">
      <c r="A428" t="s">
        <v>1303</v>
      </c>
      <c r="B428" t="s">
        <v>95</v>
      </c>
      <c r="C428" t="s">
        <v>26</v>
      </c>
      <c r="D428" t="s">
        <v>96</v>
      </c>
      <c r="E428" t="s">
        <v>1304</v>
      </c>
      <c r="F428" t="s">
        <v>1305</v>
      </c>
      <c r="G428">
        <v>98664246</v>
      </c>
      <c r="H428" t="s">
        <v>1306</v>
      </c>
      <c r="I428" s="4" t="s">
        <v>35</v>
      </c>
      <c r="J428" s="4" t="s">
        <v>1307</v>
      </c>
      <c r="K428" t="s">
        <v>1308</v>
      </c>
      <c r="L428" t="s">
        <v>27</v>
      </c>
      <c r="M428" t="s">
        <v>1309</v>
      </c>
      <c r="N428" t="s">
        <v>28</v>
      </c>
      <c r="O428" t="s">
        <v>103</v>
      </c>
      <c r="P428" t="s">
        <v>158</v>
      </c>
      <c r="Q428" t="s">
        <v>31</v>
      </c>
      <c r="R428">
        <v>9</v>
      </c>
      <c r="S428" t="s">
        <v>1310</v>
      </c>
      <c r="T428" t="s">
        <v>5549</v>
      </c>
      <c r="U428" t="s">
        <v>6822</v>
      </c>
      <c r="V428" t="s">
        <v>50</v>
      </c>
      <c r="W428" t="s">
        <v>33</v>
      </c>
      <c r="X428" t="s">
        <v>33</v>
      </c>
      <c r="Y428" t="s">
        <v>33</v>
      </c>
      <c r="Z428" s="5" t="s">
        <v>34</v>
      </c>
      <c r="AA428">
        <v>-75.528958439999997</v>
      </c>
      <c r="AB428">
        <v>6.2363956900000002</v>
      </c>
      <c r="AC428" t="s">
        <v>456</v>
      </c>
      <c r="AD428" t="s">
        <v>457</v>
      </c>
    </row>
    <row r="429" spans="1:30" x14ac:dyDescent="0.25">
      <c r="A429" t="s">
        <v>1311</v>
      </c>
      <c r="B429" t="s">
        <v>25</v>
      </c>
      <c r="C429" t="s">
        <v>26</v>
      </c>
      <c r="D429" t="s">
        <v>39</v>
      </c>
      <c r="E429" t="s">
        <v>1312</v>
      </c>
      <c r="F429" t="s">
        <v>1313</v>
      </c>
      <c r="G429">
        <v>1040744579</v>
      </c>
      <c r="H429" t="s">
        <v>1314</v>
      </c>
      <c r="I429" s="4" t="s">
        <v>35</v>
      </c>
      <c r="J429" s="4" t="s">
        <v>1315</v>
      </c>
      <c r="K429" t="s">
        <v>1316</v>
      </c>
      <c r="L429" t="s">
        <v>61</v>
      </c>
      <c r="M429" t="s">
        <v>1317</v>
      </c>
      <c r="N429" t="s">
        <v>63</v>
      </c>
      <c r="O429" t="s">
        <v>40</v>
      </c>
      <c r="P429" t="s">
        <v>36</v>
      </c>
      <c r="Q429" t="s">
        <v>38</v>
      </c>
      <c r="R429">
        <v>8</v>
      </c>
      <c r="S429" t="s">
        <v>1318</v>
      </c>
      <c r="T429" t="s">
        <v>6823</v>
      </c>
      <c r="U429" t="s">
        <v>6824</v>
      </c>
      <c r="V429" t="s">
        <v>50</v>
      </c>
      <c r="W429" t="s">
        <v>33</v>
      </c>
      <c r="X429" t="s">
        <v>33</v>
      </c>
      <c r="Y429" t="s">
        <v>33</v>
      </c>
      <c r="Z429" s="5" t="s">
        <v>34</v>
      </c>
      <c r="AA429">
        <v>-75.636657999999997</v>
      </c>
      <c r="AB429">
        <v>6.1380397200000001</v>
      </c>
      <c r="AC429" t="s">
        <v>456</v>
      </c>
      <c r="AD429" t="s">
        <v>457</v>
      </c>
    </row>
    <row r="430" spans="1:30" x14ac:dyDescent="0.25">
      <c r="A430" t="s">
        <v>1319</v>
      </c>
      <c r="B430" t="s">
        <v>25</v>
      </c>
      <c r="C430" t="s">
        <v>26</v>
      </c>
      <c r="D430" t="s">
        <v>39</v>
      </c>
      <c r="E430" t="s">
        <v>1320</v>
      </c>
      <c r="F430" t="s">
        <v>1321</v>
      </c>
      <c r="G430">
        <v>1040742729</v>
      </c>
      <c r="H430" t="s">
        <v>1322</v>
      </c>
      <c r="I430" s="4" t="s">
        <v>1323</v>
      </c>
      <c r="J430" s="4" t="s">
        <v>1324</v>
      </c>
      <c r="K430" t="s">
        <v>1325</v>
      </c>
      <c r="L430" t="s">
        <v>61</v>
      </c>
      <c r="M430" t="s">
        <v>1326</v>
      </c>
      <c r="N430" t="s">
        <v>63</v>
      </c>
      <c r="O430" t="s">
        <v>40</v>
      </c>
      <c r="P430" t="s">
        <v>36</v>
      </c>
      <c r="Q430" t="s">
        <v>38</v>
      </c>
      <c r="R430">
        <v>8</v>
      </c>
      <c r="S430" t="s">
        <v>1327</v>
      </c>
      <c r="T430" t="s">
        <v>6354</v>
      </c>
      <c r="U430" t="s">
        <v>4859</v>
      </c>
      <c r="V430" t="s">
        <v>50</v>
      </c>
      <c r="W430" t="s">
        <v>33</v>
      </c>
      <c r="X430" t="s">
        <v>33</v>
      </c>
      <c r="Y430" t="s">
        <v>33</v>
      </c>
      <c r="Z430" s="5" t="s">
        <v>34</v>
      </c>
      <c r="AA430">
        <v>-75.645811730000005</v>
      </c>
      <c r="AB430">
        <v>6.1193518300000003</v>
      </c>
      <c r="AC430" t="s">
        <v>456</v>
      </c>
      <c r="AD430" t="s">
        <v>457</v>
      </c>
    </row>
    <row r="431" spans="1:30" x14ac:dyDescent="0.25">
      <c r="A431" t="s">
        <v>1328</v>
      </c>
      <c r="B431" t="s">
        <v>25</v>
      </c>
      <c r="C431" t="s">
        <v>26</v>
      </c>
      <c r="D431" t="s">
        <v>25</v>
      </c>
      <c r="E431" t="s">
        <v>1329</v>
      </c>
      <c r="F431" t="s">
        <v>1330</v>
      </c>
      <c r="G431">
        <v>71377609</v>
      </c>
      <c r="H431" t="s">
        <v>1331</v>
      </c>
      <c r="I431" s="4" t="s">
        <v>35</v>
      </c>
      <c r="J431" s="4" t="s">
        <v>1332</v>
      </c>
      <c r="K431" t="s">
        <v>1333</v>
      </c>
      <c r="L431" t="s">
        <v>27</v>
      </c>
      <c r="M431" t="s">
        <v>1334</v>
      </c>
      <c r="N431" t="s">
        <v>28</v>
      </c>
      <c r="O431" t="s">
        <v>29</v>
      </c>
      <c r="P431" t="s">
        <v>37</v>
      </c>
      <c r="Q431" t="s">
        <v>38</v>
      </c>
      <c r="R431">
        <v>10</v>
      </c>
      <c r="S431" t="s">
        <v>1335</v>
      </c>
      <c r="T431" t="s">
        <v>6825</v>
      </c>
      <c r="U431" t="s">
        <v>6826</v>
      </c>
      <c r="V431" t="s">
        <v>32</v>
      </c>
      <c r="W431" t="s">
        <v>33</v>
      </c>
      <c r="X431" t="s">
        <v>33</v>
      </c>
      <c r="Y431" t="s">
        <v>33</v>
      </c>
      <c r="Z431" s="5" t="s">
        <v>34</v>
      </c>
      <c r="AA431">
        <v>-75.649175999999997</v>
      </c>
      <c r="AB431">
        <v>6.299436</v>
      </c>
      <c r="AC431" t="s">
        <v>456</v>
      </c>
      <c r="AD431" t="s">
        <v>457</v>
      </c>
    </row>
    <row r="432" spans="1:30" x14ac:dyDescent="0.25">
      <c r="A432" t="s">
        <v>1336</v>
      </c>
      <c r="B432" t="s">
        <v>25</v>
      </c>
      <c r="C432" t="s">
        <v>26</v>
      </c>
      <c r="D432" t="s">
        <v>39</v>
      </c>
      <c r="E432" t="s">
        <v>3718</v>
      </c>
      <c r="F432" t="s">
        <v>3719</v>
      </c>
      <c r="G432">
        <v>43200489</v>
      </c>
      <c r="H432" t="s">
        <v>1337</v>
      </c>
      <c r="I432" s="4" t="s">
        <v>1338</v>
      </c>
      <c r="J432" s="4" t="s">
        <v>1339</v>
      </c>
      <c r="K432" t="s">
        <v>1340</v>
      </c>
      <c r="L432" t="s">
        <v>27</v>
      </c>
      <c r="M432" t="s">
        <v>1341</v>
      </c>
      <c r="N432" t="s">
        <v>28</v>
      </c>
      <c r="O432" t="s">
        <v>46</v>
      </c>
      <c r="P432" t="s">
        <v>41</v>
      </c>
      <c r="Q432" t="s">
        <v>31</v>
      </c>
      <c r="R432">
        <v>5</v>
      </c>
      <c r="S432" t="s">
        <v>3720</v>
      </c>
      <c r="T432" t="s">
        <v>6827</v>
      </c>
      <c r="U432" t="s">
        <v>6828</v>
      </c>
      <c r="V432" t="s">
        <v>32</v>
      </c>
      <c r="W432" t="s">
        <v>33</v>
      </c>
      <c r="X432" t="s">
        <v>33</v>
      </c>
      <c r="Y432" t="s">
        <v>33</v>
      </c>
      <c r="Z432" s="5" t="s">
        <v>34</v>
      </c>
      <c r="AA432">
        <v>-75.604149000000007</v>
      </c>
      <c r="AB432">
        <v>6.2751720000000004</v>
      </c>
      <c r="AC432" t="s">
        <v>456</v>
      </c>
      <c r="AD432" t="s">
        <v>457</v>
      </c>
    </row>
    <row r="433" spans="1:30" x14ac:dyDescent="0.25">
      <c r="A433" t="s">
        <v>1342</v>
      </c>
      <c r="B433" t="s">
        <v>25</v>
      </c>
      <c r="C433" t="s">
        <v>26</v>
      </c>
      <c r="D433" t="s">
        <v>25</v>
      </c>
      <c r="E433" t="s">
        <v>1343</v>
      </c>
      <c r="F433" t="s">
        <v>8155</v>
      </c>
      <c r="G433">
        <v>32528663</v>
      </c>
      <c r="H433" t="s">
        <v>1344</v>
      </c>
      <c r="I433" s="4" t="s">
        <v>35</v>
      </c>
      <c r="J433" s="4" t="s">
        <v>1345</v>
      </c>
      <c r="K433" t="s">
        <v>1346</v>
      </c>
      <c r="L433" t="s">
        <v>49</v>
      </c>
      <c r="M433" t="s">
        <v>1347</v>
      </c>
      <c r="N433" t="s">
        <v>84</v>
      </c>
      <c r="O433" t="s">
        <v>29</v>
      </c>
      <c r="P433" t="s">
        <v>36</v>
      </c>
      <c r="Q433" t="s">
        <v>31</v>
      </c>
      <c r="R433">
        <v>7</v>
      </c>
      <c r="S433" t="s">
        <v>8156</v>
      </c>
      <c r="T433" t="s">
        <v>8157</v>
      </c>
      <c r="U433" t="s">
        <v>8158</v>
      </c>
      <c r="V433" t="s">
        <v>32</v>
      </c>
      <c r="W433" t="s">
        <v>33</v>
      </c>
      <c r="X433" t="s">
        <v>33</v>
      </c>
      <c r="Y433" t="s">
        <v>33</v>
      </c>
      <c r="Z433" s="5" t="s">
        <v>34</v>
      </c>
      <c r="AA433">
        <v>-75.563391949999996</v>
      </c>
      <c r="AB433">
        <v>6.17048167</v>
      </c>
      <c r="AC433" t="s">
        <v>456</v>
      </c>
      <c r="AD433" t="s">
        <v>457</v>
      </c>
    </row>
    <row r="434" spans="1:30" x14ac:dyDescent="0.25">
      <c r="A434" t="s">
        <v>2227</v>
      </c>
      <c r="B434" t="s">
        <v>95</v>
      </c>
      <c r="C434" t="s">
        <v>26</v>
      </c>
      <c r="D434" t="s">
        <v>96</v>
      </c>
      <c r="E434" t="s">
        <v>2228</v>
      </c>
      <c r="F434" t="s">
        <v>2229</v>
      </c>
      <c r="G434">
        <v>71702046</v>
      </c>
      <c r="H434" t="s">
        <v>2230</v>
      </c>
      <c r="I434" s="4" t="s">
        <v>2231</v>
      </c>
      <c r="J434" s="4" t="s">
        <v>2232</v>
      </c>
      <c r="K434" t="s">
        <v>2233</v>
      </c>
      <c r="L434" t="s">
        <v>27</v>
      </c>
      <c r="M434" t="s">
        <v>2234</v>
      </c>
      <c r="N434" t="s">
        <v>28</v>
      </c>
      <c r="O434" t="s">
        <v>103</v>
      </c>
      <c r="P434" t="s">
        <v>158</v>
      </c>
      <c r="Q434" t="s">
        <v>31</v>
      </c>
      <c r="R434">
        <v>9</v>
      </c>
      <c r="S434" t="s">
        <v>2235</v>
      </c>
      <c r="T434" t="s">
        <v>6829</v>
      </c>
      <c r="U434" t="s">
        <v>6830</v>
      </c>
      <c r="V434" t="s">
        <v>50</v>
      </c>
      <c r="W434" t="s">
        <v>33</v>
      </c>
      <c r="X434" t="s">
        <v>33</v>
      </c>
      <c r="Y434" t="s">
        <v>33</v>
      </c>
      <c r="Z434" s="5" t="s">
        <v>34</v>
      </c>
      <c r="AA434">
        <v>-75.604962130000004</v>
      </c>
      <c r="AB434">
        <v>6.2777585199999999</v>
      </c>
      <c r="AC434" t="s">
        <v>456</v>
      </c>
      <c r="AD434" t="s">
        <v>457</v>
      </c>
    </row>
    <row r="435" spans="1:30" x14ac:dyDescent="0.25">
      <c r="A435" t="s">
        <v>1348</v>
      </c>
      <c r="B435" t="s">
        <v>51</v>
      </c>
      <c r="C435" t="s">
        <v>182</v>
      </c>
      <c r="D435" t="s">
        <v>51</v>
      </c>
      <c r="E435" t="s">
        <v>1349</v>
      </c>
      <c r="F435" t="s">
        <v>1350</v>
      </c>
      <c r="G435">
        <v>70101040</v>
      </c>
      <c r="H435" t="s">
        <v>1351</v>
      </c>
      <c r="I435" s="4" t="s">
        <v>1352</v>
      </c>
      <c r="J435" s="4" t="s">
        <v>1353</v>
      </c>
      <c r="K435" t="s">
        <v>1354</v>
      </c>
      <c r="L435" t="s">
        <v>27</v>
      </c>
      <c r="M435" t="s">
        <v>1355</v>
      </c>
      <c r="N435" t="s">
        <v>28</v>
      </c>
      <c r="O435" t="s">
        <v>183</v>
      </c>
      <c r="P435" t="s">
        <v>53</v>
      </c>
      <c r="Q435" t="s">
        <v>31</v>
      </c>
      <c r="R435">
        <v>11</v>
      </c>
      <c r="S435" t="s">
        <v>1356</v>
      </c>
      <c r="T435" t="s">
        <v>6831</v>
      </c>
      <c r="U435" t="s">
        <v>6832</v>
      </c>
      <c r="V435" t="s">
        <v>32</v>
      </c>
      <c r="W435" t="s">
        <v>33</v>
      </c>
      <c r="X435" t="s">
        <v>33</v>
      </c>
      <c r="Y435" t="s">
        <v>33</v>
      </c>
      <c r="Z435" s="5" t="s">
        <v>34</v>
      </c>
      <c r="AA435">
        <v>-75.539493620000002</v>
      </c>
      <c r="AB435">
        <v>6.2390465300000004</v>
      </c>
      <c r="AC435" t="s">
        <v>456</v>
      </c>
      <c r="AD435" t="s">
        <v>457</v>
      </c>
    </row>
    <row r="436" spans="1:30" x14ac:dyDescent="0.25">
      <c r="A436" t="s">
        <v>3193</v>
      </c>
      <c r="B436" t="s">
        <v>95</v>
      </c>
      <c r="C436" t="s">
        <v>26</v>
      </c>
      <c r="D436" t="s">
        <v>96</v>
      </c>
      <c r="E436" t="s">
        <v>3194</v>
      </c>
      <c r="F436" t="s">
        <v>3195</v>
      </c>
      <c r="G436">
        <v>43005433</v>
      </c>
      <c r="H436" t="s">
        <v>3196</v>
      </c>
      <c r="I436" s="4" t="s">
        <v>35</v>
      </c>
      <c r="J436" s="4" t="s">
        <v>3197</v>
      </c>
      <c r="K436" t="s">
        <v>3198</v>
      </c>
      <c r="L436" t="s">
        <v>27</v>
      </c>
      <c r="M436" t="s">
        <v>3199</v>
      </c>
      <c r="N436" t="s">
        <v>28</v>
      </c>
      <c r="O436" t="s">
        <v>103</v>
      </c>
      <c r="P436" t="s">
        <v>120</v>
      </c>
      <c r="Q436" t="s">
        <v>31</v>
      </c>
      <c r="R436">
        <v>9</v>
      </c>
      <c r="S436" t="s">
        <v>3200</v>
      </c>
      <c r="T436" t="s">
        <v>6833</v>
      </c>
      <c r="U436" t="s">
        <v>6834</v>
      </c>
      <c r="V436" t="s">
        <v>32</v>
      </c>
      <c r="W436" t="s">
        <v>33</v>
      </c>
      <c r="X436" t="s">
        <v>33</v>
      </c>
      <c r="Y436" t="s">
        <v>33</v>
      </c>
      <c r="Z436" s="5" t="s">
        <v>34</v>
      </c>
      <c r="AA436">
        <v>-75.607200000000006</v>
      </c>
      <c r="AB436">
        <v>6.2783689999999996</v>
      </c>
      <c r="AC436" t="s">
        <v>456</v>
      </c>
      <c r="AD436" t="s">
        <v>457</v>
      </c>
    </row>
    <row r="437" spans="1:30" x14ac:dyDescent="0.25">
      <c r="A437" t="s">
        <v>5755</v>
      </c>
      <c r="B437" t="s">
        <v>25</v>
      </c>
      <c r="C437" t="s">
        <v>26</v>
      </c>
      <c r="D437" t="s">
        <v>25</v>
      </c>
      <c r="E437" t="s">
        <v>5756</v>
      </c>
      <c r="F437" t="s">
        <v>5757</v>
      </c>
      <c r="G437">
        <v>43455795</v>
      </c>
      <c r="H437" t="s">
        <v>5758</v>
      </c>
      <c r="I437" s="4" t="s">
        <v>35</v>
      </c>
      <c r="J437" s="4" t="s">
        <v>5759</v>
      </c>
      <c r="K437" t="s">
        <v>5760</v>
      </c>
      <c r="L437" t="s">
        <v>27</v>
      </c>
      <c r="M437" t="s">
        <v>5761</v>
      </c>
      <c r="N437" t="s">
        <v>28</v>
      </c>
      <c r="O437" t="s">
        <v>29</v>
      </c>
      <c r="P437" t="s">
        <v>37</v>
      </c>
      <c r="Q437" t="s">
        <v>31</v>
      </c>
      <c r="R437">
        <v>7</v>
      </c>
      <c r="S437" t="s">
        <v>5762</v>
      </c>
      <c r="T437" t="s">
        <v>6835</v>
      </c>
      <c r="U437" t="s">
        <v>6836</v>
      </c>
      <c r="V437" t="s">
        <v>32</v>
      </c>
      <c r="W437" t="s">
        <v>33</v>
      </c>
      <c r="X437" t="s">
        <v>33</v>
      </c>
      <c r="Y437" t="s">
        <v>33</v>
      </c>
      <c r="Z437" s="5" t="s">
        <v>34</v>
      </c>
      <c r="AA437">
        <v>-75.5417001</v>
      </c>
      <c r="AB437">
        <v>6.251519</v>
      </c>
      <c r="AC437" t="s">
        <v>456</v>
      </c>
      <c r="AD437" t="s">
        <v>457</v>
      </c>
    </row>
    <row r="438" spans="1:30" x14ac:dyDescent="0.25">
      <c r="A438" t="s">
        <v>1357</v>
      </c>
      <c r="B438" t="s">
        <v>25</v>
      </c>
      <c r="C438" t="s">
        <v>26</v>
      </c>
      <c r="D438" t="s">
        <v>25</v>
      </c>
      <c r="E438" t="s">
        <v>1358</v>
      </c>
      <c r="F438" t="s">
        <v>1359</v>
      </c>
      <c r="G438">
        <v>7545401</v>
      </c>
      <c r="H438" t="s">
        <v>1360</v>
      </c>
      <c r="I438" s="4" t="s">
        <v>1361</v>
      </c>
      <c r="J438" s="4" t="s">
        <v>1362</v>
      </c>
      <c r="K438" t="s">
        <v>1363</v>
      </c>
      <c r="L438" t="s">
        <v>27</v>
      </c>
      <c r="M438" t="s">
        <v>1364</v>
      </c>
      <c r="N438" t="s">
        <v>28</v>
      </c>
      <c r="O438" t="s">
        <v>29</v>
      </c>
      <c r="P438" t="s">
        <v>37</v>
      </c>
      <c r="Q438" t="s">
        <v>31</v>
      </c>
      <c r="R438">
        <v>7</v>
      </c>
      <c r="S438" t="s">
        <v>1365</v>
      </c>
      <c r="T438" t="s">
        <v>6837</v>
      </c>
      <c r="U438" t="s">
        <v>6838</v>
      </c>
      <c r="V438" t="s">
        <v>50</v>
      </c>
      <c r="W438" t="s">
        <v>33</v>
      </c>
      <c r="X438" t="s">
        <v>33</v>
      </c>
      <c r="Y438" t="s">
        <v>33</v>
      </c>
      <c r="Z438" s="5" t="s">
        <v>34</v>
      </c>
      <c r="AA438">
        <v>-75.557467299999999</v>
      </c>
      <c r="AB438">
        <v>6.2419914500000004</v>
      </c>
      <c r="AC438" t="s">
        <v>456</v>
      </c>
      <c r="AD438" t="s">
        <v>457</v>
      </c>
    </row>
    <row r="439" spans="1:30" x14ac:dyDescent="0.25">
      <c r="A439" t="s">
        <v>1366</v>
      </c>
      <c r="B439" t="s">
        <v>95</v>
      </c>
      <c r="C439" t="s">
        <v>26</v>
      </c>
      <c r="D439" t="s">
        <v>96</v>
      </c>
      <c r="E439" t="s">
        <v>1367</v>
      </c>
      <c r="F439" t="s">
        <v>1368</v>
      </c>
      <c r="G439">
        <v>21892080</v>
      </c>
      <c r="H439" t="s">
        <v>1369</v>
      </c>
      <c r="I439" s="4" t="s">
        <v>1370</v>
      </c>
      <c r="J439" s="4" t="s">
        <v>1371</v>
      </c>
      <c r="K439" t="s">
        <v>1372</v>
      </c>
      <c r="L439" t="s">
        <v>44</v>
      </c>
      <c r="M439" t="s">
        <v>1373</v>
      </c>
      <c r="N439" t="s">
        <v>45</v>
      </c>
      <c r="O439" t="s">
        <v>103</v>
      </c>
      <c r="P439" t="s">
        <v>120</v>
      </c>
      <c r="Q439" t="s">
        <v>38</v>
      </c>
      <c r="R439">
        <v>14</v>
      </c>
      <c r="S439" t="s">
        <v>1374</v>
      </c>
      <c r="T439" t="s">
        <v>6839</v>
      </c>
      <c r="U439" t="s">
        <v>6840</v>
      </c>
      <c r="V439" t="s">
        <v>32</v>
      </c>
      <c r="W439" t="s">
        <v>33</v>
      </c>
      <c r="X439" t="s">
        <v>33</v>
      </c>
      <c r="Y439" t="s">
        <v>33</v>
      </c>
      <c r="Z439" s="5" t="s">
        <v>34</v>
      </c>
      <c r="AA439">
        <v>-75.597498999999999</v>
      </c>
      <c r="AB439">
        <v>6.1952119999999997</v>
      </c>
      <c r="AC439" t="s">
        <v>456</v>
      </c>
      <c r="AD439" t="s">
        <v>457</v>
      </c>
    </row>
    <row r="440" spans="1:30" x14ac:dyDescent="0.25">
      <c r="A440" t="s">
        <v>1376</v>
      </c>
      <c r="B440" t="s">
        <v>25</v>
      </c>
      <c r="C440" t="s">
        <v>26</v>
      </c>
      <c r="D440" t="s">
        <v>25</v>
      </c>
      <c r="E440" t="s">
        <v>1377</v>
      </c>
      <c r="F440" t="s">
        <v>1378</v>
      </c>
      <c r="G440">
        <v>71709243</v>
      </c>
      <c r="H440" t="s">
        <v>1379</v>
      </c>
      <c r="I440" s="4" t="s">
        <v>35</v>
      </c>
      <c r="J440" s="4" t="s">
        <v>1380</v>
      </c>
      <c r="K440" t="s">
        <v>1381</v>
      </c>
      <c r="L440" t="s">
        <v>27</v>
      </c>
      <c r="M440" t="s">
        <v>1382</v>
      </c>
      <c r="N440" t="s">
        <v>28</v>
      </c>
      <c r="O440" t="s">
        <v>29</v>
      </c>
      <c r="P440" t="s">
        <v>37</v>
      </c>
      <c r="Q440" t="s">
        <v>38</v>
      </c>
      <c r="R440">
        <v>10</v>
      </c>
      <c r="S440" t="s">
        <v>1383</v>
      </c>
      <c r="T440" t="s">
        <v>6842</v>
      </c>
      <c r="U440" t="s">
        <v>6843</v>
      </c>
      <c r="V440" t="s">
        <v>32</v>
      </c>
      <c r="W440" t="s">
        <v>33</v>
      </c>
      <c r="X440" t="s">
        <v>33</v>
      </c>
      <c r="Y440" t="s">
        <v>33</v>
      </c>
      <c r="Z440" s="5" t="s">
        <v>34</v>
      </c>
      <c r="AA440">
        <v>-75.688919999999996</v>
      </c>
      <c r="AB440">
        <v>6.3568733000000002</v>
      </c>
      <c r="AC440" t="s">
        <v>456</v>
      </c>
      <c r="AD440" t="s">
        <v>457</v>
      </c>
    </row>
    <row r="441" spans="1:30" x14ac:dyDescent="0.25">
      <c r="A441" t="s">
        <v>1384</v>
      </c>
      <c r="B441" t="s">
        <v>25</v>
      </c>
      <c r="C441" t="s">
        <v>26</v>
      </c>
      <c r="D441" t="s">
        <v>25</v>
      </c>
      <c r="E441" t="s">
        <v>1385</v>
      </c>
      <c r="F441" t="s">
        <v>1386</v>
      </c>
      <c r="G441">
        <v>71583390</v>
      </c>
      <c r="H441" t="s">
        <v>1387</v>
      </c>
      <c r="I441" s="4" t="s">
        <v>1388</v>
      </c>
      <c r="J441" s="4" t="s">
        <v>1389</v>
      </c>
      <c r="K441" t="s">
        <v>1390</v>
      </c>
      <c r="L441" t="s">
        <v>49</v>
      </c>
      <c r="M441" t="s">
        <v>1391</v>
      </c>
      <c r="N441" t="s">
        <v>84</v>
      </c>
      <c r="O441" t="s">
        <v>29</v>
      </c>
      <c r="P441" t="s">
        <v>37</v>
      </c>
      <c r="Q441" t="s">
        <v>38</v>
      </c>
      <c r="R441">
        <v>10</v>
      </c>
      <c r="S441" t="s">
        <v>1392</v>
      </c>
      <c r="T441" t="s">
        <v>6844</v>
      </c>
      <c r="U441" t="s">
        <v>6845</v>
      </c>
      <c r="V441" t="s">
        <v>32</v>
      </c>
      <c r="W441" t="s">
        <v>33</v>
      </c>
      <c r="X441" t="s">
        <v>33</v>
      </c>
      <c r="Y441" t="s">
        <v>33</v>
      </c>
      <c r="Z441" s="5" t="s">
        <v>34</v>
      </c>
      <c r="AA441">
        <v>-75.505510400000006</v>
      </c>
      <c r="AB441">
        <v>6.1830987000000004</v>
      </c>
      <c r="AC441" t="s">
        <v>456</v>
      </c>
      <c r="AD441" t="s">
        <v>457</v>
      </c>
    </row>
    <row r="442" spans="1:30" x14ac:dyDescent="0.25">
      <c r="A442" t="s">
        <v>5764</v>
      </c>
      <c r="B442" t="s">
        <v>25</v>
      </c>
      <c r="C442" t="s">
        <v>26</v>
      </c>
      <c r="D442" t="s">
        <v>39</v>
      </c>
      <c r="E442" t="s">
        <v>5765</v>
      </c>
      <c r="F442" t="s">
        <v>5766</v>
      </c>
      <c r="G442">
        <v>43254164</v>
      </c>
      <c r="H442" t="s">
        <v>5767</v>
      </c>
      <c r="I442" s="4" t="s">
        <v>5768</v>
      </c>
      <c r="J442" s="4" t="s">
        <v>5769</v>
      </c>
      <c r="K442" t="s">
        <v>5770</v>
      </c>
      <c r="L442" t="s">
        <v>27</v>
      </c>
      <c r="M442" t="s">
        <v>5771</v>
      </c>
      <c r="N442" t="s">
        <v>28</v>
      </c>
      <c r="O442" t="s">
        <v>46</v>
      </c>
      <c r="P442" t="s">
        <v>41</v>
      </c>
      <c r="Q442" t="s">
        <v>31</v>
      </c>
      <c r="R442">
        <v>5</v>
      </c>
      <c r="S442" t="s">
        <v>5772</v>
      </c>
      <c r="T442" t="s">
        <v>4925</v>
      </c>
      <c r="U442" t="s">
        <v>6846</v>
      </c>
      <c r="V442" t="s">
        <v>32</v>
      </c>
      <c r="W442" t="s">
        <v>33</v>
      </c>
      <c r="X442" t="s">
        <v>33</v>
      </c>
      <c r="Y442" t="s">
        <v>33</v>
      </c>
      <c r="Z442" s="5" t="s">
        <v>34</v>
      </c>
      <c r="AA442">
        <v>-75.560500000000005</v>
      </c>
      <c r="AB442">
        <v>6.2336989999999997</v>
      </c>
      <c r="AC442" t="s">
        <v>456</v>
      </c>
      <c r="AD442" t="s">
        <v>457</v>
      </c>
    </row>
    <row r="443" spans="1:30" x14ac:dyDescent="0.25">
      <c r="A443" t="s">
        <v>1394</v>
      </c>
      <c r="B443" t="s">
        <v>25</v>
      </c>
      <c r="C443" t="s">
        <v>26</v>
      </c>
      <c r="D443" t="s">
        <v>25</v>
      </c>
      <c r="E443" t="s">
        <v>1395</v>
      </c>
      <c r="F443" t="s">
        <v>1396</v>
      </c>
      <c r="G443">
        <v>42822971</v>
      </c>
      <c r="H443" t="s">
        <v>1397</v>
      </c>
      <c r="I443" s="4" t="s">
        <v>35</v>
      </c>
      <c r="J443" s="4" t="s">
        <v>1398</v>
      </c>
      <c r="K443" t="s">
        <v>1399</v>
      </c>
      <c r="L443" t="s">
        <v>79</v>
      </c>
      <c r="M443" t="s">
        <v>1400</v>
      </c>
      <c r="N443" t="s">
        <v>80</v>
      </c>
      <c r="O443" t="s">
        <v>29</v>
      </c>
      <c r="P443" t="s">
        <v>37</v>
      </c>
      <c r="Q443" t="s">
        <v>38</v>
      </c>
      <c r="R443">
        <v>10</v>
      </c>
      <c r="S443" t="s">
        <v>1401</v>
      </c>
      <c r="T443" t="s">
        <v>2538</v>
      </c>
      <c r="U443" t="s">
        <v>6847</v>
      </c>
      <c r="V443" t="s">
        <v>32</v>
      </c>
      <c r="W443" t="s">
        <v>33</v>
      </c>
      <c r="X443" t="s">
        <v>33</v>
      </c>
      <c r="Y443" t="s">
        <v>33</v>
      </c>
      <c r="Z443" s="5" t="s">
        <v>34</v>
      </c>
      <c r="AA443">
        <v>-75.610469800000004</v>
      </c>
      <c r="AB443">
        <v>6.1423167999999997</v>
      </c>
      <c r="AC443" t="s">
        <v>456</v>
      </c>
      <c r="AD443" t="s">
        <v>457</v>
      </c>
    </row>
    <row r="444" spans="1:30" x14ac:dyDescent="0.25">
      <c r="A444" t="s">
        <v>5773</v>
      </c>
      <c r="B444" t="s">
        <v>25</v>
      </c>
      <c r="C444" t="s">
        <v>26</v>
      </c>
      <c r="D444" t="s">
        <v>39</v>
      </c>
      <c r="E444" t="s">
        <v>5774</v>
      </c>
      <c r="F444" t="s">
        <v>5775</v>
      </c>
      <c r="G444">
        <v>44008118</v>
      </c>
      <c r="H444" t="s">
        <v>5776</v>
      </c>
      <c r="I444" s="4" t="s">
        <v>35</v>
      </c>
      <c r="J444" s="4" t="s">
        <v>5777</v>
      </c>
      <c r="K444" t="s">
        <v>5778</v>
      </c>
      <c r="L444" t="s">
        <v>27</v>
      </c>
      <c r="M444" t="s">
        <v>5779</v>
      </c>
      <c r="N444" t="s">
        <v>28</v>
      </c>
      <c r="O444" t="s">
        <v>40</v>
      </c>
      <c r="P444" t="s">
        <v>41</v>
      </c>
      <c r="Q444" t="s">
        <v>31</v>
      </c>
      <c r="R444">
        <v>5</v>
      </c>
      <c r="S444" t="s">
        <v>5780</v>
      </c>
      <c r="T444" t="s">
        <v>6848</v>
      </c>
      <c r="U444" t="s">
        <v>6849</v>
      </c>
      <c r="V444" t="s">
        <v>32</v>
      </c>
      <c r="W444" t="s">
        <v>33</v>
      </c>
      <c r="X444" t="s">
        <v>33</v>
      </c>
      <c r="Y444" t="s">
        <v>33</v>
      </c>
      <c r="Z444" s="5" t="s">
        <v>34</v>
      </c>
      <c r="AA444">
        <v>-75.529520000000005</v>
      </c>
      <c r="AB444">
        <v>6.2338480000000001</v>
      </c>
      <c r="AC444" t="s">
        <v>456</v>
      </c>
      <c r="AD444" t="s">
        <v>457</v>
      </c>
    </row>
    <row r="445" spans="1:30" x14ac:dyDescent="0.25">
      <c r="A445" t="s">
        <v>1402</v>
      </c>
      <c r="B445" t="s">
        <v>25</v>
      </c>
      <c r="C445" t="s">
        <v>26</v>
      </c>
      <c r="D445" t="s">
        <v>25</v>
      </c>
      <c r="E445" t="s">
        <v>1403</v>
      </c>
      <c r="F445" t="s">
        <v>1404</v>
      </c>
      <c r="G445">
        <v>43556816</v>
      </c>
      <c r="H445" t="s">
        <v>1405</v>
      </c>
      <c r="I445" s="4" t="s">
        <v>35</v>
      </c>
      <c r="J445" s="4" t="s">
        <v>1406</v>
      </c>
      <c r="K445" t="s">
        <v>1407</v>
      </c>
      <c r="L445" t="s">
        <v>27</v>
      </c>
      <c r="M445" t="s">
        <v>1408</v>
      </c>
      <c r="N445" t="s">
        <v>28</v>
      </c>
      <c r="O445" t="s">
        <v>29</v>
      </c>
      <c r="P445" t="s">
        <v>37</v>
      </c>
      <c r="Q445" t="s">
        <v>38</v>
      </c>
      <c r="R445">
        <v>10</v>
      </c>
      <c r="S445" t="s">
        <v>1409</v>
      </c>
      <c r="T445" t="s">
        <v>6850</v>
      </c>
      <c r="U445" t="s">
        <v>6851</v>
      </c>
      <c r="V445" t="s">
        <v>32</v>
      </c>
      <c r="W445" t="s">
        <v>33</v>
      </c>
      <c r="X445" t="s">
        <v>33</v>
      </c>
      <c r="Y445" t="s">
        <v>33</v>
      </c>
      <c r="Z445" s="5" t="s">
        <v>34</v>
      </c>
      <c r="AA445">
        <v>-75.643407999999994</v>
      </c>
      <c r="AB445">
        <v>6.297218</v>
      </c>
      <c r="AC445" t="s">
        <v>456</v>
      </c>
      <c r="AD445" t="s">
        <v>457</v>
      </c>
    </row>
    <row r="446" spans="1:30" x14ac:dyDescent="0.25">
      <c r="A446" t="s">
        <v>5781</v>
      </c>
      <c r="B446" t="s">
        <v>25</v>
      </c>
      <c r="C446" t="s">
        <v>26</v>
      </c>
      <c r="D446" t="s">
        <v>39</v>
      </c>
      <c r="E446" t="s">
        <v>5782</v>
      </c>
      <c r="F446" t="s">
        <v>5783</v>
      </c>
      <c r="G446">
        <v>35852441</v>
      </c>
      <c r="H446" t="s">
        <v>5784</v>
      </c>
      <c r="I446" s="4" t="s">
        <v>35</v>
      </c>
      <c r="J446" s="4" t="s">
        <v>1410</v>
      </c>
      <c r="K446" t="s">
        <v>5785</v>
      </c>
      <c r="L446" t="s">
        <v>27</v>
      </c>
      <c r="M446" t="s">
        <v>5786</v>
      </c>
      <c r="N446" t="s">
        <v>28</v>
      </c>
      <c r="O446" t="s">
        <v>46</v>
      </c>
      <c r="P446" t="s">
        <v>41</v>
      </c>
      <c r="Q446" t="s">
        <v>31</v>
      </c>
      <c r="R446">
        <v>5</v>
      </c>
      <c r="S446" t="s">
        <v>5787</v>
      </c>
      <c r="T446" t="s">
        <v>6791</v>
      </c>
      <c r="U446" t="s">
        <v>4801</v>
      </c>
      <c r="V446" t="s">
        <v>32</v>
      </c>
      <c r="W446" t="s">
        <v>33</v>
      </c>
      <c r="X446" t="s">
        <v>33</v>
      </c>
      <c r="Y446" t="s">
        <v>33</v>
      </c>
      <c r="Z446" s="5" t="s">
        <v>34</v>
      </c>
      <c r="AA446">
        <v>-75.533940680000001</v>
      </c>
      <c r="AB446">
        <v>6.2331843899999999</v>
      </c>
      <c r="AC446" t="s">
        <v>456</v>
      </c>
      <c r="AD446" t="s">
        <v>457</v>
      </c>
    </row>
    <row r="447" spans="1:30" x14ac:dyDescent="0.25">
      <c r="A447" t="s">
        <v>5788</v>
      </c>
      <c r="B447" t="s">
        <v>25</v>
      </c>
      <c r="C447" t="s">
        <v>26</v>
      </c>
      <c r="D447" t="s">
        <v>39</v>
      </c>
      <c r="E447" t="s">
        <v>5789</v>
      </c>
      <c r="F447" t="s">
        <v>5790</v>
      </c>
      <c r="G447">
        <v>1000894749</v>
      </c>
      <c r="H447" t="s">
        <v>5791</v>
      </c>
      <c r="I447" s="4" t="s">
        <v>35</v>
      </c>
      <c r="J447" s="4" t="s">
        <v>5792</v>
      </c>
      <c r="K447" t="s">
        <v>5793</v>
      </c>
      <c r="L447" t="s">
        <v>27</v>
      </c>
      <c r="M447" t="s">
        <v>5794</v>
      </c>
      <c r="N447" t="s">
        <v>28</v>
      </c>
      <c r="O447" t="s">
        <v>46</v>
      </c>
      <c r="P447" t="s">
        <v>41</v>
      </c>
      <c r="Q447" t="s">
        <v>31</v>
      </c>
      <c r="R447">
        <v>5</v>
      </c>
      <c r="S447" t="s">
        <v>5795</v>
      </c>
      <c r="T447" t="s">
        <v>6852</v>
      </c>
      <c r="U447" t="s">
        <v>6853</v>
      </c>
      <c r="V447" t="s">
        <v>32</v>
      </c>
      <c r="W447" t="s">
        <v>33</v>
      </c>
      <c r="X447" t="s">
        <v>33</v>
      </c>
      <c r="Y447" t="s">
        <v>33</v>
      </c>
      <c r="Z447" s="5" t="s">
        <v>34</v>
      </c>
      <c r="AA447">
        <v>-75.642039440000005</v>
      </c>
      <c r="AB447">
        <v>6.28717565</v>
      </c>
      <c r="AC447" t="s">
        <v>456</v>
      </c>
      <c r="AD447" t="s">
        <v>457</v>
      </c>
    </row>
    <row r="448" spans="1:30" x14ac:dyDescent="0.25">
      <c r="A448" t="s">
        <v>2539</v>
      </c>
      <c r="B448" t="s">
        <v>25</v>
      </c>
      <c r="C448" t="s">
        <v>26</v>
      </c>
      <c r="D448" t="s">
        <v>39</v>
      </c>
      <c r="E448" t="s">
        <v>2540</v>
      </c>
      <c r="F448" t="s">
        <v>2541</v>
      </c>
      <c r="G448">
        <v>1040757377</v>
      </c>
      <c r="H448" t="s">
        <v>2542</v>
      </c>
      <c r="I448" s="4" t="s">
        <v>35</v>
      </c>
      <c r="J448" s="4" t="s">
        <v>2543</v>
      </c>
      <c r="K448" t="s">
        <v>2544</v>
      </c>
      <c r="L448" t="s">
        <v>61</v>
      </c>
      <c r="M448" t="s">
        <v>2545</v>
      </c>
      <c r="N448" t="s">
        <v>63</v>
      </c>
      <c r="O448" t="s">
        <v>40</v>
      </c>
      <c r="P448" t="s">
        <v>36</v>
      </c>
      <c r="Q448" t="s">
        <v>38</v>
      </c>
      <c r="R448">
        <v>8</v>
      </c>
      <c r="S448" t="s">
        <v>2546</v>
      </c>
      <c r="T448" t="s">
        <v>6854</v>
      </c>
      <c r="U448" t="s">
        <v>6855</v>
      </c>
      <c r="V448" t="s">
        <v>50</v>
      </c>
      <c r="W448" t="s">
        <v>33</v>
      </c>
      <c r="X448" t="s">
        <v>33</v>
      </c>
      <c r="Y448" t="s">
        <v>33</v>
      </c>
      <c r="Z448" s="5" t="s">
        <v>34</v>
      </c>
      <c r="AA448">
        <v>-75.661205170000002</v>
      </c>
      <c r="AB448">
        <v>6.1687347199999998</v>
      </c>
      <c r="AC448" t="s">
        <v>456</v>
      </c>
      <c r="AD448" t="s">
        <v>457</v>
      </c>
    </row>
    <row r="449" spans="1:30" x14ac:dyDescent="0.25">
      <c r="A449" t="s">
        <v>2547</v>
      </c>
      <c r="B449" t="s">
        <v>25</v>
      </c>
      <c r="C449" t="s">
        <v>26</v>
      </c>
      <c r="D449" t="s">
        <v>39</v>
      </c>
      <c r="E449" t="s">
        <v>2548</v>
      </c>
      <c r="F449" t="s">
        <v>2549</v>
      </c>
      <c r="G449">
        <v>1128420997</v>
      </c>
      <c r="H449" t="s">
        <v>2550</v>
      </c>
      <c r="I449" s="4" t="s">
        <v>35</v>
      </c>
      <c r="J449" s="4" t="s">
        <v>2551</v>
      </c>
      <c r="K449" t="s">
        <v>2552</v>
      </c>
      <c r="L449" t="s">
        <v>61</v>
      </c>
      <c r="M449" t="s">
        <v>2553</v>
      </c>
      <c r="N449" t="s">
        <v>63</v>
      </c>
      <c r="O449" t="s">
        <v>40</v>
      </c>
      <c r="P449" t="s">
        <v>36</v>
      </c>
      <c r="Q449" t="s">
        <v>31</v>
      </c>
      <c r="R449">
        <v>5</v>
      </c>
      <c r="S449" t="s">
        <v>2554</v>
      </c>
      <c r="T449" t="s">
        <v>6856</v>
      </c>
      <c r="U449" t="s">
        <v>47</v>
      </c>
      <c r="V449" t="s">
        <v>47</v>
      </c>
      <c r="W449" t="s">
        <v>33</v>
      </c>
      <c r="X449" t="s">
        <v>33</v>
      </c>
      <c r="Y449" t="s">
        <v>33</v>
      </c>
      <c r="Z449" s="5" t="s">
        <v>34</v>
      </c>
      <c r="AA449">
        <v>-75.649831634999899</v>
      </c>
      <c r="AB449">
        <v>6.1379125160000303</v>
      </c>
      <c r="AC449" t="s">
        <v>456</v>
      </c>
      <c r="AD449" t="s">
        <v>457</v>
      </c>
    </row>
    <row r="450" spans="1:30" x14ac:dyDescent="0.25">
      <c r="A450" t="s">
        <v>1411</v>
      </c>
      <c r="B450" t="s">
        <v>25</v>
      </c>
      <c r="C450" t="s">
        <v>26</v>
      </c>
      <c r="D450" t="s">
        <v>25</v>
      </c>
      <c r="E450" t="s">
        <v>1412</v>
      </c>
      <c r="F450" t="s">
        <v>1413</v>
      </c>
      <c r="G450">
        <v>43068052</v>
      </c>
      <c r="H450" t="s">
        <v>1414</v>
      </c>
      <c r="I450" s="4" t="s">
        <v>35</v>
      </c>
      <c r="J450" s="4" t="s">
        <v>1415</v>
      </c>
      <c r="K450" t="s">
        <v>1416</v>
      </c>
      <c r="L450" t="s">
        <v>27</v>
      </c>
      <c r="M450" t="s">
        <v>1417</v>
      </c>
      <c r="N450" t="s">
        <v>28</v>
      </c>
      <c r="O450" t="s">
        <v>29</v>
      </c>
      <c r="P450" t="s">
        <v>37</v>
      </c>
      <c r="Q450" t="s">
        <v>31</v>
      </c>
      <c r="R450">
        <v>7</v>
      </c>
      <c r="S450" t="s">
        <v>1418</v>
      </c>
      <c r="T450" t="s">
        <v>6857</v>
      </c>
      <c r="U450" t="s">
        <v>4870</v>
      </c>
      <c r="V450" t="s">
        <v>50</v>
      </c>
      <c r="W450" t="s">
        <v>33</v>
      </c>
      <c r="X450" t="s">
        <v>33</v>
      </c>
      <c r="Y450" t="s">
        <v>33</v>
      </c>
      <c r="Z450" s="5" t="s">
        <v>34</v>
      </c>
      <c r="AA450">
        <v>-75.641147000000004</v>
      </c>
      <c r="AB450">
        <v>6.2826829999999996</v>
      </c>
      <c r="AC450" t="s">
        <v>456</v>
      </c>
      <c r="AD450" t="s">
        <v>457</v>
      </c>
    </row>
    <row r="451" spans="1:30" x14ac:dyDescent="0.25">
      <c r="A451" t="s">
        <v>1419</v>
      </c>
      <c r="B451" t="s">
        <v>25</v>
      </c>
      <c r="C451" t="s">
        <v>26</v>
      </c>
      <c r="D451" t="s">
        <v>25</v>
      </c>
      <c r="E451" t="s">
        <v>1420</v>
      </c>
      <c r="F451" t="s">
        <v>1421</v>
      </c>
      <c r="G451">
        <v>98510594</v>
      </c>
      <c r="H451" t="s">
        <v>1422</v>
      </c>
      <c r="I451" s="4" t="s">
        <v>35</v>
      </c>
      <c r="J451" s="4" t="s">
        <v>1423</v>
      </c>
      <c r="K451" t="s">
        <v>1424</v>
      </c>
      <c r="L451" t="s">
        <v>27</v>
      </c>
      <c r="M451" t="s">
        <v>1425</v>
      </c>
      <c r="N451" t="s">
        <v>28</v>
      </c>
      <c r="O451" t="s">
        <v>29</v>
      </c>
      <c r="P451" t="s">
        <v>37</v>
      </c>
      <c r="Q451" t="s">
        <v>31</v>
      </c>
      <c r="R451">
        <v>7</v>
      </c>
      <c r="S451" t="s">
        <v>1426</v>
      </c>
      <c r="T451" t="s">
        <v>6858</v>
      </c>
      <c r="U451" t="s">
        <v>6859</v>
      </c>
      <c r="V451" t="s">
        <v>50</v>
      </c>
      <c r="W451" t="s">
        <v>33</v>
      </c>
      <c r="X451" t="s">
        <v>33</v>
      </c>
      <c r="Y451" t="s">
        <v>33</v>
      </c>
      <c r="Z451" s="5" t="s">
        <v>34</v>
      </c>
      <c r="AA451">
        <v>-75.643765999999999</v>
      </c>
      <c r="AB451">
        <v>6.2822719999999999</v>
      </c>
      <c r="AC451" t="s">
        <v>456</v>
      </c>
      <c r="AD451" t="s">
        <v>457</v>
      </c>
    </row>
    <row r="452" spans="1:30" x14ac:dyDescent="0.25">
      <c r="A452" t="s">
        <v>1427</v>
      </c>
      <c r="B452" t="s">
        <v>25</v>
      </c>
      <c r="C452" t="s">
        <v>26</v>
      </c>
      <c r="D452" t="s">
        <v>25</v>
      </c>
      <c r="E452" t="s">
        <v>1428</v>
      </c>
      <c r="F452" t="s">
        <v>1429</v>
      </c>
      <c r="G452">
        <v>43192318</v>
      </c>
      <c r="H452" t="s">
        <v>1430</v>
      </c>
      <c r="I452" s="4" t="s">
        <v>1431</v>
      </c>
      <c r="J452" s="4" t="s">
        <v>1432</v>
      </c>
      <c r="K452" t="s">
        <v>1433</v>
      </c>
      <c r="L452" t="s">
        <v>27</v>
      </c>
      <c r="M452" t="s">
        <v>1434</v>
      </c>
      <c r="N452" t="s">
        <v>28</v>
      </c>
      <c r="O452" t="s">
        <v>29</v>
      </c>
      <c r="P452" t="s">
        <v>30</v>
      </c>
      <c r="Q452" t="s">
        <v>31</v>
      </c>
      <c r="R452">
        <v>7</v>
      </c>
      <c r="S452" t="s">
        <v>1435</v>
      </c>
      <c r="T452" t="s">
        <v>6860</v>
      </c>
      <c r="U452" t="s">
        <v>6861</v>
      </c>
      <c r="V452" t="s">
        <v>50</v>
      </c>
      <c r="W452" t="s">
        <v>33</v>
      </c>
      <c r="X452" t="s">
        <v>33</v>
      </c>
      <c r="Y452" t="s">
        <v>33</v>
      </c>
      <c r="Z452" s="5" t="s">
        <v>34</v>
      </c>
      <c r="AA452">
        <v>-75.645179310000003</v>
      </c>
      <c r="AB452">
        <v>6.1744274299999997</v>
      </c>
      <c r="AC452" t="s">
        <v>456</v>
      </c>
      <c r="AD452" t="s">
        <v>457</v>
      </c>
    </row>
    <row r="453" spans="1:30" x14ac:dyDescent="0.25">
      <c r="A453" t="s">
        <v>1436</v>
      </c>
      <c r="B453" t="s">
        <v>25</v>
      </c>
      <c r="C453" t="s">
        <v>26</v>
      </c>
      <c r="D453" t="s">
        <v>25</v>
      </c>
      <c r="E453" t="s">
        <v>1437</v>
      </c>
      <c r="F453" t="s">
        <v>1438</v>
      </c>
      <c r="G453">
        <v>1106712429</v>
      </c>
      <c r="H453" t="s">
        <v>1439</v>
      </c>
      <c r="I453" s="4" t="s">
        <v>35</v>
      </c>
      <c r="J453" s="4" t="s">
        <v>1440</v>
      </c>
      <c r="K453" t="s">
        <v>1441</v>
      </c>
      <c r="L453" t="s">
        <v>27</v>
      </c>
      <c r="M453" t="s">
        <v>1442</v>
      </c>
      <c r="N453" t="s">
        <v>28</v>
      </c>
      <c r="O453" t="s">
        <v>29</v>
      </c>
      <c r="P453" t="s">
        <v>30</v>
      </c>
      <c r="Q453" t="s">
        <v>31</v>
      </c>
      <c r="R453">
        <v>7</v>
      </c>
      <c r="S453" t="s">
        <v>1443</v>
      </c>
      <c r="T453" t="s">
        <v>4876</v>
      </c>
      <c r="U453" t="s">
        <v>4875</v>
      </c>
      <c r="V453" t="s">
        <v>50</v>
      </c>
      <c r="W453" t="s">
        <v>33</v>
      </c>
      <c r="X453" t="s">
        <v>33</v>
      </c>
      <c r="Y453" t="s">
        <v>33</v>
      </c>
      <c r="Z453" s="5" t="s">
        <v>34</v>
      </c>
      <c r="AA453">
        <v>-75.645179310000003</v>
      </c>
      <c r="AB453">
        <v>6.1744274299999997</v>
      </c>
      <c r="AC453" t="s">
        <v>456</v>
      </c>
      <c r="AD453" t="s">
        <v>457</v>
      </c>
    </row>
    <row r="454" spans="1:30" x14ac:dyDescent="0.25">
      <c r="A454" t="s">
        <v>3202</v>
      </c>
      <c r="B454" t="s">
        <v>95</v>
      </c>
      <c r="C454" t="s">
        <v>26</v>
      </c>
      <c r="D454" t="s">
        <v>96</v>
      </c>
      <c r="E454" t="s">
        <v>3203</v>
      </c>
      <c r="F454" t="s">
        <v>3204</v>
      </c>
      <c r="G454">
        <v>98761048</v>
      </c>
      <c r="H454" t="s">
        <v>3205</v>
      </c>
      <c r="I454" s="4" t="s">
        <v>35</v>
      </c>
      <c r="J454" s="4" t="s">
        <v>3206</v>
      </c>
      <c r="K454" t="s">
        <v>3207</v>
      </c>
      <c r="L454" t="s">
        <v>27</v>
      </c>
      <c r="M454" t="s">
        <v>3208</v>
      </c>
      <c r="N454" t="s">
        <v>28</v>
      </c>
      <c r="O454" t="s">
        <v>103</v>
      </c>
      <c r="P454" t="s">
        <v>120</v>
      </c>
      <c r="Q454" t="s">
        <v>38</v>
      </c>
      <c r="R454">
        <v>14</v>
      </c>
      <c r="S454" t="s">
        <v>3209</v>
      </c>
      <c r="T454" t="s">
        <v>6862</v>
      </c>
      <c r="U454" t="s">
        <v>6863</v>
      </c>
      <c r="V454" t="s">
        <v>32</v>
      </c>
      <c r="W454" t="s">
        <v>33</v>
      </c>
      <c r="X454" t="s">
        <v>33</v>
      </c>
      <c r="Y454" t="s">
        <v>33</v>
      </c>
      <c r="Z454" s="5" t="s">
        <v>34</v>
      </c>
      <c r="AA454">
        <v>-75.611429999999999</v>
      </c>
      <c r="AB454">
        <v>6.2747909999999996</v>
      </c>
      <c r="AC454" t="s">
        <v>456</v>
      </c>
      <c r="AD454" t="s">
        <v>457</v>
      </c>
    </row>
    <row r="455" spans="1:30" x14ac:dyDescent="0.25">
      <c r="A455" t="s">
        <v>1444</v>
      </c>
      <c r="B455" t="s">
        <v>25</v>
      </c>
      <c r="C455" t="s">
        <v>26</v>
      </c>
      <c r="D455" t="s">
        <v>25</v>
      </c>
      <c r="E455" t="s">
        <v>1445</v>
      </c>
      <c r="F455" t="s">
        <v>1446</v>
      </c>
      <c r="G455">
        <v>32144209</v>
      </c>
      <c r="H455" t="s">
        <v>1447</v>
      </c>
      <c r="I455" s="4" t="s">
        <v>35</v>
      </c>
      <c r="J455" s="4" t="s">
        <v>1448</v>
      </c>
      <c r="K455" t="s">
        <v>1449</v>
      </c>
      <c r="L455" t="s">
        <v>27</v>
      </c>
      <c r="M455" t="s">
        <v>1450</v>
      </c>
      <c r="N455" t="s">
        <v>28</v>
      </c>
      <c r="O455" t="s">
        <v>29</v>
      </c>
      <c r="P455" t="s">
        <v>37</v>
      </c>
      <c r="Q455" t="s">
        <v>31</v>
      </c>
      <c r="R455">
        <v>7</v>
      </c>
      <c r="S455" t="s">
        <v>1451</v>
      </c>
      <c r="T455" t="s">
        <v>6045</v>
      </c>
      <c r="U455" t="s">
        <v>4878</v>
      </c>
      <c r="V455" t="s">
        <v>50</v>
      </c>
      <c r="W455" t="s">
        <v>33</v>
      </c>
      <c r="X455" t="s">
        <v>33</v>
      </c>
      <c r="Y455" t="s">
        <v>33</v>
      </c>
      <c r="Z455" s="5" t="s">
        <v>34</v>
      </c>
      <c r="AA455">
        <v>-75.545738360000001</v>
      </c>
      <c r="AB455">
        <v>6.2295213299999999</v>
      </c>
      <c r="AC455" t="s">
        <v>456</v>
      </c>
      <c r="AD455" t="s">
        <v>457</v>
      </c>
    </row>
    <row r="456" spans="1:30" x14ac:dyDescent="0.25">
      <c r="A456" t="s">
        <v>1452</v>
      </c>
      <c r="B456" t="s">
        <v>95</v>
      </c>
      <c r="C456" t="s">
        <v>26</v>
      </c>
      <c r="D456" t="s">
        <v>96</v>
      </c>
      <c r="E456" t="s">
        <v>1453</v>
      </c>
      <c r="F456" t="s">
        <v>1454</v>
      </c>
      <c r="G456">
        <v>8125598</v>
      </c>
      <c r="H456" t="s">
        <v>1455</v>
      </c>
      <c r="I456" s="4" t="s">
        <v>35</v>
      </c>
      <c r="J456" s="4" t="s">
        <v>1456</v>
      </c>
      <c r="K456" t="s">
        <v>1457</v>
      </c>
      <c r="L456" t="s">
        <v>27</v>
      </c>
      <c r="M456" t="s">
        <v>1458</v>
      </c>
      <c r="N456" t="s">
        <v>28</v>
      </c>
      <c r="O456" t="s">
        <v>103</v>
      </c>
      <c r="P456" t="s">
        <v>158</v>
      </c>
      <c r="Q456" t="s">
        <v>31</v>
      </c>
      <c r="R456">
        <v>9</v>
      </c>
      <c r="S456" t="s">
        <v>1459</v>
      </c>
      <c r="T456" t="s">
        <v>4832</v>
      </c>
      <c r="U456" t="s">
        <v>4831</v>
      </c>
      <c r="V456" t="s">
        <v>32</v>
      </c>
      <c r="W456" t="s">
        <v>33</v>
      </c>
      <c r="X456" t="s">
        <v>33</v>
      </c>
      <c r="Y456" t="s">
        <v>33</v>
      </c>
      <c r="Z456" s="5" t="s">
        <v>34</v>
      </c>
      <c r="AA456">
        <v>-75.542624230000001</v>
      </c>
      <c r="AB456">
        <v>6.2416582900000002</v>
      </c>
      <c r="AC456" t="s">
        <v>456</v>
      </c>
      <c r="AD456" t="s">
        <v>457</v>
      </c>
    </row>
    <row r="457" spans="1:30" x14ac:dyDescent="0.25">
      <c r="A457" t="s">
        <v>1460</v>
      </c>
      <c r="B457" t="s">
        <v>51</v>
      </c>
      <c r="C457" t="s">
        <v>182</v>
      </c>
      <c r="D457" t="s">
        <v>51</v>
      </c>
      <c r="E457" t="s">
        <v>1461</v>
      </c>
      <c r="F457" t="s">
        <v>1462</v>
      </c>
      <c r="G457">
        <v>43637027</v>
      </c>
      <c r="H457" t="s">
        <v>1463</v>
      </c>
      <c r="I457" s="4" t="s">
        <v>35</v>
      </c>
      <c r="J457" s="4" t="s">
        <v>1464</v>
      </c>
      <c r="K457" t="s">
        <v>1465</v>
      </c>
      <c r="L457" t="s">
        <v>27</v>
      </c>
      <c r="M457" t="s">
        <v>1466</v>
      </c>
      <c r="N457" t="s">
        <v>28</v>
      </c>
      <c r="O457" t="s">
        <v>183</v>
      </c>
      <c r="P457" t="s">
        <v>53</v>
      </c>
      <c r="Q457" t="s">
        <v>31</v>
      </c>
      <c r="R457">
        <v>11</v>
      </c>
      <c r="S457" t="s">
        <v>1467</v>
      </c>
      <c r="T457" t="s">
        <v>6606</v>
      </c>
      <c r="U457" t="s">
        <v>4804</v>
      </c>
      <c r="V457" t="s">
        <v>32</v>
      </c>
      <c r="W457" t="s">
        <v>33</v>
      </c>
      <c r="X457" t="s">
        <v>33</v>
      </c>
      <c r="Y457" t="s">
        <v>33</v>
      </c>
      <c r="Z457" s="5" t="s">
        <v>34</v>
      </c>
      <c r="AA457">
        <v>-75.627711000000005</v>
      </c>
      <c r="AB457">
        <v>6.2507330000000003</v>
      </c>
      <c r="AC457" t="s">
        <v>456</v>
      </c>
      <c r="AD457" t="s">
        <v>457</v>
      </c>
    </row>
    <row r="458" spans="1:30" x14ac:dyDescent="0.25">
      <c r="A458" t="s">
        <v>1468</v>
      </c>
      <c r="B458" t="s">
        <v>51</v>
      </c>
      <c r="C458" t="s">
        <v>182</v>
      </c>
      <c r="D458" t="s">
        <v>51</v>
      </c>
      <c r="E458" t="s">
        <v>1469</v>
      </c>
      <c r="F458" t="s">
        <v>1470</v>
      </c>
      <c r="G458">
        <v>43637027</v>
      </c>
      <c r="H458" t="s">
        <v>1463</v>
      </c>
      <c r="I458" s="4" t="s">
        <v>35</v>
      </c>
      <c r="J458" s="4" t="s">
        <v>1464</v>
      </c>
      <c r="K458" t="s">
        <v>1471</v>
      </c>
      <c r="L458" t="s">
        <v>27</v>
      </c>
      <c r="M458" t="s">
        <v>1472</v>
      </c>
      <c r="N458" t="s">
        <v>28</v>
      </c>
      <c r="O458" t="s">
        <v>183</v>
      </c>
      <c r="P458" t="s">
        <v>53</v>
      </c>
      <c r="Q458" t="s">
        <v>31</v>
      </c>
      <c r="R458">
        <v>11</v>
      </c>
      <c r="S458" t="s">
        <v>1473</v>
      </c>
      <c r="T458" t="s">
        <v>6864</v>
      </c>
      <c r="U458" t="s">
        <v>4928</v>
      </c>
      <c r="V458" t="s">
        <v>32</v>
      </c>
      <c r="W458" t="s">
        <v>33</v>
      </c>
      <c r="X458" t="s">
        <v>33</v>
      </c>
      <c r="Y458" t="s">
        <v>33</v>
      </c>
      <c r="Z458" s="5" t="s">
        <v>34</v>
      </c>
      <c r="AA458">
        <v>-75.627932999999999</v>
      </c>
      <c r="AB458">
        <v>6.2511780000000003</v>
      </c>
      <c r="AC458" t="s">
        <v>456</v>
      </c>
      <c r="AD458" t="s">
        <v>457</v>
      </c>
    </row>
    <row r="459" spans="1:30" x14ac:dyDescent="0.25">
      <c r="A459" t="s">
        <v>1474</v>
      </c>
      <c r="B459" t="s">
        <v>42</v>
      </c>
      <c r="C459" t="s">
        <v>166</v>
      </c>
      <c r="D459" t="s">
        <v>42</v>
      </c>
      <c r="E459" t="s">
        <v>1475</v>
      </c>
      <c r="F459" t="s">
        <v>1476</v>
      </c>
      <c r="G459">
        <v>901859716</v>
      </c>
      <c r="H459" t="s">
        <v>1477</v>
      </c>
      <c r="I459" s="4" t="s">
        <v>35</v>
      </c>
      <c r="J459" s="4" t="s">
        <v>1140</v>
      </c>
      <c r="K459" t="s">
        <v>1478</v>
      </c>
      <c r="L459" t="s">
        <v>49</v>
      </c>
      <c r="M459" t="s">
        <v>1479</v>
      </c>
      <c r="N459" t="s">
        <v>84</v>
      </c>
      <c r="O459" t="s">
        <v>167</v>
      </c>
      <c r="P459" t="s">
        <v>30</v>
      </c>
      <c r="Q459" t="s">
        <v>38</v>
      </c>
      <c r="R459">
        <v>10</v>
      </c>
      <c r="S459" t="s">
        <v>1480</v>
      </c>
      <c r="T459" t="s">
        <v>6865</v>
      </c>
      <c r="U459" t="s">
        <v>6865</v>
      </c>
      <c r="V459" t="s">
        <v>32</v>
      </c>
      <c r="W459" t="s">
        <v>33</v>
      </c>
      <c r="X459" t="s">
        <v>33</v>
      </c>
      <c r="Y459" t="s">
        <v>33</v>
      </c>
      <c r="Z459" s="5" t="s">
        <v>34</v>
      </c>
      <c r="AA459">
        <v>-75.533590009999998</v>
      </c>
      <c r="AB459">
        <v>6.156758</v>
      </c>
      <c r="AC459" t="s">
        <v>456</v>
      </c>
      <c r="AD459" t="s">
        <v>457</v>
      </c>
    </row>
    <row r="460" spans="1:30" x14ac:dyDescent="0.25">
      <c r="A460" t="s">
        <v>1481</v>
      </c>
      <c r="B460" t="s">
        <v>25</v>
      </c>
      <c r="C460" t="s">
        <v>26</v>
      </c>
      <c r="D460" t="s">
        <v>25</v>
      </c>
      <c r="E460" t="s">
        <v>1482</v>
      </c>
      <c r="F460" t="s">
        <v>1483</v>
      </c>
      <c r="G460">
        <v>43077358</v>
      </c>
      <c r="H460" t="s">
        <v>1484</v>
      </c>
      <c r="I460" s="4" t="s">
        <v>35</v>
      </c>
      <c r="J460" s="4" t="s">
        <v>1485</v>
      </c>
      <c r="K460" t="s">
        <v>1486</v>
      </c>
      <c r="L460" t="s">
        <v>27</v>
      </c>
      <c r="M460" t="s">
        <v>1487</v>
      </c>
      <c r="N460" t="s">
        <v>28</v>
      </c>
      <c r="O460" t="s">
        <v>29</v>
      </c>
      <c r="P460" t="s">
        <v>37</v>
      </c>
      <c r="Q460" t="s">
        <v>31</v>
      </c>
      <c r="R460">
        <v>7</v>
      </c>
      <c r="S460" t="s">
        <v>1488</v>
      </c>
      <c r="T460" t="s">
        <v>6453</v>
      </c>
      <c r="U460" t="s">
        <v>6452</v>
      </c>
      <c r="V460" t="s">
        <v>50</v>
      </c>
      <c r="W460" t="s">
        <v>33</v>
      </c>
      <c r="X460" t="s">
        <v>33</v>
      </c>
      <c r="Y460" t="s">
        <v>33</v>
      </c>
      <c r="Z460" s="5" t="s">
        <v>34</v>
      </c>
      <c r="AA460">
        <v>-75.632174359999993</v>
      </c>
      <c r="AB460">
        <v>6.2470283200000001</v>
      </c>
      <c r="AC460" t="s">
        <v>456</v>
      </c>
      <c r="AD460" t="s">
        <v>457</v>
      </c>
    </row>
    <row r="461" spans="1:30" x14ac:dyDescent="0.25">
      <c r="A461" t="s">
        <v>1489</v>
      </c>
      <c r="B461" t="s">
        <v>25</v>
      </c>
      <c r="C461" t="s">
        <v>166</v>
      </c>
      <c r="D461" t="s">
        <v>25</v>
      </c>
      <c r="E461" t="s">
        <v>1490</v>
      </c>
      <c r="F461" t="s">
        <v>1491</v>
      </c>
      <c r="G461">
        <v>1128406064</v>
      </c>
      <c r="H461" t="s">
        <v>1492</v>
      </c>
      <c r="I461" s="4" t="s">
        <v>1493</v>
      </c>
      <c r="J461" s="4" t="s">
        <v>1494</v>
      </c>
      <c r="K461" t="s">
        <v>1495</v>
      </c>
      <c r="L461" t="s">
        <v>27</v>
      </c>
      <c r="M461" t="s">
        <v>1496</v>
      </c>
      <c r="N461" t="s">
        <v>28</v>
      </c>
      <c r="O461" t="s">
        <v>467</v>
      </c>
      <c r="P461" t="s">
        <v>30</v>
      </c>
      <c r="Q461" t="s">
        <v>31</v>
      </c>
      <c r="R461">
        <v>7</v>
      </c>
      <c r="S461" t="s">
        <v>1497</v>
      </c>
      <c r="T461" t="s">
        <v>6866</v>
      </c>
      <c r="U461" t="s">
        <v>6867</v>
      </c>
      <c r="V461" t="s">
        <v>50</v>
      </c>
      <c r="W461" t="s">
        <v>33</v>
      </c>
      <c r="X461" t="s">
        <v>33</v>
      </c>
      <c r="Y461" t="s">
        <v>33</v>
      </c>
      <c r="Z461" s="5" t="s">
        <v>34</v>
      </c>
      <c r="AA461">
        <v>-75.600742179999997</v>
      </c>
      <c r="AB461">
        <v>6.2306050800000001</v>
      </c>
      <c r="AC461" t="s">
        <v>456</v>
      </c>
      <c r="AD461" t="s">
        <v>457</v>
      </c>
    </row>
    <row r="462" spans="1:30" x14ac:dyDescent="0.25">
      <c r="A462" t="s">
        <v>1498</v>
      </c>
      <c r="B462" t="s">
        <v>51</v>
      </c>
      <c r="C462" t="s">
        <v>121</v>
      </c>
      <c r="D462" t="s">
        <v>51</v>
      </c>
      <c r="E462" t="s">
        <v>1499</v>
      </c>
      <c r="F462" t="s">
        <v>1500</v>
      </c>
      <c r="G462">
        <v>21618078</v>
      </c>
      <c r="H462" t="s">
        <v>1501</v>
      </c>
      <c r="I462" s="4" t="s">
        <v>1502</v>
      </c>
      <c r="J462" s="4" t="s">
        <v>1503</v>
      </c>
      <c r="K462" t="s">
        <v>1504</v>
      </c>
      <c r="L462" t="s">
        <v>27</v>
      </c>
      <c r="M462" t="s">
        <v>1505</v>
      </c>
      <c r="N462" t="s">
        <v>28</v>
      </c>
      <c r="O462" t="s">
        <v>122</v>
      </c>
      <c r="P462" t="s">
        <v>53</v>
      </c>
      <c r="Q462" t="s">
        <v>31</v>
      </c>
      <c r="R462">
        <v>11</v>
      </c>
      <c r="S462" t="s">
        <v>1506</v>
      </c>
      <c r="T462" t="s">
        <v>6868</v>
      </c>
      <c r="U462" t="s">
        <v>6869</v>
      </c>
      <c r="V462" t="s">
        <v>32</v>
      </c>
      <c r="W462" t="s">
        <v>33</v>
      </c>
      <c r="X462" t="s">
        <v>33</v>
      </c>
      <c r="Y462" t="s">
        <v>33</v>
      </c>
      <c r="Z462" s="5" t="s">
        <v>34</v>
      </c>
      <c r="AA462">
        <v>-75.536460860000005</v>
      </c>
      <c r="AB462">
        <v>6.2383010900000002</v>
      </c>
      <c r="AC462" t="s">
        <v>456</v>
      </c>
      <c r="AD462" t="s">
        <v>457</v>
      </c>
    </row>
    <row r="463" spans="1:30" x14ac:dyDescent="0.25">
      <c r="A463" t="s">
        <v>3210</v>
      </c>
      <c r="B463" t="s">
        <v>42</v>
      </c>
      <c r="C463" t="s">
        <v>26</v>
      </c>
      <c r="D463" t="s">
        <v>42</v>
      </c>
      <c r="E463" t="s">
        <v>3211</v>
      </c>
      <c r="F463" t="s">
        <v>3212</v>
      </c>
      <c r="G463">
        <v>1036629063</v>
      </c>
      <c r="H463" t="s">
        <v>3213</v>
      </c>
      <c r="I463" s="4" t="s">
        <v>35</v>
      </c>
      <c r="J463" s="4" t="s">
        <v>3214</v>
      </c>
      <c r="K463" t="s">
        <v>3215</v>
      </c>
      <c r="L463" t="s">
        <v>61</v>
      </c>
      <c r="M463" t="s">
        <v>3216</v>
      </c>
      <c r="N463" t="s">
        <v>63</v>
      </c>
      <c r="O463" t="s">
        <v>43</v>
      </c>
      <c r="P463" t="s">
        <v>37</v>
      </c>
      <c r="Q463" t="s">
        <v>38</v>
      </c>
      <c r="R463">
        <v>10</v>
      </c>
      <c r="S463" t="s">
        <v>3217</v>
      </c>
      <c r="T463" t="s">
        <v>6870</v>
      </c>
      <c r="U463" t="s">
        <v>6870</v>
      </c>
      <c r="V463" t="s">
        <v>32</v>
      </c>
      <c r="W463" t="s">
        <v>33</v>
      </c>
      <c r="X463" t="s">
        <v>33</v>
      </c>
      <c r="Y463" t="s">
        <v>33</v>
      </c>
      <c r="Z463" s="5" t="s">
        <v>34</v>
      </c>
      <c r="AA463">
        <v>-75.641896869999997</v>
      </c>
      <c r="AB463">
        <v>6.1127570000000002</v>
      </c>
      <c r="AC463" t="s">
        <v>456</v>
      </c>
      <c r="AD463" t="s">
        <v>457</v>
      </c>
    </row>
    <row r="464" spans="1:30" x14ac:dyDescent="0.25">
      <c r="A464" t="s">
        <v>1507</v>
      </c>
      <c r="B464" t="s">
        <v>25</v>
      </c>
      <c r="C464" t="s">
        <v>26</v>
      </c>
      <c r="D464" t="s">
        <v>25</v>
      </c>
      <c r="E464" t="s">
        <v>1508</v>
      </c>
      <c r="F464" t="s">
        <v>1509</v>
      </c>
      <c r="G464">
        <v>8101194</v>
      </c>
      <c r="H464" t="s">
        <v>1510</v>
      </c>
      <c r="I464" s="4" t="s">
        <v>35</v>
      </c>
      <c r="J464" s="4" t="s">
        <v>1511</v>
      </c>
      <c r="K464" t="s">
        <v>1512</v>
      </c>
      <c r="L464" t="s">
        <v>27</v>
      </c>
      <c r="M464" t="s">
        <v>1513</v>
      </c>
      <c r="N464" t="s">
        <v>28</v>
      </c>
      <c r="O464" t="s">
        <v>29</v>
      </c>
      <c r="P464" t="s">
        <v>30</v>
      </c>
      <c r="Q464" t="s">
        <v>31</v>
      </c>
      <c r="R464">
        <v>7</v>
      </c>
      <c r="S464" t="s">
        <v>1514</v>
      </c>
      <c r="T464" t="s">
        <v>6871</v>
      </c>
      <c r="U464" t="s">
        <v>6872</v>
      </c>
      <c r="V464" t="s">
        <v>50</v>
      </c>
      <c r="W464" t="s">
        <v>33</v>
      </c>
      <c r="X464" t="s">
        <v>33</v>
      </c>
      <c r="Y464" t="s">
        <v>33</v>
      </c>
      <c r="Z464" s="5" t="s">
        <v>34</v>
      </c>
      <c r="AA464">
        <v>-75.58746687</v>
      </c>
      <c r="AB464">
        <v>6.2373170699999996</v>
      </c>
      <c r="AC464" t="s">
        <v>456</v>
      </c>
      <c r="AD464" t="s">
        <v>457</v>
      </c>
    </row>
    <row r="465" spans="1:30" x14ac:dyDescent="0.25">
      <c r="A465" t="s">
        <v>3218</v>
      </c>
      <c r="B465" t="s">
        <v>42</v>
      </c>
      <c r="C465" t="s">
        <v>26</v>
      </c>
      <c r="D465" t="s">
        <v>42</v>
      </c>
      <c r="E465" t="s">
        <v>3219</v>
      </c>
      <c r="F465" t="s">
        <v>3220</v>
      </c>
      <c r="G465">
        <v>8101194</v>
      </c>
      <c r="H465" t="s">
        <v>1510</v>
      </c>
      <c r="I465" s="4" t="s">
        <v>35</v>
      </c>
      <c r="J465" s="4" t="s">
        <v>1511</v>
      </c>
      <c r="K465" t="s">
        <v>3221</v>
      </c>
      <c r="L465" t="s">
        <v>27</v>
      </c>
      <c r="M465" t="s">
        <v>3222</v>
      </c>
      <c r="N465" t="s">
        <v>28</v>
      </c>
      <c r="O465" t="s">
        <v>43</v>
      </c>
      <c r="P465" t="s">
        <v>30</v>
      </c>
      <c r="Q465" t="s">
        <v>31</v>
      </c>
      <c r="R465">
        <v>7</v>
      </c>
      <c r="S465" t="s">
        <v>3223</v>
      </c>
      <c r="T465" t="s">
        <v>6871</v>
      </c>
      <c r="U465" t="s">
        <v>6872</v>
      </c>
      <c r="V465" t="s">
        <v>50</v>
      </c>
      <c r="W465" t="s">
        <v>33</v>
      </c>
      <c r="X465" t="s">
        <v>33</v>
      </c>
      <c r="Y465" t="s">
        <v>33</v>
      </c>
      <c r="Z465" s="5" t="s">
        <v>34</v>
      </c>
      <c r="AA465">
        <v>-75.587550230000005</v>
      </c>
      <c r="AB465">
        <v>6.23741317</v>
      </c>
      <c r="AC465" t="s">
        <v>456</v>
      </c>
      <c r="AD465" t="s">
        <v>457</v>
      </c>
    </row>
    <row r="466" spans="1:30" x14ac:dyDescent="0.25">
      <c r="A466" t="s">
        <v>1515</v>
      </c>
      <c r="B466" t="s">
        <v>25</v>
      </c>
      <c r="C466" t="s">
        <v>26</v>
      </c>
      <c r="D466" t="s">
        <v>25</v>
      </c>
      <c r="E466" t="s">
        <v>1516</v>
      </c>
      <c r="F466" t="s">
        <v>1517</v>
      </c>
      <c r="G466">
        <v>8101194</v>
      </c>
      <c r="H466" t="s">
        <v>1510</v>
      </c>
      <c r="I466" s="4" t="s">
        <v>35</v>
      </c>
      <c r="J466" s="4" t="s">
        <v>1511</v>
      </c>
      <c r="K466" t="s">
        <v>1518</v>
      </c>
      <c r="L466" t="s">
        <v>27</v>
      </c>
      <c r="M466" t="s">
        <v>1519</v>
      </c>
      <c r="N466" t="s">
        <v>28</v>
      </c>
      <c r="O466" t="s">
        <v>29</v>
      </c>
      <c r="P466" t="s">
        <v>30</v>
      </c>
      <c r="Q466" t="s">
        <v>31</v>
      </c>
      <c r="R466">
        <v>7</v>
      </c>
      <c r="S466" t="s">
        <v>1520</v>
      </c>
      <c r="T466" t="s">
        <v>6871</v>
      </c>
      <c r="U466" t="s">
        <v>6872</v>
      </c>
      <c r="V466" t="s">
        <v>50</v>
      </c>
      <c r="W466" t="s">
        <v>33</v>
      </c>
      <c r="X466" t="s">
        <v>33</v>
      </c>
      <c r="Y466" t="s">
        <v>33</v>
      </c>
      <c r="Z466" s="5" t="s">
        <v>34</v>
      </c>
      <c r="AA466">
        <v>-75.58746687</v>
      </c>
      <c r="AB466">
        <v>6.2373170699999996</v>
      </c>
      <c r="AC466" t="s">
        <v>456</v>
      </c>
      <c r="AD466" t="s">
        <v>457</v>
      </c>
    </row>
    <row r="467" spans="1:30" x14ac:dyDescent="0.25">
      <c r="A467" t="s">
        <v>1521</v>
      </c>
      <c r="B467" t="s">
        <v>25</v>
      </c>
      <c r="C467" t="s">
        <v>26</v>
      </c>
      <c r="D467" t="s">
        <v>25</v>
      </c>
      <c r="E467" t="s">
        <v>1522</v>
      </c>
      <c r="F467" t="s">
        <v>1523</v>
      </c>
      <c r="G467">
        <v>8101194</v>
      </c>
      <c r="H467" t="s">
        <v>1510</v>
      </c>
      <c r="I467" s="4" t="s">
        <v>35</v>
      </c>
      <c r="J467" s="4" t="s">
        <v>1511</v>
      </c>
      <c r="K467" t="s">
        <v>1524</v>
      </c>
      <c r="L467" t="s">
        <v>27</v>
      </c>
      <c r="M467" t="s">
        <v>1525</v>
      </c>
      <c r="N467" t="s">
        <v>28</v>
      </c>
      <c r="O467" t="s">
        <v>29</v>
      </c>
      <c r="P467" t="s">
        <v>30</v>
      </c>
      <c r="Q467" t="s">
        <v>31</v>
      </c>
      <c r="R467">
        <v>7</v>
      </c>
      <c r="S467" t="s">
        <v>1526</v>
      </c>
      <c r="T467" t="s">
        <v>6412</v>
      </c>
      <c r="U467" t="s">
        <v>6413</v>
      </c>
      <c r="V467" t="s">
        <v>50</v>
      </c>
      <c r="W467" t="s">
        <v>33</v>
      </c>
      <c r="X467" t="s">
        <v>33</v>
      </c>
      <c r="Y467" t="s">
        <v>33</v>
      </c>
      <c r="Z467" s="5" t="s">
        <v>34</v>
      </c>
      <c r="AA467">
        <v>-75.58746687</v>
      </c>
      <c r="AB467">
        <v>6.2373170699999996</v>
      </c>
      <c r="AC467" t="s">
        <v>456</v>
      </c>
      <c r="AD467" t="s">
        <v>457</v>
      </c>
    </row>
    <row r="468" spans="1:30" x14ac:dyDescent="0.25">
      <c r="A468" t="s">
        <v>1527</v>
      </c>
      <c r="B468" t="s">
        <v>25</v>
      </c>
      <c r="C468" t="s">
        <v>26</v>
      </c>
      <c r="D468" t="s">
        <v>25</v>
      </c>
      <c r="E468" t="s">
        <v>1528</v>
      </c>
      <c r="F468" t="s">
        <v>1529</v>
      </c>
      <c r="G468">
        <v>8101194</v>
      </c>
      <c r="H468" t="s">
        <v>1510</v>
      </c>
      <c r="I468" s="4" t="s">
        <v>35</v>
      </c>
      <c r="J468" s="4" t="s">
        <v>1511</v>
      </c>
      <c r="K468" t="s">
        <v>1530</v>
      </c>
      <c r="L468" t="s">
        <v>27</v>
      </c>
      <c r="M468" t="s">
        <v>1531</v>
      </c>
      <c r="N468" t="s">
        <v>28</v>
      </c>
      <c r="O468" t="s">
        <v>29</v>
      </c>
      <c r="P468" t="s">
        <v>30</v>
      </c>
      <c r="Q468" t="s">
        <v>31</v>
      </c>
      <c r="R468">
        <v>7</v>
      </c>
      <c r="S468" t="s">
        <v>1532</v>
      </c>
      <c r="T468" t="s">
        <v>6873</v>
      </c>
      <c r="U468" t="s">
        <v>4896</v>
      </c>
      <c r="V468" t="s">
        <v>50</v>
      </c>
      <c r="W468" t="s">
        <v>33</v>
      </c>
      <c r="X468" t="s">
        <v>33</v>
      </c>
      <c r="Y468" t="s">
        <v>33</v>
      </c>
      <c r="Z468" s="5" t="s">
        <v>34</v>
      </c>
      <c r="AA468">
        <v>-75.58746687</v>
      </c>
      <c r="AB468">
        <v>6.2373170699999996</v>
      </c>
      <c r="AC468" t="s">
        <v>456</v>
      </c>
      <c r="AD468" t="s">
        <v>457</v>
      </c>
    </row>
    <row r="469" spans="1:30" x14ac:dyDescent="0.25">
      <c r="A469" t="s">
        <v>1533</v>
      </c>
      <c r="B469" t="s">
        <v>25</v>
      </c>
      <c r="C469" t="s">
        <v>26</v>
      </c>
      <c r="D469" t="s">
        <v>25</v>
      </c>
      <c r="E469" t="s">
        <v>1534</v>
      </c>
      <c r="F469" t="s">
        <v>1535</v>
      </c>
      <c r="G469">
        <v>8101194</v>
      </c>
      <c r="H469" t="s">
        <v>1510</v>
      </c>
      <c r="I469" s="4" t="s">
        <v>35</v>
      </c>
      <c r="J469" s="4" t="s">
        <v>1511</v>
      </c>
      <c r="K469" t="s">
        <v>1536</v>
      </c>
      <c r="L469" t="s">
        <v>27</v>
      </c>
      <c r="M469" t="s">
        <v>1537</v>
      </c>
      <c r="N469" t="s">
        <v>28</v>
      </c>
      <c r="O469" t="s">
        <v>29</v>
      </c>
      <c r="P469" t="s">
        <v>30</v>
      </c>
      <c r="Q469" t="s">
        <v>31</v>
      </c>
      <c r="R469">
        <v>7</v>
      </c>
      <c r="S469" t="s">
        <v>1538</v>
      </c>
      <c r="T469" t="s">
        <v>6873</v>
      </c>
      <c r="U469" t="s">
        <v>4896</v>
      </c>
      <c r="V469" t="s">
        <v>50</v>
      </c>
      <c r="W469" t="s">
        <v>33</v>
      </c>
      <c r="X469" t="s">
        <v>33</v>
      </c>
      <c r="Y469" t="s">
        <v>33</v>
      </c>
      <c r="Z469" s="5" t="s">
        <v>34</v>
      </c>
      <c r="AA469">
        <v>-75.58746687</v>
      </c>
      <c r="AB469">
        <v>6.2373170699999996</v>
      </c>
      <c r="AC469" t="s">
        <v>456</v>
      </c>
      <c r="AD469" t="s">
        <v>457</v>
      </c>
    </row>
    <row r="470" spans="1:30" x14ac:dyDescent="0.25">
      <c r="A470" t="s">
        <v>1539</v>
      </c>
      <c r="B470" t="s">
        <v>25</v>
      </c>
      <c r="C470" t="s">
        <v>26</v>
      </c>
      <c r="D470" t="s">
        <v>25</v>
      </c>
      <c r="E470" t="s">
        <v>1540</v>
      </c>
      <c r="F470" t="s">
        <v>1541</v>
      </c>
      <c r="G470">
        <v>8101194</v>
      </c>
      <c r="H470" t="s">
        <v>1510</v>
      </c>
      <c r="I470" s="4" t="s">
        <v>35</v>
      </c>
      <c r="J470" s="4" t="s">
        <v>1511</v>
      </c>
      <c r="K470" t="s">
        <v>1542</v>
      </c>
      <c r="L470" t="s">
        <v>27</v>
      </c>
      <c r="M470" t="s">
        <v>1543</v>
      </c>
      <c r="N470" t="s">
        <v>28</v>
      </c>
      <c r="O470" t="s">
        <v>29</v>
      </c>
      <c r="P470" t="s">
        <v>30</v>
      </c>
      <c r="Q470" t="s">
        <v>31</v>
      </c>
      <c r="R470">
        <v>7</v>
      </c>
      <c r="S470" t="s">
        <v>1544</v>
      </c>
      <c r="T470" t="s">
        <v>6873</v>
      </c>
      <c r="U470" t="s">
        <v>4896</v>
      </c>
      <c r="V470" t="s">
        <v>50</v>
      </c>
      <c r="W470" t="s">
        <v>33</v>
      </c>
      <c r="X470" t="s">
        <v>33</v>
      </c>
      <c r="Y470" t="s">
        <v>33</v>
      </c>
      <c r="Z470" s="5" t="s">
        <v>34</v>
      </c>
      <c r="AA470">
        <v>-75.58746687</v>
      </c>
      <c r="AB470">
        <v>6.2373170699999996</v>
      </c>
      <c r="AC470" t="s">
        <v>456</v>
      </c>
      <c r="AD470" t="s">
        <v>457</v>
      </c>
    </row>
    <row r="471" spans="1:30" x14ac:dyDescent="0.25">
      <c r="A471" t="s">
        <v>1545</v>
      </c>
      <c r="B471" t="s">
        <v>25</v>
      </c>
      <c r="C471" t="s">
        <v>26</v>
      </c>
      <c r="D471" t="s">
        <v>25</v>
      </c>
      <c r="E471" t="s">
        <v>1546</v>
      </c>
      <c r="F471" t="s">
        <v>1547</v>
      </c>
      <c r="G471">
        <v>8101194</v>
      </c>
      <c r="H471" t="s">
        <v>1510</v>
      </c>
      <c r="I471" s="4" t="s">
        <v>35</v>
      </c>
      <c r="J471" s="4" t="s">
        <v>1511</v>
      </c>
      <c r="K471" t="s">
        <v>1548</v>
      </c>
      <c r="L471" t="s">
        <v>27</v>
      </c>
      <c r="M471" t="s">
        <v>1549</v>
      </c>
      <c r="N471" t="s">
        <v>28</v>
      </c>
      <c r="O471" t="s">
        <v>29</v>
      </c>
      <c r="P471" t="s">
        <v>30</v>
      </c>
      <c r="Q471" t="s">
        <v>31</v>
      </c>
      <c r="R471">
        <v>7</v>
      </c>
      <c r="S471" t="s">
        <v>1550</v>
      </c>
      <c r="T471" t="s">
        <v>6874</v>
      </c>
      <c r="U471" t="s">
        <v>6875</v>
      </c>
      <c r="V471" t="s">
        <v>50</v>
      </c>
      <c r="W471" t="s">
        <v>33</v>
      </c>
      <c r="X471" t="s">
        <v>33</v>
      </c>
      <c r="Y471" t="s">
        <v>33</v>
      </c>
      <c r="Z471" s="5" t="s">
        <v>34</v>
      </c>
      <c r="AA471">
        <v>-75.58746687</v>
      </c>
      <c r="AB471">
        <v>6.2373170699999996</v>
      </c>
      <c r="AC471" t="s">
        <v>456</v>
      </c>
      <c r="AD471" t="s">
        <v>457</v>
      </c>
    </row>
    <row r="472" spans="1:30" x14ac:dyDescent="0.25">
      <c r="A472" t="s">
        <v>1551</v>
      </c>
      <c r="B472" t="s">
        <v>25</v>
      </c>
      <c r="C472" t="s">
        <v>26</v>
      </c>
      <c r="D472" t="s">
        <v>25</v>
      </c>
      <c r="E472" t="s">
        <v>1552</v>
      </c>
      <c r="F472" t="s">
        <v>1553</v>
      </c>
      <c r="G472">
        <v>8101194</v>
      </c>
      <c r="H472" t="s">
        <v>1510</v>
      </c>
      <c r="I472" s="4" t="s">
        <v>35</v>
      </c>
      <c r="J472" s="4" t="s">
        <v>1511</v>
      </c>
      <c r="K472" t="s">
        <v>1554</v>
      </c>
      <c r="L472" t="s">
        <v>27</v>
      </c>
      <c r="M472" t="s">
        <v>1555</v>
      </c>
      <c r="N472" t="s">
        <v>28</v>
      </c>
      <c r="O472" t="s">
        <v>29</v>
      </c>
      <c r="P472" t="s">
        <v>30</v>
      </c>
      <c r="Q472" t="s">
        <v>31</v>
      </c>
      <c r="R472">
        <v>7</v>
      </c>
      <c r="S472" t="s">
        <v>1556</v>
      </c>
      <c r="T472" t="s">
        <v>6876</v>
      </c>
      <c r="U472" t="s">
        <v>6877</v>
      </c>
      <c r="V472" t="s">
        <v>50</v>
      </c>
      <c r="W472" t="s">
        <v>33</v>
      </c>
      <c r="X472" t="s">
        <v>33</v>
      </c>
      <c r="Y472" t="s">
        <v>33</v>
      </c>
      <c r="Z472" s="5" t="s">
        <v>34</v>
      </c>
      <c r="AA472">
        <v>-75.58746687</v>
      </c>
      <c r="AB472">
        <v>6.2373170699999996</v>
      </c>
      <c r="AC472" t="s">
        <v>456</v>
      </c>
      <c r="AD472" t="s">
        <v>457</v>
      </c>
    </row>
    <row r="473" spans="1:30" x14ac:dyDescent="0.25">
      <c r="A473" t="s">
        <v>1557</v>
      </c>
      <c r="B473" t="s">
        <v>25</v>
      </c>
      <c r="C473" t="s">
        <v>26</v>
      </c>
      <c r="D473" t="s">
        <v>25</v>
      </c>
      <c r="E473" t="s">
        <v>1558</v>
      </c>
      <c r="F473" t="s">
        <v>1559</v>
      </c>
      <c r="G473">
        <v>43999679</v>
      </c>
      <c r="H473" t="s">
        <v>1560</v>
      </c>
      <c r="I473" s="4" t="s">
        <v>1561</v>
      </c>
      <c r="J473" s="4" t="s">
        <v>1562</v>
      </c>
      <c r="K473" t="s">
        <v>1563</v>
      </c>
      <c r="L473" t="s">
        <v>27</v>
      </c>
      <c r="M473" t="s">
        <v>1564</v>
      </c>
      <c r="N473" t="s">
        <v>28</v>
      </c>
      <c r="O473" t="s">
        <v>29</v>
      </c>
      <c r="P473" t="s">
        <v>37</v>
      </c>
      <c r="Q473" t="s">
        <v>31</v>
      </c>
      <c r="R473">
        <v>7</v>
      </c>
      <c r="S473" t="s">
        <v>1565</v>
      </c>
      <c r="T473" t="s">
        <v>6878</v>
      </c>
      <c r="U473" t="s">
        <v>6879</v>
      </c>
      <c r="V473" t="s">
        <v>50</v>
      </c>
      <c r="W473" t="s">
        <v>33</v>
      </c>
      <c r="X473" t="s">
        <v>33</v>
      </c>
      <c r="Y473" t="s">
        <v>33</v>
      </c>
      <c r="Z473" s="5" t="s">
        <v>34</v>
      </c>
      <c r="AA473">
        <v>-75.620886080000005</v>
      </c>
      <c r="AB473">
        <v>6.2482865600000004</v>
      </c>
      <c r="AC473" t="s">
        <v>456</v>
      </c>
      <c r="AD473" t="s">
        <v>457</v>
      </c>
    </row>
    <row r="474" spans="1:30" x14ac:dyDescent="0.25">
      <c r="A474" t="s">
        <v>1566</v>
      </c>
      <c r="B474" t="s">
        <v>51</v>
      </c>
      <c r="C474" t="s">
        <v>26</v>
      </c>
      <c r="D474" t="s">
        <v>51</v>
      </c>
      <c r="E474" t="s">
        <v>1567</v>
      </c>
      <c r="F474" t="s">
        <v>1568</v>
      </c>
      <c r="G474">
        <v>30648027</v>
      </c>
      <c r="H474" t="s">
        <v>1569</v>
      </c>
      <c r="I474" s="4" t="s">
        <v>35</v>
      </c>
      <c r="J474" s="4" t="s">
        <v>1570</v>
      </c>
      <c r="K474" t="s">
        <v>1571</v>
      </c>
      <c r="L474" t="s">
        <v>27</v>
      </c>
      <c r="M474" t="s">
        <v>1572</v>
      </c>
      <c r="N474" t="s">
        <v>28</v>
      </c>
      <c r="O474" t="s">
        <v>52</v>
      </c>
      <c r="P474" t="s">
        <v>53</v>
      </c>
      <c r="Q474" t="s">
        <v>31</v>
      </c>
      <c r="R474">
        <v>11</v>
      </c>
      <c r="S474" t="s">
        <v>1573</v>
      </c>
      <c r="T474" t="s">
        <v>6880</v>
      </c>
      <c r="U474" t="s">
        <v>6881</v>
      </c>
      <c r="V474" t="s">
        <v>32</v>
      </c>
      <c r="W474" t="s">
        <v>33</v>
      </c>
      <c r="X474" t="s">
        <v>33</v>
      </c>
      <c r="Y474" t="s">
        <v>33</v>
      </c>
      <c r="Z474" s="5" t="s">
        <v>34</v>
      </c>
      <c r="AA474">
        <v>-75.614697000000007</v>
      </c>
      <c r="AB474">
        <v>6.2216310000000004</v>
      </c>
      <c r="AC474" t="s">
        <v>456</v>
      </c>
      <c r="AD474" t="s">
        <v>457</v>
      </c>
    </row>
    <row r="475" spans="1:30" x14ac:dyDescent="0.25">
      <c r="A475" t="s">
        <v>1574</v>
      </c>
      <c r="B475" t="s">
        <v>25</v>
      </c>
      <c r="C475" t="s">
        <v>26</v>
      </c>
      <c r="D475" t="s">
        <v>25</v>
      </c>
      <c r="E475" t="s">
        <v>1575</v>
      </c>
      <c r="F475" t="s">
        <v>1576</v>
      </c>
      <c r="G475">
        <v>8101194</v>
      </c>
      <c r="H475" t="s">
        <v>1510</v>
      </c>
      <c r="I475" s="4" t="s">
        <v>35</v>
      </c>
      <c r="J475" s="4" t="s">
        <v>1511</v>
      </c>
      <c r="K475" t="s">
        <v>1577</v>
      </c>
      <c r="L475" t="s">
        <v>27</v>
      </c>
      <c r="M475" t="s">
        <v>1578</v>
      </c>
      <c r="N475" t="s">
        <v>28</v>
      </c>
      <c r="O475" t="s">
        <v>29</v>
      </c>
      <c r="P475" t="s">
        <v>30</v>
      </c>
      <c r="Q475" t="s">
        <v>31</v>
      </c>
      <c r="R475">
        <v>7</v>
      </c>
      <c r="S475" t="s">
        <v>1579</v>
      </c>
      <c r="T475" t="s">
        <v>6882</v>
      </c>
      <c r="U475" t="s">
        <v>6883</v>
      </c>
      <c r="V475" t="s">
        <v>50</v>
      </c>
      <c r="W475" t="s">
        <v>33</v>
      </c>
      <c r="X475" t="s">
        <v>33</v>
      </c>
      <c r="Y475" t="s">
        <v>33</v>
      </c>
      <c r="Z475" s="5" t="s">
        <v>34</v>
      </c>
      <c r="AA475">
        <v>-75.58746687</v>
      </c>
      <c r="AB475">
        <v>6.2373170699999996</v>
      </c>
      <c r="AC475" t="s">
        <v>456</v>
      </c>
      <c r="AD475" t="s">
        <v>457</v>
      </c>
    </row>
    <row r="476" spans="1:30" x14ac:dyDescent="0.25">
      <c r="A476" t="s">
        <v>3224</v>
      </c>
      <c r="B476" t="s">
        <v>42</v>
      </c>
      <c r="C476" t="s">
        <v>26</v>
      </c>
      <c r="D476" t="s">
        <v>42</v>
      </c>
      <c r="E476" t="s">
        <v>3225</v>
      </c>
      <c r="F476" t="s">
        <v>6884</v>
      </c>
      <c r="G476">
        <v>811020804</v>
      </c>
      <c r="H476" t="s">
        <v>2958</v>
      </c>
      <c r="I476" s="4" t="s">
        <v>2959</v>
      </c>
      <c r="J476" s="4" t="s">
        <v>3226</v>
      </c>
      <c r="K476" t="s">
        <v>3227</v>
      </c>
      <c r="L476" t="s">
        <v>44</v>
      </c>
      <c r="M476" t="s">
        <v>3228</v>
      </c>
      <c r="N476" t="s">
        <v>45</v>
      </c>
      <c r="O476" t="s">
        <v>43</v>
      </c>
      <c r="P476" t="s">
        <v>55</v>
      </c>
      <c r="Q476" t="s">
        <v>31</v>
      </c>
      <c r="R476">
        <v>7</v>
      </c>
      <c r="S476" t="s">
        <v>6885</v>
      </c>
      <c r="T476" t="s">
        <v>6886</v>
      </c>
      <c r="U476" t="s">
        <v>4865</v>
      </c>
      <c r="V476" t="s">
        <v>32</v>
      </c>
      <c r="W476" t="s">
        <v>33</v>
      </c>
      <c r="X476" t="s">
        <v>33</v>
      </c>
      <c r="Y476" t="s">
        <v>33</v>
      </c>
      <c r="Z476" s="5" t="s">
        <v>34</v>
      </c>
      <c r="AA476">
        <v>-75.628312199999996</v>
      </c>
      <c r="AB476">
        <v>6.16084152</v>
      </c>
      <c r="AC476" t="s">
        <v>456</v>
      </c>
      <c r="AD476" t="s">
        <v>457</v>
      </c>
    </row>
    <row r="477" spans="1:30" x14ac:dyDescent="0.25">
      <c r="A477" t="s">
        <v>3229</v>
      </c>
      <c r="B477" t="s">
        <v>42</v>
      </c>
      <c r="C477" t="s">
        <v>26</v>
      </c>
      <c r="D477" t="s">
        <v>42</v>
      </c>
      <c r="E477" t="s">
        <v>3230</v>
      </c>
      <c r="F477" t="s">
        <v>6887</v>
      </c>
      <c r="G477">
        <v>811020804</v>
      </c>
      <c r="H477" t="s">
        <v>2958</v>
      </c>
      <c r="I477" s="4" t="s">
        <v>2959</v>
      </c>
      <c r="J477" s="4" t="s">
        <v>3226</v>
      </c>
      <c r="K477" t="s">
        <v>3231</v>
      </c>
      <c r="L477" t="s">
        <v>44</v>
      </c>
      <c r="M477" t="s">
        <v>3232</v>
      </c>
      <c r="N477" t="s">
        <v>45</v>
      </c>
      <c r="O477" t="s">
        <v>43</v>
      </c>
      <c r="P477" t="s">
        <v>55</v>
      </c>
      <c r="Q477" t="s">
        <v>31</v>
      </c>
      <c r="R477">
        <v>7</v>
      </c>
      <c r="S477" t="s">
        <v>6888</v>
      </c>
      <c r="T477" t="s">
        <v>5846</v>
      </c>
      <c r="U477" t="s">
        <v>5847</v>
      </c>
      <c r="V477" t="s">
        <v>32</v>
      </c>
      <c r="W477" t="s">
        <v>33</v>
      </c>
      <c r="X477" t="s">
        <v>33</v>
      </c>
      <c r="Y477" t="s">
        <v>33</v>
      </c>
      <c r="Z477" s="5" t="s">
        <v>34</v>
      </c>
      <c r="AA477">
        <v>-75.628312199999996</v>
      </c>
      <c r="AB477">
        <v>6.16084152</v>
      </c>
      <c r="AC477" t="s">
        <v>456</v>
      </c>
      <c r="AD477" t="s">
        <v>457</v>
      </c>
    </row>
    <row r="478" spans="1:30" x14ac:dyDescent="0.25">
      <c r="A478" t="s">
        <v>1580</v>
      </c>
      <c r="B478" t="s">
        <v>51</v>
      </c>
      <c r="C478" t="s">
        <v>121</v>
      </c>
      <c r="D478" t="s">
        <v>51</v>
      </c>
      <c r="E478" t="s">
        <v>1581</v>
      </c>
      <c r="F478" t="s">
        <v>1582</v>
      </c>
      <c r="G478">
        <v>98558970</v>
      </c>
      <c r="H478" t="s">
        <v>1583</v>
      </c>
      <c r="I478" s="4" t="s">
        <v>35</v>
      </c>
      <c r="J478" s="4" t="s">
        <v>1584</v>
      </c>
      <c r="K478" t="s">
        <v>1585</v>
      </c>
      <c r="L478" t="s">
        <v>27</v>
      </c>
      <c r="M478" t="s">
        <v>1586</v>
      </c>
      <c r="N478" t="s">
        <v>28</v>
      </c>
      <c r="O478" t="s">
        <v>122</v>
      </c>
      <c r="P478" t="s">
        <v>53</v>
      </c>
      <c r="Q478" t="s">
        <v>31</v>
      </c>
      <c r="R478">
        <v>11</v>
      </c>
      <c r="S478" t="s">
        <v>1587</v>
      </c>
      <c r="T478" t="s">
        <v>6889</v>
      </c>
      <c r="U478" t="s">
        <v>6890</v>
      </c>
      <c r="V478" t="s">
        <v>32</v>
      </c>
      <c r="W478" t="s">
        <v>33</v>
      </c>
      <c r="X478" t="s">
        <v>33</v>
      </c>
      <c r="Y478" t="s">
        <v>33</v>
      </c>
      <c r="Z478" s="5" t="s">
        <v>34</v>
      </c>
      <c r="AA478">
        <v>-75.588851969999993</v>
      </c>
      <c r="AB478">
        <v>6.1969259599999997</v>
      </c>
      <c r="AC478" t="s">
        <v>456</v>
      </c>
      <c r="AD478" t="s">
        <v>457</v>
      </c>
    </row>
    <row r="479" spans="1:30" x14ac:dyDescent="0.25">
      <c r="A479" t="s">
        <v>1588</v>
      </c>
      <c r="B479" t="s">
        <v>25</v>
      </c>
      <c r="C479" t="s">
        <v>26</v>
      </c>
      <c r="D479" t="s">
        <v>39</v>
      </c>
      <c r="E479" t="s">
        <v>1589</v>
      </c>
      <c r="F479" t="s">
        <v>1590</v>
      </c>
      <c r="G479">
        <v>43458650</v>
      </c>
      <c r="H479" t="s">
        <v>1591</v>
      </c>
      <c r="I479" s="4" t="s">
        <v>35</v>
      </c>
      <c r="J479" s="4" t="s">
        <v>1592</v>
      </c>
      <c r="K479" t="s">
        <v>1593</v>
      </c>
      <c r="L479" t="s">
        <v>27</v>
      </c>
      <c r="M479" t="s">
        <v>1594</v>
      </c>
      <c r="N479" t="s">
        <v>28</v>
      </c>
      <c r="O479" t="s">
        <v>40</v>
      </c>
      <c r="P479" t="s">
        <v>41</v>
      </c>
      <c r="Q479" t="s">
        <v>31</v>
      </c>
      <c r="R479">
        <v>5</v>
      </c>
      <c r="S479" t="s">
        <v>1595</v>
      </c>
      <c r="T479" t="s">
        <v>6603</v>
      </c>
      <c r="U479" t="s">
        <v>4803</v>
      </c>
      <c r="V479" t="s">
        <v>50</v>
      </c>
      <c r="W479" t="s">
        <v>33</v>
      </c>
      <c r="X479" t="s">
        <v>33</v>
      </c>
      <c r="Y479" t="s">
        <v>33</v>
      </c>
      <c r="Z479" s="5" t="s">
        <v>34</v>
      </c>
      <c r="AA479">
        <v>-75.544262860000003</v>
      </c>
      <c r="AB479">
        <v>6.2532492499999996</v>
      </c>
      <c r="AC479" t="s">
        <v>456</v>
      </c>
      <c r="AD479" t="s">
        <v>457</v>
      </c>
    </row>
    <row r="480" spans="1:30" x14ac:dyDescent="0.25">
      <c r="A480" t="s">
        <v>1596</v>
      </c>
      <c r="B480" t="s">
        <v>81</v>
      </c>
      <c r="C480" t="s">
        <v>26</v>
      </c>
      <c r="D480" t="s">
        <v>81</v>
      </c>
      <c r="E480" t="s">
        <v>1597</v>
      </c>
      <c r="F480" t="s">
        <v>1598</v>
      </c>
      <c r="G480">
        <v>70289899</v>
      </c>
      <c r="H480" t="s">
        <v>1599</v>
      </c>
      <c r="I480" s="4" t="s">
        <v>35</v>
      </c>
      <c r="J480" s="4" t="s">
        <v>397</v>
      </c>
      <c r="K480" t="s">
        <v>1600</v>
      </c>
      <c r="L480" t="s">
        <v>27</v>
      </c>
      <c r="M480" t="s">
        <v>1601</v>
      </c>
      <c r="N480" t="s">
        <v>28</v>
      </c>
      <c r="O480" t="s">
        <v>82</v>
      </c>
      <c r="P480" t="s">
        <v>83</v>
      </c>
      <c r="Q480" t="s">
        <v>31</v>
      </c>
      <c r="R480">
        <v>4</v>
      </c>
      <c r="S480" t="s">
        <v>1602</v>
      </c>
      <c r="T480" t="s">
        <v>6891</v>
      </c>
      <c r="U480" t="s">
        <v>47</v>
      </c>
      <c r="V480" t="s">
        <v>47</v>
      </c>
      <c r="W480" t="s">
        <v>33</v>
      </c>
      <c r="X480" t="s">
        <v>33</v>
      </c>
      <c r="Y480" t="s">
        <v>33</v>
      </c>
      <c r="Z480" s="5" t="s">
        <v>34</v>
      </c>
      <c r="AA480">
        <v>-75.5628478</v>
      </c>
      <c r="AB480">
        <v>6.26297266</v>
      </c>
      <c r="AC480" t="s">
        <v>456</v>
      </c>
      <c r="AD480" t="s">
        <v>457</v>
      </c>
    </row>
    <row r="481" spans="1:30" x14ac:dyDescent="0.25">
      <c r="A481" t="s">
        <v>1603</v>
      </c>
      <c r="B481" t="s">
        <v>81</v>
      </c>
      <c r="C481" t="s">
        <v>26</v>
      </c>
      <c r="D481" t="s">
        <v>81</v>
      </c>
      <c r="E481" t="s">
        <v>1604</v>
      </c>
      <c r="F481" t="s">
        <v>1605</v>
      </c>
      <c r="G481">
        <v>42961182</v>
      </c>
      <c r="H481" t="s">
        <v>1606</v>
      </c>
      <c r="I481" s="4" t="s">
        <v>35</v>
      </c>
      <c r="J481" s="4" t="s">
        <v>1607</v>
      </c>
      <c r="K481" t="s">
        <v>1608</v>
      </c>
      <c r="L481" t="s">
        <v>44</v>
      </c>
      <c r="M481" t="s">
        <v>1609</v>
      </c>
      <c r="N481" t="s">
        <v>45</v>
      </c>
      <c r="O481" t="s">
        <v>82</v>
      </c>
      <c r="P481" t="s">
        <v>83</v>
      </c>
      <c r="Q481" t="s">
        <v>31</v>
      </c>
      <c r="R481">
        <v>4</v>
      </c>
      <c r="S481" t="s">
        <v>1610</v>
      </c>
      <c r="T481" t="s">
        <v>6892</v>
      </c>
      <c r="U481" t="s">
        <v>47</v>
      </c>
      <c r="V481" t="s">
        <v>47</v>
      </c>
      <c r="W481" t="s">
        <v>33</v>
      </c>
      <c r="X481" t="s">
        <v>33</v>
      </c>
      <c r="Y481" t="s">
        <v>33</v>
      </c>
      <c r="Z481" s="5" t="s">
        <v>34</v>
      </c>
      <c r="AA481">
        <v>-75.605568199999993</v>
      </c>
      <c r="AB481">
        <v>6.1857274699999998</v>
      </c>
      <c r="AC481" t="s">
        <v>456</v>
      </c>
      <c r="AD481" t="s">
        <v>457</v>
      </c>
    </row>
    <row r="482" spans="1:30" x14ac:dyDescent="0.25">
      <c r="A482" t="s">
        <v>5796</v>
      </c>
      <c r="B482" t="s">
        <v>25</v>
      </c>
      <c r="C482" t="s">
        <v>26</v>
      </c>
      <c r="D482" t="s">
        <v>39</v>
      </c>
      <c r="E482" t="s">
        <v>5797</v>
      </c>
      <c r="F482" t="s">
        <v>5798</v>
      </c>
      <c r="G482">
        <v>71318308</v>
      </c>
      <c r="H482" t="s">
        <v>5799</v>
      </c>
      <c r="I482" s="4" t="s">
        <v>35</v>
      </c>
      <c r="J482" s="4" t="s">
        <v>5800</v>
      </c>
      <c r="K482" t="s">
        <v>5801</v>
      </c>
      <c r="L482" t="s">
        <v>27</v>
      </c>
      <c r="M482" t="s">
        <v>5802</v>
      </c>
      <c r="N482" t="s">
        <v>28</v>
      </c>
      <c r="O482" t="s">
        <v>40</v>
      </c>
      <c r="P482" t="s">
        <v>41</v>
      </c>
      <c r="Q482" t="s">
        <v>31</v>
      </c>
      <c r="R482">
        <v>5</v>
      </c>
      <c r="S482" t="s">
        <v>5803</v>
      </c>
      <c r="T482" t="s">
        <v>4810</v>
      </c>
      <c r="U482" t="s">
        <v>6893</v>
      </c>
      <c r="V482" t="s">
        <v>32</v>
      </c>
      <c r="W482" t="s">
        <v>33</v>
      </c>
      <c r="X482" t="s">
        <v>33</v>
      </c>
      <c r="Y482" t="s">
        <v>33</v>
      </c>
      <c r="Z482" s="5" t="s">
        <v>34</v>
      </c>
      <c r="AA482">
        <v>-75.625248999999997</v>
      </c>
      <c r="AB482">
        <v>6.2651510000000004</v>
      </c>
      <c r="AC482" t="s">
        <v>456</v>
      </c>
      <c r="AD482" t="s">
        <v>457</v>
      </c>
    </row>
    <row r="483" spans="1:30" x14ac:dyDescent="0.25">
      <c r="A483" t="s">
        <v>1611</v>
      </c>
      <c r="B483" t="s">
        <v>81</v>
      </c>
      <c r="C483" t="s">
        <v>26</v>
      </c>
      <c r="D483" t="s">
        <v>81</v>
      </c>
      <c r="E483" t="s">
        <v>1612</v>
      </c>
      <c r="F483" t="s">
        <v>1613</v>
      </c>
      <c r="G483">
        <v>1216726429</v>
      </c>
      <c r="H483" t="s">
        <v>1614</v>
      </c>
      <c r="I483" s="4" t="s">
        <v>35</v>
      </c>
      <c r="J483" s="4" t="s">
        <v>1615</v>
      </c>
      <c r="K483" t="s">
        <v>1616</v>
      </c>
      <c r="L483" t="s">
        <v>27</v>
      </c>
      <c r="M483" t="s">
        <v>1617</v>
      </c>
      <c r="N483" t="s">
        <v>28</v>
      </c>
      <c r="O483" t="s">
        <v>82</v>
      </c>
      <c r="P483" t="s">
        <v>83</v>
      </c>
      <c r="Q483" t="s">
        <v>31</v>
      </c>
      <c r="R483">
        <v>4</v>
      </c>
      <c r="S483" t="s">
        <v>1618</v>
      </c>
      <c r="T483" t="s">
        <v>6894</v>
      </c>
      <c r="U483" t="s">
        <v>47</v>
      </c>
      <c r="V483" t="s">
        <v>47</v>
      </c>
      <c r="W483" t="s">
        <v>33</v>
      </c>
      <c r="X483" t="s">
        <v>33</v>
      </c>
      <c r="Y483" t="s">
        <v>33</v>
      </c>
      <c r="Z483" s="5" t="s">
        <v>34</v>
      </c>
      <c r="AA483">
        <v>-75.641998000000001</v>
      </c>
      <c r="AB483">
        <v>6.2874220000000003</v>
      </c>
      <c r="AC483" t="s">
        <v>456</v>
      </c>
      <c r="AD483" t="s">
        <v>457</v>
      </c>
    </row>
    <row r="484" spans="1:30" x14ac:dyDescent="0.25">
      <c r="A484" t="s">
        <v>1621</v>
      </c>
      <c r="B484" t="s">
        <v>81</v>
      </c>
      <c r="C484" t="s">
        <v>26</v>
      </c>
      <c r="D484" t="s">
        <v>81</v>
      </c>
      <c r="E484" t="s">
        <v>1622</v>
      </c>
      <c r="F484" t="s">
        <v>1623</v>
      </c>
      <c r="G484">
        <v>70166152</v>
      </c>
      <c r="H484" t="s">
        <v>1624</v>
      </c>
      <c r="I484" s="4" t="s">
        <v>1625</v>
      </c>
      <c r="J484" s="4" t="s">
        <v>184</v>
      </c>
      <c r="K484" t="s">
        <v>1626</v>
      </c>
      <c r="L484" t="s">
        <v>27</v>
      </c>
      <c r="M484" t="s">
        <v>1627</v>
      </c>
      <c r="N484" t="s">
        <v>28</v>
      </c>
      <c r="O484" t="s">
        <v>82</v>
      </c>
      <c r="P484" t="s">
        <v>83</v>
      </c>
      <c r="Q484" t="s">
        <v>31</v>
      </c>
      <c r="R484">
        <v>4</v>
      </c>
      <c r="S484" t="s">
        <v>1628</v>
      </c>
      <c r="T484" t="s">
        <v>6895</v>
      </c>
      <c r="U484" t="s">
        <v>47</v>
      </c>
      <c r="V484" t="s">
        <v>47</v>
      </c>
      <c r="W484" t="s">
        <v>33</v>
      </c>
      <c r="X484" t="s">
        <v>33</v>
      </c>
      <c r="Y484" t="s">
        <v>33</v>
      </c>
      <c r="Z484" s="5" t="s">
        <v>34</v>
      </c>
      <c r="AA484">
        <v>-75.599961899999997</v>
      </c>
      <c r="AB484">
        <v>6.2656321200000002</v>
      </c>
      <c r="AC484" t="s">
        <v>456</v>
      </c>
      <c r="AD484" t="s">
        <v>457</v>
      </c>
    </row>
    <row r="485" spans="1:30" x14ac:dyDescent="0.25">
      <c r="A485" t="s">
        <v>1629</v>
      </c>
      <c r="B485" t="s">
        <v>81</v>
      </c>
      <c r="C485" t="s">
        <v>26</v>
      </c>
      <c r="D485" t="s">
        <v>81</v>
      </c>
      <c r="E485" t="s">
        <v>1630</v>
      </c>
      <c r="F485" t="s">
        <v>1631</v>
      </c>
      <c r="G485">
        <v>901133052</v>
      </c>
      <c r="H485" t="s">
        <v>1632</v>
      </c>
      <c r="I485" s="4" t="s">
        <v>1633</v>
      </c>
      <c r="J485" s="4" t="s">
        <v>1634</v>
      </c>
      <c r="K485" t="s">
        <v>1635</v>
      </c>
      <c r="L485" t="s">
        <v>61</v>
      </c>
      <c r="M485" t="s">
        <v>1636</v>
      </c>
      <c r="N485" t="s">
        <v>63</v>
      </c>
      <c r="O485" t="s">
        <v>82</v>
      </c>
      <c r="P485" t="s">
        <v>83</v>
      </c>
      <c r="Q485" t="s">
        <v>38</v>
      </c>
      <c r="R485">
        <v>4</v>
      </c>
      <c r="S485" t="s">
        <v>1637</v>
      </c>
      <c r="T485" t="s">
        <v>6896</v>
      </c>
      <c r="U485" t="s">
        <v>47</v>
      </c>
      <c r="V485" t="s">
        <v>47</v>
      </c>
      <c r="W485" t="s">
        <v>33</v>
      </c>
      <c r="X485" t="s">
        <v>33</v>
      </c>
      <c r="Y485" t="s">
        <v>33</v>
      </c>
      <c r="Z485" s="5" t="s">
        <v>34</v>
      </c>
      <c r="AA485">
        <v>-75.633185999999995</v>
      </c>
      <c r="AB485">
        <v>6.1252279999999999</v>
      </c>
      <c r="AC485" t="s">
        <v>456</v>
      </c>
      <c r="AD485" t="s">
        <v>457</v>
      </c>
    </row>
    <row r="486" spans="1:30" x14ac:dyDescent="0.25">
      <c r="A486" t="s">
        <v>1638</v>
      </c>
      <c r="B486" t="s">
        <v>25</v>
      </c>
      <c r="C486" t="s">
        <v>26</v>
      </c>
      <c r="D486" t="s">
        <v>39</v>
      </c>
      <c r="E486" t="s">
        <v>1639</v>
      </c>
      <c r="F486" t="s">
        <v>1640</v>
      </c>
      <c r="G486">
        <v>1027887363</v>
      </c>
      <c r="H486" t="s">
        <v>1641</v>
      </c>
      <c r="I486" s="4" t="s">
        <v>35</v>
      </c>
      <c r="J486" s="4" t="s">
        <v>1642</v>
      </c>
      <c r="K486" t="s">
        <v>1643</v>
      </c>
      <c r="L486" t="s">
        <v>44</v>
      </c>
      <c r="M486" t="s">
        <v>1644</v>
      </c>
      <c r="N486" t="s">
        <v>45</v>
      </c>
      <c r="O486" t="s">
        <v>40</v>
      </c>
      <c r="P486" t="s">
        <v>41</v>
      </c>
      <c r="Q486" t="s">
        <v>31</v>
      </c>
      <c r="R486">
        <v>5</v>
      </c>
      <c r="S486" t="s">
        <v>1645</v>
      </c>
      <c r="T486" t="s">
        <v>6897</v>
      </c>
      <c r="U486" t="s">
        <v>6898</v>
      </c>
      <c r="V486" t="s">
        <v>50</v>
      </c>
      <c r="W486" t="s">
        <v>33</v>
      </c>
      <c r="X486" t="s">
        <v>33</v>
      </c>
      <c r="Y486" t="s">
        <v>33</v>
      </c>
      <c r="Z486" s="5" t="s">
        <v>34</v>
      </c>
      <c r="AA486">
        <v>-75.642016799999993</v>
      </c>
      <c r="AB486">
        <v>6.1699259299999998</v>
      </c>
      <c r="AC486" t="s">
        <v>456</v>
      </c>
      <c r="AD486" t="s">
        <v>457</v>
      </c>
    </row>
    <row r="487" spans="1:30" x14ac:dyDescent="0.25">
      <c r="A487" t="s">
        <v>1646</v>
      </c>
      <c r="B487" t="s">
        <v>81</v>
      </c>
      <c r="C487" t="s">
        <v>26</v>
      </c>
      <c r="D487" t="s">
        <v>81</v>
      </c>
      <c r="E487" t="s">
        <v>1647</v>
      </c>
      <c r="F487" t="s">
        <v>1648</v>
      </c>
      <c r="G487">
        <v>71385904</v>
      </c>
      <c r="H487" t="s">
        <v>1649</v>
      </c>
      <c r="I487" s="4" t="s">
        <v>35</v>
      </c>
      <c r="J487" s="4" t="s">
        <v>697</v>
      </c>
      <c r="K487" t="s">
        <v>338</v>
      </c>
      <c r="L487" t="s">
        <v>27</v>
      </c>
      <c r="M487" t="s">
        <v>339</v>
      </c>
      <c r="N487" t="s">
        <v>28</v>
      </c>
      <c r="O487" t="s">
        <v>82</v>
      </c>
      <c r="P487" t="s">
        <v>83</v>
      </c>
      <c r="Q487" t="s">
        <v>31</v>
      </c>
      <c r="R487">
        <v>4</v>
      </c>
      <c r="S487" t="s">
        <v>1650</v>
      </c>
      <c r="T487" t="s">
        <v>6899</v>
      </c>
      <c r="U487" t="s">
        <v>47</v>
      </c>
      <c r="V487" t="s">
        <v>47</v>
      </c>
      <c r="W487" t="s">
        <v>33</v>
      </c>
      <c r="X487" t="s">
        <v>33</v>
      </c>
      <c r="Y487" t="s">
        <v>33</v>
      </c>
      <c r="Z487" s="5" t="s">
        <v>34</v>
      </c>
      <c r="AA487">
        <v>-75.606250200000005</v>
      </c>
      <c r="AB487">
        <v>6.2103025399999998</v>
      </c>
      <c r="AC487" t="s">
        <v>456</v>
      </c>
      <c r="AD487" t="s">
        <v>457</v>
      </c>
    </row>
    <row r="488" spans="1:30" x14ac:dyDescent="0.25">
      <c r="A488" t="s">
        <v>2562</v>
      </c>
      <c r="B488" t="s">
        <v>25</v>
      </c>
      <c r="C488" t="s">
        <v>26</v>
      </c>
      <c r="D488" t="s">
        <v>39</v>
      </c>
      <c r="E488" t="s">
        <v>2563</v>
      </c>
      <c r="F488" t="s">
        <v>2564</v>
      </c>
      <c r="G488">
        <v>42788720</v>
      </c>
      <c r="H488" t="s">
        <v>2565</v>
      </c>
      <c r="I488" s="4" t="s">
        <v>2566</v>
      </c>
      <c r="J488" s="4" t="s">
        <v>2567</v>
      </c>
      <c r="K488" t="s">
        <v>2568</v>
      </c>
      <c r="L488" t="s">
        <v>61</v>
      </c>
      <c r="M488" t="s">
        <v>2569</v>
      </c>
      <c r="N488" t="s">
        <v>63</v>
      </c>
      <c r="O488" t="s">
        <v>40</v>
      </c>
      <c r="P488" t="s">
        <v>36</v>
      </c>
      <c r="Q488" t="s">
        <v>38</v>
      </c>
      <c r="R488">
        <v>8</v>
      </c>
      <c r="S488" t="s">
        <v>2570</v>
      </c>
      <c r="T488" t="s">
        <v>6900</v>
      </c>
      <c r="U488" t="s">
        <v>6900</v>
      </c>
      <c r="V488" t="s">
        <v>32</v>
      </c>
      <c r="W488" t="s">
        <v>33</v>
      </c>
      <c r="X488" t="s">
        <v>33</v>
      </c>
      <c r="Y488" t="s">
        <v>33</v>
      </c>
      <c r="Z488" s="5" t="s">
        <v>34</v>
      </c>
      <c r="AA488">
        <v>-75.637493000000006</v>
      </c>
      <c r="AB488">
        <v>6.136838</v>
      </c>
      <c r="AC488" t="s">
        <v>456</v>
      </c>
      <c r="AD488" t="s">
        <v>457</v>
      </c>
    </row>
    <row r="489" spans="1:30" x14ac:dyDescent="0.25">
      <c r="A489" t="s">
        <v>1651</v>
      </c>
      <c r="B489" t="s">
        <v>81</v>
      </c>
      <c r="C489" t="s">
        <v>26</v>
      </c>
      <c r="D489" t="s">
        <v>81</v>
      </c>
      <c r="E489" t="s">
        <v>1652</v>
      </c>
      <c r="F489" t="s">
        <v>1653</v>
      </c>
      <c r="G489">
        <v>71593909</v>
      </c>
      <c r="H489" t="s">
        <v>1654</v>
      </c>
      <c r="I489" s="4" t="s">
        <v>35</v>
      </c>
      <c r="J489" s="4" t="s">
        <v>1655</v>
      </c>
      <c r="K489" t="s">
        <v>1656</v>
      </c>
      <c r="L489" t="s">
        <v>27</v>
      </c>
      <c r="M489" t="s">
        <v>1657</v>
      </c>
      <c r="N489" t="s">
        <v>28</v>
      </c>
      <c r="O489" t="s">
        <v>82</v>
      </c>
      <c r="P489" t="s">
        <v>83</v>
      </c>
      <c r="Q489" t="s">
        <v>31</v>
      </c>
      <c r="R489">
        <v>4</v>
      </c>
      <c r="S489" t="s">
        <v>1658</v>
      </c>
      <c r="T489" t="s">
        <v>6901</v>
      </c>
      <c r="U489" t="s">
        <v>47</v>
      </c>
      <c r="V489" t="s">
        <v>47</v>
      </c>
      <c r="W489" t="s">
        <v>33</v>
      </c>
      <c r="X489" t="s">
        <v>33</v>
      </c>
      <c r="Y489" t="s">
        <v>33</v>
      </c>
      <c r="Z489" s="5" t="s">
        <v>34</v>
      </c>
      <c r="AA489">
        <v>-75.583586170000004</v>
      </c>
      <c r="AB489">
        <v>6.22342057</v>
      </c>
      <c r="AC489" t="s">
        <v>456</v>
      </c>
      <c r="AD489" t="s">
        <v>457</v>
      </c>
    </row>
    <row r="490" spans="1:30" x14ac:dyDescent="0.25">
      <c r="A490" t="s">
        <v>1659</v>
      </c>
      <c r="B490" t="s">
        <v>81</v>
      </c>
      <c r="C490" t="s">
        <v>26</v>
      </c>
      <c r="D490" t="s">
        <v>81</v>
      </c>
      <c r="E490" t="s">
        <v>1660</v>
      </c>
      <c r="F490" t="s">
        <v>1661</v>
      </c>
      <c r="G490">
        <v>900941144</v>
      </c>
      <c r="H490" t="s">
        <v>1662</v>
      </c>
      <c r="I490" s="4" t="s">
        <v>1663</v>
      </c>
      <c r="J490" s="4" t="s">
        <v>1664</v>
      </c>
      <c r="K490" t="s">
        <v>1665</v>
      </c>
      <c r="L490" t="s">
        <v>44</v>
      </c>
      <c r="M490" t="s">
        <v>1666</v>
      </c>
      <c r="N490" t="s">
        <v>45</v>
      </c>
      <c r="O490" t="s">
        <v>82</v>
      </c>
      <c r="P490" t="s">
        <v>83</v>
      </c>
      <c r="Q490" t="s">
        <v>31</v>
      </c>
      <c r="R490">
        <v>4</v>
      </c>
      <c r="S490" t="s">
        <v>1667</v>
      </c>
      <c r="T490" t="s">
        <v>6902</v>
      </c>
      <c r="U490" t="s">
        <v>47</v>
      </c>
      <c r="V490" t="s">
        <v>47</v>
      </c>
      <c r="W490" t="s">
        <v>33</v>
      </c>
      <c r="X490" t="s">
        <v>33</v>
      </c>
      <c r="Y490" t="s">
        <v>33</v>
      </c>
      <c r="Z490" s="5" t="s">
        <v>34</v>
      </c>
      <c r="AA490">
        <v>-75.603493</v>
      </c>
      <c r="AB490">
        <v>6.1699200000000003</v>
      </c>
      <c r="AC490" t="s">
        <v>456</v>
      </c>
      <c r="AD490" t="s">
        <v>457</v>
      </c>
    </row>
    <row r="491" spans="1:30" x14ac:dyDescent="0.25">
      <c r="A491" t="s">
        <v>1668</v>
      </c>
      <c r="B491" t="s">
        <v>81</v>
      </c>
      <c r="C491" t="s">
        <v>26</v>
      </c>
      <c r="D491" t="s">
        <v>81</v>
      </c>
      <c r="E491" t="s">
        <v>1669</v>
      </c>
      <c r="F491" t="s">
        <v>1670</v>
      </c>
      <c r="G491">
        <v>71593909</v>
      </c>
      <c r="H491" t="s">
        <v>1654</v>
      </c>
      <c r="I491" s="4" t="s">
        <v>35</v>
      </c>
      <c r="J491" s="4" t="s">
        <v>1655</v>
      </c>
      <c r="K491" t="s">
        <v>1656</v>
      </c>
      <c r="L491" t="s">
        <v>27</v>
      </c>
      <c r="M491" t="s">
        <v>1657</v>
      </c>
      <c r="N491" t="s">
        <v>28</v>
      </c>
      <c r="O491" t="s">
        <v>82</v>
      </c>
      <c r="P491" t="s">
        <v>83</v>
      </c>
      <c r="Q491" t="s">
        <v>31</v>
      </c>
      <c r="R491">
        <v>4</v>
      </c>
      <c r="S491" t="s">
        <v>1671</v>
      </c>
      <c r="T491" t="s">
        <v>6903</v>
      </c>
      <c r="U491" t="s">
        <v>47</v>
      </c>
      <c r="V491" t="s">
        <v>47</v>
      </c>
      <c r="W491" t="s">
        <v>33</v>
      </c>
      <c r="X491" t="s">
        <v>33</v>
      </c>
      <c r="Y491" t="s">
        <v>33</v>
      </c>
      <c r="Z491" s="5" t="s">
        <v>34</v>
      </c>
      <c r="AA491">
        <v>-75.583586170000004</v>
      </c>
      <c r="AB491">
        <v>6.22342057</v>
      </c>
      <c r="AC491" t="s">
        <v>456</v>
      </c>
      <c r="AD491" t="s">
        <v>457</v>
      </c>
    </row>
    <row r="492" spans="1:30" x14ac:dyDescent="0.25">
      <c r="A492" t="s">
        <v>1672</v>
      </c>
      <c r="B492" t="s">
        <v>81</v>
      </c>
      <c r="C492" t="s">
        <v>26</v>
      </c>
      <c r="D492" t="s">
        <v>81</v>
      </c>
      <c r="E492" t="s">
        <v>1673</v>
      </c>
      <c r="F492" t="s">
        <v>1674</v>
      </c>
      <c r="G492">
        <v>1152201413</v>
      </c>
      <c r="H492" t="s">
        <v>1675</v>
      </c>
      <c r="I492" s="4" t="s">
        <v>35</v>
      </c>
      <c r="J492" s="4" t="s">
        <v>1676</v>
      </c>
      <c r="K492" t="s">
        <v>1677</v>
      </c>
      <c r="L492" t="s">
        <v>27</v>
      </c>
      <c r="M492" t="s">
        <v>1678</v>
      </c>
      <c r="N492" t="s">
        <v>28</v>
      </c>
      <c r="O492" t="s">
        <v>82</v>
      </c>
      <c r="P492" t="s">
        <v>83</v>
      </c>
      <c r="Q492" t="s">
        <v>31</v>
      </c>
      <c r="R492">
        <v>4</v>
      </c>
      <c r="S492" t="s">
        <v>1679</v>
      </c>
      <c r="T492" t="s">
        <v>6904</v>
      </c>
      <c r="U492" t="s">
        <v>47</v>
      </c>
      <c r="V492" t="s">
        <v>47</v>
      </c>
      <c r="W492" t="s">
        <v>33</v>
      </c>
      <c r="X492" t="s">
        <v>33</v>
      </c>
      <c r="Y492" t="s">
        <v>33</v>
      </c>
      <c r="Z492" s="5" t="s">
        <v>34</v>
      </c>
      <c r="AA492">
        <v>-75.625161000000006</v>
      </c>
      <c r="AB492">
        <v>6.2788409999999999</v>
      </c>
      <c r="AC492" t="s">
        <v>456</v>
      </c>
      <c r="AD492" t="s">
        <v>457</v>
      </c>
    </row>
    <row r="493" spans="1:30" x14ac:dyDescent="0.25">
      <c r="A493" t="s">
        <v>1680</v>
      </c>
      <c r="B493" t="s">
        <v>81</v>
      </c>
      <c r="C493" t="s">
        <v>26</v>
      </c>
      <c r="D493" t="s">
        <v>81</v>
      </c>
      <c r="E493" t="s">
        <v>1681</v>
      </c>
      <c r="F493" t="s">
        <v>1682</v>
      </c>
      <c r="G493">
        <v>1037575804</v>
      </c>
      <c r="H493" t="s">
        <v>370</v>
      </c>
      <c r="I493" s="4" t="s">
        <v>35</v>
      </c>
      <c r="J493" s="4" t="s">
        <v>371</v>
      </c>
      <c r="K493" t="s">
        <v>1683</v>
      </c>
      <c r="L493" t="s">
        <v>49</v>
      </c>
      <c r="M493" t="s">
        <v>1684</v>
      </c>
      <c r="N493" t="s">
        <v>84</v>
      </c>
      <c r="O493" t="s">
        <v>82</v>
      </c>
      <c r="P493" t="s">
        <v>83</v>
      </c>
      <c r="Q493" t="s">
        <v>31</v>
      </c>
      <c r="R493">
        <v>4</v>
      </c>
      <c r="S493" t="s">
        <v>1685</v>
      </c>
      <c r="T493" t="s">
        <v>6905</v>
      </c>
      <c r="U493" t="s">
        <v>47</v>
      </c>
      <c r="V493" t="s">
        <v>47</v>
      </c>
      <c r="W493" t="s">
        <v>33</v>
      </c>
      <c r="X493" t="s">
        <v>33</v>
      </c>
      <c r="Y493" t="s">
        <v>33</v>
      </c>
      <c r="Z493" s="5" t="s">
        <v>34</v>
      </c>
      <c r="AA493">
        <v>-75.585482999999996</v>
      </c>
      <c r="AB493">
        <v>6.1744351799999997</v>
      </c>
      <c r="AC493" t="s">
        <v>456</v>
      </c>
      <c r="AD493" t="s">
        <v>457</v>
      </c>
    </row>
    <row r="494" spans="1:30" x14ac:dyDescent="0.25">
      <c r="A494" t="s">
        <v>1686</v>
      </c>
      <c r="B494" t="s">
        <v>81</v>
      </c>
      <c r="C494" t="s">
        <v>26</v>
      </c>
      <c r="D494" t="s">
        <v>81</v>
      </c>
      <c r="E494" t="s">
        <v>1687</v>
      </c>
      <c r="F494" t="s">
        <v>1688</v>
      </c>
      <c r="G494">
        <v>98664005</v>
      </c>
      <c r="H494" t="s">
        <v>361</v>
      </c>
      <c r="I494" s="4" t="s">
        <v>35</v>
      </c>
      <c r="J494" s="4" t="s">
        <v>362</v>
      </c>
      <c r="K494" t="s">
        <v>222</v>
      </c>
      <c r="L494" t="s">
        <v>27</v>
      </c>
      <c r="M494" t="s">
        <v>223</v>
      </c>
      <c r="N494" t="s">
        <v>28</v>
      </c>
      <c r="O494" t="s">
        <v>82</v>
      </c>
      <c r="P494" t="s">
        <v>83</v>
      </c>
      <c r="Q494" t="s">
        <v>31</v>
      </c>
      <c r="R494">
        <v>4</v>
      </c>
      <c r="S494" t="s">
        <v>1689</v>
      </c>
      <c r="T494" t="s">
        <v>6906</v>
      </c>
      <c r="U494" t="s">
        <v>47</v>
      </c>
      <c r="V494" t="s">
        <v>47</v>
      </c>
      <c r="W494" t="s">
        <v>33</v>
      </c>
      <c r="X494" t="s">
        <v>33</v>
      </c>
      <c r="Y494" t="s">
        <v>33</v>
      </c>
      <c r="Z494" s="5" t="s">
        <v>34</v>
      </c>
      <c r="AA494">
        <v>-75.591421280000006</v>
      </c>
      <c r="AB494">
        <v>6.2379539800000003</v>
      </c>
      <c r="AC494" t="s">
        <v>456</v>
      </c>
      <c r="AD494" t="s">
        <v>457</v>
      </c>
    </row>
    <row r="495" spans="1:30" x14ac:dyDescent="0.25">
      <c r="A495" t="s">
        <v>1690</v>
      </c>
      <c r="B495" t="s">
        <v>81</v>
      </c>
      <c r="C495" t="s">
        <v>26</v>
      </c>
      <c r="D495" t="s">
        <v>81</v>
      </c>
      <c r="E495" t="s">
        <v>1691</v>
      </c>
      <c r="F495" t="s">
        <v>1692</v>
      </c>
      <c r="G495">
        <v>900071488</v>
      </c>
      <c r="H495" t="s">
        <v>1693</v>
      </c>
      <c r="I495" s="4" t="s">
        <v>35</v>
      </c>
      <c r="J495" s="4" t="s">
        <v>1694</v>
      </c>
      <c r="K495" t="s">
        <v>1695</v>
      </c>
      <c r="L495" t="s">
        <v>44</v>
      </c>
      <c r="M495" t="s">
        <v>1696</v>
      </c>
      <c r="N495" t="s">
        <v>45</v>
      </c>
      <c r="O495" t="s">
        <v>82</v>
      </c>
      <c r="P495" t="s">
        <v>83</v>
      </c>
      <c r="Q495" t="s">
        <v>31</v>
      </c>
      <c r="R495">
        <v>4</v>
      </c>
      <c r="S495" t="s">
        <v>1697</v>
      </c>
      <c r="T495" t="s">
        <v>6907</v>
      </c>
      <c r="U495" t="s">
        <v>47</v>
      </c>
      <c r="V495" t="s">
        <v>47</v>
      </c>
      <c r="W495" t="s">
        <v>33</v>
      </c>
      <c r="X495" t="s">
        <v>33</v>
      </c>
      <c r="Y495" t="s">
        <v>33</v>
      </c>
      <c r="Z495" s="5" t="s">
        <v>34</v>
      </c>
      <c r="AA495">
        <v>-75.628312199999996</v>
      </c>
      <c r="AB495">
        <v>6.16084152</v>
      </c>
      <c r="AC495" t="s">
        <v>456</v>
      </c>
      <c r="AD495" t="s">
        <v>457</v>
      </c>
    </row>
    <row r="496" spans="1:30" x14ac:dyDescent="0.25">
      <c r="A496" t="s">
        <v>1698</v>
      </c>
      <c r="B496" t="s">
        <v>25</v>
      </c>
      <c r="C496" t="s">
        <v>26</v>
      </c>
      <c r="D496" t="s">
        <v>25</v>
      </c>
      <c r="E496" t="s">
        <v>1699</v>
      </c>
      <c r="F496" t="s">
        <v>1700</v>
      </c>
      <c r="G496">
        <v>1000895724</v>
      </c>
      <c r="H496" t="s">
        <v>1701</v>
      </c>
      <c r="I496" s="4" t="s">
        <v>35</v>
      </c>
      <c r="J496" s="4" t="s">
        <v>1702</v>
      </c>
      <c r="K496" t="s">
        <v>1703</v>
      </c>
      <c r="L496" t="s">
        <v>27</v>
      </c>
      <c r="M496" t="s">
        <v>1704</v>
      </c>
      <c r="N496" t="s">
        <v>28</v>
      </c>
      <c r="O496" t="s">
        <v>29</v>
      </c>
      <c r="P496" t="s">
        <v>37</v>
      </c>
      <c r="Q496" t="s">
        <v>38</v>
      </c>
      <c r="R496">
        <v>10</v>
      </c>
      <c r="S496" t="s">
        <v>1705</v>
      </c>
      <c r="T496" t="s">
        <v>6908</v>
      </c>
      <c r="U496" t="s">
        <v>6909</v>
      </c>
      <c r="V496" t="s">
        <v>32</v>
      </c>
      <c r="W496" t="s">
        <v>33</v>
      </c>
      <c r="X496" t="s">
        <v>33</v>
      </c>
      <c r="Y496" t="s">
        <v>33</v>
      </c>
      <c r="Z496" s="5" t="s">
        <v>34</v>
      </c>
      <c r="AA496">
        <v>-75.69725785</v>
      </c>
      <c r="AB496">
        <v>6.3554365500000003</v>
      </c>
      <c r="AC496" t="s">
        <v>456</v>
      </c>
      <c r="AD496" t="s">
        <v>457</v>
      </c>
    </row>
    <row r="497" spans="1:30" x14ac:dyDescent="0.25">
      <c r="A497" t="s">
        <v>3233</v>
      </c>
      <c r="B497" t="s">
        <v>42</v>
      </c>
      <c r="C497" t="s">
        <v>26</v>
      </c>
      <c r="D497" t="s">
        <v>42</v>
      </c>
      <c r="E497" t="s">
        <v>3234</v>
      </c>
      <c r="F497" t="s">
        <v>3235</v>
      </c>
      <c r="G497">
        <v>811042483</v>
      </c>
      <c r="H497" t="s">
        <v>3236</v>
      </c>
      <c r="I497" s="4" t="s">
        <v>35</v>
      </c>
      <c r="J497" s="4" t="s">
        <v>3237</v>
      </c>
      <c r="K497" t="s">
        <v>3238</v>
      </c>
      <c r="L497" t="s">
        <v>79</v>
      </c>
      <c r="M497" t="s">
        <v>3239</v>
      </c>
      <c r="N497" t="s">
        <v>80</v>
      </c>
      <c r="O497" t="s">
        <v>43</v>
      </c>
      <c r="P497" t="s">
        <v>37</v>
      </c>
      <c r="Q497" t="s">
        <v>31</v>
      </c>
      <c r="R497">
        <v>7</v>
      </c>
      <c r="S497" t="s">
        <v>3240</v>
      </c>
      <c r="T497" t="s">
        <v>4834</v>
      </c>
      <c r="U497" t="s">
        <v>4833</v>
      </c>
      <c r="V497" t="s">
        <v>32</v>
      </c>
      <c r="W497" t="s">
        <v>33</v>
      </c>
      <c r="X497" t="s">
        <v>33</v>
      </c>
      <c r="Y497" t="s">
        <v>33</v>
      </c>
      <c r="Z497" s="5" t="s">
        <v>34</v>
      </c>
      <c r="AA497">
        <v>-75.616736689999996</v>
      </c>
      <c r="AB497">
        <v>6.1456651899999999</v>
      </c>
      <c r="AC497" t="s">
        <v>456</v>
      </c>
      <c r="AD497" t="s">
        <v>457</v>
      </c>
    </row>
    <row r="498" spans="1:30" x14ac:dyDescent="0.25">
      <c r="A498" t="s">
        <v>1706</v>
      </c>
      <c r="B498" t="s">
        <v>25</v>
      </c>
      <c r="C498" t="s">
        <v>26</v>
      </c>
      <c r="D498" t="s">
        <v>25</v>
      </c>
      <c r="E498" t="s">
        <v>1707</v>
      </c>
      <c r="F498" t="s">
        <v>1708</v>
      </c>
      <c r="G498">
        <v>1152436072</v>
      </c>
      <c r="H498" t="s">
        <v>1150</v>
      </c>
      <c r="I498" s="4" t="s">
        <v>1151</v>
      </c>
      <c r="J498" s="4" t="s">
        <v>1709</v>
      </c>
      <c r="K498" t="s">
        <v>1710</v>
      </c>
      <c r="L498" t="s">
        <v>27</v>
      </c>
      <c r="M498" t="s">
        <v>1711</v>
      </c>
      <c r="N498" t="s">
        <v>28</v>
      </c>
      <c r="O498" t="s">
        <v>29</v>
      </c>
      <c r="P498" t="s">
        <v>37</v>
      </c>
      <c r="Q498" t="s">
        <v>31</v>
      </c>
      <c r="R498">
        <v>7</v>
      </c>
      <c r="S498" t="s">
        <v>1712</v>
      </c>
      <c r="T498" t="s">
        <v>1259</v>
      </c>
      <c r="U498" t="s">
        <v>1146</v>
      </c>
      <c r="V498" t="s">
        <v>32</v>
      </c>
      <c r="W498" t="s">
        <v>33</v>
      </c>
      <c r="X498" t="s">
        <v>33</v>
      </c>
      <c r="Y498" t="s">
        <v>33</v>
      </c>
      <c r="Z498" s="5" t="s">
        <v>34</v>
      </c>
      <c r="AA498">
        <v>-75.606694000000005</v>
      </c>
      <c r="AB498">
        <v>6.199103</v>
      </c>
      <c r="AC498" t="s">
        <v>456</v>
      </c>
      <c r="AD498" t="s">
        <v>457</v>
      </c>
    </row>
    <row r="499" spans="1:30" x14ac:dyDescent="0.25">
      <c r="A499" t="s">
        <v>1713</v>
      </c>
      <c r="B499" t="s">
        <v>81</v>
      </c>
      <c r="C499" t="s">
        <v>26</v>
      </c>
      <c r="D499" t="s">
        <v>81</v>
      </c>
      <c r="E499" t="s">
        <v>1714</v>
      </c>
      <c r="F499" t="s">
        <v>1715</v>
      </c>
      <c r="G499">
        <v>71743781</v>
      </c>
      <c r="H499" t="s">
        <v>1716</v>
      </c>
      <c r="I499" s="4" t="s">
        <v>35</v>
      </c>
      <c r="J499" s="4" t="s">
        <v>1717</v>
      </c>
      <c r="K499" t="s">
        <v>1718</v>
      </c>
      <c r="L499" t="s">
        <v>44</v>
      </c>
      <c r="M499" t="s">
        <v>1719</v>
      </c>
      <c r="N499" t="s">
        <v>45</v>
      </c>
      <c r="O499" t="s">
        <v>82</v>
      </c>
      <c r="P499" t="s">
        <v>83</v>
      </c>
      <c r="Q499" t="s">
        <v>31</v>
      </c>
      <c r="R499">
        <v>4</v>
      </c>
      <c r="S499" t="s">
        <v>1720</v>
      </c>
      <c r="T499" t="s">
        <v>6910</v>
      </c>
      <c r="U499" t="s">
        <v>47</v>
      </c>
      <c r="V499" t="s">
        <v>47</v>
      </c>
      <c r="W499" t="s">
        <v>33</v>
      </c>
      <c r="X499" t="s">
        <v>33</v>
      </c>
      <c r="Y499" t="s">
        <v>33</v>
      </c>
      <c r="Z499" s="5" t="s">
        <v>34</v>
      </c>
      <c r="AA499">
        <v>-75.632284999999996</v>
      </c>
      <c r="AB499">
        <v>6.1644569999999996</v>
      </c>
      <c r="AC499" t="s">
        <v>456</v>
      </c>
      <c r="AD499" t="s">
        <v>457</v>
      </c>
    </row>
    <row r="500" spans="1:30" x14ac:dyDescent="0.25">
      <c r="A500" t="s">
        <v>2571</v>
      </c>
      <c r="B500" t="s">
        <v>25</v>
      </c>
      <c r="C500" t="s">
        <v>26</v>
      </c>
      <c r="D500" t="s">
        <v>39</v>
      </c>
      <c r="E500" t="s">
        <v>2572</v>
      </c>
      <c r="F500" t="s">
        <v>2573</v>
      </c>
      <c r="G500">
        <v>43078171</v>
      </c>
      <c r="H500" t="s">
        <v>226</v>
      </c>
      <c r="I500" s="4" t="s">
        <v>2574</v>
      </c>
      <c r="J500" s="4" t="s">
        <v>2575</v>
      </c>
      <c r="K500" t="s">
        <v>2576</v>
      </c>
      <c r="L500" t="s">
        <v>77</v>
      </c>
      <c r="M500" t="s">
        <v>2577</v>
      </c>
      <c r="N500" t="s">
        <v>78</v>
      </c>
      <c r="O500" t="s">
        <v>40</v>
      </c>
      <c r="P500" t="s">
        <v>36</v>
      </c>
      <c r="Q500" t="s">
        <v>38</v>
      </c>
      <c r="R500">
        <v>8</v>
      </c>
      <c r="S500" t="s">
        <v>2578</v>
      </c>
      <c r="T500" t="s">
        <v>6758</v>
      </c>
      <c r="U500" t="s">
        <v>6758</v>
      </c>
      <c r="V500" t="s">
        <v>32</v>
      </c>
      <c r="W500" t="s">
        <v>33</v>
      </c>
      <c r="X500" t="s">
        <v>33</v>
      </c>
      <c r="Y500" t="s">
        <v>33</v>
      </c>
      <c r="Z500" s="5" t="s">
        <v>34</v>
      </c>
      <c r="AA500">
        <v>-75.620955949999995</v>
      </c>
      <c r="AB500">
        <v>6.0886768</v>
      </c>
      <c r="AC500" t="s">
        <v>456</v>
      </c>
      <c r="AD500" t="s">
        <v>457</v>
      </c>
    </row>
    <row r="501" spans="1:30" x14ac:dyDescent="0.25">
      <c r="A501" t="s">
        <v>2579</v>
      </c>
      <c r="B501" t="s">
        <v>25</v>
      </c>
      <c r="C501" t="s">
        <v>26</v>
      </c>
      <c r="D501" t="s">
        <v>39</v>
      </c>
      <c r="E501" t="s">
        <v>2580</v>
      </c>
      <c r="F501" t="s">
        <v>2581</v>
      </c>
      <c r="G501">
        <v>43837476</v>
      </c>
      <c r="H501" t="s">
        <v>2582</v>
      </c>
      <c r="I501" s="4" t="s">
        <v>2583</v>
      </c>
      <c r="J501" s="4" t="s">
        <v>656</v>
      </c>
      <c r="K501" t="s">
        <v>2584</v>
      </c>
      <c r="L501" t="s">
        <v>61</v>
      </c>
      <c r="M501" t="s">
        <v>2585</v>
      </c>
      <c r="N501" t="s">
        <v>63</v>
      </c>
      <c r="O501" t="s">
        <v>40</v>
      </c>
      <c r="P501" t="s">
        <v>36</v>
      </c>
      <c r="Q501" t="s">
        <v>38</v>
      </c>
      <c r="R501">
        <v>8</v>
      </c>
      <c r="S501" t="s">
        <v>2586</v>
      </c>
      <c r="T501" t="s">
        <v>6912</v>
      </c>
      <c r="U501" t="s">
        <v>6912</v>
      </c>
      <c r="V501" t="s">
        <v>32</v>
      </c>
      <c r="W501" t="s">
        <v>33</v>
      </c>
      <c r="X501" t="s">
        <v>33</v>
      </c>
      <c r="Y501" t="s">
        <v>33</v>
      </c>
      <c r="Z501" s="5" t="s">
        <v>34</v>
      </c>
      <c r="AA501">
        <v>-75.649894410000002</v>
      </c>
      <c r="AB501">
        <v>6.1336061700000002</v>
      </c>
      <c r="AC501" t="s">
        <v>456</v>
      </c>
      <c r="AD501" t="s">
        <v>457</v>
      </c>
    </row>
    <row r="502" spans="1:30" x14ac:dyDescent="0.25">
      <c r="A502" t="s">
        <v>1721</v>
      </c>
      <c r="B502" t="s">
        <v>25</v>
      </c>
      <c r="C502" t="s">
        <v>26</v>
      </c>
      <c r="D502" t="s">
        <v>25</v>
      </c>
      <c r="E502" t="s">
        <v>1722</v>
      </c>
      <c r="F502" t="s">
        <v>1723</v>
      </c>
      <c r="G502">
        <v>43720650</v>
      </c>
      <c r="H502" t="s">
        <v>1724</v>
      </c>
      <c r="I502" s="4" t="s">
        <v>35</v>
      </c>
      <c r="J502" s="4" t="s">
        <v>1725</v>
      </c>
      <c r="K502" t="s">
        <v>1726</v>
      </c>
      <c r="L502" t="s">
        <v>27</v>
      </c>
      <c r="M502" t="s">
        <v>1727</v>
      </c>
      <c r="N502" t="s">
        <v>28</v>
      </c>
      <c r="O502" t="s">
        <v>29</v>
      </c>
      <c r="P502" t="s">
        <v>37</v>
      </c>
      <c r="Q502" t="s">
        <v>38</v>
      </c>
      <c r="R502">
        <v>10</v>
      </c>
      <c r="S502" t="s">
        <v>1728</v>
      </c>
      <c r="T502" t="s">
        <v>6913</v>
      </c>
      <c r="U502" t="s">
        <v>6914</v>
      </c>
      <c r="V502" t="s">
        <v>32</v>
      </c>
      <c r="W502" t="s">
        <v>33</v>
      </c>
      <c r="X502" t="s">
        <v>33</v>
      </c>
      <c r="Y502" t="s">
        <v>33</v>
      </c>
      <c r="Z502" s="5" t="s">
        <v>34</v>
      </c>
      <c r="AA502">
        <v>-75.667676040000003</v>
      </c>
      <c r="AB502">
        <v>6.1765344400000002</v>
      </c>
      <c r="AC502" t="s">
        <v>456</v>
      </c>
      <c r="AD502" t="s">
        <v>457</v>
      </c>
    </row>
    <row r="503" spans="1:30" x14ac:dyDescent="0.25">
      <c r="A503" t="s">
        <v>1729</v>
      </c>
      <c r="B503" t="s">
        <v>25</v>
      </c>
      <c r="C503" t="s">
        <v>26</v>
      </c>
      <c r="D503" t="s">
        <v>25</v>
      </c>
      <c r="E503" t="s">
        <v>1730</v>
      </c>
      <c r="F503" t="s">
        <v>1731</v>
      </c>
      <c r="G503">
        <v>43153671</v>
      </c>
      <c r="H503" t="s">
        <v>1732</v>
      </c>
      <c r="I503" s="4" t="s">
        <v>1733</v>
      </c>
      <c r="J503" s="4" t="s">
        <v>1734</v>
      </c>
      <c r="K503" t="s">
        <v>1735</v>
      </c>
      <c r="L503" t="s">
        <v>27</v>
      </c>
      <c r="M503" t="s">
        <v>1736</v>
      </c>
      <c r="N503" t="s">
        <v>28</v>
      </c>
      <c r="O503" t="s">
        <v>29</v>
      </c>
      <c r="P503" t="s">
        <v>37</v>
      </c>
      <c r="Q503" t="s">
        <v>31</v>
      </c>
      <c r="R503">
        <v>7</v>
      </c>
      <c r="S503" t="s">
        <v>1737</v>
      </c>
      <c r="T503" t="s">
        <v>4838</v>
      </c>
      <c r="U503" t="s">
        <v>4837</v>
      </c>
      <c r="V503" t="s">
        <v>32</v>
      </c>
      <c r="W503" t="s">
        <v>33</v>
      </c>
      <c r="X503" t="s">
        <v>33</v>
      </c>
      <c r="Y503" t="s">
        <v>33</v>
      </c>
      <c r="Z503" s="5" t="s">
        <v>34</v>
      </c>
      <c r="AA503">
        <v>-75.542180000000002</v>
      </c>
      <c r="AB503">
        <v>6.2385890000000002</v>
      </c>
      <c r="AC503" t="s">
        <v>456</v>
      </c>
      <c r="AD503" t="s">
        <v>457</v>
      </c>
    </row>
    <row r="504" spans="1:30" x14ac:dyDescent="0.25">
      <c r="A504" t="s">
        <v>1741</v>
      </c>
      <c r="B504" t="s">
        <v>25</v>
      </c>
      <c r="C504" t="s">
        <v>26</v>
      </c>
      <c r="D504" t="s">
        <v>25</v>
      </c>
      <c r="E504" t="s">
        <v>1738</v>
      </c>
      <c r="F504" t="s">
        <v>1739</v>
      </c>
      <c r="G504">
        <v>15434280</v>
      </c>
      <c r="H504" t="s">
        <v>1742</v>
      </c>
      <c r="I504" s="4" t="s">
        <v>35</v>
      </c>
      <c r="J504" s="4" t="s">
        <v>1743</v>
      </c>
      <c r="K504" t="s">
        <v>1744</v>
      </c>
      <c r="L504" t="s">
        <v>27</v>
      </c>
      <c r="M504" t="s">
        <v>1745</v>
      </c>
      <c r="N504" t="s">
        <v>28</v>
      </c>
      <c r="O504" t="s">
        <v>29</v>
      </c>
      <c r="P504" t="s">
        <v>37</v>
      </c>
      <c r="Q504" t="s">
        <v>31</v>
      </c>
      <c r="R504">
        <v>7</v>
      </c>
      <c r="S504" t="s">
        <v>1740</v>
      </c>
      <c r="T504" t="s">
        <v>4840</v>
      </c>
      <c r="U504" t="s">
        <v>4839</v>
      </c>
      <c r="V504" t="s">
        <v>32</v>
      </c>
      <c r="W504" t="s">
        <v>33</v>
      </c>
      <c r="X504" t="s">
        <v>33</v>
      </c>
      <c r="Y504" t="s">
        <v>33</v>
      </c>
      <c r="Z504" s="5" t="s">
        <v>34</v>
      </c>
      <c r="AA504">
        <v>-75.564641120000005</v>
      </c>
      <c r="AB504">
        <v>6.2470775200000004</v>
      </c>
      <c r="AC504" t="s">
        <v>456</v>
      </c>
      <c r="AD504" t="s">
        <v>457</v>
      </c>
    </row>
    <row r="505" spans="1:30" x14ac:dyDescent="0.25">
      <c r="A505" t="s">
        <v>1746</v>
      </c>
      <c r="B505" t="s">
        <v>25</v>
      </c>
      <c r="C505" t="s">
        <v>26</v>
      </c>
      <c r="D505" t="s">
        <v>39</v>
      </c>
      <c r="E505" t="s">
        <v>1747</v>
      </c>
      <c r="F505" t="s">
        <v>1748</v>
      </c>
      <c r="G505">
        <v>1216727744</v>
      </c>
      <c r="H505" t="s">
        <v>1749</v>
      </c>
      <c r="I505" s="4" t="s">
        <v>35</v>
      </c>
      <c r="J505" s="4" t="s">
        <v>1750</v>
      </c>
      <c r="K505" t="s">
        <v>1751</v>
      </c>
      <c r="L505" t="s">
        <v>27</v>
      </c>
      <c r="M505" t="s">
        <v>1752</v>
      </c>
      <c r="N505" t="s">
        <v>28</v>
      </c>
      <c r="O505" t="s">
        <v>40</v>
      </c>
      <c r="P505" t="s">
        <v>41</v>
      </c>
      <c r="Q505" t="s">
        <v>38</v>
      </c>
      <c r="R505">
        <v>8</v>
      </c>
      <c r="S505" t="s">
        <v>1753</v>
      </c>
      <c r="T505" t="s">
        <v>6915</v>
      </c>
      <c r="U505" t="s">
        <v>6915</v>
      </c>
      <c r="V505" t="s">
        <v>32</v>
      </c>
      <c r="W505" t="s">
        <v>33</v>
      </c>
      <c r="X505" t="s">
        <v>33</v>
      </c>
      <c r="Y505" t="s">
        <v>33</v>
      </c>
      <c r="Z505" s="5" t="s">
        <v>34</v>
      </c>
      <c r="AA505">
        <v>-75.651903129999994</v>
      </c>
      <c r="AB505">
        <v>6.2703638799999997</v>
      </c>
      <c r="AC505" t="s">
        <v>456</v>
      </c>
      <c r="AD505" t="s">
        <v>457</v>
      </c>
    </row>
    <row r="506" spans="1:30" x14ac:dyDescent="0.25">
      <c r="A506" t="s">
        <v>1754</v>
      </c>
      <c r="B506" t="s">
        <v>81</v>
      </c>
      <c r="C506" t="s">
        <v>26</v>
      </c>
      <c r="D506" t="s">
        <v>81</v>
      </c>
      <c r="E506" t="s">
        <v>1755</v>
      </c>
      <c r="F506" t="s">
        <v>1756</v>
      </c>
      <c r="G506">
        <v>70065193</v>
      </c>
      <c r="H506" t="s">
        <v>1757</v>
      </c>
      <c r="I506" s="4" t="s">
        <v>35</v>
      </c>
      <c r="J506" s="4" t="s">
        <v>1758</v>
      </c>
      <c r="K506" t="s">
        <v>1759</v>
      </c>
      <c r="L506" t="s">
        <v>27</v>
      </c>
      <c r="M506" t="s">
        <v>1760</v>
      </c>
      <c r="N506" t="s">
        <v>28</v>
      </c>
      <c r="O506" t="s">
        <v>82</v>
      </c>
      <c r="P506" t="s">
        <v>83</v>
      </c>
      <c r="Q506" t="s">
        <v>31</v>
      </c>
      <c r="R506">
        <v>4</v>
      </c>
      <c r="S506" t="s">
        <v>1761</v>
      </c>
      <c r="T506" t="s">
        <v>6916</v>
      </c>
      <c r="U506" t="s">
        <v>47</v>
      </c>
      <c r="V506" t="s">
        <v>47</v>
      </c>
      <c r="W506" t="s">
        <v>33</v>
      </c>
      <c r="X506" t="s">
        <v>33</v>
      </c>
      <c r="Y506" t="s">
        <v>33</v>
      </c>
      <c r="Z506" s="5" t="s">
        <v>34</v>
      </c>
      <c r="AA506">
        <v>-75.593192979999998</v>
      </c>
      <c r="AB506">
        <v>6.2343651199999996</v>
      </c>
      <c r="AC506" t="s">
        <v>456</v>
      </c>
      <c r="AD506" t="s">
        <v>457</v>
      </c>
    </row>
    <row r="507" spans="1:30" x14ac:dyDescent="0.25">
      <c r="A507" t="s">
        <v>1762</v>
      </c>
      <c r="B507" t="s">
        <v>81</v>
      </c>
      <c r="C507" t="s">
        <v>26</v>
      </c>
      <c r="D507" t="s">
        <v>81</v>
      </c>
      <c r="E507" t="s">
        <v>1763</v>
      </c>
      <c r="F507" t="s">
        <v>1764</v>
      </c>
      <c r="G507">
        <v>21981002</v>
      </c>
      <c r="H507" t="s">
        <v>1765</v>
      </c>
      <c r="I507" s="4" t="s">
        <v>1766</v>
      </c>
      <c r="J507" s="4" t="s">
        <v>1767</v>
      </c>
      <c r="K507" t="s">
        <v>1768</v>
      </c>
      <c r="L507" t="s">
        <v>27</v>
      </c>
      <c r="M507" t="s">
        <v>1769</v>
      </c>
      <c r="N507" t="s">
        <v>28</v>
      </c>
      <c r="O507" t="s">
        <v>82</v>
      </c>
      <c r="P507" t="s">
        <v>83</v>
      </c>
      <c r="Q507" t="s">
        <v>38</v>
      </c>
      <c r="R507">
        <v>4</v>
      </c>
      <c r="S507" t="s">
        <v>1770</v>
      </c>
      <c r="T507" t="s">
        <v>6917</v>
      </c>
      <c r="U507" t="s">
        <v>47</v>
      </c>
      <c r="V507" t="s">
        <v>47</v>
      </c>
      <c r="W507" t="s">
        <v>33</v>
      </c>
      <c r="X507" t="s">
        <v>33</v>
      </c>
      <c r="Y507" t="s">
        <v>33</v>
      </c>
      <c r="Z507" s="5" t="s">
        <v>34</v>
      </c>
      <c r="AA507">
        <v>-75.610294999999994</v>
      </c>
      <c r="AB507">
        <v>6.2045349999999999</v>
      </c>
      <c r="AC507" t="s">
        <v>456</v>
      </c>
      <c r="AD507" t="s">
        <v>457</v>
      </c>
    </row>
    <row r="508" spans="1:30" x14ac:dyDescent="0.25">
      <c r="A508" t="s">
        <v>1771</v>
      </c>
      <c r="B508" t="s">
        <v>25</v>
      </c>
      <c r="C508" t="s">
        <v>26</v>
      </c>
      <c r="D508" t="s">
        <v>25</v>
      </c>
      <c r="E508" t="s">
        <v>1772</v>
      </c>
      <c r="F508" t="s">
        <v>1773</v>
      </c>
      <c r="G508">
        <v>43163724</v>
      </c>
      <c r="H508" t="s">
        <v>1774</v>
      </c>
      <c r="I508" s="4" t="s">
        <v>1775</v>
      </c>
      <c r="J508" s="4" t="s">
        <v>1776</v>
      </c>
      <c r="K508" t="s">
        <v>1777</v>
      </c>
      <c r="L508" t="s">
        <v>27</v>
      </c>
      <c r="M508" t="s">
        <v>1778</v>
      </c>
      <c r="N508" t="s">
        <v>28</v>
      </c>
      <c r="O508" t="s">
        <v>29</v>
      </c>
      <c r="P508" t="s">
        <v>30</v>
      </c>
      <c r="Q508" t="s">
        <v>31</v>
      </c>
      <c r="R508">
        <v>7</v>
      </c>
      <c r="S508" t="s">
        <v>1779</v>
      </c>
      <c r="T508" t="s">
        <v>4842</v>
      </c>
      <c r="U508" t="s">
        <v>4841</v>
      </c>
      <c r="V508" t="s">
        <v>32</v>
      </c>
      <c r="W508" t="s">
        <v>33</v>
      </c>
      <c r="X508" t="s">
        <v>33</v>
      </c>
      <c r="Y508" t="s">
        <v>33</v>
      </c>
      <c r="Z508" s="5" t="s">
        <v>34</v>
      </c>
      <c r="AA508">
        <v>-75.546116999999995</v>
      </c>
      <c r="AB508">
        <v>6.2362149999999996</v>
      </c>
      <c r="AC508" t="s">
        <v>456</v>
      </c>
      <c r="AD508" t="s">
        <v>457</v>
      </c>
    </row>
    <row r="509" spans="1:30" x14ac:dyDescent="0.25">
      <c r="A509" t="s">
        <v>1780</v>
      </c>
      <c r="B509" t="s">
        <v>25</v>
      </c>
      <c r="C509" t="s">
        <v>26</v>
      </c>
      <c r="D509" t="s">
        <v>25</v>
      </c>
      <c r="E509" t="s">
        <v>1781</v>
      </c>
      <c r="F509" t="s">
        <v>1782</v>
      </c>
      <c r="G509">
        <v>30330544</v>
      </c>
      <c r="H509" t="s">
        <v>1783</v>
      </c>
      <c r="I509" s="4" t="s">
        <v>35</v>
      </c>
      <c r="J509" s="4" t="s">
        <v>1784</v>
      </c>
      <c r="K509" t="s">
        <v>1785</v>
      </c>
      <c r="L509" t="s">
        <v>44</v>
      </c>
      <c r="M509" t="s">
        <v>1786</v>
      </c>
      <c r="N509" t="s">
        <v>45</v>
      </c>
      <c r="O509" t="s">
        <v>29</v>
      </c>
      <c r="P509" t="s">
        <v>37</v>
      </c>
      <c r="Q509" t="s">
        <v>31</v>
      </c>
      <c r="R509">
        <v>7</v>
      </c>
      <c r="S509" t="s">
        <v>1787</v>
      </c>
      <c r="T509" t="s">
        <v>4844</v>
      </c>
      <c r="U509" t="s">
        <v>4843</v>
      </c>
      <c r="V509" t="s">
        <v>32</v>
      </c>
      <c r="W509" t="s">
        <v>33</v>
      </c>
      <c r="X509" t="s">
        <v>33</v>
      </c>
      <c r="Y509" t="s">
        <v>33</v>
      </c>
      <c r="Z509" s="5" t="s">
        <v>34</v>
      </c>
      <c r="AA509">
        <v>-75.606679999999997</v>
      </c>
      <c r="AB509">
        <v>6.1775279999999997</v>
      </c>
      <c r="AC509" t="s">
        <v>456</v>
      </c>
      <c r="AD509" t="s">
        <v>457</v>
      </c>
    </row>
    <row r="510" spans="1:30" x14ac:dyDescent="0.25">
      <c r="A510" t="s">
        <v>2587</v>
      </c>
      <c r="B510" t="s">
        <v>25</v>
      </c>
      <c r="C510" t="s">
        <v>26</v>
      </c>
      <c r="D510" t="s">
        <v>39</v>
      </c>
      <c r="E510" t="s">
        <v>2588</v>
      </c>
      <c r="F510" t="s">
        <v>2589</v>
      </c>
      <c r="G510">
        <v>32150609</v>
      </c>
      <c r="H510" t="s">
        <v>2590</v>
      </c>
      <c r="I510" s="4" t="s">
        <v>35</v>
      </c>
      <c r="J510" s="4" t="s">
        <v>2591</v>
      </c>
      <c r="K510" t="s">
        <v>2592</v>
      </c>
      <c r="L510" t="s">
        <v>77</v>
      </c>
      <c r="M510" t="s">
        <v>2593</v>
      </c>
      <c r="N510" t="s">
        <v>78</v>
      </c>
      <c r="O510" t="s">
        <v>40</v>
      </c>
      <c r="P510" t="s">
        <v>36</v>
      </c>
      <c r="Q510" t="s">
        <v>31</v>
      </c>
      <c r="R510">
        <v>5</v>
      </c>
      <c r="S510" t="s">
        <v>2594</v>
      </c>
      <c r="T510" t="s">
        <v>6918</v>
      </c>
      <c r="U510" t="s">
        <v>6919</v>
      </c>
      <c r="V510" t="s">
        <v>50</v>
      </c>
      <c r="W510" t="s">
        <v>33</v>
      </c>
      <c r="X510" t="s">
        <v>33</v>
      </c>
      <c r="Y510" t="s">
        <v>33</v>
      </c>
      <c r="Z510" s="5" t="s">
        <v>34</v>
      </c>
      <c r="AA510">
        <v>-75.631082090000007</v>
      </c>
      <c r="AB510">
        <v>6.0939493699999998</v>
      </c>
      <c r="AC510" t="s">
        <v>456</v>
      </c>
      <c r="AD510" t="s">
        <v>457</v>
      </c>
    </row>
    <row r="511" spans="1:30" x14ac:dyDescent="0.25">
      <c r="A511" t="s">
        <v>1788</v>
      </c>
      <c r="B511" t="s">
        <v>25</v>
      </c>
      <c r="C511" t="s">
        <v>26</v>
      </c>
      <c r="D511" t="s">
        <v>39</v>
      </c>
      <c r="E511" t="s">
        <v>1789</v>
      </c>
      <c r="F511" t="s">
        <v>1790</v>
      </c>
      <c r="G511">
        <v>30386322</v>
      </c>
      <c r="H511" t="s">
        <v>1791</v>
      </c>
      <c r="I511" s="4" t="s">
        <v>35</v>
      </c>
      <c r="J511" s="4" t="s">
        <v>1792</v>
      </c>
      <c r="K511" t="s">
        <v>1793</v>
      </c>
      <c r="L511" t="s">
        <v>27</v>
      </c>
      <c r="M511" t="s">
        <v>1794</v>
      </c>
      <c r="N511" t="s">
        <v>28</v>
      </c>
      <c r="O511" t="s">
        <v>40</v>
      </c>
      <c r="P511" t="s">
        <v>41</v>
      </c>
      <c r="Q511" t="s">
        <v>31</v>
      </c>
      <c r="R511">
        <v>5</v>
      </c>
      <c r="S511" t="s">
        <v>1795</v>
      </c>
      <c r="T511" t="s">
        <v>6920</v>
      </c>
      <c r="U511" t="s">
        <v>6921</v>
      </c>
      <c r="V511" t="s">
        <v>50</v>
      </c>
      <c r="W511" t="s">
        <v>33</v>
      </c>
      <c r="X511" t="s">
        <v>33</v>
      </c>
      <c r="Y511" t="s">
        <v>33</v>
      </c>
      <c r="Z511" s="5" t="s">
        <v>34</v>
      </c>
      <c r="AA511">
        <v>-75.635525369999996</v>
      </c>
      <c r="AB511">
        <v>6.2492805200000001</v>
      </c>
      <c r="AC511" t="s">
        <v>456</v>
      </c>
      <c r="AD511" t="s">
        <v>457</v>
      </c>
    </row>
    <row r="512" spans="1:30" x14ac:dyDescent="0.25">
      <c r="A512" t="s">
        <v>1796</v>
      </c>
      <c r="B512" t="s">
        <v>25</v>
      </c>
      <c r="C512" t="s">
        <v>26</v>
      </c>
      <c r="D512" t="s">
        <v>25</v>
      </c>
      <c r="E512" t="s">
        <v>1797</v>
      </c>
      <c r="F512" t="s">
        <v>1798</v>
      </c>
      <c r="G512">
        <v>52894806</v>
      </c>
      <c r="H512" t="s">
        <v>1799</v>
      </c>
      <c r="I512" s="4" t="s">
        <v>1775</v>
      </c>
      <c r="J512" s="4" t="s">
        <v>1800</v>
      </c>
      <c r="K512" t="s">
        <v>1801</v>
      </c>
      <c r="L512" t="s">
        <v>27</v>
      </c>
      <c r="M512" t="s">
        <v>1802</v>
      </c>
      <c r="N512" t="s">
        <v>28</v>
      </c>
      <c r="O512" t="s">
        <v>29</v>
      </c>
      <c r="P512" t="s">
        <v>30</v>
      </c>
      <c r="Q512" t="s">
        <v>31</v>
      </c>
      <c r="R512">
        <v>7</v>
      </c>
      <c r="S512" t="s">
        <v>1803</v>
      </c>
      <c r="T512" t="s">
        <v>924</v>
      </c>
      <c r="U512" t="s">
        <v>2448</v>
      </c>
      <c r="V512" t="s">
        <v>32</v>
      </c>
      <c r="W512" t="s">
        <v>33</v>
      </c>
      <c r="X512" t="s">
        <v>33</v>
      </c>
      <c r="Y512" t="s">
        <v>33</v>
      </c>
      <c r="Z512" s="5" t="s">
        <v>34</v>
      </c>
      <c r="AA512">
        <v>-75.546116999999995</v>
      </c>
      <c r="AB512">
        <v>6.2362149999999996</v>
      </c>
      <c r="AC512" t="s">
        <v>456</v>
      </c>
      <c r="AD512" t="s">
        <v>457</v>
      </c>
    </row>
    <row r="513" spans="1:30" x14ac:dyDescent="0.25">
      <c r="A513" t="s">
        <v>1805</v>
      </c>
      <c r="B513" t="s">
        <v>25</v>
      </c>
      <c r="C513" t="s">
        <v>26</v>
      </c>
      <c r="D513" t="s">
        <v>25</v>
      </c>
      <c r="E513" t="s">
        <v>1806</v>
      </c>
      <c r="F513" t="s">
        <v>1807</v>
      </c>
      <c r="G513">
        <v>43163724</v>
      </c>
      <c r="H513" t="s">
        <v>1774</v>
      </c>
      <c r="I513" s="4" t="s">
        <v>1775</v>
      </c>
      <c r="J513" s="4" t="s">
        <v>1776</v>
      </c>
      <c r="K513" t="s">
        <v>1808</v>
      </c>
      <c r="L513" t="s">
        <v>27</v>
      </c>
      <c r="M513" t="s">
        <v>1809</v>
      </c>
      <c r="N513" t="s">
        <v>28</v>
      </c>
      <c r="O513" t="s">
        <v>29</v>
      </c>
      <c r="P513" t="s">
        <v>30</v>
      </c>
      <c r="Q513" t="s">
        <v>31</v>
      </c>
      <c r="R513">
        <v>7</v>
      </c>
      <c r="S513" t="s">
        <v>1810</v>
      </c>
      <c r="T513" t="s">
        <v>4847</v>
      </c>
      <c r="U513" t="s">
        <v>4846</v>
      </c>
      <c r="V513" t="s">
        <v>32</v>
      </c>
      <c r="W513" t="s">
        <v>33</v>
      </c>
      <c r="X513" t="s">
        <v>33</v>
      </c>
      <c r="Y513" t="s">
        <v>33</v>
      </c>
      <c r="Z513" s="5" t="s">
        <v>34</v>
      </c>
      <c r="AA513">
        <v>-75.546116999999995</v>
      </c>
      <c r="AB513">
        <v>6.2362149999999996</v>
      </c>
      <c r="AC513" t="s">
        <v>456</v>
      </c>
      <c r="AD513" t="s">
        <v>457</v>
      </c>
    </row>
    <row r="514" spans="1:30" x14ac:dyDescent="0.25">
      <c r="A514" t="s">
        <v>2595</v>
      </c>
      <c r="B514" t="s">
        <v>42</v>
      </c>
      <c r="C514" t="s">
        <v>26</v>
      </c>
      <c r="D514" t="s">
        <v>42</v>
      </c>
      <c r="E514" t="s">
        <v>2596</v>
      </c>
      <c r="F514" t="s">
        <v>2597</v>
      </c>
      <c r="G514">
        <v>39165038</v>
      </c>
      <c r="H514" t="s">
        <v>2598</v>
      </c>
      <c r="I514" s="4" t="s">
        <v>35</v>
      </c>
      <c r="J514" s="4" t="s">
        <v>423</v>
      </c>
      <c r="K514" t="s">
        <v>2599</v>
      </c>
      <c r="L514" t="s">
        <v>77</v>
      </c>
      <c r="M514" t="s">
        <v>2600</v>
      </c>
      <c r="N514" t="s">
        <v>78</v>
      </c>
      <c r="O514" t="s">
        <v>43</v>
      </c>
      <c r="P514" t="s">
        <v>36</v>
      </c>
      <c r="Q514" t="s">
        <v>31</v>
      </c>
      <c r="R514">
        <v>7</v>
      </c>
      <c r="S514" t="s">
        <v>2601</v>
      </c>
      <c r="T514" t="s">
        <v>2447</v>
      </c>
      <c r="U514" t="s">
        <v>4783</v>
      </c>
      <c r="V514" t="s">
        <v>32</v>
      </c>
      <c r="W514" t="s">
        <v>33</v>
      </c>
      <c r="X514" t="s">
        <v>33</v>
      </c>
      <c r="Y514" t="s">
        <v>33</v>
      </c>
      <c r="Z514" s="5" t="s">
        <v>34</v>
      </c>
      <c r="AA514">
        <v>-75.635557640000002</v>
      </c>
      <c r="AB514">
        <v>6.0823512199999996</v>
      </c>
      <c r="AC514" t="s">
        <v>456</v>
      </c>
      <c r="AD514" t="s">
        <v>457</v>
      </c>
    </row>
    <row r="515" spans="1:30" x14ac:dyDescent="0.25">
      <c r="A515" t="s">
        <v>1811</v>
      </c>
      <c r="B515" t="s">
        <v>81</v>
      </c>
      <c r="C515" t="s">
        <v>26</v>
      </c>
      <c r="D515" t="s">
        <v>81</v>
      </c>
      <c r="E515" t="s">
        <v>1812</v>
      </c>
      <c r="F515" t="s">
        <v>1813</v>
      </c>
      <c r="G515">
        <v>71717807</v>
      </c>
      <c r="H515" t="s">
        <v>1814</v>
      </c>
      <c r="I515" s="4" t="s">
        <v>35</v>
      </c>
      <c r="J515" s="4" t="s">
        <v>1815</v>
      </c>
      <c r="K515" t="s">
        <v>1816</v>
      </c>
      <c r="L515" t="s">
        <v>61</v>
      </c>
      <c r="M515" t="s">
        <v>1817</v>
      </c>
      <c r="N515" t="s">
        <v>63</v>
      </c>
      <c r="O515" t="s">
        <v>82</v>
      </c>
      <c r="P515" t="s">
        <v>83</v>
      </c>
      <c r="Q515" t="s">
        <v>38</v>
      </c>
      <c r="R515">
        <v>4</v>
      </c>
      <c r="S515" t="s">
        <v>1818</v>
      </c>
      <c r="T515" t="s">
        <v>6923</v>
      </c>
      <c r="U515" t="s">
        <v>47</v>
      </c>
      <c r="V515" t="s">
        <v>47</v>
      </c>
      <c r="W515" t="s">
        <v>33</v>
      </c>
      <c r="X515" t="s">
        <v>33</v>
      </c>
      <c r="Y515" t="s">
        <v>33</v>
      </c>
      <c r="Z515" s="5" t="s">
        <v>34</v>
      </c>
      <c r="AA515">
        <v>-75.633577209999999</v>
      </c>
      <c r="AB515">
        <v>6.1396153699999996</v>
      </c>
      <c r="AC515" t="s">
        <v>456</v>
      </c>
      <c r="AD515" t="s">
        <v>457</v>
      </c>
    </row>
    <row r="516" spans="1:30" x14ac:dyDescent="0.25">
      <c r="A516" t="s">
        <v>1819</v>
      </c>
      <c r="B516" t="s">
        <v>95</v>
      </c>
      <c r="C516" t="s">
        <v>26</v>
      </c>
      <c r="D516" t="s">
        <v>96</v>
      </c>
      <c r="E516" t="s">
        <v>1812</v>
      </c>
      <c r="F516" t="s">
        <v>1813</v>
      </c>
      <c r="G516">
        <v>1040732793</v>
      </c>
      <c r="H516" t="s">
        <v>1820</v>
      </c>
      <c r="I516" s="4" t="s">
        <v>35</v>
      </c>
      <c r="J516" s="4" t="s">
        <v>1821</v>
      </c>
      <c r="K516" t="s">
        <v>1822</v>
      </c>
      <c r="L516" t="s">
        <v>27</v>
      </c>
      <c r="M516" t="s">
        <v>1823</v>
      </c>
      <c r="N516" t="s">
        <v>28</v>
      </c>
      <c r="O516" t="s">
        <v>103</v>
      </c>
      <c r="P516" t="s">
        <v>158</v>
      </c>
      <c r="Q516" t="s">
        <v>31</v>
      </c>
      <c r="R516">
        <v>9</v>
      </c>
      <c r="S516" t="s">
        <v>1824</v>
      </c>
      <c r="T516" t="s">
        <v>6923</v>
      </c>
      <c r="U516" t="s">
        <v>4713</v>
      </c>
      <c r="V516" t="s">
        <v>32</v>
      </c>
      <c r="W516" t="s">
        <v>33</v>
      </c>
      <c r="X516" t="s">
        <v>33</v>
      </c>
      <c r="Y516" t="s">
        <v>33</v>
      </c>
      <c r="Z516" s="5" t="s">
        <v>34</v>
      </c>
      <c r="AA516">
        <v>-75.582928999999993</v>
      </c>
      <c r="AB516">
        <v>6.2607819999999998</v>
      </c>
      <c r="AC516" t="s">
        <v>456</v>
      </c>
      <c r="AD516" t="s">
        <v>457</v>
      </c>
    </row>
    <row r="517" spans="1:30" x14ac:dyDescent="0.25">
      <c r="A517" t="s">
        <v>1825</v>
      </c>
      <c r="B517" t="s">
        <v>25</v>
      </c>
      <c r="C517" t="s">
        <v>26</v>
      </c>
      <c r="D517" t="s">
        <v>25</v>
      </c>
      <c r="E517" t="s">
        <v>1826</v>
      </c>
      <c r="F517" t="s">
        <v>1827</v>
      </c>
      <c r="G517">
        <v>1152695346</v>
      </c>
      <c r="H517" t="s">
        <v>1828</v>
      </c>
      <c r="I517" s="4" t="s">
        <v>35</v>
      </c>
      <c r="J517" s="4" t="s">
        <v>1829</v>
      </c>
      <c r="K517" t="s">
        <v>1830</v>
      </c>
      <c r="L517" t="s">
        <v>27</v>
      </c>
      <c r="M517" t="s">
        <v>1831</v>
      </c>
      <c r="N517" t="s">
        <v>28</v>
      </c>
      <c r="O517" t="s">
        <v>29</v>
      </c>
      <c r="P517" t="s">
        <v>37</v>
      </c>
      <c r="Q517" t="s">
        <v>31</v>
      </c>
      <c r="R517">
        <v>7</v>
      </c>
      <c r="S517" t="s">
        <v>1832</v>
      </c>
      <c r="T517" t="s">
        <v>2816</v>
      </c>
      <c r="U517" t="s">
        <v>4848</v>
      </c>
      <c r="V517" t="s">
        <v>32</v>
      </c>
      <c r="W517" t="s">
        <v>33</v>
      </c>
      <c r="X517" t="s">
        <v>33</v>
      </c>
      <c r="Y517" t="s">
        <v>33</v>
      </c>
      <c r="Z517" s="5" t="s">
        <v>34</v>
      </c>
      <c r="AA517">
        <v>-75.623638290000002</v>
      </c>
      <c r="AB517">
        <v>6.2512943600000002</v>
      </c>
      <c r="AC517" t="s">
        <v>456</v>
      </c>
      <c r="AD517" t="s">
        <v>457</v>
      </c>
    </row>
    <row r="518" spans="1:30" x14ac:dyDescent="0.25">
      <c r="A518" t="s">
        <v>1833</v>
      </c>
      <c r="B518" t="s">
        <v>25</v>
      </c>
      <c r="C518" t="s">
        <v>26</v>
      </c>
      <c r="D518" t="s">
        <v>39</v>
      </c>
      <c r="E518" t="s">
        <v>1834</v>
      </c>
      <c r="F518" t="s">
        <v>1835</v>
      </c>
      <c r="G518">
        <v>21659921</v>
      </c>
      <c r="H518" t="s">
        <v>1836</v>
      </c>
      <c r="I518" s="4" t="s">
        <v>35</v>
      </c>
      <c r="J518" s="4" t="s">
        <v>1837</v>
      </c>
      <c r="K518" t="s">
        <v>1838</v>
      </c>
      <c r="L518" t="s">
        <v>27</v>
      </c>
      <c r="M518" t="s">
        <v>1839</v>
      </c>
      <c r="N518" t="s">
        <v>28</v>
      </c>
      <c r="O518" t="s">
        <v>40</v>
      </c>
      <c r="P518" t="s">
        <v>41</v>
      </c>
      <c r="Q518" t="s">
        <v>31</v>
      </c>
      <c r="R518">
        <v>5</v>
      </c>
      <c r="S518" t="s">
        <v>1840</v>
      </c>
      <c r="T518" t="s">
        <v>6924</v>
      </c>
      <c r="U518" t="s">
        <v>6925</v>
      </c>
      <c r="V518" t="s">
        <v>50</v>
      </c>
      <c r="W518" t="s">
        <v>33</v>
      </c>
      <c r="X518" t="s">
        <v>33</v>
      </c>
      <c r="Y518" t="s">
        <v>33</v>
      </c>
      <c r="Z518" s="5" t="s">
        <v>34</v>
      </c>
      <c r="AA518">
        <v>-75.628011999999998</v>
      </c>
      <c r="AB518">
        <v>6.2674400099999996</v>
      </c>
      <c r="AC518" t="s">
        <v>456</v>
      </c>
      <c r="AD518" t="s">
        <v>457</v>
      </c>
    </row>
    <row r="519" spans="1:30" x14ac:dyDescent="0.25">
      <c r="A519" t="s">
        <v>1841</v>
      </c>
      <c r="B519" t="s">
        <v>81</v>
      </c>
      <c r="C519" t="s">
        <v>26</v>
      </c>
      <c r="D519" t="s">
        <v>81</v>
      </c>
      <c r="E519" t="s">
        <v>1842</v>
      </c>
      <c r="F519" t="s">
        <v>1843</v>
      </c>
      <c r="G519">
        <v>43637263</v>
      </c>
      <c r="H519" t="s">
        <v>1844</v>
      </c>
      <c r="I519" s="4" t="s">
        <v>1845</v>
      </c>
      <c r="J519" s="4" t="s">
        <v>1846</v>
      </c>
      <c r="K519" t="s">
        <v>1847</v>
      </c>
      <c r="L519" t="s">
        <v>49</v>
      </c>
      <c r="M519" t="s">
        <v>1848</v>
      </c>
      <c r="N519" t="s">
        <v>84</v>
      </c>
      <c r="O519" t="s">
        <v>82</v>
      </c>
      <c r="P519" t="s">
        <v>83</v>
      </c>
      <c r="Q519" t="s">
        <v>38</v>
      </c>
      <c r="R519">
        <v>4</v>
      </c>
      <c r="S519" t="s">
        <v>1849</v>
      </c>
      <c r="T519" t="s">
        <v>6926</v>
      </c>
      <c r="U519" t="s">
        <v>47</v>
      </c>
      <c r="V519" t="s">
        <v>47</v>
      </c>
      <c r="W519" t="s">
        <v>33</v>
      </c>
      <c r="X519" t="s">
        <v>33</v>
      </c>
      <c r="Y519" t="s">
        <v>33</v>
      </c>
      <c r="Z519" s="5" t="s">
        <v>34</v>
      </c>
      <c r="AA519">
        <v>-75.505121000000003</v>
      </c>
      <c r="AB519">
        <v>6.1584089999999998</v>
      </c>
      <c r="AC519" t="s">
        <v>456</v>
      </c>
      <c r="AD519" t="s">
        <v>457</v>
      </c>
    </row>
    <row r="520" spans="1:30" x14ac:dyDescent="0.25">
      <c r="A520" t="s">
        <v>3241</v>
      </c>
      <c r="B520" t="s">
        <v>95</v>
      </c>
      <c r="C520" t="s">
        <v>26</v>
      </c>
      <c r="D520" t="s">
        <v>96</v>
      </c>
      <c r="E520" t="s">
        <v>3242</v>
      </c>
      <c r="F520" t="s">
        <v>3243</v>
      </c>
      <c r="G520">
        <v>70661453</v>
      </c>
      <c r="H520" t="s">
        <v>3244</v>
      </c>
      <c r="I520" s="4" t="s">
        <v>35</v>
      </c>
      <c r="J520" s="4" t="s">
        <v>3245</v>
      </c>
      <c r="K520" t="s">
        <v>3246</v>
      </c>
      <c r="L520" t="s">
        <v>27</v>
      </c>
      <c r="M520" t="s">
        <v>3247</v>
      </c>
      <c r="N520" t="s">
        <v>28</v>
      </c>
      <c r="O520" t="s">
        <v>103</v>
      </c>
      <c r="P520" t="s">
        <v>120</v>
      </c>
      <c r="Q520" t="s">
        <v>31</v>
      </c>
      <c r="R520">
        <v>9</v>
      </c>
      <c r="S520" t="s">
        <v>3248</v>
      </c>
      <c r="T520" t="s">
        <v>6927</v>
      </c>
      <c r="U520" t="s">
        <v>6928</v>
      </c>
      <c r="V520" t="s">
        <v>32</v>
      </c>
      <c r="W520" t="s">
        <v>33</v>
      </c>
      <c r="X520" t="s">
        <v>33</v>
      </c>
      <c r="Y520" t="s">
        <v>33</v>
      </c>
      <c r="Z520" s="5" t="s">
        <v>34</v>
      </c>
      <c r="AA520">
        <v>-75.626345000000001</v>
      </c>
      <c r="AB520">
        <v>6.269476</v>
      </c>
      <c r="AC520" t="s">
        <v>456</v>
      </c>
      <c r="AD520" t="s">
        <v>457</v>
      </c>
    </row>
    <row r="521" spans="1:30" x14ac:dyDescent="0.25">
      <c r="A521" t="s">
        <v>1850</v>
      </c>
      <c r="B521" t="s">
        <v>25</v>
      </c>
      <c r="C521" t="s">
        <v>26</v>
      </c>
      <c r="D521" t="s">
        <v>25</v>
      </c>
      <c r="E521" t="s">
        <v>1851</v>
      </c>
      <c r="F521" t="s">
        <v>1852</v>
      </c>
      <c r="G521">
        <v>1128480340</v>
      </c>
      <c r="H521" t="s">
        <v>1853</v>
      </c>
      <c r="I521" s="4" t="s">
        <v>35</v>
      </c>
      <c r="J521" s="4" t="s">
        <v>1854</v>
      </c>
      <c r="K521" t="s">
        <v>1855</v>
      </c>
      <c r="L521" t="s">
        <v>27</v>
      </c>
      <c r="M521" t="s">
        <v>1856</v>
      </c>
      <c r="N521" t="s">
        <v>28</v>
      </c>
      <c r="O521" t="s">
        <v>29</v>
      </c>
      <c r="P521" t="s">
        <v>37</v>
      </c>
      <c r="Q521" t="s">
        <v>38</v>
      </c>
      <c r="R521">
        <v>10</v>
      </c>
      <c r="S521" t="s">
        <v>1857</v>
      </c>
      <c r="T521" t="s">
        <v>6929</v>
      </c>
      <c r="U521" t="s">
        <v>6930</v>
      </c>
      <c r="V521" t="s">
        <v>32</v>
      </c>
      <c r="W521" t="s">
        <v>33</v>
      </c>
      <c r="X521" t="s">
        <v>33</v>
      </c>
      <c r="Y521" t="s">
        <v>33</v>
      </c>
      <c r="Z521" s="5" t="s">
        <v>34</v>
      </c>
      <c r="AA521">
        <v>-75.659917399999998</v>
      </c>
      <c r="AB521">
        <v>6.2992705200000003</v>
      </c>
      <c r="AC521" t="s">
        <v>456</v>
      </c>
      <c r="AD521" t="s">
        <v>457</v>
      </c>
    </row>
    <row r="522" spans="1:30" x14ac:dyDescent="0.25">
      <c r="A522" t="s">
        <v>1858</v>
      </c>
      <c r="B522" t="s">
        <v>25</v>
      </c>
      <c r="C522" t="s">
        <v>26</v>
      </c>
      <c r="D522" t="s">
        <v>25</v>
      </c>
      <c r="E522" t="s">
        <v>1859</v>
      </c>
      <c r="F522" t="s">
        <v>1860</v>
      </c>
      <c r="G522">
        <v>1216713942</v>
      </c>
      <c r="H522" t="s">
        <v>1861</v>
      </c>
      <c r="I522" s="4" t="s">
        <v>35</v>
      </c>
      <c r="J522" s="4" t="s">
        <v>1862</v>
      </c>
      <c r="K522" t="s">
        <v>1863</v>
      </c>
      <c r="L522" t="s">
        <v>27</v>
      </c>
      <c r="M522" t="s">
        <v>1864</v>
      </c>
      <c r="N522" t="s">
        <v>28</v>
      </c>
      <c r="O522" t="s">
        <v>29</v>
      </c>
      <c r="P522" t="s">
        <v>37</v>
      </c>
      <c r="Q522" t="s">
        <v>31</v>
      </c>
      <c r="R522">
        <v>7</v>
      </c>
      <c r="S522" t="s">
        <v>1865</v>
      </c>
      <c r="T522" t="s">
        <v>2834</v>
      </c>
      <c r="U522" t="s">
        <v>4849</v>
      </c>
      <c r="V522" t="s">
        <v>32</v>
      </c>
      <c r="W522" t="s">
        <v>33</v>
      </c>
      <c r="X522" t="s">
        <v>33</v>
      </c>
      <c r="Y522" t="s">
        <v>33</v>
      </c>
      <c r="Z522" s="5" t="s">
        <v>34</v>
      </c>
      <c r="AA522">
        <v>-75.617935000000003</v>
      </c>
      <c r="AB522">
        <v>6.2766760000000001</v>
      </c>
      <c r="AC522" t="s">
        <v>456</v>
      </c>
      <c r="AD522" t="s">
        <v>457</v>
      </c>
    </row>
    <row r="523" spans="1:30" x14ac:dyDescent="0.25">
      <c r="A523" t="s">
        <v>1866</v>
      </c>
      <c r="B523" t="s">
        <v>25</v>
      </c>
      <c r="C523" t="s">
        <v>26</v>
      </c>
      <c r="D523" t="s">
        <v>25</v>
      </c>
      <c r="E523" t="s">
        <v>1867</v>
      </c>
      <c r="F523" t="s">
        <v>1868</v>
      </c>
      <c r="G523">
        <v>71337148</v>
      </c>
      <c r="H523" t="s">
        <v>1869</v>
      </c>
      <c r="I523" s="4" t="s">
        <v>1870</v>
      </c>
      <c r="J523" s="4" t="s">
        <v>1871</v>
      </c>
      <c r="K523" t="s">
        <v>1872</v>
      </c>
      <c r="L523" t="s">
        <v>27</v>
      </c>
      <c r="M523" t="s">
        <v>1873</v>
      </c>
      <c r="N523" t="s">
        <v>28</v>
      </c>
      <c r="O523" t="s">
        <v>29</v>
      </c>
      <c r="P523" t="s">
        <v>37</v>
      </c>
      <c r="Q523" t="s">
        <v>31</v>
      </c>
      <c r="R523">
        <v>7</v>
      </c>
      <c r="S523" t="s">
        <v>1874</v>
      </c>
      <c r="T523" t="s">
        <v>4708</v>
      </c>
      <c r="U523" t="s">
        <v>851</v>
      </c>
      <c r="V523" t="s">
        <v>32</v>
      </c>
      <c r="W523" t="s">
        <v>33</v>
      </c>
      <c r="X523" t="s">
        <v>33</v>
      </c>
      <c r="Y523" t="s">
        <v>33</v>
      </c>
      <c r="Z523" s="5" t="s">
        <v>34</v>
      </c>
      <c r="AA523">
        <v>-75.631602979999997</v>
      </c>
      <c r="AB523">
        <v>6.2742777900000002</v>
      </c>
      <c r="AC523" t="s">
        <v>456</v>
      </c>
      <c r="AD523" t="s">
        <v>457</v>
      </c>
    </row>
    <row r="524" spans="1:30" x14ac:dyDescent="0.25">
      <c r="A524" t="s">
        <v>1875</v>
      </c>
      <c r="B524" t="s">
        <v>25</v>
      </c>
      <c r="C524" t="s">
        <v>26</v>
      </c>
      <c r="D524" t="s">
        <v>25</v>
      </c>
      <c r="E524" t="s">
        <v>1876</v>
      </c>
      <c r="F524" t="s">
        <v>1877</v>
      </c>
      <c r="G524">
        <v>1038103724</v>
      </c>
      <c r="H524" t="s">
        <v>1878</v>
      </c>
      <c r="I524" s="4" t="s">
        <v>35</v>
      </c>
      <c r="J524" s="4" t="s">
        <v>1879</v>
      </c>
      <c r="K524" t="s">
        <v>1880</v>
      </c>
      <c r="L524" t="s">
        <v>27</v>
      </c>
      <c r="M524" t="s">
        <v>1881</v>
      </c>
      <c r="N524" t="s">
        <v>28</v>
      </c>
      <c r="O524" t="s">
        <v>29</v>
      </c>
      <c r="P524" t="s">
        <v>37</v>
      </c>
      <c r="Q524" t="s">
        <v>31</v>
      </c>
      <c r="R524">
        <v>7</v>
      </c>
      <c r="S524" t="s">
        <v>1882</v>
      </c>
      <c r="T524" t="s">
        <v>4851</v>
      </c>
      <c r="U524" t="s">
        <v>4850</v>
      </c>
      <c r="V524" t="s">
        <v>32</v>
      </c>
      <c r="W524" t="s">
        <v>33</v>
      </c>
      <c r="X524" t="s">
        <v>33</v>
      </c>
      <c r="Y524" t="s">
        <v>33</v>
      </c>
      <c r="Z524" s="5" t="s">
        <v>34</v>
      </c>
      <c r="AA524">
        <v>-75.606103689999998</v>
      </c>
      <c r="AB524">
        <v>6.2780164699999998</v>
      </c>
      <c r="AC524" t="s">
        <v>456</v>
      </c>
      <c r="AD524" t="s">
        <v>457</v>
      </c>
    </row>
    <row r="525" spans="1:30" x14ac:dyDescent="0.25">
      <c r="A525" t="s">
        <v>3249</v>
      </c>
      <c r="B525" t="s">
        <v>42</v>
      </c>
      <c r="C525" t="s">
        <v>26</v>
      </c>
      <c r="D525" t="s">
        <v>42</v>
      </c>
      <c r="E525" t="s">
        <v>3250</v>
      </c>
      <c r="F525" t="s">
        <v>3251</v>
      </c>
      <c r="G525">
        <v>51927043</v>
      </c>
      <c r="H525" t="s">
        <v>3252</v>
      </c>
      <c r="I525" s="4" t="s">
        <v>35</v>
      </c>
      <c r="J525" s="4" t="s">
        <v>3253</v>
      </c>
      <c r="K525" t="s">
        <v>3254</v>
      </c>
      <c r="L525" t="s">
        <v>27</v>
      </c>
      <c r="M525" t="s">
        <v>3255</v>
      </c>
      <c r="N525" t="s">
        <v>28</v>
      </c>
      <c r="O525" t="s">
        <v>43</v>
      </c>
      <c r="P525" t="s">
        <v>37</v>
      </c>
      <c r="Q525" t="s">
        <v>38</v>
      </c>
      <c r="R525">
        <v>10</v>
      </c>
      <c r="S525" t="s">
        <v>3256</v>
      </c>
      <c r="T525" t="s">
        <v>6931</v>
      </c>
      <c r="U525" t="s">
        <v>4812</v>
      </c>
      <c r="V525" t="s">
        <v>32</v>
      </c>
      <c r="W525" t="s">
        <v>33</v>
      </c>
      <c r="X525" t="s">
        <v>33</v>
      </c>
      <c r="Y525" t="s">
        <v>33</v>
      </c>
      <c r="Z525" s="5" t="s">
        <v>34</v>
      </c>
      <c r="AA525">
        <v>-75.612179549999993</v>
      </c>
      <c r="AB525">
        <v>6.2063421600000002</v>
      </c>
      <c r="AC525" t="s">
        <v>456</v>
      </c>
      <c r="AD525" t="s">
        <v>457</v>
      </c>
    </row>
    <row r="526" spans="1:30" x14ac:dyDescent="0.25">
      <c r="A526" t="s">
        <v>1883</v>
      </c>
      <c r="B526" t="s">
        <v>81</v>
      </c>
      <c r="C526" t="s">
        <v>26</v>
      </c>
      <c r="D526" t="s">
        <v>81</v>
      </c>
      <c r="E526" t="s">
        <v>1884</v>
      </c>
      <c r="F526" t="s">
        <v>1885</v>
      </c>
      <c r="G526">
        <v>70727208</v>
      </c>
      <c r="H526" t="s">
        <v>1886</v>
      </c>
      <c r="I526" s="4" t="s">
        <v>1887</v>
      </c>
      <c r="J526" s="4" t="s">
        <v>1888</v>
      </c>
      <c r="K526" t="s">
        <v>1889</v>
      </c>
      <c r="L526" t="s">
        <v>77</v>
      </c>
      <c r="M526" t="s">
        <v>1890</v>
      </c>
      <c r="N526" t="s">
        <v>78</v>
      </c>
      <c r="O526" t="s">
        <v>82</v>
      </c>
      <c r="P526" t="s">
        <v>83</v>
      </c>
      <c r="Q526" t="s">
        <v>31</v>
      </c>
      <c r="R526">
        <v>4</v>
      </c>
      <c r="S526" t="s">
        <v>1891</v>
      </c>
      <c r="T526" t="s">
        <v>6932</v>
      </c>
      <c r="U526" t="s">
        <v>47</v>
      </c>
      <c r="V526" t="s">
        <v>47</v>
      </c>
      <c r="W526" t="s">
        <v>33</v>
      </c>
      <c r="X526" t="s">
        <v>33</v>
      </c>
      <c r="Y526" t="s">
        <v>33</v>
      </c>
      <c r="Z526" s="5" t="s">
        <v>34</v>
      </c>
      <c r="AA526">
        <v>-75.634549000000007</v>
      </c>
      <c r="AB526">
        <v>6.0903359999999997</v>
      </c>
      <c r="AC526" t="s">
        <v>456</v>
      </c>
      <c r="AD526" t="s">
        <v>457</v>
      </c>
    </row>
    <row r="527" spans="1:30" x14ac:dyDescent="0.25">
      <c r="A527" t="s">
        <v>1892</v>
      </c>
      <c r="B527" t="s">
        <v>25</v>
      </c>
      <c r="C527" t="s">
        <v>26</v>
      </c>
      <c r="D527" t="s">
        <v>25</v>
      </c>
      <c r="E527" t="s">
        <v>1893</v>
      </c>
      <c r="F527" t="s">
        <v>1894</v>
      </c>
      <c r="G527">
        <v>43111133</v>
      </c>
      <c r="H527" t="s">
        <v>1895</v>
      </c>
      <c r="I527" s="4" t="s">
        <v>35</v>
      </c>
      <c r="J527" s="4" t="s">
        <v>1896</v>
      </c>
      <c r="K527" t="s">
        <v>1897</v>
      </c>
      <c r="L527" t="s">
        <v>27</v>
      </c>
      <c r="M527" t="s">
        <v>1898</v>
      </c>
      <c r="N527" t="s">
        <v>28</v>
      </c>
      <c r="O527" t="s">
        <v>29</v>
      </c>
      <c r="P527" t="s">
        <v>37</v>
      </c>
      <c r="Q527" t="s">
        <v>31</v>
      </c>
      <c r="R527">
        <v>7</v>
      </c>
      <c r="S527" t="s">
        <v>1899</v>
      </c>
      <c r="T527" t="s">
        <v>4184</v>
      </c>
      <c r="U527" t="s">
        <v>4853</v>
      </c>
      <c r="V527" t="s">
        <v>32</v>
      </c>
      <c r="W527" t="s">
        <v>33</v>
      </c>
      <c r="X527" t="s">
        <v>33</v>
      </c>
      <c r="Y527" t="s">
        <v>33</v>
      </c>
      <c r="Z527" s="5" t="s">
        <v>34</v>
      </c>
      <c r="AA527">
        <v>-75.596320590000005</v>
      </c>
      <c r="AB527">
        <v>6.1989238899999997</v>
      </c>
      <c r="AC527" t="s">
        <v>456</v>
      </c>
      <c r="AD527" t="s">
        <v>457</v>
      </c>
    </row>
    <row r="528" spans="1:30" x14ac:dyDescent="0.25">
      <c r="A528" t="s">
        <v>1900</v>
      </c>
      <c r="B528" t="s">
        <v>81</v>
      </c>
      <c r="C528" t="s">
        <v>26</v>
      </c>
      <c r="D528" t="s">
        <v>81</v>
      </c>
      <c r="E528" t="s">
        <v>1901</v>
      </c>
      <c r="F528" t="s">
        <v>1902</v>
      </c>
      <c r="G528">
        <v>88284888</v>
      </c>
      <c r="H528" t="s">
        <v>1903</v>
      </c>
      <c r="I528" s="4" t="s">
        <v>35</v>
      </c>
      <c r="J528" s="4" t="s">
        <v>1904</v>
      </c>
      <c r="K528" t="s">
        <v>1905</v>
      </c>
      <c r="L528" t="s">
        <v>27</v>
      </c>
      <c r="M528" t="s">
        <v>1906</v>
      </c>
      <c r="N528" t="s">
        <v>28</v>
      </c>
      <c r="O528" t="s">
        <v>82</v>
      </c>
      <c r="P528" t="s">
        <v>83</v>
      </c>
      <c r="Q528" t="s">
        <v>31</v>
      </c>
      <c r="R528">
        <v>4</v>
      </c>
      <c r="S528" t="s">
        <v>1907</v>
      </c>
      <c r="T528" t="s">
        <v>6933</v>
      </c>
      <c r="U528" t="s">
        <v>47</v>
      </c>
      <c r="V528" t="s">
        <v>47</v>
      </c>
      <c r="W528" t="s">
        <v>33</v>
      </c>
      <c r="X528" t="s">
        <v>33</v>
      </c>
      <c r="Y528" t="s">
        <v>33</v>
      </c>
      <c r="Z528" s="5" t="s">
        <v>34</v>
      </c>
      <c r="AA528">
        <v>-75.570417689999999</v>
      </c>
      <c r="AB528">
        <v>6.2547690999999999</v>
      </c>
      <c r="AC528" t="s">
        <v>456</v>
      </c>
      <c r="AD528" t="s">
        <v>457</v>
      </c>
    </row>
    <row r="529" spans="1:30" x14ac:dyDescent="0.25">
      <c r="A529" t="s">
        <v>1909</v>
      </c>
      <c r="B529" t="s">
        <v>81</v>
      </c>
      <c r="C529" t="s">
        <v>26</v>
      </c>
      <c r="D529" t="s">
        <v>81</v>
      </c>
      <c r="E529" t="s">
        <v>1910</v>
      </c>
      <c r="F529" t="s">
        <v>1911</v>
      </c>
      <c r="G529">
        <v>70351733</v>
      </c>
      <c r="H529" t="s">
        <v>1912</v>
      </c>
      <c r="I529" s="4" t="s">
        <v>35</v>
      </c>
      <c r="J529" s="4" t="s">
        <v>1904</v>
      </c>
      <c r="K529" t="s">
        <v>1913</v>
      </c>
      <c r="L529" t="s">
        <v>27</v>
      </c>
      <c r="M529" t="s">
        <v>1914</v>
      </c>
      <c r="N529" t="s">
        <v>28</v>
      </c>
      <c r="O529" t="s">
        <v>82</v>
      </c>
      <c r="P529" t="s">
        <v>83</v>
      </c>
      <c r="Q529" t="s">
        <v>38</v>
      </c>
      <c r="R529">
        <v>4</v>
      </c>
      <c r="S529" t="s">
        <v>1915</v>
      </c>
      <c r="T529" t="s">
        <v>6934</v>
      </c>
      <c r="U529" t="s">
        <v>6935</v>
      </c>
      <c r="V529" t="s">
        <v>452</v>
      </c>
      <c r="W529" t="s">
        <v>33</v>
      </c>
      <c r="X529" t="s">
        <v>33</v>
      </c>
      <c r="Y529" t="s">
        <v>33</v>
      </c>
      <c r="Z529" s="5" t="s">
        <v>34</v>
      </c>
      <c r="AA529">
        <v>-75.702761260000003</v>
      </c>
      <c r="AB529">
        <v>6.3421014600000003</v>
      </c>
      <c r="AC529" t="s">
        <v>456</v>
      </c>
      <c r="AD529" t="s">
        <v>457</v>
      </c>
    </row>
    <row r="530" spans="1:30" x14ac:dyDescent="0.25">
      <c r="A530" t="s">
        <v>1916</v>
      </c>
      <c r="B530" t="s">
        <v>25</v>
      </c>
      <c r="C530" t="s">
        <v>26</v>
      </c>
      <c r="D530" t="s">
        <v>25</v>
      </c>
      <c r="E530" t="s">
        <v>1917</v>
      </c>
      <c r="F530" t="s">
        <v>1918</v>
      </c>
      <c r="G530">
        <v>1128475722</v>
      </c>
      <c r="H530" t="s">
        <v>1919</v>
      </c>
      <c r="I530" s="4" t="s">
        <v>35</v>
      </c>
      <c r="J530" s="4" t="s">
        <v>1920</v>
      </c>
      <c r="K530" t="s">
        <v>1921</v>
      </c>
      <c r="L530" t="s">
        <v>27</v>
      </c>
      <c r="M530" t="s">
        <v>1922</v>
      </c>
      <c r="N530" t="s">
        <v>28</v>
      </c>
      <c r="O530" t="s">
        <v>29</v>
      </c>
      <c r="P530" t="s">
        <v>37</v>
      </c>
      <c r="Q530" t="s">
        <v>31</v>
      </c>
      <c r="R530">
        <v>7</v>
      </c>
      <c r="S530" t="s">
        <v>1923</v>
      </c>
      <c r="T530" t="s">
        <v>2437</v>
      </c>
      <c r="U530" t="s">
        <v>4710</v>
      </c>
      <c r="V530" t="s">
        <v>32</v>
      </c>
      <c r="W530" t="s">
        <v>33</v>
      </c>
      <c r="X530" t="s">
        <v>33</v>
      </c>
      <c r="Y530" t="s">
        <v>33</v>
      </c>
      <c r="Z530" s="5" t="s">
        <v>34</v>
      </c>
      <c r="AA530">
        <v>-75.633336439999994</v>
      </c>
      <c r="AB530">
        <v>6.2786678</v>
      </c>
      <c r="AC530" t="s">
        <v>456</v>
      </c>
      <c r="AD530" t="s">
        <v>457</v>
      </c>
    </row>
    <row r="531" spans="1:30" x14ac:dyDescent="0.25">
      <c r="A531" t="s">
        <v>1924</v>
      </c>
      <c r="B531" t="s">
        <v>25</v>
      </c>
      <c r="C531" t="s">
        <v>26</v>
      </c>
      <c r="D531" t="s">
        <v>25</v>
      </c>
      <c r="E531" t="s">
        <v>1925</v>
      </c>
      <c r="F531" t="s">
        <v>1926</v>
      </c>
      <c r="G531">
        <v>43320892</v>
      </c>
      <c r="H531" t="s">
        <v>1927</v>
      </c>
      <c r="I531" s="4" t="s">
        <v>35</v>
      </c>
      <c r="J531" s="4" t="s">
        <v>1928</v>
      </c>
      <c r="K531" t="s">
        <v>1929</v>
      </c>
      <c r="L531" t="s">
        <v>27</v>
      </c>
      <c r="M531" t="s">
        <v>1930</v>
      </c>
      <c r="N531" t="s">
        <v>28</v>
      </c>
      <c r="O531" t="s">
        <v>29</v>
      </c>
      <c r="P531" t="s">
        <v>37</v>
      </c>
      <c r="Q531" t="s">
        <v>31</v>
      </c>
      <c r="R531">
        <v>7</v>
      </c>
      <c r="S531" t="s">
        <v>1931</v>
      </c>
      <c r="T531" t="s">
        <v>4657</v>
      </c>
      <c r="U531" t="s">
        <v>4656</v>
      </c>
      <c r="V531" t="s">
        <v>32</v>
      </c>
      <c r="W531" t="s">
        <v>33</v>
      </c>
      <c r="X531" t="s">
        <v>33</v>
      </c>
      <c r="Y531" t="s">
        <v>33</v>
      </c>
      <c r="Z531" s="5" t="s">
        <v>34</v>
      </c>
      <c r="AA531">
        <v>-75.597865619999993</v>
      </c>
      <c r="AB531">
        <v>6.2733324000000001</v>
      </c>
      <c r="AC531" t="s">
        <v>456</v>
      </c>
      <c r="AD531" t="s">
        <v>457</v>
      </c>
    </row>
    <row r="532" spans="1:30" x14ac:dyDescent="0.25">
      <c r="A532" t="s">
        <v>3257</v>
      </c>
      <c r="B532" t="s">
        <v>95</v>
      </c>
      <c r="C532" t="s">
        <v>26</v>
      </c>
      <c r="D532" t="s">
        <v>96</v>
      </c>
      <c r="E532" t="s">
        <v>3258</v>
      </c>
      <c r="F532" t="s">
        <v>3259</v>
      </c>
      <c r="G532">
        <v>71385069</v>
      </c>
      <c r="H532" t="s">
        <v>3260</v>
      </c>
      <c r="I532" s="4" t="s">
        <v>3261</v>
      </c>
      <c r="J532" s="4" t="s">
        <v>3262</v>
      </c>
      <c r="K532" t="s">
        <v>3263</v>
      </c>
      <c r="L532" t="s">
        <v>27</v>
      </c>
      <c r="M532" t="s">
        <v>3264</v>
      </c>
      <c r="N532" t="s">
        <v>28</v>
      </c>
      <c r="O532" t="s">
        <v>103</v>
      </c>
      <c r="P532" t="s">
        <v>120</v>
      </c>
      <c r="Q532" t="s">
        <v>31</v>
      </c>
      <c r="R532">
        <v>9</v>
      </c>
      <c r="S532" t="s">
        <v>3265</v>
      </c>
      <c r="T532" t="s">
        <v>2559</v>
      </c>
      <c r="U532" t="s">
        <v>6866</v>
      </c>
      <c r="V532" t="s">
        <v>32</v>
      </c>
      <c r="W532" t="s">
        <v>33</v>
      </c>
      <c r="X532" t="s">
        <v>33</v>
      </c>
      <c r="Y532" t="s">
        <v>33</v>
      </c>
      <c r="Z532" s="5" t="s">
        <v>34</v>
      </c>
      <c r="AA532">
        <v>-75.608935439999996</v>
      </c>
      <c r="AB532">
        <v>6.2273547699999998</v>
      </c>
      <c r="AC532" t="s">
        <v>456</v>
      </c>
      <c r="AD532" t="s">
        <v>457</v>
      </c>
    </row>
    <row r="533" spans="1:30" x14ac:dyDescent="0.25">
      <c r="A533" t="s">
        <v>1932</v>
      </c>
      <c r="B533" t="s">
        <v>25</v>
      </c>
      <c r="C533" t="s">
        <v>26</v>
      </c>
      <c r="D533" t="s">
        <v>25</v>
      </c>
      <c r="E533" t="s">
        <v>1933</v>
      </c>
      <c r="F533" t="s">
        <v>1934</v>
      </c>
      <c r="G533">
        <v>1007358789</v>
      </c>
      <c r="H533" t="s">
        <v>1935</v>
      </c>
      <c r="I533" s="4" t="s">
        <v>35</v>
      </c>
      <c r="J533" s="4" t="s">
        <v>1936</v>
      </c>
      <c r="K533" t="s">
        <v>1937</v>
      </c>
      <c r="L533" t="s">
        <v>27</v>
      </c>
      <c r="M533" t="s">
        <v>1938</v>
      </c>
      <c r="N533" t="s">
        <v>28</v>
      </c>
      <c r="O533" t="s">
        <v>29</v>
      </c>
      <c r="P533" t="s">
        <v>37</v>
      </c>
      <c r="Q533" t="s">
        <v>38</v>
      </c>
      <c r="R533">
        <v>10</v>
      </c>
      <c r="S533" t="s">
        <v>1939</v>
      </c>
      <c r="T533" t="s">
        <v>6936</v>
      </c>
      <c r="U533" t="s">
        <v>6937</v>
      </c>
      <c r="V533" t="s">
        <v>32</v>
      </c>
      <c r="W533" t="s">
        <v>33</v>
      </c>
      <c r="X533" t="s">
        <v>33</v>
      </c>
      <c r="Y533" t="s">
        <v>33</v>
      </c>
      <c r="Z533" s="5" t="s">
        <v>34</v>
      </c>
      <c r="AA533">
        <v>-75.654063280000003</v>
      </c>
      <c r="AB533">
        <v>6.2711966500000003</v>
      </c>
      <c r="AC533" t="s">
        <v>456</v>
      </c>
      <c r="AD533" t="s">
        <v>457</v>
      </c>
    </row>
    <row r="534" spans="1:30" x14ac:dyDescent="0.25">
      <c r="A534" t="s">
        <v>1940</v>
      </c>
      <c r="B534" t="s">
        <v>51</v>
      </c>
      <c r="C534" t="s">
        <v>26</v>
      </c>
      <c r="D534" t="s">
        <v>51</v>
      </c>
      <c r="E534" t="s">
        <v>1941</v>
      </c>
      <c r="F534" t="s">
        <v>1942</v>
      </c>
      <c r="G534">
        <v>21895659</v>
      </c>
      <c r="H534" t="s">
        <v>1943</v>
      </c>
      <c r="I534" s="4" t="s">
        <v>35</v>
      </c>
      <c r="J534" s="4" t="s">
        <v>1944</v>
      </c>
      <c r="K534" t="s">
        <v>1945</v>
      </c>
      <c r="L534" t="s">
        <v>79</v>
      </c>
      <c r="M534" t="s">
        <v>1946</v>
      </c>
      <c r="N534" t="s">
        <v>80</v>
      </c>
      <c r="O534" t="s">
        <v>52</v>
      </c>
      <c r="P534" t="s">
        <v>53</v>
      </c>
      <c r="Q534" t="s">
        <v>38</v>
      </c>
      <c r="R534">
        <v>11</v>
      </c>
      <c r="S534" t="s">
        <v>1947</v>
      </c>
      <c r="T534" t="s">
        <v>6938</v>
      </c>
      <c r="U534" t="s">
        <v>6251</v>
      </c>
      <c r="V534" t="s">
        <v>32</v>
      </c>
      <c r="W534" t="s">
        <v>33</v>
      </c>
      <c r="X534" t="s">
        <v>33</v>
      </c>
      <c r="Y534" t="s">
        <v>33</v>
      </c>
      <c r="Z534" s="5" t="s">
        <v>34</v>
      </c>
      <c r="AA534">
        <v>-75.602042060000002</v>
      </c>
      <c r="AB534">
        <v>6.1511245099999998</v>
      </c>
      <c r="AC534" t="s">
        <v>456</v>
      </c>
      <c r="AD534" t="s">
        <v>457</v>
      </c>
    </row>
    <row r="535" spans="1:30" x14ac:dyDescent="0.25">
      <c r="A535" t="s">
        <v>3266</v>
      </c>
      <c r="B535" t="s">
        <v>42</v>
      </c>
      <c r="C535" t="s">
        <v>26</v>
      </c>
      <c r="D535" t="s">
        <v>42</v>
      </c>
      <c r="E535" t="s">
        <v>3267</v>
      </c>
      <c r="F535" t="s">
        <v>3268</v>
      </c>
      <c r="G535">
        <v>900467839</v>
      </c>
      <c r="H535" t="s">
        <v>3269</v>
      </c>
      <c r="I535" s="4" t="s">
        <v>3270</v>
      </c>
      <c r="J535" s="4" t="s">
        <v>3271</v>
      </c>
      <c r="K535" t="s">
        <v>3272</v>
      </c>
      <c r="L535" t="s">
        <v>27</v>
      </c>
      <c r="M535" t="s">
        <v>3273</v>
      </c>
      <c r="N535" t="s">
        <v>28</v>
      </c>
      <c r="O535" t="s">
        <v>43</v>
      </c>
      <c r="P535" t="s">
        <v>37</v>
      </c>
      <c r="Q535" t="s">
        <v>31</v>
      </c>
      <c r="R535">
        <v>7</v>
      </c>
      <c r="S535" t="s">
        <v>3274</v>
      </c>
      <c r="T535" t="s">
        <v>4856</v>
      </c>
      <c r="U535" t="s">
        <v>4855</v>
      </c>
      <c r="V535" t="s">
        <v>32</v>
      </c>
      <c r="W535" t="s">
        <v>33</v>
      </c>
      <c r="X535" t="s">
        <v>33</v>
      </c>
      <c r="Y535" t="s">
        <v>33</v>
      </c>
      <c r="Z535" s="5" t="s">
        <v>34</v>
      </c>
      <c r="AA535">
        <v>-75.574965950000006</v>
      </c>
      <c r="AB535">
        <v>6.24096326</v>
      </c>
      <c r="AC535" t="s">
        <v>456</v>
      </c>
      <c r="AD535" t="s">
        <v>457</v>
      </c>
    </row>
    <row r="536" spans="1:30" x14ac:dyDescent="0.25">
      <c r="A536" t="s">
        <v>3275</v>
      </c>
      <c r="B536" t="s">
        <v>42</v>
      </c>
      <c r="C536" t="s">
        <v>26</v>
      </c>
      <c r="D536" t="s">
        <v>42</v>
      </c>
      <c r="E536" t="s">
        <v>3276</v>
      </c>
      <c r="F536" t="s">
        <v>3277</v>
      </c>
      <c r="G536">
        <v>890984423</v>
      </c>
      <c r="H536" t="s">
        <v>335</v>
      </c>
      <c r="I536" s="4" t="s">
        <v>336</v>
      </c>
      <c r="J536" s="4" t="s">
        <v>337</v>
      </c>
      <c r="K536" t="s">
        <v>3278</v>
      </c>
      <c r="L536" t="s">
        <v>27</v>
      </c>
      <c r="M536" t="s">
        <v>3279</v>
      </c>
      <c r="N536" t="s">
        <v>28</v>
      </c>
      <c r="O536" t="s">
        <v>43</v>
      </c>
      <c r="P536" t="s">
        <v>37</v>
      </c>
      <c r="Q536" t="s">
        <v>31</v>
      </c>
      <c r="R536">
        <v>7</v>
      </c>
      <c r="S536" t="s">
        <v>3280</v>
      </c>
      <c r="T536" t="s">
        <v>3201</v>
      </c>
      <c r="U536" t="s">
        <v>4857</v>
      </c>
      <c r="V536" t="s">
        <v>32</v>
      </c>
      <c r="W536" t="s">
        <v>33</v>
      </c>
      <c r="X536" t="s">
        <v>33</v>
      </c>
      <c r="Y536" t="s">
        <v>33</v>
      </c>
      <c r="Z536" s="5" t="s">
        <v>34</v>
      </c>
      <c r="AA536">
        <v>-75.620465429999996</v>
      </c>
      <c r="AB536">
        <v>6.2366439600000003</v>
      </c>
      <c r="AC536" t="s">
        <v>456</v>
      </c>
      <c r="AD536" t="s">
        <v>457</v>
      </c>
    </row>
    <row r="537" spans="1:30" x14ac:dyDescent="0.25">
      <c r="A537" t="s">
        <v>1948</v>
      </c>
      <c r="B537" t="s">
        <v>51</v>
      </c>
      <c r="C537" t="s">
        <v>26</v>
      </c>
      <c r="D537" t="s">
        <v>51</v>
      </c>
      <c r="E537" t="s">
        <v>1949</v>
      </c>
      <c r="F537" t="s">
        <v>1950</v>
      </c>
      <c r="G537">
        <v>21895659</v>
      </c>
      <c r="H537" t="s">
        <v>1943</v>
      </c>
      <c r="I537" s="4" t="s">
        <v>35</v>
      </c>
      <c r="J537" s="4" t="s">
        <v>1944</v>
      </c>
      <c r="K537" t="s">
        <v>1951</v>
      </c>
      <c r="L537" t="s">
        <v>79</v>
      </c>
      <c r="M537" t="s">
        <v>1952</v>
      </c>
      <c r="N537" t="s">
        <v>80</v>
      </c>
      <c r="O537" t="s">
        <v>52</v>
      </c>
      <c r="P537" t="s">
        <v>53</v>
      </c>
      <c r="Q537" t="s">
        <v>38</v>
      </c>
      <c r="R537">
        <v>11</v>
      </c>
      <c r="S537" t="s">
        <v>1953</v>
      </c>
      <c r="T537" t="s">
        <v>6268</v>
      </c>
      <c r="U537" t="s">
        <v>6939</v>
      </c>
      <c r="V537" t="s">
        <v>32</v>
      </c>
      <c r="W537" t="s">
        <v>33</v>
      </c>
      <c r="X537" t="s">
        <v>33</v>
      </c>
      <c r="Y537" t="s">
        <v>33</v>
      </c>
      <c r="Z537" s="5" t="s">
        <v>34</v>
      </c>
      <c r="AA537">
        <v>-75.601977129999995</v>
      </c>
      <c r="AB537">
        <v>6.1511792600000001</v>
      </c>
      <c r="AC537" t="s">
        <v>456</v>
      </c>
      <c r="AD537" t="s">
        <v>457</v>
      </c>
    </row>
    <row r="538" spans="1:30" x14ac:dyDescent="0.25">
      <c r="A538" t="s">
        <v>3281</v>
      </c>
      <c r="B538" t="s">
        <v>42</v>
      </c>
      <c r="C538" t="s">
        <v>26</v>
      </c>
      <c r="D538" t="s">
        <v>42</v>
      </c>
      <c r="E538" t="s">
        <v>3282</v>
      </c>
      <c r="F538" t="s">
        <v>3283</v>
      </c>
      <c r="G538">
        <v>1041324568</v>
      </c>
      <c r="H538" t="s">
        <v>3284</v>
      </c>
      <c r="I538" s="4" t="s">
        <v>3285</v>
      </c>
      <c r="J538" s="4" t="s">
        <v>3286</v>
      </c>
      <c r="K538" t="s">
        <v>3287</v>
      </c>
      <c r="L538" t="s">
        <v>27</v>
      </c>
      <c r="M538" t="s">
        <v>3288</v>
      </c>
      <c r="N538" t="s">
        <v>28</v>
      </c>
      <c r="O538" t="s">
        <v>43</v>
      </c>
      <c r="P538" t="s">
        <v>37</v>
      </c>
      <c r="Q538" t="s">
        <v>38</v>
      </c>
      <c r="R538">
        <v>10</v>
      </c>
      <c r="S538" t="s">
        <v>3289</v>
      </c>
      <c r="T538" t="s">
        <v>6940</v>
      </c>
      <c r="U538" t="s">
        <v>6941</v>
      </c>
      <c r="V538" t="s">
        <v>32</v>
      </c>
      <c r="W538" t="s">
        <v>33</v>
      </c>
      <c r="X538" t="s">
        <v>33</v>
      </c>
      <c r="Y538" t="s">
        <v>33</v>
      </c>
      <c r="Z538" s="5" t="s">
        <v>34</v>
      </c>
      <c r="AA538">
        <v>-75.619883150000007</v>
      </c>
      <c r="AB538">
        <v>6.29025722</v>
      </c>
      <c r="AC538" t="s">
        <v>456</v>
      </c>
      <c r="AD538" t="s">
        <v>457</v>
      </c>
    </row>
    <row r="539" spans="1:30" x14ac:dyDescent="0.25">
      <c r="A539" t="s">
        <v>1954</v>
      </c>
      <c r="B539" t="s">
        <v>25</v>
      </c>
      <c r="C539" t="s">
        <v>26</v>
      </c>
      <c r="D539" t="s">
        <v>39</v>
      </c>
      <c r="E539" t="s">
        <v>1955</v>
      </c>
      <c r="F539" t="s">
        <v>1956</v>
      </c>
      <c r="G539">
        <v>1036688069</v>
      </c>
      <c r="H539" t="s">
        <v>1957</v>
      </c>
      <c r="I539" s="4" t="s">
        <v>35</v>
      </c>
      <c r="J539" s="4" t="s">
        <v>1958</v>
      </c>
      <c r="K539" t="s">
        <v>1959</v>
      </c>
      <c r="L539" t="s">
        <v>27</v>
      </c>
      <c r="M539" t="s">
        <v>1960</v>
      </c>
      <c r="N539" t="s">
        <v>28</v>
      </c>
      <c r="O539" t="s">
        <v>40</v>
      </c>
      <c r="P539" t="s">
        <v>41</v>
      </c>
      <c r="Q539" t="s">
        <v>31</v>
      </c>
      <c r="R539">
        <v>5</v>
      </c>
      <c r="S539" t="s">
        <v>1961</v>
      </c>
      <c r="T539" t="s">
        <v>6942</v>
      </c>
      <c r="U539" t="s">
        <v>6408</v>
      </c>
      <c r="V539" t="s">
        <v>50</v>
      </c>
      <c r="W539" t="s">
        <v>33</v>
      </c>
      <c r="X539" t="s">
        <v>33</v>
      </c>
      <c r="Y539" t="s">
        <v>33</v>
      </c>
      <c r="Z539" s="5" t="s">
        <v>34</v>
      </c>
      <c r="AA539">
        <v>-75.644141469999994</v>
      </c>
      <c r="AB539">
        <v>6.1724034999999997</v>
      </c>
      <c r="AC539" t="s">
        <v>456</v>
      </c>
      <c r="AD539" t="s">
        <v>457</v>
      </c>
    </row>
    <row r="540" spans="1:30" x14ac:dyDescent="0.25">
      <c r="A540" t="s">
        <v>2236</v>
      </c>
      <c r="B540" t="s">
        <v>81</v>
      </c>
      <c r="C540" t="s">
        <v>26</v>
      </c>
      <c r="D540" t="s">
        <v>81</v>
      </c>
      <c r="E540" t="s">
        <v>2237</v>
      </c>
      <c r="F540" t="s">
        <v>2238</v>
      </c>
      <c r="G540">
        <v>70509620</v>
      </c>
      <c r="H540" t="s">
        <v>2239</v>
      </c>
      <c r="I540" s="4" t="s">
        <v>2240</v>
      </c>
      <c r="J540" s="4" t="s">
        <v>2241</v>
      </c>
      <c r="K540" t="s">
        <v>2242</v>
      </c>
      <c r="L540" t="s">
        <v>44</v>
      </c>
      <c r="M540" t="s">
        <v>2243</v>
      </c>
      <c r="N540" t="s">
        <v>45</v>
      </c>
      <c r="O540" t="s">
        <v>82</v>
      </c>
      <c r="P540" t="s">
        <v>83</v>
      </c>
      <c r="Q540" t="s">
        <v>31</v>
      </c>
      <c r="R540">
        <v>4</v>
      </c>
      <c r="S540" t="s">
        <v>2244</v>
      </c>
      <c r="T540" t="s">
        <v>6943</v>
      </c>
      <c r="U540" t="s">
        <v>6944</v>
      </c>
      <c r="V540" t="s">
        <v>452</v>
      </c>
      <c r="W540" t="s">
        <v>33</v>
      </c>
      <c r="X540" t="s">
        <v>33</v>
      </c>
      <c r="Y540" t="s">
        <v>33</v>
      </c>
      <c r="Z540" s="5" t="s">
        <v>34</v>
      </c>
      <c r="AA540">
        <v>-75.614086209999996</v>
      </c>
      <c r="AB540">
        <v>6.1754344899999998</v>
      </c>
      <c r="AC540" t="s">
        <v>456</v>
      </c>
      <c r="AD540" t="s">
        <v>457</v>
      </c>
    </row>
    <row r="541" spans="1:30" x14ac:dyDescent="0.25">
      <c r="A541" t="s">
        <v>1962</v>
      </c>
      <c r="B541" t="s">
        <v>51</v>
      </c>
      <c r="C541" t="s">
        <v>121</v>
      </c>
      <c r="D541" t="s">
        <v>51</v>
      </c>
      <c r="E541" t="s">
        <v>1963</v>
      </c>
      <c r="F541" t="s">
        <v>1964</v>
      </c>
      <c r="G541">
        <v>42781031</v>
      </c>
      <c r="H541" t="s">
        <v>1965</v>
      </c>
      <c r="I541" s="4" t="s">
        <v>35</v>
      </c>
      <c r="J541" s="4" t="s">
        <v>1966</v>
      </c>
      <c r="K541" t="s">
        <v>1967</v>
      </c>
      <c r="L541" t="s">
        <v>44</v>
      </c>
      <c r="M541" t="s">
        <v>1968</v>
      </c>
      <c r="N541" t="s">
        <v>45</v>
      </c>
      <c r="O541" t="s">
        <v>122</v>
      </c>
      <c r="P541" t="s">
        <v>53</v>
      </c>
      <c r="Q541" t="s">
        <v>31</v>
      </c>
      <c r="R541">
        <v>11</v>
      </c>
      <c r="S541" t="s">
        <v>1969</v>
      </c>
      <c r="T541" t="s">
        <v>6945</v>
      </c>
      <c r="U541" t="s">
        <v>6946</v>
      </c>
      <c r="V541" t="s">
        <v>32</v>
      </c>
      <c r="W541" t="s">
        <v>33</v>
      </c>
      <c r="X541" t="s">
        <v>33</v>
      </c>
      <c r="Y541" t="s">
        <v>33</v>
      </c>
      <c r="Z541" s="5" t="s">
        <v>34</v>
      </c>
      <c r="AA541">
        <v>-75.595671519999996</v>
      </c>
      <c r="AB541">
        <v>6.1865448799999996</v>
      </c>
      <c r="AC541" t="s">
        <v>456</v>
      </c>
      <c r="AD541" t="s">
        <v>457</v>
      </c>
    </row>
    <row r="542" spans="1:30" x14ac:dyDescent="0.25">
      <c r="A542" t="s">
        <v>2245</v>
      </c>
      <c r="B542" t="s">
        <v>42</v>
      </c>
      <c r="C542" t="s">
        <v>166</v>
      </c>
      <c r="D542" t="s">
        <v>42</v>
      </c>
      <c r="E542" t="s">
        <v>2246</v>
      </c>
      <c r="F542" t="s">
        <v>2247</v>
      </c>
      <c r="G542">
        <v>98524496</v>
      </c>
      <c r="H542" t="s">
        <v>2248</v>
      </c>
      <c r="I542" s="4" t="s">
        <v>2249</v>
      </c>
      <c r="J542" s="4" t="s">
        <v>656</v>
      </c>
      <c r="K542" t="s">
        <v>2250</v>
      </c>
      <c r="L542" t="s">
        <v>44</v>
      </c>
      <c r="M542" t="s">
        <v>2251</v>
      </c>
      <c r="N542" t="s">
        <v>45</v>
      </c>
      <c r="O542" t="s">
        <v>167</v>
      </c>
      <c r="P542" t="s">
        <v>30</v>
      </c>
      <c r="Q542" t="s">
        <v>31</v>
      </c>
      <c r="R542">
        <v>7</v>
      </c>
      <c r="S542" t="s">
        <v>2252</v>
      </c>
      <c r="T542" t="s">
        <v>4861</v>
      </c>
      <c r="U542" t="s">
        <v>4860</v>
      </c>
      <c r="V542" t="s">
        <v>32</v>
      </c>
      <c r="W542" t="s">
        <v>33</v>
      </c>
      <c r="X542" t="s">
        <v>33</v>
      </c>
      <c r="Y542" t="s">
        <v>33</v>
      </c>
      <c r="Z542" s="5" t="s">
        <v>34</v>
      </c>
      <c r="AA542">
        <v>-75.612784000000005</v>
      </c>
      <c r="AB542">
        <v>6.1808550000000002</v>
      </c>
      <c r="AC542" t="s">
        <v>456</v>
      </c>
      <c r="AD542" t="s">
        <v>457</v>
      </c>
    </row>
    <row r="543" spans="1:30" x14ac:dyDescent="0.25">
      <c r="A543" t="s">
        <v>2253</v>
      </c>
      <c r="B543" t="s">
        <v>42</v>
      </c>
      <c r="C543" t="s">
        <v>166</v>
      </c>
      <c r="D543" t="s">
        <v>42</v>
      </c>
      <c r="E543" t="s">
        <v>2254</v>
      </c>
      <c r="F543" t="s">
        <v>2255</v>
      </c>
      <c r="G543">
        <v>98524496</v>
      </c>
      <c r="H543" t="s">
        <v>2248</v>
      </c>
      <c r="I543" s="4" t="s">
        <v>2256</v>
      </c>
      <c r="J543" s="4" t="s">
        <v>656</v>
      </c>
      <c r="K543" t="s">
        <v>2257</v>
      </c>
      <c r="L543" t="s">
        <v>44</v>
      </c>
      <c r="M543" t="s">
        <v>2258</v>
      </c>
      <c r="N543" t="s">
        <v>45</v>
      </c>
      <c r="O543" t="s">
        <v>167</v>
      </c>
      <c r="P543" t="s">
        <v>30</v>
      </c>
      <c r="Q543" t="s">
        <v>31</v>
      </c>
      <c r="R543">
        <v>7</v>
      </c>
      <c r="S543" t="s">
        <v>2259</v>
      </c>
      <c r="T543" t="s">
        <v>2972</v>
      </c>
      <c r="U543" t="s">
        <v>4862</v>
      </c>
      <c r="V543" t="s">
        <v>32</v>
      </c>
      <c r="W543" t="s">
        <v>33</v>
      </c>
      <c r="X543" t="s">
        <v>33</v>
      </c>
      <c r="Y543" t="s">
        <v>33</v>
      </c>
      <c r="Z543" s="5" t="s">
        <v>34</v>
      </c>
      <c r="AA543">
        <v>-75.612784000000005</v>
      </c>
      <c r="AB543">
        <v>6.1808550000000002</v>
      </c>
      <c r="AC543" t="s">
        <v>456</v>
      </c>
      <c r="AD543" t="s">
        <v>457</v>
      </c>
    </row>
    <row r="544" spans="1:30" x14ac:dyDescent="0.25">
      <c r="A544" t="s">
        <v>2610</v>
      </c>
      <c r="B544" t="s">
        <v>51</v>
      </c>
      <c r="C544" t="s">
        <v>26</v>
      </c>
      <c r="D544" t="s">
        <v>51</v>
      </c>
      <c r="E544" t="s">
        <v>2611</v>
      </c>
      <c r="F544" t="s">
        <v>2612</v>
      </c>
      <c r="G544">
        <v>15405513</v>
      </c>
      <c r="H544" t="s">
        <v>2613</v>
      </c>
      <c r="I544" s="4" t="s">
        <v>35</v>
      </c>
      <c r="J544" s="4" t="s">
        <v>2614</v>
      </c>
      <c r="K544" t="s">
        <v>2615</v>
      </c>
      <c r="L544" t="s">
        <v>27</v>
      </c>
      <c r="M544" t="s">
        <v>2616</v>
      </c>
      <c r="N544" t="s">
        <v>28</v>
      </c>
      <c r="O544" t="s">
        <v>40</v>
      </c>
      <c r="P544" t="s">
        <v>53</v>
      </c>
      <c r="Q544" t="s">
        <v>38</v>
      </c>
      <c r="R544">
        <v>8</v>
      </c>
      <c r="S544" t="s">
        <v>2617</v>
      </c>
      <c r="T544" t="s">
        <v>6947</v>
      </c>
      <c r="U544" t="s">
        <v>710</v>
      </c>
      <c r="V544" t="s">
        <v>32</v>
      </c>
      <c r="W544" t="s">
        <v>33</v>
      </c>
      <c r="X544" t="s">
        <v>33</v>
      </c>
      <c r="Y544" t="s">
        <v>33</v>
      </c>
      <c r="Z544" s="5" t="s">
        <v>34</v>
      </c>
      <c r="AA544">
        <v>-75.611799020000007</v>
      </c>
      <c r="AB544">
        <v>6.2745011699999997</v>
      </c>
      <c r="AC544" t="s">
        <v>456</v>
      </c>
      <c r="AD544" t="s">
        <v>457</v>
      </c>
    </row>
    <row r="545" spans="1:30" x14ac:dyDescent="0.25">
      <c r="A545" t="s">
        <v>2260</v>
      </c>
      <c r="B545" t="s">
        <v>42</v>
      </c>
      <c r="C545" t="s">
        <v>166</v>
      </c>
      <c r="D545" t="s">
        <v>42</v>
      </c>
      <c r="E545" t="s">
        <v>2261</v>
      </c>
      <c r="F545" t="s">
        <v>2262</v>
      </c>
      <c r="G545">
        <v>98524496</v>
      </c>
      <c r="H545" t="s">
        <v>2248</v>
      </c>
      <c r="I545" s="4" t="s">
        <v>2256</v>
      </c>
      <c r="J545" s="4" t="s">
        <v>656</v>
      </c>
      <c r="K545" t="s">
        <v>2263</v>
      </c>
      <c r="L545" t="s">
        <v>44</v>
      </c>
      <c r="M545" t="s">
        <v>2264</v>
      </c>
      <c r="N545" t="s">
        <v>45</v>
      </c>
      <c r="O545" t="s">
        <v>167</v>
      </c>
      <c r="P545" t="s">
        <v>30</v>
      </c>
      <c r="Q545" t="s">
        <v>31</v>
      </c>
      <c r="R545">
        <v>7</v>
      </c>
      <c r="S545" t="s">
        <v>2265</v>
      </c>
      <c r="T545" t="s">
        <v>4864</v>
      </c>
      <c r="U545" t="s">
        <v>4863</v>
      </c>
      <c r="V545" t="s">
        <v>32</v>
      </c>
      <c r="W545" t="s">
        <v>33</v>
      </c>
      <c r="X545" t="s">
        <v>33</v>
      </c>
      <c r="Y545" t="s">
        <v>33</v>
      </c>
      <c r="Z545" s="5" t="s">
        <v>34</v>
      </c>
      <c r="AA545">
        <v>-75.612784000000005</v>
      </c>
      <c r="AB545">
        <v>6.1808550000000002</v>
      </c>
      <c r="AC545" t="s">
        <v>456</v>
      </c>
      <c r="AD545" t="s">
        <v>457</v>
      </c>
    </row>
    <row r="546" spans="1:30" x14ac:dyDescent="0.25">
      <c r="A546" t="s">
        <v>2618</v>
      </c>
      <c r="B546" t="s">
        <v>51</v>
      </c>
      <c r="C546" t="s">
        <v>26</v>
      </c>
      <c r="D546" t="s">
        <v>51</v>
      </c>
      <c r="E546" t="s">
        <v>2619</v>
      </c>
      <c r="F546" t="s">
        <v>2620</v>
      </c>
      <c r="G546">
        <v>1000207533</v>
      </c>
      <c r="H546" t="s">
        <v>2621</v>
      </c>
      <c r="I546" s="4" t="s">
        <v>35</v>
      </c>
      <c r="J546" s="4" t="s">
        <v>2622</v>
      </c>
      <c r="K546" t="s">
        <v>2623</v>
      </c>
      <c r="L546" t="s">
        <v>27</v>
      </c>
      <c r="M546" t="s">
        <v>2624</v>
      </c>
      <c r="N546" t="s">
        <v>28</v>
      </c>
      <c r="O546" t="s">
        <v>40</v>
      </c>
      <c r="P546" t="s">
        <v>53</v>
      </c>
      <c r="Q546" t="s">
        <v>31</v>
      </c>
      <c r="R546">
        <v>5</v>
      </c>
      <c r="S546" t="s">
        <v>2625</v>
      </c>
      <c r="T546" t="s">
        <v>6948</v>
      </c>
      <c r="U546" t="s">
        <v>6949</v>
      </c>
      <c r="V546" t="s">
        <v>50</v>
      </c>
      <c r="W546" t="s">
        <v>33</v>
      </c>
      <c r="X546" t="s">
        <v>33</v>
      </c>
      <c r="Y546" t="s">
        <v>33</v>
      </c>
      <c r="Z546" s="5" t="s">
        <v>34</v>
      </c>
      <c r="AA546">
        <v>-75.616028999999997</v>
      </c>
      <c r="AB546">
        <v>6.2611179999999997</v>
      </c>
      <c r="AC546" t="s">
        <v>456</v>
      </c>
      <c r="AD546" t="s">
        <v>457</v>
      </c>
    </row>
    <row r="547" spans="1:30" x14ac:dyDescent="0.25">
      <c r="A547" t="s">
        <v>2626</v>
      </c>
      <c r="B547" t="s">
        <v>25</v>
      </c>
      <c r="C547" t="s">
        <v>26</v>
      </c>
      <c r="D547" t="s">
        <v>39</v>
      </c>
      <c r="E547" t="s">
        <v>2627</v>
      </c>
      <c r="F547" t="s">
        <v>2628</v>
      </c>
      <c r="G547">
        <v>1026162432</v>
      </c>
      <c r="H547" t="s">
        <v>2629</v>
      </c>
      <c r="I547" s="4" t="s">
        <v>35</v>
      </c>
      <c r="J547" s="4" t="s">
        <v>2630</v>
      </c>
      <c r="K547" t="s">
        <v>2631</v>
      </c>
      <c r="L547" t="s">
        <v>77</v>
      </c>
      <c r="M547" t="s">
        <v>2632</v>
      </c>
      <c r="N547" t="s">
        <v>78</v>
      </c>
      <c r="O547" t="s">
        <v>40</v>
      </c>
      <c r="P547" t="s">
        <v>36</v>
      </c>
      <c r="Q547" t="s">
        <v>38</v>
      </c>
      <c r="R547">
        <v>8</v>
      </c>
      <c r="S547" t="s">
        <v>2633</v>
      </c>
      <c r="T547" t="s">
        <v>6950</v>
      </c>
      <c r="U547" t="s">
        <v>6950</v>
      </c>
      <c r="V547" t="s">
        <v>32</v>
      </c>
      <c r="W547" t="s">
        <v>33</v>
      </c>
      <c r="X547" t="s">
        <v>33</v>
      </c>
      <c r="Y547" t="s">
        <v>33</v>
      </c>
      <c r="Z547" s="5" t="s">
        <v>34</v>
      </c>
      <c r="AA547">
        <v>-75.636649239999997</v>
      </c>
      <c r="AB547">
        <v>6.05487398</v>
      </c>
      <c r="AC547" t="s">
        <v>456</v>
      </c>
      <c r="AD547" t="s">
        <v>457</v>
      </c>
    </row>
    <row r="548" spans="1:30" x14ac:dyDescent="0.25">
      <c r="A548" t="s">
        <v>8159</v>
      </c>
      <c r="B548" t="s">
        <v>95</v>
      </c>
      <c r="C548" t="s">
        <v>26</v>
      </c>
      <c r="D548" t="s">
        <v>96</v>
      </c>
      <c r="E548" t="s">
        <v>8160</v>
      </c>
      <c r="F548" t="s">
        <v>8161</v>
      </c>
      <c r="G548">
        <v>1127593111</v>
      </c>
      <c r="H548" t="s">
        <v>8162</v>
      </c>
      <c r="I548" s="4" t="s">
        <v>35</v>
      </c>
      <c r="J548" s="4" t="s">
        <v>8163</v>
      </c>
      <c r="K548" t="s">
        <v>8164</v>
      </c>
      <c r="L548" t="s">
        <v>44</v>
      </c>
      <c r="M548" t="s">
        <v>8165</v>
      </c>
      <c r="N548" t="s">
        <v>45</v>
      </c>
      <c r="O548" t="s">
        <v>103</v>
      </c>
      <c r="P548" t="s">
        <v>158</v>
      </c>
      <c r="Q548" t="s">
        <v>38</v>
      </c>
      <c r="R548">
        <v>14</v>
      </c>
      <c r="S548" t="s">
        <v>8166</v>
      </c>
      <c r="T548" t="s">
        <v>8167</v>
      </c>
      <c r="U548" t="s">
        <v>8168</v>
      </c>
      <c r="V548" t="s">
        <v>32</v>
      </c>
      <c r="W548" t="s">
        <v>33</v>
      </c>
      <c r="X548" t="s">
        <v>33</v>
      </c>
      <c r="Y548" t="s">
        <v>33</v>
      </c>
      <c r="Z548" s="5" t="s">
        <v>34</v>
      </c>
      <c r="AA548">
        <v>-75.614358710000005</v>
      </c>
      <c r="AB548">
        <v>6.1695976300000002</v>
      </c>
      <c r="AC548" t="s">
        <v>456</v>
      </c>
      <c r="AD548" t="s">
        <v>457</v>
      </c>
    </row>
    <row r="549" spans="1:30" x14ac:dyDescent="0.25">
      <c r="A549" t="s">
        <v>2266</v>
      </c>
      <c r="B549" t="s">
        <v>25</v>
      </c>
      <c r="C549" t="s">
        <v>26</v>
      </c>
      <c r="D549" t="s">
        <v>25</v>
      </c>
      <c r="E549" t="s">
        <v>2267</v>
      </c>
      <c r="F549" t="s">
        <v>2268</v>
      </c>
      <c r="G549">
        <v>1003432877</v>
      </c>
      <c r="H549" t="s">
        <v>2269</v>
      </c>
      <c r="I549" s="4" t="s">
        <v>35</v>
      </c>
      <c r="J549" s="4" t="s">
        <v>2270</v>
      </c>
      <c r="K549" t="s">
        <v>2271</v>
      </c>
      <c r="L549" t="s">
        <v>27</v>
      </c>
      <c r="M549" t="s">
        <v>2272</v>
      </c>
      <c r="N549" t="s">
        <v>28</v>
      </c>
      <c r="O549" t="s">
        <v>29</v>
      </c>
      <c r="P549" t="s">
        <v>30</v>
      </c>
      <c r="Q549" t="s">
        <v>38</v>
      </c>
      <c r="R549">
        <v>10</v>
      </c>
      <c r="S549" t="s">
        <v>2273</v>
      </c>
      <c r="T549" t="s">
        <v>6951</v>
      </c>
      <c r="U549" t="s">
        <v>6952</v>
      </c>
      <c r="V549" t="s">
        <v>32</v>
      </c>
      <c r="W549" t="s">
        <v>33</v>
      </c>
      <c r="X549" t="s">
        <v>33</v>
      </c>
      <c r="Y549" t="s">
        <v>33</v>
      </c>
      <c r="Z549" s="5" t="s">
        <v>34</v>
      </c>
      <c r="AA549">
        <v>-75.487911639999993</v>
      </c>
      <c r="AB549">
        <v>6.2575552400000003</v>
      </c>
      <c r="AC549" t="s">
        <v>456</v>
      </c>
      <c r="AD549" t="s">
        <v>457</v>
      </c>
    </row>
    <row r="550" spans="1:30" x14ac:dyDescent="0.25">
      <c r="A550" t="s">
        <v>3290</v>
      </c>
      <c r="B550" t="s">
        <v>42</v>
      </c>
      <c r="C550" t="s">
        <v>26</v>
      </c>
      <c r="D550" t="s">
        <v>42</v>
      </c>
      <c r="E550" t="s">
        <v>3291</v>
      </c>
      <c r="F550" t="s">
        <v>3292</v>
      </c>
      <c r="G550">
        <v>98663294</v>
      </c>
      <c r="H550" t="s">
        <v>3293</v>
      </c>
      <c r="I550" s="4" t="s">
        <v>35</v>
      </c>
      <c r="J550" s="4" t="s">
        <v>2270</v>
      </c>
      <c r="K550" t="s">
        <v>3294</v>
      </c>
      <c r="L550" t="s">
        <v>27</v>
      </c>
      <c r="M550" t="s">
        <v>3295</v>
      </c>
      <c r="N550" t="s">
        <v>28</v>
      </c>
      <c r="O550" t="s">
        <v>43</v>
      </c>
      <c r="P550" t="s">
        <v>30</v>
      </c>
      <c r="Q550" t="s">
        <v>38</v>
      </c>
      <c r="R550">
        <v>10</v>
      </c>
      <c r="S550" t="s">
        <v>3296</v>
      </c>
      <c r="T550" t="s">
        <v>6951</v>
      </c>
      <c r="U550" t="s">
        <v>6952</v>
      </c>
      <c r="V550" t="s">
        <v>32</v>
      </c>
      <c r="W550" t="s">
        <v>33</v>
      </c>
      <c r="X550" t="s">
        <v>33</v>
      </c>
      <c r="Y550" t="s">
        <v>33</v>
      </c>
      <c r="Z550" s="5" t="s">
        <v>34</v>
      </c>
      <c r="AA550">
        <v>-75.487911639999993</v>
      </c>
      <c r="AB550">
        <v>6.2575552400000003</v>
      </c>
      <c r="AC550" t="s">
        <v>456</v>
      </c>
      <c r="AD550" t="s">
        <v>457</v>
      </c>
    </row>
    <row r="551" spans="1:30" x14ac:dyDescent="0.25">
      <c r="A551" t="s">
        <v>3297</v>
      </c>
      <c r="B551" t="s">
        <v>42</v>
      </c>
      <c r="C551" t="s">
        <v>26</v>
      </c>
      <c r="D551" t="s">
        <v>42</v>
      </c>
      <c r="E551" t="s">
        <v>3298</v>
      </c>
      <c r="F551" t="s">
        <v>3299</v>
      </c>
      <c r="G551">
        <v>98663294</v>
      </c>
      <c r="H551" t="s">
        <v>3293</v>
      </c>
      <c r="I551" s="4" t="s">
        <v>35</v>
      </c>
      <c r="J551" s="4" t="s">
        <v>2270</v>
      </c>
      <c r="K551" t="s">
        <v>3300</v>
      </c>
      <c r="L551" t="s">
        <v>27</v>
      </c>
      <c r="M551" t="s">
        <v>3301</v>
      </c>
      <c r="N551" t="s">
        <v>28</v>
      </c>
      <c r="O551" t="s">
        <v>43</v>
      </c>
      <c r="P551" t="s">
        <v>30</v>
      </c>
      <c r="Q551" t="s">
        <v>38</v>
      </c>
      <c r="R551">
        <v>10</v>
      </c>
      <c r="S551" t="s">
        <v>3302</v>
      </c>
      <c r="T551" t="s">
        <v>6953</v>
      </c>
      <c r="U551" t="s">
        <v>6954</v>
      </c>
      <c r="V551" t="s">
        <v>32</v>
      </c>
      <c r="W551" t="s">
        <v>33</v>
      </c>
      <c r="X551" t="s">
        <v>33</v>
      </c>
      <c r="Y551" t="s">
        <v>33</v>
      </c>
      <c r="Z551" s="5" t="s">
        <v>34</v>
      </c>
      <c r="AA551">
        <v>-75.487911639999993</v>
      </c>
      <c r="AB551">
        <v>6.2575552400000003</v>
      </c>
      <c r="AC551" t="s">
        <v>456</v>
      </c>
      <c r="AD551" t="s">
        <v>457</v>
      </c>
    </row>
    <row r="552" spans="1:30" x14ac:dyDescent="0.25">
      <c r="A552" t="s">
        <v>3303</v>
      </c>
      <c r="B552" t="s">
        <v>95</v>
      </c>
      <c r="C552" t="s">
        <v>26</v>
      </c>
      <c r="D552" t="s">
        <v>96</v>
      </c>
      <c r="E552" t="s">
        <v>3304</v>
      </c>
      <c r="F552" t="s">
        <v>3305</v>
      </c>
      <c r="G552">
        <v>71743698</v>
      </c>
      <c r="H552" t="s">
        <v>3306</v>
      </c>
      <c r="I552" s="4" t="s">
        <v>35</v>
      </c>
      <c r="J552" s="4" t="s">
        <v>3307</v>
      </c>
      <c r="K552" t="s">
        <v>3308</v>
      </c>
      <c r="L552" t="s">
        <v>27</v>
      </c>
      <c r="M552" t="s">
        <v>3309</v>
      </c>
      <c r="N552" t="s">
        <v>28</v>
      </c>
      <c r="O552" t="s">
        <v>103</v>
      </c>
      <c r="P552" t="s">
        <v>120</v>
      </c>
      <c r="Q552" t="s">
        <v>31</v>
      </c>
      <c r="R552">
        <v>9</v>
      </c>
      <c r="S552" t="s">
        <v>3310</v>
      </c>
      <c r="T552" t="s">
        <v>6955</v>
      </c>
      <c r="U552" t="s">
        <v>6956</v>
      </c>
      <c r="V552" t="s">
        <v>32</v>
      </c>
      <c r="W552" t="s">
        <v>33</v>
      </c>
      <c r="X552" t="s">
        <v>33</v>
      </c>
      <c r="Y552" t="s">
        <v>33</v>
      </c>
      <c r="Z552" s="5" t="s">
        <v>34</v>
      </c>
      <c r="AA552">
        <v>-75.607001539999999</v>
      </c>
      <c r="AB552">
        <v>6.2786433800000001</v>
      </c>
      <c r="AC552" t="s">
        <v>456</v>
      </c>
      <c r="AD552" t="s">
        <v>457</v>
      </c>
    </row>
    <row r="553" spans="1:30" x14ac:dyDescent="0.25">
      <c r="A553" t="s">
        <v>2274</v>
      </c>
      <c r="B553" t="s">
        <v>25</v>
      </c>
      <c r="C553" t="s">
        <v>26</v>
      </c>
      <c r="D553" t="s">
        <v>25</v>
      </c>
      <c r="E553" t="s">
        <v>2275</v>
      </c>
      <c r="F553" t="s">
        <v>2276</v>
      </c>
      <c r="G553">
        <v>71625626</v>
      </c>
      <c r="H553" t="s">
        <v>2277</v>
      </c>
      <c r="I553" s="4" t="s">
        <v>2278</v>
      </c>
      <c r="J553" s="4" t="s">
        <v>2279</v>
      </c>
      <c r="K553" t="s">
        <v>2280</v>
      </c>
      <c r="L553" t="s">
        <v>27</v>
      </c>
      <c r="M553" t="s">
        <v>2281</v>
      </c>
      <c r="N553" t="s">
        <v>28</v>
      </c>
      <c r="O553" t="s">
        <v>29</v>
      </c>
      <c r="P553" t="s">
        <v>37</v>
      </c>
      <c r="Q553" t="s">
        <v>31</v>
      </c>
      <c r="R553">
        <v>7</v>
      </c>
      <c r="S553" t="s">
        <v>2282</v>
      </c>
      <c r="T553" t="s">
        <v>4867</v>
      </c>
      <c r="U553" t="s">
        <v>4866</v>
      </c>
      <c r="V553" t="s">
        <v>32</v>
      </c>
      <c r="W553" t="s">
        <v>33</v>
      </c>
      <c r="X553" t="s">
        <v>33</v>
      </c>
      <c r="Y553" t="s">
        <v>33</v>
      </c>
      <c r="Z553" s="5" t="s">
        <v>34</v>
      </c>
      <c r="AA553">
        <v>-75.582364420000005</v>
      </c>
      <c r="AB553">
        <v>6.2232420800000003</v>
      </c>
      <c r="AC553" t="s">
        <v>456</v>
      </c>
      <c r="AD553" t="s">
        <v>457</v>
      </c>
    </row>
    <row r="554" spans="1:30" x14ac:dyDescent="0.25">
      <c r="A554" t="s">
        <v>2283</v>
      </c>
      <c r="B554" t="s">
        <v>25</v>
      </c>
      <c r="C554" t="s">
        <v>26</v>
      </c>
      <c r="D554" t="s">
        <v>39</v>
      </c>
      <c r="E554" t="s">
        <v>2284</v>
      </c>
      <c r="F554" t="s">
        <v>2285</v>
      </c>
      <c r="G554">
        <v>70062064</v>
      </c>
      <c r="H554" t="s">
        <v>2286</v>
      </c>
      <c r="I554" s="4" t="s">
        <v>35</v>
      </c>
      <c r="J554" s="4" t="s">
        <v>2287</v>
      </c>
      <c r="K554" t="s">
        <v>2288</v>
      </c>
      <c r="L554" t="s">
        <v>27</v>
      </c>
      <c r="M554" t="s">
        <v>2289</v>
      </c>
      <c r="N554" t="s">
        <v>28</v>
      </c>
      <c r="O554" t="s">
        <v>40</v>
      </c>
      <c r="P554" t="s">
        <v>41</v>
      </c>
      <c r="Q554" t="s">
        <v>38</v>
      </c>
      <c r="R554">
        <v>8</v>
      </c>
      <c r="S554" t="s">
        <v>2290</v>
      </c>
      <c r="T554" t="s">
        <v>6957</v>
      </c>
      <c r="U554" t="s">
        <v>6957</v>
      </c>
      <c r="V554" t="s">
        <v>32</v>
      </c>
      <c r="W554" t="s">
        <v>33</v>
      </c>
      <c r="X554" t="s">
        <v>33</v>
      </c>
      <c r="Y554" t="s">
        <v>33</v>
      </c>
      <c r="Z554" s="5" t="s">
        <v>34</v>
      </c>
      <c r="AA554">
        <v>-75.516253860000006</v>
      </c>
      <c r="AB554">
        <v>6.2099148099999999</v>
      </c>
      <c r="AC554" t="s">
        <v>456</v>
      </c>
      <c r="AD554" t="s">
        <v>457</v>
      </c>
    </row>
    <row r="555" spans="1:30" x14ac:dyDescent="0.25">
      <c r="A555" t="s">
        <v>2291</v>
      </c>
      <c r="B555" t="s">
        <v>25</v>
      </c>
      <c r="C555" t="s">
        <v>26</v>
      </c>
      <c r="D555" t="s">
        <v>39</v>
      </c>
      <c r="E555" t="s">
        <v>8169</v>
      </c>
      <c r="F555" t="s">
        <v>8170</v>
      </c>
      <c r="G555">
        <v>71530881</v>
      </c>
      <c r="H555" t="s">
        <v>2292</v>
      </c>
      <c r="I555" s="4" t="s">
        <v>35</v>
      </c>
      <c r="J555" s="4" t="s">
        <v>2293</v>
      </c>
      <c r="K555" t="s">
        <v>2294</v>
      </c>
      <c r="L555" t="s">
        <v>27</v>
      </c>
      <c r="M555" t="s">
        <v>2295</v>
      </c>
      <c r="N555" t="s">
        <v>28</v>
      </c>
      <c r="O555" t="s">
        <v>46</v>
      </c>
      <c r="P555" t="s">
        <v>41</v>
      </c>
      <c r="Q555" t="s">
        <v>31</v>
      </c>
      <c r="R555">
        <v>5</v>
      </c>
      <c r="S555" t="s">
        <v>8171</v>
      </c>
      <c r="T555" t="s">
        <v>8172</v>
      </c>
      <c r="U555" t="s">
        <v>8173</v>
      </c>
      <c r="V555" t="s">
        <v>32</v>
      </c>
      <c r="W555" t="s">
        <v>33</v>
      </c>
      <c r="X555" t="s">
        <v>33</v>
      </c>
      <c r="Y555" t="s">
        <v>33</v>
      </c>
      <c r="Z555" s="5" t="s">
        <v>34</v>
      </c>
      <c r="AA555">
        <v>-75.624555799999996</v>
      </c>
      <c r="AB555">
        <v>6.2824627800000004</v>
      </c>
      <c r="AC555" t="s">
        <v>456</v>
      </c>
      <c r="AD555" t="s">
        <v>457</v>
      </c>
    </row>
    <row r="556" spans="1:30" x14ac:dyDescent="0.25">
      <c r="A556" t="s">
        <v>2296</v>
      </c>
      <c r="B556" t="s">
        <v>25</v>
      </c>
      <c r="C556" t="s">
        <v>26</v>
      </c>
      <c r="D556" t="s">
        <v>39</v>
      </c>
      <c r="E556" t="s">
        <v>2297</v>
      </c>
      <c r="F556" t="s">
        <v>2298</v>
      </c>
      <c r="G556">
        <v>15322992</v>
      </c>
      <c r="H556" t="s">
        <v>2299</v>
      </c>
      <c r="I556" s="4" t="s">
        <v>35</v>
      </c>
      <c r="J556" s="4" t="s">
        <v>2300</v>
      </c>
      <c r="K556" t="s">
        <v>2301</v>
      </c>
      <c r="L556" t="s">
        <v>27</v>
      </c>
      <c r="M556" t="s">
        <v>2302</v>
      </c>
      <c r="N556" t="s">
        <v>28</v>
      </c>
      <c r="O556" t="s">
        <v>40</v>
      </c>
      <c r="P556" t="s">
        <v>41</v>
      </c>
      <c r="Q556" t="s">
        <v>38</v>
      </c>
      <c r="R556">
        <v>8</v>
      </c>
      <c r="S556" t="s">
        <v>2303</v>
      </c>
      <c r="T556" t="s">
        <v>6958</v>
      </c>
      <c r="U556" t="s">
        <v>6958</v>
      </c>
      <c r="V556" t="s">
        <v>32</v>
      </c>
      <c r="W556" t="s">
        <v>33</v>
      </c>
      <c r="X556" t="s">
        <v>33</v>
      </c>
      <c r="Y556" t="s">
        <v>33</v>
      </c>
      <c r="Z556" s="5" t="s">
        <v>34</v>
      </c>
      <c r="AA556">
        <v>-75.522782520000007</v>
      </c>
      <c r="AB556">
        <v>6.2340416699999999</v>
      </c>
      <c r="AC556" t="s">
        <v>456</v>
      </c>
      <c r="AD556" t="s">
        <v>457</v>
      </c>
    </row>
    <row r="557" spans="1:30" x14ac:dyDescent="0.25">
      <c r="A557" t="s">
        <v>2636</v>
      </c>
      <c r="B557" t="s">
        <v>51</v>
      </c>
      <c r="C557" t="s">
        <v>26</v>
      </c>
      <c r="D557" t="s">
        <v>51</v>
      </c>
      <c r="E557" t="s">
        <v>2637</v>
      </c>
      <c r="F557" t="s">
        <v>2638</v>
      </c>
      <c r="G557">
        <v>70828898</v>
      </c>
      <c r="H557" t="s">
        <v>2639</v>
      </c>
      <c r="I557" s="4" t="s">
        <v>35</v>
      </c>
      <c r="J557" s="4" t="s">
        <v>2640</v>
      </c>
      <c r="K557" t="s">
        <v>2641</v>
      </c>
      <c r="L557" t="s">
        <v>27</v>
      </c>
      <c r="M557" t="s">
        <v>2642</v>
      </c>
      <c r="N557" t="s">
        <v>28</v>
      </c>
      <c r="O557" t="s">
        <v>52</v>
      </c>
      <c r="P557" t="s">
        <v>53</v>
      </c>
      <c r="Q557" t="s">
        <v>31</v>
      </c>
      <c r="R557">
        <v>11</v>
      </c>
      <c r="S557" t="s">
        <v>2643</v>
      </c>
      <c r="T557" t="s">
        <v>6959</v>
      </c>
      <c r="U557" t="s">
        <v>6960</v>
      </c>
      <c r="V557" t="s">
        <v>32</v>
      </c>
      <c r="W557" t="s">
        <v>33</v>
      </c>
      <c r="X557" t="s">
        <v>33</v>
      </c>
      <c r="Y557" t="s">
        <v>33</v>
      </c>
      <c r="Z557" s="5" t="s">
        <v>34</v>
      </c>
      <c r="AA557">
        <v>-75.616159999999994</v>
      </c>
      <c r="AB557">
        <v>6.2710600000000003</v>
      </c>
      <c r="AC557" t="s">
        <v>456</v>
      </c>
      <c r="AD557" t="s">
        <v>457</v>
      </c>
    </row>
    <row r="558" spans="1:30" x14ac:dyDescent="0.25">
      <c r="A558" t="s">
        <v>3311</v>
      </c>
      <c r="B558" t="s">
        <v>42</v>
      </c>
      <c r="C558" t="s">
        <v>26</v>
      </c>
      <c r="D558" t="s">
        <v>42</v>
      </c>
      <c r="E558" t="s">
        <v>3312</v>
      </c>
      <c r="G558">
        <v>15347721</v>
      </c>
      <c r="H558" t="s">
        <v>3313</v>
      </c>
      <c r="I558" s="4" t="s">
        <v>35</v>
      </c>
      <c r="J558" s="4" t="s">
        <v>3314</v>
      </c>
      <c r="K558" t="s">
        <v>3315</v>
      </c>
      <c r="L558" t="s">
        <v>27</v>
      </c>
      <c r="M558" t="s">
        <v>3316</v>
      </c>
      <c r="N558" t="s">
        <v>28</v>
      </c>
      <c r="O558" t="s">
        <v>43</v>
      </c>
      <c r="P558" t="s">
        <v>37</v>
      </c>
      <c r="Q558" t="s">
        <v>31</v>
      </c>
      <c r="R558">
        <v>7</v>
      </c>
      <c r="V558" t="s">
        <v>453</v>
      </c>
      <c r="W558" t="s">
        <v>33</v>
      </c>
      <c r="X558" t="s">
        <v>33</v>
      </c>
      <c r="Y558" t="s">
        <v>33</v>
      </c>
      <c r="Z558" s="5" t="s">
        <v>34</v>
      </c>
      <c r="AA558">
        <v>-75.568496120000006</v>
      </c>
      <c r="AB558">
        <v>6.2554325999999998</v>
      </c>
      <c r="AC558" t="s">
        <v>456</v>
      </c>
      <c r="AD558" t="s">
        <v>457</v>
      </c>
    </row>
    <row r="559" spans="1:30" x14ac:dyDescent="0.25">
      <c r="A559" t="s">
        <v>2305</v>
      </c>
      <c r="B559" t="s">
        <v>81</v>
      </c>
      <c r="C559" t="s">
        <v>26</v>
      </c>
      <c r="D559" t="s">
        <v>81</v>
      </c>
      <c r="E559" t="s">
        <v>2306</v>
      </c>
      <c r="F559" t="s">
        <v>2307</v>
      </c>
      <c r="G559">
        <v>698115</v>
      </c>
      <c r="H559" t="s">
        <v>2308</v>
      </c>
      <c r="I559" s="4" t="s">
        <v>35</v>
      </c>
      <c r="J559" s="4" t="s">
        <v>2309</v>
      </c>
      <c r="K559" t="s">
        <v>2310</v>
      </c>
      <c r="L559" t="s">
        <v>27</v>
      </c>
      <c r="M559" t="s">
        <v>2311</v>
      </c>
      <c r="N559" t="s">
        <v>28</v>
      </c>
      <c r="O559" t="s">
        <v>82</v>
      </c>
      <c r="P559" t="s">
        <v>83</v>
      </c>
      <c r="Q559" t="s">
        <v>31</v>
      </c>
      <c r="R559">
        <v>4</v>
      </c>
      <c r="S559" t="s">
        <v>2312</v>
      </c>
      <c r="T559" t="s">
        <v>6961</v>
      </c>
      <c r="U559" t="s">
        <v>6962</v>
      </c>
      <c r="V559" t="s">
        <v>452</v>
      </c>
      <c r="W559" t="s">
        <v>33</v>
      </c>
      <c r="X559" t="s">
        <v>33</v>
      </c>
      <c r="Y559" t="s">
        <v>33</v>
      </c>
      <c r="Z559" s="5" t="s">
        <v>34</v>
      </c>
      <c r="AA559">
        <v>-75.610884501000001</v>
      </c>
      <c r="AB559">
        <v>6.2574398200000596</v>
      </c>
      <c r="AC559" t="s">
        <v>456</v>
      </c>
      <c r="AD559" t="s">
        <v>457</v>
      </c>
    </row>
    <row r="560" spans="1:30" x14ac:dyDescent="0.25">
      <c r="A560" t="s">
        <v>2313</v>
      </c>
      <c r="B560" t="s">
        <v>81</v>
      </c>
      <c r="C560" t="s">
        <v>26</v>
      </c>
      <c r="D560" t="s">
        <v>81</v>
      </c>
      <c r="E560" t="s">
        <v>2314</v>
      </c>
      <c r="F560" t="s">
        <v>2315</v>
      </c>
      <c r="G560">
        <v>43626577</v>
      </c>
      <c r="H560" t="s">
        <v>2316</v>
      </c>
      <c r="I560" s="4" t="s">
        <v>35</v>
      </c>
      <c r="J560" s="4" t="s">
        <v>2309</v>
      </c>
      <c r="K560" t="s">
        <v>2317</v>
      </c>
      <c r="L560" t="s">
        <v>27</v>
      </c>
      <c r="M560" t="s">
        <v>2318</v>
      </c>
      <c r="N560" t="s">
        <v>28</v>
      </c>
      <c r="O560" t="s">
        <v>82</v>
      </c>
      <c r="P560" t="s">
        <v>83</v>
      </c>
      <c r="Q560" t="s">
        <v>38</v>
      </c>
      <c r="R560">
        <v>4</v>
      </c>
      <c r="S560" t="s">
        <v>2319</v>
      </c>
      <c r="T560" t="s">
        <v>6963</v>
      </c>
      <c r="U560" t="s">
        <v>6964</v>
      </c>
      <c r="V560" t="s">
        <v>452</v>
      </c>
      <c r="W560" t="s">
        <v>33</v>
      </c>
      <c r="X560" t="s">
        <v>33</v>
      </c>
      <c r="Y560" t="s">
        <v>33</v>
      </c>
      <c r="Z560" s="5" t="s">
        <v>34</v>
      </c>
      <c r="AA560">
        <v>-75.545733069999997</v>
      </c>
      <c r="AB560">
        <v>6.2106144600000004</v>
      </c>
      <c r="AC560" t="s">
        <v>456</v>
      </c>
      <c r="AD560" t="s">
        <v>457</v>
      </c>
    </row>
    <row r="561" spans="1:30" x14ac:dyDescent="0.25">
      <c r="A561" t="s">
        <v>2320</v>
      </c>
      <c r="B561" t="s">
        <v>81</v>
      </c>
      <c r="C561" t="s">
        <v>26</v>
      </c>
      <c r="D561" t="s">
        <v>81</v>
      </c>
      <c r="E561" t="s">
        <v>2321</v>
      </c>
      <c r="F561" t="s">
        <v>2322</v>
      </c>
      <c r="G561">
        <v>8126755</v>
      </c>
      <c r="H561" t="s">
        <v>2323</v>
      </c>
      <c r="I561" s="4" t="s">
        <v>35</v>
      </c>
      <c r="J561" s="4" t="s">
        <v>2324</v>
      </c>
      <c r="K561" t="s">
        <v>2325</v>
      </c>
      <c r="L561" t="s">
        <v>27</v>
      </c>
      <c r="M561" t="s">
        <v>2326</v>
      </c>
      <c r="N561" t="s">
        <v>28</v>
      </c>
      <c r="O561" t="s">
        <v>82</v>
      </c>
      <c r="P561" t="s">
        <v>83</v>
      </c>
      <c r="Q561" t="s">
        <v>31</v>
      </c>
      <c r="R561">
        <v>4</v>
      </c>
      <c r="S561" t="s">
        <v>2327</v>
      </c>
      <c r="T561" t="s">
        <v>6965</v>
      </c>
      <c r="U561" t="s">
        <v>6966</v>
      </c>
      <c r="V561" t="s">
        <v>452</v>
      </c>
      <c r="W561" t="s">
        <v>33</v>
      </c>
      <c r="X561" t="s">
        <v>33</v>
      </c>
      <c r="Y561" t="s">
        <v>33</v>
      </c>
      <c r="Z561" s="5" t="s">
        <v>34</v>
      </c>
      <c r="AA561">
        <v>-75.594631089999993</v>
      </c>
      <c r="AB561">
        <v>6.21869125</v>
      </c>
      <c r="AC561" t="s">
        <v>456</v>
      </c>
      <c r="AD561" t="s">
        <v>457</v>
      </c>
    </row>
    <row r="562" spans="1:30" x14ac:dyDescent="0.25">
      <c r="A562" t="s">
        <v>3317</v>
      </c>
      <c r="B562" t="s">
        <v>25</v>
      </c>
      <c r="C562" t="s">
        <v>26</v>
      </c>
      <c r="D562" t="s">
        <v>25</v>
      </c>
      <c r="E562" t="s">
        <v>3318</v>
      </c>
      <c r="F562" t="s">
        <v>3319</v>
      </c>
      <c r="G562">
        <v>901628589</v>
      </c>
      <c r="H562" t="s">
        <v>3320</v>
      </c>
      <c r="I562" s="4" t="s">
        <v>3321</v>
      </c>
      <c r="J562" s="4" t="s">
        <v>3322</v>
      </c>
      <c r="K562" t="s">
        <v>3323</v>
      </c>
      <c r="L562" t="s">
        <v>49</v>
      </c>
      <c r="M562" t="s">
        <v>3324</v>
      </c>
      <c r="N562" t="s">
        <v>84</v>
      </c>
      <c r="O562" t="s">
        <v>29</v>
      </c>
      <c r="P562" t="s">
        <v>30</v>
      </c>
      <c r="Q562" t="s">
        <v>31</v>
      </c>
      <c r="R562">
        <v>7</v>
      </c>
      <c r="S562" t="s">
        <v>3325</v>
      </c>
      <c r="T562" t="s">
        <v>4836</v>
      </c>
      <c r="U562" t="s">
        <v>6912</v>
      </c>
      <c r="V562" t="s">
        <v>32</v>
      </c>
      <c r="W562" t="s">
        <v>33</v>
      </c>
      <c r="X562" t="s">
        <v>33</v>
      </c>
      <c r="Y562" t="s">
        <v>33</v>
      </c>
      <c r="Z562" s="5" t="s">
        <v>34</v>
      </c>
      <c r="AA562">
        <v>-75.519711000000001</v>
      </c>
      <c r="AB562">
        <v>6.1800949999999997</v>
      </c>
      <c r="AC562" t="s">
        <v>456</v>
      </c>
      <c r="AD562" t="s">
        <v>457</v>
      </c>
    </row>
    <row r="563" spans="1:30" x14ac:dyDescent="0.25">
      <c r="A563" t="s">
        <v>2328</v>
      </c>
      <c r="B563" t="s">
        <v>81</v>
      </c>
      <c r="C563" t="s">
        <v>26</v>
      </c>
      <c r="D563" t="s">
        <v>81</v>
      </c>
      <c r="E563" t="s">
        <v>2329</v>
      </c>
      <c r="F563" t="s">
        <v>2330</v>
      </c>
      <c r="G563">
        <v>901543313</v>
      </c>
      <c r="H563" t="s">
        <v>2331</v>
      </c>
      <c r="I563" s="4" t="s">
        <v>35</v>
      </c>
      <c r="J563" s="4" t="s">
        <v>2332</v>
      </c>
      <c r="K563" t="s">
        <v>2333</v>
      </c>
      <c r="L563" t="s">
        <v>27</v>
      </c>
      <c r="M563" t="s">
        <v>2334</v>
      </c>
      <c r="N563" t="s">
        <v>28</v>
      </c>
      <c r="O563" t="s">
        <v>82</v>
      </c>
      <c r="P563" t="s">
        <v>83</v>
      </c>
      <c r="Q563" t="s">
        <v>31</v>
      </c>
      <c r="R563">
        <v>4</v>
      </c>
      <c r="S563" t="s">
        <v>2335</v>
      </c>
      <c r="T563" t="s">
        <v>2645</v>
      </c>
      <c r="U563" t="s">
        <v>6967</v>
      </c>
      <c r="V563" t="s">
        <v>50</v>
      </c>
      <c r="W563" t="s">
        <v>33</v>
      </c>
      <c r="X563" t="s">
        <v>33</v>
      </c>
      <c r="Y563" t="s">
        <v>33</v>
      </c>
      <c r="Z563" s="5" t="s">
        <v>34</v>
      </c>
      <c r="AA563">
        <v>-75.559248519999997</v>
      </c>
      <c r="AB563">
        <v>6.2116356399999999</v>
      </c>
      <c r="AC563" t="s">
        <v>456</v>
      </c>
      <c r="AD563" t="s">
        <v>457</v>
      </c>
    </row>
    <row r="564" spans="1:30" x14ac:dyDescent="0.25">
      <c r="A564" t="s">
        <v>3326</v>
      </c>
      <c r="B564" t="s">
        <v>25</v>
      </c>
      <c r="C564" t="s">
        <v>26</v>
      </c>
      <c r="D564" t="s">
        <v>25</v>
      </c>
      <c r="E564" t="s">
        <v>3327</v>
      </c>
      <c r="F564" t="s">
        <v>3328</v>
      </c>
      <c r="G564">
        <v>901628589</v>
      </c>
      <c r="H564" t="s">
        <v>3320</v>
      </c>
      <c r="I564" s="4" t="s">
        <v>3321</v>
      </c>
      <c r="J564" s="4" t="s">
        <v>3322</v>
      </c>
      <c r="K564" t="s">
        <v>3329</v>
      </c>
      <c r="L564" t="s">
        <v>49</v>
      </c>
      <c r="M564" t="s">
        <v>3330</v>
      </c>
      <c r="N564" t="s">
        <v>84</v>
      </c>
      <c r="O564" t="s">
        <v>29</v>
      </c>
      <c r="P564" t="s">
        <v>30</v>
      </c>
      <c r="Q564" t="s">
        <v>31</v>
      </c>
      <c r="R564">
        <v>7</v>
      </c>
      <c r="S564" t="s">
        <v>3331</v>
      </c>
      <c r="T564" t="s">
        <v>6968</v>
      </c>
      <c r="U564" t="s">
        <v>6969</v>
      </c>
      <c r="V564" t="s">
        <v>32</v>
      </c>
      <c r="W564" t="s">
        <v>33</v>
      </c>
      <c r="X564" t="s">
        <v>33</v>
      </c>
      <c r="Y564" t="s">
        <v>33</v>
      </c>
      <c r="Z564" s="5" t="s">
        <v>34</v>
      </c>
      <c r="AA564">
        <v>-75.519711000000001</v>
      </c>
      <c r="AB564">
        <v>6.1800949999999997</v>
      </c>
      <c r="AC564" t="s">
        <v>456</v>
      </c>
      <c r="AD564" t="s">
        <v>457</v>
      </c>
    </row>
    <row r="565" spans="1:30" x14ac:dyDescent="0.25">
      <c r="A565" t="s">
        <v>3332</v>
      </c>
      <c r="B565" t="s">
        <v>95</v>
      </c>
      <c r="C565" t="s">
        <v>26</v>
      </c>
      <c r="D565" t="s">
        <v>96</v>
      </c>
      <c r="E565" t="s">
        <v>3333</v>
      </c>
      <c r="F565" t="s">
        <v>3334</v>
      </c>
      <c r="G565">
        <v>1035420022</v>
      </c>
      <c r="H565" t="s">
        <v>3335</v>
      </c>
      <c r="I565" s="4" t="s">
        <v>3336</v>
      </c>
      <c r="J565" s="4" t="s">
        <v>3337</v>
      </c>
      <c r="K565" t="s">
        <v>3338</v>
      </c>
      <c r="L565" t="s">
        <v>27</v>
      </c>
      <c r="M565" t="s">
        <v>3339</v>
      </c>
      <c r="N565" t="s">
        <v>28</v>
      </c>
      <c r="O565" t="s">
        <v>103</v>
      </c>
      <c r="P565" t="s">
        <v>120</v>
      </c>
      <c r="Q565" t="s">
        <v>31</v>
      </c>
      <c r="R565">
        <v>9</v>
      </c>
      <c r="S565" t="s">
        <v>3340</v>
      </c>
      <c r="T565" t="s">
        <v>6970</v>
      </c>
      <c r="U565" t="s">
        <v>6971</v>
      </c>
      <c r="V565" t="s">
        <v>32</v>
      </c>
      <c r="W565" t="s">
        <v>33</v>
      </c>
      <c r="X565" t="s">
        <v>33</v>
      </c>
      <c r="Y565" t="s">
        <v>33</v>
      </c>
      <c r="Z565" s="5" t="s">
        <v>34</v>
      </c>
      <c r="AA565">
        <v>-75.552907300000001</v>
      </c>
      <c r="AB565">
        <v>6.2068678999999998</v>
      </c>
      <c r="AC565" t="s">
        <v>456</v>
      </c>
      <c r="AD565" t="s">
        <v>457</v>
      </c>
    </row>
    <row r="566" spans="1:30" x14ac:dyDescent="0.25">
      <c r="A566" t="s">
        <v>2336</v>
      </c>
      <c r="B566" t="s">
        <v>81</v>
      </c>
      <c r="C566" t="s">
        <v>26</v>
      </c>
      <c r="D566" t="s">
        <v>81</v>
      </c>
      <c r="E566" t="s">
        <v>2337</v>
      </c>
      <c r="F566" t="s">
        <v>2338</v>
      </c>
      <c r="G566">
        <v>1128408067</v>
      </c>
      <c r="H566" t="s">
        <v>2339</v>
      </c>
      <c r="I566" s="4" t="s">
        <v>396</v>
      </c>
      <c r="J566" s="4" t="s">
        <v>2340</v>
      </c>
      <c r="K566" t="s">
        <v>2341</v>
      </c>
      <c r="L566" t="s">
        <v>44</v>
      </c>
      <c r="M566" t="s">
        <v>2342</v>
      </c>
      <c r="N566" t="s">
        <v>45</v>
      </c>
      <c r="O566" t="s">
        <v>82</v>
      </c>
      <c r="P566" t="s">
        <v>83</v>
      </c>
      <c r="Q566" t="s">
        <v>31</v>
      </c>
      <c r="R566">
        <v>4</v>
      </c>
      <c r="S566" t="s">
        <v>2343</v>
      </c>
      <c r="T566" t="s">
        <v>2646</v>
      </c>
      <c r="U566" t="s">
        <v>6972</v>
      </c>
      <c r="V566" t="s">
        <v>50</v>
      </c>
      <c r="W566" t="s">
        <v>33</v>
      </c>
      <c r="X566" t="s">
        <v>33</v>
      </c>
      <c r="Y566" t="s">
        <v>33</v>
      </c>
      <c r="Z566" s="5" t="s">
        <v>34</v>
      </c>
      <c r="AA566">
        <v>-75.602134599999999</v>
      </c>
      <c r="AB566">
        <v>6.1890243800000002</v>
      </c>
      <c r="AC566" t="s">
        <v>456</v>
      </c>
      <c r="AD566" t="s">
        <v>457</v>
      </c>
    </row>
    <row r="567" spans="1:30" x14ac:dyDescent="0.25">
      <c r="A567" t="s">
        <v>2344</v>
      </c>
      <c r="B567" t="s">
        <v>81</v>
      </c>
      <c r="C567" t="s">
        <v>26</v>
      </c>
      <c r="D567" t="s">
        <v>81</v>
      </c>
      <c r="E567" t="s">
        <v>2345</v>
      </c>
      <c r="F567" t="s">
        <v>2346</v>
      </c>
      <c r="G567">
        <v>1017198929</v>
      </c>
      <c r="H567" t="s">
        <v>2347</v>
      </c>
      <c r="I567" s="4" t="s">
        <v>35</v>
      </c>
      <c r="J567" s="4" t="s">
        <v>2348</v>
      </c>
      <c r="K567" t="s">
        <v>2349</v>
      </c>
      <c r="L567" t="s">
        <v>27</v>
      </c>
      <c r="M567" t="s">
        <v>2350</v>
      </c>
      <c r="N567" t="s">
        <v>28</v>
      </c>
      <c r="O567" t="s">
        <v>82</v>
      </c>
      <c r="P567" t="s">
        <v>83</v>
      </c>
      <c r="Q567" t="s">
        <v>31</v>
      </c>
      <c r="R567">
        <v>4</v>
      </c>
      <c r="S567" t="s">
        <v>2351</v>
      </c>
      <c r="T567" t="s">
        <v>2646</v>
      </c>
      <c r="U567" t="s">
        <v>6972</v>
      </c>
      <c r="V567" t="s">
        <v>50</v>
      </c>
      <c r="W567" t="s">
        <v>33</v>
      </c>
      <c r="X567" t="s">
        <v>33</v>
      </c>
      <c r="Y567" t="s">
        <v>33</v>
      </c>
      <c r="Z567" s="5" t="s">
        <v>34</v>
      </c>
      <c r="AA567">
        <v>-75.572431429999995</v>
      </c>
      <c r="AB567">
        <v>6.2256818899999997</v>
      </c>
      <c r="AC567" t="s">
        <v>456</v>
      </c>
      <c r="AD567" t="s">
        <v>457</v>
      </c>
    </row>
    <row r="568" spans="1:30" x14ac:dyDescent="0.25">
      <c r="A568" t="s">
        <v>2647</v>
      </c>
      <c r="B568" t="s">
        <v>51</v>
      </c>
      <c r="C568" t="s">
        <v>26</v>
      </c>
      <c r="D568" t="s">
        <v>51</v>
      </c>
      <c r="E568" t="s">
        <v>2648</v>
      </c>
      <c r="F568" t="s">
        <v>2649</v>
      </c>
      <c r="G568">
        <v>1128428031</v>
      </c>
      <c r="H568" t="s">
        <v>2650</v>
      </c>
      <c r="I568" s="4" t="s">
        <v>35</v>
      </c>
      <c r="J568" s="4" t="s">
        <v>2651</v>
      </c>
      <c r="K568" t="s">
        <v>2652</v>
      </c>
      <c r="L568" t="s">
        <v>27</v>
      </c>
      <c r="M568" t="s">
        <v>2653</v>
      </c>
      <c r="N568" t="s">
        <v>28</v>
      </c>
      <c r="O568" t="s">
        <v>40</v>
      </c>
      <c r="P568" t="s">
        <v>53</v>
      </c>
      <c r="Q568" t="s">
        <v>31</v>
      </c>
      <c r="R568">
        <v>5</v>
      </c>
      <c r="S568" t="s">
        <v>2654</v>
      </c>
      <c r="T568" t="s">
        <v>2646</v>
      </c>
      <c r="U568" t="s">
        <v>4871</v>
      </c>
      <c r="V568" t="s">
        <v>50</v>
      </c>
      <c r="W568" t="s">
        <v>33</v>
      </c>
      <c r="X568" t="s">
        <v>33</v>
      </c>
      <c r="Y568" t="s">
        <v>33</v>
      </c>
      <c r="Z568" s="5" t="s">
        <v>34</v>
      </c>
      <c r="AA568">
        <v>-75.537912009999999</v>
      </c>
      <c r="AB568">
        <v>6.2490987899999997</v>
      </c>
      <c r="AC568" t="s">
        <v>456</v>
      </c>
      <c r="AD568" t="s">
        <v>457</v>
      </c>
    </row>
    <row r="569" spans="1:30" x14ac:dyDescent="0.25">
      <c r="A569" t="s">
        <v>3341</v>
      </c>
      <c r="B569" t="s">
        <v>95</v>
      </c>
      <c r="C569" t="s">
        <v>26</v>
      </c>
      <c r="D569" t="s">
        <v>96</v>
      </c>
      <c r="E569" t="s">
        <v>3342</v>
      </c>
      <c r="F569" t="s">
        <v>3343</v>
      </c>
      <c r="G569">
        <v>1035420022</v>
      </c>
      <c r="H569" t="s">
        <v>3335</v>
      </c>
      <c r="I569" s="4" t="s">
        <v>3336</v>
      </c>
      <c r="J569" s="4" t="s">
        <v>3337</v>
      </c>
      <c r="K569" t="s">
        <v>3344</v>
      </c>
      <c r="L569" t="s">
        <v>27</v>
      </c>
      <c r="M569" t="s">
        <v>3345</v>
      </c>
      <c r="N569" t="s">
        <v>28</v>
      </c>
      <c r="O569" t="s">
        <v>103</v>
      </c>
      <c r="P569" t="s">
        <v>120</v>
      </c>
      <c r="Q569" t="s">
        <v>31</v>
      </c>
      <c r="R569">
        <v>9</v>
      </c>
      <c r="S569" t="s">
        <v>3346</v>
      </c>
      <c r="T569" t="s">
        <v>6973</v>
      </c>
      <c r="U569" t="s">
        <v>6974</v>
      </c>
      <c r="V569" t="s">
        <v>32</v>
      </c>
      <c r="W569" t="s">
        <v>33</v>
      </c>
      <c r="X569" t="s">
        <v>33</v>
      </c>
      <c r="Y569" t="s">
        <v>33</v>
      </c>
      <c r="Z569" s="5" t="s">
        <v>34</v>
      </c>
      <c r="AA569">
        <v>-75.552871550000006</v>
      </c>
      <c r="AB569">
        <v>6.2069009399999997</v>
      </c>
      <c r="AC569" t="s">
        <v>456</v>
      </c>
      <c r="AD569" t="s">
        <v>457</v>
      </c>
    </row>
    <row r="570" spans="1:30" x14ac:dyDescent="0.25">
      <c r="A570" t="s">
        <v>2352</v>
      </c>
      <c r="B570" t="s">
        <v>81</v>
      </c>
      <c r="C570" t="s">
        <v>26</v>
      </c>
      <c r="D570" t="s">
        <v>81</v>
      </c>
      <c r="E570" t="s">
        <v>2353</v>
      </c>
      <c r="F570" t="s">
        <v>2354</v>
      </c>
      <c r="G570">
        <v>98629736</v>
      </c>
      <c r="H570" t="s">
        <v>2355</v>
      </c>
      <c r="I570" s="4" t="s">
        <v>48</v>
      </c>
      <c r="J570" s="4" t="s">
        <v>2356</v>
      </c>
      <c r="K570" t="s">
        <v>2357</v>
      </c>
      <c r="L570" t="s">
        <v>27</v>
      </c>
      <c r="M570" t="s">
        <v>2358</v>
      </c>
      <c r="N570" t="s">
        <v>28</v>
      </c>
      <c r="O570" t="s">
        <v>82</v>
      </c>
      <c r="P570" t="s">
        <v>83</v>
      </c>
      <c r="Q570" t="s">
        <v>31</v>
      </c>
      <c r="R570">
        <v>4</v>
      </c>
      <c r="S570" t="s">
        <v>2359</v>
      </c>
      <c r="T570" t="s">
        <v>6973</v>
      </c>
      <c r="U570" t="s">
        <v>6975</v>
      </c>
      <c r="V570" t="s">
        <v>50</v>
      </c>
      <c r="W570" t="s">
        <v>33</v>
      </c>
      <c r="X570" t="s">
        <v>33</v>
      </c>
      <c r="Y570" t="s">
        <v>33</v>
      </c>
      <c r="Z570" s="5" t="s">
        <v>34</v>
      </c>
      <c r="AA570">
        <v>-75.612665000000007</v>
      </c>
      <c r="AB570">
        <v>6.2280939999999996</v>
      </c>
      <c r="AC570" t="s">
        <v>456</v>
      </c>
      <c r="AD570" t="s">
        <v>457</v>
      </c>
    </row>
    <row r="571" spans="1:30" x14ac:dyDescent="0.25">
      <c r="A571" t="s">
        <v>2655</v>
      </c>
      <c r="B571" t="s">
        <v>25</v>
      </c>
      <c r="C571" t="s">
        <v>26</v>
      </c>
      <c r="D571" t="s">
        <v>25</v>
      </c>
      <c r="E571" t="s">
        <v>2656</v>
      </c>
      <c r="F571" t="s">
        <v>2657</v>
      </c>
      <c r="G571">
        <v>15323810</v>
      </c>
      <c r="H571" t="s">
        <v>2658</v>
      </c>
      <c r="I571" s="4" t="s">
        <v>35</v>
      </c>
      <c r="J571" s="4" t="s">
        <v>2659</v>
      </c>
      <c r="K571" t="s">
        <v>2660</v>
      </c>
      <c r="L571" t="s">
        <v>27</v>
      </c>
      <c r="M571" t="s">
        <v>2661</v>
      </c>
      <c r="N571" t="s">
        <v>28</v>
      </c>
      <c r="O571" t="s">
        <v>29</v>
      </c>
      <c r="P571" t="s">
        <v>36</v>
      </c>
      <c r="Q571" t="s">
        <v>31</v>
      </c>
      <c r="R571">
        <v>7</v>
      </c>
      <c r="S571" t="s">
        <v>2662</v>
      </c>
      <c r="T571" t="s">
        <v>6976</v>
      </c>
      <c r="U571" t="s">
        <v>6977</v>
      </c>
      <c r="V571" t="s">
        <v>32</v>
      </c>
      <c r="W571" t="s">
        <v>33</v>
      </c>
      <c r="X571" t="s">
        <v>33</v>
      </c>
      <c r="Y571" t="s">
        <v>33</v>
      </c>
      <c r="Z571" s="5" t="s">
        <v>34</v>
      </c>
      <c r="AA571">
        <v>-75.555111740000001</v>
      </c>
      <c r="AB571">
        <v>6.2410049900000004</v>
      </c>
      <c r="AC571" t="s">
        <v>456</v>
      </c>
      <c r="AD571" t="s">
        <v>457</v>
      </c>
    </row>
    <row r="572" spans="1:30" x14ac:dyDescent="0.25">
      <c r="A572" t="s">
        <v>3347</v>
      </c>
      <c r="B572" t="s">
        <v>25</v>
      </c>
      <c r="C572" t="s">
        <v>26</v>
      </c>
      <c r="D572" t="s">
        <v>25</v>
      </c>
      <c r="E572" t="s">
        <v>3348</v>
      </c>
      <c r="F572" t="s">
        <v>3349</v>
      </c>
      <c r="G572">
        <v>901628589</v>
      </c>
      <c r="H572" t="s">
        <v>3320</v>
      </c>
      <c r="I572" s="4" t="s">
        <v>3321</v>
      </c>
      <c r="J572" s="4" t="s">
        <v>3322</v>
      </c>
      <c r="K572" t="s">
        <v>3350</v>
      </c>
      <c r="L572" t="s">
        <v>49</v>
      </c>
      <c r="M572" t="s">
        <v>3351</v>
      </c>
      <c r="N572" t="s">
        <v>84</v>
      </c>
      <c r="O572" t="s">
        <v>29</v>
      </c>
      <c r="P572" t="s">
        <v>30</v>
      </c>
      <c r="Q572" t="s">
        <v>31</v>
      </c>
      <c r="R572">
        <v>7</v>
      </c>
      <c r="S572" t="s">
        <v>3352</v>
      </c>
      <c r="T572" t="s">
        <v>6978</v>
      </c>
      <c r="U572" t="s">
        <v>6979</v>
      </c>
      <c r="V572" t="s">
        <v>32</v>
      </c>
      <c r="W572" t="s">
        <v>33</v>
      </c>
      <c r="X572" t="s">
        <v>33</v>
      </c>
      <c r="Y572" t="s">
        <v>33</v>
      </c>
      <c r="Z572" s="5" t="s">
        <v>34</v>
      </c>
      <c r="AA572">
        <v>-75.519711000000001</v>
      </c>
      <c r="AB572">
        <v>6.1800949999999997</v>
      </c>
      <c r="AC572" t="s">
        <v>456</v>
      </c>
      <c r="AD572" t="s">
        <v>457</v>
      </c>
    </row>
    <row r="573" spans="1:30" x14ac:dyDescent="0.25">
      <c r="A573" t="s">
        <v>2663</v>
      </c>
      <c r="B573" t="s">
        <v>25</v>
      </c>
      <c r="C573" t="s">
        <v>26</v>
      </c>
      <c r="D573" t="s">
        <v>39</v>
      </c>
      <c r="E573" t="s">
        <v>2664</v>
      </c>
      <c r="F573" t="s">
        <v>2665</v>
      </c>
      <c r="G573">
        <v>26258757</v>
      </c>
      <c r="H573" t="s">
        <v>2666</v>
      </c>
      <c r="I573" s="4" t="s">
        <v>2667</v>
      </c>
      <c r="J573" s="4" t="s">
        <v>2668</v>
      </c>
      <c r="K573" t="s">
        <v>2669</v>
      </c>
      <c r="L573" t="s">
        <v>27</v>
      </c>
      <c r="M573" t="s">
        <v>2670</v>
      </c>
      <c r="N573" t="s">
        <v>28</v>
      </c>
      <c r="O573" t="s">
        <v>40</v>
      </c>
      <c r="P573" t="s">
        <v>41</v>
      </c>
      <c r="Q573" t="s">
        <v>31</v>
      </c>
      <c r="R573">
        <v>5</v>
      </c>
      <c r="S573" t="s">
        <v>2671</v>
      </c>
      <c r="T573" t="s">
        <v>4873</v>
      </c>
      <c r="U573" t="s">
        <v>4872</v>
      </c>
      <c r="V573" t="s">
        <v>50</v>
      </c>
      <c r="W573" t="s">
        <v>33</v>
      </c>
      <c r="X573" t="s">
        <v>33</v>
      </c>
      <c r="Y573" t="s">
        <v>33</v>
      </c>
      <c r="Z573" s="5" t="s">
        <v>34</v>
      </c>
      <c r="AA573">
        <v>-75.623670000000004</v>
      </c>
      <c r="AB573">
        <v>6.2488320000000002</v>
      </c>
      <c r="AC573" t="s">
        <v>456</v>
      </c>
      <c r="AD573" t="s">
        <v>457</v>
      </c>
    </row>
    <row r="574" spans="1:30" x14ac:dyDescent="0.25">
      <c r="A574" t="s">
        <v>2672</v>
      </c>
      <c r="B574" t="s">
        <v>25</v>
      </c>
      <c r="C574" t="s">
        <v>26</v>
      </c>
      <c r="D574" t="s">
        <v>39</v>
      </c>
      <c r="E574" t="s">
        <v>2673</v>
      </c>
      <c r="F574" t="s">
        <v>2674</v>
      </c>
      <c r="G574">
        <v>1128482413</v>
      </c>
      <c r="H574" t="s">
        <v>2675</v>
      </c>
      <c r="I574" s="4" t="s">
        <v>35</v>
      </c>
      <c r="J574" s="4" t="s">
        <v>2676</v>
      </c>
      <c r="K574" t="s">
        <v>2677</v>
      </c>
      <c r="L574" t="s">
        <v>27</v>
      </c>
      <c r="M574" t="s">
        <v>2678</v>
      </c>
      <c r="N574" t="s">
        <v>28</v>
      </c>
      <c r="O574" t="s">
        <v>40</v>
      </c>
      <c r="P574" t="s">
        <v>41</v>
      </c>
      <c r="Q574" t="s">
        <v>38</v>
      </c>
      <c r="R574">
        <v>8</v>
      </c>
      <c r="S574" t="s">
        <v>2679</v>
      </c>
      <c r="T574" t="s">
        <v>4873</v>
      </c>
      <c r="U574" t="s">
        <v>6980</v>
      </c>
      <c r="V574" t="s">
        <v>32</v>
      </c>
      <c r="W574" t="s">
        <v>33</v>
      </c>
      <c r="X574" t="s">
        <v>33</v>
      </c>
      <c r="Y574" t="s">
        <v>33</v>
      </c>
      <c r="Z574" s="5" t="s">
        <v>34</v>
      </c>
      <c r="AA574">
        <v>-75.696161439999997</v>
      </c>
      <c r="AB574">
        <v>6.3535562900000002</v>
      </c>
      <c r="AC574" t="s">
        <v>456</v>
      </c>
      <c r="AD574" t="s">
        <v>457</v>
      </c>
    </row>
    <row r="575" spans="1:30" x14ac:dyDescent="0.25">
      <c r="A575" t="s">
        <v>2680</v>
      </c>
      <c r="B575" t="s">
        <v>25</v>
      </c>
      <c r="C575" t="s">
        <v>26</v>
      </c>
      <c r="D575" t="s">
        <v>39</v>
      </c>
      <c r="E575" t="s">
        <v>2681</v>
      </c>
      <c r="F575" t="s">
        <v>2682</v>
      </c>
      <c r="G575">
        <v>26258757</v>
      </c>
      <c r="H575" t="s">
        <v>2666</v>
      </c>
      <c r="I575" s="4" t="s">
        <v>2667</v>
      </c>
      <c r="J575" s="4" t="s">
        <v>2668</v>
      </c>
      <c r="K575" t="s">
        <v>2683</v>
      </c>
      <c r="L575" t="s">
        <v>27</v>
      </c>
      <c r="M575" t="s">
        <v>2684</v>
      </c>
      <c r="N575" t="s">
        <v>28</v>
      </c>
      <c r="O575" t="s">
        <v>40</v>
      </c>
      <c r="P575" t="s">
        <v>41</v>
      </c>
      <c r="Q575" t="s">
        <v>31</v>
      </c>
      <c r="R575">
        <v>5</v>
      </c>
      <c r="S575" t="s">
        <v>2685</v>
      </c>
      <c r="T575" t="s">
        <v>1375</v>
      </c>
      <c r="U575" t="s">
        <v>4826</v>
      </c>
      <c r="V575" t="s">
        <v>50</v>
      </c>
      <c r="W575" t="s">
        <v>33</v>
      </c>
      <c r="X575" t="s">
        <v>33</v>
      </c>
      <c r="Y575" t="s">
        <v>33</v>
      </c>
      <c r="Z575" s="5" t="s">
        <v>34</v>
      </c>
      <c r="AA575">
        <v>-75.623670000000004</v>
      </c>
      <c r="AB575">
        <v>6.2488320000000002</v>
      </c>
      <c r="AC575" t="s">
        <v>456</v>
      </c>
      <c r="AD575" t="s">
        <v>457</v>
      </c>
    </row>
    <row r="576" spans="1:30" x14ac:dyDescent="0.25">
      <c r="A576" t="s">
        <v>3353</v>
      </c>
      <c r="B576" t="s">
        <v>25</v>
      </c>
      <c r="C576" t="s">
        <v>26</v>
      </c>
      <c r="D576" t="s">
        <v>25</v>
      </c>
      <c r="E576" t="s">
        <v>3354</v>
      </c>
      <c r="F576" t="s">
        <v>3355</v>
      </c>
      <c r="G576">
        <v>70723802</v>
      </c>
      <c r="H576" t="s">
        <v>3356</v>
      </c>
      <c r="I576" s="4" t="s">
        <v>35</v>
      </c>
      <c r="J576" s="4" t="s">
        <v>3357</v>
      </c>
      <c r="K576" t="s">
        <v>3358</v>
      </c>
      <c r="L576" t="s">
        <v>27</v>
      </c>
      <c r="M576" t="s">
        <v>3359</v>
      </c>
      <c r="N576" t="s">
        <v>28</v>
      </c>
      <c r="O576" t="s">
        <v>29</v>
      </c>
      <c r="P576" t="s">
        <v>37</v>
      </c>
      <c r="Q576" t="s">
        <v>31</v>
      </c>
      <c r="R576">
        <v>7</v>
      </c>
      <c r="S576" t="s">
        <v>3360</v>
      </c>
      <c r="T576" t="s">
        <v>6981</v>
      </c>
      <c r="U576" t="s">
        <v>6982</v>
      </c>
      <c r="V576" t="s">
        <v>32</v>
      </c>
      <c r="W576" t="s">
        <v>33</v>
      </c>
      <c r="X576" t="s">
        <v>33</v>
      </c>
      <c r="Y576" t="s">
        <v>33</v>
      </c>
      <c r="Z576" s="5" t="s">
        <v>34</v>
      </c>
      <c r="AA576">
        <v>-75.586939299999997</v>
      </c>
      <c r="AB576">
        <v>6.2116381199999999</v>
      </c>
      <c r="AC576" t="s">
        <v>456</v>
      </c>
      <c r="AD576" t="s">
        <v>457</v>
      </c>
    </row>
    <row r="577" spans="1:30" x14ac:dyDescent="0.25">
      <c r="A577" t="s">
        <v>2686</v>
      </c>
      <c r="B577" t="s">
        <v>25</v>
      </c>
      <c r="C577" t="s">
        <v>26</v>
      </c>
      <c r="D577" t="s">
        <v>39</v>
      </c>
      <c r="E577" t="s">
        <v>2687</v>
      </c>
      <c r="F577" t="s">
        <v>2688</v>
      </c>
      <c r="G577">
        <v>71647946</v>
      </c>
      <c r="H577" t="s">
        <v>2689</v>
      </c>
      <c r="I577" s="4" t="s">
        <v>2690</v>
      </c>
      <c r="J577" s="4" t="s">
        <v>2691</v>
      </c>
      <c r="K577" t="s">
        <v>2692</v>
      </c>
      <c r="L577" t="s">
        <v>44</v>
      </c>
      <c r="M577" t="s">
        <v>2693</v>
      </c>
      <c r="N577" t="s">
        <v>45</v>
      </c>
      <c r="O577" t="s">
        <v>40</v>
      </c>
      <c r="P577" t="s">
        <v>41</v>
      </c>
      <c r="Q577" t="s">
        <v>38</v>
      </c>
      <c r="R577">
        <v>8</v>
      </c>
      <c r="S577" t="s">
        <v>2694</v>
      </c>
      <c r="T577" t="s">
        <v>6983</v>
      </c>
      <c r="U577" t="s">
        <v>6984</v>
      </c>
      <c r="V577" t="s">
        <v>32</v>
      </c>
      <c r="W577" t="s">
        <v>33</v>
      </c>
      <c r="X577" t="s">
        <v>33</v>
      </c>
      <c r="Y577" t="s">
        <v>33</v>
      </c>
      <c r="Z577" s="5" t="s">
        <v>34</v>
      </c>
      <c r="AA577">
        <v>-75.603877650000001</v>
      </c>
      <c r="AB577">
        <v>6.1942605799999999</v>
      </c>
      <c r="AC577" t="s">
        <v>456</v>
      </c>
      <c r="AD577" t="s">
        <v>457</v>
      </c>
    </row>
    <row r="578" spans="1:30" x14ac:dyDescent="0.25">
      <c r="A578" t="s">
        <v>2695</v>
      </c>
      <c r="B578" t="s">
        <v>25</v>
      </c>
      <c r="C578" t="s">
        <v>26</v>
      </c>
      <c r="D578" t="s">
        <v>39</v>
      </c>
      <c r="E578" t="s">
        <v>2696</v>
      </c>
      <c r="F578" t="s">
        <v>2697</v>
      </c>
      <c r="G578">
        <v>71647946</v>
      </c>
      <c r="H578" t="s">
        <v>2689</v>
      </c>
      <c r="I578" s="4" t="s">
        <v>2690</v>
      </c>
      <c r="J578" s="4" t="s">
        <v>2691</v>
      </c>
      <c r="K578" t="s">
        <v>2698</v>
      </c>
      <c r="L578" t="s">
        <v>44</v>
      </c>
      <c r="M578" t="s">
        <v>2699</v>
      </c>
      <c r="N578" t="s">
        <v>45</v>
      </c>
      <c r="O578" t="s">
        <v>40</v>
      </c>
      <c r="P578" t="s">
        <v>41</v>
      </c>
      <c r="Q578" t="s">
        <v>38</v>
      </c>
      <c r="R578">
        <v>8</v>
      </c>
      <c r="S578" t="s">
        <v>2700</v>
      </c>
      <c r="T578" t="s">
        <v>6985</v>
      </c>
      <c r="U578" t="s">
        <v>6986</v>
      </c>
      <c r="V578" t="s">
        <v>32</v>
      </c>
      <c r="W578" t="s">
        <v>33</v>
      </c>
      <c r="X578" t="s">
        <v>33</v>
      </c>
      <c r="Y578" t="s">
        <v>33</v>
      </c>
      <c r="Z578" s="5" t="s">
        <v>34</v>
      </c>
      <c r="AA578">
        <v>-75.603877650000001</v>
      </c>
      <c r="AB578">
        <v>6.1942605799999999</v>
      </c>
      <c r="AC578" t="s">
        <v>456</v>
      </c>
      <c r="AD578" t="s">
        <v>457</v>
      </c>
    </row>
    <row r="579" spans="1:30" x14ac:dyDescent="0.25">
      <c r="A579" t="s">
        <v>3361</v>
      </c>
      <c r="B579" t="s">
        <v>95</v>
      </c>
      <c r="C579" t="s">
        <v>26</v>
      </c>
      <c r="D579" t="s">
        <v>96</v>
      </c>
      <c r="E579" t="s">
        <v>3362</v>
      </c>
      <c r="F579" t="s">
        <v>3363</v>
      </c>
      <c r="G579">
        <v>1128447275</v>
      </c>
      <c r="H579" t="s">
        <v>3364</v>
      </c>
      <c r="I579" s="4" t="s">
        <v>3365</v>
      </c>
      <c r="J579" s="4" t="s">
        <v>3366</v>
      </c>
      <c r="K579" t="s">
        <v>3367</v>
      </c>
      <c r="L579" t="s">
        <v>27</v>
      </c>
      <c r="M579" t="s">
        <v>3368</v>
      </c>
      <c r="N579" t="s">
        <v>28</v>
      </c>
      <c r="O579" t="s">
        <v>103</v>
      </c>
      <c r="P579" t="s">
        <v>120</v>
      </c>
      <c r="Q579" t="s">
        <v>38</v>
      </c>
      <c r="R579">
        <v>14</v>
      </c>
      <c r="S579" t="s">
        <v>3369</v>
      </c>
      <c r="T579" t="s">
        <v>6987</v>
      </c>
      <c r="U579" t="s">
        <v>6988</v>
      </c>
      <c r="V579" t="s">
        <v>32</v>
      </c>
      <c r="W579" t="s">
        <v>33</v>
      </c>
      <c r="X579" t="s">
        <v>33</v>
      </c>
      <c r="Y579" t="s">
        <v>33</v>
      </c>
      <c r="Z579" s="5" t="s">
        <v>34</v>
      </c>
      <c r="AA579">
        <v>-75.499799670000002</v>
      </c>
      <c r="AB579">
        <v>6.2102937300000001</v>
      </c>
      <c r="AC579" t="s">
        <v>456</v>
      </c>
      <c r="AD579" t="s">
        <v>457</v>
      </c>
    </row>
    <row r="580" spans="1:30" x14ac:dyDescent="0.25">
      <c r="A580" t="s">
        <v>2701</v>
      </c>
      <c r="B580" t="s">
        <v>25</v>
      </c>
      <c r="C580" t="s">
        <v>26</v>
      </c>
      <c r="D580" t="s">
        <v>39</v>
      </c>
      <c r="E580" t="s">
        <v>2702</v>
      </c>
      <c r="F580" t="s">
        <v>2703</v>
      </c>
      <c r="G580">
        <v>8037673</v>
      </c>
      <c r="H580" t="s">
        <v>2704</v>
      </c>
      <c r="I580" s="4" t="s">
        <v>35</v>
      </c>
      <c r="J580" s="4" t="s">
        <v>2705</v>
      </c>
      <c r="K580" t="s">
        <v>2706</v>
      </c>
      <c r="L580" t="s">
        <v>77</v>
      </c>
      <c r="M580" t="s">
        <v>2707</v>
      </c>
      <c r="N580" t="s">
        <v>78</v>
      </c>
      <c r="O580" t="s">
        <v>40</v>
      </c>
      <c r="P580" t="s">
        <v>36</v>
      </c>
      <c r="Q580" t="s">
        <v>38</v>
      </c>
      <c r="R580">
        <v>8</v>
      </c>
      <c r="S580" t="s">
        <v>2708</v>
      </c>
      <c r="T580" t="s">
        <v>4841</v>
      </c>
      <c r="U580" t="s">
        <v>6989</v>
      </c>
      <c r="V580" t="s">
        <v>32</v>
      </c>
      <c r="W580" t="s">
        <v>33</v>
      </c>
      <c r="X580" t="s">
        <v>33</v>
      </c>
      <c r="Y580" t="s">
        <v>33</v>
      </c>
      <c r="Z580" s="5" t="s">
        <v>34</v>
      </c>
      <c r="AA580">
        <v>-75.637011659999999</v>
      </c>
      <c r="AB580">
        <v>6.0556765800000001</v>
      </c>
      <c r="AC580" t="s">
        <v>456</v>
      </c>
      <c r="AD580" t="s">
        <v>457</v>
      </c>
    </row>
    <row r="581" spans="1:30" x14ac:dyDescent="0.25">
      <c r="A581" t="s">
        <v>2709</v>
      </c>
      <c r="B581" t="s">
        <v>25</v>
      </c>
      <c r="C581" t="s">
        <v>26</v>
      </c>
      <c r="D581" t="s">
        <v>25</v>
      </c>
      <c r="E581" t="s">
        <v>2710</v>
      </c>
      <c r="F581" t="s">
        <v>2711</v>
      </c>
      <c r="G581">
        <v>15323810</v>
      </c>
      <c r="H581" t="s">
        <v>2658</v>
      </c>
      <c r="I581" s="4" t="s">
        <v>35</v>
      </c>
      <c r="J581" s="4" t="s">
        <v>2659</v>
      </c>
      <c r="K581" t="s">
        <v>2712</v>
      </c>
      <c r="L581" t="s">
        <v>27</v>
      </c>
      <c r="M581" t="s">
        <v>2713</v>
      </c>
      <c r="N581" t="s">
        <v>28</v>
      </c>
      <c r="O581" t="s">
        <v>29</v>
      </c>
      <c r="P581" t="s">
        <v>36</v>
      </c>
      <c r="Q581" t="s">
        <v>31</v>
      </c>
      <c r="R581">
        <v>7</v>
      </c>
      <c r="S581" t="s">
        <v>2714</v>
      </c>
      <c r="T581" t="s">
        <v>6990</v>
      </c>
      <c r="U581" t="s">
        <v>6399</v>
      </c>
      <c r="V581" t="s">
        <v>32</v>
      </c>
      <c r="W581" t="s">
        <v>33</v>
      </c>
      <c r="X581" t="s">
        <v>33</v>
      </c>
      <c r="Y581" t="s">
        <v>33</v>
      </c>
      <c r="Z581" s="5" t="s">
        <v>34</v>
      </c>
      <c r="AA581">
        <v>-75.555111740000001</v>
      </c>
      <c r="AB581">
        <v>6.2410049900000004</v>
      </c>
      <c r="AC581" t="s">
        <v>456</v>
      </c>
      <c r="AD581" t="s">
        <v>457</v>
      </c>
    </row>
    <row r="582" spans="1:30" x14ac:dyDescent="0.25">
      <c r="A582" t="s">
        <v>2715</v>
      </c>
      <c r="B582" t="s">
        <v>25</v>
      </c>
      <c r="C582" t="s">
        <v>26</v>
      </c>
      <c r="D582" t="s">
        <v>25</v>
      </c>
      <c r="E582" t="s">
        <v>2716</v>
      </c>
      <c r="F582" t="s">
        <v>2717</v>
      </c>
      <c r="G582">
        <v>15323810</v>
      </c>
      <c r="H582" t="s">
        <v>2658</v>
      </c>
      <c r="I582" s="4" t="s">
        <v>35</v>
      </c>
      <c r="J582" s="4" t="s">
        <v>2659</v>
      </c>
      <c r="K582" t="s">
        <v>2718</v>
      </c>
      <c r="L582" t="s">
        <v>27</v>
      </c>
      <c r="M582" t="s">
        <v>2719</v>
      </c>
      <c r="N582" t="s">
        <v>28</v>
      </c>
      <c r="O582" t="s">
        <v>29</v>
      </c>
      <c r="P582" t="s">
        <v>36</v>
      </c>
      <c r="Q582" t="s">
        <v>31</v>
      </c>
      <c r="R582">
        <v>7</v>
      </c>
      <c r="S582" t="s">
        <v>2720</v>
      </c>
      <c r="T582" t="s">
        <v>2555</v>
      </c>
      <c r="U582" t="s">
        <v>2556</v>
      </c>
      <c r="V582" t="s">
        <v>32</v>
      </c>
      <c r="W582" t="s">
        <v>33</v>
      </c>
      <c r="X582" t="s">
        <v>33</v>
      </c>
      <c r="Y582" t="s">
        <v>33</v>
      </c>
      <c r="Z582" s="5" t="s">
        <v>34</v>
      </c>
      <c r="AA582">
        <v>-75.555111740000001</v>
      </c>
      <c r="AB582">
        <v>6.2410049900000004</v>
      </c>
      <c r="AC582" t="s">
        <v>456</v>
      </c>
      <c r="AD582" t="s">
        <v>457</v>
      </c>
    </row>
    <row r="583" spans="1:30" x14ac:dyDescent="0.25">
      <c r="A583" t="s">
        <v>2722</v>
      </c>
      <c r="B583" t="s">
        <v>25</v>
      </c>
      <c r="C583" t="s">
        <v>26</v>
      </c>
      <c r="D583" t="s">
        <v>25</v>
      </c>
      <c r="E583" t="s">
        <v>2723</v>
      </c>
      <c r="F583" t="s">
        <v>2724</v>
      </c>
      <c r="G583">
        <v>15323810</v>
      </c>
      <c r="H583" t="s">
        <v>2658</v>
      </c>
      <c r="I583" s="4" t="s">
        <v>35</v>
      </c>
      <c r="J583" s="4" t="s">
        <v>2659</v>
      </c>
      <c r="K583" t="s">
        <v>2725</v>
      </c>
      <c r="L583" t="s">
        <v>27</v>
      </c>
      <c r="M583" t="s">
        <v>2726</v>
      </c>
      <c r="N583" t="s">
        <v>28</v>
      </c>
      <c r="O583" t="s">
        <v>29</v>
      </c>
      <c r="P583" t="s">
        <v>36</v>
      </c>
      <c r="Q583" t="s">
        <v>31</v>
      </c>
      <c r="R583">
        <v>7</v>
      </c>
      <c r="S583" t="s">
        <v>2727</v>
      </c>
      <c r="T583" t="s">
        <v>6991</v>
      </c>
      <c r="U583" t="s">
        <v>6992</v>
      </c>
      <c r="V583" t="s">
        <v>32</v>
      </c>
      <c r="W583" t="s">
        <v>33</v>
      </c>
      <c r="X583" t="s">
        <v>33</v>
      </c>
      <c r="Y583" t="s">
        <v>33</v>
      </c>
      <c r="Z583" s="5" t="s">
        <v>34</v>
      </c>
      <c r="AA583">
        <v>-75.555111740000001</v>
      </c>
      <c r="AB583">
        <v>6.2410049900000004</v>
      </c>
      <c r="AC583" t="s">
        <v>456</v>
      </c>
      <c r="AD583" t="s">
        <v>457</v>
      </c>
    </row>
    <row r="584" spans="1:30" x14ac:dyDescent="0.25">
      <c r="A584" t="s">
        <v>3370</v>
      </c>
      <c r="B584" t="s">
        <v>25</v>
      </c>
      <c r="C584" t="s">
        <v>26</v>
      </c>
      <c r="D584" t="s">
        <v>25</v>
      </c>
      <c r="E584" t="s">
        <v>3371</v>
      </c>
      <c r="F584" t="s">
        <v>3372</v>
      </c>
      <c r="G584">
        <v>1037571981</v>
      </c>
      <c r="H584" t="s">
        <v>3373</v>
      </c>
      <c r="I584" s="4" t="s">
        <v>3374</v>
      </c>
      <c r="J584" s="4" t="s">
        <v>3375</v>
      </c>
      <c r="K584" t="s">
        <v>3376</v>
      </c>
      <c r="L584" t="s">
        <v>27</v>
      </c>
      <c r="M584" t="s">
        <v>3377</v>
      </c>
      <c r="N584" t="s">
        <v>28</v>
      </c>
      <c r="O584" t="s">
        <v>29</v>
      </c>
      <c r="P584" t="s">
        <v>37</v>
      </c>
      <c r="Q584" t="s">
        <v>31</v>
      </c>
      <c r="R584">
        <v>7</v>
      </c>
      <c r="S584" t="s">
        <v>3378</v>
      </c>
      <c r="T584" t="s">
        <v>6993</v>
      </c>
      <c r="U584" t="s">
        <v>6994</v>
      </c>
      <c r="V584" t="s">
        <v>32</v>
      </c>
      <c r="W584" t="s">
        <v>33</v>
      </c>
      <c r="X584" t="s">
        <v>33</v>
      </c>
      <c r="Y584" t="s">
        <v>33</v>
      </c>
      <c r="Z584" s="5" t="s">
        <v>34</v>
      </c>
      <c r="AA584">
        <v>-75.634262359999994</v>
      </c>
      <c r="AB584">
        <v>6.2774681899999996</v>
      </c>
      <c r="AC584" t="s">
        <v>456</v>
      </c>
      <c r="AD584" t="s">
        <v>457</v>
      </c>
    </row>
    <row r="585" spans="1:30" x14ac:dyDescent="0.25">
      <c r="A585" t="s">
        <v>3379</v>
      </c>
      <c r="B585" t="s">
        <v>25</v>
      </c>
      <c r="C585" t="s">
        <v>26</v>
      </c>
      <c r="D585" t="s">
        <v>25</v>
      </c>
      <c r="E585" t="s">
        <v>3380</v>
      </c>
      <c r="F585" t="s">
        <v>3381</v>
      </c>
      <c r="G585">
        <v>15323810</v>
      </c>
      <c r="H585" t="s">
        <v>2658</v>
      </c>
      <c r="I585" s="4" t="s">
        <v>35</v>
      </c>
      <c r="J585" s="4" t="s">
        <v>2659</v>
      </c>
      <c r="K585" t="s">
        <v>3382</v>
      </c>
      <c r="L585" t="s">
        <v>27</v>
      </c>
      <c r="M585" t="s">
        <v>3383</v>
      </c>
      <c r="N585" t="s">
        <v>28</v>
      </c>
      <c r="O585" t="s">
        <v>29</v>
      </c>
      <c r="P585" t="s">
        <v>37</v>
      </c>
      <c r="Q585" t="s">
        <v>31</v>
      </c>
      <c r="R585">
        <v>7</v>
      </c>
      <c r="S585" t="s">
        <v>3384</v>
      </c>
      <c r="T585" t="s">
        <v>6995</v>
      </c>
      <c r="U585" t="s">
        <v>6996</v>
      </c>
      <c r="V585" t="s">
        <v>32</v>
      </c>
      <c r="W585" t="s">
        <v>33</v>
      </c>
      <c r="X585" t="s">
        <v>33</v>
      </c>
      <c r="Y585" t="s">
        <v>33</v>
      </c>
      <c r="Z585" s="5" t="s">
        <v>34</v>
      </c>
      <c r="AA585">
        <v>-75.555111740000001</v>
      </c>
      <c r="AB585">
        <v>6.2410049900000004</v>
      </c>
      <c r="AC585" t="s">
        <v>456</v>
      </c>
      <c r="AD585" t="s">
        <v>457</v>
      </c>
    </row>
    <row r="586" spans="1:30" x14ac:dyDescent="0.25">
      <c r="A586" t="s">
        <v>2728</v>
      </c>
      <c r="B586" t="s">
        <v>25</v>
      </c>
      <c r="C586" t="s">
        <v>26</v>
      </c>
      <c r="D586" t="s">
        <v>25</v>
      </c>
      <c r="E586" t="s">
        <v>2729</v>
      </c>
      <c r="F586" t="s">
        <v>2730</v>
      </c>
      <c r="G586">
        <v>15323810</v>
      </c>
      <c r="H586" t="s">
        <v>2658</v>
      </c>
      <c r="I586" s="4" t="s">
        <v>35</v>
      </c>
      <c r="J586" s="4" t="s">
        <v>2659</v>
      </c>
      <c r="K586" t="s">
        <v>2731</v>
      </c>
      <c r="L586" t="s">
        <v>27</v>
      </c>
      <c r="M586" t="s">
        <v>2732</v>
      </c>
      <c r="N586" t="s">
        <v>28</v>
      </c>
      <c r="O586" t="s">
        <v>29</v>
      </c>
      <c r="P586" t="s">
        <v>36</v>
      </c>
      <c r="Q586" t="s">
        <v>31</v>
      </c>
      <c r="R586">
        <v>7</v>
      </c>
      <c r="S586" t="s">
        <v>2733</v>
      </c>
      <c r="T586" t="s">
        <v>6997</v>
      </c>
      <c r="U586" t="s">
        <v>6998</v>
      </c>
      <c r="V586" t="s">
        <v>32</v>
      </c>
      <c r="W586" t="s">
        <v>33</v>
      </c>
      <c r="X586" t="s">
        <v>33</v>
      </c>
      <c r="Y586" t="s">
        <v>33</v>
      </c>
      <c r="Z586" s="5" t="s">
        <v>34</v>
      </c>
      <c r="AA586">
        <v>-75.555111740000001</v>
      </c>
      <c r="AB586">
        <v>6.2410049900000004</v>
      </c>
      <c r="AC586" t="s">
        <v>456</v>
      </c>
      <c r="AD586" t="s">
        <v>457</v>
      </c>
    </row>
    <row r="587" spans="1:30" x14ac:dyDescent="0.25">
      <c r="A587" t="s">
        <v>2734</v>
      </c>
      <c r="B587" t="s">
        <v>25</v>
      </c>
      <c r="C587" t="s">
        <v>26</v>
      </c>
      <c r="D587" t="s">
        <v>25</v>
      </c>
      <c r="E587" t="s">
        <v>2735</v>
      </c>
      <c r="F587" t="s">
        <v>2736</v>
      </c>
      <c r="G587">
        <v>15323810</v>
      </c>
      <c r="H587" t="s">
        <v>2658</v>
      </c>
      <c r="I587" s="4" t="s">
        <v>35</v>
      </c>
      <c r="J587" s="4" t="s">
        <v>2659</v>
      </c>
      <c r="K587" t="s">
        <v>2737</v>
      </c>
      <c r="L587" t="s">
        <v>27</v>
      </c>
      <c r="M587" t="s">
        <v>2738</v>
      </c>
      <c r="N587" t="s">
        <v>28</v>
      </c>
      <c r="O587" t="s">
        <v>29</v>
      </c>
      <c r="P587" t="s">
        <v>36</v>
      </c>
      <c r="Q587" t="s">
        <v>31</v>
      </c>
      <c r="R587">
        <v>7</v>
      </c>
      <c r="S587" t="s">
        <v>2739</v>
      </c>
      <c r="T587" t="s">
        <v>2534</v>
      </c>
      <c r="U587" t="s">
        <v>4845</v>
      </c>
      <c r="V587" t="s">
        <v>32</v>
      </c>
      <c r="W587" t="s">
        <v>33</v>
      </c>
      <c r="X587" t="s">
        <v>33</v>
      </c>
      <c r="Y587" t="s">
        <v>33</v>
      </c>
      <c r="Z587" s="5" t="s">
        <v>34</v>
      </c>
      <c r="AA587">
        <v>-75.555111740000001</v>
      </c>
      <c r="AB587">
        <v>6.2410049900000004</v>
      </c>
      <c r="AC587" t="s">
        <v>456</v>
      </c>
      <c r="AD587" t="s">
        <v>457</v>
      </c>
    </row>
    <row r="588" spans="1:30" x14ac:dyDescent="0.25">
      <c r="A588" t="s">
        <v>3385</v>
      </c>
      <c r="B588" t="s">
        <v>95</v>
      </c>
      <c r="C588" t="s">
        <v>26</v>
      </c>
      <c r="D588" t="s">
        <v>96</v>
      </c>
      <c r="E588" t="s">
        <v>3386</v>
      </c>
      <c r="F588" t="s">
        <v>3387</v>
      </c>
      <c r="G588">
        <v>1000637746</v>
      </c>
      <c r="H588" t="s">
        <v>3388</v>
      </c>
      <c r="I588" s="4" t="s">
        <v>35</v>
      </c>
      <c r="J588" s="4" t="s">
        <v>3389</v>
      </c>
      <c r="K588" t="s">
        <v>3390</v>
      </c>
      <c r="L588" t="s">
        <v>27</v>
      </c>
      <c r="M588" t="s">
        <v>3391</v>
      </c>
      <c r="N588" t="s">
        <v>28</v>
      </c>
      <c r="O588" t="s">
        <v>103</v>
      </c>
      <c r="P588" t="s">
        <v>158</v>
      </c>
      <c r="Q588" t="s">
        <v>38</v>
      </c>
      <c r="R588">
        <v>14</v>
      </c>
      <c r="S588" t="s">
        <v>3392</v>
      </c>
      <c r="T588" t="s">
        <v>4675</v>
      </c>
      <c r="U588" t="s">
        <v>6999</v>
      </c>
      <c r="V588" t="s">
        <v>32</v>
      </c>
      <c r="W588" t="s">
        <v>33</v>
      </c>
      <c r="X588" t="s">
        <v>33</v>
      </c>
      <c r="Y588" t="s">
        <v>33</v>
      </c>
      <c r="Z588" s="5" t="s">
        <v>34</v>
      </c>
      <c r="AA588">
        <v>-75.652264209999998</v>
      </c>
      <c r="AB588">
        <v>6.1928417800000002</v>
      </c>
      <c r="AC588" t="s">
        <v>456</v>
      </c>
      <c r="AD588" t="s">
        <v>457</v>
      </c>
    </row>
    <row r="589" spans="1:30" x14ac:dyDescent="0.25">
      <c r="A589" t="s">
        <v>2740</v>
      </c>
      <c r="B589" t="s">
        <v>81</v>
      </c>
      <c r="C589" t="s">
        <v>26</v>
      </c>
      <c r="D589" t="s">
        <v>81</v>
      </c>
      <c r="E589" t="s">
        <v>2741</v>
      </c>
      <c r="F589" t="s">
        <v>2742</v>
      </c>
      <c r="G589">
        <v>900019519</v>
      </c>
      <c r="H589" t="s">
        <v>918</v>
      </c>
      <c r="I589" s="4" t="s">
        <v>919</v>
      </c>
      <c r="J589" s="4" t="s">
        <v>360</v>
      </c>
      <c r="K589" t="s">
        <v>2743</v>
      </c>
      <c r="L589" t="s">
        <v>44</v>
      </c>
      <c r="M589" t="s">
        <v>2744</v>
      </c>
      <c r="N589" t="s">
        <v>45</v>
      </c>
      <c r="O589" t="s">
        <v>82</v>
      </c>
      <c r="P589" t="s">
        <v>83</v>
      </c>
      <c r="Q589" t="s">
        <v>31</v>
      </c>
      <c r="R589">
        <v>4</v>
      </c>
      <c r="S589" t="s">
        <v>2745</v>
      </c>
      <c r="T589" t="s">
        <v>1260</v>
      </c>
      <c r="U589" t="s">
        <v>6922</v>
      </c>
      <c r="V589" t="s">
        <v>50</v>
      </c>
      <c r="W589" t="s">
        <v>33</v>
      </c>
      <c r="X589" t="s">
        <v>33</v>
      </c>
      <c r="Y589" t="s">
        <v>33</v>
      </c>
      <c r="Z589" s="5" t="s">
        <v>34</v>
      </c>
      <c r="AA589">
        <v>-75.606566900000004</v>
      </c>
      <c r="AB589">
        <v>6.1760566900000002</v>
      </c>
      <c r="AC589" t="s">
        <v>456</v>
      </c>
      <c r="AD589" t="s">
        <v>457</v>
      </c>
    </row>
    <row r="590" spans="1:30" x14ac:dyDescent="0.25">
      <c r="A590" t="s">
        <v>2746</v>
      </c>
      <c r="B590" t="s">
        <v>81</v>
      </c>
      <c r="C590" t="s">
        <v>26</v>
      </c>
      <c r="D590" t="s">
        <v>81</v>
      </c>
      <c r="E590" t="s">
        <v>2747</v>
      </c>
      <c r="F590" t="s">
        <v>2748</v>
      </c>
      <c r="G590">
        <v>8101194</v>
      </c>
      <c r="H590" t="s">
        <v>1510</v>
      </c>
      <c r="I590" s="4" t="s">
        <v>2749</v>
      </c>
      <c r="J590" s="4" t="s">
        <v>1511</v>
      </c>
      <c r="K590" t="s">
        <v>2750</v>
      </c>
      <c r="L590" t="s">
        <v>27</v>
      </c>
      <c r="M590" t="s">
        <v>2751</v>
      </c>
      <c r="N590" t="s">
        <v>28</v>
      </c>
      <c r="O590" t="s">
        <v>82</v>
      </c>
      <c r="P590" t="s">
        <v>83</v>
      </c>
      <c r="Q590" t="s">
        <v>31</v>
      </c>
      <c r="R590">
        <v>4</v>
      </c>
      <c r="S590" t="s">
        <v>2752</v>
      </c>
      <c r="T590" t="s">
        <v>7000</v>
      </c>
      <c r="U590" t="s">
        <v>7001</v>
      </c>
      <c r="V590" t="s">
        <v>50</v>
      </c>
      <c r="W590" t="s">
        <v>33</v>
      </c>
      <c r="X590" t="s">
        <v>33</v>
      </c>
      <c r="Y590" t="s">
        <v>33</v>
      </c>
      <c r="Z590" s="5" t="s">
        <v>34</v>
      </c>
      <c r="AA590">
        <v>-75.604347270000005</v>
      </c>
      <c r="AB590">
        <v>6.2496744700000004</v>
      </c>
      <c r="AC590" t="s">
        <v>456</v>
      </c>
      <c r="AD590" t="s">
        <v>457</v>
      </c>
    </row>
    <row r="591" spans="1:30" x14ac:dyDescent="0.25">
      <c r="A591" t="s">
        <v>2753</v>
      </c>
      <c r="B591" t="s">
        <v>25</v>
      </c>
      <c r="C591" t="s">
        <v>26</v>
      </c>
      <c r="D591" t="s">
        <v>39</v>
      </c>
      <c r="E591" t="s">
        <v>2754</v>
      </c>
      <c r="F591" t="s">
        <v>2755</v>
      </c>
      <c r="G591">
        <v>1128419592</v>
      </c>
      <c r="H591" t="s">
        <v>2756</v>
      </c>
      <c r="I591" s="4" t="s">
        <v>35</v>
      </c>
      <c r="J591" s="4" t="s">
        <v>2757</v>
      </c>
      <c r="K591" t="s">
        <v>2758</v>
      </c>
      <c r="L591" t="s">
        <v>77</v>
      </c>
      <c r="M591" t="s">
        <v>2759</v>
      </c>
      <c r="N591" t="s">
        <v>78</v>
      </c>
      <c r="O591" t="s">
        <v>40</v>
      </c>
      <c r="P591" t="s">
        <v>36</v>
      </c>
      <c r="Q591" t="s">
        <v>38</v>
      </c>
      <c r="R591">
        <v>8</v>
      </c>
      <c r="S591" t="s">
        <v>2760</v>
      </c>
      <c r="T591" t="s">
        <v>4923</v>
      </c>
      <c r="U591" t="s">
        <v>7002</v>
      </c>
      <c r="V591" t="s">
        <v>32</v>
      </c>
      <c r="W591" t="s">
        <v>33</v>
      </c>
      <c r="X591" t="s">
        <v>33</v>
      </c>
      <c r="Y591" t="s">
        <v>33</v>
      </c>
      <c r="Z591" s="5" t="s">
        <v>34</v>
      </c>
      <c r="AA591">
        <v>-75.624374599999996</v>
      </c>
      <c r="AB591">
        <v>6.0867810100000002</v>
      </c>
      <c r="AC591" t="s">
        <v>456</v>
      </c>
      <c r="AD591" t="s">
        <v>457</v>
      </c>
    </row>
    <row r="592" spans="1:30" x14ac:dyDescent="0.25">
      <c r="A592" t="s">
        <v>2761</v>
      </c>
      <c r="B592" t="s">
        <v>81</v>
      </c>
      <c r="C592" t="s">
        <v>26</v>
      </c>
      <c r="D592" t="s">
        <v>81</v>
      </c>
      <c r="E592" t="s">
        <v>2762</v>
      </c>
      <c r="F592" t="s">
        <v>2763</v>
      </c>
      <c r="G592">
        <v>1152447995</v>
      </c>
      <c r="H592" t="s">
        <v>2764</v>
      </c>
      <c r="I592" s="4" t="s">
        <v>35</v>
      </c>
      <c r="J592" s="4" t="s">
        <v>2765</v>
      </c>
      <c r="K592" t="s">
        <v>2766</v>
      </c>
      <c r="L592" t="s">
        <v>27</v>
      </c>
      <c r="M592" t="s">
        <v>2767</v>
      </c>
      <c r="N592" t="s">
        <v>28</v>
      </c>
      <c r="O592" t="s">
        <v>82</v>
      </c>
      <c r="P592" t="s">
        <v>83</v>
      </c>
      <c r="Q592" t="s">
        <v>38</v>
      </c>
      <c r="R592">
        <v>4</v>
      </c>
      <c r="S592" t="s">
        <v>2768</v>
      </c>
      <c r="T592" t="s">
        <v>2094</v>
      </c>
      <c r="U592" t="s">
        <v>4709</v>
      </c>
      <c r="V592" t="s">
        <v>50</v>
      </c>
      <c r="W592" t="s">
        <v>33</v>
      </c>
      <c r="X592" t="s">
        <v>33</v>
      </c>
      <c r="Y592" t="s">
        <v>33</v>
      </c>
      <c r="Z592" s="5" t="s">
        <v>34</v>
      </c>
      <c r="AA592">
        <v>-75.617738450000004</v>
      </c>
      <c r="AB592">
        <v>6.2069849699999997</v>
      </c>
      <c r="AC592" t="s">
        <v>456</v>
      </c>
      <c r="AD592" t="s">
        <v>457</v>
      </c>
    </row>
    <row r="593" spans="1:30" x14ac:dyDescent="0.25">
      <c r="A593" t="s">
        <v>2769</v>
      </c>
      <c r="B593" t="s">
        <v>81</v>
      </c>
      <c r="C593" t="s">
        <v>26</v>
      </c>
      <c r="D593" t="s">
        <v>81</v>
      </c>
      <c r="E593" t="s">
        <v>2770</v>
      </c>
      <c r="F593" t="s">
        <v>2771</v>
      </c>
      <c r="G593">
        <v>800093117</v>
      </c>
      <c r="H593" t="s">
        <v>572</v>
      </c>
      <c r="I593" s="4" t="s">
        <v>262</v>
      </c>
      <c r="J593" s="4" t="s">
        <v>2772</v>
      </c>
      <c r="K593" t="s">
        <v>2773</v>
      </c>
      <c r="L593" t="s">
        <v>27</v>
      </c>
      <c r="M593" t="s">
        <v>2774</v>
      </c>
      <c r="N593" t="s">
        <v>28</v>
      </c>
      <c r="O593" t="s">
        <v>82</v>
      </c>
      <c r="P593" t="s">
        <v>83</v>
      </c>
      <c r="Q593" t="s">
        <v>31</v>
      </c>
      <c r="R593">
        <v>4</v>
      </c>
      <c r="S593" t="s">
        <v>2775</v>
      </c>
      <c r="T593" t="s">
        <v>7003</v>
      </c>
      <c r="U593" t="s">
        <v>7004</v>
      </c>
      <c r="V593" t="s">
        <v>50</v>
      </c>
      <c r="W593" t="s">
        <v>33</v>
      </c>
      <c r="X593" t="s">
        <v>33</v>
      </c>
      <c r="Y593" t="s">
        <v>33</v>
      </c>
      <c r="Z593" s="5" t="s">
        <v>34</v>
      </c>
      <c r="AA593">
        <v>-75.579204090000005</v>
      </c>
      <c r="AB593">
        <v>6.2107131300000002</v>
      </c>
      <c r="AC593" t="s">
        <v>456</v>
      </c>
      <c r="AD593" t="s">
        <v>457</v>
      </c>
    </row>
    <row r="594" spans="1:30" x14ac:dyDescent="0.25">
      <c r="A594" t="s">
        <v>2776</v>
      </c>
      <c r="B594" t="s">
        <v>81</v>
      </c>
      <c r="C594" t="s">
        <v>26</v>
      </c>
      <c r="D594" t="s">
        <v>81</v>
      </c>
      <c r="E594" t="s">
        <v>2777</v>
      </c>
      <c r="F594" t="s">
        <v>2778</v>
      </c>
      <c r="G594">
        <v>32543920</v>
      </c>
      <c r="H594" t="s">
        <v>2779</v>
      </c>
      <c r="I594" s="4" t="s">
        <v>2780</v>
      </c>
      <c r="J594" s="4" t="s">
        <v>2781</v>
      </c>
      <c r="K594" t="s">
        <v>2782</v>
      </c>
      <c r="L594" t="s">
        <v>27</v>
      </c>
      <c r="M594" t="s">
        <v>2783</v>
      </c>
      <c r="N594" t="s">
        <v>28</v>
      </c>
      <c r="O594" t="s">
        <v>82</v>
      </c>
      <c r="P594" t="s">
        <v>83</v>
      </c>
      <c r="Q594" t="s">
        <v>31</v>
      </c>
      <c r="R594">
        <v>4</v>
      </c>
      <c r="S594" t="s">
        <v>2784</v>
      </c>
      <c r="T594" t="s">
        <v>6430</v>
      </c>
      <c r="U594" t="s">
        <v>7005</v>
      </c>
      <c r="V594" t="s">
        <v>50</v>
      </c>
      <c r="W594" t="s">
        <v>33</v>
      </c>
      <c r="X594" t="s">
        <v>33</v>
      </c>
      <c r="Y594" t="s">
        <v>33</v>
      </c>
      <c r="Z594" s="5" t="s">
        <v>34</v>
      </c>
      <c r="AA594">
        <v>-75.540629999999993</v>
      </c>
      <c r="AB594">
        <v>6.2325600000000003</v>
      </c>
      <c r="AC594" t="s">
        <v>456</v>
      </c>
      <c r="AD594" t="s">
        <v>457</v>
      </c>
    </row>
    <row r="595" spans="1:30" x14ac:dyDescent="0.25">
      <c r="A595" t="s">
        <v>2785</v>
      </c>
      <c r="B595" t="s">
        <v>81</v>
      </c>
      <c r="C595" t="s">
        <v>26</v>
      </c>
      <c r="D595" t="s">
        <v>81</v>
      </c>
      <c r="E595" t="s">
        <v>2786</v>
      </c>
      <c r="F595" t="s">
        <v>2787</v>
      </c>
      <c r="G595">
        <v>900019519</v>
      </c>
      <c r="H595" t="s">
        <v>918</v>
      </c>
      <c r="I595" s="4" t="s">
        <v>919</v>
      </c>
      <c r="J595" s="4" t="s">
        <v>360</v>
      </c>
      <c r="K595" t="s">
        <v>2788</v>
      </c>
      <c r="L595" t="s">
        <v>44</v>
      </c>
      <c r="M595" t="s">
        <v>2789</v>
      </c>
      <c r="N595" t="s">
        <v>45</v>
      </c>
      <c r="O595" t="s">
        <v>82</v>
      </c>
      <c r="P595" t="s">
        <v>83</v>
      </c>
      <c r="Q595" t="s">
        <v>31</v>
      </c>
      <c r="R595">
        <v>4</v>
      </c>
      <c r="S595" t="s">
        <v>2790</v>
      </c>
      <c r="T595" t="s">
        <v>2557</v>
      </c>
      <c r="U595" t="s">
        <v>7006</v>
      </c>
      <c r="V595" t="s">
        <v>50</v>
      </c>
      <c r="W595" t="s">
        <v>33</v>
      </c>
      <c r="X595" t="s">
        <v>33</v>
      </c>
      <c r="Y595" t="s">
        <v>33</v>
      </c>
      <c r="Z595" s="5" t="s">
        <v>34</v>
      </c>
      <c r="AA595">
        <v>-75.609027819999994</v>
      </c>
      <c r="AB595">
        <v>6.1740743900000004</v>
      </c>
      <c r="AC595" t="s">
        <v>456</v>
      </c>
      <c r="AD595" t="s">
        <v>457</v>
      </c>
    </row>
    <row r="596" spans="1:30" x14ac:dyDescent="0.25">
      <c r="A596" t="s">
        <v>2792</v>
      </c>
      <c r="B596" t="s">
        <v>25</v>
      </c>
      <c r="C596" t="s">
        <v>26</v>
      </c>
      <c r="D596" t="s">
        <v>39</v>
      </c>
      <c r="E596" t="s">
        <v>2793</v>
      </c>
      <c r="F596" t="s">
        <v>2794</v>
      </c>
      <c r="G596">
        <v>70858227</v>
      </c>
      <c r="H596" t="s">
        <v>2795</v>
      </c>
      <c r="I596" s="4" t="s">
        <v>35</v>
      </c>
      <c r="J596" s="4" t="s">
        <v>2796</v>
      </c>
      <c r="K596" t="s">
        <v>2797</v>
      </c>
      <c r="L596" t="s">
        <v>77</v>
      </c>
      <c r="M596" t="s">
        <v>2798</v>
      </c>
      <c r="N596" t="s">
        <v>78</v>
      </c>
      <c r="O596" t="s">
        <v>40</v>
      </c>
      <c r="P596" t="s">
        <v>36</v>
      </c>
      <c r="Q596" t="s">
        <v>38</v>
      </c>
      <c r="R596">
        <v>8</v>
      </c>
      <c r="S596" t="s">
        <v>2799</v>
      </c>
      <c r="T596" t="s">
        <v>867</v>
      </c>
      <c r="U596" t="s">
        <v>4713</v>
      </c>
      <c r="V596" t="s">
        <v>32</v>
      </c>
      <c r="W596" t="s">
        <v>33</v>
      </c>
      <c r="X596" t="s">
        <v>33</v>
      </c>
      <c r="Y596" t="s">
        <v>33</v>
      </c>
      <c r="Z596" s="5" t="s">
        <v>34</v>
      </c>
      <c r="AA596">
        <v>-75.624374599999996</v>
      </c>
      <c r="AB596">
        <v>6.0867810100000002</v>
      </c>
      <c r="AC596" t="s">
        <v>456</v>
      </c>
      <c r="AD596" t="s">
        <v>457</v>
      </c>
    </row>
    <row r="597" spans="1:30" x14ac:dyDescent="0.25">
      <c r="A597" t="s">
        <v>3394</v>
      </c>
      <c r="B597" t="s">
        <v>42</v>
      </c>
      <c r="C597" t="s">
        <v>26</v>
      </c>
      <c r="D597" t="s">
        <v>42</v>
      </c>
      <c r="E597" t="s">
        <v>3395</v>
      </c>
      <c r="F597" t="s">
        <v>3396</v>
      </c>
      <c r="G597">
        <v>70509256</v>
      </c>
      <c r="H597" t="s">
        <v>3397</v>
      </c>
      <c r="I597" s="4" t="s">
        <v>3398</v>
      </c>
      <c r="J597" s="4" t="s">
        <v>3399</v>
      </c>
      <c r="K597" t="s">
        <v>3400</v>
      </c>
      <c r="L597" t="s">
        <v>27</v>
      </c>
      <c r="M597" t="s">
        <v>3401</v>
      </c>
      <c r="N597" t="s">
        <v>28</v>
      </c>
      <c r="O597" t="s">
        <v>43</v>
      </c>
      <c r="P597" t="s">
        <v>37</v>
      </c>
      <c r="Q597" t="s">
        <v>31</v>
      </c>
      <c r="R597">
        <v>7</v>
      </c>
      <c r="S597" t="s">
        <v>3402</v>
      </c>
      <c r="T597" t="s">
        <v>867</v>
      </c>
      <c r="U597" t="s">
        <v>6923</v>
      </c>
      <c r="V597" t="s">
        <v>32</v>
      </c>
      <c r="W597" t="s">
        <v>33</v>
      </c>
      <c r="X597" t="s">
        <v>33</v>
      </c>
      <c r="Y597" t="s">
        <v>33</v>
      </c>
      <c r="Z597" s="5" t="s">
        <v>34</v>
      </c>
      <c r="AA597">
        <v>-75.642967900000002</v>
      </c>
      <c r="AB597">
        <v>6.1779717200000004</v>
      </c>
      <c r="AC597" t="s">
        <v>456</v>
      </c>
      <c r="AD597" t="s">
        <v>457</v>
      </c>
    </row>
    <row r="598" spans="1:30" x14ac:dyDescent="0.25">
      <c r="A598" t="s">
        <v>3403</v>
      </c>
      <c r="B598" t="s">
        <v>42</v>
      </c>
      <c r="C598" t="s">
        <v>26</v>
      </c>
      <c r="D598" t="s">
        <v>42</v>
      </c>
      <c r="E598" t="s">
        <v>3404</v>
      </c>
      <c r="F598" t="s">
        <v>3405</v>
      </c>
      <c r="G598">
        <v>71661090</v>
      </c>
      <c r="H598" t="s">
        <v>3406</v>
      </c>
      <c r="I598" s="4" t="s">
        <v>3407</v>
      </c>
      <c r="J598" s="4" t="s">
        <v>3408</v>
      </c>
      <c r="K598" t="s">
        <v>3409</v>
      </c>
      <c r="L598" t="s">
        <v>27</v>
      </c>
      <c r="M598" t="s">
        <v>3410</v>
      </c>
      <c r="N598" t="s">
        <v>28</v>
      </c>
      <c r="O598" t="s">
        <v>43</v>
      </c>
      <c r="P598" t="s">
        <v>37</v>
      </c>
      <c r="Q598" t="s">
        <v>31</v>
      </c>
      <c r="R598">
        <v>7</v>
      </c>
      <c r="S598" t="s">
        <v>3411</v>
      </c>
      <c r="T598" t="s">
        <v>6580</v>
      </c>
      <c r="U598" t="s">
        <v>4795</v>
      </c>
      <c r="V598" t="s">
        <v>32</v>
      </c>
      <c r="W598" t="s">
        <v>33</v>
      </c>
      <c r="X598" t="s">
        <v>33</v>
      </c>
      <c r="Y598" t="s">
        <v>33</v>
      </c>
      <c r="Z598" s="5" t="s">
        <v>34</v>
      </c>
      <c r="AA598">
        <v>-75.545706999999993</v>
      </c>
      <c r="AB598">
        <v>6.2442229999999999</v>
      </c>
      <c r="AC598" t="s">
        <v>456</v>
      </c>
      <c r="AD598" t="s">
        <v>457</v>
      </c>
    </row>
    <row r="599" spans="1:30" x14ac:dyDescent="0.25">
      <c r="A599" t="s">
        <v>2800</v>
      </c>
      <c r="B599" t="s">
        <v>25</v>
      </c>
      <c r="C599" t="s">
        <v>26</v>
      </c>
      <c r="D599" t="s">
        <v>39</v>
      </c>
      <c r="E599" t="s">
        <v>2801</v>
      </c>
      <c r="F599" t="s">
        <v>2802</v>
      </c>
      <c r="G599">
        <v>1076328930</v>
      </c>
      <c r="H599" t="s">
        <v>2803</v>
      </c>
      <c r="I599" s="4" t="s">
        <v>35</v>
      </c>
      <c r="J599" s="4" t="s">
        <v>2804</v>
      </c>
      <c r="K599" t="s">
        <v>2805</v>
      </c>
      <c r="L599" t="s">
        <v>27</v>
      </c>
      <c r="M599" t="s">
        <v>2806</v>
      </c>
      <c r="N599" t="s">
        <v>28</v>
      </c>
      <c r="O599" t="s">
        <v>40</v>
      </c>
      <c r="P599" t="s">
        <v>41</v>
      </c>
      <c r="Q599" t="s">
        <v>31</v>
      </c>
      <c r="R599">
        <v>5</v>
      </c>
      <c r="S599" t="s">
        <v>2807</v>
      </c>
      <c r="T599" t="s">
        <v>4881</v>
      </c>
      <c r="U599" t="s">
        <v>4880</v>
      </c>
      <c r="V599" t="s">
        <v>50</v>
      </c>
      <c r="W599" t="s">
        <v>33</v>
      </c>
      <c r="X599" t="s">
        <v>33</v>
      </c>
      <c r="Y599" t="s">
        <v>33</v>
      </c>
      <c r="Z599" s="5" t="s">
        <v>34</v>
      </c>
      <c r="AA599">
        <v>-75.606899979999994</v>
      </c>
      <c r="AB599">
        <v>6.2748936300000002</v>
      </c>
      <c r="AC599" t="s">
        <v>456</v>
      </c>
      <c r="AD599" t="s">
        <v>457</v>
      </c>
    </row>
    <row r="600" spans="1:30" x14ac:dyDescent="0.25">
      <c r="A600" t="s">
        <v>2808</v>
      </c>
      <c r="B600" t="s">
        <v>25</v>
      </c>
      <c r="C600" t="s">
        <v>26</v>
      </c>
      <c r="D600" t="s">
        <v>39</v>
      </c>
      <c r="E600" t="s">
        <v>2809</v>
      </c>
      <c r="F600" t="s">
        <v>2810</v>
      </c>
      <c r="G600">
        <v>12023004</v>
      </c>
      <c r="H600" t="s">
        <v>2811</v>
      </c>
      <c r="I600" s="4" t="s">
        <v>35</v>
      </c>
      <c r="J600" s="4" t="s">
        <v>2812</v>
      </c>
      <c r="K600" t="s">
        <v>2813</v>
      </c>
      <c r="L600" t="s">
        <v>27</v>
      </c>
      <c r="M600" t="s">
        <v>2814</v>
      </c>
      <c r="N600" t="s">
        <v>28</v>
      </c>
      <c r="O600" t="s">
        <v>40</v>
      </c>
      <c r="P600" t="s">
        <v>41</v>
      </c>
      <c r="Q600" t="s">
        <v>31</v>
      </c>
      <c r="R600">
        <v>5</v>
      </c>
      <c r="S600" t="s">
        <v>2815</v>
      </c>
      <c r="T600" t="s">
        <v>4883</v>
      </c>
      <c r="U600" t="s">
        <v>4882</v>
      </c>
      <c r="V600" t="s">
        <v>50</v>
      </c>
      <c r="W600" t="s">
        <v>33</v>
      </c>
      <c r="X600" t="s">
        <v>33</v>
      </c>
      <c r="Y600" t="s">
        <v>33</v>
      </c>
      <c r="Z600" s="5" t="s">
        <v>34</v>
      </c>
      <c r="AA600">
        <v>-75.607884999999996</v>
      </c>
      <c r="AB600">
        <v>6.2091620000000001</v>
      </c>
      <c r="AC600" t="s">
        <v>456</v>
      </c>
      <c r="AD600" t="s">
        <v>457</v>
      </c>
    </row>
    <row r="601" spans="1:30" x14ac:dyDescent="0.25">
      <c r="A601" t="s">
        <v>3412</v>
      </c>
      <c r="B601" t="s">
        <v>25</v>
      </c>
      <c r="C601" t="s">
        <v>26</v>
      </c>
      <c r="D601" t="s">
        <v>25</v>
      </c>
      <c r="E601" t="s">
        <v>3413</v>
      </c>
      <c r="F601" t="s">
        <v>3414</v>
      </c>
      <c r="G601">
        <v>98462618</v>
      </c>
      <c r="H601" t="s">
        <v>3415</v>
      </c>
      <c r="I601" s="4" t="s">
        <v>35</v>
      </c>
      <c r="J601" s="4" t="s">
        <v>3416</v>
      </c>
      <c r="K601" t="s">
        <v>3417</v>
      </c>
      <c r="L601" t="s">
        <v>27</v>
      </c>
      <c r="M601" t="s">
        <v>3418</v>
      </c>
      <c r="N601" t="s">
        <v>28</v>
      </c>
      <c r="O601" t="s">
        <v>29</v>
      </c>
      <c r="P601" t="s">
        <v>37</v>
      </c>
      <c r="Q601" t="s">
        <v>38</v>
      </c>
      <c r="R601">
        <v>10</v>
      </c>
      <c r="S601" t="s">
        <v>3419</v>
      </c>
      <c r="T601" t="s">
        <v>2391</v>
      </c>
      <c r="U601" t="s">
        <v>6088</v>
      </c>
      <c r="V601" t="s">
        <v>32</v>
      </c>
      <c r="W601" t="s">
        <v>33</v>
      </c>
      <c r="X601" t="s">
        <v>33</v>
      </c>
      <c r="Y601" t="s">
        <v>33</v>
      </c>
      <c r="Z601" s="5" t="s">
        <v>34</v>
      </c>
      <c r="AA601">
        <v>-75.522782520000007</v>
      </c>
      <c r="AB601">
        <v>6.2340416699999999</v>
      </c>
      <c r="AC601" t="s">
        <v>456</v>
      </c>
      <c r="AD601" t="s">
        <v>457</v>
      </c>
    </row>
    <row r="602" spans="1:30" x14ac:dyDescent="0.25">
      <c r="A602" t="s">
        <v>3420</v>
      </c>
      <c r="B602" t="s">
        <v>25</v>
      </c>
      <c r="C602" t="s">
        <v>26</v>
      </c>
      <c r="D602" t="s">
        <v>25</v>
      </c>
      <c r="E602" t="s">
        <v>3421</v>
      </c>
      <c r="F602" t="s">
        <v>3422</v>
      </c>
      <c r="G602">
        <v>21526067</v>
      </c>
      <c r="H602" t="s">
        <v>3423</v>
      </c>
      <c r="I602" s="4" t="s">
        <v>35</v>
      </c>
      <c r="J602" s="4" t="s">
        <v>3424</v>
      </c>
      <c r="K602" t="s">
        <v>3425</v>
      </c>
      <c r="L602" t="s">
        <v>49</v>
      </c>
      <c r="M602" t="s">
        <v>3426</v>
      </c>
      <c r="N602" t="s">
        <v>84</v>
      </c>
      <c r="O602" t="s">
        <v>29</v>
      </c>
      <c r="P602" t="s">
        <v>37</v>
      </c>
      <c r="Q602" t="s">
        <v>31</v>
      </c>
      <c r="R602">
        <v>7</v>
      </c>
      <c r="S602" t="s">
        <v>3427</v>
      </c>
      <c r="T602" t="s">
        <v>1276</v>
      </c>
      <c r="U602" t="s">
        <v>6924</v>
      </c>
      <c r="V602" t="s">
        <v>32</v>
      </c>
      <c r="W602" t="s">
        <v>33</v>
      </c>
      <c r="X602" t="s">
        <v>33</v>
      </c>
      <c r="Y602" t="s">
        <v>33</v>
      </c>
      <c r="Z602" s="5" t="s">
        <v>34</v>
      </c>
      <c r="AA602">
        <v>-75.564647519999994</v>
      </c>
      <c r="AB602">
        <v>6.1678856800000004</v>
      </c>
      <c r="AC602" t="s">
        <v>456</v>
      </c>
      <c r="AD602" t="s">
        <v>457</v>
      </c>
    </row>
    <row r="603" spans="1:30" x14ac:dyDescent="0.25">
      <c r="A603" t="s">
        <v>2817</v>
      </c>
      <c r="B603" t="s">
        <v>25</v>
      </c>
      <c r="C603" t="s">
        <v>26</v>
      </c>
      <c r="D603" t="s">
        <v>39</v>
      </c>
      <c r="E603" t="s">
        <v>2818</v>
      </c>
      <c r="F603" t="s">
        <v>2819</v>
      </c>
      <c r="G603">
        <v>43593626</v>
      </c>
      <c r="H603" t="s">
        <v>2820</v>
      </c>
      <c r="I603" s="4" t="s">
        <v>35</v>
      </c>
      <c r="J603" s="4" t="s">
        <v>2821</v>
      </c>
      <c r="K603" t="s">
        <v>2822</v>
      </c>
      <c r="L603" t="s">
        <v>27</v>
      </c>
      <c r="M603" t="s">
        <v>2823</v>
      </c>
      <c r="N603" t="s">
        <v>28</v>
      </c>
      <c r="O603" t="s">
        <v>40</v>
      </c>
      <c r="P603" t="s">
        <v>41</v>
      </c>
      <c r="Q603" t="s">
        <v>31</v>
      </c>
      <c r="R603">
        <v>5</v>
      </c>
      <c r="S603" t="s">
        <v>2824</v>
      </c>
      <c r="T603" t="s">
        <v>4885</v>
      </c>
      <c r="U603" t="s">
        <v>4884</v>
      </c>
      <c r="V603" t="s">
        <v>50</v>
      </c>
      <c r="W603" t="s">
        <v>33</v>
      </c>
      <c r="X603" t="s">
        <v>33</v>
      </c>
      <c r="Y603" t="s">
        <v>33</v>
      </c>
      <c r="Z603" s="5" t="s">
        <v>34</v>
      </c>
      <c r="AA603">
        <v>-75.619641779999995</v>
      </c>
      <c r="AB603">
        <v>6.2494858400000002</v>
      </c>
      <c r="AC603" t="s">
        <v>456</v>
      </c>
      <c r="AD603" t="s">
        <v>457</v>
      </c>
    </row>
    <row r="604" spans="1:30" x14ac:dyDescent="0.25">
      <c r="A604" t="s">
        <v>3428</v>
      </c>
      <c r="B604" t="s">
        <v>95</v>
      </c>
      <c r="C604" t="s">
        <v>26</v>
      </c>
      <c r="D604" t="s">
        <v>96</v>
      </c>
      <c r="E604" t="s">
        <v>3429</v>
      </c>
      <c r="F604" t="s">
        <v>3430</v>
      </c>
      <c r="G604">
        <v>43727781</v>
      </c>
      <c r="H604" t="s">
        <v>3431</v>
      </c>
      <c r="I604" s="4" t="s">
        <v>35</v>
      </c>
      <c r="J604" s="4" t="s">
        <v>3432</v>
      </c>
      <c r="K604" t="s">
        <v>3433</v>
      </c>
      <c r="L604" t="s">
        <v>27</v>
      </c>
      <c r="M604" t="s">
        <v>3434</v>
      </c>
      <c r="N604" t="s">
        <v>28</v>
      </c>
      <c r="O604" t="s">
        <v>103</v>
      </c>
      <c r="P604" t="s">
        <v>120</v>
      </c>
      <c r="Q604" t="s">
        <v>31</v>
      </c>
      <c r="R604">
        <v>9</v>
      </c>
      <c r="S604" t="s">
        <v>3435</v>
      </c>
      <c r="T604" t="s">
        <v>4885</v>
      </c>
      <c r="U604" t="s">
        <v>7007</v>
      </c>
      <c r="V604" t="s">
        <v>32</v>
      </c>
      <c r="W604" t="s">
        <v>33</v>
      </c>
      <c r="X604" t="s">
        <v>33</v>
      </c>
      <c r="Y604" t="s">
        <v>33</v>
      </c>
      <c r="Z604" s="5" t="s">
        <v>34</v>
      </c>
      <c r="AA604">
        <v>-75.639877350000006</v>
      </c>
      <c r="AB604">
        <v>6.2801434799999996</v>
      </c>
      <c r="AC604" t="s">
        <v>456</v>
      </c>
      <c r="AD604" t="s">
        <v>457</v>
      </c>
    </row>
    <row r="605" spans="1:30" x14ac:dyDescent="0.25">
      <c r="A605" t="s">
        <v>2826</v>
      </c>
      <c r="B605" t="s">
        <v>25</v>
      </c>
      <c r="C605" t="s">
        <v>26</v>
      </c>
      <c r="D605" t="s">
        <v>39</v>
      </c>
      <c r="E605" t="s">
        <v>2827</v>
      </c>
      <c r="F605" t="s">
        <v>2828</v>
      </c>
      <c r="G605">
        <v>43735242</v>
      </c>
      <c r="H605" t="s">
        <v>2829</v>
      </c>
      <c r="I605" s="4" t="s">
        <v>35</v>
      </c>
      <c r="J605" s="4" t="s">
        <v>2830</v>
      </c>
      <c r="K605" t="s">
        <v>2831</v>
      </c>
      <c r="L605" t="s">
        <v>27</v>
      </c>
      <c r="M605" t="s">
        <v>2832</v>
      </c>
      <c r="N605" t="s">
        <v>28</v>
      </c>
      <c r="O605" t="s">
        <v>40</v>
      </c>
      <c r="P605" t="s">
        <v>41</v>
      </c>
      <c r="Q605" t="s">
        <v>31</v>
      </c>
      <c r="R605">
        <v>5</v>
      </c>
      <c r="S605" t="s">
        <v>2833</v>
      </c>
      <c r="T605" t="s">
        <v>4849</v>
      </c>
      <c r="U605" t="s">
        <v>2603</v>
      </c>
      <c r="V605" t="s">
        <v>50</v>
      </c>
      <c r="W605" t="s">
        <v>33</v>
      </c>
      <c r="X605" t="s">
        <v>33</v>
      </c>
      <c r="Y605" t="s">
        <v>33</v>
      </c>
      <c r="Z605" s="5" t="s">
        <v>34</v>
      </c>
      <c r="AA605">
        <v>-75.629223409999994</v>
      </c>
      <c r="AB605">
        <v>6.2538538199999998</v>
      </c>
      <c r="AC605" t="s">
        <v>456</v>
      </c>
      <c r="AD605" t="s">
        <v>457</v>
      </c>
    </row>
    <row r="606" spans="1:30" x14ac:dyDescent="0.25">
      <c r="A606" t="s">
        <v>3436</v>
      </c>
      <c r="B606" t="s">
        <v>95</v>
      </c>
      <c r="C606" t="s">
        <v>26</v>
      </c>
      <c r="D606" t="s">
        <v>96</v>
      </c>
      <c r="E606" t="s">
        <v>3437</v>
      </c>
      <c r="F606" t="s">
        <v>3438</v>
      </c>
      <c r="G606">
        <v>71782981</v>
      </c>
      <c r="H606" t="s">
        <v>3439</v>
      </c>
      <c r="I606" s="4" t="s">
        <v>35</v>
      </c>
      <c r="J606" s="4" t="s">
        <v>3440</v>
      </c>
      <c r="K606" t="s">
        <v>3441</v>
      </c>
      <c r="L606" t="s">
        <v>27</v>
      </c>
      <c r="M606" t="s">
        <v>3442</v>
      </c>
      <c r="N606" t="s">
        <v>28</v>
      </c>
      <c r="O606" t="s">
        <v>103</v>
      </c>
      <c r="P606" t="s">
        <v>120</v>
      </c>
      <c r="Q606" t="s">
        <v>31</v>
      </c>
      <c r="R606">
        <v>9</v>
      </c>
      <c r="S606" t="s">
        <v>3443</v>
      </c>
      <c r="T606" t="s">
        <v>445</v>
      </c>
      <c r="U606" t="s">
        <v>7008</v>
      </c>
      <c r="V606" t="s">
        <v>32</v>
      </c>
      <c r="W606" t="s">
        <v>33</v>
      </c>
      <c r="X606" t="s">
        <v>33</v>
      </c>
      <c r="Y606" t="s">
        <v>33</v>
      </c>
      <c r="Z606" s="5" t="s">
        <v>34</v>
      </c>
      <c r="AA606">
        <v>-75.633086000000006</v>
      </c>
      <c r="AB606">
        <v>6.2720469999999997</v>
      </c>
      <c r="AC606" t="s">
        <v>456</v>
      </c>
      <c r="AD606" t="s">
        <v>457</v>
      </c>
    </row>
    <row r="607" spans="1:30" x14ac:dyDescent="0.25">
      <c r="A607" t="s">
        <v>2835</v>
      </c>
      <c r="B607" t="s">
        <v>81</v>
      </c>
      <c r="C607" t="s">
        <v>26</v>
      </c>
      <c r="D607" t="s">
        <v>81</v>
      </c>
      <c r="E607" t="s">
        <v>2836</v>
      </c>
      <c r="F607" t="s">
        <v>2837</v>
      </c>
      <c r="G607">
        <v>71368468</v>
      </c>
      <c r="H607" t="s">
        <v>2838</v>
      </c>
      <c r="I607" s="4" t="s">
        <v>35</v>
      </c>
      <c r="J607" s="4" t="s">
        <v>2839</v>
      </c>
      <c r="K607" t="s">
        <v>2840</v>
      </c>
      <c r="L607" t="s">
        <v>27</v>
      </c>
      <c r="M607" t="s">
        <v>2841</v>
      </c>
      <c r="N607" t="s">
        <v>28</v>
      </c>
      <c r="O607" t="s">
        <v>82</v>
      </c>
      <c r="P607" t="s">
        <v>83</v>
      </c>
      <c r="Q607" t="s">
        <v>31</v>
      </c>
      <c r="R607">
        <v>4</v>
      </c>
      <c r="S607" t="s">
        <v>2842</v>
      </c>
      <c r="T607" t="s">
        <v>445</v>
      </c>
      <c r="U607" t="s">
        <v>4852</v>
      </c>
      <c r="V607" t="s">
        <v>50</v>
      </c>
      <c r="W607" t="s">
        <v>33</v>
      </c>
      <c r="X607" t="s">
        <v>33</v>
      </c>
      <c r="Y607" t="s">
        <v>33</v>
      </c>
      <c r="Z607" s="5" t="s">
        <v>34</v>
      </c>
      <c r="AA607">
        <v>-75.637497999999994</v>
      </c>
      <c r="AB607">
        <v>6.2758700000000003</v>
      </c>
      <c r="AC607" t="s">
        <v>456</v>
      </c>
      <c r="AD607" t="s">
        <v>457</v>
      </c>
    </row>
    <row r="608" spans="1:30" x14ac:dyDescent="0.25">
      <c r="A608" t="s">
        <v>2843</v>
      </c>
      <c r="B608" t="s">
        <v>25</v>
      </c>
      <c r="C608" t="s">
        <v>26</v>
      </c>
      <c r="D608" t="s">
        <v>39</v>
      </c>
      <c r="E608" t="s">
        <v>2844</v>
      </c>
      <c r="F608" t="s">
        <v>2845</v>
      </c>
      <c r="G608">
        <v>1017225647</v>
      </c>
      <c r="H608" t="s">
        <v>2846</v>
      </c>
      <c r="I608" s="4" t="s">
        <v>35</v>
      </c>
      <c r="J608" s="4" t="s">
        <v>2847</v>
      </c>
      <c r="K608" t="s">
        <v>2848</v>
      </c>
      <c r="L608" t="s">
        <v>27</v>
      </c>
      <c r="M608" t="s">
        <v>2849</v>
      </c>
      <c r="N608" t="s">
        <v>28</v>
      </c>
      <c r="O608" t="s">
        <v>40</v>
      </c>
      <c r="P608" t="s">
        <v>41</v>
      </c>
      <c r="Q608" t="s">
        <v>31</v>
      </c>
      <c r="R608">
        <v>5</v>
      </c>
      <c r="S608" t="s">
        <v>2850</v>
      </c>
      <c r="T608" t="s">
        <v>4887</v>
      </c>
      <c r="U608" t="s">
        <v>4886</v>
      </c>
      <c r="V608" t="s">
        <v>50</v>
      </c>
      <c r="W608" t="s">
        <v>33</v>
      </c>
      <c r="X608" t="s">
        <v>33</v>
      </c>
      <c r="Y608" t="s">
        <v>33</v>
      </c>
      <c r="Z608" s="5" t="s">
        <v>34</v>
      </c>
      <c r="AA608">
        <v>-75.538747999999998</v>
      </c>
      <c r="AB608">
        <v>6.2501550000000003</v>
      </c>
      <c r="AC608" t="s">
        <v>456</v>
      </c>
      <c r="AD608" t="s">
        <v>457</v>
      </c>
    </row>
    <row r="609" spans="1:30" x14ac:dyDescent="0.25">
      <c r="A609" t="s">
        <v>2852</v>
      </c>
      <c r="B609" t="s">
        <v>81</v>
      </c>
      <c r="C609" t="s">
        <v>26</v>
      </c>
      <c r="D609" t="s">
        <v>81</v>
      </c>
      <c r="E609" t="s">
        <v>2853</v>
      </c>
      <c r="F609" t="s">
        <v>2854</v>
      </c>
      <c r="G609">
        <v>14467832</v>
      </c>
      <c r="H609" t="s">
        <v>2855</v>
      </c>
      <c r="I609" s="4" t="s">
        <v>35</v>
      </c>
      <c r="J609" s="4" t="s">
        <v>2856</v>
      </c>
      <c r="K609" t="s">
        <v>2857</v>
      </c>
      <c r="L609" t="s">
        <v>27</v>
      </c>
      <c r="M609" t="s">
        <v>2858</v>
      </c>
      <c r="N609" t="s">
        <v>28</v>
      </c>
      <c r="O609" t="s">
        <v>82</v>
      </c>
      <c r="P609" t="s">
        <v>83</v>
      </c>
      <c r="Q609" t="s">
        <v>31</v>
      </c>
      <c r="R609">
        <v>4</v>
      </c>
      <c r="S609" t="s">
        <v>2859</v>
      </c>
      <c r="T609" t="s">
        <v>1908</v>
      </c>
      <c r="U609" t="s">
        <v>4854</v>
      </c>
      <c r="V609" t="s">
        <v>50</v>
      </c>
      <c r="W609" t="s">
        <v>33</v>
      </c>
      <c r="X609" t="s">
        <v>33</v>
      </c>
      <c r="Y609" t="s">
        <v>33</v>
      </c>
      <c r="Z609" s="5" t="s">
        <v>34</v>
      </c>
      <c r="AA609">
        <v>-75.571375110000005</v>
      </c>
      <c r="AB609">
        <v>6.2404298300000001</v>
      </c>
      <c r="AC609" t="s">
        <v>456</v>
      </c>
      <c r="AD609" t="s">
        <v>457</v>
      </c>
    </row>
    <row r="610" spans="1:30" x14ac:dyDescent="0.25">
      <c r="A610" t="s">
        <v>2860</v>
      </c>
      <c r="B610" t="s">
        <v>25</v>
      </c>
      <c r="C610" t="s">
        <v>26</v>
      </c>
      <c r="D610" t="s">
        <v>39</v>
      </c>
      <c r="E610" t="s">
        <v>2861</v>
      </c>
      <c r="F610" t="s">
        <v>2862</v>
      </c>
      <c r="G610">
        <v>1032180151</v>
      </c>
      <c r="H610" t="s">
        <v>2863</v>
      </c>
      <c r="I610" s="4" t="s">
        <v>35</v>
      </c>
      <c r="J610" s="4" t="s">
        <v>2864</v>
      </c>
      <c r="K610" t="s">
        <v>2865</v>
      </c>
      <c r="L610" t="s">
        <v>27</v>
      </c>
      <c r="M610" t="s">
        <v>2866</v>
      </c>
      <c r="N610" t="s">
        <v>28</v>
      </c>
      <c r="O610" t="s">
        <v>40</v>
      </c>
      <c r="P610" t="s">
        <v>41</v>
      </c>
      <c r="Q610" t="s">
        <v>31</v>
      </c>
      <c r="R610">
        <v>5</v>
      </c>
      <c r="S610" t="s">
        <v>2867</v>
      </c>
      <c r="T610" t="s">
        <v>2536</v>
      </c>
      <c r="U610" t="s">
        <v>4822</v>
      </c>
      <c r="V610" t="s">
        <v>50</v>
      </c>
      <c r="W610" t="s">
        <v>33</v>
      </c>
      <c r="X610" t="s">
        <v>33</v>
      </c>
      <c r="Y610" t="s">
        <v>33</v>
      </c>
      <c r="Z610" s="5" t="s">
        <v>34</v>
      </c>
      <c r="AA610">
        <v>-75.534552000000005</v>
      </c>
      <c r="AB610">
        <v>6.2368209999999999</v>
      </c>
      <c r="AC610" t="s">
        <v>456</v>
      </c>
      <c r="AD610" t="s">
        <v>457</v>
      </c>
    </row>
    <row r="611" spans="1:30" x14ac:dyDescent="0.25">
      <c r="A611" t="s">
        <v>2868</v>
      </c>
      <c r="B611" t="s">
        <v>25</v>
      </c>
      <c r="C611" t="s">
        <v>26</v>
      </c>
      <c r="D611" t="s">
        <v>39</v>
      </c>
      <c r="E611" t="s">
        <v>2869</v>
      </c>
      <c r="F611" t="s">
        <v>2870</v>
      </c>
      <c r="G611">
        <v>1017225647</v>
      </c>
      <c r="H611" t="s">
        <v>2846</v>
      </c>
      <c r="I611" s="4" t="s">
        <v>35</v>
      </c>
      <c r="J611" s="4" t="s">
        <v>2847</v>
      </c>
      <c r="K611" t="s">
        <v>2871</v>
      </c>
      <c r="L611" t="s">
        <v>27</v>
      </c>
      <c r="M611" t="s">
        <v>2872</v>
      </c>
      <c r="N611" t="s">
        <v>28</v>
      </c>
      <c r="O611" t="s">
        <v>40</v>
      </c>
      <c r="P611" t="s">
        <v>41</v>
      </c>
      <c r="Q611" t="s">
        <v>31</v>
      </c>
      <c r="R611">
        <v>5</v>
      </c>
      <c r="S611" t="s">
        <v>2873</v>
      </c>
      <c r="T611" t="s">
        <v>4889</v>
      </c>
      <c r="U611" t="s">
        <v>4888</v>
      </c>
      <c r="V611" t="s">
        <v>50</v>
      </c>
      <c r="W611" t="s">
        <v>33</v>
      </c>
      <c r="X611" t="s">
        <v>33</v>
      </c>
      <c r="Y611" t="s">
        <v>33</v>
      </c>
      <c r="Z611" s="5" t="s">
        <v>34</v>
      </c>
      <c r="AA611">
        <v>-75.538747999999998</v>
      </c>
      <c r="AB611">
        <v>6.2501550000000003</v>
      </c>
      <c r="AC611" t="s">
        <v>456</v>
      </c>
      <c r="AD611" t="s">
        <v>457</v>
      </c>
    </row>
    <row r="612" spans="1:30" x14ac:dyDescent="0.25">
      <c r="A612" t="s">
        <v>2874</v>
      </c>
      <c r="B612" t="s">
        <v>25</v>
      </c>
      <c r="C612" t="s">
        <v>26</v>
      </c>
      <c r="D612" t="s">
        <v>39</v>
      </c>
      <c r="E612" t="s">
        <v>2875</v>
      </c>
      <c r="F612" t="s">
        <v>2876</v>
      </c>
      <c r="G612">
        <v>1018224595</v>
      </c>
      <c r="H612" t="s">
        <v>2877</v>
      </c>
      <c r="I612" s="4" t="s">
        <v>35</v>
      </c>
      <c r="J612" s="4" t="s">
        <v>2878</v>
      </c>
      <c r="K612" t="s">
        <v>2879</v>
      </c>
      <c r="L612" t="s">
        <v>27</v>
      </c>
      <c r="M612" t="s">
        <v>2880</v>
      </c>
      <c r="N612" t="s">
        <v>28</v>
      </c>
      <c r="O612" t="s">
        <v>40</v>
      </c>
      <c r="P612" t="s">
        <v>41</v>
      </c>
      <c r="Q612" t="s">
        <v>31</v>
      </c>
      <c r="R612">
        <v>5</v>
      </c>
      <c r="S612" t="s">
        <v>2881</v>
      </c>
      <c r="T612" t="s">
        <v>4890</v>
      </c>
      <c r="U612" t="s">
        <v>2501</v>
      </c>
      <c r="V612" t="s">
        <v>50</v>
      </c>
      <c r="W612" t="s">
        <v>33</v>
      </c>
      <c r="X612" t="s">
        <v>33</v>
      </c>
      <c r="Y612" t="s">
        <v>33</v>
      </c>
      <c r="Z612" s="5" t="s">
        <v>34</v>
      </c>
      <c r="AA612">
        <v>-75.623482999999993</v>
      </c>
      <c r="AB612">
        <v>6.2829459999999999</v>
      </c>
      <c r="AC612" t="s">
        <v>456</v>
      </c>
      <c r="AD612" t="s">
        <v>457</v>
      </c>
    </row>
    <row r="613" spans="1:30" x14ac:dyDescent="0.25">
      <c r="A613" t="s">
        <v>3444</v>
      </c>
      <c r="B613" t="s">
        <v>95</v>
      </c>
      <c r="C613" t="s">
        <v>26</v>
      </c>
      <c r="D613" t="s">
        <v>96</v>
      </c>
      <c r="E613" t="s">
        <v>3445</v>
      </c>
      <c r="F613" t="s">
        <v>3446</v>
      </c>
      <c r="G613">
        <v>71383281</v>
      </c>
      <c r="H613" t="s">
        <v>3447</v>
      </c>
      <c r="I613" s="4" t="s">
        <v>3448</v>
      </c>
      <c r="J613" s="4" t="s">
        <v>3449</v>
      </c>
      <c r="K613" t="s">
        <v>3450</v>
      </c>
      <c r="L613" t="s">
        <v>27</v>
      </c>
      <c r="M613" t="s">
        <v>3451</v>
      </c>
      <c r="N613" t="s">
        <v>28</v>
      </c>
      <c r="O613" t="s">
        <v>103</v>
      </c>
      <c r="P613" t="s">
        <v>158</v>
      </c>
      <c r="Q613" t="s">
        <v>31</v>
      </c>
      <c r="R613">
        <v>9</v>
      </c>
      <c r="S613" t="s">
        <v>3452</v>
      </c>
      <c r="T613" t="s">
        <v>7009</v>
      </c>
      <c r="U613" t="s">
        <v>4937</v>
      </c>
      <c r="V613" t="s">
        <v>32</v>
      </c>
      <c r="W613" t="s">
        <v>33</v>
      </c>
      <c r="X613" t="s">
        <v>33</v>
      </c>
      <c r="Y613" t="s">
        <v>33</v>
      </c>
      <c r="Z613" s="5" t="s">
        <v>34</v>
      </c>
      <c r="AA613">
        <v>-75.545281090000003</v>
      </c>
      <c r="AB613">
        <v>6.2494240799999998</v>
      </c>
      <c r="AC613" t="s">
        <v>456</v>
      </c>
      <c r="AD613" t="s">
        <v>457</v>
      </c>
    </row>
    <row r="614" spans="1:30" x14ac:dyDescent="0.25">
      <c r="A614" t="s">
        <v>2883</v>
      </c>
      <c r="B614" t="s">
        <v>25</v>
      </c>
      <c r="C614" t="s">
        <v>26</v>
      </c>
      <c r="D614" t="s">
        <v>39</v>
      </c>
      <c r="E614" t="s">
        <v>2884</v>
      </c>
      <c r="F614" t="s">
        <v>2885</v>
      </c>
      <c r="G614">
        <v>1000872821</v>
      </c>
      <c r="H614" t="s">
        <v>2886</v>
      </c>
      <c r="I614" s="4" t="s">
        <v>2887</v>
      </c>
      <c r="J614" s="4" t="s">
        <v>2888</v>
      </c>
      <c r="K614" t="s">
        <v>2889</v>
      </c>
      <c r="L614" t="s">
        <v>27</v>
      </c>
      <c r="M614" t="s">
        <v>2890</v>
      </c>
      <c r="N614" t="s">
        <v>28</v>
      </c>
      <c r="O614" t="s">
        <v>40</v>
      </c>
      <c r="P614" t="s">
        <v>41</v>
      </c>
      <c r="Q614" t="s">
        <v>31</v>
      </c>
      <c r="R614">
        <v>5</v>
      </c>
      <c r="S614" t="s">
        <v>2891</v>
      </c>
      <c r="T614" t="s">
        <v>2900</v>
      </c>
      <c r="U614" t="s">
        <v>4649</v>
      </c>
      <c r="V614" t="s">
        <v>50</v>
      </c>
      <c r="W614" t="s">
        <v>33</v>
      </c>
      <c r="X614" t="s">
        <v>33</v>
      </c>
      <c r="Y614" t="s">
        <v>33</v>
      </c>
      <c r="Z614" s="5" t="s">
        <v>34</v>
      </c>
      <c r="AA614">
        <v>-75.528863029999997</v>
      </c>
      <c r="AB614">
        <v>6.2364729800000003</v>
      </c>
      <c r="AC614" t="s">
        <v>456</v>
      </c>
      <c r="AD614" t="s">
        <v>457</v>
      </c>
    </row>
    <row r="615" spans="1:30" x14ac:dyDescent="0.25">
      <c r="A615" t="s">
        <v>2892</v>
      </c>
      <c r="B615" t="s">
        <v>81</v>
      </c>
      <c r="C615" t="s">
        <v>26</v>
      </c>
      <c r="D615" t="s">
        <v>81</v>
      </c>
      <c r="E615" t="s">
        <v>2893</v>
      </c>
      <c r="F615" t="s">
        <v>2360</v>
      </c>
      <c r="G615">
        <v>70099122</v>
      </c>
      <c r="H615" t="s">
        <v>2894</v>
      </c>
      <c r="I615" s="4" t="s">
        <v>2895</v>
      </c>
      <c r="J615" s="4" t="s">
        <v>2896</v>
      </c>
      <c r="K615" t="s">
        <v>2897</v>
      </c>
      <c r="L615" t="s">
        <v>27</v>
      </c>
      <c r="M615" t="s">
        <v>2898</v>
      </c>
      <c r="N615" t="s">
        <v>28</v>
      </c>
      <c r="O615" t="s">
        <v>82</v>
      </c>
      <c r="P615" t="s">
        <v>83</v>
      </c>
      <c r="Q615" t="s">
        <v>31</v>
      </c>
      <c r="R615">
        <v>4</v>
      </c>
      <c r="S615" t="s">
        <v>2899</v>
      </c>
      <c r="T615" t="s">
        <v>2900</v>
      </c>
      <c r="U615" t="s">
        <v>7010</v>
      </c>
      <c r="V615" t="s">
        <v>50</v>
      </c>
      <c r="W615" t="s">
        <v>33</v>
      </c>
      <c r="X615" t="s">
        <v>33</v>
      </c>
      <c r="Y615" t="s">
        <v>33</v>
      </c>
      <c r="Z615" s="5" t="s">
        <v>34</v>
      </c>
      <c r="AA615">
        <v>-75.566483109999993</v>
      </c>
      <c r="AB615">
        <v>6.2477560299999997</v>
      </c>
      <c r="AC615" t="s">
        <v>456</v>
      </c>
      <c r="AD615" t="s">
        <v>457</v>
      </c>
    </row>
    <row r="616" spans="1:30" x14ac:dyDescent="0.25">
      <c r="A616" t="s">
        <v>2901</v>
      </c>
      <c r="B616" t="s">
        <v>25</v>
      </c>
      <c r="C616" t="s">
        <v>26</v>
      </c>
      <c r="D616" t="s">
        <v>39</v>
      </c>
      <c r="E616" t="s">
        <v>2902</v>
      </c>
      <c r="F616" t="s">
        <v>2903</v>
      </c>
      <c r="G616">
        <v>70876679</v>
      </c>
      <c r="H616" t="s">
        <v>2904</v>
      </c>
      <c r="I616" s="4" t="s">
        <v>35</v>
      </c>
      <c r="J616" s="4" t="s">
        <v>2905</v>
      </c>
      <c r="K616" t="s">
        <v>2906</v>
      </c>
      <c r="L616" t="s">
        <v>27</v>
      </c>
      <c r="M616" t="s">
        <v>2907</v>
      </c>
      <c r="N616" t="s">
        <v>28</v>
      </c>
      <c r="O616" t="s">
        <v>40</v>
      </c>
      <c r="P616" t="s">
        <v>41</v>
      </c>
      <c r="Q616" t="s">
        <v>31</v>
      </c>
      <c r="R616">
        <v>5</v>
      </c>
      <c r="S616" t="s">
        <v>2908</v>
      </c>
      <c r="T616" t="s">
        <v>4892</v>
      </c>
      <c r="U616" t="s">
        <v>4891</v>
      </c>
      <c r="V616" t="s">
        <v>50</v>
      </c>
      <c r="W616" t="s">
        <v>33</v>
      </c>
      <c r="X616" t="s">
        <v>33</v>
      </c>
      <c r="Y616" t="s">
        <v>33</v>
      </c>
      <c r="Z616" s="5" t="s">
        <v>34</v>
      </c>
      <c r="AA616">
        <v>-75.649239179999995</v>
      </c>
      <c r="AB616">
        <v>6.1701818299999998</v>
      </c>
      <c r="AC616" t="s">
        <v>456</v>
      </c>
      <c r="AD616" t="s">
        <v>457</v>
      </c>
    </row>
    <row r="617" spans="1:30" x14ac:dyDescent="0.25">
      <c r="A617" t="s">
        <v>3454</v>
      </c>
      <c r="B617" t="s">
        <v>95</v>
      </c>
      <c r="C617" t="s">
        <v>26</v>
      </c>
      <c r="D617" t="s">
        <v>96</v>
      </c>
      <c r="E617" t="s">
        <v>3455</v>
      </c>
      <c r="F617" t="s">
        <v>3456</v>
      </c>
      <c r="G617">
        <v>71273909</v>
      </c>
      <c r="H617" t="s">
        <v>3457</v>
      </c>
      <c r="I617" s="4" t="s">
        <v>3458</v>
      </c>
      <c r="J617" s="4" t="s">
        <v>3459</v>
      </c>
      <c r="K617" t="s">
        <v>3460</v>
      </c>
      <c r="L617" t="s">
        <v>44</v>
      </c>
      <c r="M617" t="s">
        <v>3461</v>
      </c>
      <c r="N617" t="s">
        <v>45</v>
      </c>
      <c r="O617" t="s">
        <v>103</v>
      </c>
      <c r="P617" t="s">
        <v>158</v>
      </c>
      <c r="Q617" t="s">
        <v>31</v>
      </c>
      <c r="R617">
        <v>9</v>
      </c>
      <c r="S617" t="s">
        <v>3462</v>
      </c>
      <c r="T617" t="s">
        <v>7011</v>
      </c>
      <c r="U617" t="s">
        <v>7012</v>
      </c>
      <c r="V617" t="s">
        <v>32</v>
      </c>
      <c r="W617" t="s">
        <v>33</v>
      </c>
      <c r="X617" t="s">
        <v>33</v>
      </c>
      <c r="Y617" t="s">
        <v>33</v>
      </c>
      <c r="Z617" s="5" t="s">
        <v>34</v>
      </c>
      <c r="AA617">
        <v>-75.628490999999997</v>
      </c>
      <c r="AB617">
        <v>6.1622680000000001</v>
      </c>
      <c r="AC617" t="s">
        <v>456</v>
      </c>
      <c r="AD617" t="s">
        <v>457</v>
      </c>
    </row>
    <row r="618" spans="1:30" x14ac:dyDescent="0.25">
      <c r="A618" t="s">
        <v>3463</v>
      </c>
      <c r="B618" t="s">
        <v>25</v>
      </c>
      <c r="C618" t="s">
        <v>26</v>
      </c>
      <c r="D618" t="s">
        <v>25</v>
      </c>
      <c r="E618" t="s">
        <v>3464</v>
      </c>
      <c r="F618" t="s">
        <v>3465</v>
      </c>
      <c r="G618">
        <v>98529708</v>
      </c>
      <c r="H618" t="s">
        <v>3466</v>
      </c>
      <c r="I618" s="4" t="s">
        <v>35</v>
      </c>
      <c r="J618" s="4" t="s">
        <v>3467</v>
      </c>
      <c r="K618" t="s">
        <v>3468</v>
      </c>
      <c r="L618" t="s">
        <v>44</v>
      </c>
      <c r="M618" t="s">
        <v>3469</v>
      </c>
      <c r="N618" t="s">
        <v>45</v>
      </c>
      <c r="O618" t="s">
        <v>29</v>
      </c>
      <c r="P618" t="s">
        <v>37</v>
      </c>
      <c r="Q618" t="s">
        <v>31</v>
      </c>
      <c r="R618">
        <v>7</v>
      </c>
      <c r="S618" t="s">
        <v>3470</v>
      </c>
      <c r="T618" t="s">
        <v>4813</v>
      </c>
      <c r="U618" t="s">
        <v>4814</v>
      </c>
      <c r="V618" t="s">
        <v>32</v>
      </c>
      <c r="W618" t="s">
        <v>33</v>
      </c>
      <c r="X618" t="s">
        <v>33</v>
      </c>
      <c r="Y618" t="s">
        <v>33</v>
      </c>
      <c r="Z618" s="5" t="s">
        <v>34</v>
      </c>
      <c r="AA618">
        <v>-75.629425139999995</v>
      </c>
      <c r="AB618">
        <v>6.1640009300000003</v>
      </c>
      <c r="AC618" t="s">
        <v>456</v>
      </c>
      <c r="AD618" t="s">
        <v>457</v>
      </c>
    </row>
    <row r="619" spans="1:30" x14ac:dyDescent="0.25">
      <c r="A619" t="s">
        <v>2912</v>
      </c>
      <c r="B619" t="s">
        <v>25</v>
      </c>
      <c r="C619" t="s">
        <v>26</v>
      </c>
      <c r="D619" t="s">
        <v>25</v>
      </c>
      <c r="E619" t="s">
        <v>2913</v>
      </c>
      <c r="F619" t="s">
        <v>2914</v>
      </c>
      <c r="G619">
        <v>71398395</v>
      </c>
      <c r="H619" t="s">
        <v>2915</v>
      </c>
      <c r="I619" s="4" t="s">
        <v>35</v>
      </c>
      <c r="J619" s="4" t="s">
        <v>2916</v>
      </c>
      <c r="K619" t="s">
        <v>2917</v>
      </c>
      <c r="L619" t="s">
        <v>77</v>
      </c>
      <c r="M619" t="s">
        <v>2918</v>
      </c>
      <c r="N619" t="s">
        <v>78</v>
      </c>
      <c r="O619" t="s">
        <v>29</v>
      </c>
      <c r="P619" t="s">
        <v>36</v>
      </c>
      <c r="Q619" t="s">
        <v>38</v>
      </c>
      <c r="R619">
        <v>10</v>
      </c>
      <c r="S619" t="s">
        <v>2919</v>
      </c>
      <c r="T619" t="s">
        <v>7013</v>
      </c>
      <c r="U619" t="s">
        <v>5536</v>
      </c>
      <c r="V619" t="s">
        <v>32</v>
      </c>
      <c r="W619" t="s">
        <v>33</v>
      </c>
      <c r="X619" t="s">
        <v>33</v>
      </c>
      <c r="Y619" t="s">
        <v>33</v>
      </c>
      <c r="Z619" s="5" t="s">
        <v>34</v>
      </c>
      <c r="AA619">
        <v>-75.640042679999993</v>
      </c>
      <c r="AB619">
        <v>6.08206633</v>
      </c>
      <c r="AC619" t="s">
        <v>456</v>
      </c>
      <c r="AD619" t="s">
        <v>457</v>
      </c>
    </row>
    <row r="620" spans="1:30" x14ac:dyDescent="0.25">
      <c r="A620" t="s">
        <v>2921</v>
      </c>
      <c r="B620" t="s">
        <v>42</v>
      </c>
      <c r="C620" t="s">
        <v>26</v>
      </c>
      <c r="D620" t="s">
        <v>42</v>
      </c>
      <c r="E620" t="s">
        <v>2913</v>
      </c>
      <c r="F620" t="s">
        <v>2914</v>
      </c>
      <c r="G620">
        <v>71398395</v>
      </c>
      <c r="H620" t="s">
        <v>2915</v>
      </c>
      <c r="I620" s="4" t="s">
        <v>35</v>
      </c>
      <c r="J620" s="4" t="s">
        <v>2916</v>
      </c>
      <c r="K620" t="s">
        <v>2922</v>
      </c>
      <c r="L620" t="s">
        <v>77</v>
      </c>
      <c r="M620" t="s">
        <v>2923</v>
      </c>
      <c r="N620" t="s">
        <v>78</v>
      </c>
      <c r="O620" t="s">
        <v>43</v>
      </c>
      <c r="P620" t="s">
        <v>36</v>
      </c>
      <c r="Q620" t="s">
        <v>38</v>
      </c>
      <c r="R620">
        <v>10</v>
      </c>
      <c r="S620" t="s">
        <v>2919</v>
      </c>
      <c r="T620" t="s">
        <v>7013</v>
      </c>
      <c r="U620" t="s">
        <v>5536</v>
      </c>
      <c r="V620" t="s">
        <v>32</v>
      </c>
      <c r="W620" t="s">
        <v>33</v>
      </c>
      <c r="X620" t="s">
        <v>33</v>
      </c>
      <c r="Y620" t="s">
        <v>33</v>
      </c>
      <c r="Z620" s="5" t="s">
        <v>34</v>
      </c>
      <c r="AA620">
        <v>-75.640042679999993</v>
      </c>
      <c r="AB620">
        <v>6.08206633</v>
      </c>
      <c r="AC620" t="s">
        <v>456</v>
      </c>
      <c r="AD620" t="s">
        <v>457</v>
      </c>
    </row>
    <row r="621" spans="1:30" x14ac:dyDescent="0.25">
      <c r="A621" t="s">
        <v>2924</v>
      </c>
      <c r="B621" t="s">
        <v>25</v>
      </c>
      <c r="C621" t="s">
        <v>26</v>
      </c>
      <c r="D621" t="s">
        <v>25</v>
      </c>
      <c r="E621" t="s">
        <v>2913</v>
      </c>
      <c r="F621" t="s">
        <v>2914</v>
      </c>
      <c r="G621">
        <v>71398395</v>
      </c>
      <c r="H621" t="s">
        <v>2915</v>
      </c>
      <c r="I621" s="4" t="s">
        <v>35</v>
      </c>
      <c r="J621" s="4" t="s">
        <v>2916</v>
      </c>
      <c r="K621" t="s">
        <v>2925</v>
      </c>
      <c r="L621" t="s">
        <v>77</v>
      </c>
      <c r="M621" t="s">
        <v>2926</v>
      </c>
      <c r="N621" t="s">
        <v>78</v>
      </c>
      <c r="O621" t="s">
        <v>29</v>
      </c>
      <c r="P621" t="s">
        <v>36</v>
      </c>
      <c r="Q621" t="s">
        <v>38</v>
      </c>
      <c r="R621">
        <v>10</v>
      </c>
      <c r="S621" t="s">
        <v>2919</v>
      </c>
      <c r="T621" t="s">
        <v>7013</v>
      </c>
      <c r="U621" t="s">
        <v>5536</v>
      </c>
      <c r="V621" t="s">
        <v>32</v>
      </c>
      <c r="W621" t="s">
        <v>33</v>
      </c>
      <c r="X621" t="s">
        <v>33</v>
      </c>
      <c r="Y621" t="s">
        <v>33</v>
      </c>
      <c r="Z621" s="5" t="s">
        <v>34</v>
      </c>
      <c r="AA621">
        <v>-75.640042679999993</v>
      </c>
      <c r="AB621">
        <v>6.08206633</v>
      </c>
      <c r="AC621" t="s">
        <v>456</v>
      </c>
      <c r="AD621" t="s">
        <v>457</v>
      </c>
    </row>
    <row r="622" spans="1:30" x14ac:dyDescent="0.25">
      <c r="A622" t="s">
        <v>2927</v>
      </c>
      <c r="B622" t="s">
        <v>25</v>
      </c>
      <c r="C622" t="s">
        <v>26</v>
      </c>
      <c r="D622" t="s">
        <v>25</v>
      </c>
      <c r="E622" t="s">
        <v>2928</v>
      </c>
      <c r="F622" t="s">
        <v>2929</v>
      </c>
      <c r="G622">
        <v>71398395</v>
      </c>
      <c r="H622" t="s">
        <v>2915</v>
      </c>
      <c r="I622" s="4" t="s">
        <v>35</v>
      </c>
      <c r="J622" s="4" t="s">
        <v>2916</v>
      </c>
      <c r="K622" t="s">
        <v>2930</v>
      </c>
      <c r="L622" t="s">
        <v>77</v>
      </c>
      <c r="M622" t="s">
        <v>2931</v>
      </c>
      <c r="N622" t="s">
        <v>78</v>
      </c>
      <c r="O622" t="s">
        <v>29</v>
      </c>
      <c r="P622" t="s">
        <v>36</v>
      </c>
      <c r="Q622" t="s">
        <v>38</v>
      </c>
      <c r="R622">
        <v>10</v>
      </c>
      <c r="S622" t="s">
        <v>2932</v>
      </c>
      <c r="T622" t="s">
        <v>7014</v>
      </c>
      <c r="U622" t="s">
        <v>7015</v>
      </c>
      <c r="V622" t="s">
        <v>32</v>
      </c>
      <c r="W622" t="s">
        <v>33</v>
      </c>
      <c r="X622" t="s">
        <v>33</v>
      </c>
      <c r="Y622" t="s">
        <v>33</v>
      </c>
      <c r="Z622" s="5" t="s">
        <v>34</v>
      </c>
      <c r="AA622">
        <v>-75.640042679999993</v>
      </c>
      <c r="AB622">
        <v>6.08206633</v>
      </c>
      <c r="AC622" t="s">
        <v>456</v>
      </c>
      <c r="AD622" t="s">
        <v>457</v>
      </c>
    </row>
    <row r="623" spans="1:30" x14ac:dyDescent="0.25">
      <c r="A623" t="s">
        <v>3471</v>
      </c>
      <c r="B623" t="s">
        <v>25</v>
      </c>
      <c r="C623" t="s">
        <v>26</v>
      </c>
      <c r="D623" t="s">
        <v>25</v>
      </c>
      <c r="E623" t="s">
        <v>3472</v>
      </c>
      <c r="F623" t="s">
        <v>3473</v>
      </c>
      <c r="G623">
        <v>70118254</v>
      </c>
      <c r="H623" t="s">
        <v>3474</v>
      </c>
      <c r="I623" s="4" t="s">
        <v>3475</v>
      </c>
      <c r="J623" s="4" t="s">
        <v>3476</v>
      </c>
      <c r="K623" t="s">
        <v>3477</v>
      </c>
      <c r="L623" t="s">
        <v>44</v>
      </c>
      <c r="M623" t="s">
        <v>3478</v>
      </c>
      <c r="N623" t="s">
        <v>45</v>
      </c>
      <c r="O623" t="s">
        <v>29</v>
      </c>
      <c r="P623" t="s">
        <v>37</v>
      </c>
      <c r="Q623" t="s">
        <v>31</v>
      </c>
      <c r="R623">
        <v>7</v>
      </c>
      <c r="S623" t="s">
        <v>3479</v>
      </c>
      <c r="T623" t="s">
        <v>7014</v>
      </c>
      <c r="U623" t="s">
        <v>7016</v>
      </c>
      <c r="V623" t="s">
        <v>32</v>
      </c>
      <c r="W623" t="s">
        <v>33</v>
      </c>
      <c r="X623" t="s">
        <v>33</v>
      </c>
      <c r="Y623" t="s">
        <v>33</v>
      </c>
      <c r="Z623" s="5" t="s">
        <v>34</v>
      </c>
      <c r="AA623">
        <v>-75.615879660000004</v>
      </c>
      <c r="AB623">
        <v>6.1740238999999999</v>
      </c>
      <c r="AC623" t="s">
        <v>456</v>
      </c>
      <c r="AD623" t="s">
        <v>457</v>
      </c>
    </row>
    <row r="624" spans="1:30" x14ac:dyDescent="0.25">
      <c r="A624" t="s">
        <v>2933</v>
      </c>
      <c r="B624" t="s">
        <v>25</v>
      </c>
      <c r="C624" t="s">
        <v>26</v>
      </c>
      <c r="D624" t="s">
        <v>25</v>
      </c>
      <c r="E624" t="s">
        <v>2934</v>
      </c>
      <c r="F624" t="s">
        <v>2935</v>
      </c>
      <c r="G624">
        <v>71398395</v>
      </c>
      <c r="H624" t="s">
        <v>2915</v>
      </c>
      <c r="I624" s="4" t="s">
        <v>35</v>
      </c>
      <c r="J624" s="4" t="s">
        <v>2916</v>
      </c>
      <c r="K624" t="s">
        <v>2936</v>
      </c>
      <c r="L624" t="s">
        <v>77</v>
      </c>
      <c r="M624" t="s">
        <v>2937</v>
      </c>
      <c r="N624" t="s">
        <v>78</v>
      </c>
      <c r="O624" t="s">
        <v>29</v>
      </c>
      <c r="P624" t="s">
        <v>36</v>
      </c>
      <c r="Q624" t="s">
        <v>38</v>
      </c>
      <c r="R624">
        <v>10</v>
      </c>
      <c r="S624" t="s">
        <v>2938</v>
      </c>
      <c r="T624" t="s">
        <v>4855</v>
      </c>
      <c r="U624" t="s">
        <v>7017</v>
      </c>
      <c r="V624" t="s">
        <v>32</v>
      </c>
      <c r="W624" t="s">
        <v>33</v>
      </c>
      <c r="X624" t="s">
        <v>33</v>
      </c>
      <c r="Y624" t="s">
        <v>33</v>
      </c>
      <c r="Z624" s="5" t="s">
        <v>34</v>
      </c>
      <c r="AA624">
        <v>-75.640042679999993</v>
      </c>
      <c r="AB624">
        <v>6.08206633</v>
      </c>
      <c r="AC624" t="s">
        <v>456</v>
      </c>
      <c r="AD624" t="s">
        <v>457</v>
      </c>
    </row>
    <row r="625" spans="1:30" x14ac:dyDescent="0.25">
      <c r="A625" t="s">
        <v>3480</v>
      </c>
      <c r="B625" t="s">
        <v>95</v>
      </c>
      <c r="C625" t="s">
        <v>26</v>
      </c>
      <c r="D625" t="s">
        <v>96</v>
      </c>
      <c r="E625" t="s">
        <v>3481</v>
      </c>
      <c r="F625" t="s">
        <v>3482</v>
      </c>
      <c r="G625">
        <v>811021891</v>
      </c>
      <c r="H625" t="s">
        <v>3483</v>
      </c>
      <c r="I625" s="4" t="s">
        <v>3484</v>
      </c>
      <c r="J625" s="4" t="s">
        <v>3485</v>
      </c>
      <c r="K625" t="s">
        <v>3486</v>
      </c>
      <c r="L625" t="s">
        <v>61</v>
      </c>
      <c r="M625" t="s">
        <v>3487</v>
      </c>
      <c r="N625" t="s">
        <v>63</v>
      </c>
      <c r="O625" t="s">
        <v>103</v>
      </c>
      <c r="P625" t="s">
        <v>158</v>
      </c>
      <c r="Q625" t="s">
        <v>31</v>
      </c>
      <c r="R625">
        <v>9</v>
      </c>
      <c r="S625" t="s">
        <v>3488</v>
      </c>
      <c r="T625" t="s">
        <v>4858</v>
      </c>
      <c r="U625" t="s">
        <v>7018</v>
      </c>
      <c r="V625" t="s">
        <v>32</v>
      </c>
      <c r="W625" t="s">
        <v>33</v>
      </c>
      <c r="X625" t="s">
        <v>33</v>
      </c>
      <c r="Y625" t="s">
        <v>33</v>
      </c>
      <c r="Z625" s="5" t="s">
        <v>34</v>
      </c>
      <c r="AA625">
        <v>-75.632673269999998</v>
      </c>
      <c r="AB625">
        <v>6.1523552300000004</v>
      </c>
      <c r="AC625" t="s">
        <v>456</v>
      </c>
      <c r="AD625" t="s">
        <v>457</v>
      </c>
    </row>
    <row r="626" spans="1:30" x14ac:dyDescent="0.25">
      <c r="A626" t="s">
        <v>2939</v>
      </c>
      <c r="B626" t="s">
        <v>25</v>
      </c>
      <c r="C626" t="s">
        <v>26</v>
      </c>
      <c r="D626" t="s">
        <v>39</v>
      </c>
      <c r="E626" t="s">
        <v>2940</v>
      </c>
      <c r="F626" t="s">
        <v>2941</v>
      </c>
      <c r="G626">
        <v>43877489</v>
      </c>
      <c r="H626" t="s">
        <v>2942</v>
      </c>
      <c r="I626" s="4" t="s">
        <v>35</v>
      </c>
      <c r="J626" s="4" t="s">
        <v>2943</v>
      </c>
      <c r="K626" t="s">
        <v>2944</v>
      </c>
      <c r="L626" t="s">
        <v>27</v>
      </c>
      <c r="M626" t="s">
        <v>2945</v>
      </c>
      <c r="N626" t="s">
        <v>28</v>
      </c>
      <c r="O626" t="s">
        <v>40</v>
      </c>
      <c r="P626" t="s">
        <v>41</v>
      </c>
      <c r="Q626" t="s">
        <v>31</v>
      </c>
      <c r="R626">
        <v>5</v>
      </c>
      <c r="S626" t="s">
        <v>2946</v>
      </c>
      <c r="T626" t="s">
        <v>2560</v>
      </c>
      <c r="U626" t="s">
        <v>4896</v>
      </c>
      <c r="V626" t="s">
        <v>50</v>
      </c>
      <c r="W626" t="s">
        <v>33</v>
      </c>
      <c r="X626" t="s">
        <v>33</v>
      </c>
      <c r="Y626" t="s">
        <v>33</v>
      </c>
      <c r="Z626" s="5" t="s">
        <v>34</v>
      </c>
      <c r="AA626">
        <v>-75.622146000000001</v>
      </c>
      <c r="AB626">
        <v>6.2213000000000003</v>
      </c>
      <c r="AC626" t="s">
        <v>456</v>
      </c>
      <c r="AD626" t="s">
        <v>457</v>
      </c>
    </row>
    <row r="627" spans="1:30" x14ac:dyDescent="0.25">
      <c r="A627" t="s">
        <v>3489</v>
      </c>
      <c r="B627" t="s">
        <v>95</v>
      </c>
      <c r="C627" t="s">
        <v>26</v>
      </c>
      <c r="D627" t="s">
        <v>96</v>
      </c>
      <c r="E627" t="s">
        <v>3490</v>
      </c>
      <c r="F627" t="s">
        <v>3491</v>
      </c>
      <c r="G627">
        <v>70412891</v>
      </c>
      <c r="H627" t="s">
        <v>3492</v>
      </c>
      <c r="I627" s="4" t="s">
        <v>35</v>
      </c>
      <c r="J627" s="4" t="s">
        <v>3493</v>
      </c>
      <c r="K627" t="s">
        <v>3494</v>
      </c>
      <c r="L627" t="s">
        <v>27</v>
      </c>
      <c r="M627" t="s">
        <v>3495</v>
      </c>
      <c r="N627" t="s">
        <v>28</v>
      </c>
      <c r="O627" t="s">
        <v>103</v>
      </c>
      <c r="P627" t="s">
        <v>120</v>
      </c>
      <c r="Q627" t="s">
        <v>31</v>
      </c>
      <c r="R627">
        <v>9</v>
      </c>
      <c r="S627" t="s">
        <v>3496</v>
      </c>
      <c r="T627" t="s">
        <v>7019</v>
      </c>
      <c r="U627" t="s">
        <v>7020</v>
      </c>
      <c r="V627" t="s">
        <v>32</v>
      </c>
      <c r="W627" t="s">
        <v>33</v>
      </c>
      <c r="X627" t="s">
        <v>33</v>
      </c>
      <c r="Y627" t="s">
        <v>33</v>
      </c>
      <c r="Z627" s="5" t="s">
        <v>34</v>
      </c>
      <c r="AA627">
        <v>-75.613264000000001</v>
      </c>
      <c r="AB627">
        <v>6.2673300000000003</v>
      </c>
      <c r="AC627" t="s">
        <v>456</v>
      </c>
      <c r="AD627" t="s">
        <v>457</v>
      </c>
    </row>
    <row r="628" spans="1:30" x14ac:dyDescent="0.25">
      <c r="A628" t="s">
        <v>2947</v>
      </c>
      <c r="B628" t="s">
        <v>25</v>
      </c>
      <c r="C628" t="s">
        <v>26</v>
      </c>
      <c r="D628" t="s">
        <v>39</v>
      </c>
      <c r="E628" t="s">
        <v>2948</v>
      </c>
      <c r="F628" t="s">
        <v>2949</v>
      </c>
      <c r="G628">
        <v>70579449</v>
      </c>
      <c r="H628" t="s">
        <v>2950</v>
      </c>
      <c r="I628" s="4" t="s">
        <v>35</v>
      </c>
      <c r="J628" s="4" t="s">
        <v>2951</v>
      </c>
      <c r="K628" t="s">
        <v>2952</v>
      </c>
      <c r="L628" t="s">
        <v>27</v>
      </c>
      <c r="M628" t="s">
        <v>2953</v>
      </c>
      <c r="N628" t="s">
        <v>28</v>
      </c>
      <c r="O628" t="s">
        <v>40</v>
      </c>
      <c r="P628" t="s">
        <v>41</v>
      </c>
      <c r="Q628" t="s">
        <v>31</v>
      </c>
      <c r="R628">
        <v>5</v>
      </c>
      <c r="S628" t="s">
        <v>2954</v>
      </c>
      <c r="T628" t="s">
        <v>4898</v>
      </c>
      <c r="U628" t="s">
        <v>4722</v>
      </c>
      <c r="V628" t="s">
        <v>50</v>
      </c>
      <c r="W628" t="s">
        <v>33</v>
      </c>
      <c r="X628" t="s">
        <v>33</v>
      </c>
      <c r="Y628" t="s">
        <v>33</v>
      </c>
      <c r="Z628" s="5" t="s">
        <v>34</v>
      </c>
      <c r="AA628">
        <v>-75.611627999999996</v>
      </c>
      <c r="AB628">
        <v>6.2671809999999999</v>
      </c>
      <c r="AC628" t="s">
        <v>456</v>
      </c>
      <c r="AD628" t="s">
        <v>457</v>
      </c>
    </row>
    <row r="629" spans="1:30" x14ac:dyDescent="0.25">
      <c r="A629" t="s">
        <v>2955</v>
      </c>
      <c r="B629" t="s">
        <v>81</v>
      </c>
      <c r="C629" t="s">
        <v>26</v>
      </c>
      <c r="D629" t="s">
        <v>81</v>
      </c>
      <c r="E629" t="s">
        <v>2956</v>
      </c>
      <c r="F629" t="s">
        <v>2957</v>
      </c>
      <c r="G629">
        <v>811020804</v>
      </c>
      <c r="H629" t="s">
        <v>2958</v>
      </c>
      <c r="I629" s="4" t="s">
        <v>2959</v>
      </c>
      <c r="J629" s="4" t="s">
        <v>2960</v>
      </c>
      <c r="K629" t="s">
        <v>2961</v>
      </c>
      <c r="L629" t="s">
        <v>49</v>
      </c>
      <c r="M629" t="s">
        <v>2962</v>
      </c>
      <c r="N629" t="s">
        <v>84</v>
      </c>
      <c r="O629" t="s">
        <v>82</v>
      </c>
      <c r="P629" t="s">
        <v>83</v>
      </c>
      <c r="Q629" t="s">
        <v>31</v>
      </c>
      <c r="R629">
        <v>4</v>
      </c>
      <c r="S629" t="s">
        <v>2963</v>
      </c>
      <c r="T629" t="s">
        <v>7021</v>
      </c>
      <c r="U629" t="s">
        <v>7022</v>
      </c>
      <c r="V629" t="s">
        <v>50</v>
      </c>
      <c r="W629" t="s">
        <v>33</v>
      </c>
      <c r="X629" t="s">
        <v>33</v>
      </c>
      <c r="Y629" t="s">
        <v>33</v>
      </c>
      <c r="Z629" s="5" t="s">
        <v>34</v>
      </c>
      <c r="AA629">
        <v>-75.603904839999998</v>
      </c>
      <c r="AB629">
        <v>6.1585853799999999</v>
      </c>
      <c r="AC629" t="s">
        <v>456</v>
      </c>
      <c r="AD629" t="s">
        <v>457</v>
      </c>
    </row>
    <row r="630" spans="1:30" x14ac:dyDescent="0.25">
      <c r="A630" t="s">
        <v>2964</v>
      </c>
      <c r="B630" t="s">
        <v>25</v>
      </c>
      <c r="C630" t="s">
        <v>26</v>
      </c>
      <c r="D630" t="s">
        <v>39</v>
      </c>
      <c r="E630" t="s">
        <v>2965</v>
      </c>
      <c r="F630" t="s">
        <v>2966</v>
      </c>
      <c r="G630">
        <v>70579335</v>
      </c>
      <c r="H630" t="s">
        <v>2967</v>
      </c>
      <c r="I630" s="4" t="s">
        <v>35</v>
      </c>
      <c r="J630" s="4" t="s">
        <v>2968</v>
      </c>
      <c r="K630" t="s">
        <v>2969</v>
      </c>
      <c r="L630" t="s">
        <v>27</v>
      </c>
      <c r="M630" t="s">
        <v>2970</v>
      </c>
      <c r="N630" t="s">
        <v>28</v>
      </c>
      <c r="O630" t="s">
        <v>40</v>
      </c>
      <c r="P630" t="s">
        <v>41</v>
      </c>
      <c r="Q630" t="s">
        <v>31</v>
      </c>
      <c r="R630">
        <v>5</v>
      </c>
      <c r="S630" t="s">
        <v>2971</v>
      </c>
      <c r="T630" t="s">
        <v>4862</v>
      </c>
      <c r="U630" t="s">
        <v>2609</v>
      </c>
      <c r="V630" t="s">
        <v>50</v>
      </c>
      <c r="W630" t="s">
        <v>33</v>
      </c>
      <c r="X630" t="s">
        <v>33</v>
      </c>
      <c r="Y630" t="s">
        <v>33</v>
      </c>
      <c r="Z630" s="5" t="s">
        <v>34</v>
      </c>
      <c r="AA630">
        <v>-75.538121660000002</v>
      </c>
      <c r="AB630">
        <v>6.2374099200000002</v>
      </c>
      <c r="AC630" t="s">
        <v>456</v>
      </c>
      <c r="AD630" t="s">
        <v>457</v>
      </c>
    </row>
    <row r="631" spans="1:30" x14ac:dyDescent="0.25">
      <c r="A631" t="s">
        <v>2973</v>
      </c>
      <c r="B631" t="s">
        <v>25</v>
      </c>
      <c r="C631" t="s">
        <v>26</v>
      </c>
      <c r="D631" t="s">
        <v>39</v>
      </c>
      <c r="E631" t="s">
        <v>2974</v>
      </c>
      <c r="F631" t="s">
        <v>2975</v>
      </c>
      <c r="G631">
        <v>39175957</v>
      </c>
      <c r="H631" t="s">
        <v>2976</v>
      </c>
      <c r="I631" s="4" t="s">
        <v>35</v>
      </c>
      <c r="J631" s="4" t="s">
        <v>2977</v>
      </c>
      <c r="K631" t="s">
        <v>2978</v>
      </c>
      <c r="L631" t="s">
        <v>27</v>
      </c>
      <c r="M631" t="s">
        <v>2979</v>
      </c>
      <c r="N631" t="s">
        <v>28</v>
      </c>
      <c r="O631" t="s">
        <v>40</v>
      </c>
      <c r="P631" t="s">
        <v>41</v>
      </c>
      <c r="Q631" t="s">
        <v>31</v>
      </c>
      <c r="R631">
        <v>5</v>
      </c>
      <c r="S631" t="s">
        <v>2980</v>
      </c>
      <c r="T631" t="s">
        <v>4815</v>
      </c>
      <c r="U631" t="s">
        <v>2535</v>
      </c>
      <c r="V631" t="s">
        <v>50</v>
      </c>
      <c r="W631" t="s">
        <v>33</v>
      </c>
      <c r="X631" t="s">
        <v>33</v>
      </c>
      <c r="Y631" t="s">
        <v>33</v>
      </c>
      <c r="Z631" s="5" t="s">
        <v>34</v>
      </c>
      <c r="AA631">
        <v>-75.629334999999998</v>
      </c>
      <c r="AB631">
        <v>6.2521930000000001</v>
      </c>
      <c r="AC631" t="s">
        <v>456</v>
      </c>
      <c r="AD631" t="s">
        <v>457</v>
      </c>
    </row>
    <row r="632" spans="1:30" x14ac:dyDescent="0.25">
      <c r="A632" t="s">
        <v>3721</v>
      </c>
      <c r="B632" t="s">
        <v>81</v>
      </c>
      <c r="C632" t="s">
        <v>26</v>
      </c>
      <c r="D632" t="s">
        <v>81</v>
      </c>
      <c r="E632" t="s">
        <v>3722</v>
      </c>
      <c r="F632" t="s">
        <v>3723</v>
      </c>
      <c r="G632">
        <v>6913105</v>
      </c>
      <c r="H632" t="s">
        <v>3724</v>
      </c>
      <c r="I632" s="4" t="s">
        <v>35</v>
      </c>
      <c r="J632" s="4" t="s">
        <v>371</v>
      </c>
      <c r="K632" t="s">
        <v>3725</v>
      </c>
      <c r="L632" t="s">
        <v>27</v>
      </c>
      <c r="M632" t="s">
        <v>3726</v>
      </c>
      <c r="N632" t="s">
        <v>28</v>
      </c>
      <c r="O632" t="s">
        <v>82</v>
      </c>
      <c r="P632" t="s">
        <v>83</v>
      </c>
      <c r="Q632" t="s">
        <v>38</v>
      </c>
      <c r="R632">
        <v>4</v>
      </c>
      <c r="S632" t="s">
        <v>3727</v>
      </c>
      <c r="T632" t="s">
        <v>7023</v>
      </c>
      <c r="U632" t="s">
        <v>7024</v>
      </c>
      <c r="V632" t="s">
        <v>50</v>
      </c>
      <c r="W632" t="s">
        <v>33</v>
      </c>
      <c r="X632" t="s">
        <v>33</v>
      </c>
      <c r="Y632" t="s">
        <v>33</v>
      </c>
      <c r="Z632" s="5" t="s">
        <v>34</v>
      </c>
      <c r="AA632">
        <v>-75.544891190000001</v>
      </c>
      <c r="AB632">
        <v>6.1923018599999997</v>
      </c>
      <c r="AC632" t="s">
        <v>456</v>
      </c>
      <c r="AD632" t="s">
        <v>457</v>
      </c>
    </row>
    <row r="633" spans="1:30" x14ac:dyDescent="0.25">
      <c r="A633" t="s">
        <v>3728</v>
      </c>
      <c r="B633" t="s">
        <v>81</v>
      </c>
      <c r="C633" t="s">
        <v>26</v>
      </c>
      <c r="D633" t="s">
        <v>81</v>
      </c>
      <c r="E633" t="s">
        <v>3729</v>
      </c>
      <c r="F633" t="s">
        <v>3730</v>
      </c>
      <c r="G633">
        <v>1000748182</v>
      </c>
      <c r="H633" t="s">
        <v>3731</v>
      </c>
      <c r="I633" s="4" t="s">
        <v>35</v>
      </c>
      <c r="J633" s="4" t="s">
        <v>1709</v>
      </c>
      <c r="K633" t="s">
        <v>3732</v>
      </c>
      <c r="L633" t="s">
        <v>27</v>
      </c>
      <c r="M633" t="s">
        <v>3733</v>
      </c>
      <c r="N633" t="s">
        <v>28</v>
      </c>
      <c r="O633" t="s">
        <v>82</v>
      </c>
      <c r="P633" t="s">
        <v>83</v>
      </c>
      <c r="Q633" t="s">
        <v>31</v>
      </c>
      <c r="R633">
        <v>4</v>
      </c>
      <c r="S633" t="s">
        <v>3734</v>
      </c>
      <c r="T633" t="s">
        <v>7025</v>
      </c>
      <c r="U633" t="s">
        <v>7026</v>
      </c>
      <c r="V633" t="s">
        <v>50</v>
      </c>
      <c r="W633" t="s">
        <v>33</v>
      </c>
      <c r="X633" t="s">
        <v>33</v>
      </c>
      <c r="Y633" t="s">
        <v>33</v>
      </c>
      <c r="Z633" s="5" t="s">
        <v>34</v>
      </c>
      <c r="AA633">
        <v>-75.606694000000005</v>
      </c>
      <c r="AB633">
        <v>6.199103</v>
      </c>
      <c r="AC633" t="s">
        <v>456</v>
      </c>
      <c r="AD633" t="s">
        <v>457</v>
      </c>
    </row>
    <row r="634" spans="1:30" x14ac:dyDescent="0.25">
      <c r="A634" t="s">
        <v>3735</v>
      </c>
      <c r="B634" t="s">
        <v>25</v>
      </c>
      <c r="C634" t="s">
        <v>26</v>
      </c>
      <c r="D634" t="s">
        <v>39</v>
      </c>
      <c r="E634" t="s">
        <v>3736</v>
      </c>
      <c r="F634" t="s">
        <v>3737</v>
      </c>
      <c r="G634">
        <v>21818785</v>
      </c>
      <c r="H634" t="s">
        <v>3738</v>
      </c>
      <c r="I634" s="4" t="s">
        <v>35</v>
      </c>
      <c r="J634" s="4" t="s">
        <v>3739</v>
      </c>
      <c r="K634" t="s">
        <v>3740</v>
      </c>
      <c r="L634" t="s">
        <v>27</v>
      </c>
      <c r="M634" t="s">
        <v>3741</v>
      </c>
      <c r="N634" t="s">
        <v>28</v>
      </c>
      <c r="O634" t="s">
        <v>40</v>
      </c>
      <c r="P634" t="s">
        <v>41</v>
      </c>
      <c r="Q634" t="s">
        <v>31</v>
      </c>
      <c r="R634">
        <v>5</v>
      </c>
      <c r="S634" t="s">
        <v>3742</v>
      </c>
      <c r="T634" t="s">
        <v>4900</v>
      </c>
      <c r="U634" t="s">
        <v>4899</v>
      </c>
      <c r="V634" t="s">
        <v>50</v>
      </c>
      <c r="W634" t="s">
        <v>33</v>
      </c>
      <c r="X634" t="s">
        <v>33</v>
      </c>
      <c r="Y634" t="s">
        <v>33</v>
      </c>
      <c r="Z634" s="5" t="s">
        <v>34</v>
      </c>
      <c r="AA634">
        <v>-75.611627999999996</v>
      </c>
      <c r="AB634">
        <v>6.2671809999999999</v>
      </c>
      <c r="AC634" t="s">
        <v>456</v>
      </c>
      <c r="AD634" t="s">
        <v>457</v>
      </c>
    </row>
    <row r="635" spans="1:30" x14ac:dyDescent="0.25">
      <c r="A635" t="s">
        <v>3743</v>
      </c>
      <c r="B635" t="s">
        <v>25</v>
      </c>
      <c r="C635" t="s">
        <v>26</v>
      </c>
      <c r="D635" t="s">
        <v>39</v>
      </c>
      <c r="E635" t="s">
        <v>3744</v>
      </c>
      <c r="F635" t="s">
        <v>3745</v>
      </c>
      <c r="G635">
        <v>1128479008</v>
      </c>
      <c r="H635" t="s">
        <v>3746</v>
      </c>
      <c r="I635" s="4" t="s">
        <v>35</v>
      </c>
      <c r="J635" s="4" t="s">
        <v>3747</v>
      </c>
      <c r="K635" t="s">
        <v>3748</v>
      </c>
      <c r="L635" t="s">
        <v>27</v>
      </c>
      <c r="M635" t="s">
        <v>3749</v>
      </c>
      <c r="N635" t="s">
        <v>28</v>
      </c>
      <c r="O635" t="s">
        <v>40</v>
      </c>
      <c r="P635" t="s">
        <v>41</v>
      </c>
      <c r="Q635" t="s">
        <v>31</v>
      </c>
      <c r="R635">
        <v>5</v>
      </c>
      <c r="S635" t="s">
        <v>3750</v>
      </c>
      <c r="T635" t="s">
        <v>4902</v>
      </c>
      <c r="U635" t="s">
        <v>4901</v>
      </c>
      <c r="V635" t="s">
        <v>50</v>
      </c>
      <c r="W635" t="s">
        <v>33</v>
      </c>
      <c r="X635" t="s">
        <v>33</v>
      </c>
      <c r="Y635" t="s">
        <v>33</v>
      </c>
      <c r="Z635" s="5" t="s">
        <v>34</v>
      </c>
      <c r="AA635">
        <v>-75.627454999999998</v>
      </c>
      <c r="AB635">
        <v>6.2669280000000001</v>
      </c>
      <c r="AC635" t="s">
        <v>456</v>
      </c>
      <c r="AD635" t="s">
        <v>457</v>
      </c>
    </row>
    <row r="636" spans="1:30" x14ac:dyDescent="0.25">
      <c r="A636" t="s">
        <v>3751</v>
      </c>
      <c r="B636" t="s">
        <v>81</v>
      </c>
      <c r="C636" t="s">
        <v>26</v>
      </c>
      <c r="D636" t="s">
        <v>81</v>
      </c>
      <c r="E636" t="s">
        <v>3752</v>
      </c>
      <c r="F636" t="s">
        <v>3753</v>
      </c>
      <c r="G636">
        <v>43452619</v>
      </c>
      <c r="H636" t="s">
        <v>3754</v>
      </c>
      <c r="I636" s="4" t="s">
        <v>35</v>
      </c>
      <c r="J636" s="4" t="s">
        <v>3755</v>
      </c>
      <c r="K636" t="s">
        <v>3756</v>
      </c>
      <c r="L636" t="s">
        <v>27</v>
      </c>
      <c r="M636" t="s">
        <v>3757</v>
      </c>
      <c r="N636" t="s">
        <v>28</v>
      </c>
      <c r="O636" t="s">
        <v>82</v>
      </c>
      <c r="P636" t="s">
        <v>83</v>
      </c>
      <c r="Q636" t="s">
        <v>38</v>
      </c>
      <c r="R636">
        <v>4</v>
      </c>
      <c r="S636" t="s">
        <v>3758</v>
      </c>
      <c r="T636" t="s">
        <v>6616</v>
      </c>
      <c r="U636" t="s">
        <v>6768</v>
      </c>
      <c r="V636" t="s">
        <v>50</v>
      </c>
      <c r="W636" t="s">
        <v>33</v>
      </c>
      <c r="X636" t="s">
        <v>33</v>
      </c>
      <c r="Y636" t="s">
        <v>33</v>
      </c>
      <c r="Z636" s="5" t="s">
        <v>34</v>
      </c>
      <c r="AA636">
        <v>-75.641040000000004</v>
      </c>
      <c r="AB636">
        <v>6.2885183299999996</v>
      </c>
      <c r="AC636" t="s">
        <v>456</v>
      </c>
      <c r="AD636" t="s">
        <v>457</v>
      </c>
    </row>
    <row r="637" spans="1:30" x14ac:dyDescent="0.25">
      <c r="A637" t="s">
        <v>3759</v>
      </c>
      <c r="B637" t="s">
        <v>25</v>
      </c>
      <c r="C637" t="s">
        <v>26</v>
      </c>
      <c r="D637" t="s">
        <v>39</v>
      </c>
      <c r="E637" t="s">
        <v>3760</v>
      </c>
      <c r="F637" t="s">
        <v>3761</v>
      </c>
      <c r="G637">
        <v>23183922</v>
      </c>
      <c r="H637" t="s">
        <v>3762</v>
      </c>
      <c r="I637" s="4" t="s">
        <v>35</v>
      </c>
      <c r="J637" s="4" t="s">
        <v>3763</v>
      </c>
      <c r="K637" t="s">
        <v>3764</v>
      </c>
      <c r="L637" t="s">
        <v>27</v>
      </c>
      <c r="M637" t="s">
        <v>3765</v>
      </c>
      <c r="N637" t="s">
        <v>28</v>
      </c>
      <c r="O637" t="s">
        <v>40</v>
      </c>
      <c r="P637" t="s">
        <v>41</v>
      </c>
      <c r="Q637" t="s">
        <v>31</v>
      </c>
      <c r="R637">
        <v>5</v>
      </c>
      <c r="S637" t="s">
        <v>3766</v>
      </c>
      <c r="T637" t="s">
        <v>4906</v>
      </c>
      <c r="U637" t="s">
        <v>4905</v>
      </c>
      <c r="V637" t="s">
        <v>50</v>
      </c>
      <c r="W637" t="s">
        <v>33</v>
      </c>
      <c r="X637" t="s">
        <v>33</v>
      </c>
      <c r="Y637" t="s">
        <v>33</v>
      </c>
      <c r="Z637" s="5" t="s">
        <v>34</v>
      </c>
      <c r="AA637">
        <v>-75.53456061</v>
      </c>
      <c r="AB637">
        <v>6.2361078799999996</v>
      </c>
      <c r="AC637" t="s">
        <v>456</v>
      </c>
      <c r="AD637" t="s">
        <v>457</v>
      </c>
    </row>
    <row r="638" spans="1:30" x14ac:dyDescent="0.25">
      <c r="A638" t="s">
        <v>3497</v>
      </c>
      <c r="B638" t="s">
        <v>25</v>
      </c>
      <c r="C638" t="s">
        <v>26</v>
      </c>
      <c r="D638" t="s">
        <v>25</v>
      </c>
      <c r="E638" t="s">
        <v>3498</v>
      </c>
      <c r="F638" t="s">
        <v>3499</v>
      </c>
      <c r="G638">
        <v>1128275505</v>
      </c>
      <c r="H638" t="s">
        <v>3500</v>
      </c>
      <c r="I638" s="4" t="s">
        <v>35</v>
      </c>
      <c r="J638" s="4" t="s">
        <v>3501</v>
      </c>
      <c r="K638" t="s">
        <v>3502</v>
      </c>
      <c r="L638" t="s">
        <v>27</v>
      </c>
      <c r="M638" t="s">
        <v>3503</v>
      </c>
      <c r="N638" t="s">
        <v>28</v>
      </c>
      <c r="O638" t="s">
        <v>29</v>
      </c>
      <c r="P638" t="s">
        <v>37</v>
      </c>
      <c r="Q638" t="s">
        <v>31</v>
      </c>
      <c r="R638">
        <v>7</v>
      </c>
      <c r="S638" t="s">
        <v>3504</v>
      </c>
      <c r="T638" t="s">
        <v>7027</v>
      </c>
      <c r="U638" t="s">
        <v>7028</v>
      </c>
      <c r="V638" t="s">
        <v>32</v>
      </c>
      <c r="W638" t="s">
        <v>33</v>
      </c>
      <c r="X638" t="s">
        <v>33</v>
      </c>
      <c r="Y638" t="s">
        <v>33</v>
      </c>
      <c r="Z638" s="5" t="s">
        <v>34</v>
      </c>
      <c r="AA638">
        <v>-75.60471167</v>
      </c>
      <c r="AB638">
        <v>6.2061333599999999</v>
      </c>
      <c r="AC638" t="s">
        <v>456</v>
      </c>
      <c r="AD638" t="s">
        <v>457</v>
      </c>
    </row>
    <row r="639" spans="1:30" x14ac:dyDescent="0.25">
      <c r="A639" t="s">
        <v>3767</v>
      </c>
      <c r="B639" t="s">
        <v>25</v>
      </c>
      <c r="C639" t="s">
        <v>26</v>
      </c>
      <c r="D639" t="s">
        <v>39</v>
      </c>
      <c r="E639" t="s">
        <v>3768</v>
      </c>
      <c r="F639" t="s">
        <v>3769</v>
      </c>
      <c r="G639">
        <v>1039693505</v>
      </c>
      <c r="H639" t="s">
        <v>3770</v>
      </c>
      <c r="I639" s="4" t="s">
        <v>35</v>
      </c>
      <c r="J639" s="4" t="s">
        <v>3771</v>
      </c>
      <c r="K639" t="s">
        <v>3772</v>
      </c>
      <c r="L639" t="s">
        <v>27</v>
      </c>
      <c r="M639" t="s">
        <v>3773</v>
      </c>
      <c r="N639" t="s">
        <v>28</v>
      </c>
      <c r="O639" t="s">
        <v>40</v>
      </c>
      <c r="P639" t="s">
        <v>41</v>
      </c>
      <c r="Q639" t="s">
        <v>38</v>
      </c>
      <c r="R639">
        <v>8</v>
      </c>
      <c r="S639" t="s">
        <v>3774</v>
      </c>
      <c r="T639" t="s">
        <v>7029</v>
      </c>
      <c r="U639" t="s">
        <v>7030</v>
      </c>
      <c r="V639" t="s">
        <v>32</v>
      </c>
      <c r="W639" t="s">
        <v>33</v>
      </c>
      <c r="X639" t="s">
        <v>33</v>
      </c>
      <c r="Y639" t="s">
        <v>33</v>
      </c>
      <c r="Z639" s="5" t="s">
        <v>34</v>
      </c>
      <c r="AA639">
        <v>-75.518090770000001</v>
      </c>
      <c r="AB639">
        <v>6.2350066599999998</v>
      </c>
      <c r="AC639" t="s">
        <v>456</v>
      </c>
      <c r="AD639" t="s">
        <v>457</v>
      </c>
    </row>
    <row r="640" spans="1:30" x14ac:dyDescent="0.25">
      <c r="A640" t="s">
        <v>3775</v>
      </c>
      <c r="B640" t="s">
        <v>81</v>
      </c>
      <c r="C640" t="s">
        <v>26</v>
      </c>
      <c r="D640" t="s">
        <v>81</v>
      </c>
      <c r="E640" t="s">
        <v>3776</v>
      </c>
      <c r="F640" t="s">
        <v>3777</v>
      </c>
      <c r="G640">
        <v>98560607</v>
      </c>
      <c r="H640" t="s">
        <v>3778</v>
      </c>
      <c r="I640" s="4" t="s">
        <v>3779</v>
      </c>
      <c r="J640" s="4" t="s">
        <v>3780</v>
      </c>
      <c r="K640" t="s">
        <v>3781</v>
      </c>
      <c r="L640" t="s">
        <v>27</v>
      </c>
      <c r="M640" t="s">
        <v>3782</v>
      </c>
      <c r="N640" t="s">
        <v>28</v>
      </c>
      <c r="O640" t="s">
        <v>82</v>
      </c>
      <c r="P640" t="s">
        <v>83</v>
      </c>
      <c r="Q640" t="s">
        <v>38</v>
      </c>
      <c r="R640">
        <v>4</v>
      </c>
      <c r="S640" t="s">
        <v>3783</v>
      </c>
      <c r="T640" t="s">
        <v>3784</v>
      </c>
      <c r="U640" t="s">
        <v>7031</v>
      </c>
      <c r="V640" t="s">
        <v>50</v>
      </c>
      <c r="W640" t="s">
        <v>33</v>
      </c>
      <c r="X640" t="s">
        <v>33</v>
      </c>
      <c r="Y640" t="s">
        <v>33</v>
      </c>
      <c r="Z640" s="5" t="s">
        <v>34</v>
      </c>
      <c r="AA640">
        <v>-75.543839809999994</v>
      </c>
      <c r="AB640">
        <v>6.2163443699999998</v>
      </c>
      <c r="AC640" t="s">
        <v>456</v>
      </c>
      <c r="AD640" t="s">
        <v>457</v>
      </c>
    </row>
    <row r="641" spans="1:30" x14ac:dyDescent="0.25">
      <c r="A641" t="s">
        <v>3785</v>
      </c>
      <c r="B641" t="s">
        <v>51</v>
      </c>
      <c r="C641" t="s">
        <v>26</v>
      </c>
      <c r="D641" t="s">
        <v>51</v>
      </c>
      <c r="E641" t="s">
        <v>3786</v>
      </c>
      <c r="F641" t="s">
        <v>3787</v>
      </c>
      <c r="G641">
        <v>43496135</v>
      </c>
      <c r="H641" t="s">
        <v>3788</v>
      </c>
      <c r="I641" s="4" t="s">
        <v>35</v>
      </c>
      <c r="J641" s="4" t="s">
        <v>3789</v>
      </c>
      <c r="K641" t="s">
        <v>3790</v>
      </c>
      <c r="L641" t="s">
        <v>27</v>
      </c>
      <c r="M641" t="s">
        <v>3791</v>
      </c>
      <c r="N641" t="s">
        <v>28</v>
      </c>
      <c r="O641" t="s">
        <v>52</v>
      </c>
      <c r="P641" t="s">
        <v>53</v>
      </c>
      <c r="Q641" t="s">
        <v>31</v>
      </c>
      <c r="R641">
        <v>11</v>
      </c>
      <c r="S641" t="s">
        <v>3792</v>
      </c>
      <c r="T641" t="s">
        <v>7032</v>
      </c>
      <c r="U641" t="s">
        <v>7033</v>
      </c>
      <c r="V641" t="s">
        <v>32</v>
      </c>
      <c r="W641" t="s">
        <v>33</v>
      </c>
      <c r="X641" t="s">
        <v>33</v>
      </c>
      <c r="Y641" t="s">
        <v>33</v>
      </c>
      <c r="Z641" s="5" t="s">
        <v>34</v>
      </c>
      <c r="AA641">
        <v>-75.596012999999999</v>
      </c>
      <c r="AB641">
        <v>6.2724909999999996</v>
      </c>
      <c r="AC641" t="s">
        <v>456</v>
      </c>
      <c r="AD641" t="s">
        <v>457</v>
      </c>
    </row>
    <row r="642" spans="1:30" x14ac:dyDescent="0.25">
      <c r="A642" t="s">
        <v>3793</v>
      </c>
      <c r="B642" t="s">
        <v>25</v>
      </c>
      <c r="C642" t="s">
        <v>26</v>
      </c>
      <c r="D642" t="s">
        <v>39</v>
      </c>
      <c r="E642" t="s">
        <v>3794</v>
      </c>
      <c r="F642" t="s">
        <v>3795</v>
      </c>
      <c r="G642">
        <v>43582355</v>
      </c>
      <c r="H642" t="s">
        <v>3796</v>
      </c>
      <c r="I642" s="4" t="s">
        <v>35</v>
      </c>
      <c r="J642" s="4" t="s">
        <v>3797</v>
      </c>
      <c r="K642" t="s">
        <v>3798</v>
      </c>
      <c r="L642" t="s">
        <v>27</v>
      </c>
      <c r="M642" t="s">
        <v>3799</v>
      </c>
      <c r="N642" t="s">
        <v>28</v>
      </c>
      <c r="O642" t="s">
        <v>40</v>
      </c>
      <c r="P642" t="s">
        <v>41</v>
      </c>
      <c r="Q642" t="s">
        <v>31</v>
      </c>
      <c r="R642">
        <v>5</v>
      </c>
      <c r="S642" t="s">
        <v>3800</v>
      </c>
      <c r="T642" t="s">
        <v>4908</v>
      </c>
      <c r="U642" t="s">
        <v>4907</v>
      </c>
      <c r="V642" t="s">
        <v>50</v>
      </c>
      <c r="W642" t="s">
        <v>33</v>
      </c>
      <c r="X642" t="s">
        <v>33</v>
      </c>
      <c r="Y642" t="s">
        <v>33</v>
      </c>
      <c r="Z642" s="5" t="s">
        <v>34</v>
      </c>
      <c r="AA642">
        <v>-75.618982520000003</v>
      </c>
      <c r="AB642">
        <v>6.2505800300000001</v>
      </c>
      <c r="AC642" t="s">
        <v>456</v>
      </c>
      <c r="AD642" t="s">
        <v>457</v>
      </c>
    </row>
    <row r="643" spans="1:30" x14ac:dyDescent="0.25">
      <c r="A643" t="s">
        <v>3801</v>
      </c>
      <c r="B643" t="s">
        <v>25</v>
      </c>
      <c r="C643" t="s">
        <v>26</v>
      </c>
      <c r="D643" t="s">
        <v>39</v>
      </c>
      <c r="E643" t="s">
        <v>3802</v>
      </c>
      <c r="F643" t="s">
        <v>3803</v>
      </c>
      <c r="G643">
        <v>1036637379</v>
      </c>
      <c r="H643" t="s">
        <v>3804</v>
      </c>
      <c r="I643" s="4" t="s">
        <v>35</v>
      </c>
      <c r="J643" s="4" t="s">
        <v>3805</v>
      </c>
      <c r="K643" t="s">
        <v>3806</v>
      </c>
      <c r="L643" t="s">
        <v>44</v>
      </c>
      <c r="M643" t="s">
        <v>3807</v>
      </c>
      <c r="N643" t="s">
        <v>45</v>
      </c>
      <c r="O643" t="s">
        <v>40</v>
      </c>
      <c r="P643" t="s">
        <v>41</v>
      </c>
      <c r="Q643" t="s">
        <v>38</v>
      </c>
      <c r="R643">
        <v>8</v>
      </c>
      <c r="S643" t="s">
        <v>3808</v>
      </c>
      <c r="T643" t="s">
        <v>7034</v>
      </c>
      <c r="U643" t="s">
        <v>7035</v>
      </c>
      <c r="V643" t="s">
        <v>32</v>
      </c>
      <c r="W643" t="s">
        <v>33</v>
      </c>
      <c r="X643" t="s">
        <v>33</v>
      </c>
      <c r="Y643" t="s">
        <v>33</v>
      </c>
      <c r="Z643" s="5" t="s">
        <v>34</v>
      </c>
      <c r="AA643">
        <v>-75.604207020000004</v>
      </c>
      <c r="AB643">
        <v>6.1927025699999998</v>
      </c>
      <c r="AC643" t="s">
        <v>456</v>
      </c>
      <c r="AD643" t="s">
        <v>457</v>
      </c>
    </row>
    <row r="644" spans="1:30" x14ac:dyDescent="0.25">
      <c r="A644" t="s">
        <v>3809</v>
      </c>
      <c r="B644" t="s">
        <v>81</v>
      </c>
      <c r="C644" t="s">
        <v>26</v>
      </c>
      <c r="D644" t="s">
        <v>81</v>
      </c>
      <c r="E644" t="s">
        <v>3810</v>
      </c>
      <c r="F644" t="s">
        <v>3811</v>
      </c>
      <c r="G644">
        <v>1036635115</v>
      </c>
      <c r="H644" t="s">
        <v>3812</v>
      </c>
      <c r="I644" s="4" t="s">
        <v>35</v>
      </c>
      <c r="J644" s="4" t="s">
        <v>3813</v>
      </c>
      <c r="K644" t="s">
        <v>3814</v>
      </c>
      <c r="L644" t="s">
        <v>44</v>
      </c>
      <c r="M644" t="s">
        <v>3815</v>
      </c>
      <c r="N644" t="s">
        <v>45</v>
      </c>
      <c r="O644" t="s">
        <v>82</v>
      </c>
      <c r="P644" t="s">
        <v>83</v>
      </c>
      <c r="Q644" t="s">
        <v>31</v>
      </c>
      <c r="R644">
        <v>4</v>
      </c>
      <c r="S644" t="s">
        <v>3816</v>
      </c>
      <c r="T644" t="s">
        <v>7036</v>
      </c>
      <c r="U644" t="s">
        <v>7037</v>
      </c>
      <c r="V644" t="s">
        <v>50</v>
      </c>
      <c r="W644" t="s">
        <v>33</v>
      </c>
      <c r="X644" t="s">
        <v>33</v>
      </c>
      <c r="Y644" t="s">
        <v>33</v>
      </c>
      <c r="Z644" s="5" t="s">
        <v>34</v>
      </c>
      <c r="AA644">
        <v>-75.600145299999994</v>
      </c>
      <c r="AB644">
        <v>6.1871872400000001</v>
      </c>
      <c r="AC644" t="s">
        <v>456</v>
      </c>
      <c r="AD644" t="s">
        <v>457</v>
      </c>
    </row>
    <row r="645" spans="1:30" x14ac:dyDescent="0.25">
      <c r="A645" t="s">
        <v>3505</v>
      </c>
      <c r="B645" t="s">
        <v>25</v>
      </c>
      <c r="C645" t="s">
        <v>26</v>
      </c>
      <c r="D645" t="s">
        <v>25</v>
      </c>
      <c r="E645" t="s">
        <v>3506</v>
      </c>
      <c r="F645" t="s">
        <v>3507</v>
      </c>
      <c r="G645">
        <v>98628766</v>
      </c>
      <c r="H645" t="s">
        <v>3508</v>
      </c>
      <c r="I645" s="4" t="s">
        <v>3509</v>
      </c>
      <c r="J645" s="4" t="s">
        <v>3510</v>
      </c>
      <c r="K645" t="s">
        <v>3511</v>
      </c>
      <c r="L645" t="s">
        <v>27</v>
      </c>
      <c r="M645" t="s">
        <v>3512</v>
      </c>
      <c r="N645" t="s">
        <v>28</v>
      </c>
      <c r="O645" t="s">
        <v>29</v>
      </c>
      <c r="P645" t="s">
        <v>37</v>
      </c>
      <c r="Q645" t="s">
        <v>31</v>
      </c>
      <c r="R645">
        <v>7</v>
      </c>
      <c r="S645" t="s">
        <v>3513</v>
      </c>
      <c r="T645" t="s">
        <v>7038</v>
      </c>
      <c r="U645" t="s">
        <v>7039</v>
      </c>
      <c r="V645" t="s">
        <v>32</v>
      </c>
      <c r="W645" t="s">
        <v>33</v>
      </c>
      <c r="X645" t="s">
        <v>33</v>
      </c>
      <c r="Y645" t="s">
        <v>33</v>
      </c>
      <c r="Z645" s="5" t="s">
        <v>34</v>
      </c>
      <c r="AA645">
        <v>-75.554820160000006</v>
      </c>
      <c r="AB645">
        <v>6.2299704399999998</v>
      </c>
      <c r="AC645" t="s">
        <v>456</v>
      </c>
      <c r="AD645" t="s">
        <v>457</v>
      </c>
    </row>
    <row r="646" spans="1:30" x14ac:dyDescent="0.25">
      <c r="A646" t="s">
        <v>3817</v>
      </c>
      <c r="B646" t="s">
        <v>25</v>
      </c>
      <c r="C646" t="s">
        <v>26</v>
      </c>
      <c r="D646" t="s">
        <v>39</v>
      </c>
      <c r="E646" t="s">
        <v>3818</v>
      </c>
      <c r="F646" t="s">
        <v>3819</v>
      </c>
      <c r="G646">
        <v>1036637379</v>
      </c>
      <c r="H646" t="s">
        <v>3804</v>
      </c>
      <c r="I646" s="4" t="s">
        <v>35</v>
      </c>
      <c r="J646" s="4" t="s">
        <v>3805</v>
      </c>
      <c r="K646" t="s">
        <v>3820</v>
      </c>
      <c r="L646" t="s">
        <v>44</v>
      </c>
      <c r="M646" t="s">
        <v>3821</v>
      </c>
      <c r="N646" t="s">
        <v>45</v>
      </c>
      <c r="O646" t="s">
        <v>40</v>
      </c>
      <c r="P646" t="s">
        <v>41</v>
      </c>
      <c r="Q646" t="s">
        <v>38</v>
      </c>
      <c r="R646">
        <v>8</v>
      </c>
      <c r="S646" t="s">
        <v>3822</v>
      </c>
      <c r="T646" t="s">
        <v>7040</v>
      </c>
      <c r="U646" t="s">
        <v>7041</v>
      </c>
      <c r="V646" t="s">
        <v>32</v>
      </c>
      <c r="W646" t="s">
        <v>33</v>
      </c>
      <c r="X646" t="s">
        <v>33</v>
      </c>
      <c r="Y646" t="s">
        <v>33</v>
      </c>
      <c r="Z646" s="5" t="s">
        <v>34</v>
      </c>
      <c r="AA646">
        <v>-75.604207020000004</v>
      </c>
      <c r="AB646">
        <v>6.1927025699999998</v>
      </c>
      <c r="AC646" t="s">
        <v>456</v>
      </c>
      <c r="AD646" t="s">
        <v>457</v>
      </c>
    </row>
    <row r="647" spans="1:30" x14ac:dyDescent="0.25">
      <c r="A647" t="s">
        <v>3514</v>
      </c>
      <c r="B647" t="s">
        <v>95</v>
      </c>
      <c r="C647" t="s">
        <v>26</v>
      </c>
      <c r="D647" t="s">
        <v>96</v>
      </c>
      <c r="E647" t="s">
        <v>3515</v>
      </c>
      <c r="F647" t="s">
        <v>3516</v>
      </c>
      <c r="G647">
        <v>901099031</v>
      </c>
      <c r="H647" t="s">
        <v>3517</v>
      </c>
      <c r="I647" s="4" t="s">
        <v>3518</v>
      </c>
      <c r="J647" s="4" t="s">
        <v>3519</v>
      </c>
      <c r="K647" t="s">
        <v>3520</v>
      </c>
      <c r="L647" t="s">
        <v>27</v>
      </c>
      <c r="M647" t="s">
        <v>3521</v>
      </c>
      <c r="N647" t="s">
        <v>28</v>
      </c>
      <c r="O647" t="s">
        <v>103</v>
      </c>
      <c r="P647" t="s">
        <v>158</v>
      </c>
      <c r="Q647" t="s">
        <v>38</v>
      </c>
      <c r="R647">
        <v>14</v>
      </c>
      <c r="S647" t="s">
        <v>3522</v>
      </c>
      <c r="T647" t="s">
        <v>7042</v>
      </c>
      <c r="U647" t="s">
        <v>7043</v>
      </c>
      <c r="V647" t="s">
        <v>32</v>
      </c>
      <c r="W647" t="s">
        <v>33</v>
      </c>
      <c r="X647" t="s">
        <v>33</v>
      </c>
      <c r="Y647" t="s">
        <v>33</v>
      </c>
      <c r="Z647" s="5" t="s">
        <v>34</v>
      </c>
      <c r="AA647">
        <v>-75.676379449999999</v>
      </c>
      <c r="AB647">
        <v>6.1945998900000001</v>
      </c>
      <c r="AC647" t="s">
        <v>456</v>
      </c>
      <c r="AD647" t="s">
        <v>457</v>
      </c>
    </row>
    <row r="648" spans="1:30" x14ac:dyDescent="0.25">
      <c r="A648" t="s">
        <v>3523</v>
      </c>
      <c r="B648" t="s">
        <v>25</v>
      </c>
      <c r="C648" t="s">
        <v>26</v>
      </c>
      <c r="D648" t="s">
        <v>25</v>
      </c>
      <c r="E648" t="s">
        <v>3524</v>
      </c>
      <c r="F648" t="s">
        <v>3525</v>
      </c>
      <c r="G648">
        <v>1036613884</v>
      </c>
      <c r="H648" t="s">
        <v>3526</v>
      </c>
      <c r="I648" s="4" t="s">
        <v>35</v>
      </c>
      <c r="J648" s="4" t="s">
        <v>3527</v>
      </c>
      <c r="K648" t="s">
        <v>3528</v>
      </c>
      <c r="L648" t="s">
        <v>44</v>
      </c>
      <c r="M648" t="s">
        <v>3529</v>
      </c>
      <c r="N648" t="s">
        <v>45</v>
      </c>
      <c r="O648" t="s">
        <v>29</v>
      </c>
      <c r="P648" t="s">
        <v>37</v>
      </c>
      <c r="Q648" t="s">
        <v>38</v>
      </c>
      <c r="R648">
        <v>10</v>
      </c>
      <c r="S648" t="s">
        <v>3530</v>
      </c>
      <c r="T648" t="s">
        <v>7044</v>
      </c>
      <c r="U648" t="s">
        <v>7045</v>
      </c>
      <c r="V648" t="s">
        <v>32</v>
      </c>
      <c r="W648" t="s">
        <v>33</v>
      </c>
      <c r="X648" t="s">
        <v>33</v>
      </c>
      <c r="Y648" t="s">
        <v>33</v>
      </c>
      <c r="Z648" s="5" t="s">
        <v>34</v>
      </c>
      <c r="AA648">
        <v>-75.618211579999993</v>
      </c>
      <c r="AB648">
        <v>6.1904574300000004</v>
      </c>
      <c r="AC648" t="s">
        <v>456</v>
      </c>
      <c r="AD648" t="s">
        <v>457</v>
      </c>
    </row>
    <row r="649" spans="1:30" x14ac:dyDescent="0.25">
      <c r="A649" t="s">
        <v>3823</v>
      </c>
      <c r="B649" t="s">
        <v>81</v>
      </c>
      <c r="C649" t="s">
        <v>26</v>
      </c>
      <c r="D649" t="s">
        <v>81</v>
      </c>
      <c r="E649" t="s">
        <v>3824</v>
      </c>
      <c r="F649" t="s">
        <v>3825</v>
      </c>
      <c r="G649">
        <v>1053861746</v>
      </c>
      <c r="H649" t="s">
        <v>3826</v>
      </c>
      <c r="I649" s="4" t="s">
        <v>35</v>
      </c>
      <c r="J649" s="4" t="s">
        <v>3827</v>
      </c>
      <c r="K649" t="s">
        <v>3828</v>
      </c>
      <c r="L649" t="s">
        <v>27</v>
      </c>
      <c r="M649" t="s">
        <v>3829</v>
      </c>
      <c r="N649" t="s">
        <v>28</v>
      </c>
      <c r="O649" t="s">
        <v>82</v>
      </c>
      <c r="P649" t="s">
        <v>83</v>
      </c>
      <c r="Q649" t="s">
        <v>31</v>
      </c>
      <c r="R649">
        <v>4</v>
      </c>
      <c r="S649" t="s">
        <v>3830</v>
      </c>
      <c r="T649" t="s">
        <v>7046</v>
      </c>
      <c r="U649" t="s">
        <v>7046</v>
      </c>
      <c r="V649" t="s">
        <v>50</v>
      </c>
      <c r="W649" t="s">
        <v>33</v>
      </c>
      <c r="X649" t="s">
        <v>33</v>
      </c>
      <c r="Y649" t="s">
        <v>33</v>
      </c>
      <c r="Z649" s="5" t="s">
        <v>34</v>
      </c>
      <c r="AA649">
        <v>-75.571629450000003</v>
      </c>
      <c r="AB649">
        <v>6.22879542</v>
      </c>
      <c r="AC649" t="s">
        <v>456</v>
      </c>
      <c r="AD649" t="s">
        <v>457</v>
      </c>
    </row>
    <row r="650" spans="1:30" x14ac:dyDescent="0.25">
      <c r="A650" t="s">
        <v>3831</v>
      </c>
      <c r="B650" t="s">
        <v>25</v>
      </c>
      <c r="C650" t="s">
        <v>26</v>
      </c>
      <c r="D650" t="s">
        <v>39</v>
      </c>
      <c r="E650" t="s">
        <v>3832</v>
      </c>
      <c r="F650" t="s">
        <v>3833</v>
      </c>
      <c r="G650">
        <v>98762412</v>
      </c>
      <c r="H650" t="s">
        <v>3834</v>
      </c>
      <c r="I650" s="4" t="s">
        <v>3835</v>
      </c>
      <c r="J650" s="4" t="s">
        <v>3836</v>
      </c>
      <c r="K650" t="s">
        <v>3837</v>
      </c>
      <c r="L650" t="s">
        <v>27</v>
      </c>
      <c r="M650" t="s">
        <v>3838</v>
      </c>
      <c r="N650" t="s">
        <v>28</v>
      </c>
      <c r="O650" t="s">
        <v>40</v>
      </c>
      <c r="P650" t="s">
        <v>41</v>
      </c>
      <c r="Q650" t="s">
        <v>31</v>
      </c>
      <c r="R650">
        <v>5</v>
      </c>
      <c r="S650" t="s">
        <v>3839</v>
      </c>
      <c r="T650" t="s">
        <v>7047</v>
      </c>
      <c r="U650" t="s">
        <v>7048</v>
      </c>
      <c r="V650" t="s">
        <v>32</v>
      </c>
      <c r="W650" t="s">
        <v>33</v>
      </c>
      <c r="X650" t="s">
        <v>33</v>
      </c>
      <c r="Y650" t="s">
        <v>33</v>
      </c>
      <c r="Z650" s="5" t="s">
        <v>34</v>
      </c>
      <c r="AA650">
        <v>-75.542248150000006</v>
      </c>
      <c r="AB650">
        <v>6.2356925900000002</v>
      </c>
      <c r="AC650" t="s">
        <v>456</v>
      </c>
      <c r="AD650" t="s">
        <v>457</v>
      </c>
    </row>
    <row r="651" spans="1:30" x14ac:dyDescent="0.25">
      <c r="A651" t="s">
        <v>5050</v>
      </c>
      <c r="B651" t="s">
        <v>95</v>
      </c>
      <c r="C651" t="s">
        <v>26</v>
      </c>
      <c r="D651" t="s">
        <v>96</v>
      </c>
      <c r="E651" t="s">
        <v>5051</v>
      </c>
      <c r="F651" t="s">
        <v>5052</v>
      </c>
      <c r="G651">
        <v>44007744</v>
      </c>
      <c r="H651" t="s">
        <v>5053</v>
      </c>
      <c r="I651" s="4" t="s">
        <v>35</v>
      </c>
      <c r="J651" s="4" t="s">
        <v>5054</v>
      </c>
      <c r="K651" t="s">
        <v>5055</v>
      </c>
      <c r="L651" t="s">
        <v>27</v>
      </c>
      <c r="M651" t="s">
        <v>5056</v>
      </c>
      <c r="N651" t="s">
        <v>28</v>
      </c>
      <c r="O651" t="s">
        <v>103</v>
      </c>
      <c r="P651" t="s">
        <v>120</v>
      </c>
      <c r="Q651" t="s">
        <v>31</v>
      </c>
      <c r="R651">
        <v>9</v>
      </c>
      <c r="S651" t="s">
        <v>5057</v>
      </c>
      <c r="T651" t="s">
        <v>7049</v>
      </c>
      <c r="U651" t="s">
        <v>7050</v>
      </c>
      <c r="V651" t="s">
        <v>32</v>
      </c>
      <c r="W651" t="s">
        <v>33</v>
      </c>
      <c r="X651" t="s">
        <v>33</v>
      </c>
      <c r="Y651" t="s">
        <v>33</v>
      </c>
      <c r="Z651" s="5" t="s">
        <v>34</v>
      </c>
      <c r="AA651">
        <v>-75.557436999999993</v>
      </c>
      <c r="AB651">
        <v>6.2316310000000001</v>
      </c>
      <c r="AC651" t="s">
        <v>456</v>
      </c>
      <c r="AD651" t="s">
        <v>457</v>
      </c>
    </row>
    <row r="652" spans="1:30" x14ac:dyDescent="0.25">
      <c r="A652" t="s">
        <v>3840</v>
      </c>
      <c r="B652" t="s">
        <v>81</v>
      </c>
      <c r="C652" t="s">
        <v>26</v>
      </c>
      <c r="D652" t="s">
        <v>81</v>
      </c>
      <c r="E652" t="s">
        <v>3841</v>
      </c>
      <c r="F652" t="s">
        <v>3842</v>
      </c>
      <c r="G652">
        <v>1001014543</v>
      </c>
      <c r="H652" t="s">
        <v>3843</v>
      </c>
      <c r="I652" s="4" t="s">
        <v>35</v>
      </c>
      <c r="J652" s="4" t="s">
        <v>3844</v>
      </c>
      <c r="K652" t="s">
        <v>3845</v>
      </c>
      <c r="L652" t="s">
        <v>27</v>
      </c>
      <c r="M652" t="s">
        <v>3846</v>
      </c>
      <c r="N652" t="s">
        <v>28</v>
      </c>
      <c r="O652" t="s">
        <v>82</v>
      </c>
      <c r="P652" t="s">
        <v>83</v>
      </c>
      <c r="Q652" t="s">
        <v>31</v>
      </c>
      <c r="R652">
        <v>4</v>
      </c>
      <c r="S652" t="s">
        <v>3847</v>
      </c>
      <c r="T652" t="s">
        <v>7051</v>
      </c>
      <c r="U652" t="s">
        <v>7051</v>
      </c>
      <c r="V652" t="s">
        <v>50</v>
      </c>
      <c r="W652" t="s">
        <v>33</v>
      </c>
      <c r="X652" t="s">
        <v>33</v>
      </c>
      <c r="Y652" t="s">
        <v>33</v>
      </c>
      <c r="Z652" s="5" t="s">
        <v>34</v>
      </c>
      <c r="AA652">
        <v>-75.542178860000007</v>
      </c>
      <c r="AB652">
        <v>6.2334551999999999</v>
      </c>
      <c r="AC652" t="s">
        <v>456</v>
      </c>
      <c r="AD652" t="s">
        <v>457</v>
      </c>
    </row>
    <row r="653" spans="1:30" x14ac:dyDescent="0.25">
      <c r="A653" t="s">
        <v>3848</v>
      </c>
      <c r="B653" t="s">
        <v>25</v>
      </c>
      <c r="C653" t="s">
        <v>26</v>
      </c>
      <c r="D653" t="s">
        <v>25</v>
      </c>
      <c r="E653" t="s">
        <v>3849</v>
      </c>
      <c r="F653" t="s">
        <v>3850</v>
      </c>
      <c r="G653">
        <v>70828641</v>
      </c>
      <c r="H653" t="s">
        <v>920</v>
      </c>
      <c r="I653" s="4" t="s">
        <v>921</v>
      </c>
      <c r="J653" s="4" t="s">
        <v>3851</v>
      </c>
      <c r="K653" t="s">
        <v>3852</v>
      </c>
      <c r="L653" t="s">
        <v>27</v>
      </c>
      <c r="M653" t="s">
        <v>3853</v>
      </c>
      <c r="N653" t="s">
        <v>28</v>
      </c>
      <c r="O653" t="s">
        <v>29</v>
      </c>
      <c r="P653" t="s">
        <v>37</v>
      </c>
      <c r="Q653" t="s">
        <v>31</v>
      </c>
      <c r="R653">
        <v>7</v>
      </c>
      <c r="S653" t="s">
        <v>3854</v>
      </c>
      <c r="T653" t="s">
        <v>7052</v>
      </c>
      <c r="U653" t="s">
        <v>7053</v>
      </c>
      <c r="V653" t="s">
        <v>32</v>
      </c>
      <c r="W653" t="s">
        <v>33</v>
      </c>
      <c r="X653" t="s">
        <v>33</v>
      </c>
      <c r="Y653" t="s">
        <v>33</v>
      </c>
      <c r="Z653" s="5" t="s">
        <v>34</v>
      </c>
      <c r="AA653">
        <v>-75.54394739</v>
      </c>
      <c r="AB653">
        <v>6.2318671500000002</v>
      </c>
      <c r="AC653" t="s">
        <v>456</v>
      </c>
      <c r="AD653" t="s">
        <v>457</v>
      </c>
    </row>
    <row r="654" spans="1:30" x14ac:dyDescent="0.25">
      <c r="A654" t="s">
        <v>3855</v>
      </c>
      <c r="B654" t="s">
        <v>81</v>
      </c>
      <c r="C654" t="s">
        <v>26</v>
      </c>
      <c r="D654" t="s">
        <v>81</v>
      </c>
      <c r="E654" t="s">
        <v>3856</v>
      </c>
      <c r="F654" t="s">
        <v>3857</v>
      </c>
      <c r="G654">
        <v>1023633128</v>
      </c>
      <c r="H654" t="s">
        <v>1261</v>
      </c>
      <c r="I654" s="4" t="s">
        <v>35</v>
      </c>
      <c r="J654" s="4" t="s">
        <v>1262</v>
      </c>
      <c r="K654" t="s">
        <v>1263</v>
      </c>
      <c r="L654" t="s">
        <v>27</v>
      </c>
      <c r="M654" t="s">
        <v>1264</v>
      </c>
      <c r="N654" t="s">
        <v>28</v>
      </c>
      <c r="O654" t="s">
        <v>82</v>
      </c>
      <c r="P654" t="s">
        <v>83</v>
      </c>
      <c r="Q654" t="s">
        <v>38</v>
      </c>
      <c r="R654">
        <v>4</v>
      </c>
      <c r="S654" t="s">
        <v>3858</v>
      </c>
      <c r="T654" t="s">
        <v>7054</v>
      </c>
      <c r="U654" t="s">
        <v>7054</v>
      </c>
      <c r="V654" t="s">
        <v>50</v>
      </c>
      <c r="W654" t="s">
        <v>33</v>
      </c>
      <c r="X654" t="s">
        <v>33</v>
      </c>
      <c r="Y654" t="s">
        <v>33</v>
      </c>
      <c r="Z654" s="5" t="s">
        <v>34</v>
      </c>
      <c r="AA654">
        <v>-75.630603449999995</v>
      </c>
      <c r="AB654">
        <v>6.2036841300000001</v>
      </c>
      <c r="AC654" t="s">
        <v>456</v>
      </c>
      <c r="AD654" t="s">
        <v>457</v>
      </c>
    </row>
    <row r="655" spans="1:30" x14ac:dyDescent="0.25">
      <c r="A655" t="s">
        <v>3859</v>
      </c>
      <c r="B655" t="s">
        <v>81</v>
      </c>
      <c r="C655" t="s">
        <v>26</v>
      </c>
      <c r="D655" t="s">
        <v>81</v>
      </c>
      <c r="E655" t="s">
        <v>3860</v>
      </c>
      <c r="F655" t="s">
        <v>3861</v>
      </c>
      <c r="G655">
        <v>1023633128</v>
      </c>
      <c r="H655" t="s">
        <v>1261</v>
      </c>
      <c r="I655" s="4" t="s">
        <v>35</v>
      </c>
      <c r="J655" s="4" t="s">
        <v>1262</v>
      </c>
      <c r="K655" t="s">
        <v>1265</v>
      </c>
      <c r="L655" t="s">
        <v>27</v>
      </c>
      <c r="M655" t="s">
        <v>1266</v>
      </c>
      <c r="N655" t="s">
        <v>28</v>
      </c>
      <c r="O655" t="s">
        <v>82</v>
      </c>
      <c r="P655" t="s">
        <v>83</v>
      </c>
      <c r="Q655" t="s">
        <v>38</v>
      </c>
      <c r="R655">
        <v>4</v>
      </c>
      <c r="S655" t="s">
        <v>3862</v>
      </c>
      <c r="T655" t="s">
        <v>7055</v>
      </c>
      <c r="U655" t="s">
        <v>7055</v>
      </c>
      <c r="V655" t="s">
        <v>50</v>
      </c>
      <c r="W655" t="s">
        <v>33</v>
      </c>
      <c r="X655" t="s">
        <v>33</v>
      </c>
      <c r="Y655" t="s">
        <v>33</v>
      </c>
      <c r="Z655" s="5" t="s">
        <v>34</v>
      </c>
      <c r="AA655">
        <v>-75.630603449999995</v>
      </c>
      <c r="AB655">
        <v>6.2036841300000001</v>
      </c>
      <c r="AC655" t="s">
        <v>456</v>
      </c>
      <c r="AD655" t="s">
        <v>457</v>
      </c>
    </row>
    <row r="656" spans="1:30" x14ac:dyDescent="0.25">
      <c r="A656" t="s">
        <v>3863</v>
      </c>
      <c r="B656" t="s">
        <v>25</v>
      </c>
      <c r="C656" t="s">
        <v>26</v>
      </c>
      <c r="D656" t="s">
        <v>39</v>
      </c>
      <c r="E656" t="s">
        <v>3864</v>
      </c>
      <c r="F656" t="s">
        <v>3865</v>
      </c>
      <c r="G656">
        <v>80013104</v>
      </c>
      <c r="H656" t="s">
        <v>3866</v>
      </c>
      <c r="I656" s="4" t="s">
        <v>35</v>
      </c>
      <c r="J656" s="4" t="s">
        <v>3867</v>
      </c>
      <c r="K656" t="s">
        <v>3868</v>
      </c>
      <c r="L656" t="s">
        <v>27</v>
      </c>
      <c r="M656" t="s">
        <v>3869</v>
      </c>
      <c r="N656" t="s">
        <v>28</v>
      </c>
      <c r="O656" t="s">
        <v>40</v>
      </c>
      <c r="P656" t="s">
        <v>41</v>
      </c>
      <c r="Q656" t="s">
        <v>31</v>
      </c>
      <c r="R656">
        <v>5</v>
      </c>
      <c r="S656" t="s">
        <v>3870</v>
      </c>
      <c r="T656" t="s">
        <v>7056</v>
      </c>
      <c r="U656" t="s">
        <v>7057</v>
      </c>
      <c r="V656" t="s">
        <v>32</v>
      </c>
      <c r="W656" t="s">
        <v>33</v>
      </c>
      <c r="X656" t="s">
        <v>33</v>
      </c>
      <c r="Y656" t="s">
        <v>33</v>
      </c>
      <c r="Z656" s="5" t="s">
        <v>34</v>
      </c>
      <c r="AA656">
        <v>-75.525189490000002</v>
      </c>
      <c r="AB656">
        <v>6.2335035799999998</v>
      </c>
      <c r="AC656" t="s">
        <v>456</v>
      </c>
      <c r="AD656" t="s">
        <v>457</v>
      </c>
    </row>
    <row r="657" spans="1:30" x14ac:dyDescent="0.25">
      <c r="A657" t="s">
        <v>3871</v>
      </c>
      <c r="B657" t="s">
        <v>81</v>
      </c>
      <c r="C657" t="s">
        <v>26</v>
      </c>
      <c r="D657" t="s">
        <v>81</v>
      </c>
      <c r="E657" t="s">
        <v>3872</v>
      </c>
      <c r="F657" t="s">
        <v>3873</v>
      </c>
      <c r="G657">
        <v>70727208</v>
      </c>
      <c r="H657" t="s">
        <v>1886</v>
      </c>
      <c r="I657" s="4" t="s">
        <v>1887</v>
      </c>
      <c r="J657" s="4" t="s">
        <v>1888</v>
      </c>
      <c r="K657" t="s">
        <v>1816</v>
      </c>
      <c r="L657" t="s">
        <v>61</v>
      </c>
      <c r="M657" t="s">
        <v>1817</v>
      </c>
      <c r="N657" t="s">
        <v>63</v>
      </c>
      <c r="O657" t="s">
        <v>82</v>
      </c>
      <c r="P657" t="s">
        <v>83</v>
      </c>
      <c r="Q657" t="s">
        <v>38</v>
      </c>
      <c r="R657">
        <v>4</v>
      </c>
      <c r="S657" t="s">
        <v>3874</v>
      </c>
      <c r="T657" t="s">
        <v>7058</v>
      </c>
      <c r="U657" t="s">
        <v>7058</v>
      </c>
      <c r="V657" t="s">
        <v>50</v>
      </c>
      <c r="W657" t="s">
        <v>33</v>
      </c>
      <c r="X657" t="s">
        <v>33</v>
      </c>
      <c r="Y657" t="s">
        <v>33</v>
      </c>
      <c r="Z657" s="5" t="s">
        <v>34</v>
      </c>
      <c r="AA657">
        <v>-75.633577209999999</v>
      </c>
      <c r="AB657">
        <v>6.1396153699999996</v>
      </c>
      <c r="AC657" t="s">
        <v>456</v>
      </c>
      <c r="AD657" t="s">
        <v>457</v>
      </c>
    </row>
    <row r="658" spans="1:30" x14ac:dyDescent="0.25">
      <c r="A658" t="s">
        <v>3877</v>
      </c>
      <c r="B658" t="s">
        <v>25</v>
      </c>
      <c r="C658" t="s">
        <v>26</v>
      </c>
      <c r="D658" t="s">
        <v>39</v>
      </c>
      <c r="E658" t="s">
        <v>3878</v>
      </c>
      <c r="F658" t="s">
        <v>3879</v>
      </c>
      <c r="G658">
        <v>71380080</v>
      </c>
      <c r="H658" t="s">
        <v>3880</v>
      </c>
      <c r="I658" s="4" t="s">
        <v>35</v>
      </c>
      <c r="J658" s="4" t="s">
        <v>3881</v>
      </c>
      <c r="K658" t="s">
        <v>3882</v>
      </c>
      <c r="L658" t="s">
        <v>27</v>
      </c>
      <c r="M658" t="s">
        <v>3883</v>
      </c>
      <c r="N658" t="s">
        <v>28</v>
      </c>
      <c r="O658" t="s">
        <v>40</v>
      </c>
      <c r="P658" t="s">
        <v>41</v>
      </c>
      <c r="Q658" t="s">
        <v>31</v>
      </c>
      <c r="R658">
        <v>5</v>
      </c>
      <c r="S658" t="s">
        <v>3884</v>
      </c>
      <c r="T658" t="s">
        <v>7059</v>
      </c>
      <c r="U658" t="s">
        <v>7060</v>
      </c>
      <c r="V658" t="s">
        <v>32</v>
      </c>
      <c r="W658" t="s">
        <v>33</v>
      </c>
      <c r="X658" t="s">
        <v>33</v>
      </c>
      <c r="Y658" t="s">
        <v>33</v>
      </c>
      <c r="Z658" s="5" t="s">
        <v>34</v>
      </c>
      <c r="AA658">
        <v>-75.526510999999999</v>
      </c>
      <c r="AB658">
        <v>6.230772</v>
      </c>
      <c r="AC658" t="s">
        <v>456</v>
      </c>
      <c r="AD658" t="s">
        <v>457</v>
      </c>
    </row>
    <row r="659" spans="1:30" x14ac:dyDescent="0.25">
      <c r="A659" t="s">
        <v>3885</v>
      </c>
      <c r="B659" t="s">
        <v>25</v>
      </c>
      <c r="C659" t="s">
        <v>26</v>
      </c>
      <c r="D659" t="s">
        <v>25</v>
      </c>
      <c r="E659" t="s">
        <v>3886</v>
      </c>
      <c r="F659" t="s">
        <v>3887</v>
      </c>
      <c r="G659">
        <v>3369956</v>
      </c>
      <c r="H659" t="s">
        <v>112</v>
      </c>
      <c r="I659" s="4" t="s">
        <v>35</v>
      </c>
      <c r="J659" s="4" t="s">
        <v>748</v>
      </c>
      <c r="K659" t="s">
        <v>3888</v>
      </c>
      <c r="L659" t="s">
        <v>27</v>
      </c>
      <c r="M659" t="s">
        <v>3889</v>
      </c>
      <c r="N659" t="s">
        <v>28</v>
      </c>
      <c r="O659" t="s">
        <v>29</v>
      </c>
      <c r="P659" t="s">
        <v>37</v>
      </c>
      <c r="Q659" t="s">
        <v>38</v>
      </c>
      <c r="R659">
        <v>10</v>
      </c>
      <c r="S659" t="s">
        <v>3890</v>
      </c>
      <c r="T659" t="s">
        <v>4872</v>
      </c>
      <c r="U659" t="s">
        <v>4653</v>
      </c>
      <c r="V659" t="s">
        <v>32</v>
      </c>
      <c r="W659" t="s">
        <v>33</v>
      </c>
      <c r="X659" t="s">
        <v>33</v>
      </c>
      <c r="Y659" t="s">
        <v>33</v>
      </c>
      <c r="Z659" s="5" t="s">
        <v>34</v>
      </c>
      <c r="AA659">
        <v>-75.609279000000001</v>
      </c>
      <c r="AB659">
        <v>6.2115840000000002</v>
      </c>
      <c r="AC659" t="s">
        <v>456</v>
      </c>
      <c r="AD659" t="s">
        <v>457</v>
      </c>
    </row>
    <row r="660" spans="1:30" x14ac:dyDescent="0.25">
      <c r="A660" t="s">
        <v>3891</v>
      </c>
      <c r="B660" t="s">
        <v>25</v>
      </c>
      <c r="C660" t="s">
        <v>26</v>
      </c>
      <c r="D660" t="s">
        <v>39</v>
      </c>
      <c r="E660" t="s">
        <v>3892</v>
      </c>
      <c r="F660" t="s">
        <v>3893</v>
      </c>
      <c r="G660">
        <v>1036337461</v>
      </c>
      <c r="H660" t="s">
        <v>3894</v>
      </c>
      <c r="I660" s="4" t="s">
        <v>35</v>
      </c>
      <c r="J660" s="4" t="s">
        <v>3895</v>
      </c>
      <c r="K660" t="s">
        <v>3896</v>
      </c>
      <c r="L660" t="s">
        <v>27</v>
      </c>
      <c r="M660" t="s">
        <v>3897</v>
      </c>
      <c r="N660" t="s">
        <v>28</v>
      </c>
      <c r="O660" t="s">
        <v>40</v>
      </c>
      <c r="P660" t="s">
        <v>41</v>
      </c>
      <c r="Q660" t="s">
        <v>38</v>
      </c>
      <c r="R660">
        <v>8</v>
      </c>
      <c r="S660" t="s">
        <v>3898</v>
      </c>
      <c r="T660" t="s">
        <v>7061</v>
      </c>
      <c r="U660" t="s">
        <v>7062</v>
      </c>
      <c r="V660" t="s">
        <v>32</v>
      </c>
      <c r="W660" t="s">
        <v>33</v>
      </c>
      <c r="X660" t="s">
        <v>33</v>
      </c>
      <c r="Y660" t="s">
        <v>33</v>
      </c>
      <c r="Z660" s="5" t="s">
        <v>34</v>
      </c>
      <c r="AA660">
        <v>-75.699207999999999</v>
      </c>
      <c r="AB660">
        <v>6.366053</v>
      </c>
      <c r="AC660" t="s">
        <v>456</v>
      </c>
      <c r="AD660" t="s">
        <v>457</v>
      </c>
    </row>
    <row r="661" spans="1:30" x14ac:dyDescent="0.25">
      <c r="A661" t="s">
        <v>5804</v>
      </c>
      <c r="B661" t="s">
        <v>51</v>
      </c>
      <c r="C661" t="s">
        <v>26</v>
      </c>
      <c r="D661" t="s">
        <v>51</v>
      </c>
      <c r="E661" t="s">
        <v>5805</v>
      </c>
      <c r="F661" t="s">
        <v>5806</v>
      </c>
      <c r="G661">
        <v>32354426</v>
      </c>
      <c r="H661" t="s">
        <v>5807</v>
      </c>
      <c r="I661" s="4" t="s">
        <v>35</v>
      </c>
      <c r="J661" s="4" t="s">
        <v>5808</v>
      </c>
      <c r="K661" t="s">
        <v>5809</v>
      </c>
      <c r="L661" t="s">
        <v>27</v>
      </c>
      <c r="M661" t="s">
        <v>5810</v>
      </c>
      <c r="N661" t="s">
        <v>28</v>
      </c>
      <c r="O661" t="s">
        <v>40</v>
      </c>
      <c r="P661" t="s">
        <v>53</v>
      </c>
      <c r="Q661" t="s">
        <v>38</v>
      </c>
      <c r="R661">
        <v>8</v>
      </c>
      <c r="S661" t="s">
        <v>5811</v>
      </c>
      <c r="T661" t="s">
        <v>7063</v>
      </c>
      <c r="U661" t="s">
        <v>7064</v>
      </c>
      <c r="V661" t="s">
        <v>32</v>
      </c>
      <c r="W661" t="s">
        <v>33</v>
      </c>
      <c r="X661" t="s">
        <v>33</v>
      </c>
      <c r="Y661" t="s">
        <v>33</v>
      </c>
      <c r="Z661" s="5" t="s">
        <v>34</v>
      </c>
      <c r="AA661">
        <v>-75.612559489999995</v>
      </c>
      <c r="AB661">
        <v>6.2731295400000002</v>
      </c>
      <c r="AC661" t="s">
        <v>456</v>
      </c>
      <c r="AD661" t="s">
        <v>457</v>
      </c>
    </row>
    <row r="662" spans="1:30" x14ac:dyDescent="0.25">
      <c r="A662" t="s">
        <v>3899</v>
      </c>
      <c r="B662" t="s">
        <v>25</v>
      </c>
      <c r="C662" t="s">
        <v>26</v>
      </c>
      <c r="D662" t="s">
        <v>39</v>
      </c>
      <c r="E662" t="s">
        <v>3900</v>
      </c>
      <c r="F662" t="s">
        <v>3901</v>
      </c>
      <c r="G662">
        <v>42756750</v>
      </c>
      <c r="H662" t="s">
        <v>3902</v>
      </c>
      <c r="I662" s="4" t="s">
        <v>35</v>
      </c>
      <c r="J662" s="4" t="s">
        <v>3903</v>
      </c>
      <c r="K662" t="s">
        <v>3904</v>
      </c>
      <c r="L662" t="s">
        <v>44</v>
      </c>
      <c r="M662" t="s">
        <v>3905</v>
      </c>
      <c r="N662" t="s">
        <v>45</v>
      </c>
      <c r="O662" t="s">
        <v>40</v>
      </c>
      <c r="P662" t="s">
        <v>41</v>
      </c>
      <c r="Q662" t="s">
        <v>31</v>
      </c>
      <c r="R662">
        <v>5</v>
      </c>
      <c r="S662" t="s">
        <v>3906</v>
      </c>
      <c r="T662" t="s">
        <v>7061</v>
      </c>
      <c r="U662" t="s">
        <v>7065</v>
      </c>
      <c r="V662" t="s">
        <v>32</v>
      </c>
      <c r="W662" t="s">
        <v>33</v>
      </c>
      <c r="X662" t="s">
        <v>33</v>
      </c>
      <c r="Y662" t="s">
        <v>33</v>
      </c>
      <c r="Z662" s="5" t="s">
        <v>34</v>
      </c>
      <c r="AA662">
        <v>-75.641924000000003</v>
      </c>
      <c r="AB662">
        <v>6.1700169999999996</v>
      </c>
      <c r="AC662" t="s">
        <v>456</v>
      </c>
      <c r="AD662" t="s">
        <v>457</v>
      </c>
    </row>
    <row r="663" spans="1:30" x14ac:dyDescent="0.25">
      <c r="A663" t="s">
        <v>3907</v>
      </c>
      <c r="B663" t="s">
        <v>25</v>
      </c>
      <c r="C663" t="s">
        <v>26</v>
      </c>
      <c r="D663" t="s">
        <v>39</v>
      </c>
      <c r="E663" t="s">
        <v>3908</v>
      </c>
      <c r="F663" t="s">
        <v>3909</v>
      </c>
      <c r="G663">
        <v>42756750</v>
      </c>
      <c r="H663" t="s">
        <v>3902</v>
      </c>
      <c r="I663" s="4" t="s">
        <v>35</v>
      </c>
      <c r="J663" s="4" t="s">
        <v>3903</v>
      </c>
      <c r="K663" t="s">
        <v>3910</v>
      </c>
      <c r="L663" t="s">
        <v>44</v>
      </c>
      <c r="M663" t="s">
        <v>3911</v>
      </c>
      <c r="N663" t="s">
        <v>45</v>
      </c>
      <c r="O663" t="s">
        <v>40</v>
      </c>
      <c r="P663" t="s">
        <v>41</v>
      </c>
      <c r="Q663" t="s">
        <v>31</v>
      </c>
      <c r="R663">
        <v>5</v>
      </c>
      <c r="S663" t="s">
        <v>3912</v>
      </c>
      <c r="T663" t="s">
        <v>7066</v>
      </c>
      <c r="U663" t="s">
        <v>7067</v>
      </c>
      <c r="V663" t="s">
        <v>32</v>
      </c>
      <c r="W663" t="s">
        <v>33</v>
      </c>
      <c r="X663" t="s">
        <v>33</v>
      </c>
      <c r="Y663" t="s">
        <v>33</v>
      </c>
      <c r="Z663" s="5" t="s">
        <v>34</v>
      </c>
      <c r="AA663">
        <v>-75.641924000000003</v>
      </c>
      <c r="AB663">
        <v>6.1700169999999996</v>
      </c>
      <c r="AC663" t="s">
        <v>456</v>
      </c>
      <c r="AD663" t="s">
        <v>457</v>
      </c>
    </row>
    <row r="664" spans="1:30" x14ac:dyDescent="0.25">
      <c r="A664" t="s">
        <v>3913</v>
      </c>
      <c r="B664" t="s">
        <v>25</v>
      </c>
      <c r="C664" t="s">
        <v>26</v>
      </c>
      <c r="D664" t="s">
        <v>39</v>
      </c>
      <c r="E664" t="s">
        <v>3914</v>
      </c>
      <c r="F664" t="s">
        <v>3915</v>
      </c>
      <c r="G664">
        <v>42756750</v>
      </c>
      <c r="H664" t="s">
        <v>3902</v>
      </c>
      <c r="I664" s="4" t="s">
        <v>35</v>
      </c>
      <c r="J664" s="4" t="s">
        <v>3903</v>
      </c>
      <c r="K664" t="s">
        <v>3916</v>
      </c>
      <c r="L664" t="s">
        <v>44</v>
      </c>
      <c r="M664" t="s">
        <v>3917</v>
      </c>
      <c r="N664" t="s">
        <v>45</v>
      </c>
      <c r="O664" t="s">
        <v>40</v>
      </c>
      <c r="P664" t="s">
        <v>41</v>
      </c>
      <c r="Q664" t="s">
        <v>31</v>
      </c>
      <c r="R664">
        <v>5</v>
      </c>
      <c r="S664" t="s">
        <v>3918</v>
      </c>
      <c r="T664" t="s">
        <v>7066</v>
      </c>
      <c r="U664" t="s">
        <v>7067</v>
      </c>
      <c r="V664" t="s">
        <v>32</v>
      </c>
      <c r="W664" t="s">
        <v>33</v>
      </c>
      <c r="X664" t="s">
        <v>33</v>
      </c>
      <c r="Y664" t="s">
        <v>33</v>
      </c>
      <c r="Z664" s="5" t="s">
        <v>34</v>
      </c>
      <c r="AA664">
        <v>-75.641924000000003</v>
      </c>
      <c r="AB664">
        <v>6.1700169999999996</v>
      </c>
      <c r="AC664" t="s">
        <v>456</v>
      </c>
      <c r="AD664" t="s">
        <v>457</v>
      </c>
    </row>
    <row r="665" spans="1:30" x14ac:dyDescent="0.25">
      <c r="A665" t="s">
        <v>3919</v>
      </c>
      <c r="B665" t="s">
        <v>25</v>
      </c>
      <c r="C665" t="s">
        <v>26</v>
      </c>
      <c r="D665" t="s">
        <v>39</v>
      </c>
      <c r="E665" t="s">
        <v>3920</v>
      </c>
      <c r="F665" t="s">
        <v>3921</v>
      </c>
      <c r="G665">
        <v>42756750</v>
      </c>
      <c r="H665" t="s">
        <v>3902</v>
      </c>
      <c r="I665" s="4" t="s">
        <v>35</v>
      </c>
      <c r="J665" s="4" t="s">
        <v>3903</v>
      </c>
      <c r="K665" t="s">
        <v>3922</v>
      </c>
      <c r="L665" t="s">
        <v>44</v>
      </c>
      <c r="M665" t="s">
        <v>3923</v>
      </c>
      <c r="N665" t="s">
        <v>45</v>
      </c>
      <c r="O665" t="s">
        <v>40</v>
      </c>
      <c r="P665" t="s">
        <v>41</v>
      </c>
      <c r="Q665" t="s">
        <v>31</v>
      </c>
      <c r="R665">
        <v>5</v>
      </c>
      <c r="S665" t="s">
        <v>3924</v>
      </c>
      <c r="T665" t="s">
        <v>7068</v>
      </c>
      <c r="U665" t="s">
        <v>7069</v>
      </c>
      <c r="V665" t="s">
        <v>32</v>
      </c>
      <c r="W665" t="s">
        <v>33</v>
      </c>
      <c r="X665" t="s">
        <v>33</v>
      </c>
      <c r="Y665" t="s">
        <v>33</v>
      </c>
      <c r="Z665" s="5" t="s">
        <v>34</v>
      </c>
      <c r="AA665">
        <v>-75.641924000000003</v>
      </c>
      <c r="AB665">
        <v>6.1700169999999996</v>
      </c>
      <c r="AC665" t="s">
        <v>456</v>
      </c>
      <c r="AD665" t="s">
        <v>457</v>
      </c>
    </row>
    <row r="666" spans="1:30" x14ac:dyDescent="0.25">
      <c r="A666" t="s">
        <v>3925</v>
      </c>
      <c r="B666" t="s">
        <v>25</v>
      </c>
      <c r="C666" t="s">
        <v>26</v>
      </c>
      <c r="D666" t="s">
        <v>25</v>
      </c>
      <c r="E666" t="s">
        <v>3926</v>
      </c>
      <c r="F666" t="s">
        <v>3927</v>
      </c>
      <c r="G666">
        <v>98527404</v>
      </c>
      <c r="H666" t="s">
        <v>3928</v>
      </c>
      <c r="I666" s="4" t="s">
        <v>35</v>
      </c>
      <c r="J666" s="4" t="s">
        <v>3929</v>
      </c>
      <c r="K666" t="s">
        <v>3930</v>
      </c>
      <c r="L666" t="s">
        <v>27</v>
      </c>
      <c r="M666" t="s">
        <v>3931</v>
      </c>
      <c r="N666" t="s">
        <v>28</v>
      </c>
      <c r="O666" t="s">
        <v>29</v>
      </c>
      <c r="P666" t="s">
        <v>30</v>
      </c>
      <c r="Q666" t="s">
        <v>31</v>
      </c>
      <c r="R666">
        <v>7</v>
      </c>
      <c r="S666" t="s">
        <v>3932</v>
      </c>
      <c r="T666" t="s">
        <v>4874</v>
      </c>
      <c r="U666" t="s">
        <v>7070</v>
      </c>
      <c r="V666" t="s">
        <v>32</v>
      </c>
      <c r="W666" t="s">
        <v>33</v>
      </c>
      <c r="X666" t="s">
        <v>33</v>
      </c>
      <c r="Y666" t="s">
        <v>33</v>
      </c>
      <c r="Z666" s="5" t="s">
        <v>34</v>
      </c>
      <c r="AA666">
        <v>-75.544404209999996</v>
      </c>
      <c r="AB666">
        <v>6.2284615600000004</v>
      </c>
      <c r="AC666" t="s">
        <v>456</v>
      </c>
      <c r="AD666" t="s">
        <v>457</v>
      </c>
    </row>
    <row r="667" spans="1:30" x14ac:dyDescent="0.25">
      <c r="A667" t="s">
        <v>3933</v>
      </c>
      <c r="B667" t="s">
        <v>25</v>
      </c>
      <c r="C667" t="s">
        <v>166</v>
      </c>
      <c r="D667" t="s">
        <v>25</v>
      </c>
      <c r="E667" t="s">
        <v>3934</v>
      </c>
      <c r="F667" t="s">
        <v>3935</v>
      </c>
      <c r="G667">
        <v>98604082</v>
      </c>
      <c r="H667" t="s">
        <v>2210</v>
      </c>
      <c r="I667" s="4" t="s">
        <v>35</v>
      </c>
      <c r="J667" s="4" t="s">
        <v>3936</v>
      </c>
      <c r="K667" t="s">
        <v>2211</v>
      </c>
      <c r="L667" t="s">
        <v>49</v>
      </c>
      <c r="M667" t="s">
        <v>2212</v>
      </c>
      <c r="N667" t="s">
        <v>84</v>
      </c>
      <c r="O667" t="s">
        <v>467</v>
      </c>
      <c r="P667" t="s">
        <v>30</v>
      </c>
      <c r="Q667" t="s">
        <v>31</v>
      </c>
      <c r="R667">
        <v>7</v>
      </c>
      <c r="S667" t="s">
        <v>3937</v>
      </c>
      <c r="T667" t="s">
        <v>4874</v>
      </c>
      <c r="U667" t="s">
        <v>7070</v>
      </c>
      <c r="V667" t="s">
        <v>32</v>
      </c>
      <c r="W667" t="s">
        <v>33</v>
      </c>
      <c r="X667" t="s">
        <v>33</v>
      </c>
      <c r="Y667" t="s">
        <v>33</v>
      </c>
      <c r="Z667" s="5" t="s">
        <v>34</v>
      </c>
      <c r="AA667">
        <v>-75.577117000000001</v>
      </c>
      <c r="AB667">
        <v>6.1544429999999997</v>
      </c>
      <c r="AC667" t="s">
        <v>456</v>
      </c>
      <c r="AD667" t="s">
        <v>457</v>
      </c>
    </row>
    <row r="668" spans="1:30" x14ac:dyDescent="0.25">
      <c r="A668" t="s">
        <v>3938</v>
      </c>
      <c r="B668" t="s">
        <v>81</v>
      </c>
      <c r="C668" t="s">
        <v>26</v>
      </c>
      <c r="D668" t="s">
        <v>81</v>
      </c>
      <c r="E668" t="s">
        <v>3939</v>
      </c>
      <c r="F668" t="s">
        <v>3940</v>
      </c>
      <c r="G668">
        <v>8278972</v>
      </c>
      <c r="H668" t="s">
        <v>3941</v>
      </c>
      <c r="I668" s="4" t="s">
        <v>3942</v>
      </c>
      <c r="J668" s="4" t="s">
        <v>3943</v>
      </c>
      <c r="K668" t="s">
        <v>3944</v>
      </c>
      <c r="L668" t="s">
        <v>27</v>
      </c>
      <c r="M668" t="s">
        <v>3945</v>
      </c>
      <c r="N668" t="s">
        <v>28</v>
      </c>
      <c r="O668" t="s">
        <v>82</v>
      </c>
      <c r="P668" t="s">
        <v>83</v>
      </c>
      <c r="Q668" t="s">
        <v>31</v>
      </c>
      <c r="R668">
        <v>4</v>
      </c>
      <c r="S668" t="s">
        <v>3946</v>
      </c>
      <c r="T668" t="s">
        <v>7071</v>
      </c>
      <c r="U668" t="s">
        <v>7071</v>
      </c>
      <c r="V668" t="s">
        <v>50</v>
      </c>
      <c r="W668" t="s">
        <v>33</v>
      </c>
      <c r="X668" t="s">
        <v>33</v>
      </c>
      <c r="Y668" t="s">
        <v>33</v>
      </c>
      <c r="Z668" s="5" t="s">
        <v>34</v>
      </c>
      <c r="AA668">
        <v>-75.596905000000007</v>
      </c>
      <c r="AB668">
        <v>6.2459509999999998</v>
      </c>
      <c r="AC668" t="s">
        <v>456</v>
      </c>
      <c r="AD668" t="s">
        <v>457</v>
      </c>
    </row>
    <row r="669" spans="1:30" x14ac:dyDescent="0.25">
      <c r="A669" t="s">
        <v>3947</v>
      </c>
      <c r="B669" t="s">
        <v>25</v>
      </c>
      <c r="C669" t="s">
        <v>26</v>
      </c>
      <c r="D669" t="s">
        <v>25</v>
      </c>
      <c r="E669" t="s">
        <v>3948</v>
      </c>
      <c r="F669" t="s">
        <v>3949</v>
      </c>
      <c r="G669">
        <v>42961338</v>
      </c>
      <c r="H669" t="s">
        <v>3950</v>
      </c>
      <c r="I669" s="4" t="s">
        <v>35</v>
      </c>
      <c r="J669" s="4" t="s">
        <v>3951</v>
      </c>
      <c r="K669" t="s">
        <v>3952</v>
      </c>
      <c r="L669" t="s">
        <v>27</v>
      </c>
      <c r="M669" t="s">
        <v>3953</v>
      </c>
      <c r="N669" t="s">
        <v>28</v>
      </c>
      <c r="O669" t="s">
        <v>29</v>
      </c>
      <c r="P669" t="s">
        <v>30</v>
      </c>
      <c r="Q669" t="s">
        <v>31</v>
      </c>
      <c r="R669">
        <v>7</v>
      </c>
      <c r="S669" t="s">
        <v>3954</v>
      </c>
      <c r="T669" t="s">
        <v>7072</v>
      </c>
      <c r="U669" t="s">
        <v>7073</v>
      </c>
      <c r="V669" t="s">
        <v>32</v>
      </c>
      <c r="W669" t="s">
        <v>33</v>
      </c>
      <c r="X669" t="s">
        <v>33</v>
      </c>
      <c r="Y669" t="s">
        <v>33</v>
      </c>
      <c r="Z669" s="5" t="s">
        <v>34</v>
      </c>
      <c r="AA669">
        <v>-75.544417609999996</v>
      </c>
      <c r="AB669">
        <v>6.2286122500000003</v>
      </c>
      <c r="AC669" t="s">
        <v>456</v>
      </c>
      <c r="AD669" t="s">
        <v>457</v>
      </c>
    </row>
    <row r="670" spans="1:30" x14ac:dyDescent="0.25">
      <c r="A670" t="s">
        <v>3955</v>
      </c>
      <c r="B670" t="s">
        <v>51</v>
      </c>
      <c r="C670" t="s">
        <v>121</v>
      </c>
      <c r="D670" t="s">
        <v>51</v>
      </c>
      <c r="E670" t="s">
        <v>3956</v>
      </c>
      <c r="F670" t="s">
        <v>3957</v>
      </c>
      <c r="G670">
        <v>39175744</v>
      </c>
      <c r="H670" t="s">
        <v>3958</v>
      </c>
      <c r="I670" s="4" t="s">
        <v>35</v>
      </c>
      <c r="J670" s="4" t="s">
        <v>3959</v>
      </c>
      <c r="K670" t="s">
        <v>3960</v>
      </c>
      <c r="L670" t="s">
        <v>27</v>
      </c>
      <c r="M670" t="s">
        <v>3961</v>
      </c>
      <c r="N670" t="s">
        <v>28</v>
      </c>
      <c r="O670" t="s">
        <v>122</v>
      </c>
      <c r="P670" t="s">
        <v>53</v>
      </c>
      <c r="Q670" t="s">
        <v>31</v>
      </c>
      <c r="R670">
        <v>11</v>
      </c>
      <c r="S670" t="s">
        <v>3962</v>
      </c>
      <c r="T670" t="s">
        <v>4811</v>
      </c>
      <c r="U670" t="s">
        <v>6785</v>
      </c>
      <c r="V670" t="s">
        <v>32</v>
      </c>
      <c r="W670" t="s">
        <v>33</v>
      </c>
      <c r="X670" t="s">
        <v>33</v>
      </c>
      <c r="Y670" t="s">
        <v>33</v>
      </c>
      <c r="Z670" s="5" t="s">
        <v>34</v>
      </c>
      <c r="AA670">
        <v>-75.621131000000005</v>
      </c>
      <c r="AB670">
        <v>6.2816369999999999</v>
      </c>
      <c r="AC670" t="s">
        <v>456</v>
      </c>
      <c r="AD670" t="s">
        <v>457</v>
      </c>
    </row>
    <row r="671" spans="1:30" x14ac:dyDescent="0.25">
      <c r="A671" t="s">
        <v>3963</v>
      </c>
      <c r="B671" t="s">
        <v>25</v>
      </c>
      <c r="C671" t="s">
        <v>26</v>
      </c>
      <c r="D671" t="s">
        <v>39</v>
      </c>
      <c r="E671" t="s">
        <v>3964</v>
      </c>
      <c r="F671" t="s">
        <v>3965</v>
      </c>
      <c r="G671">
        <v>3490006</v>
      </c>
      <c r="H671" t="s">
        <v>3966</v>
      </c>
      <c r="I671" s="4" t="s">
        <v>35</v>
      </c>
      <c r="J671" s="4" t="s">
        <v>3967</v>
      </c>
      <c r="K671" t="s">
        <v>3968</v>
      </c>
      <c r="L671" t="s">
        <v>27</v>
      </c>
      <c r="M671" t="s">
        <v>3969</v>
      </c>
      <c r="N671" t="s">
        <v>28</v>
      </c>
      <c r="O671" t="s">
        <v>40</v>
      </c>
      <c r="P671" t="s">
        <v>41</v>
      </c>
      <c r="Q671" t="s">
        <v>38</v>
      </c>
      <c r="R671">
        <v>8</v>
      </c>
      <c r="S671" t="s">
        <v>3970</v>
      </c>
      <c r="T671" t="s">
        <v>749</v>
      </c>
      <c r="U671" t="s">
        <v>7074</v>
      </c>
      <c r="V671" t="s">
        <v>32</v>
      </c>
      <c r="W671" t="s">
        <v>33</v>
      </c>
      <c r="X671" t="s">
        <v>33</v>
      </c>
      <c r="Y671" t="s">
        <v>33</v>
      </c>
      <c r="Z671" s="5" t="s">
        <v>34</v>
      </c>
      <c r="AA671">
        <v>-75.500567390000001</v>
      </c>
      <c r="AB671">
        <v>6.2530853899999999</v>
      </c>
      <c r="AC671" t="s">
        <v>456</v>
      </c>
      <c r="AD671" t="s">
        <v>457</v>
      </c>
    </row>
    <row r="672" spans="1:30" x14ac:dyDescent="0.25">
      <c r="A672" t="s">
        <v>3971</v>
      </c>
      <c r="B672" t="s">
        <v>25</v>
      </c>
      <c r="C672" t="s">
        <v>26</v>
      </c>
      <c r="D672" t="s">
        <v>25</v>
      </c>
      <c r="E672" t="s">
        <v>3972</v>
      </c>
      <c r="F672" t="s">
        <v>3973</v>
      </c>
      <c r="G672">
        <v>43836232</v>
      </c>
      <c r="H672" t="s">
        <v>3974</v>
      </c>
      <c r="I672" s="4" t="s">
        <v>35</v>
      </c>
      <c r="J672" s="4" t="s">
        <v>3975</v>
      </c>
      <c r="K672" t="s">
        <v>3976</v>
      </c>
      <c r="L672" t="s">
        <v>27</v>
      </c>
      <c r="M672" t="s">
        <v>3977</v>
      </c>
      <c r="N672" t="s">
        <v>28</v>
      </c>
      <c r="O672" t="s">
        <v>29</v>
      </c>
      <c r="P672" t="s">
        <v>37</v>
      </c>
      <c r="Q672" t="s">
        <v>31</v>
      </c>
      <c r="R672">
        <v>7</v>
      </c>
      <c r="S672" t="s">
        <v>3978</v>
      </c>
      <c r="T672" t="s">
        <v>4875</v>
      </c>
      <c r="U672" t="s">
        <v>4876</v>
      </c>
      <c r="V672" t="s">
        <v>32</v>
      </c>
      <c r="W672" t="s">
        <v>33</v>
      </c>
      <c r="X672" t="s">
        <v>33</v>
      </c>
      <c r="Y672" t="s">
        <v>33</v>
      </c>
      <c r="Z672" s="5" t="s">
        <v>34</v>
      </c>
      <c r="AA672">
        <v>-75.644721000000004</v>
      </c>
      <c r="AB672">
        <v>6.1776470000000003</v>
      </c>
      <c r="AC672" t="s">
        <v>456</v>
      </c>
      <c r="AD672" t="s">
        <v>457</v>
      </c>
    </row>
    <row r="673" spans="1:30" x14ac:dyDescent="0.25">
      <c r="A673" t="s">
        <v>3979</v>
      </c>
      <c r="B673" t="s">
        <v>25</v>
      </c>
      <c r="C673" t="s">
        <v>26</v>
      </c>
      <c r="D673" t="s">
        <v>39</v>
      </c>
      <c r="E673" t="s">
        <v>3980</v>
      </c>
      <c r="F673" t="s">
        <v>3981</v>
      </c>
      <c r="G673">
        <v>21410351</v>
      </c>
      <c r="H673" t="s">
        <v>3982</v>
      </c>
      <c r="I673" s="4" t="s">
        <v>35</v>
      </c>
      <c r="J673" s="4" t="s">
        <v>3983</v>
      </c>
      <c r="K673" t="s">
        <v>3984</v>
      </c>
      <c r="L673" t="s">
        <v>27</v>
      </c>
      <c r="M673" t="s">
        <v>3985</v>
      </c>
      <c r="N673" t="s">
        <v>28</v>
      </c>
      <c r="O673" t="s">
        <v>40</v>
      </c>
      <c r="P673" t="s">
        <v>41</v>
      </c>
      <c r="Q673" t="s">
        <v>38</v>
      </c>
      <c r="R673">
        <v>8</v>
      </c>
      <c r="S673" t="s">
        <v>3986</v>
      </c>
      <c r="T673" t="s">
        <v>7075</v>
      </c>
      <c r="U673" t="s">
        <v>7076</v>
      </c>
      <c r="V673" t="s">
        <v>32</v>
      </c>
      <c r="W673" t="s">
        <v>33</v>
      </c>
      <c r="X673" t="s">
        <v>33</v>
      </c>
      <c r="Y673" t="s">
        <v>33</v>
      </c>
      <c r="Z673" s="5" t="s">
        <v>34</v>
      </c>
      <c r="AA673">
        <v>-75.506682859999998</v>
      </c>
      <c r="AB673">
        <v>6.19655851</v>
      </c>
      <c r="AC673" t="s">
        <v>456</v>
      </c>
      <c r="AD673" t="s">
        <v>457</v>
      </c>
    </row>
    <row r="674" spans="1:30" x14ac:dyDescent="0.25">
      <c r="A674" t="s">
        <v>3987</v>
      </c>
      <c r="B674" t="s">
        <v>81</v>
      </c>
      <c r="C674" t="s">
        <v>26</v>
      </c>
      <c r="D674" t="s">
        <v>81</v>
      </c>
      <c r="E674" t="s">
        <v>3988</v>
      </c>
      <c r="F674" t="s">
        <v>3989</v>
      </c>
      <c r="G674">
        <v>8432338</v>
      </c>
      <c r="H674" t="s">
        <v>3990</v>
      </c>
      <c r="I674" s="4" t="s">
        <v>35</v>
      </c>
      <c r="J674" s="4" t="s">
        <v>3991</v>
      </c>
      <c r="K674" t="s">
        <v>3992</v>
      </c>
      <c r="L674" t="s">
        <v>27</v>
      </c>
      <c r="M674" t="s">
        <v>3993</v>
      </c>
      <c r="N674" t="s">
        <v>28</v>
      </c>
      <c r="O674" t="s">
        <v>82</v>
      </c>
      <c r="P674" t="s">
        <v>83</v>
      </c>
      <c r="Q674" t="s">
        <v>31</v>
      </c>
      <c r="R674">
        <v>4</v>
      </c>
      <c r="S674" t="s">
        <v>3994</v>
      </c>
      <c r="T674" t="s">
        <v>7077</v>
      </c>
      <c r="U674" t="s">
        <v>7077</v>
      </c>
      <c r="V674" t="s">
        <v>50</v>
      </c>
      <c r="W674" t="s">
        <v>33</v>
      </c>
      <c r="X674" t="s">
        <v>33</v>
      </c>
      <c r="Y674" t="s">
        <v>33</v>
      </c>
      <c r="Z674" s="5" t="s">
        <v>34</v>
      </c>
      <c r="AA674">
        <v>-75.585129600000002</v>
      </c>
      <c r="AB674">
        <v>6.2051576700000002</v>
      </c>
      <c r="AC674" t="s">
        <v>456</v>
      </c>
      <c r="AD674" t="s">
        <v>457</v>
      </c>
    </row>
    <row r="675" spans="1:30" x14ac:dyDescent="0.25">
      <c r="A675" t="s">
        <v>3995</v>
      </c>
      <c r="B675" t="s">
        <v>25</v>
      </c>
      <c r="C675" t="s">
        <v>26</v>
      </c>
      <c r="D675" t="s">
        <v>25</v>
      </c>
      <c r="E675" t="s">
        <v>3996</v>
      </c>
      <c r="F675" t="s">
        <v>3997</v>
      </c>
      <c r="G675">
        <v>1026155032</v>
      </c>
      <c r="H675" t="s">
        <v>3998</v>
      </c>
      <c r="I675" s="4" t="s">
        <v>35</v>
      </c>
      <c r="J675" s="4" t="s">
        <v>3999</v>
      </c>
      <c r="K675" t="s">
        <v>4000</v>
      </c>
      <c r="L675" t="s">
        <v>79</v>
      </c>
      <c r="M675" t="s">
        <v>4001</v>
      </c>
      <c r="N675" t="s">
        <v>80</v>
      </c>
      <c r="O675" t="s">
        <v>29</v>
      </c>
      <c r="P675" t="s">
        <v>37</v>
      </c>
      <c r="Q675" t="s">
        <v>31</v>
      </c>
      <c r="R675">
        <v>7</v>
      </c>
      <c r="S675" t="s">
        <v>4002</v>
      </c>
      <c r="T675" t="s">
        <v>7078</v>
      </c>
      <c r="U675" t="s">
        <v>5746</v>
      </c>
      <c r="V675" t="s">
        <v>32</v>
      </c>
      <c r="W675" t="s">
        <v>33</v>
      </c>
      <c r="X675" t="s">
        <v>33</v>
      </c>
      <c r="Y675" t="s">
        <v>33</v>
      </c>
      <c r="Z675" s="5" t="s">
        <v>34</v>
      </c>
      <c r="AA675">
        <v>-75.609673309000001</v>
      </c>
      <c r="AB675">
        <v>6.1384108720000699</v>
      </c>
      <c r="AC675" t="s">
        <v>456</v>
      </c>
      <c r="AD675" t="s">
        <v>457</v>
      </c>
    </row>
    <row r="676" spans="1:30" x14ac:dyDescent="0.25">
      <c r="A676" t="s">
        <v>4914</v>
      </c>
      <c r="B676" t="s">
        <v>25</v>
      </c>
      <c r="C676" t="s">
        <v>26</v>
      </c>
      <c r="D676" t="s">
        <v>39</v>
      </c>
      <c r="E676" t="s">
        <v>4915</v>
      </c>
      <c r="F676" t="s">
        <v>4916</v>
      </c>
      <c r="G676">
        <v>15523655</v>
      </c>
      <c r="H676" t="s">
        <v>4917</v>
      </c>
      <c r="I676" s="4" t="s">
        <v>4918</v>
      </c>
      <c r="J676" s="4" t="s">
        <v>35</v>
      </c>
      <c r="K676" t="s">
        <v>4919</v>
      </c>
      <c r="L676" t="s">
        <v>77</v>
      </c>
      <c r="M676" t="s">
        <v>4920</v>
      </c>
      <c r="N676" t="s">
        <v>78</v>
      </c>
      <c r="O676" t="s">
        <v>40</v>
      </c>
      <c r="P676" t="s">
        <v>36</v>
      </c>
      <c r="Q676" t="s">
        <v>38</v>
      </c>
      <c r="R676">
        <v>8</v>
      </c>
      <c r="S676" t="s">
        <v>4921</v>
      </c>
      <c r="T676" t="s">
        <v>4827</v>
      </c>
      <c r="U676" t="s">
        <v>6841</v>
      </c>
      <c r="V676" t="s">
        <v>32</v>
      </c>
      <c r="W676" t="s">
        <v>33</v>
      </c>
      <c r="X676" t="s">
        <v>33</v>
      </c>
      <c r="Y676" t="s">
        <v>33</v>
      </c>
      <c r="Z676" s="5" t="s">
        <v>34</v>
      </c>
      <c r="AA676">
        <v>-75.628093649999997</v>
      </c>
      <c r="AB676">
        <v>6.08757196</v>
      </c>
      <c r="AC676" t="s">
        <v>456</v>
      </c>
      <c r="AD676" t="s">
        <v>457</v>
      </c>
    </row>
    <row r="677" spans="1:30" x14ac:dyDescent="0.25">
      <c r="A677" t="s">
        <v>4003</v>
      </c>
      <c r="B677" t="s">
        <v>81</v>
      </c>
      <c r="C677" t="s">
        <v>26</v>
      </c>
      <c r="D677" t="s">
        <v>81</v>
      </c>
      <c r="E677" t="s">
        <v>4004</v>
      </c>
      <c r="F677" t="s">
        <v>4005</v>
      </c>
      <c r="G677">
        <v>71718593</v>
      </c>
      <c r="H677" t="s">
        <v>4006</v>
      </c>
      <c r="I677" s="4" t="s">
        <v>4007</v>
      </c>
      <c r="J677" s="4" t="s">
        <v>4008</v>
      </c>
      <c r="K677" t="s">
        <v>4009</v>
      </c>
      <c r="L677" t="s">
        <v>61</v>
      </c>
      <c r="M677" t="s">
        <v>4010</v>
      </c>
      <c r="N677" t="s">
        <v>63</v>
      </c>
      <c r="O677" t="s">
        <v>82</v>
      </c>
      <c r="P677" t="s">
        <v>83</v>
      </c>
      <c r="Q677" t="s">
        <v>31</v>
      </c>
      <c r="R677">
        <v>4</v>
      </c>
      <c r="S677" t="s">
        <v>4011</v>
      </c>
      <c r="T677" t="s">
        <v>4877</v>
      </c>
      <c r="U677" t="s">
        <v>4877</v>
      </c>
      <c r="V677" t="s">
        <v>50</v>
      </c>
      <c r="W677" t="s">
        <v>33</v>
      </c>
      <c r="X677" t="s">
        <v>33</v>
      </c>
      <c r="Y677" t="s">
        <v>33</v>
      </c>
      <c r="Z677" s="5" t="s">
        <v>34</v>
      </c>
      <c r="AA677">
        <v>-75.626094199999997</v>
      </c>
      <c r="AB677">
        <v>6.1597174900000002</v>
      </c>
      <c r="AC677" t="s">
        <v>456</v>
      </c>
      <c r="AD677" t="s">
        <v>457</v>
      </c>
    </row>
    <row r="678" spans="1:30" x14ac:dyDescent="0.25">
      <c r="A678" t="s">
        <v>4012</v>
      </c>
      <c r="B678" t="s">
        <v>25</v>
      </c>
      <c r="C678" t="s">
        <v>26</v>
      </c>
      <c r="D678" t="s">
        <v>39</v>
      </c>
      <c r="E678" t="s">
        <v>4013</v>
      </c>
      <c r="F678" t="s">
        <v>4014</v>
      </c>
      <c r="G678">
        <v>42762632</v>
      </c>
      <c r="H678" t="s">
        <v>4015</v>
      </c>
      <c r="I678" s="4" t="s">
        <v>4016</v>
      </c>
      <c r="J678" s="4" t="s">
        <v>4017</v>
      </c>
      <c r="K678" t="s">
        <v>4018</v>
      </c>
      <c r="L678" t="s">
        <v>44</v>
      </c>
      <c r="M678" t="s">
        <v>4019</v>
      </c>
      <c r="N678" t="s">
        <v>45</v>
      </c>
      <c r="O678" t="s">
        <v>40</v>
      </c>
      <c r="P678" t="s">
        <v>41</v>
      </c>
      <c r="Q678" t="s">
        <v>31</v>
      </c>
      <c r="R678">
        <v>5</v>
      </c>
      <c r="S678" t="s">
        <v>4020</v>
      </c>
      <c r="T678" t="s">
        <v>7079</v>
      </c>
      <c r="U678" t="s">
        <v>7080</v>
      </c>
      <c r="V678" t="s">
        <v>32</v>
      </c>
      <c r="W678" t="s">
        <v>33</v>
      </c>
      <c r="X678" t="s">
        <v>33</v>
      </c>
      <c r="Y678" t="s">
        <v>33</v>
      </c>
      <c r="Z678" s="5" t="s">
        <v>34</v>
      </c>
      <c r="AA678">
        <v>-75.600575829999997</v>
      </c>
      <c r="AB678">
        <v>6.1832497100000001</v>
      </c>
      <c r="AC678" t="s">
        <v>456</v>
      </c>
      <c r="AD678" t="s">
        <v>457</v>
      </c>
    </row>
    <row r="679" spans="1:30" x14ac:dyDescent="0.25">
      <c r="A679" t="s">
        <v>4021</v>
      </c>
      <c r="B679" t="s">
        <v>25</v>
      </c>
      <c r="C679" t="s">
        <v>26</v>
      </c>
      <c r="D679" t="s">
        <v>39</v>
      </c>
      <c r="E679" t="s">
        <v>4022</v>
      </c>
      <c r="F679" t="s">
        <v>4023</v>
      </c>
      <c r="G679">
        <v>1022095620</v>
      </c>
      <c r="H679" t="s">
        <v>4024</v>
      </c>
      <c r="I679" s="4" t="s">
        <v>35</v>
      </c>
      <c r="J679" s="4" t="s">
        <v>4025</v>
      </c>
      <c r="K679" t="s">
        <v>4026</v>
      </c>
      <c r="L679" t="s">
        <v>27</v>
      </c>
      <c r="M679" t="s">
        <v>4027</v>
      </c>
      <c r="N679" t="s">
        <v>28</v>
      </c>
      <c r="O679" t="s">
        <v>40</v>
      </c>
      <c r="P679" t="s">
        <v>41</v>
      </c>
      <c r="Q679" t="s">
        <v>31</v>
      </c>
      <c r="R679">
        <v>5</v>
      </c>
      <c r="S679" t="s">
        <v>4028</v>
      </c>
      <c r="T679" t="s">
        <v>7081</v>
      </c>
      <c r="U679" t="s">
        <v>7082</v>
      </c>
      <c r="V679" t="s">
        <v>32</v>
      </c>
      <c r="W679" t="s">
        <v>33</v>
      </c>
      <c r="X679" t="s">
        <v>33</v>
      </c>
      <c r="Y679" t="s">
        <v>33</v>
      </c>
      <c r="Z679" s="5" t="s">
        <v>34</v>
      </c>
      <c r="AA679">
        <v>-75.612365600000004</v>
      </c>
      <c r="AB679">
        <v>6.2656214300000004</v>
      </c>
      <c r="AC679" t="s">
        <v>456</v>
      </c>
      <c r="AD679" t="s">
        <v>457</v>
      </c>
    </row>
    <row r="680" spans="1:30" x14ac:dyDescent="0.25">
      <c r="A680" t="s">
        <v>4029</v>
      </c>
      <c r="B680" t="s">
        <v>81</v>
      </c>
      <c r="C680" t="s">
        <v>26</v>
      </c>
      <c r="D680" t="s">
        <v>81</v>
      </c>
      <c r="E680" t="s">
        <v>4030</v>
      </c>
      <c r="F680" t="s">
        <v>4031</v>
      </c>
      <c r="G680">
        <v>1005150515</v>
      </c>
      <c r="H680" t="s">
        <v>4032</v>
      </c>
      <c r="I680" s="4" t="s">
        <v>35</v>
      </c>
      <c r="J680" s="4" t="s">
        <v>4033</v>
      </c>
      <c r="K680" t="s">
        <v>4034</v>
      </c>
      <c r="L680" t="s">
        <v>27</v>
      </c>
      <c r="M680" t="s">
        <v>4035</v>
      </c>
      <c r="N680" t="s">
        <v>28</v>
      </c>
      <c r="O680" t="s">
        <v>82</v>
      </c>
      <c r="P680" t="s">
        <v>83</v>
      </c>
      <c r="Q680" t="s">
        <v>31</v>
      </c>
      <c r="R680">
        <v>4</v>
      </c>
      <c r="S680" t="s">
        <v>4036</v>
      </c>
      <c r="T680" t="s">
        <v>4878</v>
      </c>
      <c r="U680" t="s">
        <v>4878</v>
      </c>
      <c r="V680" t="s">
        <v>50</v>
      </c>
      <c r="W680" t="s">
        <v>33</v>
      </c>
      <c r="X680" t="s">
        <v>33</v>
      </c>
      <c r="Y680" t="s">
        <v>33</v>
      </c>
      <c r="Z680" s="5" t="s">
        <v>34</v>
      </c>
      <c r="AA680">
        <v>-75.554665900000003</v>
      </c>
      <c r="AB680">
        <v>6.2115913699999998</v>
      </c>
      <c r="AC680" t="s">
        <v>456</v>
      </c>
      <c r="AD680" t="s">
        <v>457</v>
      </c>
    </row>
    <row r="681" spans="1:30" x14ac:dyDescent="0.25">
      <c r="A681" t="s">
        <v>4037</v>
      </c>
      <c r="B681" t="s">
        <v>25</v>
      </c>
      <c r="C681" t="s">
        <v>26</v>
      </c>
      <c r="D681" t="s">
        <v>39</v>
      </c>
      <c r="E681" t="s">
        <v>4038</v>
      </c>
      <c r="F681" t="s">
        <v>4039</v>
      </c>
      <c r="G681">
        <v>70542931</v>
      </c>
      <c r="H681" t="s">
        <v>4040</v>
      </c>
      <c r="I681" s="4" t="s">
        <v>35</v>
      </c>
      <c r="J681" s="4" t="s">
        <v>4041</v>
      </c>
      <c r="K681" t="s">
        <v>4042</v>
      </c>
      <c r="L681" t="s">
        <v>27</v>
      </c>
      <c r="M681" t="s">
        <v>4043</v>
      </c>
      <c r="N681" t="s">
        <v>28</v>
      </c>
      <c r="O681" t="s">
        <v>40</v>
      </c>
      <c r="P681" t="s">
        <v>41</v>
      </c>
      <c r="Q681" t="s">
        <v>31</v>
      </c>
      <c r="R681">
        <v>5</v>
      </c>
      <c r="S681" t="s">
        <v>4044</v>
      </c>
      <c r="T681" t="s">
        <v>7083</v>
      </c>
      <c r="U681" t="s">
        <v>7084</v>
      </c>
      <c r="V681" t="s">
        <v>32</v>
      </c>
      <c r="W681" t="s">
        <v>33</v>
      </c>
      <c r="X681" t="s">
        <v>33</v>
      </c>
      <c r="Y681" t="s">
        <v>33</v>
      </c>
      <c r="Z681" s="5" t="s">
        <v>34</v>
      </c>
      <c r="AA681">
        <v>-75.612482</v>
      </c>
      <c r="AB681">
        <v>6.271528</v>
      </c>
      <c r="AC681" t="s">
        <v>456</v>
      </c>
      <c r="AD681" t="s">
        <v>457</v>
      </c>
    </row>
    <row r="682" spans="1:30" x14ac:dyDescent="0.25">
      <c r="A682" t="s">
        <v>4045</v>
      </c>
      <c r="B682" t="s">
        <v>25</v>
      </c>
      <c r="C682" t="s">
        <v>26</v>
      </c>
      <c r="D682" t="s">
        <v>39</v>
      </c>
      <c r="E682" t="s">
        <v>4046</v>
      </c>
      <c r="F682" t="s">
        <v>4047</v>
      </c>
      <c r="G682">
        <v>1000207874</v>
      </c>
      <c r="H682" t="s">
        <v>4048</v>
      </c>
      <c r="I682" s="4" t="s">
        <v>35</v>
      </c>
      <c r="J682" s="4" t="s">
        <v>4049</v>
      </c>
      <c r="K682" t="s">
        <v>4050</v>
      </c>
      <c r="L682" t="s">
        <v>27</v>
      </c>
      <c r="M682" t="s">
        <v>4051</v>
      </c>
      <c r="N682" t="s">
        <v>28</v>
      </c>
      <c r="O682" t="s">
        <v>40</v>
      </c>
      <c r="P682" t="s">
        <v>41</v>
      </c>
      <c r="Q682" t="s">
        <v>31</v>
      </c>
      <c r="R682">
        <v>5</v>
      </c>
      <c r="S682" t="s">
        <v>4052</v>
      </c>
      <c r="T682" t="s">
        <v>4882</v>
      </c>
      <c r="U682" t="s">
        <v>4883</v>
      </c>
      <c r="V682" t="s">
        <v>32</v>
      </c>
      <c r="W682" t="s">
        <v>33</v>
      </c>
      <c r="X682" t="s">
        <v>33</v>
      </c>
      <c r="Y682" t="s">
        <v>33</v>
      </c>
      <c r="Z682" s="5" t="s">
        <v>34</v>
      </c>
      <c r="AA682">
        <v>-75.628663000000003</v>
      </c>
      <c r="AB682">
        <v>6.2734519999999998</v>
      </c>
      <c r="AC682" t="s">
        <v>456</v>
      </c>
      <c r="AD682" t="s">
        <v>457</v>
      </c>
    </row>
    <row r="683" spans="1:30" x14ac:dyDescent="0.25">
      <c r="A683" t="s">
        <v>4053</v>
      </c>
      <c r="B683" t="s">
        <v>25</v>
      </c>
      <c r="C683" t="s">
        <v>26</v>
      </c>
      <c r="D683" t="s">
        <v>25</v>
      </c>
      <c r="E683" t="s">
        <v>4054</v>
      </c>
      <c r="F683" t="s">
        <v>4055</v>
      </c>
      <c r="G683">
        <v>1152440071</v>
      </c>
      <c r="H683" t="s">
        <v>4056</v>
      </c>
      <c r="I683" s="4" t="s">
        <v>35</v>
      </c>
      <c r="J683" s="4" t="s">
        <v>4057</v>
      </c>
      <c r="K683" t="s">
        <v>4058</v>
      </c>
      <c r="L683" t="s">
        <v>27</v>
      </c>
      <c r="M683" t="s">
        <v>4059</v>
      </c>
      <c r="N683" t="s">
        <v>28</v>
      </c>
      <c r="O683" t="s">
        <v>29</v>
      </c>
      <c r="P683" t="s">
        <v>37</v>
      </c>
      <c r="Q683" t="s">
        <v>38</v>
      </c>
      <c r="R683">
        <v>10</v>
      </c>
      <c r="S683" t="s">
        <v>4060</v>
      </c>
      <c r="T683" t="s">
        <v>2602</v>
      </c>
      <c r="U683" t="s">
        <v>7085</v>
      </c>
      <c r="V683" t="s">
        <v>32</v>
      </c>
      <c r="W683" t="s">
        <v>33</v>
      </c>
      <c r="X683" t="s">
        <v>33</v>
      </c>
      <c r="Y683" t="s">
        <v>33</v>
      </c>
      <c r="Z683" s="5" t="s">
        <v>34</v>
      </c>
      <c r="AA683">
        <v>-75.498195999999993</v>
      </c>
      <c r="AB683">
        <v>6.2275790000000004</v>
      </c>
      <c r="AC683" t="s">
        <v>456</v>
      </c>
      <c r="AD683" t="s">
        <v>457</v>
      </c>
    </row>
    <row r="684" spans="1:30" x14ac:dyDescent="0.25">
      <c r="A684" t="s">
        <v>4061</v>
      </c>
      <c r="B684" t="s">
        <v>25</v>
      </c>
      <c r="C684" t="s">
        <v>26</v>
      </c>
      <c r="D684" t="s">
        <v>39</v>
      </c>
      <c r="E684" t="s">
        <v>4062</v>
      </c>
      <c r="F684" t="s">
        <v>4063</v>
      </c>
      <c r="G684">
        <v>1152186609</v>
      </c>
      <c r="H684" t="s">
        <v>4064</v>
      </c>
      <c r="I684" s="4" t="s">
        <v>35</v>
      </c>
      <c r="J684" s="4" t="s">
        <v>4065</v>
      </c>
      <c r="K684" t="s">
        <v>4066</v>
      </c>
      <c r="L684" t="s">
        <v>27</v>
      </c>
      <c r="M684" t="s">
        <v>4067</v>
      </c>
      <c r="N684" t="s">
        <v>28</v>
      </c>
      <c r="O684" t="s">
        <v>40</v>
      </c>
      <c r="P684" t="s">
        <v>41</v>
      </c>
      <c r="Q684" t="s">
        <v>31</v>
      </c>
      <c r="R684">
        <v>5</v>
      </c>
      <c r="S684" t="s">
        <v>4068</v>
      </c>
      <c r="T684" t="s">
        <v>3139</v>
      </c>
      <c r="U684" t="s">
        <v>4796</v>
      </c>
      <c r="V684" t="s">
        <v>32</v>
      </c>
      <c r="W684" t="s">
        <v>33</v>
      </c>
      <c r="X684" t="s">
        <v>33</v>
      </c>
      <c r="Y684" t="s">
        <v>33</v>
      </c>
      <c r="Z684" s="5" t="s">
        <v>34</v>
      </c>
      <c r="AA684">
        <v>-75.627517900000001</v>
      </c>
      <c r="AB684">
        <v>6.2543856900000003</v>
      </c>
      <c r="AC684" t="s">
        <v>456</v>
      </c>
      <c r="AD684" t="s">
        <v>457</v>
      </c>
    </row>
    <row r="685" spans="1:30" x14ac:dyDescent="0.25">
      <c r="A685" t="s">
        <v>4069</v>
      </c>
      <c r="B685" t="s">
        <v>25</v>
      </c>
      <c r="C685" t="s">
        <v>26</v>
      </c>
      <c r="D685" t="s">
        <v>25</v>
      </c>
      <c r="E685" t="s">
        <v>4070</v>
      </c>
      <c r="F685" t="s">
        <v>4071</v>
      </c>
      <c r="G685">
        <v>1128475476</v>
      </c>
      <c r="H685" t="s">
        <v>4072</v>
      </c>
      <c r="I685" s="4" t="s">
        <v>35</v>
      </c>
      <c r="J685" s="4" t="s">
        <v>4073</v>
      </c>
      <c r="K685" t="s">
        <v>4074</v>
      </c>
      <c r="L685" t="s">
        <v>27</v>
      </c>
      <c r="M685" t="s">
        <v>4075</v>
      </c>
      <c r="N685" t="s">
        <v>28</v>
      </c>
      <c r="O685" t="s">
        <v>29</v>
      </c>
      <c r="P685" t="s">
        <v>37</v>
      </c>
      <c r="Q685" t="s">
        <v>31</v>
      </c>
      <c r="R685">
        <v>7</v>
      </c>
      <c r="S685" t="s">
        <v>4076</v>
      </c>
      <c r="T685" t="s">
        <v>7086</v>
      </c>
      <c r="U685" t="s">
        <v>7087</v>
      </c>
      <c r="V685" t="s">
        <v>32</v>
      </c>
      <c r="W685" t="s">
        <v>33</v>
      </c>
      <c r="X685" t="s">
        <v>33</v>
      </c>
      <c r="Y685" t="s">
        <v>33</v>
      </c>
      <c r="Z685" s="5" t="s">
        <v>34</v>
      </c>
      <c r="AA685">
        <v>-75.641147000000004</v>
      </c>
      <c r="AB685">
        <v>6.2826829999999996</v>
      </c>
      <c r="AC685" t="s">
        <v>456</v>
      </c>
      <c r="AD685" t="s">
        <v>457</v>
      </c>
    </row>
    <row r="686" spans="1:30" x14ac:dyDescent="0.25">
      <c r="A686" t="s">
        <v>4077</v>
      </c>
      <c r="B686" t="s">
        <v>25</v>
      </c>
      <c r="C686" t="s">
        <v>26</v>
      </c>
      <c r="D686" t="s">
        <v>25</v>
      </c>
      <c r="E686" t="s">
        <v>4078</v>
      </c>
      <c r="F686" t="s">
        <v>4079</v>
      </c>
      <c r="G686">
        <v>71788238</v>
      </c>
      <c r="H686" t="s">
        <v>4080</v>
      </c>
      <c r="I686" s="4" t="s">
        <v>4081</v>
      </c>
      <c r="J686" s="4" t="s">
        <v>4082</v>
      </c>
      <c r="K686" t="s">
        <v>4083</v>
      </c>
      <c r="L686" t="s">
        <v>27</v>
      </c>
      <c r="M686" t="s">
        <v>4084</v>
      </c>
      <c r="N686" t="s">
        <v>28</v>
      </c>
      <c r="O686" t="s">
        <v>29</v>
      </c>
      <c r="P686" t="s">
        <v>37</v>
      </c>
      <c r="Q686" t="s">
        <v>38</v>
      </c>
      <c r="R686">
        <v>10</v>
      </c>
      <c r="S686" t="s">
        <v>4085</v>
      </c>
      <c r="T686" t="s">
        <v>7088</v>
      </c>
      <c r="U686" t="s">
        <v>7089</v>
      </c>
      <c r="V686" t="s">
        <v>32</v>
      </c>
      <c r="W686" t="s">
        <v>33</v>
      </c>
      <c r="X686" t="s">
        <v>33</v>
      </c>
      <c r="Y686" t="s">
        <v>33</v>
      </c>
      <c r="Z686" s="5" t="s">
        <v>34</v>
      </c>
      <c r="AA686">
        <v>-75.498195999999993</v>
      </c>
      <c r="AB686">
        <v>6.2275790000000004</v>
      </c>
      <c r="AC686" t="s">
        <v>456</v>
      </c>
      <c r="AD686" t="s">
        <v>457</v>
      </c>
    </row>
    <row r="687" spans="1:30" x14ac:dyDescent="0.25">
      <c r="A687" t="s">
        <v>4086</v>
      </c>
      <c r="B687" t="s">
        <v>81</v>
      </c>
      <c r="C687" t="s">
        <v>26</v>
      </c>
      <c r="D687" t="s">
        <v>81</v>
      </c>
      <c r="E687" t="s">
        <v>4087</v>
      </c>
      <c r="F687" t="s">
        <v>4088</v>
      </c>
      <c r="G687">
        <v>890905627</v>
      </c>
      <c r="H687" t="s">
        <v>4089</v>
      </c>
      <c r="I687" s="4" t="s">
        <v>4090</v>
      </c>
      <c r="J687" s="4" t="s">
        <v>4091</v>
      </c>
      <c r="K687" t="s">
        <v>4092</v>
      </c>
      <c r="L687" t="s">
        <v>49</v>
      </c>
      <c r="M687" t="s">
        <v>4093</v>
      </c>
      <c r="N687" t="s">
        <v>84</v>
      </c>
      <c r="O687" t="s">
        <v>82</v>
      </c>
      <c r="P687" t="s">
        <v>83</v>
      </c>
      <c r="Q687" t="s">
        <v>31</v>
      </c>
      <c r="R687">
        <v>4</v>
      </c>
      <c r="S687" t="s">
        <v>4094</v>
      </c>
      <c r="T687" t="s">
        <v>7090</v>
      </c>
      <c r="U687" t="s">
        <v>7090</v>
      </c>
      <c r="V687" t="s">
        <v>50</v>
      </c>
      <c r="W687" t="s">
        <v>33</v>
      </c>
      <c r="X687" t="s">
        <v>33</v>
      </c>
      <c r="Y687" t="s">
        <v>33</v>
      </c>
      <c r="Z687" s="5" t="s">
        <v>34</v>
      </c>
      <c r="AA687">
        <v>-75.582722770000004</v>
      </c>
      <c r="AB687">
        <v>6.1806519800000004</v>
      </c>
      <c r="AC687" t="s">
        <v>456</v>
      </c>
      <c r="AD687" t="s">
        <v>457</v>
      </c>
    </row>
    <row r="688" spans="1:30" x14ac:dyDescent="0.25">
      <c r="A688" t="s">
        <v>4095</v>
      </c>
      <c r="B688" t="s">
        <v>81</v>
      </c>
      <c r="C688" t="s">
        <v>26</v>
      </c>
      <c r="D688" t="s">
        <v>81</v>
      </c>
      <c r="E688" t="s">
        <v>4096</v>
      </c>
      <c r="F688" t="s">
        <v>4097</v>
      </c>
      <c r="G688">
        <v>21476124</v>
      </c>
      <c r="H688" t="s">
        <v>4098</v>
      </c>
      <c r="I688" s="4" t="s">
        <v>35</v>
      </c>
      <c r="J688" s="4" t="s">
        <v>4099</v>
      </c>
      <c r="K688" t="s">
        <v>4100</v>
      </c>
      <c r="L688" t="s">
        <v>27</v>
      </c>
      <c r="M688" t="s">
        <v>4101</v>
      </c>
      <c r="N688" t="s">
        <v>28</v>
      </c>
      <c r="O688" t="s">
        <v>82</v>
      </c>
      <c r="P688" t="s">
        <v>83</v>
      </c>
      <c r="Q688" t="s">
        <v>31</v>
      </c>
      <c r="R688">
        <v>4</v>
      </c>
      <c r="S688" t="s">
        <v>4102</v>
      </c>
      <c r="T688" t="s">
        <v>7091</v>
      </c>
      <c r="U688" t="s">
        <v>7091</v>
      </c>
      <c r="V688" t="s">
        <v>50</v>
      </c>
      <c r="W688" t="s">
        <v>33</v>
      </c>
      <c r="X688" t="s">
        <v>33</v>
      </c>
      <c r="Y688" t="s">
        <v>33</v>
      </c>
      <c r="Z688" s="5" t="s">
        <v>34</v>
      </c>
      <c r="AA688">
        <v>-75.543799500000006</v>
      </c>
      <c r="AB688">
        <v>6.2384407499999996</v>
      </c>
      <c r="AC688" t="s">
        <v>456</v>
      </c>
      <c r="AD688" t="s">
        <v>457</v>
      </c>
    </row>
    <row r="689" spans="1:30" x14ac:dyDescent="0.25">
      <c r="A689" t="s">
        <v>4103</v>
      </c>
      <c r="B689" t="s">
        <v>25</v>
      </c>
      <c r="C689" t="s">
        <v>26</v>
      </c>
      <c r="D689" t="s">
        <v>25</v>
      </c>
      <c r="E689" t="s">
        <v>4104</v>
      </c>
      <c r="F689" t="s">
        <v>4105</v>
      </c>
      <c r="G689">
        <v>800093117</v>
      </c>
      <c r="H689" t="s">
        <v>572</v>
      </c>
      <c r="I689" s="4" t="s">
        <v>262</v>
      </c>
      <c r="J689" s="4" t="s">
        <v>4106</v>
      </c>
      <c r="K689" t="s">
        <v>4107</v>
      </c>
      <c r="L689" t="s">
        <v>49</v>
      </c>
      <c r="M689" t="s">
        <v>4108</v>
      </c>
      <c r="N689" t="s">
        <v>84</v>
      </c>
      <c r="O689" t="s">
        <v>29</v>
      </c>
      <c r="P689" t="s">
        <v>55</v>
      </c>
      <c r="Q689" t="s">
        <v>31</v>
      </c>
      <c r="R689">
        <v>7</v>
      </c>
      <c r="S689" t="s">
        <v>4109</v>
      </c>
      <c r="T689" t="s">
        <v>7092</v>
      </c>
      <c r="U689" t="s">
        <v>6114</v>
      </c>
      <c r="V689" t="s">
        <v>32</v>
      </c>
      <c r="W689" t="s">
        <v>33</v>
      </c>
      <c r="X689" t="s">
        <v>33</v>
      </c>
      <c r="Y689" t="s">
        <v>33</v>
      </c>
      <c r="Z689" s="5" t="s">
        <v>34</v>
      </c>
      <c r="AA689">
        <v>-75.589465000000004</v>
      </c>
      <c r="AB689">
        <v>6.1798529999999996</v>
      </c>
      <c r="AC689" t="s">
        <v>456</v>
      </c>
      <c r="AD689" t="s">
        <v>457</v>
      </c>
    </row>
    <row r="690" spans="1:30" x14ac:dyDescent="0.25">
      <c r="A690" t="s">
        <v>4110</v>
      </c>
      <c r="B690" t="s">
        <v>25</v>
      </c>
      <c r="C690" t="s">
        <v>26</v>
      </c>
      <c r="D690" t="s">
        <v>25</v>
      </c>
      <c r="E690" t="s">
        <v>4111</v>
      </c>
      <c r="F690" t="s">
        <v>4112</v>
      </c>
      <c r="G690">
        <v>800093117</v>
      </c>
      <c r="H690" t="s">
        <v>572</v>
      </c>
      <c r="I690" s="4" t="s">
        <v>262</v>
      </c>
      <c r="J690" s="4" t="s">
        <v>4106</v>
      </c>
      <c r="K690" t="s">
        <v>4113</v>
      </c>
      <c r="L690" t="s">
        <v>49</v>
      </c>
      <c r="M690" t="s">
        <v>4114</v>
      </c>
      <c r="N690" t="s">
        <v>84</v>
      </c>
      <c r="O690" t="s">
        <v>29</v>
      </c>
      <c r="P690" t="s">
        <v>55</v>
      </c>
      <c r="Q690" t="s">
        <v>31</v>
      </c>
      <c r="R690">
        <v>7</v>
      </c>
      <c r="S690" t="s">
        <v>4115</v>
      </c>
      <c r="T690" t="s">
        <v>7093</v>
      </c>
      <c r="U690" t="s">
        <v>4828</v>
      </c>
      <c r="V690" t="s">
        <v>32</v>
      </c>
      <c r="W690" t="s">
        <v>33</v>
      </c>
      <c r="X690" t="s">
        <v>33</v>
      </c>
      <c r="Y690" t="s">
        <v>33</v>
      </c>
      <c r="Z690" s="5" t="s">
        <v>34</v>
      </c>
      <c r="AA690">
        <v>-75.589465000000004</v>
      </c>
      <c r="AB690">
        <v>6.1798529999999996</v>
      </c>
      <c r="AC690" t="s">
        <v>456</v>
      </c>
      <c r="AD690" t="s">
        <v>457</v>
      </c>
    </row>
    <row r="691" spans="1:30" x14ac:dyDescent="0.25">
      <c r="A691" t="s">
        <v>4116</v>
      </c>
      <c r="B691" t="s">
        <v>25</v>
      </c>
      <c r="C691" t="s">
        <v>26</v>
      </c>
      <c r="D691" t="s">
        <v>25</v>
      </c>
      <c r="E691" t="s">
        <v>4117</v>
      </c>
      <c r="F691" t="s">
        <v>4118</v>
      </c>
      <c r="G691">
        <v>800093117</v>
      </c>
      <c r="H691" t="s">
        <v>572</v>
      </c>
      <c r="I691" s="4" t="s">
        <v>262</v>
      </c>
      <c r="J691" s="4" t="s">
        <v>4106</v>
      </c>
      <c r="K691" t="s">
        <v>4119</v>
      </c>
      <c r="L691" t="s">
        <v>49</v>
      </c>
      <c r="M691" t="s">
        <v>4120</v>
      </c>
      <c r="N691" t="s">
        <v>84</v>
      </c>
      <c r="O691" t="s">
        <v>29</v>
      </c>
      <c r="P691" t="s">
        <v>55</v>
      </c>
      <c r="Q691" t="s">
        <v>31</v>
      </c>
      <c r="R691">
        <v>7</v>
      </c>
      <c r="S691" t="s">
        <v>4121</v>
      </c>
      <c r="T691" t="s">
        <v>7093</v>
      </c>
      <c r="U691" t="s">
        <v>4828</v>
      </c>
      <c r="V691" t="s">
        <v>32</v>
      </c>
      <c r="W691" t="s">
        <v>33</v>
      </c>
      <c r="X691" t="s">
        <v>33</v>
      </c>
      <c r="Y691" t="s">
        <v>33</v>
      </c>
      <c r="Z691" s="5" t="s">
        <v>34</v>
      </c>
      <c r="AA691">
        <v>-75.589465000000004</v>
      </c>
      <c r="AB691">
        <v>6.1798529999999996</v>
      </c>
      <c r="AC691" t="s">
        <v>456</v>
      </c>
      <c r="AD691" t="s">
        <v>457</v>
      </c>
    </row>
    <row r="692" spans="1:30" x14ac:dyDescent="0.25">
      <c r="A692" t="s">
        <v>4122</v>
      </c>
      <c r="B692" t="s">
        <v>25</v>
      </c>
      <c r="C692" t="s">
        <v>26</v>
      </c>
      <c r="D692" t="s">
        <v>25</v>
      </c>
      <c r="E692" t="s">
        <v>4123</v>
      </c>
      <c r="F692" t="s">
        <v>4124</v>
      </c>
      <c r="G692">
        <v>800093117</v>
      </c>
      <c r="H692" t="s">
        <v>572</v>
      </c>
      <c r="I692" s="4" t="s">
        <v>262</v>
      </c>
      <c r="J692" s="4" t="s">
        <v>4106</v>
      </c>
      <c r="K692" t="s">
        <v>4125</v>
      </c>
      <c r="L692" t="s">
        <v>49</v>
      </c>
      <c r="M692" t="s">
        <v>4126</v>
      </c>
      <c r="N692" t="s">
        <v>84</v>
      </c>
      <c r="O692" t="s">
        <v>29</v>
      </c>
      <c r="P692" t="s">
        <v>55</v>
      </c>
      <c r="Q692" t="s">
        <v>31</v>
      </c>
      <c r="R692">
        <v>7</v>
      </c>
      <c r="S692" t="s">
        <v>4127</v>
      </c>
      <c r="T692" t="s">
        <v>7094</v>
      </c>
      <c r="U692" t="s">
        <v>6864</v>
      </c>
      <c r="V692" t="s">
        <v>32</v>
      </c>
      <c r="W692" t="s">
        <v>33</v>
      </c>
      <c r="X692" t="s">
        <v>33</v>
      </c>
      <c r="Y692" t="s">
        <v>33</v>
      </c>
      <c r="Z692" s="5" t="s">
        <v>34</v>
      </c>
      <c r="AA692">
        <v>-75.589465000000004</v>
      </c>
      <c r="AB692">
        <v>6.1798529999999996</v>
      </c>
      <c r="AC692" t="s">
        <v>456</v>
      </c>
      <c r="AD692" t="s">
        <v>457</v>
      </c>
    </row>
    <row r="693" spans="1:30" x14ac:dyDescent="0.25">
      <c r="A693" t="s">
        <v>4128</v>
      </c>
      <c r="B693" t="s">
        <v>25</v>
      </c>
      <c r="C693" t="s">
        <v>26</v>
      </c>
      <c r="D693" t="s">
        <v>25</v>
      </c>
      <c r="E693" t="s">
        <v>4129</v>
      </c>
      <c r="F693" t="s">
        <v>4130</v>
      </c>
      <c r="G693">
        <v>800093117</v>
      </c>
      <c r="H693" t="s">
        <v>572</v>
      </c>
      <c r="I693" s="4" t="s">
        <v>262</v>
      </c>
      <c r="J693" s="4" t="s">
        <v>4106</v>
      </c>
      <c r="K693" t="s">
        <v>4131</v>
      </c>
      <c r="L693" t="s">
        <v>49</v>
      </c>
      <c r="M693" t="s">
        <v>4132</v>
      </c>
      <c r="N693" t="s">
        <v>84</v>
      </c>
      <c r="O693" t="s">
        <v>29</v>
      </c>
      <c r="P693" t="s">
        <v>55</v>
      </c>
      <c r="Q693" t="s">
        <v>31</v>
      </c>
      <c r="R693">
        <v>7</v>
      </c>
      <c r="S693" t="s">
        <v>4133</v>
      </c>
      <c r="T693" t="s">
        <v>7094</v>
      </c>
      <c r="U693" t="s">
        <v>6864</v>
      </c>
      <c r="V693" t="s">
        <v>32</v>
      </c>
      <c r="W693" t="s">
        <v>33</v>
      </c>
      <c r="X693" t="s">
        <v>33</v>
      </c>
      <c r="Y693" t="s">
        <v>33</v>
      </c>
      <c r="Z693" s="5" t="s">
        <v>34</v>
      </c>
      <c r="AA693">
        <v>-75.589465000000004</v>
      </c>
      <c r="AB693">
        <v>6.1798529999999996</v>
      </c>
      <c r="AC693" t="s">
        <v>456</v>
      </c>
      <c r="AD693" t="s">
        <v>457</v>
      </c>
    </row>
    <row r="694" spans="1:30" x14ac:dyDescent="0.25">
      <c r="A694" t="s">
        <v>4134</v>
      </c>
      <c r="B694" t="s">
        <v>25</v>
      </c>
      <c r="C694" t="s">
        <v>26</v>
      </c>
      <c r="D694" t="s">
        <v>25</v>
      </c>
      <c r="E694" t="s">
        <v>4135</v>
      </c>
      <c r="F694" t="s">
        <v>4136</v>
      </c>
      <c r="G694">
        <v>800093117</v>
      </c>
      <c r="H694" t="s">
        <v>572</v>
      </c>
      <c r="I694" s="4" t="s">
        <v>262</v>
      </c>
      <c r="J694" s="4" t="s">
        <v>4106</v>
      </c>
      <c r="K694" t="s">
        <v>4137</v>
      </c>
      <c r="L694" t="s">
        <v>49</v>
      </c>
      <c r="M694" t="s">
        <v>4138</v>
      </c>
      <c r="N694" t="s">
        <v>84</v>
      </c>
      <c r="O694" t="s">
        <v>29</v>
      </c>
      <c r="P694" t="s">
        <v>55</v>
      </c>
      <c r="Q694" t="s">
        <v>31</v>
      </c>
      <c r="R694">
        <v>7</v>
      </c>
      <c r="S694" t="s">
        <v>4139</v>
      </c>
      <c r="T694" t="s">
        <v>7095</v>
      </c>
      <c r="U694" t="s">
        <v>7096</v>
      </c>
      <c r="V694" t="s">
        <v>32</v>
      </c>
      <c r="W694" t="s">
        <v>33</v>
      </c>
      <c r="X694" t="s">
        <v>33</v>
      </c>
      <c r="Y694" t="s">
        <v>33</v>
      </c>
      <c r="Z694" s="5" t="s">
        <v>34</v>
      </c>
      <c r="AA694">
        <v>-75.589465000000004</v>
      </c>
      <c r="AB694">
        <v>6.1798529999999996</v>
      </c>
      <c r="AC694" t="s">
        <v>456</v>
      </c>
      <c r="AD694" t="s">
        <v>457</v>
      </c>
    </row>
    <row r="695" spans="1:30" x14ac:dyDescent="0.25">
      <c r="A695" t="s">
        <v>4140</v>
      </c>
      <c r="B695" t="s">
        <v>25</v>
      </c>
      <c r="C695" t="s">
        <v>26</v>
      </c>
      <c r="D695" t="s">
        <v>25</v>
      </c>
      <c r="E695" t="s">
        <v>4141</v>
      </c>
      <c r="F695" t="s">
        <v>4142</v>
      </c>
      <c r="G695">
        <v>800093117</v>
      </c>
      <c r="H695" t="s">
        <v>572</v>
      </c>
      <c r="I695" s="4" t="s">
        <v>262</v>
      </c>
      <c r="J695" s="4" t="s">
        <v>4106</v>
      </c>
      <c r="K695" t="s">
        <v>4143</v>
      </c>
      <c r="L695" t="s">
        <v>49</v>
      </c>
      <c r="M695" t="s">
        <v>4144</v>
      </c>
      <c r="N695" t="s">
        <v>84</v>
      </c>
      <c r="O695" t="s">
        <v>29</v>
      </c>
      <c r="P695" t="s">
        <v>55</v>
      </c>
      <c r="Q695" t="s">
        <v>31</v>
      </c>
      <c r="R695">
        <v>7</v>
      </c>
      <c r="S695" t="s">
        <v>4145</v>
      </c>
      <c r="T695" t="s">
        <v>7095</v>
      </c>
      <c r="U695" t="s">
        <v>7096</v>
      </c>
      <c r="V695" t="s">
        <v>32</v>
      </c>
      <c r="W695" t="s">
        <v>33</v>
      </c>
      <c r="X695" t="s">
        <v>33</v>
      </c>
      <c r="Y695" t="s">
        <v>33</v>
      </c>
      <c r="Z695" s="5" t="s">
        <v>34</v>
      </c>
      <c r="AA695">
        <v>-75.589465000000004</v>
      </c>
      <c r="AB695">
        <v>6.1798529999999996</v>
      </c>
      <c r="AC695" t="s">
        <v>456</v>
      </c>
      <c r="AD695" t="s">
        <v>457</v>
      </c>
    </row>
    <row r="696" spans="1:30" x14ac:dyDescent="0.25">
      <c r="A696" t="s">
        <v>4146</v>
      </c>
      <c r="B696" t="s">
        <v>81</v>
      </c>
      <c r="C696" t="s">
        <v>26</v>
      </c>
      <c r="D696" t="s">
        <v>81</v>
      </c>
      <c r="E696" t="s">
        <v>4147</v>
      </c>
      <c r="F696" t="s">
        <v>4148</v>
      </c>
      <c r="G696">
        <v>800093117</v>
      </c>
      <c r="H696" t="s">
        <v>572</v>
      </c>
      <c r="I696" s="4" t="s">
        <v>262</v>
      </c>
      <c r="J696" s="4" t="s">
        <v>4149</v>
      </c>
      <c r="K696" t="s">
        <v>4150</v>
      </c>
      <c r="L696" t="s">
        <v>49</v>
      </c>
      <c r="M696" t="s">
        <v>4151</v>
      </c>
      <c r="N696" t="s">
        <v>84</v>
      </c>
      <c r="O696" t="s">
        <v>82</v>
      </c>
      <c r="P696" t="s">
        <v>83</v>
      </c>
      <c r="Q696" t="s">
        <v>31</v>
      </c>
      <c r="R696">
        <v>4</v>
      </c>
      <c r="S696" t="s">
        <v>4152</v>
      </c>
      <c r="T696" t="s">
        <v>7097</v>
      </c>
      <c r="U696" t="s">
        <v>7097</v>
      </c>
      <c r="V696" t="s">
        <v>50</v>
      </c>
      <c r="W696" t="s">
        <v>33</v>
      </c>
      <c r="X696" t="s">
        <v>33</v>
      </c>
      <c r="Y696" t="s">
        <v>33</v>
      </c>
      <c r="Z696" s="5" t="s">
        <v>34</v>
      </c>
      <c r="AA696">
        <v>-75.591668069999997</v>
      </c>
      <c r="AB696">
        <v>6.1736735999999999</v>
      </c>
      <c r="AC696" t="s">
        <v>456</v>
      </c>
      <c r="AD696" t="s">
        <v>457</v>
      </c>
    </row>
    <row r="697" spans="1:30" x14ac:dyDescent="0.25">
      <c r="A697" t="s">
        <v>4153</v>
      </c>
      <c r="B697" t="s">
        <v>42</v>
      </c>
      <c r="C697" t="s">
        <v>166</v>
      </c>
      <c r="D697" t="s">
        <v>42</v>
      </c>
      <c r="E697" t="s">
        <v>4154</v>
      </c>
      <c r="F697" t="s">
        <v>4155</v>
      </c>
      <c r="G697">
        <v>900934540</v>
      </c>
      <c r="H697" t="s">
        <v>4156</v>
      </c>
      <c r="I697" s="4" t="s">
        <v>35</v>
      </c>
      <c r="J697" s="4" t="s">
        <v>4157</v>
      </c>
      <c r="K697" t="s">
        <v>4158</v>
      </c>
      <c r="L697" t="s">
        <v>79</v>
      </c>
      <c r="M697" t="s">
        <v>4159</v>
      </c>
      <c r="N697" t="s">
        <v>80</v>
      </c>
      <c r="O697" t="s">
        <v>167</v>
      </c>
      <c r="P697" t="s">
        <v>30</v>
      </c>
      <c r="Q697" t="s">
        <v>31</v>
      </c>
      <c r="R697">
        <v>7</v>
      </c>
      <c r="S697" t="s">
        <v>4160</v>
      </c>
      <c r="T697" t="s">
        <v>7097</v>
      </c>
      <c r="U697" t="s">
        <v>7098</v>
      </c>
      <c r="V697" t="s">
        <v>32</v>
      </c>
      <c r="W697" t="s">
        <v>33</v>
      </c>
      <c r="X697" t="s">
        <v>33</v>
      </c>
      <c r="Y697" t="s">
        <v>33</v>
      </c>
      <c r="Z697" s="5" t="s">
        <v>34</v>
      </c>
      <c r="AA697">
        <v>-75.608602770000005</v>
      </c>
      <c r="AB697">
        <v>6.1570358000000001</v>
      </c>
      <c r="AC697" t="s">
        <v>456</v>
      </c>
      <c r="AD697" t="s">
        <v>457</v>
      </c>
    </row>
    <row r="698" spans="1:30" x14ac:dyDescent="0.25">
      <c r="A698" t="s">
        <v>4161</v>
      </c>
      <c r="B698" t="s">
        <v>25</v>
      </c>
      <c r="C698" t="s">
        <v>26</v>
      </c>
      <c r="D698" t="s">
        <v>25</v>
      </c>
      <c r="E698" t="s">
        <v>4162</v>
      </c>
      <c r="F698" t="s">
        <v>4163</v>
      </c>
      <c r="G698">
        <v>1128475476</v>
      </c>
      <c r="H698" t="s">
        <v>4072</v>
      </c>
      <c r="I698" s="4" t="s">
        <v>35</v>
      </c>
      <c r="J698" s="4" t="s">
        <v>4073</v>
      </c>
      <c r="K698" t="s">
        <v>4164</v>
      </c>
      <c r="L698" t="s">
        <v>27</v>
      </c>
      <c r="M698" t="s">
        <v>4165</v>
      </c>
      <c r="N698" t="s">
        <v>28</v>
      </c>
      <c r="O698" t="s">
        <v>29</v>
      </c>
      <c r="P698" t="s">
        <v>37</v>
      </c>
      <c r="Q698" t="s">
        <v>31</v>
      </c>
      <c r="R698">
        <v>7</v>
      </c>
      <c r="S698" t="s">
        <v>4166</v>
      </c>
      <c r="T698" t="s">
        <v>7099</v>
      </c>
      <c r="U698" t="s">
        <v>7100</v>
      </c>
      <c r="V698" t="s">
        <v>32</v>
      </c>
      <c r="W698" t="s">
        <v>33</v>
      </c>
      <c r="X698" t="s">
        <v>33</v>
      </c>
      <c r="Y698" t="s">
        <v>33</v>
      </c>
      <c r="Z698" s="5" t="s">
        <v>34</v>
      </c>
      <c r="AA698">
        <v>-75.641147000000004</v>
      </c>
      <c r="AB698">
        <v>6.2826829999999996</v>
      </c>
      <c r="AC698" t="s">
        <v>456</v>
      </c>
      <c r="AD698" t="s">
        <v>457</v>
      </c>
    </row>
    <row r="699" spans="1:30" x14ac:dyDescent="0.25">
      <c r="A699" t="s">
        <v>4167</v>
      </c>
      <c r="B699" t="s">
        <v>25</v>
      </c>
      <c r="C699" t="s">
        <v>26</v>
      </c>
      <c r="D699" t="s">
        <v>39</v>
      </c>
      <c r="E699" t="s">
        <v>4168</v>
      </c>
      <c r="F699" t="s">
        <v>4169</v>
      </c>
      <c r="G699">
        <v>43281195</v>
      </c>
      <c r="H699" t="s">
        <v>4170</v>
      </c>
      <c r="I699" s="4" t="s">
        <v>35</v>
      </c>
      <c r="J699" s="4" t="s">
        <v>4171</v>
      </c>
      <c r="K699" t="s">
        <v>4172</v>
      </c>
      <c r="L699" t="s">
        <v>27</v>
      </c>
      <c r="M699" t="s">
        <v>4173</v>
      </c>
      <c r="N699" t="s">
        <v>28</v>
      </c>
      <c r="O699" t="s">
        <v>40</v>
      </c>
      <c r="P699" t="s">
        <v>41</v>
      </c>
      <c r="Q699" t="s">
        <v>38</v>
      </c>
      <c r="R699">
        <v>8</v>
      </c>
      <c r="S699" t="s">
        <v>4174</v>
      </c>
      <c r="T699" t="s">
        <v>7101</v>
      </c>
      <c r="U699" t="s">
        <v>2510</v>
      </c>
      <c r="V699" t="s">
        <v>32</v>
      </c>
      <c r="W699" t="s">
        <v>33</v>
      </c>
      <c r="X699" t="s">
        <v>33</v>
      </c>
      <c r="Y699" t="s">
        <v>33</v>
      </c>
      <c r="Z699" s="5" t="s">
        <v>34</v>
      </c>
      <c r="AA699">
        <v>-75.628720869999995</v>
      </c>
      <c r="AB699">
        <v>6.2330737699999998</v>
      </c>
      <c r="AC699" t="s">
        <v>456</v>
      </c>
      <c r="AD699" t="s">
        <v>457</v>
      </c>
    </row>
    <row r="700" spans="1:30" x14ac:dyDescent="0.25">
      <c r="A700" t="s">
        <v>4175</v>
      </c>
      <c r="B700" t="s">
        <v>81</v>
      </c>
      <c r="C700" t="s">
        <v>26</v>
      </c>
      <c r="D700" t="s">
        <v>81</v>
      </c>
      <c r="E700" t="s">
        <v>4176</v>
      </c>
      <c r="F700" t="s">
        <v>4177</v>
      </c>
      <c r="G700">
        <v>98662497</v>
      </c>
      <c r="H700" t="s">
        <v>4178</v>
      </c>
      <c r="I700" s="4" t="s">
        <v>4179</v>
      </c>
      <c r="J700" s="4" t="s">
        <v>4180</v>
      </c>
      <c r="K700" t="s">
        <v>4181</v>
      </c>
      <c r="L700" t="s">
        <v>49</v>
      </c>
      <c r="M700" t="s">
        <v>4182</v>
      </c>
      <c r="N700" t="s">
        <v>84</v>
      </c>
      <c r="O700" t="s">
        <v>82</v>
      </c>
      <c r="P700" t="s">
        <v>83</v>
      </c>
      <c r="Q700" t="s">
        <v>31</v>
      </c>
      <c r="R700">
        <v>4</v>
      </c>
      <c r="S700" t="s">
        <v>4183</v>
      </c>
      <c r="T700" t="s">
        <v>7102</v>
      </c>
      <c r="U700" t="s">
        <v>7102</v>
      </c>
      <c r="V700" t="s">
        <v>50</v>
      </c>
      <c r="W700" t="s">
        <v>33</v>
      </c>
      <c r="X700" t="s">
        <v>33</v>
      </c>
      <c r="Y700" t="s">
        <v>33</v>
      </c>
      <c r="Z700" s="5" t="s">
        <v>34</v>
      </c>
      <c r="AA700">
        <v>-75.559015669999994</v>
      </c>
      <c r="AB700">
        <v>6.1672280700000002</v>
      </c>
      <c r="AC700" t="s">
        <v>456</v>
      </c>
      <c r="AD700" t="s">
        <v>457</v>
      </c>
    </row>
    <row r="701" spans="1:30" x14ac:dyDescent="0.25">
      <c r="A701" t="s">
        <v>5058</v>
      </c>
      <c r="B701" t="s">
        <v>95</v>
      </c>
      <c r="C701" t="s">
        <v>26</v>
      </c>
      <c r="D701" t="s">
        <v>96</v>
      </c>
      <c r="E701" t="s">
        <v>5059</v>
      </c>
      <c r="F701" t="s">
        <v>5060</v>
      </c>
      <c r="G701">
        <v>42783054</v>
      </c>
      <c r="H701" t="s">
        <v>5061</v>
      </c>
      <c r="I701" s="4" t="s">
        <v>5062</v>
      </c>
      <c r="J701" s="4" t="s">
        <v>5063</v>
      </c>
      <c r="K701" t="s">
        <v>5064</v>
      </c>
      <c r="L701" t="s">
        <v>27</v>
      </c>
      <c r="M701" t="s">
        <v>5065</v>
      </c>
      <c r="N701" t="s">
        <v>28</v>
      </c>
      <c r="O701" t="s">
        <v>103</v>
      </c>
      <c r="P701" t="s">
        <v>158</v>
      </c>
      <c r="Q701" t="s">
        <v>31</v>
      </c>
      <c r="R701">
        <v>9</v>
      </c>
      <c r="S701" t="s">
        <v>5066</v>
      </c>
      <c r="T701" t="s">
        <v>7103</v>
      </c>
      <c r="U701" t="s">
        <v>7104</v>
      </c>
      <c r="V701" t="s">
        <v>32</v>
      </c>
      <c r="W701" t="s">
        <v>33</v>
      </c>
      <c r="X701" t="s">
        <v>33</v>
      </c>
      <c r="Y701" t="s">
        <v>33</v>
      </c>
      <c r="Z701" s="5" t="s">
        <v>34</v>
      </c>
      <c r="AA701">
        <v>-75.601973029999996</v>
      </c>
      <c r="AB701">
        <v>6.2436710299999998</v>
      </c>
      <c r="AC701" t="s">
        <v>456</v>
      </c>
      <c r="AD701" t="s">
        <v>457</v>
      </c>
    </row>
    <row r="702" spans="1:30" x14ac:dyDescent="0.25">
      <c r="A702" t="s">
        <v>4185</v>
      </c>
      <c r="B702" t="s">
        <v>25</v>
      </c>
      <c r="C702" t="s">
        <v>26</v>
      </c>
      <c r="D702" t="s">
        <v>39</v>
      </c>
      <c r="E702" t="s">
        <v>4186</v>
      </c>
      <c r="F702" t="s">
        <v>4187</v>
      </c>
      <c r="G702">
        <v>1216725166</v>
      </c>
      <c r="H702" t="s">
        <v>4188</v>
      </c>
      <c r="I702" s="4" t="s">
        <v>35</v>
      </c>
      <c r="J702" s="4" t="s">
        <v>4189</v>
      </c>
      <c r="K702" t="s">
        <v>4190</v>
      </c>
      <c r="L702" t="s">
        <v>27</v>
      </c>
      <c r="M702" t="s">
        <v>4191</v>
      </c>
      <c r="N702" t="s">
        <v>28</v>
      </c>
      <c r="O702" t="s">
        <v>40</v>
      </c>
      <c r="P702" t="s">
        <v>41</v>
      </c>
      <c r="Q702" t="s">
        <v>38</v>
      </c>
      <c r="R702">
        <v>8</v>
      </c>
      <c r="S702" t="s">
        <v>4192</v>
      </c>
      <c r="T702" t="s">
        <v>6819</v>
      </c>
      <c r="U702" t="s">
        <v>4818</v>
      </c>
      <c r="V702" t="s">
        <v>32</v>
      </c>
      <c r="W702" t="s">
        <v>33</v>
      </c>
      <c r="X702" t="s">
        <v>33</v>
      </c>
      <c r="Y702" t="s">
        <v>33</v>
      </c>
      <c r="Z702" s="5" t="s">
        <v>34</v>
      </c>
      <c r="AA702">
        <v>-75.635640899999999</v>
      </c>
      <c r="AB702">
        <v>6.2466094400000003</v>
      </c>
      <c r="AC702" t="s">
        <v>456</v>
      </c>
      <c r="AD702" t="s">
        <v>457</v>
      </c>
    </row>
    <row r="703" spans="1:30" x14ac:dyDescent="0.25">
      <c r="A703" t="s">
        <v>4193</v>
      </c>
      <c r="B703" t="s">
        <v>25</v>
      </c>
      <c r="C703" t="s">
        <v>26</v>
      </c>
      <c r="D703" t="s">
        <v>25</v>
      </c>
      <c r="E703" t="s">
        <v>4194</v>
      </c>
      <c r="F703" t="s">
        <v>4195</v>
      </c>
      <c r="G703">
        <v>1023832450</v>
      </c>
      <c r="H703" t="s">
        <v>4196</v>
      </c>
      <c r="I703" s="4" t="s">
        <v>35</v>
      </c>
      <c r="J703" s="4" t="s">
        <v>4197</v>
      </c>
      <c r="K703" t="s">
        <v>4198</v>
      </c>
      <c r="L703" t="s">
        <v>27</v>
      </c>
      <c r="M703" t="s">
        <v>4199</v>
      </c>
      <c r="N703" t="s">
        <v>28</v>
      </c>
      <c r="O703" t="s">
        <v>29</v>
      </c>
      <c r="P703" t="s">
        <v>37</v>
      </c>
      <c r="Q703" t="s">
        <v>31</v>
      </c>
      <c r="R703">
        <v>7</v>
      </c>
      <c r="S703" t="s">
        <v>4200</v>
      </c>
      <c r="T703" t="s">
        <v>4888</v>
      </c>
      <c r="U703" t="s">
        <v>6789</v>
      </c>
      <c r="V703" t="s">
        <v>32</v>
      </c>
      <c r="W703" t="s">
        <v>33</v>
      </c>
      <c r="X703" t="s">
        <v>33</v>
      </c>
      <c r="Y703" t="s">
        <v>33</v>
      </c>
      <c r="Z703" s="5" t="s">
        <v>34</v>
      </c>
      <c r="AA703">
        <v>-75.605038030000003</v>
      </c>
      <c r="AB703">
        <v>6.2774986400000001</v>
      </c>
      <c r="AC703" t="s">
        <v>456</v>
      </c>
      <c r="AD703" t="s">
        <v>457</v>
      </c>
    </row>
    <row r="704" spans="1:30" x14ac:dyDescent="0.25">
      <c r="A704" t="s">
        <v>5067</v>
      </c>
      <c r="B704" t="s">
        <v>95</v>
      </c>
      <c r="C704" t="s">
        <v>26</v>
      </c>
      <c r="D704" t="s">
        <v>96</v>
      </c>
      <c r="E704" t="s">
        <v>5068</v>
      </c>
      <c r="F704" t="s">
        <v>5069</v>
      </c>
      <c r="G704">
        <v>1146435484</v>
      </c>
      <c r="H704" t="s">
        <v>5070</v>
      </c>
      <c r="I704" s="4" t="s">
        <v>35</v>
      </c>
      <c r="J704" s="4" t="s">
        <v>5071</v>
      </c>
      <c r="K704" t="s">
        <v>5072</v>
      </c>
      <c r="L704" t="s">
        <v>27</v>
      </c>
      <c r="M704" t="s">
        <v>5073</v>
      </c>
      <c r="N704" t="s">
        <v>28</v>
      </c>
      <c r="O704" t="s">
        <v>103</v>
      </c>
      <c r="P704" t="s">
        <v>158</v>
      </c>
      <c r="Q704" t="s">
        <v>38</v>
      </c>
      <c r="R704">
        <v>14</v>
      </c>
      <c r="S704" t="s">
        <v>5074</v>
      </c>
      <c r="T704" t="s">
        <v>7105</v>
      </c>
      <c r="U704" t="s">
        <v>7106</v>
      </c>
      <c r="V704" t="s">
        <v>32</v>
      </c>
      <c r="W704" t="s">
        <v>33</v>
      </c>
      <c r="X704" t="s">
        <v>33</v>
      </c>
      <c r="Y704" t="s">
        <v>33</v>
      </c>
      <c r="Z704" s="5" t="s">
        <v>34</v>
      </c>
      <c r="AA704">
        <v>-75.610147449999999</v>
      </c>
      <c r="AB704">
        <v>6.2754529300000002</v>
      </c>
      <c r="AC704" t="s">
        <v>456</v>
      </c>
      <c r="AD704" t="s">
        <v>457</v>
      </c>
    </row>
    <row r="705" spans="1:30" x14ac:dyDescent="0.25">
      <c r="A705" t="s">
        <v>5075</v>
      </c>
      <c r="B705" t="s">
        <v>95</v>
      </c>
      <c r="C705" t="s">
        <v>26</v>
      </c>
      <c r="D705" t="s">
        <v>96</v>
      </c>
      <c r="E705" t="s">
        <v>5076</v>
      </c>
      <c r="F705" t="s">
        <v>5077</v>
      </c>
      <c r="G705">
        <v>32207836</v>
      </c>
      <c r="H705" t="s">
        <v>2909</v>
      </c>
      <c r="I705" s="4" t="s">
        <v>2910</v>
      </c>
      <c r="J705" s="4" t="s">
        <v>2911</v>
      </c>
      <c r="K705" t="s">
        <v>5078</v>
      </c>
      <c r="L705" t="s">
        <v>27</v>
      </c>
      <c r="M705" t="s">
        <v>5079</v>
      </c>
      <c r="N705" t="s">
        <v>28</v>
      </c>
      <c r="O705" t="s">
        <v>103</v>
      </c>
      <c r="P705" t="s">
        <v>120</v>
      </c>
      <c r="Q705" t="s">
        <v>38</v>
      </c>
      <c r="R705">
        <v>14</v>
      </c>
      <c r="S705" t="s">
        <v>5080</v>
      </c>
      <c r="T705" t="s">
        <v>7107</v>
      </c>
      <c r="U705" t="s">
        <v>7108</v>
      </c>
      <c r="V705" t="s">
        <v>32</v>
      </c>
      <c r="W705" t="s">
        <v>33</v>
      </c>
      <c r="X705" t="s">
        <v>33</v>
      </c>
      <c r="Y705" t="s">
        <v>33</v>
      </c>
      <c r="Z705" s="5" t="s">
        <v>34</v>
      </c>
      <c r="AA705">
        <v>-75.630104290000006</v>
      </c>
      <c r="AB705">
        <v>6.2325584599999999</v>
      </c>
      <c r="AC705" t="s">
        <v>456</v>
      </c>
      <c r="AD705" t="s">
        <v>457</v>
      </c>
    </row>
    <row r="706" spans="1:30" x14ac:dyDescent="0.25">
      <c r="A706" t="s">
        <v>4201</v>
      </c>
      <c r="B706" t="s">
        <v>51</v>
      </c>
      <c r="C706" t="s">
        <v>26</v>
      </c>
      <c r="D706" t="s">
        <v>51</v>
      </c>
      <c r="E706" t="s">
        <v>4202</v>
      </c>
      <c r="F706" t="s">
        <v>4203</v>
      </c>
      <c r="G706">
        <v>15434958</v>
      </c>
      <c r="H706" t="s">
        <v>4204</v>
      </c>
      <c r="I706" s="4" t="s">
        <v>35</v>
      </c>
      <c r="J706" s="4" t="s">
        <v>4205</v>
      </c>
      <c r="K706" t="s">
        <v>4206</v>
      </c>
      <c r="L706" t="s">
        <v>27</v>
      </c>
      <c r="M706" t="s">
        <v>4207</v>
      </c>
      <c r="N706" t="s">
        <v>28</v>
      </c>
      <c r="O706" t="s">
        <v>52</v>
      </c>
      <c r="P706" t="s">
        <v>53</v>
      </c>
      <c r="Q706" t="s">
        <v>38</v>
      </c>
      <c r="R706">
        <v>11</v>
      </c>
      <c r="S706" t="s">
        <v>4208</v>
      </c>
      <c r="T706" t="s">
        <v>4650</v>
      </c>
      <c r="U706" t="s">
        <v>7109</v>
      </c>
      <c r="V706" t="s">
        <v>32</v>
      </c>
      <c r="W706" t="s">
        <v>33</v>
      </c>
      <c r="X706" t="s">
        <v>33</v>
      </c>
      <c r="Y706" t="s">
        <v>33</v>
      </c>
      <c r="Z706" s="5" t="s">
        <v>34</v>
      </c>
      <c r="AA706">
        <v>-75.503912549999995</v>
      </c>
      <c r="AB706">
        <v>6.2312173900000003</v>
      </c>
      <c r="AC706" t="s">
        <v>456</v>
      </c>
      <c r="AD706" t="s">
        <v>457</v>
      </c>
    </row>
    <row r="707" spans="1:30" x14ac:dyDescent="0.25">
      <c r="A707" t="s">
        <v>4209</v>
      </c>
      <c r="B707" t="s">
        <v>25</v>
      </c>
      <c r="C707" t="s">
        <v>26</v>
      </c>
      <c r="D707" t="s">
        <v>25</v>
      </c>
      <c r="E707" t="s">
        <v>4210</v>
      </c>
      <c r="F707" t="s">
        <v>4211</v>
      </c>
      <c r="G707">
        <v>1023832450</v>
      </c>
      <c r="H707" t="s">
        <v>4196</v>
      </c>
      <c r="I707" s="4" t="s">
        <v>35</v>
      </c>
      <c r="J707" s="4" t="s">
        <v>4197</v>
      </c>
      <c r="K707" t="s">
        <v>4212</v>
      </c>
      <c r="L707" t="s">
        <v>27</v>
      </c>
      <c r="M707" t="s">
        <v>4213</v>
      </c>
      <c r="N707" t="s">
        <v>28</v>
      </c>
      <c r="O707" t="s">
        <v>29</v>
      </c>
      <c r="P707" t="s">
        <v>37</v>
      </c>
      <c r="Q707" t="s">
        <v>31</v>
      </c>
      <c r="R707">
        <v>7</v>
      </c>
      <c r="S707" t="s">
        <v>4214</v>
      </c>
      <c r="T707" t="s">
        <v>7110</v>
      </c>
      <c r="U707" t="s">
        <v>7111</v>
      </c>
      <c r="V707" t="s">
        <v>32</v>
      </c>
      <c r="W707" t="s">
        <v>33</v>
      </c>
      <c r="X707" t="s">
        <v>33</v>
      </c>
      <c r="Y707" t="s">
        <v>33</v>
      </c>
      <c r="Z707" s="5" t="s">
        <v>34</v>
      </c>
      <c r="AA707">
        <v>-75.604921000000004</v>
      </c>
      <c r="AB707">
        <v>6.2775420000000004</v>
      </c>
      <c r="AC707" t="s">
        <v>456</v>
      </c>
      <c r="AD707" t="s">
        <v>457</v>
      </c>
    </row>
    <row r="708" spans="1:30" x14ac:dyDescent="0.25">
      <c r="A708" t="s">
        <v>4215</v>
      </c>
      <c r="B708" t="s">
        <v>25</v>
      </c>
      <c r="C708" t="s">
        <v>26</v>
      </c>
      <c r="D708" t="s">
        <v>25</v>
      </c>
      <c r="E708" t="s">
        <v>4216</v>
      </c>
      <c r="F708" t="s">
        <v>4217</v>
      </c>
      <c r="G708">
        <v>1017172477</v>
      </c>
      <c r="H708" t="s">
        <v>4218</v>
      </c>
      <c r="I708" s="4" t="s">
        <v>35</v>
      </c>
      <c r="J708" s="4" t="s">
        <v>573</v>
      </c>
      <c r="K708" t="s">
        <v>4219</v>
      </c>
      <c r="L708" t="s">
        <v>27</v>
      </c>
      <c r="M708" t="s">
        <v>4220</v>
      </c>
      <c r="N708" t="s">
        <v>28</v>
      </c>
      <c r="O708" t="s">
        <v>29</v>
      </c>
      <c r="P708" t="s">
        <v>37</v>
      </c>
      <c r="Q708" t="s">
        <v>31</v>
      </c>
      <c r="R708">
        <v>7</v>
      </c>
      <c r="S708" t="s">
        <v>4221</v>
      </c>
      <c r="T708" t="s">
        <v>7110</v>
      </c>
      <c r="U708" t="s">
        <v>7111</v>
      </c>
      <c r="V708" t="s">
        <v>32</v>
      </c>
      <c r="W708" t="s">
        <v>33</v>
      </c>
      <c r="X708" t="s">
        <v>33</v>
      </c>
      <c r="Y708" t="s">
        <v>33</v>
      </c>
      <c r="Z708" s="5" t="s">
        <v>34</v>
      </c>
      <c r="AA708">
        <v>-75.553368030000001</v>
      </c>
      <c r="AB708">
        <v>6.2314698699999997</v>
      </c>
      <c r="AC708" t="s">
        <v>456</v>
      </c>
      <c r="AD708" t="s">
        <v>457</v>
      </c>
    </row>
    <row r="709" spans="1:30" x14ac:dyDescent="0.25">
      <c r="A709" t="s">
        <v>4222</v>
      </c>
      <c r="B709" t="s">
        <v>25</v>
      </c>
      <c r="C709" t="s">
        <v>26</v>
      </c>
      <c r="D709" t="s">
        <v>25</v>
      </c>
      <c r="E709" t="s">
        <v>4223</v>
      </c>
      <c r="F709" t="s">
        <v>4224</v>
      </c>
      <c r="G709">
        <v>71733692</v>
      </c>
      <c r="H709" t="s">
        <v>3875</v>
      </c>
      <c r="I709" s="4" t="s">
        <v>35</v>
      </c>
      <c r="J709" s="4" t="s">
        <v>3876</v>
      </c>
      <c r="K709" t="s">
        <v>4225</v>
      </c>
      <c r="L709" t="s">
        <v>27</v>
      </c>
      <c r="M709" t="s">
        <v>4226</v>
      </c>
      <c r="N709" t="s">
        <v>28</v>
      </c>
      <c r="O709" t="s">
        <v>29</v>
      </c>
      <c r="P709" t="s">
        <v>37</v>
      </c>
      <c r="Q709" t="s">
        <v>31</v>
      </c>
      <c r="R709">
        <v>7</v>
      </c>
      <c r="S709" t="s">
        <v>4227</v>
      </c>
      <c r="T709" t="s">
        <v>7112</v>
      </c>
      <c r="U709" t="s">
        <v>7113</v>
      </c>
      <c r="V709" t="s">
        <v>32</v>
      </c>
      <c r="W709" t="s">
        <v>33</v>
      </c>
      <c r="X709" t="s">
        <v>33</v>
      </c>
      <c r="Y709" t="s">
        <v>33</v>
      </c>
      <c r="Z709" s="5" t="s">
        <v>34</v>
      </c>
      <c r="AA709">
        <v>-75.541661000000005</v>
      </c>
      <c r="AB709">
        <v>6.2540300000000002</v>
      </c>
      <c r="AC709" t="s">
        <v>456</v>
      </c>
      <c r="AD709" t="s">
        <v>457</v>
      </c>
    </row>
    <row r="710" spans="1:30" x14ac:dyDescent="0.25">
      <c r="A710" t="s">
        <v>4228</v>
      </c>
      <c r="B710" t="s">
        <v>42</v>
      </c>
      <c r="C710" t="s">
        <v>26</v>
      </c>
      <c r="D710" t="s">
        <v>42</v>
      </c>
      <c r="E710" t="s">
        <v>4229</v>
      </c>
      <c r="F710" t="s">
        <v>4230</v>
      </c>
      <c r="G710">
        <v>801002376</v>
      </c>
      <c r="H710" t="s">
        <v>4231</v>
      </c>
      <c r="I710" s="4" t="s">
        <v>4232</v>
      </c>
      <c r="J710" s="4" t="s">
        <v>4233</v>
      </c>
      <c r="K710" t="s">
        <v>4234</v>
      </c>
      <c r="L710" t="s">
        <v>27</v>
      </c>
      <c r="M710" t="s">
        <v>4235</v>
      </c>
      <c r="N710" t="s">
        <v>28</v>
      </c>
      <c r="O710" t="s">
        <v>43</v>
      </c>
      <c r="P710" t="s">
        <v>55</v>
      </c>
      <c r="Q710" t="s">
        <v>31</v>
      </c>
      <c r="R710">
        <v>7</v>
      </c>
      <c r="S710" t="s">
        <v>4236</v>
      </c>
      <c r="T710" t="s">
        <v>7114</v>
      </c>
      <c r="U710" t="s">
        <v>7115</v>
      </c>
      <c r="V710" t="s">
        <v>32</v>
      </c>
      <c r="W710" t="s">
        <v>33</v>
      </c>
      <c r="X710" t="s">
        <v>33</v>
      </c>
      <c r="Y710" t="s">
        <v>33</v>
      </c>
      <c r="Z710" s="5" t="s">
        <v>34</v>
      </c>
      <c r="AA710">
        <v>-75.62976003</v>
      </c>
      <c r="AB710">
        <v>6.2477254799999997</v>
      </c>
      <c r="AC710" t="s">
        <v>456</v>
      </c>
      <c r="AD710" t="s">
        <v>457</v>
      </c>
    </row>
    <row r="711" spans="1:30" x14ac:dyDescent="0.25">
      <c r="A711" t="s">
        <v>4237</v>
      </c>
      <c r="B711" t="s">
        <v>25</v>
      </c>
      <c r="C711" t="s">
        <v>26</v>
      </c>
      <c r="D711" t="s">
        <v>25</v>
      </c>
      <c r="E711" t="s">
        <v>4238</v>
      </c>
      <c r="F711" t="s">
        <v>4239</v>
      </c>
      <c r="G711">
        <v>43454345</v>
      </c>
      <c r="H711" t="s">
        <v>4240</v>
      </c>
      <c r="I711" s="4" t="s">
        <v>35</v>
      </c>
      <c r="J711" s="4" t="s">
        <v>4241</v>
      </c>
      <c r="K711" t="s">
        <v>4242</v>
      </c>
      <c r="L711" t="s">
        <v>27</v>
      </c>
      <c r="M711" t="s">
        <v>4243</v>
      </c>
      <c r="N711" t="s">
        <v>28</v>
      </c>
      <c r="O711" t="s">
        <v>29</v>
      </c>
      <c r="P711" t="s">
        <v>37</v>
      </c>
      <c r="Q711" t="s">
        <v>31</v>
      </c>
      <c r="R711">
        <v>7</v>
      </c>
      <c r="S711" t="s">
        <v>4244</v>
      </c>
      <c r="T711" t="s">
        <v>7116</v>
      </c>
      <c r="U711" t="s">
        <v>7117</v>
      </c>
      <c r="V711" t="s">
        <v>32</v>
      </c>
      <c r="W711" t="s">
        <v>33</v>
      </c>
      <c r="X711" t="s">
        <v>33</v>
      </c>
      <c r="Y711" t="s">
        <v>33</v>
      </c>
      <c r="Z711" s="5" t="s">
        <v>34</v>
      </c>
      <c r="AA711">
        <v>-75.657941690000001</v>
      </c>
      <c r="AB711">
        <v>6.1827565199999999</v>
      </c>
      <c r="AC711" t="s">
        <v>456</v>
      </c>
      <c r="AD711" t="s">
        <v>457</v>
      </c>
    </row>
    <row r="712" spans="1:30" x14ac:dyDescent="0.25">
      <c r="A712" t="s">
        <v>4245</v>
      </c>
      <c r="B712" t="s">
        <v>42</v>
      </c>
      <c r="C712" t="s">
        <v>26</v>
      </c>
      <c r="D712" t="s">
        <v>42</v>
      </c>
      <c r="E712" t="s">
        <v>4246</v>
      </c>
      <c r="F712" t="s">
        <v>4247</v>
      </c>
      <c r="G712">
        <v>1036603683</v>
      </c>
      <c r="H712" t="s">
        <v>4248</v>
      </c>
      <c r="I712" s="4" t="s">
        <v>35</v>
      </c>
      <c r="J712" s="4" t="s">
        <v>4249</v>
      </c>
      <c r="K712" t="s">
        <v>4250</v>
      </c>
      <c r="L712" t="s">
        <v>77</v>
      </c>
      <c r="M712" t="s">
        <v>4251</v>
      </c>
      <c r="N712" t="s">
        <v>78</v>
      </c>
      <c r="O712" t="s">
        <v>43</v>
      </c>
      <c r="P712" t="s">
        <v>55</v>
      </c>
      <c r="Q712" t="s">
        <v>38</v>
      </c>
      <c r="R712">
        <v>10</v>
      </c>
      <c r="S712" t="s">
        <v>4252</v>
      </c>
      <c r="T712" t="s">
        <v>7118</v>
      </c>
      <c r="U712" t="s">
        <v>7119</v>
      </c>
      <c r="V712" t="s">
        <v>32</v>
      </c>
      <c r="W712" t="s">
        <v>33</v>
      </c>
      <c r="X712" t="s">
        <v>33</v>
      </c>
      <c r="Y712" t="s">
        <v>33</v>
      </c>
      <c r="Z712" s="5" t="s">
        <v>34</v>
      </c>
      <c r="AA712">
        <v>-75.625374170000001</v>
      </c>
      <c r="AB712">
        <v>6.08691899</v>
      </c>
      <c r="AC712" t="s">
        <v>456</v>
      </c>
      <c r="AD712" t="s">
        <v>457</v>
      </c>
    </row>
    <row r="713" spans="1:30" x14ac:dyDescent="0.25">
      <c r="A713" t="s">
        <v>4253</v>
      </c>
      <c r="B713" t="s">
        <v>25</v>
      </c>
      <c r="C713" t="s">
        <v>26</v>
      </c>
      <c r="D713" t="s">
        <v>39</v>
      </c>
      <c r="E713" t="s">
        <v>4254</v>
      </c>
      <c r="F713" t="s">
        <v>4255</v>
      </c>
      <c r="G713">
        <v>1001808727</v>
      </c>
      <c r="H713" t="s">
        <v>4256</v>
      </c>
      <c r="I713" s="4" t="s">
        <v>35</v>
      </c>
      <c r="J713" s="4" t="s">
        <v>4257</v>
      </c>
      <c r="K713" t="s">
        <v>4258</v>
      </c>
      <c r="L713" t="s">
        <v>44</v>
      </c>
      <c r="M713" t="s">
        <v>4259</v>
      </c>
      <c r="N713" t="s">
        <v>45</v>
      </c>
      <c r="O713" t="s">
        <v>40</v>
      </c>
      <c r="P713" t="s">
        <v>41</v>
      </c>
      <c r="Q713" t="s">
        <v>31</v>
      </c>
      <c r="R713">
        <v>5</v>
      </c>
      <c r="S713" t="s">
        <v>4260</v>
      </c>
      <c r="T713" t="s">
        <v>7120</v>
      </c>
      <c r="U713" t="s">
        <v>7121</v>
      </c>
      <c r="V713" t="s">
        <v>32</v>
      </c>
      <c r="W713" t="s">
        <v>33</v>
      </c>
      <c r="X713" t="s">
        <v>33</v>
      </c>
      <c r="Y713" t="s">
        <v>33</v>
      </c>
      <c r="Z713" s="5" t="s">
        <v>34</v>
      </c>
      <c r="AA713">
        <v>-75.609866229999994</v>
      </c>
      <c r="AB713">
        <v>6.1768508500000001</v>
      </c>
      <c r="AC713" t="s">
        <v>456</v>
      </c>
      <c r="AD713" t="s">
        <v>457</v>
      </c>
    </row>
    <row r="714" spans="1:30" x14ac:dyDescent="0.25">
      <c r="A714" t="s">
        <v>4261</v>
      </c>
      <c r="B714" t="s">
        <v>25</v>
      </c>
      <c r="C714" t="s">
        <v>26</v>
      </c>
      <c r="D714" t="s">
        <v>39</v>
      </c>
      <c r="E714" t="s">
        <v>4262</v>
      </c>
      <c r="F714" t="s">
        <v>4263</v>
      </c>
      <c r="G714">
        <v>1033653278</v>
      </c>
      <c r="H714" t="s">
        <v>4264</v>
      </c>
      <c r="I714" s="4" t="s">
        <v>35</v>
      </c>
      <c r="J714" s="4" t="s">
        <v>4265</v>
      </c>
      <c r="K714" t="s">
        <v>4266</v>
      </c>
      <c r="L714" t="s">
        <v>44</v>
      </c>
      <c r="M714" t="s">
        <v>4267</v>
      </c>
      <c r="N714" t="s">
        <v>45</v>
      </c>
      <c r="O714" t="s">
        <v>40</v>
      </c>
      <c r="P714" t="s">
        <v>41</v>
      </c>
      <c r="Q714" t="s">
        <v>38</v>
      </c>
      <c r="R714">
        <v>8</v>
      </c>
      <c r="S714" t="s">
        <v>4268</v>
      </c>
      <c r="T714" t="s">
        <v>7120</v>
      </c>
      <c r="U714" t="s">
        <v>7122</v>
      </c>
      <c r="V714" t="s">
        <v>32</v>
      </c>
      <c r="W714" t="s">
        <v>33</v>
      </c>
      <c r="X714" t="s">
        <v>33</v>
      </c>
      <c r="Y714" t="s">
        <v>33</v>
      </c>
      <c r="Z714" s="5" t="s">
        <v>34</v>
      </c>
      <c r="AA714">
        <v>-75.606826999999996</v>
      </c>
      <c r="AB714">
        <v>6.1959679999999997</v>
      </c>
      <c r="AC714" t="s">
        <v>456</v>
      </c>
      <c r="AD714" t="s">
        <v>457</v>
      </c>
    </row>
    <row r="715" spans="1:30" x14ac:dyDescent="0.25">
      <c r="A715" t="s">
        <v>4269</v>
      </c>
      <c r="B715" t="s">
        <v>25</v>
      </c>
      <c r="C715" t="s">
        <v>26</v>
      </c>
      <c r="D715" t="s">
        <v>39</v>
      </c>
      <c r="E715" t="s">
        <v>4270</v>
      </c>
      <c r="F715" t="s">
        <v>4271</v>
      </c>
      <c r="G715">
        <v>43469163</v>
      </c>
      <c r="H715" t="s">
        <v>4272</v>
      </c>
      <c r="I715" s="4" t="s">
        <v>35</v>
      </c>
      <c r="J715" s="4" t="s">
        <v>4273</v>
      </c>
      <c r="K715" t="s">
        <v>4274</v>
      </c>
      <c r="L715" t="s">
        <v>27</v>
      </c>
      <c r="M715" t="s">
        <v>4275</v>
      </c>
      <c r="N715" t="s">
        <v>28</v>
      </c>
      <c r="O715" t="s">
        <v>40</v>
      </c>
      <c r="P715" t="s">
        <v>41</v>
      </c>
      <c r="Q715" t="s">
        <v>38</v>
      </c>
      <c r="R715">
        <v>8</v>
      </c>
      <c r="S715" t="s">
        <v>4276</v>
      </c>
      <c r="T715" t="s">
        <v>7123</v>
      </c>
      <c r="U715" t="s">
        <v>7124</v>
      </c>
      <c r="V715" t="s">
        <v>32</v>
      </c>
      <c r="W715" t="s">
        <v>33</v>
      </c>
      <c r="X715" t="s">
        <v>33</v>
      </c>
      <c r="Y715" t="s">
        <v>33</v>
      </c>
      <c r="Z715" s="5" t="s">
        <v>34</v>
      </c>
      <c r="AA715">
        <v>-75.705882130000006</v>
      </c>
      <c r="AB715">
        <v>6.3463955299999997</v>
      </c>
      <c r="AC715" t="s">
        <v>456</v>
      </c>
      <c r="AD715" t="s">
        <v>457</v>
      </c>
    </row>
    <row r="716" spans="1:30" x14ac:dyDescent="0.25">
      <c r="A716" t="s">
        <v>4277</v>
      </c>
      <c r="B716" t="s">
        <v>25</v>
      </c>
      <c r="C716" t="s">
        <v>26</v>
      </c>
      <c r="D716" t="s">
        <v>25</v>
      </c>
      <c r="E716" t="s">
        <v>4278</v>
      </c>
      <c r="F716" t="s">
        <v>4279</v>
      </c>
      <c r="G716">
        <v>42786565</v>
      </c>
      <c r="H716" t="s">
        <v>4280</v>
      </c>
      <c r="I716" s="4" t="s">
        <v>35</v>
      </c>
      <c r="J716" s="4" t="s">
        <v>4281</v>
      </c>
      <c r="K716" t="s">
        <v>4282</v>
      </c>
      <c r="L716" t="s">
        <v>27</v>
      </c>
      <c r="M716" t="s">
        <v>4283</v>
      </c>
      <c r="N716" t="s">
        <v>28</v>
      </c>
      <c r="O716" t="s">
        <v>29</v>
      </c>
      <c r="P716" t="s">
        <v>37</v>
      </c>
      <c r="Q716" t="s">
        <v>38</v>
      </c>
      <c r="R716">
        <v>10</v>
      </c>
      <c r="S716" t="s">
        <v>4284</v>
      </c>
      <c r="T716" t="s">
        <v>7125</v>
      </c>
      <c r="U716" t="s">
        <v>7126</v>
      </c>
      <c r="V716" t="s">
        <v>32</v>
      </c>
      <c r="W716" t="s">
        <v>33</v>
      </c>
      <c r="X716" t="s">
        <v>33</v>
      </c>
      <c r="Y716" t="s">
        <v>33</v>
      </c>
      <c r="Z716" s="5" t="s">
        <v>34</v>
      </c>
      <c r="AA716">
        <v>-75.492155069999995</v>
      </c>
      <c r="AB716">
        <v>6.2606401099999998</v>
      </c>
      <c r="AC716" t="s">
        <v>456</v>
      </c>
      <c r="AD716" t="s">
        <v>457</v>
      </c>
    </row>
    <row r="717" spans="1:30" x14ac:dyDescent="0.25">
      <c r="A717" t="s">
        <v>4285</v>
      </c>
      <c r="B717" t="s">
        <v>25</v>
      </c>
      <c r="C717" t="s">
        <v>26</v>
      </c>
      <c r="D717" t="s">
        <v>25</v>
      </c>
      <c r="E717" t="s">
        <v>4286</v>
      </c>
      <c r="F717" t="s">
        <v>4287</v>
      </c>
      <c r="G717">
        <v>43070461</v>
      </c>
      <c r="H717" t="s">
        <v>4288</v>
      </c>
      <c r="I717" s="4" t="s">
        <v>35</v>
      </c>
      <c r="J717" s="4" t="s">
        <v>4289</v>
      </c>
      <c r="K717" t="s">
        <v>4290</v>
      </c>
      <c r="L717" t="s">
        <v>27</v>
      </c>
      <c r="M717" t="s">
        <v>4291</v>
      </c>
      <c r="N717" t="s">
        <v>28</v>
      </c>
      <c r="O717" t="s">
        <v>29</v>
      </c>
      <c r="P717" t="s">
        <v>37</v>
      </c>
      <c r="Q717" t="s">
        <v>31</v>
      </c>
      <c r="R717">
        <v>7</v>
      </c>
      <c r="S717" t="s">
        <v>4292</v>
      </c>
      <c r="T717" t="s">
        <v>7127</v>
      </c>
      <c r="U717" t="s">
        <v>7128</v>
      </c>
      <c r="V717" t="s">
        <v>32</v>
      </c>
      <c r="W717" t="s">
        <v>33</v>
      </c>
      <c r="X717" t="s">
        <v>33</v>
      </c>
      <c r="Y717" t="s">
        <v>33</v>
      </c>
      <c r="Z717" s="5" t="s">
        <v>34</v>
      </c>
      <c r="AA717">
        <v>-75.554894910000002</v>
      </c>
      <c r="AB717">
        <v>6.2370385300000004</v>
      </c>
      <c r="AC717" t="s">
        <v>456</v>
      </c>
      <c r="AD717" t="s">
        <v>457</v>
      </c>
    </row>
    <row r="718" spans="1:30" x14ac:dyDescent="0.25">
      <c r="A718" t="s">
        <v>4293</v>
      </c>
      <c r="B718" t="s">
        <v>25</v>
      </c>
      <c r="C718" t="s">
        <v>26</v>
      </c>
      <c r="D718" t="s">
        <v>39</v>
      </c>
      <c r="E718" t="s">
        <v>4294</v>
      </c>
      <c r="F718" t="s">
        <v>4295</v>
      </c>
      <c r="G718">
        <v>1036617789</v>
      </c>
      <c r="H718" t="s">
        <v>4296</v>
      </c>
      <c r="I718" s="4" t="s">
        <v>4297</v>
      </c>
      <c r="J718" s="4" t="s">
        <v>4298</v>
      </c>
      <c r="K718" t="s">
        <v>4299</v>
      </c>
      <c r="L718" t="s">
        <v>44</v>
      </c>
      <c r="M718" t="s">
        <v>4300</v>
      </c>
      <c r="N718" t="s">
        <v>45</v>
      </c>
      <c r="O718" t="s">
        <v>40</v>
      </c>
      <c r="P718" t="s">
        <v>41</v>
      </c>
      <c r="Q718" t="s">
        <v>38</v>
      </c>
      <c r="R718">
        <v>8</v>
      </c>
      <c r="S718" t="s">
        <v>4301</v>
      </c>
      <c r="T718" t="s">
        <v>7129</v>
      </c>
      <c r="U718" t="s">
        <v>7130</v>
      </c>
      <c r="V718" t="s">
        <v>32</v>
      </c>
      <c r="W718" t="s">
        <v>33</v>
      </c>
      <c r="X718" t="s">
        <v>33</v>
      </c>
      <c r="Y718" t="s">
        <v>33</v>
      </c>
      <c r="Z718" s="5" t="s">
        <v>34</v>
      </c>
      <c r="AA718">
        <v>-75.608472000000006</v>
      </c>
      <c r="AB718">
        <v>6.1923529999999998</v>
      </c>
      <c r="AC718" t="s">
        <v>456</v>
      </c>
      <c r="AD718" t="s">
        <v>457</v>
      </c>
    </row>
    <row r="719" spans="1:30" x14ac:dyDescent="0.25">
      <c r="A719" t="s">
        <v>4302</v>
      </c>
      <c r="B719" t="s">
        <v>81</v>
      </c>
      <c r="C719" t="s">
        <v>26</v>
      </c>
      <c r="D719" t="s">
        <v>81</v>
      </c>
      <c r="E719" t="s">
        <v>4303</v>
      </c>
      <c r="F719" t="s">
        <v>4304</v>
      </c>
      <c r="G719">
        <v>8162675</v>
      </c>
      <c r="H719" t="s">
        <v>4305</v>
      </c>
      <c r="I719" s="4" t="s">
        <v>4306</v>
      </c>
      <c r="J719" s="4" t="s">
        <v>4307</v>
      </c>
      <c r="K719" t="s">
        <v>4308</v>
      </c>
      <c r="L719" t="s">
        <v>27</v>
      </c>
      <c r="M719" t="s">
        <v>4309</v>
      </c>
      <c r="N719" t="s">
        <v>28</v>
      </c>
      <c r="O719" t="s">
        <v>82</v>
      </c>
      <c r="P719" t="s">
        <v>83</v>
      </c>
      <c r="Q719" t="s">
        <v>31</v>
      </c>
      <c r="R719">
        <v>4</v>
      </c>
      <c r="S719" t="s">
        <v>4310</v>
      </c>
      <c r="T719" t="s">
        <v>7131</v>
      </c>
      <c r="U719" t="s">
        <v>7131</v>
      </c>
      <c r="V719" t="s">
        <v>50</v>
      </c>
      <c r="W719" t="s">
        <v>33</v>
      </c>
      <c r="X719" t="s">
        <v>33</v>
      </c>
      <c r="Y719" t="s">
        <v>33</v>
      </c>
      <c r="Z719" s="5" t="s">
        <v>34</v>
      </c>
      <c r="AA719">
        <v>-75.581367610000001</v>
      </c>
      <c r="AB719">
        <v>6.2011367999999996</v>
      </c>
      <c r="AC719" t="s">
        <v>456</v>
      </c>
      <c r="AD719" t="s">
        <v>457</v>
      </c>
    </row>
    <row r="720" spans="1:30" x14ac:dyDescent="0.25">
      <c r="A720" t="s">
        <v>4311</v>
      </c>
      <c r="B720" t="s">
        <v>25</v>
      </c>
      <c r="C720" t="s">
        <v>26</v>
      </c>
      <c r="D720" t="s">
        <v>25</v>
      </c>
      <c r="E720" t="s">
        <v>4312</v>
      </c>
      <c r="F720" t="s">
        <v>4313</v>
      </c>
      <c r="G720">
        <v>800093117</v>
      </c>
      <c r="H720" t="s">
        <v>572</v>
      </c>
      <c r="I720" s="4" t="s">
        <v>262</v>
      </c>
      <c r="J720" s="4" t="s">
        <v>4106</v>
      </c>
      <c r="K720" t="s">
        <v>4314</v>
      </c>
      <c r="L720" t="s">
        <v>49</v>
      </c>
      <c r="M720" t="s">
        <v>4315</v>
      </c>
      <c r="N720" t="s">
        <v>84</v>
      </c>
      <c r="O720" t="s">
        <v>29</v>
      </c>
      <c r="P720" t="s">
        <v>55</v>
      </c>
      <c r="Q720" t="s">
        <v>31</v>
      </c>
      <c r="R720">
        <v>7</v>
      </c>
      <c r="S720" t="s">
        <v>4316</v>
      </c>
      <c r="T720" t="s">
        <v>7132</v>
      </c>
      <c r="U720" t="s">
        <v>7133</v>
      </c>
      <c r="V720" t="s">
        <v>32</v>
      </c>
      <c r="W720" t="s">
        <v>33</v>
      </c>
      <c r="X720" t="s">
        <v>33</v>
      </c>
      <c r="Y720" t="s">
        <v>33</v>
      </c>
      <c r="Z720" s="5" t="s">
        <v>34</v>
      </c>
      <c r="AA720">
        <v>-75.589465000000004</v>
      </c>
      <c r="AB720">
        <v>6.1798529999999996</v>
      </c>
      <c r="AC720" t="s">
        <v>456</v>
      </c>
      <c r="AD720" t="s">
        <v>457</v>
      </c>
    </row>
    <row r="721" spans="1:30" x14ac:dyDescent="0.25">
      <c r="A721" t="s">
        <v>4317</v>
      </c>
      <c r="B721" t="s">
        <v>25</v>
      </c>
      <c r="C721" t="s">
        <v>26</v>
      </c>
      <c r="D721" t="s">
        <v>39</v>
      </c>
      <c r="E721" t="s">
        <v>4318</v>
      </c>
      <c r="F721" t="s">
        <v>4319</v>
      </c>
      <c r="G721">
        <v>1033646206</v>
      </c>
      <c r="H721" t="s">
        <v>4320</v>
      </c>
      <c r="I721" s="4" t="s">
        <v>35</v>
      </c>
      <c r="J721" s="4" t="s">
        <v>4321</v>
      </c>
      <c r="K721" t="s">
        <v>4322</v>
      </c>
      <c r="L721" t="s">
        <v>44</v>
      </c>
      <c r="M721" t="s">
        <v>4323</v>
      </c>
      <c r="N721" t="s">
        <v>45</v>
      </c>
      <c r="O721" t="s">
        <v>40</v>
      </c>
      <c r="P721" t="s">
        <v>41</v>
      </c>
      <c r="Q721" t="s">
        <v>38</v>
      </c>
      <c r="R721">
        <v>8</v>
      </c>
      <c r="S721" t="s">
        <v>4324</v>
      </c>
      <c r="T721" t="s">
        <v>7134</v>
      </c>
      <c r="U721" t="s">
        <v>4823</v>
      </c>
      <c r="V721" t="s">
        <v>32</v>
      </c>
      <c r="W721" t="s">
        <v>33</v>
      </c>
      <c r="X721" t="s">
        <v>33</v>
      </c>
      <c r="Y721" t="s">
        <v>33</v>
      </c>
      <c r="Z721" s="5" t="s">
        <v>34</v>
      </c>
      <c r="AA721">
        <v>-75.606826999999996</v>
      </c>
      <c r="AB721">
        <v>6.1959679999999997</v>
      </c>
      <c r="AC721" t="s">
        <v>456</v>
      </c>
      <c r="AD721" t="s">
        <v>457</v>
      </c>
    </row>
    <row r="722" spans="1:30" x14ac:dyDescent="0.25">
      <c r="A722" t="s">
        <v>4325</v>
      </c>
      <c r="B722" t="s">
        <v>25</v>
      </c>
      <c r="C722" t="s">
        <v>26</v>
      </c>
      <c r="D722" t="s">
        <v>39</v>
      </c>
      <c r="E722" t="s">
        <v>4326</v>
      </c>
      <c r="F722" t="s">
        <v>4327</v>
      </c>
      <c r="G722">
        <v>42765675</v>
      </c>
      <c r="H722" t="s">
        <v>4328</v>
      </c>
      <c r="I722" s="4" t="s">
        <v>35</v>
      </c>
      <c r="J722" s="4" t="s">
        <v>4329</v>
      </c>
      <c r="K722" t="s">
        <v>4330</v>
      </c>
      <c r="L722" t="s">
        <v>44</v>
      </c>
      <c r="M722" t="s">
        <v>4331</v>
      </c>
      <c r="N722" t="s">
        <v>45</v>
      </c>
      <c r="O722" t="s">
        <v>40</v>
      </c>
      <c r="P722" t="s">
        <v>41</v>
      </c>
      <c r="Q722" t="s">
        <v>31</v>
      </c>
      <c r="R722">
        <v>5</v>
      </c>
      <c r="S722" t="s">
        <v>4332</v>
      </c>
      <c r="T722" t="s">
        <v>7135</v>
      </c>
      <c r="U722" t="s">
        <v>7136</v>
      </c>
      <c r="V722" t="s">
        <v>32</v>
      </c>
      <c r="W722" t="s">
        <v>33</v>
      </c>
      <c r="X722" t="s">
        <v>33</v>
      </c>
      <c r="Y722" t="s">
        <v>33</v>
      </c>
      <c r="Z722" s="5" t="s">
        <v>34</v>
      </c>
      <c r="AA722">
        <v>-75.606214100000003</v>
      </c>
      <c r="AB722">
        <v>6.1778493900000004</v>
      </c>
      <c r="AC722" t="s">
        <v>456</v>
      </c>
      <c r="AD722" t="s">
        <v>457</v>
      </c>
    </row>
    <row r="723" spans="1:30" x14ac:dyDescent="0.25">
      <c r="A723" t="s">
        <v>4333</v>
      </c>
      <c r="B723" t="s">
        <v>25</v>
      </c>
      <c r="C723" t="s">
        <v>26</v>
      </c>
      <c r="D723" t="s">
        <v>25</v>
      </c>
      <c r="E723" t="s">
        <v>4334</v>
      </c>
      <c r="F723" t="s">
        <v>4335</v>
      </c>
      <c r="G723">
        <v>800093117</v>
      </c>
      <c r="H723" t="s">
        <v>572</v>
      </c>
      <c r="I723" s="4" t="s">
        <v>262</v>
      </c>
      <c r="J723" s="4" t="s">
        <v>4106</v>
      </c>
      <c r="K723" t="s">
        <v>4336</v>
      </c>
      <c r="L723" t="s">
        <v>49</v>
      </c>
      <c r="M723" t="s">
        <v>4337</v>
      </c>
      <c r="N723" t="s">
        <v>84</v>
      </c>
      <c r="O723" t="s">
        <v>29</v>
      </c>
      <c r="P723" t="s">
        <v>55</v>
      </c>
      <c r="Q723" t="s">
        <v>31</v>
      </c>
      <c r="R723">
        <v>7</v>
      </c>
      <c r="S723" t="s">
        <v>4338</v>
      </c>
      <c r="T723" t="s">
        <v>7137</v>
      </c>
      <c r="U723" t="s">
        <v>7138</v>
      </c>
      <c r="V723" t="s">
        <v>32</v>
      </c>
      <c r="W723" t="s">
        <v>33</v>
      </c>
      <c r="X723" t="s">
        <v>33</v>
      </c>
      <c r="Y723" t="s">
        <v>33</v>
      </c>
      <c r="Z723" s="5" t="s">
        <v>34</v>
      </c>
      <c r="AA723">
        <v>-75.589465000000004</v>
      </c>
      <c r="AB723">
        <v>6.1798529999999996</v>
      </c>
      <c r="AC723" t="s">
        <v>456</v>
      </c>
      <c r="AD723" t="s">
        <v>457</v>
      </c>
    </row>
    <row r="724" spans="1:30" x14ac:dyDescent="0.25">
      <c r="A724" t="s">
        <v>4339</v>
      </c>
      <c r="B724" t="s">
        <v>25</v>
      </c>
      <c r="C724" t="s">
        <v>26</v>
      </c>
      <c r="D724" t="s">
        <v>25</v>
      </c>
      <c r="E724" t="s">
        <v>4340</v>
      </c>
      <c r="F724" t="s">
        <v>4341</v>
      </c>
      <c r="G724">
        <v>800093117</v>
      </c>
      <c r="H724" t="s">
        <v>572</v>
      </c>
      <c r="I724" s="4" t="s">
        <v>262</v>
      </c>
      <c r="J724" s="4" t="s">
        <v>4106</v>
      </c>
      <c r="K724" t="s">
        <v>4342</v>
      </c>
      <c r="L724" t="s">
        <v>49</v>
      </c>
      <c r="M724" t="s">
        <v>4343</v>
      </c>
      <c r="N724" t="s">
        <v>84</v>
      </c>
      <c r="O724" t="s">
        <v>29</v>
      </c>
      <c r="P724" t="s">
        <v>55</v>
      </c>
      <c r="Q724" t="s">
        <v>31</v>
      </c>
      <c r="R724">
        <v>7</v>
      </c>
      <c r="S724" t="s">
        <v>4344</v>
      </c>
      <c r="T724" t="s">
        <v>7137</v>
      </c>
      <c r="U724" t="s">
        <v>7138</v>
      </c>
      <c r="V724" t="s">
        <v>32</v>
      </c>
      <c r="W724" t="s">
        <v>33</v>
      </c>
      <c r="X724" t="s">
        <v>33</v>
      </c>
      <c r="Y724" t="s">
        <v>33</v>
      </c>
      <c r="Z724" s="5" t="s">
        <v>34</v>
      </c>
      <c r="AA724">
        <v>-75.589465000000004</v>
      </c>
      <c r="AB724">
        <v>6.1798529999999996</v>
      </c>
      <c r="AC724" t="s">
        <v>456</v>
      </c>
      <c r="AD724" t="s">
        <v>457</v>
      </c>
    </row>
    <row r="725" spans="1:30" x14ac:dyDescent="0.25">
      <c r="A725" t="s">
        <v>4345</v>
      </c>
      <c r="B725" t="s">
        <v>25</v>
      </c>
      <c r="C725" t="s">
        <v>26</v>
      </c>
      <c r="D725" t="s">
        <v>25</v>
      </c>
      <c r="E725" t="s">
        <v>4346</v>
      </c>
      <c r="F725" t="s">
        <v>4347</v>
      </c>
      <c r="G725">
        <v>800093117</v>
      </c>
      <c r="H725" t="s">
        <v>572</v>
      </c>
      <c r="I725" s="4" t="s">
        <v>262</v>
      </c>
      <c r="J725" s="4" t="s">
        <v>4106</v>
      </c>
      <c r="K725" t="s">
        <v>4348</v>
      </c>
      <c r="L725" t="s">
        <v>49</v>
      </c>
      <c r="M725" t="s">
        <v>4349</v>
      </c>
      <c r="N725" t="s">
        <v>84</v>
      </c>
      <c r="O725" t="s">
        <v>29</v>
      </c>
      <c r="P725" t="s">
        <v>55</v>
      </c>
      <c r="Q725" t="s">
        <v>31</v>
      </c>
      <c r="R725">
        <v>7</v>
      </c>
      <c r="S725" t="s">
        <v>4350</v>
      </c>
      <c r="T725" t="s">
        <v>7137</v>
      </c>
      <c r="U725" t="s">
        <v>7138</v>
      </c>
      <c r="V725" t="s">
        <v>32</v>
      </c>
      <c r="W725" t="s">
        <v>33</v>
      </c>
      <c r="X725" t="s">
        <v>33</v>
      </c>
      <c r="Y725" t="s">
        <v>33</v>
      </c>
      <c r="Z725" s="5" t="s">
        <v>34</v>
      </c>
      <c r="AA725">
        <v>-75.589465000000004</v>
      </c>
      <c r="AB725">
        <v>6.1798529999999996</v>
      </c>
      <c r="AC725" t="s">
        <v>456</v>
      </c>
      <c r="AD725" t="s">
        <v>457</v>
      </c>
    </row>
    <row r="726" spans="1:30" x14ac:dyDescent="0.25">
      <c r="A726" t="s">
        <v>4351</v>
      </c>
      <c r="B726" t="s">
        <v>25</v>
      </c>
      <c r="C726" t="s">
        <v>26</v>
      </c>
      <c r="D726" t="s">
        <v>25</v>
      </c>
      <c r="E726" t="s">
        <v>4352</v>
      </c>
      <c r="F726" t="s">
        <v>4353</v>
      </c>
      <c r="G726">
        <v>800093117</v>
      </c>
      <c r="H726" t="s">
        <v>572</v>
      </c>
      <c r="I726" s="4" t="s">
        <v>262</v>
      </c>
      <c r="J726" s="4" t="s">
        <v>4106</v>
      </c>
      <c r="K726" t="s">
        <v>4354</v>
      </c>
      <c r="L726" t="s">
        <v>49</v>
      </c>
      <c r="M726" t="s">
        <v>4355</v>
      </c>
      <c r="N726" t="s">
        <v>84</v>
      </c>
      <c r="O726" t="s">
        <v>29</v>
      </c>
      <c r="P726" t="s">
        <v>55</v>
      </c>
      <c r="Q726" t="s">
        <v>31</v>
      </c>
      <c r="R726">
        <v>7</v>
      </c>
      <c r="S726" t="s">
        <v>4356</v>
      </c>
      <c r="T726" t="s">
        <v>7139</v>
      </c>
      <c r="U726" t="s">
        <v>7140</v>
      </c>
      <c r="V726" t="s">
        <v>32</v>
      </c>
      <c r="W726" t="s">
        <v>33</v>
      </c>
      <c r="X726" t="s">
        <v>33</v>
      </c>
      <c r="Y726" t="s">
        <v>33</v>
      </c>
      <c r="Z726" s="5" t="s">
        <v>34</v>
      </c>
      <c r="AA726">
        <v>-75.589465000000004</v>
      </c>
      <c r="AB726">
        <v>6.1798529999999996</v>
      </c>
      <c r="AC726" t="s">
        <v>456</v>
      </c>
      <c r="AD726" t="s">
        <v>457</v>
      </c>
    </row>
    <row r="727" spans="1:30" x14ac:dyDescent="0.25">
      <c r="A727" t="s">
        <v>4357</v>
      </c>
      <c r="B727" t="s">
        <v>25</v>
      </c>
      <c r="C727" t="s">
        <v>26</v>
      </c>
      <c r="D727" t="s">
        <v>25</v>
      </c>
      <c r="E727" t="s">
        <v>4358</v>
      </c>
      <c r="F727" t="s">
        <v>4359</v>
      </c>
      <c r="G727">
        <v>800093117</v>
      </c>
      <c r="H727" t="s">
        <v>572</v>
      </c>
      <c r="I727" s="4" t="s">
        <v>262</v>
      </c>
      <c r="J727" s="4" t="s">
        <v>4106</v>
      </c>
      <c r="K727" t="s">
        <v>4360</v>
      </c>
      <c r="L727" t="s">
        <v>49</v>
      </c>
      <c r="M727" t="s">
        <v>4361</v>
      </c>
      <c r="N727" t="s">
        <v>84</v>
      </c>
      <c r="O727" t="s">
        <v>29</v>
      </c>
      <c r="P727" t="s">
        <v>55</v>
      </c>
      <c r="Q727" t="s">
        <v>31</v>
      </c>
      <c r="R727">
        <v>7</v>
      </c>
      <c r="S727" t="s">
        <v>4362</v>
      </c>
      <c r="T727" t="s">
        <v>7141</v>
      </c>
      <c r="U727" t="s">
        <v>7142</v>
      </c>
      <c r="V727" t="s">
        <v>32</v>
      </c>
      <c r="W727" t="s">
        <v>33</v>
      </c>
      <c r="X727" t="s">
        <v>33</v>
      </c>
      <c r="Y727" t="s">
        <v>33</v>
      </c>
      <c r="Z727" s="5" t="s">
        <v>34</v>
      </c>
      <c r="AA727">
        <v>-75.589465000000004</v>
      </c>
      <c r="AB727">
        <v>6.1798529999999996</v>
      </c>
      <c r="AC727" t="s">
        <v>456</v>
      </c>
      <c r="AD727" t="s">
        <v>457</v>
      </c>
    </row>
    <row r="728" spans="1:30" x14ac:dyDescent="0.25">
      <c r="A728" t="s">
        <v>4363</v>
      </c>
      <c r="B728" t="s">
        <v>25</v>
      </c>
      <c r="C728" t="s">
        <v>26</v>
      </c>
      <c r="D728" t="s">
        <v>25</v>
      </c>
      <c r="E728" t="s">
        <v>4364</v>
      </c>
      <c r="F728" t="s">
        <v>4365</v>
      </c>
      <c r="G728">
        <v>800093117</v>
      </c>
      <c r="H728" t="s">
        <v>572</v>
      </c>
      <c r="I728" s="4" t="s">
        <v>262</v>
      </c>
      <c r="J728" s="4" t="s">
        <v>4106</v>
      </c>
      <c r="K728" t="s">
        <v>4366</v>
      </c>
      <c r="L728" t="s">
        <v>49</v>
      </c>
      <c r="M728" t="s">
        <v>4367</v>
      </c>
      <c r="N728" t="s">
        <v>84</v>
      </c>
      <c r="O728" t="s">
        <v>29</v>
      </c>
      <c r="P728" t="s">
        <v>55</v>
      </c>
      <c r="Q728" t="s">
        <v>31</v>
      </c>
      <c r="R728">
        <v>7</v>
      </c>
      <c r="S728" t="s">
        <v>4368</v>
      </c>
      <c r="T728" t="s">
        <v>7143</v>
      </c>
      <c r="U728" t="s">
        <v>7144</v>
      </c>
      <c r="V728" t="s">
        <v>32</v>
      </c>
      <c r="W728" t="s">
        <v>33</v>
      </c>
      <c r="X728" t="s">
        <v>33</v>
      </c>
      <c r="Y728" t="s">
        <v>33</v>
      </c>
      <c r="Z728" s="5" t="s">
        <v>34</v>
      </c>
      <c r="AA728">
        <v>-75.589465000000004</v>
      </c>
      <c r="AB728">
        <v>6.1798529999999996</v>
      </c>
      <c r="AC728" t="s">
        <v>456</v>
      </c>
      <c r="AD728" t="s">
        <v>457</v>
      </c>
    </row>
    <row r="729" spans="1:30" x14ac:dyDescent="0.25">
      <c r="A729" t="s">
        <v>4369</v>
      </c>
      <c r="B729" t="s">
        <v>25</v>
      </c>
      <c r="C729" t="s">
        <v>26</v>
      </c>
      <c r="D729" t="s">
        <v>25</v>
      </c>
      <c r="E729" t="s">
        <v>4370</v>
      </c>
      <c r="F729" t="s">
        <v>4371</v>
      </c>
      <c r="G729">
        <v>800093117</v>
      </c>
      <c r="H729" t="s">
        <v>572</v>
      </c>
      <c r="I729" s="4" t="s">
        <v>262</v>
      </c>
      <c r="J729" s="4" t="s">
        <v>4106</v>
      </c>
      <c r="K729" t="s">
        <v>4372</v>
      </c>
      <c r="L729" t="s">
        <v>49</v>
      </c>
      <c r="M729" t="s">
        <v>4373</v>
      </c>
      <c r="N729" t="s">
        <v>84</v>
      </c>
      <c r="O729" t="s">
        <v>29</v>
      </c>
      <c r="P729" t="s">
        <v>55</v>
      </c>
      <c r="Q729" t="s">
        <v>31</v>
      </c>
      <c r="R729">
        <v>7</v>
      </c>
      <c r="S729" t="s">
        <v>4374</v>
      </c>
      <c r="T729" t="s">
        <v>6822</v>
      </c>
      <c r="U729" t="s">
        <v>7145</v>
      </c>
      <c r="V729" t="s">
        <v>32</v>
      </c>
      <c r="W729" t="s">
        <v>33</v>
      </c>
      <c r="X729" t="s">
        <v>33</v>
      </c>
      <c r="Y729" t="s">
        <v>33</v>
      </c>
      <c r="Z729" s="5" t="s">
        <v>34</v>
      </c>
      <c r="AA729">
        <v>-75.589465000000004</v>
      </c>
      <c r="AB729">
        <v>6.1798529999999996</v>
      </c>
      <c r="AC729" t="s">
        <v>456</v>
      </c>
      <c r="AD729" t="s">
        <v>457</v>
      </c>
    </row>
    <row r="730" spans="1:30" x14ac:dyDescent="0.25">
      <c r="A730" t="s">
        <v>4375</v>
      </c>
      <c r="B730" t="s">
        <v>25</v>
      </c>
      <c r="C730" t="s">
        <v>26</v>
      </c>
      <c r="D730" t="s">
        <v>25</v>
      </c>
      <c r="E730" t="s">
        <v>4376</v>
      </c>
      <c r="F730" t="s">
        <v>4377</v>
      </c>
      <c r="G730">
        <v>800093117</v>
      </c>
      <c r="H730" t="s">
        <v>572</v>
      </c>
      <c r="I730" s="4" t="s">
        <v>262</v>
      </c>
      <c r="J730" s="4" t="s">
        <v>4106</v>
      </c>
      <c r="K730" t="s">
        <v>4378</v>
      </c>
      <c r="L730" t="s">
        <v>49</v>
      </c>
      <c r="M730" t="s">
        <v>4379</v>
      </c>
      <c r="N730" t="s">
        <v>84</v>
      </c>
      <c r="O730" t="s">
        <v>29</v>
      </c>
      <c r="P730" t="s">
        <v>55</v>
      </c>
      <c r="Q730" t="s">
        <v>31</v>
      </c>
      <c r="R730">
        <v>7</v>
      </c>
      <c r="S730" t="s">
        <v>4380</v>
      </c>
      <c r="T730" t="s">
        <v>6822</v>
      </c>
      <c r="U730" t="s">
        <v>7145</v>
      </c>
      <c r="V730" t="s">
        <v>32</v>
      </c>
      <c r="W730" t="s">
        <v>33</v>
      </c>
      <c r="X730" t="s">
        <v>33</v>
      </c>
      <c r="Y730" t="s">
        <v>33</v>
      </c>
      <c r="Z730" s="5" t="s">
        <v>34</v>
      </c>
      <c r="AA730">
        <v>-75.589465000000004</v>
      </c>
      <c r="AB730">
        <v>6.1798529999999996</v>
      </c>
      <c r="AC730" t="s">
        <v>456</v>
      </c>
      <c r="AD730" t="s">
        <v>457</v>
      </c>
    </row>
    <row r="731" spans="1:30" x14ac:dyDescent="0.25">
      <c r="A731" t="s">
        <v>4381</v>
      </c>
      <c r="B731" t="s">
        <v>25</v>
      </c>
      <c r="C731" t="s">
        <v>26</v>
      </c>
      <c r="D731" t="s">
        <v>25</v>
      </c>
      <c r="E731" t="s">
        <v>4382</v>
      </c>
      <c r="F731" t="s">
        <v>4383</v>
      </c>
      <c r="G731">
        <v>800093117</v>
      </c>
      <c r="H731" t="s">
        <v>572</v>
      </c>
      <c r="I731" s="4" t="s">
        <v>262</v>
      </c>
      <c r="J731" s="4" t="s">
        <v>4106</v>
      </c>
      <c r="K731" t="s">
        <v>4384</v>
      </c>
      <c r="L731" t="s">
        <v>49</v>
      </c>
      <c r="M731" t="s">
        <v>4385</v>
      </c>
      <c r="N731" t="s">
        <v>84</v>
      </c>
      <c r="O731" t="s">
        <v>29</v>
      </c>
      <c r="P731" t="s">
        <v>55</v>
      </c>
      <c r="Q731" t="s">
        <v>31</v>
      </c>
      <c r="R731">
        <v>7</v>
      </c>
      <c r="S731" t="s">
        <v>4386</v>
      </c>
      <c r="T731" t="s">
        <v>7146</v>
      </c>
      <c r="U731" t="s">
        <v>7147</v>
      </c>
      <c r="V731" t="s">
        <v>32</v>
      </c>
      <c r="W731" t="s">
        <v>33</v>
      </c>
      <c r="X731" t="s">
        <v>33</v>
      </c>
      <c r="Y731" t="s">
        <v>33</v>
      </c>
      <c r="Z731" s="5" t="s">
        <v>34</v>
      </c>
      <c r="AA731">
        <v>-75.589465000000004</v>
      </c>
      <c r="AB731">
        <v>6.1798529999999996</v>
      </c>
      <c r="AC731" t="s">
        <v>456</v>
      </c>
      <c r="AD731" t="s">
        <v>457</v>
      </c>
    </row>
    <row r="732" spans="1:30" x14ac:dyDescent="0.25">
      <c r="A732" t="s">
        <v>4387</v>
      </c>
      <c r="B732" t="s">
        <v>25</v>
      </c>
      <c r="C732" t="s">
        <v>26</v>
      </c>
      <c r="D732" t="s">
        <v>25</v>
      </c>
      <c r="E732" t="s">
        <v>4388</v>
      </c>
      <c r="F732" t="s">
        <v>4389</v>
      </c>
      <c r="G732">
        <v>800093117</v>
      </c>
      <c r="H732" t="s">
        <v>572</v>
      </c>
      <c r="I732" s="4" t="s">
        <v>262</v>
      </c>
      <c r="J732" s="4" t="s">
        <v>4106</v>
      </c>
      <c r="K732" t="s">
        <v>4390</v>
      </c>
      <c r="L732" t="s">
        <v>49</v>
      </c>
      <c r="M732" t="s">
        <v>4391</v>
      </c>
      <c r="N732" t="s">
        <v>84</v>
      </c>
      <c r="O732" t="s">
        <v>29</v>
      </c>
      <c r="P732" t="s">
        <v>55</v>
      </c>
      <c r="Q732" t="s">
        <v>31</v>
      </c>
      <c r="R732">
        <v>7</v>
      </c>
      <c r="S732" t="s">
        <v>4392</v>
      </c>
      <c r="T732" t="s">
        <v>4894</v>
      </c>
      <c r="U732" t="s">
        <v>7148</v>
      </c>
      <c r="V732" t="s">
        <v>32</v>
      </c>
      <c r="W732" t="s">
        <v>33</v>
      </c>
      <c r="X732" t="s">
        <v>33</v>
      </c>
      <c r="Y732" t="s">
        <v>33</v>
      </c>
      <c r="Z732" s="5" t="s">
        <v>34</v>
      </c>
      <c r="AA732">
        <v>-75.589465000000004</v>
      </c>
      <c r="AB732">
        <v>6.1798529999999996</v>
      </c>
      <c r="AC732" t="s">
        <v>456</v>
      </c>
      <c r="AD732" t="s">
        <v>457</v>
      </c>
    </row>
    <row r="733" spans="1:30" x14ac:dyDescent="0.25">
      <c r="A733" t="s">
        <v>4393</v>
      </c>
      <c r="B733" t="s">
        <v>25</v>
      </c>
      <c r="C733" t="s">
        <v>26</v>
      </c>
      <c r="D733" t="s">
        <v>25</v>
      </c>
      <c r="E733" t="s">
        <v>4394</v>
      </c>
      <c r="F733" t="s">
        <v>4395</v>
      </c>
      <c r="G733">
        <v>800093117</v>
      </c>
      <c r="H733" t="s">
        <v>572</v>
      </c>
      <c r="I733" s="4" t="s">
        <v>262</v>
      </c>
      <c r="J733" s="4" t="s">
        <v>4106</v>
      </c>
      <c r="K733" t="s">
        <v>4396</v>
      </c>
      <c r="L733" t="s">
        <v>49</v>
      </c>
      <c r="M733" t="s">
        <v>4397</v>
      </c>
      <c r="N733" t="s">
        <v>84</v>
      </c>
      <c r="O733" t="s">
        <v>29</v>
      </c>
      <c r="P733" t="s">
        <v>55</v>
      </c>
      <c r="Q733" t="s">
        <v>31</v>
      </c>
      <c r="R733">
        <v>7</v>
      </c>
      <c r="S733" t="s">
        <v>4398</v>
      </c>
      <c r="T733" t="s">
        <v>4894</v>
      </c>
      <c r="U733" t="s">
        <v>7148</v>
      </c>
      <c r="V733" t="s">
        <v>32</v>
      </c>
      <c r="W733" t="s">
        <v>33</v>
      </c>
      <c r="X733" t="s">
        <v>33</v>
      </c>
      <c r="Y733" t="s">
        <v>33</v>
      </c>
      <c r="Z733" s="5" t="s">
        <v>34</v>
      </c>
      <c r="AA733">
        <v>-75.589465000000004</v>
      </c>
      <c r="AB733">
        <v>6.1798529999999996</v>
      </c>
      <c r="AC733" t="s">
        <v>456</v>
      </c>
      <c r="AD733" t="s">
        <v>457</v>
      </c>
    </row>
    <row r="734" spans="1:30" x14ac:dyDescent="0.25">
      <c r="A734" t="s">
        <v>4399</v>
      </c>
      <c r="B734" t="s">
        <v>25</v>
      </c>
      <c r="C734" t="s">
        <v>26</v>
      </c>
      <c r="D734" t="s">
        <v>25</v>
      </c>
      <c r="E734" t="s">
        <v>4400</v>
      </c>
      <c r="F734" t="s">
        <v>4401</v>
      </c>
      <c r="G734">
        <v>800093117</v>
      </c>
      <c r="H734" t="s">
        <v>572</v>
      </c>
      <c r="I734" s="4" t="s">
        <v>262</v>
      </c>
      <c r="J734" s="4" t="s">
        <v>4106</v>
      </c>
      <c r="K734" t="s">
        <v>4402</v>
      </c>
      <c r="L734" t="s">
        <v>49</v>
      </c>
      <c r="M734" t="s">
        <v>4403</v>
      </c>
      <c r="N734" t="s">
        <v>84</v>
      </c>
      <c r="O734" t="s">
        <v>29</v>
      </c>
      <c r="P734" t="s">
        <v>55</v>
      </c>
      <c r="Q734" t="s">
        <v>31</v>
      </c>
      <c r="R734">
        <v>7</v>
      </c>
      <c r="S734" t="s">
        <v>4404</v>
      </c>
      <c r="T734" t="s">
        <v>7149</v>
      </c>
      <c r="U734" t="s">
        <v>7150</v>
      </c>
      <c r="V734" t="s">
        <v>32</v>
      </c>
      <c r="W734" t="s">
        <v>33</v>
      </c>
      <c r="X734" t="s">
        <v>33</v>
      </c>
      <c r="Y734" t="s">
        <v>33</v>
      </c>
      <c r="Z734" s="5" t="s">
        <v>34</v>
      </c>
      <c r="AA734">
        <v>-75.589465000000004</v>
      </c>
      <c r="AB734">
        <v>6.1798529999999996</v>
      </c>
      <c r="AC734" t="s">
        <v>456</v>
      </c>
      <c r="AD734" t="s">
        <v>457</v>
      </c>
    </row>
    <row r="735" spans="1:30" x14ac:dyDescent="0.25">
      <c r="A735" t="s">
        <v>4405</v>
      </c>
      <c r="B735" t="s">
        <v>25</v>
      </c>
      <c r="C735" t="s">
        <v>26</v>
      </c>
      <c r="D735" t="s">
        <v>39</v>
      </c>
      <c r="E735" t="s">
        <v>4406</v>
      </c>
      <c r="F735" t="s">
        <v>4407</v>
      </c>
      <c r="G735">
        <v>1152693844</v>
      </c>
      <c r="H735" t="s">
        <v>4408</v>
      </c>
      <c r="I735" s="4" t="s">
        <v>35</v>
      </c>
      <c r="J735" s="4" t="s">
        <v>4409</v>
      </c>
      <c r="K735" t="s">
        <v>4410</v>
      </c>
      <c r="L735" t="s">
        <v>27</v>
      </c>
      <c r="M735" t="s">
        <v>4411</v>
      </c>
      <c r="N735" t="s">
        <v>28</v>
      </c>
      <c r="O735" t="s">
        <v>40</v>
      </c>
      <c r="P735" t="s">
        <v>41</v>
      </c>
      <c r="Q735" t="s">
        <v>38</v>
      </c>
      <c r="R735">
        <v>8</v>
      </c>
      <c r="S735" t="s">
        <v>4412</v>
      </c>
      <c r="T735" t="s">
        <v>7151</v>
      </c>
      <c r="U735" t="s">
        <v>6613</v>
      </c>
      <c r="V735" t="s">
        <v>32</v>
      </c>
      <c r="W735" t="s">
        <v>33</v>
      </c>
      <c r="X735" t="s">
        <v>33</v>
      </c>
      <c r="Y735" t="s">
        <v>33</v>
      </c>
      <c r="Z735" s="5" t="s">
        <v>34</v>
      </c>
      <c r="AA735">
        <v>-75.61283066</v>
      </c>
      <c r="AB735">
        <v>6.2054087300000003</v>
      </c>
      <c r="AC735" t="s">
        <v>456</v>
      </c>
      <c r="AD735" t="s">
        <v>457</v>
      </c>
    </row>
    <row r="736" spans="1:30" x14ac:dyDescent="0.25">
      <c r="A736" t="s">
        <v>4413</v>
      </c>
      <c r="B736" t="s">
        <v>25</v>
      </c>
      <c r="C736" t="s">
        <v>26</v>
      </c>
      <c r="D736" t="s">
        <v>39</v>
      </c>
      <c r="E736" t="s">
        <v>4414</v>
      </c>
      <c r="F736" t="s">
        <v>4415</v>
      </c>
      <c r="G736">
        <v>1152199162</v>
      </c>
      <c r="H736" t="s">
        <v>4416</v>
      </c>
      <c r="I736" s="4" t="s">
        <v>35</v>
      </c>
      <c r="J736" s="4" t="s">
        <v>4417</v>
      </c>
      <c r="K736" t="s">
        <v>4418</v>
      </c>
      <c r="L736" t="s">
        <v>27</v>
      </c>
      <c r="M736" t="s">
        <v>4419</v>
      </c>
      <c r="N736" t="s">
        <v>28</v>
      </c>
      <c r="O736" t="s">
        <v>40</v>
      </c>
      <c r="P736" t="s">
        <v>41</v>
      </c>
      <c r="Q736" t="s">
        <v>31</v>
      </c>
      <c r="R736">
        <v>5</v>
      </c>
      <c r="S736" t="s">
        <v>4420</v>
      </c>
      <c r="T736" t="s">
        <v>7152</v>
      </c>
      <c r="U736" t="s">
        <v>7153</v>
      </c>
      <c r="V736" t="s">
        <v>32</v>
      </c>
      <c r="W736" t="s">
        <v>33</v>
      </c>
      <c r="X736" t="s">
        <v>33</v>
      </c>
      <c r="Y736" t="s">
        <v>33</v>
      </c>
      <c r="Z736" s="5" t="s">
        <v>34</v>
      </c>
      <c r="AA736">
        <v>-75.543082420000005</v>
      </c>
      <c r="AB736">
        <v>6.2379671400000003</v>
      </c>
      <c r="AC736" t="s">
        <v>456</v>
      </c>
      <c r="AD736" t="s">
        <v>457</v>
      </c>
    </row>
    <row r="737" spans="1:30" x14ac:dyDescent="0.25">
      <c r="A737" t="s">
        <v>4421</v>
      </c>
      <c r="B737" t="s">
        <v>25</v>
      </c>
      <c r="C737" t="s">
        <v>26</v>
      </c>
      <c r="D737" t="s">
        <v>25</v>
      </c>
      <c r="E737" t="s">
        <v>4422</v>
      </c>
      <c r="F737" t="s">
        <v>4423</v>
      </c>
      <c r="G737">
        <v>22188876</v>
      </c>
      <c r="H737" t="s">
        <v>4424</v>
      </c>
      <c r="I737" s="4" t="s">
        <v>4425</v>
      </c>
      <c r="J737" s="4" t="s">
        <v>4426</v>
      </c>
      <c r="K737" t="s">
        <v>4427</v>
      </c>
      <c r="L737" t="s">
        <v>44</v>
      </c>
      <c r="M737" t="s">
        <v>4428</v>
      </c>
      <c r="N737" t="s">
        <v>45</v>
      </c>
      <c r="O737" t="s">
        <v>29</v>
      </c>
      <c r="P737" t="s">
        <v>37</v>
      </c>
      <c r="Q737" t="s">
        <v>31</v>
      </c>
      <c r="R737">
        <v>7</v>
      </c>
      <c r="S737" t="s">
        <v>4429</v>
      </c>
      <c r="T737" t="s">
        <v>7154</v>
      </c>
      <c r="U737" t="s">
        <v>7155</v>
      </c>
      <c r="V737" t="s">
        <v>32</v>
      </c>
      <c r="W737" t="s">
        <v>33</v>
      </c>
      <c r="X737" t="s">
        <v>33</v>
      </c>
      <c r="Y737" t="s">
        <v>33</v>
      </c>
      <c r="Z737" s="5" t="s">
        <v>34</v>
      </c>
      <c r="AA737">
        <v>-75.626379159999999</v>
      </c>
      <c r="AB737">
        <v>6.1618559599999996</v>
      </c>
      <c r="AC737" t="s">
        <v>456</v>
      </c>
      <c r="AD737" t="s">
        <v>457</v>
      </c>
    </row>
    <row r="738" spans="1:30" x14ac:dyDescent="0.25">
      <c r="A738" t="s">
        <v>4430</v>
      </c>
      <c r="B738" t="s">
        <v>25</v>
      </c>
      <c r="C738" t="s">
        <v>26</v>
      </c>
      <c r="D738" t="s">
        <v>39</v>
      </c>
      <c r="E738" t="s">
        <v>4431</v>
      </c>
      <c r="F738" t="s">
        <v>4432</v>
      </c>
      <c r="G738">
        <v>1128441970</v>
      </c>
      <c r="H738" t="s">
        <v>4433</v>
      </c>
      <c r="I738" s="4" t="s">
        <v>4434</v>
      </c>
      <c r="J738" s="4" t="s">
        <v>4435</v>
      </c>
      <c r="K738" t="s">
        <v>4436</v>
      </c>
      <c r="L738" t="s">
        <v>27</v>
      </c>
      <c r="M738" t="s">
        <v>4437</v>
      </c>
      <c r="N738" t="s">
        <v>28</v>
      </c>
      <c r="O738" t="s">
        <v>40</v>
      </c>
      <c r="P738" t="s">
        <v>41</v>
      </c>
      <c r="Q738" t="s">
        <v>38</v>
      </c>
      <c r="R738">
        <v>8</v>
      </c>
      <c r="S738" t="s">
        <v>4438</v>
      </c>
      <c r="T738" t="s">
        <v>7154</v>
      </c>
      <c r="U738" t="s">
        <v>4951</v>
      </c>
      <c r="V738" t="s">
        <v>32</v>
      </c>
      <c r="W738" t="s">
        <v>33</v>
      </c>
      <c r="X738" t="s">
        <v>33</v>
      </c>
      <c r="Y738" t="s">
        <v>33</v>
      </c>
      <c r="Z738" s="5" t="s">
        <v>34</v>
      </c>
      <c r="AA738">
        <v>-75.705626460000005</v>
      </c>
      <c r="AB738">
        <v>6.3598196600000003</v>
      </c>
      <c r="AC738" t="s">
        <v>456</v>
      </c>
      <c r="AD738" t="s">
        <v>457</v>
      </c>
    </row>
    <row r="739" spans="1:30" x14ac:dyDescent="0.25">
      <c r="A739" t="s">
        <v>4439</v>
      </c>
      <c r="B739" t="s">
        <v>25</v>
      </c>
      <c r="C739" t="s">
        <v>26</v>
      </c>
      <c r="D739" t="s">
        <v>25</v>
      </c>
      <c r="E739" t="s">
        <v>4440</v>
      </c>
      <c r="F739" t="s">
        <v>4441</v>
      </c>
      <c r="G739">
        <v>800093117</v>
      </c>
      <c r="H739" t="s">
        <v>572</v>
      </c>
      <c r="I739" s="4" t="s">
        <v>262</v>
      </c>
      <c r="J739" s="4" t="s">
        <v>4106</v>
      </c>
      <c r="K739" t="s">
        <v>4442</v>
      </c>
      <c r="L739" t="s">
        <v>49</v>
      </c>
      <c r="M739" t="s">
        <v>4443</v>
      </c>
      <c r="N739" t="s">
        <v>84</v>
      </c>
      <c r="O739" t="s">
        <v>29</v>
      </c>
      <c r="P739" t="s">
        <v>55</v>
      </c>
      <c r="Q739" t="s">
        <v>31</v>
      </c>
      <c r="R739">
        <v>7</v>
      </c>
      <c r="S739" t="s">
        <v>4444</v>
      </c>
      <c r="T739" t="s">
        <v>7156</v>
      </c>
      <c r="U739" t="s">
        <v>7157</v>
      </c>
      <c r="V739" t="s">
        <v>32</v>
      </c>
      <c r="W739" t="s">
        <v>33</v>
      </c>
      <c r="X739" t="s">
        <v>33</v>
      </c>
      <c r="Y739" t="s">
        <v>33</v>
      </c>
      <c r="Z739" s="5" t="s">
        <v>34</v>
      </c>
      <c r="AA739">
        <v>-75.589465000000004</v>
      </c>
      <c r="AB739">
        <v>6.1798529999999996</v>
      </c>
      <c r="AC739" t="s">
        <v>456</v>
      </c>
      <c r="AD739" t="s">
        <v>457</v>
      </c>
    </row>
    <row r="740" spans="1:30" x14ac:dyDescent="0.25">
      <c r="A740" t="s">
        <v>4445</v>
      </c>
      <c r="B740" t="s">
        <v>25</v>
      </c>
      <c r="C740" t="s">
        <v>26</v>
      </c>
      <c r="D740" t="s">
        <v>25</v>
      </c>
      <c r="E740" t="s">
        <v>4446</v>
      </c>
      <c r="F740" t="s">
        <v>4447</v>
      </c>
      <c r="G740">
        <v>800093117</v>
      </c>
      <c r="H740" t="s">
        <v>572</v>
      </c>
      <c r="I740" s="4" t="s">
        <v>262</v>
      </c>
      <c r="J740" s="4" t="s">
        <v>4106</v>
      </c>
      <c r="K740" t="s">
        <v>4448</v>
      </c>
      <c r="L740" t="s">
        <v>49</v>
      </c>
      <c r="M740" t="s">
        <v>4449</v>
      </c>
      <c r="N740" t="s">
        <v>84</v>
      </c>
      <c r="O740" t="s">
        <v>29</v>
      </c>
      <c r="P740" t="s">
        <v>55</v>
      </c>
      <c r="Q740" t="s">
        <v>31</v>
      </c>
      <c r="R740">
        <v>7</v>
      </c>
      <c r="S740" t="s">
        <v>4450</v>
      </c>
      <c r="T740" t="s">
        <v>4784</v>
      </c>
      <c r="U740" t="s">
        <v>4785</v>
      </c>
      <c r="V740" t="s">
        <v>32</v>
      </c>
      <c r="W740" t="s">
        <v>33</v>
      </c>
      <c r="X740" t="s">
        <v>33</v>
      </c>
      <c r="Y740" t="s">
        <v>33</v>
      </c>
      <c r="Z740" s="5" t="s">
        <v>34</v>
      </c>
      <c r="AA740">
        <v>-75.589465000000004</v>
      </c>
      <c r="AB740">
        <v>6.1798529999999996</v>
      </c>
      <c r="AC740" t="s">
        <v>456</v>
      </c>
      <c r="AD740" t="s">
        <v>457</v>
      </c>
    </row>
    <row r="741" spans="1:30" x14ac:dyDescent="0.25">
      <c r="A741" t="s">
        <v>4451</v>
      </c>
      <c r="B741" t="s">
        <v>25</v>
      </c>
      <c r="C741" t="s">
        <v>26</v>
      </c>
      <c r="D741" t="s">
        <v>25</v>
      </c>
      <c r="E741" t="s">
        <v>4452</v>
      </c>
      <c r="F741" t="s">
        <v>4453</v>
      </c>
      <c r="G741">
        <v>800093117</v>
      </c>
      <c r="H741" t="s">
        <v>572</v>
      </c>
      <c r="I741" s="4" t="s">
        <v>262</v>
      </c>
      <c r="J741" s="4" t="s">
        <v>4106</v>
      </c>
      <c r="K741" t="s">
        <v>4454</v>
      </c>
      <c r="L741" t="s">
        <v>49</v>
      </c>
      <c r="M741" t="s">
        <v>4455</v>
      </c>
      <c r="N741" t="s">
        <v>84</v>
      </c>
      <c r="O741" t="s">
        <v>29</v>
      </c>
      <c r="P741" t="s">
        <v>55</v>
      </c>
      <c r="Q741" t="s">
        <v>31</v>
      </c>
      <c r="R741">
        <v>7</v>
      </c>
      <c r="S741" t="s">
        <v>4456</v>
      </c>
      <c r="T741" t="s">
        <v>4784</v>
      </c>
      <c r="U741" t="s">
        <v>4785</v>
      </c>
      <c r="V741" t="s">
        <v>32</v>
      </c>
      <c r="W741" t="s">
        <v>33</v>
      </c>
      <c r="X741" t="s">
        <v>33</v>
      </c>
      <c r="Y741" t="s">
        <v>33</v>
      </c>
      <c r="Z741" s="5" t="s">
        <v>34</v>
      </c>
      <c r="AA741">
        <v>-75.589465000000004</v>
      </c>
      <c r="AB741">
        <v>6.1798529999999996</v>
      </c>
      <c r="AC741" t="s">
        <v>456</v>
      </c>
      <c r="AD741" t="s">
        <v>457</v>
      </c>
    </row>
    <row r="742" spans="1:30" x14ac:dyDescent="0.25">
      <c r="A742" t="s">
        <v>4457</v>
      </c>
      <c r="B742" t="s">
        <v>25</v>
      </c>
      <c r="C742" t="s">
        <v>26</v>
      </c>
      <c r="D742" t="s">
        <v>25</v>
      </c>
      <c r="E742" t="s">
        <v>4458</v>
      </c>
      <c r="F742" t="s">
        <v>4459</v>
      </c>
      <c r="G742">
        <v>800093117</v>
      </c>
      <c r="H742" t="s">
        <v>572</v>
      </c>
      <c r="I742" s="4" t="s">
        <v>262</v>
      </c>
      <c r="J742" s="4" t="s">
        <v>4106</v>
      </c>
      <c r="K742" t="s">
        <v>4460</v>
      </c>
      <c r="L742" t="s">
        <v>49</v>
      </c>
      <c r="M742" t="s">
        <v>4461</v>
      </c>
      <c r="N742" t="s">
        <v>84</v>
      </c>
      <c r="O742" t="s">
        <v>29</v>
      </c>
      <c r="P742" t="s">
        <v>55</v>
      </c>
      <c r="Q742" t="s">
        <v>31</v>
      </c>
      <c r="R742">
        <v>7</v>
      </c>
      <c r="S742" t="s">
        <v>4462</v>
      </c>
      <c r="T742" t="s">
        <v>7158</v>
      </c>
      <c r="U742" t="s">
        <v>7159</v>
      </c>
      <c r="V742" t="s">
        <v>32</v>
      </c>
      <c r="W742" t="s">
        <v>33</v>
      </c>
      <c r="X742" t="s">
        <v>33</v>
      </c>
      <c r="Y742" t="s">
        <v>33</v>
      </c>
      <c r="Z742" s="5" t="s">
        <v>34</v>
      </c>
      <c r="AA742">
        <v>-75.589465000000004</v>
      </c>
      <c r="AB742">
        <v>6.1798529999999996</v>
      </c>
      <c r="AC742" t="s">
        <v>456</v>
      </c>
      <c r="AD742" t="s">
        <v>457</v>
      </c>
    </row>
    <row r="743" spans="1:30" x14ac:dyDescent="0.25">
      <c r="A743" t="s">
        <v>4463</v>
      </c>
      <c r="B743" t="s">
        <v>25</v>
      </c>
      <c r="C743" t="s">
        <v>26</v>
      </c>
      <c r="D743" t="s">
        <v>25</v>
      </c>
      <c r="E743" t="s">
        <v>4464</v>
      </c>
      <c r="F743" t="s">
        <v>4465</v>
      </c>
      <c r="G743">
        <v>800093117</v>
      </c>
      <c r="H743" t="s">
        <v>572</v>
      </c>
      <c r="I743" s="4" t="s">
        <v>262</v>
      </c>
      <c r="J743" s="4" t="s">
        <v>4106</v>
      </c>
      <c r="K743" t="s">
        <v>4466</v>
      </c>
      <c r="L743" t="s">
        <v>49</v>
      </c>
      <c r="M743" t="s">
        <v>4467</v>
      </c>
      <c r="N743" t="s">
        <v>84</v>
      </c>
      <c r="O743" t="s">
        <v>29</v>
      </c>
      <c r="P743" t="s">
        <v>55</v>
      </c>
      <c r="Q743" t="s">
        <v>31</v>
      </c>
      <c r="R743">
        <v>7</v>
      </c>
      <c r="S743" t="s">
        <v>4468</v>
      </c>
      <c r="T743" t="s">
        <v>7158</v>
      </c>
      <c r="U743" t="s">
        <v>7159</v>
      </c>
      <c r="V743" t="s">
        <v>32</v>
      </c>
      <c r="W743" t="s">
        <v>33</v>
      </c>
      <c r="X743" t="s">
        <v>33</v>
      </c>
      <c r="Y743" t="s">
        <v>33</v>
      </c>
      <c r="Z743" s="5" t="s">
        <v>34</v>
      </c>
      <c r="AA743">
        <v>-75.589465000000004</v>
      </c>
      <c r="AB743">
        <v>6.1798529999999996</v>
      </c>
      <c r="AC743" t="s">
        <v>456</v>
      </c>
      <c r="AD743" t="s">
        <v>457</v>
      </c>
    </row>
    <row r="744" spans="1:30" x14ac:dyDescent="0.25">
      <c r="A744" t="s">
        <v>4469</v>
      </c>
      <c r="B744" t="s">
        <v>25</v>
      </c>
      <c r="C744" t="s">
        <v>26</v>
      </c>
      <c r="D744" t="s">
        <v>25</v>
      </c>
      <c r="E744" t="s">
        <v>4470</v>
      </c>
      <c r="F744" t="s">
        <v>4471</v>
      </c>
      <c r="G744">
        <v>800093117</v>
      </c>
      <c r="H744" t="s">
        <v>572</v>
      </c>
      <c r="I744" s="4" t="s">
        <v>262</v>
      </c>
      <c r="J744" s="4" t="s">
        <v>4106</v>
      </c>
      <c r="K744" t="s">
        <v>4472</v>
      </c>
      <c r="L744" t="s">
        <v>49</v>
      </c>
      <c r="M744" t="s">
        <v>4473</v>
      </c>
      <c r="N744" t="s">
        <v>84</v>
      </c>
      <c r="O744" t="s">
        <v>29</v>
      </c>
      <c r="P744" t="s">
        <v>55</v>
      </c>
      <c r="Q744" t="s">
        <v>31</v>
      </c>
      <c r="R744">
        <v>7</v>
      </c>
      <c r="S744" t="s">
        <v>4474</v>
      </c>
      <c r="T744" t="s">
        <v>7160</v>
      </c>
      <c r="U744" t="s">
        <v>7161</v>
      </c>
      <c r="V744" t="s">
        <v>32</v>
      </c>
      <c r="W744" t="s">
        <v>33</v>
      </c>
      <c r="X744" t="s">
        <v>33</v>
      </c>
      <c r="Y744" t="s">
        <v>33</v>
      </c>
      <c r="Z744" s="5" t="s">
        <v>34</v>
      </c>
      <c r="AA744">
        <v>-75.589465000000004</v>
      </c>
      <c r="AB744">
        <v>6.1798529999999996</v>
      </c>
      <c r="AC744" t="s">
        <v>456</v>
      </c>
      <c r="AD744" t="s">
        <v>457</v>
      </c>
    </row>
    <row r="745" spans="1:30" x14ac:dyDescent="0.25">
      <c r="A745" t="s">
        <v>4475</v>
      </c>
      <c r="B745" t="s">
        <v>25</v>
      </c>
      <c r="C745" t="s">
        <v>26</v>
      </c>
      <c r="D745" t="s">
        <v>25</v>
      </c>
      <c r="E745" t="s">
        <v>4476</v>
      </c>
      <c r="F745" t="s">
        <v>4477</v>
      </c>
      <c r="G745">
        <v>800093117</v>
      </c>
      <c r="H745" t="s">
        <v>572</v>
      </c>
      <c r="I745" s="4" t="s">
        <v>262</v>
      </c>
      <c r="J745" s="4" t="s">
        <v>4106</v>
      </c>
      <c r="K745" t="s">
        <v>4478</v>
      </c>
      <c r="L745" t="s">
        <v>49</v>
      </c>
      <c r="M745" t="s">
        <v>4479</v>
      </c>
      <c r="N745" t="s">
        <v>84</v>
      </c>
      <c r="O745" t="s">
        <v>29</v>
      </c>
      <c r="P745" t="s">
        <v>55</v>
      </c>
      <c r="Q745" t="s">
        <v>31</v>
      </c>
      <c r="R745">
        <v>7</v>
      </c>
      <c r="S745" t="s">
        <v>4480</v>
      </c>
      <c r="T745" t="s">
        <v>7162</v>
      </c>
      <c r="U745" t="s">
        <v>7163</v>
      </c>
      <c r="V745" t="s">
        <v>32</v>
      </c>
      <c r="W745" t="s">
        <v>33</v>
      </c>
      <c r="X745" t="s">
        <v>33</v>
      </c>
      <c r="Y745" t="s">
        <v>33</v>
      </c>
      <c r="Z745" s="5" t="s">
        <v>34</v>
      </c>
      <c r="AA745">
        <v>-75.589465000000004</v>
      </c>
      <c r="AB745">
        <v>6.1798529999999996</v>
      </c>
      <c r="AC745" t="s">
        <v>456</v>
      </c>
      <c r="AD745" t="s">
        <v>457</v>
      </c>
    </row>
    <row r="746" spans="1:30" x14ac:dyDescent="0.25">
      <c r="A746" t="s">
        <v>4481</v>
      </c>
      <c r="B746" t="s">
        <v>25</v>
      </c>
      <c r="C746" t="s">
        <v>26</v>
      </c>
      <c r="D746" t="s">
        <v>25</v>
      </c>
      <c r="E746" t="s">
        <v>4482</v>
      </c>
      <c r="F746" t="s">
        <v>4483</v>
      </c>
      <c r="G746">
        <v>800093117</v>
      </c>
      <c r="H746" t="s">
        <v>572</v>
      </c>
      <c r="I746" s="4" t="s">
        <v>262</v>
      </c>
      <c r="J746" s="4" t="s">
        <v>4106</v>
      </c>
      <c r="K746" t="s">
        <v>4484</v>
      </c>
      <c r="L746" t="s">
        <v>49</v>
      </c>
      <c r="M746" t="s">
        <v>4485</v>
      </c>
      <c r="N746" t="s">
        <v>84</v>
      </c>
      <c r="O746" t="s">
        <v>29</v>
      </c>
      <c r="P746" t="s">
        <v>55</v>
      </c>
      <c r="Q746" t="s">
        <v>31</v>
      </c>
      <c r="R746">
        <v>7</v>
      </c>
      <c r="S746" t="s">
        <v>4486</v>
      </c>
      <c r="T746" t="s">
        <v>7164</v>
      </c>
      <c r="U746" t="s">
        <v>7165</v>
      </c>
      <c r="V746" t="s">
        <v>32</v>
      </c>
      <c r="W746" t="s">
        <v>33</v>
      </c>
      <c r="X746" t="s">
        <v>33</v>
      </c>
      <c r="Y746" t="s">
        <v>33</v>
      </c>
      <c r="Z746" s="5" t="s">
        <v>34</v>
      </c>
      <c r="AA746">
        <v>-75.589465000000004</v>
      </c>
      <c r="AB746">
        <v>6.1798529999999996</v>
      </c>
      <c r="AC746" t="s">
        <v>456</v>
      </c>
      <c r="AD746" t="s">
        <v>457</v>
      </c>
    </row>
    <row r="747" spans="1:30" x14ac:dyDescent="0.25">
      <c r="A747" t="s">
        <v>4487</v>
      </c>
      <c r="B747" t="s">
        <v>25</v>
      </c>
      <c r="C747" t="s">
        <v>26</v>
      </c>
      <c r="D747" t="s">
        <v>25</v>
      </c>
      <c r="E747" t="s">
        <v>4488</v>
      </c>
      <c r="F747" t="s">
        <v>4489</v>
      </c>
      <c r="G747">
        <v>800093117</v>
      </c>
      <c r="H747" t="s">
        <v>572</v>
      </c>
      <c r="I747" s="4" t="s">
        <v>262</v>
      </c>
      <c r="J747" s="4" t="s">
        <v>4106</v>
      </c>
      <c r="K747" t="s">
        <v>4490</v>
      </c>
      <c r="L747" t="s">
        <v>49</v>
      </c>
      <c r="M747" t="s">
        <v>4491</v>
      </c>
      <c r="N747" t="s">
        <v>84</v>
      </c>
      <c r="O747" t="s">
        <v>29</v>
      </c>
      <c r="P747" t="s">
        <v>55</v>
      </c>
      <c r="Q747" t="s">
        <v>31</v>
      </c>
      <c r="R747">
        <v>7</v>
      </c>
      <c r="S747" t="s">
        <v>4492</v>
      </c>
      <c r="T747" t="s">
        <v>7164</v>
      </c>
      <c r="U747" t="s">
        <v>7165</v>
      </c>
      <c r="V747" t="s">
        <v>32</v>
      </c>
      <c r="W747" t="s">
        <v>33</v>
      </c>
      <c r="X747" t="s">
        <v>33</v>
      </c>
      <c r="Y747" t="s">
        <v>33</v>
      </c>
      <c r="Z747" s="5" t="s">
        <v>34</v>
      </c>
      <c r="AA747">
        <v>-75.589465000000004</v>
      </c>
      <c r="AB747">
        <v>6.1798529999999996</v>
      </c>
      <c r="AC747" t="s">
        <v>456</v>
      </c>
      <c r="AD747" t="s">
        <v>457</v>
      </c>
    </row>
    <row r="748" spans="1:30" x14ac:dyDescent="0.25">
      <c r="A748" t="s">
        <v>4493</v>
      </c>
      <c r="B748" t="s">
        <v>25</v>
      </c>
      <c r="C748" t="s">
        <v>26</v>
      </c>
      <c r="D748" t="s">
        <v>25</v>
      </c>
      <c r="E748" t="s">
        <v>4494</v>
      </c>
      <c r="F748" t="s">
        <v>4495</v>
      </c>
      <c r="G748">
        <v>800093117</v>
      </c>
      <c r="H748" t="s">
        <v>572</v>
      </c>
      <c r="I748" s="4" t="s">
        <v>262</v>
      </c>
      <c r="J748" s="4" t="s">
        <v>4106</v>
      </c>
      <c r="K748" t="s">
        <v>4496</v>
      </c>
      <c r="L748" t="s">
        <v>49</v>
      </c>
      <c r="M748" t="s">
        <v>4497</v>
      </c>
      <c r="N748" t="s">
        <v>84</v>
      </c>
      <c r="O748" t="s">
        <v>29</v>
      </c>
      <c r="P748" t="s">
        <v>55</v>
      </c>
      <c r="Q748" t="s">
        <v>31</v>
      </c>
      <c r="R748">
        <v>7</v>
      </c>
      <c r="S748" t="s">
        <v>4498</v>
      </c>
      <c r="T748" t="s">
        <v>7166</v>
      </c>
      <c r="U748" t="s">
        <v>5474</v>
      </c>
      <c r="V748" t="s">
        <v>32</v>
      </c>
      <c r="W748" t="s">
        <v>33</v>
      </c>
      <c r="X748" t="s">
        <v>33</v>
      </c>
      <c r="Y748" t="s">
        <v>33</v>
      </c>
      <c r="Z748" s="5" t="s">
        <v>34</v>
      </c>
      <c r="AA748">
        <v>-75.589465000000004</v>
      </c>
      <c r="AB748">
        <v>6.1798529999999996</v>
      </c>
      <c r="AC748" t="s">
        <v>456</v>
      </c>
      <c r="AD748" t="s">
        <v>457</v>
      </c>
    </row>
    <row r="749" spans="1:30" x14ac:dyDescent="0.25">
      <c r="A749" t="s">
        <v>4499</v>
      </c>
      <c r="B749" t="s">
        <v>25</v>
      </c>
      <c r="C749" t="s">
        <v>26</v>
      </c>
      <c r="D749" t="s">
        <v>25</v>
      </c>
      <c r="E749" t="s">
        <v>4500</v>
      </c>
      <c r="F749" t="s">
        <v>4501</v>
      </c>
      <c r="G749">
        <v>800093117</v>
      </c>
      <c r="H749" t="s">
        <v>572</v>
      </c>
      <c r="I749" s="4" t="s">
        <v>262</v>
      </c>
      <c r="J749" s="4" t="s">
        <v>4106</v>
      </c>
      <c r="K749" t="s">
        <v>4502</v>
      </c>
      <c r="L749" t="s">
        <v>49</v>
      </c>
      <c r="M749" t="s">
        <v>4503</v>
      </c>
      <c r="N749" t="s">
        <v>84</v>
      </c>
      <c r="O749" t="s">
        <v>29</v>
      </c>
      <c r="P749" t="s">
        <v>55</v>
      </c>
      <c r="Q749" t="s">
        <v>31</v>
      </c>
      <c r="R749">
        <v>7</v>
      </c>
      <c r="S749" t="s">
        <v>4504</v>
      </c>
      <c r="T749" t="s">
        <v>7167</v>
      </c>
      <c r="U749" t="s">
        <v>7168</v>
      </c>
      <c r="V749" t="s">
        <v>32</v>
      </c>
      <c r="W749" t="s">
        <v>33</v>
      </c>
      <c r="X749" t="s">
        <v>33</v>
      </c>
      <c r="Y749" t="s">
        <v>33</v>
      </c>
      <c r="Z749" s="5" t="s">
        <v>34</v>
      </c>
      <c r="AA749">
        <v>-75.589465000000004</v>
      </c>
      <c r="AB749">
        <v>6.1798529999999996</v>
      </c>
      <c r="AC749" t="s">
        <v>456</v>
      </c>
      <c r="AD749" t="s">
        <v>457</v>
      </c>
    </row>
    <row r="750" spans="1:30" x14ac:dyDescent="0.25">
      <c r="A750" t="s">
        <v>4505</v>
      </c>
      <c r="B750" t="s">
        <v>51</v>
      </c>
      <c r="C750" t="s">
        <v>26</v>
      </c>
      <c r="D750" t="s">
        <v>51</v>
      </c>
      <c r="E750" t="s">
        <v>4506</v>
      </c>
      <c r="F750" t="s">
        <v>4507</v>
      </c>
      <c r="G750">
        <v>43734687</v>
      </c>
      <c r="H750" t="s">
        <v>4508</v>
      </c>
      <c r="I750" s="4" t="s">
        <v>35</v>
      </c>
      <c r="J750" s="4" t="s">
        <v>4509</v>
      </c>
      <c r="K750" t="s">
        <v>4510</v>
      </c>
      <c r="L750" t="s">
        <v>61</v>
      </c>
      <c r="M750" t="s">
        <v>4511</v>
      </c>
      <c r="N750" t="s">
        <v>63</v>
      </c>
      <c r="O750" t="s">
        <v>52</v>
      </c>
      <c r="P750" t="s">
        <v>53</v>
      </c>
      <c r="Q750" t="s">
        <v>38</v>
      </c>
      <c r="R750">
        <v>11</v>
      </c>
      <c r="S750" t="s">
        <v>4512</v>
      </c>
      <c r="T750" t="s">
        <v>7169</v>
      </c>
      <c r="U750" t="s">
        <v>7170</v>
      </c>
      <c r="V750" t="s">
        <v>32</v>
      </c>
      <c r="W750" t="s">
        <v>33</v>
      </c>
      <c r="X750" t="s">
        <v>33</v>
      </c>
      <c r="Y750" t="s">
        <v>33</v>
      </c>
      <c r="Z750" s="5" t="s">
        <v>34</v>
      </c>
      <c r="AA750">
        <v>-75.638721829999994</v>
      </c>
      <c r="AB750">
        <v>6.1187351699999999</v>
      </c>
      <c r="AC750" t="s">
        <v>456</v>
      </c>
      <c r="AD750" t="s">
        <v>457</v>
      </c>
    </row>
    <row r="751" spans="1:30" x14ac:dyDescent="0.25">
      <c r="A751" t="s">
        <v>4513</v>
      </c>
      <c r="B751" t="s">
        <v>25</v>
      </c>
      <c r="C751" t="s">
        <v>26</v>
      </c>
      <c r="D751" t="s">
        <v>39</v>
      </c>
      <c r="E751" t="s">
        <v>4514</v>
      </c>
      <c r="F751" t="s">
        <v>4515</v>
      </c>
      <c r="G751">
        <v>71719646</v>
      </c>
      <c r="H751" t="s">
        <v>574</v>
      </c>
      <c r="I751" s="4" t="s">
        <v>35</v>
      </c>
      <c r="J751" s="4" t="s">
        <v>575</v>
      </c>
      <c r="K751" t="s">
        <v>576</v>
      </c>
      <c r="L751" t="s">
        <v>27</v>
      </c>
      <c r="M751" t="s">
        <v>577</v>
      </c>
      <c r="N751" t="s">
        <v>28</v>
      </c>
      <c r="O751" t="s">
        <v>40</v>
      </c>
      <c r="P751" t="s">
        <v>41</v>
      </c>
      <c r="Q751" t="s">
        <v>31</v>
      </c>
      <c r="R751">
        <v>5</v>
      </c>
      <c r="S751" t="s">
        <v>4516</v>
      </c>
      <c r="T751" t="s">
        <v>2500</v>
      </c>
      <c r="U751" t="s">
        <v>2607</v>
      </c>
      <c r="V751" t="s">
        <v>32</v>
      </c>
      <c r="W751" t="s">
        <v>33</v>
      </c>
      <c r="X751" t="s">
        <v>33</v>
      </c>
      <c r="Y751" t="s">
        <v>33</v>
      </c>
      <c r="Z751" s="5" t="s">
        <v>34</v>
      </c>
      <c r="AA751">
        <v>-75.640798000000004</v>
      </c>
      <c r="AB751">
        <v>6.2767580000000001</v>
      </c>
      <c r="AC751" t="s">
        <v>456</v>
      </c>
      <c r="AD751" t="s">
        <v>457</v>
      </c>
    </row>
    <row r="752" spans="1:30" x14ac:dyDescent="0.25">
      <c r="A752" t="s">
        <v>4517</v>
      </c>
      <c r="B752" t="s">
        <v>25</v>
      </c>
      <c r="C752" t="s">
        <v>26</v>
      </c>
      <c r="D752" t="s">
        <v>25</v>
      </c>
      <c r="E752" t="s">
        <v>4518</v>
      </c>
      <c r="F752" t="s">
        <v>4519</v>
      </c>
      <c r="G752">
        <v>800093117</v>
      </c>
      <c r="H752" t="s">
        <v>572</v>
      </c>
      <c r="I752" s="4" t="s">
        <v>262</v>
      </c>
      <c r="J752" s="4" t="s">
        <v>4106</v>
      </c>
      <c r="K752" t="s">
        <v>4520</v>
      </c>
      <c r="L752" t="s">
        <v>49</v>
      </c>
      <c r="M752" t="s">
        <v>4521</v>
      </c>
      <c r="N752" t="s">
        <v>84</v>
      </c>
      <c r="O752" t="s">
        <v>29</v>
      </c>
      <c r="P752" t="s">
        <v>55</v>
      </c>
      <c r="Q752" t="s">
        <v>31</v>
      </c>
      <c r="R752">
        <v>7</v>
      </c>
      <c r="S752" t="s">
        <v>4522</v>
      </c>
      <c r="T752" t="s">
        <v>7171</v>
      </c>
      <c r="U752" t="s">
        <v>7172</v>
      </c>
      <c r="V752" t="s">
        <v>32</v>
      </c>
      <c r="W752" t="s">
        <v>33</v>
      </c>
      <c r="X752" t="s">
        <v>33</v>
      </c>
      <c r="Y752" t="s">
        <v>33</v>
      </c>
      <c r="Z752" s="5" t="s">
        <v>34</v>
      </c>
      <c r="AA752">
        <v>-75.589465000000004</v>
      </c>
      <c r="AB752">
        <v>6.1798529999999996</v>
      </c>
      <c r="AC752" t="s">
        <v>456</v>
      </c>
      <c r="AD752" t="s">
        <v>457</v>
      </c>
    </row>
    <row r="753" spans="1:30" x14ac:dyDescent="0.25">
      <c r="A753" t="s">
        <v>4523</v>
      </c>
      <c r="B753" t="s">
        <v>81</v>
      </c>
      <c r="C753" t="s">
        <v>26</v>
      </c>
      <c r="D753" t="s">
        <v>81</v>
      </c>
      <c r="E753" t="s">
        <v>4524</v>
      </c>
      <c r="F753" t="s">
        <v>4525</v>
      </c>
      <c r="G753">
        <v>811035719</v>
      </c>
      <c r="H753" t="s">
        <v>4526</v>
      </c>
      <c r="I753" s="4" t="s">
        <v>4527</v>
      </c>
      <c r="J753" s="4" t="s">
        <v>4528</v>
      </c>
      <c r="K753" t="s">
        <v>4529</v>
      </c>
      <c r="L753" t="s">
        <v>79</v>
      </c>
      <c r="M753" t="s">
        <v>4530</v>
      </c>
      <c r="N753" t="s">
        <v>80</v>
      </c>
      <c r="O753" t="s">
        <v>82</v>
      </c>
      <c r="P753" t="s">
        <v>83</v>
      </c>
      <c r="Q753" t="s">
        <v>31</v>
      </c>
      <c r="R753">
        <v>4</v>
      </c>
      <c r="S753" t="s">
        <v>4531</v>
      </c>
      <c r="T753" t="s">
        <v>6872</v>
      </c>
      <c r="U753" t="s">
        <v>6872</v>
      </c>
      <c r="V753" t="s">
        <v>50</v>
      </c>
      <c r="W753" t="s">
        <v>33</v>
      </c>
      <c r="X753" t="s">
        <v>33</v>
      </c>
      <c r="Y753" t="s">
        <v>33</v>
      </c>
      <c r="Z753" s="5" t="s">
        <v>34</v>
      </c>
      <c r="AA753">
        <v>-75.630477999999997</v>
      </c>
      <c r="AB753">
        <v>6.1513790000000004</v>
      </c>
      <c r="AC753" t="s">
        <v>456</v>
      </c>
      <c r="AD753" t="s">
        <v>457</v>
      </c>
    </row>
    <row r="754" spans="1:30" x14ac:dyDescent="0.25">
      <c r="A754" t="s">
        <v>4953</v>
      </c>
      <c r="B754" t="s">
        <v>25</v>
      </c>
      <c r="C754" t="s">
        <v>26</v>
      </c>
      <c r="D754" t="s">
        <v>39</v>
      </c>
      <c r="E754" t="s">
        <v>4954</v>
      </c>
      <c r="F754" t="s">
        <v>4955</v>
      </c>
      <c r="G754">
        <v>71393250</v>
      </c>
      <c r="H754" t="s">
        <v>4956</v>
      </c>
      <c r="I754" s="4" t="s">
        <v>396</v>
      </c>
      <c r="J754" s="4" t="s">
        <v>4957</v>
      </c>
      <c r="K754" t="s">
        <v>4958</v>
      </c>
      <c r="L754" t="s">
        <v>77</v>
      </c>
      <c r="M754" t="s">
        <v>4959</v>
      </c>
      <c r="N754" t="s">
        <v>78</v>
      </c>
      <c r="O754" t="s">
        <v>40</v>
      </c>
      <c r="P754" t="s">
        <v>36</v>
      </c>
      <c r="Q754" t="s">
        <v>38</v>
      </c>
      <c r="R754">
        <v>8</v>
      </c>
      <c r="S754" t="s">
        <v>4960</v>
      </c>
      <c r="T754" t="s">
        <v>6413</v>
      </c>
      <c r="U754" t="s">
        <v>7173</v>
      </c>
      <c r="V754" t="s">
        <v>32</v>
      </c>
      <c r="W754" t="s">
        <v>33</v>
      </c>
      <c r="X754" t="s">
        <v>33</v>
      </c>
      <c r="Y754" t="s">
        <v>33</v>
      </c>
      <c r="Z754" s="5" t="s">
        <v>34</v>
      </c>
      <c r="AA754">
        <v>-75.645366620000004</v>
      </c>
      <c r="AB754">
        <v>6.0870563100000004</v>
      </c>
      <c r="AC754" t="s">
        <v>456</v>
      </c>
      <c r="AD754" t="s">
        <v>457</v>
      </c>
    </row>
    <row r="755" spans="1:30" x14ac:dyDescent="0.25">
      <c r="A755" t="s">
        <v>4532</v>
      </c>
      <c r="B755" t="s">
        <v>25</v>
      </c>
      <c r="C755" t="s">
        <v>26</v>
      </c>
      <c r="D755" t="s">
        <v>25</v>
      </c>
      <c r="E755" t="s">
        <v>4533</v>
      </c>
      <c r="F755" t="s">
        <v>4534</v>
      </c>
      <c r="G755">
        <v>800093117</v>
      </c>
      <c r="H755" t="s">
        <v>572</v>
      </c>
      <c r="I755" s="4" t="s">
        <v>262</v>
      </c>
      <c r="J755" s="4" t="s">
        <v>4106</v>
      </c>
      <c r="K755" t="s">
        <v>4535</v>
      </c>
      <c r="L755" t="s">
        <v>49</v>
      </c>
      <c r="M755" t="s">
        <v>4536</v>
      </c>
      <c r="N755" t="s">
        <v>84</v>
      </c>
      <c r="O755" t="s">
        <v>29</v>
      </c>
      <c r="P755" t="s">
        <v>55</v>
      </c>
      <c r="Q755" t="s">
        <v>31</v>
      </c>
      <c r="R755">
        <v>7</v>
      </c>
      <c r="S755" t="s">
        <v>4537</v>
      </c>
      <c r="T755" t="s">
        <v>6415</v>
      </c>
      <c r="U755" t="s">
        <v>6414</v>
      </c>
      <c r="V755" t="s">
        <v>32</v>
      </c>
      <c r="W755" t="s">
        <v>33</v>
      </c>
      <c r="X755" t="s">
        <v>33</v>
      </c>
      <c r="Y755" t="s">
        <v>33</v>
      </c>
      <c r="Z755" s="5" t="s">
        <v>34</v>
      </c>
      <c r="AA755">
        <v>-75.589465000000004</v>
      </c>
      <c r="AB755">
        <v>6.1798529999999996</v>
      </c>
      <c r="AC755" t="s">
        <v>456</v>
      </c>
      <c r="AD755" t="s">
        <v>457</v>
      </c>
    </row>
    <row r="756" spans="1:30" x14ac:dyDescent="0.25">
      <c r="A756" t="s">
        <v>4538</v>
      </c>
      <c r="B756" t="s">
        <v>25</v>
      </c>
      <c r="C756" t="s">
        <v>26</v>
      </c>
      <c r="D756" t="s">
        <v>25</v>
      </c>
      <c r="E756" t="s">
        <v>4539</v>
      </c>
      <c r="F756" t="s">
        <v>4540</v>
      </c>
      <c r="G756">
        <v>800093117</v>
      </c>
      <c r="H756" t="s">
        <v>572</v>
      </c>
      <c r="I756" s="4" t="s">
        <v>262</v>
      </c>
      <c r="J756" s="4" t="s">
        <v>4106</v>
      </c>
      <c r="K756" t="s">
        <v>4541</v>
      </c>
      <c r="L756" t="s">
        <v>49</v>
      </c>
      <c r="M756" t="s">
        <v>4542</v>
      </c>
      <c r="N756" t="s">
        <v>84</v>
      </c>
      <c r="O756" t="s">
        <v>29</v>
      </c>
      <c r="P756" t="s">
        <v>55</v>
      </c>
      <c r="Q756" t="s">
        <v>31</v>
      </c>
      <c r="R756">
        <v>7</v>
      </c>
      <c r="S756" t="s">
        <v>4543</v>
      </c>
      <c r="T756" t="s">
        <v>6415</v>
      </c>
      <c r="U756" t="s">
        <v>6414</v>
      </c>
      <c r="V756" t="s">
        <v>32</v>
      </c>
      <c r="W756" t="s">
        <v>33</v>
      </c>
      <c r="X756" t="s">
        <v>33</v>
      </c>
      <c r="Y756" t="s">
        <v>33</v>
      </c>
      <c r="Z756" s="5" t="s">
        <v>34</v>
      </c>
      <c r="AA756">
        <v>-75.589465000000004</v>
      </c>
      <c r="AB756">
        <v>6.1798529999999996</v>
      </c>
      <c r="AC756" t="s">
        <v>456</v>
      </c>
      <c r="AD756" t="s">
        <v>457</v>
      </c>
    </row>
    <row r="757" spans="1:30" x14ac:dyDescent="0.25">
      <c r="A757" t="s">
        <v>4544</v>
      </c>
      <c r="B757" t="s">
        <v>51</v>
      </c>
      <c r="C757" t="s">
        <v>182</v>
      </c>
      <c r="D757" t="s">
        <v>51</v>
      </c>
      <c r="E757" t="s">
        <v>4545</v>
      </c>
      <c r="F757" t="s">
        <v>4546</v>
      </c>
      <c r="G757">
        <v>43503766</v>
      </c>
      <c r="H757" t="s">
        <v>4547</v>
      </c>
      <c r="I757" s="4" t="s">
        <v>35</v>
      </c>
      <c r="J757" s="4" t="s">
        <v>4548</v>
      </c>
      <c r="K757" t="s">
        <v>4549</v>
      </c>
      <c r="L757" t="s">
        <v>27</v>
      </c>
      <c r="M757" t="s">
        <v>4550</v>
      </c>
      <c r="N757" t="s">
        <v>28</v>
      </c>
      <c r="O757" t="s">
        <v>183</v>
      </c>
      <c r="P757" t="s">
        <v>53</v>
      </c>
      <c r="Q757" t="s">
        <v>31</v>
      </c>
      <c r="R757">
        <v>11</v>
      </c>
      <c r="S757" t="s">
        <v>4551</v>
      </c>
      <c r="T757" t="s">
        <v>7174</v>
      </c>
      <c r="U757" t="s">
        <v>7175</v>
      </c>
      <c r="V757" t="s">
        <v>32</v>
      </c>
      <c r="W757" t="s">
        <v>33</v>
      </c>
      <c r="X757" t="s">
        <v>33</v>
      </c>
      <c r="Y757" t="s">
        <v>33</v>
      </c>
      <c r="Z757" s="5" t="s">
        <v>34</v>
      </c>
      <c r="AA757">
        <v>-75.598703920000005</v>
      </c>
      <c r="AB757">
        <v>6.2754780300000004</v>
      </c>
      <c r="AC757" t="s">
        <v>456</v>
      </c>
      <c r="AD757" t="s">
        <v>457</v>
      </c>
    </row>
    <row r="758" spans="1:30" x14ac:dyDescent="0.25">
      <c r="A758" t="s">
        <v>4552</v>
      </c>
      <c r="B758" t="s">
        <v>81</v>
      </c>
      <c r="C758" t="s">
        <v>26</v>
      </c>
      <c r="D758" t="s">
        <v>81</v>
      </c>
      <c r="E758" t="s">
        <v>4553</v>
      </c>
      <c r="F758" t="s">
        <v>4554</v>
      </c>
      <c r="G758">
        <v>890924840</v>
      </c>
      <c r="H758" t="s">
        <v>4555</v>
      </c>
      <c r="I758" s="4" t="s">
        <v>4527</v>
      </c>
      <c r="J758" s="4" t="s">
        <v>4528</v>
      </c>
      <c r="K758" t="s">
        <v>4556</v>
      </c>
      <c r="L758" t="s">
        <v>79</v>
      </c>
      <c r="M758" t="s">
        <v>4557</v>
      </c>
      <c r="N758" t="s">
        <v>80</v>
      </c>
      <c r="O758" t="s">
        <v>82</v>
      </c>
      <c r="P758" t="s">
        <v>83</v>
      </c>
      <c r="Q758" t="s">
        <v>31</v>
      </c>
      <c r="R758">
        <v>4</v>
      </c>
      <c r="S758" t="s">
        <v>4558</v>
      </c>
      <c r="T758" t="s">
        <v>7174</v>
      </c>
      <c r="U758" t="s">
        <v>7174</v>
      </c>
      <c r="V758" t="s">
        <v>50</v>
      </c>
      <c r="W758" t="s">
        <v>33</v>
      </c>
      <c r="X758" t="s">
        <v>33</v>
      </c>
      <c r="Y758" t="s">
        <v>33</v>
      </c>
      <c r="Z758" s="5" t="s">
        <v>34</v>
      </c>
      <c r="AA758">
        <v>-75.630262999999999</v>
      </c>
      <c r="AB758">
        <v>6.1513739999999997</v>
      </c>
      <c r="AC758" t="s">
        <v>456</v>
      </c>
      <c r="AD758" t="s">
        <v>457</v>
      </c>
    </row>
    <row r="759" spans="1:30" x14ac:dyDescent="0.25">
      <c r="A759" t="s">
        <v>4560</v>
      </c>
      <c r="B759" t="s">
        <v>25</v>
      </c>
      <c r="C759" t="s">
        <v>26</v>
      </c>
      <c r="D759" t="s">
        <v>25</v>
      </c>
      <c r="E759" t="s">
        <v>4561</v>
      </c>
      <c r="F759" t="s">
        <v>4562</v>
      </c>
      <c r="G759">
        <v>800093117</v>
      </c>
      <c r="H759" t="s">
        <v>572</v>
      </c>
      <c r="I759" s="4" t="s">
        <v>262</v>
      </c>
      <c r="J759" s="4" t="s">
        <v>4106</v>
      </c>
      <c r="K759" t="s">
        <v>4563</v>
      </c>
      <c r="L759" t="s">
        <v>49</v>
      </c>
      <c r="M759" t="s">
        <v>4564</v>
      </c>
      <c r="N759" t="s">
        <v>84</v>
      </c>
      <c r="O759" t="s">
        <v>29</v>
      </c>
      <c r="P759" t="s">
        <v>55</v>
      </c>
      <c r="Q759" t="s">
        <v>31</v>
      </c>
      <c r="R759">
        <v>7</v>
      </c>
      <c r="S759" t="s">
        <v>4565</v>
      </c>
      <c r="T759" t="s">
        <v>7176</v>
      </c>
      <c r="U759" t="s">
        <v>6297</v>
      </c>
      <c r="V759" t="s">
        <v>32</v>
      </c>
      <c r="W759" t="s">
        <v>33</v>
      </c>
      <c r="X759" t="s">
        <v>33</v>
      </c>
      <c r="Y759" t="s">
        <v>33</v>
      </c>
      <c r="Z759" s="5" t="s">
        <v>34</v>
      </c>
      <c r="AA759">
        <v>-75.589465000000004</v>
      </c>
      <c r="AB759">
        <v>6.1798529999999996</v>
      </c>
      <c r="AC759" t="s">
        <v>456</v>
      </c>
      <c r="AD759" t="s">
        <v>457</v>
      </c>
    </row>
    <row r="760" spans="1:30" x14ac:dyDescent="0.25">
      <c r="A760" t="s">
        <v>4566</v>
      </c>
      <c r="B760" t="s">
        <v>25</v>
      </c>
      <c r="C760" t="s">
        <v>26</v>
      </c>
      <c r="D760" t="s">
        <v>25</v>
      </c>
      <c r="E760" t="s">
        <v>4567</v>
      </c>
      <c r="F760" t="s">
        <v>4568</v>
      </c>
      <c r="G760">
        <v>800093117</v>
      </c>
      <c r="H760" t="s">
        <v>572</v>
      </c>
      <c r="I760" s="4" t="s">
        <v>262</v>
      </c>
      <c r="J760" s="4" t="s">
        <v>4106</v>
      </c>
      <c r="K760" t="s">
        <v>4569</v>
      </c>
      <c r="L760" t="s">
        <v>49</v>
      </c>
      <c r="M760" t="s">
        <v>4570</v>
      </c>
      <c r="N760" t="s">
        <v>84</v>
      </c>
      <c r="O760" t="s">
        <v>29</v>
      </c>
      <c r="P760" t="s">
        <v>55</v>
      </c>
      <c r="Q760" t="s">
        <v>31</v>
      </c>
      <c r="R760">
        <v>7</v>
      </c>
      <c r="S760" t="s">
        <v>4571</v>
      </c>
      <c r="T760" t="s">
        <v>4896</v>
      </c>
      <c r="U760" t="s">
        <v>6873</v>
      </c>
      <c r="V760" t="s">
        <v>32</v>
      </c>
      <c r="W760" t="s">
        <v>33</v>
      </c>
      <c r="X760" t="s">
        <v>33</v>
      </c>
      <c r="Y760" t="s">
        <v>33</v>
      </c>
      <c r="Z760" s="5" t="s">
        <v>34</v>
      </c>
      <c r="AA760">
        <v>-75.589465000000004</v>
      </c>
      <c r="AB760">
        <v>6.1798529999999996</v>
      </c>
      <c r="AC760" t="s">
        <v>456</v>
      </c>
      <c r="AD760" t="s">
        <v>457</v>
      </c>
    </row>
    <row r="761" spans="1:30" x14ac:dyDescent="0.25">
      <c r="A761" t="s">
        <v>4572</v>
      </c>
      <c r="B761" t="s">
        <v>25</v>
      </c>
      <c r="C761" t="s">
        <v>26</v>
      </c>
      <c r="D761" t="s">
        <v>25</v>
      </c>
      <c r="E761" t="s">
        <v>4573</v>
      </c>
      <c r="F761" t="s">
        <v>4574</v>
      </c>
      <c r="G761">
        <v>800093117</v>
      </c>
      <c r="H761" t="s">
        <v>572</v>
      </c>
      <c r="I761" s="4" t="s">
        <v>262</v>
      </c>
      <c r="J761" s="4" t="s">
        <v>4106</v>
      </c>
      <c r="K761" t="s">
        <v>4575</v>
      </c>
      <c r="L761" t="s">
        <v>49</v>
      </c>
      <c r="M761" t="s">
        <v>4576</v>
      </c>
      <c r="N761" t="s">
        <v>84</v>
      </c>
      <c r="O761" t="s">
        <v>29</v>
      </c>
      <c r="P761" t="s">
        <v>55</v>
      </c>
      <c r="Q761" t="s">
        <v>31</v>
      </c>
      <c r="R761">
        <v>7</v>
      </c>
      <c r="S761" t="s">
        <v>4577</v>
      </c>
      <c r="T761" t="s">
        <v>4896</v>
      </c>
      <c r="U761" t="s">
        <v>6873</v>
      </c>
      <c r="V761" t="s">
        <v>32</v>
      </c>
      <c r="W761" t="s">
        <v>33</v>
      </c>
      <c r="X761" t="s">
        <v>33</v>
      </c>
      <c r="Y761" t="s">
        <v>33</v>
      </c>
      <c r="Z761" s="5" t="s">
        <v>34</v>
      </c>
      <c r="AA761">
        <v>-75.589465000000004</v>
      </c>
      <c r="AB761">
        <v>6.1798529999999996</v>
      </c>
      <c r="AC761" t="s">
        <v>456</v>
      </c>
      <c r="AD761" t="s">
        <v>457</v>
      </c>
    </row>
    <row r="762" spans="1:30" x14ac:dyDescent="0.25">
      <c r="A762" t="s">
        <v>4578</v>
      </c>
      <c r="B762" t="s">
        <v>25</v>
      </c>
      <c r="C762" t="s">
        <v>26</v>
      </c>
      <c r="D762" t="s">
        <v>25</v>
      </c>
      <c r="E762" t="s">
        <v>4579</v>
      </c>
      <c r="F762" t="s">
        <v>4580</v>
      </c>
      <c r="G762">
        <v>800093117</v>
      </c>
      <c r="H762" t="s">
        <v>572</v>
      </c>
      <c r="I762" s="4" t="s">
        <v>262</v>
      </c>
      <c r="J762" s="4" t="s">
        <v>4106</v>
      </c>
      <c r="K762" t="s">
        <v>4581</v>
      </c>
      <c r="L762" t="s">
        <v>49</v>
      </c>
      <c r="M762" t="s">
        <v>4582</v>
      </c>
      <c r="N762" t="s">
        <v>84</v>
      </c>
      <c r="O762" t="s">
        <v>29</v>
      </c>
      <c r="P762" t="s">
        <v>55</v>
      </c>
      <c r="Q762" t="s">
        <v>31</v>
      </c>
      <c r="R762">
        <v>7</v>
      </c>
      <c r="S762" t="s">
        <v>4583</v>
      </c>
      <c r="T762" t="s">
        <v>4897</v>
      </c>
      <c r="U762" t="s">
        <v>7177</v>
      </c>
      <c r="V762" t="s">
        <v>32</v>
      </c>
      <c r="W762" t="s">
        <v>33</v>
      </c>
      <c r="X762" t="s">
        <v>33</v>
      </c>
      <c r="Y762" t="s">
        <v>33</v>
      </c>
      <c r="Z762" s="5" t="s">
        <v>34</v>
      </c>
      <c r="AA762">
        <v>-75.589465000000004</v>
      </c>
      <c r="AB762">
        <v>6.1798529999999996</v>
      </c>
      <c r="AC762" t="s">
        <v>456</v>
      </c>
      <c r="AD762" t="s">
        <v>457</v>
      </c>
    </row>
    <row r="763" spans="1:30" x14ac:dyDescent="0.25">
      <c r="A763" t="s">
        <v>4584</v>
      </c>
      <c r="B763" t="s">
        <v>25</v>
      </c>
      <c r="C763" t="s">
        <v>26</v>
      </c>
      <c r="D763" t="s">
        <v>39</v>
      </c>
      <c r="E763" t="s">
        <v>4585</v>
      </c>
      <c r="F763" t="s">
        <v>4586</v>
      </c>
      <c r="G763">
        <v>22186973</v>
      </c>
      <c r="H763" t="s">
        <v>4587</v>
      </c>
      <c r="I763" s="4" t="s">
        <v>4588</v>
      </c>
      <c r="J763" s="4" t="s">
        <v>4589</v>
      </c>
      <c r="K763" t="s">
        <v>4590</v>
      </c>
      <c r="L763" t="s">
        <v>44</v>
      </c>
      <c r="M763" t="s">
        <v>4591</v>
      </c>
      <c r="N763" t="s">
        <v>45</v>
      </c>
      <c r="O763" t="s">
        <v>40</v>
      </c>
      <c r="P763" t="s">
        <v>41</v>
      </c>
      <c r="Q763" t="s">
        <v>38</v>
      </c>
      <c r="R763">
        <v>8</v>
      </c>
      <c r="S763" t="s">
        <v>4592</v>
      </c>
      <c r="T763" t="s">
        <v>7178</v>
      </c>
      <c r="U763" t="s">
        <v>6941</v>
      </c>
      <c r="V763" t="s">
        <v>32</v>
      </c>
      <c r="W763" t="s">
        <v>33</v>
      </c>
      <c r="X763" t="s">
        <v>33</v>
      </c>
      <c r="Y763" t="s">
        <v>33</v>
      </c>
      <c r="Z763" s="5" t="s">
        <v>34</v>
      </c>
      <c r="AA763">
        <v>-75.619467560000004</v>
      </c>
      <c r="AB763">
        <v>6.1888718599999999</v>
      </c>
      <c r="AC763" t="s">
        <v>456</v>
      </c>
      <c r="AD763" t="s">
        <v>457</v>
      </c>
    </row>
    <row r="764" spans="1:30" x14ac:dyDescent="0.25">
      <c r="A764" t="s">
        <v>4593</v>
      </c>
      <c r="B764" t="s">
        <v>25</v>
      </c>
      <c r="C764" t="s">
        <v>26</v>
      </c>
      <c r="D764" t="s">
        <v>25</v>
      </c>
      <c r="E764" t="s">
        <v>4594</v>
      </c>
      <c r="F764" t="s">
        <v>4595</v>
      </c>
      <c r="G764">
        <v>800093117</v>
      </c>
      <c r="H764" t="s">
        <v>572</v>
      </c>
      <c r="I764" s="4" t="s">
        <v>262</v>
      </c>
      <c r="J764" s="4" t="s">
        <v>4106</v>
      </c>
      <c r="K764" t="s">
        <v>4596</v>
      </c>
      <c r="L764" t="s">
        <v>49</v>
      </c>
      <c r="M764" t="s">
        <v>4597</v>
      </c>
      <c r="N764" t="s">
        <v>84</v>
      </c>
      <c r="O764" t="s">
        <v>29</v>
      </c>
      <c r="P764" t="s">
        <v>55</v>
      </c>
      <c r="Q764" t="s">
        <v>31</v>
      </c>
      <c r="R764">
        <v>7</v>
      </c>
      <c r="S764" t="s">
        <v>4598</v>
      </c>
      <c r="T764" t="s">
        <v>2491</v>
      </c>
      <c r="U764" t="s">
        <v>7179</v>
      </c>
      <c r="V764" t="s">
        <v>32</v>
      </c>
      <c r="W764" t="s">
        <v>33</v>
      </c>
      <c r="X764" t="s">
        <v>33</v>
      </c>
      <c r="Y764" t="s">
        <v>33</v>
      </c>
      <c r="Z764" s="5" t="s">
        <v>34</v>
      </c>
      <c r="AA764">
        <v>-75.589465000000004</v>
      </c>
      <c r="AB764">
        <v>6.1798529999999996</v>
      </c>
      <c r="AC764" t="s">
        <v>456</v>
      </c>
      <c r="AD764" t="s">
        <v>457</v>
      </c>
    </row>
    <row r="765" spans="1:30" x14ac:dyDescent="0.25">
      <c r="A765" t="s">
        <v>4599</v>
      </c>
      <c r="B765" t="s">
        <v>25</v>
      </c>
      <c r="C765" t="s">
        <v>26</v>
      </c>
      <c r="D765" t="s">
        <v>25</v>
      </c>
      <c r="E765" t="s">
        <v>4600</v>
      </c>
      <c r="F765" t="s">
        <v>4601</v>
      </c>
      <c r="G765">
        <v>800093117</v>
      </c>
      <c r="H765" t="s">
        <v>572</v>
      </c>
      <c r="I765" s="4" t="s">
        <v>262</v>
      </c>
      <c r="J765" s="4" t="s">
        <v>4106</v>
      </c>
      <c r="K765" t="s">
        <v>4602</v>
      </c>
      <c r="L765" t="s">
        <v>49</v>
      </c>
      <c r="M765" t="s">
        <v>4603</v>
      </c>
      <c r="N765" t="s">
        <v>84</v>
      </c>
      <c r="O765" t="s">
        <v>29</v>
      </c>
      <c r="P765" t="s">
        <v>55</v>
      </c>
      <c r="Q765" t="s">
        <v>31</v>
      </c>
      <c r="R765">
        <v>7</v>
      </c>
      <c r="S765" t="s">
        <v>4604</v>
      </c>
      <c r="T765" t="s">
        <v>2490</v>
      </c>
      <c r="U765" t="s">
        <v>6417</v>
      </c>
      <c r="V765" t="s">
        <v>32</v>
      </c>
      <c r="W765" t="s">
        <v>33</v>
      </c>
      <c r="X765" t="s">
        <v>33</v>
      </c>
      <c r="Y765" t="s">
        <v>33</v>
      </c>
      <c r="Z765" s="5" t="s">
        <v>34</v>
      </c>
      <c r="AA765">
        <v>-75.589465000000004</v>
      </c>
      <c r="AB765">
        <v>6.1798529999999996</v>
      </c>
      <c r="AC765" t="s">
        <v>456</v>
      </c>
      <c r="AD765" t="s">
        <v>457</v>
      </c>
    </row>
    <row r="766" spans="1:30" x14ac:dyDescent="0.25">
      <c r="A766" t="s">
        <v>4605</v>
      </c>
      <c r="B766" t="s">
        <v>25</v>
      </c>
      <c r="C766" t="s">
        <v>26</v>
      </c>
      <c r="D766" t="s">
        <v>25</v>
      </c>
      <c r="E766" t="s">
        <v>4600</v>
      </c>
      <c r="F766" t="s">
        <v>4601</v>
      </c>
      <c r="G766">
        <v>800093117</v>
      </c>
      <c r="H766" t="s">
        <v>572</v>
      </c>
      <c r="I766" s="4" t="s">
        <v>262</v>
      </c>
      <c r="J766" s="4" t="s">
        <v>4106</v>
      </c>
      <c r="K766" t="s">
        <v>4606</v>
      </c>
      <c r="L766" t="s">
        <v>49</v>
      </c>
      <c r="M766" t="s">
        <v>4607</v>
      </c>
      <c r="N766" t="s">
        <v>84</v>
      </c>
      <c r="O766" t="s">
        <v>29</v>
      </c>
      <c r="P766" t="s">
        <v>55</v>
      </c>
      <c r="Q766" t="s">
        <v>31</v>
      </c>
      <c r="R766">
        <v>7</v>
      </c>
      <c r="S766" t="s">
        <v>4604</v>
      </c>
      <c r="T766" t="s">
        <v>2490</v>
      </c>
      <c r="U766" t="s">
        <v>6417</v>
      </c>
      <c r="V766" t="s">
        <v>32</v>
      </c>
      <c r="W766" t="s">
        <v>33</v>
      </c>
      <c r="X766" t="s">
        <v>33</v>
      </c>
      <c r="Y766" t="s">
        <v>33</v>
      </c>
      <c r="Z766" s="5" t="s">
        <v>34</v>
      </c>
      <c r="AA766">
        <v>-75.589465000000004</v>
      </c>
      <c r="AB766">
        <v>6.1798529999999996</v>
      </c>
      <c r="AC766" t="s">
        <v>456</v>
      </c>
      <c r="AD766" t="s">
        <v>457</v>
      </c>
    </row>
    <row r="767" spans="1:30" x14ac:dyDescent="0.25">
      <c r="A767" t="s">
        <v>4608</v>
      </c>
      <c r="B767" t="s">
        <v>25</v>
      </c>
      <c r="C767" t="s">
        <v>26</v>
      </c>
      <c r="D767" t="s">
        <v>25</v>
      </c>
      <c r="E767" t="s">
        <v>4600</v>
      </c>
      <c r="F767" t="s">
        <v>4601</v>
      </c>
      <c r="G767">
        <v>800093117</v>
      </c>
      <c r="H767" t="s">
        <v>572</v>
      </c>
      <c r="I767" s="4" t="s">
        <v>262</v>
      </c>
      <c r="J767" s="4" t="s">
        <v>4106</v>
      </c>
      <c r="K767" t="s">
        <v>4609</v>
      </c>
      <c r="L767" t="s">
        <v>49</v>
      </c>
      <c r="M767" t="s">
        <v>4610</v>
      </c>
      <c r="N767" t="s">
        <v>84</v>
      </c>
      <c r="O767" t="s">
        <v>29</v>
      </c>
      <c r="P767" t="s">
        <v>55</v>
      </c>
      <c r="Q767" t="s">
        <v>31</v>
      </c>
      <c r="R767">
        <v>7</v>
      </c>
      <c r="S767" t="s">
        <v>4604</v>
      </c>
      <c r="T767" t="s">
        <v>2490</v>
      </c>
      <c r="U767" t="s">
        <v>6417</v>
      </c>
      <c r="V767" t="s">
        <v>32</v>
      </c>
      <c r="W767" t="s">
        <v>33</v>
      </c>
      <c r="X767" t="s">
        <v>33</v>
      </c>
      <c r="Y767" t="s">
        <v>33</v>
      </c>
      <c r="Z767" s="5" t="s">
        <v>34</v>
      </c>
      <c r="AA767">
        <v>-75.589465000000004</v>
      </c>
      <c r="AB767">
        <v>6.1798529999999996</v>
      </c>
      <c r="AC767" t="s">
        <v>456</v>
      </c>
      <c r="AD767" t="s">
        <v>457</v>
      </c>
    </row>
    <row r="768" spans="1:30" x14ac:dyDescent="0.25">
      <c r="A768" t="s">
        <v>4611</v>
      </c>
      <c r="B768" t="s">
        <v>25</v>
      </c>
      <c r="C768" t="s">
        <v>26</v>
      </c>
      <c r="D768" t="s">
        <v>25</v>
      </c>
      <c r="E768" t="s">
        <v>4612</v>
      </c>
      <c r="F768" t="s">
        <v>4613</v>
      </c>
      <c r="G768">
        <v>800093117</v>
      </c>
      <c r="H768" t="s">
        <v>572</v>
      </c>
      <c r="I768" s="4" t="s">
        <v>262</v>
      </c>
      <c r="J768" s="4" t="s">
        <v>4106</v>
      </c>
      <c r="K768" t="s">
        <v>4614</v>
      </c>
      <c r="L768" t="s">
        <v>49</v>
      </c>
      <c r="M768" t="s">
        <v>4615</v>
      </c>
      <c r="N768" t="s">
        <v>84</v>
      </c>
      <c r="O768" t="s">
        <v>29</v>
      </c>
      <c r="P768" t="s">
        <v>55</v>
      </c>
      <c r="Q768" t="s">
        <v>31</v>
      </c>
      <c r="R768">
        <v>7</v>
      </c>
      <c r="S768" t="s">
        <v>4616</v>
      </c>
      <c r="T768" t="s">
        <v>2608</v>
      </c>
      <c r="U768" t="s">
        <v>7180</v>
      </c>
      <c r="V768" t="s">
        <v>32</v>
      </c>
      <c r="W768" t="s">
        <v>33</v>
      </c>
      <c r="X768" t="s">
        <v>33</v>
      </c>
      <c r="Y768" t="s">
        <v>33</v>
      </c>
      <c r="Z768" s="5" t="s">
        <v>34</v>
      </c>
      <c r="AA768">
        <v>-75.589465000000004</v>
      </c>
      <c r="AB768">
        <v>6.1798529999999996</v>
      </c>
      <c r="AC768" t="s">
        <v>456</v>
      </c>
      <c r="AD768" t="s">
        <v>457</v>
      </c>
    </row>
    <row r="769" spans="1:30" x14ac:dyDescent="0.25">
      <c r="A769" t="s">
        <v>4617</v>
      </c>
      <c r="B769" t="s">
        <v>25</v>
      </c>
      <c r="C769" t="s">
        <v>26</v>
      </c>
      <c r="D769" t="s">
        <v>25</v>
      </c>
      <c r="E769" t="s">
        <v>4618</v>
      </c>
      <c r="F769" t="s">
        <v>4619</v>
      </c>
      <c r="G769">
        <v>800093117</v>
      </c>
      <c r="H769" t="s">
        <v>572</v>
      </c>
      <c r="I769" s="4" t="s">
        <v>262</v>
      </c>
      <c r="J769" s="4" t="s">
        <v>4106</v>
      </c>
      <c r="K769" t="s">
        <v>4620</v>
      </c>
      <c r="L769" t="s">
        <v>49</v>
      </c>
      <c r="M769" t="s">
        <v>4621</v>
      </c>
      <c r="N769" t="s">
        <v>84</v>
      </c>
      <c r="O769" t="s">
        <v>29</v>
      </c>
      <c r="P769" t="s">
        <v>55</v>
      </c>
      <c r="Q769" t="s">
        <v>31</v>
      </c>
      <c r="R769">
        <v>7</v>
      </c>
      <c r="S769" t="s">
        <v>4622</v>
      </c>
      <c r="T769" t="s">
        <v>7181</v>
      </c>
      <c r="U769" t="s">
        <v>7182</v>
      </c>
      <c r="V769" t="s">
        <v>32</v>
      </c>
      <c r="W769" t="s">
        <v>33</v>
      </c>
      <c r="X769" t="s">
        <v>33</v>
      </c>
      <c r="Y769" t="s">
        <v>33</v>
      </c>
      <c r="Z769" s="5" t="s">
        <v>34</v>
      </c>
      <c r="AA769">
        <v>-75.589465000000004</v>
      </c>
      <c r="AB769">
        <v>6.1798529999999996</v>
      </c>
      <c r="AC769" t="s">
        <v>456</v>
      </c>
      <c r="AD769" t="s">
        <v>457</v>
      </c>
    </row>
    <row r="770" spans="1:30" x14ac:dyDescent="0.25">
      <c r="A770" t="s">
        <v>4623</v>
      </c>
      <c r="B770" t="s">
        <v>25</v>
      </c>
      <c r="C770" t="s">
        <v>26</v>
      </c>
      <c r="D770" t="s">
        <v>25</v>
      </c>
      <c r="E770" t="s">
        <v>4624</v>
      </c>
      <c r="F770" t="s">
        <v>4625</v>
      </c>
      <c r="G770">
        <v>800093117</v>
      </c>
      <c r="H770" t="s">
        <v>572</v>
      </c>
      <c r="I770" s="4" t="s">
        <v>262</v>
      </c>
      <c r="J770" s="4" t="s">
        <v>4106</v>
      </c>
      <c r="K770" t="s">
        <v>4626</v>
      </c>
      <c r="L770" t="s">
        <v>49</v>
      </c>
      <c r="M770" t="s">
        <v>4627</v>
      </c>
      <c r="N770" t="s">
        <v>84</v>
      </c>
      <c r="O770" t="s">
        <v>29</v>
      </c>
      <c r="P770" t="s">
        <v>55</v>
      </c>
      <c r="Q770" t="s">
        <v>31</v>
      </c>
      <c r="R770">
        <v>7</v>
      </c>
      <c r="S770" t="s">
        <v>4628</v>
      </c>
      <c r="T770" t="s">
        <v>7181</v>
      </c>
      <c r="U770" t="s">
        <v>7182</v>
      </c>
      <c r="V770" t="s">
        <v>32</v>
      </c>
      <c r="W770" t="s">
        <v>33</v>
      </c>
      <c r="X770" t="s">
        <v>33</v>
      </c>
      <c r="Y770" t="s">
        <v>33</v>
      </c>
      <c r="Z770" s="5" t="s">
        <v>34</v>
      </c>
      <c r="AA770">
        <v>-75.589465000000004</v>
      </c>
      <c r="AB770">
        <v>6.1798529999999996</v>
      </c>
      <c r="AC770" t="s">
        <v>456</v>
      </c>
      <c r="AD770" t="s">
        <v>457</v>
      </c>
    </row>
    <row r="771" spans="1:30" x14ac:dyDescent="0.25">
      <c r="A771" t="s">
        <v>4629</v>
      </c>
      <c r="B771" t="s">
        <v>25</v>
      </c>
      <c r="C771" t="s">
        <v>26</v>
      </c>
      <c r="D771" t="s">
        <v>25</v>
      </c>
      <c r="E771" t="s">
        <v>4630</v>
      </c>
      <c r="F771" t="s">
        <v>4631</v>
      </c>
      <c r="G771">
        <v>800093117</v>
      </c>
      <c r="H771" t="s">
        <v>572</v>
      </c>
      <c r="I771" s="4" t="s">
        <v>262</v>
      </c>
      <c r="J771" s="4" t="s">
        <v>4106</v>
      </c>
      <c r="K771" t="s">
        <v>4632</v>
      </c>
      <c r="L771" t="s">
        <v>49</v>
      </c>
      <c r="M771" t="s">
        <v>4633</v>
      </c>
      <c r="N771" t="s">
        <v>84</v>
      </c>
      <c r="O771" t="s">
        <v>29</v>
      </c>
      <c r="P771" t="s">
        <v>55</v>
      </c>
      <c r="Q771" t="s">
        <v>31</v>
      </c>
      <c r="R771">
        <v>7</v>
      </c>
      <c r="S771" t="s">
        <v>4634</v>
      </c>
      <c r="T771" t="s">
        <v>7181</v>
      </c>
      <c r="U771" t="s">
        <v>7182</v>
      </c>
      <c r="V771" t="s">
        <v>32</v>
      </c>
      <c r="W771" t="s">
        <v>33</v>
      </c>
      <c r="X771" t="s">
        <v>33</v>
      </c>
      <c r="Y771" t="s">
        <v>33</v>
      </c>
      <c r="Z771" s="5" t="s">
        <v>34</v>
      </c>
      <c r="AA771">
        <v>-75.589465000000004</v>
      </c>
      <c r="AB771">
        <v>6.1798529999999996</v>
      </c>
      <c r="AC771" t="s">
        <v>456</v>
      </c>
      <c r="AD771" t="s">
        <v>457</v>
      </c>
    </row>
    <row r="772" spans="1:30" x14ac:dyDescent="0.25">
      <c r="A772" t="s">
        <v>4635</v>
      </c>
      <c r="B772" t="s">
        <v>25</v>
      </c>
      <c r="C772" t="s">
        <v>26</v>
      </c>
      <c r="D772" t="s">
        <v>25</v>
      </c>
      <c r="E772" t="s">
        <v>4636</v>
      </c>
      <c r="F772" t="s">
        <v>4637</v>
      </c>
      <c r="G772">
        <v>800093117</v>
      </c>
      <c r="H772" t="s">
        <v>572</v>
      </c>
      <c r="I772" s="4" t="s">
        <v>262</v>
      </c>
      <c r="J772" s="4" t="s">
        <v>4106</v>
      </c>
      <c r="K772" t="s">
        <v>4638</v>
      </c>
      <c r="L772" t="s">
        <v>49</v>
      </c>
      <c r="M772" t="s">
        <v>4639</v>
      </c>
      <c r="N772" t="s">
        <v>84</v>
      </c>
      <c r="O772" t="s">
        <v>29</v>
      </c>
      <c r="P772" t="s">
        <v>55</v>
      </c>
      <c r="Q772" t="s">
        <v>31</v>
      </c>
      <c r="R772">
        <v>7</v>
      </c>
      <c r="S772" t="s">
        <v>4640</v>
      </c>
      <c r="T772" t="s">
        <v>7183</v>
      </c>
      <c r="U772" t="s">
        <v>7184</v>
      </c>
      <c r="V772" t="s">
        <v>32</v>
      </c>
      <c r="W772" t="s">
        <v>33</v>
      </c>
      <c r="X772" t="s">
        <v>33</v>
      </c>
      <c r="Y772" t="s">
        <v>33</v>
      </c>
      <c r="Z772" s="5" t="s">
        <v>34</v>
      </c>
      <c r="AA772">
        <v>-75.589465000000004</v>
      </c>
      <c r="AB772">
        <v>6.1798529999999996</v>
      </c>
      <c r="AC772" t="s">
        <v>456</v>
      </c>
      <c r="AD772" t="s">
        <v>457</v>
      </c>
    </row>
    <row r="773" spans="1:30" x14ac:dyDescent="0.25">
      <c r="A773" t="s">
        <v>5812</v>
      </c>
      <c r="B773" t="s">
        <v>81</v>
      </c>
      <c r="C773" t="s">
        <v>26</v>
      </c>
      <c r="D773" t="s">
        <v>81</v>
      </c>
      <c r="E773" t="s">
        <v>5813</v>
      </c>
      <c r="F773" t="s">
        <v>5814</v>
      </c>
      <c r="G773">
        <v>1128483026</v>
      </c>
      <c r="H773" t="s">
        <v>5815</v>
      </c>
      <c r="I773" s="4" t="s">
        <v>35</v>
      </c>
      <c r="J773" s="4" t="s">
        <v>5816</v>
      </c>
      <c r="K773" t="s">
        <v>5817</v>
      </c>
      <c r="L773" t="s">
        <v>27</v>
      </c>
      <c r="M773" t="s">
        <v>5818</v>
      </c>
      <c r="N773" t="s">
        <v>28</v>
      </c>
      <c r="O773" t="s">
        <v>82</v>
      </c>
      <c r="P773" t="s">
        <v>83</v>
      </c>
      <c r="Q773" t="s">
        <v>31</v>
      </c>
      <c r="R773">
        <v>4</v>
      </c>
      <c r="S773" t="s">
        <v>5819</v>
      </c>
      <c r="T773" t="s">
        <v>7185</v>
      </c>
      <c r="U773" t="s">
        <v>7185</v>
      </c>
      <c r="V773" t="s">
        <v>50</v>
      </c>
      <c r="W773" t="s">
        <v>33</v>
      </c>
      <c r="X773" t="s">
        <v>33</v>
      </c>
      <c r="Y773" t="s">
        <v>33</v>
      </c>
      <c r="Z773" s="5" t="s">
        <v>34</v>
      </c>
      <c r="AA773">
        <v>-75.604632289999998</v>
      </c>
      <c r="AB773">
        <v>6.2123805499999998</v>
      </c>
      <c r="AC773" t="s">
        <v>456</v>
      </c>
      <c r="AD773" t="s">
        <v>457</v>
      </c>
    </row>
    <row r="774" spans="1:30" x14ac:dyDescent="0.25">
      <c r="A774" t="s">
        <v>4962</v>
      </c>
      <c r="B774" t="s">
        <v>25</v>
      </c>
      <c r="C774" t="s">
        <v>26</v>
      </c>
      <c r="D774" t="s">
        <v>39</v>
      </c>
      <c r="E774" t="s">
        <v>4963</v>
      </c>
      <c r="F774" t="s">
        <v>4964</v>
      </c>
      <c r="G774">
        <v>43633882</v>
      </c>
      <c r="H774" t="s">
        <v>4965</v>
      </c>
      <c r="I774" s="4" t="s">
        <v>35</v>
      </c>
      <c r="J774" s="4" t="s">
        <v>4966</v>
      </c>
      <c r="K774" t="s">
        <v>4967</v>
      </c>
      <c r="L774" t="s">
        <v>27</v>
      </c>
      <c r="M774" t="s">
        <v>4968</v>
      </c>
      <c r="N774" t="s">
        <v>28</v>
      </c>
      <c r="O774" t="s">
        <v>40</v>
      </c>
      <c r="P774" t="s">
        <v>41</v>
      </c>
      <c r="Q774" t="s">
        <v>38</v>
      </c>
      <c r="R774">
        <v>8</v>
      </c>
      <c r="S774" t="s">
        <v>4969</v>
      </c>
      <c r="T774" t="s">
        <v>7186</v>
      </c>
      <c r="U774" t="s">
        <v>7187</v>
      </c>
      <c r="V774" t="s">
        <v>32</v>
      </c>
      <c r="W774" t="s">
        <v>33</v>
      </c>
      <c r="X774" t="s">
        <v>33</v>
      </c>
      <c r="Y774" t="s">
        <v>33</v>
      </c>
      <c r="Z774" s="5" t="s">
        <v>34</v>
      </c>
      <c r="AA774">
        <v>-75.476114219999999</v>
      </c>
      <c r="AB774">
        <v>6.2373210400000003</v>
      </c>
      <c r="AC774" t="s">
        <v>456</v>
      </c>
      <c r="AD774" t="s">
        <v>457</v>
      </c>
    </row>
    <row r="775" spans="1:30" x14ac:dyDescent="0.25">
      <c r="A775" t="s">
        <v>4641</v>
      </c>
      <c r="B775" t="s">
        <v>42</v>
      </c>
      <c r="C775" t="s">
        <v>26</v>
      </c>
      <c r="D775" t="s">
        <v>42</v>
      </c>
      <c r="E775" t="s">
        <v>4642</v>
      </c>
      <c r="F775" t="s">
        <v>4643</v>
      </c>
      <c r="G775">
        <v>901622514</v>
      </c>
      <c r="H775" t="s">
        <v>4644</v>
      </c>
      <c r="I775" s="4" t="s">
        <v>35</v>
      </c>
      <c r="J775" s="4" t="s">
        <v>4645</v>
      </c>
      <c r="K775" t="s">
        <v>4646</v>
      </c>
      <c r="L775" t="s">
        <v>27</v>
      </c>
      <c r="M775" t="s">
        <v>4647</v>
      </c>
      <c r="N775" t="s">
        <v>28</v>
      </c>
      <c r="O775" t="s">
        <v>43</v>
      </c>
      <c r="P775" t="s">
        <v>55</v>
      </c>
      <c r="Q775" t="s">
        <v>31</v>
      </c>
      <c r="R775">
        <v>7</v>
      </c>
      <c r="S775" t="s">
        <v>4648</v>
      </c>
      <c r="T775" t="s">
        <v>7188</v>
      </c>
      <c r="U775" t="s">
        <v>7189</v>
      </c>
      <c r="V775" t="s">
        <v>32</v>
      </c>
      <c r="W775" t="s">
        <v>33</v>
      </c>
      <c r="X775" t="s">
        <v>33</v>
      </c>
      <c r="Y775" t="s">
        <v>33</v>
      </c>
      <c r="Z775" s="5" t="s">
        <v>34</v>
      </c>
      <c r="AA775">
        <v>-75.584361999999999</v>
      </c>
      <c r="AB775">
        <v>6.244567</v>
      </c>
      <c r="AC775" t="s">
        <v>456</v>
      </c>
      <c r="AD775" t="s">
        <v>457</v>
      </c>
    </row>
    <row r="776" spans="1:30" x14ac:dyDescent="0.25">
      <c r="A776" t="s">
        <v>5820</v>
      </c>
      <c r="B776" t="s">
        <v>81</v>
      </c>
      <c r="C776" t="s">
        <v>26</v>
      </c>
      <c r="D776" t="s">
        <v>81</v>
      </c>
      <c r="E776" t="s">
        <v>5821</v>
      </c>
      <c r="F776" t="s">
        <v>5822</v>
      </c>
      <c r="G776">
        <v>70073924</v>
      </c>
      <c r="H776" t="s">
        <v>5823</v>
      </c>
      <c r="I776" s="4" t="s">
        <v>5824</v>
      </c>
      <c r="J776" s="4" t="s">
        <v>5825</v>
      </c>
      <c r="K776" t="s">
        <v>5826</v>
      </c>
      <c r="L776" t="s">
        <v>44</v>
      </c>
      <c r="M776" t="s">
        <v>5827</v>
      </c>
      <c r="N776" t="s">
        <v>45</v>
      </c>
      <c r="O776" t="s">
        <v>82</v>
      </c>
      <c r="P776" t="s">
        <v>83</v>
      </c>
      <c r="Q776" t="s">
        <v>31</v>
      </c>
      <c r="R776">
        <v>4</v>
      </c>
      <c r="S776" t="s">
        <v>5828</v>
      </c>
      <c r="T776" t="s">
        <v>2535</v>
      </c>
      <c r="U776" t="s">
        <v>2535</v>
      </c>
      <c r="V776" t="s">
        <v>50</v>
      </c>
      <c r="W776" t="s">
        <v>33</v>
      </c>
      <c r="X776" t="s">
        <v>33</v>
      </c>
      <c r="Y776" t="s">
        <v>33</v>
      </c>
      <c r="Z776" s="5" t="s">
        <v>34</v>
      </c>
      <c r="AA776">
        <v>-75.593209999999999</v>
      </c>
      <c r="AB776">
        <v>6.1829090000000004</v>
      </c>
      <c r="AC776" t="s">
        <v>456</v>
      </c>
      <c r="AD776" t="s">
        <v>457</v>
      </c>
    </row>
    <row r="777" spans="1:30" x14ac:dyDescent="0.25">
      <c r="A777" t="s">
        <v>4970</v>
      </c>
      <c r="B777" t="s">
        <v>25</v>
      </c>
      <c r="C777" t="s">
        <v>26</v>
      </c>
      <c r="D777" t="s">
        <v>39</v>
      </c>
      <c r="E777" t="s">
        <v>4971</v>
      </c>
      <c r="F777" t="s">
        <v>4972</v>
      </c>
      <c r="G777">
        <v>10774441473</v>
      </c>
      <c r="H777" t="s">
        <v>4973</v>
      </c>
      <c r="I777" s="4" t="s">
        <v>35</v>
      </c>
      <c r="J777" s="4" t="s">
        <v>4974</v>
      </c>
      <c r="K777" t="s">
        <v>4975</v>
      </c>
      <c r="L777" t="s">
        <v>27</v>
      </c>
      <c r="M777" t="s">
        <v>4976</v>
      </c>
      <c r="N777" t="s">
        <v>28</v>
      </c>
      <c r="O777" t="s">
        <v>40</v>
      </c>
      <c r="P777" t="s">
        <v>41</v>
      </c>
      <c r="Q777" t="s">
        <v>31</v>
      </c>
      <c r="R777">
        <v>5</v>
      </c>
      <c r="S777" t="s">
        <v>4977</v>
      </c>
      <c r="T777" t="s">
        <v>7190</v>
      </c>
      <c r="U777" t="s">
        <v>7191</v>
      </c>
      <c r="V777" t="s">
        <v>32</v>
      </c>
      <c r="W777" t="s">
        <v>33</v>
      </c>
      <c r="X777" t="s">
        <v>33</v>
      </c>
      <c r="Y777" t="s">
        <v>33</v>
      </c>
      <c r="Z777" s="5" t="s">
        <v>34</v>
      </c>
      <c r="AA777">
        <v>-75.538904900000006</v>
      </c>
      <c r="AB777">
        <v>6.2555585200000001</v>
      </c>
      <c r="AC777" t="s">
        <v>456</v>
      </c>
      <c r="AD777" t="s">
        <v>457</v>
      </c>
    </row>
    <row r="778" spans="1:30" x14ac:dyDescent="0.25">
      <c r="A778" t="s">
        <v>7192</v>
      </c>
      <c r="B778" t="s">
        <v>42</v>
      </c>
      <c r="C778" t="s">
        <v>166</v>
      </c>
      <c r="D778" t="s">
        <v>42</v>
      </c>
      <c r="E778" t="s">
        <v>7193</v>
      </c>
      <c r="F778" t="s">
        <v>7194</v>
      </c>
      <c r="G778">
        <v>901122122</v>
      </c>
      <c r="H778" t="s">
        <v>7195</v>
      </c>
      <c r="I778" s="4" t="s">
        <v>7196</v>
      </c>
      <c r="J778" s="4" t="s">
        <v>7197</v>
      </c>
      <c r="K778" t="s">
        <v>7198</v>
      </c>
      <c r="L778" t="s">
        <v>27</v>
      </c>
      <c r="M778" t="s">
        <v>7199</v>
      </c>
      <c r="N778" t="s">
        <v>28</v>
      </c>
      <c r="O778" t="s">
        <v>167</v>
      </c>
      <c r="P778" t="s">
        <v>30</v>
      </c>
      <c r="Q778" t="s">
        <v>31</v>
      </c>
      <c r="R778">
        <v>7</v>
      </c>
      <c r="S778" t="s">
        <v>7200</v>
      </c>
      <c r="T778" t="s">
        <v>7201</v>
      </c>
      <c r="U778" t="s">
        <v>6523</v>
      </c>
      <c r="V778" t="s">
        <v>32</v>
      </c>
      <c r="W778" t="s">
        <v>33</v>
      </c>
      <c r="X778" t="s">
        <v>33</v>
      </c>
      <c r="Y778" t="s">
        <v>33</v>
      </c>
      <c r="Z778" s="5" t="s">
        <v>34</v>
      </c>
      <c r="AA778">
        <v>-75.559579999999997</v>
      </c>
      <c r="AB778">
        <v>6.2186110000000001</v>
      </c>
      <c r="AC778" t="s">
        <v>456</v>
      </c>
      <c r="AD778" t="s">
        <v>457</v>
      </c>
    </row>
    <row r="779" spans="1:30" x14ac:dyDescent="0.25">
      <c r="A779" t="s">
        <v>5829</v>
      </c>
      <c r="B779" t="s">
        <v>25</v>
      </c>
      <c r="C779" t="s">
        <v>26</v>
      </c>
      <c r="D779" t="s">
        <v>25</v>
      </c>
      <c r="E779" t="s">
        <v>5830</v>
      </c>
      <c r="F779" t="s">
        <v>5831</v>
      </c>
      <c r="G779">
        <v>98533798</v>
      </c>
      <c r="H779" t="s">
        <v>5832</v>
      </c>
      <c r="I779" s="4" t="s">
        <v>35</v>
      </c>
      <c r="J779" s="4" t="s">
        <v>5833</v>
      </c>
      <c r="K779" t="s">
        <v>5834</v>
      </c>
      <c r="L779" t="s">
        <v>44</v>
      </c>
      <c r="M779" t="s">
        <v>5835</v>
      </c>
      <c r="N779" t="s">
        <v>45</v>
      </c>
      <c r="O779" t="s">
        <v>29</v>
      </c>
      <c r="P779" t="s">
        <v>37</v>
      </c>
      <c r="Q779" t="s">
        <v>31</v>
      </c>
      <c r="R779">
        <v>7</v>
      </c>
      <c r="S779" t="s">
        <v>5836</v>
      </c>
      <c r="T779" t="s">
        <v>7202</v>
      </c>
      <c r="U779" t="s">
        <v>7203</v>
      </c>
      <c r="V779" t="s">
        <v>32</v>
      </c>
      <c r="W779" t="s">
        <v>33</v>
      </c>
      <c r="X779" t="s">
        <v>33</v>
      </c>
      <c r="Y779" t="s">
        <v>33</v>
      </c>
      <c r="Z779" s="5" t="s">
        <v>34</v>
      </c>
      <c r="AA779">
        <v>-75.5981697</v>
      </c>
      <c r="AB779">
        <v>6.1936771300000002</v>
      </c>
      <c r="AC779" t="s">
        <v>456</v>
      </c>
      <c r="AD779" t="s">
        <v>457</v>
      </c>
    </row>
    <row r="780" spans="1:30" x14ac:dyDescent="0.25">
      <c r="A780" t="s">
        <v>4978</v>
      </c>
      <c r="B780" t="s">
        <v>25</v>
      </c>
      <c r="C780" t="s">
        <v>26</v>
      </c>
      <c r="D780" t="s">
        <v>39</v>
      </c>
      <c r="E780" t="s">
        <v>4979</v>
      </c>
      <c r="F780" t="s">
        <v>4980</v>
      </c>
      <c r="G780">
        <v>1026158765</v>
      </c>
      <c r="H780" t="s">
        <v>4981</v>
      </c>
      <c r="I780" s="4" t="s">
        <v>35</v>
      </c>
      <c r="J780" s="4" t="s">
        <v>4982</v>
      </c>
      <c r="K780" t="s">
        <v>4983</v>
      </c>
      <c r="L780" t="s">
        <v>77</v>
      </c>
      <c r="M780" t="s">
        <v>4984</v>
      </c>
      <c r="N780" t="s">
        <v>78</v>
      </c>
      <c r="O780" t="s">
        <v>40</v>
      </c>
      <c r="P780" t="s">
        <v>36</v>
      </c>
      <c r="Q780" t="s">
        <v>38</v>
      </c>
      <c r="R780">
        <v>8</v>
      </c>
      <c r="S780" t="s">
        <v>4985</v>
      </c>
      <c r="T780" t="s">
        <v>4899</v>
      </c>
      <c r="U780" t="s">
        <v>7204</v>
      </c>
      <c r="V780" t="s">
        <v>32</v>
      </c>
      <c r="W780" t="s">
        <v>33</v>
      </c>
      <c r="X780" t="s">
        <v>33</v>
      </c>
      <c r="Y780" t="s">
        <v>33</v>
      </c>
      <c r="Z780" s="5" t="s">
        <v>34</v>
      </c>
      <c r="AA780">
        <v>-75.626033230000004</v>
      </c>
      <c r="AB780">
        <v>6.08803976</v>
      </c>
      <c r="AC780" t="s">
        <v>456</v>
      </c>
      <c r="AD780" t="s">
        <v>457</v>
      </c>
    </row>
    <row r="781" spans="1:30" x14ac:dyDescent="0.25">
      <c r="A781" t="s">
        <v>5081</v>
      </c>
      <c r="B781" t="s">
        <v>95</v>
      </c>
      <c r="C781" t="s">
        <v>26</v>
      </c>
      <c r="D781" t="s">
        <v>96</v>
      </c>
      <c r="E781" t="s">
        <v>5082</v>
      </c>
      <c r="F781" t="s">
        <v>5083</v>
      </c>
      <c r="G781">
        <v>43694102</v>
      </c>
      <c r="H781" t="s">
        <v>5084</v>
      </c>
      <c r="I781" s="4" t="s">
        <v>35</v>
      </c>
      <c r="J781" s="4" t="s">
        <v>5085</v>
      </c>
      <c r="K781" t="s">
        <v>5086</v>
      </c>
      <c r="L781" t="s">
        <v>27</v>
      </c>
      <c r="M781" t="s">
        <v>5087</v>
      </c>
      <c r="N781" t="s">
        <v>28</v>
      </c>
      <c r="O781" t="s">
        <v>103</v>
      </c>
      <c r="P781" t="s">
        <v>158</v>
      </c>
      <c r="Q781" t="s">
        <v>38</v>
      </c>
      <c r="R781">
        <v>14</v>
      </c>
      <c r="S781" t="s">
        <v>5088</v>
      </c>
      <c r="T781" t="s">
        <v>7205</v>
      </c>
      <c r="U781" t="s">
        <v>7206</v>
      </c>
      <c r="V781" t="s">
        <v>32</v>
      </c>
      <c r="W781" t="s">
        <v>33</v>
      </c>
      <c r="X781" t="s">
        <v>33</v>
      </c>
      <c r="Y781" t="s">
        <v>33</v>
      </c>
      <c r="Z781" s="5" t="s">
        <v>34</v>
      </c>
      <c r="AA781">
        <v>-75.609136399999997</v>
      </c>
      <c r="AB781">
        <v>6.2731417699999996</v>
      </c>
      <c r="AC781" t="s">
        <v>456</v>
      </c>
      <c r="AD781" t="s">
        <v>457</v>
      </c>
    </row>
    <row r="782" spans="1:30" x14ac:dyDescent="0.25">
      <c r="A782" t="s">
        <v>4986</v>
      </c>
      <c r="B782" t="s">
        <v>25</v>
      </c>
      <c r="C782" t="s">
        <v>26</v>
      </c>
      <c r="D782" t="s">
        <v>39</v>
      </c>
      <c r="E782" t="s">
        <v>4987</v>
      </c>
      <c r="F782" t="s">
        <v>4988</v>
      </c>
      <c r="G782">
        <v>42765675</v>
      </c>
      <c r="H782" t="s">
        <v>4328</v>
      </c>
      <c r="I782" s="4" t="s">
        <v>35</v>
      </c>
      <c r="J782" s="4" t="s">
        <v>4329</v>
      </c>
      <c r="K782" t="s">
        <v>4989</v>
      </c>
      <c r="L782" t="s">
        <v>44</v>
      </c>
      <c r="M782" t="s">
        <v>4990</v>
      </c>
      <c r="N782" t="s">
        <v>45</v>
      </c>
      <c r="O782" t="s">
        <v>40</v>
      </c>
      <c r="P782" t="s">
        <v>41</v>
      </c>
      <c r="Q782" t="s">
        <v>31</v>
      </c>
      <c r="R782">
        <v>5</v>
      </c>
      <c r="S782" t="s">
        <v>4991</v>
      </c>
      <c r="T782" t="s">
        <v>7207</v>
      </c>
      <c r="U782" t="s">
        <v>7208</v>
      </c>
      <c r="V782" t="s">
        <v>32</v>
      </c>
      <c r="W782" t="s">
        <v>33</v>
      </c>
      <c r="X782" t="s">
        <v>33</v>
      </c>
      <c r="Y782" t="s">
        <v>33</v>
      </c>
      <c r="Z782" s="5" t="s">
        <v>34</v>
      </c>
      <c r="AA782">
        <v>-75.606214100000003</v>
      </c>
      <c r="AB782">
        <v>6.1778493900000004</v>
      </c>
      <c r="AC782" t="s">
        <v>456</v>
      </c>
      <c r="AD782" t="s">
        <v>457</v>
      </c>
    </row>
    <row r="783" spans="1:30" x14ac:dyDescent="0.25">
      <c r="A783" t="s">
        <v>7209</v>
      </c>
      <c r="B783" t="s">
        <v>25</v>
      </c>
      <c r="C783" t="s">
        <v>26</v>
      </c>
      <c r="D783" t="s">
        <v>25</v>
      </c>
      <c r="E783" t="s">
        <v>7210</v>
      </c>
      <c r="F783" t="s">
        <v>7211</v>
      </c>
      <c r="G783">
        <v>800093117</v>
      </c>
      <c r="H783" t="s">
        <v>572</v>
      </c>
      <c r="I783" s="4" t="s">
        <v>262</v>
      </c>
      <c r="J783" s="4" t="s">
        <v>4106</v>
      </c>
      <c r="K783" t="s">
        <v>7212</v>
      </c>
      <c r="L783" t="s">
        <v>49</v>
      </c>
      <c r="M783" t="s">
        <v>7213</v>
      </c>
      <c r="N783" t="s">
        <v>84</v>
      </c>
      <c r="O783" t="s">
        <v>29</v>
      </c>
      <c r="P783" t="s">
        <v>55</v>
      </c>
      <c r="Q783" t="s">
        <v>31</v>
      </c>
      <c r="R783">
        <v>7</v>
      </c>
      <c r="S783" t="s">
        <v>7214</v>
      </c>
      <c r="T783" t="s">
        <v>7215</v>
      </c>
      <c r="U783" t="s">
        <v>7216</v>
      </c>
      <c r="V783" t="s">
        <v>32</v>
      </c>
      <c r="W783" t="s">
        <v>33</v>
      </c>
      <c r="X783" t="s">
        <v>33</v>
      </c>
      <c r="Y783" t="s">
        <v>33</v>
      </c>
      <c r="Z783" s="5" t="s">
        <v>34</v>
      </c>
      <c r="AA783">
        <v>-75.589465000000004</v>
      </c>
      <c r="AB783">
        <v>6.1798529999999996</v>
      </c>
      <c r="AC783" t="s">
        <v>456</v>
      </c>
      <c r="AD783" t="s">
        <v>457</v>
      </c>
    </row>
    <row r="784" spans="1:30" x14ac:dyDescent="0.25">
      <c r="A784" t="s">
        <v>4992</v>
      </c>
      <c r="B784" t="s">
        <v>25</v>
      </c>
      <c r="C784" t="s">
        <v>26</v>
      </c>
      <c r="D784" t="s">
        <v>25</v>
      </c>
      <c r="E784" t="s">
        <v>4993</v>
      </c>
      <c r="F784" t="s">
        <v>4994</v>
      </c>
      <c r="G784">
        <v>71799202</v>
      </c>
      <c r="H784" t="s">
        <v>2304</v>
      </c>
      <c r="I784" s="4" t="s">
        <v>35</v>
      </c>
      <c r="J784" s="4" t="s">
        <v>4995</v>
      </c>
      <c r="K784" t="s">
        <v>4996</v>
      </c>
      <c r="L784" t="s">
        <v>27</v>
      </c>
      <c r="M784" t="s">
        <v>4997</v>
      </c>
      <c r="N784" t="s">
        <v>28</v>
      </c>
      <c r="O784" t="s">
        <v>29</v>
      </c>
      <c r="P784" t="s">
        <v>36</v>
      </c>
      <c r="Q784" t="s">
        <v>31</v>
      </c>
      <c r="R784">
        <v>7</v>
      </c>
      <c r="S784" t="s">
        <v>4998</v>
      </c>
      <c r="T784" t="s">
        <v>7215</v>
      </c>
      <c r="U784" t="s">
        <v>7216</v>
      </c>
      <c r="V784" t="s">
        <v>32</v>
      </c>
      <c r="W784" t="s">
        <v>33</v>
      </c>
      <c r="X784" t="s">
        <v>33</v>
      </c>
      <c r="Y784" t="s">
        <v>33</v>
      </c>
      <c r="Z784" s="5" t="s">
        <v>34</v>
      </c>
      <c r="AA784">
        <v>-75.559316510000002</v>
      </c>
      <c r="AB784">
        <v>6.2588269600000004</v>
      </c>
      <c r="AC784" t="s">
        <v>456</v>
      </c>
      <c r="AD784" t="s">
        <v>457</v>
      </c>
    </row>
    <row r="785" spans="1:30" x14ac:dyDescent="0.25">
      <c r="A785" t="s">
        <v>7217</v>
      </c>
      <c r="B785" t="s">
        <v>25</v>
      </c>
      <c r="C785" t="s">
        <v>166</v>
      </c>
      <c r="D785" t="s">
        <v>25</v>
      </c>
      <c r="E785" t="s">
        <v>7218</v>
      </c>
      <c r="F785" t="s">
        <v>7219</v>
      </c>
      <c r="G785">
        <v>71621700</v>
      </c>
      <c r="H785" t="s">
        <v>7220</v>
      </c>
      <c r="I785" s="4" t="s">
        <v>35</v>
      </c>
      <c r="J785" s="4" t="s">
        <v>7221</v>
      </c>
      <c r="K785" t="s">
        <v>7222</v>
      </c>
      <c r="L785" t="s">
        <v>27</v>
      </c>
      <c r="M785" t="s">
        <v>7223</v>
      </c>
      <c r="N785" t="s">
        <v>28</v>
      </c>
      <c r="O785" t="s">
        <v>467</v>
      </c>
      <c r="P785" t="s">
        <v>30</v>
      </c>
      <c r="Q785" t="s">
        <v>31</v>
      </c>
      <c r="R785">
        <v>7</v>
      </c>
      <c r="S785" t="s">
        <v>7224</v>
      </c>
      <c r="T785" t="s">
        <v>7225</v>
      </c>
      <c r="U785" t="s">
        <v>7226</v>
      </c>
      <c r="V785" t="s">
        <v>32</v>
      </c>
      <c r="W785" t="s">
        <v>33</v>
      </c>
      <c r="X785" t="s">
        <v>33</v>
      </c>
      <c r="Y785" t="s">
        <v>33</v>
      </c>
      <c r="Z785" s="5" t="s">
        <v>34</v>
      </c>
      <c r="AA785">
        <v>-75.563589320000006</v>
      </c>
      <c r="AB785">
        <v>6.2063046699999997</v>
      </c>
      <c r="AC785" t="s">
        <v>456</v>
      </c>
      <c r="AD785" t="s">
        <v>457</v>
      </c>
    </row>
    <row r="786" spans="1:30" x14ac:dyDescent="0.25">
      <c r="A786" t="s">
        <v>5089</v>
      </c>
      <c r="B786" t="s">
        <v>95</v>
      </c>
      <c r="C786" t="s">
        <v>26</v>
      </c>
      <c r="D786" t="s">
        <v>96</v>
      </c>
      <c r="E786" t="s">
        <v>5090</v>
      </c>
      <c r="F786" t="s">
        <v>5091</v>
      </c>
      <c r="G786">
        <v>1002065378</v>
      </c>
      <c r="H786" t="s">
        <v>1619</v>
      </c>
      <c r="I786" s="4" t="s">
        <v>35</v>
      </c>
      <c r="J786" s="4" t="s">
        <v>1620</v>
      </c>
      <c r="K786" t="s">
        <v>5092</v>
      </c>
      <c r="L786" t="s">
        <v>27</v>
      </c>
      <c r="M786" t="s">
        <v>5093</v>
      </c>
      <c r="N786" t="s">
        <v>28</v>
      </c>
      <c r="O786" t="s">
        <v>103</v>
      </c>
      <c r="P786" t="s">
        <v>158</v>
      </c>
      <c r="Q786" t="s">
        <v>31</v>
      </c>
      <c r="R786">
        <v>9</v>
      </c>
      <c r="S786" t="s">
        <v>5094</v>
      </c>
      <c r="T786" t="s">
        <v>7227</v>
      </c>
      <c r="U786" t="s">
        <v>7228</v>
      </c>
      <c r="V786" t="s">
        <v>32</v>
      </c>
      <c r="W786" t="s">
        <v>33</v>
      </c>
      <c r="X786" t="s">
        <v>33</v>
      </c>
      <c r="Y786" t="s">
        <v>33</v>
      </c>
      <c r="Z786" s="5" t="s">
        <v>34</v>
      </c>
      <c r="AA786">
        <v>-75.605880400000004</v>
      </c>
      <c r="AB786">
        <v>6.2759845099999998</v>
      </c>
      <c r="AC786" t="s">
        <v>456</v>
      </c>
      <c r="AD786" t="s">
        <v>457</v>
      </c>
    </row>
    <row r="787" spans="1:30" x14ac:dyDescent="0.25">
      <c r="A787" t="s">
        <v>5837</v>
      </c>
      <c r="B787" t="s">
        <v>25</v>
      </c>
      <c r="C787" t="s">
        <v>26</v>
      </c>
      <c r="D787" t="s">
        <v>25</v>
      </c>
      <c r="E787" t="s">
        <v>5838</v>
      </c>
      <c r="F787" t="s">
        <v>5839</v>
      </c>
      <c r="G787">
        <v>43585521</v>
      </c>
      <c r="H787" t="s">
        <v>5840</v>
      </c>
      <c r="I787" s="4" t="s">
        <v>5841</v>
      </c>
      <c r="J787" s="4" t="s">
        <v>5842</v>
      </c>
      <c r="K787" t="s">
        <v>5843</v>
      </c>
      <c r="L787" t="s">
        <v>27</v>
      </c>
      <c r="M787" t="s">
        <v>5844</v>
      </c>
      <c r="N787" t="s">
        <v>28</v>
      </c>
      <c r="O787" t="s">
        <v>29</v>
      </c>
      <c r="P787" t="s">
        <v>37</v>
      </c>
      <c r="Q787" t="s">
        <v>31</v>
      </c>
      <c r="R787">
        <v>7</v>
      </c>
      <c r="S787" t="s">
        <v>5845</v>
      </c>
      <c r="T787" t="s">
        <v>7229</v>
      </c>
      <c r="U787" t="s">
        <v>7230</v>
      </c>
      <c r="V787" t="s">
        <v>32</v>
      </c>
      <c r="W787" t="s">
        <v>33</v>
      </c>
      <c r="X787" t="s">
        <v>33</v>
      </c>
      <c r="Y787" t="s">
        <v>33</v>
      </c>
      <c r="Z787" s="5" t="s">
        <v>34</v>
      </c>
      <c r="AA787">
        <v>-75.553008770000005</v>
      </c>
      <c r="AB787">
        <v>6.2581888599999997</v>
      </c>
      <c r="AC787" t="s">
        <v>456</v>
      </c>
      <c r="AD787" t="s">
        <v>457</v>
      </c>
    </row>
    <row r="788" spans="1:30" x14ac:dyDescent="0.25">
      <c r="A788" t="s">
        <v>4999</v>
      </c>
      <c r="B788" t="s">
        <v>25</v>
      </c>
      <c r="C788" t="s">
        <v>26</v>
      </c>
      <c r="D788" t="s">
        <v>39</v>
      </c>
      <c r="E788" t="s">
        <v>5000</v>
      </c>
      <c r="F788" t="s">
        <v>5001</v>
      </c>
      <c r="G788">
        <v>1036606266</v>
      </c>
      <c r="H788" t="s">
        <v>5002</v>
      </c>
      <c r="I788" s="4" t="s">
        <v>5003</v>
      </c>
      <c r="J788" s="4" t="s">
        <v>5004</v>
      </c>
      <c r="K788" t="s">
        <v>5005</v>
      </c>
      <c r="L788" t="s">
        <v>27</v>
      </c>
      <c r="M788" t="s">
        <v>5006</v>
      </c>
      <c r="N788" t="s">
        <v>28</v>
      </c>
      <c r="O788" t="s">
        <v>40</v>
      </c>
      <c r="P788" t="s">
        <v>41</v>
      </c>
      <c r="Q788" t="s">
        <v>31</v>
      </c>
      <c r="R788">
        <v>5</v>
      </c>
      <c r="S788" t="s">
        <v>5007</v>
      </c>
      <c r="T788" t="s">
        <v>4903</v>
      </c>
      <c r="U788" t="s">
        <v>4904</v>
      </c>
      <c r="V788" t="s">
        <v>32</v>
      </c>
      <c r="W788" t="s">
        <v>33</v>
      </c>
      <c r="X788" t="s">
        <v>33</v>
      </c>
      <c r="Y788" t="s">
        <v>33</v>
      </c>
      <c r="Z788" s="5" t="s">
        <v>34</v>
      </c>
      <c r="AA788">
        <v>-75.599461000000005</v>
      </c>
      <c r="AB788">
        <v>6.2757209999999999</v>
      </c>
      <c r="AC788" t="s">
        <v>456</v>
      </c>
      <c r="AD788" t="s">
        <v>457</v>
      </c>
    </row>
    <row r="789" spans="1:30" x14ac:dyDescent="0.25">
      <c r="A789" t="s">
        <v>5848</v>
      </c>
      <c r="B789" t="s">
        <v>25</v>
      </c>
      <c r="C789" t="s">
        <v>26</v>
      </c>
      <c r="D789" t="s">
        <v>25</v>
      </c>
      <c r="E789" t="s">
        <v>5000</v>
      </c>
      <c r="F789" t="s">
        <v>5001</v>
      </c>
      <c r="G789">
        <v>43432968</v>
      </c>
      <c r="H789" t="s">
        <v>5849</v>
      </c>
      <c r="I789" s="4" t="s">
        <v>35</v>
      </c>
      <c r="J789" s="4" t="s">
        <v>5850</v>
      </c>
      <c r="K789" t="s">
        <v>5851</v>
      </c>
      <c r="L789" t="s">
        <v>27</v>
      </c>
      <c r="M789" t="s">
        <v>5852</v>
      </c>
      <c r="N789" t="s">
        <v>28</v>
      </c>
      <c r="O789" t="s">
        <v>29</v>
      </c>
      <c r="P789" t="s">
        <v>37</v>
      </c>
      <c r="Q789" t="s">
        <v>31</v>
      </c>
      <c r="R789">
        <v>7</v>
      </c>
      <c r="S789" t="s">
        <v>5853</v>
      </c>
      <c r="T789" t="s">
        <v>4903</v>
      </c>
      <c r="U789" t="s">
        <v>7231</v>
      </c>
      <c r="V789" t="s">
        <v>32</v>
      </c>
      <c r="W789" t="s">
        <v>33</v>
      </c>
      <c r="X789" t="s">
        <v>33</v>
      </c>
      <c r="Y789" t="s">
        <v>33</v>
      </c>
      <c r="Z789" s="5" t="s">
        <v>34</v>
      </c>
      <c r="AA789">
        <v>-75.610884501000001</v>
      </c>
      <c r="AB789">
        <v>6.2574398200000596</v>
      </c>
      <c r="AC789" t="s">
        <v>456</v>
      </c>
      <c r="AD789" t="s">
        <v>457</v>
      </c>
    </row>
    <row r="790" spans="1:30" x14ac:dyDescent="0.25">
      <c r="A790" t="s">
        <v>5854</v>
      </c>
      <c r="B790" t="s">
        <v>81</v>
      </c>
      <c r="C790" t="s">
        <v>26</v>
      </c>
      <c r="D790" t="s">
        <v>81</v>
      </c>
      <c r="E790" t="s">
        <v>5000</v>
      </c>
      <c r="F790" t="s">
        <v>5001</v>
      </c>
      <c r="G790">
        <v>1036934296</v>
      </c>
      <c r="H790" t="s">
        <v>5855</v>
      </c>
      <c r="I790" s="4" t="s">
        <v>35</v>
      </c>
      <c r="J790" s="4" t="s">
        <v>5856</v>
      </c>
      <c r="K790" t="s">
        <v>5857</v>
      </c>
      <c r="L790" t="s">
        <v>49</v>
      </c>
      <c r="M790" t="s">
        <v>5858</v>
      </c>
      <c r="N790" t="s">
        <v>84</v>
      </c>
      <c r="O790" t="s">
        <v>82</v>
      </c>
      <c r="P790" t="s">
        <v>83</v>
      </c>
      <c r="Q790" t="s">
        <v>38</v>
      </c>
      <c r="R790">
        <v>4</v>
      </c>
      <c r="S790" t="s">
        <v>5859</v>
      </c>
      <c r="T790" t="s">
        <v>4903</v>
      </c>
      <c r="U790" t="s">
        <v>4903</v>
      </c>
      <c r="V790" t="s">
        <v>50</v>
      </c>
      <c r="W790" t="s">
        <v>33</v>
      </c>
      <c r="X790" t="s">
        <v>33</v>
      </c>
      <c r="Y790" t="s">
        <v>33</v>
      </c>
      <c r="Z790" s="5" t="s">
        <v>34</v>
      </c>
      <c r="AA790">
        <v>-75.510422680000005</v>
      </c>
      <c r="AB790">
        <v>6.1861523800000002</v>
      </c>
      <c r="AC790" t="s">
        <v>456</v>
      </c>
      <c r="AD790" t="s">
        <v>457</v>
      </c>
    </row>
    <row r="791" spans="1:30" x14ac:dyDescent="0.25">
      <c r="A791" t="s">
        <v>5860</v>
      </c>
      <c r="B791" t="s">
        <v>81</v>
      </c>
      <c r="C791" t="s">
        <v>26</v>
      </c>
      <c r="D791" t="s">
        <v>81</v>
      </c>
      <c r="E791" t="s">
        <v>5861</v>
      </c>
      <c r="F791" t="s">
        <v>5862</v>
      </c>
      <c r="G791">
        <v>901117979</v>
      </c>
      <c r="H791" t="s">
        <v>5863</v>
      </c>
      <c r="I791" s="4" t="s">
        <v>35</v>
      </c>
      <c r="J791" s="4" t="s">
        <v>5864</v>
      </c>
      <c r="K791" t="s">
        <v>5865</v>
      </c>
      <c r="L791" t="s">
        <v>79</v>
      </c>
      <c r="M791" t="s">
        <v>5866</v>
      </c>
      <c r="N791" t="s">
        <v>80</v>
      </c>
      <c r="O791" t="s">
        <v>82</v>
      </c>
      <c r="P791" t="s">
        <v>83</v>
      </c>
      <c r="Q791" t="s">
        <v>31</v>
      </c>
      <c r="R791">
        <v>4</v>
      </c>
      <c r="S791" t="s">
        <v>5867</v>
      </c>
      <c r="T791" t="s">
        <v>7232</v>
      </c>
      <c r="U791" t="s">
        <v>7232</v>
      </c>
      <c r="V791" t="s">
        <v>50</v>
      </c>
      <c r="W791" t="s">
        <v>33</v>
      </c>
      <c r="X791" t="s">
        <v>33</v>
      </c>
      <c r="Y791" t="s">
        <v>33</v>
      </c>
      <c r="Z791" s="5" t="s">
        <v>34</v>
      </c>
      <c r="AA791">
        <v>-75.604985630000002</v>
      </c>
      <c r="AB791">
        <v>6.1625884600000003</v>
      </c>
      <c r="AC791" t="s">
        <v>456</v>
      </c>
      <c r="AD791" t="s">
        <v>457</v>
      </c>
    </row>
    <row r="792" spans="1:30" x14ac:dyDescent="0.25">
      <c r="A792" t="s">
        <v>5095</v>
      </c>
      <c r="B792" t="s">
        <v>95</v>
      </c>
      <c r="C792" t="s">
        <v>26</v>
      </c>
      <c r="D792" t="s">
        <v>96</v>
      </c>
      <c r="E792" t="s">
        <v>5096</v>
      </c>
      <c r="F792" t="s">
        <v>5097</v>
      </c>
      <c r="G792">
        <v>1039886901</v>
      </c>
      <c r="H792" t="s">
        <v>5098</v>
      </c>
      <c r="I792" s="4" t="s">
        <v>35</v>
      </c>
      <c r="J792" s="4" t="s">
        <v>5099</v>
      </c>
      <c r="K792" t="s">
        <v>5100</v>
      </c>
      <c r="L792" t="s">
        <v>27</v>
      </c>
      <c r="M792" t="s">
        <v>5101</v>
      </c>
      <c r="N792" t="s">
        <v>28</v>
      </c>
      <c r="O792" t="s">
        <v>103</v>
      </c>
      <c r="P792" t="s">
        <v>120</v>
      </c>
      <c r="Q792" t="s">
        <v>38</v>
      </c>
      <c r="R792">
        <v>14</v>
      </c>
      <c r="S792" t="s">
        <v>5102</v>
      </c>
      <c r="T792" t="s">
        <v>7233</v>
      </c>
      <c r="U792" t="s">
        <v>7234</v>
      </c>
      <c r="V792" t="s">
        <v>32</v>
      </c>
      <c r="W792" t="s">
        <v>33</v>
      </c>
      <c r="X792" t="s">
        <v>33</v>
      </c>
      <c r="Y792" t="s">
        <v>33</v>
      </c>
      <c r="Z792" s="5" t="s">
        <v>34</v>
      </c>
      <c r="AA792">
        <v>-75.637008640000005</v>
      </c>
      <c r="AB792">
        <v>6.2854774500000001</v>
      </c>
      <c r="AC792" t="s">
        <v>456</v>
      </c>
      <c r="AD792" t="s">
        <v>457</v>
      </c>
    </row>
    <row r="793" spans="1:30" x14ac:dyDescent="0.25">
      <c r="A793" t="s">
        <v>5008</v>
      </c>
      <c r="B793" t="s">
        <v>25</v>
      </c>
      <c r="C793" t="s">
        <v>26</v>
      </c>
      <c r="D793" t="s">
        <v>39</v>
      </c>
      <c r="E793" t="s">
        <v>5009</v>
      </c>
      <c r="F793" t="s">
        <v>5010</v>
      </c>
      <c r="G793">
        <v>1036606266</v>
      </c>
      <c r="H793" t="s">
        <v>5002</v>
      </c>
      <c r="I793" s="4" t="s">
        <v>5003</v>
      </c>
      <c r="J793" s="4" t="s">
        <v>5004</v>
      </c>
      <c r="K793" t="s">
        <v>5011</v>
      </c>
      <c r="L793" t="s">
        <v>27</v>
      </c>
      <c r="M793" t="s">
        <v>5012</v>
      </c>
      <c r="N793" t="s">
        <v>28</v>
      </c>
      <c r="O793" t="s">
        <v>40</v>
      </c>
      <c r="P793" t="s">
        <v>41</v>
      </c>
      <c r="Q793" t="s">
        <v>31</v>
      </c>
      <c r="R793">
        <v>5</v>
      </c>
      <c r="S793" t="s">
        <v>5013</v>
      </c>
      <c r="T793" t="s">
        <v>7235</v>
      </c>
      <c r="U793" t="s">
        <v>7236</v>
      </c>
      <c r="V793" t="s">
        <v>32</v>
      </c>
      <c r="W793" t="s">
        <v>33</v>
      </c>
      <c r="X793" t="s">
        <v>33</v>
      </c>
      <c r="Y793" t="s">
        <v>33</v>
      </c>
      <c r="Z793" s="5" t="s">
        <v>34</v>
      </c>
      <c r="AA793">
        <v>-75.599461000000005</v>
      </c>
      <c r="AB793">
        <v>6.2757209999999999</v>
      </c>
      <c r="AC793" t="s">
        <v>456</v>
      </c>
      <c r="AD793" t="s">
        <v>457</v>
      </c>
    </row>
    <row r="794" spans="1:30" x14ac:dyDescent="0.25">
      <c r="A794" t="s">
        <v>7237</v>
      </c>
      <c r="B794" t="s">
        <v>25</v>
      </c>
      <c r="C794" t="s">
        <v>166</v>
      </c>
      <c r="D794" t="s">
        <v>25</v>
      </c>
      <c r="E794" t="s">
        <v>7238</v>
      </c>
      <c r="F794" t="s">
        <v>7239</v>
      </c>
      <c r="G794">
        <v>79901472</v>
      </c>
      <c r="H794" t="s">
        <v>7240</v>
      </c>
      <c r="I794" s="4" t="s">
        <v>7241</v>
      </c>
      <c r="J794" s="4" t="s">
        <v>7242</v>
      </c>
      <c r="K794" t="s">
        <v>7243</v>
      </c>
      <c r="L794" t="s">
        <v>27</v>
      </c>
      <c r="M794" t="s">
        <v>7244</v>
      </c>
      <c r="N794" t="s">
        <v>28</v>
      </c>
      <c r="O794" t="s">
        <v>467</v>
      </c>
      <c r="P794" t="s">
        <v>30</v>
      </c>
      <c r="Q794" t="s">
        <v>31</v>
      </c>
      <c r="R794">
        <v>7</v>
      </c>
      <c r="S794" t="s">
        <v>7245</v>
      </c>
      <c r="T794" t="s">
        <v>6474</v>
      </c>
      <c r="U794" t="s">
        <v>6475</v>
      </c>
      <c r="V794" t="s">
        <v>32</v>
      </c>
      <c r="W794" t="s">
        <v>33</v>
      </c>
      <c r="X794" t="s">
        <v>33</v>
      </c>
      <c r="Y794" t="s">
        <v>33</v>
      </c>
      <c r="Z794" s="5" t="s">
        <v>34</v>
      </c>
      <c r="AA794">
        <v>-75.590300740000004</v>
      </c>
      <c r="AB794">
        <v>6.2355427399999996</v>
      </c>
      <c r="AC794" t="s">
        <v>456</v>
      </c>
      <c r="AD794" t="s">
        <v>457</v>
      </c>
    </row>
    <row r="795" spans="1:30" x14ac:dyDescent="0.25">
      <c r="A795" t="s">
        <v>5868</v>
      </c>
      <c r="B795" t="s">
        <v>81</v>
      </c>
      <c r="C795" t="s">
        <v>26</v>
      </c>
      <c r="D795" t="s">
        <v>81</v>
      </c>
      <c r="E795" t="s">
        <v>5869</v>
      </c>
      <c r="F795" t="s">
        <v>5870</v>
      </c>
      <c r="G795">
        <v>901653084</v>
      </c>
      <c r="H795" t="s">
        <v>5871</v>
      </c>
      <c r="I795" s="4" t="s">
        <v>5872</v>
      </c>
      <c r="J795" s="4" t="s">
        <v>5873</v>
      </c>
      <c r="K795" t="s">
        <v>5874</v>
      </c>
      <c r="L795" t="s">
        <v>27</v>
      </c>
      <c r="M795" t="s">
        <v>5875</v>
      </c>
      <c r="N795" t="s">
        <v>28</v>
      </c>
      <c r="O795" t="s">
        <v>82</v>
      </c>
      <c r="P795" t="s">
        <v>83</v>
      </c>
      <c r="Q795" t="s">
        <v>31</v>
      </c>
      <c r="R795">
        <v>4</v>
      </c>
      <c r="S795" t="s">
        <v>5876</v>
      </c>
      <c r="T795" t="s">
        <v>7246</v>
      </c>
      <c r="U795" t="s">
        <v>7246</v>
      </c>
      <c r="V795" t="s">
        <v>50</v>
      </c>
      <c r="W795" t="s">
        <v>33</v>
      </c>
      <c r="X795" t="s">
        <v>33</v>
      </c>
      <c r="Y795" t="s">
        <v>33</v>
      </c>
      <c r="Z795" s="5" t="s">
        <v>34</v>
      </c>
      <c r="AA795">
        <v>-75.561344160000004</v>
      </c>
      <c r="AB795">
        <v>6.1893639900000004</v>
      </c>
      <c r="AC795" t="s">
        <v>456</v>
      </c>
      <c r="AD795" t="s">
        <v>457</v>
      </c>
    </row>
    <row r="796" spans="1:30" x14ac:dyDescent="0.25">
      <c r="A796" t="s">
        <v>5877</v>
      </c>
      <c r="B796" t="s">
        <v>25</v>
      </c>
      <c r="C796" t="s">
        <v>26</v>
      </c>
      <c r="D796" t="s">
        <v>25</v>
      </c>
      <c r="E796" t="s">
        <v>5878</v>
      </c>
      <c r="F796" t="s">
        <v>5879</v>
      </c>
      <c r="G796">
        <v>8273101</v>
      </c>
      <c r="H796" t="s">
        <v>5880</v>
      </c>
      <c r="I796" s="4" t="s">
        <v>35</v>
      </c>
      <c r="J796" s="4" t="s">
        <v>5881</v>
      </c>
      <c r="K796" t="s">
        <v>5882</v>
      </c>
      <c r="L796" t="s">
        <v>27</v>
      </c>
      <c r="M796" t="s">
        <v>5883</v>
      </c>
      <c r="N796" t="s">
        <v>28</v>
      </c>
      <c r="O796" t="s">
        <v>29</v>
      </c>
      <c r="P796" t="s">
        <v>37</v>
      </c>
      <c r="Q796" t="s">
        <v>31</v>
      </c>
      <c r="R796">
        <v>7</v>
      </c>
      <c r="S796" t="s">
        <v>5884</v>
      </c>
      <c r="T796" t="s">
        <v>7247</v>
      </c>
      <c r="U796" t="s">
        <v>7248</v>
      </c>
      <c r="V796" t="s">
        <v>32</v>
      </c>
      <c r="W796" t="s">
        <v>33</v>
      </c>
      <c r="X796" t="s">
        <v>33</v>
      </c>
      <c r="Y796" t="s">
        <v>33</v>
      </c>
      <c r="Z796" s="5" t="s">
        <v>34</v>
      </c>
      <c r="AA796">
        <v>-75.652731380000006</v>
      </c>
      <c r="AB796">
        <v>6.1857651799999998</v>
      </c>
      <c r="AC796" t="s">
        <v>456</v>
      </c>
      <c r="AD796" t="s">
        <v>457</v>
      </c>
    </row>
    <row r="797" spans="1:30" x14ac:dyDescent="0.25">
      <c r="A797" t="s">
        <v>7249</v>
      </c>
      <c r="B797" t="s">
        <v>25</v>
      </c>
      <c r="C797" t="s">
        <v>26</v>
      </c>
      <c r="D797" t="s">
        <v>25</v>
      </c>
      <c r="E797" t="s">
        <v>7250</v>
      </c>
      <c r="F797" t="s">
        <v>7251</v>
      </c>
      <c r="G797">
        <v>1017208254</v>
      </c>
      <c r="H797" t="s">
        <v>7252</v>
      </c>
      <c r="I797" s="4" t="s">
        <v>35</v>
      </c>
      <c r="J797" s="4" t="s">
        <v>4688</v>
      </c>
      <c r="K797" t="s">
        <v>7253</v>
      </c>
      <c r="L797" t="s">
        <v>27</v>
      </c>
      <c r="M797" t="s">
        <v>7254</v>
      </c>
      <c r="N797" t="s">
        <v>28</v>
      </c>
      <c r="O797" t="s">
        <v>29</v>
      </c>
      <c r="P797" t="s">
        <v>30</v>
      </c>
      <c r="Q797" t="s">
        <v>38</v>
      </c>
      <c r="R797">
        <v>10</v>
      </c>
      <c r="S797" t="s">
        <v>7255</v>
      </c>
      <c r="T797" t="s">
        <v>6783</v>
      </c>
      <c r="U797" t="s">
        <v>7256</v>
      </c>
      <c r="V797" t="s">
        <v>32</v>
      </c>
      <c r="W797" t="s">
        <v>33</v>
      </c>
      <c r="X797" t="s">
        <v>33</v>
      </c>
      <c r="Y797" t="s">
        <v>33</v>
      </c>
      <c r="Z797" s="5" t="s">
        <v>34</v>
      </c>
      <c r="AA797">
        <v>-75.625645500000005</v>
      </c>
      <c r="AB797">
        <v>6.2057538499999998</v>
      </c>
      <c r="AC797" t="s">
        <v>456</v>
      </c>
      <c r="AD797" t="s">
        <v>457</v>
      </c>
    </row>
    <row r="798" spans="1:30" x14ac:dyDescent="0.25">
      <c r="A798" t="s">
        <v>7257</v>
      </c>
      <c r="B798" t="s">
        <v>25</v>
      </c>
      <c r="C798" t="s">
        <v>26</v>
      </c>
      <c r="D798" t="s">
        <v>25</v>
      </c>
      <c r="E798" t="s">
        <v>7258</v>
      </c>
      <c r="F798" t="s">
        <v>7259</v>
      </c>
      <c r="G798">
        <v>900303011</v>
      </c>
      <c r="H798" t="s">
        <v>7260</v>
      </c>
      <c r="I798" s="4" t="s">
        <v>5195</v>
      </c>
      <c r="J798" s="4" t="s">
        <v>5196</v>
      </c>
      <c r="K798" t="s">
        <v>7261</v>
      </c>
      <c r="L798" t="s">
        <v>49</v>
      </c>
      <c r="M798" t="s">
        <v>7262</v>
      </c>
      <c r="N798" t="s">
        <v>84</v>
      </c>
      <c r="O798" t="s">
        <v>29</v>
      </c>
      <c r="P798" t="s">
        <v>55</v>
      </c>
      <c r="Q798" t="s">
        <v>31</v>
      </c>
      <c r="R798">
        <v>7</v>
      </c>
      <c r="S798" t="s">
        <v>7263</v>
      </c>
      <c r="T798" t="s">
        <v>7264</v>
      </c>
      <c r="U798" t="s">
        <v>7265</v>
      </c>
      <c r="V798" t="s">
        <v>32</v>
      </c>
      <c r="W798" t="s">
        <v>33</v>
      </c>
      <c r="X798" t="s">
        <v>33</v>
      </c>
      <c r="Y798" t="s">
        <v>33</v>
      </c>
      <c r="Z798" s="5" t="s">
        <v>34</v>
      </c>
      <c r="AA798">
        <v>-75.573425999999998</v>
      </c>
      <c r="AB798">
        <v>6.1751849999999999</v>
      </c>
      <c r="AC798" t="s">
        <v>456</v>
      </c>
      <c r="AD798" t="s">
        <v>457</v>
      </c>
    </row>
    <row r="799" spans="1:30" x14ac:dyDescent="0.25">
      <c r="A799" t="s">
        <v>7266</v>
      </c>
      <c r="B799" t="s">
        <v>25</v>
      </c>
      <c r="C799" t="s">
        <v>26</v>
      </c>
      <c r="D799" t="s">
        <v>25</v>
      </c>
      <c r="E799" t="s">
        <v>7267</v>
      </c>
      <c r="F799" t="s">
        <v>7268</v>
      </c>
      <c r="G799">
        <v>900303011</v>
      </c>
      <c r="H799" t="s">
        <v>7260</v>
      </c>
      <c r="I799" s="4" t="s">
        <v>5195</v>
      </c>
      <c r="J799" s="4" t="s">
        <v>5196</v>
      </c>
      <c r="K799" t="s">
        <v>7269</v>
      </c>
      <c r="L799" t="s">
        <v>49</v>
      </c>
      <c r="M799" t="s">
        <v>7270</v>
      </c>
      <c r="N799" t="s">
        <v>84</v>
      </c>
      <c r="O799" t="s">
        <v>29</v>
      </c>
      <c r="P799" t="s">
        <v>55</v>
      </c>
      <c r="Q799" t="s">
        <v>31</v>
      </c>
      <c r="R799">
        <v>7</v>
      </c>
      <c r="S799" t="s">
        <v>7271</v>
      </c>
      <c r="T799" t="s">
        <v>7264</v>
      </c>
      <c r="U799" t="s">
        <v>7265</v>
      </c>
      <c r="V799" t="s">
        <v>32</v>
      </c>
      <c r="W799" t="s">
        <v>33</v>
      </c>
      <c r="X799" t="s">
        <v>33</v>
      </c>
      <c r="Y799" t="s">
        <v>33</v>
      </c>
      <c r="Z799" s="5" t="s">
        <v>34</v>
      </c>
      <c r="AA799">
        <v>-75.573436000000001</v>
      </c>
      <c r="AB799">
        <v>6.1752180000000001</v>
      </c>
      <c r="AC799" t="s">
        <v>456</v>
      </c>
      <c r="AD799" t="s">
        <v>457</v>
      </c>
    </row>
    <row r="800" spans="1:30" x14ac:dyDescent="0.25">
      <c r="A800" t="s">
        <v>7272</v>
      </c>
      <c r="B800" t="s">
        <v>25</v>
      </c>
      <c r="C800" t="s">
        <v>26</v>
      </c>
      <c r="D800" t="s">
        <v>25</v>
      </c>
      <c r="E800" t="s">
        <v>7273</v>
      </c>
      <c r="F800" t="s">
        <v>7274</v>
      </c>
      <c r="G800">
        <v>1017208254</v>
      </c>
      <c r="H800" t="s">
        <v>7252</v>
      </c>
      <c r="I800" s="4" t="s">
        <v>35</v>
      </c>
      <c r="J800" s="4" t="s">
        <v>4688</v>
      </c>
      <c r="K800" t="s">
        <v>7275</v>
      </c>
      <c r="L800" t="s">
        <v>27</v>
      </c>
      <c r="M800" t="s">
        <v>7276</v>
      </c>
      <c r="N800" t="s">
        <v>28</v>
      </c>
      <c r="O800" t="s">
        <v>29</v>
      </c>
      <c r="P800" t="s">
        <v>30</v>
      </c>
      <c r="Q800" t="s">
        <v>38</v>
      </c>
      <c r="R800">
        <v>10</v>
      </c>
      <c r="S800" t="s">
        <v>7277</v>
      </c>
      <c r="T800" t="s">
        <v>7278</v>
      </c>
      <c r="U800" t="s">
        <v>7279</v>
      </c>
      <c r="V800" t="s">
        <v>32</v>
      </c>
      <c r="W800" t="s">
        <v>33</v>
      </c>
      <c r="X800" t="s">
        <v>33</v>
      </c>
      <c r="Y800" t="s">
        <v>33</v>
      </c>
      <c r="Z800" s="5" t="s">
        <v>34</v>
      </c>
      <c r="AA800">
        <v>-75.625645500000005</v>
      </c>
      <c r="AB800">
        <v>6.2057538499999998</v>
      </c>
      <c r="AC800" t="s">
        <v>456</v>
      </c>
      <c r="AD800" t="s">
        <v>457</v>
      </c>
    </row>
    <row r="801" spans="1:30" x14ac:dyDescent="0.25">
      <c r="A801" t="s">
        <v>5014</v>
      </c>
      <c r="B801" t="s">
        <v>25</v>
      </c>
      <c r="C801" t="s">
        <v>26</v>
      </c>
      <c r="D801" t="s">
        <v>39</v>
      </c>
      <c r="E801" t="s">
        <v>5015</v>
      </c>
      <c r="F801" t="s">
        <v>5016</v>
      </c>
      <c r="G801">
        <v>42788190</v>
      </c>
      <c r="H801" t="s">
        <v>5017</v>
      </c>
      <c r="I801" s="4" t="s">
        <v>5018</v>
      </c>
      <c r="J801" s="4" t="s">
        <v>5019</v>
      </c>
      <c r="K801" t="s">
        <v>5020</v>
      </c>
      <c r="L801" t="s">
        <v>27</v>
      </c>
      <c r="M801" t="s">
        <v>5021</v>
      </c>
      <c r="N801" t="s">
        <v>28</v>
      </c>
      <c r="O801" t="s">
        <v>40</v>
      </c>
      <c r="P801" t="s">
        <v>41</v>
      </c>
      <c r="Q801" t="s">
        <v>31</v>
      </c>
      <c r="R801">
        <v>5</v>
      </c>
      <c r="S801" t="s">
        <v>5022</v>
      </c>
      <c r="T801" t="s">
        <v>7278</v>
      </c>
      <c r="U801" t="s">
        <v>7280</v>
      </c>
      <c r="V801" t="s">
        <v>32</v>
      </c>
      <c r="W801" t="s">
        <v>33</v>
      </c>
      <c r="X801" t="s">
        <v>33</v>
      </c>
      <c r="Y801" t="s">
        <v>33</v>
      </c>
      <c r="Z801" s="5" t="s">
        <v>34</v>
      </c>
      <c r="AA801">
        <v>-75.591280010000006</v>
      </c>
      <c r="AB801">
        <v>6.2018300100000001</v>
      </c>
      <c r="AC801" t="s">
        <v>456</v>
      </c>
      <c r="AD801" t="s">
        <v>457</v>
      </c>
    </row>
    <row r="802" spans="1:30" x14ac:dyDescent="0.25">
      <c r="A802" t="s">
        <v>8174</v>
      </c>
      <c r="B802" t="s">
        <v>42</v>
      </c>
      <c r="C802" t="s">
        <v>8175</v>
      </c>
      <c r="D802" t="s">
        <v>42</v>
      </c>
      <c r="E802" t="s">
        <v>8176</v>
      </c>
      <c r="F802" t="s">
        <v>8177</v>
      </c>
      <c r="G802">
        <v>890900043</v>
      </c>
      <c r="H802" t="s">
        <v>8178</v>
      </c>
      <c r="I802" s="4" t="s">
        <v>8179</v>
      </c>
      <c r="J802" s="4" t="s">
        <v>35</v>
      </c>
      <c r="K802" t="s">
        <v>8180</v>
      </c>
      <c r="L802" t="s">
        <v>27</v>
      </c>
      <c r="M802" t="s">
        <v>8181</v>
      </c>
      <c r="N802" t="s">
        <v>28</v>
      </c>
      <c r="O802" t="s">
        <v>43</v>
      </c>
      <c r="P802" t="s">
        <v>37</v>
      </c>
      <c r="Q802" t="s">
        <v>31</v>
      </c>
      <c r="R802">
        <v>7</v>
      </c>
      <c r="S802" t="s">
        <v>8182</v>
      </c>
      <c r="T802" t="s">
        <v>8183</v>
      </c>
      <c r="U802" t="s">
        <v>8184</v>
      </c>
      <c r="V802" t="s">
        <v>32</v>
      </c>
      <c r="W802" t="s">
        <v>33</v>
      </c>
      <c r="X802" t="s">
        <v>33</v>
      </c>
      <c r="Y802" t="s">
        <v>33</v>
      </c>
      <c r="Z802" s="5" t="s">
        <v>34</v>
      </c>
      <c r="AA802">
        <v>-75.579201400000002</v>
      </c>
      <c r="AB802">
        <v>6.2107131200000003</v>
      </c>
      <c r="AC802" t="s">
        <v>456</v>
      </c>
      <c r="AD802" t="s">
        <v>457</v>
      </c>
    </row>
    <row r="803" spans="1:30" x14ac:dyDescent="0.25">
      <c r="A803" t="s">
        <v>5103</v>
      </c>
      <c r="B803" t="s">
        <v>95</v>
      </c>
      <c r="C803" t="s">
        <v>26</v>
      </c>
      <c r="D803" t="s">
        <v>96</v>
      </c>
      <c r="E803" t="s">
        <v>5104</v>
      </c>
      <c r="F803" t="s">
        <v>5105</v>
      </c>
      <c r="G803">
        <v>43180623</v>
      </c>
      <c r="H803" t="s">
        <v>5106</v>
      </c>
      <c r="I803" s="4" t="s">
        <v>35</v>
      </c>
      <c r="J803" s="4" t="s">
        <v>5107</v>
      </c>
      <c r="K803" t="s">
        <v>5108</v>
      </c>
      <c r="L803" t="s">
        <v>27</v>
      </c>
      <c r="M803" t="s">
        <v>5109</v>
      </c>
      <c r="N803" t="s">
        <v>28</v>
      </c>
      <c r="O803" t="s">
        <v>103</v>
      </c>
      <c r="P803" t="s">
        <v>120</v>
      </c>
      <c r="Q803" t="s">
        <v>38</v>
      </c>
      <c r="R803">
        <v>14</v>
      </c>
      <c r="S803" t="s">
        <v>5110</v>
      </c>
      <c r="T803" t="s">
        <v>2446</v>
      </c>
      <c r="U803" t="s">
        <v>7281</v>
      </c>
      <c r="V803" t="s">
        <v>32</v>
      </c>
      <c r="W803" t="s">
        <v>33</v>
      </c>
      <c r="X803" t="s">
        <v>33</v>
      </c>
      <c r="Y803" t="s">
        <v>33</v>
      </c>
      <c r="Z803" s="5" t="s">
        <v>34</v>
      </c>
      <c r="AA803">
        <v>-75.647926999999996</v>
      </c>
      <c r="AB803">
        <v>6.2980210000000003</v>
      </c>
      <c r="AC803" t="s">
        <v>456</v>
      </c>
      <c r="AD803" t="s">
        <v>457</v>
      </c>
    </row>
    <row r="804" spans="1:30" x14ac:dyDescent="0.25">
      <c r="A804" t="s">
        <v>7282</v>
      </c>
      <c r="B804" t="s">
        <v>25</v>
      </c>
      <c r="C804" t="s">
        <v>26</v>
      </c>
      <c r="D804" t="s">
        <v>25</v>
      </c>
      <c r="E804" t="s">
        <v>7283</v>
      </c>
      <c r="F804" t="s">
        <v>7284</v>
      </c>
      <c r="G804">
        <v>1017208254</v>
      </c>
      <c r="H804" t="s">
        <v>7252</v>
      </c>
      <c r="I804" s="4" t="s">
        <v>35</v>
      </c>
      <c r="J804" s="4" t="s">
        <v>4688</v>
      </c>
      <c r="K804" t="s">
        <v>7285</v>
      </c>
      <c r="L804" t="s">
        <v>27</v>
      </c>
      <c r="M804" t="s">
        <v>7286</v>
      </c>
      <c r="N804" t="s">
        <v>28</v>
      </c>
      <c r="O804" t="s">
        <v>29</v>
      </c>
      <c r="P804" t="s">
        <v>30</v>
      </c>
      <c r="Q804" t="s">
        <v>38</v>
      </c>
      <c r="R804">
        <v>10</v>
      </c>
      <c r="S804" t="s">
        <v>7287</v>
      </c>
      <c r="T804" t="s">
        <v>2446</v>
      </c>
      <c r="U804" t="s">
        <v>7288</v>
      </c>
      <c r="V804" t="s">
        <v>32</v>
      </c>
      <c r="W804" t="s">
        <v>33</v>
      </c>
      <c r="X804" t="s">
        <v>33</v>
      </c>
      <c r="Y804" t="s">
        <v>33</v>
      </c>
      <c r="Z804" s="5" t="s">
        <v>34</v>
      </c>
      <c r="AA804">
        <v>-75.625645500000005</v>
      </c>
      <c r="AB804">
        <v>6.2057538499999998</v>
      </c>
      <c r="AC804" t="s">
        <v>456</v>
      </c>
      <c r="AD804" t="s">
        <v>457</v>
      </c>
    </row>
    <row r="805" spans="1:30" x14ac:dyDescent="0.25">
      <c r="A805" t="s">
        <v>5023</v>
      </c>
      <c r="B805" t="s">
        <v>25</v>
      </c>
      <c r="C805" t="s">
        <v>26</v>
      </c>
      <c r="D805" t="s">
        <v>39</v>
      </c>
      <c r="E805" t="s">
        <v>5024</v>
      </c>
      <c r="F805" t="s">
        <v>5025</v>
      </c>
      <c r="G805">
        <v>1146434436</v>
      </c>
      <c r="H805" t="s">
        <v>5026</v>
      </c>
      <c r="I805" s="4" t="s">
        <v>35</v>
      </c>
      <c r="J805" s="4" t="s">
        <v>5027</v>
      </c>
      <c r="K805" t="s">
        <v>5028</v>
      </c>
      <c r="L805" t="s">
        <v>27</v>
      </c>
      <c r="M805" t="s">
        <v>5029</v>
      </c>
      <c r="N805" t="s">
        <v>28</v>
      </c>
      <c r="O805" t="s">
        <v>40</v>
      </c>
      <c r="P805" t="s">
        <v>41</v>
      </c>
      <c r="Q805" t="s">
        <v>31</v>
      </c>
      <c r="R805">
        <v>5</v>
      </c>
      <c r="S805" t="s">
        <v>5030</v>
      </c>
      <c r="T805" t="s">
        <v>7289</v>
      </c>
      <c r="U805" t="s">
        <v>7290</v>
      </c>
      <c r="V805" t="s">
        <v>32</v>
      </c>
      <c r="W805" t="s">
        <v>33</v>
      </c>
      <c r="X805" t="s">
        <v>33</v>
      </c>
      <c r="Y805" t="s">
        <v>33</v>
      </c>
      <c r="Z805" s="5" t="s">
        <v>34</v>
      </c>
      <c r="AA805">
        <v>-75.542572890000002</v>
      </c>
      <c r="AB805">
        <v>6.2437684500000001</v>
      </c>
      <c r="AC805" t="s">
        <v>456</v>
      </c>
      <c r="AD805" t="s">
        <v>457</v>
      </c>
    </row>
    <row r="806" spans="1:30" x14ac:dyDescent="0.25">
      <c r="A806" t="s">
        <v>5885</v>
      </c>
      <c r="B806" t="s">
        <v>81</v>
      </c>
      <c r="C806" t="s">
        <v>26</v>
      </c>
      <c r="D806" t="s">
        <v>81</v>
      </c>
      <c r="E806" t="s">
        <v>5886</v>
      </c>
      <c r="F806" t="s">
        <v>5887</v>
      </c>
      <c r="G806">
        <v>98646653</v>
      </c>
      <c r="H806" t="s">
        <v>5888</v>
      </c>
      <c r="I806" s="4" t="s">
        <v>35</v>
      </c>
      <c r="J806" s="4" t="s">
        <v>5889</v>
      </c>
      <c r="K806" t="s">
        <v>5890</v>
      </c>
      <c r="L806" t="s">
        <v>27</v>
      </c>
      <c r="M806" t="s">
        <v>5891</v>
      </c>
      <c r="N806" t="s">
        <v>28</v>
      </c>
      <c r="O806" t="s">
        <v>82</v>
      </c>
      <c r="P806" t="s">
        <v>83</v>
      </c>
      <c r="Q806" t="s">
        <v>38</v>
      </c>
      <c r="R806">
        <v>4</v>
      </c>
      <c r="S806" t="s">
        <v>5892</v>
      </c>
      <c r="T806" t="s">
        <v>7291</v>
      </c>
      <c r="U806" t="s">
        <v>7291</v>
      </c>
      <c r="V806" t="s">
        <v>50</v>
      </c>
      <c r="W806" t="s">
        <v>33</v>
      </c>
      <c r="X806" t="s">
        <v>33</v>
      </c>
      <c r="Y806" t="s">
        <v>33</v>
      </c>
      <c r="Z806" s="5" t="s">
        <v>34</v>
      </c>
      <c r="AA806">
        <v>-75.633148759999997</v>
      </c>
      <c r="AB806">
        <v>6.2303072999999998</v>
      </c>
      <c r="AC806" t="s">
        <v>456</v>
      </c>
      <c r="AD806" t="s">
        <v>457</v>
      </c>
    </row>
    <row r="807" spans="1:30" x14ac:dyDescent="0.25">
      <c r="A807" t="s">
        <v>7292</v>
      </c>
      <c r="B807" t="s">
        <v>25</v>
      </c>
      <c r="C807" t="s">
        <v>26</v>
      </c>
      <c r="D807" t="s">
        <v>25</v>
      </c>
      <c r="E807" t="s">
        <v>7293</v>
      </c>
      <c r="F807" t="s">
        <v>7294</v>
      </c>
      <c r="G807">
        <v>900303011</v>
      </c>
      <c r="H807" t="s">
        <v>7260</v>
      </c>
      <c r="I807" s="4" t="s">
        <v>5195</v>
      </c>
      <c r="J807" s="4" t="s">
        <v>5196</v>
      </c>
      <c r="K807" t="s">
        <v>7295</v>
      </c>
      <c r="L807" t="s">
        <v>49</v>
      </c>
      <c r="M807" t="s">
        <v>7296</v>
      </c>
      <c r="N807" t="s">
        <v>84</v>
      </c>
      <c r="O807" t="s">
        <v>29</v>
      </c>
      <c r="P807" t="s">
        <v>55</v>
      </c>
      <c r="Q807" t="s">
        <v>31</v>
      </c>
      <c r="R807">
        <v>7</v>
      </c>
      <c r="S807" t="s">
        <v>7297</v>
      </c>
      <c r="T807" t="s">
        <v>6756</v>
      </c>
      <c r="U807" t="s">
        <v>7298</v>
      </c>
      <c r="V807" t="s">
        <v>32</v>
      </c>
      <c r="W807" t="s">
        <v>33</v>
      </c>
      <c r="X807" t="s">
        <v>33</v>
      </c>
      <c r="Y807" t="s">
        <v>33</v>
      </c>
      <c r="Z807" s="5" t="s">
        <v>34</v>
      </c>
      <c r="AA807">
        <v>-75.573436000000001</v>
      </c>
      <c r="AB807">
        <v>6.1752180000000001</v>
      </c>
      <c r="AC807" t="s">
        <v>456</v>
      </c>
      <c r="AD807" t="s">
        <v>457</v>
      </c>
    </row>
    <row r="808" spans="1:30" x14ac:dyDescent="0.25">
      <c r="A808" t="s">
        <v>7299</v>
      </c>
      <c r="B808" t="s">
        <v>25</v>
      </c>
      <c r="C808" t="s">
        <v>26</v>
      </c>
      <c r="D808" t="s">
        <v>25</v>
      </c>
      <c r="E808" t="s">
        <v>7293</v>
      </c>
      <c r="F808" t="s">
        <v>7294</v>
      </c>
      <c r="G808">
        <v>900303011</v>
      </c>
      <c r="H808" t="s">
        <v>7260</v>
      </c>
      <c r="I808" s="4" t="s">
        <v>5195</v>
      </c>
      <c r="J808" s="4" t="s">
        <v>5196</v>
      </c>
      <c r="K808" t="s">
        <v>7300</v>
      </c>
      <c r="L808" t="s">
        <v>49</v>
      </c>
      <c r="M808" t="s">
        <v>7301</v>
      </c>
      <c r="N808" t="s">
        <v>84</v>
      </c>
      <c r="O808" t="s">
        <v>29</v>
      </c>
      <c r="P808" t="s">
        <v>55</v>
      </c>
      <c r="Q808" t="s">
        <v>31</v>
      </c>
      <c r="R808">
        <v>7</v>
      </c>
      <c r="S808" t="s">
        <v>7297</v>
      </c>
      <c r="T808" t="s">
        <v>6756</v>
      </c>
      <c r="U808" t="s">
        <v>7298</v>
      </c>
      <c r="V808" t="s">
        <v>32</v>
      </c>
      <c r="W808" t="s">
        <v>33</v>
      </c>
      <c r="X808" t="s">
        <v>33</v>
      </c>
      <c r="Y808" t="s">
        <v>33</v>
      </c>
      <c r="Z808" s="5" t="s">
        <v>34</v>
      </c>
      <c r="AA808">
        <v>-75.573436000000001</v>
      </c>
      <c r="AB808">
        <v>6.1752180000000001</v>
      </c>
      <c r="AC808" t="s">
        <v>456</v>
      </c>
      <c r="AD808" t="s">
        <v>457</v>
      </c>
    </row>
    <row r="809" spans="1:30" x14ac:dyDescent="0.25">
      <c r="A809" t="s">
        <v>7302</v>
      </c>
      <c r="B809" t="s">
        <v>25</v>
      </c>
      <c r="C809" t="s">
        <v>26</v>
      </c>
      <c r="D809" t="s">
        <v>25</v>
      </c>
      <c r="E809" t="s">
        <v>7303</v>
      </c>
      <c r="F809" t="s">
        <v>7304</v>
      </c>
      <c r="G809">
        <v>900303011</v>
      </c>
      <c r="H809" t="s">
        <v>7260</v>
      </c>
      <c r="I809" s="4" t="s">
        <v>5195</v>
      </c>
      <c r="J809" s="4" t="s">
        <v>5196</v>
      </c>
      <c r="K809" t="s">
        <v>7305</v>
      </c>
      <c r="L809" t="s">
        <v>49</v>
      </c>
      <c r="M809" t="s">
        <v>7306</v>
      </c>
      <c r="N809" t="s">
        <v>84</v>
      </c>
      <c r="O809" t="s">
        <v>29</v>
      </c>
      <c r="P809" t="s">
        <v>55</v>
      </c>
      <c r="Q809" t="s">
        <v>31</v>
      </c>
      <c r="R809">
        <v>7</v>
      </c>
      <c r="S809" t="s">
        <v>7307</v>
      </c>
      <c r="T809" t="s">
        <v>6756</v>
      </c>
      <c r="U809" t="s">
        <v>7298</v>
      </c>
      <c r="V809" t="s">
        <v>32</v>
      </c>
      <c r="W809" t="s">
        <v>33</v>
      </c>
      <c r="X809" t="s">
        <v>33</v>
      </c>
      <c r="Y809" t="s">
        <v>33</v>
      </c>
      <c r="Z809" s="5" t="s">
        <v>34</v>
      </c>
      <c r="AA809">
        <v>-75.573436000000001</v>
      </c>
      <c r="AB809">
        <v>6.1752180000000001</v>
      </c>
      <c r="AC809" t="s">
        <v>456</v>
      </c>
      <c r="AD809" t="s">
        <v>457</v>
      </c>
    </row>
    <row r="810" spans="1:30" x14ac:dyDescent="0.25">
      <c r="A810" t="s">
        <v>7308</v>
      </c>
      <c r="B810" t="s">
        <v>25</v>
      </c>
      <c r="C810" t="s">
        <v>26</v>
      </c>
      <c r="D810" t="s">
        <v>25</v>
      </c>
      <c r="E810" t="s">
        <v>7309</v>
      </c>
      <c r="F810" t="s">
        <v>7310</v>
      </c>
      <c r="G810">
        <v>900303011</v>
      </c>
      <c r="H810" t="s">
        <v>7260</v>
      </c>
      <c r="I810" s="4" t="s">
        <v>5195</v>
      </c>
      <c r="J810" s="4" t="s">
        <v>5196</v>
      </c>
      <c r="K810" t="s">
        <v>7311</v>
      </c>
      <c r="L810" t="s">
        <v>49</v>
      </c>
      <c r="M810" t="s">
        <v>7312</v>
      </c>
      <c r="N810" t="s">
        <v>84</v>
      </c>
      <c r="O810" t="s">
        <v>29</v>
      </c>
      <c r="P810" t="s">
        <v>55</v>
      </c>
      <c r="Q810" t="s">
        <v>31</v>
      </c>
      <c r="R810">
        <v>7</v>
      </c>
      <c r="S810" t="s">
        <v>7313</v>
      </c>
      <c r="T810" t="s">
        <v>7314</v>
      </c>
      <c r="U810" t="s">
        <v>7315</v>
      </c>
      <c r="V810" t="s">
        <v>32</v>
      </c>
      <c r="W810" t="s">
        <v>33</v>
      </c>
      <c r="X810" t="s">
        <v>33</v>
      </c>
      <c r="Y810" t="s">
        <v>33</v>
      </c>
      <c r="Z810" s="5" t="s">
        <v>34</v>
      </c>
      <c r="AA810">
        <v>-75.573436000000001</v>
      </c>
      <c r="AB810">
        <v>6.1752180000000001</v>
      </c>
      <c r="AC810" t="s">
        <v>456</v>
      </c>
      <c r="AD810" t="s">
        <v>457</v>
      </c>
    </row>
    <row r="811" spans="1:30" x14ac:dyDescent="0.25">
      <c r="A811" t="s">
        <v>7316</v>
      </c>
      <c r="B811" t="s">
        <v>25</v>
      </c>
      <c r="C811" t="s">
        <v>26</v>
      </c>
      <c r="D811" t="s">
        <v>25</v>
      </c>
      <c r="E811" t="s">
        <v>7317</v>
      </c>
      <c r="F811" t="s">
        <v>7318</v>
      </c>
      <c r="G811">
        <v>1128448070</v>
      </c>
      <c r="H811" t="s">
        <v>7319</v>
      </c>
      <c r="I811" s="4" t="s">
        <v>7320</v>
      </c>
      <c r="J811" s="4" t="s">
        <v>7321</v>
      </c>
      <c r="K811" t="s">
        <v>7322</v>
      </c>
      <c r="L811" t="s">
        <v>27</v>
      </c>
      <c r="M811" t="s">
        <v>7323</v>
      </c>
      <c r="N811" t="s">
        <v>28</v>
      </c>
      <c r="O811" t="s">
        <v>29</v>
      </c>
      <c r="P811" t="s">
        <v>30</v>
      </c>
      <c r="Q811" t="s">
        <v>31</v>
      </c>
      <c r="R811">
        <v>7</v>
      </c>
      <c r="S811" t="s">
        <v>7324</v>
      </c>
      <c r="T811" t="s">
        <v>7314</v>
      </c>
      <c r="U811" t="s">
        <v>7315</v>
      </c>
      <c r="V811" t="s">
        <v>32</v>
      </c>
      <c r="W811" t="s">
        <v>33</v>
      </c>
      <c r="X811" t="s">
        <v>33</v>
      </c>
      <c r="Y811" t="s">
        <v>33</v>
      </c>
      <c r="Z811" s="5" t="s">
        <v>34</v>
      </c>
      <c r="AA811">
        <v>-75.650276759999997</v>
      </c>
      <c r="AB811">
        <v>6.1783437000000001</v>
      </c>
      <c r="AC811" t="s">
        <v>456</v>
      </c>
      <c r="AD811" t="s">
        <v>457</v>
      </c>
    </row>
    <row r="812" spans="1:30" x14ac:dyDescent="0.25">
      <c r="A812" t="s">
        <v>7325</v>
      </c>
      <c r="B812" t="s">
        <v>25</v>
      </c>
      <c r="C812" t="s">
        <v>26</v>
      </c>
      <c r="D812" t="s">
        <v>25</v>
      </c>
      <c r="E812" t="s">
        <v>7326</v>
      </c>
      <c r="F812" t="s">
        <v>7327</v>
      </c>
      <c r="G812">
        <v>900303011</v>
      </c>
      <c r="H812" t="s">
        <v>7260</v>
      </c>
      <c r="I812" s="4" t="s">
        <v>5195</v>
      </c>
      <c r="J812" s="4" t="s">
        <v>5196</v>
      </c>
      <c r="K812" t="s">
        <v>7328</v>
      </c>
      <c r="L812" t="s">
        <v>49</v>
      </c>
      <c r="M812" t="s">
        <v>7329</v>
      </c>
      <c r="N812" t="s">
        <v>84</v>
      </c>
      <c r="O812" t="s">
        <v>29</v>
      </c>
      <c r="P812" t="s">
        <v>55</v>
      </c>
      <c r="Q812" t="s">
        <v>31</v>
      </c>
      <c r="R812">
        <v>7</v>
      </c>
      <c r="S812" t="s">
        <v>7330</v>
      </c>
      <c r="T812" t="s">
        <v>7331</v>
      </c>
      <c r="U812" t="s">
        <v>7332</v>
      </c>
      <c r="V812" t="s">
        <v>32</v>
      </c>
      <c r="W812" t="s">
        <v>33</v>
      </c>
      <c r="X812" t="s">
        <v>33</v>
      </c>
      <c r="Y812" t="s">
        <v>33</v>
      </c>
      <c r="Z812" s="5" t="s">
        <v>34</v>
      </c>
      <c r="AA812">
        <v>-75.573436000000001</v>
      </c>
      <c r="AB812">
        <v>6.1752180000000001</v>
      </c>
      <c r="AC812" t="s">
        <v>456</v>
      </c>
      <c r="AD812" t="s">
        <v>457</v>
      </c>
    </row>
    <row r="813" spans="1:30" x14ac:dyDescent="0.25">
      <c r="A813" t="s">
        <v>7333</v>
      </c>
      <c r="B813" t="s">
        <v>25</v>
      </c>
      <c r="C813" t="s">
        <v>26</v>
      </c>
      <c r="D813" t="s">
        <v>25</v>
      </c>
      <c r="E813" t="s">
        <v>7334</v>
      </c>
      <c r="F813" t="s">
        <v>7335</v>
      </c>
      <c r="G813">
        <v>900303011</v>
      </c>
      <c r="H813" t="s">
        <v>7260</v>
      </c>
      <c r="I813" s="4" t="s">
        <v>5195</v>
      </c>
      <c r="J813" s="4" t="s">
        <v>5196</v>
      </c>
      <c r="K813" t="s">
        <v>7336</v>
      </c>
      <c r="L813" t="s">
        <v>49</v>
      </c>
      <c r="M813" t="s">
        <v>7337</v>
      </c>
      <c r="N813" t="s">
        <v>84</v>
      </c>
      <c r="O813" t="s">
        <v>29</v>
      </c>
      <c r="P813" t="s">
        <v>55</v>
      </c>
      <c r="Q813" t="s">
        <v>31</v>
      </c>
      <c r="R813">
        <v>7</v>
      </c>
      <c r="S813" t="s">
        <v>7338</v>
      </c>
      <c r="T813" t="s">
        <v>7339</v>
      </c>
      <c r="U813" t="s">
        <v>4829</v>
      </c>
      <c r="V813" t="s">
        <v>32</v>
      </c>
      <c r="W813" t="s">
        <v>33</v>
      </c>
      <c r="X813" t="s">
        <v>33</v>
      </c>
      <c r="Y813" t="s">
        <v>33</v>
      </c>
      <c r="Z813" s="5" t="s">
        <v>34</v>
      </c>
      <c r="AA813">
        <v>-75.573436000000001</v>
      </c>
      <c r="AB813">
        <v>6.1752180000000001</v>
      </c>
      <c r="AC813" t="s">
        <v>456</v>
      </c>
      <c r="AD813" t="s">
        <v>457</v>
      </c>
    </row>
    <row r="814" spans="1:30" x14ac:dyDescent="0.25">
      <c r="A814" t="s">
        <v>7340</v>
      </c>
      <c r="B814" t="s">
        <v>25</v>
      </c>
      <c r="C814" t="s">
        <v>26</v>
      </c>
      <c r="D814" t="s">
        <v>25</v>
      </c>
      <c r="E814" t="s">
        <v>7341</v>
      </c>
      <c r="F814" t="s">
        <v>7342</v>
      </c>
      <c r="G814">
        <v>1128448070</v>
      </c>
      <c r="H814" t="s">
        <v>7319</v>
      </c>
      <c r="I814" s="4" t="s">
        <v>7320</v>
      </c>
      <c r="J814" s="4" t="s">
        <v>7321</v>
      </c>
      <c r="K814" t="s">
        <v>7343</v>
      </c>
      <c r="L814" t="s">
        <v>27</v>
      </c>
      <c r="M814" t="s">
        <v>7344</v>
      </c>
      <c r="N814" t="s">
        <v>28</v>
      </c>
      <c r="O814" t="s">
        <v>29</v>
      </c>
      <c r="P814" t="s">
        <v>30</v>
      </c>
      <c r="Q814" t="s">
        <v>31</v>
      </c>
      <c r="R814">
        <v>7</v>
      </c>
      <c r="S814" t="s">
        <v>7345</v>
      </c>
      <c r="T814" t="s">
        <v>2537</v>
      </c>
      <c r="U814" t="s">
        <v>7346</v>
      </c>
      <c r="V814" t="s">
        <v>32</v>
      </c>
      <c r="W814" t="s">
        <v>33</v>
      </c>
      <c r="X814" t="s">
        <v>33</v>
      </c>
      <c r="Y814" t="s">
        <v>33</v>
      </c>
      <c r="Z814" s="5" t="s">
        <v>34</v>
      </c>
      <c r="AA814">
        <v>-75.650276759999997</v>
      </c>
      <c r="AB814">
        <v>6.1783437000000001</v>
      </c>
      <c r="AC814" t="s">
        <v>456</v>
      </c>
      <c r="AD814" t="s">
        <v>457</v>
      </c>
    </row>
    <row r="815" spans="1:30" x14ac:dyDescent="0.25">
      <c r="A815" t="s">
        <v>7347</v>
      </c>
      <c r="B815" t="s">
        <v>25</v>
      </c>
      <c r="C815" t="s">
        <v>26</v>
      </c>
      <c r="D815" t="s">
        <v>25</v>
      </c>
      <c r="E815" t="s">
        <v>7348</v>
      </c>
      <c r="F815" t="s">
        <v>7349</v>
      </c>
      <c r="G815">
        <v>900303011</v>
      </c>
      <c r="H815" t="s">
        <v>7260</v>
      </c>
      <c r="I815" s="4" t="s">
        <v>5195</v>
      </c>
      <c r="J815" s="4" t="s">
        <v>5196</v>
      </c>
      <c r="K815" t="s">
        <v>7350</v>
      </c>
      <c r="L815" t="s">
        <v>49</v>
      </c>
      <c r="M815" t="s">
        <v>7351</v>
      </c>
      <c r="N815" t="s">
        <v>84</v>
      </c>
      <c r="O815" t="s">
        <v>29</v>
      </c>
      <c r="P815" t="s">
        <v>55</v>
      </c>
      <c r="Q815" t="s">
        <v>31</v>
      </c>
      <c r="R815">
        <v>7</v>
      </c>
      <c r="S815" t="s">
        <v>7352</v>
      </c>
      <c r="T815" t="s">
        <v>2537</v>
      </c>
      <c r="U815" t="s">
        <v>7346</v>
      </c>
      <c r="V815" t="s">
        <v>32</v>
      </c>
      <c r="W815" t="s">
        <v>33</v>
      </c>
      <c r="X815" t="s">
        <v>33</v>
      </c>
      <c r="Y815" t="s">
        <v>33</v>
      </c>
      <c r="Z815" s="5" t="s">
        <v>34</v>
      </c>
      <c r="AA815">
        <v>-75.573436000000001</v>
      </c>
      <c r="AB815">
        <v>6.1752180000000001</v>
      </c>
      <c r="AC815" t="s">
        <v>456</v>
      </c>
      <c r="AD815" t="s">
        <v>457</v>
      </c>
    </row>
    <row r="816" spans="1:30" x14ac:dyDescent="0.25">
      <c r="A816" t="s">
        <v>7353</v>
      </c>
      <c r="B816" t="s">
        <v>25</v>
      </c>
      <c r="C816" t="s">
        <v>26</v>
      </c>
      <c r="D816" t="s">
        <v>25</v>
      </c>
      <c r="E816" t="s">
        <v>7354</v>
      </c>
      <c r="F816" t="s">
        <v>7355</v>
      </c>
      <c r="G816">
        <v>900303011</v>
      </c>
      <c r="H816" t="s">
        <v>7260</v>
      </c>
      <c r="I816" s="4" t="s">
        <v>5195</v>
      </c>
      <c r="J816" s="4" t="s">
        <v>5196</v>
      </c>
      <c r="K816" t="s">
        <v>7356</v>
      </c>
      <c r="L816" t="s">
        <v>49</v>
      </c>
      <c r="M816" t="s">
        <v>7357</v>
      </c>
      <c r="N816" t="s">
        <v>84</v>
      </c>
      <c r="O816" t="s">
        <v>29</v>
      </c>
      <c r="P816" t="s">
        <v>55</v>
      </c>
      <c r="Q816" t="s">
        <v>31</v>
      </c>
      <c r="R816">
        <v>7</v>
      </c>
      <c r="S816" t="s">
        <v>7358</v>
      </c>
      <c r="T816" t="s">
        <v>7359</v>
      </c>
      <c r="U816" t="s">
        <v>7360</v>
      </c>
      <c r="V816" t="s">
        <v>32</v>
      </c>
      <c r="W816" t="s">
        <v>33</v>
      </c>
      <c r="X816" t="s">
        <v>33</v>
      </c>
      <c r="Y816" t="s">
        <v>33</v>
      </c>
      <c r="Z816" s="5" t="s">
        <v>34</v>
      </c>
      <c r="AA816">
        <v>-75.573425999999998</v>
      </c>
      <c r="AB816">
        <v>6.1751849999999999</v>
      </c>
      <c r="AC816" t="s">
        <v>456</v>
      </c>
      <c r="AD816" t="s">
        <v>457</v>
      </c>
    </row>
    <row r="817" spans="1:30" x14ac:dyDescent="0.25">
      <c r="A817" t="s">
        <v>7361</v>
      </c>
      <c r="B817" t="s">
        <v>25</v>
      </c>
      <c r="C817" t="s">
        <v>26</v>
      </c>
      <c r="D817" t="s">
        <v>25</v>
      </c>
      <c r="E817" t="s">
        <v>7362</v>
      </c>
      <c r="F817" t="s">
        <v>7363</v>
      </c>
      <c r="G817">
        <v>900303011</v>
      </c>
      <c r="H817" t="s">
        <v>7260</v>
      </c>
      <c r="I817" s="4" t="s">
        <v>5195</v>
      </c>
      <c r="J817" s="4" t="s">
        <v>5196</v>
      </c>
      <c r="K817" t="s">
        <v>7364</v>
      </c>
      <c r="L817" t="s">
        <v>49</v>
      </c>
      <c r="M817" t="s">
        <v>7365</v>
      </c>
      <c r="N817" t="s">
        <v>84</v>
      </c>
      <c r="O817" t="s">
        <v>29</v>
      </c>
      <c r="P817" t="s">
        <v>55</v>
      </c>
      <c r="Q817" t="s">
        <v>31</v>
      </c>
      <c r="R817">
        <v>7</v>
      </c>
      <c r="S817" t="s">
        <v>7366</v>
      </c>
      <c r="T817" t="s">
        <v>7359</v>
      </c>
      <c r="U817" t="s">
        <v>7360</v>
      </c>
      <c r="V817" t="s">
        <v>32</v>
      </c>
      <c r="W817" t="s">
        <v>33</v>
      </c>
      <c r="X817" t="s">
        <v>33</v>
      </c>
      <c r="Y817" t="s">
        <v>33</v>
      </c>
      <c r="Z817" s="5" t="s">
        <v>34</v>
      </c>
      <c r="AA817">
        <v>-75.573436000000001</v>
      </c>
      <c r="AB817">
        <v>6.1752180000000001</v>
      </c>
      <c r="AC817" t="s">
        <v>456</v>
      </c>
      <c r="AD817" t="s">
        <v>457</v>
      </c>
    </row>
    <row r="818" spans="1:30" x14ac:dyDescent="0.25">
      <c r="A818" t="s">
        <v>7367</v>
      </c>
      <c r="B818" t="s">
        <v>25</v>
      </c>
      <c r="C818" t="s">
        <v>26</v>
      </c>
      <c r="D818" t="s">
        <v>25</v>
      </c>
      <c r="E818" t="s">
        <v>7368</v>
      </c>
      <c r="F818" t="s">
        <v>7369</v>
      </c>
      <c r="G818">
        <v>900303011</v>
      </c>
      <c r="H818" t="s">
        <v>7260</v>
      </c>
      <c r="I818" s="4" t="s">
        <v>5195</v>
      </c>
      <c r="J818" s="4" t="s">
        <v>5196</v>
      </c>
      <c r="K818" t="s">
        <v>7370</v>
      </c>
      <c r="L818" t="s">
        <v>49</v>
      </c>
      <c r="M818" t="s">
        <v>7371</v>
      </c>
      <c r="N818" t="s">
        <v>84</v>
      </c>
      <c r="O818" t="s">
        <v>29</v>
      </c>
      <c r="P818" t="s">
        <v>55</v>
      </c>
      <c r="Q818" t="s">
        <v>31</v>
      </c>
      <c r="R818">
        <v>7</v>
      </c>
      <c r="S818" t="s">
        <v>7372</v>
      </c>
      <c r="T818" t="s">
        <v>7373</v>
      </c>
      <c r="U818" t="s">
        <v>4830</v>
      </c>
      <c r="V818" t="s">
        <v>32</v>
      </c>
      <c r="W818" t="s">
        <v>33</v>
      </c>
      <c r="X818" t="s">
        <v>33</v>
      </c>
      <c r="Y818" t="s">
        <v>33</v>
      </c>
      <c r="Z818" s="5" t="s">
        <v>34</v>
      </c>
      <c r="AA818">
        <v>-75.573436000000001</v>
      </c>
      <c r="AB818">
        <v>6.1752180000000001</v>
      </c>
      <c r="AC818" t="s">
        <v>456</v>
      </c>
      <c r="AD818" t="s">
        <v>457</v>
      </c>
    </row>
    <row r="819" spans="1:30" x14ac:dyDescent="0.25">
      <c r="A819" t="s">
        <v>7374</v>
      </c>
      <c r="B819" t="s">
        <v>25</v>
      </c>
      <c r="C819" t="s">
        <v>26</v>
      </c>
      <c r="D819" t="s">
        <v>25</v>
      </c>
      <c r="E819" t="s">
        <v>7375</v>
      </c>
      <c r="F819" t="s">
        <v>7376</v>
      </c>
      <c r="G819">
        <v>900303011</v>
      </c>
      <c r="H819" t="s">
        <v>7260</v>
      </c>
      <c r="I819" s="4" t="s">
        <v>5195</v>
      </c>
      <c r="J819" s="4" t="s">
        <v>5196</v>
      </c>
      <c r="K819" t="s">
        <v>7377</v>
      </c>
      <c r="L819" t="s">
        <v>49</v>
      </c>
      <c r="M819" t="s">
        <v>7378</v>
      </c>
      <c r="N819" t="s">
        <v>84</v>
      </c>
      <c r="O819" t="s">
        <v>29</v>
      </c>
      <c r="P819" t="s">
        <v>55</v>
      </c>
      <c r="Q819" t="s">
        <v>31</v>
      </c>
      <c r="R819">
        <v>7</v>
      </c>
      <c r="S819" t="s">
        <v>7379</v>
      </c>
      <c r="T819" t="s">
        <v>7373</v>
      </c>
      <c r="U819" t="s">
        <v>4830</v>
      </c>
      <c r="V819" t="s">
        <v>32</v>
      </c>
      <c r="W819" t="s">
        <v>33</v>
      </c>
      <c r="X819" t="s">
        <v>33</v>
      </c>
      <c r="Y819" t="s">
        <v>33</v>
      </c>
      <c r="Z819" s="5" t="s">
        <v>34</v>
      </c>
      <c r="AA819">
        <v>-75.573436000000001</v>
      </c>
      <c r="AB819">
        <v>6.1752180000000001</v>
      </c>
      <c r="AC819" t="s">
        <v>456</v>
      </c>
      <c r="AD819" t="s">
        <v>457</v>
      </c>
    </row>
    <row r="820" spans="1:30" x14ac:dyDescent="0.25">
      <c r="A820" t="s">
        <v>7380</v>
      </c>
      <c r="B820" t="s">
        <v>25</v>
      </c>
      <c r="C820" t="s">
        <v>26</v>
      </c>
      <c r="D820" t="s">
        <v>25</v>
      </c>
      <c r="E820" t="s">
        <v>7381</v>
      </c>
      <c r="F820" t="s">
        <v>7382</v>
      </c>
      <c r="G820">
        <v>900303011</v>
      </c>
      <c r="H820" t="s">
        <v>7260</v>
      </c>
      <c r="I820" s="4" t="s">
        <v>5195</v>
      </c>
      <c r="J820" s="4" t="s">
        <v>5196</v>
      </c>
      <c r="K820" t="s">
        <v>7383</v>
      </c>
      <c r="L820" t="s">
        <v>49</v>
      </c>
      <c r="M820" t="s">
        <v>7384</v>
      </c>
      <c r="N820" t="s">
        <v>84</v>
      </c>
      <c r="O820" t="s">
        <v>29</v>
      </c>
      <c r="P820" t="s">
        <v>55</v>
      </c>
      <c r="Q820" t="s">
        <v>31</v>
      </c>
      <c r="R820">
        <v>7</v>
      </c>
      <c r="S820" t="s">
        <v>7385</v>
      </c>
      <c r="T820" t="s">
        <v>7373</v>
      </c>
      <c r="U820" t="s">
        <v>4830</v>
      </c>
      <c r="V820" t="s">
        <v>32</v>
      </c>
      <c r="W820" t="s">
        <v>33</v>
      </c>
      <c r="X820" t="s">
        <v>33</v>
      </c>
      <c r="Y820" t="s">
        <v>33</v>
      </c>
      <c r="Z820" s="5" t="s">
        <v>34</v>
      </c>
      <c r="AA820">
        <v>-75.573436000000001</v>
      </c>
      <c r="AB820">
        <v>6.1752180000000001</v>
      </c>
      <c r="AC820" t="s">
        <v>456</v>
      </c>
      <c r="AD820" t="s">
        <v>457</v>
      </c>
    </row>
    <row r="821" spans="1:30" x14ac:dyDescent="0.25">
      <c r="A821" t="s">
        <v>7386</v>
      </c>
      <c r="B821" t="s">
        <v>25</v>
      </c>
      <c r="C821" t="s">
        <v>26</v>
      </c>
      <c r="D821" t="s">
        <v>25</v>
      </c>
      <c r="E821" t="s">
        <v>7387</v>
      </c>
      <c r="F821" t="s">
        <v>7388</v>
      </c>
      <c r="G821">
        <v>900303011</v>
      </c>
      <c r="H821" t="s">
        <v>7260</v>
      </c>
      <c r="I821" s="4" t="s">
        <v>5195</v>
      </c>
      <c r="J821" s="4" t="s">
        <v>5196</v>
      </c>
      <c r="K821" t="s">
        <v>7389</v>
      </c>
      <c r="L821" t="s">
        <v>49</v>
      </c>
      <c r="M821" t="s">
        <v>7390</v>
      </c>
      <c r="N821" t="s">
        <v>84</v>
      </c>
      <c r="O821" t="s">
        <v>29</v>
      </c>
      <c r="P821" t="s">
        <v>55</v>
      </c>
      <c r="Q821" t="s">
        <v>31</v>
      </c>
      <c r="R821">
        <v>7</v>
      </c>
      <c r="S821" t="s">
        <v>7391</v>
      </c>
      <c r="T821" t="s">
        <v>7392</v>
      </c>
      <c r="U821" t="s">
        <v>7393</v>
      </c>
      <c r="V821" t="s">
        <v>32</v>
      </c>
      <c r="W821" t="s">
        <v>33</v>
      </c>
      <c r="X821" t="s">
        <v>33</v>
      </c>
      <c r="Y821" t="s">
        <v>33</v>
      </c>
      <c r="Z821" s="5" t="s">
        <v>34</v>
      </c>
      <c r="AA821">
        <v>-75.573436000000001</v>
      </c>
      <c r="AB821">
        <v>6.1752180000000001</v>
      </c>
      <c r="AC821" t="s">
        <v>456</v>
      </c>
      <c r="AD821" t="s">
        <v>457</v>
      </c>
    </row>
    <row r="822" spans="1:30" x14ac:dyDescent="0.25">
      <c r="A822" t="s">
        <v>7394</v>
      </c>
      <c r="B822" t="s">
        <v>25</v>
      </c>
      <c r="C822" t="s">
        <v>26</v>
      </c>
      <c r="D822" t="s">
        <v>25</v>
      </c>
      <c r="E822" t="s">
        <v>7395</v>
      </c>
      <c r="F822" t="s">
        <v>7396</v>
      </c>
      <c r="G822">
        <v>900303011</v>
      </c>
      <c r="H822" t="s">
        <v>7260</v>
      </c>
      <c r="I822" s="4" t="s">
        <v>5195</v>
      </c>
      <c r="J822" s="4" t="s">
        <v>5196</v>
      </c>
      <c r="K822" t="s">
        <v>7397</v>
      </c>
      <c r="L822" t="s">
        <v>49</v>
      </c>
      <c r="M822" t="s">
        <v>7398</v>
      </c>
      <c r="N822" t="s">
        <v>84</v>
      </c>
      <c r="O822" t="s">
        <v>29</v>
      </c>
      <c r="P822" t="s">
        <v>55</v>
      </c>
      <c r="Q822" t="s">
        <v>31</v>
      </c>
      <c r="R822">
        <v>7</v>
      </c>
      <c r="S822" t="s">
        <v>7399</v>
      </c>
      <c r="T822" t="s">
        <v>7392</v>
      </c>
      <c r="U822" t="s">
        <v>7393</v>
      </c>
      <c r="V822" t="s">
        <v>32</v>
      </c>
      <c r="W822" t="s">
        <v>33</v>
      </c>
      <c r="X822" t="s">
        <v>33</v>
      </c>
      <c r="Y822" t="s">
        <v>33</v>
      </c>
      <c r="Z822" s="5" t="s">
        <v>34</v>
      </c>
      <c r="AA822">
        <v>-75.573436000000001</v>
      </c>
      <c r="AB822">
        <v>6.1752180000000001</v>
      </c>
      <c r="AC822" t="s">
        <v>456</v>
      </c>
      <c r="AD822" t="s">
        <v>457</v>
      </c>
    </row>
    <row r="823" spans="1:30" x14ac:dyDescent="0.25">
      <c r="A823" t="s">
        <v>7400</v>
      </c>
      <c r="B823" t="s">
        <v>25</v>
      </c>
      <c r="C823" t="s">
        <v>26</v>
      </c>
      <c r="D823" t="s">
        <v>25</v>
      </c>
      <c r="E823" t="s">
        <v>7401</v>
      </c>
      <c r="F823" t="s">
        <v>7402</v>
      </c>
      <c r="G823">
        <v>900303011</v>
      </c>
      <c r="H823" t="s">
        <v>7260</v>
      </c>
      <c r="I823" s="4" t="s">
        <v>5195</v>
      </c>
      <c r="J823" s="4" t="s">
        <v>5196</v>
      </c>
      <c r="K823" t="s">
        <v>7403</v>
      </c>
      <c r="L823" t="s">
        <v>49</v>
      </c>
      <c r="M823" t="s">
        <v>7404</v>
      </c>
      <c r="N823" t="s">
        <v>84</v>
      </c>
      <c r="O823" t="s">
        <v>29</v>
      </c>
      <c r="P823" t="s">
        <v>55</v>
      </c>
      <c r="Q823" t="s">
        <v>31</v>
      </c>
      <c r="R823">
        <v>7</v>
      </c>
      <c r="S823" t="s">
        <v>7405</v>
      </c>
      <c r="T823" t="s">
        <v>7406</v>
      </c>
      <c r="U823" t="s">
        <v>7407</v>
      </c>
      <c r="V823" t="s">
        <v>32</v>
      </c>
      <c r="W823" t="s">
        <v>33</v>
      </c>
      <c r="X823" t="s">
        <v>33</v>
      </c>
      <c r="Y823" t="s">
        <v>33</v>
      </c>
      <c r="Z823" s="5" t="s">
        <v>34</v>
      </c>
      <c r="AA823">
        <v>-75.573436000000001</v>
      </c>
      <c r="AB823">
        <v>6.1752180000000001</v>
      </c>
      <c r="AC823" t="s">
        <v>456</v>
      </c>
      <c r="AD823" t="s">
        <v>457</v>
      </c>
    </row>
    <row r="824" spans="1:30" x14ac:dyDescent="0.25">
      <c r="A824" t="s">
        <v>7408</v>
      </c>
      <c r="B824" t="s">
        <v>25</v>
      </c>
      <c r="C824" t="s">
        <v>26</v>
      </c>
      <c r="D824" t="s">
        <v>25</v>
      </c>
      <c r="E824" t="s">
        <v>7409</v>
      </c>
      <c r="F824" t="s">
        <v>7410</v>
      </c>
      <c r="G824">
        <v>900303011</v>
      </c>
      <c r="H824" t="s">
        <v>7260</v>
      </c>
      <c r="I824" s="4" t="s">
        <v>5195</v>
      </c>
      <c r="J824" s="4" t="s">
        <v>5196</v>
      </c>
      <c r="K824" t="s">
        <v>7411</v>
      </c>
      <c r="L824" t="s">
        <v>49</v>
      </c>
      <c r="M824" t="s">
        <v>7412</v>
      </c>
      <c r="N824" t="s">
        <v>84</v>
      </c>
      <c r="O824" t="s">
        <v>29</v>
      </c>
      <c r="P824" t="s">
        <v>55</v>
      </c>
      <c r="Q824" t="s">
        <v>31</v>
      </c>
      <c r="R824">
        <v>7</v>
      </c>
      <c r="S824" t="s">
        <v>7413</v>
      </c>
      <c r="T824" t="s">
        <v>7406</v>
      </c>
      <c r="U824" t="s">
        <v>7407</v>
      </c>
      <c r="V824" t="s">
        <v>32</v>
      </c>
      <c r="W824" t="s">
        <v>33</v>
      </c>
      <c r="X824" t="s">
        <v>33</v>
      </c>
      <c r="Y824" t="s">
        <v>33</v>
      </c>
      <c r="Z824" s="5" t="s">
        <v>34</v>
      </c>
      <c r="AA824">
        <v>-75.573436000000001</v>
      </c>
      <c r="AB824">
        <v>6.1752180000000001</v>
      </c>
      <c r="AC824" t="s">
        <v>456</v>
      </c>
      <c r="AD824" t="s">
        <v>457</v>
      </c>
    </row>
    <row r="825" spans="1:30" x14ac:dyDescent="0.25">
      <c r="A825" t="s">
        <v>7414</v>
      </c>
      <c r="B825" t="s">
        <v>42</v>
      </c>
      <c r="C825" t="s">
        <v>166</v>
      </c>
      <c r="D825" t="s">
        <v>42</v>
      </c>
      <c r="E825" t="s">
        <v>7415</v>
      </c>
      <c r="F825" t="s">
        <v>7416</v>
      </c>
      <c r="G825">
        <v>890904996</v>
      </c>
      <c r="H825" t="s">
        <v>7417</v>
      </c>
      <c r="I825" s="4" t="s">
        <v>54</v>
      </c>
      <c r="J825" s="4" t="s">
        <v>7418</v>
      </c>
      <c r="K825" t="s">
        <v>7419</v>
      </c>
      <c r="L825" t="s">
        <v>27</v>
      </c>
      <c r="M825" t="s">
        <v>7420</v>
      </c>
      <c r="N825" t="s">
        <v>28</v>
      </c>
      <c r="O825" t="s">
        <v>167</v>
      </c>
      <c r="P825" t="s">
        <v>30</v>
      </c>
      <c r="Q825" t="s">
        <v>31</v>
      </c>
      <c r="R825">
        <v>7</v>
      </c>
      <c r="S825" t="s">
        <v>7421</v>
      </c>
      <c r="T825" t="s">
        <v>7406</v>
      </c>
      <c r="U825" t="s">
        <v>7407</v>
      </c>
      <c r="V825" t="s">
        <v>32</v>
      </c>
      <c r="W825" t="s">
        <v>33</v>
      </c>
      <c r="X825" t="s">
        <v>33</v>
      </c>
      <c r="Y825" t="s">
        <v>33</v>
      </c>
      <c r="Z825" s="5" t="s">
        <v>34</v>
      </c>
      <c r="AA825">
        <v>-75.553844999999995</v>
      </c>
      <c r="AB825">
        <v>6.2333220000000003</v>
      </c>
      <c r="AC825" t="s">
        <v>456</v>
      </c>
      <c r="AD825" t="s">
        <v>457</v>
      </c>
    </row>
    <row r="826" spans="1:30" x14ac:dyDescent="0.25">
      <c r="A826" t="s">
        <v>7422</v>
      </c>
      <c r="B826" t="s">
        <v>25</v>
      </c>
      <c r="C826" t="s">
        <v>26</v>
      </c>
      <c r="D826" t="s">
        <v>25</v>
      </c>
      <c r="E826" t="s">
        <v>7423</v>
      </c>
      <c r="F826" t="s">
        <v>7424</v>
      </c>
      <c r="G826">
        <v>900303011</v>
      </c>
      <c r="H826" t="s">
        <v>7260</v>
      </c>
      <c r="I826" s="4" t="s">
        <v>5195</v>
      </c>
      <c r="J826" s="4" t="s">
        <v>5196</v>
      </c>
      <c r="K826" t="s">
        <v>7425</v>
      </c>
      <c r="L826" t="s">
        <v>49</v>
      </c>
      <c r="M826" t="s">
        <v>7426</v>
      </c>
      <c r="N826" t="s">
        <v>84</v>
      </c>
      <c r="O826" t="s">
        <v>29</v>
      </c>
      <c r="P826" t="s">
        <v>55</v>
      </c>
      <c r="Q826" t="s">
        <v>31</v>
      </c>
      <c r="R826">
        <v>7</v>
      </c>
      <c r="S826" t="s">
        <v>7427</v>
      </c>
      <c r="T826" t="s">
        <v>7428</v>
      </c>
      <c r="U826" t="s">
        <v>7429</v>
      </c>
      <c r="V826" t="s">
        <v>32</v>
      </c>
      <c r="W826" t="s">
        <v>33</v>
      </c>
      <c r="X826" t="s">
        <v>33</v>
      </c>
      <c r="Y826" t="s">
        <v>33</v>
      </c>
      <c r="Z826" s="5" t="s">
        <v>34</v>
      </c>
      <c r="AA826">
        <v>-75.573436000000001</v>
      </c>
      <c r="AB826">
        <v>6.1752180000000001</v>
      </c>
      <c r="AC826" t="s">
        <v>456</v>
      </c>
      <c r="AD826" t="s">
        <v>457</v>
      </c>
    </row>
    <row r="827" spans="1:30" x14ac:dyDescent="0.25">
      <c r="A827" t="s">
        <v>7430</v>
      </c>
      <c r="B827" t="s">
        <v>25</v>
      </c>
      <c r="C827" t="s">
        <v>26</v>
      </c>
      <c r="D827" t="s">
        <v>25</v>
      </c>
      <c r="E827" t="s">
        <v>7431</v>
      </c>
      <c r="F827" t="s">
        <v>7432</v>
      </c>
      <c r="G827">
        <v>900303011</v>
      </c>
      <c r="H827" t="s">
        <v>7260</v>
      </c>
      <c r="I827" s="4" t="s">
        <v>5195</v>
      </c>
      <c r="J827" s="4" t="s">
        <v>5196</v>
      </c>
      <c r="K827" t="s">
        <v>7433</v>
      </c>
      <c r="L827" t="s">
        <v>49</v>
      </c>
      <c r="M827" t="s">
        <v>7434</v>
      </c>
      <c r="N827" t="s">
        <v>84</v>
      </c>
      <c r="O827" t="s">
        <v>29</v>
      </c>
      <c r="P827" t="s">
        <v>55</v>
      </c>
      <c r="Q827" t="s">
        <v>31</v>
      </c>
      <c r="R827">
        <v>7</v>
      </c>
      <c r="S827" t="s">
        <v>7435</v>
      </c>
      <c r="T827" t="s">
        <v>7436</v>
      </c>
      <c r="U827" t="s">
        <v>7437</v>
      </c>
      <c r="V827" t="s">
        <v>32</v>
      </c>
      <c r="W827" t="s">
        <v>33</v>
      </c>
      <c r="X827" t="s">
        <v>33</v>
      </c>
      <c r="Y827" t="s">
        <v>33</v>
      </c>
      <c r="Z827" s="5" t="s">
        <v>34</v>
      </c>
      <c r="AA827">
        <v>-75.573436000000001</v>
      </c>
      <c r="AB827">
        <v>6.1752180000000001</v>
      </c>
      <c r="AC827" t="s">
        <v>456</v>
      </c>
      <c r="AD827" t="s">
        <v>457</v>
      </c>
    </row>
    <row r="828" spans="1:30" x14ac:dyDescent="0.25">
      <c r="A828" t="s">
        <v>7438</v>
      </c>
      <c r="B828" t="s">
        <v>25</v>
      </c>
      <c r="C828" t="s">
        <v>26</v>
      </c>
      <c r="D828" t="s">
        <v>25</v>
      </c>
      <c r="E828" t="s">
        <v>7439</v>
      </c>
      <c r="F828" t="s">
        <v>7440</v>
      </c>
      <c r="G828">
        <v>900303011</v>
      </c>
      <c r="H828" t="s">
        <v>7260</v>
      </c>
      <c r="I828" s="4" t="s">
        <v>5195</v>
      </c>
      <c r="J828" s="4" t="s">
        <v>5196</v>
      </c>
      <c r="K828" t="s">
        <v>7441</v>
      </c>
      <c r="L828" t="s">
        <v>49</v>
      </c>
      <c r="M828" t="s">
        <v>7442</v>
      </c>
      <c r="N828" t="s">
        <v>84</v>
      </c>
      <c r="O828" t="s">
        <v>29</v>
      </c>
      <c r="P828" t="s">
        <v>55</v>
      </c>
      <c r="Q828" t="s">
        <v>31</v>
      </c>
      <c r="R828">
        <v>7</v>
      </c>
      <c r="S828" t="s">
        <v>7443</v>
      </c>
      <c r="T828" t="s">
        <v>7444</v>
      </c>
      <c r="U828" t="s">
        <v>7445</v>
      </c>
      <c r="V828" t="s">
        <v>32</v>
      </c>
      <c r="W828" t="s">
        <v>33</v>
      </c>
      <c r="X828" t="s">
        <v>33</v>
      </c>
      <c r="Y828" t="s">
        <v>33</v>
      </c>
      <c r="Z828" s="5" t="s">
        <v>34</v>
      </c>
      <c r="AA828">
        <v>-75.573436000000001</v>
      </c>
      <c r="AB828">
        <v>6.1752180000000001</v>
      </c>
      <c r="AC828" t="s">
        <v>456</v>
      </c>
      <c r="AD828" t="s">
        <v>457</v>
      </c>
    </row>
    <row r="829" spans="1:30" x14ac:dyDescent="0.25">
      <c r="A829" t="s">
        <v>7446</v>
      </c>
      <c r="B829" t="s">
        <v>25</v>
      </c>
      <c r="C829" t="s">
        <v>26</v>
      </c>
      <c r="D829" t="s">
        <v>25</v>
      </c>
      <c r="E829" t="s">
        <v>7447</v>
      </c>
      <c r="F829" t="s">
        <v>7448</v>
      </c>
      <c r="G829">
        <v>900303011</v>
      </c>
      <c r="H829" t="s">
        <v>7260</v>
      </c>
      <c r="I829" s="4" t="s">
        <v>5195</v>
      </c>
      <c r="J829" s="4" t="s">
        <v>5196</v>
      </c>
      <c r="K829" t="s">
        <v>7449</v>
      </c>
      <c r="L829" t="s">
        <v>49</v>
      </c>
      <c r="M829" t="s">
        <v>7450</v>
      </c>
      <c r="N829" t="s">
        <v>84</v>
      </c>
      <c r="O829" t="s">
        <v>29</v>
      </c>
      <c r="P829" t="s">
        <v>55</v>
      </c>
      <c r="Q829" t="s">
        <v>31</v>
      </c>
      <c r="R829">
        <v>7</v>
      </c>
      <c r="S829" t="s">
        <v>7451</v>
      </c>
      <c r="T829" t="s">
        <v>7444</v>
      </c>
      <c r="U829" t="s">
        <v>7445</v>
      </c>
      <c r="V829" t="s">
        <v>32</v>
      </c>
      <c r="W829" t="s">
        <v>33</v>
      </c>
      <c r="X829" t="s">
        <v>33</v>
      </c>
      <c r="Y829" t="s">
        <v>33</v>
      </c>
      <c r="Z829" s="5" t="s">
        <v>34</v>
      </c>
      <c r="AA829">
        <v>-75.573783000000006</v>
      </c>
      <c r="AB829">
        <v>6.1751259999999997</v>
      </c>
      <c r="AC829" t="s">
        <v>456</v>
      </c>
      <c r="AD829" t="s">
        <v>457</v>
      </c>
    </row>
    <row r="830" spans="1:30" x14ac:dyDescent="0.25">
      <c r="A830" t="s">
        <v>7452</v>
      </c>
      <c r="B830" t="s">
        <v>25</v>
      </c>
      <c r="C830" t="s">
        <v>26</v>
      </c>
      <c r="D830" t="s">
        <v>25</v>
      </c>
      <c r="E830" t="s">
        <v>7453</v>
      </c>
      <c r="F830" t="s">
        <v>7454</v>
      </c>
      <c r="G830">
        <v>900303011</v>
      </c>
      <c r="H830" t="s">
        <v>7260</v>
      </c>
      <c r="I830" s="4" t="s">
        <v>5195</v>
      </c>
      <c r="J830" s="4" t="s">
        <v>5196</v>
      </c>
      <c r="K830" t="s">
        <v>7455</v>
      </c>
      <c r="L830" t="s">
        <v>49</v>
      </c>
      <c r="M830" t="s">
        <v>7456</v>
      </c>
      <c r="N830" t="s">
        <v>84</v>
      </c>
      <c r="O830" t="s">
        <v>29</v>
      </c>
      <c r="P830" t="s">
        <v>55</v>
      </c>
      <c r="Q830" t="s">
        <v>31</v>
      </c>
      <c r="R830">
        <v>7</v>
      </c>
      <c r="S830" t="s">
        <v>7457</v>
      </c>
      <c r="T830" t="s">
        <v>7458</v>
      </c>
      <c r="U830" t="s">
        <v>7459</v>
      </c>
      <c r="V830" t="s">
        <v>32</v>
      </c>
      <c r="W830" t="s">
        <v>33</v>
      </c>
      <c r="X830" t="s">
        <v>33</v>
      </c>
      <c r="Y830" t="s">
        <v>33</v>
      </c>
      <c r="Z830" s="5" t="s">
        <v>34</v>
      </c>
      <c r="AA830">
        <v>-75.573436000000001</v>
      </c>
      <c r="AB830">
        <v>6.1752180000000001</v>
      </c>
      <c r="AC830" t="s">
        <v>456</v>
      </c>
      <c r="AD830" t="s">
        <v>457</v>
      </c>
    </row>
    <row r="831" spans="1:30" x14ac:dyDescent="0.25">
      <c r="A831" t="s">
        <v>7460</v>
      </c>
      <c r="B831" t="s">
        <v>25</v>
      </c>
      <c r="C831" t="s">
        <v>26</v>
      </c>
      <c r="D831" t="s">
        <v>25</v>
      </c>
      <c r="E831" t="s">
        <v>7461</v>
      </c>
      <c r="F831" t="s">
        <v>7462</v>
      </c>
      <c r="G831">
        <v>900303011</v>
      </c>
      <c r="H831" t="s">
        <v>7260</v>
      </c>
      <c r="I831" s="4" t="s">
        <v>5195</v>
      </c>
      <c r="J831" s="4" t="s">
        <v>5196</v>
      </c>
      <c r="K831" t="s">
        <v>7463</v>
      </c>
      <c r="L831" t="s">
        <v>49</v>
      </c>
      <c r="M831" t="s">
        <v>7464</v>
      </c>
      <c r="N831" t="s">
        <v>84</v>
      </c>
      <c r="O831" t="s">
        <v>29</v>
      </c>
      <c r="P831" t="s">
        <v>55</v>
      </c>
      <c r="Q831" t="s">
        <v>31</v>
      </c>
      <c r="R831">
        <v>7</v>
      </c>
      <c r="S831" t="s">
        <v>7465</v>
      </c>
      <c r="T831" t="s">
        <v>7458</v>
      </c>
      <c r="U831" t="s">
        <v>7459</v>
      </c>
      <c r="V831" t="s">
        <v>32</v>
      </c>
      <c r="W831" t="s">
        <v>33</v>
      </c>
      <c r="X831" t="s">
        <v>33</v>
      </c>
      <c r="Y831" t="s">
        <v>33</v>
      </c>
      <c r="Z831" s="5" t="s">
        <v>34</v>
      </c>
      <c r="AA831">
        <v>-75.573436000000001</v>
      </c>
      <c r="AB831">
        <v>6.1752180000000001</v>
      </c>
      <c r="AC831" t="s">
        <v>456</v>
      </c>
      <c r="AD831" t="s">
        <v>457</v>
      </c>
    </row>
    <row r="832" spans="1:30" x14ac:dyDescent="0.25">
      <c r="A832" t="s">
        <v>7466</v>
      </c>
      <c r="B832" t="s">
        <v>25</v>
      </c>
      <c r="C832" t="s">
        <v>26</v>
      </c>
      <c r="D832" t="s">
        <v>25</v>
      </c>
      <c r="E832" t="s">
        <v>7467</v>
      </c>
      <c r="F832" t="s">
        <v>7468</v>
      </c>
      <c r="G832">
        <v>900303011</v>
      </c>
      <c r="H832" t="s">
        <v>7260</v>
      </c>
      <c r="I832" s="4" t="s">
        <v>5195</v>
      </c>
      <c r="J832" s="4" t="s">
        <v>5196</v>
      </c>
      <c r="K832" t="s">
        <v>7469</v>
      </c>
      <c r="L832" t="s">
        <v>49</v>
      </c>
      <c r="M832" t="s">
        <v>7470</v>
      </c>
      <c r="N832" t="s">
        <v>84</v>
      </c>
      <c r="O832" t="s">
        <v>29</v>
      </c>
      <c r="P832" t="s">
        <v>55</v>
      </c>
      <c r="Q832" t="s">
        <v>31</v>
      </c>
      <c r="R832">
        <v>7</v>
      </c>
      <c r="S832" t="s">
        <v>7471</v>
      </c>
      <c r="T832" t="s">
        <v>7458</v>
      </c>
      <c r="U832" t="s">
        <v>7459</v>
      </c>
      <c r="V832" t="s">
        <v>32</v>
      </c>
      <c r="W832" t="s">
        <v>33</v>
      </c>
      <c r="X832" t="s">
        <v>33</v>
      </c>
      <c r="Y832" t="s">
        <v>33</v>
      </c>
      <c r="Z832" s="5" t="s">
        <v>34</v>
      </c>
      <c r="AA832">
        <v>-75.573436000000001</v>
      </c>
      <c r="AB832">
        <v>6.1752180000000001</v>
      </c>
      <c r="AC832" t="s">
        <v>456</v>
      </c>
      <c r="AD832" t="s">
        <v>457</v>
      </c>
    </row>
    <row r="833" spans="1:30" x14ac:dyDescent="0.25">
      <c r="A833" t="s">
        <v>7472</v>
      </c>
      <c r="B833" t="s">
        <v>25</v>
      </c>
      <c r="C833" t="s">
        <v>26</v>
      </c>
      <c r="D833" t="s">
        <v>25</v>
      </c>
      <c r="E833" t="s">
        <v>7473</v>
      </c>
      <c r="F833" t="s">
        <v>7474</v>
      </c>
      <c r="G833">
        <v>900303011</v>
      </c>
      <c r="H833" t="s">
        <v>7260</v>
      </c>
      <c r="I833" s="4" t="s">
        <v>5195</v>
      </c>
      <c r="J833" s="4" t="s">
        <v>5196</v>
      </c>
      <c r="K833" t="s">
        <v>7475</v>
      </c>
      <c r="L833" t="s">
        <v>49</v>
      </c>
      <c r="M833" t="s">
        <v>7476</v>
      </c>
      <c r="N833" t="s">
        <v>84</v>
      </c>
      <c r="O833" t="s">
        <v>29</v>
      </c>
      <c r="P833" t="s">
        <v>55</v>
      </c>
      <c r="Q833" t="s">
        <v>31</v>
      </c>
      <c r="R833">
        <v>7</v>
      </c>
      <c r="S833" t="s">
        <v>7477</v>
      </c>
      <c r="T833" t="s">
        <v>7478</v>
      </c>
      <c r="U833" t="s">
        <v>7479</v>
      </c>
      <c r="V833" t="s">
        <v>32</v>
      </c>
      <c r="W833" t="s">
        <v>33</v>
      </c>
      <c r="X833" t="s">
        <v>33</v>
      </c>
      <c r="Y833" t="s">
        <v>33</v>
      </c>
      <c r="Z833" s="5" t="s">
        <v>34</v>
      </c>
      <c r="AA833">
        <v>-75.573436000000001</v>
      </c>
      <c r="AB833">
        <v>6.1752180000000001</v>
      </c>
      <c r="AC833" t="s">
        <v>456</v>
      </c>
      <c r="AD833" t="s">
        <v>457</v>
      </c>
    </row>
    <row r="834" spans="1:30" x14ac:dyDescent="0.25">
      <c r="A834" t="s">
        <v>7480</v>
      </c>
      <c r="B834" t="s">
        <v>25</v>
      </c>
      <c r="C834" t="s">
        <v>26</v>
      </c>
      <c r="D834" t="s">
        <v>25</v>
      </c>
      <c r="E834" t="s">
        <v>7481</v>
      </c>
      <c r="F834" t="s">
        <v>7482</v>
      </c>
      <c r="G834">
        <v>43205673</v>
      </c>
      <c r="H834" t="s">
        <v>7483</v>
      </c>
      <c r="I834" s="4" t="s">
        <v>35</v>
      </c>
      <c r="J834" s="4" t="s">
        <v>7484</v>
      </c>
      <c r="K834" t="s">
        <v>7485</v>
      </c>
      <c r="L834" t="s">
        <v>49</v>
      </c>
      <c r="M834" t="s">
        <v>7486</v>
      </c>
      <c r="N834" t="s">
        <v>84</v>
      </c>
      <c r="O834" t="s">
        <v>29</v>
      </c>
      <c r="P834" t="s">
        <v>55</v>
      </c>
      <c r="Q834" t="s">
        <v>38</v>
      </c>
      <c r="R834">
        <v>10</v>
      </c>
      <c r="S834" t="s">
        <v>7487</v>
      </c>
      <c r="T834" t="s">
        <v>7488</v>
      </c>
      <c r="U834" t="s">
        <v>7489</v>
      </c>
      <c r="V834" t="s">
        <v>32</v>
      </c>
      <c r="W834" t="s">
        <v>33</v>
      </c>
      <c r="X834" t="s">
        <v>33</v>
      </c>
      <c r="Y834" t="s">
        <v>33</v>
      </c>
      <c r="Z834" s="5" t="s">
        <v>34</v>
      </c>
      <c r="AA834">
        <v>-75.526851289999996</v>
      </c>
      <c r="AB834">
        <v>6.1940976499999998</v>
      </c>
      <c r="AC834" t="s">
        <v>456</v>
      </c>
      <c r="AD834" t="s">
        <v>457</v>
      </c>
    </row>
    <row r="835" spans="1:30" x14ac:dyDescent="0.25">
      <c r="A835" t="s">
        <v>7490</v>
      </c>
      <c r="B835" t="s">
        <v>25</v>
      </c>
      <c r="C835" t="s">
        <v>26</v>
      </c>
      <c r="D835" t="s">
        <v>25</v>
      </c>
      <c r="E835" t="s">
        <v>7491</v>
      </c>
      <c r="F835" t="s">
        <v>7492</v>
      </c>
      <c r="G835">
        <v>900303011</v>
      </c>
      <c r="H835" t="s">
        <v>7260</v>
      </c>
      <c r="I835" s="4" t="s">
        <v>5195</v>
      </c>
      <c r="J835" s="4" t="s">
        <v>5196</v>
      </c>
      <c r="K835" t="s">
        <v>7493</v>
      </c>
      <c r="L835" t="s">
        <v>49</v>
      </c>
      <c r="M835" t="s">
        <v>7494</v>
      </c>
      <c r="N835" t="s">
        <v>84</v>
      </c>
      <c r="O835" t="s">
        <v>29</v>
      </c>
      <c r="P835" t="s">
        <v>55</v>
      </c>
      <c r="Q835" t="s">
        <v>31</v>
      </c>
      <c r="R835">
        <v>7</v>
      </c>
      <c r="S835" t="s">
        <v>7495</v>
      </c>
      <c r="T835" t="s">
        <v>7496</v>
      </c>
      <c r="U835" t="s">
        <v>7497</v>
      </c>
      <c r="V835" t="s">
        <v>32</v>
      </c>
      <c r="W835" t="s">
        <v>33</v>
      </c>
      <c r="X835" t="s">
        <v>33</v>
      </c>
      <c r="Y835" t="s">
        <v>33</v>
      </c>
      <c r="Z835" s="5" t="s">
        <v>34</v>
      </c>
      <c r="AA835">
        <v>-75.573436000000001</v>
      </c>
      <c r="AB835">
        <v>6.1752180000000001</v>
      </c>
      <c r="AC835" t="s">
        <v>456</v>
      </c>
      <c r="AD835" t="s">
        <v>457</v>
      </c>
    </row>
    <row r="836" spans="1:30" x14ac:dyDescent="0.25">
      <c r="A836" t="s">
        <v>7498</v>
      </c>
      <c r="B836" t="s">
        <v>25</v>
      </c>
      <c r="C836" t="s">
        <v>26</v>
      </c>
      <c r="D836" t="s">
        <v>25</v>
      </c>
      <c r="E836" t="s">
        <v>7499</v>
      </c>
      <c r="F836" t="s">
        <v>7500</v>
      </c>
      <c r="G836">
        <v>900303011</v>
      </c>
      <c r="H836" t="s">
        <v>7260</v>
      </c>
      <c r="I836" s="4" t="s">
        <v>5195</v>
      </c>
      <c r="J836" s="4" t="s">
        <v>5196</v>
      </c>
      <c r="K836" t="s">
        <v>7501</v>
      </c>
      <c r="L836" t="s">
        <v>49</v>
      </c>
      <c r="M836" t="s">
        <v>7502</v>
      </c>
      <c r="N836" t="s">
        <v>84</v>
      </c>
      <c r="O836" t="s">
        <v>29</v>
      </c>
      <c r="P836" t="s">
        <v>55</v>
      </c>
      <c r="Q836" t="s">
        <v>31</v>
      </c>
      <c r="R836">
        <v>7</v>
      </c>
      <c r="S836" t="s">
        <v>7503</v>
      </c>
      <c r="T836" t="s">
        <v>7504</v>
      </c>
      <c r="U836" t="s">
        <v>7505</v>
      </c>
      <c r="V836" t="s">
        <v>32</v>
      </c>
      <c r="W836" t="s">
        <v>33</v>
      </c>
      <c r="X836" t="s">
        <v>33</v>
      </c>
      <c r="Y836" t="s">
        <v>33</v>
      </c>
      <c r="Z836" s="5" t="s">
        <v>34</v>
      </c>
      <c r="AA836">
        <v>-75.573436000000001</v>
      </c>
      <c r="AB836">
        <v>6.1752180000000001</v>
      </c>
      <c r="AC836" t="s">
        <v>456</v>
      </c>
      <c r="AD836" t="s">
        <v>457</v>
      </c>
    </row>
    <row r="837" spans="1:30" x14ac:dyDescent="0.25">
      <c r="A837" t="s">
        <v>7506</v>
      </c>
      <c r="B837" t="s">
        <v>25</v>
      </c>
      <c r="C837" t="s">
        <v>26</v>
      </c>
      <c r="D837" t="s">
        <v>25</v>
      </c>
      <c r="E837" t="s">
        <v>7507</v>
      </c>
      <c r="F837" t="s">
        <v>7508</v>
      </c>
      <c r="G837">
        <v>900303011</v>
      </c>
      <c r="H837" t="s">
        <v>7260</v>
      </c>
      <c r="I837" s="4" t="s">
        <v>5195</v>
      </c>
      <c r="J837" s="4" t="s">
        <v>5196</v>
      </c>
      <c r="K837" t="s">
        <v>7509</v>
      </c>
      <c r="L837" t="s">
        <v>49</v>
      </c>
      <c r="M837" t="s">
        <v>7510</v>
      </c>
      <c r="N837" t="s">
        <v>84</v>
      </c>
      <c r="O837" t="s">
        <v>29</v>
      </c>
      <c r="P837" t="s">
        <v>55</v>
      </c>
      <c r="Q837" t="s">
        <v>31</v>
      </c>
      <c r="R837">
        <v>7</v>
      </c>
      <c r="S837" t="s">
        <v>7511</v>
      </c>
      <c r="T837" t="s">
        <v>7504</v>
      </c>
      <c r="U837" t="s">
        <v>7505</v>
      </c>
      <c r="V837" t="s">
        <v>32</v>
      </c>
      <c r="W837" t="s">
        <v>33</v>
      </c>
      <c r="X837" t="s">
        <v>33</v>
      </c>
      <c r="Y837" t="s">
        <v>33</v>
      </c>
      <c r="Z837" s="5" t="s">
        <v>34</v>
      </c>
      <c r="AA837">
        <v>-75.573436000000001</v>
      </c>
      <c r="AB837">
        <v>6.1752180000000001</v>
      </c>
      <c r="AC837" t="s">
        <v>456</v>
      </c>
      <c r="AD837" t="s">
        <v>457</v>
      </c>
    </row>
    <row r="838" spans="1:30" x14ac:dyDescent="0.25">
      <c r="A838" t="s">
        <v>7512</v>
      </c>
      <c r="B838" t="s">
        <v>25</v>
      </c>
      <c r="C838" t="s">
        <v>26</v>
      </c>
      <c r="D838" t="s">
        <v>25</v>
      </c>
      <c r="E838" t="s">
        <v>7513</v>
      </c>
      <c r="F838" t="s">
        <v>7514</v>
      </c>
      <c r="G838">
        <v>900303011</v>
      </c>
      <c r="H838" t="s">
        <v>7260</v>
      </c>
      <c r="I838" s="4" t="s">
        <v>5195</v>
      </c>
      <c r="J838" s="4" t="s">
        <v>5196</v>
      </c>
      <c r="K838" t="s">
        <v>7515</v>
      </c>
      <c r="L838" t="s">
        <v>49</v>
      </c>
      <c r="M838" t="s">
        <v>7516</v>
      </c>
      <c r="N838" t="s">
        <v>84</v>
      </c>
      <c r="O838" t="s">
        <v>29</v>
      </c>
      <c r="P838" t="s">
        <v>55</v>
      </c>
      <c r="Q838" t="s">
        <v>31</v>
      </c>
      <c r="R838">
        <v>7</v>
      </c>
      <c r="S838" t="s">
        <v>7517</v>
      </c>
      <c r="T838" t="s">
        <v>7518</v>
      </c>
      <c r="U838" t="s">
        <v>7519</v>
      </c>
      <c r="V838" t="s">
        <v>32</v>
      </c>
      <c r="W838" t="s">
        <v>33</v>
      </c>
      <c r="X838" t="s">
        <v>33</v>
      </c>
      <c r="Y838" t="s">
        <v>33</v>
      </c>
      <c r="Z838" s="5" t="s">
        <v>34</v>
      </c>
      <c r="AA838">
        <v>-75.573436000000001</v>
      </c>
      <c r="AB838">
        <v>6.1752180000000001</v>
      </c>
      <c r="AC838" t="s">
        <v>456</v>
      </c>
      <c r="AD838" t="s">
        <v>457</v>
      </c>
    </row>
    <row r="839" spans="1:30" x14ac:dyDescent="0.25">
      <c r="A839" t="s">
        <v>7520</v>
      </c>
      <c r="B839" t="s">
        <v>25</v>
      </c>
      <c r="C839" t="s">
        <v>26</v>
      </c>
      <c r="D839" t="s">
        <v>25</v>
      </c>
      <c r="E839" t="s">
        <v>7521</v>
      </c>
      <c r="F839" t="s">
        <v>7522</v>
      </c>
      <c r="G839">
        <v>900303011</v>
      </c>
      <c r="H839" t="s">
        <v>7260</v>
      </c>
      <c r="I839" s="4" t="s">
        <v>5195</v>
      </c>
      <c r="J839" s="4" t="s">
        <v>5196</v>
      </c>
      <c r="K839" t="s">
        <v>7523</v>
      </c>
      <c r="L839" t="s">
        <v>49</v>
      </c>
      <c r="M839" t="s">
        <v>7524</v>
      </c>
      <c r="N839" t="s">
        <v>84</v>
      </c>
      <c r="O839" t="s">
        <v>29</v>
      </c>
      <c r="P839" t="s">
        <v>55</v>
      </c>
      <c r="Q839" t="s">
        <v>31</v>
      </c>
      <c r="R839">
        <v>7</v>
      </c>
      <c r="S839" t="s">
        <v>7525</v>
      </c>
      <c r="T839" t="s">
        <v>4907</v>
      </c>
      <c r="U839" t="s">
        <v>7526</v>
      </c>
      <c r="V839" t="s">
        <v>32</v>
      </c>
      <c r="W839" t="s">
        <v>33</v>
      </c>
      <c r="X839" t="s">
        <v>33</v>
      </c>
      <c r="Y839" t="s">
        <v>33</v>
      </c>
      <c r="Z839" s="5" t="s">
        <v>34</v>
      </c>
      <c r="AA839">
        <v>-75.573436000000001</v>
      </c>
      <c r="AB839">
        <v>6.1752180000000001</v>
      </c>
      <c r="AC839" t="s">
        <v>456</v>
      </c>
      <c r="AD839" t="s">
        <v>457</v>
      </c>
    </row>
    <row r="840" spans="1:30" x14ac:dyDescent="0.25">
      <c r="A840" t="s">
        <v>7527</v>
      </c>
      <c r="B840" t="s">
        <v>25</v>
      </c>
      <c r="C840" t="s">
        <v>26</v>
      </c>
      <c r="D840" t="s">
        <v>25</v>
      </c>
      <c r="E840" t="s">
        <v>7528</v>
      </c>
      <c r="F840" t="s">
        <v>7529</v>
      </c>
      <c r="G840">
        <v>900303011</v>
      </c>
      <c r="H840" t="s">
        <v>7260</v>
      </c>
      <c r="I840" s="4" t="s">
        <v>5195</v>
      </c>
      <c r="J840" s="4" t="s">
        <v>5196</v>
      </c>
      <c r="K840" t="s">
        <v>7530</v>
      </c>
      <c r="L840" t="s">
        <v>49</v>
      </c>
      <c r="M840" t="s">
        <v>7531</v>
      </c>
      <c r="N840" t="s">
        <v>84</v>
      </c>
      <c r="O840" t="s">
        <v>29</v>
      </c>
      <c r="P840" t="s">
        <v>55</v>
      </c>
      <c r="Q840" t="s">
        <v>31</v>
      </c>
      <c r="R840">
        <v>7</v>
      </c>
      <c r="S840" t="s">
        <v>7532</v>
      </c>
      <c r="T840" t="s">
        <v>4907</v>
      </c>
      <c r="U840" t="s">
        <v>7526</v>
      </c>
      <c r="V840" t="s">
        <v>32</v>
      </c>
      <c r="W840" t="s">
        <v>33</v>
      </c>
      <c r="X840" t="s">
        <v>33</v>
      </c>
      <c r="Y840" t="s">
        <v>33</v>
      </c>
      <c r="Z840" s="5" t="s">
        <v>34</v>
      </c>
      <c r="AA840">
        <v>-75.573436000000001</v>
      </c>
      <c r="AB840">
        <v>6.1752180000000001</v>
      </c>
      <c r="AC840" t="s">
        <v>456</v>
      </c>
      <c r="AD840" t="s">
        <v>457</v>
      </c>
    </row>
    <row r="841" spans="1:30" x14ac:dyDescent="0.25">
      <c r="A841" t="s">
        <v>7533</v>
      </c>
      <c r="B841" t="s">
        <v>25</v>
      </c>
      <c r="C841" t="s">
        <v>26</v>
      </c>
      <c r="D841" t="s">
        <v>25</v>
      </c>
      <c r="E841" t="s">
        <v>7534</v>
      </c>
      <c r="F841" t="s">
        <v>7535</v>
      </c>
      <c r="G841">
        <v>900303011</v>
      </c>
      <c r="H841" t="s">
        <v>7260</v>
      </c>
      <c r="I841" s="4" t="s">
        <v>5195</v>
      </c>
      <c r="J841" s="4" t="s">
        <v>5196</v>
      </c>
      <c r="K841" t="s">
        <v>7536</v>
      </c>
      <c r="L841" t="s">
        <v>49</v>
      </c>
      <c r="M841" t="s">
        <v>7537</v>
      </c>
      <c r="N841" t="s">
        <v>84</v>
      </c>
      <c r="O841" t="s">
        <v>29</v>
      </c>
      <c r="P841" t="s">
        <v>55</v>
      </c>
      <c r="Q841" t="s">
        <v>31</v>
      </c>
      <c r="R841">
        <v>7</v>
      </c>
      <c r="S841" t="s">
        <v>7538</v>
      </c>
      <c r="T841" t="s">
        <v>4907</v>
      </c>
      <c r="U841" t="s">
        <v>7526</v>
      </c>
      <c r="V841" t="s">
        <v>32</v>
      </c>
      <c r="W841" t="s">
        <v>33</v>
      </c>
      <c r="X841" t="s">
        <v>33</v>
      </c>
      <c r="Y841" t="s">
        <v>33</v>
      </c>
      <c r="Z841" s="5" t="s">
        <v>34</v>
      </c>
      <c r="AA841">
        <v>-75.573436000000001</v>
      </c>
      <c r="AB841">
        <v>6.1752180000000001</v>
      </c>
      <c r="AC841" t="s">
        <v>456</v>
      </c>
      <c r="AD841" t="s">
        <v>457</v>
      </c>
    </row>
    <row r="842" spans="1:30" x14ac:dyDescent="0.25">
      <c r="A842" t="s">
        <v>5893</v>
      </c>
      <c r="B842" t="s">
        <v>81</v>
      </c>
      <c r="C842" t="s">
        <v>26</v>
      </c>
      <c r="D842" t="s">
        <v>81</v>
      </c>
      <c r="E842" t="s">
        <v>5894</v>
      </c>
      <c r="F842" t="s">
        <v>5895</v>
      </c>
      <c r="G842">
        <v>8161337</v>
      </c>
      <c r="H842" t="s">
        <v>5896</v>
      </c>
      <c r="I842" s="4" t="s">
        <v>5897</v>
      </c>
      <c r="J842" s="4" t="s">
        <v>5898</v>
      </c>
      <c r="K842" t="s">
        <v>5899</v>
      </c>
      <c r="L842" t="s">
        <v>27</v>
      </c>
      <c r="M842" t="s">
        <v>5900</v>
      </c>
      <c r="N842" t="s">
        <v>28</v>
      </c>
      <c r="O842" t="s">
        <v>82</v>
      </c>
      <c r="P842" t="s">
        <v>83</v>
      </c>
      <c r="Q842" t="s">
        <v>31</v>
      </c>
      <c r="R842">
        <v>4</v>
      </c>
      <c r="S842" t="s">
        <v>5901</v>
      </c>
      <c r="T842" t="s">
        <v>7539</v>
      </c>
      <c r="U842" t="s">
        <v>7539</v>
      </c>
      <c r="V842" t="s">
        <v>50</v>
      </c>
      <c r="W842" t="s">
        <v>33</v>
      </c>
      <c r="X842" t="s">
        <v>33</v>
      </c>
      <c r="Y842" t="s">
        <v>33</v>
      </c>
      <c r="Z842" s="5" t="s">
        <v>34</v>
      </c>
      <c r="AA842">
        <v>-75.604566370000001</v>
      </c>
      <c r="AB842">
        <v>6.2441871600000001</v>
      </c>
      <c r="AC842" t="s">
        <v>456</v>
      </c>
      <c r="AD842" t="s">
        <v>457</v>
      </c>
    </row>
    <row r="843" spans="1:30" x14ac:dyDescent="0.25">
      <c r="A843" t="s">
        <v>7540</v>
      </c>
      <c r="B843" t="s">
        <v>25</v>
      </c>
      <c r="C843" t="s">
        <v>26</v>
      </c>
      <c r="D843" t="s">
        <v>25</v>
      </c>
      <c r="E843" t="s">
        <v>7541</v>
      </c>
      <c r="F843" t="s">
        <v>7542</v>
      </c>
      <c r="G843">
        <v>1128448070</v>
      </c>
      <c r="H843" t="s">
        <v>7319</v>
      </c>
      <c r="I843" s="4" t="s">
        <v>7320</v>
      </c>
      <c r="J843" s="4" t="s">
        <v>7321</v>
      </c>
      <c r="K843" t="s">
        <v>7543</v>
      </c>
      <c r="L843" t="s">
        <v>27</v>
      </c>
      <c r="M843" t="s">
        <v>7544</v>
      </c>
      <c r="N843" t="s">
        <v>28</v>
      </c>
      <c r="O843" t="s">
        <v>29</v>
      </c>
      <c r="P843" t="s">
        <v>30</v>
      </c>
      <c r="Q843" t="s">
        <v>31</v>
      </c>
      <c r="R843">
        <v>7</v>
      </c>
      <c r="S843" t="s">
        <v>7545</v>
      </c>
      <c r="T843" t="s">
        <v>7539</v>
      </c>
      <c r="U843" t="s">
        <v>7546</v>
      </c>
      <c r="V843" t="s">
        <v>32</v>
      </c>
      <c r="W843" t="s">
        <v>33</v>
      </c>
      <c r="X843" t="s">
        <v>33</v>
      </c>
      <c r="Y843" t="s">
        <v>33</v>
      </c>
      <c r="Z843" s="5" t="s">
        <v>34</v>
      </c>
      <c r="AA843">
        <v>-75.650276759999997</v>
      </c>
      <c r="AB843">
        <v>6.1783437000000001</v>
      </c>
      <c r="AC843" t="s">
        <v>456</v>
      </c>
      <c r="AD843" t="s">
        <v>457</v>
      </c>
    </row>
    <row r="844" spans="1:30" x14ac:dyDescent="0.25">
      <c r="A844" t="s">
        <v>7547</v>
      </c>
      <c r="B844" t="s">
        <v>25</v>
      </c>
      <c r="C844" t="s">
        <v>26</v>
      </c>
      <c r="D844" t="s">
        <v>25</v>
      </c>
      <c r="E844" t="s">
        <v>7548</v>
      </c>
      <c r="F844" t="s">
        <v>7549</v>
      </c>
      <c r="G844">
        <v>1128448070</v>
      </c>
      <c r="H844" t="s">
        <v>7319</v>
      </c>
      <c r="I844" s="4" t="s">
        <v>7320</v>
      </c>
      <c r="J844" s="4" t="s">
        <v>7321</v>
      </c>
      <c r="K844" t="s">
        <v>7550</v>
      </c>
      <c r="L844" t="s">
        <v>27</v>
      </c>
      <c r="M844" t="s">
        <v>7551</v>
      </c>
      <c r="N844" t="s">
        <v>28</v>
      </c>
      <c r="O844" t="s">
        <v>29</v>
      </c>
      <c r="P844" t="s">
        <v>30</v>
      </c>
      <c r="Q844" t="s">
        <v>31</v>
      </c>
      <c r="R844">
        <v>7</v>
      </c>
      <c r="S844" t="s">
        <v>7552</v>
      </c>
      <c r="T844" t="s">
        <v>7553</v>
      </c>
      <c r="U844" t="s">
        <v>7554</v>
      </c>
      <c r="V844" t="s">
        <v>32</v>
      </c>
      <c r="W844" t="s">
        <v>33</v>
      </c>
      <c r="X844" t="s">
        <v>33</v>
      </c>
      <c r="Y844" t="s">
        <v>33</v>
      </c>
      <c r="Z844" s="5" t="s">
        <v>34</v>
      </c>
      <c r="AA844">
        <v>-75.650276759999997</v>
      </c>
      <c r="AB844">
        <v>6.1783437000000001</v>
      </c>
      <c r="AC844" t="s">
        <v>456</v>
      </c>
      <c r="AD844" t="s">
        <v>457</v>
      </c>
    </row>
    <row r="845" spans="1:30" x14ac:dyDescent="0.25">
      <c r="A845" t="s">
        <v>5902</v>
      </c>
      <c r="B845" t="s">
        <v>81</v>
      </c>
      <c r="C845" t="s">
        <v>26</v>
      </c>
      <c r="D845" t="s">
        <v>81</v>
      </c>
      <c r="E845" t="s">
        <v>5903</v>
      </c>
      <c r="F845" t="s">
        <v>5904</v>
      </c>
      <c r="G845">
        <v>94518139</v>
      </c>
      <c r="H845" t="s">
        <v>5905</v>
      </c>
      <c r="I845" s="4" t="s">
        <v>35</v>
      </c>
      <c r="J845" s="4" t="s">
        <v>5898</v>
      </c>
      <c r="K845" t="s">
        <v>5906</v>
      </c>
      <c r="L845" t="s">
        <v>27</v>
      </c>
      <c r="M845" t="s">
        <v>5907</v>
      </c>
      <c r="N845" t="s">
        <v>28</v>
      </c>
      <c r="O845" t="s">
        <v>82</v>
      </c>
      <c r="P845" t="s">
        <v>83</v>
      </c>
      <c r="Q845" t="s">
        <v>31</v>
      </c>
      <c r="R845">
        <v>4</v>
      </c>
      <c r="S845" t="s">
        <v>5908</v>
      </c>
      <c r="T845" t="s">
        <v>7555</v>
      </c>
      <c r="U845" t="s">
        <v>7555</v>
      </c>
      <c r="V845" t="s">
        <v>50</v>
      </c>
      <c r="W845" t="s">
        <v>33</v>
      </c>
      <c r="X845" t="s">
        <v>33</v>
      </c>
      <c r="Y845" t="s">
        <v>33</v>
      </c>
      <c r="Z845" s="5" t="s">
        <v>34</v>
      </c>
      <c r="AA845">
        <v>-75.620634629999998</v>
      </c>
      <c r="AB845">
        <v>6.2452725999999998</v>
      </c>
      <c r="AC845" t="s">
        <v>456</v>
      </c>
      <c r="AD845" t="s">
        <v>457</v>
      </c>
    </row>
    <row r="846" spans="1:30" x14ac:dyDescent="0.25">
      <c r="A846" t="s">
        <v>7556</v>
      </c>
      <c r="B846" t="s">
        <v>25</v>
      </c>
      <c r="C846" t="s">
        <v>26</v>
      </c>
      <c r="D846" t="s">
        <v>25</v>
      </c>
      <c r="E846" t="s">
        <v>7557</v>
      </c>
      <c r="F846" t="s">
        <v>7558</v>
      </c>
      <c r="G846">
        <v>1128448070</v>
      </c>
      <c r="H846" t="s">
        <v>7319</v>
      </c>
      <c r="I846" s="4" t="s">
        <v>7320</v>
      </c>
      <c r="J846" s="4" t="s">
        <v>7321</v>
      </c>
      <c r="K846" t="s">
        <v>7559</v>
      </c>
      <c r="L846" t="s">
        <v>27</v>
      </c>
      <c r="M846" t="s">
        <v>7560</v>
      </c>
      <c r="N846" t="s">
        <v>28</v>
      </c>
      <c r="O846" t="s">
        <v>29</v>
      </c>
      <c r="P846" t="s">
        <v>30</v>
      </c>
      <c r="Q846" t="s">
        <v>31</v>
      </c>
      <c r="R846">
        <v>7</v>
      </c>
      <c r="S846" t="s">
        <v>7561</v>
      </c>
      <c r="T846" t="s">
        <v>7555</v>
      </c>
      <c r="U846" t="s">
        <v>7562</v>
      </c>
      <c r="V846" t="s">
        <v>32</v>
      </c>
      <c r="W846" t="s">
        <v>33</v>
      </c>
      <c r="X846" t="s">
        <v>33</v>
      </c>
      <c r="Y846" t="s">
        <v>33</v>
      </c>
      <c r="Z846" s="5" t="s">
        <v>34</v>
      </c>
      <c r="AA846">
        <v>-75.650276759999997</v>
      </c>
      <c r="AB846">
        <v>6.1783437000000001</v>
      </c>
      <c r="AC846" t="s">
        <v>456</v>
      </c>
      <c r="AD846" t="s">
        <v>457</v>
      </c>
    </row>
    <row r="847" spans="1:30" x14ac:dyDescent="0.25">
      <c r="A847" t="s">
        <v>7563</v>
      </c>
      <c r="B847" t="s">
        <v>25</v>
      </c>
      <c r="C847" t="s">
        <v>26</v>
      </c>
      <c r="D847" t="s">
        <v>25</v>
      </c>
      <c r="E847" t="s">
        <v>7564</v>
      </c>
      <c r="F847" t="s">
        <v>7565</v>
      </c>
      <c r="G847">
        <v>1128448070</v>
      </c>
      <c r="H847" t="s">
        <v>7319</v>
      </c>
      <c r="I847" s="4" t="s">
        <v>7320</v>
      </c>
      <c r="J847" s="4" t="s">
        <v>7321</v>
      </c>
      <c r="K847" t="s">
        <v>7566</v>
      </c>
      <c r="L847" t="s">
        <v>27</v>
      </c>
      <c r="M847" t="s">
        <v>7567</v>
      </c>
      <c r="N847" t="s">
        <v>28</v>
      </c>
      <c r="O847" t="s">
        <v>29</v>
      </c>
      <c r="P847" t="s">
        <v>30</v>
      </c>
      <c r="Q847" t="s">
        <v>31</v>
      </c>
      <c r="R847">
        <v>7</v>
      </c>
      <c r="S847" t="s">
        <v>7568</v>
      </c>
      <c r="T847" t="s">
        <v>7569</v>
      </c>
      <c r="U847" t="s">
        <v>7570</v>
      </c>
      <c r="V847" t="s">
        <v>32</v>
      </c>
      <c r="W847" t="s">
        <v>33</v>
      </c>
      <c r="X847" t="s">
        <v>33</v>
      </c>
      <c r="Y847" t="s">
        <v>33</v>
      </c>
      <c r="Z847" s="5" t="s">
        <v>34</v>
      </c>
      <c r="AA847">
        <v>-75.588719999999995</v>
      </c>
      <c r="AB847">
        <v>6.2538049999999998</v>
      </c>
      <c r="AC847" t="s">
        <v>456</v>
      </c>
      <c r="AD847" t="s">
        <v>457</v>
      </c>
    </row>
    <row r="848" spans="1:30" x14ac:dyDescent="0.25">
      <c r="A848" t="s">
        <v>7571</v>
      </c>
      <c r="B848" t="s">
        <v>25</v>
      </c>
      <c r="C848" t="s">
        <v>26</v>
      </c>
      <c r="D848" t="s">
        <v>25</v>
      </c>
      <c r="E848" t="s">
        <v>7572</v>
      </c>
      <c r="F848" t="s">
        <v>7573</v>
      </c>
      <c r="G848">
        <v>1128448070</v>
      </c>
      <c r="H848" t="s">
        <v>7319</v>
      </c>
      <c r="I848" s="4" t="s">
        <v>7320</v>
      </c>
      <c r="J848" s="4" t="s">
        <v>7321</v>
      </c>
      <c r="K848" t="s">
        <v>7574</v>
      </c>
      <c r="L848" t="s">
        <v>27</v>
      </c>
      <c r="M848" t="s">
        <v>7575</v>
      </c>
      <c r="N848" t="s">
        <v>28</v>
      </c>
      <c r="O848" t="s">
        <v>29</v>
      </c>
      <c r="P848" t="s">
        <v>30</v>
      </c>
      <c r="Q848" t="s">
        <v>31</v>
      </c>
      <c r="R848">
        <v>7</v>
      </c>
      <c r="S848" t="s">
        <v>7576</v>
      </c>
      <c r="T848" t="s">
        <v>7577</v>
      </c>
      <c r="U848" t="s">
        <v>7578</v>
      </c>
      <c r="V848" t="s">
        <v>32</v>
      </c>
      <c r="W848" t="s">
        <v>33</v>
      </c>
      <c r="X848" t="s">
        <v>33</v>
      </c>
      <c r="Y848" t="s">
        <v>33</v>
      </c>
      <c r="Z848" s="5" t="s">
        <v>34</v>
      </c>
      <c r="AA848">
        <v>-75.650276759999997</v>
      </c>
      <c r="AB848">
        <v>6.1783437000000001</v>
      </c>
      <c r="AC848" t="s">
        <v>456</v>
      </c>
      <c r="AD848" t="s">
        <v>457</v>
      </c>
    </row>
    <row r="849" spans="1:30" x14ac:dyDescent="0.25">
      <c r="A849" t="s">
        <v>7579</v>
      </c>
      <c r="B849" t="s">
        <v>25</v>
      </c>
      <c r="C849" t="s">
        <v>26</v>
      </c>
      <c r="D849" t="s">
        <v>25</v>
      </c>
      <c r="E849" t="s">
        <v>7580</v>
      </c>
      <c r="F849" t="s">
        <v>7581</v>
      </c>
      <c r="G849">
        <v>1128448070</v>
      </c>
      <c r="H849" t="s">
        <v>7319</v>
      </c>
      <c r="I849" s="4" t="s">
        <v>7320</v>
      </c>
      <c r="J849" s="4" t="s">
        <v>7321</v>
      </c>
      <c r="K849" t="s">
        <v>7582</v>
      </c>
      <c r="L849" t="s">
        <v>27</v>
      </c>
      <c r="M849" t="s">
        <v>7583</v>
      </c>
      <c r="N849" t="s">
        <v>28</v>
      </c>
      <c r="O849" t="s">
        <v>29</v>
      </c>
      <c r="P849" t="s">
        <v>30</v>
      </c>
      <c r="Q849" t="s">
        <v>31</v>
      </c>
      <c r="R849">
        <v>7</v>
      </c>
      <c r="S849" t="s">
        <v>7584</v>
      </c>
      <c r="T849" t="s">
        <v>7585</v>
      </c>
      <c r="U849" t="s">
        <v>7586</v>
      </c>
      <c r="V849" t="s">
        <v>32</v>
      </c>
      <c r="W849" t="s">
        <v>33</v>
      </c>
      <c r="X849" t="s">
        <v>33</v>
      </c>
      <c r="Y849" t="s">
        <v>33</v>
      </c>
      <c r="Z849" s="5" t="s">
        <v>34</v>
      </c>
      <c r="AA849">
        <v>-75.650276759999997</v>
      </c>
      <c r="AB849">
        <v>6.1783437000000001</v>
      </c>
      <c r="AC849" t="s">
        <v>456</v>
      </c>
      <c r="AD849" t="s">
        <v>457</v>
      </c>
    </row>
    <row r="850" spans="1:30" x14ac:dyDescent="0.25">
      <c r="A850" t="s">
        <v>5909</v>
      </c>
      <c r="B850" t="s">
        <v>81</v>
      </c>
      <c r="C850" t="s">
        <v>26</v>
      </c>
      <c r="D850" t="s">
        <v>81</v>
      </c>
      <c r="E850" t="s">
        <v>5910</v>
      </c>
      <c r="F850" t="s">
        <v>5911</v>
      </c>
      <c r="G850">
        <v>70567226</v>
      </c>
      <c r="H850" t="s">
        <v>5912</v>
      </c>
      <c r="I850" s="4" t="s">
        <v>35</v>
      </c>
      <c r="J850" s="4" t="s">
        <v>5898</v>
      </c>
      <c r="K850" t="s">
        <v>5913</v>
      </c>
      <c r="L850" t="s">
        <v>44</v>
      </c>
      <c r="M850" t="s">
        <v>5914</v>
      </c>
      <c r="N850" t="s">
        <v>45</v>
      </c>
      <c r="O850" t="s">
        <v>82</v>
      </c>
      <c r="P850" t="s">
        <v>83</v>
      </c>
      <c r="Q850" t="s">
        <v>31</v>
      </c>
      <c r="R850">
        <v>4</v>
      </c>
      <c r="S850" t="s">
        <v>5915</v>
      </c>
      <c r="T850" t="s">
        <v>7587</v>
      </c>
      <c r="U850" t="s">
        <v>7587</v>
      </c>
      <c r="V850" t="s">
        <v>50</v>
      </c>
      <c r="W850" t="s">
        <v>33</v>
      </c>
      <c r="X850" t="s">
        <v>33</v>
      </c>
      <c r="Y850" t="s">
        <v>33</v>
      </c>
      <c r="Z850" s="5" t="s">
        <v>34</v>
      </c>
      <c r="AA850">
        <v>-75.597628520000001</v>
      </c>
      <c r="AB850">
        <v>6.1876651200000001</v>
      </c>
      <c r="AC850" t="s">
        <v>456</v>
      </c>
      <c r="AD850" t="s">
        <v>457</v>
      </c>
    </row>
    <row r="851" spans="1:30" x14ac:dyDescent="0.25">
      <c r="A851" t="s">
        <v>5916</v>
      </c>
      <c r="B851" t="s">
        <v>25</v>
      </c>
      <c r="C851" t="s">
        <v>26</v>
      </c>
      <c r="D851" t="s">
        <v>25</v>
      </c>
      <c r="E851" t="s">
        <v>5917</v>
      </c>
      <c r="F851" t="s">
        <v>5918</v>
      </c>
      <c r="G851">
        <v>43979780</v>
      </c>
      <c r="H851" t="s">
        <v>5919</v>
      </c>
      <c r="I851" s="4" t="s">
        <v>48</v>
      </c>
      <c r="J851" s="4" t="s">
        <v>573</v>
      </c>
      <c r="K851" t="s">
        <v>5920</v>
      </c>
      <c r="L851" t="s">
        <v>27</v>
      </c>
      <c r="M851" t="s">
        <v>5921</v>
      </c>
      <c r="N851" t="s">
        <v>28</v>
      </c>
      <c r="O851" t="s">
        <v>29</v>
      </c>
      <c r="P851" t="s">
        <v>37</v>
      </c>
      <c r="Q851" t="s">
        <v>31</v>
      </c>
      <c r="R851">
        <v>7</v>
      </c>
      <c r="S851" t="s">
        <v>5922</v>
      </c>
      <c r="T851" t="s">
        <v>7588</v>
      </c>
      <c r="U851" t="s">
        <v>7589</v>
      </c>
      <c r="V851" t="s">
        <v>32</v>
      </c>
      <c r="W851" t="s">
        <v>33</v>
      </c>
      <c r="X851" t="s">
        <v>33</v>
      </c>
      <c r="Y851" t="s">
        <v>33</v>
      </c>
      <c r="Z851" s="5" t="s">
        <v>34</v>
      </c>
      <c r="AA851">
        <v>-75.634262359999994</v>
      </c>
      <c r="AB851">
        <v>6.2774681899999996</v>
      </c>
      <c r="AC851" t="s">
        <v>456</v>
      </c>
      <c r="AD851" t="s">
        <v>457</v>
      </c>
    </row>
    <row r="852" spans="1:30" x14ac:dyDescent="0.25">
      <c r="A852" t="s">
        <v>5031</v>
      </c>
      <c r="B852" t="s">
        <v>25</v>
      </c>
      <c r="C852" t="s">
        <v>26</v>
      </c>
      <c r="D852" t="s">
        <v>39</v>
      </c>
      <c r="E852" t="s">
        <v>5032</v>
      </c>
      <c r="F852" t="s">
        <v>5033</v>
      </c>
      <c r="G852">
        <v>1022095529</v>
      </c>
      <c r="H852" t="s">
        <v>5034</v>
      </c>
      <c r="I852" s="4" t="s">
        <v>35</v>
      </c>
      <c r="J852" s="4" t="s">
        <v>1410</v>
      </c>
      <c r="K852" t="s">
        <v>5035</v>
      </c>
      <c r="L852" t="s">
        <v>27</v>
      </c>
      <c r="M852" t="s">
        <v>5036</v>
      </c>
      <c r="N852" t="s">
        <v>28</v>
      </c>
      <c r="O852" t="s">
        <v>40</v>
      </c>
      <c r="P852" t="s">
        <v>41</v>
      </c>
      <c r="Q852" t="s">
        <v>31</v>
      </c>
      <c r="R852">
        <v>5</v>
      </c>
      <c r="S852" t="s">
        <v>5037</v>
      </c>
      <c r="T852" t="s">
        <v>7590</v>
      </c>
      <c r="U852" t="s">
        <v>7591</v>
      </c>
      <c r="V852" t="s">
        <v>32</v>
      </c>
      <c r="W852" t="s">
        <v>33</v>
      </c>
      <c r="X852" t="s">
        <v>33</v>
      </c>
      <c r="Y852" t="s">
        <v>33</v>
      </c>
      <c r="Z852" s="5" t="s">
        <v>34</v>
      </c>
      <c r="AA852">
        <v>-75.531705770000002</v>
      </c>
      <c r="AB852">
        <v>6.22799323</v>
      </c>
      <c r="AC852" t="s">
        <v>456</v>
      </c>
      <c r="AD852" t="s">
        <v>457</v>
      </c>
    </row>
    <row r="853" spans="1:30" x14ac:dyDescent="0.25">
      <c r="A853" t="s">
        <v>7592</v>
      </c>
      <c r="B853" t="s">
        <v>25</v>
      </c>
      <c r="C853" t="s">
        <v>26</v>
      </c>
      <c r="D853" t="s">
        <v>25</v>
      </c>
      <c r="E853" t="s">
        <v>7593</v>
      </c>
      <c r="F853" t="s">
        <v>7594</v>
      </c>
      <c r="G853">
        <v>900303011</v>
      </c>
      <c r="H853" t="s">
        <v>7260</v>
      </c>
      <c r="I853" s="4" t="s">
        <v>5195</v>
      </c>
      <c r="J853" s="4" t="s">
        <v>5196</v>
      </c>
      <c r="K853" t="s">
        <v>7595</v>
      </c>
      <c r="L853" t="s">
        <v>49</v>
      </c>
      <c r="M853" t="s">
        <v>7596</v>
      </c>
      <c r="N853" t="s">
        <v>84</v>
      </c>
      <c r="O853" t="s">
        <v>29</v>
      </c>
      <c r="P853" t="s">
        <v>55</v>
      </c>
      <c r="Q853" t="s">
        <v>31</v>
      </c>
      <c r="R853">
        <v>7</v>
      </c>
      <c r="S853" t="s">
        <v>7597</v>
      </c>
      <c r="T853" t="s">
        <v>7598</v>
      </c>
      <c r="U853" t="s">
        <v>7599</v>
      </c>
      <c r="V853" t="s">
        <v>32</v>
      </c>
      <c r="W853" t="s">
        <v>33</v>
      </c>
      <c r="X853" t="s">
        <v>33</v>
      </c>
      <c r="Y853" t="s">
        <v>33</v>
      </c>
      <c r="Z853" s="5" t="s">
        <v>34</v>
      </c>
      <c r="AA853">
        <v>-75.573436000000001</v>
      </c>
      <c r="AB853">
        <v>6.1752180000000001</v>
      </c>
      <c r="AC853" t="s">
        <v>456</v>
      </c>
      <c r="AD853" t="s">
        <v>457</v>
      </c>
    </row>
    <row r="854" spans="1:30" x14ac:dyDescent="0.25">
      <c r="A854" t="s">
        <v>7600</v>
      </c>
      <c r="B854" t="s">
        <v>25</v>
      </c>
      <c r="C854" t="s">
        <v>26</v>
      </c>
      <c r="D854" t="s">
        <v>25</v>
      </c>
      <c r="E854" t="s">
        <v>7601</v>
      </c>
      <c r="F854" t="s">
        <v>7602</v>
      </c>
      <c r="G854">
        <v>900303011</v>
      </c>
      <c r="H854" t="s">
        <v>7260</v>
      </c>
      <c r="I854" s="4" t="s">
        <v>5195</v>
      </c>
      <c r="J854" s="4" t="s">
        <v>5196</v>
      </c>
      <c r="K854" t="s">
        <v>7603</v>
      </c>
      <c r="L854" t="s">
        <v>49</v>
      </c>
      <c r="M854" t="s">
        <v>7604</v>
      </c>
      <c r="N854" t="s">
        <v>84</v>
      </c>
      <c r="O854" t="s">
        <v>29</v>
      </c>
      <c r="P854" t="s">
        <v>55</v>
      </c>
      <c r="Q854" t="s">
        <v>31</v>
      </c>
      <c r="R854">
        <v>7</v>
      </c>
      <c r="S854" t="s">
        <v>7605</v>
      </c>
      <c r="T854" t="s">
        <v>7598</v>
      </c>
      <c r="U854" t="s">
        <v>7599</v>
      </c>
      <c r="V854" t="s">
        <v>32</v>
      </c>
      <c r="W854" t="s">
        <v>33</v>
      </c>
      <c r="X854" t="s">
        <v>33</v>
      </c>
      <c r="Y854" t="s">
        <v>33</v>
      </c>
      <c r="Z854" s="5" t="s">
        <v>34</v>
      </c>
      <c r="AA854">
        <v>-75.573436000000001</v>
      </c>
      <c r="AB854">
        <v>6.1752180000000001</v>
      </c>
      <c r="AC854" t="s">
        <v>456</v>
      </c>
      <c r="AD854" t="s">
        <v>457</v>
      </c>
    </row>
    <row r="855" spans="1:30" x14ac:dyDescent="0.25">
      <c r="A855" t="s">
        <v>7606</v>
      </c>
      <c r="B855" t="s">
        <v>25</v>
      </c>
      <c r="C855" t="s">
        <v>26</v>
      </c>
      <c r="D855" t="s">
        <v>25</v>
      </c>
      <c r="E855" t="s">
        <v>7607</v>
      </c>
      <c r="F855" t="s">
        <v>7608</v>
      </c>
      <c r="G855">
        <v>900303011</v>
      </c>
      <c r="H855" t="s">
        <v>7260</v>
      </c>
      <c r="I855" s="4" t="s">
        <v>5195</v>
      </c>
      <c r="J855" s="4" t="s">
        <v>5196</v>
      </c>
      <c r="K855" t="s">
        <v>7609</v>
      </c>
      <c r="L855" t="s">
        <v>49</v>
      </c>
      <c r="M855" t="s">
        <v>7610</v>
      </c>
      <c r="N855" t="s">
        <v>84</v>
      </c>
      <c r="O855" t="s">
        <v>29</v>
      </c>
      <c r="P855" t="s">
        <v>55</v>
      </c>
      <c r="Q855" t="s">
        <v>31</v>
      </c>
      <c r="R855">
        <v>7</v>
      </c>
      <c r="S855" t="s">
        <v>7611</v>
      </c>
      <c r="T855" t="s">
        <v>7612</v>
      </c>
      <c r="U855" t="s">
        <v>7613</v>
      </c>
      <c r="V855" t="s">
        <v>32</v>
      </c>
      <c r="W855" t="s">
        <v>33</v>
      </c>
      <c r="X855" t="s">
        <v>33</v>
      </c>
      <c r="Y855" t="s">
        <v>33</v>
      </c>
      <c r="Z855" s="5" t="s">
        <v>34</v>
      </c>
      <c r="AA855">
        <v>-75.573436000000001</v>
      </c>
      <c r="AB855">
        <v>6.1752180000000001</v>
      </c>
      <c r="AC855" t="s">
        <v>456</v>
      </c>
      <c r="AD855" t="s">
        <v>457</v>
      </c>
    </row>
    <row r="856" spans="1:30" x14ac:dyDescent="0.25">
      <c r="A856" t="s">
        <v>7614</v>
      </c>
      <c r="B856" t="s">
        <v>25</v>
      </c>
      <c r="C856" t="s">
        <v>26</v>
      </c>
      <c r="D856" t="s">
        <v>25</v>
      </c>
      <c r="E856" t="s">
        <v>7615</v>
      </c>
      <c r="F856" t="s">
        <v>7616</v>
      </c>
      <c r="G856">
        <v>900303011</v>
      </c>
      <c r="H856" t="s">
        <v>7260</v>
      </c>
      <c r="I856" s="4" t="s">
        <v>5195</v>
      </c>
      <c r="J856" s="4" t="s">
        <v>5196</v>
      </c>
      <c r="K856" t="s">
        <v>7617</v>
      </c>
      <c r="L856" t="s">
        <v>49</v>
      </c>
      <c r="M856" t="s">
        <v>7618</v>
      </c>
      <c r="N856" t="s">
        <v>84</v>
      </c>
      <c r="O856" t="s">
        <v>29</v>
      </c>
      <c r="P856" t="s">
        <v>55</v>
      </c>
      <c r="Q856" t="s">
        <v>31</v>
      </c>
      <c r="R856">
        <v>7</v>
      </c>
      <c r="S856" t="s">
        <v>7619</v>
      </c>
      <c r="T856" t="s">
        <v>7612</v>
      </c>
      <c r="U856" t="s">
        <v>7613</v>
      </c>
      <c r="V856" t="s">
        <v>32</v>
      </c>
      <c r="W856" t="s">
        <v>33</v>
      </c>
      <c r="X856" t="s">
        <v>33</v>
      </c>
      <c r="Y856" t="s">
        <v>33</v>
      </c>
      <c r="Z856" s="5" t="s">
        <v>34</v>
      </c>
      <c r="AA856">
        <v>-75.573436000000001</v>
      </c>
      <c r="AB856">
        <v>6.1752180000000001</v>
      </c>
      <c r="AC856" t="s">
        <v>456</v>
      </c>
      <c r="AD856" t="s">
        <v>457</v>
      </c>
    </row>
    <row r="857" spans="1:30" x14ac:dyDescent="0.25">
      <c r="A857" t="s">
        <v>7620</v>
      </c>
      <c r="B857" t="s">
        <v>25</v>
      </c>
      <c r="C857" t="s">
        <v>26</v>
      </c>
      <c r="D857" t="s">
        <v>25</v>
      </c>
      <c r="E857" t="s">
        <v>7621</v>
      </c>
      <c r="F857" t="s">
        <v>7622</v>
      </c>
      <c r="G857">
        <v>900303011</v>
      </c>
      <c r="H857" t="s">
        <v>7260</v>
      </c>
      <c r="I857" s="4" t="s">
        <v>5195</v>
      </c>
      <c r="J857" s="4" t="s">
        <v>5196</v>
      </c>
      <c r="K857" t="s">
        <v>7623</v>
      </c>
      <c r="L857" t="s">
        <v>49</v>
      </c>
      <c r="M857" t="s">
        <v>7624</v>
      </c>
      <c r="N857" t="s">
        <v>84</v>
      </c>
      <c r="O857" t="s">
        <v>29</v>
      </c>
      <c r="P857" t="s">
        <v>55</v>
      </c>
      <c r="Q857" t="s">
        <v>31</v>
      </c>
      <c r="R857">
        <v>7</v>
      </c>
      <c r="S857" t="s">
        <v>7625</v>
      </c>
      <c r="T857" t="s">
        <v>7612</v>
      </c>
      <c r="U857" t="s">
        <v>7613</v>
      </c>
      <c r="V857" t="s">
        <v>32</v>
      </c>
      <c r="W857" t="s">
        <v>33</v>
      </c>
      <c r="X857" t="s">
        <v>33</v>
      </c>
      <c r="Y857" t="s">
        <v>33</v>
      </c>
      <c r="Z857" s="5" t="s">
        <v>34</v>
      </c>
      <c r="AA857">
        <v>-75.573436000000001</v>
      </c>
      <c r="AB857">
        <v>6.1752180000000001</v>
      </c>
      <c r="AC857" t="s">
        <v>456</v>
      </c>
      <c r="AD857" t="s">
        <v>457</v>
      </c>
    </row>
    <row r="858" spans="1:30" x14ac:dyDescent="0.25">
      <c r="A858" t="s">
        <v>7626</v>
      </c>
      <c r="B858" t="s">
        <v>25</v>
      </c>
      <c r="C858" t="s">
        <v>26</v>
      </c>
      <c r="D858" t="s">
        <v>25</v>
      </c>
      <c r="E858" t="s">
        <v>7627</v>
      </c>
      <c r="F858" t="s">
        <v>7628</v>
      </c>
      <c r="G858">
        <v>900303011</v>
      </c>
      <c r="H858" t="s">
        <v>7260</v>
      </c>
      <c r="I858" s="4" t="s">
        <v>5195</v>
      </c>
      <c r="J858" s="4" t="s">
        <v>5196</v>
      </c>
      <c r="K858" t="s">
        <v>7629</v>
      </c>
      <c r="L858" t="s">
        <v>49</v>
      </c>
      <c r="M858" t="s">
        <v>7630</v>
      </c>
      <c r="N858" t="s">
        <v>84</v>
      </c>
      <c r="O858" t="s">
        <v>29</v>
      </c>
      <c r="P858" t="s">
        <v>55</v>
      </c>
      <c r="Q858" t="s">
        <v>31</v>
      </c>
      <c r="R858">
        <v>7</v>
      </c>
      <c r="S858" t="s">
        <v>7631</v>
      </c>
      <c r="T858" t="s">
        <v>7632</v>
      </c>
      <c r="U858" t="s">
        <v>7633</v>
      </c>
      <c r="V858" t="s">
        <v>32</v>
      </c>
      <c r="W858" t="s">
        <v>33</v>
      </c>
      <c r="X858" t="s">
        <v>33</v>
      </c>
      <c r="Y858" t="s">
        <v>33</v>
      </c>
      <c r="Z858" s="5" t="s">
        <v>34</v>
      </c>
      <c r="AA858">
        <v>-75.573436000000001</v>
      </c>
      <c r="AB858">
        <v>6.1752180000000001</v>
      </c>
      <c r="AC858" t="s">
        <v>456</v>
      </c>
      <c r="AD858" t="s">
        <v>457</v>
      </c>
    </row>
    <row r="859" spans="1:30" x14ac:dyDescent="0.25">
      <c r="A859" t="s">
        <v>7634</v>
      </c>
      <c r="B859" t="s">
        <v>25</v>
      </c>
      <c r="C859" t="s">
        <v>26</v>
      </c>
      <c r="D859" t="s">
        <v>25</v>
      </c>
      <c r="E859" t="s">
        <v>7635</v>
      </c>
      <c r="F859" t="s">
        <v>7636</v>
      </c>
      <c r="G859">
        <v>900303011</v>
      </c>
      <c r="H859" t="s">
        <v>7260</v>
      </c>
      <c r="I859" s="4" t="s">
        <v>5195</v>
      </c>
      <c r="J859" s="4" t="s">
        <v>5196</v>
      </c>
      <c r="K859" t="s">
        <v>7637</v>
      </c>
      <c r="L859" t="s">
        <v>49</v>
      </c>
      <c r="M859" t="s">
        <v>7638</v>
      </c>
      <c r="N859" t="s">
        <v>84</v>
      </c>
      <c r="O859" t="s">
        <v>29</v>
      </c>
      <c r="P859" t="s">
        <v>55</v>
      </c>
      <c r="Q859" t="s">
        <v>31</v>
      </c>
      <c r="R859">
        <v>7</v>
      </c>
      <c r="S859" t="s">
        <v>7639</v>
      </c>
      <c r="T859" t="s">
        <v>7632</v>
      </c>
      <c r="U859" t="s">
        <v>7633</v>
      </c>
      <c r="V859" t="s">
        <v>32</v>
      </c>
      <c r="W859" t="s">
        <v>33</v>
      </c>
      <c r="X859" t="s">
        <v>33</v>
      </c>
      <c r="Y859" t="s">
        <v>33</v>
      </c>
      <c r="Z859" s="5" t="s">
        <v>34</v>
      </c>
      <c r="AA859">
        <v>-75.573436000000001</v>
      </c>
      <c r="AB859">
        <v>6.1752180000000001</v>
      </c>
      <c r="AC859" t="s">
        <v>456</v>
      </c>
      <c r="AD859" t="s">
        <v>457</v>
      </c>
    </row>
    <row r="860" spans="1:30" x14ac:dyDescent="0.25">
      <c r="A860" t="s">
        <v>7640</v>
      </c>
      <c r="B860" t="s">
        <v>25</v>
      </c>
      <c r="C860" t="s">
        <v>26</v>
      </c>
      <c r="D860" t="s">
        <v>25</v>
      </c>
      <c r="E860" t="s">
        <v>7641</v>
      </c>
      <c r="F860" t="s">
        <v>7642</v>
      </c>
      <c r="G860">
        <v>900303011</v>
      </c>
      <c r="H860" t="s">
        <v>7260</v>
      </c>
      <c r="I860" s="4" t="s">
        <v>5195</v>
      </c>
      <c r="J860" s="4" t="s">
        <v>5196</v>
      </c>
      <c r="K860" t="s">
        <v>7643</v>
      </c>
      <c r="L860" t="s">
        <v>49</v>
      </c>
      <c r="M860" t="s">
        <v>7644</v>
      </c>
      <c r="N860" t="s">
        <v>84</v>
      </c>
      <c r="O860" t="s">
        <v>29</v>
      </c>
      <c r="P860" t="s">
        <v>55</v>
      </c>
      <c r="Q860" t="s">
        <v>31</v>
      </c>
      <c r="R860">
        <v>7</v>
      </c>
      <c r="S860" t="s">
        <v>7645</v>
      </c>
      <c r="T860" t="s">
        <v>7646</v>
      </c>
      <c r="U860" t="s">
        <v>7647</v>
      </c>
      <c r="V860" t="s">
        <v>32</v>
      </c>
      <c r="W860" t="s">
        <v>33</v>
      </c>
      <c r="X860" t="s">
        <v>33</v>
      </c>
      <c r="Y860" t="s">
        <v>33</v>
      </c>
      <c r="Z860" s="5" t="s">
        <v>34</v>
      </c>
      <c r="AA860">
        <v>-75.573436000000001</v>
      </c>
      <c r="AB860">
        <v>6.1752180000000001</v>
      </c>
      <c r="AC860" t="s">
        <v>456</v>
      </c>
      <c r="AD860" t="s">
        <v>457</v>
      </c>
    </row>
    <row r="861" spans="1:30" x14ac:dyDescent="0.25">
      <c r="A861" t="s">
        <v>5923</v>
      </c>
      <c r="B861" t="s">
        <v>81</v>
      </c>
      <c r="C861" t="s">
        <v>26</v>
      </c>
      <c r="D861" t="s">
        <v>81</v>
      </c>
      <c r="E861" t="s">
        <v>5924</v>
      </c>
      <c r="F861" t="s">
        <v>5925</v>
      </c>
      <c r="G861">
        <v>1017196144</v>
      </c>
      <c r="H861" t="s">
        <v>5926</v>
      </c>
      <c r="I861" s="4" t="s">
        <v>5927</v>
      </c>
      <c r="J861" s="4" t="s">
        <v>5928</v>
      </c>
      <c r="K861" t="s">
        <v>5929</v>
      </c>
      <c r="L861" t="s">
        <v>27</v>
      </c>
      <c r="M861" t="s">
        <v>5930</v>
      </c>
      <c r="N861" t="s">
        <v>28</v>
      </c>
      <c r="O861" t="s">
        <v>82</v>
      </c>
      <c r="P861" t="s">
        <v>83</v>
      </c>
      <c r="Q861" t="s">
        <v>31</v>
      </c>
      <c r="R861">
        <v>4</v>
      </c>
      <c r="S861" t="s">
        <v>5931</v>
      </c>
      <c r="T861" t="s">
        <v>7648</v>
      </c>
      <c r="U861" t="s">
        <v>7649</v>
      </c>
      <c r="V861" t="s">
        <v>32</v>
      </c>
      <c r="W861" t="s">
        <v>33</v>
      </c>
      <c r="X861" t="s">
        <v>33</v>
      </c>
      <c r="Y861" t="s">
        <v>33</v>
      </c>
      <c r="Z861" s="5" t="s">
        <v>34</v>
      </c>
      <c r="AA861">
        <v>-75.602829</v>
      </c>
      <c r="AB861">
        <v>6.2265759999999997</v>
      </c>
      <c r="AC861" t="s">
        <v>456</v>
      </c>
      <c r="AD861" t="s">
        <v>457</v>
      </c>
    </row>
    <row r="862" spans="1:30" x14ac:dyDescent="0.25">
      <c r="A862" t="s">
        <v>7650</v>
      </c>
      <c r="B862" t="s">
        <v>25</v>
      </c>
      <c r="C862" t="s">
        <v>26</v>
      </c>
      <c r="D862" t="s">
        <v>25</v>
      </c>
      <c r="E862" t="s">
        <v>7651</v>
      </c>
      <c r="F862" t="s">
        <v>7652</v>
      </c>
      <c r="G862">
        <v>900303011</v>
      </c>
      <c r="H862" t="s">
        <v>7260</v>
      </c>
      <c r="I862" s="4" t="s">
        <v>5195</v>
      </c>
      <c r="J862" s="4" t="s">
        <v>5196</v>
      </c>
      <c r="K862" t="s">
        <v>7653</v>
      </c>
      <c r="L862" t="s">
        <v>49</v>
      </c>
      <c r="M862" t="s">
        <v>7654</v>
      </c>
      <c r="N862" t="s">
        <v>84</v>
      </c>
      <c r="O862" t="s">
        <v>29</v>
      </c>
      <c r="P862" t="s">
        <v>55</v>
      </c>
      <c r="Q862" t="s">
        <v>31</v>
      </c>
      <c r="R862">
        <v>7</v>
      </c>
      <c r="S862" t="s">
        <v>7655</v>
      </c>
      <c r="T862" t="s">
        <v>7648</v>
      </c>
      <c r="U862" t="s">
        <v>6402</v>
      </c>
      <c r="V862" t="s">
        <v>32</v>
      </c>
      <c r="W862" t="s">
        <v>33</v>
      </c>
      <c r="X862" t="s">
        <v>33</v>
      </c>
      <c r="Y862" t="s">
        <v>33</v>
      </c>
      <c r="Z862" s="5" t="s">
        <v>34</v>
      </c>
      <c r="AA862">
        <v>-75.573436000000001</v>
      </c>
      <c r="AB862">
        <v>6.1752180000000001</v>
      </c>
      <c r="AC862" t="s">
        <v>456</v>
      </c>
      <c r="AD862" t="s">
        <v>457</v>
      </c>
    </row>
    <row r="863" spans="1:30" x14ac:dyDescent="0.25">
      <c r="A863" t="s">
        <v>7656</v>
      </c>
      <c r="B863" t="s">
        <v>25</v>
      </c>
      <c r="C863" t="s">
        <v>26</v>
      </c>
      <c r="D863" t="s">
        <v>25</v>
      </c>
      <c r="E863" t="s">
        <v>7657</v>
      </c>
      <c r="F863" t="s">
        <v>7658</v>
      </c>
      <c r="G863">
        <v>900303011</v>
      </c>
      <c r="H863" t="s">
        <v>7260</v>
      </c>
      <c r="I863" s="4" t="s">
        <v>5195</v>
      </c>
      <c r="J863" s="4" t="s">
        <v>5196</v>
      </c>
      <c r="K863" t="s">
        <v>7659</v>
      </c>
      <c r="L863" t="s">
        <v>49</v>
      </c>
      <c r="M863" t="s">
        <v>7660</v>
      </c>
      <c r="N863" t="s">
        <v>84</v>
      </c>
      <c r="O863" t="s">
        <v>29</v>
      </c>
      <c r="P863" t="s">
        <v>55</v>
      </c>
      <c r="Q863" t="s">
        <v>31</v>
      </c>
      <c r="R863">
        <v>7</v>
      </c>
      <c r="S863" t="s">
        <v>7661</v>
      </c>
      <c r="T863" t="s">
        <v>7648</v>
      </c>
      <c r="U863" t="s">
        <v>6402</v>
      </c>
      <c r="V863" t="s">
        <v>32</v>
      </c>
      <c r="W863" t="s">
        <v>33</v>
      </c>
      <c r="X863" t="s">
        <v>33</v>
      </c>
      <c r="Y863" t="s">
        <v>33</v>
      </c>
      <c r="Z863" s="5" t="s">
        <v>34</v>
      </c>
      <c r="AA863">
        <v>-75.573436000000001</v>
      </c>
      <c r="AB863">
        <v>6.1752180000000001</v>
      </c>
      <c r="AC863" t="s">
        <v>456</v>
      </c>
      <c r="AD863" t="s">
        <v>457</v>
      </c>
    </row>
    <row r="864" spans="1:30" x14ac:dyDescent="0.25">
      <c r="A864" t="s">
        <v>7662</v>
      </c>
      <c r="B864" t="s">
        <v>25</v>
      </c>
      <c r="C864" t="s">
        <v>26</v>
      </c>
      <c r="D864" t="s">
        <v>25</v>
      </c>
      <c r="E864" t="s">
        <v>7663</v>
      </c>
      <c r="F864" t="s">
        <v>7664</v>
      </c>
      <c r="G864">
        <v>900303011</v>
      </c>
      <c r="H864" t="s">
        <v>7260</v>
      </c>
      <c r="I864" s="4" t="s">
        <v>5195</v>
      </c>
      <c r="J864" s="4" t="s">
        <v>5196</v>
      </c>
      <c r="K864" t="s">
        <v>7665</v>
      </c>
      <c r="L864" t="s">
        <v>49</v>
      </c>
      <c r="M864" t="s">
        <v>7666</v>
      </c>
      <c r="N864" t="s">
        <v>84</v>
      </c>
      <c r="O864" t="s">
        <v>29</v>
      </c>
      <c r="P864" t="s">
        <v>55</v>
      </c>
      <c r="Q864" t="s">
        <v>31</v>
      </c>
      <c r="R864">
        <v>7</v>
      </c>
      <c r="S864" t="s">
        <v>7667</v>
      </c>
      <c r="T864" t="s">
        <v>7648</v>
      </c>
      <c r="U864" t="s">
        <v>6402</v>
      </c>
      <c r="V864" t="s">
        <v>32</v>
      </c>
      <c r="W864" t="s">
        <v>33</v>
      </c>
      <c r="X864" t="s">
        <v>33</v>
      </c>
      <c r="Y864" t="s">
        <v>33</v>
      </c>
      <c r="Z864" s="5" t="s">
        <v>34</v>
      </c>
      <c r="AA864">
        <v>-75.573436000000001</v>
      </c>
      <c r="AB864">
        <v>6.1752180000000001</v>
      </c>
      <c r="AC864" t="s">
        <v>456</v>
      </c>
      <c r="AD864" t="s">
        <v>457</v>
      </c>
    </row>
    <row r="865" spans="1:30" x14ac:dyDescent="0.25">
      <c r="A865" t="s">
        <v>7668</v>
      </c>
      <c r="B865" t="s">
        <v>25</v>
      </c>
      <c r="C865" t="s">
        <v>26</v>
      </c>
      <c r="D865" t="s">
        <v>25</v>
      </c>
      <c r="E865" t="s">
        <v>7669</v>
      </c>
      <c r="F865" t="s">
        <v>7670</v>
      </c>
      <c r="G865">
        <v>900303011</v>
      </c>
      <c r="H865" t="s">
        <v>7260</v>
      </c>
      <c r="I865" s="4" t="s">
        <v>5195</v>
      </c>
      <c r="J865" s="4" t="s">
        <v>5196</v>
      </c>
      <c r="K865" t="s">
        <v>7671</v>
      </c>
      <c r="L865" t="s">
        <v>49</v>
      </c>
      <c r="M865" t="s">
        <v>7672</v>
      </c>
      <c r="N865" t="s">
        <v>84</v>
      </c>
      <c r="O865" t="s">
        <v>29</v>
      </c>
      <c r="P865" t="s">
        <v>55</v>
      </c>
      <c r="Q865" t="s">
        <v>31</v>
      </c>
      <c r="R865">
        <v>7</v>
      </c>
      <c r="S865" t="s">
        <v>7673</v>
      </c>
      <c r="T865" t="s">
        <v>4909</v>
      </c>
      <c r="U865" t="s">
        <v>7674</v>
      </c>
      <c r="V865" t="s">
        <v>32</v>
      </c>
      <c r="W865" t="s">
        <v>33</v>
      </c>
      <c r="X865" t="s">
        <v>33</v>
      </c>
      <c r="Y865" t="s">
        <v>33</v>
      </c>
      <c r="Z865" s="5" t="s">
        <v>34</v>
      </c>
      <c r="AA865">
        <v>-75.573436000000001</v>
      </c>
      <c r="AB865">
        <v>6.1752180000000001</v>
      </c>
      <c r="AC865" t="s">
        <v>456</v>
      </c>
      <c r="AD865" t="s">
        <v>457</v>
      </c>
    </row>
    <row r="866" spans="1:30" x14ac:dyDescent="0.25">
      <c r="A866" t="s">
        <v>5932</v>
      </c>
      <c r="B866" t="s">
        <v>25</v>
      </c>
      <c r="C866" t="s">
        <v>26</v>
      </c>
      <c r="D866" t="s">
        <v>39</v>
      </c>
      <c r="E866" t="s">
        <v>5933</v>
      </c>
      <c r="F866" t="s">
        <v>5934</v>
      </c>
      <c r="G866">
        <v>43107017</v>
      </c>
      <c r="H866" t="s">
        <v>5935</v>
      </c>
      <c r="I866" s="4" t="s">
        <v>35</v>
      </c>
      <c r="J866" s="4" t="s">
        <v>5936</v>
      </c>
      <c r="K866" t="s">
        <v>5937</v>
      </c>
      <c r="L866" t="s">
        <v>44</v>
      </c>
      <c r="M866" t="s">
        <v>5938</v>
      </c>
      <c r="N866" t="s">
        <v>45</v>
      </c>
      <c r="O866" t="s">
        <v>40</v>
      </c>
      <c r="P866" t="s">
        <v>41</v>
      </c>
      <c r="Q866" t="s">
        <v>31</v>
      </c>
      <c r="R866">
        <v>5</v>
      </c>
      <c r="S866" t="s">
        <v>5939</v>
      </c>
      <c r="T866" t="s">
        <v>7675</v>
      </c>
      <c r="U866" t="s">
        <v>7676</v>
      </c>
      <c r="V866" t="s">
        <v>32</v>
      </c>
      <c r="W866" t="s">
        <v>33</v>
      </c>
      <c r="X866" t="s">
        <v>33</v>
      </c>
      <c r="Y866" t="s">
        <v>33</v>
      </c>
      <c r="Z866" s="5" t="s">
        <v>34</v>
      </c>
      <c r="AA866">
        <v>-75.614312745000007</v>
      </c>
      <c r="AB866">
        <v>6.1789636690000398</v>
      </c>
      <c r="AC866" t="s">
        <v>456</v>
      </c>
      <c r="AD866" t="s">
        <v>457</v>
      </c>
    </row>
    <row r="867" spans="1:30" x14ac:dyDescent="0.25">
      <c r="A867" t="s">
        <v>8185</v>
      </c>
      <c r="B867" t="s">
        <v>95</v>
      </c>
      <c r="C867" t="s">
        <v>26</v>
      </c>
      <c r="D867" t="s">
        <v>96</v>
      </c>
      <c r="E867" t="s">
        <v>8186</v>
      </c>
      <c r="F867" t="s">
        <v>8187</v>
      </c>
      <c r="G867">
        <v>71262365</v>
      </c>
      <c r="H867" t="s">
        <v>8188</v>
      </c>
      <c r="I867" s="4" t="s">
        <v>35</v>
      </c>
      <c r="J867" s="4" t="s">
        <v>8189</v>
      </c>
      <c r="K867" t="s">
        <v>8190</v>
      </c>
      <c r="L867" t="s">
        <v>61</v>
      </c>
      <c r="M867" t="s">
        <v>8191</v>
      </c>
      <c r="N867" t="s">
        <v>63</v>
      </c>
      <c r="O867" t="s">
        <v>103</v>
      </c>
      <c r="P867" t="s">
        <v>158</v>
      </c>
      <c r="Q867" t="s">
        <v>31</v>
      </c>
      <c r="R867">
        <v>9</v>
      </c>
      <c r="S867" t="s">
        <v>8192</v>
      </c>
      <c r="T867" t="s">
        <v>8193</v>
      </c>
      <c r="U867" t="s">
        <v>8194</v>
      </c>
      <c r="V867" t="s">
        <v>32</v>
      </c>
      <c r="W867" t="s">
        <v>33</v>
      </c>
      <c r="X867" t="s">
        <v>33</v>
      </c>
      <c r="Y867" t="s">
        <v>33</v>
      </c>
      <c r="Z867" s="5" t="s">
        <v>34</v>
      </c>
      <c r="AA867">
        <v>-75.646837000000005</v>
      </c>
      <c r="AB867">
        <v>6.1526269999999998</v>
      </c>
      <c r="AC867" t="s">
        <v>456</v>
      </c>
      <c r="AD867" t="s">
        <v>457</v>
      </c>
    </row>
    <row r="868" spans="1:30" x14ac:dyDescent="0.25">
      <c r="A868" t="s">
        <v>7677</v>
      </c>
      <c r="B868" t="s">
        <v>25</v>
      </c>
      <c r="C868" t="s">
        <v>26</v>
      </c>
      <c r="D868" t="s">
        <v>25</v>
      </c>
      <c r="E868" t="s">
        <v>7678</v>
      </c>
      <c r="F868" t="s">
        <v>7679</v>
      </c>
      <c r="G868">
        <v>900303011</v>
      </c>
      <c r="H868" t="s">
        <v>7260</v>
      </c>
      <c r="I868" s="4" t="s">
        <v>5195</v>
      </c>
      <c r="J868" s="4" t="s">
        <v>5196</v>
      </c>
      <c r="K868" t="s">
        <v>7680</v>
      </c>
      <c r="L868" t="s">
        <v>49</v>
      </c>
      <c r="M868" t="s">
        <v>7681</v>
      </c>
      <c r="N868" t="s">
        <v>84</v>
      </c>
      <c r="O868" t="s">
        <v>29</v>
      </c>
      <c r="P868" t="s">
        <v>55</v>
      </c>
      <c r="Q868" t="s">
        <v>31</v>
      </c>
      <c r="R868">
        <v>7</v>
      </c>
      <c r="S868" t="s">
        <v>7682</v>
      </c>
      <c r="T868" t="s">
        <v>4910</v>
      </c>
      <c r="U868" t="s">
        <v>7683</v>
      </c>
      <c r="V868" t="s">
        <v>32</v>
      </c>
      <c r="W868" t="s">
        <v>33</v>
      </c>
      <c r="X868" t="s">
        <v>33</v>
      </c>
      <c r="Y868" t="s">
        <v>33</v>
      </c>
      <c r="Z868" s="5" t="s">
        <v>34</v>
      </c>
      <c r="AA868">
        <v>-75.573425999999998</v>
      </c>
      <c r="AB868">
        <v>6.1751849999999999</v>
      </c>
      <c r="AC868" t="s">
        <v>456</v>
      </c>
      <c r="AD868" t="s">
        <v>457</v>
      </c>
    </row>
    <row r="869" spans="1:30" x14ac:dyDescent="0.25">
      <c r="A869" t="s">
        <v>5940</v>
      </c>
      <c r="B869" t="s">
        <v>51</v>
      </c>
      <c r="C869" t="s">
        <v>121</v>
      </c>
      <c r="D869" t="s">
        <v>51</v>
      </c>
      <c r="E869" t="s">
        <v>5941</v>
      </c>
      <c r="F869" t="s">
        <v>5942</v>
      </c>
      <c r="G869">
        <v>43835602</v>
      </c>
      <c r="H869" t="s">
        <v>5943</v>
      </c>
      <c r="I869" s="4" t="s">
        <v>35</v>
      </c>
      <c r="J869" s="4" t="s">
        <v>5944</v>
      </c>
      <c r="K869" t="s">
        <v>5945</v>
      </c>
      <c r="L869" t="s">
        <v>44</v>
      </c>
      <c r="M869" t="s">
        <v>5946</v>
      </c>
      <c r="N869" t="s">
        <v>45</v>
      </c>
      <c r="O869" t="s">
        <v>122</v>
      </c>
      <c r="P869" t="s">
        <v>53</v>
      </c>
      <c r="Q869" t="s">
        <v>31</v>
      </c>
      <c r="R869">
        <v>11</v>
      </c>
      <c r="S869" t="s">
        <v>5947</v>
      </c>
      <c r="T869" t="s">
        <v>2362</v>
      </c>
      <c r="U869" t="s">
        <v>7684</v>
      </c>
      <c r="V869" t="s">
        <v>32</v>
      </c>
      <c r="W869" t="s">
        <v>33</v>
      </c>
      <c r="X869" t="s">
        <v>33</v>
      </c>
      <c r="Y869" t="s">
        <v>33</v>
      </c>
      <c r="Z869" s="5" t="s">
        <v>34</v>
      </c>
      <c r="AA869">
        <v>-75.599817490000007</v>
      </c>
      <c r="AB869">
        <v>6.1861674300000002</v>
      </c>
      <c r="AC869" t="s">
        <v>456</v>
      </c>
      <c r="AD869" t="s">
        <v>457</v>
      </c>
    </row>
    <row r="870" spans="1:30" x14ac:dyDescent="0.25">
      <c r="A870" t="s">
        <v>5948</v>
      </c>
      <c r="B870" t="s">
        <v>25</v>
      </c>
      <c r="C870" t="s">
        <v>26</v>
      </c>
      <c r="D870" t="s">
        <v>39</v>
      </c>
      <c r="E870" t="s">
        <v>5949</v>
      </c>
      <c r="F870" t="s">
        <v>5950</v>
      </c>
      <c r="G870">
        <v>1000757228</v>
      </c>
      <c r="H870" t="s">
        <v>5951</v>
      </c>
      <c r="I870" s="4" t="s">
        <v>35</v>
      </c>
      <c r="J870" s="4" t="s">
        <v>5952</v>
      </c>
      <c r="K870" t="s">
        <v>5953</v>
      </c>
      <c r="L870" t="s">
        <v>27</v>
      </c>
      <c r="M870" t="s">
        <v>5954</v>
      </c>
      <c r="N870" t="s">
        <v>28</v>
      </c>
      <c r="O870" t="s">
        <v>40</v>
      </c>
      <c r="P870" t="s">
        <v>41</v>
      </c>
      <c r="Q870" t="s">
        <v>31</v>
      </c>
      <c r="R870">
        <v>5</v>
      </c>
      <c r="S870" t="s">
        <v>5955</v>
      </c>
      <c r="T870" t="s">
        <v>4912</v>
      </c>
      <c r="U870" t="s">
        <v>7685</v>
      </c>
      <c r="V870" t="s">
        <v>32</v>
      </c>
      <c r="W870" t="s">
        <v>33</v>
      </c>
      <c r="X870" t="s">
        <v>33</v>
      </c>
      <c r="Y870" t="s">
        <v>33</v>
      </c>
      <c r="Z870" s="5" t="s">
        <v>34</v>
      </c>
      <c r="AA870">
        <v>-75.536349000000001</v>
      </c>
      <c r="AB870">
        <v>6.2362929999999999</v>
      </c>
      <c r="AC870" t="s">
        <v>456</v>
      </c>
      <c r="AD870" t="s">
        <v>457</v>
      </c>
    </row>
    <row r="871" spans="1:30" x14ac:dyDescent="0.25">
      <c r="A871" t="s">
        <v>5956</v>
      </c>
      <c r="B871" t="s">
        <v>51</v>
      </c>
      <c r="C871" t="s">
        <v>121</v>
      </c>
      <c r="D871" t="s">
        <v>51</v>
      </c>
      <c r="E871" t="s">
        <v>5957</v>
      </c>
      <c r="F871" t="s">
        <v>5958</v>
      </c>
      <c r="G871">
        <v>43620521</v>
      </c>
      <c r="H871" t="s">
        <v>5959</v>
      </c>
      <c r="I871" s="4" t="s">
        <v>5960</v>
      </c>
      <c r="J871" s="4" t="s">
        <v>5961</v>
      </c>
      <c r="K871" t="s">
        <v>5962</v>
      </c>
      <c r="L871" t="s">
        <v>27</v>
      </c>
      <c r="M871" t="s">
        <v>5963</v>
      </c>
      <c r="N871" t="s">
        <v>28</v>
      </c>
      <c r="O871" t="s">
        <v>122</v>
      </c>
      <c r="P871" t="s">
        <v>53</v>
      </c>
      <c r="Q871" t="s">
        <v>31</v>
      </c>
      <c r="R871">
        <v>11</v>
      </c>
      <c r="S871" t="s">
        <v>5964</v>
      </c>
      <c r="T871" t="s">
        <v>7686</v>
      </c>
      <c r="U871" t="s">
        <v>7687</v>
      </c>
      <c r="V871" t="s">
        <v>32</v>
      </c>
      <c r="W871" t="s">
        <v>33</v>
      </c>
      <c r="X871" t="s">
        <v>33</v>
      </c>
      <c r="Y871" t="s">
        <v>33</v>
      </c>
      <c r="Z871" s="5" t="s">
        <v>34</v>
      </c>
      <c r="AA871">
        <v>-75.607661140000005</v>
      </c>
      <c r="AB871">
        <v>6.2600248499999998</v>
      </c>
      <c r="AC871" t="s">
        <v>456</v>
      </c>
      <c r="AD871" t="s">
        <v>457</v>
      </c>
    </row>
    <row r="872" spans="1:30" x14ac:dyDescent="0.25">
      <c r="A872" t="s">
        <v>8195</v>
      </c>
      <c r="B872" t="s">
        <v>95</v>
      </c>
      <c r="C872" t="s">
        <v>26</v>
      </c>
      <c r="D872" t="s">
        <v>96</v>
      </c>
      <c r="E872" t="s">
        <v>8196</v>
      </c>
      <c r="F872" t="s">
        <v>8197</v>
      </c>
      <c r="G872">
        <v>1037468291</v>
      </c>
      <c r="H872" t="s">
        <v>8198</v>
      </c>
      <c r="I872" s="4" t="s">
        <v>35</v>
      </c>
      <c r="J872" s="4" t="s">
        <v>8199</v>
      </c>
      <c r="K872" t="s">
        <v>8200</v>
      </c>
      <c r="L872" t="s">
        <v>27</v>
      </c>
      <c r="M872" t="s">
        <v>8201</v>
      </c>
      <c r="N872" t="s">
        <v>28</v>
      </c>
      <c r="O872" t="s">
        <v>103</v>
      </c>
      <c r="P872" t="s">
        <v>120</v>
      </c>
      <c r="Q872" t="s">
        <v>31</v>
      </c>
      <c r="R872">
        <v>9</v>
      </c>
      <c r="S872" t="s">
        <v>8202</v>
      </c>
      <c r="T872" t="s">
        <v>8203</v>
      </c>
      <c r="U872" t="s">
        <v>8204</v>
      </c>
      <c r="V872" t="s">
        <v>32</v>
      </c>
      <c r="W872" t="s">
        <v>33</v>
      </c>
      <c r="X872" t="s">
        <v>33</v>
      </c>
      <c r="Y872" t="s">
        <v>33</v>
      </c>
      <c r="Z872" s="5" t="s">
        <v>34</v>
      </c>
      <c r="AA872">
        <v>-75.614359010000001</v>
      </c>
      <c r="AB872">
        <v>6.27110536</v>
      </c>
      <c r="AC872" t="s">
        <v>456</v>
      </c>
      <c r="AD872" t="s">
        <v>457</v>
      </c>
    </row>
    <row r="873" spans="1:30" x14ac:dyDescent="0.25">
      <c r="A873" t="s">
        <v>5965</v>
      </c>
      <c r="B873" t="s">
        <v>25</v>
      </c>
      <c r="C873" t="s">
        <v>26</v>
      </c>
      <c r="D873" t="s">
        <v>39</v>
      </c>
      <c r="E873" t="s">
        <v>5966</v>
      </c>
      <c r="F873" t="s">
        <v>5967</v>
      </c>
      <c r="G873">
        <v>1128269145</v>
      </c>
      <c r="H873" t="s">
        <v>5968</v>
      </c>
      <c r="I873" s="4" t="s">
        <v>35</v>
      </c>
      <c r="J873" s="4" t="s">
        <v>5969</v>
      </c>
      <c r="K873" t="s">
        <v>5970</v>
      </c>
      <c r="L873" t="s">
        <v>27</v>
      </c>
      <c r="M873" t="s">
        <v>5971</v>
      </c>
      <c r="N873" t="s">
        <v>28</v>
      </c>
      <c r="O873" t="s">
        <v>40</v>
      </c>
      <c r="P873" t="s">
        <v>41</v>
      </c>
      <c r="Q873" t="s">
        <v>31</v>
      </c>
      <c r="R873">
        <v>5</v>
      </c>
      <c r="S873" t="s">
        <v>5972</v>
      </c>
      <c r="T873" t="s">
        <v>6747</v>
      </c>
      <c r="U873" t="s">
        <v>7688</v>
      </c>
      <c r="V873" t="s">
        <v>32</v>
      </c>
      <c r="W873" t="s">
        <v>33</v>
      </c>
      <c r="X873" t="s">
        <v>33</v>
      </c>
      <c r="Y873" t="s">
        <v>33</v>
      </c>
      <c r="Z873" s="5" t="s">
        <v>34</v>
      </c>
      <c r="AA873">
        <v>-75.622347000000005</v>
      </c>
      <c r="AB873">
        <v>6.2218239999999998</v>
      </c>
      <c r="AC873" t="s">
        <v>456</v>
      </c>
      <c r="AD873" t="s">
        <v>457</v>
      </c>
    </row>
    <row r="874" spans="1:30" x14ac:dyDescent="0.25">
      <c r="A874" t="s">
        <v>5973</v>
      </c>
      <c r="B874" t="s">
        <v>25</v>
      </c>
      <c r="C874" t="s">
        <v>26</v>
      </c>
      <c r="D874" t="s">
        <v>25</v>
      </c>
      <c r="E874" t="s">
        <v>5974</v>
      </c>
      <c r="F874" t="s">
        <v>5975</v>
      </c>
      <c r="G874">
        <v>71580057</v>
      </c>
      <c r="H874" t="s">
        <v>5976</v>
      </c>
      <c r="I874" s="4" t="s">
        <v>5977</v>
      </c>
      <c r="J874" s="4" t="s">
        <v>5978</v>
      </c>
      <c r="K874" t="s">
        <v>5979</v>
      </c>
      <c r="L874" t="s">
        <v>27</v>
      </c>
      <c r="M874" t="s">
        <v>5980</v>
      </c>
      <c r="N874" t="s">
        <v>28</v>
      </c>
      <c r="O874" t="s">
        <v>29</v>
      </c>
      <c r="P874" t="s">
        <v>37</v>
      </c>
      <c r="Q874" t="s">
        <v>31</v>
      </c>
      <c r="R874">
        <v>7</v>
      </c>
      <c r="S874" t="s">
        <v>5981</v>
      </c>
      <c r="T874" t="s">
        <v>7689</v>
      </c>
      <c r="U874" t="s">
        <v>7690</v>
      </c>
      <c r="V874" t="s">
        <v>32</v>
      </c>
      <c r="W874" t="s">
        <v>33</v>
      </c>
      <c r="X874" t="s">
        <v>33</v>
      </c>
      <c r="Y874" t="s">
        <v>33</v>
      </c>
      <c r="Z874" s="5" t="s">
        <v>34</v>
      </c>
      <c r="AA874">
        <v>-75.594018779999999</v>
      </c>
      <c r="AB874">
        <v>6.2709004500000001</v>
      </c>
      <c r="AC874" t="s">
        <v>456</v>
      </c>
      <c r="AD874" t="s">
        <v>457</v>
      </c>
    </row>
    <row r="875" spans="1:30" x14ac:dyDescent="0.25">
      <c r="A875" t="s">
        <v>5982</v>
      </c>
      <c r="B875" t="s">
        <v>25</v>
      </c>
      <c r="C875" t="s">
        <v>26</v>
      </c>
      <c r="D875" t="s">
        <v>25</v>
      </c>
      <c r="E875" t="s">
        <v>5983</v>
      </c>
      <c r="F875" t="s">
        <v>5984</v>
      </c>
      <c r="G875">
        <v>42766573</v>
      </c>
      <c r="H875" t="s">
        <v>5985</v>
      </c>
      <c r="I875" s="4" t="s">
        <v>5986</v>
      </c>
      <c r="J875" s="4" t="s">
        <v>5987</v>
      </c>
      <c r="K875" t="s">
        <v>5988</v>
      </c>
      <c r="L875" t="s">
        <v>44</v>
      </c>
      <c r="M875" t="s">
        <v>5989</v>
      </c>
      <c r="N875" t="s">
        <v>45</v>
      </c>
      <c r="O875" t="s">
        <v>29</v>
      </c>
      <c r="P875" t="s">
        <v>37</v>
      </c>
      <c r="Q875" t="s">
        <v>31</v>
      </c>
      <c r="R875">
        <v>7</v>
      </c>
      <c r="S875" t="s">
        <v>5990</v>
      </c>
      <c r="T875" t="s">
        <v>7689</v>
      </c>
      <c r="U875" t="s">
        <v>7690</v>
      </c>
      <c r="V875" t="s">
        <v>32</v>
      </c>
      <c r="W875" t="s">
        <v>33</v>
      </c>
      <c r="X875" t="s">
        <v>33</v>
      </c>
      <c r="Y875" t="s">
        <v>33</v>
      </c>
      <c r="Z875" s="5" t="s">
        <v>34</v>
      </c>
      <c r="AA875">
        <v>-75.59945673</v>
      </c>
      <c r="AB875">
        <v>6.1821824400000001</v>
      </c>
      <c r="AC875" t="s">
        <v>456</v>
      </c>
      <c r="AD875" t="s">
        <v>457</v>
      </c>
    </row>
    <row r="876" spans="1:30" x14ac:dyDescent="0.25">
      <c r="A876" t="s">
        <v>8205</v>
      </c>
      <c r="B876" t="s">
        <v>95</v>
      </c>
      <c r="C876" t="s">
        <v>26</v>
      </c>
      <c r="D876" t="s">
        <v>96</v>
      </c>
      <c r="E876" t="s">
        <v>8206</v>
      </c>
      <c r="F876" t="s">
        <v>8207</v>
      </c>
      <c r="G876">
        <v>71637652</v>
      </c>
      <c r="H876" t="s">
        <v>8208</v>
      </c>
      <c r="I876" s="4" t="s">
        <v>35</v>
      </c>
      <c r="J876" s="4" t="s">
        <v>8209</v>
      </c>
      <c r="K876" t="s">
        <v>8210</v>
      </c>
      <c r="L876" t="s">
        <v>27</v>
      </c>
      <c r="M876" t="s">
        <v>8211</v>
      </c>
      <c r="N876" t="s">
        <v>28</v>
      </c>
      <c r="O876" t="s">
        <v>103</v>
      </c>
      <c r="P876" t="s">
        <v>120</v>
      </c>
      <c r="Q876" t="s">
        <v>31</v>
      </c>
      <c r="R876">
        <v>9</v>
      </c>
      <c r="S876" t="s">
        <v>8212</v>
      </c>
      <c r="T876" t="s">
        <v>6393</v>
      </c>
      <c r="U876" t="s">
        <v>8213</v>
      </c>
      <c r="V876" t="s">
        <v>32</v>
      </c>
      <c r="W876" t="s">
        <v>33</v>
      </c>
      <c r="X876" t="s">
        <v>33</v>
      </c>
      <c r="Y876" t="s">
        <v>33</v>
      </c>
      <c r="Z876" s="5" t="s">
        <v>34</v>
      </c>
      <c r="AA876">
        <v>-75.604655080000001</v>
      </c>
      <c r="AB876">
        <v>6.2742202599999999</v>
      </c>
      <c r="AC876" t="s">
        <v>456</v>
      </c>
      <c r="AD876" t="s">
        <v>457</v>
      </c>
    </row>
    <row r="877" spans="1:30" x14ac:dyDescent="0.25">
      <c r="A877" t="s">
        <v>5991</v>
      </c>
      <c r="B877" t="s">
        <v>51</v>
      </c>
      <c r="C877" t="s">
        <v>26</v>
      </c>
      <c r="D877" t="s">
        <v>51</v>
      </c>
      <c r="E877" t="s">
        <v>5992</v>
      </c>
      <c r="F877" t="s">
        <v>5993</v>
      </c>
      <c r="G877">
        <v>22108273</v>
      </c>
      <c r="H877" t="s">
        <v>5994</v>
      </c>
      <c r="I877" s="4" t="s">
        <v>35</v>
      </c>
      <c r="J877" s="4" t="s">
        <v>5995</v>
      </c>
      <c r="K877" t="s">
        <v>5996</v>
      </c>
      <c r="L877" t="s">
        <v>27</v>
      </c>
      <c r="M877" t="s">
        <v>5997</v>
      </c>
      <c r="N877" t="s">
        <v>28</v>
      </c>
      <c r="O877" t="s">
        <v>52</v>
      </c>
      <c r="P877" t="s">
        <v>53</v>
      </c>
      <c r="Q877" t="s">
        <v>31</v>
      </c>
      <c r="R877">
        <v>11</v>
      </c>
      <c r="S877" t="s">
        <v>5998</v>
      </c>
      <c r="T877" t="s">
        <v>7691</v>
      </c>
      <c r="U877" t="s">
        <v>7692</v>
      </c>
      <c r="V877" t="s">
        <v>32</v>
      </c>
      <c r="W877" t="s">
        <v>33</v>
      </c>
      <c r="X877" t="s">
        <v>33</v>
      </c>
      <c r="Y877" t="s">
        <v>33</v>
      </c>
      <c r="Z877" s="5" t="s">
        <v>34</v>
      </c>
      <c r="AA877">
        <v>-75.540311869999996</v>
      </c>
      <c r="AB877">
        <v>6.2488550099999998</v>
      </c>
      <c r="AC877" t="s">
        <v>456</v>
      </c>
      <c r="AD877" t="s">
        <v>457</v>
      </c>
    </row>
    <row r="878" spans="1:30" x14ac:dyDescent="0.25">
      <c r="A878" t="s">
        <v>5999</v>
      </c>
      <c r="B878" t="s">
        <v>25</v>
      </c>
      <c r="C878" t="s">
        <v>26</v>
      </c>
      <c r="D878" t="s">
        <v>25</v>
      </c>
      <c r="E878" t="s">
        <v>6000</v>
      </c>
      <c r="F878" t="s">
        <v>6001</v>
      </c>
      <c r="G878">
        <v>1128430693</v>
      </c>
      <c r="H878" t="s">
        <v>6002</v>
      </c>
      <c r="I878" s="4" t="s">
        <v>35</v>
      </c>
      <c r="J878" s="4" t="s">
        <v>6003</v>
      </c>
      <c r="K878" t="s">
        <v>6004</v>
      </c>
      <c r="L878" t="s">
        <v>27</v>
      </c>
      <c r="M878" t="s">
        <v>6005</v>
      </c>
      <c r="N878" t="s">
        <v>28</v>
      </c>
      <c r="O878" t="s">
        <v>29</v>
      </c>
      <c r="P878" t="s">
        <v>37</v>
      </c>
      <c r="Q878" t="s">
        <v>31</v>
      </c>
      <c r="R878">
        <v>7</v>
      </c>
      <c r="S878" t="s">
        <v>6006</v>
      </c>
      <c r="T878" t="s">
        <v>6558</v>
      </c>
      <c r="U878" t="s">
        <v>7693</v>
      </c>
      <c r="V878" t="s">
        <v>32</v>
      </c>
      <c r="W878" t="s">
        <v>33</v>
      </c>
      <c r="X878" t="s">
        <v>33</v>
      </c>
      <c r="Y878" t="s">
        <v>33</v>
      </c>
      <c r="Z878" s="5" t="s">
        <v>34</v>
      </c>
      <c r="AA878">
        <v>-75.547679189999997</v>
      </c>
      <c r="AB878">
        <v>6.2433201199999999</v>
      </c>
      <c r="AC878" t="s">
        <v>456</v>
      </c>
      <c r="AD878" t="s">
        <v>457</v>
      </c>
    </row>
    <row r="879" spans="1:30" x14ac:dyDescent="0.25">
      <c r="A879" t="s">
        <v>6007</v>
      </c>
      <c r="B879" t="s">
        <v>25</v>
      </c>
      <c r="C879" t="s">
        <v>26</v>
      </c>
      <c r="D879" t="s">
        <v>25</v>
      </c>
      <c r="E879" t="s">
        <v>6008</v>
      </c>
      <c r="F879" t="s">
        <v>6009</v>
      </c>
      <c r="G879">
        <v>1128430693</v>
      </c>
      <c r="H879" t="s">
        <v>6002</v>
      </c>
      <c r="I879" s="4" t="s">
        <v>35</v>
      </c>
      <c r="J879" s="4" t="s">
        <v>6003</v>
      </c>
      <c r="K879" t="s">
        <v>6010</v>
      </c>
      <c r="L879" t="s">
        <v>27</v>
      </c>
      <c r="M879" t="s">
        <v>6011</v>
      </c>
      <c r="N879" t="s">
        <v>28</v>
      </c>
      <c r="O879" t="s">
        <v>29</v>
      </c>
      <c r="P879" t="s">
        <v>37</v>
      </c>
      <c r="Q879" t="s">
        <v>31</v>
      </c>
      <c r="R879">
        <v>7</v>
      </c>
      <c r="S879" t="s">
        <v>6012</v>
      </c>
      <c r="T879" t="s">
        <v>6395</v>
      </c>
      <c r="U879" t="s">
        <v>6396</v>
      </c>
      <c r="V879" t="s">
        <v>32</v>
      </c>
      <c r="W879" t="s">
        <v>33</v>
      </c>
      <c r="X879" t="s">
        <v>33</v>
      </c>
      <c r="Y879" t="s">
        <v>33</v>
      </c>
      <c r="Z879" s="5" t="s">
        <v>34</v>
      </c>
      <c r="AA879">
        <v>-75.547679189999997</v>
      </c>
      <c r="AB879">
        <v>6.2433201199999999</v>
      </c>
      <c r="AC879" t="s">
        <v>456</v>
      </c>
      <c r="AD879" t="s">
        <v>457</v>
      </c>
    </row>
    <row r="880" spans="1:30" x14ac:dyDescent="0.25">
      <c r="A880" t="s">
        <v>8214</v>
      </c>
      <c r="B880" t="s">
        <v>42</v>
      </c>
      <c r="C880" t="s">
        <v>26</v>
      </c>
      <c r="D880" t="s">
        <v>42</v>
      </c>
      <c r="E880" t="s">
        <v>8215</v>
      </c>
      <c r="F880" t="s">
        <v>8216</v>
      </c>
      <c r="G880">
        <v>15450528</v>
      </c>
      <c r="H880" t="s">
        <v>6142</v>
      </c>
      <c r="I880" s="4" t="s">
        <v>35</v>
      </c>
      <c r="J880" s="4" t="s">
        <v>6143</v>
      </c>
      <c r="K880" t="s">
        <v>8217</v>
      </c>
      <c r="L880" t="s">
        <v>77</v>
      </c>
      <c r="M880" t="s">
        <v>8218</v>
      </c>
      <c r="N880" t="s">
        <v>78</v>
      </c>
      <c r="O880" t="s">
        <v>43</v>
      </c>
      <c r="P880" t="s">
        <v>30</v>
      </c>
      <c r="Q880" t="s">
        <v>31</v>
      </c>
      <c r="R880">
        <v>7</v>
      </c>
      <c r="S880" t="s">
        <v>8219</v>
      </c>
      <c r="T880" t="s">
        <v>8220</v>
      </c>
      <c r="U880" t="s">
        <v>8221</v>
      </c>
      <c r="V880" t="s">
        <v>32</v>
      </c>
      <c r="W880" t="s">
        <v>33</v>
      </c>
      <c r="X880" t="s">
        <v>33</v>
      </c>
      <c r="Y880" t="s">
        <v>33</v>
      </c>
      <c r="Z880" s="5" t="s">
        <v>34</v>
      </c>
      <c r="AA880">
        <v>-75.634754659999999</v>
      </c>
      <c r="AB880">
        <v>6.0862583600000004</v>
      </c>
      <c r="AC880" t="s">
        <v>456</v>
      </c>
      <c r="AD880" t="s">
        <v>457</v>
      </c>
    </row>
    <row r="881" spans="1:30" x14ac:dyDescent="0.25">
      <c r="A881" t="s">
        <v>6013</v>
      </c>
      <c r="B881" t="s">
        <v>51</v>
      </c>
      <c r="C881" t="s">
        <v>26</v>
      </c>
      <c r="D881" t="s">
        <v>51</v>
      </c>
      <c r="E881" t="s">
        <v>6014</v>
      </c>
      <c r="F881" t="s">
        <v>6015</v>
      </c>
      <c r="G881">
        <v>33069131</v>
      </c>
      <c r="H881" t="s">
        <v>6016</v>
      </c>
      <c r="I881" s="4" t="s">
        <v>35</v>
      </c>
      <c r="J881" s="4" t="s">
        <v>6017</v>
      </c>
      <c r="K881" t="s">
        <v>6018</v>
      </c>
      <c r="L881" t="s">
        <v>27</v>
      </c>
      <c r="M881" t="s">
        <v>6019</v>
      </c>
      <c r="N881" t="s">
        <v>28</v>
      </c>
      <c r="O881" t="s">
        <v>52</v>
      </c>
      <c r="P881" t="s">
        <v>53</v>
      </c>
      <c r="Q881" t="s">
        <v>31</v>
      </c>
      <c r="R881">
        <v>11</v>
      </c>
      <c r="S881" t="s">
        <v>6020</v>
      </c>
      <c r="T881" t="s">
        <v>7694</v>
      </c>
      <c r="U881" t="s">
        <v>7695</v>
      </c>
      <c r="V881" t="s">
        <v>32</v>
      </c>
      <c r="W881" t="s">
        <v>33</v>
      </c>
      <c r="X881" t="s">
        <v>33</v>
      </c>
      <c r="Y881" t="s">
        <v>33</v>
      </c>
      <c r="Z881" s="5" t="s">
        <v>34</v>
      </c>
      <c r="AA881">
        <v>-75.542443000000006</v>
      </c>
      <c r="AB881">
        <v>6.2438120000000001</v>
      </c>
      <c r="AC881" t="s">
        <v>456</v>
      </c>
      <c r="AD881" t="s">
        <v>457</v>
      </c>
    </row>
    <row r="882" spans="1:30" x14ac:dyDescent="0.25">
      <c r="A882" t="s">
        <v>6021</v>
      </c>
      <c r="B882" t="s">
        <v>25</v>
      </c>
      <c r="C882" t="s">
        <v>26</v>
      </c>
      <c r="D882" t="s">
        <v>39</v>
      </c>
      <c r="E882" t="s">
        <v>6022</v>
      </c>
      <c r="F882" t="s">
        <v>6023</v>
      </c>
      <c r="G882">
        <v>71930087</v>
      </c>
      <c r="H882" t="s">
        <v>6024</v>
      </c>
      <c r="I882" s="4" t="s">
        <v>35</v>
      </c>
      <c r="J882" s="4" t="s">
        <v>6025</v>
      </c>
      <c r="K882" t="s">
        <v>6026</v>
      </c>
      <c r="L882" t="s">
        <v>27</v>
      </c>
      <c r="M882" t="s">
        <v>6027</v>
      </c>
      <c r="N882" t="s">
        <v>28</v>
      </c>
      <c r="O882" t="s">
        <v>40</v>
      </c>
      <c r="P882" t="s">
        <v>41</v>
      </c>
      <c r="Q882" t="s">
        <v>31</v>
      </c>
      <c r="R882">
        <v>5</v>
      </c>
      <c r="S882" t="s">
        <v>6028</v>
      </c>
      <c r="T882" t="s">
        <v>4922</v>
      </c>
      <c r="U882" t="s">
        <v>7696</v>
      </c>
      <c r="V882" t="s">
        <v>32</v>
      </c>
      <c r="W882" t="s">
        <v>33</v>
      </c>
      <c r="X882" t="s">
        <v>33</v>
      </c>
      <c r="Y882" t="s">
        <v>33</v>
      </c>
      <c r="Z882" s="5" t="s">
        <v>34</v>
      </c>
      <c r="AA882">
        <v>-75.626892999999995</v>
      </c>
      <c r="AB882">
        <v>6.2499580000000003</v>
      </c>
      <c r="AC882" t="s">
        <v>456</v>
      </c>
      <c r="AD882" t="s">
        <v>457</v>
      </c>
    </row>
    <row r="883" spans="1:30" x14ac:dyDescent="0.25">
      <c r="A883" t="s">
        <v>6029</v>
      </c>
      <c r="B883" t="s">
        <v>25</v>
      </c>
      <c r="C883" t="s">
        <v>26</v>
      </c>
      <c r="D883" t="s">
        <v>39</v>
      </c>
      <c r="E883" t="s">
        <v>6030</v>
      </c>
      <c r="F883" t="s">
        <v>6031</v>
      </c>
      <c r="G883">
        <v>1216716889</v>
      </c>
      <c r="H883" t="s">
        <v>6032</v>
      </c>
      <c r="I883" s="4" t="s">
        <v>35</v>
      </c>
      <c r="J883" s="4" t="s">
        <v>6033</v>
      </c>
      <c r="K883" t="s">
        <v>6034</v>
      </c>
      <c r="L883" t="s">
        <v>27</v>
      </c>
      <c r="M883" t="s">
        <v>6035</v>
      </c>
      <c r="N883" t="s">
        <v>28</v>
      </c>
      <c r="O883" t="s">
        <v>40</v>
      </c>
      <c r="P883" t="s">
        <v>41</v>
      </c>
      <c r="Q883" t="s">
        <v>38</v>
      </c>
      <c r="R883">
        <v>8</v>
      </c>
      <c r="S883" t="s">
        <v>6036</v>
      </c>
      <c r="T883" t="s">
        <v>3393</v>
      </c>
      <c r="U883" t="s">
        <v>7697</v>
      </c>
      <c r="V883" t="s">
        <v>32</v>
      </c>
      <c r="W883" t="s">
        <v>33</v>
      </c>
      <c r="X883" t="s">
        <v>33</v>
      </c>
      <c r="Y883" t="s">
        <v>33</v>
      </c>
      <c r="Z883" s="5" t="s">
        <v>34</v>
      </c>
      <c r="AA883">
        <v>-75.654974999999993</v>
      </c>
      <c r="AB883">
        <v>6.2702419999999996</v>
      </c>
      <c r="AC883" t="s">
        <v>456</v>
      </c>
      <c r="AD883" t="s">
        <v>457</v>
      </c>
    </row>
    <row r="884" spans="1:30" x14ac:dyDescent="0.25">
      <c r="A884" t="s">
        <v>7698</v>
      </c>
      <c r="B884" t="s">
        <v>25</v>
      </c>
      <c r="C884" t="s">
        <v>26</v>
      </c>
      <c r="D884" t="s">
        <v>25</v>
      </c>
      <c r="E884" t="s">
        <v>7699</v>
      </c>
      <c r="F884" t="s">
        <v>7700</v>
      </c>
      <c r="G884">
        <v>901244087</v>
      </c>
      <c r="H884" t="s">
        <v>7701</v>
      </c>
      <c r="I884" s="4" t="s">
        <v>7702</v>
      </c>
      <c r="J884" s="4" t="s">
        <v>7703</v>
      </c>
      <c r="K884" t="s">
        <v>7704</v>
      </c>
      <c r="L884" t="s">
        <v>61</v>
      </c>
      <c r="M884" t="s">
        <v>7705</v>
      </c>
      <c r="N884" t="s">
        <v>63</v>
      </c>
      <c r="O884" t="s">
        <v>29</v>
      </c>
      <c r="P884" t="s">
        <v>55</v>
      </c>
      <c r="Q884" t="s">
        <v>31</v>
      </c>
      <c r="R884">
        <v>7</v>
      </c>
      <c r="S884" t="s">
        <v>7706</v>
      </c>
      <c r="T884" t="s">
        <v>7707</v>
      </c>
      <c r="U884" t="s">
        <v>7708</v>
      </c>
      <c r="V884" t="s">
        <v>32</v>
      </c>
      <c r="W884" t="s">
        <v>33</v>
      </c>
      <c r="X884" t="s">
        <v>33</v>
      </c>
      <c r="Y884" t="s">
        <v>33</v>
      </c>
      <c r="Z884" s="5" t="s">
        <v>34</v>
      </c>
      <c r="AA884">
        <v>-75.641370280000004</v>
      </c>
      <c r="AB884">
        <v>6.1506908300000003</v>
      </c>
      <c r="AC884" t="s">
        <v>456</v>
      </c>
      <c r="AD884" t="s">
        <v>457</v>
      </c>
    </row>
    <row r="885" spans="1:30" x14ac:dyDescent="0.25">
      <c r="A885" t="s">
        <v>7709</v>
      </c>
      <c r="B885" t="s">
        <v>25</v>
      </c>
      <c r="C885" t="s">
        <v>26</v>
      </c>
      <c r="D885" t="s">
        <v>25</v>
      </c>
      <c r="E885" t="s">
        <v>7710</v>
      </c>
      <c r="F885" t="s">
        <v>7711</v>
      </c>
      <c r="G885">
        <v>901244087</v>
      </c>
      <c r="H885" t="s">
        <v>7701</v>
      </c>
      <c r="I885" s="4" t="s">
        <v>7702</v>
      </c>
      <c r="J885" s="4" t="s">
        <v>7703</v>
      </c>
      <c r="K885" t="s">
        <v>7712</v>
      </c>
      <c r="L885" t="s">
        <v>61</v>
      </c>
      <c r="M885" t="s">
        <v>7713</v>
      </c>
      <c r="N885" t="s">
        <v>63</v>
      </c>
      <c r="O885" t="s">
        <v>29</v>
      </c>
      <c r="P885" t="s">
        <v>55</v>
      </c>
      <c r="Q885" t="s">
        <v>31</v>
      </c>
      <c r="R885">
        <v>7</v>
      </c>
      <c r="S885" t="s">
        <v>7714</v>
      </c>
      <c r="T885" t="s">
        <v>7707</v>
      </c>
      <c r="U885" t="s">
        <v>7708</v>
      </c>
      <c r="V885" t="s">
        <v>32</v>
      </c>
      <c r="W885" t="s">
        <v>33</v>
      </c>
      <c r="X885" t="s">
        <v>33</v>
      </c>
      <c r="Y885" t="s">
        <v>33</v>
      </c>
      <c r="Z885" s="5" t="s">
        <v>34</v>
      </c>
      <c r="AA885">
        <v>-75.641370280000004</v>
      </c>
      <c r="AB885">
        <v>6.1506908300000003</v>
      </c>
      <c r="AC885" t="s">
        <v>456</v>
      </c>
      <c r="AD885" t="s">
        <v>457</v>
      </c>
    </row>
    <row r="886" spans="1:30" x14ac:dyDescent="0.25">
      <c r="A886" t="s">
        <v>7715</v>
      </c>
      <c r="B886" t="s">
        <v>25</v>
      </c>
      <c r="C886" t="s">
        <v>26</v>
      </c>
      <c r="D886" t="s">
        <v>25</v>
      </c>
      <c r="E886" t="s">
        <v>7716</v>
      </c>
      <c r="F886" t="s">
        <v>7717</v>
      </c>
      <c r="G886">
        <v>901244087</v>
      </c>
      <c r="H886" t="s">
        <v>7701</v>
      </c>
      <c r="I886" s="4" t="s">
        <v>7702</v>
      </c>
      <c r="J886" s="4" t="s">
        <v>7703</v>
      </c>
      <c r="K886" t="s">
        <v>7718</v>
      </c>
      <c r="L886" t="s">
        <v>61</v>
      </c>
      <c r="M886" t="s">
        <v>7719</v>
      </c>
      <c r="N886" t="s">
        <v>63</v>
      </c>
      <c r="O886" t="s">
        <v>29</v>
      </c>
      <c r="P886" t="s">
        <v>55</v>
      </c>
      <c r="Q886" t="s">
        <v>31</v>
      </c>
      <c r="R886">
        <v>7</v>
      </c>
      <c r="S886" t="s">
        <v>7720</v>
      </c>
      <c r="T886" t="s">
        <v>7721</v>
      </c>
      <c r="U886" t="s">
        <v>4655</v>
      </c>
      <c r="V886" t="s">
        <v>32</v>
      </c>
      <c r="W886" t="s">
        <v>33</v>
      </c>
      <c r="X886" t="s">
        <v>33</v>
      </c>
      <c r="Y886" t="s">
        <v>33</v>
      </c>
      <c r="Z886" s="5" t="s">
        <v>34</v>
      </c>
      <c r="AA886">
        <v>-75.641370280000004</v>
      </c>
      <c r="AB886">
        <v>6.1506908300000003</v>
      </c>
      <c r="AC886" t="s">
        <v>456</v>
      </c>
      <c r="AD886" t="s">
        <v>457</v>
      </c>
    </row>
    <row r="887" spans="1:30" x14ac:dyDescent="0.25">
      <c r="A887" t="s">
        <v>6037</v>
      </c>
      <c r="B887" t="s">
        <v>25</v>
      </c>
      <c r="C887" t="s">
        <v>26</v>
      </c>
      <c r="D887" t="s">
        <v>39</v>
      </c>
      <c r="E887" t="s">
        <v>6038</v>
      </c>
      <c r="F887" t="s">
        <v>6039</v>
      </c>
      <c r="G887">
        <v>1017151188</v>
      </c>
      <c r="H887" t="s">
        <v>6040</v>
      </c>
      <c r="I887" s="4" t="s">
        <v>35</v>
      </c>
      <c r="J887" s="4" t="s">
        <v>6041</v>
      </c>
      <c r="K887" t="s">
        <v>6042</v>
      </c>
      <c r="L887" t="s">
        <v>27</v>
      </c>
      <c r="M887" t="s">
        <v>6043</v>
      </c>
      <c r="N887" t="s">
        <v>28</v>
      </c>
      <c r="O887" t="s">
        <v>40</v>
      </c>
      <c r="P887" t="s">
        <v>41</v>
      </c>
      <c r="Q887" t="s">
        <v>31</v>
      </c>
      <c r="R887">
        <v>5</v>
      </c>
      <c r="S887" t="s">
        <v>6044</v>
      </c>
      <c r="T887" t="s">
        <v>2791</v>
      </c>
      <c r="U887" t="s">
        <v>2558</v>
      </c>
      <c r="V887" t="s">
        <v>32</v>
      </c>
      <c r="W887" t="s">
        <v>33</v>
      </c>
      <c r="X887" t="s">
        <v>33</v>
      </c>
      <c r="Y887" t="s">
        <v>33</v>
      </c>
      <c r="Z887" s="5" t="s">
        <v>34</v>
      </c>
      <c r="AA887">
        <v>-75.628117000000003</v>
      </c>
      <c r="AB887">
        <v>6.251093</v>
      </c>
      <c r="AC887" t="s">
        <v>456</v>
      </c>
      <c r="AD887" t="s">
        <v>457</v>
      </c>
    </row>
    <row r="888" spans="1:30" x14ac:dyDescent="0.25">
      <c r="A888" t="s">
        <v>8222</v>
      </c>
      <c r="B888" t="s">
        <v>42</v>
      </c>
      <c r="C888" t="s">
        <v>26</v>
      </c>
      <c r="D888" t="s">
        <v>42</v>
      </c>
      <c r="E888" t="s">
        <v>8223</v>
      </c>
      <c r="F888" t="s">
        <v>8224</v>
      </c>
      <c r="G888">
        <v>15450528</v>
      </c>
      <c r="H888" t="s">
        <v>6142</v>
      </c>
      <c r="I888" s="4" t="s">
        <v>35</v>
      </c>
      <c r="J888" s="4" t="s">
        <v>6143</v>
      </c>
      <c r="K888" t="s">
        <v>8225</v>
      </c>
      <c r="L888" t="s">
        <v>77</v>
      </c>
      <c r="M888" t="s">
        <v>8226</v>
      </c>
      <c r="N888" t="s">
        <v>78</v>
      </c>
      <c r="O888" t="s">
        <v>43</v>
      </c>
      <c r="P888" t="s">
        <v>30</v>
      </c>
      <c r="Q888" t="s">
        <v>31</v>
      </c>
      <c r="R888">
        <v>7</v>
      </c>
      <c r="S888" t="s">
        <v>8227</v>
      </c>
      <c r="T888" t="s">
        <v>4924</v>
      </c>
      <c r="U888" t="s">
        <v>8228</v>
      </c>
      <c r="V888" t="s">
        <v>32</v>
      </c>
      <c r="W888" t="s">
        <v>33</v>
      </c>
      <c r="X888" t="s">
        <v>33</v>
      </c>
      <c r="Y888" t="s">
        <v>33</v>
      </c>
      <c r="Z888" s="5" t="s">
        <v>34</v>
      </c>
      <c r="AA888">
        <v>-75.634779769999994</v>
      </c>
      <c r="AB888">
        <v>6.0862563600000001</v>
      </c>
      <c r="AC888" t="s">
        <v>456</v>
      </c>
      <c r="AD888" t="s">
        <v>457</v>
      </c>
    </row>
    <row r="889" spans="1:30" x14ac:dyDescent="0.25">
      <c r="A889" t="s">
        <v>6046</v>
      </c>
      <c r="B889" t="s">
        <v>25</v>
      </c>
      <c r="C889" t="s">
        <v>26</v>
      </c>
      <c r="D889" t="s">
        <v>39</v>
      </c>
      <c r="E889" t="s">
        <v>6047</v>
      </c>
      <c r="F889" t="s">
        <v>6048</v>
      </c>
      <c r="G889">
        <v>1128407390</v>
      </c>
      <c r="H889" t="s">
        <v>6049</v>
      </c>
      <c r="I889" s="4" t="s">
        <v>35</v>
      </c>
      <c r="J889" s="4" t="s">
        <v>6050</v>
      </c>
      <c r="K889" t="s">
        <v>6051</v>
      </c>
      <c r="L889" t="s">
        <v>27</v>
      </c>
      <c r="M889" t="s">
        <v>6052</v>
      </c>
      <c r="N889" t="s">
        <v>28</v>
      </c>
      <c r="O889" t="s">
        <v>40</v>
      </c>
      <c r="P889" t="s">
        <v>41</v>
      </c>
      <c r="Q889" t="s">
        <v>31</v>
      </c>
      <c r="R889">
        <v>5</v>
      </c>
      <c r="S889" t="s">
        <v>6053</v>
      </c>
      <c r="T889" t="s">
        <v>7722</v>
      </c>
      <c r="U889" t="s">
        <v>7723</v>
      </c>
      <c r="V889" t="s">
        <v>32</v>
      </c>
      <c r="W889" t="s">
        <v>33</v>
      </c>
      <c r="X889" t="s">
        <v>33</v>
      </c>
      <c r="Y889" t="s">
        <v>33</v>
      </c>
      <c r="Z889" s="5" t="s">
        <v>34</v>
      </c>
      <c r="AA889">
        <v>-75.628117000000003</v>
      </c>
      <c r="AB889">
        <v>6.251093</v>
      </c>
      <c r="AC889" t="s">
        <v>456</v>
      </c>
      <c r="AD889" t="s">
        <v>457</v>
      </c>
    </row>
    <row r="890" spans="1:30" x14ac:dyDescent="0.25">
      <c r="A890" t="s">
        <v>6054</v>
      </c>
      <c r="B890" t="s">
        <v>25</v>
      </c>
      <c r="C890" t="s">
        <v>26</v>
      </c>
      <c r="D890" t="s">
        <v>25</v>
      </c>
      <c r="E890" t="s">
        <v>6055</v>
      </c>
      <c r="F890" t="s">
        <v>6056</v>
      </c>
      <c r="G890">
        <v>70730163</v>
      </c>
      <c r="H890" t="s">
        <v>6057</v>
      </c>
      <c r="I890" s="4" t="s">
        <v>35</v>
      </c>
      <c r="J890" s="4" t="s">
        <v>6058</v>
      </c>
      <c r="K890" t="s">
        <v>6059</v>
      </c>
      <c r="L890" t="s">
        <v>44</v>
      </c>
      <c r="M890" t="s">
        <v>6060</v>
      </c>
      <c r="N890" t="s">
        <v>45</v>
      </c>
      <c r="O890" t="s">
        <v>29</v>
      </c>
      <c r="P890" t="s">
        <v>37</v>
      </c>
      <c r="Q890" t="s">
        <v>31</v>
      </c>
      <c r="R890">
        <v>7</v>
      </c>
      <c r="S890" t="s">
        <v>6061</v>
      </c>
      <c r="T890" t="s">
        <v>7724</v>
      </c>
      <c r="U890" t="s">
        <v>7725</v>
      </c>
      <c r="V890" t="s">
        <v>32</v>
      </c>
      <c r="W890" t="s">
        <v>33</v>
      </c>
      <c r="X890" t="s">
        <v>33</v>
      </c>
      <c r="Y890" t="s">
        <v>33</v>
      </c>
      <c r="Z890" s="5" t="s">
        <v>34</v>
      </c>
      <c r="AA890">
        <v>-75.639167069999999</v>
      </c>
      <c r="AB890">
        <v>6.1700358700000004</v>
      </c>
      <c r="AC890" t="s">
        <v>456</v>
      </c>
      <c r="AD890" t="s">
        <v>457</v>
      </c>
    </row>
    <row r="891" spans="1:30" x14ac:dyDescent="0.25">
      <c r="A891" t="s">
        <v>6062</v>
      </c>
      <c r="B891" t="s">
        <v>25</v>
      </c>
      <c r="C891" t="s">
        <v>26</v>
      </c>
      <c r="D891" t="s">
        <v>25</v>
      </c>
      <c r="E891" t="s">
        <v>6063</v>
      </c>
      <c r="F891" t="s">
        <v>6064</v>
      </c>
      <c r="G891">
        <v>70431284</v>
      </c>
      <c r="H891" t="s">
        <v>6065</v>
      </c>
      <c r="I891" s="4" t="s">
        <v>6066</v>
      </c>
      <c r="J891" s="4" t="s">
        <v>6067</v>
      </c>
      <c r="K891" t="s">
        <v>6068</v>
      </c>
      <c r="L891" t="s">
        <v>27</v>
      </c>
      <c r="M891" t="s">
        <v>6069</v>
      </c>
      <c r="N891" t="s">
        <v>28</v>
      </c>
      <c r="O891" t="s">
        <v>29</v>
      </c>
      <c r="P891" t="s">
        <v>37</v>
      </c>
      <c r="Q891" t="s">
        <v>31</v>
      </c>
      <c r="R891">
        <v>7</v>
      </c>
      <c r="S891" t="s">
        <v>6070</v>
      </c>
      <c r="T891" t="s">
        <v>7724</v>
      </c>
      <c r="U891" t="s">
        <v>7725</v>
      </c>
      <c r="V891" t="s">
        <v>32</v>
      </c>
      <c r="W891" t="s">
        <v>33</v>
      </c>
      <c r="X891" t="s">
        <v>33</v>
      </c>
      <c r="Y891" t="s">
        <v>33</v>
      </c>
      <c r="Z891" s="5" t="s">
        <v>34</v>
      </c>
      <c r="AA891">
        <v>-75.551085490000006</v>
      </c>
      <c r="AB891">
        <v>6.23628523</v>
      </c>
      <c r="AC891" t="s">
        <v>456</v>
      </c>
      <c r="AD891" t="s">
        <v>457</v>
      </c>
    </row>
    <row r="892" spans="1:30" x14ac:dyDescent="0.25">
      <c r="A892" t="s">
        <v>6071</v>
      </c>
      <c r="B892" t="s">
        <v>25</v>
      </c>
      <c r="C892" t="s">
        <v>26</v>
      </c>
      <c r="D892" t="s">
        <v>25</v>
      </c>
      <c r="E892" t="s">
        <v>6072</v>
      </c>
      <c r="F892" t="s">
        <v>6073</v>
      </c>
      <c r="G892">
        <v>43686637</v>
      </c>
      <c r="H892" t="s">
        <v>6074</v>
      </c>
      <c r="I892" s="4" t="s">
        <v>35</v>
      </c>
      <c r="J892" s="4" t="s">
        <v>6075</v>
      </c>
      <c r="K892" t="s">
        <v>6076</v>
      </c>
      <c r="L892" t="s">
        <v>77</v>
      </c>
      <c r="M892" t="s">
        <v>6077</v>
      </c>
      <c r="N892" t="s">
        <v>78</v>
      </c>
      <c r="O892" t="s">
        <v>29</v>
      </c>
      <c r="P892" t="s">
        <v>30</v>
      </c>
      <c r="Q892" t="s">
        <v>31</v>
      </c>
      <c r="R892">
        <v>7</v>
      </c>
      <c r="S892" t="s">
        <v>6078</v>
      </c>
      <c r="T892" t="s">
        <v>7726</v>
      </c>
      <c r="U892" t="s">
        <v>4817</v>
      </c>
      <c r="V892" t="s">
        <v>32</v>
      </c>
      <c r="W892" t="s">
        <v>33</v>
      </c>
      <c r="X892" t="s">
        <v>33</v>
      </c>
      <c r="Y892" t="s">
        <v>33</v>
      </c>
      <c r="Z892" s="5" t="s">
        <v>34</v>
      </c>
      <c r="AA892">
        <v>-75.636646999999996</v>
      </c>
      <c r="AB892">
        <v>6.0826659999999997</v>
      </c>
      <c r="AC892" t="s">
        <v>456</v>
      </c>
      <c r="AD892" t="s">
        <v>457</v>
      </c>
    </row>
    <row r="893" spans="1:30" x14ac:dyDescent="0.25">
      <c r="A893" t="s">
        <v>6080</v>
      </c>
      <c r="B893" t="s">
        <v>25</v>
      </c>
      <c r="C893" t="s">
        <v>26</v>
      </c>
      <c r="D893" t="s">
        <v>25</v>
      </c>
      <c r="E893" t="s">
        <v>6081</v>
      </c>
      <c r="F893" t="s">
        <v>6082</v>
      </c>
      <c r="G893">
        <v>43501464</v>
      </c>
      <c r="H893" t="s">
        <v>6083</v>
      </c>
      <c r="I893" s="4" t="s">
        <v>35</v>
      </c>
      <c r="J893" s="4" t="s">
        <v>6084</v>
      </c>
      <c r="K893" t="s">
        <v>6085</v>
      </c>
      <c r="L893" t="s">
        <v>27</v>
      </c>
      <c r="M893" t="s">
        <v>6086</v>
      </c>
      <c r="N893" t="s">
        <v>28</v>
      </c>
      <c r="O893" t="s">
        <v>29</v>
      </c>
      <c r="P893" t="s">
        <v>37</v>
      </c>
      <c r="Q893" t="s">
        <v>31</v>
      </c>
      <c r="R893">
        <v>7</v>
      </c>
      <c r="S893" t="s">
        <v>6087</v>
      </c>
      <c r="T893" t="s">
        <v>7727</v>
      </c>
      <c r="U893" t="s">
        <v>7728</v>
      </c>
      <c r="V893" t="s">
        <v>32</v>
      </c>
      <c r="W893" t="s">
        <v>33</v>
      </c>
      <c r="X893" t="s">
        <v>33</v>
      </c>
      <c r="Y893" t="s">
        <v>33</v>
      </c>
      <c r="Z893" s="5" t="s">
        <v>34</v>
      </c>
      <c r="AA893">
        <v>-75.643765999999999</v>
      </c>
      <c r="AB893">
        <v>6.2822719999999999</v>
      </c>
      <c r="AC893" t="s">
        <v>456</v>
      </c>
      <c r="AD893" t="s">
        <v>457</v>
      </c>
    </row>
    <row r="894" spans="1:30" x14ac:dyDescent="0.25">
      <c r="A894" t="s">
        <v>8229</v>
      </c>
      <c r="B894" t="s">
        <v>42</v>
      </c>
      <c r="C894" t="s">
        <v>26</v>
      </c>
      <c r="D894" t="s">
        <v>42</v>
      </c>
      <c r="E894" t="s">
        <v>8230</v>
      </c>
      <c r="F894" t="s">
        <v>8231</v>
      </c>
      <c r="G894">
        <v>890909377</v>
      </c>
      <c r="H894" t="s">
        <v>8232</v>
      </c>
      <c r="I894" s="4" t="s">
        <v>8233</v>
      </c>
      <c r="J894" s="4" t="s">
        <v>8234</v>
      </c>
      <c r="K894" t="s">
        <v>8235</v>
      </c>
      <c r="L894" t="s">
        <v>27</v>
      </c>
      <c r="M894" t="s">
        <v>8236</v>
      </c>
      <c r="N894" t="s">
        <v>28</v>
      </c>
      <c r="O894" t="s">
        <v>43</v>
      </c>
      <c r="P894" t="s">
        <v>37</v>
      </c>
      <c r="Q894" t="s">
        <v>31</v>
      </c>
      <c r="R894">
        <v>7</v>
      </c>
      <c r="S894" t="s">
        <v>8237</v>
      </c>
      <c r="T894" t="s">
        <v>8238</v>
      </c>
      <c r="U894" t="s">
        <v>8239</v>
      </c>
      <c r="V894" t="s">
        <v>32</v>
      </c>
      <c r="W894" t="s">
        <v>33</v>
      </c>
      <c r="X894" t="s">
        <v>33</v>
      </c>
      <c r="Y894" t="s">
        <v>33</v>
      </c>
      <c r="Z894" s="5" t="s">
        <v>34</v>
      </c>
      <c r="AA894">
        <v>-75.560771009999996</v>
      </c>
      <c r="AB894">
        <v>6.2497135400000001</v>
      </c>
      <c r="AC894" t="s">
        <v>456</v>
      </c>
      <c r="AD894" t="s">
        <v>457</v>
      </c>
    </row>
    <row r="895" spans="1:30" x14ac:dyDescent="0.25">
      <c r="A895" t="s">
        <v>6089</v>
      </c>
      <c r="B895" t="s">
        <v>25</v>
      </c>
      <c r="C895" t="s">
        <v>26</v>
      </c>
      <c r="D895" t="s">
        <v>25</v>
      </c>
      <c r="E895" t="s">
        <v>6090</v>
      </c>
      <c r="F895" t="s">
        <v>6091</v>
      </c>
      <c r="G895">
        <v>1128283557</v>
      </c>
      <c r="H895" t="s">
        <v>6092</v>
      </c>
      <c r="I895" s="4" t="s">
        <v>6093</v>
      </c>
      <c r="J895" s="4" t="s">
        <v>6094</v>
      </c>
      <c r="K895" t="s">
        <v>6095</v>
      </c>
      <c r="L895" t="s">
        <v>27</v>
      </c>
      <c r="M895" t="s">
        <v>6096</v>
      </c>
      <c r="N895" t="s">
        <v>28</v>
      </c>
      <c r="O895" t="s">
        <v>29</v>
      </c>
      <c r="P895" t="s">
        <v>37</v>
      </c>
      <c r="Q895" t="s">
        <v>31</v>
      </c>
      <c r="R895">
        <v>7</v>
      </c>
      <c r="S895" t="s">
        <v>6097</v>
      </c>
      <c r="T895" t="s">
        <v>6569</v>
      </c>
      <c r="U895" t="s">
        <v>7729</v>
      </c>
      <c r="V895" t="s">
        <v>32</v>
      </c>
      <c r="W895" t="s">
        <v>33</v>
      </c>
      <c r="X895" t="s">
        <v>33</v>
      </c>
      <c r="Y895" t="s">
        <v>33</v>
      </c>
      <c r="Z895" s="5" t="s">
        <v>34</v>
      </c>
      <c r="AA895">
        <v>-75.595123310000005</v>
      </c>
      <c r="AB895">
        <v>6.2258626699999997</v>
      </c>
      <c r="AC895" t="s">
        <v>456</v>
      </c>
      <c r="AD895" t="s">
        <v>457</v>
      </c>
    </row>
    <row r="896" spans="1:30" x14ac:dyDescent="0.25">
      <c r="A896" t="s">
        <v>6099</v>
      </c>
      <c r="B896" t="s">
        <v>25</v>
      </c>
      <c r="C896" t="s">
        <v>26</v>
      </c>
      <c r="D896" t="s">
        <v>25</v>
      </c>
      <c r="E896" t="s">
        <v>6100</v>
      </c>
      <c r="F896" t="s">
        <v>6101</v>
      </c>
      <c r="G896">
        <v>43686637</v>
      </c>
      <c r="H896" t="s">
        <v>6074</v>
      </c>
      <c r="I896" s="4" t="s">
        <v>35</v>
      </c>
      <c r="J896" s="4" t="s">
        <v>6075</v>
      </c>
      <c r="K896" t="s">
        <v>6102</v>
      </c>
      <c r="L896" t="s">
        <v>77</v>
      </c>
      <c r="M896" t="s">
        <v>6103</v>
      </c>
      <c r="N896" t="s">
        <v>78</v>
      </c>
      <c r="O896" t="s">
        <v>29</v>
      </c>
      <c r="P896" t="s">
        <v>30</v>
      </c>
      <c r="Q896" t="s">
        <v>31</v>
      </c>
      <c r="R896">
        <v>7</v>
      </c>
      <c r="S896" t="s">
        <v>6104</v>
      </c>
      <c r="T896" t="s">
        <v>2825</v>
      </c>
      <c r="U896" t="s">
        <v>4926</v>
      </c>
      <c r="V896" t="s">
        <v>32</v>
      </c>
      <c r="W896" t="s">
        <v>33</v>
      </c>
      <c r="X896" t="s">
        <v>33</v>
      </c>
      <c r="Y896" t="s">
        <v>33</v>
      </c>
      <c r="Z896" s="5" t="s">
        <v>34</v>
      </c>
      <c r="AA896">
        <v>-75.636646999999996</v>
      </c>
      <c r="AB896">
        <v>6.0826659999999997</v>
      </c>
      <c r="AC896" t="s">
        <v>456</v>
      </c>
      <c r="AD896" t="s">
        <v>457</v>
      </c>
    </row>
    <row r="897" spans="1:30" x14ac:dyDescent="0.25">
      <c r="A897" t="s">
        <v>6105</v>
      </c>
      <c r="B897" t="s">
        <v>25</v>
      </c>
      <c r="C897" t="s">
        <v>26</v>
      </c>
      <c r="D897" t="s">
        <v>39</v>
      </c>
      <c r="E897" t="s">
        <v>6106</v>
      </c>
      <c r="F897" t="s">
        <v>6107</v>
      </c>
      <c r="G897">
        <v>42781778</v>
      </c>
      <c r="H897" t="s">
        <v>6108</v>
      </c>
      <c r="I897" s="4" t="s">
        <v>6109</v>
      </c>
      <c r="J897" s="4" t="s">
        <v>6110</v>
      </c>
      <c r="K897" t="s">
        <v>6111</v>
      </c>
      <c r="L897" t="s">
        <v>44</v>
      </c>
      <c r="M897" t="s">
        <v>6112</v>
      </c>
      <c r="N897" t="s">
        <v>45</v>
      </c>
      <c r="O897" t="s">
        <v>40</v>
      </c>
      <c r="P897" t="s">
        <v>41</v>
      </c>
      <c r="Q897" t="s">
        <v>31</v>
      </c>
      <c r="R897">
        <v>5</v>
      </c>
      <c r="S897" t="s">
        <v>6113</v>
      </c>
      <c r="T897" t="s">
        <v>2825</v>
      </c>
      <c r="U897" t="s">
        <v>7730</v>
      </c>
      <c r="V897" t="s">
        <v>32</v>
      </c>
      <c r="W897" t="s">
        <v>33</v>
      </c>
      <c r="X897" t="s">
        <v>33</v>
      </c>
      <c r="Y897" t="s">
        <v>33</v>
      </c>
      <c r="Z897" s="5" t="s">
        <v>34</v>
      </c>
      <c r="AA897">
        <v>-75.621526880000005</v>
      </c>
      <c r="AB897">
        <v>6.1674374299999997</v>
      </c>
      <c r="AC897" t="s">
        <v>456</v>
      </c>
      <c r="AD897" t="s">
        <v>457</v>
      </c>
    </row>
    <row r="898" spans="1:30" x14ac:dyDescent="0.25">
      <c r="A898" t="s">
        <v>6115</v>
      </c>
      <c r="B898" t="s">
        <v>25</v>
      </c>
      <c r="C898" t="s">
        <v>26</v>
      </c>
      <c r="D898" t="s">
        <v>25</v>
      </c>
      <c r="E898" t="s">
        <v>6116</v>
      </c>
      <c r="F898" t="s">
        <v>6117</v>
      </c>
      <c r="G898">
        <v>42898574</v>
      </c>
      <c r="H898" t="s">
        <v>6118</v>
      </c>
      <c r="I898" s="4" t="s">
        <v>35</v>
      </c>
      <c r="J898" s="4" t="s">
        <v>6119</v>
      </c>
      <c r="K898" t="s">
        <v>6120</v>
      </c>
      <c r="L898" t="s">
        <v>49</v>
      </c>
      <c r="M898" t="s">
        <v>6121</v>
      </c>
      <c r="N898" t="s">
        <v>84</v>
      </c>
      <c r="O898" t="s">
        <v>29</v>
      </c>
      <c r="P898" t="s">
        <v>37</v>
      </c>
      <c r="Q898" t="s">
        <v>31</v>
      </c>
      <c r="R898">
        <v>7</v>
      </c>
      <c r="S898" t="s">
        <v>6122</v>
      </c>
      <c r="T898" t="s">
        <v>4927</v>
      </c>
      <c r="U898" t="s">
        <v>2538</v>
      </c>
      <c r="V898" t="s">
        <v>32</v>
      </c>
      <c r="W898" t="s">
        <v>33</v>
      </c>
      <c r="X898" t="s">
        <v>33</v>
      </c>
      <c r="Y898" t="s">
        <v>33</v>
      </c>
      <c r="Z898" s="5" t="s">
        <v>34</v>
      </c>
      <c r="AA898">
        <v>-75.574168450000002</v>
      </c>
      <c r="AB898">
        <v>6.1485248700000001</v>
      </c>
      <c r="AC898" t="s">
        <v>456</v>
      </c>
      <c r="AD898" t="s">
        <v>457</v>
      </c>
    </row>
    <row r="899" spans="1:30" x14ac:dyDescent="0.25">
      <c r="A899" t="s">
        <v>6123</v>
      </c>
      <c r="B899" t="s">
        <v>25</v>
      </c>
      <c r="C899" t="s">
        <v>26</v>
      </c>
      <c r="D899" t="s">
        <v>39</v>
      </c>
      <c r="E899" t="s">
        <v>6124</v>
      </c>
      <c r="F899" t="s">
        <v>6125</v>
      </c>
      <c r="G899">
        <v>70220020</v>
      </c>
      <c r="H899" t="s">
        <v>6126</v>
      </c>
      <c r="I899" s="4" t="s">
        <v>35</v>
      </c>
      <c r="J899" s="4" t="s">
        <v>6127</v>
      </c>
      <c r="K899" t="s">
        <v>6128</v>
      </c>
      <c r="L899" t="s">
        <v>79</v>
      </c>
      <c r="M899" t="s">
        <v>6129</v>
      </c>
      <c r="N899" t="s">
        <v>80</v>
      </c>
      <c r="O899" t="s">
        <v>40</v>
      </c>
      <c r="P899" t="s">
        <v>41</v>
      </c>
      <c r="Q899" t="s">
        <v>38</v>
      </c>
      <c r="R899">
        <v>8</v>
      </c>
      <c r="S899" t="s">
        <v>6130</v>
      </c>
      <c r="T899" t="s">
        <v>4929</v>
      </c>
      <c r="U899" t="s">
        <v>7731</v>
      </c>
      <c r="V899" t="s">
        <v>32</v>
      </c>
      <c r="W899" t="s">
        <v>33</v>
      </c>
      <c r="X899" t="s">
        <v>33</v>
      </c>
      <c r="Y899" t="s">
        <v>33</v>
      </c>
      <c r="Z899" s="5" t="s">
        <v>34</v>
      </c>
      <c r="AA899">
        <v>-75.63061218</v>
      </c>
      <c r="AB899">
        <v>6.1389063300000002</v>
      </c>
      <c r="AC899" t="s">
        <v>456</v>
      </c>
      <c r="AD899" t="s">
        <v>457</v>
      </c>
    </row>
    <row r="900" spans="1:30" x14ac:dyDescent="0.25">
      <c r="A900" t="s">
        <v>8240</v>
      </c>
      <c r="B900" t="s">
        <v>95</v>
      </c>
      <c r="C900" t="s">
        <v>26</v>
      </c>
      <c r="D900" t="s">
        <v>96</v>
      </c>
      <c r="E900" t="s">
        <v>8241</v>
      </c>
      <c r="F900" t="s">
        <v>8242</v>
      </c>
      <c r="G900">
        <v>1040745085</v>
      </c>
      <c r="H900" t="s">
        <v>8243</v>
      </c>
      <c r="I900" s="4" t="s">
        <v>8244</v>
      </c>
      <c r="J900" s="4" t="s">
        <v>8245</v>
      </c>
      <c r="K900" t="s">
        <v>8246</v>
      </c>
      <c r="L900" t="s">
        <v>61</v>
      </c>
      <c r="M900" t="s">
        <v>8247</v>
      </c>
      <c r="N900" t="s">
        <v>63</v>
      </c>
      <c r="O900" t="s">
        <v>103</v>
      </c>
      <c r="P900" t="s">
        <v>158</v>
      </c>
      <c r="Q900" t="s">
        <v>38</v>
      </c>
      <c r="R900">
        <v>14</v>
      </c>
      <c r="S900" t="s">
        <v>8248</v>
      </c>
      <c r="T900" t="s">
        <v>4929</v>
      </c>
      <c r="U900" t="s">
        <v>8249</v>
      </c>
      <c r="V900" t="s">
        <v>32</v>
      </c>
      <c r="W900" t="s">
        <v>33</v>
      </c>
      <c r="X900" t="s">
        <v>33</v>
      </c>
      <c r="Y900" t="s">
        <v>33</v>
      </c>
      <c r="Z900" s="5" t="s">
        <v>34</v>
      </c>
      <c r="AA900">
        <v>-75.63339904</v>
      </c>
      <c r="AB900">
        <v>6.1402806400000003</v>
      </c>
      <c r="AC900" t="s">
        <v>456</v>
      </c>
      <c r="AD900" t="s">
        <v>457</v>
      </c>
    </row>
    <row r="901" spans="1:30" x14ac:dyDescent="0.25">
      <c r="A901" t="s">
        <v>7732</v>
      </c>
      <c r="B901" t="s">
        <v>42</v>
      </c>
      <c r="C901" t="s">
        <v>166</v>
      </c>
      <c r="D901" t="s">
        <v>42</v>
      </c>
      <c r="E901" t="s">
        <v>7733</v>
      </c>
      <c r="F901" t="s">
        <v>7734</v>
      </c>
      <c r="G901">
        <v>71718019</v>
      </c>
      <c r="H901" t="s">
        <v>7735</v>
      </c>
      <c r="I901" s="4" t="s">
        <v>7736</v>
      </c>
      <c r="J901" s="4" t="s">
        <v>7737</v>
      </c>
      <c r="K901" t="s">
        <v>7738</v>
      </c>
      <c r="L901" t="s">
        <v>27</v>
      </c>
      <c r="M901" t="s">
        <v>7739</v>
      </c>
      <c r="N901" t="s">
        <v>28</v>
      </c>
      <c r="O901" t="s">
        <v>167</v>
      </c>
      <c r="P901" t="s">
        <v>30</v>
      </c>
      <c r="Q901" t="s">
        <v>31</v>
      </c>
      <c r="R901">
        <v>7</v>
      </c>
      <c r="S901" t="s">
        <v>7740</v>
      </c>
      <c r="T901" t="s">
        <v>4932</v>
      </c>
      <c r="U901" t="s">
        <v>4933</v>
      </c>
      <c r="V901" t="s">
        <v>32</v>
      </c>
      <c r="W901" t="s">
        <v>33</v>
      </c>
      <c r="X901" t="s">
        <v>33</v>
      </c>
      <c r="Y901" t="s">
        <v>33</v>
      </c>
      <c r="Z901" s="5" t="s">
        <v>34</v>
      </c>
      <c r="AA901">
        <v>-75.563850579999993</v>
      </c>
      <c r="AB901">
        <v>6.2593720299999998</v>
      </c>
      <c r="AC901" t="s">
        <v>456</v>
      </c>
      <c r="AD901" t="s">
        <v>457</v>
      </c>
    </row>
    <row r="902" spans="1:30" x14ac:dyDescent="0.25">
      <c r="A902" t="s">
        <v>6131</v>
      </c>
      <c r="B902" t="s">
        <v>25</v>
      </c>
      <c r="C902" t="s">
        <v>26</v>
      </c>
      <c r="D902" t="s">
        <v>39</v>
      </c>
      <c r="E902" t="s">
        <v>6132</v>
      </c>
      <c r="F902" t="s">
        <v>6133</v>
      </c>
      <c r="G902">
        <v>71791002</v>
      </c>
      <c r="H902" t="s">
        <v>6134</v>
      </c>
      <c r="I902" s="4" t="s">
        <v>35</v>
      </c>
      <c r="J902" s="4" t="s">
        <v>6135</v>
      </c>
      <c r="K902" t="s">
        <v>6136</v>
      </c>
      <c r="L902" t="s">
        <v>27</v>
      </c>
      <c r="M902" t="s">
        <v>6137</v>
      </c>
      <c r="N902" t="s">
        <v>28</v>
      </c>
      <c r="O902" t="s">
        <v>40</v>
      </c>
      <c r="P902" t="s">
        <v>41</v>
      </c>
      <c r="Q902" t="s">
        <v>31</v>
      </c>
      <c r="R902">
        <v>5</v>
      </c>
      <c r="S902" t="s">
        <v>6138</v>
      </c>
      <c r="T902" t="s">
        <v>4934</v>
      </c>
      <c r="U902" t="s">
        <v>4184</v>
      </c>
      <c r="V902" t="s">
        <v>32</v>
      </c>
      <c r="W902" t="s">
        <v>33</v>
      </c>
      <c r="X902" t="s">
        <v>33</v>
      </c>
      <c r="Y902" t="s">
        <v>33</v>
      </c>
      <c r="Z902" s="5" t="s">
        <v>34</v>
      </c>
      <c r="AA902">
        <v>-75.54290211</v>
      </c>
      <c r="AB902">
        <v>6.2297539500000001</v>
      </c>
      <c r="AC902" t="s">
        <v>456</v>
      </c>
      <c r="AD902" t="s">
        <v>457</v>
      </c>
    </row>
    <row r="903" spans="1:30" x14ac:dyDescent="0.25">
      <c r="A903" t="s">
        <v>6139</v>
      </c>
      <c r="B903" t="s">
        <v>25</v>
      </c>
      <c r="C903" t="s">
        <v>26</v>
      </c>
      <c r="D903" t="s">
        <v>25</v>
      </c>
      <c r="E903" t="s">
        <v>6140</v>
      </c>
      <c r="F903" t="s">
        <v>6141</v>
      </c>
      <c r="G903">
        <v>15450528</v>
      </c>
      <c r="H903" t="s">
        <v>6142</v>
      </c>
      <c r="I903" s="4" t="s">
        <v>35</v>
      </c>
      <c r="J903" s="4" t="s">
        <v>6143</v>
      </c>
      <c r="K903" t="s">
        <v>6144</v>
      </c>
      <c r="L903" t="s">
        <v>77</v>
      </c>
      <c r="M903" t="s">
        <v>6145</v>
      </c>
      <c r="N903" t="s">
        <v>78</v>
      </c>
      <c r="O903" t="s">
        <v>29</v>
      </c>
      <c r="P903" t="s">
        <v>30</v>
      </c>
      <c r="Q903" t="s">
        <v>31</v>
      </c>
      <c r="R903">
        <v>7</v>
      </c>
      <c r="S903" t="s">
        <v>6146</v>
      </c>
      <c r="T903" t="s">
        <v>2851</v>
      </c>
      <c r="U903" t="s">
        <v>7741</v>
      </c>
      <c r="V903" t="s">
        <v>32</v>
      </c>
      <c r="W903" t="s">
        <v>33</v>
      </c>
      <c r="X903" t="s">
        <v>33</v>
      </c>
      <c r="Y903" t="s">
        <v>33</v>
      </c>
      <c r="Z903" s="5" t="s">
        <v>34</v>
      </c>
      <c r="AA903">
        <v>-75.634779769999994</v>
      </c>
      <c r="AB903">
        <v>6.0862563600000001</v>
      </c>
      <c r="AC903" t="s">
        <v>456</v>
      </c>
      <c r="AD903" t="s">
        <v>457</v>
      </c>
    </row>
    <row r="904" spans="1:30" x14ac:dyDescent="0.25">
      <c r="A904" t="s">
        <v>6147</v>
      </c>
      <c r="B904" t="s">
        <v>25</v>
      </c>
      <c r="C904" t="s">
        <v>26</v>
      </c>
      <c r="D904" t="s">
        <v>39</v>
      </c>
      <c r="E904" t="s">
        <v>6148</v>
      </c>
      <c r="F904" t="s">
        <v>6149</v>
      </c>
      <c r="G904">
        <v>1128479533</v>
      </c>
      <c r="H904" t="s">
        <v>6150</v>
      </c>
      <c r="I904" s="4" t="s">
        <v>35</v>
      </c>
      <c r="J904" s="4" t="s">
        <v>6151</v>
      </c>
      <c r="K904" t="s">
        <v>6152</v>
      </c>
      <c r="L904" t="s">
        <v>27</v>
      </c>
      <c r="M904" t="s">
        <v>6153</v>
      </c>
      <c r="N904" t="s">
        <v>28</v>
      </c>
      <c r="O904" t="s">
        <v>40</v>
      </c>
      <c r="P904" t="s">
        <v>41</v>
      </c>
      <c r="Q904" t="s">
        <v>31</v>
      </c>
      <c r="R904">
        <v>5</v>
      </c>
      <c r="S904" t="s">
        <v>6154</v>
      </c>
      <c r="T904" t="s">
        <v>4935</v>
      </c>
      <c r="U904" t="s">
        <v>7742</v>
      </c>
      <c r="V904" t="s">
        <v>32</v>
      </c>
      <c r="W904" t="s">
        <v>33</v>
      </c>
      <c r="X904" t="s">
        <v>33</v>
      </c>
      <c r="Y904" t="s">
        <v>33</v>
      </c>
      <c r="Z904" s="5" t="s">
        <v>34</v>
      </c>
      <c r="AA904">
        <v>-75.545536159999997</v>
      </c>
      <c r="AB904">
        <v>6.24877679</v>
      </c>
      <c r="AC904" t="s">
        <v>456</v>
      </c>
      <c r="AD904" t="s">
        <v>457</v>
      </c>
    </row>
    <row r="905" spans="1:30" x14ac:dyDescent="0.25">
      <c r="A905" t="s">
        <v>8250</v>
      </c>
      <c r="B905" t="s">
        <v>95</v>
      </c>
      <c r="C905" t="s">
        <v>26</v>
      </c>
      <c r="D905" t="s">
        <v>96</v>
      </c>
      <c r="E905" t="s">
        <v>8251</v>
      </c>
      <c r="F905" t="s">
        <v>8252</v>
      </c>
      <c r="G905">
        <v>3424884</v>
      </c>
      <c r="H905" t="s">
        <v>8253</v>
      </c>
      <c r="I905" s="4" t="s">
        <v>35</v>
      </c>
      <c r="J905" s="4" t="s">
        <v>8254</v>
      </c>
      <c r="K905" t="s">
        <v>8255</v>
      </c>
      <c r="L905" t="s">
        <v>27</v>
      </c>
      <c r="M905" t="s">
        <v>8256</v>
      </c>
      <c r="N905" t="s">
        <v>28</v>
      </c>
      <c r="O905" t="s">
        <v>103</v>
      </c>
      <c r="P905" t="s">
        <v>120</v>
      </c>
      <c r="Q905" t="s">
        <v>31</v>
      </c>
      <c r="R905">
        <v>9</v>
      </c>
      <c r="S905" t="s">
        <v>8257</v>
      </c>
      <c r="T905" t="s">
        <v>4935</v>
      </c>
      <c r="U905" t="s">
        <v>8258</v>
      </c>
      <c r="V905" t="s">
        <v>32</v>
      </c>
      <c r="W905" t="s">
        <v>33</v>
      </c>
      <c r="X905" t="s">
        <v>33</v>
      </c>
      <c r="Y905" t="s">
        <v>33</v>
      </c>
      <c r="Z905" s="5" t="s">
        <v>34</v>
      </c>
      <c r="AA905">
        <v>-75.607009210000001</v>
      </c>
      <c r="AB905">
        <v>6.2786223200000002</v>
      </c>
      <c r="AC905" t="s">
        <v>456</v>
      </c>
      <c r="AD905" t="s">
        <v>457</v>
      </c>
    </row>
    <row r="906" spans="1:30" x14ac:dyDescent="0.25">
      <c r="A906" t="s">
        <v>6155</v>
      </c>
      <c r="B906" t="s">
        <v>25</v>
      </c>
      <c r="C906" t="s">
        <v>26</v>
      </c>
      <c r="D906" t="s">
        <v>39</v>
      </c>
      <c r="E906" t="s">
        <v>6156</v>
      </c>
      <c r="F906" t="s">
        <v>6157</v>
      </c>
      <c r="G906">
        <v>8103260</v>
      </c>
      <c r="H906" t="s">
        <v>6158</v>
      </c>
      <c r="I906" s="4" t="s">
        <v>35</v>
      </c>
      <c r="J906" s="4" t="s">
        <v>6159</v>
      </c>
      <c r="K906" t="s">
        <v>6160</v>
      </c>
      <c r="L906" t="s">
        <v>27</v>
      </c>
      <c r="M906" t="s">
        <v>6161</v>
      </c>
      <c r="N906" t="s">
        <v>28</v>
      </c>
      <c r="O906" t="s">
        <v>40</v>
      </c>
      <c r="P906" t="s">
        <v>41</v>
      </c>
      <c r="Q906" t="s">
        <v>31</v>
      </c>
      <c r="R906">
        <v>5</v>
      </c>
      <c r="S906" t="s">
        <v>6162</v>
      </c>
      <c r="T906" t="s">
        <v>7743</v>
      </c>
      <c r="U906" t="s">
        <v>7744</v>
      </c>
      <c r="V906" t="s">
        <v>32</v>
      </c>
      <c r="W906" t="s">
        <v>33</v>
      </c>
      <c r="X906" t="s">
        <v>33</v>
      </c>
      <c r="Y906" t="s">
        <v>33</v>
      </c>
      <c r="Z906" s="5" t="s">
        <v>34</v>
      </c>
      <c r="AA906">
        <v>-75.553870099999997</v>
      </c>
      <c r="AB906">
        <v>6.2383464000000002</v>
      </c>
      <c r="AC906" t="s">
        <v>456</v>
      </c>
      <c r="AD906" t="s">
        <v>457</v>
      </c>
    </row>
    <row r="907" spans="1:30" x14ac:dyDescent="0.25">
      <c r="A907" t="s">
        <v>6163</v>
      </c>
      <c r="B907" t="s">
        <v>81</v>
      </c>
      <c r="C907" t="s">
        <v>26</v>
      </c>
      <c r="D907" t="s">
        <v>81</v>
      </c>
      <c r="E907" t="s">
        <v>6164</v>
      </c>
      <c r="F907" t="s">
        <v>6165</v>
      </c>
      <c r="G907">
        <v>900667001</v>
      </c>
      <c r="H907" t="s">
        <v>6166</v>
      </c>
      <c r="I907" s="4" t="s">
        <v>35</v>
      </c>
      <c r="J907" s="4" t="s">
        <v>6167</v>
      </c>
      <c r="K907" t="s">
        <v>6168</v>
      </c>
      <c r="L907" t="s">
        <v>27</v>
      </c>
      <c r="M907" t="s">
        <v>6169</v>
      </c>
      <c r="N907" t="s">
        <v>28</v>
      </c>
      <c r="O907" t="s">
        <v>82</v>
      </c>
      <c r="P907" t="s">
        <v>83</v>
      </c>
      <c r="Q907" t="s">
        <v>31</v>
      </c>
      <c r="R907">
        <v>4</v>
      </c>
      <c r="S907" t="s">
        <v>6170</v>
      </c>
      <c r="T907" t="s">
        <v>7745</v>
      </c>
      <c r="U907" t="s">
        <v>7746</v>
      </c>
      <c r="V907" t="s">
        <v>32</v>
      </c>
      <c r="W907" t="s">
        <v>33</v>
      </c>
      <c r="X907" t="s">
        <v>33</v>
      </c>
      <c r="Y907" t="s">
        <v>33</v>
      </c>
      <c r="Z907" s="5" t="s">
        <v>34</v>
      </c>
      <c r="AA907">
        <v>-75.601429999999993</v>
      </c>
      <c r="AB907">
        <v>6.2318369999999996</v>
      </c>
      <c r="AC907" t="s">
        <v>456</v>
      </c>
      <c r="AD907" t="s">
        <v>457</v>
      </c>
    </row>
    <row r="908" spans="1:30" x14ac:dyDescent="0.25">
      <c r="A908" t="s">
        <v>6171</v>
      </c>
      <c r="B908" t="s">
        <v>25</v>
      </c>
      <c r="C908" t="s">
        <v>26</v>
      </c>
      <c r="D908" t="s">
        <v>25</v>
      </c>
      <c r="E908" t="s">
        <v>6172</v>
      </c>
      <c r="F908" t="s">
        <v>6173</v>
      </c>
      <c r="G908">
        <v>15450528</v>
      </c>
      <c r="H908" t="s">
        <v>6142</v>
      </c>
      <c r="I908" s="4" t="s">
        <v>35</v>
      </c>
      <c r="J908" s="4" t="s">
        <v>6143</v>
      </c>
      <c r="K908" t="s">
        <v>6174</v>
      </c>
      <c r="L908" t="s">
        <v>77</v>
      </c>
      <c r="M908" t="s">
        <v>6175</v>
      </c>
      <c r="N908" t="s">
        <v>78</v>
      </c>
      <c r="O908" t="s">
        <v>29</v>
      </c>
      <c r="P908" t="s">
        <v>30</v>
      </c>
      <c r="Q908" t="s">
        <v>31</v>
      </c>
      <c r="R908">
        <v>7</v>
      </c>
      <c r="S908" t="s">
        <v>6176</v>
      </c>
      <c r="T908" t="s">
        <v>7747</v>
      </c>
      <c r="U908" t="s">
        <v>7748</v>
      </c>
      <c r="V908" t="s">
        <v>32</v>
      </c>
      <c r="W908" t="s">
        <v>33</v>
      </c>
      <c r="X908" t="s">
        <v>33</v>
      </c>
      <c r="Y908" t="s">
        <v>33</v>
      </c>
      <c r="Z908" s="5" t="s">
        <v>34</v>
      </c>
      <c r="AA908">
        <v>-75.634779769999994</v>
      </c>
      <c r="AB908">
        <v>6.0862563600000001</v>
      </c>
      <c r="AC908" t="s">
        <v>456</v>
      </c>
      <c r="AD908" t="s">
        <v>457</v>
      </c>
    </row>
    <row r="909" spans="1:30" x14ac:dyDescent="0.25">
      <c r="A909" t="s">
        <v>6177</v>
      </c>
      <c r="B909" t="s">
        <v>81</v>
      </c>
      <c r="C909" t="s">
        <v>26</v>
      </c>
      <c r="D909" t="s">
        <v>81</v>
      </c>
      <c r="E909" t="s">
        <v>6178</v>
      </c>
      <c r="F909" t="s">
        <v>6179</v>
      </c>
      <c r="G909">
        <v>1214725872</v>
      </c>
      <c r="H909" t="s">
        <v>6180</v>
      </c>
      <c r="I909" s="4" t="s">
        <v>35</v>
      </c>
      <c r="J909" s="4" t="s">
        <v>6181</v>
      </c>
      <c r="K909" t="s">
        <v>6182</v>
      </c>
      <c r="L909" t="s">
        <v>27</v>
      </c>
      <c r="M909" t="s">
        <v>6183</v>
      </c>
      <c r="N909" t="s">
        <v>28</v>
      </c>
      <c r="O909" t="s">
        <v>82</v>
      </c>
      <c r="P909" t="s">
        <v>83</v>
      </c>
      <c r="Q909" t="s">
        <v>31</v>
      </c>
      <c r="R909">
        <v>4</v>
      </c>
      <c r="S909" t="s">
        <v>6184</v>
      </c>
      <c r="T909" t="s">
        <v>2882</v>
      </c>
      <c r="U909" t="s">
        <v>4890</v>
      </c>
      <c r="V909" t="s">
        <v>32</v>
      </c>
      <c r="W909" t="s">
        <v>33</v>
      </c>
      <c r="X909" t="s">
        <v>33</v>
      </c>
      <c r="Y909" t="s">
        <v>33</v>
      </c>
      <c r="Z909" s="5" t="s">
        <v>34</v>
      </c>
      <c r="AA909">
        <v>-75.57630863</v>
      </c>
      <c r="AB909">
        <v>6.1882346799999999</v>
      </c>
      <c r="AC909" t="s">
        <v>456</v>
      </c>
      <c r="AD909" t="s">
        <v>457</v>
      </c>
    </row>
    <row r="910" spans="1:30" x14ac:dyDescent="0.25">
      <c r="A910" t="s">
        <v>6185</v>
      </c>
      <c r="B910" t="s">
        <v>25</v>
      </c>
      <c r="C910" t="s">
        <v>26</v>
      </c>
      <c r="D910" t="s">
        <v>25</v>
      </c>
      <c r="E910" t="s">
        <v>6186</v>
      </c>
      <c r="F910" t="s">
        <v>6187</v>
      </c>
      <c r="G910">
        <v>1047399689</v>
      </c>
      <c r="H910" t="s">
        <v>5153</v>
      </c>
      <c r="I910" s="4" t="s">
        <v>35</v>
      </c>
      <c r="J910" s="4" t="s">
        <v>5154</v>
      </c>
      <c r="K910" t="s">
        <v>6188</v>
      </c>
      <c r="L910" t="s">
        <v>27</v>
      </c>
      <c r="M910" t="s">
        <v>6189</v>
      </c>
      <c r="N910" t="s">
        <v>28</v>
      </c>
      <c r="O910" t="s">
        <v>29</v>
      </c>
      <c r="P910" t="s">
        <v>37</v>
      </c>
      <c r="Q910" t="s">
        <v>31</v>
      </c>
      <c r="R910">
        <v>7</v>
      </c>
      <c r="S910" t="s">
        <v>6190</v>
      </c>
      <c r="T910" t="s">
        <v>7749</v>
      </c>
      <c r="U910" t="s">
        <v>7750</v>
      </c>
      <c r="V910" t="s">
        <v>32</v>
      </c>
      <c r="W910" t="s">
        <v>33</v>
      </c>
      <c r="X910" t="s">
        <v>33</v>
      </c>
      <c r="Y910" t="s">
        <v>33</v>
      </c>
      <c r="Z910" s="5" t="s">
        <v>34</v>
      </c>
      <c r="AA910">
        <v>-75.612498930000001</v>
      </c>
      <c r="AB910">
        <v>6.2670641299999996</v>
      </c>
      <c r="AC910" t="s">
        <v>456</v>
      </c>
      <c r="AD910" t="s">
        <v>457</v>
      </c>
    </row>
    <row r="911" spans="1:30" x14ac:dyDescent="0.25">
      <c r="A911" t="s">
        <v>6191</v>
      </c>
      <c r="B911" t="s">
        <v>25</v>
      </c>
      <c r="C911" t="s">
        <v>26</v>
      </c>
      <c r="D911" t="s">
        <v>25</v>
      </c>
      <c r="E911" t="s">
        <v>6192</v>
      </c>
      <c r="F911" t="s">
        <v>6193</v>
      </c>
      <c r="G911">
        <v>70516157</v>
      </c>
      <c r="H911" t="s">
        <v>6194</v>
      </c>
      <c r="I911" s="4" t="s">
        <v>6195</v>
      </c>
      <c r="J911" s="4" t="s">
        <v>6196</v>
      </c>
      <c r="K911" t="s">
        <v>6197</v>
      </c>
      <c r="L911" t="s">
        <v>77</v>
      </c>
      <c r="M911" t="s">
        <v>6198</v>
      </c>
      <c r="N911" t="s">
        <v>78</v>
      </c>
      <c r="O911" t="s">
        <v>29</v>
      </c>
      <c r="P911" t="s">
        <v>37</v>
      </c>
      <c r="Q911" t="s">
        <v>31</v>
      </c>
      <c r="R911">
        <v>7</v>
      </c>
      <c r="S911" t="s">
        <v>6199</v>
      </c>
      <c r="T911" t="s">
        <v>4938</v>
      </c>
      <c r="U911" t="s">
        <v>7122</v>
      </c>
      <c r="V911" t="s">
        <v>32</v>
      </c>
      <c r="W911" t="s">
        <v>33</v>
      </c>
      <c r="X911" t="s">
        <v>33</v>
      </c>
      <c r="Y911" t="s">
        <v>33</v>
      </c>
      <c r="Z911" s="5" t="s">
        <v>34</v>
      </c>
      <c r="AA911">
        <v>-75.635908310000005</v>
      </c>
      <c r="AB911">
        <v>6.0874888900000004</v>
      </c>
      <c r="AC911" t="s">
        <v>456</v>
      </c>
      <c r="AD911" t="s">
        <v>457</v>
      </c>
    </row>
    <row r="912" spans="1:30" x14ac:dyDescent="0.25">
      <c r="A912" t="s">
        <v>8259</v>
      </c>
      <c r="B912" t="s">
        <v>95</v>
      </c>
      <c r="C912" t="s">
        <v>26</v>
      </c>
      <c r="D912" t="s">
        <v>96</v>
      </c>
      <c r="E912" t="s">
        <v>8260</v>
      </c>
      <c r="F912" t="s">
        <v>8261</v>
      </c>
      <c r="G912">
        <v>1128415776</v>
      </c>
      <c r="H912" t="s">
        <v>8262</v>
      </c>
      <c r="I912" s="4" t="s">
        <v>8263</v>
      </c>
      <c r="J912" s="4" t="s">
        <v>8264</v>
      </c>
      <c r="K912" t="s">
        <v>8265</v>
      </c>
      <c r="L912" t="s">
        <v>27</v>
      </c>
      <c r="M912" t="s">
        <v>8266</v>
      </c>
      <c r="N912" t="s">
        <v>28</v>
      </c>
      <c r="O912" t="s">
        <v>103</v>
      </c>
      <c r="P912" t="s">
        <v>120</v>
      </c>
      <c r="Q912" t="s">
        <v>31</v>
      </c>
      <c r="R912">
        <v>9</v>
      </c>
      <c r="S912" t="s">
        <v>8267</v>
      </c>
      <c r="T912" t="s">
        <v>8268</v>
      </c>
      <c r="U912" t="s">
        <v>8269</v>
      </c>
      <c r="V912" t="s">
        <v>32</v>
      </c>
      <c r="W912" t="s">
        <v>33</v>
      </c>
      <c r="X912" t="s">
        <v>33</v>
      </c>
      <c r="Y912" t="s">
        <v>33</v>
      </c>
      <c r="Z912" s="5" t="s">
        <v>34</v>
      </c>
      <c r="AA912">
        <v>-75.626514</v>
      </c>
      <c r="AB912">
        <v>6.2499200000000004</v>
      </c>
      <c r="AC912" t="s">
        <v>456</v>
      </c>
      <c r="AD912" t="s">
        <v>457</v>
      </c>
    </row>
    <row r="913" spans="1:30" x14ac:dyDescent="0.25">
      <c r="A913" t="s">
        <v>6200</v>
      </c>
      <c r="B913" t="s">
        <v>81</v>
      </c>
      <c r="C913" t="s">
        <v>26</v>
      </c>
      <c r="D913" t="s">
        <v>81</v>
      </c>
      <c r="E913" t="s">
        <v>6201</v>
      </c>
      <c r="F913" t="s">
        <v>6202</v>
      </c>
      <c r="G913">
        <v>16368503</v>
      </c>
      <c r="H913" t="s">
        <v>6203</v>
      </c>
      <c r="I913" s="4" t="s">
        <v>6204</v>
      </c>
      <c r="J913" s="4" t="s">
        <v>6205</v>
      </c>
      <c r="K913" t="s">
        <v>6206</v>
      </c>
      <c r="L913" t="s">
        <v>27</v>
      </c>
      <c r="M913" t="s">
        <v>6207</v>
      </c>
      <c r="N913" t="s">
        <v>28</v>
      </c>
      <c r="O913" t="s">
        <v>82</v>
      </c>
      <c r="P913" t="s">
        <v>83</v>
      </c>
      <c r="Q913" t="s">
        <v>31</v>
      </c>
      <c r="R913">
        <v>4</v>
      </c>
      <c r="S913" t="s">
        <v>6208</v>
      </c>
      <c r="T913" t="s">
        <v>4941</v>
      </c>
      <c r="U913" t="s">
        <v>7751</v>
      </c>
      <c r="V913" t="s">
        <v>32</v>
      </c>
      <c r="W913" t="s">
        <v>33</v>
      </c>
      <c r="X913" t="s">
        <v>33</v>
      </c>
      <c r="Y913" t="s">
        <v>33</v>
      </c>
      <c r="Z913" s="5" t="s">
        <v>34</v>
      </c>
      <c r="AA913">
        <v>-75.548160909999993</v>
      </c>
      <c r="AB913">
        <v>6.1865163000000001</v>
      </c>
      <c r="AC913" t="s">
        <v>456</v>
      </c>
      <c r="AD913" t="s">
        <v>457</v>
      </c>
    </row>
    <row r="914" spans="1:30" x14ac:dyDescent="0.25">
      <c r="A914" t="s">
        <v>6209</v>
      </c>
      <c r="B914" t="s">
        <v>25</v>
      </c>
      <c r="C914" t="s">
        <v>26</v>
      </c>
      <c r="D914" t="s">
        <v>25</v>
      </c>
      <c r="E914" t="s">
        <v>6210</v>
      </c>
      <c r="F914" t="s">
        <v>6211</v>
      </c>
      <c r="G914">
        <v>43250593</v>
      </c>
      <c r="H914" t="s">
        <v>6212</v>
      </c>
      <c r="I914" s="4" t="s">
        <v>6213</v>
      </c>
      <c r="J914" s="4" t="s">
        <v>6214</v>
      </c>
      <c r="K914" t="s">
        <v>6215</v>
      </c>
      <c r="L914" t="s">
        <v>27</v>
      </c>
      <c r="M914" t="s">
        <v>6216</v>
      </c>
      <c r="N914" t="s">
        <v>28</v>
      </c>
      <c r="O914" t="s">
        <v>29</v>
      </c>
      <c r="P914" t="s">
        <v>37</v>
      </c>
      <c r="Q914" t="s">
        <v>31</v>
      </c>
      <c r="R914">
        <v>7</v>
      </c>
      <c r="S914" t="s">
        <v>6217</v>
      </c>
      <c r="T914" t="s">
        <v>7752</v>
      </c>
      <c r="U914" t="s">
        <v>4893</v>
      </c>
      <c r="V914" t="s">
        <v>32</v>
      </c>
      <c r="W914" t="s">
        <v>33</v>
      </c>
      <c r="X914" t="s">
        <v>33</v>
      </c>
      <c r="Y914" t="s">
        <v>33</v>
      </c>
      <c r="Z914" s="5" t="s">
        <v>34</v>
      </c>
      <c r="AA914">
        <v>-75.543591269999993</v>
      </c>
      <c r="AB914">
        <v>6.2462377699999996</v>
      </c>
      <c r="AC914" t="s">
        <v>456</v>
      </c>
      <c r="AD914" t="s">
        <v>457</v>
      </c>
    </row>
    <row r="915" spans="1:30" x14ac:dyDescent="0.25">
      <c r="A915" t="s">
        <v>6218</v>
      </c>
      <c r="B915" t="s">
        <v>51</v>
      </c>
      <c r="C915" t="s">
        <v>26</v>
      </c>
      <c r="D915" t="s">
        <v>51</v>
      </c>
      <c r="E915" t="s">
        <v>6219</v>
      </c>
      <c r="F915" t="s">
        <v>6220</v>
      </c>
      <c r="G915">
        <v>1017142179</v>
      </c>
      <c r="H915" t="s">
        <v>6221</v>
      </c>
      <c r="I915" s="4" t="s">
        <v>6222</v>
      </c>
      <c r="J915" s="4" t="s">
        <v>6223</v>
      </c>
      <c r="K915" t="s">
        <v>6224</v>
      </c>
      <c r="L915" t="s">
        <v>27</v>
      </c>
      <c r="M915" t="s">
        <v>6225</v>
      </c>
      <c r="N915" t="s">
        <v>28</v>
      </c>
      <c r="O915" t="s">
        <v>52</v>
      </c>
      <c r="P915" t="s">
        <v>53</v>
      </c>
      <c r="Q915" t="s">
        <v>31</v>
      </c>
      <c r="R915">
        <v>11</v>
      </c>
      <c r="S915" t="s">
        <v>6226</v>
      </c>
      <c r="T915" t="s">
        <v>7753</v>
      </c>
      <c r="U915" t="s">
        <v>7754</v>
      </c>
      <c r="V915" t="s">
        <v>32</v>
      </c>
      <c r="W915" t="s">
        <v>33</v>
      </c>
      <c r="X915" t="s">
        <v>33</v>
      </c>
      <c r="Y915" t="s">
        <v>33</v>
      </c>
      <c r="Z915" s="5" t="s">
        <v>34</v>
      </c>
      <c r="AA915">
        <v>-75.60671533</v>
      </c>
      <c r="AB915">
        <v>6.22674255</v>
      </c>
      <c r="AC915" t="s">
        <v>456</v>
      </c>
      <c r="AD915" t="s">
        <v>457</v>
      </c>
    </row>
    <row r="916" spans="1:30" x14ac:dyDescent="0.25">
      <c r="A916" t="s">
        <v>7755</v>
      </c>
      <c r="B916" t="s">
        <v>25</v>
      </c>
      <c r="C916" t="s">
        <v>26</v>
      </c>
      <c r="D916" t="s">
        <v>25</v>
      </c>
      <c r="E916" t="s">
        <v>7756</v>
      </c>
      <c r="F916" t="s">
        <v>7757</v>
      </c>
      <c r="G916">
        <v>901244087</v>
      </c>
      <c r="H916" t="s">
        <v>7701</v>
      </c>
      <c r="I916" s="4" t="s">
        <v>7702</v>
      </c>
      <c r="J916" s="4" t="s">
        <v>7703</v>
      </c>
      <c r="K916" t="s">
        <v>7758</v>
      </c>
      <c r="L916" t="s">
        <v>61</v>
      </c>
      <c r="M916" t="s">
        <v>7759</v>
      </c>
      <c r="N916" t="s">
        <v>63</v>
      </c>
      <c r="O916" t="s">
        <v>29</v>
      </c>
      <c r="P916" t="s">
        <v>55</v>
      </c>
      <c r="Q916" t="s">
        <v>31</v>
      </c>
      <c r="R916">
        <v>7</v>
      </c>
      <c r="S916" t="s">
        <v>7760</v>
      </c>
      <c r="T916" t="s">
        <v>7761</v>
      </c>
      <c r="U916" t="s">
        <v>7762</v>
      </c>
      <c r="V916" t="s">
        <v>32</v>
      </c>
      <c r="W916" t="s">
        <v>33</v>
      </c>
      <c r="X916" t="s">
        <v>33</v>
      </c>
      <c r="Y916" t="s">
        <v>33</v>
      </c>
      <c r="Z916" s="5" t="s">
        <v>34</v>
      </c>
      <c r="AA916">
        <v>-75.641370280000004</v>
      </c>
      <c r="AB916">
        <v>6.1506908300000003</v>
      </c>
      <c r="AC916" t="s">
        <v>456</v>
      </c>
      <c r="AD916" t="s">
        <v>457</v>
      </c>
    </row>
    <row r="917" spans="1:30" x14ac:dyDescent="0.25">
      <c r="A917" t="s">
        <v>7763</v>
      </c>
      <c r="B917" t="s">
        <v>25</v>
      </c>
      <c r="C917" t="s">
        <v>26</v>
      </c>
      <c r="D917" t="s">
        <v>25</v>
      </c>
      <c r="E917" t="s">
        <v>7764</v>
      </c>
      <c r="F917" t="s">
        <v>7765</v>
      </c>
      <c r="G917">
        <v>901244087</v>
      </c>
      <c r="H917" t="s">
        <v>7701</v>
      </c>
      <c r="I917" s="4" t="s">
        <v>7702</v>
      </c>
      <c r="J917" s="4" t="s">
        <v>7703</v>
      </c>
      <c r="K917" t="s">
        <v>7766</v>
      </c>
      <c r="L917" t="s">
        <v>61</v>
      </c>
      <c r="M917" t="s">
        <v>7767</v>
      </c>
      <c r="N917" t="s">
        <v>63</v>
      </c>
      <c r="O917" t="s">
        <v>29</v>
      </c>
      <c r="P917" t="s">
        <v>55</v>
      </c>
      <c r="Q917" t="s">
        <v>31</v>
      </c>
      <c r="R917">
        <v>7</v>
      </c>
      <c r="S917" t="s">
        <v>7768</v>
      </c>
      <c r="T917" t="s">
        <v>4942</v>
      </c>
      <c r="U917" t="s">
        <v>4943</v>
      </c>
      <c r="V917" t="s">
        <v>32</v>
      </c>
      <c r="W917" t="s">
        <v>33</v>
      </c>
      <c r="X917" t="s">
        <v>33</v>
      </c>
      <c r="Y917" t="s">
        <v>33</v>
      </c>
      <c r="Z917" s="5" t="s">
        <v>34</v>
      </c>
      <c r="AA917">
        <v>-75.641370280000004</v>
      </c>
      <c r="AB917">
        <v>6.1506908300000003</v>
      </c>
      <c r="AC917" t="s">
        <v>456</v>
      </c>
      <c r="AD917" t="s">
        <v>457</v>
      </c>
    </row>
    <row r="918" spans="1:30" x14ac:dyDescent="0.25">
      <c r="A918" t="s">
        <v>7769</v>
      </c>
      <c r="B918" t="s">
        <v>25</v>
      </c>
      <c r="C918" t="s">
        <v>26</v>
      </c>
      <c r="D918" t="s">
        <v>25</v>
      </c>
      <c r="E918" t="s">
        <v>7770</v>
      </c>
      <c r="F918" t="s">
        <v>7771</v>
      </c>
      <c r="G918">
        <v>901244087</v>
      </c>
      <c r="H918" t="s">
        <v>7701</v>
      </c>
      <c r="I918" s="4" t="s">
        <v>7702</v>
      </c>
      <c r="J918" s="4" t="s">
        <v>7703</v>
      </c>
      <c r="K918" t="s">
        <v>7772</v>
      </c>
      <c r="L918" t="s">
        <v>61</v>
      </c>
      <c r="M918" t="s">
        <v>7773</v>
      </c>
      <c r="N918" t="s">
        <v>63</v>
      </c>
      <c r="O918" t="s">
        <v>29</v>
      </c>
      <c r="P918" t="s">
        <v>55</v>
      </c>
      <c r="Q918" t="s">
        <v>31</v>
      </c>
      <c r="R918">
        <v>7</v>
      </c>
      <c r="S918" t="s">
        <v>7774</v>
      </c>
      <c r="T918" t="s">
        <v>4942</v>
      </c>
      <c r="U918" t="s">
        <v>4943</v>
      </c>
      <c r="V918" t="s">
        <v>32</v>
      </c>
      <c r="W918" t="s">
        <v>33</v>
      </c>
      <c r="X918" t="s">
        <v>33</v>
      </c>
      <c r="Y918" t="s">
        <v>33</v>
      </c>
      <c r="Z918" s="5" t="s">
        <v>34</v>
      </c>
      <c r="AA918">
        <v>-75.641370280000004</v>
      </c>
      <c r="AB918">
        <v>6.1506908300000003</v>
      </c>
      <c r="AC918" t="s">
        <v>456</v>
      </c>
      <c r="AD918" t="s">
        <v>457</v>
      </c>
    </row>
    <row r="919" spans="1:30" x14ac:dyDescent="0.25">
      <c r="A919" t="s">
        <v>7775</v>
      </c>
      <c r="B919" t="s">
        <v>25</v>
      </c>
      <c r="C919" t="s">
        <v>26</v>
      </c>
      <c r="D919" t="s">
        <v>25</v>
      </c>
      <c r="E919" t="s">
        <v>7776</v>
      </c>
      <c r="F919" t="s">
        <v>7777</v>
      </c>
      <c r="G919">
        <v>901244087</v>
      </c>
      <c r="H919" t="s">
        <v>7701</v>
      </c>
      <c r="I919" s="4" t="s">
        <v>7702</v>
      </c>
      <c r="J919" s="4" t="s">
        <v>7703</v>
      </c>
      <c r="K919" t="s">
        <v>7778</v>
      </c>
      <c r="L919" t="s">
        <v>61</v>
      </c>
      <c r="M919" t="s">
        <v>7779</v>
      </c>
      <c r="N919" t="s">
        <v>63</v>
      </c>
      <c r="O919" t="s">
        <v>29</v>
      </c>
      <c r="P919" t="s">
        <v>55</v>
      </c>
      <c r="Q919" t="s">
        <v>31</v>
      </c>
      <c r="R919">
        <v>7</v>
      </c>
      <c r="S919" t="s">
        <v>7780</v>
      </c>
      <c r="T919" t="s">
        <v>4942</v>
      </c>
      <c r="U919" t="s">
        <v>4943</v>
      </c>
      <c r="V919" t="s">
        <v>32</v>
      </c>
      <c r="W919" t="s">
        <v>33</v>
      </c>
      <c r="X919" t="s">
        <v>33</v>
      </c>
      <c r="Y919" t="s">
        <v>33</v>
      </c>
      <c r="Z919" s="5" t="s">
        <v>34</v>
      </c>
      <c r="AA919">
        <v>-75.641370280000004</v>
      </c>
      <c r="AB919">
        <v>6.1506908300000003</v>
      </c>
      <c r="AC919" t="s">
        <v>456</v>
      </c>
      <c r="AD919" t="s">
        <v>457</v>
      </c>
    </row>
    <row r="920" spans="1:30" x14ac:dyDescent="0.25">
      <c r="A920" t="s">
        <v>7781</v>
      </c>
      <c r="B920" t="s">
        <v>25</v>
      </c>
      <c r="C920" t="s">
        <v>26</v>
      </c>
      <c r="D920" t="s">
        <v>25</v>
      </c>
      <c r="E920" t="s">
        <v>7782</v>
      </c>
      <c r="F920" t="s">
        <v>7783</v>
      </c>
      <c r="G920">
        <v>901244087</v>
      </c>
      <c r="H920" t="s">
        <v>7701</v>
      </c>
      <c r="I920" s="4" t="s">
        <v>7702</v>
      </c>
      <c r="J920" s="4" t="s">
        <v>7703</v>
      </c>
      <c r="K920" t="s">
        <v>7784</v>
      </c>
      <c r="L920" t="s">
        <v>61</v>
      </c>
      <c r="M920" t="s">
        <v>7785</v>
      </c>
      <c r="N920" t="s">
        <v>63</v>
      </c>
      <c r="O920" t="s">
        <v>29</v>
      </c>
      <c r="P920" t="s">
        <v>55</v>
      </c>
      <c r="Q920" t="s">
        <v>31</v>
      </c>
      <c r="R920">
        <v>7</v>
      </c>
      <c r="S920" t="s">
        <v>7786</v>
      </c>
      <c r="T920" t="s">
        <v>4944</v>
      </c>
      <c r="U920" t="s">
        <v>4824</v>
      </c>
      <c r="V920" t="s">
        <v>32</v>
      </c>
      <c r="W920" t="s">
        <v>33</v>
      </c>
      <c r="X920" t="s">
        <v>33</v>
      </c>
      <c r="Y920" t="s">
        <v>33</v>
      </c>
      <c r="Z920" s="5" t="s">
        <v>34</v>
      </c>
      <c r="AA920">
        <v>-75.641370280000004</v>
      </c>
      <c r="AB920">
        <v>6.1506908300000003</v>
      </c>
      <c r="AC920" t="s">
        <v>456</v>
      </c>
      <c r="AD920" t="s">
        <v>457</v>
      </c>
    </row>
    <row r="921" spans="1:30" x14ac:dyDescent="0.25">
      <c r="A921" t="s">
        <v>7787</v>
      </c>
      <c r="B921" t="s">
        <v>25</v>
      </c>
      <c r="C921" t="s">
        <v>26</v>
      </c>
      <c r="D921" t="s">
        <v>25</v>
      </c>
      <c r="E921" t="s">
        <v>7788</v>
      </c>
      <c r="F921" t="s">
        <v>7789</v>
      </c>
      <c r="G921">
        <v>901244087</v>
      </c>
      <c r="H921" t="s">
        <v>7701</v>
      </c>
      <c r="I921" s="4" t="s">
        <v>7702</v>
      </c>
      <c r="J921" s="4" t="s">
        <v>7703</v>
      </c>
      <c r="K921" t="s">
        <v>7790</v>
      </c>
      <c r="L921" t="s">
        <v>61</v>
      </c>
      <c r="M921" t="s">
        <v>7791</v>
      </c>
      <c r="N921" t="s">
        <v>63</v>
      </c>
      <c r="O921" t="s">
        <v>29</v>
      </c>
      <c r="P921" t="s">
        <v>55</v>
      </c>
      <c r="Q921" t="s">
        <v>31</v>
      </c>
      <c r="R921">
        <v>7</v>
      </c>
      <c r="S921" t="s">
        <v>7792</v>
      </c>
      <c r="T921" t="s">
        <v>4945</v>
      </c>
      <c r="U921" t="s">
        <v>4946</v>
      </c>
      <c r="V921" t="s">
        <v>32</v>
      </c>
      <c r="W921" t="s">
        <v>33</v>
      </c>
      <c r="X921" t="s">
        <v>33</v>
      </c>
      <c r="Y921" t="s">
        <v>33</v>
      </c>
      <c r="Z921" s="5" t="s">
        <v>34</v>
      </c>
      <c r="AA921">
        <v>-75.641370280000004</v>
      </c>
      <c r="AB921">
        <v>6.1506908300000003</v>
      </c>
      <c r="AC921" t="s">
        <v>456</v>
      </c>
      <c r="AD921" t="s">
        <v>457</v>
      </c>
    </row>
    <row r="922" spans="1:30" x14ac:dyDescent="0.25">
      <c r="A922" t="s">
        <v>7793</v>
      </c>
      <c r="B922" t="s">
        <v>25</v>
      </c>
      <c r="C922" t="s">
        <v>26</v>
      </c>
      <c r="D922" t="s">
        <v>25</v>
      </c>
      <c r="E922" t="s">
        <v>7794</v>
      </c>
      <c r="F922" t="s">
        <v>7795</v>
      </c>
      <c r="G922">
        <v>901244087</v>
      </c>
      <c r="H922" t="s">
        <v>7701</v>
      </c>
      <c r="I922" s="4" t="s">
        <v>7702</v>
      </c>
      <c r="J922" s="4" t="s">
        <v>7703</v>
      </c>
      <c r="K922" t="s">
        <v>7796</v>
      </c>
      <c r="L922" t="s">
        <v>61</v>
      </c>
      <c r="M922" t="s">
        <v>7797</v>
      </c>
      <c r="N922" t="s">
        <v>63</v>
      </c>
      <c r="O922" t="s">
        <v>29</v>
      </c>
      <c r="P922" t="s">
        <v>55</v>
      </c>
      <c r="Q922" t="s">
        <v>31</v>
      </c>
      <c r="R922">
        <v>7</v>
      </c>
      <c r="S922" t="s">
        <v>7798</v>
      </c>
      <c r="T922" t="s">
        <v>4948</v>
      </c>
      <c r="U922" t="s">
        <v>4949</v>
      </c>
      <c r="V922" t="s">
        <v>32</v>
      </c>
      <c r="W922" t="s">
        <v>33</v>
      </c>
      <c r="X922" t="s">
        <v>33</v>
      </c>
      <c r="Y922" t="s">
        <v>33</v>
      </c>
      <c r="Z922" s="5" t="s">
        <v>34</v>
      </c>
      <c r="AA922">
        <v>-75.641370280000004</v>
      </c>
      <c r="AB922">
        <v>6.1506908300000003</v>
      </c>
      <c r="AC922" t="s">
        <v>456</v>
      </c>
      <c r="AD922" t="s">
        <v>457</v>
      </c>
    </row>
    <row r="923" spans="1:30" x14ac:dyDescent="0.25">
      <c r="A923" t="s">
        <v>7799</v>
      </c>
      <c r="B923" t="s">
        <v>25</v>
      </c>
      <c r="C923" t="s">
        <v>26</v>
      </c>
      <c r="D923" t="s">
        <v>25</v>
      </c>
      <c r="E923" t="s">
        <v>7800</v>
      </c>
      <c r="F923" t="s">
        <v>7801</v>
      </c>
      <c r="G923">
        <v>901244087</v>
      </c>
      <c r="H923" t="s">
        <v>7701</v>
      </c>
      <c r="I923" s="4" t="s">
        <v>7702</v>
      </c>
      <c r="J923" s="4" t="s">
        <v>7703</v>
      </c>
      <c r="K923" t="s">
        <v>7802</v>
      </c>
      <c r="L923" t="s">
        <v>61</v>
      </c>
      <c r="M923" t="s">
        <v>7803</v>
      </c>
      <c r="N923" t="s">
        <v>63</v>
      </c>
      <c r="O923" t="s">
        <v>29</v>
      </c>
      <c r="P923" t="s">
        <v>55</v>
      </c>
      <c r="Q923" t="s">
        <v>31</v>
      </c>
      <c r="R923">
        <v>7</v>
      </c>
      <c r="S923" t="s">
        <v>7804</v>
      </c>
      <c r="T923" t="s">
        <v>6614</v>
      </c>
      <c r="U923" t="s">
        <v>6615</v>
      </c>
      <c r="V923" t="s">
        <v>32</v>
      </c>
      <c r="W923" t="s">
        <v>33</v>
      </c>
      <c r="X923" t="s">
        <v>33</v>
      </c>
      <c r="Y923" t="s">
        <v>33</v>
      </c>
      <c r="Z923" s="5" t="s">
        <v>34</v>
      </c>
      <c r="AA923">
        <v>-75.641370280000004</v>
      </c>
      <c r="AB923">
        <v>6.1506908300000003</v>
      </c>
      <c r="AC923" t="s">
        <v>456</v>
      </c>
      <c r="AD923" t="s">
        <v>457</v>
      </c>
    </row>
    <row r="924" spans="1:30" x14ac:dyDescent="0.25">
      <c r="A924" t="s">
        <v>6227</v>
      </c>
      <c r="B924" t="s">
        <v>25</v>
      </c>
      <c r="C924" t="s">
        <v>26</v>
      </c>
      <c r="D924" t="s">
        <v>39</v>
      </c>
      <c r="E924" t="s">
        <v>6228</v>
      </c>
      <c r="F924" t="s">
        <v>6229</v>
      </c>
      <c r="G924">
        <v>34985249</v>
      </c>
      <c r="H924" t="s">
        <v>6230</v>
      </c>
      <c r="I924" s="4" t="s">
        <v>35</v>
      </c>
      <c r="J924" s="4" t="s">
        <v>6231</v>
      </c>
      <c r="K924" t="s">
        <v>6232</v>
      </c>
      <c r="L924" t="s">
        <v>44</v>
      </c>
      <c r="M924" t="s">
        <v>6233</v>
      </c>
      <c r="N924" t="s">
        <v>45</v>
      </c>
      <c r="O924" t="s">
        <v>40</v>
      </c>
      <c r="P924" t="s">
        <v>41</v>
      </c>
      <c r="Q924" t="s">
        <v>38</v>
      </c>
      <c r="R924">
        <v>8</v>
      </c>
      <c r="S924" t="s">
        <v>6234</v>
      </c>
      <c r="T924" t="s">
        <v>6614</v>
      </c>
      <c r="U924" t="s">
        <v>5523</v>
      </c>
      <c r="V924" t="s">
        <v>32</v>
      </c>
      <c r="W924" t="s">
        <v>33</v>
      </c>
      <c r="X924" t="s">
        <v>33</v>
      </c>
      <c r="Y924" t="s">
        <v>33</v>
      </c>
      <c r="Z924" s="5" t="s">
        <v>34</v>
      </c>
      <c r="AA924">
        <v>-75.606993849999995</v>
      </c>
      <c r="AB924">
        <v>6.1954807599999997</v>
      </c>
      <c r="AC924" t="s">
        <v>456</v>
      </c>
      <c r="AD924" t="s">
        <v>457</v>
      </c>
    </row>
    <row r="925" spans="1:30" x14ac:dyDescent="0.25">
      <c r="A925" t="s">
        <v>6235</v>
      </c>
      <c r="B925" t="s">
        <v>81</v>
      </c>
      <c r="C925" t="s">
        <v>26</v>
      </c>
      <c r="D925" t="s">
        <v>81</v>
      </c>
      <c r="E925" t="s">
        <v>6236</v>
      </c>
      <c r="F925" t="s">
        <v>6237</v>
      </c>
      <c r="G925">
        <v>98709451</v>
      </c>
      <c r="H925" t="s">
        <v>6238</v>
      </c>
      <c r="I925" s="4" t="s">
        <v>6239</v>
      </c>
      <c r="J925" s="4" t="s">
        <v>5898</v>
      </c>
      <c r="K925" t="s">
        <v>6240</v>
      </c>
      <c r="L925" t="s">
        <v>27</v>
      </c>
      <c r="M925" t="s">
        <v>6241</v>
      </c>
      <c r="N925" t="s">
        <v>28</v>
      </c>
      <c r="O925" t="s">
        <v>82</v>
      </c>
      <c r="P925" t="s">
        <v>83</v>
      </c>
      <c r="Q925" t="s">
        <v>31</v>
      </c>
      <c r="R925">
        <v>4</v>
      </c>
      <c r="S925" t="s">
        <v>6242</v>
      </c>
      <c r="T925" t="s">
        <v>6595</v>
      </c>
      <c r="U925" t="s">
        <v>7805</v>
      </c>
      <c r="V925" t="s">
        <v>32</v>
      </c>
      <c r="W925" t="s">
        <v>33</v>
      </c>
      <c r="X925" t="s">
        <v>33</v>
      </c>
      <c r="Y925" t="s">
        <v>33</v>
      </c>
      <c r="Z925" s="5" t="s">
        <v>34</v>
      </c>
      <c r="AA925">
        <v>-75.559600000000003</v>
      </c>
      <c r="AB925">
        <v>6.2481840000000002</v>
      </c>
      <c r="AC925" t="s">
        <v>456</v>
      </c>
      <c r="AD925" t="s">
        <v>457</v>
      </c>
    </row>
    <row r="926" spans="1:30" x14ac:dyDescent="0.25">
      <c r="A926" t="s">
        <v>7806</v>
      </c>
      <c r="B926" t="s">
        <v>25</v>
      </c>
      <c r="C926" t="s">
        <v>26</v>
      </c>
      <c r="D926" t="s">
        <v>25</v>
      </c>
      <c r="E926" t="s">
        <v>7807</v>
      </c>
      <c r="F926" t="s">
        <v>7808</v>
      </c>
      <c r="G926">
        <v>901244087</v>
      </c>
      <c r="H926" t="s">
        <v>7701</v>
      </c>
      <c r="I926" s="4" t="s">
        <v>7702</v>
      </c>
      <c r="J926" s="4" t="s">
        <v>7703</v>
      </c>
      <c r="K926" t="s">
        <v>7809</v>
      </c>
      <c r="L926" t="s">
        <v>61</v>
      </c>
      <c r="M926" t="s">
        <v>7810</v>
      </c>
      <c r="N926" t="s">
        <v>63</v>
      </c>
      <c r="O926" t="s">
        <v>29</v>
      </c>
      <c r="P926" t="s">
        <v>55</v>
      </c>
      <c r="Q926" t="s">
        <v>31</v>
      </c>
      <c r="R926">
        <v>7</v>
      </c>
      <c r="S926" t="s">
        <v>7811</v>
      </c>
      <c r="T926" t="s">
        <v>4950</v>
      </c>
      <c r="U926" t="s">
        <v>6613</v>
      </c>
      <c r="V926" t="s">
        <v>32</v>
      </c>
      <c r="W926" t="s">
        <v>33</v>
      </c>
      <c r="X926" t="s">
        <v>33</v>
      </c>
      <c r="Y926" t="s">
        <v>33</v>
      </c>
      <c r="Z926" s="5" t="s">
        <v>34</v>
      </c>
      <c r="AA926">
        <v>-75.641370280000004</v>
      </c>
      <c r="AB926">
        <v>6.1506908300000003</v>
      </c>
      <c r="AC926" t="s">
        <v>456</v>
      </c>
      <c r="AD926" t="s">
        <v>457</v>
      </c>
    </row>
    <row r="927" spans="1:30" x14ac:dyDescent="0.25">
      <c r="A927" t="s">
        <v>6243</v>
      </c>
      <c r="B927" t="s">
        <v>25</v>
      </c>
      <c r="C927" t="s">
        <v>26</v>
      </c>
      <c r="D927" t="s">
        <v>25</v>
      </c>
      <c r="E927" t="s">
        <v>6244</v>
      </c>
      <c r="F927" t="s">
        <v>6245</v>
      </c>
      <c r="G927">
        <v>43781255</v>
      </c>
      <c r="H927" t="s">
        <v>6246</v>
      </c>
      <c r="I927" s="4" t="s">
        <v>35</v>
      </c>
      <c r="J927" s="4" t="s">
        <v>6247</v>
      </c>
      <c r="K927" t="s">
        <v>6248</v>
      </c>
      <c r="L927" t="s">
        <v>27</v>
      </c>
      <c r="M927" t="s">
        <v>6249</v>
      </c>
      <c r="N927" t="s">
        <v>28</v>
      </c>
      <c r="O927" t="s">
        <v>29</v>
      </c>
      <c r="P927" t="s">
        <v>37</v>
      </c>
      <c r="Q927" t="s">
        <v>31</v>
      </c>
      <c r="R927">
        <v>7</v>
      </c>
      <c r="S927" t="s">
        <v>6250</v>
      </c>
      <c r="T927" t="s">
        <v>7812</v>
      </c>
      <c r="U927" t="s">
        <v>7813</v>
      </c>
      <c r="V927" t="s">
        <v>32</v>
      </c>
      <c r="W927" t="s">
        <v>33</v>
      </c>
      <c r="X927" t="s">
        <v>33</v>
      </c>
      <c r="Y927" t="s">
        <v>33</v>
      </c>
      <c r="Z927" s="5" t="s">
        <v>34</v>
      </c>
      <c r="AA927">
        <v>-75.541076000000004</v>
      </c>
      <c r="AB927">
        <v>6.2545859999999998</v>
      </c>
      <c r="AC927" t="s">
        <v>456</v>
      </c>
      <c r="AD927" t="s">
        <v>457</v>
      </c>
    </row>
    <row r="928" spans="1:30" x14ac:dyDescent="0.25">
      <c r="A928" t="s">
        <v>6252</v>
      </c>
      <c r="B928" t="s">
        <v>81</v>
      </c>
      <c r="C928" t="s">
        <v>26</v>
      </c>
      <c r="D928" t="s">
        <v>81</v>
      </c>
      <c r="E928" t="s">
        <v>6253</v>
      </c>
      <c r="F928" t="s">
        <v>6254</v>
      </c>
      <c r="G928">
        <v>71627481</v>
      </c>
      <c r="H928" t="s">
        <v>6255</v>
      </c>
      <c r="I928" s="4" t="s">
        <v>35</v>
      </c>
      <c r="J928" s="4" t="s">
        <v>6256</v>
      </c>
      <c r="K928" t="s">
        <v>6257</v>
      </c>
      <c r="L928" t="s">
        <v>61</v>
      </c>
      <c r="M928" t="s">
        <v>6258</v>
      </c>
      <c r="N928" t="s">
        <v>63</v>
      </c>
      <c r="O928" t="s">
        <v>82</v>
      </c>
      <c r="P928" t="s">
        <v>83</v>
      </c>
      <c r="Q928" t="s">
        <v>31</v>
      </c>
      <c r="R928">
        <v>4</v>
      </c>
      <c r="S928" t="s">
        <v>6259</v>
      </c>
      <c r="T928" t="s">
        <v>6497</v>
      </c>
      <c r="U928" t="s">
        <v>7814</v>
      </c>
      <c r="V928" t="s">
        <v>32</v>
      </c>
      <c r="W928" t="s">
        <v>33</v>
      </c>
      <c r="X928" t="s">
        <v>33</v>
      </c>
      <c r="Y928" t="s">
        <v>33</v>
      </c>
      <c r="Z928" s="5" t="s">
        <v>34</v>
      </c>
      <c r="AA928">
        <v>-75.637612950000005</v>
      </c>
      <c r="AB928">
        <v>6.1638231000000001</v>
      </c>
      <c r="AC928" t="s">
        <v>456</v>
      </c>
      <c r="AD928" t="s">
        <v>457</v>
      </c>
    </row>
    <row r="929" spans="1:30" x14ac:dyDescent="0.25">
      <c r="A929" t="s">
        <v>6260</v>
      </c>
      <c r="B929" t="s">
        <v>81</v>
      </c>
      <c r="C929" t="s">
        <v>26</v>
      </c>
      <c r="D929" t="s">
        <v>81</v>
      </c>
      <c r="E929" t="s">
        <v>6261</v>
      </c>
      <c r="F929" t="s">
        <v>6262</v>
      </c>
      <c r="G929">
        <v>10284305</v>
      </c>
      <c r="H929" t="s">
        <v>6263</v>
      </c>
      <c r="I929" s="4" t="s">
        <v>35</v>
      </c>
      <c r="J929" s="4" t="s">
        <v>6264</v>
      </c>
      <c r="K929" t="s">
        <v>6265</v>
      </c>
      <c r="L929" t="s">
        <v>27</v>
      </c>
      <c r="M929" t="s">
        <v>6266</v>
      </c>
      <c r="N929" t="s">
        <v>28</v>
      </c>
      <c r="O929" t="s">
        <v>82</v>
      </c>
      <c r="P929" t="s">
        <v>83</v>
      </c>
      <c r="Q929" t="s">
        <v>31</v>
      </c>
      <c r="R929">
        <v>4</v>
      </c>
      <c r="S929" t="s">
        <v>6267</v>
      </c>
      <c r="T929" t="s">
        <v>7815</v>
      </c>
      <c r="U929" t="s">
        <v>923</v>
      </c>
      <c r="V929" t="s">
        <v>32</v>
      </c>
      <c r="W929" t="s">
        <v>33</v>
      </c>
      <c r="X929" t="s">
        <v>33</v>
      </c>
      <c r="Y929" t="s">
        <v>33</v>
      </c>
      <c r="Z929" s="5" t="s">
        <v>34</v>
      </c>
      <c r="AA929">
        <v>-75.561064000000002</v>
      </c>
      <c r="AB929">
        <v>6.226502</v>
      </c>
      <c r="AC929" t="s">
        <v>456</v>
      </c>
      <c r="AD929" t="s">
        <v>457</v>
      </c>
    </row>
    <row r="930" spans="1:30" x14ac:dyDescent="0.25">
      <c r="A930" t="s">
        <v>6269</v>
      </c>
      <c r="B930" t="s">
        <v>25</v>
      </c>
      <c r="C930" t="s">
        <v>26</v>
      </c>
      <c r="D930" t="s">
        <v>25</v>
      </c>
      <c r="E930" t="s">
        <v>6270</v>
      </c>
      <c r="F930" t="s">
        <v>6271</v>
      </c>
      <c r="G930">
        <v>15450528</v>
      </c>
      <c r="H930" t="s">
        <v>6142</v>
      </c>
      <c r="I930" s="4" t="s">
        <v>35</v>
      </c>
      <c r="J930" s="4" t="s">
        <v>6143</v>
      </c>
      <c r="K930" t="s">
        <v>6272</v>
      </c>
      <c r="L930" t="s">
        <v>77</v>
      </c>
      <c r="M930" t="s">
        <v>6273</v>
      </c>
      <c r="N930" t="s">
        <v>78</v>
      </c>
      <c r="O930" t="s">
        <v>29</v>
      </c>
      <c r="P930" t="s">
        <v>30</v>
      </c>
      <c r="Q930" t="s">
        <v>31</v>
      </c>
      <c r="R930">
        <v>7</v>
      </c>
      <c r="S930" t="s">
        <v>6274</v>
      </c>
      <c r="T930" t="s">
        <v>7816</v>
      </c>
      <c r="U930" t="s">
        <v>7817</v>
      </c>
      <c r="V930" t="s">
        <v>32</v>
      </c>
      <c r="W930" t="s">
        <v>33</v>
      </c>
      <c r="X930" t="s">
        <v>33</v>
      </c>
      <c r="Y930" t="s">
        <v>33</v>
      </c>
      <c r="Z930" s="5" t="s">
        <v>34</v>
      </c>
      <c r="AA930">
        <v>-75.634779769999994</v>
      </c>
      <c r="AB930">
        <v>6.0862563600000001</v>
      </c>
      <c r="AC930" t="s">
        <v>456</v>
      </c>
      <c r="AD930" t="s">
        <v>457</v>
      </c>
    </row>
    <row r="931" spans="1:30" x14ac:dyDescent="0.25">
      <c r="A931" t="s">
        <v>6275</v>
      </c>
      <c r="B931" t="s">
        <v>25</v>
      </c>
      <c r="C931" t="s">
        <v>26</v>
      </c>
      <c r="D931" t="s">
        <v>25</v>
      </c>
      <c r="E931" t="s">
        <v>6276</v>
      </c>
      <c r="F931" t="s">
        <v>6277</v>
      </c>
      <c r="G931">
        <v>15450528</v>
      </c>
      <c r="H931" t="s">
        <v>6142</v>
      </c>
      <c r="I931" s="4" t="s">
        <v>35</v>
      </c>
      <c r="J931" s="4" t="s">
        <v>6143</v>
      </c>
      <c r="K931" t="s">
        <v>6278</v>
      </c>
      <c r="L931" t="s">
        <v>77</v>
      </c>
      <c r="M931" t="s">
        <v>6279</v>
      </c>
      <c r="N931" t="s">
        <v>78</v>
      </c>
      <c r="O931" t="s">
        <v>29</v>
      </c>
      <c r="P931" t="s">
        <v>30</v>
      </c>
      <c r="Q931" t="s">
        <v>31</v>
      </c>
      <c r="R931">
        <v>7</v>
      </c>
      <c r="S931" t="s">
        <v>6280</v>
      </c>
      <c r="T931" t="s">
        <v>7816</v>
      </c>
      <c r="U931" t="s">
        <v>7817</v>
      </c>
      <c r="V931" t="s">
        <v>32</v>
      </c>
      <c r="W931" t="s">
        <v>33</v>
      </c>
      <c r="X931" t="s">
        <v>33</v>
      </c>
      <c r="Y931" t="s">
        <v>33</v>
      </c>
      <c r="Z931" s="5" t="s">
        <v>34</v>
      </c>
      <c r="AA931">
        <v>-75.634779769999994</v>
      </c>
      <c r="AB931">
        <v>6.0862563600000001</v>
      </c>
      <c r="AC931" t="s">
        <v>456</v>
      </c>
      <c r="AD931" t="s">
        <v>457</v>
      </c>
    </row>
    <row r="932" spans="1:30" x14ac:dyDescent="0.25">
      <c r="A932" t="s">
        <v>6281</v>
      </c>
      <c r="B932" t="s">
        <v>25</v>
      </c>
      <c r="C932" t="s">
        <v>26</v>
      </c>
      <c r="D932" t="s">
        <v>25</v>
      </c>
      <c r="E932" t="s">
        <v>6282</v>
      </c>
      <c r="F932" t="s">
        <v>6283</v>
      </c>
      <c r="G932">
        <v>21486882</v>
      </c>
      <c r="H932" t="s">
        <v>6284</v>
      </c>
      <c r="I932" s="4" t="s">
        <v>35</v>
      </c>
      <c r="J932" s="4" t="s">
        <v>6285</v>
      </c>
      <c r="K932" t="s">
        <v>6286</v>
      </c>
      <c r="L932" t="s">
        <v>27</v>
      </c>
      <c r="M932" t="s">
        <v>6287</v>
      </c>
      <c r="N932" t="s">
        <v>28</v>
      </c>
      <c r="O932" t="s">
        <v>29</v>
      </c>
      <c r="P932" t="s">
        <v>37</v>
      </c>
      <c r="Q932" t="s">
        <v>38</v>
      </c>
      <c r="R932">
        <v>10</v>
      </c>
      <c r="S932" t="s">
        <v>6288</v>
      </c>
      <c r="T932" t="s">
        <v>7818</v>
      </c>
      <c r="U932" t="s">
        <v>7819</v>
      </c>
      <c r="V932" t="s">
        <v>32</v>
      </c>
      <c r="W932" t="s">
        <v>33</v>
      </c>
      <c r="X932" t="s">
        <v>33</v>
      </c>
      <c r="Y932" t="s">
        <v>33</v>
      </c>
      <c r="Z932" s="5" t="s">
        <v>34</v>
      </c>
      <c r="AA932">
        <v>-75.650988999999996</v>
      </c>
      <c r="AB932">
        <v>6.2775230000000004</v>
      </c>
      <c r="AC932" t="s">
        <v>456</v>
      </c>
      <c r="AD932" t="s">
        <v>457</v>
      </c>
    </row>
    <row r="933" spans="1:30" x14ac:dyDescent="0.25">
      <c r="A933" t="s">
        <v>6289</v>
      </c>
      <c r="B933" t="s">
        <v>25</v>
      </c>
      <c r="C933" t="s">
        <v>26</v>
      </c>
      <c r="D933" t="s">
        <v>39</v>
      </c>
      <c r="E933" t="s">
        <v>6290</v>
      </c>
      <c r="F933" t="s">
        <v>6291</v>
      </c>
      <c r="G933">
        <v>98635608</v>
      </c>
      <c r="H933" t="s">
        <v>6292</v>
      </c>
      <c r="I933" s="4" t="s">
        <v>35</v>
      </c>
      <c r="J933" s="4" t="s">
        <v>6293</v>
      </c>
      <c r="K933" t="s">
        <v>6294</v>
      </c>
      <c r="L933" t="s">
        <v>44</v>
      </c>
      <c r="M933" t="s">
        <v>6295</v>
      </c>
      <c r="N933" t="s">
        <v>45</v>
      </c>
      <c r="O933" t="s">
        <v>40</v>
      </c>
      <c r="P933" t="s">
        <v>41</v>
      </c>
      <c r="Q933" t="s">
        <v>31</v>
      </c>
      <c r="R933">
        <v>5</v>
      </c>
      <c r="S933" t="s">
        <v>6296</v>
      </c>
      <c r="T933" t="s">
        <v>4961</v>
      </c>
      <c r="U933" t="s">
        <v>7820</v>
      </c>
      <c r="V933" t="s">
        <v>32</v>
      </c>
      <c r="W933" t="s">
        <v>33</v>
      </c>
      <c r="X933" t="s">
        <v>33</v>
      </c>
      <c r="Y933" t="s">
        <v>33</v>
      </c>
      <c r="Z933" s="5" t="s">
        <v>34</v>
      </c>
      <c r="AA933">
        <v>-75.612204980000001</v>
      </c>
      <c r="AB933">
        <v>6.1720251800000003</v>
      </c>
      <c r="AC933" t="s">
        <v>456</v>
      </c>
      <c r="AD933" t="s">
        <v>457</v>
      </c>
    </row>
    <row r="934" spans="1:30" x14ac:dyDescent="0.25">
      <c r="A934" t="s">
        <v>6298</v>
      </c>
      <c r="B934" t="s">
        <v>25</v>
      </c>
      <c r="C934" t="s">
        <v>26</v>
      </c>
      <c r="D934" t="s">
        <v>39</v>
      </c>
      <c r="E934" t="s">
        <v>6299</v>
      </c>
      <c r="F934" t="s">
        <v>6300</v>
      </c>
      <c r="G934">
        <v>43830914</v>
      </c>
      <c r="H934" t="s">
        <v>6301</v>
      </c>
      <c r="I934" s="4" t="s">
        <v>35</v>
      </c>
      <c r="J934" s="4" t="s">
        <v>6302</v>
      </c>
      <c r="K934" t="s">
        <v>6303</v>
      </c>
      <c r="L934" t="s">
        <v>44</v>
      </c>
      <c r="M934" t="s">
        <v>6304</v>
      </c>
      <c r="N934" t="s">
        <v>45</v>
      </c>
      <c r="O934" t="s">
        <v>40</v>
      </c>
      <c r="P934" t="s">
        <v>41</v>
      </c>
      <c r="Q934" t="s">
        <v>38</v>
      </c>
      <c r="R934">
        <v>8</v>
      </c>
      <c r="S934" t="s">
        <v>6305</v>
      </c>
      <c r="T934" t="s">
        <v>7821</v>
      </c>
      <c r="U934" t="s">
        <v>7822</v>
      </c>
      <c r="V934" t="s">
        <v>32</v>
      </c>
      <c r="W934" t="s">
        <v>33</v>
      </c>
      <c r="X934" t="s">
        <v>33</v>
      </c>
      <c r="Y934" t="s">
        <v>33</v>
      </c>
      <c r="Z934" s="5" t="s">
        <v>34</v>
      </c>
      <c r="AA934">
        <v>-75.614379119999995</v>
      </c>
      <c r="AB934">
        <v>6.1857919900000002</v>
      </c>
      <c r="AC934" t="s">
        <v>456</v>
      </c>
      <c r="AD934" t="s">
        <v>457</v>
      </c>
    </row>
    <row r="935" spans="1:30" x14ac:dyDescent="0.25">
      <c r="A935" t="s">
        <v>6307</v>
      </c>
      <c r="B935" t="s">
        <v>25</v>
      </c>
      <c r="C935" t="s">
        <v>26</v>
      </c>
      <c r="D935" t="s">
        <v>39</v>
      </c>
      <c r="E935" t="s">
        <v>6308</v>
      </c>
      <c r="F935" t="s">
        <v>6309</v>
      </c>
      <c r="G935">
        <v>98635608</v>
      </c>
      <c r="H935" t="s">
        <v>6292</v>
      </c>
      <c r="I935" s="4" t="s">
        <v>35</v>
      </c>
      <c r="J935" s="4" t="s">
        <v>6293</v>
      </c>
      <c r="K935" t="s">
        <v>6310</v>
      </c>
      <c r="L935" t="s">
        <v>44</v>
      </c>
      <c r="M935" t="s">
        <v>6311</v>
      </c>
      <c r="N935" t="s">
        <v>45</v>
      </c>
      <c r="O935" t="s">
        <v>40</v>
      </c>
      <c r="P935" t="s">
        <v>41</v>
      </c>
      <c r="Q935" t="s">
        <v>31</v>
      </c>
      <c r="R935">
        <v>5</v>
      </c>
      <c r="S935" t="s">
        <v>6312</v>
      </c>
      <c r="T935" t="s">
        <v>7821</v>
      </c>
      <c r="U935" t="s">
        <v>7823</v>
      </c>
      <c r="V935" t="s">
        <v>32</v>
      </c>
      <c r="W935" t="s">
        <v>33</v>
      </c>
      <c r="X935" t="s">
        <v>33</v>
      </c>
      <c r="Y935" t="s">
        <v>33</v>
      </c>
      <c r="Z935" s="5" t="s">
        <v>34</v>
      </c>
      <c r="AA935">
        <v>-75.612204980000001</v>
      </c>
      <c r="AB935">
        <v>6.1720251800000003</v>
      </c>
      <c r="AC935" t="s">
        <v>456</v>
      </c>
      <c r="AD935" t="s">
        <v>457</v>
      </c>
    </row>
    <row r="936" spans="1:30" x14ac:dyDescent="0.25">
      <c r="A936" t="s">
        <v>6313</v>
      </c>
      <c r="B936" t="s">
        <v>81</v>
      </c>
      <c r="C936" t="s">
        <v>26</v>
      </c>
      <c r="D936" t="s">
        <v>81</v>
      </c>
      <c r="E936" t="s">
        <v>6314</v>
      </c>
      <c r="F936" t="s">
        <v>6315</v>
      </c>
      <c r="G936">
        <v>98524958</v>
      </c>
      <c r="H936" t="s">
        <v>6316</v>
      </c>
      <c r="I936" s="4" t="s">
        <v>6317</v>
      </c>
      <c r="J936" s="4" t="s">
        <v>6318</v>
      </c>
      <c r="K936" t="s">
        <v>6319</v>
      </c>
      <c r="L936" t="s">
        <v>27</v>
      </c>
      <c r="M936" t="s">
        <v>6320</v>
      </c>
      <c r="N936" t="s">
        <v>28</v>
      </c>
      <c r="O936" t="s">
        <v>82</v>
      </c>
      <c r="P936" t="s">
        <v>83</v>
      </c>
      <c r="Q936" t="s">
        <v>31</v>
      </c>
      <c r="R936">
        <v>4</v>
      </c>
      <c r="S936" t="s">
        <v>6321</v>
      </c>
      <c r="T936" t="s">
        <v>7824</v>
      </c>
      <c r="U936" t="s">
        <v>7825</v>
      </c>
      <c r="V936" t="s">
        <v>32</v>
      </c>
      <c r="W936" t="s">
        <v>33</v>
      </c>
      <c r="X936" t="s">
        <v>33</v>
      </c>
      <c r="Y936" t="s">
        <v>33</v>
      </c>
      <c r="Z936" s="5" t="s">
        <v>34</v>
      </c>
      <c r="AA936">
        <v>-75.649053820000006</v>
      </c>
      <c r="AB936">
        <v>6.1850273500000004</v>
      </c>
      <c r="AC936" t="s">
        <v>456</v>
      </c>
      <c r="AD936" t="s">
        <v>457</v>
      </c>
    </row>
    <row r="937" spans="1:30" x14ac:dyDescent="0.25">
      <c r="A937" t="s">
        <v>6322</v>
      </c>
      <c r="B937" t="s">
        <v>25</v>
      </c>
      <c r="C937" t="s">
        <v>26</v>
      </c>
      <c r="D937" t="s">
        <v>39</v>
      </c>
      <c r="E937" t="s">
        <v>6323</v>
      </c>
      <c r="F937" t="s">
        <v>6324</v>
      </c>
      <c r="G937">
        <v>1085165184</v>
      </c>
      <c r="H937" t="s">
        <v>6325</v>
      </c>
      <c r="I937" s="4" t="s">
        <v>35</v>
      </c>
      <c r="J937" s="4" t="s">
        <v>6326</v>
      </c>
      <c r="K937" t="s">
        <v>6327</v>
      </c>
      <c r="L937" t="s">
        <v>44</v>
      </c>
      <c r="M937" t="s">
        <v>6328</v>
      </c>
      <c r="N937" t="s">
        <v>45</v>
      </c>
      <c r="O937" t="s">
        <v>40</v>
      </c>
      <c r="P937" t="s">
        <v>41</v>
      </c>
      <c r="Q937" t="s">
        <v>38</v>
      </c>
      <c r="R937">
        <v>8</v>
      </c>
      <c r="S937" t="s">
        <v>6329</v>
      </c>
      <c r="T937" t="s">
        <v>6835</v>
      </c>
      <c r="U937" t="s">
        <v>5763</v>
      </c>
      <c r="V937" t="s">
        <v>32</v>
      </c>
      <c r="W937" t="s">
        <v>33</v>
      </c>
      <c r="X937" t="s">
        <v>33</v>
      </c>
      <c r="Y937" t="s">
        <v>33</v>
      </c>
      <c r="Z937" s="5" t="s">
        <v>34</v>
      </c>
      <c r="AA937">
        <v>-75.614293610000004</v>
      </c>
      <c r="AB937">
        <v>6.1857372799999997</v>
      </c>
      <c r="AC937" t="s">
        <v>456</v>
      </c>
      <c r="AD937" t="s">
        <v>457</v>
      </c>
    </row>
    <row r="938" spans="1:30" x14ac:dyDescent="0.25">
      <c r="A938" t="s">
        <v>6330</v>
      </c>
      <c r="B938" t="s">
        <v>25</v>
      </c>
      <c r="C938" t="s">
        <v>26</v>
      </c>
      <c r="D938" t="s">
        <v>39</v>
      </c>
      <c r="E938" t="s">
        <v>6331</v>
      </c>
      <c r="F938" t="s">
        <v>6332</v>
      </c>
      <c r="G938">
        <v>1085165184</v>
      </c>
      <c r="H938" t="s">
        <v>6325</v>
      </c>
      <c r="I938" s="4" t="s">
        <v>35</v>
      </c>
      <c r="J938" s="4" t="s">
        <v>6326</v>
      </c>
      <c r="K938" t="s">
        <v>6333</v>
      </c>
      <c r="L938" t="s">
        <v>44</v>
      </c>
      <c r="M938" t="s">
        <v>6334</v>
      </c>
      <c r="N938" t="s">
        <v>45</v>
      </c>
      <c r="O938" t="s">
        <v>40</v>
      </c>
      <c r="P938" t="s">
        <v>41</v>
      </c>
      <c r="Q938" t="s">
        <v>38</v>
      </c>
      <c r="R938">
        <v>8</v>
      </c>
      <c r="S938" t="s">
        <v>6335</v>
      </c>
      <c r="T938" t="s">
        <v>7826</v>
      </c>
      <c r="U938" t="s">
        <v>7827</v>
      </c>
      <c r="V938" t="s">
        <v>32</v>
      </c>
      <c r="W938" t="s">
        <v>33</v>
      </c>
      <c r="X938" t="s">
        <v>33</v>
      </c>
      <c r="Y938" t="s">
        <v>33</v>
      </c>
      <c r="Z938" s="5" t="s">
        <v>34</v>
      </c>
      <c r="AA938">
        <v>-75.614291530000003</v>
      </c>
      <c r="AB938">
        <v>6.18573796</v>
      </c>
      <c r="AC938" t="s">
        <v>456</v>
      </c>
      <c r="AD938" t="s">
        <v>457</v>
      </c>
    </row>
    <row r="939" spans="1:30" x14ac:dyDescent="0.25">
      <c r="A939" t="s">
        <v>6336</v>
      </c>
      <c r="B939" t="s">
        <v>25</v>
      </c>
      <c r="C939" t="s">
        <v>26</v>
      </c>
      <c r="D939" t="s">
        <v>39</v>
      </c>
      <c r="E939" t="s">
        <v>6337</v>
      </c>
      <c r="F939" t="s">
        <v>6338</v>
      </c>
      <c r="G939">
        <v>1085165184</v>
      </c>
      <c r="H939" t="s">
        <v>6325</v>
      </c>
      <c r="I939" s="4" t="s">
        <v>35</v>
      </c>
      <c r="J939" s="4" t="s">
        <v>6326</v>
      </c>
      <c r="K939" t="s">
        <v>6339</v>
      </c>
      <c r="L939" t="s">
        <v>44</v>
      </c>
      <c r="M939" t="s">
        <v>6340</v>
      </c>
      <c r="N939" t="s">
        <v>45</v>
      </c>
      <c r="O939" t="s">
        <v>40</v>
      </c>
      <c r="P939" t="s">
        <v>41</v>
      </c>
      <c r="Q939" t="s">
        <v>38</v>
      </c>
      <c r="R939">
        <v>8</v>
      </c>
      <c r="S939" t="s">
        <v>6341</v>
      </c>
      <c r="T939" t="s">
        <v>7828</v>
      </c>
      <c r="U939" t="s">
        <v>7829</v>
      </c>
      <c r="V939" t="s">
        <v>32</v>
      </c>
      <c r="W939" t="s">
        <v>33</v>
      </c>
      <c r="X939" t="s">
        <v>33</v>
      </c>
      <c r="Y939" t="s">
        <v>33</v>
      </c>
      <c r="Z939" s="5" t="s">
        <v>34</v>
      </c>
      <c r="AA939">
        <v>-75.614291530000003</v>
      </c>
      <c r="AB939">
        <v>6.18573796</v>
      </c>
      <c r="AC939" t="s">
        <v>456</v>
      </c>
      <c r="AD939" t="s">
        <v>457</v>
      </c>
    </row>
    <row r="940" spans="1:30" x14ac:dyDescent="0.25">
      <c r="A940" t="s">
        <v>6342</v>
      </c>
      <c r="B940" t="s">
        <v>25</v>
      </c>
      <c r="C940" t="s">
        <v>26</v>
      </c>
      <c r="D940" t="s">
        <v>39</v>
      </c>
      <c r="E940" t="s">
        <v>6343</v>
      </c>
      <c r="F940" t="s">
        <v>6344</v>
      </c>
      <c r="G940">
        <v>1085165184</v>
      </c>
      <c r="H940" t="s">
        <v>6325</v>
      </c>
      <c r="I940" s="4" t="s">
        <v>35</v>
      </c>
      <c r="J940" s="4" t="s">
        <v>6326</v>
      </c>
      <c r="K940" t="s">
        <v>6345</v>
      </c>
      <c r="L940" t="s">
        <v>44</v>
      </c>
      <c r="M940" t="s">
        <v>6346</v>
      </c>
      <c r="N940" t="s">
        <v>45</v>
      </c>
      <c r="O940" t="s">
        <v>40</v>
      </c>
      <c r="P940" t="s">
        <v>41</v>
      </c>
      <c r="Q940" t="s">
        <v>38</v>
      </c>
      <c r="R940">
        <v>8</v>
      </c>
      <c r="S940" t="s">
        <v>6347</v>
      </c>
      <c r="T940" t="s">
        <v>7830</v>
      </c>
      <c r="U940" t="s">
        <v>7831</v>
      </c>
      <c r="V940" t="s">
        <v>32</v>
      </c>
      <c r="W940" t="s">
        <v>33</v>
      </c>
      <c r="X940" t="s">
        <v>33</v>
      </c>
      <c r="Y940" t="s">
        <v>33</v>
      </c>
      <c r="Z940" s="5" t="s">
        <v>34</v>
      </c>
      <c r="AA940">
        <v>-75.614291530000003</v>
      </c>
      <c r="AB940">
        <v>6.18573796</v>
      </c>
      <c r="AC940" t="s">
        <v>456</v>
      </c>
      <c r="AD940" t="s">
        <v>457</v>
      </c>
    </row>
    <row r="941" spans="1:30" x14ac:dyDescent="0.25">
      <c r="A941" t="s">
        <v>6348</v>
      </c>
      <c r="B941" t="s">
        <v>25</v>
      </c>
      <c r="C941" t="s">
        <v>26</v>
      </c>
      <c r="D941" t="s">
        <v>25</v>
      </c>
      <c r="E941" t="s">
        <v>6349</v>
      </c>
      <c r="F941" t="s">
        <v>6350</v>
      </c>
      <c r="G941">
        <v>98533798</v>
      </c>
      <c r="H941" t="s">
        <v>5832</v>
      </c>
      <c r="I941" s="4" t="s">
        <v>35</v>
      </c>
      <c r="J941" s="4" t="s">
        <v>5833</v>
      </c>
      <c r="K941" t="s">
        <v>6351</v>
      </c>
      <c r="L941" t="s">
        <v>44</v>
      </c>
      <c r="M941" t="s">
        <v>6352</v>
      </c>
      <c r="N941" t="s">
        <v>45</v>
      </c>
      <c r="O941" t="s">
        <v>29</v>
      </c>
      <c r="P941" t="s">
        <v>37</v>
      </c>
      <c r="Q941" t="s">
        <v>31</v>
      </c>
      <c r="R941">
        <v>7</v>
      </c>
      <c r="S941" t="s">
        <v>6353</v>
      </c>
      <c r="T941" t="s">
        <v>6944</v>
      </c>
      <c r="U941" t="s">
        <v>4825</v>
      </c>
      <c r="V941" t="s">
        <v>32</v>
      </c>
      <c r="W941" t="s">
        <v>33</v>
      </c>
      <c r="X941" t="s">
        <v>33</v>
      </c>
      <c r="Y941" t="s">
        <v>33</v>
      </c>
      <c r="Z941" s="5" t="s">
        <v>34</v>
      </c>
      <c r="AA941">
        <v>-75.5981697</v>
      </c>
      <c r="AB941">
        <v>6.1936771300000002</v>
      </c>
      <c r="AC941" t="s">
        <v>456</v>
      </c>
      <c r="AD941" t="s">
        <v>457</v>
      </c>
    </row>
    <row r="942" spans="1:30" x14ac:dyDescent="0.25">
      <c r="A942" t="s">
        <v>6355</v>
      </c>
      <c r="B942" t="s">
        <v>25</v>
      </c>
      <c r="C942" t="s">
        <v>26</v>
      </c>
      <c r="D942" t="s">
        <v>39</v>
      </c>
      <c r="E942" t="s">
        <v>6356</v>
      </c>
      <c r="F942" t="s">
        <v>6357</v>
      </c>
      <c r="G942">
        <v>42748817</v>
      </c>
      <c r="H942" t="s">
        <v>6358</v>
      </c>
      <c r="I942" s="4" t="s">
        <v>6359</v>
      </c>
      <c r="J942" s="4" t="s">
        <v>35</v>
      </c>
      <c r="K942" t="s">
        <v>6360</v>
      </c>
      <c r="L942" t="s">
        <v>44</v>
      </c>
      <c r="M942" t="s">
        <v>6361</v>
      </c>
      <c r="N942" t="s">
        <v>45</v>
      </c>
      <c r="O942" t="s">
        <v>40</v>
      </c>
      <c r="P942" t="s">
        <v>41</v>
      </c>
      <c r="Q942" t="s">
        <v>38</v>
      </c>
      <c r="R942">
        <v>8</v>
      </c>
      <c r="S942" t="s">
        <v>6362</v>
      </c>
      <c r="T942" t="s">
        <v>6944</v>
      </c>
      <c r="U942" t="s">
        <v>6354</v>
      </c>
      <c r="V942" t="s">
        <v>32</v>
      </c>
      <c r="W942" t="s">
        <v>33</v>
      </c>
      <c r="X942" t="s">
        <v>33</v>
      </c>
      <c r="Y942" t="s">
        <v>33</v>
      </c>
      <c r="Z942" s="5" t="s">
        <v>34</v>
      </c>
      <c r="AA942">
        <v>-75.613603659999995</v>
      </c>
      <c r="AB942">
        <v>6.1840218900000004</v>
      </c>
      <c r="AC942" t="s">
        <v>456</v>
      </c>
      <c r="AD942" t="s">
        <v>457</v>
      </c>
    </row>
    <row r="943" spans="1:30" x14ac:dyDescent="0.25">
      <c r="A943" t="s">
        <v>6363</v>
      </c>
      <c r="B943" t="s">
        <v>25</v>
      </c>
      <c r="C943" t="s">
        <v>26</v>
      </c>
      <c r="D943" t="s">
        <v>39</v>
      </c>
      <c r="E943" t="s">
        <v>6364</v>
      </c>
      <c r="F943" t="s">
        <v>6365</v>
      </c>
      <c r="G943">
        <v>42748817</v>
      </c>
      <c r="H943" t="s">
        <v>6358</v>
      </c>
      <c r="I943" s="4" t="s">
        <v>6359</v>
      </c>
      <c r="J943" s="4" t="s">
        <v>35</v>
      </c>
      <c r="K943" t="s">
        <v>6366</v>
      </c>
      <c r="L943" t="s">
        <v>44</v>
      </c>
      <c r="M943" t="s">
        <v>6367</v>
      </c>
      <c r="N943" t="s">
        <v>45</v>
      </c>
      <c r="O943" t="s">
        <v>40</v>
      </c>
      <c r="P943" t="s">
        <v>41</v>
      </c>
      <c r="Q943" t="s">
        <v>38</v>
      </c>
      <c r="R943">
        <v>8</v>
      </c>
      <c r="S943" t="s">
        <v>6368</v>
      </c>
      <c r="T943" t="s">
        <v>7832</v>
      </c>
      <c r="U943" t="s">
        <v>7833</v>
      </c>
      <c r="V943" t="s">
        <v>32</v>
      </c>
      <c r="W943" t="s">
        <v>33</v>
      </c>
      <c r="X943" t="s">
        <v>33</v>
      </c>
      <c r="Y943" t="s">
        <v>33</v>
      </c>
      <c r="Z943" s="5" t="s">
        <v>34</v>
      </c>
      <c r="AA943">
        <v>-75.613603659999995</v>
      </c>
      <c r="AB943">
        <v>6.1840218900000004</v>
      </c>
      <c r="AC943" t="s">
        <v>456</v>
      </c>
      <c r="AD943" t="s">
        <v>457</v>
      </c>
    </row>
    <row r="944" spans="1:30" x14ac:dyDescent="0.25">
      <c r="A944" t="s">
        <v>6369</v>
      </c>
      <c r="B944" t="s">
        <v>25</v>
      </c>
      <c r="C944" t="s">
        <v>26</v>
      </c>
      <c r="D944" t="s">
        <v>25</v>
      </c>
      <c r="E944" t="s">
        <v>6370</v>
      </c>
      <c r="F944" t="s">
        <v>6371</v>
      </c>
      <c r="G944">
        <v>15450528</v>
      </c>
      <c r="H944" t="s">
        <v>6142</v>
      </c>
      <c r="I944" s="4" t="s">
        <v>35</v>
      </c>
      <c r="J944" s="4" t="s">
        <v>6143</v>
      </c>
      <c r="K944" t="s">
        <v>6372</v>
      </c>
      <c r="L944" t="s">
        <v>77</v>
      </c>
      <c r="M944" t="s">
        <v>6373</v>
      </c>
      <c r="N944" t="s">
        <v>78</v>
      </c>
      <c r="O944" t="s">
        <v>29</v>
      </c>
      <c r="P944" t="s">
        <v>30</v>
      </c>
      <c r="Q944" t="s">
        <v>31</v>
      </c>
      <c r="R944">
        <v>7</v>
      </c>
      <c r="S944" t="s">
        <v>6374</v>
      </c>
      <c r="T944" t="s">
        <v>7834</v>
      </c>
      <c r="U944" t="s">
        <v>7835</v>
      </c>
      <c r="V944" t="s">
        <v>32</v>
      </c>
      <c r="W944" t="s">
        <v>33</v>
      </c>
      <c r="X944" t="s">
        <v>33</v>
      </c>
      <c r="Y944" t="s">
        <v>33</v>
      </c>
      <c r="Z944" s="5" t="s">
        <v>34</v>
      </c>
      <c r="AA944">
        <v>-75.634779769999994</v>
      </c>
      <c r="AB944">
        <v>6.0862563600000001</v>
      </c>
      <c r="AC944" t="s">
        <v>456</v>
      </c>
      <c r="AD944" t="s">
        <v>457</v>
      </c>
    </row>
    <row r="945" spans="1:30" x14ac:dyDescent="0.25">
      <c r="A945" t="s">
        <v>6375</v>
      </c>
      <c r="B945" t="s">
        <v>25</v>
      </c>
      <c r="C945" t="s">
        <v>26</v>
      </c>
      <c r="D945" t="s">
        <v>25</v>
      </c>
      <c r="E945" t="s">
        <v>6376</v>
      </c>
      <c r="F945" t="s">
        <v>6377</v>
      </c>
      <c r="G945">
        <v>15450528</v>
      </c>
      <c r="H945" t="s">
        <v>6142</v>
      </c>
      <c r="I945" s="4" t="s">
        <v>35</v>
      </c>
      <c r="J945" s="4" t="s">
        <v>6143</v>
      </c>
      <c r="K945" t="s">
        <v>6378</v>
      </c>
      <c r="L945" t="s">
        <v>77</v>
      </c>
      <c r="M945" t="s">
        <v>6379</v>
      </c>
      <c r="N945" t="s">
        <v>78</v>
      </c>
      <c r="O945" t="s">
        <v>29</v>
      </c>
      <c r="P945" t="s">
        <v>30</v>
      </c>
      <c r="Q945" t="s">
        <v>31</v>
      </c>
      <c r="R945">
        <v>7</v>
      </c>
      <c r="S945" t="s">
        <v>6380</v>
      </c>
      <c r="T945" t="s">
        <v>7836</v>
      </c>
      <c r="U945" t="s">
        <v>7837</v>
      </c>
      <c r="V945" t="s">
        <v>32</v>
      </c>
      <c r="W945" t="s">
        <v>33</v>
      </c>
      <c r="X945" t="s">
        <v>33</v>
      </c>
      <c r="Y945" t="s">
        <v>33</v>
      </c>
      <c r="Z945" s="5" t="s">
        <v>34</v>
      </c>
      <c r="AA945">
        <v>-75.634779769999994</v>
      </c>
      <c r="AB945">
        <v>6.0862563600000001</v>
      </c>
      <c r="AC945" t="s">
        <v>456</v>
      </c>
      <c r="AD945" t="s">
        <v>457</v>
      </c>
    </row>
    <row r="946" spans="1:30" x14ac:dyDescent="0.25">
      <c r="A946" t="s">
        <v>8270</v>
      </c>
      <c r="B946" t="s">
        <v>95</v>
      </c>
      <c r="C946" t="s">
        <v>26</v>
      </c>
      <c r="D946" t="s">
        <v>96</v>
      </c>
      <c r="E946" t="s">
        <v>8271</v>
      </c>
      <c r="F946" t="s">
        <v>8272</v>
      </c>
      <c r="G946">
        <v>43036921</v>
      </c>
      <c r="H946" t="s">
        <v>8273</v>
      </c>
      <c r="I946" s="4" t="s">
        <v>35</v>
      </c>
      <c r="J946" s="4" t="s">
        <v>8274</v>
      </c>
      <c r="K946" t="s">
        <v>8275</v>
      </c>
      <c r="L946" t="s">
        <v>27</v>
      </c>
      <c r="M946" t="s">
        <v>8276</v>
      </c>
      <c r="N946" t="s">
        <v>28</v>
      </c>
      <c r="O946" t="s">
        <v>103</v>
      </c>
      <c r="P946" t="s">
        <v>120</v>
      </c>
      <c r="Q946" t="s">
        <v>38</v>
      </c>
      <c r="R946">
        <v>14</v>
      </c>
      <c r="S946" t="s">
        <v>8277</v>
      </c>
      <c r="T946" t="s">
        <v>8278</v>
      </c>
      <c r="U946" t="s">
        <v>8279</v>
      </c>
      <c r="V946" t="s">
        <v>32</v>
      </c>
      <c r="W946" t="s">
        <v>33</v>
      </c>
      <c r="X946" t="s">
        <v>33</v>
      </c>
      <c r="Y946" t="s">
        <v>33</v>
      </c>
      <c r="Z946" s="5" t="s">
        <v>34</v>
      </c>
      <c r="AA946">
        <v>-75.646938899999995</v>
      </c>
      <c r="AB946">
        <v>6.2852713400000004</v>
      </c>
      <c r="AC946" t="s">
        <v>456</v>
      </c>
      <c r="AD946" t="s">
        <v>457</v>
      </c>
    </row>
    <row r="947" spans="1:30" x14ac:dyDescent="0.25">
      <c r="A947" t="s">
        <v>6381</v>
      </c>
      <c r="B947" t="s">
        <v>25</v>
      </c>
      <c r="C947" t="s">
        <v>26</v>
      </c>
      <c r="D947" t="s">
        <v>25</v>
      </c>
      <c r="E947" t="s">
        <v>6382</v>
      </c>
      <c r="F947" t="s">
        <v>6383</v>
      </c>
      <c r="G947">
        <v>15450528</v>
      </c>
      <c r="H947" t="s">
        <v>6142</v>
      </c>
      <c r="I947" s="4" t="s">
        <v>35</v>
      </c>
      <c r="J947" s="4" t="s">
        <v>6143</v>
      </c>
      <c r="K947" t="s">
        <v>6384</v>
      </c>
      <c r="L947" t="s">
        <v>77</v>
      </c>
      <c r="M947" t="s">
        <v>6385</v>
      </c>
      <c r="N947" t="s">
        <v>78</v>
      </c>
      <c r="O947" t="s">
        <v>29</v>
      </c>
      <c r="P947" t="s">
        <v>30</v>
      </c>
      <c r="Q947" t="s">
        <v>31</v>
      </c>
      <c r="R947">
        <v>7</v>
      </c>
      <c r="S947" t="s">
        <v>6386</v>
      </c>
      <c r="T947" t="s">
        <v>7838</v>
      </c>
      <c r="U947" t="s">
        <v>7839</v>
      </c>
      <c r="V947" t="s">
        <v>32</v>
      </c>
      <c r="W947" t="s">
        <v>33</v>
      </c>
      <c r="X947" t="s">
        <v>33</v>
      </c>
      <c r="Y947" t="s">
        <v>33</v>
      </c>
      <c r="Z947" s="5" t="s">
        <v>34</v>
      </c>
      <c r="AA947">
        <v>-75.634779769999994</v>
      </c>
      <c r="AB947">
        <v>6.0862563600000001</v>
      </c>
      <c r="AC947" t="s">
        <v>456</v>
      </c>
      <c r="AD947" t="s">
        <v>457</v>
      </c>
    </row>
    <row r="948" spans="1:30" x14ac:dyDescent="0.25">
      <c r="A948" t="s">
        <v>6387</v>
      </c>
      <c r="B948" t="s">
        <v>25</v>
      </c>
      <c r="C948" t="s">
        <v>26</v>
      </c>
      <c r="D948" t="s">
        <v>25</v>
      </c>
      <c r="E948" t="s">
        <v>6388</v>
      </c>
      <c r="F948" t="s">
        <v>6389</v>
      </c>
      <c r="G948">
        <v>15450528</v>
      </c>
      <c r="H948" t="s">
        <v>6142</v>
      </c>
      <c r="I948" s="4" t="s">
        <v>35</v>
      </c>
      <c r="J948" s="4" t="s">
        <v>6143</v>
      </c>
      <c r="K948" t="s">
        <v>6390</v>
      </c>
      <c r="L948" t="s">
        <v>77</v>
      </c>
      <c r="M948" t="s">
        <v>6391</v>
      </c>
      <c r="N948" t="s">
        <v>78</v>
      </c>
      <c r="O948" t="s">
        <v>29</v>
      </c>
      <c r="P948" t="s">
        <v>30</v>
      </c>
      <c r="Q948" t="s">
        <v>31</v>
      </c>
      <c r="R948">
        <v>7</v>
      </c>
      <c r="S948" t="s">
        <v>6392</v>
      </c>
      <c r="T948" t="s">
        <v>7840</v>
      </c>
      <c r="U948" t="s">
        <v>7841</v>
      </c>
      <c r="V948" t="s">
        <v>32</v>
      </c>
      <c r="W948" t="s">
        <v>33</v>
      </c>
      <c r="X948" t="s">
        <v>33</v>
      </c>
      <c r="Y948" t="s">
        <v>33</v>
      </c>
      <c r="Z948" s="5" t="s">
        <v>34</v>
      </c>
      <c r="AA948">
        <v>-75.634779769999994</v>
      </c>
      <c r="AB948">
        <v>6.0862563600000001</v>
      </c>
      <c r="AC948" t="s">
        <v>456</v>
      </c>
      <c r="AD948" t="s">
        <v>457</v>
      </c>
    </row>
    <row r="949" spans="1:30" x14ac:dyDescent="0.25">
      <c r="A949" t="s">
        <v>8280</v>
      </c>
      <c r="B949" t="s">
        <v>25</v>
      </c>
      <c r="C949" t="s">
        <v>26</v>
      </c>
      <c r="D949" t="s">
        <v>25</v>
      </c>
      <c r="E949" t="s">
        <v>8281</v>
      </c>
      <c r="F949" t="s">
        <v>8282</v>
      </c>
      <c r="G949">
        <v>1036620899</v>
      </c>
      <c r="H949" t="s">
        <v>8283</v>
      </c>
      <c r="I949" s="4" t="s">
        <v>8284</v>
      </c>
      <c r="J949" s="4" t="s">
        <v>8285</v>
      </c>
      <c r="K949" t="s">
        <v>8286</v>
      </c>
      <c r="L949" t="s">
        <v>27</v>
      </c>
      <c r="M949" t="s">
        <v>8287</v>
      </c>
      <c r="N949" t="s">
        <v>28</v>
      </c>
      <c r="O949" t="s">
        <v>29</v>
      </c>
      <c r="P949" t="s">
        <v>37</v>
      </c>
      <c r="Q949" t="s">
        <v>31</v>
      </c>
      <c r="R949">
        <v>7</v>
      </c>
      <c r="S949" t="s">
        <v>8288</v>
      </c>
      <c r="T949" t="s">
        <v>8289</v>
      </c>
      <c r="U949" t="s">
        <v>8290</v>
      </c>
      <c r="V949" t="s">
        <v>32</v>
      </c>
      <c r="W949" t="s">
        <v>33</v>
      </c>
      <c r="X949" t="s">
        <v>33</v>
      </c>
      <c r="Y949" t="s">
        <v>33</v>
      </c>
      <c r="Z949" s="5" t="s">
        <v>34</v>
      </c>
      <c r="AA949">
        <v>-75.554834999999997</v>
      </c>
      <c r="AB949">
        <v>6.2315120000000004</v>
      </c>
      <c r="AC949" t="s">
        <v>456</v>
      </c>
      <c r="AD949" t="s">
        <v>457</v>
      </c>
    </row>
    <row r="950" spans="1:30" x14ac:dyDescent="0.25">
      <c r="A950" t="s">
        <v>8291</v>
      </c>
      <c r="B950" t="s">
        <v>25</v>
      </c>
      <c r="C950" t="s">
        <v>26</v>
      </c>
      <c r="D950" t="s">
        <v>25</v>
      </c>
      <c r="E950" t="s">
        <v>8292</v>
      </c>
      <c r="F950" t="s">
        <v>8293</v>
      </c>
      <c r="G950">
        <v>15372136</v>
      </c>
      <c r="H950" t="s">
        <v>8294</v>
      </c>
      <c r="I950" s="4" t="s">
        <v>35</v>
      </c>
      <c r="J950" s="4" t="s">
        <v>8295</v>
      </c>
      <c r="K950" t="s">
        <v>8296</v>
      </c>
      <c r="L950" t="s">
        <v>27</v>
      </c>
      <c r="M950" t="s">
        <v>8297</v>
      </c>
      <c r="N950" t="s">
        <v>28</v>
      </c>
      <c r="O950" t="s">
        <v>29</v>
      </c>
      <c r="P950" t="s">
        <v>37</v>
      </c>
      <c r="Q950" t="s">
        <v>31</v>
      </c>
      <c r="R950">
        <v>7</v>
      </c>
      <c r="S950" t="s">
        <v>8298</v>
      </c>
      <c r="T950" t="s">
        <v>8299</v>
      </c>
      <c r="U950" t="s">
        <v>8300</v>
      </c>
      <c r="V950" t="s">
        <v>32</v>
      </c>
      <c r="W950" t="s">
        <v>33</v>
      </c>
      <c r="X950" t="s">
        <v>33</v>
      </c>
      <c r="Y950" t="s">
        <v>33</v>
      </c>
      <c r="Z950" s="5" t="s">
        <v>34</v>
      </c>
      <c r="AA950">
        <v>-75.554834999999997</v>
      </c>
      <c r="AB950">
        <v>6.2315120000000004</v>
      </c>
      <c r="AC950" t="s">
        <v>456</v>
      </c>
      <c r="AD950" t="s">
        <v>457</v>
      </c>
    </row>
    <row r="951" spans="1:30" x14ac:dyDescent="0.25">
      <c r="A951" t="s">
        <v>8301</v>
      </c>
      <c r="B951" t="s">
        <v>25</v>
      </c>
      <c r="C951" t="s">
        <v>26</v>
      </c>
      <c r="D951" t="s">
        <v>25</v>
      </c>
      <c r="E951" t="s">
        <v>8302</v>
      </c>
      <c r="F951" t="s">
        <v>8303</v>
      </c>
      <c r="G951">
        <v>42899029</v>
      </c>
      <c r="H951" t="s">
        <v>8304</v>
      </c>
      <c r="I951" s="4" t="s">
        <v>8305</v>
      </c>
      <c r="J951" s="4" t="s">
        <v>8306</v>
      </c>
      <c r="K951" t="s">
        <v>8307</v>
      </c>
      <c r="L951" t="s">
        <v>49</v>
      </c>
      <c r="M951" t="s">
        <v>8308</v>
      </c>
      <c r="N951" t="s">
        <v>84</v>
      </c>
      <c r="O951" t="s">
        <v>29</v>
      </c>
      <c r="P951" t="s">
        <v>37</v>
      </c>
      <c r="Q951" t="s">
        <v>31</v>
      </c>
      <c r="R951">
        <v>7</v>
      </c>
      <c r="S951" t="s">
        <v>8309</v>
      </c>
      <c r="T951" t="s">
        <v>8310</v>
      </c>
      <c r="U951" t="s">
        <v>8311</v>
      </c>
      <c r="V951" t="s">
        <v>32</v>
      </c>
      <c r="W951" t="s">
        <v>33</v>
      </c>
      <c r="X951" t="s">
        <v>33</v>
      </c>
      <c r="Y951" t="s">
        <v>33</v>
      </c>
      <c r="Z951" s="5" t="s">
        <v>34</v>
      </c>
      <c r="AA951">
        <v>-75.580574220000003</v>
      </c>
      <c r="AB951">
        <v>6.1715946400000004</v>
      </c>
      <c r="AC951" t="s">
        <v>456</v>
      </c>
      <c r="AD951" t="s">
        <v>457</v>
      </c>
    </row>
    <row r="952" spans="1:30" x14ac:dyDescent="0.25">
      <c r="A952" t="s">
        <v>8312</v>
      </c>
      <c r="B952" t="s">
        <v>42</v>
      </c>
      <c r="C952" t="s">
        <v>26</v>
      </c>
      <c r="D952" t="s">
        <v>42</v>
      </c>
      <c r="E952" t="s">
        <v>8313</v>
      </c>
      <c r="F952" t="s">
        <v>8314</v>
      </c>
      <c r="G952">
        <v>42763443</v>
      </c>
      <c r="H952" t="s">
        <v>8315</v>
      </c>
      <c r="I952" s="4" t="s">
        <v>8316</v>
      </c>
      <c r="J952" s="4" t="s">
        <v>35</v>
      </c>
      <c r="K952" t="s">
        <v>8317</v>
      </c>
      <c r="L952" t="s">
        <v>61</v>
      </c>
      <c r="M952" t="s">
        <v>8318</v>
      </c>
      <c r="N952" t="s">
        <v>63</v>
      </c>
      <c r="O952" t="s">
        <v>43</v>
      </c>
      <c r="P952" t="s">
        <v>37</v>
      </c>
      <c r="Q952" t="s">
        <v>31</v>
      </c>
      <c r="R952">
        <v>7</v>
      </c>
      <c r="S952" t="s">
        <v>8319</v>
      </c>
      <c r="T952" t="s">
        <v>8320</v>
      </c>
      <c r="U952" t="s">
        <v>8321</v>
      </c>
      <c r="V952" t="s">
        <v>32</v>
      </c>
      <c r="W952" t="s">
        <v>33</v>
      </c>
      <c r="X952" t="s">
        <v>33</v>
      </c>
      <c r="Y952" t="s">
        <v>33</v>
      </c>
      <c r="Z952" s="5" t="s">
        <v>34</v>
      </c>
      <c r="AA952">
        <v>-75.636073170000003</v>
      </c>
      <c r="AB952">
        <v>6.1620525199999996</v>
      </c>
      <c r="AC952" t="s">
        <v>456</v>
      </c>
      <c r="AD952" t="s">
        <v>457</v>
      </c>
    </row>
    <row r="953" spans="1:30" x14ac:dyDescent="0.25">
      <c r="A953" t="s">
        <v>8322</v>
      </c>
      <c r="B953" t="s">
        <v>25</v>
      </c>
      <c r="C953" t="s">
        <v>26</v>
      </c>
      <c r="D953" t="s">
        <v>25</v>
      </c>
      <c r="E953" t="s">
        <v>8323</v>
      </c>
      <c r="F953" t="s">
        <v>8324</v>
      </c>
      <c r="G953">
        <v>1037652903</v>
      </c>
      <c r="H953" t="s">
        <v>8325</v>
      </c>
      <c r="I953" s="4" t="s">
        <v>35</v>
      </c>
      <c r="J953" s="4" t="s">
        <v>8326</v>
      </c>
      <c r="K953" t="s">
        <v>8327</v>
      </c>
      <c r="L953" t="s">
        <v>49</v>
      </c>
      <c r="M953" t="s">
        <v>8328</v>
      </c>
      <c r="N953" t="s">
        <v>84</v>
      </c>
      <c r="O953" t="s">
        <v>29</v>
      </c>
      <c r="P953" t="s">
        <v>37</v>
      </c>
      <c r="Q953" t="s">
        <v>31</v>
      </c>
      <c r="R953">
        <v>7</v>
      </c>
      <c r="S953" t="s">
        <v>8329</v>
      </c>
      <c r="T953" t="s">
        <v>8330</v>
      </c>
      <c r="U953" t="s">
        <v>8331</v>
      </c>
      <c r="V953" t="s">
        <v>32</v>
      </c>
      <c r="W953" t="s">
        <v>33</v>
      </c>
      <c r="X953" t="s">
        <v>33</v>
      </c>
      <c r="Y953" t="s">
        <v>33</v>
      </c>
      <c r="Z953" s="5" t="s">
        <v>34</v>
      </c>
      <c r="AA953">
        <v>-75.589614260000005</v>
      </c>
      <c r="AB953">
        <v>6.1541164300000002</v>
      </c>
      <c r="AC953" t="s">
        <v>456</v>
      </c>
      <c r="AD953" t="s">
        <v>457</v>
      </c>
    </row>
    <row r="954" spans="1:30" x14ac:dyDescent="0.25">
      <c r="A954" t="s">
        <v>8332</v>
      </c>
      <c r="B954" t="s">
        <v>25</v>
      </c>
      <c r="C954" t="s">
        <v>26</v>
      </c>
      <c r="D954" t="s">
        <v>25</v>
      </c>
      <c r="E954" t="s">
        <v>8333</v>
      </c>
      <c r="F954" t="s">
        <v>8334</v>
      </c>
      <c r="G954">
        <v>6788033</v>
      </c>
      <c r="H954" t="s">
        <v>8335</v>
      </c>
      <c r="I954" s="4" t="s">
        <v>35</v>
      </c>
      <c r="J954" s="4" t="s">
        <v>8336</v>
      </c>
      <c r="K954" t="s">
        <v>8337</v>
      </c>
      <c r="L954" t="s">
        <v>44</v>
      </c>
      <c r="M954" t="s">
        <v>8338</v>
      </c>
      <c r="N954" t="s">
        <v>45</v>
      </c>
      <c r="O954" t="s">
        <v>29</v>
      </c>
      <c r="P954" t="s">
        <v>30</v>
      </c>
      <c r="Q954" t="s">
        <v>31</v>
      </c>
      <c r="R954">
        <v>7</v>
      </c>
      <c r="S954" t="s">
        <v>8339</v>
      </c>
      <c r="T954" t="s">
        <v>8340</v>
      </c>
      <c r="U954" t="s">
        <v>6890</v>
      </c>
      <c r="V954" t="s">
        <v>32</v>
      </c>
      <c r="W954" t="s">
        <v>33</v>
      </c>
      <c r="X954" t="s">
        <v>33</v>
      </c>
      <c r="Y954" t="s">
        <v>33</v>
      </c>
      <c r="Z954" s="5" t="s">
        <v>34</v>
      </c>
      <c r="AA954">
        <v>-75.611063999999999</v>
      </c>
      <c r="AB954">
        <v>6.1674889999999998</v>
      </c>
      <c r="AC954" t="s">
        <v>456</v>
      </c>
      <c r="AD954" t="s">
        <v>457</v>
      </c>
    </row>
    <row r="955" spans="1:30" x14ac:dyDescent="0.25">
      <c r="A955" t="s">
        <v>8341</v>
      </c>
      <c r="B955" t="s">
        <v>25</v>
      </c>
      <c r="C955" t="s">
        <v>26</v>
      </c>
      <c r="D955" t="s">
        <v>25</v>
      </c>
      <c r="E955" t="s">
        <v>8333</v>
      </c>
      <c r="F955" t="s">
        <v>8334</v>
      </c>
      <c r="G955">
        <v>6788033</v>
      </c>
      <c r="H955" t="s">
        <v>8335</v>
      </c>
      <c r="I955" s="4" t="s">
        <v>35</v>
      </c>
      <c r="J955" s="4" t="s">
        <v>8336</v>
      </c>
      <c r="K955" t="s">
        <v>8342</v>
      </c>
      <c r="L955" t="s">
        <v>44</v>
      </c>
      <c r="M955" t="s">
        <v>8343</v>
      </c>
      <c r="N955" t="s">
        <v>45</v>
      </c>
      <c r="O955" t="s">
        <v>29</v>
      </c>
      <c r="P955" t="s">
        <v>30</v>
      </c>
      <c r="Q955" t="s">
        <v>31</v>
      </c>
      <c r="R955">
        <v>7</v>
      </c>
      <c r="S955" t="s">
        <v>8339</v>
      </c>
      <c r="T955" t="s">
        <v>8340</v>
      </c>
      <c r="U955" t="s">
        <v>6890</v>
      </c>
      <c r="V955" t="s">
        <v>32</v>
      </c>
      <c r="W955" t="s">
        <v>33</v>
      </c>
      <c r="X955" t="s">
        <v>33</v>
      </c>
      <c r="Y955" t="s">
        <v>33</v>
      </c>
      <c r="Z955" s="5" t="s">
        <v>34</v>
      </c>
      <c r="AA955">
        <v>-75.611063999999999</v>
      </c>
      <c r="AB955">
        <v>6.1674889999999998</v>
      </c>
      <c r="AC955" t="s">
        <v>456</v>
      </c>
      <c r="AD955" t="s">
        <v>457</v>
      </c>
    </row>
    <row r="956" spans="1:30" x14ac:dyDescent="0.25">
      <c r="A956" t="s">
        <v>8344</v>
      </c>
      <c r="B956" t="s">
        <v>25</v>
      </c>
      <c r="C956" t="s">
        <v>26</v>
      </c>
      <c r="D956" t="s">
        <v>25</v>
      </c>
      <c r="E956" t="s">
        <v>8345</v>
      </c>
      <c r="F956" t="s">
        <v>8346</v>
      </c>
      <c r="G956">
        <v>6788033</v>
      </c>
      <c r="H956" t="s">
        <v>8335</v>
      </c>
      <c r="I956" s="4" t="s">
        <v>35</v>
      </c>
      <c r="J956" s="4" t="s">
        <v>8336</v>
      </c>
      <c r="K956" t="s">
        <v>8347</v>
      </c>
      <c r="L956" t="s">
        <v>44</v>
      </c>
      <c r="M956" t="s">
        <v>8348</v>
      </c>
      <c r="N956" t="s">
        <v>45</v>
      </c>
      <c r="O956" t="s">
        <v>29</v>
      </c>
      <c r="P956" t="s">
        <v>30</v>
      </c>
      <c r="Q956" t="s">
        <v>31</v>
      </c>
      <c r="R956">
        <v>7</v>
      </c>
      <c r="S956" t="s">
        <v>8349</v>
      </c>
      <c r="T956" t="s">
        <v>8350</v>
      </c>
      <c r="U956" t="s">
        <v>8351</v>
      </c>
      <c r="V956" t="s">
        <v>32</v>
      </c>
      <c r="W956" t="s">
        <v>33</v>
      </c>
      <c r="X956" t="s">
        <v>33</v>
      </c>
      <c r="Y956" t="s">
        <v>33</v>
      </c>
      <c r="Z956" s="5" t="s">
        <v>34</v>
      </c>
      <c r="AA956">
        <v>-75.611063999999999</v>
      </c>
      <c r="AB956">
        <v>6.1674889999999998</v>
      </c>
      <c r="AC956" t="s">
        <v>456</v>
      </c>
      <c r="AD956" t="s">
        <v>457</v>
      </c>
    </row>
    <row r="957" spans="1:30" x14ac:dyDescent="0.25">
      <c r="A957" t="s">
        <v>8352</v>
      </c>
      <c r="B957" t="s">
        <v>25</v>
      </c>
      <c r="C957" t="s">
        <v>26</v>
      </c>
      <c r="D957" t="s">
        <v>25</v>
      </c>
      <c r="E957" t="s">
        <v>8353</v>
      </c>
      <c r="F957" t="s">
        <v>8354</v>
      </c>
      <c r="G957">
        <v>6788033</v>
      </c>
      <c r="H957" t="s">
        <v>8335</v>
      </c>
      <c r="I957" s="4" t="s">
        <v>35</v>
      </c>
      <c r="J957" s="4" t="s">
        <v>8336</v>
      </c>
      <c r="K957" t="s">
        <v>8355</v>
      </c>
      <c r="L957" t="s">
        <v>44</v>
      </c>
      <c r="M957" t="s">
        <v>8356</v>
      </c>
      <c r="N957" t="s">
        <v>45</v>
      </c>
      <c r="O957" t="s">
        <v>29</v>
      </c>
      <c r="P957" t="s">
        <v>30</v>
      </c>
      <c r="Q957" t="s">
        <v>31</v>
      </c>
      <c r="R957">
        <v>7</v>
      </c>
      <c r="S957" t="s">
        <v>8357</v>
      </c>
      <c r="T957" t="s">
        <v>8358</v>
      </c>
      <c r="U957" t="s">
        <v>8359</v>
      </c>
      <c r="V957" t="s">
        <v>32</v>
      </c>
      <c r="W957" t="s">
        <v>33</v>
      </c>
      <c r="X957" t="s">
        <v>33</v>
      </c>
      <c r="Y957" t="s">
        <v>33</v>
      </c>
      <c r="Z957" s="5" t="s">
        <v>34</v>
      </c>
      <c r="AA957">
        <v>-75.611063999999999</v>
      </c>
      <c r="AB957">
        <v>6.1674889999999998</v>
      </c>
      <c r="AC957" t="s">
        <v>456</v>
      </c>
      <c r="AD957" t="s">
        <v>457</v>
      </c>
    </row>
    <row r="958" spans="1:30" x14ac:dyDescent="0.25">
      <c r="A958" t="s">
        <v>8360</v>
      </c>
      <c r="B958" t="s">
        <v>25</v>
      </c>
      <c r="C958" t="s">
        <v>26</v>
      </c>
      <c r="D958" t="s">
        <v>25</v>
      </c>
      <c r="E958" t="s">
        <v>8361</v>
      </c>
      <c r="F958" t="s">
        <v>8362</v>
      </c>
      <c r="G958">
        <v>901244087</v>
      </c>
      <c r="H958" t="s">
        <v>7701</v>
      </c>
      <c r="I958" s="4" t="s">
        <v>7702</v>
      </c>
      <c r="J958" s="4" t="s">
        <v>7703</v>
      </c>
      <c r="K958" t="s">
        <v>8363</v>
      </c>
      <c r="L958" t="s">
        <v>61</v>
      </c>
      <c r="M958" t="s">
        <v>8364</v>
      </c>
      <c r="N958" t="s">
        <v>63</v>
      </c>
      <c r="O958" t="s">
        <v>29</v>
      </c>
      <c r="P958" t="s">
        <v>55</v>
      </c>
      <c r="Q958" t="s">
        <v>31</v>
      </c>
      <c r="R958">
        <v>7</v>
      </c>
      <c r="S958" t="s">
        <v>8365</v>
      </c>
      <c r="T958" t="s">
        <v>8366</v>
      </c>
      <c r="U958" t="s">
        <v>8367</v>
      </c>
      <c r="V958" t="s">
        <v>32</v>
      </c>
      <c r="W958" t="s">
        <v>33</v>
      </c>
      <c r="X958" t="s">
        <v>33</v>
      </c>
      <c r="Y958" t="s">
        <v>33</v>
      </c>
      <c r="Z958" s="5" t="s">
        <v>34</v>
      </c>
      <c r="AA958">
        <v>-75.641370280000004</v>
      </c>
      <c r="AB958">
        <v>6.1506908300000003</v>
      </c>
      <c r="AC958" t="s">
        <v>456</v>
      </c>
      <c r="AD958" t="s">
        <v>457</v>
      </c>
    </row>
    <row r="959" spans="1:30" x14ac:dyDescent="0.25">
      <c r="A959" t="s">
        <v>8368</v>
      </c>
      <c r="B959" t="s">
        <v>25</v>
      </c>
      <c r="C959" t="s">
        <v>26</v>
      </c>
      <c r="D959" t="s">
        <v>25</v>
      </c>
      <c r="E959" t="s">
        <v>8369</v>
      </c>
      <c r="F959" t="s">
        <v>8370</v>
      </c>
      <c r="G959">
        <v>70723802</v>
      </c>
      <c r="H959" t="s">
        <v>3356</v>
      </c>
      <c r="I959" s="4" t="s">
        <v>35</v>
      </c>
      <c r="J959" s="4" t="s">
        <v>3357</v>
      </c>
      <c r="K959" t="s">
        <v>8371</v>
      </c>
      <c r="L959" t="s">
        <v>27</v>
      </c>
      <c r="M959" t="s">
        <v>8372</v>
      </c>
      <c r="N959" t="s">
        <v>28</v>
      </c>
      <c r="O959" t="s">
        <v>29</v>
      </c>
      <c r="P959" t="s">
        <v>37</v>
      </c>
      <c r="Q959" t="s">
        <v>31</v>
      </c>
      <c r="R959">
        <v>7</v>
      </c>
      <c r="S959" t="s">
        <v>8373</v>
      </c>
      <c r="T959" t="s">
        <v>8374</v>
      </c>
      <c r="U959" t="s">
        <v>8375</v>
      </c>
      <c r="V959" t="s">
        <v>32</v>
      </c>
      <c r="W959" t="s">
        <v>33</v>
      </c>
      <c r="X959" t="s">
        <v>33</v>
      </c>
      <c r="Y959" t="s">
        <v>33</v>
      </c>
      <c r="Z959" s="5" t="s">
        <v>34</v>
      </c>
      <c r="AA959">
        <v>-75.586939299999997</v>
      </c>
      <c r="AB959">
        <v>6.2116381199999999</v>
      </c>
      <c r="AC959" t="s">
        <v>456</v>
      </c>
      <c r="AD959" t="s">
        <v>457</v>
      </c>
    </row>
    <row r="960" spans="1:30" x14ac:dyDescent="0.25">
      <c r="A960" t="s">
        <v>8376</v>
      </c>
      <c r="B960" t="s">
        <v>25</v>
      </c>
      <c r="C960" t="s">
        <v>26</v>
      </c>
      <c r="D960" t="s">
        <v>25</v>
      </c>
      <c r="E960" t="s">
        <v>8377</v>
      </c>
      <c r="F960" t="s">
        <v>8378</v>
      </c>
      <c r="G960">
        <v>1152457195</v>
      </c>
      <c r="H960" t="s">
        <v>8379</v>
      </c>
      <c r="I960" s="4" t="s">
        <v>35</v>
      </c>
      <c r="J960" s="4" t="s">
        <v>8380</v>
      </c>
      <c r="K960" t="s">
        <v>8381</v>
      </c>
      <c r="L960" t="s">
        <v>27</v>
      </c>
      <c r="M960" t="s">
        <v>8382</v>
      </c>
      <c r="N960" t="s">
        <v>28</v>
      </c>
      <c r="O960" t="s">
        <v>29</v>
      </c>
      <c r="P960" t="s">
        <v>37</v>
      </c>
      <c r="Q960" t="s">
        <v>31</v>
      </c>
      <c r="R960">
        <v>7</v>
      </c>
      <c r="S960" t="s">
        <v>8383</v>
      </c>
      <c r="T960" t="s">
        <v>8384</v>
      </c>
      <c r="U960" t="s">
        <v>8385</v>
      </c>
      <c r="V960" t="s">
        <v>32</v>
      </c>
      <c r="W960" t="s">
        <v>33</v>
      </c>
      <c r="X960" t="s">
        <v>33</v>
      </c>
      <c r="Y960" t="s">
        <v>33</v>
      </c>
      <c r="Z960" s="5" t="s">
        <v>34</v>
      </c>
      <c r="AA960">
        <v>-75.607443000000004</v>
      </c>
      <c r="AB960">
        <v>6.2277149999999999</v>
      </c>
      <c r="AC960" t="s">
        <v>456</v>
      </c>
      <c r="AD960" t="s">
        <v>457</v>
      </c>
    </row>
    <row r="961" spans="1:30" x14ac:dyDescent="0.25">
      <c r="A961" t="s">
        <v>8386</v>
      </c>
      <c r="B961" t="s">
        <v>25</v>
      </c>
      <c r="C961" t="s">
        <v>26</v>
      </c>
      <c r="D961" t="s">
        <v>25</v>
      </c>
      <c r="E961" t="s">
        <v>8387</v>
      </c>
      <c r="F961" t="s">
        <v>8388</v>
      </c>
      <c r="G961">
        <v>71661547</v>
      </c>
      <c r="H961" t="s">
        <v>8389</v>
      </c>
      <c r="I961" s="4" t="s">
        <v>35</v>
      </c>
      <c r="J961" s="4" t="s">
        <v>8390</v>
      </c>
      <c r="K961" t="s">
        <v>8391</v>
      </c>
      <c r="L961" t="s">
        <v>27</v>
      </c>
      <c r="M961" t="s">
        <v>8392</v>
      </c>
      <c r="N961" t="s">
        <v>28</v>
      </c>
      <c r="O961" t="s">
        <v>29</v>
      </c>
      <c r="P961" t="s">
        <v>37</v>
      </c>
      <c r="Q961" t="s">
        <v>31</v>
      </c>
      <c r="R961">
        <v>7</v>
      </c>
      <c r="S961" t="s">
        <v>8393</v>
      </c>
      <c r="T961" t="s">
        <v>8394</v>
      </c>
      <c r="U961" t="s">
        <v>8395</v>
      </c>
      <c r="V961" t="s">
        <v>32</v>
      </c>
      <c r="W961" t="s">
        <v>33</v>
      </c>
      <c r="X961" t="s">
        <v>33</v>
      </c>
      <c r="Y961" t="s">
        <v>33</v>
      </c>
      <c r="Z961" s="5" t="s">
        <v>34</v>
      </c>
      <c r="AA961">
        <v>-75.548812029999993</v>
      </c>
      <c r="AB961">
        <v>6.2356052399999999</v>
      </c>
      <c r="AC961" t="s">
        <v>456</v>
      </c>
      <c r="AD961" t="s">
        <v>457</v>
      </c>
    </row>
    <row r="962" spans="1:30" x14ac:dyDescent="0.25">
      <c r="A962" t="s">
        <v>8396</v>
      </c>
      <c r="B962" t="s">
        <v>25</v>
      </c>
      <c r="C962" t="s">
        <v>26</v>
      </c>
      <c r="D962" t="s">
        <v>25</v>
      </c>
      <c r="E962" t="s">
        <v>8397</v>
      </c>
      <c r="F962" t="s">
        <v>8398</v>
      </c>
      <c r="G962">
        <v>1152211782</v>
      </c>
      <c r="H962" t="s">
        <v>8399</v>
      </c>
      <c r="I962" s="4" t="s">
        <v>8400</v>
      </c>
      <c r="J962" s="4" t="s">
        <v>8401</v>
      </c>
      <c r="K962" t="s">
        <v>8402</v>
      </c>
      <c r="L962" t="s">
        <v>27</v>
      </c>
      <c r="M962" t="s">
        <v>8403</v>
      </c>
      <c r="N962" t="s">
        <v>28</v>
      </c>
      <c r="O962" t="s">
        <v>29</v>
      </c>
      <c r="P962" t="s">
        <v>37</v>
      </c>
      <c r="Q962" t="s">
        <v>31</v>
      </c>
      <c r="R962">
        <v>7</v>
      </c>
      <c r="S962" t="s">
        <v>8404</v>
      </c>
      <c r="T962" t="s">
        <v>6546</v>
      </c>
      <c r="U962" t="s">
        <v>8405</v>
      </c>
      <c r="V962" t="s">
        <v>32</v>
      </c>
      <c r="W962" t="s">
        <v>33</v>
      </c>
      <c r="X962" t="s">
        <v>33</v>
      </c>
      <c r="Y962" t="s">
        <v>33</v>
      </c>
      <c r="Z962" s="5" t="s">
        <v>34</v>
      </c>
      <c r="AA962">
        <v>-75.555242030000002</v>
      </c>
      <c r="AB962">
        <v>6.2334978799999998</v>
      </c>
      <c r="AC962" t="s">
        <v>456</v>
      </c>
      <c r="AD962" t="s">
        <v>457</v>
      </c>
    </row>
    <row r="963" spans="1:30" x14ac:dyDescent="0.25">
      <c r="A963" t="s">
        <v>8406</v>
      </c>
      <c r="B963" t="s">
        <v>25</v>
      </c>
      <c r="C963" t="s">
        <v>26</v>
      </c>
      <c r="D963" t="s">
        <v>25</v>
      </c>
      <c r="E963" t="s">
        <v>8407</v>
      </c>
      <c r="F963" t="s">
        <v>8408</v>
      </c>
      <c r="G963">
        <v>8015766</v>
      </c>
      <c r="H963" t="s">
        <v>8409</v>
      </c>
      <c r="I963" s="4" t="s">
        <v>35</v>
      </c>
      <c r="J963" s="4" t="s">
        <v>8410</v>
      </c>
      <c r="K963" t="s">
        <v>8411</v>
      </c>
      <c r="L963" t="s">
        <v>27</v>
      </c>
      <c r="M963" t="s">
        <v>8412</v>
      </c>
      <c r="N963" t="s">
        <v>28</v>
      </c>
      <c r="O963" t="s">
        <v>29</v>
      </c>
      <c r="P963" t="s">
        <v>37</v>
      </c>
      <c r="Q963" t="s">
        <v>31</v>
      </c>
      <c r="R963">
        <v>7</v>
      </c>
      <c r="S963" t="s">
        <v>8413</v>
      </c>
      <c r="T963" t="s">
        <v>8414</v>
      </c>
      <c r="U963" t="s">
        <v>8415</v>
      </c>
      <c r="V963" t="s">
        <v>32</v>
      </c>
      <c r="W963" t="s">
        <v>33</v>
      </c>
      <c r="X963" t="s">
        <v>33</v>
      </c>
      <c r="Y963" t="s">
        <v>33</v>
      </c>
      <c r="Z963" s="5" t="s">
        <v>34</v>
      </c>
      <c r="AA963">
        <v>-75.640937480000005</v>
      </c>
      <c r="AB963">
        <v>6.1732368700000002</v>
      </c>
      <c r="AC963" t="s">
        <v>456</v>
      </c>
      <c r="AD963" t="s">
        <v>457</v>
      </c>
    </row>
    <row r="964" spans="1:30" x14ac:dyDescent="0.25">
      <c r="A964" t="s">
        <v>8416</v>
      </c>
      <c r="B964" t="s">
        <v>25</v>
      </c>
      <c r="C964" t="s">
        <v>26</v>
      </c>
      <c r="D964" t="s">
        <v>25</v>
      </c>
      <c r="E964" t="s">
        <v>8417</v>
      </c>
      <c r="F964" t="s">
        <v>8418</v>
      </c>
      <c r="G964">
        <v>98514738</v>
      </c>
      <c r="H964" t="s">
        <v>8419</v>
      </c>
      <c r="I964" s="4" t="s">
        <v>35</v>
      </c>
      <c r="J964" s="4" t="s">
        <v>8420</v>
      </c>
      <c r="K964" t="s">
        <v>8421</v>
      </c>
      <c r="L964" t="s">
        <v>27</v>
      </c>
      <c r="M964" t="s">
        <v>8422</v>
      </c>
      <c r="N964" t="s">
        <v>28</v>
      </c>
      <c r="O964" t="s">
        <v>29</v>
      </c>
      <c r="P964" t="s">
        <v>37</v>
      </c>
      <c r="Q964" t="s">
        <v>38</v>
      </c>
      <c r="R964">
        <v>10</v>
      </c>
      <c r="S964" t="s">
        <v>8423</v>
      </c>
      <c r="T964" t="s">
        <v>8424</v>
      </c>
      <c r="U964" t="s">
        <v>8425</v>
      </c>
      <c r="V964" t="s">
        <v>32</v>
      </c>
      <c r="W964" t="s">
        <v>33</v>
      </c>
      <c r="X964" t="s">
        <v>33</v>
      </c>
      <c r="Y964" t="s">
        <v>33</v>
      </c>
      <c r="Z964" s="5" t="s">
        <v>34</v>
      </c>
      <c r="AA964">
        <v>-75.493556220000002</v>
      </c>
      <c r="AB964">
        <v>6.2040910699999996</v>
      </c>
      <c r="AC964" t="s">
        <v>456</v>
      </c>
      <c r="AD964" t="s">
        <v>457</v>
      </c>
    </row>
    <row r="965" spans="1:30" x14ac:dyDescent="0.25">
      <c r="A965" t="s">
        <v>8426</v>
      </c>
      <c r="B965" t="s">
        <v>25</v>
      </c>
      <c r="C965" t="s">
        <v>26</v>
      </c>
      <c r="D965" t="s">
        <v>25</v>
      </c>
      <c r="E965" t="s">
        <v>8427</v>
      </c>
      <c r="F965" t="s">
        <v>8428</v>
      </c>
      <c r="G965">
        <v>6788033</v>
      </c>
      <c r="H965" t="s">
        <v>8335</v>
      </c>
      <c r="I965" s="4" t="s">
        <v>35</v>
      </c>
      <c r="J965" s="4" t="s">
        <v>8336</v>
      </c>
      <c r="K965" t="s">
        <v>8429</v>
      </c>
      <c r="L965" t="s">
        <v>44</v>
      </c>
      <c r="M965" t="s">
        <v>8430</v>
      </c>
      <c r="N965" t="s">
        <v>45</v>
      </c>
      <c r="O965" t="s">
        <v>29</v>
      </c>
      <c r="P965" t="s">
        <v>30</v>
      </c>
      <c r="Q965" t="s">
        <v>31</v>
      </c>
      <c r="R965">
        <v>7</v>
      </c>
      <c r="S965" t="s">
        <v>8431</v>
      </c>
      <c r="T965" t="s">
        <v>6911</v>
      </c>
      <c r="U965" t="s">
        <v>8432</v>
      </c>
      <c r="V965" t="s">
        <v>32</v>
      </c>
      <c r="W965" t="s">
        <v>33</v>
      </c>
      <c r="X965" t="s">
        <v>33</v>
      </c>
      <c r="Y965" t="s">
        <v>33</v>
      </c>
      <c r="Z965" s="5" t="s">
        <v>34</v>
      </c>
      <c r="AA965">
        <v>-75.611063999999999</v>
      </c>
      <c r="AB965">
        <v>6.1674889999999998</v>
      </c>
      <c r="AC965" t="s">
        <v>456</v>
      </c>
      <c r="AD965" t="s">
        <v>457</v>
      </c>
    </row>
    <row r="966" spans="1:30" x14ac:dyDescent="0.25">
      <c r="A966" t="s">
        <v>8433</v>
      </c>
      <c r="B966" t="s">
        <v>25</v>
      </c>
      <c r="C966" t="s">
        <v>26</v>
      </c>
      <c r="D966" t="s">
        <v>25</v>
      </c>
      <c r="E966" t="s">
        <v>8434</v>
      </c>
      <c r="F966" t="s">
        <v>8435</v>
      </c>
      <c r="G966">
        <v>42780898</v>
      </c>
      <c r="H966" t="s">
        <v>8436</v>
      </c>
      <c r="I966" s="4" t="s">
        <v>35</v>
      </c>
      <c r="J966" s="4" t="s">
        <v>8437</v>
      </c>
      <c r="K966" t="s">
        <v>8438</v>
      </c>
      <c r="L966" t="s">
        <v>44</v>
      </c>
      <c r="M966" t="s">
        <v>8439</v>
      </c>
      <c r="N966" t="s">
        <v>45</v>
      </c>
      <c r="O966" t="s">
        <v>29</v>
      </c>
      <c r="P966" t="s">
        <v>37</v>
      </c>
      <c r="Q966" t="s">
        <v>31</v>
      </c>
      <c r="R966">
        <v>7</v>
      </c>
      <c r="S966" t="s">
        <v>8440</v>
      </c>
      <c r="T966" t="s">
        <v>8441</v>
      </c>
      <c r="U966" t="s">
        <v>8442</v>
      </c>
      <c r="V966" t="s">
        <v>32</v>
      </c>
      <c r="W966" t="s">
        <v>33</v>
      </c>
      <c r="X966" t="s">
        <v>33</v>
      </c>
      <c r="Y966" t="s">
        <v>33</v>
      </c>
      <c r="Z966" s="5" t="s">
        <v>34</v>
      </c>
      <c r="AA966">
        <v>-75.620338739999994</v>
      </c>
      <c r="AB966">
        <v>6.1633239700000004</v>
      </c>
      <c r="AC966" t="s">
        <v>456</v>
      </c>
      <c r="AD966" t="s">
        <v>457</v>
      </c>
    </row>
    <row r="967" spans="1:30" x14ac:dyDescent="0.25">
      <c r="A967" t="s">
        <v>8443</v>
      </c>
      <c r="B967" t="s">
        <v>25</v>
      </c>
      <c r="C967" t="s">
        <v>26</v>
      </c>
      <c r="D967" t="s">
        <v>25</v>
      </c>
      <c r="E967" t="s">
        <v>8444</v>
      </c>
      <c r="F967" t="s">
        <v>8445</v>
      </c>
      <c r="G967">
        <v>901244087</v>
      </c>
      <c r="H967" t="s">
        <v>7701</v>
      </c>
      <c r="I967" s="4" t="s">
        <v>7702</v>
      </c>
      <c r="J967" s="4" t="s">
        <v>7703</v>
      </c>
      <c r="K967" t="s">
        <v>8446</v>
      </c>
      <c r="L967" t="s">
        <v>61</v>
      </c>
      <c r="M967" t="s">
        <v>8447</v>
      </c>
      <c r="N967" t="s">
        <v>63</v>
      </c>
      <c r="O967" t="s">
        <v>29</v>
      </c>
      <c r="P967" t="s">
        <v>30</v>
      </c>
      <c r="Q967" t="s">
        <v>31</v>
      </c>
      <c r="R967">
        <v>7</v>
      </c>
      <c r="S967" t="s">
        <v>8448</v>
      </c>
      <c r="T967" t="s">
        <v>8449</v>
      </c>
      <c r="U967" t="s">
        <v>8450</v>
      </c>
      <c r="V967" t="s">
        <v>32</v>
      </c>
      <c r="W967" t="s">
        <v>33</v>
      </c>
      <c r="X967" t="s">
        <v>33</v>
      </c>
      <c r="Y967" t="s">
        <v>33</v>
      </c>
      <c r="Z967" s="5" t="s">
        <v>34</v>
      </c>
      <c r="AA967">
        <v>-75.641370280000004</v>
      </c>
      <c r="AB967">
        <v>6.1506908300000003</v>
      </c>
      <c r="AC967" t="s">
        <v>456</v>
      </c>
      <c r="AD967" t="s">
        <v>457</v>
      </c>
    </row>
    <row r="968" spans="1:30" x14ac:dyDescent="0.25">
      <c r="A968" t="s">
        <v>8451</v>
      </c>
      <c r="B968" t="s">
        <v>25</v>
      </c>
      <c r="C968" t="s">
        <v>26</v>
      </c>
      <c r="D968" t="s">
        <v>25</v>
      </c>
      <c r="E968" t="s">
        <v>8452</v>
      </c>
      <c r="F968" t="s">
        <v>8453</v>
      </c>
      <c r="G968">
        <v>901244087</v>
      </c>
      <c r="H968" t="s">
        <v>7701</v>
      </c>
      <c r="I968" s="4" t="s">
        <v>7702</v>
      </c>
      <c r="J968" s="4" t="s">
        <v>7703</v>
      </c>
      <c r="K968" t="s">
        <v>8454</v>
      </c>
      <c r="L968" t="s">
        <v>61</v>
      </c>
      <c r="M968" t="s">
        <v>8455</v>
      </c>
      <c r="N968" t="s">
        <v>63</v>
      </c>
      <c r="O968" t="s">
        <v>29</v>
      </c>
      <c r="P968" t="s">
        <v>55</v>
      </c>
      <c r="Q968" t="s">
        <v>31</v>
      </c>
      <c r="R968">
        <v>7</v>
      </c>
      <c r="S968" t="s">
        <v>8456</v>
      </c>
      <c r="T968" t="s">
        <v>8449</v>
      </c>
      <c r="U968" t="s">
        <v>8450</v>
      </c>
      <c r="V968" t="s">
        <v>32</v>
      </c>
      <c r="W968" t="s">
        <v>33</v>
      </c>
      <c r="X968" t="s">
        <v>33</v>
      </c>
      <c r="Y968" t="s">
        <v>33</v>
      </c>
      <c r="Z968" s="5" t="s">
        <v>34</v>
      </c>
      <c r="AA968">
        <v>-75.641370280000004</v>
      </c>
      <c r="AB968">
        <v>6.1506908300000003</v>
      </c>
      <c r="AC968" t="s">
        <v>456</v>
      </c>
      <c r="AD968" t="s">
        <v>457</v>
      </c>
    </row>
    <row r="969" spans="1:30" x14ac:dyDescent="0.25">
      <c r="A969" t="s">
        <v>8457</v>
      </c>
      <c r="B969" t="s">
        <v>25</v>
      </c>
      <c r="C969" t="s">
        <v>26</v>
      </c>
      <c r="D969" t="s">
        <v>25</v>
      </c>
      <c r="E969" t="s">
        <v>8452</v>
      </c>
      <c r="F969" t="s">
        <v>8453</v>
      </c>
      <c r="G969">
        <v>901244087</v>
      </c>
      <c r="H969" t="s">
        <v>7701</v>
      </c>
      <c r="I969" s="4" t="s">
        <v>7702</v>
      </c>
      <c r="J969" s="4" t="s">
        <v>7703</v>
      </c>
      <c r="K969" t="s">
        <v>8458</v>
      </c>
      <c r="L969" t="s">
        <v>61</v>
      </c>
      <c r="M969" t="s">
        <v>8459</v>
      </c>
      <c r="N969" t="s">
        <v>63</v>
      </c>
      <c r="O969" t="s">
        <v>29</v>
      </c>
      <c r="P969" t="s">
        <v>55</v>
      </c>
      <c r="Q969" t="s">
        <v>31</v>
      </c>
      <c r="R969">
        <v>7</v>
      </c>
      <c r="S969" t="s">
        <v>8456</v>
      </c>
      <c r="T969" t="s">
        <v>8449</v>
      </c>
      <c r="U969" t="s">
        <v>8450</v>
      </c>
      <c r="V969" t="s">
        <v>32</v>
      </c>
      <c r="W969" t="s">
        <v>33</v>
      </c>
      <c r="X969" t="s">
        <v>33</v>
      </c>
      <c r="Y969" t="s">
        <v>33</v>
      </c>
      <c r="Z969" s="5" t="s">
        <v>34</v>
      </c>
      <c r="AA969">
        <v>-75.641370280000004</v>
      </c>
      <c r="AB969">
        <v>6.1506908300000003</v>
      </c>
      <c r="AC969" t="s">
        <v>456</v>
      </c>
      <c r="AD969" t="s">
        <v>457</v>
      </c>
    </row>
    <row r="970" spans="1:30" x14ac:dyDescent="0.25">
      <c r="A970" t="s">
        <v>8460</v>
      </c>
      <c r="B970" t="s">
        <v>25</v>
      </c>
      <c r="C970" t="s">
        <v>26</v>
      </c>
      <c r="D970" t="s">
        <v>25</v>
      </c>
      <c r="E970" t="s">
        <v>8452</v>
      </c>
      <c r="F970" t="s">
        <v>8453</v>
      </c>
      <c r="G970">
        <v>901244087</v>
      </c>
      <c r="H970" t="s">
        <v>7701</v>
      </c>
      <c r="I970" s="4" t="s">
        <v>7702</v>
      </c>
      <c r="J970" s="4" t="s">
        <v>7703</v>
      </c>
      <c r="K970" t="s">
        <v>8461</v>
      </c>
      <c r="L970" t="s">
        <v>61</v>
      </c>
      <c r="M970" t="s">
        <v>8462</v>
      </c>
      <c r="N970" t="s">
        <v>63</v>
      </c>
      <c r="O970" t="s">
        <v>29</v>
      </c>
      <c r="P970" t="s">
        <v>55</v>
      </c>
      <c r="Q970" t="s">
        <v>31</v>
      </c>
      <c r="R970">
        <v>7</v>
      </c>
      <c r="S970" t="s">
        <v>8456</v>
      </c>
      <c r="T970" t="s">
        <v>8449</v>
      </c>
      <c r="U970" t="s">
        <v>8450</v>
      </c>
      <c r="V970" t="s">
        <v>32</v>
      </c>
      <c r="W970" t="s">
        <v>33</v>
      </c>
      <c r="X970" t="s">
        <v>33</v>
      </c>
      <c r="Y970" t="s">
        <v>33</v>
      </c>
      <c r="Z970" s="5" t="s">
        <v>34</v>
      </c>
      <c r="AA970">
        <v>-75.641370280000004</v>
      </c>
      <c r="AB970">
        <v>6.1506908300000003</v>
      </c>
      <c r="AC970" t="s">
        <v>456</v>
      </c>
      <c r="AD970" t="s">
        <v>457</v>
      </c>
    </row>
    <row r="971" spans="1:30" x14ac:dyDescent="0.25">
      <c r="A971" t="s">
        <v>8463</v>
      </c>
      <c r="B971" t="s">
        <v>25</v>
      </c>
      <c r="C971" t="s">
        <v>26</v>
      </c>
      <c r="D971" t="s">
        <v>25</v>
      </c>
      <c r="E971" t="s">
        <v>8464</v>
      </c>
      <c r="F971" t="s">
        <v>8465</v>
      </c>
      <c r="G971">
        <v>901244087</v>
      </c>
      <c r="H971" t="s">
        <v>7701</v>
      </c>
      <c r="I971" s="4" t="s">
        <v>7702</v>
      </c>
      <c r="J971" s="4" t="s">
        <v>7703</v>
      </c>
      <c r="K971" t="s">
        <v>8466</v>
      </c>
      <c r="L971" t="s">
        <v>61</v>
      </c>
      <c r="M971" t="s">
        <v>8467</v>
      </c>
      <c r="N971" t="s">
        <v>63</v>
      </c>
      <c r="O971" t="s">
        <v>29</v>
      </c>
      <c r="P971" t="s">
        <v>55</v>
      </c>
      <c r="Q971" t="s">
        <v>31</v>
      </c>
      <c r="R971">
        <v>7</v>
      </c>
      <c r="S971" t="s">
        <v>8468</v>
      </c>
      <c r="T971" t="s">
        <v>8449</v>
      </c>
      <c r="U971" t="s">
        <v>8450</v>
      </c>
      <c r="V971" t="s">
        <v>32</v>
      </c>
      <c r="W971" t="s">
        <v>33</v>
      </c>
      <c r="X971" t="s">
        <v>33</v>
      </c>
      <c r="Y971" t="s">
        <v>33</v>
      </c>
      <c r="Z971" s="5" t="s">
        <v>34</v>
      </c>
      <c r="AA971">
        <v>-75.641370280000004</v>
      </c>
      <c r="AB971">
        <v>6.1506908300000003</v>
      </c>
      <c r="AC971" t="s">
        <v>456</v>
      </c>
      <c r="AD971" t="s">
        <v>457</v>
      </c>
    </row>
    <row r="972" spans="1:30" x14ac:dyDescent="0.25">
      <c r="A972" t="s">
        <v>8469</v>
      </c>
      <c r="B972" t="s">
        <v>25</v>
      </c>
      <c r="C972" t="s">
        <v>26</v>
      </c>
      <c r="D972" t="s">
        <v>25</v>
      </c>
      <c r="E972" t="s">
        <v>8470</v>
      </c>
      <c r="F972" t="s">
        <v>8471</v>
      </c>
      <c r="G972">
        <v>901244087</v>
      </c>
      <c r="H972" t="s">
        <v>7701</v>
      </c>
      <c r="I972" s="4" t="s">
        <v>7702</v>
      </c>
      <c r="J972" s="4" t="s">
        <v>7703</v>
      </c>
      <c r="K972" t="s">
        <v>8472</v>
      </c>
      <c r="L972" t="s">
        <v>61</v>
      </c>
      <c r="M972" t="s">
        <v>8473</v>
      </c>
      <c r="N972" t="s">
        <v>63</v>
      </c>
      <c r="O972" t="s">
        <v>29</v>
      </c>
      <c r="P972" t="s">
        <v>55</v>
      </c>
      <c r="Q972" t="s">
        <v>31</v>
      </c>
      <c r="R972">
        <v>7</v>
      </c>
      <c r="S972" t="s">
        <v>8474</v>
      </c>
      <c r="T972" t="s">
        <v>8449</v>
      </c>
      <c r="U972" t="s">
        <v>8450</v>
      </c>
      <c r="V972" t="s">
        <v>32</v>
      </c>
      <c r="W972" t="s">
        <v>33</v>
      </c>
      <c r="X972" t="s">
        <v>33</v>
      </c>
      <c r="Y972" t="s">
        <v>33</v>
      </c>
      <c r="Z972" s="5" t="s">
        <v>34</v>
      </c>
      <c r="AA972">
        <v>-75.641370280000004</v>
      </c>
      <c r="AB972">
        <v>6.1506908300000003</v>
      </c>
      <c r="AC972" t="s">
        <v>456</v>
      </c>
      <c r="AD972" t="s">
        <v>457</v>
      </c>
    </row>
    <row r="973" spans="1:30" x14ac:dyDescent="0.25">
      <c r="A973" t="s">
        <v>8475</v>
      </c>
      <c r="B973" t="s">
        <v>25</v>
      </c>
      <c r="C973" t="s">
        <v>26</v>
      </c>
      <c r="D973" t="s">
        <v>25</v>
      </c>
      <c r="E973" t="s">
        <v>8476</v>
      </c>
      <c r="F973" t="s">
        <v>8477</v>
      </c>
      <c r="G973">
        <v>901244087</v>
      </c>
      <c r="H973" t="s">
        <v>7701</v>
      </c>
      <c r="I973" s="4" t="s">
        <v>7702</v>
      </c>
      <c r="J973" s="4" t="s">
        <v>7703</v>
      </c>
      <c r="K973" t="s">
        <v>8478</v>
      </c>
      <c r="L973" t="s">
        <v>61</v>
      </c>
      <c r="M973" t="s">
        <v>8479</v>
      </c>
      <c r="N973" t="s">
        <v>63</v>
      </c>
      <c r="O973" t="s">
        <v>29</v>
      </c>
      <c r="P973" t="s">
        <v>55</v>
      </c>
      <c r="Q973" t="s">
        <v>31</v>
      </c>
      <c r="R973">
        <v>7</v>
      </c>
      <c r="S973" t="s">
        <v>8480</v>
      </c>
      <c r="T973" t="s">
        <v>8449</v>
      </c>
      <c r="U973" t="s">
        <v>8450</v>
      </c>
      <c r="V973" t="s">
        <v>32</v>
      </c>
      <c r="W973" t="s">
        <v>33</v>
      </c>
      <c r="X973" t="s">
        <v>33</v>
      </c>
      <c r="Y973" t="s">
        <v>33</v>
      </c>
      <c r="Z973" s="5" t="s">
        <v>34</v>
      </c>
      <c r="AA973">
        <v>-75.641370280000004</v>
      </c>
      <c r="AB973">
        <v>6.1506908300000003</v>
      </c>
      <c r="AC973" t="s">
        <v>456</v>
      </c>
      <c r="AD973" t="s">
        <v>457</v>
      </c>
    </row>
    <row r="974" spans="1:30" x14ac:dyDescent="0.25">
      <c r="A974" t="s">
        <v>8481</v>
      </c>
      <c r="B974" t="s">
        <v>25</v>
      </c>
      <c r="C974" t="s">
        <v>26</v>
      </c>
      <c r="D974" t="s">
        <v>25</v>
      </c>
      <c r="E974" t="s">
        <v>8482</v>
      </c>
      <c r="F974" t="s">
        <v>8483</v>
      </c>
      <c r="G974">
        <v>901244087</v>
      </c>
      <c r="H974" t="s">
        <v>7701</v>
      </c>
      <c r="I974" s="4" t="s">
        <v>7702</v>
      </c>
      <c r="J974" s="4" t="s">
        <v>7703</v>
      </c>
      <c r="K974" t="s">
        <v>8484</v>
      </c>
      <c r="L974" t="s">
        <v>61</v>
      </c>
      <c r="M974" t="s">
        <v>8485</v>
      </c>
      <c r="N974" t="s">
        <v>63</v>
      </c>
      <c r="O974" t="s">
        <v>29</v>
      </c>
      <c r="P974" t="s">
        <v>30</v>
      </c>
      <c r="Q974" t="s">
        <v>31</v>
      </c>
      <c r="R974">
        <v>7</v>
      </c>
      <c r="S974" t="s">
        <v>8486</v>
      </c>
      <c r="T974" t="s">
        <v>8449</v>
      </c>
      <c r="U974" t="s">
        <v>8450</v>
      </c>
      <c r="V974" t="s">
        <v>32</v>
      </c>
      <c r="W974" t="s">
        <v>33</v>
      </c>
      <c r="X974" t="s">
        <v>33</v>
      </c>
      <c r="Y974" t="s">
        <v>33</v>
      </c>
      <c r="Z974" s="5" t="s">
        <v>34</v>
      </c>
      <c r="AA974">
        <v>-75.641370280000004</v>
      </c>
      <c r="AB974">
        <v>6.1506908300000003</v>
      </c>
      <c r="AC974" t="s">
        <v>456</v>
      </c>
      <c r="AD974" t="s">
        <v>457</v>
      </c>
    </row>
    <row r="975" spans="1:30" x14ac:dyDescent="0.25">
      <c r="A975" t="s">
        <v>8487</v>
      </c>
      <c r="B975" t="s">
        <v>25</v>
      </c>
      <c r="C975" t="s">
        <v>26</v>
      </c>
      <c r="D975" t="s">
        <v>25</v>
      </c>
      <c r="E975" t="s">
        <v>8488</v>
      </c>
      <c r="F975" t="s">
        <v>8489</v>
      </c>
      <c r="G975">
        <v>901244087</v>
      </c>
      <c r="H975" t="s">
        <v>7701</v>
      </c>
      <c r="I975" s="4" t="s">
        <v>7702</v>
      </c>
      <c r="J975" s="4" t="s">
        <v>7703</v>
      </c>
      <c r="K975" t="s">
        <v>8490</v>
      </c>
      <c r="L975" t="s">
        <v>61</v>
      </c>
      <c r="M975" t="s">
        <v>8491</v>
      </c>
      <c r="N975" t="s">
        <v>63</v>
      </c>
      <c r="O975" t="s">
        <v>29</v>
      </c>
      <c r="P975" t="s">
        <v>55</v>
      </c>
      <c r="Q975" t="s">
        <v>31</v>
      </c>
      <c r="R975">
        <v>7</v>
      </c>
      <c r="S975" t="s">
        <v>8492</v>
      </c>
      <c r="T975" t="s">
        <v>8449</v>
      </c>
      <c r="U975" t="s">
        <v>8450</v>
      </c>
      <c r="V975" t="s">
        <v>32</v>
      </c>
      <c r="W975" t="s">
        <v>33</v>
      </c>
      <c r="X975" t="s">
        <v>33</v>
      </c>
      <c r="Y975" t="s">
        <v>33</v>
      </c>
      <c r="Z975" s="5" t="s">
        <v>34</v>
      </c>
      <c r="AA975">
        <v>-75.641370280000004</v>
      </c>
      <c r="AB975">
        <v>6.1506908300000003</v>
      </c>
      <c r="AC975" t="s">
        <v>456</v>
      </c>
      <c r="AD975" t="s">
        <v>457</v>
      </c>
    </row>
    <row r="976" spans="1:30" x14ac:dyDescent="0.25">
      <c r="A976" t="s">
        <v>8493</v>
      </c>
      <c r="B976" t="s">
        <v>25</v>
      </c>
      <c r="C976" t="s">
        <v>26</v>
      </c>
      <c r="D976" t="s">
        <v>25</v>
      </c>
      <c r="E976" t="s">
        <v>8488</v>
      </c>
      <c r="F976" t="s">
        <v>8489</v>
      </c>
      <c r="G976">
        <v>901244087</v>
      </c>
      <c r="H976" t="s">
        <v>7701</v>
      </c>
      <c r="I976" s="4" t="s">
        <v>7702</v>
      </c>
      <c r="J976" s="4" t="s">
        <v>7703</v>
      </c>
      <c r="K976" t="s">
        <v>8494</v>
      </c>
      <c r="L976" t="s">
        <v>61</v>
      </c>
      <c r="M976" t="s">
        <v>8495</v>
      </c>
      <c r="N976" t="s">
        <v>63</v>
      </c>
      <c r="O976" t="s">
        <v>29</v>
      </c>
      <c r="P976" t="s">
        <v>30</v>
      </c>
      <c r="Q976" t="s">
        <v>31</v>
      </c>
      <c r="R976">
        <v>7</v>
      </c>
      <c r="S976" t="s">
        <v>8492</v>
      </c>
      <c r="T976" t="s">
        <v>8449</v>
      </c>
      <c r="U976" t="s">
        <v>8450</v>
      </c>
      <c r="V976" t="s">
        <v>32</v>
      </c>
      <c r="W976" t="s">
        <v>33</v>
      </c>
      <c r="X976" t="s">
        <v>33</v>
      </c>
      <c r="Y976" t="s">
        <v>33</v>
      </c>
      <c r="Z976" s="5" t="s">
        <v>34</v>
      </c>
      <c r="AA976">
        <v>-75.641370280000004</v>
      </c>
      <c r="AB976">
        <v>6.1506908300000003</v>
      </c>
      <c r="AC976" t="s">
        <v>456</v>
      </c>
      <c r="AD976" t="s">
        <v>457</v>
      </c>
    </row>
    <row r="977" spans="1:30" x14ac:dyDescent="0.25">
      <c r="A977" t="s">
        <v>8496</v>
      </c>
      <c r="B977" t="s">
        <v>25</v>
      </c>
      <c r="C977" t="s">
        <v>26</v>
      </c>
      <c r="D977" t="s">
        <v>25</v>
      </c>
      <c r="E977" t="s">
        <v>8488</v>
      </c>
      <c r="F977" t="s">
        <v>8489</v>
      </c>
      <c r="G977">
        <v>901244087</v>
      </c>
      <c r="H977" t="s">
        <v>7701</v>
      </c>
      <c r="I977" s="4" t="s">
        <v>7702</v>
      </c>
      <c r="J977" s="4" t="s">
        <v>7703</v>
      </c>
      <c r="K977" t="s">
        <v>8497</v>
      </c>
      <c r="L977" t="s">
        <v>61</v>
      </c>
      <c r="M977" t="s">
        <v>8498</v>
      </c>
      <c r="N977" t="s">
        <v>63</v>
      </c>
      <c r="O977" t="s">
        <v>29</v>
      </c>
      <c r="P977" t="s">
        <v>55</v>
      </c>
      <c r="Q977" t="s">
        <v>31</v>
      </c>
      <c r="R977">
        <v>7</v>
      </c>
      <c r="S977" t="s">
        <v>8492</v>
      </c>
      <c r="T977" t="s">
        <v>8449</v>
      </c>
      <c r="U977" t="s">
        <v>8450</v>
      </c>
      <c r="V977" t="s">
        <v>32</v>
      </c>
      <c r="W977" t="s">
        <v>33</v>
      </c>
      <c r="X977" t="s">
        <v>33</v>
      </c>
      <c r="Y977" t="s">
        <v>33</v>
      </c>
      <c r="Z977" s="5" t="s">
        <v>34</v>
      </c>
      <c r="AA977">
        <v>-75.641370280000004</v>
      </c>
      <c r="AB977">
        <v>6.1506908300000003</v>
      </c>
      <c r="AC977" t="s">
        <v>456</v>
      </c>
      <c r="AD977" t="s">
        <v>457</v>
      </c>
    </row>
    <row r="978" spans="1:30" x14ac:dyDescent="0.25">
      <c r="A978" t="s">
        <v>8499</v>
      </c>
      <c r="B978" t="s">
        <v>25</v>
      </c>
      <c r="C978" t="s">
        <v>26</v>
      </c>
      <c r="D978" t="s">
        <v>25</v>
      </c>
      <c r="E978" t="s">
        <v>8488</v>
      </c>
      <c r="F978" t="s">
        <v>8489</v>
      </c>
      <c r="G978">
        <v>901244087</v>
      </c>
      <c r="H978" t="s">
        <v>7701</v>
      </c>
      <c r="I978" s="4" t="s">
        <v>7702</v>
      </c>
      <c r="J978" s="4" t="s">
        <v>7703</v>
      </c>
      <c r="K978" t="s">
        <v>8500</v>
      </c>
      <c r="L978" t="s">
        <v>61</v>
      </c>
      <c r="M978" t="s">
        <v>8501</v>
      </c>
      <c r="N978" t="s">
        <v>63</v>
      </c>
      <c r="O978" t="s">
        <v>29</v>
      </c>
      <c r="P978" t="s">
        <v>30</v>
      </c>
      <c r="Q978" t="s">
        <v>31</v>
      </c>
      <c r="R978">
        <v>7</v>
      </c>
      <c r="S978" t="s">
        <v>8492</v>
      </c>
      <c r="T978" t="s">
        <v>8449</v>
      </c>
      <c r="U978" t="s">
        <v>8450</v>
      </c>
      <c r="V978" t="s">
        <v>32</v>
      </c>
      <c r="W978" t="s">
        <v>33</v>
      </c>
      <c r="X978" t="s">
        <v>33</v>
      </c>
      <c r="Y978" t="s">
        <v>33</v>
      </c>
      <c r="Z978" s="5" t="s">
        <v>34</v>
      </c>
      <c r="AA978">
        <v>-75.641370280000004</v>
      </c>
      <c r="AB978">
        <v>6.1506908300000003</v>
      </c>
      <c r="AC978" t="s">
        <v>456</v>
      </c>
      <c r="AD978" t="s">
        <v>457</v>
      </c>
    </row>
    <row r="979" spans="1:30" x14ac:dyDescent="0.25">
      <c r="A979" t="s">
        <v>8502</v>
      </c>
      <c r="B979" t="s">
        <v>25</v>
      </c>
      <c r="C979" t="s">
        <v>26</v>
      </c>
      <c r="D979" t="s">
        <v>25</v>
      </c>
      <c r="E979" t="s">
        <v>8503</v>
      </c>
      <c r="F979" t="s">
        <v>8504</v>
      </c>
      <c r="G979">
        <v>901244087</v>
      </c>
      <c r="H979" t="s">
        <v>7701</v>
      </c>
      <c r="I979" s="4" t="s">
        <v>7702</v>
      </c>
      <c r="J979" s="4" t="s">
        <v>7703</v>
      </c>
      <c r="K979" t="s">
        <v>8505</v>
      </c>
      <c r="L979" t="s">
        <v>61</v>
      </c>
      <c r="M979" t="s">
        <v>8506</v>
      </c>
      <c r="N979" t="s">
        <v>63</v>
      </c>
      <c r="O979" t="s">
        <v>29</v>
      </c>
      <c r="P979" t="s">
        <v>55</v>
      </c>
      <c r="Q979" t="s">
        <v>31</v>
      </c>
      <c r="R979">
        <v>7</v>
      </c>
      <c r="S979" t="s">
        <v>8507</v>
      </c>
      <c r="T979" t="s">
        <v>8449</v>
      </c>
      <c r="U979" t="s">
        <v>8450</v>
      </c>
      <c r="V979" t="s">
        <v>32</v>
      </c>
      <c r="W979" t="s">
        <v>33</v>
      </c>
      <c r="X979" t="s">
        <v>33</v>
      </c>
      <c r="Y979" t="s">
        <v>33</v>
      </c>
      <c r="Z979" s="5" t="s">
        <v>34</v>
      </c>
      <c r="AA979">
        <v>-75.641370280000004</v>
      </c>
      <c r="AB979">
        <v>6.1506908300000003</v>
      </c>
      <c r="AC979" t="s">
        <v>456</v>
      </c>
      <c r="AD979" t="s">
        <v>457</v>
      </c>
    </row>
    <row r="980" spans="1:30" x14ac:dyDescent="0.25">
      <c r="A980" t="s">
        <v>8508</v>
      </c>
      <c r="B980" t="s">
        <v>25</v>
      </c>
      <c r="C980" t="s">
        <v>26</v>
      </c>
      <c r="D980" t="s">
        <v>25</v>
      </c>
      <c r="E980" t="s">
        <v>8509</v>
      </c>
      <c r="F980" t="s">
        <v>8510</v>
      </c>
      <c r="G980">
        <v>901244087</v>
      </c>
      <c r="H980" t="s">
        <v>7701</v>
      </c>
      <c r="I980" s="4" t="s">
        <v>7702</v>
      </c>
      <c r="J980" s="4" t="s">
        <v>7703</v>
      </c>
      <c r="K980" t="s">
        <v>8511</v>
      </c>
      <c r="L980" t="s">
        <v>61</v>
      </c>
      <c r="M980" t="s">
        <v>8512</v>
      </c>
      <c r="N980" t="s">
        <v>63</v>
      </c>
      <c r="O980" t="s">
        <v>29</v>
      </c>
      <c r="P980" t="s">
        <v>55</v>
      </c>
      <c r="Q980" t="s">
        <v>31</v>
      </c>
      <c r="R980">
        <v>7</v>
      </c>
      <c r="S980" t="s">
        <v>8513</v>
      </c>
      <c r="T980" t="s">
        <v>8449</v>
      </c>
      <c r="U980" t="s">
        <v>8450</v>
      </c>
      <c r="V980" t="s">
        <v>32</v>
      </c>
      <c r="W980" t="s">
        <v>33</v>
      </c>
      <c r="X980" t="s">
        <v>33</v>
      </c>
      <c r="Y980" t="s">
        <v>33</v>
      </c>
      <c r="Z980" s="5" t="s">
        <v>34</v>
      </c>
      <c r="AA980">
        <v>-75.641370280000004</v>
      </c>
      <c r="AB980">
        <v>6.1506908300000003</v>
      </c>
      <c r="AC980" t="s">
        <v>456</v>
      </c>
      <c r="AD980" t="s">
        <v>457</v>
      </c>
    </row>
    <row r="981" spans="1:30" x14ac:dyDescent="0.25">
      <c r="A981" t="s">
        <v>8514</v>
      </c>
      <c r="B981" t="s">
        <v>25</v>
      </c>
      <c r="C981" t="s">
        <v>26</v>
      </c>
      <c r="D981" t="s">
        <v>25</v>
      </c>
      <c r="E981" t="s">
        <v>8515</v>
      </c>
      <c r="F981" t="s">
        <v>8516</v>
      </c>
      <c r="G981">
        <v>901244087</v>
      </c>
      <c r="H981" t="s">
        <v>7701</v>
      </c>
      <c r="I981" s="4" t="s">
        <v>7702</v>
      </c>
      <c r="J981" s="4" t="s">
        <v>7703</v>
      </c>
      <c r="K981" t="s">
        <v>8517</v>
      </c>
      <c r="L981" t="s">
        <v>61</v>
      </c>
      <c r="M981" t="s">
        <v>8518</v>
      </c>
      <c r="N981" t="s">
        <v>63</v>
      </c>
      <c r="O981" t="s">
        <v>29</v>
      </c>
      <c r="P981" t="s">
        <v>55</v>
      </c>
      <c r="Q981" t="s">
        <v>31</v>
      </c>
      <c r="R981">
        <v>7</v>
      </c>
      <c r="S981" t="s">
        <v>8519</v>
      </c>
      <c r="T981" t="s">
        <v>8449</v>
      </c>
      <c r="U981" t="s">
        <v>8450</v>
      </c>
      <c r="V981" t="s">
        <v>32</v>
      </c>
      <c r="W981" t="s">
        <v>33</v>
      </c>
      <c r="X981" t="s">
        <v>33</v>
      </c>
      <c r="Y981" t="s">
        <v>33</v>
      </c>
      <c r="Z981" s="5" t="s">
        <v>34</v>
      </c>
      <c r="AA981">
        <v>-75.641370280000004</v>
      </c>
      <c r="AB981">
        <v>6.1506908300000003</v>
      </c>
      <c r="AC981" t="s">
        <v>456</v>
      </c>
      <c r="AD981" t="s">
        <v>457</v>
      </c>
    </row>
    <row r="982" spans="1:30" x14ac:dyDescent="0.25">
      <c r="A982" t="s">
        <v>8520</v>
      </c>
      <c r="B982" t="s">
        <v>25</v>
      </c>
      <c r="C982" t="s">
        <v>26</v>
      </c>
      <c r="D982" t="s">
        <v>25</v>
      </c>
      <c r="E982" t="s">
        <v>8515</v>
      </c>
      <c r="F982" t="s">
        <v>8516</v>
      </c>
      <c r="G982">
        <v>901244087</v>
      </c>
      <c r="H982" t="s">
        <v>7701</v>
      </c>
      <c r="I982" s="4" t="s">
        <v>7702</v>
      </c>
      <c r="J982" s="4" t="s">
        <v>7703</v>
      </c>
      <c r="K982" t="s">
        <v>8521</v>
      </c>
      <c r="L982" t="s">
        <v>61</v>
      </c>
      <c r="M982" t="s">
        <v>8522</v>
      </c>
      <c r="N982" t="s">
        <v>63</v>
      </c>
      <c r="O982" t="s">
        <v>29</v>
      </c>
      <c r="P982" t="s">
        <v>55</v>
      </c>
      <c r="Q982" t="s">
        <v>31</v>
      </c>
      <c r="R982">
        <v>7</v>
      </c>
      <c r="S982" t="s">
        <v>8519</v>
      </c>
      <c r="T982" t="s">
        <v>8449</v>
      </c>
      <c r="U982" t="s">
        <v>8450</v>
      </c>
      <c r="V982" t="s">
        <v>32</v>
      </c>
      <c r="W982" t="s">
        <v>33</v>
      </c>
      <c r="X982" t="s">
        <v>33</v>
      </c>
      <c r="Y982" t="s">
        <v>33</v>
      </c>
      <c r="Z982" s="5" t="s">
        <v>34</v>
      </c>
      <c r="AA982">
        <v>-75.641370280000004</v>
      </c>
      <c r="AB982">
        <v>6.1506908300000003</v>
      </c>
      <c r="AC982" t="s">
        <v>456</v>
      </c>
      <c r="AD982" t="s">
        <v>457</v>
      </c>
    </row>
    <row r="983" spans="1:30" x14ac:dyDescent="0.25">
      <c r="A983" t="s">
        <v>8523</v>
      </c>
      <c r="B983" t="s">
        <v>25</v>
      </c>
      <c r="C983" t="s">
        <v>26</v>
      </c>
      <c r="D983" t="s">
        <v>25</v>
      </c>
      <c r="E983" t="s">
        <v>8515</v>
      </c>
      <c r="F983" t="s">
        <v>8516</v>
      </c>
      <c r="G983">
        <v>901244087</v>
      </c>
      <c r="H983" t="s">
        <v>7701</v>
      </c>
      <c r="I983" s="4" t="s">
        <v>7702</v>
      </c>
      <c r="J983" s="4" t="s">
        <v>7703</v>
      </c>
      <c r="K983" t="s">
        <v>8524</v>
      </c>
      <c r="L983" t="s">
        <v>61</v>
      </c>
      <c r="M983" t="s">
        <v>8525</v>
      </c>
      <c r="N983" t="s">
        <v>63</v>
      </c>
      <c r="O983" t="s">
        <v>29</v>
      </c>
      <c r="P983" t="s">
        <v>55</v>
      </c>
      <c r="Q983" t="s">
        <v>31</v>
      </c>
      <c r="R983">
        <v>7</v>
      </c>
      <c r="S983" t="s">
        <v>8519</v>
      </c>
      <c r="T983" t="s">
        <v>8449</v>
      </c>
      <c r="U983" t="s">
        <v>8450</v>
      </c>
      <c r="V983" t="s">
        <v>32</v>
      </c>
      <c r="W983" t="s">
        <v>33</v>
      </c>
      <c r="X983" t="s">
        <v>33</v>
      </c>
      <c r="Y983" t="s">
        <v>33</v>
      </c>
      <c r="Z983" s="5" t="s">
        <v>34</v>
      </c>
      <c r="AA983">
        <v>-75.641370280000004</v>
      </c>
      <c r="AB983">
        <v>6.1506908300000003</v>
      </c>
      <c r="AC983" t="s">
        <v>456</v>
      </c>
      <c r="AD983" t="s">
        <v>457</v>
      </c>
    </row>
    <row r="984" spans="1:30" x14ac:dyDescent="0.25">
      <c r="A984" t="s">
        <v>8526</v>
      </c>
      <c r="B984" t="s">
        <v>25</v>
      </c>
      <c r="C984" t="s">
        <v>26</v>
      </c>
      <c r="D984" t="s">
        <v>25</v>
      </c>
      <c r="E984" t="s">
        <v>8527</v>
      </c>
      <c r="F984" t="s">
        <v>8528</v>
      </c>
      <c r="G984">
        <v>901244087</v>
      </c>
      <c r="H984" t="s">
        <v>7701</v>
      </c>
      <c r="I984" s="4" t="s">
        <v>7702</v>
      </c>
      <c r="J984" s="4" t="s">
        <v>7703</v>
      </c>
      <c r="K984" t="s">
        <v>8529</v>
      </c>
      <c r="L984" t="s">
        <v>61</v>
      </c>
      <c r="M984" t="s">
        <v>8530</v>
      </c>
      <c r="N984" t="s">
        <v>63</v>
      </c>
      <c r="O984" t="s">
        <v>29</v>
      </c>
      <c r="P984" t="s">
        <v>55</v>
      </c>
      <c r="Q984" t="s">
        <v>31</v>
      </c>
      <c r="R984">
        <v>7</v>
      </c>
      <c r="S984" t="s">
        <v>8531</v>
      </c>
      <c r="T984" t="s">
        <v>8449</v>
      </c>
      <c r="U984" t="s">
        <v>8450</v>
      </c>
      <c r="V984" t="s">
        <v>32</v>
      </c>
      <c r="W984" t="s">
        <v>33</v>
      </c>
      <c r="X984" t="s">
        <v>33</v>
      </c>
      <c r="Y984" t="s">
        <v>33</v>
      </c>
      <c r="Z984" s="5" t="s">
        <v>34</v>
      </c>
      <c r="AA984">
        <v>-75.641370280000004</v>
      </c>
      <c r="AB984">
        <v>6.1506908300000003</v>
      </c>
      <c r="AC984" t="s">
        <v>456</v>
      </c>
      <c r="AD984" t="s">
        <v>457</v>
      </c>
    </row>
    <row r="985" spans="1:30" x14ac:dyDescent="0.25">
      <c r="A985" t="s">
        <v>8532</v>
      </c>
      <c r="B985" t="s">
        <v>25</v>
      </c>
      <c r="C985" t="s">
        <v>26</v>
      </c>
      <c r="D985" t="s">
        <v>25</v>
      </c>
      <c r="E985" t="s">
        <v>8533</v>
      </c>
      <c r="F985" t="s">
        <v>8534</v>
      </c>
      <c r="G985">
        <v>901244087</v>
      </c>
      <c r="H985" t="s">
        <v>7701</v>
      </c>
      <c r="I985" s="4" t="s">
        <v>7702</v>
      </c>
      <c r="J985" s="4" t="s">
        <v>7703</v>
      </c>
      <c r="K985" t="s">
        <v>8535</v>
      </c>
      <c r="L985" t="s">
        <v>61</v>
      </c>
      <c r="M985" t="s">
        <v>8536</v>
      </c>
      <c r="N985" t="s">
        <v>63</v>
      </c>
      <c r="O985" t="s">
        <v>29</v>
      </c>
      <c r="P985" t="s">
        <v>55</v>
      </c>
      <c r="Q985" t="s">
        <v>31</v>
      </c>
      <c r="R985">
        <v>7</v>
      </c>
      <c r="S985" t="s">
        <v>8537</v>
      </c>
      <c r="T985" t="s">
        <v>8449</v>
      </c>
      <c r="U985" t="s">
        <v>8450</v>
      </c>
      <c r="V985" t="s">
        <v>32</v>
      </c>
      <c r="W985" t="s">
        <v>33</v>
      </c>
      <c r="X985" t="s">
        <v>33</v>
      </c>
      <c r="Y985" t="s">
        <v>33</v>
      </c>
      <c r="Z985" s="5" t="s">
        <v>34</v>
      </c>
      <c r="AA985">
        <v>-75.641370280000004</v>
      </c>
      <c r="AB985">
        <v>6.1506908300000003</v>
      </c>
      <c r="AC985" t="s">
        <v>456</v>
      </c>
      <c r="AD985" t="s">
        <v>457</v>
      </c>
    </row>
    <row r="986" spans="1:30" x14ac:dyDescent="0.25">
      <c r="A986" t="s">
        <v>8538</v>
      </c>
      <c r="B986" t="s">
        <v>25</v>
      </c>
      <c r="C986" t="s">
        <v>26</v>
      </c>
      <c r="D986" t="s">
        <v>25</v>
      </c>
      <c r="E986" t="s">
        <v>8539</v>
      </c>
      <c r="F986" t="s">
        <v>8540</v>
      </c>
      <c r="G986">
        <v>901244087</v>
      </c>
      <c r="H986" t="s">
        <v>7701</v>
      </c>
      <c r="I986" s="4" t="s">
        <v>7702</v>
      </c>
      <c r="J986" s="4" t="s">
        <v>7703</v>
      </c>
      <c r="K986" t="s">
        <v>8541</v>
      </c>
      <c r="L986" t="s">
        <v>61</v>
      </c>
      <c r="M986" t="s">
        <v>8542</v>
      </c>
      <c r="N986" t="s">
        <v>63</v>
      </c>
      <c r="O986" t="s">
        <v>29</v>
      </c>
      <c r="P986" t="s">
        <v>55</v>
      </c>
      <c r="Q986" t="s">
        <v>31</v>
      </c>
      <c r="R986">
        <v>7</v>
      </c>
      <c r="S986" t="s">
        <v>8543</v>
      </c>
      <c r="T986" t="s">
        <v>8449</v>
      </c>
      <c r="U986" t="s">
        <v>8450</v>
      </c>
      <c r="V986" t="s">
        <v>32</v>
      </c>
      <c r="W986" t="s">
        <v>33</v>
      </c>
      <c r="X986" t="s">
        <v>33</v>
      </c>
      <c r="Y986" t="s">
        <v>33</v>
      </c>
      <c r="Z986" s="5" t="s">
        <v>34</v>
      </c>
      <c r="AA986">
        <v>-75.641370280000004</v>
      </c>
      <c r="AB986">
        <v>6.1506908300000003</v>
      </c>
      <c r="AC986" t="s">
        <v>456</v>
      </c>
      <c r="AD986" t="s">
        <v>457</v>
      </c>
    </row>
    <row r="987" spans="1:30" x14ac:dyDescent="0.25">
      <c r="A987" t="s">
        <v>8544</v>
      </c>
      <c r="B987" t="s">
        <v>25</v>
      </c>
      <c r="C987" t="s">
        <v>26</v>
      </c>
      <c r="D987" t="s">
        <v>25</v>
      </c>
      <c r="E987" t="s">
        <v>8545</v>
      </c>
      <c r="F987" t="s">
        <v>8546</v>
      </c>
      <c r="G987">
        <v>901244087</v>
      </c>
      <c r="H987" t="s">
        <v>7701</v>
      </c>
      <c r="I987" s="4" t="s">
        <v>7702</v>
      </c>
      <c r="J987" s="4" t="s">
        <v>7703</v>
      </c>
      <c r="K987" t="s">
        <v>8547</v>
      </c>
      <c r="L987" t="s">
        <v>61</v>
      </c>
      <c r="M987" t="s">
        <v>8548</v>
      </c>
      <c r="N987" t="s">
        <v>63</v>
      </c>
      <c r="O987" t="s">
        <v>29</v>
      </c>
      <c r="P987" t="s">
        <v>55</v>
      </c>
      <c r="Q987" t="s">
        <v>31</v>
      </c>
      <c r="R987">
        <v>7</v>
      </c>
      <c r="S987" t="s">
        <v>8549</v>
      </c>
      <c r="T987" t="s">
        <v>8550</v>
      </c>
      <c r="U987" t="s">
        <v>8551</v>
      </c>
      <c r="V987" t="s">
        <v>32</v>
      </c>
      <c r="W987" t="s">
        <v>33</v>
      </c>
      <c r="X987" t="s">
        <v>33</v>
      </c>
      <c r="Y987" t="s">
        <v>33</v>
      </c>
      <c r="Z987" s="5" t="s">
        <v>34</v>
      </c>
      <c r="AA987">
        <v>-75.641370280000004</v>
      </c>
      <c r="AB987">
        <v>6.1506908300000003</v>
      </c>
      <c r="AC987" t="s">
        <v>456</v>
      </c>
      <c r="AD987" t="s">
        <v>457</v>
      </c>
    </row>
    <row r="988" spans="1:30" x14ac:dyDescent="0.25">
      <c r="A988" t="s">
        <v>8552</v>
      </c>
      <c r="B988" t="s">
        <v>25</v>
      </c>
      <c r="C988" t="s">
        <v>26</v>
      </c>
      <c r="D988" t="s">
        <v>25</v>
      </c>
      <c r="E988" t="s">
        <v>8553</v>
      </c>
      <c r="F988" t="s">
        <v>8554</v>
      </c>
      <c r="G988">
        <v>901244087</v>
      </c>
      <c r="H988" t="s">
        <v>7701</v>
      </c>
      <c r="I988" s="4" t="s">
        <v>7702</v>
      </c>
      <c r="J988" s="4" t="s">
        <v>7703</v>
      </c>
      <c r="K988" t="s">
        <v>8555</v>
      </c>
      <c r="L988" t="s">
        <v>61</v>
      </c>
      <c r="M988" t="s">
        <v>8556</v>
      </c>
      <c r="N988" t="s">
        <v>63</v>
      </c>
      <c r="O988" t="s">
        <v>29</v>
      </c>
      <c r="P988" t="s">
        <v>55</v>
      </c>
      <c r="Q988" t="s">
        <v>31</v>
      </c>
      <c r="R988">
        <v>7</v>
      </c>
      <c r="S988" t="s">
        <v>8557</v>
      </c>
      <c r="T988" t="s">
        <v>8550</v>
      </c>
      <c r="U988" t="s">
        <v>8551</v>
      </c>
      <c r="V988" t="s">
        <v>32</v>
      </c>
      <c r="W988" t="s">
        <v>33</v>
      </c>
      <c r="X988" t="s">
        <v>33</v>
      </c>
      <c r="Y988" t="s">
        <v>33</v>
      </c>
      <c r="Z988" s="5" t="s">
        <v>34</v>
      </c>
      <c r="AA988">
        <v>-75.641370280000004</v>
      </c>
      <c r="AB988">
        <v>6.1506908300000003</v>
      </c>
      <c r="AC988" t="s">
        <v>456</v>
      </c>
      <c r="AD988" t="s">
        <v>457</v>
      </c>
    </row>
    <row r="989" spans="1:30" x14ac:dyDescent="0.25">
      <c r="A989" t="s">
        <v>8558</v>
      </c>
      <c r="B989" t="s">
        <v>25</v>
      </c>
      <c r="C989" t="s">
        <v>26</v>
      </c>
      <c r="D989" t="s">
        <v>25</v>
      </c>
      <c r="E989" t="s">
        <v>8559</v>
      </c>
      <c r="F989" t="s">
        <v>8560</v>
      </c>
      <c r="G989">
        <v>901244087</v>
      </c>
      <c r="H989" t="s">
        <v>7701</v>
      </c>
      <c r="I989" s="4" t="s">
        <v>7702</v>
      </c>
      <c r="J989" s="4" t="s">
        <v>7703</v>
      </c>
      <c r="K989" t="s">
        <v>8561</v>
      </c>
      <c r="L989" t="s">
        <v>61</v>
      </c>
      <c r="M989" t="s">
        <v>8562</v>
      </c>
      <c r="N989" t="s">
        <v>63</v>
      </c>
      <c r="O989" t="s">
        <v>29</v>
      </c>
      <c r="P989" t="s">
        <v>55</v>
      </c>
      <c r="Q989" t="s">
        <v>31</v>
      </c>
      <c r="R989">
        <v>7</v>
      </c>
      <c r="S989" t="s">
        <v>8563</v>
      </c>
      <c r="T989" t="s">
        <v>8550</v>
      </c>
      <c r="U989" t="s">
        <v>8551</v>
      </c>
      <c r="V989" t="s">
        <v>32</v>
      </c>
      <c r="W989" t="s">
        <v>33</v>
      </c>
      <c r="X989" t="s">
        <v>33</v>
      </c>
      <c r="Y989" t="s">
        <v>33</v>
      </c>
      <c r="Z989" s="5" t="s">
        <v>34</v>
      </c>
      <c r="AA989">
        <v>-75.641370280000004</v>
      </c>
      <c r="AB989">
        <v>6.1506908300000003</v>
      </c>
      <c r="AC989" t="s">
        <v>456</v>
      </c>
      <c r="AD989" t="s">
        <v>457</v>
      </c>
    </row>
    <row r="990" spans="1:30" x14ac:dyDescent="0.25">
      <c r="A990" t="s">
        <v>8564</v>
      </c>
      <c r="B990" t="s">
        <v>25</v>
      </c>
      <c r="C990" t="s">
        <v>26</v>
      </c>
      <c r="D990" t="s">
        <v>25</v>
      </c>
      <c r="E990" t="s">
        <v>8565</v>
      </c>
      <c r="F990" t="s">
        <v>8566</v>
      </c>
      <c r="G990">
        <v>901244087</v>
      </c>
      <c r="H990" t="s">
        <v>7701</v>
      </c>
      <c r="I990" s="4" t="s">
        <v>7702</v>
      </c>
      <c r="J990" s="4" t="s">
        <v>7703</v>
      </c>
      <c r="K990" t="s">
        <v>8567</v>
      </c>
      <c r="L990" t="s">
        <v>61</v>
      </c>
      <c r="M990" t="s">
        <v>8568</v>
      </c>
      <c r="N990" t="s">
        <v>63</v>
      </c>
      <c r="O990" t="s">
        <v>29</v>
      </c>
      <c r="P990" t="s">
        <v>55</v>
      </c>
      <c r="Q990" t="s">
        <v>31</v>
      </c>
      <c r="R990">
        <v>7</v>
      </c>
      <c r="S990" t="s">
        <v>8569</v>
      </c>
      <c r="T990" t="s">
        <v>8550</v>
      </c>
      <c r="U990" t="s">
        <v>8551</v>
      </c>
      <c r="V990" t="s">
        <v>32</v>
      </c>
      <c r="W990" t="s">
        <v>33</v>
      </c>
      <c r="X990" t="s">
        <v>33</v>
      </c>
      <c r="Y990" t="s">
        <v>33</v>
      </c>
      <c r="Z990" s="5" t="s">
        <v>34</v>
      </c>
      <c r="AA990">
        <v>-75.641370280000004</v>
      </c>
      <c r="AB990">
        <v>6.1506908300000003</v>
      </c>
      <c r="AC990" t="s">
        <v>456</v>
      </c>
      <c r="AD990" t="s">
        <v>457</v>
      </c>
    </row>
    <row r="991" spans="1:30" x14ac:dyDescent="0.25">
      <c r="A991" t="s">
        <v>8570</v>
      </c>
      <c r="B991" t="s">
        <v>25</v>
      </c>
      <c r="C991" t="s">
        <v>26</v>
      </c>
      <c r="D991" t="s">
        <v>25</v>
      </c>
      <c r="E991" t="s">
        <v>8571</v>
      </c>
      <c r="F991" t="s">
        <v>8572</v>
      </c>
      <c r="G991">
        <v>901244087</v>
      </c>
      <c r="H991" t="s">
        <v>7701</v>
      </c>
      <c r="I991" s="4" t="s">
        <v>7702</v>
      </c>
      <c r="J991" s="4" t="s">
        <v>7703</v>
      </c>
      <c r="K991" t="s">
        <v>8573</v>
      </c>
      <c r="L991" t="s">
        <v>61</v>
      </c>
      <c r="M991" t="s">
        <v>8574</v>
      </c>
      <c r="N991" t="s">
        <v>63</v>
      </c>
      <c r="O991" t="s">
        <v>29</v>
      </c>
      <c r="P991" t="s">
        <v>55</v>
      </c>
      <c r="Q991" t="s">
        <v>31</v>
      </c>
      <c r="R991">
        <v>7</v>
      </c>
      <c r="S991" t="s">
        <v>8575</v>
      </c>
      <c r="T991" t="s">
        <v>8550</v>
      </c>
      <c r="U991" t="s">
        <v>8551</v>
      </c>
      <c r="V991" t="s">
        <v>32</v>
      </c>
      <c r="W991" t="s">
        <v>33</v>
      </c>
      <c r="X991" t="s">
        <v>33</v>
      </c>
      <c r="Y991" t="s">
        <v>33</v>
      </c>
      <c r="Z991" s="5" t="s">
        <v>34</v>
      </c>
      <c r="AA991">
        <v>-75.641370280000004</v>
      </c>
      <c r="AB991">
        <v>6.1506908300000003</v>
      </c>
      <c r="AC991" t="s">
        <v>456</v>
      </c>
      <c r="AD991" t="s">
        <v>457</v>
      </c>
    </row>
    <row r="992" spans="1:30" x14ac:dyDescent="0.25">
      <c r="A992" t="s">
        <v>8576</v>
      </c>
      <c r="B992" t="s">
        <v>25</v>
      </c>
      <c r="C992" t="s">
        <v>26</v>
      </c>
      <c r="D992" t="s">
        <v>25</v>
      </c>
      <c r="E992" t="s">
        <v>8577</v>
      </c>
      <c r="F992" t="s">
        <v>8578</v>
      </c>
      <c r="G992">
        <v>901244087</v>
      </c>
      <c r="H992" t="s">
        <v>7701</v>
      </c>
      <c r="I992" s="4" t="s">
        <v>7702</v>
      </c>
      <c r="J992" s="4" t="s">
        <v>7703</v>
      </c>
      <c r="K992" t="s">
        <v>8579</v>
      </c>
      <c r="L992" t="s">
        <v>61</v>
      </c>
      <c r="M992" t="s">
        <v>8580</v>
      </c>
      <c r="N992" t="s">
        <v>63</v>
      </c>
      <c r="O992" t="s">
        <v>29</v>
      </c>
      <c r="P992" t="s">
        <v>55</v>
      </c>
      <c r="Q992" t="s">
        <v>31</v>
      </c>
      <c r="R992">
        <v>7</v>
      </c>
      <c r="S992" t="s">
        <v>8581</v>
      </c>
      <c r="T992" t="s">
        <v>8550</v>
      </c>
      <c r="U992" t="s">
        <v>8551</v>
      </c>
      <c r="V992" t="s">
        <v>32</v>
      </c>
      <c r="W992" t="s">
        <v>33</v>
      </c>
      <c r="X992" t="s">
        <v>33</v>
      </c>
      <c r="Y992" t="s">
        <v>33</v>
      </c>
      <c r="Z992" s="5" t="s">
        <v>34</v>
      </c>
      <c r="AA992">
        <v>-75.641370280000004</v>
      </c>
      <c r="AB992">
        <v>6.1506908300000003</v>
      </c>
      <c r="AC992" t="s">
        <v>456</v>
      </c>
      <c r="AD992" t="s">
        <v>457</v>
      </c>
    </row>
    <row r="993" spans="1:30" x14ac:dyDescent="0.25">
      <c r="A993" t="s">
        <v>8582</v>
      </c>
      <c r="B993" t="s">
        <v>25</v>
      </c>
      <c r="C993" t="s">
        <v>26</v>
      </c>
      <c r="D993" t="s">
        <v>25</v>
      </c>
      <c r="E993" t="s">
        <v>8583</v>
      </c>
      <c r="F993" t="s">
        <v>8584</v>
      </c>
      <c r="G993">
        <v>901244087</v>
      </c>
      <c r="H993" t="s">
        <v>7701</v>
      </c>
      <c r="I993" s="4" t="s">
        <v>7702</v>
      </c>
      <c r="J993" s="4" t="s">
        <v>7703</v>
      </c>
      <c r="K993" t="s">
        <v>8585</v>
      </c>
      <c r="L993" t="s">
        <v>61</v>
      </c>
      <c r="M993" t="s">
        <v>8586</v>
      </c>
      <c r="N993" t="s">
        <v>63</v>
      </c>
      <c r="O993" t="s">
        <v>29</v>
      </c>
      <c r="P993" t="s">
        <v>55</v>
      </c>
      <c r="Q993" t="s">
        <v>31</v>
      </c>
      <c r="R993">
        <v>7</v>
      </c>
      <c r="S993" t="s">
        <v>8587</v>
      </c>
      <c r="T993" t="s">
        <v>8550</v>
      </c>
      <c r="U993" t="s">
        <v>8551</v>
      </c>
      <c r="V993" t="s">
        <v>32</v>
      </c>
      <c r="W993" t="s">
        <v>33</v>
      </c>
      <c r="X993" t="s">
        <v>33</v>
      </c>
      <c r="Y993" t="s">
        <v>33</v>
      </c>
      <c r="Z993" s="5" t="s">
        <v>34</v>
      </c>
      <c r="AA993">
        <v>-75.641370280000004</v>
      </c>
      <c r="AB993">
        <v>6.1506908300000003</v>
      </c>
      <c r="AC993" t="s">
        <v>456</v>
      </c>
      <c r="AD993" t="s">
        <v>457</v>
      </c>
    </row>
    <row r="994" spans="1:30" x14ac:dyDescent="0.25">
      <c r="A994" t="s">
        <v>8588</v>
      </c>
      <c r="B994" t="s">
        <v>25</v>
      </c>
      <c r="C994" t="s">
        <v>26</v>
      </c>
      <c r="D994" t="s">
        <v>25</v>
      </c>
      <c r="E994" t="s">
        <v>8589</v>
      </c>
      <c r="F994" t="s">
        <v>8590</v>
      </c>
      <c r="G994">
        <v>901244087</v>
      </c>
      <c r="H994" t="s">
        <v>7701</v>
      </c>
      <c r="I994" s="4" t="s">
        <v>7702</v>
      </c>
      <c r="J994" s="4" t="s">
        <v>7703</v>
      </c>
      <c r="K994" t="s">
        <v>8591</v>
      </c>
      <c r="L994" t="s">
        <v>61</v>
      </c>
      <c r="M994" t="s">
        <v>8592</v>
      </c>
      <c r="N994" t="s">
        <v>63</v>
      </c>
      <c r="O994" t="s">
        <v>29</v>
      </c>
      <c r="P994" t="s">
        <v>55</v>
      </c>
      <c r="Q994" t="s">
        <v>31</v>
      </c>
      <c r="R994">
        <v>7</v>
      </c>
      <c r="S994" t="s">
        <v>8593</v>
      </c>
      <c r="T994" t="s">
        <v>8550</v>
      </c>
      <c r="U994" t="s">
        <v>8551</v>
      </c>
      <c r="V994" t="s">
        <v>32</v>
      </c>
      <c r="W994" t="s">
        <v>33</v>
      </c>
      <c r="X994" t="s">
        <v>33</v>
      </c>
      <c r="Y994" t="s">
        <v>33</v>
      </c>
      <c r="Z994" s="5" t="s">
        <v>34</v>
      </c>
      <c r="AA994">
        <v>-75.641370280000004</v>
      </c>
      <c r="AB994">
        <v>6.1506908300000003</v>
      </c>
      <c r="AC994" t="s">
        <v>456</v>
      </c>
      <c r="AD994" t="s">
        <v>457</v>
      </c>
    </row>
    <row r="995" spans="1:30" x14ac:dyDescent="0.25">
      <c r="A995" t="s">
        <v>8594</v>
      </c>
      <c r="B995" t="s">
        <v>25</v>
      </c>
      <c r="C995" t="s">
        <v>26</v>
      </c>
      <c r="D995" t="s">
        <v>25</v>
      </c>
      <c r="E995" t="s">
        <v>8595</v>
      </c>
      <c r="F995" t="s">
        <v>8596</v>
      </c>
      <c r="G995">
        <v>901244087</v>
      </c>
      <c r="H995" t="s">
        <v>7701</v>
      </c>
      <c r="I995" s="4" t="s">
        <v>7702</v>
      </c>
      <c r="J995" s="4" t="s">
        <v>7703</v>
      </c>
      <c r="K995" t="s">
        <v>8597</v>
      </c>
      <c r="L995" t="s">
        <v>61</v>
      </c>
      <c r="M995" t="s">
        <v>8598</v>
      </c>
      <c r="N995" t="s">
        <v>63</v>
      </c>
      <c r="O995" t="s">
        <v>29</v>
      </c>
      <c r="P995" t="s">
        <v>55</v>
      </c>
      <c r="Q995" t="s">
        <v>31</v>
      </c>
      <c r="R995">
        <v>7</v>
      </c>
      <c r="S995" t="s">
        <v>8599</v>
      </c>
      <c r="T995" t="s">
        <v>8550</v>
      </c>
      <c r="U995" t="s">
        <v>8551</v>
      </c>
      <c r="V995" t="s">
        <v>32</v>
      </c>
      <c r="W995" t="s">
        <v>33</v>
      </c>
      <c r="X995" t="s">
        <v>33</v>
      </c>
      <c r="Y995" t="s">
        <v>33</v>
      </c>
      <c r="Z995" s="5" t="s">
        <v>34</v>
      </c>
      <c r="AA995">
        <v>-75.641370280000004</v>
      </c>
      <c r="AB995">
        <v>6.1506908300000003</v>
      </c>
      <c r="AC995" t="s">
        <v>456</v>
      </c>
      <c r="AD995" t="s">
        <v>457</v>
      </c>
    </row>
    <row r="996" spans="1:30" x14ac:dyDescent="0.25">
      <c r="A996" t="s">
        <v>8600</v>
      </c>
      <c r="B996" t="s">
        <v>25</v>
      </c>
      <c r="C996" t="s">
        <v>26</v>
      </c>
      <c r="D996" t="s">
        <v>25</v>
      </c>
      <c r="E996" t="s">
        <v>8601</v>
      </c>
      <c r="F996" t="s">
        <v>8602</v>
      </c>
      <c r="G996">
        <v>901244087</v>
      </c>
      <c r="H996" t="s">
        <v>7701</v>
      </c>
      <c r="I996" s="4" t="s">
        <v>7702</v>
      </c>
      <c r="J996" s="4" t="s">
        <v>7703</v>
      </c>
      <c r="K996" t="s">
        <v>8603</v>
      </c>
      <c r="L996" t="s">
        <v>61</v>
      </c>
      <c r="M996" t="s">
        <v>8604</v>
      </c>
      <c r="N996" t="s">
        <v>63</v>
      </c>
      <c r="O996" t="s">
        <v>29</v>
      </c>
      <c r="P996" t="s">
        <v>55</v>
      </c>
      <c r="Q996" t="s">
        <v>31</v>
      </c>
      <c r="R996">
        <v>7</v>
      </c>
      <c r="S996" t="s">
        <v>8605</v>
      </c>
      <c r="T996" t="s">
        <v>8550</v>
      </c>
      <c r="U996" t="s">
        <v>8551</v>
      </c>
      <c r="V996" t="s">
        <v>32</v>
      </c>
      <c r="W996" t="s">
        <v>33</v>
      </c>
      <c r="X996" t="s">
        <v>33</v>
      </c>
      <c r="Y996" t="s">
        <v>33</v>
      </c>
      <c r="Z996" s="5" t="s">
        <v>34</v>
      </c>
      <c r="AA996">
        <v>-75.641370280000004</v>
      </c>
      <c r="AB996">
        <v>6.1506908300000003</v>
      </c>
      <c r="AC996" t="s">
        <v>456</v>
      </c>
      <c r="AD996" t="s">
        <v>457</v>
      </c>
    </row>
    <row r="997" spans="1:30" x14ac:dyDescent="0.25">
      <c r="A997" t="s">
        <v>8606</v>
      </c>
      <c r="B997" t="s">
        <v>25</v>
      </c>
      <c r="C997" t="s">
        <v>26</v>
      </c>
      <c r="D997" t="s">
        <v>25</v>
      </c>
      <c r="E997" t="s">
        <v>8607</v>
      </c>
      <c r="F997" t="s">
        <v>8608</v>
      </c>
      <c r="G997">
        <v>901244087</v>
      </c>
      <c r="H997" t="s">
        <v>7701</v>
      </c>
      <c r="I997" s="4" t="s">
        <v>7702</v>
      </c>
      <c r="J997" s="4" t="s">
        <v>7703</v>
      </c>
      <c r="K997" t="s">
        <v>8609</v>
      </c>
      <c r="L997" t="s">
        <v>61</v>
      </c>
      <c r="M997" t="s">
        <v>8610</v>
      </c>
      <c r="N997" t="s">
        <v>63</v>
      </c>
      <c r="O997" t="s">
        <v>29</v>
      </c>
      <c r="P997" t="s">
        <v>55</v>
      </c>
      <c r="Q997" t="s">
        <v>31</v>
      </c>
      <c r="R997">
        <v>7</v>
      </c>
      <c r="S997" t="s">
        <v>8611</v>
      </c>
      <c r="T997" t="s">
        <v>8550</v>
      </c>
      <c r="U997" t="s">
        <v>8551</v>
      </c>
      <c r="V997" t="s">
        <v>32</v>
      </c>
      <c r="W997" t="s">
        <v>33</v>
      </c>
      <c r="X997" t="s">
        <v>33</v>
      </c>
      <c r="Y997" t="s">
        <v>33</v>
      </c>
      <c r="Z997" s="5" t="s">
        <v>34</v>
      </c>
      <c r="AA997">
        <v>-75.641370280000004</v>
      </c>
      <c r="AB997">
        <v>6.1506908300000003</v>
      </c>
      <c r="AC997" t="s">
        <v>456</v>
      </c>
      <c r="AD997" t="s">
        <v>457</v>
      </c>
    </row>
    <row r="998" spans="1:30" x14ac:dyDescent="0.25">
      <c r="A998" t="s">
        <v>8612</v>
      </c>
      <c r="B998" t="s">
        <v>25</v>
      </c>
      <c r="C998" t="s">
        <v>26</v>
      </c>
      <c r="D998" t="s">
        <v>25</v>
      </c>
      <c r="E998" t="s">
        <v>8613</v>
      </c>
      <c r="F998" t="s">
        <v>8614</v>
      </c>
      <c r="G998">
        <v>901244087</v>
      </c>
      <c r="H998" t="s">
        <v>7701</v>
      </c>
      <c r="I998" s="4" t="s">
        <v>7702</v>
      </c>
      <c r="J998" s="4" t="s">
        <v>7703</v>
      </c>
      <c r="K998" t="s">
        <v>8615</v>
      </c>
      <c r="L998" t="s">
        <v>61</v>
      </c>
      <c r="M998" t="s">
        <v>8616</v>
      </c>
      <c r="N998" t="s">
        <v>63</v>
      </c>
      <c r="O998" t="s">
        <v>29</v>
      </c>
      <c r="P998" t="s">
        <v>55</v>
      </c>
      <c r="Q998" t="s">
        <v>31</v>
      </c>
      <c r="R998">
        <v>7</v>
      </c>
      <c r="S998" t="s">
        <v>8617</v>
      </c>
      <c r="T998" t="s">
        <v>8550</v>
      </c>
      <c r="U998" t="s">
        <v>8551</v>
      </c>
      <c r="V998" t="s">
        <v>32</v>
      </c>
      <c r="W998" t="s">
        <v>33</v>
      </c>
      <c r="X998" t="s">
        <v>33</v>
      </c>
      <c r="Y998" t="s">
        <v>33</v>
      </c>
      <c r="Z998" s="5" t="s">
        <v>34</v>
      </c>
      <c r="AA998">
        <v>-75.641370280000004</v>
      </c>
      <c r="AB998">
        <v>6.1506908300000003</v>
      </c>
      <c r="AC998" t="s">
        <v>456</v>
      </c>
      <c r="AD998" t="s">
        <v>457</v>
      </c>
    </row>
    <row r="999" spans="1:30" x14ac:dyDescent="0.25">
      <c r="A999" t="s">
        <v>8618</v>
      </c>
      <c r="B999" t="s">
        <v>25</v>
      </c>
      <c r="C999" t="s">
        <v>26</v>
      </c>
      <c r="D999" t="s">
        <v>25</v>
      </c>
      <c r="E999" t="s">
        <v>8619</v>
      </c>
      <c r="F999" t="s">
        <v>8620</v>
      </c>
      <c r="G999">
        <v>71763401</v>
      </c>
      <c r="H999" t="s">
        <v>8621</v>
      </c>
      <c r="I999" s="4" t="s">
        <v>35</v>
      </c>
      <c r="J999" s="4" t="s">
        <v>8622</v>
      </c>
      <c r="K999" t="s">
        <v>8623</v>
      </c>
      <c r="L999" t="s">
        <v>27</v>
      </c>
      <c r="M999" t="s">
        <v>8624</v>
      </c>
      <c r="N999" t="s">
        <v>28</v>
      </c>
      <c r="O999" t="s">
        <v>29</v>
      </c>
      <c r="P999" t="s">
        <v>37</v>
      </c>
      <c r="Q999" t="s">
        <v>31</v>
      </c>
      <c r="R999">
        <v>7</v>
      </c>
      <c r="S999" t="s">
        <v>8625</v>
      </c>
      <c r="T999" t="s">
        <v>8626</v>
      </c>
      <c r="U999" t="s">
        <v>8627</v>
      </c>
      <c r="V999" t="s">
        <v>32</v>
      </c>
      <c r="W999" t="s">
        <v>33</v>
      </c>
      <c r="X999" t="s">
        <v>33</v>
      </c>
      <c r="Y999" t="s">
        <v>33</v>
      </c>
      <c r="Z999" s="5" t="s">
        <v>34</v>
      </c>
      <c r="AA999">
        <v>-75.588233680000002</v>
      </c>
      <c r="AB999">
        <v>6.2061455199999997</v>
      </c>
      <c r="AC999" t="s">
        <v>456</v>
      </c>
      <c r="AD999" t="s">
        <v>457</v>
      </c>
    </row>
    <row r="1000" spans="1:30" x14ac:dyDescent="0.25">
      <c r="A1000" t="s">
        <v>8628</v>
      </c>
      <c r="B1000" t="s">
        <v>25</v>
      </c>
      <c r="C1000" t="s">
        <v>26</v>
      </c>
      <c r="D1000" t="s">
        <v>25</v>
      </c>
      <c r="E1000" t="s">
        <v>8629</v>
      </c>
      <c r="F1000" t="s">
        <v>8630</v>
      </c>
      <c r="G1000">
        <v>70697734</v>
      </c>
      <c r="H1000" t="s">
        <v>8631</v>
      </c>
      <c r="I1000" s="4" t="s">
        <v>35</v>
      </c>
      <c r="J1000" s="4" t="s">
        <v>8632</v>
      </c>
      <c r="K1000" t="s">
        <v>8633</v>
      </c>
      <c r="L1000" t="s">
        <v>44</v>
      </c>
      <c r="M1000" t="s">
        <v>8634</v>
      </c>
      <c r="N1000" t="s">
        <v>45</v>
      </c>
      <c r="O1000" t="s">
        <v>29</v>
      </c>
      <c r="P1000" t="s">
        <v>30</v>
      </c>
      <c r="Q1000" t="s">
        <v>31</v>
      </c>
      <c r="R1000">
        <v>7</v>
      </c>
      <c r="S1000" t="s">
        <v>8635</v>
      </c>
      <c r="T1000" t="s">
        <v>8636</v>
      </c>
      <c r="U1000" t="s">
        <v>8637</v>
      </c>
      <c r="V1000" t="s">
        <v>32</v>
      </c>
      <c r="W1000" t="s">
        <v>33</v>
      </c>
      <c r="X1000" t="s">
        <v>33</v>
      </c>
      <c r="Y1000" t="s">
        <v>33</v>
      </c>
      <c r="Z1000" s="5" t="s">
        <v>34</v>
      </c>
      <c r="AA1000">
        <v>-75.608620959999996</v>
      </c>
      <c r="AB1000">
        <v>6.1741252800000002</v>
      </c>
      <c r="AC1000" t="s">
        <v>456</v>
      </c>
      <c r="AD1000" t="s">
        <v>457</v>
      </c>
    </row>
    <row r="1001" spans="1:30" x14ac:dyDescent="0.25">
      <c r="A1001" t="s">
        <v>8638</v>
      </c>
      <c r="B1001" t="s">
        <v>25</v>
      </c>
      <c r="C1001" t="s">
        <v>26</v>
      </c>
      <c r="D1001" t="s">
        <v>25</v>
      </c>
      <c r="E1001" t="s">
        <v>8639</v>
      </c>
      <c r="F1001" t="s">
        <v>8640</v>
      </c>
      <c r="G1001">
        <v>6788033</v>
      </c>
      <c r="H1001" t="s">
        <v>8335</v>
      </c>
      <c r="I1001" s="4" t="s">
        <v>35</v>
      </c>
      <c r="J1001" s="4" t="s">
        <v>8336</v>
      </c>
      <c r="K1001" t="s">
        <v>8641</v>
      </c>
      <c r="L1001" t="s">
        <v>44</v>
      </c>
      <c r="M1001" t="s">
        <v>8642</v>
      </c>
      <c r="N1001" t="s">
        <v>45</v>
      </c>
      <c r="O1001" t="s">
        <v>29</v>
      </c>
      <c r="P1001" t="s">
        <v>37</v>
      </c>
      <c r="Q1001" t="s">
        <v>31</v>
      </c>
      <c r="R1001">
        <v>7</v>
      </c>
      <c r="S1001" t="s">
        <v>8643</v>
      </c>
      <c r="T1001" t="s">
        <v>8644</v>
      </c>
      <c r="U1001" t="s">
        <v>8645</v>
      </c>
      <c r="V1001" t="s">
        <v>32</v>
      </c>
      <c r="W1001" t="s">
        <v>33</v>
      </c>
      <c r="X1001" t="s">
        <v>33</v>
      </c>
      <c r="Y1001" t="s">
        <v>33</v>
      </c>
      <c r="Z1001" s="5" t="s">
        <v>34</v>
      </c>
      <c r="AA1001">
        <v>-75.611063999999999</v>
      </c>
      <c r="AB1001">
        <v>6.1674889999999998</v>
      </c>
      <c r="AC1001" t="s">
        <v>456</v>
      </c>
      <c r="AD1001" t="s">
        <v>457</v>
      </c>
    </row>
    <row r="1002" spans="1:30" x14ac:dyDescent="0.25">
      <c r="A1002" t="s">
        <v>8646</v>
      </c>
      <c r="B1002" t="s">
        <v>25</v>
      </c>
      <c r="C1002" t="s">
        <v>26</v>
      </c>
      <c r="D1002" t="s">
        <v>25</v>
      </c>
      <c r="E1002" t="s">
        <v>8647</v>
      </c>
      <c r="F1002" t="s">
        <v>8648</v>
      </c>
      <c r="G1002">
        <v>70697734</v>
      </c>
      <c r="H1002" t="s">
        <v>8631</v>
      </c>
      <c r="I1002" s="4" t="s">
        <v>35</v>
      </c>
      <c r="J1002" s="4" t="s">
        <v>8632</v>
      </c>
      <c r="K1002" t="s">
        <v>8649</v>
      </c>
      <c r="L1002" t="s">
        <v>44</v>
      </c>
      <c r="M1002" t="s">
        <v>8650</v>
      </c>
      <c r="N1002" t="s">
        <v>45</v>
      </c>
      <c r="O1002" t="s">
        <v>29</v>
      </c>
      <c r="P1002" t="s">
        <v>30</v>
      </c>
      <c r="Q1002" t="s">
        <v>31</v>
      </c>
      <c r="R1002">
        <v>7</v>
      </c>
      <c r="S1002" t="s">
        <v>8651</v>
      </c>
      <c r="T1002" t="s">
        <v>8652</v>
      </c>
      <c r="U1002" t="s">
        <v>8653</v>
      </c>
      <c r="V1002" t="s">
        <v>32</v>
      </c>
      <c r="W1002" t="s">
        <v>33</v>
      </c>
      <c r="X1002" t="s">
        <v>33</v>
      </c>
      <c r="Y1002" t="s">
        <v>33</v>
      </c>
      <c r="Z1002" s="5" t="s">
        <v>34</v>
      </c>
      <c r="AA1002">
        <v>-75.608620959999996</v>
      </c>
      <c r="AB1002">
        <v>6.1741252800000002</v>
      </c>
      <c r="AC1002" t="s">
        <v>456</v>
      </c>
      <c r="AD1002" t="s">
        <v>457</v>
      </c>
    </row>
    <row r="1003" spans="1:30" x14ac:dyDescent="0.25">
      <c r="A1003" t="s">
        <v>8654</v>
      </c>
      <c r="B1003" t="s">
        <v>25</v>
      </c>
      <c r="C1003" t="s">
        <v>26</v>
      </c>
      <c r="D1003" t="s">
        <v>25</v>
      </c>
      <c r="E1003" t="s">
        <v>8655</v>
      </c>
      <c r="F1003" t="s">
        <v>8656</v>
      </c>
      <c r="G1003">
        <v>70697734</v>
      </c>
      <c r="H1003" t="s">
        <v>8631</v>
      </c>
      <c r="I1003" s="4" t="s">
        <v>35</v>
      </c>
      <c r="J1003" s="4" t="s">
        <v>8632</v>
      </c>
      <c r="K1003" t="s">
        <v>8657</v>
      </c>
      <c r="L1003" t="s">
        <v>44</v>
      </c>
      <c r="M1003" t="s">
        <v>8658</v>
      </c>
      <c r="N1003" t="s">
        <v>45</v>
      </c>
      <c r="O1003" t="s">
        <v>29</v>
      </c>
      <c r="P1003" t="s">
        <v>30</v>
      </c>
      <c r="Q1003" t="s">
        <v>31</v>
      </c>
      <c r="R1003">
        <v>7</v>
      </c>
      <c r="S1003" t="s">
        <v>8659</v>
      </c>
      <c r="T1003" t="s">
        <v>8660</v>
      </c>
      <c r="U1003" t="s">
        <v>8661</v>
      </c>
      <c r="V1003" t="s">
        <v>32</v>
      </c>
      <c r="W1003" t="s">
        <v>33</v>
      </c>
      <c r="X1003" t="s">
        <v>33</v>
      </c>
      <c r="Y1003" t="s">
        <v>33</v>
      </c>
      <c r="Z1003" s="5" t="s">
        <v>34</v>
      </c>
      <c r="AA1003">
        <v>-75.608620959999996</v>
      </c>
      <c r="AB1003">
        <v>6.1741252800000002</v>
      </c>
      <c r="AC1003" t="s">
        <v>456</v>
      </c>
      <c r="AD1003" t="s">
        <v>457</v>
      </c>
    </row>
    <row r="1004" spans="1:30" x14ac:dyDescent="0.25">
      <c r="A1004" t="s">
        <v>8662</v>
      </c>
      <c r="B1004" t="s">
        <v>42</v>
      </c>
      <c r="C1004" t="s">
        <v>166</v>
      </c>
      <c r="D1004" t="s">
        <v>42</v>
      </c>
      <c r="E1004" t="s">
        <v>8663</v>
      </c>
      <c r="F1004" t="s">
        <v>8664</v>
      </c>
      <c r="G1004">
        <v>1017123436</v>
      </c>
      <c r="H1004" t="s">
        <v>8665</v>
      </c>
      <c r="I1004" s="4" t="s">
        <v>35</v>
      </c>
      <c r="J1004" s="4" t="s">
        <v>100</v>
      </c>
      <c r="K1004" t="s">
        <v>8666</v>
      </c>
      <c r="L1004" t="s">
        <v>27</v>
      </c>
      <c r="M1004" t="s">
        <v>8667</v>
      </c>
      <c r="N1004" t="s">
        <v>28</v>
      </c>
      <c r="O1004" t="s">
        <v>167</v>
      </c>
      <c r="P1004" t="s">
        <v>30</v>
      </c>
      <c r="Q1004" t="s">
        <v>31</v>
      </c>
      <c r="R1004">
        <v>7</v>
      </c>
      <c r="S1004" t="s">
        <v>8668</v>
      </c>
      <c r="T1004" t="s">
        <v>8669</v>
      </c>
      <c r="U1004" t="s">
        <v>8670</v>
      </c>
      <c r="V1004" t="s">
        <v>32</v>
      </c>
      <c r="W1004" t="s">
        <v>33</v>
      </c>
      <c r="X1004" t="s">
        <v>33</v>
      </c>
      <c r="Y1004" t="s">
        <v>33</v>
      </c>
      <c r="Z1004" s="5" t="s">
        <v>34</v>
      </c>
      <c r="AA1004">
        <v>-75.567274999999995</v>
      </c>
      <c r="AB1004">
        <v>6.2479990000000001</v>
      </c>
      <c r="AC1004" t="s">
        <v>456</v>
      </c>
      <c r="AD1004" t="s">
        <v>457</v>
      </c>
    </row>
    <row r="1005" spans="1:30" x14ac:dyDescent="0.25">
      <c r="A1005" t="s">
        <v>8671</v>
      </c>
      <c r="B1005" t="s">
        <v>25</v>
      </c>
      <c r="C1005" t="s">
        <v>26</v>
      </c>
      <c r="D1005" t="s">
        <v>25</v>
      </c>
      <c r="E1005" t="s">
        <v>8672</v>
      </c>
      <c r="F1005" t="s">
        <v>8673</v>
      </c>
      <c r="G1005">
        <v>1036642801</v>
      </c>
      <c r="H1005" t="s">
        <v>8674</v>
      </c>
      <c r="I1005" s="4" t="s">
        <v>35</v>
      </c>
      <c r="J1005" s="4" t="s">
        <v>8675</v>
      </c>
      <c r="K1005" t="s">
        <v>8676</v>
      </c>
      <c r="L1005" t="s">
        <v>27</v>
      </c>
      <c r="M1005" t="s">
        <v>8677</v>
      </c>
      <c r="N1005" t="s">
        <v>28</v>
      </c>
      <c r="O1005" t="s">
        <v>29</v>
      </c>
      <c r="P1005" t="s">
        <v>37</v>
      </c>
      <c r="Q1005" t="s">
        <v>31</v>
      </c>
      <c r="R1005">
        <v>7</v>
      </c>
      <c r="S1005" t="s">
        <v>8678</v>
      </c>
      <c r="T1005" t="s">
        <v>8679</v>
      </c>
      <c r="U1005" t="s">
        <v>8680</v>
      </c>
      <c r="V1005" t="s">
        <v>32</v>
      </c>
      <c r="W1005" t="s">
        <v>33</v>
      </c>
      <c r="X1005" t="s">
        <v>33</v>
      </c>
      <c r="Y1005" t="s">
        <v>33</v>
      </c>
      <c r="Z1005" s="5" t="s">
        <v>34</v>
      </c>
      <c r="AA1005">
        <v>-75.545776630000006</v>
      </c>
      <c r="AB1005">
        <v>6.24923552</v>
      </c>
      <c r="AC1005" t="s">
        <v>456</v>
      </c>
      <c r="AD1005" t="s">
        <v>457</v>
      </c>
    </row>
    <row r="1006" spans="1:30" x14ac:dyDescent="0.25">
      <c r="A1006" t="s">
        <v>8681</v>
      </c>
      <c r="B1006" t="s">
        <v>42</v>
      </c>
      <c r="C1006" t="s">
        <v>166</v>
      </c>
      <c r="D1006" t="s">
        <v>42</v>
      </c>
      <c r="E1006" t="s">
        <v>8682</v>
      </c>
      <c r="F1006" t="s">
        <v>8683</v>
      </c>
      <c r="G1006">
        <v>70697734</v>
      </c>
      <c r="H1006" t="s">
        <v>8631</v>
      </c>
      <c r="I1006" s="4" t="s">
        <v>35</v>
      </c>
      <c r="J1006" s="4" t="s">
        <v>8632</v>
      </c>
      <c r="K1006" t="s">
        <v>8684</v>
      </c>
      <c r="L1006" t="s">
        <v>44</v>
      </c>
      <c r="M1006" t="s">
        <v>8685</v>
      </c>
      <c r="N1006" t="s">
        <v>45</v>
      </c>
      <c r="O1006" t="s">
        <v>167</v>
      </c>
      <c r="P1006" t="s">
        <v>30</v>
      </c>
      <c r="Q1006" t="s">
        <v>31</v>
      </c>
      <c r="R1006">
        <v>7</v>
      </c>
      <c r="S1006" t="s">
        <v>8686</v>
      </c>
      <c r="T1006" t="s">
        <v>6400</v>
      </c>
      <c r="U1006" t="s">
        <v>8687</v>
      </c>
      <c r="V1006" t="s">
        <v>32</v>
      </c>
      <c r="W1006" t="s">
        <v>33</v>
      </c>
      <c r="X1006" t="s">
        <v>33</v>
      </c>
      <c r="Y1006" t="s">
        <v>33</v>
      </c>
      <c r="Z1006" s="5" t="s">
        <v>34</v>
      </c>
      <c r="AA1006">
        <v>-75.608620959999996</v>
      </c>
      <c r="AB1006">
        <v>6.1741252800000002</v>
      </c>
      <c r="AC1006" t="s">
        <v>456</v>
      </c>
      <c r="AD1006" t="s">
        <v>457</v>
      </c>
    </row>
    <row r="1007" spans="1:30" x14ac:dyDescent="0.25">
      <c r="A1007" t="s">
        <v>8688</v>
      </c>
      <c r="B1007" t="s">
        <v>25</v>
      </c>
      <c r="C1007" t="s">
        <v>26</v>
      </c>
      <c r="D1007" t="s">
        <v>25</v>
      </c>
      <c r="E1007" t="s">
        <v>8689</v>
      </c>
      <c r="F1007" t="s">
        <v>8690</v>
      </c>
      <c r="G1007">
        <v>1128270419</v>
      </c>
      <c r="H1007" t="s">
        <v>8691</v>
      </c>
      <c r="I1007" s="4" t="s">
        <v>8692</v>
      </c>
      <c r="J1007" s="4" t="s">
        <v>8693</v>
      </c>
      <c r="K1007" t="s">
        <v>8694</v>
      </c>
      <c r="L1007" t="s">
        <v>27</v>
      </c>
      <c r="M1007" t="s">
        <v>8695</v>
      </c>
      <c r="N1007" t="s">
        <v>28</v>
      </c>
      <c r="O1007" t="s">
        <v>29</v>
      </c>
      <c r="P1007" t="s">
        <v>37</v>
      </c>
      <c r="Q1007" t="s">
        <v>31</v>
      </c>
      <c r="R1007">
        <v>7</v>
      </c>
      <c r="S1007" t="s">
        <v>8696</v>
      </c>
      <c r="T1007" t="s">
        <v>8697</v>
      </c>
      <c r="U1007" t="s">
        <v>8698</v>
      </c>
      <c r="V1007" t="s">
        <v>32</v>
      </c>
      <c r="W1007" t="s">
        <v>33</v>
      </c>
      <c r="X1007" t="s">
        <v>33</v>
      </c>
      <c r="Y1007" t="s">
        <v>33</v>
      </c>
      <c r="Z1007" s="5" t="s">
        <v>34</v>
      </c>
      <c r="AA1007">
        <v>-75.53280341</v>
      </c>
      <c r="AB1007">
        <v>6.2279257499999998</v>
      </c>
      <c r="AC1007" t="s">
        <v>456</v>
      </c>
      <c r="AD1007" t="s">
        <v>457</v>
      </c>
    </row>
    <row r="1008" spans="1:30" x14ac:dyDescent="0.25">
      <c r="A1008" t="s">
        <v>8699</v>
      </c>
      <c r="B1008" t="s">
        <v>25</v>
      </c>
      <c r="C1008" t="s">
        <v>26</v>
      </c>
      <c r="D1008" t="s">
        <v>25</v>
      </c>
      <c r="E1008" t="s">
        <v>8700</v>
      </c>
      <c r="F1008" t="s">
        <v>8701</v>
      </c>
      <c r="G1008">
        <v>901244087</v>
      </c>
      <c r="H1008" t="s">
        <v>7701</v>
      </c>
      <c r="I1008" s="4" t="s">
        <v>7702</v>
      </c>
      <c r="J1008" s="4" t="s">
        <v>7703</v>
      </c>
      <c r="K1008" t="s">
        <v>8702</v>
      </c>
      <c r="L1008" t="s">
        <v>61</v>
      </c>
      <c r="M1008" t="s">
        <v>8703</v>
      </c>
      <c r="N1008" t="s">
        <v>63</v>
      </c>
      <c r="O1008" t="s">
        <v>29</v>
      </c>
      <c r="P1008" t="s">
        <v>55</v>
      </c>
      <c r="Q1008" t="s">
        <v>31</v>
      </c>
      <c r="R1008">
        <v>7</v>
      </c>
      <c r="S1008" t="s">
        <v>8704</v>
      </c>
      <c r="T1008" t="s">
        <v>8705</v>
      </c>
      <c r="U1008" t="s">
        <v>8706</v>
      </c>
      <c r="V1008" t="s">
        <v>32</v>
      </c>
      <c r="W1008" t="s">
        <v>33</v>
      </c>
      <c r="X1008" t="s">
        <v>33</v>
      </c>
      <c r="Y1008" t="s">
        <v>33</v>
      </c>
      <c r="Z1008" s="5" t="s">
        <v>34</v>
      </c>
      <c r="AA1008">
        <v>-75.641370280000004</v>
      </c>
      <c r="AB1008">
        <v>6.1506908300000003</v>
      </c>
      <c r="AC1008" t="s">
        <v>456</v>
      </c>
      <c r="AD1008" t="s">
        <v>457</v>
      </c>
    </row>
    <row r="1009" spans="1:30" x14ac:dyDescent="0.25">
      <c r="A1009" t="s">
        <v>8707</v>
      </c>
      <c r="B1009" t="s">
        <v>25</v>
      </c>
      <c r="C1009" t="s">
        <v>26</v>
      </c>
      <c r="D1009" t="s">
        <v>25</v>
      </c>
      <c r="E1009" t="s">
        <v>8700</v>
      </c>
      <c r="F1009" t="s">
        <v>8701</v>
      </c>
      <c r="G1009">
        <v>901244087</v>
      </c>
      <c r="H1009" t="s">
        <v>7701</v>
      </c>
      <c r="I1009" s="4" t="s">
        <v>7702</v>
      </c>
      <c r="J1009" s="4" t="s">
        <v>7703</v>
      </c>
      <c r="K1009" t="s">
        <v>8708</v>
      </c>
      <c r="L1009" t="s">
        <v>61</v>
      </c>
      <c r="M1009" t="s">
        <v>8709</v>
      </c>
      <c r="N1009" t="s">
        <v>63</v>
      </c>
      <c r="O1009" t="s">
        <v>29</v>
      </c>
      <c r="P1009" t="s">
        <v>55</v>
      </c>
      <c r="Q1009" t="s">
        <v>31</v>
      </c>
      <c r="R1009">
        <v>7</v>
      </c>
      <c r="S1009" t="s">
        <v>8704</v>
      </c>
      <c r="T1009" t="s">
        <v>8705</v>
      </c>
      <c r="U1009" t="s">
        <v>8706</v>
      </c>
      <c r="V1009" t="s">
        <v>32</v>
      </c>
      <c r="W1009" t="s">
        <v>33</v>
      </c>
      <c r="X1009" t="s">
        <v>33</v>
      </c>
      <c r="Y1009" t="s">
        <v>33</v>
      </c>
      <c r="Z1009" s="5" t="s">
        <v>34</v>
      </c>
      <c r="AA1009">
        <v>-75.641370280000004</v>
      </c>
      <c r="AB1009">
        <v>6.1506908300000003</v>
      </c>
      <c r="AC1009" t="s">
        <v>456</v>
      </c>
      <c r="AD1009" t="s">
        <v>457</v>
      </c>
    </row>
    <row r="1010" spans="1:30" x14ac:dyDescent="0.25">
      <c r="A1010" t="s">
        <v>8710</v>
      </c>
      <c r="B1010" t="s">
        <v>25</v>
      </c>
      <c r="C1010" t="s">
        <v>26</v>
      </c>
      <c r="D1010" t="s">
        <v>25</v>
      </c>
      <c r="E1010" t="s">
        <v>8700</v>
      </c>
      <c r="F1010" t="s">
        <v>8701</v>
      </c>
      <c r="G1010">
        <v>901244087</v>
      </c>
      <c r="H1010" t="s">
        <v>7701</v>
      </c>
      <c r="I1010" s="4" t="s">
        <v>7702</v>
      </c>
      <c r="J1010" s="4" t="s">
        <v>7703</v>
      </c>
      <c r="K1010" t="s">
        <v>8711</v>
      </c>
      <c r="L1010" t="s">
        <v>61</v>
      </c>
      <c r="M1010" t="s">
        <v>8712</v>
      </c>
      <c r="N1010" t="s">
        <v>63</v>
      </c>
      <c r="O1010" t="s">
        <v>29</v>
      </c>
      <c r="P1010" t="s">
        <v>55</v>
      </c>
      <c r="Q1010" t="s">
        <v>31</v>
      </c>
      <c r="R1010">
        <v>7</v>
      </c>
      <c r="S1010" t="s">
        <v>8704</v>
      </c>
      <c r="T1010" t="s">
        <v>8705</v>
      </c>
      <c r="U1010" t="s">
        <v>8706</v>
      </c>
      <c r="V1010" t="s">
        <v>32</v>
      </c>
      <c r="W1010" t="s">
        <v>33</v>
      </c>
      <c r="X1010" t="s">
        <v>33</v>
      </c>
      <c r="Y1010" t="s">
        <v>33</v>
      </c>
      <c r="Z1010" s="5" t="s">
        <v>34</v>
      </c>
      <c r="AA1010">
        <v>-75.641370280000004</v>
      </c>
      <c r="AB1010">
        <v>6.1506908300000003</v>
      </c>
      <c r="AC1010" t="s">
        <v>456</v>
      </c>
      <c r="AD1010" t="s">
        <v>457</v>
      </c>
    </row>
    <row r="1011" spans="1:30" x14ac:dyDescent="0.25">
      <c r="A1011" t="s">
        <v>8713</v>
      </c>
      <c r="B1011" t="s">
        <v>25</v>
      </c>
      <c r="C1011" t="s">
        <v>26</v>
      </c>
      <c r="D1011" t="s">
        <v>25</v>
      </c>
      <c r="E1011" t="s">
        <v>8714</v>
      </c>
      <c r="F1011" t="s">
        <v>8715</v>
      </c>
      <c r="G1011">
        <v>901244087</v>
      </c>
      <c r="H1011" t="s">
        <v>7701</v>
      </c>
      <c r="I1011" s="4" t="s">
        <v>7702</v>
      </c>
      <c r="J1011" s="4" t="s">
        <v>7703</v>
      </c>
      <c r="K1011" t="s">
        <v>8716</v>
      </c>
      <c r="L1011" t="s">
        <v>61</v>
      </c>
      <c r="M1011" t="s">
        <v>8717</v>
      </c>
      <c r="N1011" t="s">
        <v>63</v>
      </c>
      <c r="O1011" t="s">
        <v>29</v>
      </c>
      <c r="P1011" t="s">
        <v>55</v>
      </c>
      <c r="Q1011" t="s">
        <v>31</v>
      </c>
      <c r="R1011">
        <v>7</v>
      </c>
      <c r="S1011" t="s">
        <v>8718</v>
      </c>
      <c r="T1011" t="s">
        <v>8705</v>
      </c>
      <c r="U1011" t="s">
        <v>8706</v>
      </c>
      <c r="V1011" t="s">
        <v>32</v>
      </c>
      <c r="W1011" t="s">
        <v>33</v>
      </c>
      <c r="X1011" t="s">
        <v>33</v>
      </c>
      <c r="Y1011" t="s">
        <v>33</v>
      </c>
      <c r="Z1011" s="5" t="s">
        <v>34</v>
      </c>
      <c r="AA1011">
        <v>-75.641370280000004</v>
      </c>
      <c r="AB1011">
        <v>6.1506908300000003</v>
      </c>
      <c r="AC1011" t="s">
        <v>456</v>
      </c>
      <c r="AD1011" t="s">
        <v>457</v>
      </c>
    </row>
    <row r="1012" spans="1:30" x14ac:dyDescent="0.25">
      <c r="A1012" t="s">
        <v>8719</v>
      </c>
      <c r="B1012" t="s">
        <v>25</v>
      </c>
      <c r="C1012" t="s">
        <v>26</v>
      </c>
      <c r="D1012" t="s">
        <v>25</v>
      </c>
      <c r="E1012" t="s">
        <v>8720</v>
      </c>
      <c r="F1012" t="s">
        <v>8721</v>
      </c>
      <c r="G1012">
        <v>901244087</v>
      </c>
      <c r="H1012" t="s">
        <v>7701</v>
      </c>
      <c r="I1012" s="4" t="s">
        <v>7702</v>
      </c>
      <c r="J1012" s="4" t="s">
        <v>7703</v>
      </c>
      <c r="K1012" t="s">
        <v>8722</v>
      </c>
      <c r="L1012" t="s">
        <v>61</v>
      </c>
      <c r="M1012" t="s">
        <v>8723</v>
      </c>
      <c r="N1012" t="s">
        <v>63</v>
      </c>
      <c r="O1012" t="s">
        <v>29</v>
      </c>
      <c r="P1012" t="s">
        <v>55</v>
      </c>
      <c r="Q1012" t="s">
        <v>31</v>
      </c>
      <c r="R1012">
        <v>7</v>
      </c>
      <c r="S1012" t="s">
        <v>8724</v>
      </c>
      <c r="T1012" t="s">
        <v>8705</v>
      </c>
      <c r="U1012" t="s">
        <v>8706</v>
      </c>
      <c r="V1012" t="s">
        <v>32</v>
      </c>
      <c r="W1012" t="s">
        <v>33</v>
      </c>
      <c r="X1012" t="s">
        <v>33</v>
      </c>
      <c r="Y1012" t="s">
        <v>33</v>
      </c>
      <c r="Z1012" s="5" t="s">
        <v>34</v>
      </c>
      <c r="AA1012">
        <v>-75.641370280000004</v>
      </c>
      <c r="AB1012">
        <v>6.1506908300000003</v>
      </c>
      <c r="AC1012" t="s">
        <v>456</v>
      </c>
      <c r="AD1012" t="s">
        <v>457</v>
      </c>
    </row>
    <row r="1013" spans="1:30" x14ac:dyDescent="0.25">
      <c r="A1013" s="2">
        <v>23596379</v>
      </c>
      <c r="B1013" t="s">
        <v>25</v>
      </c>
      <c r="C1013" t="s">
        <v>26</v>
      </c>
      <c r="D1013" t="s">
        <v>25</v>
      </c>
      <c r="E1013" t="s">
        <v>8720</v>
      </c>
      <c r="F1013" t="s">
        <v>8721</v>
      </c>
      <c r="G1013">
        <v>901244087</v>
      </c>
      <c r="H1013" t="s">
        <v>7701</v>
      </c>
      <c r="I1013" s="4" t="s">
        <v>7702</v>
      </c>
      <c r="J1013" s="4" t="s">
        <v>7703</v>
      </c>
      <c r="K1013" t="s">
        <v>8725</v>
      </c>
      <c r="L1013" t="s">
        <v>61</v>
      </c>
      <c r="M1013" t="s">
        <v>8726</v>
      </c>
      <c r="N1013" t="s">
        <v>63</v>
      </c>
      <c r="O1013" t="s">
        <v>29</v>
      </c>
      <c r="P1013" t="s">
        <v>55</v>
      </c>
      <c r="Q1013" t="s">
        <v>31</v>
      </c>
      <c r="R1013">
        <v>7</v>
      </c>
      <c r="S1013" t="s">
        <v>8724</v>
      </c>
      <c r="T1013" t="s">
        <v>8705</v>
      </c>
      <c r="U1013" t="s">
        <v>8706</v>
      </c>
      <c r="V1013" t="s">
        <v>32</v>
      </c>
      <c r="W1013" t="s">
        <v>33</v>
      </c>
      <c r="X1013" t="s">
        <v>33</v>
      </c>
      <c r="Y1013" t="s">
        <v>33</v>
      </c>
      <c r="Z1013" s="5" t="s">
        <v>34</v>
      </c>
      <c r="AA1013">
        <v>-75.641370280000004</v>
      </c>
      <c r="AB1013">
        <v>6.1506908300000003</v>
      </c>
      <c r="AC1013" t="s">
        <v>456</v>
      </c>
      <c r="AD1013" t="s">
        <v>457</v>
      </c>
    </row>
  </sheetData>
  <phoneticPr fontId="2" type="noConversion"/>
  <conditionalFormatting sqref="A1014:A1048576">
    <cfRule type="duplicateValues" dxfId="21" priority="58"/>
  </conditionalFormatting>
  <conditionalFormatting sqref="V5:V1013">
    <cfRule type="expression" dxfId="20" priority="1">
      <formula>$V5="VENCIDO"</formula>
    </cfRule>
    <cfRule type="expression" dxfId="19" priority="2">
      <formula>$V5="ALERTA_0 Días"</formula>
    </cfRule>
    <cfRule type="expression" dxfId="18" priority="3">
      <formula>$V5="ALERTA"</formula>
    </cfRule>
    <cfRule type="expression" dxfId="17" priority="4">
      <formula>$V5="A TIEMPO"</formula>
    </cfRule>
  </conditionalFormatting>
  <conditionalFormatting sqref="W5:W1013">
    <cfRule type="expression" dxfId="16" priority="5">
      <formula>EXACT($W5,"Ejecutado en Campo")</formula>
    </cfRule>
    <cfRule type="expression" dxfId="15" priority="6">
      <formula>OR(EXACT($W5,"Pendiente"),EXACT($W5,"En Proceso"))</formula>
    </cfRule>
    <cfRule type="expression" dxfId="14" priority="7">
      <formula>OR(EXACT($W5,"En Ejecución"),EXACT($W5,"Revisión"))</formula>
    </cfRule>
    <cfRule type="expression" dxfId="13" priority="8">
      <formula>EXACT($W5,"SIN DATO")</formula>
    </cfRule>
  </conditionalFormatting>
  <conditionalFormatting sqref="X5:X1013">
    <cfRule type="expression" dxfId="12" priority="9">
      <formula>$X5="CERRADO"</formula>
    </cfRule>
    <cfRule type="expression" dxfId="11" priority="10">
      <formula>$X5="ABIERTO"</formula>
    </cfRule>
    <cfRule type="expression" dxfId="10" priority="11">
      <formula>$X5="APUNTO DE VENCER"</formula>
    </cfRule>
    <cfRule type="expression" dxfId="9" priority="12">
      <formula>$X5="CRÍTICO"</formula>
    </cfRule>
    <cfRule type="expression" dxfId="8" priority="13">
      <formula>$X5="VENCIDO"</formula>
    </cfRule>
  </conditionalFormatting>
  <conditionalFormatting sqref="Z5:Z1013">
    <cfRule type="containsText" dxfId="7" priority="14" operator="containsText" text="A TIEMPO">
      <formula>NOT(ISERROR(SEARCH("A TIEMPO",$Z5)))</formula>
    </cfRule>
    <cfRule type="containsText" dxfId="6" priority="15" operator="containsText" text="ALERTA">
      <formula>NOT(ISERROR(SEARCH("ALERTA",$Z5)))</formula>
    </cfRule>
    <cfRule type="containsText" dxfId="5" priority="16" operator="containsText" text="ALERTA_0_DIAS">
      <formula>NOT(ISERROR(SEARCH("ALERTA_0_DIAS",$Z5)))</formula>
    </cfRule>
    <cfRule type="containsText" dxfId="4" priority="17" operator="containsText" text="CRÍTICO">
      <formula>NOT(ISERROR(SEARCH("CRÍTICO",$Z5)))</formula>
    </cfRule>
    <cfRule type="containsText" dxfId="3" priority="18" operator="containsText" text="ABIERTO">
      <formula>NOT(ISERROR(SEARCH("ABIERTO",$Z5)))</formula>
    </cfRule>
    <cfRule type="containsText" dxfId="2" priority="19" operator="containsText" text="CERRADO">
      <formula>NOT(ISERROR(SEARCH("CERRADO",$Z5)))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/>
  <dimension ref="A2:L29"/>
  <sheetViews>
    <sheetView workbookViewId="0">
      <selection activeCell="K6" sqref="K6"/>
    </sheetView>
  </sheetViews>
  <sheetFormatPr baseColWidth="10" defaultRowHeight="15" x14ac:dyDescent="0.25"/>
  <cols>
    <col min="1" max="1" width="17.85546875" bestFit="1" customWidth="1"/>
    <col min="2" max="2" width="18.140625" bestFit="1" customWidth="1"/>
    <col min="4" max="5" width="17.85546875" bestFit="1" customWidth="1"/>
    <col min="6" max="6" width="18.140625" bestFit="1" customWidth="1"/>
    <col min="8" max="8" width="17.85546875" bestFit="1" customWidth="1"/>
    <col min="9" max="9" width="26.85546875" bestFit="1" customWidth="1"/>
    <col min="12" max="12" width="13.5703125" bestFit="1" customWidth="1"/>
  </cols>
  <sheetData>
    <row r="2" spans="1:12" x14ac:dyDescent="0.25">
      <c r="K2" t="s">
        <v>451</v>
      </c>
    </row>
    <row r="3" spans="1:12" x14ac:dyDescent="0.25">
      <c r="A3" s="1" t="s">
        <v>446</v>
      </c>
      <c r="B3" t="s">
        <v>447</v>
      </c>
      <c r="E3" s="1" t="s">
        <v>446</v>
      </c>
      <c r="F3" t="s">
        <v>447</v>
      </c>
      <c r="H3" s="1" t="s">
        <v>446</v>
      </c>
      <c r="I3" t="s">
        <v>448</v>
      </c>
      <c r="K3">
        <f>COUNTIF(DATOS_ANS!V:V,"VENCIDO")</f>
        <v>108</v>
      </c>
      <c r="L3" t="s">
        <v>47</v>
      </c>
    </row>
    <row r="4" spans="1:12" x14ac:dyDescent="0.25">
      <c r="A4" s="2" t="s">
        <v>32</v>
      </c>
      <c r="B4">
        <v>718</v>
      </c>
      <c r="E4" s="2" t="s">
        <v>32</v>
      </c>
      <c r="F4" s="3">
        <v>0.71159563924677904</v>
      </c>
      <c r="H4" s="2" t="s">
        <v>38</v>
      </c>
      <c r="I4">
        <v>222</v>
      </c>
      <c r="K4">
        <f>COUNTIF(DATOS_ANS!V:V,"ALERTA")</f>
        <v>172</v>
      </c>
      <c r="L4" t="s">
        <v>50</v>
      </c>
    </row>
    <row r="5" spans="1:12" x14ac:dyDescent="0.25">
      <c r="A5" s="2" t="s">
        <v>50</v>
      </c>
      <c r="B5">
        <v>172</v>
      </c>
      <c r="E5" s="2" t="s">
        <v>50</v>
      </c>
      <c r="F5" s="3">
        <v>0.17046580773042616</v>
      </c>
      <c r="H5" s="2" t="s">
        <v>31</v>
      </c>
      <c r="I5">
        <v>787</v>
      </c>
      <c r="K5">
        <f>COUNTIF(DATOS_ANS!V:V,"A TIEMPO")</f>
        <v>718</v>
      </c>
      <c r="L5" t="s">
        <v>32</v>
      </c>
    </row>
    <row r="6" spans="1:12" x14ac:dyDescent="0.25">
      <c r="A6" s="2" t="s">
        <v>47</v>
      </c>
      <c r="B6">
        <v>108</v>
      </c>
      <c r="E6" s="2" t="s">
        <v>47</v>
      </c>
      <c r="F6" s="3">
        <v>0.10703666997026759</v>
      </c>
      <c r="H6" s="2" t="s">
        <v>449</v>
      </c>
      <c r="I6">
        <v>1009</v>
      </c>
      <c r="K6">
        <f>COUNTIF(DATOS_ANS!V:V,"ALERTA_0 Días")</f>
        <v>8</v>
      </c>
      <c r="L6" t="s">
        <v>452</v>
      </c>
    </row>
    <row r="7" spans="1:12" x14ac:dyDescent="0.25">
      <c r="A7" s="2" t="s">
        <v>453</v>
      </c>
      <c r="B7">
        <v>3</v>
      </c>
      <c r="E7" s="2" t="s">
        <v>453</v>
      </c>
      <c r="F7" s="3">
        <v>2.973240832507433E-3</v>
      </c>
      <c r="K7">
        <f>COUNTIF(DATOS_ANS!V:V,"SIN FECHA")</f>
        <v>3</v>
      </c>
      <c r="L7" t="s">
        <v>453</v>
      </c>
    </row>
    <row r="8" spans="1:12" x14ac:dyDescent="0.25">
      <c r="A8" s="2" t="s">
        <v>452</v>
      </c>
      <c r="B8">
        <v>8</v>
      </c>
      <c r="E8" s="2" t="s">
        <v>452</v>
      </c>
      <c r="F8" s="3">
        <v>7.9286422200198214E-3</v>
      </c>
      <c r="K8">
        <f>SUM(K3:K7)</f>
        <v>1009</v>
      </c>
      <c r="L8" t="s">
        <v>454</v>
      </c>
    </row>
    <row r="9" spans="1:12" x14ac:dyDescent="0.25">
      <c r="A9" s="2" t="s">
        <v>449</v>
      </c>
      <c r="B9">
        <v>1009</v>
      </c>
      <c r="E9" s="2" t="s">
        <v>449</v>
      </c>
      <c r="F9" s="3">
        <v>1</v>
      </c>
    </row>
    <row r="16" spans="1:12" x14ac:dyDescent="0.25">
      <c r="A16" s="1" t="s">
        <v>446</v>
      </c>
      <c r="B16" t="s">
        <v>450</v>
      </c>
      <c r="D16" s="1" t="s">
        <v>446</v>
      </c>
    </row>
    <row r="17" spans="1:4" x14ac:dyDescent="0.25">
      <c r="A17" s="2" t="s">
        <v>167</v>
      </c>
      <c r="B17">
        <v>13</v>
      </c>
      <c r="D17" s="2" t="s">
        <v>77</v>
      </c>
    </row>
    <row r="18" spans="1:4" x14ac:dyDescent="0.25">
      <c r="A18" s="2" t="s">
        <v>82</v>
      </c>
      <c r="B18">
        <v>87</v>
      </c>
      <c r="D18" s="2" t="s">
        <v>49</v>
      </c>
    </row>
    <row r="19" spans="1:4" x14ac:dyDescent="0.25">
      <c r="A19" s="2" t="s">
        <v>46</v>
      </c>
      <c r="B19">
        <v>26</v>
      </c>
      <c r="D19" s="2" t="s">
        <v>44</v>
      </c>
    </row>
    <row r="20" spans="1:4" x14ac:dyDescent="0.25">
      <c r="A20" s="2" t="s">
        <v>29</v>
      </c>
      <c r="B20">
        <v>503</v>
      </c>
      <c r="D20" s="2" t="s">
        <v>61</v>
      </c>
    </row>
    <row r="21" spans="1:4" x14ac:dyDescent="0.25">
      <c r="A21" s="2" t="s">
        <v>43</v>
      </c>
      <c r="B21">
        <v>74</v>
      </c>
      <c r="D21" s="2" t="s">
        <v>27</v>
      </c>
    </row>
    <row r="22" spans="1:4" x14ac:dyDescent="0.25">
      <c r="A22" s="2" t="s">
        <v>103</v>
      </c>
      <c r="B22">
        <v>47</v>
      </c>
      <c r="D22" s="2" t="s">
        <v>79</v>
      </c>
    </row>
    <row r="23" spans="1:4" x14ac:dyDescent="0.25">
      <c r="A23" s="2" t="s">
        <v>40</v>
      </c>
      <c r="B23">
        <v>220</v>
      </c>
      <c r="D23" s="2" t="s">
        <v>449</v>
      </c>
    </row>
    <row r="24" spans="1:4" x14ac:dyDescent="0.25">
      <c r="A24" s="2" t="s">
        <v>122</v>
      </c>
      <c r="B24">
        <v>6</v>
      </c>
    </row>
    <row r="25" spans="1:4" x14ac:dyDescent="0.25">
      <c r="A25" s="2" t="s">
        <v>52</v>
      </c>
      <c r="B25">
        <v>14</v>
      </c>
    </row>
    <row r="26" spans="1:4" x14ac:dyDescent="0.25">
      <c r="A26" s="2" t="s">
        <v>183</v>
      </c>
      <c r="B26">
        <v>7</v>
      </c>
    </row>
    <row r="27" spans="1:4" x14ac:dyDescent="0.25">
      <c r="A27" s="2" t="s">
        <v>467</v>
      </c>
      <c r="B27">
        <v>11</v>
      </c>
    </row>
    <row r="28" spans="1:4" x14ac:dyDescent="0.25">
      <c r="A28" s="2" t="s">
        <v>1137</v>
      </c>
      <c r="B28">
        <v>1</v>
      </c>
    </row>
    <row r="29" spans="1:4" x14ac:dyDescent="0.25">
      <c r="A29" s="2" t="s">
        <v>449</v>
      </c>
      <c r="B29">
        <v>1009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DATOS_ANS</vt:lpstr>
      <vt:lpstr>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Gaviria</dc:creator>
  <cp:lastModifiedBy>Alejandro Gaviria</cp:lastModifiedBy>
  <dcterms:created xsi:type="dcterms:W3CDTF">2025-11-08T21:59:13Z</dcterms:created>
  <dcterms:modified xsi:type="dcterms:W3CDTF">2025-11-30T06:59:39Z</dcterms:modified>
</cp:coreProperties>
</file>