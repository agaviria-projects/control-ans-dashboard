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slicers/slicer1.xml" ContentType="application/vnd.ms-excel.slicer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hector.gaviria\Desktop\Plantilla Dashboard_V5\"/>
    </mc:Choice>
  </mc:AlternateContent>
  <xr:revisionPtr revIDLastSave="0" documentId="13_ncr:1_{CE9DD1AA-2B21-4AD5-BB2F-642DA10C0D79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TOS_ANS" sheetId="2" r:id="rId1"/>
    <sheet name="DASHBOARD_ANS" sheetId="3" r:id="rId2"/>
    <sheet name="TC" sheetId="5" state="hidden" r:id="rId3"/>
    <sheet name="TD" sheetId="4" state="veryHidden" r:id="rId4"/>
  </sheets>
  <functionGroups builtInGroupCount="19"/>
  <definedNames>
    <definedName name="RutaMapaANS">'C':\Users\hector.gaviria\OneDrive - Elite Ingenieros SAS\Control_ANS\mapa_ans.html</definedName>
    <definedName name="SegmentaciónDeDatos_ACTIVIDAD">#N/A</definedName>
    <definedName name="SegmentaciónDeDatos_ACTIVIDAD1">#N/A</definedName>
    <definedName name="SegmentaciónDeDatos_ACTIVIDAD2">#N/A</definedName>
    <definedName name="SegmentaciónDeDatos_ESTADO">#N/A</definedName>
    <definedName name="SegmentaciónDeDatos_MUNICIPIO">#N/A</definedName>
    <definedName name="SegmentaciónDeDatos_TIPO_DIRECCION">#N/A</definedName>
    <definedName name="SegmentaciónDeDatos_TIPO_DIRECCION1">#N/A</definedName>
  </definedNames>
  <calcPr calcId="191029"/>
  <pivotCaches>
    <pivotCache cacheId="21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9"/>
        <x14:slicerCache r:id="rId10"/>
      </x15:slicerCache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" i="4" l="1"/>
  <c r="K7" i="4"/>
  <c r="K5" i="4"/>
  <c r="K4" i="4"/>
  <c r="K3" i="4"/>
  <c r="T10" i="3"/>
  <c r="T9" i="3"/>
  <c r="T8" i="3"/>
  <c r="T7" i="3"/>
  <c r="T2" i="3"/>
  <c r="K8" i="4" l="1"/>
  <c r="T11" i="3"/>
</calcChain>
</file>

<file path=xl/sharedStrings.xml><?xml version="1.0" encoding="utf-8"?>
<sst xmlns="http://schemas.openxmlformats.org/spreadsheetml/2006/main" count="41729" uniqueCount="10486">
  <si>
    <t>PEDIDO</t>
  </si>
  <si>
    <t>PRODUCTO_ID</t>
  </si>
  <si>
    <t>TIPO_TRABAJO</t>
  </si>
  <si>
    <t>TIPO_ELEMENTO_ID</t>
  </si>
  <si>
    <t>FECHA_RECIBO</t>
  </si>
  <si>
    <t>FECHA_INICIO_ANS</t>
  </si>
  <si>
    <t>CLIENTEID</t>
  </si>
  <si>
    <t>NOMBRE_CLIENTE</t>
  </si>
  <si>
    <t>TELEFONO_CONTACTO</t>
  </si>
  <si>
    <t>CELULAR_CONTACTO</t>
  </si>
  <si>
    <t>DIRECCION</t>
  </si>
  <si>
    <t>MUNICIPIO</t>
  </si>
  <si>
    <t>INSTALACION</t>
  </si>
  <si>
    <t>AREA_TRABAJO</t>
  </si>
  <si>
    <t>ACTIVIDAD</t>
  </si>
  <si>
    <t>NOMBRE</t>
  </si>
  <si>
    <t>TIPO_DIRECCION</t>
  </si>
  <si>
    <t>DIAS_PACTADOS</t>
  </si>
  <si>
    <t>FECHA_LIMITE_ANS</t>
  </si>
  <si>
    <t>DIAS_TRANSCURRIDOS</t>
  </si>
  <si>
    <t>DIAS_RESTANTES</t>
  </si>
  <si>
    <t>ESTADO</t>
  </si>
  <si>
    <t>REPORTE_TECNICO</t>
  </si>
  <si>
    <t>TECNICO_EJECUTA</t>
  </si>
  <si>
    <t>ESTADO_FENIX</t>
  </si>
  <si>
    <t>ENERES</t>
  </si>
  <si>
    <t>NUEVO</t>
  </si>
  <si>
    <t>MEDELLÍN</t>
  </si>
  <si>
    <t>Medellín</t>
  </si>
  <si>
    <t>ALEGA</t>
  </si>
  <si>
    <t>METROSUR Vin. Leg. Ref. Concentrada</t>
  </si>
  <si>
    <t>Urbano</t>
  </si>
  <si>
    <t>A TIEMPO</t>
  </si>
  <si>
    <t>SIN DATO</t>
  </si>
  <si>
    <t>ABIERTO</t>
  </si>
  <si>
    <t>SIN DATOS</t>
  </si>
  <si>
    <t>MET Rev-Inst-Concentra E_CR014</t>
  </si>
  <si>
    <t>Revisor Instal. Regadas Metrosur</t>
  </si>
  <si>
    <t>Rural</t>
  </si>
  <si>
    <t>ENEDOM</t>
  </si>
  <si>
    <t>ARTER</t>
  </si>
  <si>
    <t>Habilitación Viviendas Metrosur</t>
  </si>
  <si>
    <t>ENENOR</t>
  </si>
  <si>
    <t>ALEGN</t>
  </si>
  <si>
    <t>ITAGUÍ</t>
  </si>
  <si>
    <t>Itaguí</t>
  </si>
  <si>
    <t>AEJDO</t>
  </si>
  <si>
    <t>VENCIDO</t>
  </si>
  <si>
    <t>ENVIGADO</t>
  </si>
  <si>
    <t>ALERTA</t>
  </si>
  <si>
    <t>ENEPRE</t>
  </si>
  <si>
    <t>INPRE</t>
  </si>
  <si>
    <t>Energía Prepago Metrosur</t>
  </si>
  <si>
    <t>3808080</t>
  </si>
  <si>
    <t>Revisor Inst. Particulares Metrosur</t>
  </si>
  <si>
    <t>LA ESTRELLA</t>
  </si>
  <si>
    <t>La Estrella</t>
  </si>
  <si>
    <t>CALDAS</t>
  </si>
  <si>
    <t>Caldas</t>
  </si>
  <si>
    <t>SABANETA</t>
  </si>
  <si>
    <t>Sabaneta</t>
  </si>
  <si>
    <t>ENECNX</t>
  </si>
  <si>
    <t>ACREV</t>
  </si>
  <si>
    <t>Revisor Puntos de Conexión Metrosur</t>
  </si>
  <si>
    <t>Envigado</t>
  </si>
  <si>
    <t>ENEMRT</t>
  </si>
  <si>
    <t>ENEMVI</t>
  </si>
  <si>
    <t>3113651861</t>
  </si>
  <si>
    <t>AMRTR</t>
  </si>
  <si>
    <t>JESUS ENRIQUE BARRERA CANO</t>
  </si>
  <si>
    <t>METR Mov Red Trans Anderson Castaño</t>
  </si>
  <si>
    <t>RETIR</t>
  </si>
  <si>
    <t>DIPRE</t>
  </si>
  <si>
    <t>3053039439</t>
  </si>
  <si>
    <t>Mov Red Trans Dairo Gil</t>
  </si>
  <si>
    <t>CAMBI</t>
  </si>
  <si>
    <t>ACAMN</t>
  </si>
  <si>
    <t>NATALIA ARANGO RESTREPO</t>
  </si>
  <si>
    <t>3246642705</t>
  </si>
  <si>
    <t>REUBI</t>
  </si>
  <si>
    <t>REEQU</t>
  </si>
  <si>
    <t>23/10/2025 16:35:20</t>
  </si>
  <si>
    <t>DIEGO ANDRES URREGO URREGO</t>
  </si>
  <si>
    <t>3194806148</t>
  </si>
  <si>
    <t>CL 142 SUR CR 51 -123 (INTERIOR 401 )</t>
  </si>
  <si>
    <t>004512001001230401</t>
  </si>
  <si>
    <t>23/10/2025 16:43:45</t>
  </si>
  <si>
    <t>JULIAN ALBERTO URREGO URREGO</t>
  </si>
  <si>
    <t>3150270350</t>
  </si>
  <si>
    <t>CL 142 SUR CR 51 -123 (INTERIOR 402 )</t>
  </si>
  <si>
    <t>004512001001230402</t>
  </si>
  <si>
    <t>LUZ ELENA PEREAÑEZ</t>
  </si>
  <si>
    <t>NELSON DE JESUS MONTOYA SANCHEZ</t>
  </si>
  <si>
    <t>3146466859</t>
  </si>
  <si>
    <t>3123618</t>
  </si>
  <si>
    <t>30/10/2025 08:46:16</t>
  </si>
  <si>
    <t>HECTOR DE JESUS TORRES QUICENO</t>
  </si>
  <si>
    <t>3017375950</t>
  </si>
  <si>
    <t>CL 16 CR 52 -110 (INTERIOR 101 )</t>
  </si>
  <si>
    <t>051516002001100101</t>
  </si>
  <si>
    <t>3104494046</t>
  </si>
  <si>
    <t>CARLOS ANDRES GOMEZ ARBOLEDA</t>
  </si>
  <si>
    <t>3148226825</t>
  </si>
  <si>
    <t>0</t>
  </si>
  <si>
    <t>05/11/2025 15:50:11</t>
  </si>
  <si>
    <t>NORA CECILIA PALACIO VELEZ</t>
  </si>
  <si>
    <t>3007853976</t>
  </si>
  <si>
    <t>CR 43 CL 10 -9</t>
  </si>
  <si>
    <t>051423000000090000</t>
  </si>
  <si>
    <t>05/11/2025 15:55:08</t>
  </si>
  <si>
    <t>SARA GOMEZ MONSALVE</t>
  </si>
  <si>
    <t>3217259</t>
  </si>
  <si>
    <t>3174378336</t>
  </si>
  <si>
    <t>CR 43 CL 10 -15</t>
  </si>
  <si>
    <t>051423000000150000</t>
  </si>
  <si>
    <t>3137677943</t>
  </si>
  <si>
    <t>3 días 11:31</t>
  </si>
  <si>
    <t>formulas</t>
  </si>
  <si>
    <t>DASHBOARD CONTROL ANS</t>
  </si>
  <si>
    <t>Total Pedidos</t>
  </si>
  <si>
    <t>A tiempo</t>
  </si>
  <si>
    <t>Alerta</t>
  </si>
  <si>
    <t>Vencidos</t>
  </si>
  <si>
    <t>Alerta_0 Días</t>
  </si>
  <si>
    <t>Sin Fecha</t>
  </si>
  <si>
    <t>Etiquetas de fila</t>
  </si>
  <si>
    <t>Cuenta de ESTADO</t>
  </si>
  <si>
    <t>Cuenta de TIPO_DIRECCION</t>
  </si>
  <si>
    <t>Total general</t>
  </si>
  <si>
    <t>Cuenta de ACTIVIDAD</t>
  </si>
  <si>
    <t>FORMULAS</t>
  </si>
  <si>
    <t>ALERTA_0 Días</t>
  </si>
  <si>
    <t>SIN FECHA</t>
  </si>
  <si>
    <t>TOTAL PEDIDOS</t>
  </si>
  <si>
    <t>CUMPLIDO</t>
  </si>
  <si>
    <t>SUR-ENE</t>
  </si>
  <si>
    <t>Metropolitana Sur</t>
  </si>
  <si>
    <t>ALECA</t>
  </si>
  <si>
    <t>23571838</t>
  </si>
  <si>
    <t>23571847</t>
  </si>
  <si>
    <t>CR 42 A CL 125 SUR -77 (INTERIOR 5 )</t>
  </si>
  <si>
    <t>002422105000770005</t>
  </si>
  <si>
    <t>23577789</t>
  </si>
  <si>
    <t>23582533</t>
  </si>
  <si>
    <t>23582546</t>
  </si>
  <si>
    <t>COORDENADAX</t>
  </si>
  <si>
    <t>COORDENADAY</t>
  </si>
  <si>
    <t>AREA_OPERATIVA</t>
  </si>
  <si>
    <t>SUBZONA</t>
  </si>
  <si>
    <t>23460704</t>
  </si>
  <si>
    <t>10/06/2025 08:08:30</t>
  </si>
  <si>
    <t>JOHN FREDY CASTAÑEDA PALACIO</t>
  </si>
  <si>
    <t>3104629328</t>
  </si>
  <si>
    <t>CR 82 TRAN 45 C -54 (INTERIOR 501 )</t>
  </si>
  <si>
    <t>054822005300540501</t>
  </si>
  <si>
    <t>23252004</t>
  </si>
  <si>
    <t>22/10/2024 09:03:27</t>
  </si>
  <si>
    <t>2025-11-08 08:51:59</t>
  </si>
  <si>
    <t>DORINA PALMIERI</t>
  </si>
  <si>
    <t>3162963521</t>
  </si>
  <si>
    <t>CL 45 D CR 72 -19</t>
  </si>
  <si>
    <t>054715402000190000</t>
  </si>
  <si>
    <t>2025-11-19 08:51:59</t>
  </si>
  <si>
    <t>23252019</t>
  </si>
  <si>
    <t>22/10/2024 09:16:11</t>
  </si>
  <si>
    <t>2025-11-08 08:51:28</t>
  </si>
  <si>
    <t>CL 45 D CR 72 -11</t>
  </si>
  <si>
    <t>054715402000110000</t>
  </si>
  <si>
    <t>2025-11-19 08:51:28</t>
  </si>
  <si>
    <t>23253443</t>
  </si>
  <si>
    <t>23/10/2024 08:09:48</t>
  </si>
  <si>
    <t>2025-11-08 08:44:25</t>
  </si>
  <si>
    <t>CR 72 CL 44 A -59</t>
  </si>
  <si>
    <t>054722004100590000</t>
  </si>
  <si>
    <t>2025-11-19 08:44:25</t>
  </si>
  <si>
    <t>3117902767</t>
  </si>
  <si>
    <t>3003949089</t>
  </si>
  <si>
    <t>23422327</t>
  </si>
  <si>
    <t>25/04/2025 09:50:05</t>
  </si>
  <si>
    <t>2025-11-12 09:54:11</t>
  </si>
  <si>
    <t>LUIS FERNANDO SALAZAR ESPINOSA</t>
  </si>
  <si>
    <t>3135742816</t>
  </si>
  <si>
    <t>RURAL_161025394000000206</t>
  </si>
  <si>
    <t>161025394000000206</t>
  </si>
  <si>
    <t>2025-11-27 09:54:11</t>
  </si>
  <si>
    <t>23422371</t>
  </si>
  <si>
    <t>25/04/2025 10:12:11</t>
  </si>
  <si>
    <t>2025-11-12 09:54:35</t>
  </si>
  <si>
    <t>RURAL_161025394000000306</t>
  </si>
  <si>
    <t>161025394000000306</t>
  </si>
  <si>
    <t>2025-11-27 09:54:35</t>
  </si>
  <si>
    <t>23424424</t>
  </si>
  <si>
    <t>28/04/2025 14:10:45</t>
  </si>
  <si>
    <t>2025-11-12 09:55:02</t>
  </si>
  <si>
    <t>RURAL_161025394000000016</t>
  </si>
  <si>
    <t>161025394000000016</t>
  </si>
  <si>
    <t>2025-11-27 09:55:02</t>
  </si>
  <si>
    <t>3044852864</t>
  </si>
  <si>
    <t>23472097</t>
  </si>
  <si>
    <t>24/06/2025 08:50:42</t>
  </si>
  <si>
    <t>2025-11-12 09:55:32</t>
  </si>
  <si>
    <t>ANDRES FELIPE MONTOYA ARANGO</t>
  </si>
  <si>
    <t>3213439465</t>
  </si>
  <si>
    <t>161083998000000000</t>
  </si>
  <si>
    <t>161083105000000001</t>
  </si>
  <si>
    <t>2025-11-27 09:55:32</t>
  </si>
  <si>
    <t>23482895</t>
  </si>
  <si>
    <t>08/07/2025 15:29:49</t>
  </si>
  <si>
    <t>2025-11-12 09:55:42</t>
  </si>
  <si>
    <t>JUAN CAMILO PULGARIN CARDONA</t>
  </si>
  <si>
    <t>3234371572</t>
  </si>
  <si>
    <t>RURAL_161129490000000001_PROV.161129490000000000</t>
  </si>
  <si>
    <t>161129490000000001</t>
  </si>
  <si>
    <t>2025-11-25 09:55:42</t>
  </si>
  <si>
    <t>23491968</t>
  </si>
  <si>
    <t>18/07/2025 16:12:25</t>
  </si>
  <si>
    <t>2025-11-12 21:41:45</t>
  </si>
  <si>
    <t>GLORIA PATRICIA VASQUEZ MONTOYA</t>
  </si>
  <si>
    <t>3176861950</t>
  </si>
  <si>
    <t>CL 46 CR 29 -88 (INTERIOR 502 )</t>
  </si>
  <si>
    <t>054216009000880502</t>
  </si>
  <si>
    <t>2025-11-24 21:41:45</t>
  </si>
  <si>
    <t>3002991473</t>
  </si>
  <si>
    <t>23517392</t>
  </si>
  <si>
    <t>20/08/2025 14:45:55</t>
  </si>
  <si>
    <t>2025-11-12 09:58:00</t>
  </si>
  <si>
    <t>LILIANA MARIA ACEVEDO MARULANDA</t>
  </si>
  <si>
    <t>3008815414</t>
  </si>
  <si>
    <t>RURAL_161142030000000001_PROV.RURAL_16114203000000</t>
  </si>
  <si>
    <t>161142030000000001</t>
  </si>
  <si>
    <t>2025-11-27 09:58:00</t>
  </si>
  <si>
    <t>23525803</t>
  </si>
  <si>
    <t>28/08/2025 15:53:53</t>
  </si>
  <si>
    <t>2025-11-12 21:41:41</t>
  </si>
  <si>
    <t>IVAN DARIO CARDONA GUTIERREZ</t>
  </si>
  <si>
    <t>2877547</t>
  </si>
  <si>
    <t>3145861332</t>
  </si>
  <si>
    <t>CL 49 CR 13 -20 (INTERIOR 302 )</t>
  </si>
  <si>
    <t>054119003000200302</t>
  </si>
  <si>
    <t>2025-11-24 21:41:41</t>
  </si>
  <si>
    <t>23525819</t>
  </si>
  <si>
    <t>28/08/2025 16:05:42</t>
  </si>
  <si>
    <t>2025-11-08 11:58:23</t>
  </si>
  <si>
    <t>JOSE ALEJANDRO  GARCIA ALZATE</t>
  </si>
  <si>
    <t>3022960207</t>
  </si>
  <si>
    <t>CR 48 CL 62 -23</t>
  </si>
  <si>
    <t>056428002000230000</t>
  </si>
  <si>
    <t>2025-11-19 11:58:23</t>
  </si>
  <si>
    <t>23526471</t>
  </si>
  <si>
    <t>29/08/2025 10:43:36</t>
  </si>
  <si>
    <t>2025-11-12 09:58:24</t>
  </si>
  <si>
    <t>MARIA EUGENIA GAÑAN DE MORENO</t>
  </si>
  <si>
    <t>3126666718</t>
  </si>
  <si>
    <t>RURAL_161116317500000001_PROV.VEREDA LA CORRALA</t>
  </si>
  <si>
    <t>161116317500000001</t>
  </si>
  <si>
    <t>2025-11-27 09:58:24</t>
  </si>
  <si>
    <t>23527471</t>
  </si>
  <si>
    <t>01/09/2025 08:40:16</t>
  </si>
  <si>
    <t>2025-11-12 08:49:43</t>
  </si>
  <si>
    <t>HECTOR FABIO CALLE MONTOYA</t>
  </si>
  <si>
    <t>4444444</t>
  </si>
  <si>
    <t>3122875444</t>
  </si>
  <si>
    <t>RURAL_159043436000000301</t>
  </si>
  <si>
    <t>159043436000000301</t>
  </si>
  <si>
    <t>2025-11-27 08:49:43</t>
  </si>
  <si>
    <t>6043053</t>
  </si>
  <si>
    <t>23530703</t>
  </si>
  <si>
    <t>03/09/2025 16:36:11</t>
  </si>
  <si>
    <t>2025-11-13 23:45:15</t>
  </si>
  <si>
    <t>JUAN PABLO MONTOYA</t>
  </si>
  <si>
    <t>3162431326</t>
  </si>
  <si>
    <t>RURAL_159115068000000001_TABLAZA</t>
  </si>
  <si>
    <t>159115068000000001</t>
  </si>
  <si>
    <t>2025-11-28 23:45:15</t>
  </si>
  <si>
    <t>23534946</t>
  </si>
  <si>
    <t>09/09/2025 14:34:41</t>
  </si>
  <si>
    <t>2025-11-09 21:43:01</t>
  </si>
  <si>
    <t>JESSICA BETANCOURT MESA</t>
  </si>
  <si>
    <t>3122609338</t>
  </si>
  <si>
    <t>CR 52 CL 79 SUR -263 (INTERIOR 501 )</t>
  </si>
  <si>
    <t>037522009002630501</t>
  </si>
  <si>
    <t>2025-11-14 21:43:01</t>
  </si>
  <si>
    <t>23542749</t>
  </si>
  <si>
    <t>18/09/2025 13:15:56</t>
  </si>
  <si>
    <t>2025-11-12 21:49:40</t>
  </si>
  <si>
    <t>YENNY ALEJANDRA GUZMAN BETANCUR</t>
  </si>
  <si>
    <t>RURAL_161096293000000067_VEREDA SALADA PARTE BAJA</t>
  </si>
  <si>
    <t>161096293000000067</t>
  </si>
  <si>
    <t>2025-11-27 21:49:40</t>
  </si>
  <si>
    <t>23543388</t>
  </si>
  <si>
    <t>19/09/2025 09:06:20</t>
  </si>
  <si>
    <t>2025-11-12 21:49:36</t>
  </si>
  <si>
    <t>JULIANA  ALVAREZ</t>
  </si>
  <si>
    <t>3017902755</t>
  </si>
  <si>
    <t>RURAL_161095804000000303_VEREDA LA CLARA</t>
  </si>
  <si>
    <t>161095804000000303</t>
  </si>
  <si>
    <t>2025-11-27 21:49:36</t>
  </si>
  <si>
    <t>23543674</t>
  </si>
  <si>
    <t>19/09/2025 12:51:35</t>
  </si>
  <si>
    <t>2025-11-10 08:31:14</t>
  </si>
  <si>
    <t>OSCAR DARIO CORREA VELEZ</t>
  </si>
  <si>
    <t>3004072</t>
  </si>
  <si>
    <t>3128171344</t>
  </si>
  <si>
    <t>CR 51 CL 129 SUR -59</t>
  </si>
  <si>
    <t>002521009000590000</t>
  </si>
  <si>
    <t>2025-11-20 08:31:14</t>
  </si>
  <si>
    <t>23546592</t>
  </si>
  <si>
    <t>23/09/2025 09:24:05</t>
  </si>
  <si>
    <t>2025-11-12 09:58:28</t>
  </si>
  <si>
    <t>DIEGO ALFONSO LOPEZ CORREA</t>
  </si>
  <si>
    <t>3216384586</t>
  </si>
  <si>
    <t>RURAL_161025393000000009_161025393000000000_PRIMAV</t>
  </si>
  <si>
    <t>161025393000000009</t>
  </si>
  <si>
    <t>2025-11-25 09:58:28</t>
  </si>
  <si>
    <t>23546805</t>
  </si>
  <si>
    <t>23/09/2025 11:37:56</t>
  </si>
  <si>
    <t>2025-11-08 22:26:04</t>
  </si>
  <si>
    <t>METRO DE MEDELLIN LTDA.</t>
  </si>
  <si>
    <t>4548888</t>
  </si>
  <si>
    <t>3054260060</t>
  </si>
  <si>
    <t>CR 49 CL 37 SUR -130 (INTERIOR 120 )</t>
  </si>
  <si>
    <t>023429007001300120</t>
  </si>
  <si>
    <t>2025-11-19 22:26:04</t>
  </si>
  <si>
    <t>23547105</t>
  </si>
  <si>
    <t>23/09/2025 15:02:03</t>
  </si>
  <si>
    <t>2025-11-12 09:58:32</t>
  </si>
  <si>
    <t>LIBARDO DE JESUS ARRUBLA LOPEZ</t>
  </si>
  <si>
    <t>3122106406</t>
  </si>
  <si>
    <t>RURAL_161004600000000004_PROV.LA AGUACATALA</t>
  </si>
  <si>
    <t>161004600000000004</t>
  </si>
  <si>
    <t>2025-11-25 09:58:32</t>
  </si>
  <si>
    <t>23548922</t>
  </si>
  <si>
    <t>25/09/2025 10:16:44</t>
  </si>
  <si>
    <t>2025-11-12 09:58:59</t>
  </si>
  <si>
    <t>HUGO ERNESTO MONTOYA TORO</t>
  </si>
  <si>
    <t>3105361855</t>
  </si>
  <si>
    <t>RURAL_161083300000000012</t>
  </si>
  <si>
    <t>161083300000000012</t>
  </si>
  <si>
    <t>2025-11-27 09:58:59</t>
  </si>
  <si>
    <t>23560594</t>
  </si>
  <si>
    <t>09/10/2025 11:20:47</t>
  </si>
  <si>
    <t>2025-11-12 09:59:02</t>
  </si>
  <si>
    <t>ELKIN DE JESUS QUIRAMA JIMENEZ</t>
  </si>
  <si>
    <t>2783238</t>
  </si>
  <si>
    <t>RURAL_161015849499000002_VEREDA EL RAIZAL</t>
  </si>
  <si>
    <t>161015849499000002</t>
  </si>
  <si>
    <t>2025-11-25 09:59:02</t>
  </si>
  <si>
    <t>23561908</t>
  </si>
  <si>
    <t>11/10/2025 12:10:44</t>
  </si>
  <si>
    <t>2025-11-12 09:59:03</t>
  </si>
  <si>
    <t>LAURA DAHIANA ACEVEDO HENAO</t>
  </si>
  <si>
    <t>3128191227</t>
  </si>
  <si>
    <t>RURAL_161012406000000002_PROV.161012406000000000_V</t>
  </si>
  <si>
    <t>161012406000000002</t>
  </si>
  <si>
    <t>2025-11-25 09:59:03</t>
  </si>
  <si>
    <t>23563271</t>
  </si>
  <si>
    <t>15/10/2025 05:47:01</t>
  </si>
  <si>
    <t>2025-11-12 09:59:04</t>
  </si>
  <si>
    <t>MARIA LEONISA OSPINA SEPULVEDA</t>
  </si>
  <si>
    <t>3217366792</t>
  </si>
  <si>
    <t>RURAL_161027451000000001_VEREDA PRIMAVERA</t>
  </si>
  <si>
    <t>161027451000000001</t>
  </si>
  <si>
    <t>2025-11-25 09:59:04</t>
  </si>
  <si>
    <t>23563310</t>
  </si>
  <si>
    <t>15/10/2025 06:07:21</t>
  </si>
  <si>
    <t>2025-11-12 09:59:05</t>
  </si>
  <si>
    <t>JORGE ALBERTO RUIZ CHAVERRA</t>
  </si>
  <si>
    <t>3215330730</t>
  </si>
  <si>
    <t>RURAL_161027499000000001_VEREDA PRIMAVERA</t>
  </si>
  <si>
    <t>161027499000000001</t>
  </si>
  <si>
    <t>2025-11-25 09:59:05</t>
  </si>
  <si>
    <t>23563329</t>
  </si>
  <si>
    <t>15/10/2025 06:32:30</t>
  </si>
  <si>
    <t>2025-11-12 09:59:06</t>
  </si>
  <si>
    <t>ANGIE CAROLINA HENAO HERRERA</t>
  </si>
  <si>
    <t>3036595</t>
  </si>
  <si>
    <t>3234345894</t>
  </si>
  <si>
    <t>RURAL_161012413000000201_VEREDA EL CANELON</t>
  </si>
  <si>
    <t>161012413000000201</t>
  </si>
  <si>
    <t>2025-11-25 09:59:06</t>
  </si>
  <si>
    <t>23563994</t>
  </si>
  <si>
    <t>15/10/2025 11:38:26</t>
  </si>
  <si>
    <t>2025-11-12 09:59:07</t>
  </si>
  <si>
    <t>OLGA FABIOLA MOLINA</t>
  </si>
  <si>
    <t>3243642744</t>
  </si>
  <si>
    <t>RURAL_161023655000000309_161023655000000309_VEREDA</t>
  </si>
  <si>
    <t>161023655000000309</t>
  </si>
  <si>
    <t>2025-11-25 09:59:07</t>
  </si>
  <si>
    <t>23564416</t>
  </si>
  <si>
    <t>15/10/2025 14:50:59</t>
  </si>
  <si>
    <t>2025-11-12 09:59:08</t>
  </si>
  <si>
    <t>MARLENY DE LAS MISERICORDIAS MEDINA DE CADAVID</t>
  </si>
  <si>
    <t>3234164014</t>
  </si>
  <si>
    <t>RURAL_161099890000000204_LA SALADA PARTE BAJA</t>
  </si>
  <si>
    <t>161099890000000204</t>
  </si>
  <si>
    <t>2025-11-25 09:59:08</t>
  </si>
  <si>
    <t>23564550</t>
  </si>
  <si>
    <t>15/10/2025 16:07:26</t>
  </si>
  <si>
    <t>2025-11-10 15:14:12</t>
  </si>
  <si>
    <t>REINALDO MAYA RESTREPO</t>
  </si>
  <si>
    <t>3183112186</t>
  </si>
  <si>
    <t>RURAL_159054600000000102_PROV.RURAL_15905460000000</t>
  </si>
  <si>
    <t>159054600000000102</t>
  </si>
  <si>
    <t>2025-11-25 15:14:12</t>
  </si>
  <si>
    <t>23565001</t>
  </si>
  <si>
    <t>16/10/2025 08:49:13</t>
  </si>
  <si>
    <t>2025-11-12 09:59:09</t>
  </si>
  <si>
    <t>PAULA ANDREA ESPINOSA ANGEL</t>
  </si>
  <si>
    <t>3207374709</t>
  </si>
  <si>
    <t>RURAL_161123850100000009_161123850100000009</t>
  </si>
  <si>
    <t>161123850100000009</t>
  </si>
  <si>
    <t>2025-11-25 09:59:09</t>
  </si>
  <si>
    <t>23565552</t>
  </si>
  <si>
    <t>16/10/2025 12:57:11</t>
  </si>
  <si>
    <t>2025-11-12 09:59:10</t>
  </si>
  <si>
    <t>RIGOBERTO DE JESUS PEREZ CARDENAS</t>
  </si>
  <si>
    <t>2782464</t>
  </si>
  <si>
    <t>3016711530</t>
  </si>
  <si>
    <t>RURAL_161023686000000001_PROV.161023686000000000</t>
  </si>
  <si>
    <t>161023686000000001</t>
  </si>
  <si>
    <t>2025-11-25 09:59:10</t>
  </si>
  <si>
    <t>23566102</t>
  </si>
  <si>
    <t>16/10/2025 16:17:03</t>
  </si>
  <si>
    <t>2025-11-12 09:59:11</t>
  </si>
  <si>
    <t>ARACELLY PATIÑO SANCHEZ</t>
  </si>
  <si>
    <t>3122121381</t>
  </si>
  <si>
    <t>RURAL_161098416600000001_VDA LA CLARA YENDO HACIA</t>
  </si>
  <si>
    <t>161098416600000001</t>
  </si>
  <si>
    <t>2025-11-25 09:59:11</t>
  </si>
  <si>
    <t>23567454</t>
  </si>
  <si>
    <t>18/10/2025 04:44:35</t>
  </si>
  <si>
    <t>2025-11-07 09:58:43</t>
  </si>
  <si>
    <t>SOL PATRICIA OBANDO BETANCUR</t>
  </si>
  <si>
    <t>3383203</t>
  </si>
  <si>
    <t>3233879734</t>
  </si>
  <si>
    <t>RURAL_159118311000000202_MARIANO OSPINA</t>
  </si>
  <si>
    <t>159118311000000202</t>
  </si>
  <si>
    <t>2025-11-20 09:58:43</t>
  </si>
  <si>
    <t>23567957</t>
  </si>
  <si>
    <t>20/10/2025 08:16:57</t>
  </si>
  <si>
    <t>2025-11-12 09:59:12</t>
  </si>
  <si>
    <t>RURAL_161023686000000002_LA CHUSCALA</t>
  </si>
  <si>
    <t>161023686000000002</t>
  </si>
  <si>
    <t>2025-11-25 09:59:12</t>
  </si>
  <si>
    <t>23568985</t>
  </si>
  <si>
    <t>21/10/2025 05:50:26</t>
  </si>
  <si>
    <t>2025-11-12 09:59:14</t>
  </si>
  <si>
    <t>FRANCY HERLEY MARIA HOLGUIN MESA</t>
  </si>
  <si>
    <t>3016636744</t>
  </si>
  <si>
    <t>RURAL_161145023000000101_VEREDA LA MIEL PARTE ALTA</t>
  </si>
  <si>
    <t>161145023000000101</t>
  </si>
  <si>
    <t>2025-11-25 09:59:14</t>
  </si>
  <si>
    <t>23568995</t>
  </si>
  <si>
    <t>21/10/2025 06:37:48</t>
  </si>
  <si>
    <t>2025-11-12 09:59:15</t>
  </si>
  <si>
    <t>JENNIFER ANDREA GONZALEZ PEREZ</t>
  </si>
  <si>
    <t>3226124062</t>
  </si>
  <si>
    <t>RURAL_161097304000000201</t>
  </si>
  <si>
    <t>161097304000000201</t>
  </si>
  <si>
    <t>2025-11-25 09:59:15</t>
  </si>
  <si>
    <t>23569381</t>
  </si>
  <si>
    <t>21/10/2025 08:39:16</t>
  </si>
  <si>
    <t>2025-11-12 09:59:17</t>
  </si>
  <si>
    <t>MARIA NATALY YEPES PEREZ</t>
  </si>
  <si>
    <t>3148821246</t>
  </si>
  <si>
    <t>RURAL_161099295000000201</t>
  </si>
  <si>
    <t>161099295000000201</t>
  </si>
  <si>
    <t>2025-11-25 09:59:17</t>
  </si>
  <si>
    <t>3 días 13:05</t>
  </si>
  <si>
    <t>23572681</t>
  </si>
  <si>
    <t>13/11/2025 07:34:16</t>
  </si>
  <si>
    <t>2025-11-13 07:34:16</t>
  </si>
  <si>
    <t>KARLA YARLEDI CARTAGENA MUÑOZ</t>
  </si>
  <si>
    <t>3006708847</t>
  </si>
  <si>
    <t>CL 39 DA CR 119 C -145 (INTERIOR 108 )</t>
  </si>
  <si>
    <t>083119419301450108</t>
  </si>
  <si>
    <t>APLIN</t>
  </si>
  <si>
    <t>3005152429</t>
  </si>
  <si>
    <t>23584810</t>
  </si>
  <si>
    <t>07/11/2025 11:58:25</t>
  </si>
  <si>
    <t>2025-11-07 11:58:25</t>
  </si>
  <si>
    <t>ADRIANA DEL SOCORRO GONZALEZ MUNERA</t>
  </si>
  <si>
    <t>3157880298</t>
  </si>
  <si>
    <t>RURAL_161112302000000002_PROV VDA LA CORRALITA</t>
  </si>
  <si>
    <t>161112302000000002</t>
  </si>
  <si>
    <t>2025-11-20 11:58:25</t>
  </si>
  <si>
    <t>23585389</t>
  </si>
  <si>
    <t>08/11/2025 10:19:59</t>
  </si>
  <si>
    <t>2025-11-08 10:19:59</t>
  </si>
  <si>
    <t>GUSTAVO MEJIA HERRERA</t>
  </si>
  <si>
    <t>3207336498</t>
  </si>
  <si>
    <t>CL 87 SUR CR 62 -105 (INTERIOR 207 )</t>
  </si>
  <si>
    <t>038617002001050207</t>
  </si>
  <si>
    <t>2025-11-19 10:19:59</t>
  </si>
  <si>
    <t>23586429</t>
  </si>
  <si>
    <t>11/11/2025 03:15:30</t>
  </si>
  <si>
    <t>2025-11-11 03:15:30</t>
  </si>
  <si>
    <t>VALENTINA MOLINA RESTREPO</t>
  </si>
  <si>
    <t>3012016846</t>
  </si>
  <si>
    <t>RURAL_159033400000000003_PROV.159033400000000003</t>
  </si>
  <si>
    <t>159033400000000003</t>
  </si>
  <si>
    <t>2025-11-24 03:15:30</t>
  </si>
  <si>
    <t>23586512</t>
  </si>
  <si>
    <t>11/11/2025 05:00:26</t>
  </si>
  <si>
    <t>2025-11-11 05:00:26</t>
  </si>
  <si>
    <t>JOSE FERNANDO VELEZ VELEZ</t>
  </si>
  <si>
    <t>3206459709</t>
  </si>
  <si>
    <t>RURAL_159144497000000204_PROV.TABLAZA EL LLANO</t>
  </si>
  <si>
    <t>159144497000000204</t>
  </si>
  <si>
    <t>2025-11-24 05:00:26</t>
  </si>
  <si>
    <t>23587430</t>
  </si>
  <si>
    <t>11/11/2025 13:32:25</t>
  </si>
  <si>
    <t>2025-11-11 13:32:25</t>
  </si>
  <si>
    <t>DIEGO ALEJANDRO PARRA CARDONA</t>
  </si>
  <si>
    <t>3023697730</t>
  </si>
  <si>
    <t>RURAL_159054830000000123_159054830000000123</t>
  </si>
  <si>
    <t>159054830000000123</t>
  </si>
  <si>
    <t>2025-11-24 13:32:25</t>
  </si>
  <si>
    <t>23587500</t>
  </si>
  <si>
    <t>11/11/2025 14:26:38</t>
  </si>
  <si>
    <t>2025-11-11 14:26:38</t>
  </si>
  <si>
    <t>YECENIA MARGARITA CASTAÑEDA DUARTE</t>
  </si>
  <si>
    <t>3784648</t>
  </si>
  <si>
    <t>3146148518</t>
  </si>
  <si>
    <t>RURAL_159135899000000001</t>
  </si>
  <si>
    <t>159135899000000001</t>
  </si>
  <si>
    <t>2025-11-24 14:26:38</t>
  </si>
  <si>
    <t>3 días 09:02</t>
  </si>
  <si>
    <t>NATALIA ANDREA MONSALVE ROJO</t>
  </si>
  <si>
    <t>3104242411</t>
  </si>
  <si>
    <t>3113077370</t>
  </si>
  <si>
    <t>CR 45 CL 49 -6 (INTERIOR 301 )</t>
  </si>
  <si>
    <t>054425009000060301</t>
  </si>
  <si>
    <t>23590049</t>
  </si>
  <si>
    <t>ISABEL CRISTINA CANO TORRES</t>
  </si>
  <si>
    <t>3053208373</t>
  </si>
  <si>
    <t>RURAL_147002404000000002_CRA 152 CA CL 59 -139_VER</t>
  </si>
  <si>
    <t>147002404000000002</t>
  </si>
  <si>
    <t>3217798274</t>
  </si>
  <si>
    <t>DIANA MARCELA RAMIREZ MANCO</t>
  </si>
  <si>
    <t>3116557889</t>
  </si>
  <si>
    <t>3104627849</t>
  </si>
  <si>
    <t>23590750</t>
  </si>
  <si>
    <t>14/11/2025 14:33:18</t>
  </si>
  <si>
    <t>2025-11-14 14:33:18</t>
  </si>
  <si>
    <t>LUZ MERY TORRES MONTES</t>
  </si>
  <si>
    <t>3004743703</t>
  </si>
  <si>
    <t>CR 52 A CL 77 -12 (INTERIOR 300 )</t>
  </si>
  <si>
    <t>077522107000120300-ENEPRE</t>
  </si>
  <si>
    <t>2025-12-02 14:33:18</t>
  </si>
  <si>
    <t>23503045</t>
  </si>
  <si>
    <t>01/08/2025 08:51:18</t>
  </si>
  <si>
    <t>2025-11-15 21:38:44</t>
  </si>
  <si>
    <t>GIULIANY MEJIA RAMIREZ</t>
  </si>
  <si>
    <t>4961696</t>
  </si>
  <si>
    <t>3107012237</t>
  </si>
  <si>
    <t>CR 64 A CL 33 -17 (INTERIOR 402 )</t>
  </si>
  <si>
    <t>073624103000170402</t>
  </si>
  <si>
    <t>2025-11-26 21:38:44</t>
  </si>
  <si>
    <t>WILSON FERNANDO ARANGO MARTINEZ</t>
  </si>
  <si>
    <t>JORGE MARIO USUGA VELASQUEZ</t>
  </si>
  <si>
    <t>23591823</t>
  </si>
  <si>
    <t>DANIEL MARTINEZ RIOS</t>
  </si>
  <si>
    <t>3207319362</t>
  </si>
  <si>
    <t>CR 57 CL 74 -4</t>
  </si>
  <si>
    <t>077527004000040000</t>
  </si>
  <si>
    <t>23495581</t>
  </si>
  <si>
    <t>23/07/2025 16:34:29</t>
  </si>
  <si>
    <t>2025-11-18 09:54:18</t>
  </si>
  <si>
    <t>MARIA JOHANNA CALDERON PALACIO</t>
  </si>
  <si>
    <t>5586487</t>
  </si>
  <si>
    <t>3004198565</t>
  </si>
  <si>
    <t>CR 88 CL 41 -40 (INTERIOR 101 )</t>
  </si>
  <si>
    <t>054828001000400101</t>
  </si>
  <si>
    <t>2025-11-27 09:54:18</t>
  </si>
  <si>
    <t>23526333</t>
  </si>
  <si>
    <t>29/08/2025 09:10:31</t>
  </si>
  <si>
    <t>2025-11-12 21:49:17</t>
  </si>
  <si>
    <t>ALBERTO SOTO VARGAS</t>
  </si>
  <si>
    <t>2511555</t>
  </si>
  <si>
    <t>3113485977</t>
  </si>
  <si>
    <t>CR 49 CL 46 -35 (INTERIOR 201 )</t>
  </si>
  <si>
    <t>054429006000350201</t>
  </si>
  <si>
    <t>2025-11-24 21:49:17</t>
  </si>
  <si>
    <t>23546621</t>
  </si>
  <si>
    <t>23/09/2025 09:42:48</t>
  </si>
  <si>
    <t>2025-11-12 21:50:30</t>
  </si>
  <si>
    <t>PAULA CRISTINA ATEHORTUA BRAN</t>
  </si>
  <si>
    <t>3046822450</t>
  </si>
  <si>
    <t>RURAL_161117100000000001</t>
  </si>
  <si>
    <t>161117100000000001</t>
  </si>
  <si>
    <t>2025-11-25 21:50:30</t>
  </si>
  <si>
    <t>2 días 14:29</t>
  </si>
  <si>
    <t>23567809</t>
  </si>
  <si>
    <t>20/10/2025 05:51:30</t>
  </si>
  <si>
    <t>2025-11-14 08:23:51</t>
  </si>
  <si>
    <t>FABIO NELSON VARGAS BEDOYA</t>
  </si>
  <si>
    <t>3137735745</t>
  </si>
  <si>
    <t>CR 50 CL 78 SUR -59 (INTERIOR 101 )</t>
  </si>
  <si>
    <t>037520008000590101</t>
  </si>
  <si>
    <t>2025-11-24 08:23:51</t>
  </si>
  <si>
    <t>2 días 12:12</t>
  </si>
  <si>
    <t>23588761</t>
  </si>
  <si>
    <t>12/11/2025 16:24:14</t>
  </si>
  <si>
    <t>2025-11-12 16:24:14</t>
  </si>
  <si>
    <t>ANGIE PAOLA CUARTAS GALLEGO</t>
  </si>
  <si>
    <t>3182304012</t>
  </si>
  <si>
    <t>RURAL_159001664000000001_SAN JOSE</t>
  </si>
  <si>
    <t>159001664000000001</t>
  </si>
  <si>
    <t>2025-11-25 16:24:14</t>
  </si>
  <si>
    <t>23588809</t>
  </si>
  <si>
    <t>12/11/2025 16:48:56</t>
  </si>
  <si>
    <t>2025-11-12 16:48:56</t>
  </si>
  <si>
    <t>ALEXANDER SIERRA VARGAS</t>
  </si>
  <si>
    <t>3014298465</t>
  </si>
  <si>
    <t>CL 81 SUR CR 69 -101</t>
  </si>
  <si>
    <t>038611009001010000</t>
  </si>
  <si>
    <t>2025-11-20 16:48:56</t>
  </si>
  <si>
    <t>3 días 09:31</t>
  </si>
  <si>
    <t>23589913</t>
  </si>
  <si>
    <t>14/11/2025 04:19:11</t>
  </si>
  <si>
    <t>2025-11-14 04:19:11</t>
  </si>
  <si>
    <t>PATRICIA VALLEJO VELEZ</t>
  </si>
  <si>
    <t>4985833</t>
  </si>
  <si>
    <t>3011921726</t>
  </si>
  <si>
    <t>RURAL_159056480000000001_PROV.159056480000000000_</t>
  </si>
  <si>
    <t>159056480000000001</t>
  </si>
  <si>
    <t>2025-11-27 04:19:11</t>
  </si>
  <si>
    <t>23590020</t>
  </si>
  <si>
    <t>14/11/2025 07:54:07</t>
  </si>
  <si>
    <t>2025-11-14 07:54:07</t>
  </si>
  <si>
    <t>4179092</t>
  </si>
  <si>
    <t>3113120737</t>
  </si>
  <si>
    <t>RURAL_161118237480000100_VEREDA LA CORRALA CONTIGU</t>
  </si>
  <si>
    <t>161118237480000100</t>
  </si>
  <si>
    <t>2025-11-27 07:54:07</t>
  </si>
  <si>
    <t>23590024</t>
  </si>
  <si>
    <t>14/11/2025 07:57:40</t>
  </si>
  <si>
    <t>2025-11-14 07:57:40</t>
  </si>
  <si>
    <t>LINA MARIA JARAMILLO ALVAREZ</t>
  </si>
  <si>
    <t>2813293</t>
  </si>
  <si>
    <t>RURAL_159065000000006001</t>
  </si>
  <si>
    <t>159065000000006001</t>
  </si>
  <si>
    <t>2025-11-27 07:57:40</t>
  </si>
  <si>
    <t>3 días 11:43</t>
  </si>
  <si>
    <t>2 días 14:33</t>
  </si>
  <si>
    <t>23590826</t>
  </si>
  <si>
    <t>14/11/2025 15:23:28</t>
  </si>
  <si>
    <t>2025-11-14 15:23:28</t>
  </si>
  <si>
    <t>YURANI ATEHORTUA ATEHORTUA</t>
  </si>
  <si>
    <t>3052063337</t>
  </si>
  <si>
    <t>RURAL_161071503000000104_RURAL_161071503000000104</t>
  </si>
  <si>
    <t>161071503000000104</t>
  </si>
  <si>
    <t>2025-11-27 15:23:28</t>
  </si>
  <si>
    <t>2 días 15:40</t>
  </si>
  <si>
    <t>3 días 08:24</t>
  </si>
  <si>
    <t>23591926</t>
  </si>
  <si>
    <t>18/11/2025 08:31:18</t>
  </si>
  <si>
    <t>2025-11-18 08:31:18</t>
  </si>
  <si>
    <t>OSCAR FERNANDO ZAPATA ZABALA</t>
  </si>
  <si>
    <t>3146304934</t>
  </si>
  <si>
    <t>CL 48 CR 32 -49 (INTERIOR 703 )</t>
  </si>
  <si>
    <t>054318002000490703</t>
  </si>
  <si>
    <t>2025-11-27 08:31:18</t>
  </si>
  <si>
    <t>23592065</t>
  </si>
  <si>
    <t>18/11/2025 09:18:32</t>
  </si>
  <si>
    <t>2025-11-18 09:18:32</t>
  </si>
  <si>
    <t>RUBEN EMILIO MARTINEZ</t>
  </si>
  <si>
    <t>3128142771</t>
  </si>
  <si>
    <t>RURAL_161071515000000001_PROV.LA TOLVA URAPANES</t>
  </si>
  <si>
    <t>161071515000000001</t>
  </si>
  <si>
    <t>2025-11-28 09:18:32</t>
  </si>
  <si>
    <t>23592201</t>
  </si>
  <si>
    <t>18/11/2025 09:28:44</t>
  </si>
  <si>
    <t>2025-11-18 09:28:44</t>
  </si>
  <si>
    <t>CL 48 CR 32 -49 (INTERIOR 804 )</t>
  </si>
  <si>
    <t>054318002000490804</t>
  </si>
  <si>
    <t>2025-11-27 09:28:44</t>
  </si>
  <si>
    <t>23592207</t>
  </si>
  <si>
    <t>18/11/2025 09:31:54</t>
  </si>
  <si>
    <t>2025-11-18 09:31:54</t>
  </si>
  <si>
    <t>CL 48 CR 32 -49 (INTERIOR 803 )</t>
  </si>
  <si>
    <t>054318002000490803</t>
  </si>
  <si>
    <t>2025-11-27 09:31:54</t>
  </si>
  <si>
    <t>23592214</t>
  </si>
  <si>
    <t>18/11/2025 09:34:04</t>
  </si>
  <si>
    <t>2025-11-18 09:34:04</t>
  </si>
  <si>
    <t>CL 48 CR 32 -49 (INTERIOR 704 )</t>
  </si>
  <si>
    <t>054318002000490704</t>
  </si>
  <si>
    <t>2025-11-27 09:34:04</t>
  </si>
  <si>
    <t>23592245</t>
  </si>
  <si>
    <t>18/11/2025 09:46:55</t>
  </si>
  <si>
    <t>2025-11-18 09:46:55</t>
  </si>
  <si>
    <t>CL 48 CR 32 -49 (INTERIOR 702 )</t>
  </si>
  <si>
    <t>054318002000490702</t>
  </si>
  <si>
    <t>2025-11-27 09:46:55</t>
  </si>
  <si>
    <t>23592246</t>
  </si>
  <si>
    <t>18/11/2025 09:47:32</t>
  </si>
  <si>
    <t>2025-11-18 09:47:32</t>
  </si>
  <si>
    <t>CL 48 CR 32 -49 (INTERIOR 802 )</t>
  </si>
  <si>
    <t>054318002000490802</t>
  </si>
  <si>
    <t>2025-11-27 09:47:32</t>
  </si>
  <si>
    <t>23592291</t>
  </si>
  <si>
    <t>18/11/2025 10:13:18</t>
  </si>
  <si>
    <t>2025-11-18 10:13:18</t>
  </si>
  <si>
    <t>JORGE MARIO PANIAGUA GRANADA</t>
  </si>
  <si>
    <t>3226175702</t>
  </si>
  <si>
    <t>RURAL_161110136000000007</t>
  </si>
  <si>
    <t>161110136000000007</t>
  </si>
  <si>
    <t>2025-11-28 10:13:18</t>
  </si>
  <si>
    <t>3207017511</t>
  </si>
  <si>
    <t>23592324</t>
  </si>
  <si>
    <t>18/11/2025 10:25:01</t>
  </si>
  <si>
    <t>2025-11-18 10:25:01</t>
  </si>
  <si>
    <t>JORGE ALIRIO PANIAGUA LEDERMA</t>
  </si>
  <si>
    <t>3103670989</t>
  </si>
  <si>
    <t>RURAL_161110136000000008</t>
  </si>
  <si>
    <t>161110136000000008</t>
  </si>
  <si>
    <t>2025-11-28 10:25:01</t>
  </si>
  <si>
    <t>3194234770</t>
  </si>
  <si>
    <t>3 días 12:14</t>
  </si>
  <si>
    <t>3002049670</t>
  </si>
  <si>
    <t>23547075</t>
  </si>
  <si>
    <t>23/09/2025 14:44:20</t>
  </si>
  <si>
    <t>2025-11-18 13:21:29</t>
  </si>
  <si>
    <t>ENVIASEO E.S.P.</t>
  </si>
  <si>
    <t>4487997</t>
  </si>
  <si>
    <t>3153493476</t>
  </si>
  <si>
    <t>RURAL_166035905300006000_VDA.EL VALLANO</t>
  </si>
  <si>
    <t>166035905300006000</t>
  </si>
  <si>
    <t>2025-12-02 13:21:29</t>
  </si>
  <si>
    <t>23551166</t>
  </si>
  <si>
    <t>29/09/2025 09:34:26</t>
  </si>
  <si>
    <t>2025-11-18 16:16:52</t>
  </si>
  <si>
    <t>CAROLINA ESPINAL HINCAPIE</t>
  </si>
  <si>
    <t>3014822740</t>
  </si>
  <si>
    <t>CL 44 A CR 73 -10 (INTERIOR 301 )</t>
  </si>
  <si>
    <t>054714103000100301</t>
  </si>
  <si>
    <t>2025-11-27 16:16:52</t>
  </si>
  <si>
    <t>ANTIOQUEÑA DE REFRIFERACION LF SAS</t>
  </si>
  <si>
    <t>4082870</t>
  </si>
  <si>
    <t>3136718162</t>
  </si>
  <si>
    <t>23592225</t>
  </si>
  <si>
    <t>18/11/2025 09:36:03</t>
  </si>
  <si>
    <t>2025-11-18 09:36:03</t>
  </si>
  <si>
    <t>CL 48 CR 32 -49 (INTERIOR 801 )</t>
  </si>
  <si>
    <t>054318002000490801</t>
  </si>
  <si>
    <t>2025-11-27 09:36:03</t>
  </si>
  <si>
    <t>23592382</t>
  </si>
  <si>
    <t>18/11/2025 10:51:51</t>
  </si>
  <si>
    <t>LEON ANGEL CORREA CHAVARRIA</t>
  </si>
  <si>
    <t>3005873610</t>
  </si>
  <si>
    <t>RURAL_122004401200009900_122004401200009900</t>
  </si>
  <si>
    <t>122004401200009900</t>
  </si>
  <si>
    <t>RURAL_103043302750000005_103043302750000005</t>
  </si>
  <si>
    <t>103043302750000005</t>
  </si>
  <si>
    <t>23380759</t>
  </si>
  <si>
    <t>07/03/2025 16:14:40</t>
  </si>
  <si>
    <t>2025-11-19 14:31:34</t>
  </si>
  <si>
    <t>YAMILE ANDREA MUÑOZ BURITICA</t>
  </si>
  <si>
    <t>3192415186</t>
  </si>
  <si>
    <t>CR 14 CC CL 48 A -10 (INTERIOR 201 )</t>
  </si>
  <si>
    <t>054124338100100201</t>
  </si>
  <si>
    <t>2025-11-28 14:31:34</t>
  </si>
  <si>
    <t>23483592</t>
  </si>
  <si>
    <t>09/07/2025 10:56:54</t>
  </si>
  <si>
    <t>2025-11-19 09:22:00</t>
  </si>
  <si>
    <t>JUAN DAVID CUARTAS FRANCO</t>
  </si>
  <si>
    <t>3667245</t>
  </si>
  <si>
    <t>3052529654</t>
  </si>
  <si>
    <t>RURAL_125002630000000106_PARC BALMORAL (CASA 106)</t>
  </si>
  <si>
    <t>125002630000000106</t>
  </si>
  <si>
    <t>2025-12-03 09:22:00</t>
  </si>
  <si>
    <t>23485436</t>
  </si>
  <si>
    <t>11/07/2025 08:10:25</t>
  </si>
  <si>
    <t>2025-11-19 12:08:16</t>
  </si>
  <si>
    <t>OLGA LUCIA MAZO CHAVARRIA</t>
  </si>
  <si>
    <t>5913330</t>
  </si>
  <si>
    <t>3148096726</t>
  </si>
  <si>
    <t>CR 91 B CL 35 A -22 (INTERIOR 301 )</t>
  </si>
  <si>
    <t>053921205100220301</t>
  </si>
  <si>
    <t>2025-11-28 12:08:16</t>
  </si>
  <si>
    <t>23520528</t>
  </si>
  <si>
    <t>22/08/2025 17:37:51</t>
  </si>
  <si>
    <t>2025-11-19 12:06:17</t>
  </si>
  <si>
    <t>3148298310</t>
  </si>
  <si>
    <t>CR 91 B CL 35 A -22 (INTERIOR 201 )</t>
  </si>
  <si>
    <t>053921205100220201</t>
  </si>
  <si>
    <t>2025-11-28 12:06:17</t>
  </si>
  <si>
    <t>23527934</t>
  </si>
  <si>
    <t>01/09/2025 14:05:26</t>
  </si>
  <si>
    <t>2025-11-19 14:23:24</t>
  </si>
  <si>
    <t>DEICY DAMARIS CARMONA ZULUAGA</t>
  </si>
  <si>
    <t>3234235935</t>
  </si>
  <si>
    <t>CR 112 CL 48 B -93 (INTERIOR 101 )</t>
  </si>
  <si>
    <t>084122008200930101</t>
  </si>
  <si>
    <t>2025-11-28 14:23:24</t>
  </si>
  <si>
    <t>3105072582</t>
  </si>
  <si>
    <t>23563485</t>
  </si>
  <si>
    <t>15/10/2025 08:27:03</t>
  </si>
  <si>
    <t>2025-11-19 10:36:23</t>
  </si>
  <si>
    <t>LEIDY JOHANA GIL GONZALEZ</t>
  </si>
  <si>
    <t>3197087948</t>
  </si>
  <si>
    <t>RURAL_167118650000000000_VDA MARIA AUXILIADORA</t>
  </si>
  <si>
    <t>167118650000000000</t>
  </si>
  <si>
    <t>2025-11-28 10:36:23</t>
  </si>
  <si>
    <t>FELIX ANTONI JOHAN DE BRUIJN</t>
  </si>
  <si>
    <t>23592849</t>
  </si>
  <si>
    <t>18/11/2025 15:43:29</t>
  </si>
  <si>
    <t>STIVEN ALEXANDER CANO PULGARIN</t>
  </si>
  <si>
    <t>3126243286</t>
  </si>
  <si>
    <t>CR 120 ED CL 48 D -41 (INTERIOR 201 )</t>
  </si>
  <si>
    <t>084220548400410201</t>
  </si>
  <si>
    <t>CARLOS ESTEBAN URIBE LONDONO</t>
  </si>
  <si>
    <t>5779432</t>
  </si>
  <si>
    <t>3157144855</t>
  </si>
  <si>
    <t>RURAL_126010500000000052_MEDELLIN LAS PALMAS</t>
  </si>
  <si>
    <t>126010500000000052</t>
  </si>
  <si>
    <t>23593305</t>
  </si>
  <si>
    <t>19/11/2025 08:44:01</t>
  </si>
  <si>
    <t>2025-11-19 08:44:01</t>
  </si>
  <si>
    <t>RURAL_114000574000000102_MANZANILLO</t>
  </si>
  <si>
    <t>114000574000000102</t>
  </si>
  <si>
    <t>2025-12-03 08:44:01</t>
  </si>
  <si>
    <t>3206983371</t>
  </si>
  <si>
    <t>CR 51 A CL 3 SUR -30</t>
  </si>
  <si>
    <t>040521103000300000</t>
  </si>
  <si>
    <t>JUAN CARLOS AMAYA RAMIREZ</t>
  </si>
  <si>
    <t>5992224</t>
  </si>
  <si>
    <t>2025-12-03 10:43:33</t>
  </si>
  <si>
    <t>4 días 11:33</t>
  </si>
  <si>
    <t>DAVID CARO BERRIO</t>
  </si>
  <si>
    <t>3004709378</t>
  </si>
  <si>
    <t>23593830</t>
  </si>
  <si>
    <t>19/11/2025 13:17:42</t>
  </si>
  <si>
    <t>2025-11-19 13:17:42</t>
  </si>
  <si>
    <t>JUDITH CATERINE PEREZ RODRIGUEZ</t>
  </si>
  <si>
    <t>3147405591</t>
  </si>
  <si>
    <t>RURAL_114014081000000001</t>
  </si>
  <si>
    <t>114014081000000001</t>
  </si>
  <si>
    <t>2025-12-01 13:17:42</t>
  </si>
  <si>
    <t>23593835</t>
  </si>
  <si>
    <t>19/11/2025 13:22:18</t>
  </si>
  <si>
    <t>LUIS CARLOS CORTES SANCHEZ</t>
  </si>
  <si>
    <t>3235101976</t>
  </si>
  <si>
    <t>CR 18 CL 52 -130 (INTERIOR 301 )</t>
  </si>
  <si>
    <t>055128002001300301</t>
  </si>
  <si>
    <t>23593888</t>
  </si>
  <si>
    <t>19/11/2025 13:54:04</t>
  </si>
  <si>
    <t>2025-11-19 13:54:04</t>
  </si>
  <si>
    <t>NORA ELSY MONTOYA URREGO</t>
  </si>
  <si>
    <t>3008381530</t>
  </si>
  <si>
    <t>CL 62 CR 85 -326 (INTERIOR 101 )</t>
  </si>
  <si>
    <t>056812005003260101</t>
  </si>
  <si>
    <t>2025-12-04 13:54:04</t>
  </si>
  <si>
    <t>23593926</t>
  </si>
  <si>
    <t>19/11/2025 14:13:54</t>
  </si>
  <si>
    <t>2025-11-19 14:13:54</t>
  </si>
  <si>
    <t>MARIA ELSY VASQUEZ RODRIGUEZ</t>
  </si>
  <si>
    <t>5287842</t>
  </si>
  <si>
    <t>3216109725</t>
  </si>
  <si>
    <t>RURAL_163014803800000002_RURAL ITAGUI EL PEDREGAL</t>
  </si>
  <si>
    <t>163014803800000002</t>
  </si>
  <si>
    <t>2025-12-01 14:13:54</t>
  </si>
  <si>
    <t>23454633</t>
  </si>
  <si>
    <t>ROSIO BUSTAMANTE MUÑOZ</t>
  </si>
  <si>
    <t>4338418</t>
  </si>
  <si>
    <t>3016118535</t>
  </si>
  <si>
    <t>DIAG 42 CL 36 A -71 (INTERIOR 201 )</t>
  </si>
  <si>
    <t>073472006100710201</t>
  </si>
  <si>
    <t>23506543</t>
  </si>
  <si>
    <t>05/08/2025 13:51:54</t>
  </si>
  <si>
    <t>2025-11-19 16:04:26</t>
  </si>
  <si>
    <t>ALBA CECILIA VARGAS FLOREZ</t>
  </si>
  <si>
    <t>3229898</t>
  </si>
  <si>
    <t>3012800705</t>
  </si>
  <si>
    <t>CL 1 C CR 66 -76 (INTERIOR 101 )</t>
  </si>
  <si>
    <t>050611306000760101</t>
  </si>
  <si>
    <t>2025-11-28 16:04:26</t>
  </si>
  <si>
    <t>23506565</t>
  </si>
  <si>
    <t>05/08/2025 14:05:44</t>
  </si>
  <si>
    <t>2025-11-19 16:01:57</t>
  </si>
  <si>
    <t>CL 1 C CR 66 -76 (INTERIOR 201 )</t>
  </si>
  <si>
    <t>050611306000760201</t>
  </si>
  <si>
    <t>2025-11-28 16:01:57</t>
  </si>
  <si>
    <t>3 días 21:51</t>
  </si>
  <si>
    <t>4 días 21:51</t>
  </si>
  <si>
    <t>4 días 13:05</t>
  </si>
  <si>
    <t>2 días 09:25</t>
  </si>
  <si>
    <t>2 días 09:02</t>
  </si>
  <si>
    <t>3 días 13:50</t>
  </si>
  <si>
    <t>2 días 09:31</t>
  </si>
  <si>
    <t>3 días 11:37</t>
  </si>
  <si>
    <t>2 días 13:51</t>
  </si>
  <si>
    <t>23593447</t>
  </si>
  <si>
    <t>19/11/2025 10:12:40</t>
  </si>
  <si>
    <t>2025-11-19 10:12:40</t>
  </si>
  <si>
    <t>WILLIAM RESTREPO OSPINA</t>
  </si>
  <si>
    <t>2431647</t>
  </si>
  <si>
    <t>RURAL_161115073000000201_RURAL CALDAS LA CORRALA</t>
  </si>
  <si>
    <t>161115073000000201</t>
  </si>
  <si>
    <t>2025-12-01 10:12:40</t>
  </si>
  <si>
    <t>6 días 12:13</t>
  </si>
  <si>
    <t>23593880</t>
  </si>
  <si>
    <t>19/11/2025 13:49:11</t>
  </si>
  <si>
    <t>2025-11-19 13:49:11</t>
  </si>
  <si>
    <t>CESAR AUGUSTO GALLEGO TORRES</t>
  </si>
  <si>
    <t>3142520510</t>
  </si>
  <si>
    <t>RURAL_161015840000000001_PROV.VEREDA EL RAIZAL SEC</t>
  </si>
  <si>
    <t>161015840000000001</t>
  </si>
  <si>
    <t>2025-12-01 13:49:11</t>
  </si>
  <si>
    <t>23594031</t>
  </si>
  <si>
    <t>19/11/2025 15:18:03</t>
  </si>
  <si>
    <t>2025-11-19 15:18:03</t>
  </si>
  <si>
    <t>VERONICA BETANCOURT ARRUBLA</t>
  </si>
  <si>
    <t>3216228180</t>
  </si>
  <si>
    <t>RURAL_161113870000000002_PROV.RURAL_16111387000000</t>
  </si>
  <si>
    <t>161113870000000002</t>
  </si>
  <si>
    <t>2025-12-01 15:18:03</t>
  </si>
  <si>
    <t>23594051</t>
  </si>
  <si>
    <t>19/11/2025 15:22:46</t>
  </si>
  <si>
    <t>2025-11-19 15:22:46</t>
  </si>
  <si>
    <t>3202860166</t>
  </si>
  <si>
    <t>2025-11-28 15:22:46</t>
  </si>
  <si>
    <t>23594211</t>
  </si>
  <si>
    <t>19/11/2025 16:39:30</t>
  </si>
  <si>
    <t>DEISY JIMENEZ ROJAS</t>
  </si>
  <si>
    <t>3116985223</t>
  </si>
  <si>
    <t>CR 24 CL 56 E -22 (INTERIOR 150 )</t>
  </si>
  <si>
    <t>055224006500220150</t>
  </si>
  <si>
    <t>23583283</t>
  </si>
  <si>
    <t>13/11/2025 13:41:46</t>
  </si>
  <si>
    <t>2025-11-20 08:22:21</t>
  </si>
  <si>
    <t>MARIA MELBA RAMIREZ GUARIN</t>
  </si>
  <si>
    <t>2220228</t>
  </si>
  <si>
    <t>3013353512</t>
  </si>
  <si>
    <t>CL 53 CR 110 -539 (INTERIOR 279 )</t>
  </si>
  <si>
    <t>085113000005390279</t>
  </si>
  <si>
    <t>2025-11-27 08:22:21</t>
  </si>
  <si>
    <t>23594085</t>
  </si>
  <si>
    <t>19/11/2025 15:39:50</t>
  </si>
  <si>
    <t>2025-11-19 15:39:50</t>
  </si>
  <si>
    <t>CL 58 CR 94 -95</t>
  </si>
  <si>
    <t>055918004000950000</t>
  </si>
  <si>
    <t>2025-12-02 15:39:50</t>
  </si>
  <si>
    <t>23594200</t>
  </si>
  <si>
    <t>19/11/2025 16:34:11</t>
  </si>
  <si>
    <t>2025-11-19 16:34:11</t>
  </si>
  <si>
    <t>YESSICA MARIA OSPINA OSPINA</t>
  </si>
  <si>
    <t>3002835232</t>
  </si>
  <si>
    <t>RURAL_147045228500000000_147045228500000000</t>
  </si>
  <si>
    <t>147045228500000000</t>
  </si>
  <si>
    <t>2025-12-10 16:34:11</t>
  </si>
  <si>
    <t>r</t>
  </si>
  <si>
    <t>23404475</t>
  </si>
  <si>
    <t>02/04/2025 12:14:56</t>
  </si>
  <si>
    <t>ANA DELIA ISAZA ISAZA</t>
  </si>
  <si>
    <t>4719300</t>
  </si>
  <si>
    <t>3127599010</t>
  </si>
  <si>
    <t>CL 54 B CR 1 ESTE -14</t>
  </si>
  <si>
    <t>705014201000140000</t>
  </si>
  <si>
    <t>23540876</t>
  </si>
  <si>
    <t>16/09/2025 14:06:09</t>
  </si>
  <si>
    <t>2025-11-19 21:43:19</t>
  </si>
  <si>
    <t>MARIA TERESA RIVERA MEJIA</t>
  </si>
  <si>
    <t>3003023706</t>
  </si>
  <si>
    <t>CL 46 DD CR 2 AD -4 (INTERIOR 302 )</t>
  </si>
  <si>
    <t>054016442140040302</t>
  </si>
  <si>
    <t>2025-11-28 21:43:19</t>
  </si>
  <si>
    <t>23553817</t>
  </si>
  <si>
    <t>01/10/2025 15:01:56</t>
  </si>
  <si>
    <t>2025-11-20 07:09:10</t>
  </si>
  <si>
    <t>LUZ MARINA GOMEZ BERGEN</t>
  </si>
  <si>
    <t>2646900</t>
  </si>
  <si>
    <t>3212570103</t>
  </si>
  <si>
    <t>CR 70 CL 45 E -25 (INTERIOR 201 )</t>
  </si>
  <si>
    <t>054720005500250201</t>
  </si>
  <si>
    <t>2025-12-01 07:09:10</t>
  </si>
  <si>
    <t>23553818</t>
  </si>
  <si>
    <t>2025-11-20 07:14:23</t>
  </si>
  <si>
    <t>CR 70 CL 45 E -25 (INTERIOR 202 )</t>
  </si>
  <si>
    <t>054720005500250202</t>
  </si>
  <si>
    <t>2025-12-01 07:14:23</t>
  </si>
  <si>
    <t>23553819</t>
  </si>
  <si>
    <t>01/10/2025 15:02:57</t>
  </si>
  <si>
    <t>2025-11-20 07:13:28</t>
  </si>
  <si>
    <t>CR 70 CL 45 E -25 (INTERIOR 203 )</t>
  </si>
  <si>
    <t>054720005500250203</t>
  </si>
  <si>
    <t>2025-12-01 07:13:28</t>
  </si>
  <si>
    <t>23553824</t>
  </si>
  <si>
    <t>01/10/2025 15:05:24</t>
  </si>
  <si>
    <t>2025-11-20 07:11:16</t>
  </si>
  <si>
    <t>CR 70 CL 45 E -25 (INTERIOR 301 )</t>
  </si>
  <si>
    <t>054720005500250301</t>
  </si>
  <si>
    <t>2025-12-01 07:11:16</t>
  </si>
  <si>
    <t>3015109734</t>
  </si>
  <si>
    <t>23558127</t>
  </si>
  <si>
    <t>07/10/2025 08:52:45</t>
  </si>
  <si>
    <t>2025-11-20 06:31:35</t>
  </si>
  <si>
    <t>OSCAR ALEXIS ARRIETA ROSA</t>
  </si>
  <si>
    <t>3024340895</t>
  </si>
  <si>
    <t>CR 75 CL 44 A -52 (INTERIOR 202 )</t>
  </si>
  <si>
    <t>054725004100520202</t>
  </si>
  <si>
    <t>2025-12-01 06:31:35</t>
  </si>
  <si>
    <t>23558137</t>
  </si>
  <si>
    <t>07/10/2025 08:58:18</t>
  </si>
  <si>
    <t>2025-11-20 06:33:38</t>
  </si>
  <si>
    <t>GERMAN ALBERTO GUEVARA GONZALEZ</t>
  </si>
  <si>
    <t>5788824</t>
  </si>
  <si>
    <t>CR 75 CL 44 A -52 (INTERIOR 801 )</t>
  </si>
  <si>
    <t>054725004100520801</t>
  </si>
  <si>
    <t>2025-12-01 06:33:38</t>
  </si>
  <si>
    <t>23571669</t>
  </si>
  <si>
    <t>23/10/2025 14:29:55</t>
  </si>
  <si>
    <t>2025-11-20 13:16:35</t>
  </si>
  <si>
    <t>LEIDY JHOANA CARDENAS TUMIÑA</t>
  </si>
  <si>
    <t>3147814629</t>
  </si>
  <si>
    <t>CL 58 CR 94 -61 (INTERIOR 145 )</t>
  </si>
  <si>
    <t>055918004000610145</t>
  </si>
  <si>
    <t>2025-12-05 13:16:35</t>
  </si>
  <si>
    <t>23581106</t>
  </si>
  <si>
    <t>04/11/2025 16:51:22</t>
  </si>
  <si>
    <t>2025-11-19 16:45:56</t>
  </si>
  <si>
    <t>LUCIA ELENA GUTIERREZ BEDOYA</t>
  </si>
  <si>
    <t>3022142311</t>
  </si>
  <si>
    <t>CR 87 CL 49 DD -43</t>
  </si>
  <si>
    <t>054827009440430000</t>
  </si>
  <si>
    <t>2025-12-04 16:45:56</t>
  </si>
  <si>
    <t>23589686</t>
  </si>
  <si>
    <t>JOHN CARLOS TABORDA ALZATE</t>
  </si>
  <si>
    <t>3017969654</t>
  </si>
  <si>
    <t>CL 48 D CR 110 -356 (INTERIOR 121 )</t>
  </si>
  <si>
    <t>084118400003560121</t>
  </si>
  <si>
    <t>23594102</t>
  </si>
  <si>
    <t>19/11/2025 15:45:32</t>
  </si>
  <si>
    <t>2025-11-19 15:45:32</t>
  </si>
  <si>
    <t>ALEXANDRA MARIA SARRIAS ARBOLEDA</t>
  </si>
  <si>
    <t>5084930</t>
  </si>
  <si>
    <t>3228484421</t>
  </si>
  <si>
    <t>CL 65 BB CR 40 -11 (INTERIOR 201 )</t>
  </si>
  <si>
    <t>056415220000110201</t>
  </si>
  <si>
    <t>2025-11-28 15:45:32</t>
  </si>
  <si>
    <t>3046463544</t>
  </si>
  <si>
    <t>3136360310</t>
  </si>
  <si>
    <t>3217757424</t>
  </si>
  <si>
    <t>LINA MARIA RESTREPO SALINAS</t>
  </si>
  <si>
    <t>3116314937</t>
  </si>
  <si>
    <t>163017848500000202_LOMA LOS ZULETA</t>
  </si>
  <si>
    <t>900053600001852053</t>
  </si>
  <si>
    <t>23594914</t>
  </si>
  <si>
    <t>20/11/2025 08:44:04</t>
  </si>
  <si>
    <t>2025-11-20 08:44:04</t>
  </si>
  <si>
    <t>ALINA MARIA MALDONADO JARAMILLO</t>
  </si>
  <si>
    <t>3245529072</t>
  </si>
  <si>
    <t>CR 53 CL 73 -35 (INTERIOR 211 )</t>
  </si>
  <si>
    <t>077523003000350211-ENEPRE</t>
  </si>
  <si>
    <t>2025-12-05 08:44:04</t>
  </si>
  <si>
    <t>23594956</t>
  </si>
  <si>
    <t>20/11/2025 09:05:58</t>
  </si>
  <si>
    <t>2025-11-20 09:05:58</t>
  </si>
  <si>
    <t>ERIKA SUJEY GOMEZ CATAÑO</t>
  </si>
  <si>
    <t>5805945</t>
  </si>
  <si>
    <t>3234212759</t>
  </si>
  <si>
    <t>CL 48 E CR 90 A -5 (INTERIOR 201 )</t>
  </si>
  <si>
    <t>054918500100050201-ENEPRE</t>
  </si>
  <si>
    <t>2025-12-05 09:05:58</t>
  </si>
  <si>
    <t>23594987</t>
  </si>
  <si>
    <t>20/11/2025 09:34:26</t>
  </si>
  <si>
    <t>2025-11-20 09:34:26</t>
  </si>
  <si>
    <t>MARIA DORIS GARCIA ZULUAGA</t>
  </si>
  <si>
    <t>2771094</t>
  </si>
  <si>
    <t>3052348158</t>
  </si>
  <si>
    <t>CL 68 CR 52 -35 (INTERIOR 601 )</t>
  </si>
  <si>
    <t>076518002000350601</t>
  </si>
  <si>
    <t>2025-12-01 09:34:26</t>
  </si>
  <si>
    <t>23595000</t>
  </si>
  <si>
    <t>20/11/2025 09:42:07</t>
  </si>
  <si>
    <t>2025-11-20 09:42:07</t>
  </si>
  <si>
    <t>CARMEN EMILIA PAMPLONA ARANGO</t>
  </si>
  <si>
    <t>3014506241</t>
  </si>
  <si>
    <t>CR 18 B CL 56 HG -63</t>
  </si>
  <si>
    <t>055128206870630000</t>
  </si>
  <si>
    <t>2025-12-05 09:42:07</t>
  </si>
  <si>
    <t>23595053</t>
  </si>
  <si>
    <t>20/11/2025 10:12:18</t>
  </si>
  <si>
    <t>PABLO JOAQUIN SANCHEZ CAÑIZALES</t>
  </si>
  <si>
    <t>3224152390</t>
  </si>
  <si>
    <t>CL 39 A CR 114 -61 (INTERIOR 101 )</t>
  </si>
  <si>
    <t>083119104000610101</t>
  </si>
  <si>
    <t>23595347</t>
  </si>
  <si>
    <t>20/11/2025 13:16:36</t>
  </si>
  <si>
    <t>2025-11-20 13:16:36</t>
  </si>
  <si>
    <t>JAMES HINCAPIE</t>
  </si>
  <si>
    <t>6044444</t>
  </si>
  <si>
    <t>CR 40 CL 52 -51</t>
  </si>
  <si>
    <t>055420002000510000</t>
  </si>
  <si>
    <t>2025-11-26 13:16:36</t>
  </si>
  <si>
    <t>23595360</t>
  </si>
  <si>
    <t>20/11/2025 13:25:48</t>
  </si>
  <si>
    <t>2025-11-20 13:25:48</t>
  </si>
  <si>
    <t>OMAIRA DEL SOCORRO AGUDELO HIGUITA</t>
  </si>
  <si>
    <t>3186285841</t>
  </si>
  <si>
    <t>CL 63 CR 18 C -70 (INTERIOR 330 )</t>
  </si>
  <si>
    <t>056113008300700330</t>
  </si>
  <si>
    <t>2025-12-01 13:25:48</t>
  </si>
  <si>
    <t>3117268685</t>
  </si>
  <si>
    <t>3 días 21:41</t>
  </si>
  <si>
    <t>6 días 12:17</t>
  </si>
  <si>
    <t>2 días 21:43</t>
  </si>
  <si>
    <t>7 días 21:49</t>
  </si>
  <si>
    <t>3 días 21:49</t>
  </si>
  <si>
    <t>5 días 12:06</t>
  </si>
  <si>
    <t>6 días 15:32</t>
  </si>
  <si>
    <t>3 días 16:16</t>
  </si>
  <si>
    <t>4 días 16:16</t>
  </si>
  <si>
    <t>3 días 09:29</t>
  </si>
  <si>
    <t>4 días 08:54</t>
  </si>
  <si>
    <t>5 días 11:42</t>
  </si>
  <si>
    <t>3 días 10:48</t>
  </si>
  <si>
    <t>8 días 09:31</t>
  </si>
  <si>
    <t>4 días 10:11</t>
  </si>
  <si>
    <t>3 días 15:17</t>
  </si>
  <si>
    <t>4 días 10:17</t>
  </si>
  <si>
    <t>5 días 14:12</t>
  </si>
  <si>
    <t>2 días 15:04</t>
  </si>
  <si>
    <t>4 días 08:01</t>
  </si>
  <si>
    <t>4 días 08:41</t>
  </si>
  <si>
    <t>4 días 09:26</t>
  </si>
  <si>
    <t>4 días 10:57</t>
  </si>
  <si>
    <t>4 días 11:30</t>
  </si>
  <si>
    <t>5 días 09:18</t>
  </si>
  <si>
    <t>3 días 14:50</t>
  </si>
  <si>
    <t>3 días 15:57</t>
  </si>
  <si>
    <t>3 días 16:12</t>
  </si>
  <si>
    <t>2 días 08:58</t>
  </si>
  <si>
    <t>3 días 08:58</t>
  </si>
  <si>
    <t>2 días 09:04</t>
  </si>
  <si>
    <t>2 días 10:08</t>
  </si>
  <si>
    <t>2 días 10:21</t>
  </si>
  <si>
    <t>3 días 10:21</t>
  </si>
  <si>
    <t>2 días 10:58</t>
  </si>
  <si>
    <t>5 días 10:58</t>
  </si>
  <si>
    <t>2 días 11:27</t>
  </si>
  <si>
    <t>2 días 13:39</t>
  </si>
  <si>
    <t>2 días 15:07</t>
  </si>
  <si>
    <t>1111111</t>
  </si>
  <si>
    <t>3043286515</t>
  </si>
  <si>
    <t>5 días 15:50</t>
  </si>
  <si>
    <t>2 días 16:59</t>
  </si>
  <si>
    <t>23594291</t>
  </si>
  <si>
    <t>19/11/2025 17:12:10</t>
  </si>
  <si>
    <t>JOHANA GUZMAN MURIEL</t>
  </si>
  <si>
    <t>3173686410</t>
  </si>
  <si>
    <t>RURAL_125004526000000102_CL 20C SUR CR 7 - 504</t>
  </si>
  <si>
    <t>125004526000000102</t>
  </si>
  <si>
    <t>3 días 13:44</t>
  </si>
  <si>
    <t>3 días 14:16</t>
  </si>
  <si>
    <t>23512401</t>
  </si>
  <si>
    <t>13/08/2025 15:07:42</t>
  </si>
  <si>
    <t>2025-11-20 21:58:23</t>
  </si>
  <si>
    <t>FREDY ARISMENDY SIERRA</t>
  </si>
  <si>
    <t>3158384060</t>
  </si>
  <si>
    <t>CR 89 CL 31 -72</t>
  </si>
  <si>
    <t>053829001000720000</t>
  </si>
  <si>
    <t>2025-12-01 21:58:23</t>
  </si>
  <si>
    <t>23514427</t>
  </si>
  <si>
    <t>15/08/2025 11:12:48</t>
  </si>
  <si>
    <t>2025-11-20 16:43:32</t>
  </si>
  <si>
    <t>DANIEL DE JESUS RODRIGUEZ HERNANDEZ</t>
  </si>
  <si>
    <t>3204553651</t>
  </si>
  <si>
    <t>RURAL_159142107000000001</t>
  </si>
  <si>
    <t>159142107000000001</t>
  </si>
  <si>
    <t>2025-12-04 16:43:32</t>
  </si>
  <si>
    <t>23523231</t>
  </si>
  <si>
    <t>26/08/2025 15:51:52</t>
  </si>
  <si>
    <t>2025-11-20 21:57:56</t>
  </si>
  <si>
    <t>JOHN JAIRO JARAMILLO ARIAS</t>
  </si>
  <si>
    <t>CL 53 CR 27 -47 (INTERIOR 103 )</t>
  </si>
  <si>
    <t>055213007000470103</t>
  </si>
  <si>
    <t>2025-12-01 21:57:56</t>
  </si>
  <si>
    <t>23525448</t>
  </si>
  <si>
    <t>28/08/2025 12:49:13</t>
  </si>
  <si>
    <t>2025-11-20 21:57:45</t>
  </si>
  <si>
    <t>MARYI YURLEY PARRA GUISAO</t>
  </si>
  <si>
    <t>3126022752</t>
  </si>
  <si>
    <t>CL 56 A CR 17 H -14 (INTERIOR 127 )</t>
  </si>
  <si>
    <t>055116107800140127</t>
  </si>
  <si>
    <t>2025-12-01 21:57:45</t>
  </si>
  <si>
    <t>23532115</t>
  </si>
  <si>
    <t>05/09/2025 07:50:12</t>
  </si>
  <si>
    <t>PABLO MORENO ACOSTA</t>
  </si>
  <si>
    <t>3017510607</t>
  </si>
  <si>
    <t>CR 43 A CL 14 -57 (INTERIOR 220 )</t>
  </si>
  <si>
    <t>051423104000570220</t>
  </si>
  <si>
    <t>23533556</t>
  </si>
  <si>
    <t>08/09/2025 10:45:50</t>
  </si>
  <si>
    <t>2025-11-20 21:50:45</t>
  </si>
  <si>
    <t>CLAUDIA ASTRID OSORIO VILLA</t>
  </si>
  <si>
    <t>3022880</t>
  </si>
  <si>
    <t>3113517212</t>
  </si>
  <si>
    <t>CL 48 C SUR CR 36 -96 (INTERIOR 5 )</t>
  </si>
  <si>
    <t>024318306000960005</t>
  </si>
  <si>
    <t>2025-12-01 21:50:45</t>
  </si>
  <si>
    <t>EDUAR JOHVANY JARAMILLO</t>
  </si>
  <si>
    <t>23543450</t>
  </si>
  <si>
    <t>19/09/2025 10:02:38</t>
  </si>
  <si>
    <t>2025-11-20 21:58:05</t>
  </si>
  <si>
    <t>CR 83 A CL 33 B -5 (INTERIOR 401 )</t>
  </si>
  <si>
    <t>053823103200050401</t>
  </si>
  <si>
    <t>2025-12-01 21:58:05</t>
  </si>
  <si>
    <t>23543463</t>
  </si>
  <si>
    <t>19/09/2025 10:10:51</t>
  </si>
  <si>
    <t>2025-11-20 21:58:09</t>
  </si>
  <si>
    <t>CR 83 A CL 33 B -5 (INTERIOR 402 )</t>
  </si>
  <si>
    <t>053823103200050402</t>
  </si>
  <si>
    <t>2025-12-01 21:58:09</t>
  </si>
  <si>
    <t>23546046</t>
  </si>
  <si>
    <t>22/09/2025 16:04:28</t>
  </si>
  <si>
    <t>2025-11-20 16:43:50</t>
  </si>
  <si>
    <t>MARIA DEL CARMEN VELEZ MOLINA</t>
  </si>
  <si>
    <t>3165072032</t>
  </si>
  <si>
    <t>RURAL_159146326000000002_PROV.LA TABLAZA</t>
  </si>
  <si>
    <t>159146326000000002</t>
  </si>
  <si>
    <t>2025-12-04 16:43:50</t>
  </si>
  <si>
    <t>23546595</t>
  </si>
  <si>
    <t>23/09/2025 09:25:47</t>
  </si>
  <si>
    <t>2025-11-20 21:58:14</t>
  </si>
  <si>
    <t>CR 83 A CL 33 B -5 (INTERIOR 501 )</t>
  </si>
  <si>
    <t>053823103200050501</t>
  </si>
  <si>
    <t>2025-12-01 21:58:14</t>
  </si>
  <si>
    <t>23546598</t>
  </si>
  <si>
    <t>23/09/2025 09:27:59</t>
  </si>
  <si>
    <t>2025-11-20 21:58:17</t>
  </si>
  <si>
    <t>CR 83 A CL 33 B -5 (INTERIOR 601 )</t>
  </si>
  <si>
    <t>053823103200050601</t>
  </si>
  <si>
    <t>2025-12-01 21:58:17</t>
  </si>
  <si>
    <t>23553386</t>
  </si>
  <si>
    <t>01/10/2025 09:14:49</t>
  </si>
  <si>
    <t>2025-11-20 16:34:18</t>
  </si>
  <si>
    <t>JESUS MARIA VALBUENA DUQUE</t>
  </si>
  <si>
    <t>3001935114</t>
  </si>
  <si>
    <t>CR 21 CL 57 C -42 (INTERIOR 201 )</t>
  </si>
  <si>
    <t>055221007300420201</t>
  </si>
  <si>
    <t>2025-12-01 16:34:18</t>
  </si>
  <si>
    <t>6 días 16:34</t>
  </si>
  <si>
    <t>23553823</t>
  </si>
  <si>
    <t>01/10/2025 15:05:23</t>
  </si>
  <si>
    <t>2025-11-20 07:17:18</t>
  </si>
  <si>
    <t>CR 70 CL 45 E -25 (INTERIOR 101 )</t>
  </si>
  <si>
    <t>054720005500250101</t>
  </si>
  <si>
    <t>2025-12-01 07:17:18</t>
  </si>
  <si>
    <t>2025-11-20 16:44:00</t>
  </si>
  <si>
    <t>2025-12-04 16:44:00</t>
  </si>
  <si>
    <t>23562883</t>
  </si>
  <si>
    <t>14/10/2025 13:49:50</t>
  </si>
  <si>
    <t>JUAN GUILLERMO RIOS GARCIA</t>
  </si>
  <si>
    <t>3013126833</t>
  </si>
  <si>
    <t>RURAL_159112002000000006_PROV.TABLAZA EL HOYO DE B</t>
  </si>
  <si>
    <t>159112002000000006</t>
  </si>
  <si>
    <t>23574357</t>
  </si>
  <si>
    <t>27/10/2025 19:04:35</t>
  </si>
  <si>
    <t>2025-10-27 19:04:35</t>
  </si>
  <si>
    <t>JOSE DIEGO ALONSO RESTREPO</t>
  </si>
  <si>
    <t>3216635570</t>
  </si>
  <si>
    <t>2025-11-18 19:04:35</t>
  </si>
  <si>
    <t>23590847</t>
  </si>
  <si>
    <t>14/11/2025 15:40:45</t>
  </si>
  <si>
    <t>2025-11-20 15:41:33</t>
  </si>
  <si>
    <t>GINA PAOLA BELTRAN MADERA</t>
  </si>
  <si>
    <t>3178663018</t>
  </si>
  <si>
    <t>RURAL_163004487900000201_163004487900000201</t>
  </si>
  <si>
    <t>163004487900000201</t>
  </si>
  <si>
    <t>2025-12-11 15:41:33</t>
  </si>
  <si>
    <t>23594991</t>
  </si>
  <si>
    <t>20/11/2025 09:37:15</t>
  </si>
  <si>
    <t>2025-11-20 09:37:15</t>
  </si>
  <si>
    <t>RAMIRO DE JESUS MEJIA BENITEZ</t>
  </si>
  <si>
    <t>3207593219</t>
  </si>
  <si>
    <t>CL 57 F CR 92 CC -7 (INTERIOR 120 )</t>
  </si>
  <si>
    <t>055917602330070120</t>
  </si>
  <si>
    <t>2025-12-03 09:37:15</t>
  </si>
  <si>
    <t>6 días 11:06</t>
  </si>
  <si>
    <t>23595243</t>
  </si>
  <si>
    <t>20/11/2025 11:46:32</t>
  </si>
  <si>
    <t>2025-11-20 11:46:32</t>
  </si>
  <si>
    <t>RAMON ALCIDES ACOSTA LAVERDE</t>
  </si>
  <si>
    <t>3117263326</t>
  </si>
  <si>
    <t>CL 62 AA CR 96 -120 (INTERIOR 1105 )</t>
  </si>
  <si>
    <t>056912116001201105</t>
  </si>
  <si>
    <t>2025-12-03 11:46:32</t>
  </si>
  <si>
    <t>23595554</t>
  </si>
  <si>
    <t>20/11/2025 15:03:58</t>
  </si>
  <si>
    <t>2025-11-20 15:03:58</t>
  </si>
  <si>
    <t>NURY DEL CARMEN TORRES SANCHEZ</t>
  </si>
  <si>
    <t>3004999389</t>
  </si>
  <si>
    <t>RURAL_147048860000000001_ VEREDA TRAVESIAS</t>
  </si>
  <si>
    <t>147048860000000001</t>
  </si>
  <si>
    <t>2025-12-11 15:03:58</t>
  </si>
  <si>
    <t>23596341</t>
  </si>
  <si>
    <t>21/11/2025 09:04:33</t>
  </si>
  <si>
    <t>2025-11-21 09:04:33</t>
  </si>
  <si>
    <t>CRISTIAN ADRIAN GOMEZ MUÑOZ</t>
  </si>
  <si>
    <t>CR 49 CL 48 -58 (INTERIOR 1001 )</t>
  </si>
  <si>
    <t>054429008000581001</t>
  </si>
  <si>
    <t>2025-12-02 09:04:33</t>
  </si>
  <si>
    <t>23596355</t>
  </si>
  <si>
    <t>21/11/2025 09:18:42</t>
  </si>
  <si>
    <t>2025-11-21 09:18:42</t>
  </si>
  <si>
    <t>STEFANIA MORALES TOBON</t>
  </si>
  <si>
    <t>3136145990</t>
  </si>
  <si>
    <t>CL 57 DD CR 23 B -48 (INTERIOR 201 )</t>
  </si>
  <si>
    <t>055217443200480201</t>
  </si>
  <si>
    <t>2025-12-02 09:18:42</t>
  </si>
  <si>
    <t>23484537</t>
  </si>
  <si>
    <t>21/11/2025 11:06:38</t>
  </si>
  <si>
    <t>2025-11-21 11:06:38</t>
  </si>
  <si>
    <t>CONSORCIO CANALES NACIONALES PRIVADOS</t>
  </si>
  <si>
    <t>3136478725</t>
  </si>
  <si>
    <t>RURAL_146009909000000000_BOQUERON PALMITAS</t>
  </si>
  <si>
    <t>146009909000000000</t>
  </si>
  <si>
    <t>2025-11-27 11:06:38</t>
  </si>
  <si>
    <t>23502220</t>
  </si>
  <si>
    <t>06/08/2025 18:29:54</t>
  </si>
  <si>
    <t>2025-11-20 21:57:25</t>
  </si>
  <si>
    <t>ESPERANZA COTES CABALLERO</t>
  </si>
  <si>
    <t>3013652750</t>
  </si>
  <si>
    <t>RURAL_161038400000000002_PROV.161038400000000000</t>
  </si>
  <si>
    <t>161038400000000002</t>
  </si>
  <si>
    <t>2025-12-02 21:57:25</t>
  </si>
  <si>
    <t>23521342</t>
  </si>
  <si>
    <t>ENEGED</t>
  </si>
  <si>
    <t>25/08/2025 10:40:27</t>
  </si>
  <si>
    <t>2025-11-21 14:37:03</t>
  </si>
  <si>
    <t>MASIVO DE OCCIDENTE SAS</t>
  </si>
  <si>
    <t>3043786563</t>
  </si>
  <si>
    <t>CL 8 B CR 65 -281</t>
  </si>
  <si>
    <t>050618205002810000</t>
  </si>
  <si>
    <t>AGPE Metropolitana Sur</t>
  </si>
  <si>
    <t>2025-12-02 14:37:03</t>
  </si>
  <si>
    <t>4 días 21:41</t>
  </si>
  <si>
    <t>23553652</t>
  </si>
  <si>
    <t>JONAIKER JOSE RODRIGUEZ CARDEVILLA</t>
  </si>
  <si>
    <t>3172699286</t>
  </si>
  <si>
    <t>RURAL_163007734700000000</t>
  </si>
  <si>
    <t>163007734700000000</t>
  </si>
  <si>
    <t>23579578</t>
  </si>
  <si>
    <t>07/11/2025 06:19:55</t>
  </si>
  <si>
    <t>2025-11-21 13:32:14</t>
  </si>
  <si>
    <t>RUBER SANDRA CASTAÑEDA GIRALDO</t>
  </si>
  <si>
    <t>3166145300</t>
  </si>
  <si>
    <t>RURAL_146005784600000000_146005784600000000</t>
  </si>
  <si>
    <t>146005784600000000</t>
  </si>
  <si>
    <t>2025-12-03 13:32:14</t>
  </si>
  <si>
    <t>4 días 15:17</t>
  </si>
  <si>
    <t>23595571</t>
  </si>
  <si>
    <t>20/11/2025 15:14:46</t>
  </si>
  <si>
    <t>2025-11-20 15:14:46</t>
  </si>
  <si>
    <t>FRANCISCO ALBERTO MONTOYA SANCHEZ</t>
  </si>
  <si>
    <t>3102205501</t>
  </si>
  <si>
    <t>CL 16 CR 55 -82</t>
  </si>
  <si>
    <t>051516005000820000-ENEPRE</t>
  </si>
  <si>
    <t>2025-12-05 15:14:46</t>
  </si>
  <si>
    <t>23595614</t>
  </si>
  <si>
    <t>20/11/2025 15:34:16</t>
  </si>
  <si>
    <t>2025-11-20 15:34:16</t>
  </si>
  <si>
    <t>GILBERTO COSSIO SERNA</t>
  </si>
  <si>
    <t>3214405929</t>
  </si>
  <si>
    <t>CR 8 A CL 58 B -101 (INTERIOR 175 )</t>
  </si>
  <si>
    <t>055028108201010175</t>
  </si>
  <si>
    <t>2025-12-05 15:34:16</t>
  </si>
  <si>
    <t>23595655</t>
  </si>
  <si>
    <t>20/11/2025 15:50:48</t>
  </si>
  <si>
    <t>2025-11-20 15:50:48</t>
  </si>
  <si>
    <t>ANDRES FELIPE POSADA MORALES</t>
  </si>
  <si>
    <t>CR 43 A CL 39 A -127</t>
  </si>
  <si>
    <t>053423109101270000-ENEPRE</t>
  </si>
  <si>
    <t>2025-12-05 15:50:48</t>
  </si>
  <si>
    <t>23595670</t>
  </si>
  <si>
    <t>20/11/2025 15:54:47</t>
  </si>
  <si>
    <t>FRANCY NETH RENGIFO LOPEZ</t>
  </si>
  <si>
    <t>2343748</t>
  </si>
  <si>
    <t>3114182296</t>
  </si>
  <si>
    <t>RURAL_147036900000000101_EL NARANJAL</t>
  </si>
  <si>
    <t>147036900000000101</t>
  </si>
  <si>
    <t>NELSON DE JESUS VANEGAS MARTINEZ</t>
  </si>
  <si>
    <t>3206784745</t>
  </si>
  <si>
    <t>23596333</t>
  </si>
  <si>
    <t>JOSE ISRAEL GONZALEZ SARAZA</t>
  </si>
  <si>
    <t>3113155696</t>
  </si>
  <si>
    <t>CR 107 C CL 45 A -70 (INTERIOR 2139 )</t>
  </si>
  <si>
    <t>084027305100702139</t>
  </si>
  <si>
    <t>23596476</t>
  </si>
  <si>
    <t>21/11/2025 10:49:18</t>
  </si>
  <si>
    <t>2025-11-21 10:49:18</t>
  </si>
  <si>
    <t>WILLIAN ALBERTO ORTIZ CASTAÑEDA</t>
  </si>
  <si>
    <t>3427411</t>
  </si>
  <si>
    <t>3113147433</t>
  </si>
  <si>
    <t>CR 106 CL 31 AA -139 (INTERIOR 155 )</t>
  </si>
  <si>
    <t>083026001111390155</t>
  </si>
  <si>
    <t>2025-12-09 10:49:18</t>
  </si>
  <si>
    <t>23596488</t>
  </si>
  <si>
    <t>21/11/2025 10:55:37</t>
  </si>
  <si>
    <t>2025-11-21 10:55:37</t>
  </si>
  <si>
    <t>SANDRA PATRICIA ARIAS VIDAL</t>
  </si>
  <si>
    <t>3008026330</t>
  </si>
  <si>
    <t>CL 48 FE CR 100 AG -3</t>
  </si>
  <si>
    <t>084018650170030000-ENEPRE</t>
  </si>
  <si>
    <t>2025-12-09 10:55:37</t>
  </si>
  <si>
    <t>5 días 11:27</t>
  </si>
  <si>
    <t>23596556</t>
  </si>
  <si>
    <t>21/11/2025 11:42:52</t>
  </si>
  <si>
    <t>2025-11-21 11:42:52</t>
  </si>
  <si>
    <t>LUZ STELLA ESCUDERO GALLEGO</t>
  </si>
  <si>
    <t>3168563574</t>
  </si>
  <si>
    <t>RURAL_116007800000000000_116007800000000000</t>
  </si>
  <si>
    <t>116007800000000000</t>
  </si>
  <si>
    <t>2025-12-09 11:42:52</t>
  </si>
  <si>
    <t>23596601</t>
  </si>
  <si>
    <t>21/11/2025 12:09:19</t>
  </si>
  <si>
    <t>2025-11-21 12:09:19</t>
  </si>
  <si>
    <t>JONATHAN  ESCOBAR CARDONA</t>
  </si>
  <si>
    <t>3126174989</t>
  </si>
  <si>
    <t>RURAL_159058914000000000_LA INMACULADA</t>
  </si>
  <si>
    <t>159058914000000000-ENEPRE</t>
  </si>
  <si>
    <t>2025-12-09 12:09:19</t>
  </si>
  <si>
    <t>OBSERVACION</t>
  </si>
  <si>
    <t>C:\Users\hector.gaviria\OneDrive - Elite Ingenieros SAS\Control_ANS\mapa_ans.html</t>
  </si>
  <si>
    <t>22845091</t>
  </si>
  <si>
    <t>09/08/2023 10:13:10</t>
  </si>
  <si>
    <t>2025-11-24 09:02:32</t>
  </si>
  <si>
    <t>HECTOR MARIO GALLEGO ACEVEDO</t>
  </si>
  <si>
    <t>3206413426</t>
  </si>
  <si>
    <t>CL 30 CR 88 B -142</t>
  </si>
  <si>
    <t>053810008201420000</t>
  </si>
  <si>
    <t>2025-12-03 09:02:32</t>
  </si>
  <si>
    <t>4 días 09:02</t>
  </si>
  <si>
    <t>22869272</t>
  </si>
  <si>
    <t>05/09/2023 12:58:45</t>
  </si>
  <si>
    <t>2025-11-27 13:42:22</t>
  </si>
  <si>
    <t>MARGELIS URIBE REQUENA</t>
  </si>
  <si>
    <t>3776324</t>
  </si>
  <si>
    <t>3126387276</t>
  </si>
  <si>
    <t>RURAL_163017139000000000_LOS ZULETAS</t>
  </si>
  <si>
    <t>163017139000000000</t>
  </si>
  <si>
    <t>2025-12-04 13:42:22</t>
  </si>
  <si>
    <t>4 días 13:42</t>
  </si>
  <si>
    <t>23070653</t>
  </si>
  <si>
    <t>02/04/2024 17:28:31</t>
  </si>
  <si>
    <t>2025-11-22 10:05:08</t>
  </si>
  <si>
    <t>ANDRES FELIPE AGUDELO RIOS</t>
  </si>
  <si>
    <t>4892884</t>
  </si>
  <si>
    <t>3126021565</t>
  </si>
  <si>
    <t>CR 91 CL 44 -20 (INTERIOR 301 )</t>
  </si>
  <si>
    <t>054921004000200309</t>
  </si>
  <si>
    <t>2025-12-02 10:05:08</t>
  </si>
  <si>
    <t>23092855</t>
  </si>
  <si>
    <t>26/11/2025 09:02:19</t>
  </si>
  <si>
    <t>2025-11-26 09:02:19</t>
  </si>
  <si>
    <t>TANGENT S</t>
  </si>
  <si>
    <t>CR 36 CL 8 A -54</t>
  </si>
  <si>
    <t>050326008100540000</t>
  </si>
  <si>
    <t>2025-12-02 09:02:19</t>
  </si>
  <si>
    <t>6 días 10:05</t>
  </si>
  <si>
    <t>23112653</t>
  </si>
  <si>
    <t>21/05/2024 17:15:23</t>
  </si>
  <si>
    <t>2025-11-27 11:03:21</t>
  </si>
  <si>
    <t>CONSTRUCTORA CONTEX SAS</t>
  </si>
  <si>
    <t>3014841</t>
  </si>
  <si>
    <t>3153872412</t>
  </si>
  <si>
    <t>CR 54 CL 153 SUR -89 (INTERIOR 522 )</t>
  </si>
  <si>
    <t>005524003000890522</t>
  </si>
  <si>
    <t>2025-12-09 11:03:21</t>
  </si>
  <si>
    <t>6 días 11:03</t>
  </si>
  <si>
    <t>23117607</t>
  </si>
  <si>
    <t>27/05/2024 15:53:24</t>
  </si>
  <si>
    <t>2025-11-25 21:50:35</t>
  </si>
  <si>
    <t>PAULA ANDREA MONTOYA RAMOS</t>
  </si>
  <si>
    <t>3007782372</t>
  </si>
  <si>
    <t>CR 43 C CL 68 SUR -69 (INTERIOR 401 )</t>
  </si>
  <si>
    <t>016423308000690401</t>
  </si>
  <si>
    <t>2025-12-04 21:50:35</t>
  </si>
  <si>
    <t>3 días 21:50</t>
  </si>
  <si>
    <t>4 días 21:50</t>
  </si>
  <si>
    <t>23166279</t>
  </si>
  <si>
    <t>25/07/2024 11:04:58</t>
  </si>
  <si>
    <t>2025-11-25 15:02:01</t>
  </si>
  <si>
    <t>GLORIA INES GAVIRIA SALAZAR</t>
  </si>
  <si>
    <t>5049050</t>
  </si>
  <si>
    <t>3217307527</t>
  </si>
  <si>
    <t>CR 120 F CL 48 D -85 (INTERIOR 301 )</t>
  </si>
  <si>
    <t>084220608400850301</t>
  </si>
  <si>
    <t>2025-12-02 15:02:01</t>
  </si>
  <si>
    <t>3 días 15:02</t>
  </si>
  <si>
    <t>2 días 15:02</t>
  </si>
  <si>
    <t>23184846</t>
  </si>
  <si>
    <t>15/08/2024 14:09:45</t>
  </si>
  <si>
    <t>2025-11-27 09:42:07</t>
  </si>
  <si>
    <t>JAIRO HERNAN SALAZAR ESCOBAR</t>
  </si>
  <si>
    <t>2303286</t>
  </si>
  <si>
    <t>3012590569</t>
  </si>
  <si>
    <t>CR 18 CL 48 -41 (INTERIOR 203 )</t>
  </si>
  <si>
    <t>054128008000410003</t>
  </si>
  <si>
    <t>2025-12-04 09:42:07</t>
  </si>
  <si>
    <t>4 días 09:42</t>
  </si>
  <si>
    <t>4 días 14:46</t>
  </si>
  <si>
    <t>EJECUTADO EN CAMPO</t>
  </si>
  <si>
    <t xml:space="preserve">Legalizado </t>
  </si>
  <si>
    <t>23224829</t>
  </si>
  <si>
    <t>25/09/2024 14:26:50</t>
  </si>
  <si>
    <t>2025-11-25 12:14:34</t>
  </si>
  <si>
    <t>YOMAR DE JESUS GUTIERREZ NARANJO</t>
  </si>
  <si>
    <t>3772602</t>
  </si>
  <si>
    <t>3146621486</t>
  </si>
  <si>
    <t>CL 25 CR 65 D -36 (INTERIOR 101 )</t>
  </si>
  <si>
    <t>052615005400360101</t>
  </si>
  <si>
    <t>2025-12-04 12:14:34</t>
  </si>
  <si>
    <t>4 días 12:14</t>
  </si>
  <si>
    <t>23255212</t>
  </si>
  <si>
    <t>25/11/2025 20:00:10</t>
  </si>
  <si>
    <t>2025-11-25 20:00:10</t>
  </si>
  <si>
    <t>DANIEL MEDINA</t>
  </si>
  <si>
    <t>3204754508</t>
  </si>
  <si>
    <t>CL 42 CR 70 -93</t>
  </si>
  <si>
    <t>054712000000930000</t>
  </si>
  <si>
    <t>2025-12-01 20:00:10</t>
  </si>
  <si>
    <t>23263902</t>
  </si>
  <si>
    <t>31/10/2024 16:59:25</t>
  </si>
  <si>
    <t>2025-11-27 09:53:55</t>
  </si>
  <si>
    <t>GLORIA PATRICIA ZULUAGA GOMEZ</t>
  </si>
  <si>
    <t>3008317290</t>
  </si>
  <si>
    <t>CR 144 CL 68 -143</t>
  </si>
  <si>
    <t>086424008001430000</t>
  </si>
  <si>
    <t>2025-12-09 09:53:55</t>
  </si>
  <si>
    <t>JUAN GUILLERMO RIVERA MAZO</t>
  </si>
  <si>
    <t>23296257</t>
  </si>
  <si>
    <t>03/12/2024 06:41:07</t>
  </si>
  <si>
    <t>2025-11-27 09:15:44</t>
  </si>
  <si>
    <t>MARIA JOVANA ECHAVARRIA MUÑOZ</t>
  </si>
  <si>
    <t>6124320</t>
  </si>
  <si>
    <t>3217176505</t>
  </si>
  <si>
    <t>CL 56 BD CR 21 -15</t>
  </si>
  <si>
    <t>055216241000150000</t>
  </si>
  <si>
    <t>2025-12-04 09:15:44</t>
  </si>
  <si>
    <t>23313637</t>
  </si>
  <si>
    <t>27/12/2024 07:40:52</t>
  </si>
  <si>
    <t>2025-11-26 15:01:23</t>
  </si>
  <si>
    <t>BEATRIZ ELENA MOLINA RESTREPO</t>
  </si>
  <si>
    <t>4997245</t>
  </si>
  <si>
    <t>3148699415</t>
  </si>
  <si>
    <t>CL 43 CR 102 -14 (INTERIOR 201 )</t>
  </si>
  <si>
    <t>084013002000140201</t>
  </si>
  <si>
    <t>2025-12-05 15:01:23</t>
  </si>
  <si>
    <t>2 días 15:01</t>
  </si>
  <si>
    <t>5 días 15:01</t>
  </si>
  <si>
    <t>23321291</t>
  </si>
  <si>
    <t>10/01/2025 10:10:48</t>
  </si>
  <si>
    <t>2025-11-27 09:43:59</t>
  </si>
  <si>
    <t>DARIO DE JESUS FRANCO HERNANDEZ</t>
  </si>
  <si>
    <t>3193779823</t>
  </si>
  <si>
    <t>RURAL_159040881700000001</t>
  </si>
  <si>
    <t>159040881700000001</t>
  </si>
  <si>
    <t>2025-12-12 09:43:59</t>
  </si>
  <si>
    <t>23379236</t>
  </si>
  <si>
    <t>06/03/2025 08:44:32</t>
  </si>
  <si>
    <t>2025-11-25 09:42:15</t>
  </si>
  <si>
    <t>FABIO ANDRES MUÑOZ FRANCO</t>
  </si>
  <si>
    <t>2515232</t>
  </si>
  <si>
    <t>3176582156</t>
  </si>
  <si>
    <t>RURAL_125004748000000105</t>
  </si>
  <si>
    <t>125004748000000105</t>
  </si>
  <si>
    <t>2025-12-10 09:42:15</t>
  </si>
  <si>
    <t>3 días 09:42</t>
  </si>
  <si>
    <t>7 días 09:42</t>
  </si>
  <si>
    <t>23400913</t>
  </si>
  <si>
    <t>29/03/2025 10:35:17</t>
  </si>
  <si>
    <t>2025-11-27 09:45:04</t>
  </si>
  <si>
    <t>JESUS DAVID CASTAÑO HOYOS</t>
  </si>
  <si>
    <t>3155096162</t>
  </si>
  <si>
    <t>CL 49 CR 51 -66 (INTERIOR 602 )</t>
  </si>
  <si>
    <t>074519001000660602</t>
  </si>
  <si>
    <t>2025-12-09 09:45:04</t>
  </si>
  <si>
    <t>2025-11-26 14:29:57</t>
  </si>
  <si>
    <t>2025-12-03 14:29:57</t>
  </si>
  <si>
    <t>3 días 14:29</t>
  </si>
  <si>
    <t>23405052</t>
  </si>
  <si>
    <t>02/04/2025 15:26:40</t>
  </si>
  <si>
    <t>2025-11-26 09:31:26</t>
  </si>
  <si>
    <t>JAIRO OCTAVIO URAN VARGAS</t>
  </si>
  <si>
    <t>3232949035</t>
  </si>
  <si>
    <t>CR 7 ESTE CL 55 HH -90 (INTERIOR 7000 )</t>
  </si>
  <si>
    <t>705027005880907000</t>
  </si>
  <si>
    <t>2025-12-03 09:31:26</t>
  </si>
  <si>
    <t>23417291</t>
  </si>
  <si>
    <t>21/04/2025 09:01:45</t>
  </si>
  <si>
    <t>2025-11-21 12:31:48</t>
  </si>
  <si>
    <t>LUZ ESTELLA VELEZ RODRIGUEZ</t>
  </si>
  <si>
    <t>3117203563</t>
  </si>
  <si>
    <t>RURAL_159105840000000109_PROV.ALTO DE LOS SIERRAS</t>
  </si>
  <si>
    <t>159105840000000109</t>
  </si>
  <si>
    <t>2025-12-03 12:31:48</t>
  </si>
  <si>
    <t>3 días 12:31</t>
  </si>
  <si>
    <t>23417321</t>
  </si>
  <si>
    <t>21/04/2025 09:17:46</t>
  </si>
  <si>
    <t>2025-11-21 10:54:20</t>
  </si>
  <si>
    <t>LUISA FERNANDA SIERRA VELEZ</t>
  </si>
  <si>
    <t>3218474968</t>
  </si>
  <si>
    <t>RURAL_159105840000000110_PROV.ALTO DE LOS SIERRA</t>
  </si>
  <si>
    <t>159105840000000110</t>
  </si>
  <si>
    <t>2025-12-03 10:54:20</t>
  </si>
  <si>
    <t>5 días 10:54</t>
  </si>
  <si>
    <t>23418545</t>
  </si>
  <si>
    <t>22/04/2025 08:33:42</t>
  </si>
  <si>
    <t>2025-11-25 18:04:14</t>
  </si>
  <si>
    <t>WILDEMAN ALBERTO OQUENDO GALLEGO</t>
  </si>
  <si>
    <t>4481509</t>
  </si>
  <si>
    <t>3002744494</t>
  </si>
  <si>
    <t>CR 57 CL 40 -19 (INTERIOR 5 )</t>
  </si>
  <si>
    <t>074527000000190005</t>
  </si>
  <si>
    <t>2025-12-04 18:04:14</t>
  </si>
  <si>
    <t>3 días 18:04</t>
  </si>
  <si>
    <t>4 días 18:04</t>
  </si>
  <si>
    <t>23419840</t>
  </si>
  <si>
    <t>07/11/2025 06:12:59</t>
  </si>
  <si>
    <t>2025-11-27 11:25:02</t>
  </si>
  <si>
    <t>LUZ MARINA GOMEZ DE ARANGO</t>
  </si>
  <si>
    <t>3216327814</t>
  </si>
  <si>
    <t>CR 17 CL 56 E -2 (INTERIOR 105 )</t>
  </si>
  <si>
    <t>055127006500020105</t>
  </si>
  <si>
    <t>2025-12-04 11:25:02</t>
  </si>
  <si>
    <t>23432797</t>
  </si>
  <si>
    <t>08/05/2025 07:56:22</t>
  </si>
  <si>
    <t>2025-11-24 10:58:41</t>
  </si>
  <si>
    <t>MARGARITA MARIA QUINTERO MORENO</t>
  </si>
  <si>
    <t>3113755618</t>
  </si>
  <si>
    <t>CR 65 C CL 26 -73 (INTERIOR 501 )</t>
  </si>
  <si>
    <t>052625306000730501</t>
  </si>
  <si>
    <t>2025-12-03 10:58:41</t>
  </si>
  <si>
    <t>4 días 10:58</t>
  </si>
  <si>
    <t>3 días 10:58</t>
  </si>
  <si>
    <t>DESCARTADO</t>
  </si>
  <si>
    <t>23444304</t>
  </si>
  <si>
    <t>21/05/2025 10:48:53</t>
  </si>
  <si>
    <t>2025-11-20 21:57:15</t>
  </si>
  <si>
    <t>AURA ELENA PUERTA SUAREZ</t>
  </si>
  <si>
    <t>3002968446</t>
  </si>
  <si>
    <t>159037005000000000</t>
  </si>
  <si>
    <t>2025-12-02 21:57:15</t>
  </si>
  <si>
    <t>23450715</t>
  </si>
  <si>
    <t>27/11/2025 10:42:59</t>
  </si>
  <si>
    <t>2025-11-27 10:42:59</t>
  </si>
  <si>
    <t>CANTAGIRONE S.A.S.</t>
  </si>
  <si>
    <t>3243021881</t>
  </si>
  <si>
    <t>CR 22 CL 16 AA SUR -140</t>
  </si>
  <si>
    <t>041222006111400000</t>
  </si>
  <si>
    <t>2025-12-03 10:42:59</t>
  </si>
  <si>
    <t>26/11/2025 09:25:25</t>
  </si>
  <si>
    <t>2025-11-26 09:25:25</t>
  </si>
  <si>
    <t>2025-12-03 09:25:25</t>
  </si>
  <si>
    <t>3 días 09:25</t>
  </si>
  <si>
    <t>23460305</t>
  </si>
  <si>
    <t>09/06/2025 16:51:10</t>
  </si>
  <si>
    <t>2025-11-26 21:49:05</t>
  </si>
  <si>
    <t>CINDY YULIETH VANEGAS LARREA</t>
  </si>
  <si>
    <t>3165282824</t>
  </si>
  <si>
    <t>RURAL_161117747000000202_PROV.LA CORRALA</t>
  </si>
  <si>
    <t>161117747000000202</t>
  </si>
  <si>
    <t>2025-12-11 21:49:05</t>
  </si>
  <si>
    <t>2025-11-26 11:37:11</t>
  </si>
  <si>
    <t>2025-12-05 11:37:11</t>
  </si>
  <si>
    <t>23462523</t>
  </si>
  <si>
    <t>11/06/2025 12:57:12</t>
  </si>
  <si>
    <t>2025-11-20 13:35:13</t>
  </si>
  <si>
    <t>DORA ALBA ESCOBAR SANCHEZ</t>
  </si>
  <si>
    <t>3006107409</t>
  </si>
  <si>
    <t>RURAL_159158454000000301</t>
  </si>
  <si>
    <t>159158454000000301</t>
  </si>
  <si>
    <t>METROSUR-Vinculaciones-HV-Prepago</t>
  </si>
  <si>
    <t>2025-12-02 13:35:13</t>
  </si>
  <si>
    <t>23464079</t>
  </si>
  <si>
    <t>12/06/2025 14:47:41</t>
  </si>
  <si>
    <t>2025-11-25 09:23:53</t>
  </si>
  <si>
    <t>NATALIA BOLAÑO ARRIETA</t>
  </si>
  <si>
    <t>3577703</t>
  </si>
  <si>
    <t>3105951764</t>
  </si>
  <si>
    <t>CR 65 CL 39 -12 (INTERIOR 301 )</t>
  </si>
  <si>
    <t>073625009000120301</t>
  </si>
  <si>
    <t>2025-12-02 09:23:53</t>
  </si>
  <si>
    <t>23475477</t>
  </si>
  <si>
    <t>27/06/2025 11:30:49</t>
  </si>
  <si>
    <t>2025-11-20 16:43:26</t>
  </si>
  <si>
    <t>JHON JAIRO UPEGUI RIOS</t>
  </si>
  <si>
    <t>3117886419</t>
  </si>
  <si>
    <t>RURAL_159162200000000001_PROV.159162200000000000</t>
  </si>
  <si>
    <t>159162200000000001</t>
  </si>
  <si>
    <t>2025-12-02 16:43:26</t>
  </si>
  <si>
    <t>0 días 12:08</t>
  </si>
  <si>
    <t>23487041</t>
  </si>
  <si>
    <t>14/07/2025 09:02:28</t>
  </si>
  <si>
    <t>2025-11-22 22:37:52</t>
  </si>
  <si>
    <t>ERICA MILENA PEREZ MARTINEZ</t>
  </si>
  <si>
    <t>RURAL_116005623000000105</t>
  </si>
  <si>
    <t>116005623000000105</t>
  </si>
  <si>
    <t>2025-12-05 22:37:52</t>
  </si>
  <si>
    <t>1 días 10:38</t>
  </si>
  <si>
    <t>23499103</t>
  </si>
  <si>
    <t>28/07/2025 16:33:30</t>
  </si>
  <si>
    <t>2025-11-24 10:29:12</t>
  </si>
  <si>
    <t>LUIS ALONSO ESPINOSA</t>
  </si>
  <si>
    <t>5129115</t>
  </si>
  <si>
    <t>3192148804</t>
  </si>
  <si>
    <t>CL 26 SUR CR 22 -50 (INTERIOR 104 )</t>
  </si>
  <si>
    <t>022216002000500104</t>
  </si>
  <si>
    <t>2025-12-03 10:29:12</t>
  </si>
  <si>
    <t>23502063</t>
  </si>
  <si>
    <t>31/07/2025 09:21:58</t>
  </si>
  <si>
    <t>2025-11-27 08:55:52</t>
  </si>
  <si>
    <t>ALCALDIA DE MEDELLIN</t>
  </si>
  <si>
    <t>3854052</t>
  </si>
  <si>
    <t>3015366347</t>
  </si>
  <si>
    <t>CL 18 CR 103 -175 (INTERIOR 9901 )</t>
  </si>
  <si>
    <t>081018003001759901</t>
  </si>
  <si>
    <t>2025-12-09 08:55:52</t>
  </si>
  <si>
    <t>23509049</t>
  </si>
  <si>
    <t>08/08/2025 15:24:19</t>
  </si>
  <si>
    <t>2025-11-25 21:51:37</t>
  </si>
  <si>
    <t>MARIA ISABEL ZULETA MARTINEZ</t>
  </si>
  <si>
    <t>3218566213</t>
  </si>
  <si>
    <t>CL 2 B CR 81 B -213 (INTERIOR 387 )</t>
  </si>
  <si>
    <t>050812201202130387</t>
  </si>
  <si>
    <t>2025-12-04 21:51:37</t>
  </si>
  <si>
    <t>23509698</t>
  </si>
  <si>
    <t>21/10/2025 15:31:36</t>
  </si>
  <si>
    <t>2025-11-24 14:41:13</t>
  </si>
  <si>
    <t>MARIA ALIRIA BUILES BEDOYA</t>
  </si>
  <si>
    <t>3137479857</t>
  </si>
  <si>
    <t>RURAL_146032900000000002_PROV.RURAL_14603290000000</t>
  </si>
  <si>
    <t>146032900000000002</t>
  </si>
  <si>
    <t>2025-12-04 14:41:13</t>
  </si>
  <si>
    <t>23510125</t>
  </si>
  <si>
    <t>11/08/2025 14:52:53</t>
  </si>
  <si>
    <t>2025-11-22 22:29:03</t>
  </si>
  <si>
    <t>FREDIS ALBERTO MOSQUERA PEDROZA</t>
  </si>
  <si>
    <t>3122118503</t>
  </si>
  <si>
    <t>CL 42 SUR CR 66 -46 (INTERIOR 117 )</t>
  </si>
  <si>
    <t>044612006000460117</t>
  </si>
  <si>
    <t>2025-12-02 22:29:03</t>
  </si>
  <si>
    <t>23512919</t>
  </si>
  <si>
    <t>14/08/2025 09:20:46</t>
  </si>
  <si>
    <t>2025-11-25 09:42:47</t>
  </si>
  <si>
    <t>ALONSO ALZATE OROZCO</t>
  </si>
  <si>
    <t>3004349926</t>
  </si>
  <si>
    <t>CL 80 SUR CR 63 A -0 (INTERIOR 5000 )</t>
  </si>
  <si>
    <t>038610003100005000</t>
  </si>
  <si>
    <t>2025-12-02 09:42:47</t>
  </si>
  <si>
    <t>2 días 09:42</t>
  </si>
  <si>
    <t>23513266</t>
  </si>
  <si>
    <t>14/08/2025 12:56:05</t>
  </si>
  <si>
    <t>2025-11-26 09:21:21</t>
  </si>
  <si>
    <t>MARIA NELLY BEATRIZ CASTRILLON ESPITIA</t>
  </si>
  <si>
    <t>4591916</t>
  </si>
  <si>
    <t>3137394493</t>
  </si>
  <si>
    <t>CR 33 CL 44 -7</t>
  </si>
  <si>
    <t>054323004000070000</t>
  </si>
  <si>
    <t>2025-12-05 09:21:21</t>
  </si>
  <si>
    <t>23514708</t>
  </si>
  <si>
    <t>15/08/2025 15:32:29</t>
  </si>
  <si>
    <t>2025-11-22 22:29:51</t>
  </si>
  <si>
    <t>JANETT PATRICIA QUINTERO LOAIZA</t>
  </si>
  <si>
    <t>3165279652</t>
  </si>
  <si>
    <t>CL 36 B CR 31 -9 (INTERIOR 201 )</t>
  </si>
  <si>
    <t>053316201000090201</t>
  </si>
  <si>
    <t>2025-12-02 22:29:51</t>
  </si>
  <si>
    <t>23516267</t>
  </si>
  <si>
    <t>19/08/2025 14:49:51</t>
  </si>
  <si>
    <t>2025-11-20 16:43:39</t>
  </si>
  <si>
    <t>JESUS ALBERTO OCAMPO ACEVEDO</t>
  </si>
  <si>
    <t>3146306770</t>
  </si>
  <si>
    <t>RURAL_159149432000000103_PROV.159149432000000101</t>
  </si>
  <si>
    <t>159149432000000103</t>
  </si>
  <si>
    <t>2025-12-02 16:43:39</t>
  </si>
  <si>
    <t>23516976</t>
  </si>
  <si>
    <t>20/08/2025 10:03:04</t>
  </si>
  <si>
    <t>2025-11-22 22:28:58</t>
  </si>
  <si>
    <t>WILMAR ARLEY GARCIA GONZALEZ</t>
  </si>
  <si>
    <t>3233186886</t>
  </si>
  <si>
    <t>CR 65 CL 29 -25 (INTERIOR 501 )</t>
  </si>
  <si>
    <t>072625009000250501</t>
  </si>
  <si>
    <t>2025-12-02 22:28:58</t>
  </si>
  <si>
    <t>23517681</t>
  </si>
  <si>
    <t>20/08/2025 17:07:15</t>
  </si>
  <si>
    <t>2025-11-26 14:11:34</t>
  </si>
  <si>
    <t>LUZ MARINA MARIN VALENCIA</t>
  </si>
  <si>
    <t>4539142</t>
  </si>
  <si>
    <t>3217942765</t>
  </si>
  <si>
    <t>CL 9 A SUR CR 56 D -21 (INTERIOR 111 )</t>
  </si>
  <si>
    <t>040519106400210111</t>
  </si>
  <si>
    <t>2025-12-05 14:11:34</t>
  </si>
  <si>
    <t>23521512</t>
  </si>
  <si>
    <t>25/08/2025 12:31:48</t>
  </si>
  <si>
    <t>2025-11-25 11:44:29</t>
  </si>
  <si>
    <t>LUIS FERNANDO USUGA TANGARIFE</t>
  </si>
  <si>
    <t>3148892916</t>
  </si>
  <si>
    <t>CR 112 B CL 36 C -88</t>
  </si>
  <si>
    <t>083122206300880000</t>
  </si>
  <si>
    <t>2025-12-02 11:44:29</t>
  </si>
  <si>
    <t>23521718</t>
  </si>
  <si>
    <t>25/08/2025 15:05:17</t>
  </si>
  <si>
    <t>2025-11-25 21:51:53</t>
  </si>
  <si>
    <t>OSCAR ADRIAN FERNANDEZ ZAPATA</t>
  </si>
  <si>
    <t>2533134</t>
  </si>
  <si>
    <t>3002394339</t>
  </si>
  <si>
    <t>CL 42 CR 105 -5 (INTERIOR 100 )</t>
  </si>
  <si>
    <t>084012005000050100</t>
  </si>
  <si>
    <t>2025-12-02 21:51:53</t>
  </si>
  <si>
    <t>1 días 21:57</t>
  </si>
  <si>
    <t>23523085</t>
  </si>
  <si>
    <t>26/08/2025 14:36:07</t>
  </si>
  <si>
    <t>2025-11-14 15:17:04</t>
  </si>
  <si>
    <t>CONJUNTO RESIDENCIAL LEMMON 1 ETAPA</t>
  </si>
  <si>
    <t>3164937806</t>
  </si>
  <si>
    <t>CR 43 A CL 71 SUR -41</t>
  </si>
  <si>
    <t>017423101000410000</t>
  </si>
  <si>
    <t>2025-11-26 15:17:04</t>
  </si>
  <si>
    <t>6 días 08:42</t>
  </si>
  <si>
    <t>23531667</t>
  </si>
  <si>
    <t>04/09/2025 14:19:46</t>
  </si>
  <si>
    <t>2025-11-22 21:54:34</t>
  </si>
  <si>
    <t>AMPARO ELENA HERNANDEZ ZAPATA</t>
  </si>
  <si>
    <t>5102014</t>
  </si>
  <si>
    <t>3148925152</t>
  </si>
  <si>
    <t>CL 16 CR 59 -70 (INTERIOR 201 )</t>
  </si>
  <si>
    <t>051516009000700201</t>
  </si>
  <si>
    <t>2025-12-02 21:54:34</t>
  </si>
  <si>
    <t>5 días 21:54</t>
  </si>
  <si>
    <t>2 días 21:54</t>
  </si>
  <si>
    <t>2025-11-26 10:58:56</t>
  </si>
  <si>
    <t>2025-12-05 10:58:56</t>
  </si>
  <si>
    <t>23533893</t>
  </si>
  <si>
    <t>08/09/2025 14:53:28</t>
  </si>
  <si>
    <t>2025-11-20 12:22:07</t>
  </si>
  <si>
    <t>MARCO AURELIO SALGADO</t>
  </si>
  <si>
    <t>3136964360</t>
  </si>
  <si>
    <t>RURAL_159021832000000301</t>
  </si>
  <si>
    <t>159021832000000301</t>
  </si>
  <si>
    <t>2025-12-02 12:22:07</t>
  </si>
  <si>
    <t>6 días 12:22</t>
  </si>
  <si>
    <t>2 días 12:22</t>
  </si>
  <si>
    <t>23534712</t>
  </si>
  <si>
    <t>24/09/2025 14:15:55</t>
  </si>
  <si>
    <t>2025-11-24 16:09:44</t>
  </si>
  <si>
    <t>GERMAN AUGUSTO ORTEGA MESA</t>
  </si>
  <si>
    <t>3328634</t>
  </si>
  <si>
    <t>3216442539</t>
  </si>
  <si>
    <t>CL 49 CR 52 -55 (INTERIOR 2000 )</t>
  </si>
  <si>
    <t>074519002000552000</t>
  </si>
  <si>
    <t>2025-12-10 16:09:44</t>
  </si>
  <si>
    <t>23539478</t>
  </si>
  <si>
    <t>15/09/2025 11:20:59</t>
  </si>
  <si>
    <t>2025-11-24 13:02:33</t>
  </si>
  <si>
    <t>CINDY ALEJANDRA HENAO RAMIREZ</t>
  </si>
  <si>
    <t>3044876862</t>
  </si>
  <si>
    <t>CL 26 CR 65 A -8 (AP 202 )</t>
  </si>
  <si>
    <t>052616005100080202</t>
  </si>
  <si>
    <t>2025-12-03 13:02:33</t>
  </si>
  <si>
    <t>3 días 13:02</t>
  </si>
  <si>
    <t>23539513</t>
  </si>
  <si>
    <t>15/09/2025 11:42:18</t>
  </si>
  <si>
    <t>2025-11-24 13:00:40</t>
  </si>
  <si>
    <t>CL 26 CR 65 A -8 (AP 201 )</t>
  </si>
  <si>
    <t>052616005100080201</t>
  </si>
  <si>
    <t>2025-12-03 13:00:40</t>
  </si>
  <si>
    <t>23539530</t>
  </si>
  <si>
    <t>15/09/2025 11:59:16</t>
  </si>
  <si>
    <t>2025-11-24 12:57:17</t>
  </si>
  <si>
    <t>CL 26 CR 65 A -8</t>
  </si>
  <si>
    <t>052616005100080000</t>
  </si>
  <si>
    <t>2025-12-03 12:57:17</t>
  </si>
  <si>
    <t>23540725</t>
  </si>
  <si>
    <t>16/09/2025 11:48:22</t>
  </si>
  <si>
    <t>2025-11-20 21:43:11</t>
  </si>
  <si>
    <t>2786321</t>
  </si>
  <si>
    <t>3218733676</t>
  </si>
  <si>
    <t>RURAL_161023655000000302_PROV.CHUSCALA</t>
  </si>
  <si>
    <t>161023655000000302</t>
  </si>
  <si>
    <t>2025-12-02 21:43:11</t>
  </si>
  <si>
    <t>7 días 21:43</t>
  </si>
  <si>
    <t>23541723</t>
  </si>
  <si>
    <t>17/09/2025 14:57:46</t>
  </si>
  <si>
    <t>2025-11-27 09:42:51</t>
  </si>
  <si>
    <t>3113156047</t>
  </si>
  <si>
    <t>CL 49 CR 51 -66 (INTERIOR 603 )</t>
  </si>
  <si>
    <t>074519001000660603</t>
  </si>
  <si>
    <t>2025-12-09 09:42:51</t>
  </si>
  <si>
    <t>6 días 09:42</t>
  </si>
  <si>
    <t>23541742</t>
  </si>
  <si>
    <t>17/09/2025 15:14:46</t>
  </si>
  <si>
    <t>2025-11-25 21:50:39</t>
  </si>
  <si>
    <t>FERLEY ALBERTO ARANGO GIRALDO</t>
  </si>
  <si>
    <t>3122188197</t>
  </si>
  <si>
    <t>CR 2 C CL 48 C -42</t>
  </si>
  <si>
    <t>054022308300420000</t>
  </si>
  <si>
    <t>2025-12-04 21:50:39</t>
  </si>
  <si>
    <t>23542632</t>
  </si>
  <si>
    <t>18/09/2025 11:15:23</t>
  </si>
  <si>
    <t>2025-11-22 22:18:49</t>
  </si>
  <si>
    <t>ALVEIRO DE JESUS VALDERRAMA TABARES</t>
  </si>
  <si>
    <t>3103827306</t>
  </si>
  <si>
    <t>CL 51 B CR 1 ESTE -263</t>
  </si>
  <si>
    <t>705011201002630000</t>
  </si>
  <si>
    <t>2025-12-02 22:18:49</t>
  </si>
  <si>
    <t>23543030</t>
  </si>
  <si>
    <t>18/09/2025 17:14:05</t>
  </si>
  <si>
    <t>2025-11-20 16:43:48</t>
  </si>
  <si>
    <t>JENIFFER URAN  ALCARAZ</t>
  </si>
  <si>
    <t>3785010</t>
  </si>
  <si>
    <t>3244729939</t>
  </si>
  <si>
    <t>RURAL_159145016000000302_159145016000000302</t>
  </si>
  <si>
    <t>159145016000000302</t>
  </si>
  <si>
    <t>2025-12-02 16:43:48</t>
  </si>
  <si>
    <t>23545646</t>
  </si>
  <si>
    <t>22/09/2025 11:15:33</t>
  </si>
  <si>
    <t>2025-11-27 12:02:31</t>
  </si>
  <si>
    <t>LUZ MERI CARAVALLO VASQUEZ</t>
  </si>
  <si>
    <t>3173766532</t>
  </si>
  <si>
    <t>CL 55 CR 103 DA -414 (INTERIOR 121 )</t>
  </si>
  <si>
    <t>085015003414140121</t>
  </si>
  <si>
    <t>2025-12-04 12:02:31</t>
  </si>
  <si>
    <t>23547326</t>
  </si>
  <si>
    <t>23/09/2025 16:22:51</t>
  </si>
  <si>
    <t>2025-11-20 16:43:52</t>
  </si>
  <si>
    <t>MONICA MARIA ESCOBAR SANCHEZ</t>
  </si>
  <si>
    <t>3116825884</t>
  </si>
  <si>
    <t>RURAL_159158458000000002_PROV.LA RAYA</t>
  </si>
  <si>
    <t>159158458000000002</t>
  </si>
  <si>
    <t>2025-12-02 16:43:52</t>
  </si>
  <si>
    <t>23547980</t>
  </si>
  <si>
    <t>24/09/2025 10:46:14</t>
  </si>
  <si>
    <t>2025-11-20 16:43:53</t>
  </si>
  <si>
    <t>ANGELO BETANCUR PEREZ</t>
  </si>
  <si>
    <t>3004374253</t>
  </si>
  <si>
    <t>RURAL_159111862000000001_PROV.TABLAZA</t>
  </si>
  <si>
    <t>159111862000000001</t>
  </si>
  <si>
    <t>2025-12-02 16:43:53</t>
  </si>
  <si>
    <t>23548143</t>
  </si>
  <si>
    <t>24/09/2025 13:16:14</t>
  </si>
  <si>
    <t>2025-11-25 21:49:36</t>
  </si>
  <si>
    <t>JOSE IVAN CORREA</t>
  </si>
  <si>
    <t>3321815</t>
  </si>
  <si>
    <t>3148079968</t>
  </si>
  <si>
    <t>RURAL_159086000000000102</t>
  </si>
  <si>
    <t>159086000000000102</t>
  </si>
  <si>
    <t>2025-12-10 21:49:36</t>
  </si>
  <si>
    <t>23549064</t>
  </si>
  <si>
    <t>25/09/2025 11:53:59</t>
  </si>
  <si>
    <t>CR 43 C CL 68 SUR -69 (INTERIOR 501 )</t>
  </si>
  <si>
    <t>016423308000690501</t>
  </si>
  <si>
    <t>2025-12-04 21:50:30</t>
  </si>
  <si>
    <t>23549201</t>
  </si>
  <si>
    <t>25/09/2025 13:32:01</t>
  </si>
  <si>
    <t>2025-11-20 08:51:45</t>
  </si>
  <si>
    <t>LUIS FERNANDO OCHOA OCHOA</t>
  </si>
  <si>
    <t>3174003272</t>
  </si>
  <si>
    <t>RURAL_159056676000000001_PROV.159056676000000000</t>
  </si>
  <si>
    <t>159056676000000001</t>
  </si>
  <si>
    <t>2025-12-02 08:51:45</t>
  </si>
  <si>
    <t>2 días 08:51</t>
  </si>
  <si>
    <t>23549216</t>
  </si>
  <si>
    <t>25/09/2025 13:43:46</t>
  </si>
  <si>
    <t>2025-11-20 08:49:57</t>
  </si>
  <si>
    <t>RURAL_159056676000000002_PROV.159056676000000000</t>
  </si>
  <si>
    <t>159056676000000002</t>
  </si>
  <si>
    <t>2025-12-02 08:49:57</t>
  </si>
  <si>
    <t>23549218</t>
  </si>
  <si>
    <t>25/09/2025 13:46:22</t>
  </si>
  <si>
    <t>2025-11-25 21:41:44</t>
  </si>
  <si>
    <t>BIBIANA NATALIA CADAVID OSPINA</t>
  </si>
  <si>
    <t>3153108662</t>
  </si>
  <si>
    <t>CR 65 F CL 25 -67 (INTERIOR 101 )</t>
  </si>
  <si>
    <t>052625605000670101</t>
  </si>
  <si>
    <t>2025-12-04 21:41:44</t>
  </si>
  <si>
    <t>23549229</t>
  </si>
  <si>
    <t>25/09/2025 14:00:14</t>
  </si>
  <si>
    <t>2025-11-20 08:52:40</t>
  </si>
  <si>
    <t>RURAL_159056676000000003_PROV.159056676000000000</t>
  </si>
  <si>
    <t>159056676000000003</t>
  </si>
  <si>
    <t>2025-12-02 08:52:40</t>
  </si>
  <si>
    <t>2 días 08:52</t>
  </si>
  <si>
    <t>23549479</t>
  </si>
  <si>
    <t>25/09/2025 16:38:20</t>
  </si>
  <si>
    <t>2025-11-20 16:43:55</t>
  </si>
  <si>
    <t>MARLENY DEL SOCORRO CRUZ RUIZ</t>
  </si>
  <si>
    <t>2785050</t>
  </si>
  <si>
    <t>3044285501</t>
  </si>
  <si>
    <t>RURAL_159145023000000201_SAN MIGUEL</t>
  </si>
  <si>
    <t>159145023000000201</t>
  </si>
  <si>
    <t>2025-11-27 16:43:55</t>
  </si>
  <si>
    <t>23549772</t>
  </si>
  <si>
    <t>26/09/2025 08:07:01</t>
  </si>
  <si>
    <t>2025-11-22 22:03:09</t>
  </si>
  <si>
    <t>JORGE IVAN HERNANDEZ GALLEGO</t>
  </si>
  <si>
    <t>3122596866</t>
  </si>
  <si>
    <t>CR 82 TRAN 45 C -96 (INTERIOR 401 )</t>
  </si>
  <si>
    <t>054822005300960401</t>
  </si>
  <si>
    <t>2025-12-02 22:03:09</t>
  </si>
  <si>
    <t>23551421</t>
  </si>
  <si>
    <t>29/09/2025 11:36:50</t>
  </si>
  <si>
    <t>2025-11-20 16:43:57</t>
  </si>
  <si>
    <t>JULIO CESAR AGUDELO CARMONA</t>
  </si>
  <si>
    <t>3108813844</t>
  </si>
  <si>
    <t>RURAL_159098613800000001_PROV.BR SAN ISIDRO POR TA</t>
  </si>
  <si>
    <t>159098613800000001</t>
  </si>
  <si>
    <t>2025-12-02 16:43:57</t>
  </si>
  <si>
    <t>23551591</t>
  </si>
  <si>
    <t>29/09/2025 13:56:10</t>
  </si>
  <si>
    <t>2025-11-20 21:43:55</t>
  </si>
  <si>
    <t>JAIME ESTEBAN GUTIERREZ TORRES</t>
  </si>
  <si>
    <t>3137371156</t>
  </si>
  <si>
    <t>RURAL_159054904000000302_PROV.LA INMACULADA 2</t>
  </si>
  <si>
    <t>159054904000000302</t>
  </si>
  <si>
    <t>2025-12-02 21:43:55</t>
  </si>
  <si>
    <t>23551735</t>
  </si>
  <si>
    <t>29/09/2025 15:20:10</t>
  </si>
  <si>
    <t>2025-11-22 22:03:18</t>
  </si>
  <si>
    <t>JUAN MANUEL ATEHORTUA RESTREPO</t>
  </si>
  <si>
    <t>3013171716</t>
  </si>
  <si>
    <t>RURAL_166041210000000010_VEREDA EL VALLANO</t>
  </si>
  <si>
    <t>166041210000000010</t>
  </si>
  <si>
    <t>2025-12-05 22:03:18</t>
  </si>
  <si>
    <t>23552973</t>
  </si>
  <si>
    <t>30/09/2025 16:28:31</t>
  </si>
  <si>
    <t>2025-11-27 11:05:09</t>
  </si>
  <si>
    <t>DORA EMILSE OSPINA BENITEZ</t>
  </si>
  <si>
    <t>2924047</t>
  </si>
  <si>
    <t>3106171722</t>
  </si>
  <si>
    <t>CL 57 B CR 17 A -56 (INTERIOR 333 )</t>
  </si>
  <si>
    <t>055117207100560333</t>
  </si>
  <si>
    <t>2025-12-04 11:05:09</t>
  </si>
  <si>
    <t>25/11/2025 10:37:25</t>
  </si>
  <si>
    <t>2025-11-27 10:12:49</t>
  </si>
  <si>
    <t>2025-12-10 10:12:49</t>
  </si>
  <si>
    <t>1 días 07:13</t>
  </si>
  <si>
    <t>23554440</t>
  </si>
  <si>
    <t>02/10/2025 10:41:55</t>
  </si>
  <si>
    <t>2025-11-25 09:21:29</t>
  </si>
  <si>
    <t>YORGENSON ESTIWAR ROBLEDO RODRIGUEZ</t>
  </si>
  <si>
    <t>3107308001</t>
  </si>
  <si>
    <t>RURAL_147050935015000002_PROV.SAN CRISTOBAL</t>
  </si>
  <si>
    <t>147050935015000002</t>
  </si>
  <si>
    <t>2025-12-10 09:21:29</t>
  </si>
  <si>
    <t>3 días 09:21</t>
  </si>
  <si>
    <t>23556160</t>
  </si>
  <si>
    <t>03/10/2025 16:08:13</t>
  </si>
  <si>
    <t>ANDERSON MONTOYA LOPEZ</t>
  </si>
  <si>
    <t>3045242540</t>
  </si>
  <si>
    <t>RURAL_159119000000000000_MARIAN OSPINA</t>
  </si>
  <si>
    <t>159119000000000000</t>
  </si>
  <si>
    <t>23556313</t>
  </si>
  <si>
    <t>04/10/2025 09:52:12</t>
  </si>
  <si>
    <t>2025-11-25 21:52:04</t>
  </si>
  <si>
    <t>DORA ELSY CORREA MONTOYA</t>
  </si>
  <si>
    <t>3128099055</t>
  </si>
  <si>
    <t>CL 56 EC CR 18 A -54 (INTERIOR 101 )</t>
  </si>
  <si>
    <t>055116538100540101</t>
  </si>
  <si>
    <t>2025-12-02 21:52:04</t>
  </si>
  <si>
    <t>23556819</t>
  </si>
  <si>
    <t>06/10/2025 08:50:01</t>
  </si>
  <si>
    <t>2025-10-06 08:50:01</t>
  </si>
  <si>
    <t>NATALIA CAÑOLA MARIN</t>
  </si>
  <si>
    <t>3663032</t>
  </si>
  <si>
    <t>3046130668</t>
  </si>
  <si>
    <t>CR 1 ESTE CL 55 G -10 (INTERIOR 100 )</t>
  </si>
  <si>
    <t>705021005700100100</t>
  </si>
  <si>
    <t>2025-10-14 08:50:01</t>
  </si>
  <si>
    <t>3 días 10:59</t>
  </si>
  <si>
    <t>2 días 10:53</t>
  </si>
  <si>
    <t>3 días 10:53</t>
  </si>
  <si>
    <t>23559194</t>
  </si>
  <si>
    <t>08/10/2025 08:53:36</t>
  </si>
  <si>
    <t>2025-11-24 12:54:14</t>
  </si>
  <si>
    <t>VIOLETA ISABEL GIRALDO ARBOLEDA</t>
  </si>
  <si>
    <t>3002113064</t>
  </si>
  <si>
    <t>CL 19 A CR 27 -210</t>
  </si>
  <si>
    <t>051219107002100000</t>
  </si>
  <si>
    <t>2025-12-03 12:54:14</t>
  </si>
  <si>
    <t>23560771</t>
  </si>
  <si>
    <t>09/10/2025 14:07:46</t>
  </si>
  <si>
    <t>2025-11-27 08:11:27</t>
  </si>
  <si>
    <t>GIOVANNI PEÑALOZA OSORIO</t>
  </si>
  <si>
    <t>3003531412</t>
  </si>
  <si>
    <t>RURAL_125004452800000001_125004452800000001</t>
  </si>
  <si>
    <t>125004452800000001</t>
  </si>
  <si>
    <t>2025-12-12 08:11:27</t>
  </si>
  <si>
    <t>23561699</t>
  </si>
  <si>
    <t>10/10/2025 14:28:09</t>
  </si>
  <si>
    <t>2025-11-25 09:35:32</t>
  </si>
  <si>
    <t>YENI PAOLA JARAMILLO TORRES</t>
  </si>
  <si>
    <t>3128811762</t>
  </si>
  <si>
    <t>CL 48 BB CR 99 DF -3</t>
  </si>
  <si>
    <t>054918229460030000</t>
  </si>
  <si>
    <t>2025-12-02 09:35:32</t>
  </si>
  <si>
    <t>23562465</t>
  </si>
  <si>
    <t>14/10/2025 08:22:52</t>
  </si>
  <si>
    <t>2025-11-25 15:17:26</t>
  </si>
  <si>
    <t>CARLOS MARIO GUZMAN DIAZ</t>
  </si>
  <si>
    <t>3134222575</t>
  </si>
  <si>
    <t>CL 91 SUR CR 55 -116 (INTERIOR 101 )</t>
  </si>
  <si>
    <t>039511005001160101</t>
  </si>
  <si>
    <t>2025-12-04 15:17:26</t>
  </si>
  <si>
    <t>23563259</t>
  </si>
  <si>
    <t>15/10/2025 05:40:58</t>
  </si>
  <si>
    <t>2025-11-27 10:11:27</t>
  </si>
  <si>
    <t>KELLY JOHANA  MUÑOZ HOYOS</t>
  </si>
  <si>
    <t>3235010905</t>
  </si>
  <si>
    <t>CL 51 CR 15 A -32 (INTERIOR 222 )</t>
  </si>
  <si>
    <t>055111005100320222</t>
  </si>
  <si>
    <t>2025-12-04 10:11:27</t>
  </si>
  <si>
    <t>23563342</t>
  </si>
  <si>
    <t>15/10/2025 06:47:08</t>
  </si>
  <si>
    <t>2025-11-26 14:47:30</t>
  </si>
  <si>
    <t>WILSON ARLEY MARIN ALZATE</t>
  </si>
  <si>
    <t>3375131</t>
  </si>
  <si>
    <t>3122506609</t>
  </si>
  <si>
    <t>CR 40 CL 124 SUR -2 (INTERIOR 101 )</t>
  </si>
  <si>
    <t>002420004000020101</t>
  </si>
  <si>
    <t>2025-12-05 14:47:30</t>
  </si>
  <si>
    <t>2 días 14:47</t>
  </si>
  <si>
    <t>7 días 10:36</t>
  </si>
  <si>
    <t>23563911</t>
  </si>
  <si>
    <t>15/10/2025 10:59:15</t>
  </si>
  <si>
    <t>2025-11-23 21:52:56</t>
  </si>
  <si>
    <t>JOSE LUIS SERRANO OCHOA</t>
  </si>
  <si>
    <t>3016931939</t>
  </si>
  <si>
    <t>CL 32 CR 87 A -30 (INTERIOR 5 )</t>
  </si>
  <si>
    <t>053812007100300005</t>
  </si>
  <si>
    <t>2025-12-02 21:52:56</t>
  </si>
  <si>
    <t>23565305</t>
  </si>
  <si>
    <t>29/10/2025 15:46:30</t>
  </si>
  <si>
    <t>2025-11-27 11:09:20</t>
  </si>
  <si>
    <t>ANA DOLORES MARTINEZ DAVILA</t>
  </si>
  <si>
    <t>3147472272</t>
  </si>
  <si>
    <t>RURAL_117004646000000101_VEREDA CORAZON</t>
  </si>
  <si>
    <t>117004646000000101</t>
  </si>
  <si>
    <t>2025-12-10 11:09:20</t>
  </si>
  <si>
    <t>23565411</t>
  </si>
  <si>
    <t>23/10/2025 15:05:33</t>
  </si>
  <si>
    <t>2025-11-24 06:07:44</t>
  </si>
  <si>
    <t>VICTOR DANIEL LOPEZ RESTREPO</t>
  </si>
  <si>
    <t>3113448801</t>
  </si>
  <si>
    <t>RURAL_163008968000000001</t>
  </si>
  <si>
    <t>163008968000000001</t>
  </si>
  <si>
    <t>2025-12-04 06:07:44</t>
  </si>
  <si>
    <t>23565554</t>
  </si>
  <si>
    <t>16/10/2025 12:59:21</t>
  </si>
  <si>
    <t>2025-11-26 07:49:59</t>
  </si>
  <si>
    <t>GILMA LUZ MARIN CARMONA</t>
  </si>
  <si>
    <t>3117616516</t>
  </si>
  <si>
    <t>CR 40 A CL 44 SUR -83 (INTERIOR 301 )</t>
  </si>
  <si>
    <t>024420104000830301</t>
  </si>
  <si>
    <t>2025-12-05 07:49:59</t>
  </si>
  <si>
    <t>23566222</t>
  </si>
  <si>
    <t>16/10/2025 17:05:26</t>
  </si>
  <si>
    <t>2025-11-24 09:15:41</t>
  </si>
  <si>
    <t>LUCY MARGARITA VELASQUEZ ROJAS</t>
  </si>
  <si>
    <t>5006407</t>
  </si>
  <si>
    <t>3104755426</t>
  </si>
  <si>
    <t>CL 19 CR 54 -85 (INTERIOR 202 )</t>
  </si>
  <si>
    <t>051519004000850202</t>
  </si>
  <si>
    <t>2025-12-03 09:15:41</t>
  </si>
  <si>
    <t>3 días 09:15</t>
  </si>
  <si>
    <t>23567606</t>
  </si>
  <si>
    <t>18/10/2025 14:00:39</t>
  </si>
  <si>
    <t>2025-11-20 16:44:01</t>
  </si>
  <si>
    <t>LUIS FERNANDO VELEZ CALLE</t>
  </si>
  <si>
    <t>3122722317</t>
  </si>
  <si>
    <t>RURAL_159097302000000002_PROV.LA TABLAZA BR SAN IS</t>
  </si>
  <si>
    <t>159097302000000002</t>
  </si>
  <si>
    <t>2025-12-02 16:44:01</t>
  </si>
  <si>
    <t>2 días 16:44</t>
  </si>
  <si>
    <t>23567608</t>
  </si>
  <si>
    <t>12/11/2025 14:33:45</t>
  </si>
  <si>
    <t>2025-11-24 06:03:51</t>
  </si>
  <si>
    <t>YESSICA LORENA ROJAS ROJAS</t>
  </si>
  <si>
    <t>3043312201</t>
  </si>
  <si>
    <t>CR 125 CL 52 -121 (INTERIOR 101 )</t>
  </si>
  <si>
    <t>085225002001210101</t>
  </si>
  <si>
    <t>2025-12-01 06:03:51</t>
  </si>
  <si>
    <t>23568486</t>
  </si>
  <si>
    <t>27/10/2025 15:30:35</t>
  </si>
  <si>
    <t>2025-11-26 11:32:27</t>
  </si>
  <si>
    <t>MONICA MARITZA PRESIGA USUGA</t>
  </si>
  <si>
    <t>3207803365</t>
  </si>
  <si>
    <t>RURAL_136032711300000201_CR 105 CL 57A-24 (IN 201)</t>
  </si>
  <si>
    <t>136032711300000201</t>
  </si>
  <si>
    <t>2025-12-12 11:32:27</t>
  </si>
  <si>
    <t>2 días 11:32</t>
  </si>
  <si>
    <t>4 días 14:43</t>
  </si>
  <si>
    <t>23570071</t>
  </si>
  <si>
    <t>22/10/2025 02:15:57</t>
  </si>
  <si>
    <t>2025-11-24 17:34:01</t>
  </si>
  <si>
    <t>LUIS ERLEY MONCADA MONTOYA</t>
  </si>
  <si>
    <t>3003356694</t>
  </si>
  <si>
    <t>CR 43 A CL 50 D SUR -28</t>
  </si>
  <si>
    <t>025423100400280000</t>
  </si>
  <si>
    <t>2025-12-01 17:34:01</t>
  </si>
  <si>
    <t>23570715</t>
  </si>
  <si>
    <t>22/10/2025 17:02:35</t>
  </si>
  <si>
    <t>2025-11-24 09:18:10</t>
  </si>
  <si>
    <t>CL 19 CR 54 -85 (INTERIOR 201 )</t>
  </si>
  <si>
    <t>051519004000850201</t>
  </si>
  <si>
    <t>2025-12-03 09:18:10</t>
  </si>
  <si>
    <t>23571579</t>
  </si>
  <si>
    <t>29/10/2025 15:49:25</t>
  </si>
  <si>
    <t>2025-11-27 11:03:38</t>
  </si>
  <si>
    <t>ANA MARIA ARROYAVE ORTIZ</t>
  </si>
  <si>
    <t>3043121382</t>
  </si>
  <si>
    <t>RURAL_117004600200000101</t>
  </si>
  <si>
    <t>117004600200000101</t>
  </si>
  <si>
    <t>2025-12-10 11:03:38</t>
  </si>
  <si>
    <t>5 días 13:16</t>
  </si>
  <si>
    <t>23571691</t>
  </si>
  <si>
    <t>23/10/2025 14:47:24</t>
  </si>
  <si>
    <t>2025-11-24 16:30:36</t>
  </si>
  <si>
    <t>JOSE ANIBAL GARCIA GARCIA</t>
  </si>
  <si>
    <t>3007832022</t>
  </si>
  <si>
    <t>CR 76 CL 32 E -32</t>
  </si>
  <si>
    <t>053726002500320000</t>
  </si>
  <si>
    <t>2025-12-03 16:30:36</t>
  </si>
  <si>
    <t>2 días 11:05</t>
  </si>
  <si>
    <t>2025-11-26 10:57:59</t>
  </si>
  <si>
    <t>2025-12-05 10:57:59</t>
  </si>
  <si>
    <t>2 días 10:57</t>
  </si>
  <si>
    <t>5 días 10:57</t>
  </si>
  <si>
    <t>2025-11-26 10:59:14</t>
  </si>
  <si>
    <t>2025-12-05 10:59:14</t>
  </si>
  <si>
    <t>23572180</t>
  </si>
  <si>
    <t>24/10/2025 08:11:01</t>
  </si>
  <si>
    <t>2025-11-25 09:20:11</t>
  </si>
  <si>
    <t>CIELO ZULEIMA MARIN DIAZ</t>
  </si>
  <si>
    <t>3022190077</t>
  </si>
  <si>
    <t>CR 18 B CL 56 F -28 (INTERIOR 242 )</t>
  </si>
  <si>
    <t>055128206600280242</t>
  </si>
  <si>
    <t>2025-12-11 09:20:11</t>
  </si>
  <si>
    <t>6 días 09:02</t>
  </si>
  <si>
    <t>23575140</t>
  </si>
  <si>
    <t>28/10/2025 12:32:26</t>
  </si>
  <si>
    <t>2025-11-26 14:15:28</t>
  </si>
  <si>
    <t>ANDRES FELIPE MEJIA ARANGO</t>
  </si>
  <si>
    <t>3117968418</t>
  </si>
  <si>
    <t>CR 76 CL 46 C -83</t>
  </si>
  <si>
    <t>054726006300830000</t>
  </si>
  <si>
    <t>2025-12-05 14:15:28</t>
  </si>
  <si>
    <t>2 días 14:15</t>
  </si>
  <si>
    <t>23575971</t>
  </si>
  <si>
    <t>24/11/2025 08:01:29</t>
  </si>
  <si>
    <t>2025-11-24 08:01:29</t>
  </si>
  <si>
    <t>JOMAR ALEXIS HENAO RESTREPO</t>
  </si>
  <si>
    <t>2659441</t>
  </si>
  <si>
    <t>3207932507</t>
  </si>
  <si>
    <t>CL 29 AA CR 50 -9</t>
  </si>
  <si>
    <t>052519110000090000</t>
  </si>
  <si>
    <t>2025-11-28 08:01:29</t>
  </si>
  <si>
    <t>23576600</t>
  </si>
  <si>
    <t>26/11/2025 08:38:01</t>
  </si>
  <si>
    <t>2025-11-26 08:38:01</t>
  </si>
  <si>
    <t>MARIA CAROLINA HERNANDEZ CARO</t>
  </si>
  <si>
    <t>3225866906</t>
  </si>
  <si>
    <t>CL 1 CR 82 -230 (INTERIOR 124 )</t>
  </si>
  <si>
    <t>050811002002300124</t>
  </si>
  <si>
    <t>2025-12-02 08:38:01</t>
  </si>
  <si>
    <t>23576818</t>
  </si>
  <si>
    <t>29/10/2025 14:47:39</t>
  </si>
  <si>
    <t>2025-11-26 11:02:48</t>
  </si>
  <si>
    <t>LIZET JOHANA ORTIZ ALVAREZ</t>
  </si>
  <si>
    <t>3012043974</t>
  </si>
  <si>
    <t>CL 34 B CR 130 -27 (INTERIOR 143 )</t>
  </si>
  <si>
    <t>083314200000270143</t>
  </si>
  <si>
    <t>2025-12-05 11:02:48</t>
  </si>
  <si>
    <t>23576911</t>
  </si>
  <si>
    <t>29/10/2025 15:47:35</t>
  </si>
  <si>
    <t>2025-11-27 09:57:49</t>
  </si>
  <si>
    <t>VERONICA JOHANA RESTREPO GUTIERREZ</t>
  </si>
  <si>
    <t>4387319</t>
  </si>
  <si>
    <t>3128119388</t>
  </si>
  <si>
    <t>CR 131 B CL 59 -45 (INTERIOR 101 )</t>
  </si>
  <si>
    <t>085321209000450101</t>
  </si>
  <si>
    <t>2025-12-09 09:57:49</t>
  </si>
  <si>
    <t>23577619</t>
  </si>
  <si>
    <t>30/10/2025 07:50:17</t>
  </si>
  <si>
    <t>2025-11-25 16:13:49</t>
  </si>
  <si>
    <t>LUIS CARLOS ARENAS AGUDELO</t>
  </si>
  <si>
    <t>3244570844</t>
  </si>
  <si>
    <t>CR 69 CL 26 -84 (INTERIOR 401 )</t>
  </si>
  <si>
    <t>072629006000840401</t>
  </si>
  <si>
    <t>2025-12-04 16:13:49</t>
  </si>
  <si>
    <t>3 días 16:13</t>
  </si>
  <si>
    <t>4 días 16:13</t>
  </si>
  <si>
    <t>23577622</t>
  </si>
  <si>
    <t>30/10/2025 07:53:01</t>
  </si>
  <si>
    <t>2025-11-25 16:16:14</t>
  </si>
  <si>
    <t>3113764569</t>
  </si>
  <si>
    <t>CR 69 CL 26 -84 (INTERIOR 402 )</t>
  </si>
  <si>
    <t>072629006000840402</t>
  </si>
  <si>
    <t>2025-12-04 16:16:14</t>
  </si>
  <si>
    <t>2025-11-26 18:01:01</t>
  </si>
  <si>
    <t>2025-12-05 18:01:01</t>
  </si>
  <si>
    <t>23578468</t>
  </si>
  <si>
    <t>07/11/2025 14:22:40</t>
  </si>
  <si>
    <t>2025-11-26 11:36:07</t>
  </si>
  <si>
    <t>LUZ OMAIRA SERNA DUARTE</t>
  </si>
  <si>
    <t>3117810396</t>
  </si>
  <si>
    <t>CR 17 D CL 56 BB -54 (INTERIOR 210 )</t>
  </si>
  <si>
    <t>055127406220540210</t>
  </si>
  <si>
    <t>2025-12-12 11:36:07</t>
  </si>
  <si>
    <t>3 días 09:26</t>
  </si>
  <si>
    <t>23579461</t>
  </si>
  <si>
    <t>05/11/2025 11:58:56</t>
  </si>
  <si>
    <t>2025-11-26 11:35:09</t>
  </si>
  <si>
    <t>HIDBEN DAVID POSSO</t>
  </si>
  <si>
    <t>3053659497</t>
  </si>
  <si>
    <t>CL 64 CR 16 DD -23 (INTERIOR 201 )</t>
  </si>
  <si>
    <t>056114006440230201</t>
  </si>
  <si>
    <t>2025-12-03 11:35:09</t>
  </si>
  <si>
    <t>2 días 11:35</t>
  </si>
  <si>
    <t>3 días 11:35</t>
  </si>
  <si>
    <t>5 días 13:32</t>
  </si>
  <si>
    <t>23579879</t>
  </si>
  <si>
    <t>31/10/2025 15:29:38</t>
  </si>
  <si>
    <t>2025-11-24 17:09:45</t>
  </si>
  <si>
    <t>JORGE WILLIAM ARENAS MUNERA</t>
  </si>
  <si>
    <t>3007007880</t>
  </si>
  <si>
    <t>CL 129 SUR CR 55 -51</t>
  </si>
  <si>
    <t>002519005000510000</t>
  </si>
  <si>
    <t>2025-12-03 17:09:45</t>
  </si>
  <si>
    <t>23580305</t>
  </si>
  <si>
    <t>26/11/2025 10:13:49</t>
  </si>
  <si>
    <t>2025-11-26 10:13:49</t>
  </si>
  <si>
    <t>JORGE IGNACIO ACEVEDO ZULUAGA</t>
  </si>
  <si>
    <t>4730867</t>
  </si>
  <si>
    <t>3122446133</t>
  </si>
  <si>
    <t>CR 49 CL 61 SUR -540 (INTERIOR 152 )</t>
  </si>
  <si>
    <t>016429001005400152</t>
  </si>
  <si>
    <t>2025-12-02 10:13:49</t>
  </si>
  <si>
    <t>23580726</t>
  </si>
  <si>
    <t>07/11/2025 06:17:53</t>
  </si>
  <si>
    <t>2025-11-26 11:34:19</t>
  </si>
  <si>
    <t>LUISA FERNANDA RUIZ AGUDELO</t>
  </si>
  <si>
    <t>3128874013</t>
  </si>
  <si>
    <t>CR 18 A CL 59 C -46 (INTERIOR 102 )</t>
  </si>
  <si>
    <t>055128109300460102</t>
  </si>
  <si>
    <t>2025-12-12 11:34:19</t>
  </si>
  <si>
    <t>23581431</t>
  </si>
  <si>
    <t>07/11/2025 14:24:36</t>
  </si>
  <si>
    <t>2025-11-26 11:31:33</t>
  </si>
  <si>
    <t>MARIA ADELAIDA GONZALEZ GONZALEZ</t>
  </si>
  <si>
    <t>3013657881</t>
  </si>
  <si>
    <t>CL 48 EE CR 99 DD -154 (INTERIOR 173 )</t>
  </si>
  <si>
    <t>054918559441540173</t>
  </si>
  <si>
    <t>2025-12-03 11:31:33</t>
  </si>
  <si>
    <t>2 días 11:31</t>
  </si>
  <si>
    <t>23581655</t>
  </si>
  <si>
    <t>05/11/2025 08:01:09</t>
  </si>
  <si>
    <t>2025-11-26 13:21:41</t>
  </si>
  <si>
    <t>MARIA ELENA HERNANDEZ SALAZAR</t>
  </si>
  <si>
    <t>3173211404</t>
  </si>
  <si>
    <t>RURAL_167041685000000301</t>
  </si>
  <si>
    <t>167041685000000301</t>
  </si>
  <si>
    <t>2025-12-09 13:21:41</t>
  </si>
  <si>
    <t>23581952</t>
  </si>
  <si>
    <t>05/11/2025 10:37:03</t>
  </si>
  <si>
    <t>2025-11-22 09:36:42</t>
  </si>
  <si>
    <t>MARIA DELMAR TAMAYO VELEZ</t>
  </si>
  <si>
    <t>3134833871</t>
  </si>
  <si>
    <t>RURAL_125004452800000060</t>
  </si>
  <si>
    <t>125004452800000060</t>
  </si>
  <si>
    <t>2025-12-05 09:36:42</t>
  </si>
  <si>
    <t>23582032</t>
  </si>
  <si>
    <t>05/11/2025 11:08:45</t>
  </si>
  <si>
    <t>2025-11-25 16:10:02</t>
  </si>
  <si>
    <t>MUNICIPIO SABANETA</t>
  </si>
  <si>
    <t>6002972</t>
  </si>
  <si>
    <t>3136365454</t>
  </si>
  <si>
    <t>CL 71 SUR CR 45 -1 (INTERIOR 1 )</t>
  </si>
  <si>
    <t>017411005000010001</t>
  </si>
  <si>
    <t>2025-12-04 16:10:02</t>
  </si>
  <si>
    <t>3 días 16:10</t>
  </si>
  <si>
    <t>4 días 16:10</t>
  </si>
  <si>
    <t>23582117</t>
  </si>
  <si>
    <t>07/11/2025 14:25:59</t>
  </si>
  <si>
    <t>2025-11-27 11:27:45</t>
  </si>
  <si>
    <t>VANESA VELASQUEZ MUÑOZ</t>
  </si>
  <si>
    <t>5598310</t>
  </si>
  <si>
    <t>3045598310</t>
  </si>
  <si>
    <t>CL 31 AA CR 107 -2 (INTERIOR 302 )</t>
  </si>
  <si>
    <t>083011117000020302</t>
  </si>
  <si>
    <t>2025-12-04 11:27:45</t>
  </si>
  <si>
    <t>4 días 11:27</t>
  </si>
  <si>
    <t>23582328</t>
  </si>
  <si>
    <t>08/11/2025 09:29:52</t>
  </si>
  <si>
    <t>2025-11-24 14:30:05</t>
  </si>
  <si>
    <t>ANA ISABEL RESTREPO ALVAREZ</t>
  </si>
  <si>
    <t>2530342</t>
  </si>
  <si>
    <t>3136025230</t>
  </si>
  <si>
    <t>CL 34 B CR 94 -155</t>
  </si>
  <si>
    <t>053914204001550000</t>
  </si>
  <si>
    <t>2025-12-01 14:30:05</t>
  </si>
  <si>
    <t>2025-11-24 14:30:38</t>
  </si>
  <si>
    <t>2025-12-03 14:30:38</t>
  </si>
  <si>
    <t>3 días 14:30</t>
  </si>
  <si>
    <t>2025-11-24 14:34:17</t>
  </si>
  <si>
    <t>2025-12-03 14:34:17</t>
  </si>
  <si>
    <t>23583169</t>
  </si>
  <si>
    <t>06/11/2025 07:24:54</t>
  </si>
  <si>
    <t>2025-11-24 10:06:35</t>
  </si>
  <si>
    <t>LUZ EDILMA CASTAÑO RESTREPO</t>
  </si>
  <si>
    <t>3710844</t>
  </si>
  <si>
    <t>3235053071</t>
  </si>
  <si>
    <t>CR 56 A CL 31 -8 (INTERIOR 101 )</t>
  </si>
  <si>
    <t>073526101000080101</t>
  </si>
  <si>
    <t>2025-12-03 10:06:35</t>
  </si>
  <si>
    <t>4 días 10:06</t>
  </si>
  <si>
    <t>23583917</t>
  </si>
  <si>
    <t>06/11/2025 16:04:30</t>
  </si>
  <si>
    <t>2025-11-06 16:04:30</t>
  </si>
  <si>
    <t>MATEO PACHON HERNANDEZ</t>
  </si>
  <si>
    <t>3217361666</t>
  </si>
  <si>
    <t>CR 42 CL 46 -110</t>
  </si>
  <si>
    <t>074422006001100000</t>
  </si>
  <si>
    <t>2025-11-20 16:04:30</t>
  </si>
  <si>
    <t>23584434</t>
  </si>
  <si>
    <t>07/11/2025 08:38:29</t>
  </si>
  <si>
    <t>2025-11-25 10:27:54</t>
  </si>
  <si>
    <t>JUAN ROMAN RESTREPO ARANGO</t>
  </si>
  <si>
    <t>2691659</t>
  </si>
  <si>
    <t>CR 65 A CL 26 -41</t>
  </si>
  <si>
    <t>052625106000410000</t>
  </si>
  <si>
    <t>2025-12-04 10:27:54</t>
  </si>
  <si>
    <t>3 días 10:27</t>
  </si>
  <si>
    <t>4 días 10:27</t>
  </si>
  <si>
    <t>5 días 15:24</t>
  </si>
  <si>
    <t>23584537</t>
  </si>
  <si>
    <t>07/11/2025 09:48:19</t>
  </si>
  <si>
    <t>2025-11-27 09:48:29</t>
  </si>
  <si>
    <t>JAIME ALBERTO YEPES JARAMILLO</t>
  </si>
  <si>
    <t>CR 74 CL 20 A -12 (INTERIOR 201 )</t>
  </si>
  <si>
    <t>052724000100120201</t>
  </si>
  <si>
    <t>2025-12-09 09:48:29</t>
  </si>
  <si>
    <t>23584639</t>
  </si>
  <si>
    <t>14/11/2025 13:25:22</t>
  </si>
  <si>
    <t>2025-11-24 14:27:30</t>
  </si>
  <si>
    <t>YURANI ANDREA MUÑOZ ALVAREZ</t>
  </si>
  <si>
    <t>3234430213</t>
  </si>
  <si>
    <t>CL 58 C CR 90 -1 (INTERIOR 132 )</t>
  </si>
  <si>
    <t>055918300000010132</t>
  </si>
  <si>
    <t>2025-12-01 14:27:30</t>
  </si>
  <si>
    <t>4 días 14:27</t>
  </si>
  <si>
    <t>23584834</t>
  </si>
  <si>
    <t>07/11/2025 12:28:52</t>
  </si>
  <si>
    <t>2025-11-26 19:43:50</t>
  </si>
  <si>
    <t>JHON SANTOS BLANDON</t>
  </si>
  <si>
    <t>3127574144</t>
  </si>
  <si>
    <t>CR 103 C CL 19 EE -15 (INTERIOR 115 )</t>
  </si>
  <si>
    <t>081023309550150115</t>
  </si>
  <si>
    <t>2025-12-03 19:43:50</t>
  </si>
  <si>
    <t>2 días 19:43</t>
  </si>
  <si>
    <t>3 días 19:43</t>
  </si>
  <si>
    <t>23584931</t>
  </si>
  <si>
    <t>07/11/2025 14:15:39</t>
  </si>
  <si>
    <t>2025-11-26 10:08:22</t>
  </si>
  <si>
    <t>ANDREA METAUTE ARCILA</t>
  </si>
  <si>
    <t>3206197381</t>
  </si>
  <si>
    <t>CL 39 D SUR CR 24 A -11</t>
  </si>
  <si>
    <t>023219404100110000</t>
  </si>
  <si>
    <t>2025-12-05 10:08:22</t>
  </si>
  <si>
    <t>23586100</t>
  </si>
  <si>
    <t>10/11/2025 13:54:18</t>
  </si>
  <si>
    <t>2025-11-25 08:10:38</t>
  </si>
  <si>
    <t>CRISTIAN CAMILO GONZALEZ NARVAEZ</t>
  </si>
  <si>
    <t>3008701121</t>
  </si>
  <si>
    <t>CL 50 A CR 84 -122</t>
  </si>
  <si>
    <t>055810104001220000</t>
  </si>
  <si>
    <t>2025-12-09 08:10:38</t>
  </si>
  <si>
    <t>6 días 08:10</t>
  </si>
  <si>
    <t>23586554</t>
  </si>
  <si>
    <t>11/11/2025 05:22:40</t>
  </si>
  <si>
    <t>2025-11-27 08:25:01</t>
  </si>
  <si>
    <t>MARIA DEL CARMEN LONDOÑO DE ALVAREZ</t>
  </si>
  <si>
    <t>4226889</t>
  </si>
  <si>
    <t>3022048546</t>
  </si>
  <si>
    <t>RURAL_136029902204000001_OLAYA HERRERA</t>
  </si>
  <si>
    <t>136029902204000001</t>
  </si>
  <si>
    <t>2025-12-10 08:25:01</t>
  </si>
  <si>
    <t>23586633</t>
  </si>
  <si>
    <t>24/11/2025 10:54:03</t>
  </si>
  <si>
    <t>2025-11-24 10:54:03</t>
  </si>
  <si>
    <t>ALEXANDER DUQUE PIEDRAHITA</t>
  </si>
  <si>
    <t>3012240246</t>
  </si>
  <si>
    <t>CR 34 CL 7 -143</t>
  </si>
  <si>
    <t>050324007001430000</t>
  </si>
  <si>
    <t>2025-11-28 10:54:03</t>
  </si>
  <si>
    <t>23586829</t>
  </si>
  <si>
    <t>11/11/2025 08:22:23</t>
  </si>
  <si>
    <t>2025-11-26 13:27:51</t>
  </si>
  <si>
    <t>LIBETH CRISTINA CAUSADO OSORNO</t>
  </si>
  <si>
    <t>4911042</t>
  </si>
  <si>
    <t>3146002209</t>
  </si>
  <si>
    <t>CR 99 EE CL 49 AA -81 (INTERIOR 201 )</t>
  </si>
  <si>
    <t>054929559110810201</t>
  </si>
  <si>
    <t>2025-12-03 13:27:51</t>
  </si>
  <si>
    <t>2 días 13:27</t>
  </si>
  <si>
    <t>3 días 13:27</t>
  </si>
  <si>
    <t>23587104</t>
  </si>
  <si>
    <t>11/11/2025 10:26:32</t>
  </si>
  <si>
    <t>2025-11-24 13:48:45</t>
  </si>
  <si>
    <t>UBERNEY PEREZ SEPULVEDA</t>
  </si>
  <si>
    <t>3007818199</t>
  </si>
  <si>
    <t>CL 49 CR 12 -16</t>
  </si>
  <si>
    <t>054119002000160000</t>
  </si>
  <si>
    <t>2025-12-03 13:48:45</t>
  </si>
  <si>
    <t>23587774</t>
  </si>
  <si>
    <t>26/11/2025 17:46:57</t>
  </si>
  <si>
    <t>2025-11-26 17:46:57</t>
  </si>
  <si>
    <t>JUAN ERNESTO HERNANDEZ SANCHEZ</t>
  </si>
  <si>
    <t>3005076</t>
  </si>
  <si>
    <t>3002065738</t>
  </si>
  <si>
    <t>CR 39 CL 8 -71 (INTERIOR 201 )</t>
  </si>
  <si>
    <t>050329008000710201</t>
  </si>
  <si>
    <t>2025-12-02 17:46:57</t>
  </si>
  <si>
    <t>2 días 14:30</t>
  </si>
  <si>
    <t>5 días 14:30</t>
  </si>
  <si>
    <t>23588038</t>
  </si>
  <si>
    <t>12/11/2025 08:02:36</t>
  </si>
  <si>
    <t>2025-11-24 09:45:01</t>
  </si>
  <si>
    <t>EDGAR JAVIER ESPAÑA GOMEZ</t>
  </si>
  <si>
    <t>2170970</t>
  </si>
  <si>
    <t>3113876611</t>
  </si>
  <si>
    <t>CR 36 CL 48 -36 (INTERIOR 201 )</t>
  </si>
  <si>
    <t>054326008000360201</t>
  </si>
  <si>
    <t>2025-12-03 09:45:01</t>
  </si>
  <si>
    <t>23588138</t>
  </si>
  <si>
    <t>20/11/2025 07:51:36</t>
  </si>
  <si>
    <t>2025-11-26 11:43:09</t>
  </si>
  <si>
    <t>MARIA NUBIA MONTOYA CADAVID</t>
  </si>
  <si>
    <t>2866725</t>
  </si>
  <si>
    <t>3127549060</t>
  </si>
  <si>
    <t>RURAL_103043255024500002_PROV.RURAL_10304325502450</t>
  </si>
  <si>
    <t>103043255024500002</t>
  </si>
  <si>
    <t>2025-12-09 11:43:09</t>
  </si>
  <si>
    <t>26/11/2025 10:53:20</t>
  </si>
  <si>
    <t>2025-11-26 10:53:20</t>
  </si>
  <si>
    <t>2025-12-03 10:53:20</t>
  </si>
  <si>
    <t>26/11/2025 09:26:43</t>
  </si>
  <si>
    <t>2025-11-26 09:26:43</t>
  </si>
  <si>
    <t>2025-12-09 09:26:43</t>
  </si>
  <si>
    <t>6 días 09:26</t>
  </si>
  <si>
    <t>9 días 10:25</t>
  </si>
  <si>
    <t>23590635</t>
  </si>
  <si>
    <t>14/11/2025 13:50:02</t>
  </si>
  <si>
    <t>2025-11-26 16:23:29</t>
  </si>
  <si>
    <t>JORGE ANDRES GUTIERREZ MOLINA</t>
  </si>
  <si>
    <t>2212728</t>
  </si>
  <si>
    <t>3017657385</t>
  </si>
  <si>
    <t>CL 54 CR 17 B -38 (INTERIOR 303 )</t>
  </si>
  <si>
    <t>055114007200380303</t>
  </si>
  <si>
    <t>2025-12-05 16:23:29</t>
  </si>
  <si>
    <t>1 días 14:13</t>
  </si>
  <si>
    <t>9 días 15:23</t>
  </si>
  <si>
    <t>23590914</t>
  </si>
  <si>
    <t>14/11/2025 16:27:55</t>
  </si>
  <si>
    <t>2025-11-25 08:54:16</t>
  </si>
  <si>
    <t>3005134772</t>
  </si>
  <si>
    <t>CL 63 A CR 46 -50 (INTERIOR 401 )</t>
  </si>
  <si>
    <t>056413106000500401</t>
  </si>
  <si>
    <t>2025-12-04 08:54:16</t>
  </si>
  <si>
    <t>3 días 08:54</t>
  </si>
  <si>
    <t>2 días 12:57</t>
  </si>
  <si>
    <t>5 días 12:57</t>
  </si>
  <si>
    <t>26/11/2025 11:39:35</t>
  </si>
  <si>
    <t>2025-11-26 11:39:35</t>
  </si>
  <si>
    <t>2025-12-02 11:39:35</t>
  </si>
  <si>
    <t>2025-11-25 09:02:52</t>
  </si>
  <si>
    <t>2025-12-10 09:02:52</t>
  </si>
  <si>
    <t>2025-11-27 09:39:17</t>
  </si>
  <si>
    <t>2025-12-04 09:39:17</t>
  </si>
  <si>
    <t>7 días 08:44</t>
  </si>
  <si>
    <t>1 días 13:17</t>
  </si>
  <si>
    <t>2025-11-27 12:22:52</t>
  </si>
  <si>
    <t>2025-12-04 12:22:52</t>
  </si>
  <si>
    <t>0 días 12:22</t>
  </si>
  <si>
    <t>4 días 12:22</t>
  </si>
  <si>
    <t>1 días 13:49</t>
  </si>
  <si>
    <t>1 días 15:18</t>
  </si>
  <si>
    <t>CL 63 A CR 46 -50 (INTERIOR 301 )</t>
  </si>
  <si>
    <t>056413106000500301</t>
  </si>
  <si>
    <t>7 días 16:34</t>
  </si>
  <si>
    <t>2025-11-25 08:46:51</t>
  </si>
  <si>
    <t>2025-12-02 08:46:51</t>
  </si>
  <si>
    <t>2 días 08:46</t>
  </si>
  <si>
    <t>2025-11-26 15:07:56</t>
  </si>
  <si>
    <t>2025-12-11 15:07:56</t>
  </si>
  <si>
    <t>5 días 09:42</t>
  </si>
  <si>
    <t>2025-11-27 09:55:26</t>
  </si>
  <si>
    <t>2025-12-04 09:55:26</t>
  </si>
  <si>
    <t>2 días 10:56</t>
  </si>
  <si>
    <t>1 días 11:06</t>
  </si>
  <si>
    <t>23595250</t>
  </si>
  <si>
    <t>20/11/2025 11:49:28</t>
  </si>
  <si>
    <t>2025-11-20 11:49:28</t>
  </si>
  <si>
    <t>LUZ KARINE MORALES QUNTERO</t>
  </si>
  <si>
    <t>3101990684</t>
  </si>
  <si>
    <t>RURAL_161033410000000201_VEREDA PRIMAVERA</t>
  </si>
  <si>
    <t>161033410000000201</t>
  </si>
  <si>
    <t>2025-12-02 11:49:28</t>
  </si>
  <si>
    <t>6 días 11:49</t>
  </si>
  <si>
    <t>4 días 14:01</t>
  </si>
  <si>
    <t>6 días 15:34</t>
  </si>
  <si>
    <t>2025-11-25 12:23:14</t>
  </si>
  <si>
    <t>2025-12-05 12:23:14</t>
  </si>
  <si>
    <t>23596263</t>
  </si>
  <si>
    <t>21/11/2025 08:07:54</t>
  </si>
  <si>
    <t>2025-11-21 08:07:54</t>
  </si>
  <si>
    <t>DENSY DE JESUS MORALES MONTOYA</t>
  </si>
  <si>
    <t>3172623804</t>
  </si>
  <si>
    <t>RURAL_163007687000000000_ITAGUI AJIZAL</t>
  </si>
  <si>
    <t>163007687000000000</t>
  </si>
  <si>
    <t>2025-12-12 08:07:54</t>
  </si>
  <si>
    <t>23596269</t>
  </si>
  <si>
    <t>21/11/2025 08:11:48</t>
  </si>
  <si>
    <t>2025-11-21 08:11:49</t>
  </si>
  <si>
    <t>LUIS ALBERTO SUAREZ DUARTE</t>
  </si>
  <si>
    <t>3007561858</t>
  </si>
  <si>
    <t>CL 63 CR 18 C -41 (INTERIOR 201 )</t>
  </si>
  <si>
    <t>056113008300410201</t>
  </si>
  <si>
    <t>2025-12-04 08:11:49</t>
  </si>
  <si>
    <t>23596283</t>
  </si>
  <si>
    <t>21/11/2025 08:19:59</t>
  </si>
  <si>
    <t>2025-11-21 08:19:59</t>
  </si>
  <si>
    <t>JOSE MESIAS GARCIA SACRISTAN</t>
  </si>
  <si>
    <t>5738751</t>
  </si>
  <si>
    <t>3185948042</t>
  </si>
  <si>
    <t>CL 53 CR 110 -524 (INTERIOR 102 )</t>
  </si>
  <si>
    <t>085113000005240102</t>
  </si>
  <si>
    <t>2025-12-04 08:19:59</t>
  </si>
  <si>
    <t>23596304</t>
  </si>
  <si>
    <t>21/11/2025 08:36:14</t>
  </si>
  <si>
    <t>2025-11-21 08:36:14</t>
  </si>
  <si>
    <t>GUSTAVO DE JESUS CRUZ RUIZ</t>
  </si>
  <si>
    <t>2991634</t>
  </si>
  <si>
    <t>3148025851</t>
  </si>
  <si>
    <t>RURAL_161012715000000205_PROV.161012715000000201</t>
  </si>
  <si>
    <t>161012715000000205</t>
  </si>
  <si>
    <t>2025-12-03 08:36:14</t>
  </si>
  <si>
    <t>27/11/2025 06:24:36</t>
  </si>
  <si>
    <t>2025-11-27 06:24:36</t>
  </si>
  <si>
    <t>2025-12-04 06:24:36</t>
  </si>
  <si>
    <t>2 días 09:18</t>
  </si>
  <si>
    <t>5 días 10:49</t>
  </si>
  <si>
    <t>6 días 10:49</t>
  </si>
  <si>
    <t>5 días 10:55</t>
  </si>
  <si>
    <t>6 días 10:55</t>
  </si>
  <si>
    <t>23596514</t>
  </si>
  <si>
    <t>21/11/2025 11:19:22</t>
  </si>
  <si>
    <t>2025-11-21 11:19:22</t>
  </si>
  <si>
    <t>LUZ MARY BLANCO PEÑATA</t>
  </si>
  <si>
    <t>3054403648</t>
  </si>
  <si>
    <t>CL 56 AA CR 14 B -32 (INTERIOR 180 )</t>
  </si>
  <si>
    <t>055116114200320180</t>
  </si>
  <si>
    <t>2025-12-04 11:19:22</t>
  </si>
  <si>
    <t>23596553</t>
  </si>
  <si>
    <t>21/11/2025 11:40:49</t>
  </si>
  <si>
    <t>2025-11-21 11:40:49</t>
  </si>
  <si>
    <t>GLORIA  AMPARO GAÑAN  MUÑOZ</t>
  </si>
  <si>
    <t>3044166238</t>
  </si>
  <si>
    <t>CL 36 C CR 114 -139</t>
  </si>
  <si>
    <t>083116304001390000</t>
  </si>
  <si>
    <t>2025-12-04 11:40:49</t>
  </si>
  <si>
    <t>6 días 11:42</t>
  </si>
  <si>
    <t>23596600</t>
  </si>
  <si>
    <t>21/11/2025 12:07:47</t>
  </si>
  <si>
    <t>2025-11-21 12:07:47</t>
  </si>
  <si>
    <t>LUZ EDILIA HIDALGO USUGA</t>
  </si>
  <si>
    <t>3136507696</t>
  </si>
  <si>
    <t>CR 129 CL 67 -260 (INTERIOR 168 )</t>
  </si>
  <si>
    <t>086229007002600168</t>
  </si>
  <si>
    <t>2025-12-04 12:07:47</t>
  </si>
  <si>
    <t>4 días 12:07</t>
  </si>
  <si>
    <t>5 días 12:09</t>
  </si>
  <si>
    <t>6 días 12:09</t>
  </si>
  <si>
    <t>23596623</t>
  </si>
  <si>
    <t>21/11/2025 12:22:32</t>
  </si>
  <si>
    <t>2025-11-21 12:22:32</t>
  </si>
  <si>
    <t>CONSTRUCTORA HUDIVAL SAS</t>
  </si>
  <si>
    <t>3216964527</t>
  </si>
  <si>
    <t>CR 48 CL 48 -55</t>
  </si>
  <si>
    <t>074428008000550000</t>
  </si>
  <si>
    <t>2025-12-02 12:22:32</t>
  </si>
  <si>
    <t>23596638</t>
  </si>
  <si>
    <t>21/11/2025 12:31:31</t>
  </si>
  <si>
    <t>2025-11-21 12:31:31</t>
  </si>
  <si>
    <t>JAMES ASMED DE LA PAVA GARCIA</t>
  </si>
  <si>
    <t>3108290301</t>
  </si>
  <si>
    <t>CL 24 CR 73 -23</t>
  </si>
  <si>
    <t>052714003000230000</t>
  </si>
  <si>
    <t>2025-12-04 12:31:31</t>
  </si>
  <si>
    <t>23596639</t>
  </si>
  <si>
    <t>21/11/2025 12:31:37</t>
  </si>
  <si>
    <t>2025-11-21 12:31:37</t>
  </si>
  <si>
    <t>ALDEBER DANIEL HIGUITA GOMEZ</t>
  </si>
  <si>
    <t>3126863917</t>
  </si>
  <si>
    <t>CR 111 C CL 13 -140 (INTERIOR 201 )</t>
  </si>
  <si>
    <t>081121303001400201</t>
  </si>
  <si>
    <t>2025-12-02 12:31:37</t>
  </si>
  <si>
    <t>2 días 12:31</t>
  </si>
  <si>
    <t>23596669</t>
  </si>
  <si>
    <t>21/11/2025 12:59:49</t>
  </si>
  <si>
    <t>2025-11-21 12:59:49</t>
  </si>
  <si>
    <t>LOVERLLY ANDRES  MUÑOZ RAMIREZ</t>
  </si>
  <si>
    <t>4963410</t>
  </si>
  <si>
    <t>3145398207</t>
  </si>
  <si>
    <t>CR 117 D CL 36 C -11</t>
  </si>
  <si>
    <t>083127406300110000</t>
  </si>
  <si>
    <t>2025-12-04 12:59:49</t>
  </si>
  <si>
    <t>23596686</t>
  </si>
  <si>
    <t>21/11/2025 13:31:02</t>
  </si>
  <si>
    <t>2025-11-21 13:31:02</t>
  </si>
  <si>
    <t>MARIANA  TORRES ALVAREZ</t>
  </si>
  <si>
    <t>3424742</t>
  </si>
  <si>
    <t>3215299405</t>
  </si>
  <si>
    <t>CR 106 CL 31 AA -85 (INTERIOR 201 )</t>
  </si>
  <si>
    <t>083026001110850201</t>
  </si>
  <si>
    <t>2025-12-02 13:31:02</t>
  </si>
  <si>
    <t>23596704</t>
  </si>
  <si>
    <t>21/11/2025 14:04:36</t>
  </si>
  <si>
    <t>2025-11-21 14:04:36</t>
  </si>
  <si>
    <t>VIZZA INGENIERIA Y CONSTRUCTORA S.A.S</t>
  </si>
  <si>
    <t>3136452476</t>
  </si>
  <si>
    <t>CL 30 A CR 80 -73</t>
  </si>
  <si>
    <t>053810100000730000</t>
  </si>
  <si>
    <t>2025-12-02 14:04:36</t>
  </si>
  <si>
    <t>23597482</t>
  </si>
  <si>
    <t>24/11/2025 07:15:36</t>
  </si>
  <si>
    <t>2025-11-24 07:15:36</t>
  </si>
  <si>
    <t>2025-12-05 07:15:36</t>
  </si>
  <si>
    <t>4 días 07:15</t>
  </si>
  <si>
    <t>5 días 07:15</t>
  </si>
  <si>
    <t>23597501</t>
  </si>
  <si>
    <t>24/11/2025 07:58:17</t>
  </si>
  <si>
    <t>2025-11-24 16:18:31</t>
  </si>
  <si>
    <t>DANER URRUTIA JORDAN</t>
  </si>
  <si>
    <t>3206334199</t>
  </si>
  <si>
    <t>CR 10 CL 55 -405 (INTERIOR 205 )</t>
  </si>
  <si>
    <t>055120005004050205</t>
  </si>
  <si>
    <t>2025-12-01 16:18:31</t>
  </si>
  <si>
    <t>4 días 16:18</t>
  </si>
  <si>
    <t>23597515</t>
  </si>
  <si>
    <t>24/11/2025 08:22:59</t>
  </si>
  <si>
    <t>2025-11-24 08:22:59</t>
  </si>
  <si>
    <t>MARINELA MARIA GONZALEZ ESPINOSA</t>
  </si>
  <si>
    <t>3108299374</t>
  </si>
  <si>
    <t>RURAL_122042270000000000_122042270000000000</t>
  </si>
  <si>
    <t>122042270000000000</t>
  </si>
  <si>
    <t>Revisor Punto de Conexión Oriente</t>
  </si>
  <si>
    <t>2025-11-28 08:22:59</t>
  </si>
  <si>
    <t>23597516</t>
  </si>
  <si>
    <t>24/11/2025 08:24:08</t>
  </si>
  <si>
    <t>2025-11-24 08:24:08</t>
  </si>
  <si>
    <t>CR 54 CL 59 -29</t>
  </si>
  <si>
    <t>055524009000290000</t>
  </si>
  <si>
    <t>2025-12-03 08:24:08</t>
  </si>
  <si>
    <t>23597530</t>
  </si>
  <si>
    <t>24/11/2025 08:41:47</t>
  </si>
  <si>
    <t>2025-11-24 08:41:47</t>
  </si>
  <si>
    <t>YESID ALEJANDRO SANCHEZ VALENCIA</t>
  </si>
  <si>
    <t>3122412860</t>
  </si>
  <si>
    <t>CL 26 CR 84 BC -63</t>
  </si>
  <si>
    <t>052816004230630000</t>
  </si>
  <si>
    <t>2025-12-05 08:41:47</t>
  </si>
  <si>
    <t>5 días 08:41</t>
  </si>
  <si>
    <t>23597531</t>
  </si>
  <si>
    <t>24/11/2025 08:42:05</t>
  </si>
  <si>
    <t>2025-11-24 08:42:05</t>
  </si>
  <si>
    <t>EDWIN LIBARDO MARULANDA CORREA</t>
  </si>
  <si>
    <t>3175594332</t>
  </si>
  <si>
    <t>CR 31 CL 29 -95 (INTERIOR 102 )</t>
  </si>
  <si>
    <t>052321009000950102</t>
  </si>
  <si>
    <t>2025-12-05 08:42:05</t>
  </si>
  <si>
    <t>4 días 08:42</t>
  </si>
  <si>
    <t>5 días 08:42</t>
  </si>
  <si>
    <t>23597539</t>
  </si>
  <si>
    <t>24/11/2025 08:52:16</t>
  </si>
  <si>
    <t>2025-11-24 08:52:16</t>
  </si>
  <si>
    <t>SINDY DANIELA PINILLOS ZABALA</t>
  </si>
  <si>
    <t>3005701732</t>
  </si>
  <si>
    <t>RURAL_146001904000000038</t>
  </si>
  <si>
    <t>146001904000000038</t>
  </si>
  <si>
    <t>2025-12-09 08:52:16</t>
  </si>
  <si>
    <t>23597551</t>
  </si>
  <si>
    <t>24/11/2025 08:58:23</t>
  </si>
  <si>
    <t>2025-11-24 08:58:23</t>
  </si>
  <si>
    <t>LEON DE JESUS AGUDELO HURTADO</t>
  </si>
  <si>
    <t>5036103</t>
  </si>
  <si>
    <t>3167158913</t>
  </si>
  <si>
    <t>CL 9 SUR CR 54 E -69 (INTERIOR 208 )</t>
  </si>
  <si>
    <t>040519004500690208</t>
  </si>
  <si>
    <t>2025-12-03 08:58:23</t>
  </si>
  <si>
    <t>23597656</t>
  </si>
  <si>
    <t>24/11/2025 10:20:43</t>
  </si>
  <si>
    <t>2025-11-24 10:20:43</t>
  </si>
  <si>
    <t>JOHN STIVEN CASTAÑO GIRALDO</t>
  </si>
  <si>
    <t>3113668886</t>
  </si>
  <si>
    <t>CR 79 B CL 46 SUR -15 (INTERIOR 101 )</t>
  </si>
  <si>
    <t>044729206000150101</t>
  </si>
  <si>
    <t>2025-12-01 10:20:43</t>
  </si>
  <si>
    <t>23597663</t>
  </si>
  <si>
    <t>24/11/2025 10:24:09</t>
  </si>
  <si>
    <t>2025-11-24 10:24:09</t>
  </si>
  <si>
    <t>PROMOTORA COSTA AZUL S.A.S</t>
  </si>
  <si>
    <t>5913058</t>
  </si>
  <si>
    <t>CL 75 SUR CR 57 -22 (INTERIOR 713 BQ 3 COSTA AZUL</t>
  </si>
  <si>
    <t>037515007000220713</t>
  </si>
  <si>
    <t>2025-12-03 10:24:09</t>
  </si>
  <si>
    <t>23597684</t>
  </si>
  <si>
    <t>24/11/2025 10:35:39</t>
  </si>
  <si>
    <t>2025-11-24 10:35:39</t>
  </si>
  <si>
    <t>BLANCA LUCIA MONTES GIRALDO</t>
  </si>
  <si>
    <t>3012584149</t>
  </si>
  <si>
    <t>CL 43 CR 66 -17</t>
  </si>
  <si>
    <t>054613006000170000</t>
  </si>
  <si>
    <t>2025-12-03 10:35:39</t>
  </si>
  <si>
    <t>23597699</t>
  </si>
  <si>
    <t>24/11/2025 10:43:03</t>
  </si>
  <si>
    <t>2025-11-24 10:43:03</t>
  </si>
  <si>
    <t>CL 75 SUR CR 57 -22 (INTERIOR 1014 BQ 3 COSTA AZUL</t>
  </si>
  <si>
    <t>037515007000221014</t>
  </si>
  <si>
    <t>2025-12-03 10:43:03</t>
  </si>
  <si>
    <t>3 días 10:43</t>
  </si>
  <si>
    <t>23597700</t>
  </si>
  <si>
    <t>24/11/2025 10:43:06</t>
  </si>
  <si>
    <t>2025-11-24 10:43:06</t>
  </si>
  <si>
    <t>CL 75 SUR CR 57 -22 (INTERIOR 2116 BQ 3 COSTA AZUL</t>
  </si>
  <si>
    <t>037515007000222116</t>
  </si>
  <si>
    <t>2025-12-03 10:43:06</t>
  </si>
  <si>
    <t>23597701</t>
  </si>
  <si>
    <t>24/11/2025 10:43:07</t>
  </si>
  <si>
    <t>2025-11-24 10:43:07</t>
  </si>
  <si>
    <t>CL 75 SUR CR 57 -22 (INTERIOR 2216 BQ 3 COSTA AZUL</t>
  </si>
  <si>
    <t>037515007000222216</t>
  </si>
  <si>
    <t>2025-12-03 10:43:07</t>
  </si>
  <si>
    <t>23597702</t>
  </si>
  <si>
    <t>24/11/2025 10:43:09</t>
  </si>
  <si>
    <t>2025-11-24 10:43:09</t>
  </si>
  <si>
    <t>CL 75 SUR CR 57 -22 (INTERIOR 2413 BQ 3 COSTA AZUL</t>
  </si>
  <si>
    <t>037515007000222413</t>
  </si>
  <si>
    <t>2025-12-03 10:43:09</t>
  </si>
  <si>
    <t>23597703</t>
  </si>
  <si>
    <t>CL 75 SUR CR 57 -22 (INTERIOR 2015 BQ 3 COSTA AZUL</t>
  </si>
  <si>
    <t>037515007000222015</t>
  </si>
  <si>
    <t>23597704</t>
  </si>
  <si>
    <t>24/11/2025 10:43:10</t>
  </si>
  <si>
    <t>2025-11-24 10:43:10</t>
  </si>
  <si>
    <t>CL 75 SUR CR 57 -22 (INTERIOR 1914 BQ 3 COSTA AZUL</t>
  </si>
  <si>
    <t>037515007000221914</t>
  </si>
  <si>
    <t>2025-12-03 10:43:10</t>
  </si>
  <si>
    <t>23597705</t>
  </si>
  <si>
    <t>CL 75 SUR CR 57 -22 (INTERIOR 918 BQ 3 COSTA AZUL</t>
  </si>
  <si>
    <t>037515007000220918</t>
  </si>
  <si>
    <t>23597706</t>
  </si>
  <si>
    <t>24/11/2025 10:43:12</t>
  </si>
  <si>
    <t>2025-11-24 10:43:12</t>
  </si>
  <si>
    <t>CL 75 SUR CR 57 -22 (INTERIOR 718 BQ 3 COSTA AZUL</t>
  </si>
  <si>
    <t>037515007000220718</t>
  </si>
  <si>
    <t>2025-12-03 10:43:12</t>
  </si>
  <si>
    <t>23597707</t>
  </si>
  <si>
    <t>CL 75 SUR CR 57 -22 (INTERIOR 2017 BQ 3 COSTA AZUL</t>
  </si>
  <si>
    <t>037515007000222017</t>
  </si>
  <si>
    <t>23597708</t>
  </si>
  <si>
    <t>24/11/2025 10:43:13</t>
  </si>
  <si>
    <t>2025-11-24 10:43:13</t>
  </si>
  <si>
    <t>CL 75 SUR CR 57 -22 (INTERIOR 714 BQ 3 COSTA AZUL</t>
  </si>
  <si>
    <t>037515007000220714</t>
  </si>
  <si>
    <t>2025-12-03 10:43:13</t>
  </si>
  <si>
    <t>23597709</t>
  </si>
  <si>
    <t>24/11/2025 10:43:14</t>
  </si>
  <si>
    <t>2025-11-24 10:43:14</t>
  </si>
  <si>
    <t>CL 75 SUR CR 57 -22 (INTERIOR 2317 BQ 3 COSTA AZUL</t>
  </si>
  <si>
    <t>037515007000222317</t>
  </si>
  <si>
    <t>2025-12-03 10:43:14</t>
  </si>
  <si>
    <t>23597710</t>
  </si>
  <si>
    <t>24/11/2025 10:43:16</t>
  </si>
  <si>
    <t>2025-11-24 10:43:16</t>
  </si>
  <si>
    <t>CL 75 SUR CR 57 -22 (INTERIOR 715 BQ 3 COSTA AZUL</t>
  </si>
  <si>
    <t>037515007000220715</t>
  </si>
  <si>
    <t>2025-12-03 10:43:16</t>
  </si>
  <si>
    <t>23597711</t>
  </si>
  <si>
    <t>CL 75 SUR CR 57 -22 (INTERIOR 2613 BQ 3 COSTA AZUL</t>
  </si>
  <si>
    <t>037515007000222613</t>
  </si>
  <si>
    <t>23597712</t>
  </si>
  <si>
    <t>CL 75 SUR CR 57 -22 (INTERIOR 2018 BQ 3 COSTA AZUL</t>
  </si>
  <si>
    <t>037515007000222018</t>
  </si>
  <si>
    <t>23597713</t>
  </si>
  <si>
    <t>24/11/2025 10:43:18</t>
  </si>
  <si>
    <t>2025-11-24 10:43:18</t>
  </si>
  <si>
    <t>CL 75 SUR CR 57 -22 (INTERIOR 916 BQ 3 COSTA AZUL</t>
  </si>
  <si>
    <t>037515007000220916</t>
  </si>
  <si>
    <t>2025-12-03 10:43:18</t>
  </si>
  <si>
    <t>23597714</t>
  </si>
  <si>
    <t>CL 75 SUR CR 57 -22 (INTERIOR 815 BQ 3 COSTA AZUL</t>
  </si>
  <si>
    <t>037515007000220815</t>
  </si>
  <si>
    <t>23597715</t>
  </si>
  <si>
    <t>CL 75 SUR CR 57 -22 (INTERIOR 2117 BQ 3 COSTA AZUL</t>
  </si>
  <si>
    <t>037515007000222117</t>
  </si>
  <si>
    <t>23597716</t>
  </si>
  <si>
    <t>24/11/2025 10:43:20</t>
  </si>
  <si>
    <t>2025-11-24 10:43:20</t>
  </si>
  <si>
    <t>CL 75 SUR CR 57 -22 (INTERIOR 1813 BQ 3 COSTA AZUL</t>
  </si>
  <si>
    <t>037515007000221813</t>
  </si>
  <si>
    <t>2025-12-03 10:43:20</t>
  </si>
  <si>
    <t>23597717</t>
  </si>
  <si>
    <t>CL 75 SUR CR 57 -22 (INTERIOR 2217 BQ 3 COSTA AZUL</t>
  </si>
  <si>
    <t>037515007000222217</t>
  </si>
  <si>
    <t>23597718</t>
  </si>
  <si>
    <t>24/11/2025 10:43:26</t>
  </si>
  <si>
    <t>2025-11-24 10:43:26</t>
  </si>
  <si>
    <t>CL 75 SUR CR 57 -22 (INTERIOR 1218 BQ 3 COSTA AZUL</t>
  </si>
  <si>
    <t>037515007000221218</t>
  </si>
  <si>
    <t>2025-12-03 10:43:26</t>
  </si>
  <si>
    <t>23597719</t>
  </si>
  <si>
    <t>24/11/2025 10:43:25</t>
  </si>
  <si>
    <t>2025-11-24 10:43:25</t>
  </si>
  <si>
    <t>CL 75 SUR CR 57 -22 (INTERIOR 2318 BQ 3 COSTA AZUL</t>
  </si>
  <si>
    <t>037515007000222318</t>
  </si>
  <si>
    <t>2025-12-03 10:43:25</t>
  </si>
  <si>
    <t>23597720</t>
  </si>
  <si>
    <t>CL 75 SUR CR 57 -22 (INTERIOR 2213 BQ 3 COSTA AZUL</t>
  </si>
  <si>
    <t>037515007000222213</t>
  </si>
  <si>
    <t>23597721</t>
  </si>
  <si>
    <t>CL 75 SUR CR 57 -22 (INTERIOR 2414 BQ 3 COSTA AZUL</t>
  </si>
  <si>
    <t>037515007000222414</t>
  </si>
  <si>
    <t>23597722</t>
  </si>
  <si>
    <t>24/11/2025 10:43:27</t>
  </si>
  <si>
    <t>2025-11-24 10:43:27</t>
  </si>
  <si>
    <t>CL 75 SUR CR 57 -22 (INTERIOR 917 BQ 3 COSTA AZUL</t>
  </si>
  <si>
    <t>037515007000220917</t>
  </si>
  <si>
    <t>2025-12-03 10:43:27</t>
  </si>
  <si>
    <t>23597723</t>
  </si>
  <si>
    <t>24/11/2025 10:43:28</t>
  </si>
  <si>
    <t>2025-11-24 10:43:28</t>
  </si>
  <si>
    <t>CL 75 SUR CR 57 -22 (INTERIOR 2215 BQ 3 COSTA AZUL</t>
  </si>
  <si>
    <t>037515007000222215</t>
  </si>
  <si>
    <t>2025-12-03 10:43:28</t>
  </si>
  <si>
    <t>23597724</t>
  </si>
  <si>
    <t>CL 75 SUR CR 57 -22 (INTERIOR 2016 BQ 3 COSTA AZUL</t>
  </si>
  <si>
    <t>037515007000222016</t>
  </si>
  <si>
    <t>23597725</t>
  </si>
  <si>
    <t>24/11/2025 10:43:30</t>
  </si>
  <si>
    <t>2025-11-24 10:43:30</t>
  </si>
  <si>
    <t>CL 75 SUR CR 57 -22 (INTERIOR 1013 BQ 3 COSTA AZUL</t>
  </si>
  <si>
    <t>037515007000221013</t>
  </si>
  <si>
    <t>2025-12-03 10:43:30</t>
  </si>
  <si>
    <t>23597726</t>
  </si>
  <si>
    <t>24/11/2025 10:43:32</t>
  </si>
  <si>
    <t>2025-11-24 10:43:32</t>
  </si>
  <si>
    <t>CL 75 SUR CR 57 -22 (INTERIOR 2415 BQ 3 COSTA AZUL</t>
  </si>
  <si>
    <t>037515007000222415</t>
  </si>
  <si>
    <t>2025-12-03 10:43:32</t>
  </si>
  <si>
    <t>23597727</t>
  </si>
  <si>
    <t>24/11/2025 10:43:33</t>
  </si>
  <si>
    <t>2025-11-24 10:43:33</t>
  </si>
  <si>
    <t>CL 75 SUR CR 57 -22 (INTERIOR 2115 BQ 3 COSTA AZUL</t>
  </si>
  <si>
    <t>037515007000222115</t>
  </si>
  <si>
    <t>23597728</t>
  </si>
  <si>
    <t>24/11/2025 10:43:34</t>
  </si>
  <si>
    <t>2025-11-24 10:43:34</t>
  </si>
  <si>
    <t>CL 75 SUR CR 57 -22 (INTERIOR 2113 BQ 3 COSTA AZUL</t>
  </si>
  <si>
    <t>037515007000222113</t>
  </si>
  <si>
    <t>2025-12-03 10:43:34</t>
  </si>
  <si>
    <t>23597729</t>
  </si>
  <si>
    <t>24/11/2025 10:43:35</t>
  </si>
  <si>
    <t>2025-11-24 10:43:35</t>
  </si>
  <si>
    <t>CL 75 SUR CR 57 -22 (INTERIOR 2114 BQ 3 COSTA AZUL</t>
  </si>
  <si>
    <t>037515007000222114</t>
  </si>
  <si>
    <t>2025-12-03 10:43:35</t>
  </si>
  <si>
    <t>23597730</t>
  </si>
  <si>
    <t>24/11/2025 10:43:38</t>
  </si>
  <si>
    <t>2025-11-24 10:43:38</t>
  </si>
  <si>
    <t>CL 75 SUR CR 57 -22 (INTERIOR 2214 BQ 3 COSTA AZUL</t>
  </si>
  <si>
    <t>037515007000222214</t>
  </si>
  <si>
    <t>2025-12-03 10:43:38</t>
  </si>
  <si>
    <t>23597731</t>
  </si>
  <si>
    <t>CL 75 SUR CR 57 -22 (INTERIOR 2118 BQ 3 COSTA AZUL</t>
  </si>
  <si>
    <t>037515007000222118</t>
  </si>
  <si>
    <t>23597732</t>
  </si>
  <si>
    <t>24/11/2025 10:43:39</t>
  </si>
  <si>
    <t>2025-11-24 10:43:39</t>
  </si>
  <si>
    <t>CL 75 SUR CR 57 -22 (INTERIOR 1718 BQ 3 COSTA AZUL</t>
  </si>
  <si>
    <t>037515007000221718</t>
  </si>
  <si>
    <t>2025-12-03 10:43:39</t>
  </si>
  <si>
    <t>23597733</t>
  </si>
  <si>
    <t>CL 75 SUR CR 57 -22 (INTERIOR 2316 BQ 3 COSTA AZUL</t>
  </si>
  <si>
    <t>037515007000222316</t>
  </si>
  <si>
    <t>23597734</t>
  </si>
  <si>
    <t>24/11/2025 10:43:42</t>
  </si>
  <si>
    <t>2025-11-24 10:43:42</t>
  </si>
  <si>
    <t>CL 75 SUR CR 57 -22 (INTERIOR 1015 BQ 3 COSTA AZUL</t>
  </si>
  <si>
    <t>037515007000221015</t>
  </si>
  <si>
    <t>2025-12-03 10:43:42</t>
  </si>
  <si>
    <t>23597735</t>
  </si>
  <si>
    <t>24/11/2025 10:43:49</t>
  </si>
  <si>
    <t>2025-11-24 10:43:49</t>
  </si>
  <si>
    <t>CL 75 SUR CR 57 -22 (INTERIOR 1317 BQ 3 COSTA AZUL</t>
  </si>
  <si>
    <t>037515007000221317</t>
  </si>
  <si>
    <t>2025-12-03 10:43:49</t>
  </si>
  <si>
    <t>23597736</t>
  </si>
  <si>
    <t>CL 75 SUR CR 57 -22 (INTERIOR 1415 BQ 3 COSTA AZUL</t>
  </si>
  <si>
    <t>037515007000221415</t>
  </si>
  <si>
    <t>23597737</t>
  </si>
  <si>
    <t>24/11/2025 10:43:53</t>
  </si>
  <si>
    <t>2025-11-24 10:43:53</t>
  </si>
  <si>
    <t>CL 75 SUR CR 57 -22 (INTERIOR 1617 BQ 3 COSTA AZUL</t>
  </si>
  <si>
    <t>037515007000221617</t>
  </si>
  <si>
    <t>2025-12-03 10:43:53</t>
  </si>
  <si>
    <t>23597738</t>
  </si>
  <si>
    <t>CL 75 SUR CR 57 -22 (INTERIOR 1417 BQ 3 COSTA AZUL</t>
  </si>
  <si>
    <t>037515007000221417</t>
  </si>
  <si>
    <t>23597739</t>
  </si>
  <si>
    <t>24/11/2025 10:43:56</t>
  </si>
  <si>
    <t>2025-11-24 10:43:56</t>
  </si>
  <si>
    <t>CL 75 SUR CR 57 -22 (INTERIOR 1613 BQ 3 COSTA AZUL</t>
  </si>
  <si>
    <t>037515007000221613</t>
  </si>
  <si>
    <t>2025-12-03 10:43:56</t>
  </si>
  <si>
    <t>23597740</t>
  </si>
  <si>
    <t>24/11/2025 10:43:57</t>
  </si>
  <si>
    <t>2025-11-24 10:43:57</t>
  </si>
  <si>
    <t>CL 75 SUR CR 57 -22 (INTERIOR 1615 BQ 3 COSTA AZUL</t>
  </si>
  <si>
    <t>037515007000221615</t>
  </si>
  <si>
    <t>2025-12-03 10:43:57</t>
  </si>
  <si>
    <t>23597741</t>
  </si>
  <si>
    <t>24/11/2025 10:43:59</t>
  </si>
  <si>
    <t>2025-11-24 10:43:59</t>
  </si>
  <si>
    <t>CL 75 SUR CR 57 -22 (INTERIOR 1413 BQ 3 COSTA AZUL</t>
  </si>
  <si>
    <t>037515007000221413</t>
  </si>
  <si>
    <t>2025-12-03 10:43:59</t>
  </si>
  <si>
    <t>23597742</t>
  </si>
  <si>
    <t>24/11/2025 10:44:00</t>
  </si>
  <si>
    <t>2025-11-24 10:44:00</t>
  </si>
  <si>
    <t>CL 75 SUR CR 57 -22 (INTERIOR 1314 BQ 3 COSTA AZUL</t>
  </si>
  <si>
    <t>037515007000221314</t>
  </si>
  <si>
    <t>2025-12-03 10:44:00</t>
  </si>
  <si>
    <t>23597743</t>
  </si>
  <si>
    <t>CL 75 SUR CR 57 -22 (INTERIOR 1515 BQ 3 COSTA AZUL</t>
  </si>
  <si>
    <t>037515007000221515</t>
  </si>
  <si>
    <t>23597744</t>
  </si>
  <si>
    <t>24/11/2025 10:44:01</t>
  </si>
  <si>
    <t>2025-11-24 10:44:01</t>
  </si>
  <si>
    <t>CL 75 SUR CR 57 -22 (INTERIOR 1313 BQ 3 COSTA AZUL</t>
  </si>
  <si>
    <t>037515007000221313</t>
  </si>
  <si>
    <t>2025-12-03 10:44:01</t>
  </si>
  <si>
    <t>23597745</t>
  </si>
  <si>
    <t>CL 75 SUR CR 57 -22 (INTERIOR 1618 BQ 3 COSTA AZUL</t>
  </si>
  <si>
    <t>037515007000221618</t>
  </si>
  <si>
    <t>23597746</t>
  </si>
  <si>
    <t>24/11/2025 10:44:02</t>
  </si>
  <si>
    <t>2025-11-24 10:44:02</t>
  </si>
  <si>
    <t>CL 75 SUR CR 57 -22 (INTERIOR 1614 BQ 3 COSTA AZUL</t>
  </si>
  <si>
    <t>037515007000221614</t>
  </si>
  <si>
    <t>2025-12-03 10:44:02</t>
  </si>
  <si>
    <t>23597747</t>
  </si>
  <si>
    <t>24/11/2025 10:44:03</t>
  </si>
  <si>
    <t>2025-11-24 10:44:03</t>
  </si>
  <si>
    <t>CL 75 SUR CR 57 -22 (INTERIOR 1017 BQ 3 COSTA AZUL</t>
  </si>
  <si>
    <t>037515007000221017</t>
  </si>
  <si>
    <t>2025-12-03 10:44:03</t>
  </si>
  <si>
    <t>23597748</t>
  </si>
  <si>
    <t>24/11/2025 10:44:06</t>
  </si>
  <si>
    <t>2025-11-24 10:44:06</t>
  </si>
  <si>
    <t>CL 75 SUR CR 57 -22 (INTERIOR 1316 BQ 3 COSTA AZUL</t>
  </si>
  <si>
    <t>037515007000221316</t>
  </si>
  <si>
    <t>2025-12-03 10:44:06</t>
  </si>
  <si>
    <t>23597749</t>
  </si>
  <si>
    <t>CL 75 SUR CR 57 -22 (INTERIOR 1115 BQ 3 COSTA AZUL</t>
  </si>
  <si>
    <t>037515007000221115</t>
  </si>
  <si>
    <t>23597750</t>
  </si>
  <si>
    <t>24/11/2025 10:44:10</t>
  </si>
  <si>
    <t>2025-11-24 10:44:10</t>
  </si>
  <si>
    <t>CL 75 SUR CR 57 -22 (INTERIOR 1018 BQ 3 COSTA AZUL</t>
  </si>
  <si>
    <t>037515007000221018</t>
  </si>
  <si>
    <t>2025-12-03 10:44:10</t>
  </si>
  <si>
    <t>23597751</t>
  </si>
  <si>
    <t>24/11/2025 10:44:11</t>
  </si>
  <si>
    <t>2025-11-24 10:44:11</t>
  </si>
  <si>
    <t>CL 75 SUR CR 57 -22 (INTERIOR 1516 BQ 3 COSTA AZUL</t>
  </si>
  <si>
    <t>037515007000221516</t>
  </si>
  <si>
    <t>2025-12-03 10:44:11</t>
  </si>
  <si>
    <t>23597752</t>
  </si>
  <si>
    <t>24/11/2025 10:44:12</t>
  </si>
  <si>
    <t>2025-11-24 10:44:12</t>
  </si>
  <si>
    <t>CL 75 SUR CR 57 -22 (INTERIOR 1016 BQ 3 COSTA AZUL</t>
  </si>
  <si>
    <t>037515007000221016</t>
  </si>
  <si>
    <t>2025-12-03 10:44:12</t>
  </si>
  <si>
    <t>23597753</t>
  </si>
  <si>
    <t>24/11/2025 10:44:13</t>
  </si>
  <si>
    <t>2025-11-24 10:44:13</t>
  </si>
  <si>
    <t>CL 75 SUR CR 57 -22 (INTERIOR 716 BQ 3 COSTA AZUL</t>
  </si>
  <si>
    <t>037515007000220716</t>
  </si>
  <si>
    <t>2025-12-03 10:44:13</t>
  </si>
  <si>
    <t>23597754</t>
  </si>
  <si>
    <t>24/11/2025 10:44:14</t>
  </si>
  <si>
    <t>2025-11-24 10:44:14</t>
  </si>
  <si>
    <t>CL 75 SUR CR 57 -22 (INTERIOR 1318 BQ 3 COSTA AZUL</t>
  </si>
  <si>
    <t>037515007000221318</t>
  </si>
  <si>
    <t>2025-12-03 10:44:14</t>
  </si>
  <si>
    <t>23597755</t>
  </si>
  <si>
    <t>CL 75 SUR CR 57 -22 (INTERIOR 817 BQ 3 COSTA AZUL</t>
  </si>
  <si>
    <t>037515007000220817</t>
  </si>
  <si>
    <t>23597757</t>
  </si>
  <si>
    <t>24/11/2025 10:44:16</t>
  </si>
  <si>
    <t>2025-11-24 10:44:16</t>
  </si>
  <si>
    <t>CL 75 SUR CR 57 -22 (INTERIOR 1214 BQ 3 COSTA AZUL</t>
  </si>
  <si>
    <t>037515007000221214</t>
  </si>
  <si>
    <t>2025-12-03 10:44:16</t>
  </si>
  <si>
    <t>23597758</t>
  </si>
  <si>
    <t>CL 75 SUR CR 57 -22 (INTERIOR 1416 BQ 3 COSTA AZUL</t>
  </si>
  <si>
    <t>037515007000221416</t>
  </si>
  <si>
    <t>23597759</t>
  </si>
  <si>
    <t>24/11/2025 10:44:18</t>
  </si>
  <si>
    <t>2025-11-24 10:44:18</t>
  </si>
  <si>
    <t>CL 75 SUR CR 57 -22 (INTERIOR 1716 BQ 3 COSTA AZUL</t>
  </si>
  <si>
    <t>037515007000221716</t>
  </si>
  <si>
    <t>2025-12-03 10:44:18</t>
  </si>
  <si>
    <t>23597760</t>
  </si>
  <si>
    <t>CL 75 SUR CR 57 -22 (INTERIOR 1818 BQ 3 COSTA AZUL</t>
  </si>
  <si>
    <t>037515007000221818</t>
  </si>
  <si>
    <t>23597761</t>
  </si>
  <si>
    <t>24/11/2025 10:44:20</t>
  </si>
  <si>
    <t>2025-11-24 10:44:20</t>
  </si>
  <si>
    <t>CL 75 SUR CR 57 -22 (INTERIOR 1817 BQ 3 COSTA AZUL</t>
  </si>
  <si>
    <t>037515007000221817</t>
  </si>
  <si>
    <t>2025-12-03 10:44:20</t>
  </si>
  <si>
    <t>23597762</t>
  </si>
  <si>
    <t>CL 75 SUR CR 57 -22 (INTERIOR 2417 BQ 3 COSTA AZUL</t>
  </si>
  <si>
    <t>037515007000222417</t>
  </si>
  <si>
    <t>23597763</t>
  </si>
  <si>
    <t>24/11/2025 10:44:23</t>
  </si>
  <si>
    <t>2025-11-24 10:44:23</t>
  </si>
  <si>
    <t>CL 75 SUR CR 57 -22 (INTERIOR 1514 BQ 3 COSTA AZUL</t>
  </si>
  <si>
    <t>037515007000221514</t>
  </si>
  <si>
    <t>2025-12-03 10:44:23</t>
  </si>
  <si>
    <t>23597764</t>
  </si>
  <si>
    <t>24/11/2025 10:44:24</t>
  </si>
  <si>
    <t>2025-11-24 10:44:24</t>
  </si>
  <si>
    <t>CL 75 SUR CR 57 -22 (INTERIOR 1418 BQ 3 COSTA AZUL</t>
  </si>
  <si>
    <t>037515007000221418</t>
  </si>
  <si>
    <t>2025-12-03 10:44:24</t>
  </si>
  <si>
    <t>23597765</t>
  </si>
  <si>
    <t>CL 75 SUR CR 57 -22 (INTERIOR 1713 BQ 3 COSTA AZUL</t>
  </si>
  <si>
    <t>037515007000221713</t>
  </si>
  <si>
    <t>23597766</t>
  </si>
  <si>
    <t>CL 75 SUR CR 57 -22 (INTERIOR 2314 BQ 3 COSTA AZUL</t>
  </si>
  <si>
    <t>037515007000222314</t>
  </si>
  <si>
    <t>23597767</t>
  </si>
  <si>
    <t>CL 75 SUR CR 57 -22 (INTERIOR 717 BQ 3 COSTA AZUL</t>
  </si>
  <si>
    <t>037515007000220717</t>
  </si>
  <si>
    <t>23597768</t>
  </si>
  <si>
    <t>CL 75 SUR CR 57 -22 (INTERIOR 1217 BQ 3 COSTA AZUL</t>
  </si>
  <si>
    <t>037515007000221217</t>
  </si>
  <si>
    <t>23597769</t>
  </si>
  <si>
    <t>CL 75 SUR CR 57 -22 (INTERIOR 1717 BQ 3 COSTA AZUL</t>
  </si>
  <si>
    <t>037515007000221717</t>
  </si>
  <si>
    <t>23597770</t>
  </si>
  <si>
    <t>24/11/2025 10:44:25</t>
  </si>
  <si>
    <t>2025-11-24 10:44:25</t>
  </si>
  <si>
    <t>CL 75 SUR CR 57 -22 (INTERIOR 1815 BQ 3 COSTA AZUL</t>
  </si>
  <si>
    <t>037515007000221815</t>
  </si>
  <si>
    <t>2025-12-03 10:44:25</t>
  </si>
  <si>
    <t>23597771</t>
  </si>
  <si>
    <t>CL 75 SUR CR 57 -22 (INTERIOR 1715 BQ 3 COSTA AZUL</t>
  </si>
  <si>
    <t>037515007000221715</t>
  </si>
  <si>
    <t>23597772</t>
  </si>
  <si>
    <t>CL 75 SUR CR 57 -22 (INTERIOR 1714 BQ 3 COSTA AZUL</t>
  </si>
  <si>
    <t>037515007000221714</t>
  </si>
  <si>
    <t>23597774</t>
  </si>
  <si>
    <t>24/11/2025 10:44:26</t>
  </si>
  <si>
    <t>2025-11-24 10:44:26</t>
  </si>
  <si>
    <t>CL 75 SUR CR 57 -22 (INTERIOR 1816 BQ 3 COSTA AZUL</t>
  </si>
  <si>
    <t>037515007000221816</t>
  </si>
  <si>
    <t>2025-12-03 10:44:26</t>
  </si>
  <si>
    <t>23597775</t>
  </si>
  <si>
    <t>CL 75 SUR CR 57 -22 (INTERIOR 1616 BQ 3 COSTA AZUL</t>
  </si>
  <si>
    <t>037515007000221616</t>
  </si>
  <si>
    <t>23597776</t>
  </si>
  <si>
    <t>24/11/2025 10:44:27</t>
  </si>
  <si>
    <t>2025-11-24 10:44:27</t>
  </si>
  <si>
    <t>CL 75 SUR CR 57 -22 (INTERIOR 1518 BQ 3 COSTA AZUL</t>
  </si>
  <si>
    <t>037515007000221518</t>
  </si>
  <si>
    <t>2025-12-03 10:44:27</t>
  </si>
  <si>
    <t>23597777</t>
  </si>
  <si>
    <t>24/11/2025 10:44:31</t>
  </si>
  <si>
    <t>2025-11-24 10:44:31</t>
  </si>
  <si>
    <t>CL 75 SUR CR 57 -22 (INTERIOR 2013 BQ 3 COSTA AZUL</t>
  </si>
  <si>
    <t>037515007000222013</t>
  </si>
  <si>
    <t>2025-12-03 10:44:31</t>
  </si>
  <si>
    <t>23597778</t>
  </si>
  <si>
    <t>CL 75 SUR CR 57 -22 (INTERIOR 2618 BQ 3 COSTA AZUL</t>
  </si>
  <si>
    <t>037515007000222618</t>
  </si>
  <si>
    <t>23597779</t>
  </si>
  <si>
    <t>CL 75 SUR CR 57 -22 (INTERIOR 915 BQ 3 COSTA AZUL</t>
  </si>
  <si>
    <t>037515007000220915</t>
  </si>
  <si>
    <t>23597780</t>
  </si>
  <si>
    <t>CL 75 SUR CR 57 -22 (INTERIOR 1814 BQ 3 COSTA AZUL</t>
  </si>
  <si>
    <t>037515007000221814</t>
  </si>
  <si>
    <t>23597781</t>
  </si>
  <si>
    <t>CL 75 SUR CR 57 -22 (INTERIOR 1216 BQ 3 COSTA AZUL</t>
  </si>
  <si>
    <t>037515007000221216</t>
  </si>
  <si>
    <t>23597782</t>
  </si>
  <si>
    <t>CL 75 SUR CR 57 -22 (INTERIOR 1513 BQ 3 COSTA AZUL</t>
  </si>
  <si>
    <t>037515007000221513</t>
  </si>
  <si>
    <t>23597783</t>
  </si>
  <si>
    <t>24/11/2025 10:44:32</t>
  </si>
  <si>
    <t>2025-11-24 10:44:32</t>
  </si>
  <si>
    <t>CL 75 SUR CR 57 -22 (INTERIOR 1114 BQ 3 COSTA AZUL</t>
  </si>
  <si>
    <t>037515007000221114</t>
  </si>
  <si>
    <t>2025-12-03 10:44:32</t>
  </si>
  <si>
    <t>23597784</t>
  </si>
  <si>
    <t>24/11/2025 10:44:34</t>
  </si>
  <si>
    <t>2025-11-24 10:44:34</t>
  </si>
  <si>
    <t>CL 75 SUR CR 57 -22 (INTERIOR 2615 BQ 3 COSTA AZUL</t>
  </si>
  <si>
    <t>037515007000222615</t>
  </si>
  <si>
    <t>2025-12-03 10:44:34</t>
  </si>
  <si>
    <t>23597785</t>
  </si>
  <si>
    <t>24/11/2025 10:44:35</t>
  </si>
  <si>
    <t>2025-11-24 10:44:35</t>
  </si>
  <si>
    <t>CL 75 SUR CR 57 -22 (INTERIOR 1113 BQ 3 COSTA AZUL</t>
  </si>
  <si>
    <t>037515007000221113</t>
  </si>
  <si>
    <t>2025-12-03 10:44:35</t>
  </si>
  <si>
    <t>23597786</t>
  </si>
  <si>
    <t>CL 75 SUR CR 57 -22 (INTERIOR 1918 BQ 3 COSTA AZUL</t>
  </si>
  <si>
    <t>037515007000221918</t>
  </si>
  <si>
    <t>23597787</t>
  </si>
  <si>
    <t>CL 75 SUR CR 57 -22 (INTERIOR 1517 BQ 3 COSTA AZUL</t>
  </si>
  <si>
    <t>037515007000221517</t>
  </si>
  <si>
    <t>23597788</t>
  </si>
  <si>
    <t>CL 75 SUR CR 57 -22 (INTERIOR 1215 BQ 3 COSTA AZUL</t>
  </si>
  <si>
    <t>037515007000221215</t>
  </si>
  <si>
    <t>23597789</t>
  </si>
  <si>
    <t>24/11/2025 10:44:36</t>
  </si>
  <si>
    <t>2025-11-24 10:44:36</t>
  </si>
  <si>
    <t>CL 75 SUR CR 57 -22 (INTERIOR 914 BQ 3 COSTA AZUL</t>
  </si>
  <si>
    <t>037515007000220914</t>
  </si>
  <si>
    <t>2025-12-03 10:44:36</t>
  </si>
  <si>
    <t>23597790</t>
  </si>
  <si>
    <t>24/11/2025 10:44:38</t>
  </si>
  <si>
    <t>2025-11-24 10:44:38</t>
  </si>
  <si>
    <t>CL 75 SUR CR 57 -22 (INTERIOR 2617 BQ 3 COSTA AZUL</t>
  </si>
  <si>
    <t>037515007000222617</t>
  </si>
  <si>
    <t>2025-12-03 10:44:38</t>
  </si>
  <si>
    <t>23597791</t>
  </si>
  <si>
    <t>CL 75 SUR CR 57 -22 (INTERIOR 2315 BQ 3 COSTA AZUL</t>
  </si>
  <si>
    <t>037515007000222315</t>
  </si>
  <si>
    <t>23597792</t>
  </si>
  <si>
    <t>CL 75 SUR CR 57 -22 (INTERIOR 1213 BQ 3 COSTA AZUL</t>
  </si>
  <si>
    <t>037515007000221213</t>
  </si>
  <si>
    <t>23597793</t>
  </si>
  <si>
    <t>24/11/2025 10:44:39</t>
  </si>
  <si>
    <t>2025-11-24 10:44:39</t>
  </si>
  <si>
    <t>CL 75 SUR CR 57 -22 (INTERIOR 1916 BQ 3 COSTA AZUL</t>
  </si>
  <si>
    <t>037515007000221916</t>
  </si>
  <si>
    <t>2025-12-03 10:44:39</t>
  </si>
  <si>
    <t>23597794</t>
  </si>
  <si>
    <t>CL 75 SUR CR 57 -22 (INTERIOR 2614 BQ 3 COSTA AZUL</t>
  </si>
  <si>
    <t>037515007000222614</t>
  </si>
  <si>
    <t>23597795</t>
  </si>
  <si>
    <t>CL 75 SUR CR 57 -22 (INTERIOR 2616 BQ 3 COSTA AZUL</t>
  </si>
  <si>
    <t>037515007000222616</t>
  </si>
  <si>
    <t>23597796</t>
  </si>
  <si>
    <t>24/11/2025 10:44:40</t>
  </si>
  <si>
    <t>2025-11-24 10:44:40</t>
  </si>
  <si>
    <t>CL 75 SUR CR 57 -22 (INTERIOR 2418 BQ 3 COSTA AZUL</t>
  </si>
  <si>
    <t>037515007000222418</t>
  </si>
  <si>
    <t>2025-12-03 10:44:40</t>
  </si>
  <si>
    <t>23597797</t>
  </si>
  <si>
    <t>CL 75 SUR CR 57 -22 (INTERIOR 913 BQ 3 COSTA AZUL</t>
  </si>
  <si>
    <t>037515007000220913</t>
  </si>
  <si>
    <t>23597798</t>
  </si>
  <si>
    <t>24/11/2025 10:44:41</t>
  </si>
  <si>
    <t>2025-11-24 10:44:41</t>
  </si>
  <si>
    <t>CL 75 SUR CR 57 -22 (INTERIOR 2518 BQ 3 COSTA AZUL</t>
  </si>
  <si>
    <t>037515007000222518</t>
  </si>
  <si>
    <t>2025-12-03 10:44:41</t>
  </si>
  <si>
    <t>23597799</t>
  </si>
  <si>
    <t>24/11/2025 10:44:42</t>
  </si>
  <si>
    <t>2025-11-24 10:44:42</t>
  </si>
  <si>
    <t>CL 75 SUR CR 57 -22 (INTERIOR 2517 BQ 3 COSTA AZUL</t>
  </si>
  <si>
    <t>037515007000222517</t>
  </si>
  <si>
    <t>2025-12-03 10:44:42</t>
  </si>
  <si>
    <t>23597800</t>
  </si>
  <si>
    <t>24/11/2025 10:44:43</t>
  </si>
  <si>
    <t>2025-11-24 10:44:43</t>
  </si>
  <si>
    <t>CL 75 SUR CR 57 -22 (INTERIOR 2514 BQ 3 COSTA AZUL</t>
  </si>
  <si>
    <t>037515007000222514</t>
  </si>
  <si>
    <t>2025-12-03 10:44:43</t>
  </si>
  <si>
    <t>23597801</t>
  </si>
  <si>
    <t>24/11/2025 10:44:45</t>
  </si>
  <si>
    <t>2025-11-24 10:44:45</t>
  </si>
  <si>
    <t>CL 75 SUR CR 57 -22 (INTERIOR 2515 BQ 3 COSTA AZUL</t>
  </si>
  <si>
    <t>037515007000222515</t>
  </si>
  <si>
    <t>2025-12-03 10:44:45</t>
  </si>
  <si>
    <t>23597802</t>
  </si>
  <si>
    <t>24/11/2025 10:44:50</t>
  </si>
  <si>
    <t>2025-11-24 10:44:50</t>
  </si>
  <si>
    <t>CL 75 SUR CR 57 -22 (INTERIOR 813 BQ 3 COSTA AZUL</t>
  </si>
  <si>
    <t>037515007000220813</t>
  </si>
  <si>
    <t>2025-12-03 10:44:50</t>
  </si>
  <si>
    <t>23597803</t>
  </si>
  <si>
    <t>24/11/2025 10:44:53</t>
  </si>
  <si>
    <t>2025-11-24 10:44:53</t>
  </si>
  <si>
    <t>CL 75 SUR CR 57 -22 (INTERIOR 1917 BQ 3 COSTA AZUL</t>
  </si>
  <si>
    <t>037515007000221917</t>
  </si>
  <si>
    <t>2025-12-03 10:44:53</t>
  </si>
  <si>
    <t>23597804</t>
  </si>
  <si>
    <t>CL 75 SUR CR 57 -22 (INTERIOR 2014 BQ 3 COSTA AZUL</t>
  </si>
  <si>
    <t>037515007000222014</t>
  </si>
  <si>
    <t>23597805</t>
  </si>
  <si>
    <t>24/11/2025 10:44:54</t>
  </si>
  <si>
    <t>2025-11-24 10:44:54</t>
  </si>
  <si>
    <t>CL 75 SUR CR 57 -22 (INTERIOR 814 BQ 3 COSTA AZUL</t>
  </si>
  <si>
    <t>037515007000220814</t>
  </si>
  <si>
    <t>2025-12-03 10:44:54</t>
  </si>
  <si>
    <t>23597806</t>
  </si>
  <si>
    <t>24/11/2025 10:44:57</t>
  </si>
  <si>
    <t>2025-11-24 10:44:57</t>
  </si>
  <si>
    <t>CL 75 SUR CR 57 -22 (INTERIOR 2513 BQ 3 COSTA AZUL</t>
  </si>
  <si>
    <t>037515007000222513</t>
  </si>
  <si>
    <t>2025-12-03 10:44:57</t>
  </si>
  <si>
    <t>23597807</t>
  </si>
  <si>
    <t>24/11/2025 10:45:02</t>
  </si>
  <si>
    <t>2025-11-24 10:45:02</t>
  </si>
  <si>
    <t>CL 75 SUR CR 57 -22 (INTERIOR 2516 BQ 3 COSTA AZUL</t>
  </si>
  <si>
    <t>037515007000222516</t>
  </si>
  <si>
    <t>2025-12-03 10:45:02</t>
  </si>
  <si>
    <t>23597808</t>
  </si>
  <si>
    <t>24/11/2025 10:45:04</t>
  </si>
  <si>
    <t>2025-11-24 10:45:04</t>
  </si>
  <si>
    <t>CL 75 SUR CR 57 -22 (INTERIOR 2416 BQ 3 COSTA AZUL</t>
  </si>
  <si>
    <t>037515007000222416</t>
  </si>
  <si>
    <t>2025-12-03 10:45:04</t>
  </si>
  <si>
    <t>23597809</t>
  </si>
  <si>
    <t>24/11/2025 10:45:06</t>
  </si>
  <si>
    <t>2025-11-24 10:45:06</t>
  </si>
  <si>
    <t>CL 75 SUR CR 57 -22 (INTERIOR 1915 BQ 3 COSTA AZUL</t>
  </si>
  <si>
    <t>037515007000221915</t>
  </si>
  <si>
    <t>2025-12-03 10:45:06</t>
  </si>
  <si>
    <t>23597810</t>
  </si>
  <si>
    <t>24/11/2025 10:45:09</t>
  </si>
  <si>
    <t>2025-11-24 10:45:09</t>
  </si>
  <si>
    <t>CL 75 SUR CR 57 -22 (INTERIOR 1414 BQ 3 COSTA AZUL</t>
  </si>
  <si>
    <t>037515007000221414</t>
  </si>
  <si>
    <t>2025-12-03 10:45:09</t>
  </si>
  <si>
    <t>1 días 10:50</t>
  </si>
  <si>
    <t>23597830</t>
  </si>
  <si>
    <t>24/11/2025 10:54:33</t>
  </si>
  <si>
    <t>2025-11-24 10:54:33</t>
  </si>
  <si>
    <t>LUZ ELENA DURANGO HOLGUIN</t>
  </si>
  <si>
    <t>3135863048</t>
  </si>
  <si>
    <t>CR 57 CL 40 -193 (INTERIOR 305 )</t>
  </si>
  <si>
    <t>074527000001930305</t>
  </si>
  <si>
    <t>2025-12-03 10:54:33</t>
  </si>
  <si>
    <t>23597833</t>
  </si>
  <si>
    <t>24/11/2025 10:56:00</t>
  </si>
  <si>
    <t>2025-11-24 10:56:00</t>
  </si>
  <si>
    <t>CL 75 SUR CR 57 -22 (INTERIOR 1913 BQ 3 COSTA AZUL</t>
  </si>
  <si>
    <t>037515007000221913</t>
  </si>
  <si>
    <t>2025-12-03 10:56:00</t>
  </si>
  <si>
    <t>23597834</t>
  </si>
  <si>
    <t>24/11/2025 10:56:01</t>
  </si>
  <si>
    <t>2025-11-24 10:56:01</t>
  </si>
  <si>
    <t>CL 75 SUR CR 57 -22 (INTERIOR 818 BQ 3 COSTA AZUL</t>
  </si>
  <si>
    <t>037515007000220818</t>
  </si>
  <si>
    <t>2025-12-03 10:56:01</t>
  </si>
  <si>
    <t>3 días 10:57</t>
  </si>
  <si>
    <t>23597842</t>
  </si>
  <si>
    <t>24/11/2025 10:57:47</t>
  </si>
  <si>
    <t>2025-11-24 10:57:47</t>
  </si>
  <si>
    <t>ANGELA MUNERA MUNERA</t>
  </si>
  <si>
    <t>3014572440</t>
  </si>
  <si>
    <t>CR 64 B CL 25 A -3 (INTERIOR 100 )</t>
  </si>
  <si>
    <t>072624205100030100</t>
  </si>
  <si>
    <t>2025-12-03 10:57:47</t>
  </si>
  <si>
    <t>23597845</t>
  </si>
  <si>
    <t>24/11/2025 10:58:41</t>
  </si>
  <si>
    <t>FREDY ALFONSO GOMEZ GOMEZ</t>
  </si>
  <si>
    <t>3108408586</t>
  </si>
  <si>
    <t>CR 19 CL 62 -30</t>
  </si>
  <si>
    <t>056129002000300000</t>
  </si>
  <si>
    <t>2025-12-05 10:58:41</t>
  </si>
  <si>
    <t>23597898</t>
  </si>
  <si>
    <t>24/11/2025 11:27:15</t>
  </si>
  <si>
    <t>2025-11-24 11:27:15</t>
  </si>
  <si>
    <t>ALEJANDRO HERNAN OCAMPO OCAMPO</t>
  </si>
  <si>
    <t>3246272504</t>
  </si>
  <si>
    <t>CL 56 AA CR 1 -44</t>
  </si>
  <si>
    <t>055016111000440000</t>
  </si>
  <si>
    <t>2025-12-05 11:27:15</t>
  </si>
  <si>
    <t>23597904</t>
  </si>
  <si>
    <t>24/11/2025 11:28:51</t>
  </si>
  <si>
    <t>2025-11-24 11:28:51</t>
  </si>
  <si>
    <t>2025-12-03 11:28:51</t>
  </si>
  <si>
    <t>4 días 11:28</t>
  </si>
  <si>
    <t>3 días 11:28</t>
  </si>
  <si>
    <t>23597917</t>
  </si>
  <si>
    <t>24/11/2025 11:33:10</t>
  </si>
  <si>
    <t>2025-11-24 11:33:10</t>
  </si>
  <si>
    <t>CL 75 SUR CR 57 -22 (INTERIOR 1315 BQ 3 COSTA AZUL</t>
  </si>
  <si>
    <t>037515007000221315</t>
  </si>
  <si>
    <t>2025-12-03 11:33:10</t>
  </si>
  <si>
    <t>23597918</t>
  </si>
  <si>
    <t>24/11/2025 11:33:13</t>
  </si>
  <si>
    <t>2025-11-24 11:33:13</t>
  </si>
  <si>
    <t>CL 75 SUR CR 57 -22 (INTERIOR 1116 BQ 3 COSTA AZUL</t>
  </si>
  <si>
    <t>037515007000221116</t>
  </si>
  <si>
    <t>2025-12-03 11:33:13</t>
  </si>
  <si>
    <t>23597919</t>
  </si>
  <si>
    <t>24/11/2025 11:33:17</t>
  </si>
  <si>
    <t>2025-11-24 11:33:17</t>
  </si>
  <si>
    <t>CL 75 SUR CR 57 -22 (INTERIOR 2218 BQ 3 COSTAAZUL</t>
  </si>
  <si>
    <t>037515007000222218</t>
  </si>
  <si>
    <t>2025-12-03 11:33:17</t>
  </si>
  <si>
    <t>23597920</t>
  </si>
  <si>
    <t>24/11/2025 11:33:18</t>
  </si>
  <si>
    <t>2025-11-24 11:33:18</t>
  </si>
  <si>
    <t>CL 75 SUR CR 57 -22 (INTERIOR 816 BQ 3 COSTA AZUL</t>
  </si>
  <si>
    <t>037515007000220816</t>
  </si>
  <si>
    <t>2025-12-03 11:33:18</t>
  </si>
  <si>
    <t>23597921</t>
  </si>
  <si>
    <t>CL 75 SUR CR 57 -22 (INTERIOR 2313 BQ 3 COSTAAZUL</t>
  </si>
  <si>
    <t>037515007000222313</t>
  </si>
  <si>
    <t>23597922</t>
  </si>
  <si>
    <t>24/11/2025 11:33:22</t>
  </si>
  <si>
    <t>2025-11-24 11:33:22</t>
  </si>
  <si>
    <t>CL 75 SUR CR 57 -22 (INTERIOR 1117 BQ 3 COSTA AZUL</t>
  </si>
  <si>
    <t>037515007000221117</t>
  </si>
  <si>
    <t>2025-12-03 11:33:22</t>
  </si>
  <si>
    <t>23597923</t>
  </si>
  <si>
    <t>24/11/2025 11:33:23</t>
  </si>
  <si>
    <t>2025-11-24 11:33:23</t>
  </si>
  <si>
    <t>CL 75 SUR CR 57 -22 (INTERIOR 1118 BQ 3 COSTA AZUL</t>
  </si>
  <si>
    <t>037515007000221118</t>
  </si>
  <si>
    <t>2025-12-03 11:33:23</t>
  </si>
  <si>
    <t>6 días 11:58</t>
  </si>
  <si>
    <t>23597970</t>
  </si>
  <si>
    <t>24/11/2025 12:06:32</t>
  </si>
  <si>
    <t>2025-11-24 12:06:32</t>
  </si>
  <si>
    <t>ALEX ENRIQUE CUESTA CASARRUBIA</t>
  </si>
  <si>
    <t>5824531</t>
  </si>
  <si>
    <t>3147611560</t>
  </si>
  <si>
    <t>CL 50 FA SUR CR 63 C -21</t>
  </si>
  <si>
    <t>045610613300210000</t>
  </si>
  <si>
    <t>2025-12-05 12:06:32</t>
  </si>
  <si>
    <t>4 días 12:06</t>
  </si>
  <si>
    <t>23597975</t>
  </si>
  <si>
    <t>24/11/2025 12:12:43</t>
  </si>
  <si>
    <t>2025-11-24 12:12:43</t>
  </si>
  <si>
    <t>ANTONIO JOSE RODRIGUEZ CARDONA</t>
  </si>
  <si>
    <t>3016122713</t>
  </si>
  <si>
    <t>CL 34 AA CR 118 -77 (INTERIOR 201 )</t>
  </si>
  <si>
    <t>083114118000770201</t>
  </si>
  <si>
    <t>2025-12-03 12:12:43</t>
  </si>
  <si>
    <t>1 días 12:13</t>
  </si>
  <si>
    <t>23597993</t>
  </si>
  <si>
    <t>24/11/2025 12:34:14</t>
  </si>
  <si>
    <t>2025-11-24 12:34:14</t>
  </si>
  <si>
    <t>TIBERIO ALZATE VARGAS</t>
  </si>
  <si>
    <t>3108455366</t>
  </si>
  <si>
    <t>CR 80 AA CL 35 A -17</t>
  </si>
  <si>
    <t>053820115100170000</t>
  </si>
  <si>
    <t>2025-12-03 12:34:14</t>
  </si>
  <si>
    <t>23598000</t>
  </si>
  <si>
    <t>24/11/2025 12:40:59</t>
  </si>
  <si>
    <t>2025-11-24 12:40:59</t>
  </si>
  <si>
    <t>MARLENY DIAZ ARENAS</t>
  </si>
  <si>
    <t>5375199</t>
  </si>
  <si>
    <t>3207008969</t>
  </si>
  <si>
    <t>RURAL_159045843000000005_PROV.159045843000000000</t>
  </si>
  <si>
    <t>159045843000000005</t>
  </si>
  <si>
    <t>2025-12-09 12:40:59</t>
  </si>
  <si>
    <t>23598041</t>
  </si>
  <si>
    <t>24/11/2025 13:32:06</t>
  </si>
  <si>
    <t>2025-11-24 13:32:06</t>
  </si>
  <si>
    <t>LAURA CRISTINA GOMEZ OBREGON</t>
  </si>
  <si>
    <t>3172406715</t>
  </si>
  <si>
    <t>CL 38 SUR CR 82 -14 (INTERIOR 401 )</t>
  </si>
  <si>
    <t>043818002000140401</t>
  </si>
  <si>
    <t>2025-12-01 13:32:06</t>
  </si>
  <si>
    <t>23598080</t>
  </si>
  <si>
    <t>24/11/2025 14:12:43</t>
  </si>
  <si>
    <t>2025-11-24 14:12:43</t>
  </si>
  <si>
    <t>HERNANDO DE JESUS GUERRA RODRIGUEZ</t>
  </si>
  <si>
    <t>3164693628</t>
  </si>
  <si>
    <t>CR 33 CL 47 -14</t>
  </si>
  <si>
    <t>054323007000140000</t>
  </si>
  <si>
    <t>2025-12-05 14:12:43</t>
  </si>
  <si>
    <t>4 días 14:12</t>
  </si>
  <si>
    <t>0 días 14:30</t>
  </si>
  <si>
    <t>23598138</t>
  </si>
  <si>
    <t>24/11/2025 14:49:42</t>
  </si>
  <si>
    <t>2025-11-24 14:49:42</t>
  </si>
  <si>
    <t>MARQUEZA JOSEFA TORRENTE VEGA</t>
  </si>
  <si>
    <t>3106826356</t>
  </si>
  <si>
    <t>CR 116 CL 39 F -25</t>
  </si>
  <si>
    <t>083126009600250000</t>
  </si>
  <si>
    <t>2025-12-05 14:49:42</t>
  </si>
  <si>
    <t>4 días 14:49</t>
  </si>
  <si>
    <t>5 días 14:49</t>
  </si>
  <si>
    <t>3 días 14:54</t>
  </si>
  <si>
    <t>23598161</t>
  </si>
  <si>
    <t>24/11/2025 15:02:24</t>
  </si>
  <si>
    <t>2025-11-24 15:02:24</t>
  </si>
  <si>
    <t>CORPORACION BARRIO MANILA</t>
  </si>
  <si>
    <t>3104165784</t>
  </si>
  <si>
    <t>CL 13 CR 43 E -</t>
  </si>
  <si>
    <t>051413003500000000</t>
  </si>
  <si>
    <t>2025-12-05 15:02:24</t>
  </si>
  <si>
    <t>4 días 15:02</t>
  </si>
  <si>
    <t>5 días 15:02</t>
  </si>
  <si>
    <t>3 días 15:36</t>
  </si>
  <si>
    <t>23598228</t>
  </si>
  <si>
    <t>24/11/2025 15:40:55</t>
  </si>
  <si>
    <t>2025-11-24 15:40:55</t>
  </si>
  <si>
    <t>SONIA YOLANDA LOPEZ TOBON</t>
  </si>
  <si>
    <t>CL 41 CR 42 A -80</t>
  </si>
  <si>
    <t>054411002100800000</t>
  </si>
  <si>
    <t>2025-11-28 15:40:55</t>
  </si>
  <si>
    <t>23598253</t>
  </si>
  <si>
    <t>24/11/2025 15:50:20</t>
  </si>
  <si>
    <t>2025-11-24 15:50:20</t>
  </si>
  <si>
    <t>OSCAR ANTONIO HICAPIE MUÑOZ</t>
  </si>
  <si>
    <t>3147373400</t>
  </si>
  <si>
    <t>CR 24 C CL 41 SUR -0 (INTERIOR 138 )</t>
  </si>
  <si>
    <t>024224301000000138</t>
  </si>
  <si>
    <t>2025-12-03 15:50:20</t>
  </si>
  <si>
    <t>4 días 15:50</t>
  </si>
  <si>
    <t>23598261</t>
  </si>
  <si>
    <t>24/11/2025 15:55:59</t>
  </si>
  <si>
    <t>2025-11-24 15:55:59</t>
  </si>
  <si>
    <t>CL 63 A CR 46 -50 (INTERIOR 201 )</t>
  </si>
  <si>
    <t>056413106000500201</t>
  </si>
  <si>
    <t>2025-12-03 15:55:59</t>
  </si>
  <si>
    <t>23598271</t>
  </si>
  <si>
    <t>24/11/2025 16:00:16</t>
  </si>
  <si>
    <t>2025-11-24 16:00:16</t>
  </si>
  <si>
    <t>ADOLFO LEON DE JESUS MALDONADO PIEDRAHITA</t>
  </si>
  <si>
    <t>4445842</t>
  </si>
  <si>
    <t>3044965188</t>
  </si>
  <si>
    <t>CR 50 C CL 10 SUR -141 (INTERIOR 102 )</t>
  </si>
  <si>
    <t>041520300001410102</t>
  </si>
  <si>
    <t>2025-12-03 16:00:16</t>
  </si>
  <si>
    <t>23598283</t>
  </si>
  <si>
    <t>24/11/2025 16:10:47</t>
  </si>
  <si>
    <t>2025-11-24 16:10:47</t>
  </si>
  <si>
    <t>CONSORCIO ECOCALERA</t>
  </si>
  <si>
    <t>3148295285</t>
  </si>
  <si>
    <t>CR 17 CL 2 -161 (INTERIOR 5 )</t>
  </si>
  <si>
    <t>050127002001610005</t>
  </si>
  <si>
    <t>2025-12-03 16:10:47</t>
  </si>
  <si>
    <t>4 días 16:17</t>
  </si>
  <si>
    <t>23598369</t>
  </si>
  <si>
    <t>24/11/2025 17:02:56</t>
  </si>
  <si>
    <t>2025-11-24 17:02:56</t>
  </si>
  <si>
    <t>CESAR AUGUSTO OCAMPO LOPEZ</t>
  </si>
  <si>
    <t>5054278</t>
  </si>
  <si>
    <t>DIAG 31 D TRAN 32 SUR -41 (INTERIOR 3 )</t>
  </si>
  <si>
    <t>023371402000410003</t>
  </si>
  <si>
    <t>2025-12-03 17:02:56</t>
  </si>
  <si>
    <t>23598373</t>
  </si>
  <si>
    <t>24/11/2025 17:05:16</t>
  </si>
  <si>
    <t>2025-11-24 17:05:16</t>
  </si>
  <si>
    <t>CL 63 A CR 46 -50 (INTERIOR 101 )</t>
  </si>
  <si>
    <t>056413106000500101</t>
  </si>
  <si>
    <t>2025-12-03 17:05:16</t>
  </si>
  <si>
    <t>23598379</t>
  </si>
  <si>
    <t>24/11/2025 17:08:34</t>
  </si>
  <si>
    <t>2025-11-24 17:08:34</t>
  </si>
  <si>
    <t>MARIA CATALINA DAVID MANCO</t>
  </si>
  <si>
    <t>3011370881</t>
  </si>
  <si>
    <t>RURAL_163001610000000001</t>
  </si>
  <si>
    <t>163001610000000001</t>
  </si>
  <si>
    <t>2025-12-09 17:08:34</t>
  </si>
  <si>
    <t>4 días 17:08</t>
  </si>
  <si>
    <t>4032000</t>
  </si>
  <si>
    <t>3136803626</t>
  </si>
  <si>
    <t>YERMAN ANDRES PALACIOS MOSQUERA</t>
  </si>
  <si>
    <t>2847580</t>
  </si>
  <si>
    <t>3218527147</t>
  </si>
  <si>
    <t>23598630</t>
  </si>
  <si>
    <t>25/11/2025 06:56:57</t>
  </si>
  <si>
    <t>2025-11-25 06:56:57</t>
  </si>
  <si>
    <t>MARIA ELIZABETH COLORADO BAENA</t>
  </si>
  <si>
    <t>3006555166</t>
  </si>
  <si>
    <t>RURAL_190130200700930000_SALINAS</t>
  </si>
  <si>
    <t>190130200700930000</t>
  </si>
  <si>
    <t>2025-12-16 06:56:57</t>
  </si>
  <si>
    <t>23598639</t>
  </si>
  <si>
    <t>25/11/2025 07:12:19</t>
  </si>
  <si>
    <t>2025-11-25 07:12:19</t>
  </si>
  <si>
    <t>ELKIN ARTURO MEJIA ZEA</t>
  </si>
  <si>
    <t>CL 41 CR 77 -75 (INTERIOR 601 )</t>
  </si>
  <si>
    <t>054711007000750601</t>
  </si>
  <si>
    <t>2025-12-04 07:12:19</t>
  </si>
  <si>
    <t>3 días 07:12</t>
  </si>
  <si>
    <t>4 días 07:12</t>
  </si>
  <si>
    <t>23598640</t>
  </si>
  <si>
    <t>25/11/2025 07:13:28</t>
  </si>
  <si>
    <t>2025-11-25 07:13:28</t>
  </si>
  <si>
    <t>CL 41 CR 77 -75 (INTERIOR 501 )</t>
  </si>
  <si>
    <t>054711007000750501</t>
  </si>
  <si>
    <t>2025-12-04 07:13:28</t>
  </si>
  <si>
    <t>3 días 07:13</t>
  </si>
  <si>
    <t>4 días 07:13</t>
  </si>
  <si>
    <t>23598642</t>
  </si>
  <si>
    <t>25/11/2025 07:13:53</t>
  </si>
  <si>
    <t>2025-11-25 07:13:53</t>
  </si>
  <si>
    <t>CL 41 CR 77 -75 (INTERIOR 401 )</t>
  </si>
  <si>
    <t>054711007000750401</t>
  </si>
  <si>
    <t>2025-12-04 07:13:53</t>
  </si>
  <si>
    <t>23598646</t>
  </si>
  <si>
    <t>25/11/2025 07:15:00</t>
  </si>
  <si>
    <t>2025-11-25 07:15:00</t>
  </si>
  <si>
    <t>CL 41 CR 77 -75 (INTERIOR 301 )</t>
  </si>
  <si>
    <t>054711007000750301</t>
  </si>
  <si>
    <t>2025-12-04 07:15:00</t>
  </si>
  <si>
    <t>3 días 07:15</t>
  </si>
  <si>
    <t>23598649</t>
  </si>
  <si>
    <t>25/11/2025 07:19:37</t>
  </si>
  <si>
    <t>2025-11-25 07:19:37</t>
  </si>
  <si>
    <t>CL 41 CR 77 -75 (INTERIOR 201 )</t>
  </si>
  <si>
    <t>054711007000750201</t>
  </si>
  <si>
    <t>2025-12-04 07:19:37</t>
  </si>
  <si>
    <t>3 días 07:19</t>
  </si>
  <si>
    <t>4 días 07:19</t>
  </si>
  <si>
    <t>2 días 08:26</t>
  </si>
  <si>
    <t>23598744</t>
  </si>
  <si>
    <t>25/11/2025 08:42:56</t>
  </si>
  <si>
    <t>2025-11-25 08:42:56</t>
  </si>
  <si>
    <t>JOSSEPH EDWIN HERNANDEZ SANCHEZ</t>
  </si>
  <si>
    <t>3015127392</t>
  </si>
  <si>
    <t>CL 61 CR 126 -31</t>
  </si>
  <si>
    <t>086211006000310000</t>
  </si>
  <si>
    <t>2025-12-09 08:42:56</t>
  </si>
  <si>
    <t>1 días 08:46</t>
  </si>
  <si>
    <t>1 días 09:20</t>
  </si>
  <si>
    <t>23598832</t>
  </si>
  <si>
    <t>25/11/2025 09:26:35</t>
  </si>
  <si>
    <t>2025-11-25 09:26:35</t>
  </si>
  <si>
    <t>JMMA CONSTRUCCIONES</t>
  </si>
  <si>
    <t>3143483907</t>
  </si>
  <si>
    <t>CR 27 CL 36 A SUR -70</t>
  </si>
  <si>
    <t>023227006100700000</t>
  </si>
  <si>
    <t>2025-12-04 09:26:35</t>
  </si>
  <si>
    <t>23598836</t>
  </si>
  <si>
    <t>25/11/2025 09:29:15</t>
  </si>
  <si>
    <t>2025-11-25 09:29:16</t>
  </si>
  <si>
    <t>CARLOS ANDRES RODRIGUEZ PEREZ</t>
  </si>
  <si>
    <t>3016600799</t>
  </si>
  <si>
    <t>CR 76 CL 19 -6 (INTERIOR 301 )</t>
  </si>
  <si>
    <t>051726009000060301</t>
  </si>
  <si>
    <t>2025-12-04 09:29:16</t>
  </si>
  <si>
    <t>4 días 09:29</t>
  </si>
  <si>
    <t>23598849</t>
  </si>
  <si>
    <t>25/11/2025 09:35:07</t>
  </si>
  <si>
    <t>2025-11-25 15:26:34</t>
  </si>
  <si>
    <t>LUZ HELENA CANO</t>
  </si>
  <si>
    <t>3246542204</t>
  </si>
  <si>
    <t>CR 23 CL 56 HC -6 (INTERIOR 2000 )</t>
  </si>
  <si>
    <t>055223006830062000</t>
  </si>
  <si>
    <t>2025-12-02 15:26:34</t>
  </si>
  <si>
    <t>23598879</t>
  </si>
  <si>
    <t>25/11/2025 09:50:53</t>
  </si>
  <si>
    <t>2025-11-25 09:50:53</t>
  </si>
  <si>
    <t>3012699491</t>
  </si>
  <si>
    <t>CR 43 A CL 25 SUR -41</t>
  </si>
  <si>
    <t>022423105000410000</t>
  </si>
  <si>
    <t>2025-12-01 09:50:53</t>
  </si>
  <si>
    <t>23598880</t>
  </si>
  <si>
    <t>25/11/2025 09:50:56</t>
  </si>
  <si>
    <t>2025-11-25 09:50:56</t>
  </si>
  <si>
    <t>RAMIRO ALONSO SALAZAR ARROYAVE</t>
  </si>
  <si>
    <t>3036413</t>
  </si>
  <si>
    <t>3128372753</t>
  </si>
  <si>
    <t>RURAL_159119166000000402_RURAL BARRIO LA FRANCIA</t>
  </si>
  <si>
    <t>159119166000000402</t>
  </si>
  <si>
    <t>2025-12-10 09:50:56</t>
  </si>
  <si>
    <t>23598885</t>
  </si>
  <si>
    <t>25/11/2025 09:54:15</t>
  </si>
  <si>
    <t>2025-11-25 09:54:15</t>
  </si>
  <si>
    <t>INVERSIONES TODO DROGAS</t>
  </si>
  <si>
    <t>4547239</t>
  </si>
  <si>
    <t>CR 48 CL 49 -45</t>
  </si>
  <si>
    <t>054428009000450000</t>
  </si>
  <si>
    <t>2025-12-01 09:54:15</t>
  </si>
  <si>
    <t>1 días 09:54</t>
  </si>
  <si>
    <t>23598886</t>
  </si>
  <si>
    <t>25/11/2025 09:54:40</t>
  </si>
  <si>
    <t>2025-11-25 09:54:40</t>
  </si>
  <si>
    <t>MARIA EDILMA OSORIO ROJAS</t>
  </si>
  <si>
    <t>6120570</t>
  </si>
  <si>
    <t>3103798536</t>
  </si>
  <si>
    <t>CL 128 SUR CR 40 -191 (INTERIOR 102 )</t>
  </si>
  <si>
    <t>042418000001910102</t>
  </si>
  <si>
    <t>2025-12-02 09:54:40</t>
  </si>
  <si>
    <t>23598909</t>
  </si>
  <si>
    <t>25/11/2025 10:06:39</t>
  </si>
  <si>
    <t>2025-11-25 10:06:39</t>
  </si>
  <si>
    <t>CL 54 CR 50 -86</t>
  </si>
  <si>
    <t>055514000000860000</t>
  </si>
  <si>
    <t>2025-12-01 10:06:39</t>
  </si>
  <si>
    <t>23598919</t>
  </si>
  <si>
    <t>25/11/2025 10:09:11</t>
  </si>
  <si>
    <t>2025-11-25 10:09:11</t>
  </si>
  <si>
    <t>KELLY CAROLINA RODRIGUEZ MUÑOZ</t>
  </si>
  <si>
    <t>3014090599</t>
  </si>
  <si>
    <t>CL 57 B CR 23 -85</t>
  </si>
  <si>
    <t>055217203000850000-ENEPRE</t>
  </si>
  <si>
    <t>2025-12-11 10:09:11</t>
  </si>
  <si>
    <t>3 días 10:09</t>
  </si>
  <si>
    <t>23598924</t>
  </si>
  <si>
    <t>25/11/2025 10:11:42</t>
  </si>
  <si>
    <t>2025-11-25 10:11:42</t>
  </si>
  <si>
    <t>AMANDA DEL SOCORRO ABREU AGUDELO</t>
  </si>
  <si>
    <t>3632336</t>
  </si>
  <si>
    <t>3206718777</t>
  </si>
  <si>
    <t>CL 10 CR 52 -70 (INTERIOR 7000 )</t>
  </si>
  <si>
    <t>051510002000707000-ENEPRE</t>
  </si>
  <si>
    <t>2025-12-11 10:11:42</t>
  </si>
  <si>
    <t>3 días 10:11</t>
  </si>
  <si>
    <t>23598927</t>
  </si>
  <si>
    <t>25/11/2025 10:12:18</t>
  </si>
  <si>
    <t>2025-11-25 10:12:18</t>
  </si>
  <si>
    <t>RURAL_126009500000000023</t>
  </si>
  <si>
    <t>126009500000000023</t>
  </si>
  <si>
    <t>2025-12-01 10:12:18</t>
  </si>
  <si>
    <t>23598934</t>
  </si>
  <si>
    <t>25/11/2025 10:16:31</t>
  </si>
  <si>
    <t>2025-11-25 10:16:31</t>
  </si>
  <si>
    <t>CL 39 SUR CR 48 -180 (INTERIOR 2 )</t>
  </si>
  <si>
    <t>023419008001800002</t>
  </si>
  <si>
    <t>2025-12-04 10:16:31</t>
  </si>
  <si>
    <t>3 días 10:16</t>
  </si>
  <si>
    <t>4 días 10:16</t>
  </si>
  <si>
    <t>23598935</t>
  </si>
  <si>
    <t>25/11/2025 10:17:24</t>
  </si>
  <si>
    <t>2025-11-25 10:17:24</t>
  </si>
  <si>
    <t>CL 39 SUR CR 48 -180 (INTERIOR 3 )</t>
  </si>
  <si>
    <t>023419008001800003</t>
  </si>
  <si>
    <t>2025-12-04 10:17:24</t>
  </si>
  <si>
    <t>3 días 10:17</t>
  </si>
  <si>
    <t>3 días 10:32</t>
  </si>
  <si>
    <t>1 días 10:32</t>
  </si>
  <si>
    <t>23598957</t>
  </si>
  <si>
    <t>25/11/2025 10:36:07</t>
  </si>
  <si>
    <t>2025-11-25 10:36:07</t>
  </si>
  <si>
    <t>MONICA MARIA RAMIEZ RAMIREZ</t>
  </si>
  <si>
    <t>3013770772</t>
  </si>
  <si>
    <t>CL 59 CR 65 -64 (INTERIOR 202 )</t>
  </si>
  <si>
    <t>055619005000640202</t>
  </si>
  <si>
    <t>2025-12-11 10:36:07</t>
  </si>
  <si>
    <t>3 días 10:36</t>
  </si>
  <si>
    <t>8 días 10:36</t>
  </si>
  <si>
    <t>23598960</t>
  </si>
  <si>
    <t>25/11/2025 10:39:35</t>
  </si>
  <si>
    <t>2025-11-25 10:39:35</t>
  </si>
  <si>
    <t>CATALINA MARIA ALVAREZ HERRERA</t>
  </si>
  <si>
    <t>3555100</t>
  </si>
  <si>
    <t>3006559655</t>
  </si>
  <si>
    <t>RURAL_125004766200000110</t>
  </si>
  <si>
    <t>125004766200000110</t>
  </si>
  <si>
    <t>2025-12-01 10:39:35</t>
  </si>
  <si>
    <t>3 días 10:39</t>
  </si>
  <si>
    <t>1 días 10:39</t>
  </si>
  <si>
    <t>23599038</t>
  </si>
  <si>
    <t>25/11/2025 11:26:07</t>
  </si>
  <si>
    <t>2025-11-25 11:26:07</t>
  </si>
  <si>
    <t>TERRAH SAS</t>
  </si>
  <si>
    <t>3118500</t>
  </si>
  <si>
    <t>3104706701</t>
  </si>
  <si>
    <t>CL 77 SUR CR 34 -82 (INTERIOR 709 BQ 2 )</t>
  </si>
  <si>
    <t>017317004000820709</t>
  </si>
  <si>
    <t>2025-12-04 11:26:07</t>
  </si>
  <si>
    <t>3 días 11:26</t>
  </si>
  <si>
    <t>4 días 11:26</t>
  </si>
  <si>
    <t>23599039</t>
  </si>
  <si>
    <t>25/11/2025 11:26:06</t>
  </si>
  <si>
    <t>2025-11-25 11:26:06</t>
  </si>
  <si>
    <t>CL 77 SUR CR 34 -82 (INTERIOR 615 BQ 2 )</t>
  </si>
  <si>
    <t>017317004000820615</t>
  </si>
  <si>
    <t>2025-12-04 11:26:06</t>
  </si>
  <si>
    <t>23599040</t>
  </si>
  <si>
    <t>25/11/2025 11:26:10</t>
  </si>
  <si>
    <t>2025-11-25 11:26:10</t>
  </si>
  <si>
    <t>CL 77 SUR CR 34 -82 (INTERIOR 1415 BQ 2 )</t>
  </si>
  <si>
    <t>017317004000821415</t>
  </si>
  <si>
    <t>2025-12-04 11:26:10</t>
  </si>
  <si>
    <t>23599041</t>
  </si>
  <si>
    <t>25/11/2025 11:26:11</t>
  </si>
  <si>
    <t>2025-11-25 11:26:11</t>
  </si>
  <si>
    <t>CL 77 SUR CR 34 -82 (INTERIOR 1713 BQ 2 )</t>
  </si>
  <si>
    <t>017317004000821713</t>
  </si>
  <si>
    <t>2025-12-04 11:26:11</t>
  </si>
  <si>
    <t>23599042</t>
  </si>
  <si>
    <t>CL 77 SUR CR 34 -82 (INTERIOR 811 BQ 2 )</t>
  </si>
  <si>
    <t>017317004000820811</t>
  </si>
  <si>
    <t>23599043</t>
  </si>
  <si>
    <t>25/11/2025 11:26:12</t>
  </si>
  <si>
    <t>2025-11-25 11:26:12</t>
  </si>
  <si>
    <t>CL 77 SUR CR 34 -82 (INTERIOR 2015 BQ 2 )</t>
  </si>
  <si>
    <t>017317004000822015</t>
  </si>
  <si>
    <t>2025-12-04 11:26:12</t>
  </si>
  <si>
    <t>23599044</t>
  </si>
  <si>
    <t>CL 77 SUR CR 34 -82 (INTERIOR 2212 BQ 2 )</t>
  </si>
  <si>
    <t>017317004000822212</t>
  </si>
  <si>
    <t>23599045</t>
  </si>
  <si>
    <t>25/11/2025 11:26:19</t>
  </si>
  <si>
    <t>2025-11-25 11:26:19</t>
  </si>
  <si>
    <t>CL 77 SUR CR 34 -82 (INTERIOR 1912 BQ 2 )</t>
  </si>
  <si>
    <t>017317004000821912</t>
  </si>
  <si>
    <t>2025-12-04 11:26:19</t>
  </si>
  <si>
    <t>23599046</t>
  </si>
  <si>
    <t>25/11/2025 11:26:20</t>
  </si>
  <si>
    <t>2025-11-25 11:26:20</t>
  </si>
  <si>
    <t>CL 77 SUR CR 34 -82 (INTERIOR 2215 BQ 2 )</t>
  </si>
  <si>
    <t>017317004000822215</t>
  </si>
  <si>
    <t>2025-12-04 11:26:20</t>
  </si>
  <si>
    <t>23599047</t>
  </si>
  <si>
    <t>CL 77 SUR CR 34 -82 (INTERIOR 2109 BQ 2 )</t>
  </si>
  <si>
    <t>017317004000822109</t>
  </si>
  <si>
    <t>23599048</t>
  </si>
  <si>
    <t>CL 77 SUR CR 34 -82 (INTERIOR 2114 BQ 2 )</t>
  </si>
  <si>
    <t>017317004000822114</t>
  </si>
  <si>
    <t>23599051</t>
  </si>
  <si>
    <t>25/11/2025 11:27:14</t>
  </si>
  <si>
    <t>2025-11-25 11:27:14</t>
  </si>
  <si>
    <t>CL 77 SUR CR 34 -82 (INTERIOR 2113 BQ 2 )</t>
  </si>
  <si>
    <t>017317004000822113</t>
  </si>
  <si>
    <t>2025-12-04 11:27:14</t>
  </si>
  <si>
    <t>3 días 11:27</t>
  </si>
  <si>
    <t>23599052</t>
  </si>
  <si>
    <t>25/11/2025 11:27:15</t>
  </si>
  <si>
    <t>2025-11-25 11:27:15</t>
  </si>
  <si>
    <t>CL 77 SUR CR 34 -82 (INTERIOR 613 BQ 2 )</t>
  </si>
  <si>
    <t>017317004000820613</t>
  </si>
  <si>
    <t>2025-12-04 11:27:15</t>
  </si>
  <si>
    <t>23599053</t>
  </si>
  <si>
    <t>CL 77 SUR CR 34 -82 (INTERIOR 2110 BQ 2 )</t>
  </si>
  <si>
    <t>017317004000822110</t>
  </si>
  <si>
    <t>23599054</t>
  </si>
  <si>
    <t>2025-11-25 11:27:16</t>
  </si>
  <si>
    <t>CL 77 SUR CR 34 -82 (INTERIOR 1910 BQ 2 )</t>
  </si>
  <si>
    <t>017317004000821910</t>
  </si>
  <si>
    <t>2025-12-04 11:27:16</t>
  </si>
  <si>
    <t>23599055</t>
  </si>
  <si>
    <t>25/11/2025 11:27:16</t>
  </si>
  <si>
    <t>CL 77 SUR CR 34 -82 (INTERIOR 612 BQ 2 )</t>
  </si>
  <si>
    <t>017317004000820612</t>
  </si>
  <si>
    <t>23599056</t>
  </si>
  <si>
    <t>CL 77 SUR CR 34 -82 (INTERIOR 1712 BQ 2 )</t>
  </si>
  <si>
    <t>017317004000821712</t>
  </si>
  <si>
    <t>23599057</t>
  </si>
  <si>
    <t>25/11/2025 11:27:17</t>
  </si>
  <si>
    <t>2025-11-25 11:27:17</t>
  </si>
  <si>
    <t>CL 77 SUR CR 34 -82 (INTERIOR 1915 BQ 2 )</t>
  </si>
  <si>
    <t>017317004000821915</t>
  </si>
  <si>
    <t>2025-12-04 11:27:17</t>
  </si>
  <si>
    <t>23599058</t>
  </si>
  <si>
    <t>25/11/2025 11:27:18</t>
  </si>
  <si>
    <t>2025-11-25 11:27:18</t>
  </si>
  <si>
    <t>CL 77 SUR CR 34 -82 (INTERIOR 1812 BQ 2 )</t>
  </si>
  <si>
    <t>017317004000821812</t>
  </si>
  <si>
    <t>2025-12-04 11:27:18</t>
  </si>
  <si>
    <t>23599059</t>
  </si>
  <si>
    <t>25/11/2025 11:27:20</t>
  </si>
  <si>
    <t>2025-11-25 11:27:20</t>
  </si>
  <si>
    <t>CL 77 SUR CR 34 -82 (INTERIOR 2112 BQ 2 )</t>
  </si>
  <si>
    <t>017317004000822112</t>
  </si>
  <si>
    <t>2025-12-04 11:27:20</t>
  </si>
  <si>
    <t>23599060</t>
  </si>
  <si>
    <t>CL 77 SUR CR 34 -82 (INTERIOR 1813 BQ 2 )</t>
  </si>
  <si>
    <t>017317004000821813</t>
  </si>
  <si>
    <t>23599061</t>
  </si>
  <si>
    <t>25/11/2025 11:27:23</t>
  </si>
  <si>
    <t>2025-11-25 11:27:23</t>
  </si>
  <si>
    <t>CL 77 SUR CR 34 -82 (INTERIOR 1916 BQ 2 )</t>
  </si>
  <si>
    <t>017317004000821916</t>
  </si>
  <si>
    <t>2025-12-04 11:27:23</t>
  </si>
  <si>
    <t>23599062</t>
  </si>
  <si>
    <t>CL 77 SUR CR 34 -82 (INTERIOR 1216 BQ 2 )</t>
  </si>
  <si>
    <t>017317004000821216</t>
  </si>
  <si>
    <t>23599063</t>
  </si>
  <si>
    <t>25/11/2025 11:27:22</t>
  </si>
  <si>
    <t>2025-11-25 11:27:22</t>
  </si>
  <si>
    <t>CL 77 SUR CR 34 -82 (INTERIOR 2016 BQ 2 )</t>
  </si>
  <si>
    <t>017317004000822016</t>
  </si>
  <si>
    <t>2025-12-04 11:27:22</t>
  </si>
  <si>
    <t>23599064</t>
  </si>
  <si>
    <t>CL 77 SUR CR 34 -82 (INTERIOR 1213 BQ 2 )</t>
  </si>
  <si>
    <t>017317004000821213</t>
  </si>
  <si>
    <t>23599065</t>
  </si>
  <si>
    <t>25/11/2025 11:27:24</t>
  </si>
  <si>
    <t>2025-11-25 11:27:24</t>
  </si>
  <si>
    <t>CL 77 SUR CR 34 -82 (INTERIOR 1212 BQ 2 )</t>
  </si>
  <si>
    <t>017317004000821212</t>
  </si>
  <si>
    <t>2025-12-04 11:27:24</t>
  </si>
  <si>
    <t>23599066</t>
  </si>
  <si>
    <t>CL 77 SUR CR 34 -82 (INTERIOR 1715 BQ 2 )</t>
  </si>
  <si>
    <t>017317004000821715</t>
  </si>
  <si>
    <t>23599067</t>
  </si>
  <si>
    <t>CL 77 SUR CR 34 -82 (INTERIOR 1913 BQ 2 )</t>
  </si>
  <si>
    <t>017317004000821913</t>
  </si>
  <si>
    <t>23599068</t>
  </si>
  <si>
    <t>CL 77 SUR CR 34 -82 (INTERIOR 1816 BQ 2 )</t>
  </si>
  <si>
    <t>017317004000821816</t>
  </si>
  <si>
    <t>23599069</t>
  </si>
  <si>
    <t>CL 77 SUR CR 34 -82 (INTERIOR 1809 BQ 2 )</t>
  </si>
  <si>
    <t>017317004000821809</t>
  </si>
  <si>
    <t>23599070</t>
  </si>
  <si>
    <t>CL 77 SUR CR 34 -82 (INTERIOR 1914 BQ 2 )</t>
  </si>
  <si>
    <t>017317004000821914</t>
  </si>
  <si>
    <t>23599071</t>
  </si>
  <si>
    <t>25/11/2025 11:27:25</t>
  </si>
  <si>
    <t>2025-11-25 11:27:25</t>
  </si>
  <si>
    <t>CL 77 SUR CR 34 -82 (INTERIOR 1509 BQ 2 )</t>
  </si>
  <si>
    <t>017317004000821509</t>
  </si>
  <si>
    <t>2025-12-04 11:27:25</t>
  </si>
  <si>
    <t>23599072</t>
  </si>
  <si>
    <t>CL 77 SUR CR 34 -82 (INTERIOR 1416 BQ 2 )</t>
  </si>
  <si>
    <t>017317004000821416</t>
  </si>
  <si>
    <t>23599073</t>
  </si>
  <si>
    <t>25/11/2025 11:27:26</t>
  </si>
  <si>
    <t>2025-11-25 11:27:26</t>
  </si>
  <si>
    <t>CL 77 SUR CR 34 -82 (INTERIOR 1811 BQ 2 )</t>
  </si>
  <si>
    <t>017317004000821811</t>
  </si>
  <si>
    <t>2025-12-04 11:27:26</t>
  </si>
  <si>
    <t>23599074</t>
  </si>
  <si>
    <t>CL 77 SUR CR 34 -82 (INTERIOR 1214 BQ 2 )</t>
  </si>
  <si>
    <t>017317004000821214</t>
  </si>
  <si>
    <t>23599075</t>
  </si>
  <si>
    <t>25/11/2025 11:27:27</t>
  </si>
  <si>
    <t>2025-11-25 11:27:27</t>
  </si>
  <si>
    <t>CL 77 SUR CR 34 -82 (INTERIOR 2010 BQ 2 )</t>
  </si>
  <si>
    <t>017317004000822010</t>
  </si>
  <si>
    <t>2025-12-04 11:27:27</t>
  </si>
  <si>
    <t>23599076</t>
  </si>
  <si>
    <t>25/11/2025 11:27:28</t>
  </si>
  <si>
    <t>2025-11-25 11:27:28</t>
  </si>
  <si>
    <t>CL 77 SUR CR 34 -82 (INTERIOR 1909 BQ 2 )</t>
  </si>
  <si>
    <t>017317004000821909</t>
  </si>
  <si>
    <t>2025-12-04 11:27:28</t>
  </si>
  <si>
    <t>23599077</t>
  </si>
  <si>
    <t>CL 77 SUR CR 34 -82 (INTERIOR 2012 BQ 2 )</t>
  </si>
  <si>
    <t>017317004000822012</t>
  </si>
  <si>
    <t>23599078</t>
  </si>
  <si>
    <t>25/11/2025 11:27:29</t>
  </si>
  <si>
    <t>2025-11-25 11:27:29</t>
  </si>
  <si>
    <t>CL 77 SUR CR 34 -82 (INTERIOR 1210 BQ 2 )</t>
  </si>
  <si>
    <t>017317004000821210</t>
  </si>
  <si>
    <t>2025-12-04 11:27:29</t>
  </si>
  <si>
    <t>23599079</t>
  </si>
  <si>
    <t>CL 77 SUR CR 34 -82 (INTERIOR 1810 BQ 2 )</t>
  </si>
  <si>
    <t>017317004000821810</t>
  </si>
  <si>
    <t>23599080</t>
  </si>
  <si>
    <t>25/11/2025 11:27:31</t>
  </si>
  <si>
    <t>2025-11-25 11:27:31</t>
  </si>
  <si>
    <t>CL 77 SUR CR 34 -82 (INTERIOR 1716 BQ 2 )</t>
  </si>
  <si>
    <t>017317004000821716</t>
  </si>
  <si>
    <t>2025-12-04 11:27:31</t>
  </si>
  <si>
    <t>23599081</t>
  </si>
  <si>
    <t>25/11/2025 11:27:30</t>
  </si>
  <si>
    <t>2025-11-25 11:27:30</t>
  </si>
  <si>
    <t>CL 77 SUR CR 34 -82 (INTERIOR 2009 BQ 2 )</t>
  </si>
  <si>
    <t>017317004000822009</t>
  </si>
  <si>
    <t>2025-12-04 11:27:30</t>
  </si>
  <si>
    <t>23599082</t>
  </si>
  <si>
    <t>CL 77 SUR CR 34 -82 (INTERIOR 1309 BQ 2 )</t>
  </si>
  <si>
    <t>017317004000821309</t>
  </si>
  <si>
    <t>23599083</t>
  </si>
  <si>
    <t>25/11/2025 11:27:32</t>
  </si>
  <si>
    <t>2025-11-25 11:27:32</t>
  </si>
  <si>
    <t>CL 77 SUR CR 34 -82 (INTERIOR 1714 BQ 2 )</t>
  </si>
  <si>
    <t>017317004000821714</t>
  </si>
  <si>
    <t>2025-12-04 11:27:32</t>
  </si>
  <si>
    <t>23599084</t>
  </si>
  <si>
    <t>25/11/2025 11:27:34</t>
  </si>
  <si>
    <t>2025-11-25 11:27:34</t>
  </si>
  <si>
    <t>CL 77 SUR CR 34 -82 (INTERIOR 509 BQ 2 )</t>
  </si>
  <si>
    <t>017317004000820509</t>
  </si>
  <si>
    <t>2025-12-04 11:27:34</t>
  </si>
  <si>
    <t>23599085</t>
  </si>
  <si>
    <t>CL 77 SUR CR 34 -82 (INTERIOR 2011 BQ 2 )</t>
  </si>
  <si>
    <t>017317004000822011</t>
  </si>
  <si>
    <t>23599086</t>
  </si>
  <si>
    <t>25/11/2025 11:27:35</t>
  </si>
  <si>
    <t>2025-11-25 11:27:35</t>
  </si>
  <si>
    <t>CL 77 SUR CR 34 -82 (INTERIOR 614 BQ 2 )</t>
  </si>
  <si>
    <t>017317004000820614</t>
  </si>
  <si>
    <t>2025-12-04 11:27:35</t>
  </si>
  <si>
    <t>23599087</t>
  </si>
  <si>
    <t>25/11/2025 11:27:36</t>
  </si>
  <si>
    <t>2025-11-25 11:27:36</t>
  </si>
  <si>
    <t>CL 77 SUR CR 34 -82 (INTERIOR 2310 BQ 2 )</t>
  </si>
  <si>
    <t>017317004000822310</t>
  </si>
  <si>
    <t>2025-12-04 11:27:36</t>
  </si>
  <si>
    <t>23599088</t>
  </si>
  <si>
    <t>CL 77 SUR CR 34 -82 (INTERIOR 610 BQ 2 )</t>
  </si>
  <si>
    <t>017317004000820610</t>
  </si>
  <si>
    <t>23599089</t>
  </si>
  <si>
    <t>CL 77 SUR CR 34 -82 (INTERIOR 1815 BQ 2 )</t>
  </si>
  <si>
    <t>017317004000821815</t>
  </si>
  <si>
    <t>23599090</t>
  </si>
  <si>
    <t>CL 77 SUR CR 34 -82 (INTERIOR 1209 BQ 2 )</t>
  </si>
  <si>
    <t>017317004000821209</t>
  </si>
  <si>
    <t>23599091</t>
  </si>
  <si>
    <t>25/11/2025 11:27:37</t>
  </si>
  <si>
    <t>2025-11-25 11:27:37</t>
  </si>
  <si>
    <t>CL 77 SUR CR 34 -82 (INTERIOR 1211 BQ 2 )</t>
  </si>
  <si>
    <t>017317004000821211</t>
  </si>
  <si>
    <t>2025-12-04 11:27:37</t>
  </si>
  <si>
    <t>23599092</t>
  </si>
  <si>
    <t>25/11/2025 11:27:38</t>
  </si>
  <si>
    <t>2025-11-25 11:27:38</t>
  </si>
  <si>
    <t>CL 77 SUR CR 34 -82 (INTERIOR 2013 BQ 2 )</t>
  </si>
  <si>
    <t>017317004000822013</t>
  </si>
  <si>
    <t>2025-12-04 11:27:38</t>
  </si>
  <si>
    <t>23599093</t>
  </si>
  <si>
    <t>25/11/2025 11:27:39</t>
  </si>
  <si>
    <t>2025-11-25 11:27:39</t>
  </si>
  <si>
    <t>CL 77 SUR CR 34 -82 (INTERIOR 2111 BQ 2 )</t>
  </si>
  <si>
    <t>017317004000822111</t>
  </si>
  <si>
    <t>2025-12-04 11:27:39</t>
  </si>
  <si>
    <t>23599094</t>
  </si>
  <si>
    <t>CL 77 SUR CR 34 -82 (INTERIOR 514 BQ 2 )</t>
  </si>
  <si>
    <t>017317004000820514</t>
  </si>
  <si>
    <t>23599095</t>
  </si>
  <si>
    <t>CL 77 SUR CR 34 -82 (INTERIOR 2515 BQ 2 )</t>
  </si>
  <si>
    <t>017317004000822515</t>
  </si>
  <si>
    <t>23599096</t>
  </si>
  <si>
    <t>25/11/2025 11:27:40</t>
  </si>
  <si>
    <t>2025-11-25 11:27:40</t>
  </si>
  <si>
    <t>CL 77 SUR CR 34 -82 (INTERIOR 1114 BQ 2 )</t>
  </si>
  <si>
    <t>017317004000821114</t>
  </si>
  <si>
    <t>2025-12-04 11:27:40</t>
  </si>
  <si>
    <t>23599097</t>
  </si>
  <si>
    <t>CL 77 SUR CR 34 -82 (INTERIOR 2211 BQ 2 )</t>
  </si>
  <si>
    <t>017317004000822211</t>
  </si>
  <si>
    <t>23599098</t>
  </si>
  <si>
    <t>CL 77 SUR CR 34 -82 (INTERIOR 1814 BQ 2 )</t>
  </si>
  <si>
    <t>017317004000821814</t>
  </si>
  <si>
    <t>23599099</t>
  </si>
  <si>
    <t>CL 77 SUR CR 34 -82 (INTERIOR 611 BQ 2 )</t>
  </si>
  <si>
    <t>017317004000820611</t>
  </si>
  <si>
    <t>23599100</t>
  </si>
  <si>
    <t>25/11/2025 11:27:41</t>
  </si>
  <si>
    <t>2025-11-25 11:27:41</t>
  </si>
  <si>
    <t>CL 77 SUR CR 34 -82 (INTERIOR 1613 BQ 2 )</t>
  </si>
  <si>
    <t>017317004000821613</t>
  </si>
  <si>
    <t>2025-12-04 11:27:41</t>
  </si>
  <si>
    <t>23599101</t>
  </si>
  <si>
    <t>25/11/2025 11:27:42</t>
  </si>
  <si>
    <t>2025-11-25 11:27:42</t>
  </si>
  <si>
    <t>CL 77 SUR CR 34 -82 (INTERIOR 2316 BQ 2 )</t>
  </si>
  <si>
    <t>017317004000822316</t>
  </si>
  <si>
    <t>2025-12-04 11:27:42</t>
  </si>
  <si>
    <t>23599102</t>
  </si>
  <si>
    <t>CL 77 SUR CR 34 -82 (INTERIOR 1615 BQ 2 )</t>
  </si>
  <si>
    <t>017317004000821615</t>
  </si>
  <si>
    <t>23599103</t>
  </si>
  <si>
    <t>CL 77 SUR CR 34 -82 (INTERIOR 913 BQ 2 )</t>
  </si>
  <si>
    <t>017317004000820913</t>
  </si>
  <si>
    <t>23599104</t>
  </si>
  <si>
    <t>CL 77 SUR CR 34 -82 (INTERIOR 2014 BQ 2 )</t>
  </si>
  <si>
    <t>017317004000822014</t>
  </si>
  <si>
    <t>23599105</t>
  </si>
  <si>
    <t>25/11/2025 11:27:43</t>
  </si>
  <si>
    <t>2025-11-25 11:27:43</t>
  </si>
  <si>
    <t>CL 77 SUR CR 34 -82 (INTERIOR 914 BQ 2 )</t>
  </si>
  <si>
    <t>017317004000820914</t>
  </si>
  <si>
    <t>2025-12-04 11:27:43</t>
  </si>
  <si>
    <t>23599106</t>
  </si>
  <si>
    <t>CL 77 SUR CR 34 -82 (INTERIOR 1116 BQ 2 )</t>
  </si>
  <si>
    <t>017317004000821116</t>
  </si>
  <si>
    <t>23599107</t>
  </si>
  <si>
    <t>25/11/2025 11:27:44</t>
  </si>
  <si>
    <t>2025-11-25 11:27:44</t>
  </si>
  <si>
    <t>CL 77 SUR CR 34 -82 (INTERIOR 1215 BQ 2 )</t>
  </si>
  <si>
    <t>017317004000821215</t>
  </si>
  <si>
    <t>2025-12-04 11:27:44</t>
  </si>
  <si>
    <t>23599108</t>
  </si>
  <si>
    <t>25/11/2025 11:27:45</t>
  </si>
  <si>
    <t>2025-11-25 11:27:45</t>
  </si>
  <si>
    <t>CL 77 SUR CR 34 -82 (INTERIOR 2116 BQ 2 )</t>
  </si>
  <si>
    <t>017317004000822116</t>
  </si>
  <si>
    <t>23599109</t>
  </si>
  <si>
    <t>25/11/2025 11:27:46</t>
  </si>
  <si>
    <t>2025-11-25 11:27:46</t>
  </si>
  <si>
    <t>CL 77 SUR CR 34 -82 (INTERIOR 2516 BQ 2 )</t>
  </si>
  <si>
    <t>017317004000822516</t>
  </si>
  <si>
    <t>2025-12-04 11:27:46</t>
  </si>
  <si>
    <t>23599110</t>
  </si>
  <si>
    <t>25/11/2025 11:27:47</t>
  </si>
  <si>
    <t>2025-11-25 11:27:47</t>
  </si>
  <si>
    <t>CL 77 SUR CR 34 -82 (INTERIOR 2115 BQ 2 )</t>
  </si>
  <si>
    <t>017317004000822115</t>
  </si>
  <si>
    <t>2025-12-04 11:27:47</t>
  </si>
  <si>
    <t>23599111</t>
  </si>
  <si>
    <t>25/11/2025 11:27:49</t>
  </si>
  <si>
    <t>2025-11-25 11:27:49</t>
  </si>
  <si>
    <t>CL 77 SUR CR 34 -82 (INTERIOR 2213 BQ 2 )</t>
  </si>
  <si>
    <t>017317004000822213</t>
  </si>
  <si>
    <t>2025-12-04 11:27:49</t>
  </si>
  <si>
    <t>23599112</t>
  </si>
  <si>
    <t>25/11/2025 11:27:51</t>
  </si>
  <si>
    <t>2025-11-25 11:27:51</t>
  </si>
  <si>
    <t>CL 77 SUR CR 34 -82 (INTERIOR 1115 BQ 2 )</t>
  </si>
  <si>
    <t>017317004000821115</t>
  </si>
  <si>
    <t>2025-12-04 11:27:51</t>
  </si>
  <si>
    <t>23599113</t>
  </si>
  <si>
    <t>25/11/2025 11:27:55</t>
  </si>
  <si>
    <t>2025-11-25 11:27:55</t>
  </si>
  <si>
    <t>CL 77 SUR CR 34 -82 (INTERIOR 2409 BQ 2 )</t>
  </si>
  <si>
    <t>017317004000822409</t>
  </si>
  <si>
    <t>2025-12-04 11:27:55</t>
  </si>
  <si>
    <t>23599114</t>
  </si>
  <si>
    <t>25/11/2025 11:27:58</t>
  </si>
  <si>
    <t>2025-11-25 11:27:58</t>
  </si>
  <si>
    <t>CL 77 SUR CR 34 -82 (INTERIOR 911 BQ 2 )</t>
  </si>
  <si>
    <t>017317004000820911</t>
  </si>
  <si>
    <t>2025-12-04 11:27:58</t>
  </si>
  <si>
    <t>23599115</t>
  </si>
  <si>
    <t>25/11/2025 11:28:01</t>
  </si>
  <si>
    <t>2025-11-25 11:28:01</t>
  </si>
  <si>
    <t>CL 77 SUR CR 34 -82 (INTERIOR 912 BQ 2 )</t>
  </si>
  <si>
    <t>017317004000820912</t>
  </si>
  <si>
    <t>2025-12-04 11:28:01</t>
  </si>
  <si>
    <t>23599116</t>
  </si>
  <si>
    <t>CL 77 SUR CR 34 -82 (INTERIOR 915 BQ 2 )</t>
  </si>
  <si>
    <t>017317004000820915</t>
  </si>
  <si>
    <t>23599117</t>
  </si>
  <si>
    <t>25/11/2025 11:28:09</t>
  </si>
  <si>
    <t>2025-11-25 11:28:09</t>
  </si>
  <si>
    <t>CL 77 SUR CR 34 -82 (INTERIOR 2309 BQ 2 )</t>
  </si>
  <si>
    <t>017317004000822309</t>
  </si>
  <si>
    <t>2025-12-04 11:28:09</t>
  </si>
  <si>
    <t>23599118</t>
  </si>
  <si>
    <t>25/11/2025 11:28:10</t>
  </si>
  <si>
    <t>2025-11-25 11:28:10</t>
  </si>
  <si>
    <t>CL 77 SUR CR 34 -82 (INTERIOR 2216 BQ 2 )</t>
  </si>
  <si>
    <t>017317004000822216</t>
  </si>
  <si>
    <t>2025-12-04 11:28:10</t>
  </si>
  <si>
    <t>23599119</t>
  </si>
  <si>
    <t>25/11/2025 11:28:11</t>
  </si>
  <si>
    <t>2025-11-25 11:28:11</t>
  </si>
  <si>
    <t>CL 77 SUR CR 34 -82 (INTERIOR 2210 BQ 2 )</t>
  </si>
  <si>
    <t>017317004000822210</t>
  </si>
  <si>
    <t>2025-12-04 11:28:11</t>
  </si>
  <si>
    <t>23599120</t>
  </si>
  <si>
    <t>25/11/2025 11:28:12</t>
  </si>
  <si>
    <t>2025-11-25 11:28:12</t>
  </si>
  <si>
    <t>CL 77 SUR CR 34 -82 (INTERIOR 2214 BQ 2 )</t>
  </si>
  <si>
    <t>017317004000822214</t>
  </si>
  <si>
    <t>2025-12-04 11:28:12</t>
  </si>
  <si>
    <t>23599121</t>
  </si>
  <si>
    <t>CL 77 SUR CR 34 -82 (INTERIOR 2312 BQ 2 )</t>
  </si>
  <si>
    <t>017317004000822312</t>
  </si>
  <si>
    <t>23599122</t>
  </si>
  <si>
    <t>CL 77 SUR CR 34 -82 (INTERIOR 2514 BQ 2 )</t>
  </si>
  <si>
    <t>017317004000822514</t>
  </si>
  <si>
    <t>23599123</t>
  </si>
  <si>
    <t>CL 77 SUR CR 34 -82 (INTERIOR 2609 BQ 2 )</t>
  </si>
  <si>
    <t>017317004000822609</t>
  </si>
  <si>
    <t>23599124</t>
  </si>
  <si>
    <t>25/11/2025 11:28:15</t>
  </si>
  <si>
    <t>2025-11-25 11:28:15</t>
  </si>
  <si>
    <t>CL 77 SUR CR 34 -82 (INTERIOR 2412 BQ 2 )</t>
  </si>
  <si>
    <t>017317004000822412</t>
  </si>
  <si>
    <t>2025-12-04 11:28:15</t>
  </si>
  <si>
    <t>23599125</t>
  </si>
  <si>
    <t>25/11/2025 11:28:16</t>
  </si>
  <si>
    <t>2025-11-25 11:28:16</t>
  </si>
  <si>
    <t>CL 77 SUR CR 34 -82 (INTERIOR 2313 BQ 2 )</t>
  </si>
  <si>
    <t>017317004000822313</t>
  </si>
  <si>
    <t>2025-12-04 11:28:16</t>
  </si>
  <si>
    <t>23599126</t>
  </si>
  <si>
    <t>25/11/2025 11:28:17</t>
  </si>
  <si>
    <t>2025-11-25 11:28:17</t>
  </si>
  <si>
    <t>CL 77 SUR CR 34 -82 (INTERIOR 2315 BQ 2 )</t>
  </si>
  <si>
    <t>017317004000822315</t>
  </si>
  <si>
    <t>2025-12-04 11:28:17</t>
  </si>
  <si>
    <t>23599127</t>
  </si>
  <si>
    <t>25/11/2025 11:28:19</t>
  </si>
  <si>
    <t>2025-11-25 11:28:19</t>
  </si>
  <si>
    <t>CL 77 SUR CR 34 -82 (INTERIOR 2415 BQ 2 )</t>
  </si>
  <si>
    <t>017317004000822415</t>
  </si>
  <si>
    <t>2025-12-04 11:28:19</t>
  </si>
  <si>
    <t>23599128</t>
  </si>
  <si>
    <t>25/11/2025 11:28:22</t>
  </si>
  <si>
    <t>2025-11-25 11:28:22</t>
  </si>
  <si>
    <t>CL 77 SUR CR 34 -82 (INTERIOR 2510 BQ 2 )</t>
  </si>
  <si>
    <t>017317004000822510</t>
  </si>
  <si>
    <t>2025-12-04 11:28:22</t>
  </si>
  <si>
    <t>23599129</t>
  </si>
  <si>
    <t>CL 77 SUR CR 34 -82 (INTERIOR 616 BQ 2 )</t>
  </si>
  <si>
    <t>017317004000820616</t>
  </si>
  <si>
    <t>23599130</t>
  </si>
  <si>
    <t>CL 77 SUR CR 34 -82 (INTERIOR 2411 BQ 2 )</t>
  </si>
  <si>
    <t>017317004000822411</t>
  </si>
  <si>
    <t>23599131</t>
  </si>
  <si>
    <t>CL 77 SUR CR 34 -82 (INTERIOR 2416 BQ 2 )</t>
  </si>
  <si>
    <t>017317004000822416</t>
  </si>
  <si>
    <t>23599132</t>
  </si>
  <si>
    <t>25/11/2025 11:28:23</t>
  </si>
  <si>
    <t>2025-11-25 11:28:23</t>
  </si>
  <si>
    <t>CL 77 SUR CR 34 -82 (INTERIOR 2509 BQ 2 )</t>
  </si>
  <si>
    <t>017317004000822509</t>
  </si>
  <si>
    <t>2025-12-04 11:28:23</t>
  </si>
  <si>
    <t>23599133</t>
  </si>
  <si>
    <t>CL 77 SUR CR 34 -82 (INTERIOR 2615 BQ 2 )</t>
  </si>
  <si>
    <t>017317004000822615</t>
  </si>
  <si>
    <t>23599134</t>
  </si>
  <si>
    <t>CL 77 SUR CR 34 -82 (INTERIOR 2511 BQ 2 )</t>
  </si>
  <si>
    <t>017317004000822511</t>
  </si>
  <si>
    <t>23599135</t>
  </si>
  <si>
    <t>25/11/2025 11:28:24</t>
  </si>
  <si>
    <t>2025-11-25 11:28:24</t>
  </si>
  <si>
    <t>CL 77 SUR CR 34 -82 (INTERIOR 2613 BQ 2 )</t>
  </si>
  <si>
    <t>017317004000822613</t>
  </si>
  <si>
    <t>2025-12-04 11:28:24</t>
  </si>
  <si>
    <t>23599136</t>
  </si>
  <si>
    <t>25/11/2025 11:28:25</t>
  </si>
  <si>
    <t>2025-11-25 11:28:25</t>
  </si>
  <si>
    <t>CL 77 SUR CR 34 -82 (INTERIOR 2610 BQ 2 )</t>
  </si>
  <si>
    <t>017317004000822610</t>
  </si>
  <si>
    <t>2025-12-04 11:28:25</t>
  </si>
  <si>
    <t>23599137</t>
  </si>
  <si>
    <t>25/11/2025 11:28:26</t>
  </si>
  <si>
    <t>2025-11-25 11:28:26</t>
  </si>
  <si>
    <t>CL 77 SUR CR 34 -82 (INTERIOR 2414 BQ 2 )</t>
  </si>
  <si>
    <t>017317004000822414</t>
  </si>
  <si>
    <t>2025-12-04 11:28:26</t>
  </si>
  <si>
    <t>23599138</t>
  </si>
  <si>
    <t>CL 77 SUR CR 34 -82 (INTERIOR 2209 BQ 2 )</t>
  </si>
  <si>
    <t>017317004000822209</t>
  </si>
  <si>
    <t>23599139</t>
  </si>
  <si>
    <t>CL 77 SUR CR 34 -82 (INTERIOR 2709 BQ 2 )</t>
  </si>
  <si>
    <t>017317004000822709</t>
  </si>
  <si>
    <t>23599140</t>
  </si>
  <si>
    <t>25/11/2025 11:28:27</t>
  </si>
  <si>
    <t>2025-11-25 11:28:27</t>
  </si>
  <si>
    <t>CL 77 SUR CR 34 -82 (INTERIOR 2314 BQ 2 )</t>
  </si>
  <si>
    <t>017317004000822314</t>
  </si>
  <si>
    <t>2025-12-04 11:28:27</t>
  </si>
  <si>
    <t>23599141</t>
  </si>
  <si>
    <t>CL 77 SUR CR 34 -82 (INTERIOR 2410 BQ 2 )</t>
  </si>
  <si>
    <t>017317004000822410</t>
  </si>
  <si>
    <t>23599142</t>
  </si>
  <si>
    <t>25/11/2025 11:28:28</t>
  </si>
  <si>
    <t>2025-11-25 11:28:28</t>
  </si>
  <si>
    <t>CL 77 SUR CR 34 -82 (INTERIOR 2311 BQ 2 )</t>
  </si>
  <si>
    <t>017317004000822311</t>
  </si>
  <si>
    <t>2025-12-04 11:28:28</t>
  </si>
  <si>
    <t>23599143</t>
  </si>
  <si>
    <t>25/11/2025 11:28:30</t>
  </si>
  <si>
    <t>2025-11-25 11:28:30</t>
  </si>
  <si>
    <t>CL 77 SUR CR 34 -82 (INTERIOR 2611 BQ 2 )</t>
  </si>
  <si>
    <t>017317004000822611</t>
  </si>
  <si>
    <t>2025-12-04 11:28:30</t>
  </si>
  <si>
    <t>23599144</t>
  </si>
  <si>
    <t>CL 77 SUR CR 34 -82 (INTERIOR 2413 BQ 2 )</t>
  </si>
  <si>
    <t>017317004000822413</t>
  </si>
  <si>
    <t>23599145</t>
  </si>
  <si>
    <t>25/11/2025 11:28:31</t>
  </si>
  <si>
    <t>2025-11-25 11:28:31</t>
  </si>
  <si>
    <t>CL 77 SUR CR 34 -82 (INTERIOR 812 BQ 2 )</t>
  </si>
  <si>
    <t>017317004000820812</t>
  </si>
  <si>
    <t>2025-12-04 11:28:31</t>
  </si>
  <si>
    <t>23599146</t>
  </si>
  <si>
    <t>25/11/2025 11:28:32</t>
  </si>
  <si>
    <t>2025-11-25 11:28:32</t>
  </si>
  <si>
    <t>CL 77 SUR CR 34 -82 (INTERIOR 2612 BQ 2 )</t>
  </si>
  <si>
    <t>017317004000822612</t>
  </si>
  <si>
    <t>2025-12-04 11:28:32</t>
  </si>
  <si>
    <t>23599147</t>
  </si>
  <si>
    <t>CL 77 SUR CR 34 -82 (INTERIOR 716 BQ 2 )</t>
  </si>
  <si>
    <t>017317004000820716</t>
  </si>
  <si>
    <t>23599148</t>
  </si>
  <si>
    <t>25/11/2025 11:28:33</t>
  </si>
  <si>
    <t>2025-11-25 11:28:33</t>
  </si>
  <si>
    <t>CL 77 SUR CR 34 -82 (INTERIOR 809 BQ 2 )</t>
  </si>
  <si>
    <t>017317004000820809</t>
  </si>
  <si>
    <t>2025-12-04 11:28:33</t>
  </si>
  <si>
    <t>23599149</t>
  </si>
  <si>
    <t>CL 77 SUR CR 34 -82 (INTERIOR 810 BQ 2 )</t>
  </si>
  <si>
    <t>017317004000820810</t>
  </si>
  <si>
    <t>23599150</t>
  </si>
  <si>
    <t>25/11/2025 11:28:38</t>
  </si>
  <si>
    <t>2025-11-25 11:28:38</t>
  </si>
  <si>
    <t>CL 77 SUR CR 34 -82 (INTERIOR 2616 BQ 2 )</t>
  </si>
  <si>
    <t>017317004000822616</t>
  </si>
  <si>
    <t>2025-12-04 11:28:38</t>
  </si>
  <si>
    <t>23599151</t>
  </si>
  <si>
    <t>25/11/2025 11:28:40</t>
  </si>
  <si>
    <t>2025-11-25 11:28:40</t>
  </si>
  <si>
    <t>CL 77 SUR CR 34 -82 (INTERIOR 2614 BQ 2 )</t>
  </si>
  <si>
    <t>017317004000822614</t>
  </si>
  <si>
    <t>2025-12-04 11:28:40</t>
  </si>
  <si>
    <t>23599152</t>
  </si>
  <si>
    <t>CL 77 SUR CR 34 -82 (INTERIOR 813 BQ 2 )</t>
  </si>
  <si>
    <t>017317004000820813</t>
  </si>
  <si>
    <t>23599155</t>
  </si>
  <si>
    <t>25/11/2025 11:29:04</t>
  </si>
  <si>
    <t>2025-11-25 11:29:04</t>
  </si>
  <si>
    <t>CL 77 SUR CR 34 -82 (INTERIOR 816 BQ 2 )</t>
  </si>
  <si>
    <t>017317004000820816</t>
  </si>
  <si>
    <t>2025-12-04 11:29:04</t>
  </si>
  <si>
    <t>3 días 11:29</t>
  </si>
  <si>
    <t>4 días 11:29</t>
  </si>
  <si>
    <t>23599156</t>
  </si>
  <si>
    <t>25/11/2025 11:29:06</t>
  </si>
  <si>
    <t>2025-11-25 11:29:06</t>
  </si>
  <si>
    <t>CL 77 SUR CR 34 -82 (INTERIOR 1110 BQ 2 )</t>
  </si>
  <si>
    <t>017317004000821110</t>
  </si>
  <si>
    <t>2025-12-04 11:29:06</t>
  </si>
  <si>
    <t>23599157</t>
  </si>
  <si>
    <t>25/11/2025 11:29:07</t>
  </si>
  <si>
    <t>2025-11-25 11:29:07</t>
  </si>
  <si>
    <t>CL 77 SUR CR 34 -82 (INTERIOR 1111 BQ 2 )</t>
  </si>
  <si>
    <t>017317004000821111</t>
  </si>
  <si>
    <t>2025-12-04 11:29:07</t>
  </si>
  <si>
    <t>23599158</t>
  </si>
  <si>
    <t>25/11/2025 11:29:09</t>
  </si>
  <si>
    <t>2025-11-25 11:29:09</t>
  </si>
  <si>
    <t>CL 77 SUR CR 34 -82 (INTERIOR 1113 BQ 2 )</t>
  </si>
  <si>
    <t>017317004000821113</t>
  </si>
  <si>
    <t>2025-12-04 11:29:09</t>
  </si>
  <si>
    <t>23599159</t>
  </si>
  <si>
    <t>25/11/2025 11:29:10</t>
  </si>
  <si>
    <t>2025-11-25 11:29:10</t>
  </si>
  <si>
    <t>CL 77 SUR CR 34 -82 (INTERIOR 1109 BQ 2 )</t>
  </si>
  <si>
    <t>017317004000821109</t>
  </si>
  <si>
    <t>2025-12-04 11:29:10</t>
  </si>
  <si>
    <t>23599160</t>
  </si>
  <si>
    <t>25/11/2025 11:29:11</t>
  </si>
  <si>
    <t>2025-11-25 11:29:11</t>
  </si>
  <si>
    <t>CL 77 SUR CR 34 -82 (INTERIOR 909 BQ 2 )</t>
  </si>
  <si>
    <t>017317004000820909</t>
  </si>
  <si>
    <t>2025-12-04 11:29:11</t>
  </si>
  <si>
    <t>23599161</t>
  </si>
  <si>
    <t>CL 77 SUR CR 34 -82 (INTERIOR 2512 BQ 2 )</t>
  </si>
  <si>
    <t>017317004000822512</t>
  </si>
  <si>
    <t>23599162</t>
  </si>
  <si>
    <t>25/11/2025 11:29:13</t>
  </si>
  <si>
    <t>2025-11-25 11:29:13</t>
  </si>
  <si>
    <t>CL 77 SUR CR 34 -82 (INTERIOR 815 BQ 2 )</t>
  </si>
  <si>
    <t>017317004000820815</t>
  </si>
  <si>
    <t>2025-12-04 11:29:13</t>
  </si>
  <si>
    <t>23599163</t>
  </si>
  <si>
    <t>CL 77 SUR CR 34 -82 (INTERIOR 511 BQ 2 )</t>
  </si>
  <si>
    <t>017317004000820511</t>
  </si>
  <si>
    <t>23599164</t>
  </si>
  <si>
    <t>CL 77 SUR CR 34 -82 (INTERIOR 1412 BQ 2 )</t>
  </si>
  <si>
    <t>017317004000821412</t>
  </si>
  <si>
    <t>23599165</t>
  </si>
  <si>
    <t>25/11/2025 11:29:14</t>
  </si>
  <si>
    <t>2025-11-25 11:29:14</t>
  </si>
  <si>
    <t>CL 77 SUR CR 34 -82 (INTERIOR 1413 BQ 2 )</t>
  </si>
  <si>
    <t>017317004000821413</t>
  </si>
  <si>
    <t>2025-12-04 11:29:14</t>
  </si>
  <si>
    <t>23599166</t>
  </si>
  <si>
    <t>25/11/2025 11:29:15</t>
  </si>
  <si>
    <t>2025-11-25 11:29:15</t>
  </si>
  <si>
    <t>CL 77 SUR CR 34 -82 (INTERIOR 1414 BQ 2 )</t>
  </si>
  <si>
    <t>017317004000821414</t>
  </si>
  <si>
    <t>2025-12-04 11:29:15</t>
  </si>
  <si>
    <t>23599167</t>
  </si>
  <si>
    <t>CL 77 SUR CR 34 -82 (INTERIOR 516 BQ 2 )</t>
  </si>
  <si>
    <t>017317004000820516</t>
  </si>
  <si>
    <t>23599168</t>
  </si>
  <si>
    <t>25/11/2025 11:29:16</t>
  </si>
  <si>
    <t>2025-11-25 11:29:16</t>
  </si>
  <si>
    <t>CL 77 SUR CR 34 -82 (INTERIOR 2513 BQ 2 )</t>
  </si>
  <si>
    <t>017317004000822513</t>
  </si>
  <si>
    <t>2025-12-04 11:29:16</t>
  </si>
  <si>
    <t>23599169</t>
  </si>
  <si>
    <t>CL 77 SUR CR 34 -82 (INTERIOR 2710 BQ 2 )</t>
  </si>
  <si>
    <t>017317004000822710</t>
  </si>
  <si>
    <t>23599170</t>
  </si>
  <si>
    <t>25/11/2025 11:29:19</t>
  </si>
  <si>
    <t>2025-11-25 11:29:19</t>
  </si>
  <si>
    <t>CL 77 SUR CR 34 -82 (INTERIOR 2715 BQ 2 )</t>
  </si>
  <si>
    <t>017317004000822715</t>
  </si>
  <si>
    <t>2025-12-04 11:29:19</t>
  </si>
  <si>
    <t>23599171</t>
  </si>
  <si>
    <t>25/11/2025 11:29:20</t>
  </si>
  <si>
    <t>2025-11-25 11:29:20</t>
  </si>
  <si>
    <t>CL 77 SUR CR 34 -82 (INTERIOR 2714 BQ 2 )</t>
  </si>
  <si>
    <t>017317004000822714</t>
  </si>
  <si>
    <t>2025-12-04 11:29:20</t>
  </si>
  <si>
    <t>23599172</t>
  </si>
  <si>
    <t>25/11/2025 11:29:21</t>
  </si>
  <si>
    <t>2025-11-25 11:29:21</t>
  </si>
  <si>
    <t>CL 77 SUR CR 34 -82 (INTERIOR 2711 BQ 2 )</t>
  </si>
  <si>
    <t>017317004000822711</t>
  </si>
  <si>
    <t>2025-12-04 11:29:21</t>
  </si>
  <si>
    <t>23599173</t>
  </si>
  <si>
    <t>CL 77 SUR CR 34 -82 (INTERIOR 513 BQ 2 )</t>
  </si>
  <si>
    <t>017317004000820513</t>
  </si>
  <si>
    <t>23599174</t>
  </si>
  <si>
    <t>25/11/2025 11:29:23</t>
  </si>
  <si>
    <t>2025-11-25 11:29:24</t>
  </si>
  <si>
    <t>CL 77 SUR CR 34 -82 (INTERIOR 710 BQ 2 )</t>
  </si>
  <si>
    <t>017317004000820710</t>
  </si>
  <si>
    <t>2025-12-04 11:29:24</t>
  </si>
  <si>
    <t>23599175</t>
  </si>
  <si>
    <t>25/11/2025 11:29:24</t>
  </si>
  <si>
    <t>CL 77 SUR CR 34 -82 (INTERIOR 711 BQ 2 )</t>
  </si>
  <si>
    <t>017317004000820711</t>
  </si>
  <si>
    <t>23599176</t>
  </si>
  <si>
    <t>CL 77 SUR CR 34 -82 (INTERIOR 2713 BQ 2 )</t>
  </si>
  <si>
    <t>017317004000822713</t>
  </si>
  <si>
    <t>23599177</t>
  </si>
  <si>
    <t>CL 77 SUR CR 34 -82 (INTERIOR 2716 BQ 2 )</t>
  </si>
  <si>
    <t>017317004000822716</t>
  </si>
  <si>
    <t>23599178</t>
  </si>
  <si>
    <t>25/11/2025 11:29:25</t>
  </si>
  <si>
    <t>2025-11-25 11:29:25</t>
  </si>
  <si>
    <t>CL 77 SUR CR 34 -82 (INTERIOR 713 BQ 2 )</t>
  </si>
  <si>
    <t>017317004000820713</t>
  </si>
  <si>
    <t>2025-12-04 11:29:25</t>
  </si>
  <si>
    <t>23599180</t>
  </si>
  <si>
    <t>CL 77 SUR CR 34 -82 (INTERIOR 712 BQ 2 )</t>
  </si>
  <si>
    <t>017317004000820712</t>
  </si>
  <si>
    <t>23599181</t>
  </si>
  <si>
    <t>25/11/2025 11:29:26</t>
  </si>
  <si>
    <t>2025-11-25 11:29:26</t>
  </si>
  <si>
    <t>CL 77 SUR CR 34 -82 (INTERIOR 715 BQ 2 )</t>
  </si>
  <si>
    <t>017317004000820715</t>
  </si>
  <si>
    <t>2025-12-04 11:29:26</t>
  </si>
  <si>
    <t>23599182</t>
  </si>
  <si>
    <t>CL 77 SUR CR 34 -82 (INTERIOR 1112 BQ 2 )</t>
  </si>
  <si>
    <t>017317004000821112</t>
  </si>
  <si>
    <t>23599183</t>
  </si>
  <si>
    <t>25/11/2025 11:29:28</t>
  </si>
  <si>
    <t>2025-11-25 11:29:28</t>
  </si>
  <si>
    <t>CL 77 SUR CR 34 -82 (INTERIOR 1009 BQ 2 )</t>
  </si>
  <si>
    <t>017317004000821009</t>
  </si>
  <si>
    <t>2025-12-04 11:29:28</t>
  </si>
  <si>
    <t>23599184</t>
  </si>
  <si>
    <t>25/11/2025 11:29:29</t>
  </si>
  <si>
    <t>2025-11-25 11:29:29</t>
  </si>
  <si>
    <t>CL 77 SUR CR 34 -82 (INTERIOR 512 BQ 2 )</t>
  </si>
  <si>
    <t>017317004000820512</t>
  </si>
  <si>
    <t>2025-12-04 11:29:29</t>
  </si>
  <si>
    <t>23599185</t>
  </si>
  <si>
    <t>25/11/2025 11:29:30</t>
  </si>
  <si>
    <t>2025-11-25 11:29:30</t>
  </si>
  <si>
    <t>CL 77 SUR CR 34 -82 (INTERIOR 1010 BQ 2 )</t>
  </si>
  <si>
    <t>017317004000821010</t>
  </si>
  <si>
    <t>2025-12-04 11:29:30</t>
  </si>
  <si>
    <t>23599186</t>
  </si>
  <si>
    <t>25/11/2025 11:29:33</t>
  </si>
  <si>
    <t>2025-11-25 11:29:33</t>
  </si>
  <si>
    <t>CL 77 SUR CR 34 -82 (INTERIOR 1011 BQ 2 )</t>
  </si>
  <si>
    <t>017317004000821011</t>
  </si>
  <si>
    <t>2025-12-04 11:29:33</t>
  </si>
  <si>
    <t>23599187</t>
  </si>
  <si>
    <t>CL 77 SUR CR 34 -82 (INTERIOR 1013 BQ 2 )</t>
  </si>
  <si>
    <t>017317004000821013</t>
  </si>
  <si>
    <t>23599188</t>
  </si>
  <si>
    <t>25/11/2025 11:29:34</t>
  </si>
  <si>
    <t>2025-11-25 11:29:34</t>
  </si>
  <si>
    <t>CL 77 SUR CR 34 -82 (INTERIOR 2712 BQ 2 )</t>
  </si>
  <si>
    <t>017317004000822712</t>
  </si>
  <si>
    <t>2025-12-04 11:29:34</t>
  </si>
  <si>
    <t>23599189</t>
  </si>
  <si>
    <t>25/11/2025 11:29:35</t>
  </si>
  <si>
    <t>2025-11-25 11:29:35</t>
  </si>
  <si>
    <t>CL 77 SUR CR 34 -82 (INTERIOR 1012 BQ 2 )</t>
  </si>
  <si>
    <t>017317004000821012</t>
  </si>
  <si>
    <t>2025-12-04 11:29:35</t>
  </si>
  <si>
    <t>23599190</t>
  </si>
  <si>
    <t>25/11/2025 11:29:39</t>
  </si>
  <si>
    <t>2025-11-25 11:29:39</t>
  </si>
  <si>
    <t>CL 77 SUR CR 34 -82 (INTERIOR 714 BQ 2 )</t>
  </si>
  <si>
    <t>017317004000820714</t>
  </si>
  <si>
    <t>2025-12-04 11:29:39</t>
  </si>
  <si>
    <t>23599191</t>
  </si>
  <si>
    <t>CL 77 SUR CR 34 -82 (INTERIOR 916 BQ 2 )</t>
  </si>
  <si>
    <t>017317004000820916</t>
  </si>
  <si>
    <t>23599192</t>
  </si>
  <si>
    <t>25/11/2025 11:29:54</t>
  </si>
  <si>
    <t>2025-11-25 11:29:54</t>
  </si>
  <si>
    <t>CL 77 SUR CR 34 -82 (INTERIOR 1014 BQ 2 )</t>
  </si>
  <si>
    <t>017317004000821014</t>
  </si>
  <si>
    <t>2025-12-04 11:29:54</t>
  </si>
  <si>
    <t>23599193</t>
  </si>
  <si>
    <t>25/11/2025 11:30:05</t>
  </si>
  <si>
    <t>2025-11-25 11:30:05</t>
  </si>
  <si>
    <t>CL 77 SUR CR 34 -82 (INTERIOR 1016 BQ 2 )</t>
  </si>
  <si>
    <t>017317004000821016</t>
  </si>
  <si>
    <t>2025-12-04 11:30:05</t>
  </si>
  <si>
    <t>3 días 11:30</t>
  </si>
  <si>
    <t>23599194</t>
  </si>
  <si>
    <t>CL 77 SUR CR 34 -82 (INTERIOR 1015 BQ 2 )</t>
  </si>
  <si>
    <t>017317004000821015</t>
  </si>
  <si>
    <t>23599195</t>
  </si>
  <si>
    <t>25/11/2025 11:30:07</t>
  </si>
  <si>
    <t>2025-11-25 11:30:07</t>
  </si>
  <si>
    <t>CL 77 SUR CR 34 -82 (INTERIOR 515 BQ 2 )</t>
  </si>
  <si>
    <t>017317004000820515</t>
  </si>
  <si>
    <t>2025-12-04 11:30:07</t>
  </si>
  <si>
    <t>23599196</t>
  </si>
  <si>
    <t>CL 77 SUR CR 34 -82 (INTERIOR 1310 BQ 2 )</t>
  </si>
  <si>
    <t>017317004000821310</t>
  </si>
  <si>
    <t>23599197</t>
  </si>
  <si>
    <t>CL 77 SUR CR 34 -82 (INTERIOR 1311 BQ 2 )</t>
  </si>
  <si>
    <t>017317004000821311</t>
  </si>
  <si>
    <t>23599198</t>
  </si>
  <si>
    <t>25/11/2025 11:30:08</t>
  </si>
  <si>
    <t>2025-11-25 11:30:08</t>
  </si>
  <si>
    <t>CL 77 SUR CR 34 -82 (INTERIOR 1313 BQ 2 )</t>
  </si>
  <si>
    <t>017317004000821313</t>
  </si>
  <si>
    <t>2025-12-04 11:30:08</t>
  </si>
  <si>
    <t>23599199</t>
  </si>
  <si>
    <t>CL 77 SUR CR 34 -82 (INTERIOR 1315 BQ 2 )</t>
  </si>
  <si>
    <t>017317004000821315</t>
  </si>
  <si>
    <t>23599200</t>
  </si>
  <si>
    <t>25/11/2025 11:30:12</t>
  </si>
  <si>
    <t>2025-11-25 11:30:12</t>
  </si>
  <si>
    <t>CL 77 SUR CR 34 -82 (INTERIOR 1410 BQ 2 )</t>
  </si>
  <si>
    <t>017317004000821410</t>
  </si>
  <si>
    <t>2025-12-04 11:30:12</t>
  </si>
  <si>
    <t>23599201</t>
  </si>
  <si>
    <t>25/11/2025 11:30:13</t>
  </si>
  <si>
    <t>2025-11-25 11:30:13</t>
  </si>
  <si>
    <t>CL 77 SUR CR 34 -82 (INTERIOR 1316 BQ 2 )</t>
  </si>
  <si>
    <t>017317004000821316</t>
  </si>
  <si>
    <t>2025-12-04 11:30:13</t>
  </si>
  <si>
    <t>23599202</t>
  </si>
  <si>
    <t>CL 77 SUR CR 34 -82 (INTERIOR 1411 BQ 2 )</t>
  </si>
  <si>
    <t>017317004000821411</t>
  </si>
  <si>
    <t>23599203</t>
  </si>
  <si>
    <t>CL 77 SUR CR 34 -82 (INTERIOR 1312 BQ 2 )</t>
  </si>
  <si>
    <t>017317004000821312</t>
  </si>
  <si>
    <t>23599204</t>
  </si>
  <si>
    <t>CL 77 SUR CR 34 -82 (INTERIOR 1612 BQ 2 )</t>
  </si>
  <si>
    <t>017317004000821612</t>
  </si>
  <si>
    <t>23599205</t>
  </si>
  <si>
    <t>25/11/2025 11:30:14</t>
  </si>
  <si>
    <t>2025-11-25 11:30:14</t>
  </si>
  <si>
    <t>CL 77 SUR CR 34 -82 (INTERIOR 910 BQ 2 )</t>
  </si>
  <si>
    <t>017317004000820910</t>
  </si>
  <si>
    <t>2025-12-04 11:30:14</t>
  </si>
  <si>
    <t>23599206</t>
  </si>
  <si>
    <t>CL 77 SUR CR 34 -82 (INTERIOR 1314 BQ 2 )</t>
  </si>
  <si>
    <t>017317004000821314</t>
  </si>
  <si>
    <t>23599207</t>
  </si>
  <si>
    <t>25/11/2025 11:30:15</t>
  </si>
  <si>
    <t>2025-11-25 11:30:15</t>
  </si>
  <si>
    <t>CL 77 SUR CR 34 -82 (INTERIOR 1513 BQ 2 )</t>
  </si>
  <si>
    <t>017317004000821513</t>
  </si>
  <si>
    <t>2025-12-04 11:30:15</t>
  </si>
  <si>
    <t>23599208</t>
  </si>
  <si>
    <t>CL 77 SUR CR 34 -82 (INTERIOR 1510 BQ 2 )</t>
  </si>
  <si>
    <t>017317004000821510</t>
  </si>
  <si>
    <t>23599209</t>
  </si>
  <si>
    <t>25/11/2025 11:30:17</t>
  </si>
  <si>
    <t>2025-11-25 11:30:17</t>
  </si>
  <si>
    <t>CL 77 SUR CR 34 -82 (INTERIOR 1511 BQ 2 )</t>
  </si>
  <si>
    <t>017317004000821511</t>
  </si>
  <si>
    <t>2025-12-04 11:30:17</t>
  </si>
  <si>
    <t>23599210</t>
  </si>
  <si>
    <t>25/11/2025 11:30:20</t>
  </si>
  <si>
    <t>2025-11-25 11:30:20</t>
  </si>
  <si>
    <t>CL 77 SUR CR 34 -82 (INTERIOR 1616 BQ 2 )</t>
  </si>
  <si>
    <t>017317004000821616</t>
  </si>
  <si>
    <t>2025-12-04 11:30:20</t>
  </si>
  <si>
    <t>23599211</t>
  </si>
  <si>
    <t>25/11/2025 11:30:23</t>
  </si>
  <si>
    <t>2025-11-25 11:30:23</t>
  </si>
  <si>
    <t>CL 77 SUR CR 34 -82 (INTERIOR 1514 BQ 2 )</t>
  </si>
  <si>
    <t>017317004000821514</t>
  </si>
  <si>
    <t>2025-12-04 11:30:23</t>
  </si>
  <si>
    <t>23599212</t>
  </si>
  <si>
    <t>25/11/2025 11:30:24</t>
  </si>
  <si>
    <t>2025-11-25 11:30:24</t>
  </si>
  <si>
    <t>CL 77 SUR CR 34 -82 (INTERIOR 1515 BQ 2 )</t>
  </si>
  <si>
    <t>017317004000821515</t>
  </si>
  <si>
    <t>2025-12-04 11:30:24</t>
  </si>
  <si>
    <t>23599213</t>
  </si>
  <si>
    <t>CL 77 SUR CR 34 -82 (INTERIOR 609 BQ 2 )</t>
  </si>
  <si>
    <t>017317004000820609</t>
  </si>
  <si>
    <t>23599214</t>
  </si>
  <si>
    <t>25/11/2025 11:30:25</t>
  </si>
  <si>
    <t>2025-11-25 11:30:25</t>
  </si>
  <si>
    <t>CL 77 SUR CR 34 -82 (INTERIOR 1610 BQ 2 )</t>
  </si>
  <si>
    <t>017317004000821610</t>
  </si>
  <si>
    <t>2025-12-04 11:30:25</t>
  </si>
  <si>
    <t>23599215</t>
  </si>
  <si>
    <t>25/11/2025 11:30:26</t>
  </si>
  <si>
    <t>2025-11-25 11:30:26</t>
  </si>
  <si>
    <t>CL 77 SUR CR 34 -82 (INTERIOR 1516 BQ 2 )</t>
  </si>
  <si>
    <t>017317004000821516</t>
  </si>
  <si>
    <t>2025-12-04 11:30:26</t>
  </si>
  <si>
    <t>23599216</t>
  </si>
  <si>
    <t>CL 77 SUR CR 34 -82 (INTERIOR 1512 BQ 2 )</t>
  </si>
  <si>
    <t>017317004000821512</t>
  </si>
  <si>
    <t>23599217</t>
  </si>
  <si>
    <t>CL 77 SUR CR 34 -82 (INTERIOR 1609 BQ 2 )</t>
  </si>
  <si>
    <t>017317004000821609</t>
  </si>
  <si>
    <t>23599218</t>
  </si>
  <si>
    <t>25/11/2025 11:30:27</t>
  </si>
  <si>
    <t>2025-11-25 11:30:27</t>
  </si>
  <si>
    <t>CL 77 SUR CR 34 -82 (INTERIOR 1711 BQ 2 )</t>
  </si>
  <si>
    <t>017317004000821711</t>
  </si>
  <si>
    <t>2025-12-04 11:30:27</t>
  </si>
  <si>
    <t>23599219</t>
  </si>
  <si>
    <t>CL 77 SUR CR 34 -82 (INTERIOR 1611 BQ 2 )</t>
  </si>
  <si>
    <t>017317004000821611</t>
  </si>
  <si>
    <t>23599220</t>
  </si>
  <si>
    <t>CL 77 SUR CR 34 -82 (INTERIOR 1710 BQ 2 )</t>
  </si>
  <si>
    <t>017317004000821710</t>
  </si>
  <si>
    <t>23599221</t>
  </si>
  <si>
    <t>2025-11-25 11:30:28</t>
  </si>
  <si>
    <t>CL 77 SUR CR 34 -82 (INTERIOR 1709 BQ 2 )</t>
  </si>
  <si>
    <t>017317004000821709</t>
  </si>
  <si>
    <t>2025-12-04 11:30:28</t>
  </si>
  <si>
    <t>23599223</t>
  </si>
  <si>
    <t>25/11/2025 11:30:52</t>
  </si>
  <si>
    <t>2025-11-25 11:30:52</t>
  </si>
  <si>
    <t>CL 77 SUR CR 34 -82 (INTERIOR 1911 BQ 2 )</t>
  </si>
  <si>
    <t>017317004000821911</t>
  </si>
  <si>
    <t>2025-12-04 11:30:52</t>
  </si>
  <si>
    <t>23599233</t>
  </si>
  <si>
    <t>25/11/2025 11:37:39</t>
  </si>
  <si>
    <t>2025-11-25 11:37:39</t>
  </si>
  <si>
    <t>JUAN DANIEL FUENTES RIVERA</t>
  </si>
  <si>
    <t>CL 75 A SUR CR 52 F -90 (INTERIOR 914 BQ 3 )</t>
  </si>
  <si>
    <t>777515102600900914</t>
  </si>
  <si>
    <t>2025-12-01 11:37:39</t>
  </si>
  <si>
    <t>3 días 11:39</t>
  </si>
  <si>
    <t>23599240</t>
  </si>
  <si>
    <t>25/11/2025 11:41:58</t>
  </si>
  <si>
    <t>2025-11-25 15:26:35</t>
  </si>
  <si>
    <t>MARTA LIGIA GIL MONTOYA</t>
  </si>
  <si>
    <t>6007820</t>
  </si>
  <si>
    <t>3165501876</t>
  </si>
  <si>
    <t>CR 47 F CL 79 SUR -37 (INTERIOR 8000 )</t>
  </si>
  <si>
    <t>017427609000378000</t>
  </si>
  <si>
    <t>2025-12-02 15:26:35</t>
  </si>
  <si>
    <t>5 días 11:43</t>
  </si>
  <si>
    <t>23599257</t>
  </si>
  <si>
    <t>25/11/2025 11:52:54</t>
  </si>
  <si>
    <t>2025-11-25 11:52:54</t>
  </si>
  <si>
    <t>CR 67 E CL 58 C -7 (INTERIOR 301 )</t>
  </si>
  <si>
    <t>055627508300070301</t>
  </si>
  <si>
    <t>2025-12-02 11:52:54</t>
  </si>
  <si>
    <t>23599261</t>
  </si>
  <si>
    <t>25/11/2025 11:56:53</t>
  </si>
  <si>
    <t>2025-11-25 11:56:53</t>
  </si>
  <si>
    <t>ISABEL CRISTINA ALVAREZ CASTRO</t>
  </si>
  <si>
    <t>3013101459</t>
  </si>
  <si>
    <t>CL 55 CR 109 -29</t>
  </si>
  <si>
    <t>085015009000290000</t>
  </si>
  <si>
    <t>2025-12-02 11:56:53</t>
  </si>
  <si>
    <t>23599278</t>
  </si>
  <si>
    <t>25/11/2025 12:07:15</t>
  </si>
  <si>
    <t>2025-11-25 12:07:15</t>
  </si>
  <si>
    <t>ISRAEL DE JESUS GRANADOS PEREZ</t>
  </si>
  <si>
    <t>3104954546</t>
  </si>
  <si>
    <t>RURAL_161021700000000000_RURAL CALDAS LA CHUSCALA</t>
  </si>
  <si>
    <t>161021700000000000-ENEPRE</t>
  </si>
  <si>
    <t>2025-12-11 12:07:15</t>
  </si>
  <si>
    <t>3 días 12:07</t>
  </si>
  <si>
    <t>23599279</t>
  </si>
  <si>
    <t>25/11/2025 12:08:08</t>
  </si>
  <si>
    <t>2025-11-25 12:08:08</t>
  </si>
  <si>
    <t>MUNICIPIO DE ITAGUI</t>
  </si>
  <si>
    <t>3737676</t>
  </si>
  <si>
    <t>3162810102</t>
  </si>
  <si>
    <t>CR 56 CL 78 -45</t>
  </si>
  <si>
    <t>077526008000450000</t>
  </si>
  <si>
    <t>2025-12-01 12:08:08</t>
  </si>
  <si>
    <t>23599282</t>
  </si>
  <si>
    <t>25/11/2025 12:09:17</t>
  </si>
  <si>
    <t>2025-11-25 12:09:17</t>
  </si>
  <si>
    <t>LUZ MERY OSPINA PEREZ</t>
  </si>
  <si>
    <t>3716011</t>
  </si>
  <si>
    <t>RURAL_163018112000000301_163018112000000301ZULETA</t>
  </si>
  <si>
    <t>163018112000000301</t>
  </si>
  <si>
    <t>2025-12-05 12:09:17</t>
  </si>
  <si>
    <t>23599294</t>
  </si>
  <si>
    <t>25/11/2025 12:17:34</t>
  </si>
  <si>
    <t>2025-11-25 12:17:34</t>
  </si>
  <si>
    <t>JAIME LOPEZ CASTAÑEDA</t>
  </si>
  <si>
    <t>3122278171</t>
  </si>
  <si>
    <t>CR 73 A CL 30 B -72</t>
  </si>
  <si>
    <t>053723100200720000</t>
  </si>
  <si>
    <t>2025-12-01 12:17:34</t>
  </si>
  <si>
    <t>3 días 12:17</t>
  </si>
  <si>
    <t>23599299</t>
  </si>
  <si>
    <t>25/11/2025 12:22:32</t>
  </si>
  <si>
    <t>2025-11-25 12:22:32</t>
  </si>
  <si>
    <t>JARINSON CAICEDO VALENCIA</t>
  </si>
  <si>
    <t>2739524</t>
  </si>
  <si>
    <t>3005035680</t>
  </si>
  <si>
    <t>CL 2 CR 66 -77</t>
  </si>
  <si>
    <t>050612006000770000</t>
  </si>
  <si>
    <t>2025-12-01 12:22:32</t>
  </si>
  <si>
    <t>3 días 12:22</t>
  </si>
  <si>
    <t>1 días 12:22</t>
  </si>
  <si>
    <t>23599313</t>
  </si>
  <si>
    <t>25/11/2025 12:46:18</t>
  </si>
  <si>
    <t>2025-11-25 12:46:18</t>
  </si>
  <si>
    <t>MARIA DORIS GIL LOPEZ</t>
  </si>
  <si>
    <t>3885126</t>
  </si>
  <si>
    <t>3005187420</t>
  </si>
  <si>
    <t>CL 52 CR 17 -10 (INTERIOR 201 )</t>
  </si>
  <si>
    <t>055112007000100201</t>
  </si>
  <si>
    <t>2025-12-09 12:46:18</t>
  </si>
  <si>
    <t>23599337</t>
  </si>
  <si>
    <t>25/11/2025 13:14:17</t>
  </si>
  <si>
    <t>2025-11-25 13:14:17</t>
  </si>
  <si>
    <t>VALLAS Y AVISOS S.A.</t>
  </si>
  <si>
    <t>3006753557</t>
  </si>
  <si>
    <t>CR 43 CL 50 -49 (INTERIOR 6000 )</t>
  </si>
  <si>
    <t>075423000000496000</t>
  </si>
  <si>
    <t>2025-12-04 13:14:17</t>
  </si>
  <si>
    <t>3 días 13:14</t>
  </si>
  <si>
    <t>4 días 13:14</t>
  </si>
  <si>
    <t>23599355</t>
  </si>
  <si>
    <t>25/11/2025 13:34:43</t>
  </si>
  <si>
    <t>2025-11-25 13:34:43</t>
  </si>
  <si>
    <t>WILMAR JHOAN YEPEZ MONSALVE</t>
  </si>
  <si>
    <t>3104212705</t>
  </si>
  <si>
    <t>CL 39 DA CR 117 -48 (INTERIOR 101 )</t>
  </si>
  <si>
    <t>083119417000480101</t>
  </si>
  <si>
    <t>2025-12-04 13:34:43</t>
  </si>
  <si>
    <t>3 días 13:34</t>
  </si>
  <si>
    <t>4 días 13:34</t>
  </si>
  <si>
    <t>3133324621</t>
  </si>
  <si>
    <t>CR 98 A CL 62 -106 (INTERIOR 1001 )</t>
  </si>
  <si>
    <t>056928102001061001</t>
  </si>
  <si>
    <t>3 días 13:39</t>
  </si>
  <si>
    <t>23599368</t>
  </si>
  <si>
    <t>25/11/2025 13:44:53</t>
  </si>
  <si>
    <t>2025-11-25 13:44:53</t>
  </si>
  <si>
    <t>CARLOS ANDRES VARELA LOPEZ</t>
  </si>
  <si>
    <t>3502406996</t>
  </si>
  <si>
    <t>CL 59 CR 24 -72 (INTERIOR 301 )</t>
  </si>
  <si>
    <t>055219004000720301</t>
  </si>
  <si>
    <t>2025-12-04 13:44:53</t>
  </si>
  <si>
    <t>4 días 13:44</t>
  </si>
  <si>
    <t>23599375</t>
  </si>
  <si>
    <t>25/11/2025 13:50:09</t>
  </si>
  <si>
    <t>2025-11-25 13:50:09</t>
  </si>
  <si>
    <t>CL 77 SUR CR 34 -82 (INTERIOR 1614 BQ 2 )</t>
  </si>
  <si>
    <t>017317004000821614</t>
  </si>
  <si>
    <t>2025-12-04 13:50:09</t>
  </si>
  <si>
    <t>4 días 13:50</t>
  </si>
  <si>
    <t>23599377</t>
  </si>
  <si>
    <t>25/11/2025 13:50:16</t>
  </si>
  <si>
    <t>2025-11-25 13:50:16</t>
  </si>
  <si>
    <t>CL 77 SUR CR 34 -82 (INTERIOR 1409 BQ 2 )</t>
  </si>
  <si>
    <t>017317004000821409</t>
  </si>
  <si>
    <t>2025-12-04 13:50:16</t>
  </si>
  <si>
    <t>23599378</t>
  </si>
  <si>
    <t>25/11/2025 13:50:25</t>
  </si>
  <si>
    <t>2025-11-25 13:50:25</t>
  </si>
  <si>
    <t>CL 77 SUR CR 34 -82 (INTERIOR 510 BQ 2 )</t>
  </si>
  <si>
    <t>017317004000820510</t>
  </si>
  <si>
    <t>2025-12-04 13:50:25</t>
  </si>
  <si>
    <t>23599379</t>
  </si>
  <si>
    <t>25/11/2025 13:50:30</t>
  </si>
  <si>
    <t>2025-11-25 13:50:30</t>
  </si>
  <si>
    <t>CL 77 SUR CR 34 -82 (INTERIOR 814 BQ 2 )</t>
  </si>
  <si>
    <t>017317004000820814</t>
  </si>
  <si>
    <t>2025-12-04 13:50:30</t>
  </si>
  <si>
    <t>23599392</t>
  </si>
  <si>
    <t>25/11/2025 14:01:25</t>
  </si>
  <si>
    <t>2025-11-25 14:01:25</t>
  </si>
  <si>
    <t>CAROLINA VELEZ PETRO</t>
  </si>
  <si>
    <t>2111111</t>
  </si>
  <si>
    <t>3116022081</t>
  </si>
  <si>
    <t>CR 25 AA CL 56 EE -21 (INTERIOR 402 )</t>
  </si>
  <si>
    <t>055225116550210402</t>
  </si>
  <si>
    <t>2025-12-02 14:01:25</t>
  </si>
  <si>
    <t>23599399</t>
  </si>
  <si>
    <t>25/11/2025 14:04:54</t>
  </si>
  <si>
    <t>2025-11-25 14:04:54</t>
  </si>
  <si>
    <t>MARIA ELENA JARAMILLO</t>
  </si>
  <si>
    <t>4516821</t>
  </si>
  <si>
    <t>3217821275</t>
  </si>
  <si>
    <t>RURAL_147026500000000000_LA CUCHILLA</t>
  </si>
  <si>
    <t>147026500000000000</t>
  </si>
  <si>
    <t>2025-12-01 14:04:54</t>
  </si>
  <si>
    <t>1 días 14:04</t>
  </si>
  <si>
    <t>3 días 14:10</t>
  </si>
  <si>
    <t>23599601</t>
  </si>
  <si>
    <t>25/11/2025 14:16:34</t>
  </si>
  <si>
    <t>2025-11-25 14:16:34</t>
  </si>
  <si>
    <t>GABRIEL ANTONIO ARANGO SIERRA</t>
  </si>
  <si>
    <t>3615295</t>
  </si>
  <si>
    <t>3007895971</t>
  </si>
  <si>
    <t>CL 13 SUR CR 55 -187</t>
  </si>
  <si>
    <t>771513005001870000</t>
  </si>
  <si>
    <t>2025-12-04 14:16:34</t>
  </si>
  <si>
    <t>4 días 14:16</t>
  </si>
  <si>
    <t>23599602</t>
  </si>
  <si>
    <t>25/11/2025 14:16:56</t>
  </si>
  <si>
    <t>2025-11-25 14:16:56</t>
  </si>
  <si>
    <t>MARIA EUGENIA FLOREZ DE VELEZ</t>
  </si>
  <si>
    <t>2682211</t>
  </si>
  <si>
    <t>3145147984</t>
  </si>
  <si>
    <t>TRAN 12 A CR 32 -116</t>
  </si>
  <si>
    <t>051312102001160000</t>
  </si>
  <si>
    <t>2025-12-09 14:16:56</t>
  </si>
  <si>
    <t>23599660</t>
  </si>
  <si>
    <t>25/11/2025 14:27:50</t>
  </si>
  <si>
    <t>2025-11-25 14:27:50</t>
  </si>
  <si>
    <t>JOHANA MILEYDI RIVERO MARTINEZ</t>
  </si>
  <si>
    <t>4821020</t>
  </si>
  <si>
    <t>3176276890</t>
  </si>
  <si>
    <t>CR 22 B CL 59 B -40 (INTERIOR 9902 )</t>
  </si>
  <si>
    <t>055222209200409902-ENEPRE</t>
  </si>
  <si>
    <t>2025-12-11 14:27:50</t>
  </si>
  <si>
    <t>23599692</t>
  </si>
  <si>
    <t>25/11/2025 14:43:24</t>
  </si>
  <si>
    <t>2025-11-25 14:43:24</t>
  </si>
  <si>
    <t>DANIEL OCHOA RODRIGUEZ</t>
  </si>
  <si>
    <t>4639061</t>
  </si>
  <si>
    <t>3217921505</t>
  </si>
  <si>
    <t>RURAL_122016986400000000_122016986400000000</t>
  </si>
  <si>
    <t>122016986400000000</t>
  </si>
  <si>
    <t>2025-12-01 14:43:24</t>
  </si>
  <si>
    <t>1 días 14:43</t>
  </si>
  <si>
    <t>23599696</t>
  </si>
  <si>
    <t>25/11/2025 14:46:10</t>
  </si>
  <si>
    <t>2025-11-25 14:46:10</t>
  </si>
  <si>
    <t>LUZ MARLENIS GRACIANO DAVID</t>
  </si>
  <si>
    <t>3148799321</t>
  </si>
  <si>
    <t>CR 20 BA CL 56 B -25 (INTERIOR 501 )</t>
  </si>
  <si>
    <t>055220216200250501</t>
  </si>
  <si>
    <t>2025-12-04 14:46:10</t>
  </si>
  <si>
    <t>3 días 14:46</t>
  </si>
  <si>
    <t>23599700</t>
  </si>
  <si>
    <t>25/11/2025 14:48:59</t>
  </si>
  <si>
    <t>2025-11-25 14:48:59</t>
  </si>
  <si>
    <t>ALEXANDRA TELLEZ ALONSO</t>
  </si>
  <si>
    <t>3116202500</t>
  </si>
  <si>
    <t>CR 2 A CL 53 B -26 (INTERIOR 202 )</t>
  </si>
  <si>
    <t>055022103200260202</t>
  </si>
  <si>
    <t>2025-12-09 14:48:59</t>
  </si>
  <si>
    <t>6 días 14:48</t>
  </si>
  <si>
    <t>23599758</t>
  </si>
  <si>
    <t>25/11/2025 15:24:09</t>
  </si>
  <si>
    <t>2025-11-25 15:24:09</t>
  </si>
  <si>
    <t>LILIANA PIMIENTA PALACIO</t>
  </si>
  <si>
    <t>3016998519</t>
  </si>
  <si>
    <t>CR 5 CL 55 F -29 (INTERIOR 201 )</t>
  </si>
  <si>
    <t>055025005600290201</t>
  </si>
  <si>
    <t>2025-12-09 15:24:09</t>
  </si>
  <si>
    <t>23599798</t>
  </si>
  <si>
    <t>25/11/2025 15:52:33</t>
  </si>
  <si>
    <t>2025-11-25 15:52:33</t>
  </si>
  <si>
    <t>ANDRES FELIPE ZULUAGA HINCAPIE</t>
  </si>
  <si>
    <t>3162974117</t>
  </si>
  <si>
    <t>CR 9 CL 2 -10</t>
  </si>
  <si>
    <t>050029002000100000</t>
  </si>
  <si>
    <t>2025-12-01 15:52:33</t>
  </si>
  <si>
    <t>23599799</t>
  </si>
  <si>
    <t>25/11/2025 15:52:25</t>
  </si>
  <si>
    <t>2025-11-25 15:52:25</t>
  </si>
  <si>
    <t>RAMIRO ANDRES RESTREPO TAMAYO</t>
  </si>
  <si>
    <t>2749117</t>
  </si>
  <si>
    <t>RURAL_161072500000000081_161072500000000081</t>
  </si>
  <si>
    <t>161072500000000081</t>
  </si>
  <si>
    <t>2025-12-01 15:52:25</t>
  </si>
  <si>
    <t>23599802</t>
  </si>
  <si>
    <t>25/11/2025 15:53:51</t>
  </si>
  <si>
    <t>2025-11-25 15:53:51</t>
  </si>
  <si>
    <t>GILDARDO MONTOYA VARGAS</t>
  </si>
  <si>
    <t>3214969930</t>
  </si>
  <si>
    <t>CR 85 D CL 57 A -18 (INTERIOR 9505 )</t>
  </si>
  <si>
    <t>055825407100189505</t>
  </si>
  <si>
    <t>2025-12-11 15:53:51</t>
  </si>
  <si>
    <t>23599807</t>
  </si>
  <si>
    <t>25/11/2025 15:57:07</t>
  </si>
  <si>
    <t>2025-11-25 15:57:07</t>
  </si>
  <si>
    <t>LUIS GEISER ZAPATA DURANGO</t>
  </si>
  <si>
    <t>3163966135</t>
  </si>
  <si>
    <t>CL 19 D CR 104 B -20 (INTERIOR 149 )</t>
  </si>
  <si>
    <t>081019404200200149</t>
  </si>
  <si>
    <t>2025-12-11 15:57:07</t>
  </si>
  <si>
    <t>23599816</t>
  </si>
  <si>
    <t>25/11/2025 16:01:56</t>
  </si>
  <si>
    <t>2025-11-25 16:01:56</t>
  </si>
  <si>
    <t>CARLOS ALFREDO OQUENDO CASTRO</t>
  </si>
  <si>
    <t>3105314517</t>
  </si>
  <si>
    <t>CL 34 AA CR 125 -53 (INTERIOR 103 )</t>
  </si>
  <si>
    <t>083214115000530103</t>
  </si>
  <si>
    <t>2025-12-09 16:01:56</t>
  </si>
  <si>
    <t>23599830</t>
  </si>
  <si>
    <t>25/11/2025 16:14:52</t>
  </si>
  <si>
    <t>2025-11-25 16:14:52</t>
  </si>
  <si>
    <t>JUAN SALVADOR GONZALEZ ALVAREZ</t>
  </si>
  <si>
    <t>3205145270</t>
  </si>
  <si>
    <t>RURAL_116005312515100201_116005312515100201</t>
  </si>
  <si>
    <t>116005312515100201</t>
  </si>
  <si>
    <t>2025-12-11 16:14:52</t>
  </si>
  <si>
    <t>23599832</t>
  </si>
  <si>
    <t>25/11/2025 16:15:41</t>
  </si>
  <si>
    <t>2025-11-25 16:15:41</t>
  </si>
  <si>
    <t>MIGUEL ANGEL ZAPATA VILLA</t>
  </si>
  <si>
    <t>3505329375</t>
  </si>
  <si>
    <t>CR 94 CL 57 C -65 (INTERIOR 238 )</t>
  </si>
  <si>
    <t>055924007300650238</t>
  </si>
  <si>
    <t>2025-12-02 16:15:41</t>
  </si>
  <si>
    <t>23599837</t>
  </si>
  <si>
    <t>25/11/2025 16:17:54</t>
  </si>
  <si>
    <t>2025-11-25 16:17:54</t>
  </si>
  <si>
    <t>CLAUDIA PATRICIA DURANGO YEPES</t>
  </si>
  <si>
    <t>2994577</t>
  </si>
  <si>
    <t>3215397677</t>
  </si>
  <si>
    <t>RURAL_116005319400000101_116005319400000101</t>
  </si>
  <si>
    <t>116005319400000101</t>
  </si>
  <si>
    <t>2025-12-11 16:17:54</t>
  </si>
  <si>
    <t>23599838</t>
  </si>
  <si>
    <t>25/11/2025 16:18:37</t>
  </si>
  <si>
    <t>2025-11-25 16:18:37</t>
  </si>
  <si>
    <t>RURAL_116005319400000201_116005319400000201</t>
  </si>
  <si>
    <t>116005319400000201</t>
  </si>
  <si>
    <t>2025-12-11 16:18:37</t>
  </si>
  <si>
    <t>23599846</t>
  </si>
  <si>
    <t>25/11/2025 16:24:23</t>
  </si>
  <si>
    <t>2025-11-25 16:24:23</t>
  </si>
  <si>
    <t>JOHN ARBEY ALVAREZ</t>
  </si>
  <si>
    <t>CR 125 CL 34 AA -148</t>
  </si>
  <si>
    <t>083225004111480000</t>
  </si>
  <si>
    <t>2025-12-01 16:24:23</t>
  </si>
  <si>
    <t>23599875</t>
  </si>
  <si>
    <t>25/11/2025 16:53:50</t>
  </si>
  <si>
    <t>2025-11-25 16:53:50</t>
  </si>
  <si>
    <t>CL 63 A CR 46 -50</t>
  </si>
  <si>
    <t>056413106000500000</t>
  </si>
  <si>
    <t>2025-12-04 16:53:50</t>
  </si>
  <si>
    <t>3 días 16:53</t>
  </si>
  <si>
    <t>4 días 16:53</t>
  </si>
  <si>
    <t>23599887</t>
  </si>
  <si>
    <t>25/11/2025 17:08:05</t>
  </si>
  <si>
    <t>2025-11-25 17:08:05</t>
  </si>
  <si>
    <t>MIRIAM DE SOCORRO RIOS SOTO</t>
  </si>
  <si>
    <t>3206911173</t>
  </si>
  <si>
    <t>RURAL_125004498600000008_CL 20C SUR CR 3 - 158</t>
  </si>
  <si>
    <t>125004498600000008</t>
  </si>
  <si>
    <t>2025-12-05 17:08:05</t>
  </si>
  <si>
    <t>5 días 17:08</t>
  </si>
  <si>
    <t>23599896</t>
  </si>
  <si>
    <t>25/11/2025 17:24:48</t>
  </si>
  <si>
    <t>2025-11-25 17:24:48</t>
  </si>
  <si>
    <t>MARIA JIMENA USUGA GRACIANO</t>
  </si>
  <si>
    <t>3116202804</t>
  </si>
  <si>
    <t>CR 143 CL 68 -20 (INTERIOR 114 )</t>
  </si>
  <si>
    <t>086423008000200114</t>
  </si>
  <si>
    <t>2025-12-09 17:24:48</t>
  </si>
  <si>
    <t>23599904</t>
  </si>
  <si>
    <t>25/11/2025 17:43:24</t>
  </si>
  <si>
    <t>2025-11-25 17:43:24</t>
  </si>
  <si>
    <t>YULI JOHANA CARDONA TRUJILLO</t>
  </si>
  <si>
    <t>3127573564</t>
  </si>
  <si>
    <t>RURAL_116005499070000000_116005499070000000</t>
  </si>
  <si>
    <t>116005499070000000</t>
  </si>
  <si>
    <t>2025-12-11 17:43:24</t>
  </si>
  <si>
    <t>23599912</t>
  </si>
  <si>
    <t>25/11/2025 17:52:22</t>
  </si>
  <si>
    <t>2025-11-25 17:52:22</t>
  </si>
  <si>
    <t>CLAUDIA ANDREA MARIN LONDOÑO</t>
  </si>
  <si>
    <t>4569876</t>
  </si>
  <si>
    <t>CL 30 CR 69 B -25</t>
  </si>
  <si>
    <t>053610009200250000</t>
  </si>
  <si>
    <t>2025-12-01 17:52:22</t>
  </si>
  <si>
    <t>23599919</t>
  </si>
  <si>
    <t>25/11/2025 18:13:37</t>
  </si>
  <si>
    <t>2025-11-25 18:13:37</t>
  </si>
  <si>
    <t>ANA CRISTINA VASQUEZ GONZALEZ</t>
  </si>
  <si>
    <t>3167841019</t>
  </si>
  <si>
    <t>CL 138 C SUR CR 47 A -43</t>
  </si>
  <si>
    <t>003418307100430000</t>
  </si>
  <si>
    <t>2025-12-01 18:13:37</t>
  </si>
  <si>
    <t>5930421</t>
  </si>
  <si>
    <t>23600149</t>
  </si>
  <si>
    <t>26/11/2025 06:59:08</t>
  </si>
  <si>
    <t>2025-11-26 06:59:08</t>
  </si>
  <si>
    <t>INVERSIONES RYJ S.A.S.</t>
  </si>
  <si>
    <t>3014091338</t>
  </si>
  <si>
    <t>CR 65 CL 40 -71 (INTERIOR 5 )</t>
  </si>
  <si>
    <t>054625000000710005</t>
  </si>
  <si>
    <t>2025-12-05 06:59:08</t>
  </si>
  <si>
    <t>23600160</t>
  </si>
  <si>
    <t>26/11/2025 07:06:00</t>
  </si>
  <si>
    <t>2025-11-26 07:06:00</t>
  </si>
  <si>
    <t>CR 65 CL 40 -71 (INTERIOR 6 )</t>
  </si>
  <si>
    <t>054625000000710006</t>
  </si>
  <si>
    <t>2025-12-05 07:06:00</t>
  </si>
  <si>
    <t>23600166</t>
  </si>
  <si>
    <t>26/11/2025 07:19:14</t>
  </si>
  <si>
    <t>2025-11-26 07:19:14</t>
  </si>
  <si>
    <t>INSTITUTO NACIONAL DE VIAS - INVIAS</t>
  </si>
  <si>
    <t>3770600</t>
  </si>
  <si>
    <t>CR 48 CL 98 SUR -</t>
  </si>
  <si>
    <t>039428008000000000</t>
  </si>
  <si>
    <t>2025-12-10 07:19:14</t>
  </si>
  <si>
    <t>23600181</t>
  </si>
  <si>
    <t>26/11/2025 07:35:40</t>
  </si>
  <si>
    <t>2025-11-26 07:35:40</t>
  </si>
  <si>
    <t>MONICA MARIA ACOSTA</t>
  </si>
  <si>
    <t>2566634</t>
  </si>
  <si>
    <t>3024011646</t>
  </si>
  <si>
    <t>RURAL_116005329290900000_116005329290900000</t>
  </si>
  <si>
    <t>116005329290900000</t>
  </si>
  <si>
    <t>2025-12-12 07:35:40</t>
  </si>
  <si>
    <t>2 días 07:42</t>
  </si>
  <si>
    <t>23600188</t>
  </si>
  <si>
    <t>26/11/2025 07:42:40</t>
  </si>
  <si>
    <t>2025-11-26 07:42:40</t>
  </si>
  <si>
    <t>CL 54 B CR 58 -14 (INTERIOR 301 )</t>
  </si>
  <si>
    <t>075514208000140301</t>
  </si>
  <si>
    <t>2025-12-03 07:42:40</t>
  </si>
  <si>
    <t>3 días 07:42</t>
  </si>
  <si>
    <t>23600192</t>
  </si>
  <si>
    <t>26/11/2025 07:46:45</t>
  </si>
  <si>
    <t>2025-11-26 07:46:45</t>
  </si>
  <si>
    <t>RURAL_161072500000000055_161072500000000055</t>
  </si>
  <si>
    <t>161072500000000055</t>
  </si>
  <si>
    <t>2025-12-02 07:46:45</t>
  </si>
  <si>
    <t>23600204</t>
  </si>
  <si>
    <t>26/11/2025 07:52:24</t>
  </si>
  <si>
    <t>2025-11-26 07:52:24</t>
  </si>
  <si>
    <t>MATEO CUERVO ALZATE</t>
  </si>
  <si>
    <t>3117379587</t>
  </si>
  <si>
    <t>CL 56 B CR 24 -41 (INTERIOR 301 )</t>
  </si>
  <si>
    <t>055216204000410301</t>
  </si>
  <si>
    <t>2025-12-02 07:52:24</t>
  </si>
  <si>
    <t>23600216</t>
  </si>
  <si>
    <t>26/11/2025 08:01:18</t>
  </si>
  <si>
    <t>2025-11-26 08:01:18</t>
  </si>
  <si>
    <t>LUZ MIRIAN URIBE MUÑETON</t>
  </si>
  <si>
    <t>3340169</t>
  </si>
  <si>
    <t>3127333371</t>
  </si>
  <si>
    <t>CR 40 A CL 44 SUR -83 (INTERIOR 201 )</t>
  </si>
  <si>
    <t>024420104000830201</t>
  </si>
  <si>
    <t>2025-12-05 08:01:18</t>
  </si>
  <si>
    <t>5 días 08:01</t>
  </si>
  <si>
    <t>23600232</t>
  </si>
  <si>
    <t>26/11/2025 08:16:18</t>
  </si>
  <si>
    <t>2025-11-26 08:16:18</t>
  </si>
  <si>
    <t>DIEGO ALONSO PELAEZ CARDENAS</t>
  </si>
  <si>
    <t>2556221</t>
  </si>
  <si>
    <t>2025-12-10 08:16:18</t>
  </si>
  <si>
    <t>23600245</t>
  </si>
  <si>
    <t>26/11/2025 08:21:43</t>
  </si>
  <si>
    <t>2025-11-26 08:21:43</t>
  </si>
  <si>
    <t>LEIDY CAROLINA JIMENEZ GIL</t>
  </si>
  <si>
    <t>5591727</t>
  </si>
  <si>
    <t>3118189982</t>
  </si>
  <si>
    <t>CR 57 A CL 45 -41</t>
  </si>
  <si>
    <t>054527105000410000</t>
  </si>
  <si>
    <t>2025-12-10 08:21:43</t>
  </si>
  <si>
    <t>23600276</t>
  </si>
  <si>
    <t>26/11/2025 08:43:09</t>
  </si>
  <si>
    <t>2025-11-26 08:43:09</t>
  </si>
  <si>
    <t>BLAS ELIDES GIRALDO GRACIANO</t>
  </si>
  <si>
    <t>3104708305</t>
  </si>
  <si>
    <t>2025-12-05 08:43:09</t>
  </si>
  <si>
    <t>23600287</t>
  </si>
  <si>
    <t>26/11/2025 08:50:40</t>
  </si>
  <si>
    <t>2025-11-26 08:50:40</t>
  </si>
  <si>
    <t>3855555</t>
  </si>
  <si>
    <t>3105418215</t>
  </si>
  <si>
    <t>CL 18 CR 103 -175 (INTERIOR 9902 )</t>
  </si>
  <si>
    <t>081018003001759902</t>
  </si>
  <si>
    <t>2025-12-02 08:50:40</t>
  </si>
  <si>
    <t>23600299</t>
  </si>
  <si>
    <t>26/11/2025 08:58:46</t>
  </si>
  <si>
    <t>2025-11-26 08:58:46</t>
  </si>
  <si>
    <t>MARIA ADELAIDA MUÑOZ SEGURO</t>
  </si>
  <si>
    <t>3107709865</t>
  </si>
  <si>
    <t>RURAL_116005537080000000_116005537080000000</t>
  </si>
  <si>
    <t>116005537080000000</t>
  </si>
  <si>
    <t>2025-12-12 08:58:46</t>
  </si>
  <si>
    <t>23600313</t>
  </si>
  <si>
    <t>26/11/2025 09:14:39</t>
  </si>
  <si>
    <t>2025-11-26 09:14:39</t>
  </si>
  <si>
    <t>EVALTEC S.A</t>
  </si>
  <si>
    <t>CR 80 A CL 28 -109 (INTERIOR 301 )</t>
  </si>
  <si>
    <t>052820108001090301</t>
  </si>
  <si>
    <t>2025-12-02 09:14:39</t>
  </si>
  <si>
    <t>23600314</t>
  </si>
  <si>
    <t>26/11/2025 09:15:18</t>
  </si>
  <si>
    <t>2025-11-26 09:15:18</t>
  </si>
  <si>
    <t>LUZ ADIELA GARCIA DE OTALVARO</t>
  </si>
  <si>
    <t>2308882</t>
  </si>
  <si>
    <t>CR 68 C CIRC 3 -122</t>
  </si>
  <si>
    <t>053628309001220000</t>
  </si>
  <si>
    <t>2025-12-02 09:15:18</t>
  </si>
  <si>
    <t>2 días 09:15</t>
  </si>
  <si>
    <t>23600369</t>
  </si>
  <si>
    <t>26/11/2025 09:59:40</t>
  </si>
  <si>
    <t>2025-11-26 09:59:40</t>
  </si>
  <si>
    <t>SILVIA MARGARITA SANCHEZ VELASQUEZ</t>
  </si>
  <si>
    <t>3218298809</t>
  </si>
  <si>
    <t>CR 55 CL 63 C -11</t>
  </si>
  <si>
    <t>076525003300110000</t>
  </si>
  <si>
    <t>2025-12-10 09:59:40</t>
  </si>
  <si>
    <t>23600402</t>
  </si>
  <si>
    <t>26/11/2025 10:17:11</t>
  </si>
  <si>
    <t>2025-11-26 10:17:11</t>
  </si>
  <si>
    <t>ELIZABETH  SALAZAR PALACIOS</t>
  </si>
  <si>
    <t>3122207678</t>
  </si>
  <si>
    <t>CR 2 AH CL 46 -111 (INTERIOR 301 )</t>
  </si>
  <si>
    <t>054022186001110301</t>
  </si>
  <si>
    <t>2025-12-02 10:17:11</t>
  </si>
  <si>
    <t>23600405</t>
  </si>
  <si>
    <t>26/11/2025 10:21:03</t>
  </si>
  <si>
    <t>2025-11-26 10:21:03</t>
  </si>
  <si>
    <t>YELITZA SERNA</t>
  </si>
  <si>
    <t>3223555336</t>
  </si>
  <si>
    <t>CL 48 D CR 110 -364</t>
  </si>
  <si>
    <t>084118400003640000</t>
  </si>
  <si>
    <t>2025-12-03 10:21:03</t>
  </si>
  <si>
    <t>23600416</t>
  </si>
  <si>
    <t>26/11/2025 10:27:34</t>
  </si>
  <si>
    <t>2025-11-26 10:27:34</t>
  </si>
  <si>
    <t>ALEJANDRA PEREZ ARANGO</t>
  </si>
  <si>
    <t>3116097857</t>
  </si>
  <si>
    <t>RURAL_167082000000000101_167082000000000101</t>
  </si>
  <si>
    <t>167082000000000101</t>
  </si>
  <si>
    <t>2025-12-11 10:27:34</t>
  </si>
  <si>
    <t>23600423</t>
  </si>
  <si>
    <t>26/11/2025 10:32:28</t>
  </si>
  <si>
    <t>2025-11-26 10:32:28</t>
  </si>
  <si>
    <t>RECONSTRUCTORA MEDELLIN SAS</t>
  </si>
  <si>
    <t>2625397</t>
  </si>
  <si>
    <t>3148302470</t>
  </si>
  <si>
    <t>CL 40 CR 52 A -25</t>
  </si>
  <si>
    <t>054510002100250000</t>
  </si>
  <si>
    <t>2025-12-02 10:32:28</t>
  </si>
  <si>
    <t>2 días 10:32</t>
  </si>
  <si>
    <t>23600432</t>
  </si>
  <si>
    <t>26/11/2025 10:37:15</t>
  </si>
  <si>
    <t>2025-11-26 10:37:15</t>
  </si>
  <si>
    <t>ALCIRA COLLAZOS</t>
  </si>
  <si>
    <t>2653708</t>
  </si>
  <si>
    <t>3152673851</t>
  </si>
  <si>
    <t>RURAL_114005210000000105</t>
  </si>
  <si>
    <t>114005210000000105</t>
  </si>
  <si>
    <t>2025-12-11 10:37:15</t>
  </si>
  <si>
    <t>23600434</t>
  </si>
  <si>
    <t>26/11/2025 10:37:29</t>
  </si>
  <si>
    <t>2025-11-26 10:37:29</t>
  </si>
  <si>
    <t>FELIX TAMAYO ARISTIZABAL</t>
  </si>
  <si>
    <t>3002126563</t>
  </si>
  <si>
    <t>CL 44 A CR 71 -55</t>
  </si>
  <si>
    <t>054714101000550000</t>
  </si>
  <si>
    <t>2025-12-02 10:37:29</t>
  </si>
  <si>
    <t>23600446</t>
  </si>
  <si>
    <t>26/11/2025 10:48:35</t>
  </si>
  <si>
    <t>2025-11-26 10:48:35</t>
  </si>
  <si>
    <t>CR 48 CL 46 SUR -150</t>
  </si>
  <si>
    <t>024428006001500000</t>
  </si>
  <si>
    <t>2025-12-02 10:48:35</t>
  </si>
  <si>
    <t>2 días 10:49</t>
  </si>
  <si>
    <t>23600502</t>
  </si>
  <si>
    <t>26/11/2025 11:27:35</t>
  </si>
  <si>
    <t>2025-11-26 11:27:35</t>
  </si>
  <si>
    <t>STEFANY SALAZAR IBARGUEN</t>
  </si>
  <si>
    <t>3015050980</t>
  </si>
  <si>
    <t>CL 58 CR 93 A -24 (INTERIOR 200 )</t>
  </si>
  <si>
    <t>055918003100240200</t>
  </si>
  <si>
    <t>2025-12-05 11:27:35</t>
  </si>
  <si>
    <t>23600505</t>
  </si>
  <si>
    <t>26/11/2025 11:30:37</t>
  </si>
  <si>
    <t>2025-11-26 11:30:37</t>
  </si>
  <si>
    <t>2025-12-02 11:30:37</t>
  </si>
  <si>
    <t>23600529</t>
  </si>
  <si>
    <t>26/11/2025 11:43:33</t>
  </si>
  <si>
    <t>2025-11-26 11:43:33</t>
  </si>
  <si>
    <t>YOVER ALFONSO SUAREZ RESTREPO</t>
  </si>
  <si>
    <t>3024466199</t>
  </si>
  <si>
    <t>CL 42 B SUR CR 63 -58 (INTERIOR 402 )</t>
  </si>
  <si>
    <t>044612203000580402-ENEPRE</t>
  </si>
  <si>
    <t>2025-12-12 11:43:33</t>
  </si>
  <si>
    <t>23600530</t>
  </si>
  <si>
    <t>26/11/2025 11:43:35</t>
  </si>
  <si>
    <t>2025-11-26 11:43:35</t>
  </si>
  <si>
    <t>JUAN CAMILO AGUDELO YEPES</t>
  </si>
  <si>
    <t>3216319028</t>
  </si>
  <si>
    <t>CL 75 B SUR CR 40 -323</t>
  </si>
  <si>
    <t>017415200003230000</t>
  </si>
  <si>
    <t>2025-12-05 11:43:35</t>
  </si>
  <si>
    <t>23600532</t>
  </si>
  <si>
    <t>26/11/2025 11:45:54</t>
  </si>
  <si>
    <t>2025-11-26 11:45:54</t>
  </si>
  <si>
    <t>JOHN ELKIN VARELAS TORRES</t>
  </si>
  <si>
    <t>3137698363</t>
  </si>
  <si>
    <t>CR 132 A CL 59 -34</t>
  </si>
  <si>
    <t>085322109000340000</t>
  </si>
  <si>
    <t>2025-12-12 11:45:54</t>
  </si>
  <si>
    <t>23600534</t>
  </si>
  <si>
    <t>26/11/2025 11:47:50</t>
  </si>
  <si>
    <t>2025-11-26 11:47:50</t>
  </si>
  <si>
    <t>ISABEL CRISTINA CORREA PEÑA</t>
  </si>
  <si>
    <t>3008248572</t>
  </si>
  <si>
    <t>CL 40 G SUR CR 25 -83 (INTERIOR 202 )</t>
  </si>
  <si>
    <t>024210705000830202</t>
  </si>
  <si>
    <t>2025-12-05 11:47:50</t>
  </si>
  <si>
    <t>23600540</t>
  </si>
  <si>
    <t>26/11/2025 11:49:37</t>
  </si>
  <si>
    <t>2025-11-26 11:49:37</t>
  </si>
  <si>
    <t>CARLOS EMILIO SOTO DUQUE</t>
  </si>
  <si>
    <t>2025-12-10 11:49:37</t>
  </si>
  <si>
    <t>7 días 11:49</t>
  </si>
  <si>
    <t>23600541</t>
  </si>
  <si>
    <t>26/11/2025 11:49:52</t>
  </si>
  <si>
    <t>2025-11-26 11:49:52</t>
  </si>
  <si>
    <t>GUSTAVO ADOLFO SUAREZ CORREA</t>
  </si>
  <si>
    <t>3128673069</t>
  </si>
  <si>
    <t>CL 12 C SUR CR 53 -120</t>
  </si>
  <si>
    <t>041512303001200000</t>
  </si>
  <si>
    <t>2025-12-02 11:49:52</t>
  </si>
  <si>
    <t>23600548</t>
  </si>
  <si>
    <t>26/11/2025 12:05:08</t>
  </si>
  <si>
    <t>2025-11-26 12:05:08</t>
  </si>
  <si>
    <t>3007452017</t>
  </si>
  <si>
    <t>CL 30 CR 88 B -142 (INTERIOR 111 )</t>
  </si>
  <si>
    <t>053810008201420111</t>
  </si>
  <si>
    <t>2025-12-02 12:05:08</t>
  </si>
  <si>
    <t>23600559</t>
  </si>
  <si>
    <t>26/11/2025 12:17:42</t>
  </si>
  <si>
    <t>2025-11-26 12:17:42</t>
  </si>
  <si>
    <t>2025-12-10 12:17:42</t>
  </si>
  <si>
    <t>23600561</t>
  </si>
  <si>
    <t>26/11/2025 12:19:06</t>
  </si>
  <si>
    <t>2025-11-26 12:19:06</t>
  </si>
  <si>
    <t>JOSE DOLORES LLANOS HERNANDEZ</t>
  </si>
  <si>
    <t>3807753</t>
  </si>
  <si>
    <t>3168148800</t>
  </si>
  <si>
    <t>CL 78 A SUR CR 52 B -136</t>
  </si>
  <si>
    <t>037518102201360000</t>
  </si>
  <si>
    <t>2025-12-02 12:19:06</t>
  </si>
  <si>
    <t>23600565</t>
  </si>
  <si>
    <t>26/11/2025 12:22:12</t>
  </si>
  <si>
    <t>2025-11-26 12:22:12</t>
  </si>
  <si>
    <t>JOHN HENRY SERNA CASTAÑO</t>
  </si>
  <si>
    <t>3122871814</t>
  </si>
  <si>
    <t>CR 44 CL 39 -45</t>
  </si>
  <si>
    <t>053424009000450000</t>
  </si>
  <si>
    <t>2025-12-02 12:22:12</t>
  </si>
  <si>
    <t>23600571</t>
  </si>
  <si>
    <t>26/11/2025 12:29:41</t>
  </si>
  <si>
    <t>2025-11-26 12:29:41</t>
  </si>
  <si>
    <t>ELIBER ANDRES LOPEZ MEJIA</t>
  </si>
  <si>
    <t>3016101192</t>
  </si>
  <si>
    <t>CR 52 CL 143 SUR -71</t>
  </si>
  <si>
    <t>004522003000710000</t>
  </si>
  <si>
    <t>2025-12-02 12:29:41</t>
  </si>
  <si>
    <t>23600572</t>
  </si>
  <si>
    <t>26/11/2025 12:30:10</t>
  </si>
  <si>
    <t>2025-11-26 12:30:10</t>
  </si>
  <si>
    <t>OLIVERIO DE JESUS ARANGO PEREZ</t>
  </si>
  <si>
    <t>CL 37 SUR CR 41 -42</t>
  </si>
  <si>
    <t>023417001000420000</t>
  </si>
  <si>
    <t>2025-12-02 12:30:10</t>
  </si>
  <si>
    <t>23600596</t>
  </si>
  <si>
    <t>26/11/2025 13:02:07</t>
  </si>
  <si>
    <t>2025-11-26 13:02:07</t>
  </si>
  <si>
    <t>ELKIN ALFONSO QUIROZ AGUDELO</t>
  </si>
  <si>
    <t>5886883</t>
  </si>
  <si>
    <t>CL 35 SUR CR 43 -63</t>
  </si>
  <si>
    <t>023415003000630000</t>
  </si>
  <si>
    <t>2025-12-02 13:02:07</t>
  </si>
  <si>
    <t>2 días 13:02</t>
  </si>
  <si>
    <t>23600639</t>
  </si>
  <si>
    <t>26/11/2025 13:04:00</t>
  </si>
  <si>
    <t>2025-11-26 13:04:00</t>
  </si>
  <si>
    <t>FLOR DINENCY OROZCO LOAIZA</t>
  </si>
  <si>
    <t>3103724577</t>
  </si>
  <si>
    <t>CL 56 E CR 17 B -3 (INTERIOR 301 )</t>
  </si>
  <si>
    <t>055116507200030301</t>
  </si>
  <si>
    <t>2025-12-12 13:04:00</t>
  </si>
  <si>
    <t>23600659</t>
  </si>
  <si>
    <t>26/11/2025 13:05:39</t>
  </si>
  <si>
    <t>2025-11-26 13:05:39</t>
  </si>
  <si>
    <t>CR 45 CL 125 SUR -201 (INTERIOR 203 )</t>
  </si>
  <si>
    <t>002425005002010203</t>
  </si>
  <si>
    <t>2025-12-02 13:05:39</t>
  </si>
  <si>
    <t>23600665</t>
  </si>
  <si>
    <t>26/11/2025 13:09:34</t>
  </si>
  <si>
    <t>2025-11-26 13:09:34</t>
  </si>
  <si>
    <t>JULIAN ANDRES GRANADA RESTREPO</t>
  </si>
  <si>
    <t>8553354</t>
  </si>
  <si>
    <t>TRAN 32 E DIAG 74 D -69</t>
  </si>
  <si>
    <t>053792504400690000</t>
  </si>
  <si>
    <t>2025-12-02 13:09:34</t>
  </si>
  <si>
    <t>23600683</t>
  </si>
  <si>
    <t>26/11/2025 13:12:37</t>
  </si>
  <si>
    <t>2025-11-26 13:12:37</t>
  </si>
  <si>
    <t>MARTA CECILIA BENAVIDES GALVIS</t>
  </si>
  <si>
    <t>3052083833</t>
  </si>
  <si>
    <t>CL 56 BB CR 20 C -1 (INTERIOR 202 )</t>
  </si>
  <si>
    <t>055216220300010202</t>
  </si>
  <si>
    <t>2025-12-10 13:12:37</t>
  </si>
  <si>
    <t>23600686</t>
  </si>
  <si>
    <t>26/11/2025 13:17:18</t>
  </si>
  <si>
    <t>2025-11-26 13:17:18</t>
  </si>
  <si>
    <t>PROMOTORA BRISAS DEL VALLE SAS</t>
  </si>
  <si>
    <t>3148873658</t>
  </si>
  <si>
    <t>CL 82 SUR CR 35 -1</t>
  </si>
  <si>
    <t>018312005000010000</t>
  </si>
  <si>
    <t>2025-12-02 13:17:18</t>
  </si>
  <si>
    <t>23600701</t>
  </si>
  <si>
    <t>26/11/2025 13:27:52</t>
  </si>
  <si>
    <t>2025-11-26 13:27:52</t>
  </si>
  <si>
    <t>RAUL FARID RAVE HERNANDEZ</t>
  </si>
  <si>
    <t>3136192350</t>
  </si>
  <si>
    <t>CL 39 F CR 115 A -149 (INTERIOR 301 )</t>
  </si>
  <si>
    <t>083119605101490301</t>
  </si>
  <si>
    <t>2025-12-05 13:27:52</t>
  </si>
  <si>
    <t>CLAUDIA PATRICIA ALVAREZ CARO</t>
  </si>
  <si>
    <t>5776172</t>
  </si>
  <si>
    <t>3016035891</t>
  </si>
  <si>
    <t>23600714</t>
  </si>
  <si>
    <t>26/11/2025 13:36:52</t>
  </si>
  <si>
    <t>2025-11-26 13:36:52</t>
  </si>
  <si>
    <t>YESICA JOHANA ALVAREZ</t>
  </si>
  <si>
    <t>3002430152</t>
  </si>
  <si>
    <t>CR 118 CL 36 C -98</t>
  </si>
  <si>
    <t>083128006300980000</t>
  </si>
  <si>
    <t>2025-12-10 13:36:52</t>
  </si>
  <si>
    <t>23600717</t>
  </si>
  <si>
    <t>26/11/2025 13:39:04</t>
  </si>
  <si>
    <t>2025-11-26 13:39:04</t>
  </si>
  <si>
    <t>CLAUDIA PATRICIA MONTOYA ESPINAL</t>
  </si>
  <si>
    <t>2538885</t>
  </si>
  <si>
    <t>3016084879</t>
  </si>
  <si>
    <t>CL 40 CR 88 -115</t>
  </si>
  <si>
    <t>054810008001150000</t>
  </si>
  <si>
    <t>2025-12-02 13:39:04</t>
  </si>
  <si>
    <t>23600730</t>
  </si>
  <si>
    <t>26/11/2025 13:47:46</t>
  </si>
  <si>
    <t>2025-11-26 13:47:46</t>
  </si>
  <si>
    <t>JUAN ESTEBAN ACOSTA MONSALVE</t>
  </si>
  <si>
    <t>3218114859</t>
  </si>
  <si>
    <t>CR 39 CL 50 -20 (INTERIOR 702 )</t>
  </si>
  <si>
    <t>055329000000200702</t>
  </si>
  <si>
    <t>2025-12-05 13:47:46</t>
  </si>
  <si>
    <t>23600733</t>
  </si>
  <si>
    <t>26/11/2025 13:50:08</t>
  </si>
  <si>
    <t>2025-11-26 13:50:08</t>
  </si>
  <si>
    <t>3007524342</t>
  </si>
  <si>
    <t>CR 39 CL 50 -20 (INTERIOR 701 )</t>
  </si>
  <si>
    <t>055329000000200701</t>
  </si>
  <si>
    <t>2025-12-05 13:50:08</t>
  </si>
  <si>
    <t>23600735</t>
  </si>
  <si>
    <t>26/11/2025 13:51:27</t>
  </si>
  <si>
    <t>2025-11-26 13:51:27</t>
  </si>
  <si>
    <t>CR 99 EE CL 49 AA -81 (INTERIOR 202 )</t>
  </si>
  <si>
    <t>054929559110810202</t>
  </si>
  <si>
    <t>2025-12-03 13:51:27</t>
  </si>
  <si>
    <t>3 días 13:51</t>
  </si>
  <si>
    <t>23600736</t>
  </si>
  <si>
    <t>26/11/2025 13:51:36</t>
  </si>
  <si>
    <t>2025-11-26 13:51:36</t>
  </si>
  <si>
    <t>OSCAR MARIO RESTREPO HOYOS</t>
  </si>
  <si>
    <t>3013390</t>
  </si>
  <si>
    <t>3013390592</t>
  </si>
  <si>
    <t>CL 44 CR 31 -11</t>
  </si>
  <si>
    <t>054314001000110000</t>
  </si>
  <si>
    <t>2025-12-10 13:51:36</t>
  </si>
  <si>
    <t>23600737</t>
  </si>
  <si>
    <t>26/11/2025 13:53:30</t>
  </si>
  <si>
    <t>2025-11-26 13:53:30</t>
  </si>
  <si>
    <t>ANA CAROLINA BETANCUR GAVIRIA</t>
  </si>
  <si>
    <t>CL 126 SUR CR 40 -155 (INTERIOR 120 )</t>
  </si>
  <si>
    <t>002416000001550120</t>
  </si>
  <si>
    <t>2025-12-05 13:53:30</t>
  </si>
  <si>
    <t>23600772</t>
  </si>
  <si>
    <t>26/11/2025 14:24:30</t>
  </si>
  <si>
    <t>2025-11-26 14:24:30</t>
  </si>
  <si>
    <t>JORGE ALBERTO PEREZ MARTIN</t>
  </si>
  <si>
    <t>5820206</t>
  </si>
  <si>
    <t>3006525034</t>
  </si>
  <si>
    <t>CR 81 C CL 49 F -62</t>
  </si>
  <si>
    <t>054821309600620000</t>
  </si>
  <si>
    <t>2025-12-02 14:24:30</t>
  </si>
  <si>
    <t>2 días 14:24</t>
  </si>
  <si>
    <t>23600773</t>
  </si>
  <si>
    <t>26/11/2025 14:28:47</t>
  </si>
  <si>
    <t>2025-11-26 14:28:47</t>
  </si>
  <si>
    <t>KRISTIAN HERNANDEZ JARAMILLO</t>
  </si>
  <si>
    <t>CL 130 SUR CR 56 -310 (INTERIOR 152 )</t>
  </si>
  <si>
    <t>003510006003100152</t>
  </si>
  <si>
    <t>2025-12-02 14:28:47</t>
  </si>
  <si>
    <t>23600775</t>
  </si>
  <si>
    <t>26/11/2025 14:29:37</t>
  </si>
  <si>
    <t>2025-11-26 14:29:37</t>
  </si>
  <si>
    <t>3206973382</t>
  </si>
  <si>
    <t>CR 65 CL 35 -36</t>
  </si>
  <si>
    <t>073625005000360000</t>
  </si>
  <si>
    <t>2025-12-02 14:29:37</t>
  </si>
  <si>
    <t>23600776</t>
  </si>
  <si>
    <t>26/11/2025 14:29:49</t>
  </si>
  <si>
    <t>2025-11-26 14:29:49</t>
  </si>
  <si>
    <t>JORGE ALONSO CAÑON HENAO</t>
  </si>
  <si>
    <t>3216389115</t>
  </si>
  <si>
    <t>CL 26 SUR CR 22 -50 (INTERIOR 114 )</t>
  </si>
  <si>
    <t>022216002000500114</t>
  </si>
  <si>
    <t>2025-12-05 14:29:49</t>
  </si>
  <si>
    <t>23600790</t>
  </si>
  <si>
    <t>26/11/2025 14:39:55</t>
  </si>
  <si>
    <t>2025-11-26 14:39:55</t>
  </si>
  <si>
    <t>MARIA OFELIA GOMEZ DE RUIZ</t>
  </si>
  <si>
    <t>3217472558</t>
  </si>
  <si>
    <t>CL 56 A CR 25 BB -76 (INTERIOR 328 )</t>
  </si>
  <si>
    <t>055216105220760328</t>
  </si>
  <si>
    <t>2025-12-03 14:39:55</t>
  </si>
  <si>
    <t>2 días 14:39</t>
  </si>
  <si>
    <t>3 días 14:39</t>
  </si>
  <si>
    <t>23600794</t>
  </si>
  <si>
    <t>26/11/2025 14:44:04</t>
  </si>
  <si>
    <t>2025-11-26 14:44:04</t>
  </si>
  <si>
    <t>AURA ROSA RODRIGUEZ ACEVEDO</t>
  </si>
  <si>
    <t>3014113600</t>
  </si>
  <si>
    <t>CR 55 B CL 55 -36 (INTERIOR 210 )</t>
  </si>
  <si>
    <t>075525205000360210-ENEPRE</t>
  </si>
  <si>
    <t>2025-12-12 14:44:04</t>
  </si>
  <si>
    <t>23600817</t>
  </si>
  <si>
    <t>26/11/2025 15:05:58</t>
  </si>
  <si>
    <t>2025-11-26 15:05:58</t>
  </si>
  <si>
    <t>ALVARO DIEL SANCHEZ VARELAS</t>
  </si>
  <si>
    <t>3226673519</t>
  </si>
  <si>
    <t>CR 99 CD CL 49 A -118 (INTERIOR 206 )</t>
  </si>
  <si>
    <t>054929349101180206</t>
  </si>
  <si>
    <t>2025-12-10 15:05:58</t>
  </si>
  <si>
    <t>23600829</t>
  </si>
  <si>
    <t>26/11/2025 15:16:29</t>
  </si>
  <si>
    <t>2025-11-26 15:16:29</t>
  </si>
  <si>
    <t>JOSE EVARISTO TORRES GIRON</t>
  </si>
  <si>
    <t>3225218349</t>
  </si>
  <si>
    <t>CL 56 A CR 25 BB -76 (INTERIOR 280 )</t>
  </si>
  <si>
    <t>055216105220760280</t>
  </si>
  <si>
    <t>2025-12-03 15:16:29</t>
  </si>
  <si>
    <t>2 días 15:16</t>
  </si>
  <si>
    <t>3 días 15:16</t>
  </si>
  <si>
    <t>23600836</t>
  </si>
  <si>
    <t>26/11/2025 15:19:55</t>
  </si>
  <si>
    <t>2025-11-26 15:19:55</t>
  </si>
  <si>
    <t>LUISA FERNANDA ZAPATA ALVAREZ</t>
  </si>
  <si>
    <t>3008657235</t>
  </si>
  <si>
    <t>CL 56 A CR 25 BB -76 (INTERIOR 119 )</t>
  </si>
  <si>
    <t>055216105220760119</t>
  </si>
  <si>
    <t>2025-12-03 15:19:55</t>
  </si>
  <si>
    <t>2 días 15:19</t>
  </si>
  <si>
    <t>3 días 15:19</t>
  </si>
  <si>
    <t>23600849</t>
  </si>
  <si>
    <t>26/11/2025 15:30:50</t>
  </si>
  <si>
    <t>2025-11-26 15:30:50</t>
  </si>
  <si>
    <t>ASOMIELRODAS</t>
  </si>
  <si>
    <t>3508754669</t>
  </si>
  <si>
    <t>RURAL_166055080500000300_VEREDA EL ESCOBERO LOTE 1</t>
  </si>
  <si>
    <t>166055080500000300</t>
  </si>
  <si>
    <t>2025-12-11 15:30:50</t>
  </si>
  <si>
    <t>23600852</t>
  </si>
  <si>
    <t>26/11/2025 15:31:52</t>
  </si>
  <si>
    <t>2025-11-26 15:31:52</t>
  </si>
  <si>
    <t>JUAN DIEGO RAVE CRUZ</t>
  </si>
  <si>
    <t>3226043282</t>
  </si>
  <si>
    <t>RURAL_122040550000000101_VEREDA EL LLANO</t>
  </si>
  <si>
    <t>122040550000000101</t>
  </si>
  <si>
    <t>2025-12-09 15:31:52</t>
  </si>
  <si>
    <t>6 días 15:31</t>
  </si>
  <si>
    <t>23600853</t>
  </si>
  <si>
    <t>26/11/2025 15:31:53</t>
  </si>
  <si>
    <t>2025-11-26 15:31:53</t>
  </si>
  <si>
    <t>FRANCISCO JAVIER URREA TRUJILLO</t>
  </si>
  <si>
    <t>3013874</t>
  </si>
  <si>
    <t>3006245091</t>
  </si>
  <si>
    <t>RURAL_167060700000000001_PROV.RURAL_16706070000000</t>
  </si>
  <si>
    <t>167060700000000001</t>
  </si>
  <si>
    <t>2025-12-11 15:31:53</t>
  </si>
  <si>
    <t>23600866</t>
  </si>
  <si>
    <t>26/11/2025 15:40:25</t>
  </si>
  <si>
    <t>2025-11-26 15:40:25</t>
  </si>
  <si>
    <t>MARIA CONSUELO VAHOS QUICENO</t>
  </si>
  <si>
    <t>3207374277</t>
  </si>
  <si>
    <t>CL 48 FA CR 102 A -26 (INTERIOR 301 )</t>
  </si>
  <si>
    <t>084018612100260301</t>
  </si>
  <si>
    <t>2025-12-03 15:40:25</t>
  </si>
  <si>
    <t>3 días 15:40</t>
  </si>
  <si>
    <t>23600906</t>
  </si>
  <si>
    <t>26/11/2025 16:04:27</t>
  </si>
  <si>
    <t>2025-11-26 16:04:27</t>
  </si>
  <si>
    <t>MALORI GISELA RIOS CHALARCA</t>
  </si>
  <si>
    <t>3217271865</t>
  </si>
  <si>
    <t>CR 27 CL 59 -98 (INTERIOR 201 )</t>
  </si>
  <si>
    <t>055227009000980201</t>
  </si>
  <si>
    <t>2025-12-05 16:04:27</t>
  </si>
  <si>
    <t>23600918</t>
  </si>
  <si>
    <t>26/11/2025 16:12:25</t>
  </si>
  <si>
    <t>2025-11-26 16:12:25</t>
  </si>
  <si>
    <t>JACKSON JOSE SANCHEZ MOSQUERA</t>
  </si>
  <si>
    <t>3105142953</t>
  </si>
  <si>
    <t>CL 49 B CR 99 B -218 (INTERIOR 103 )</t>
  </si>
  <si>
    <t>054919209202180103</t>
  </si>
  <si>
    <t>2025-12-03 16:12:25</t>
  </si>
  <si>
    <t>2 días 16:12</t>
  </si>
  <si>
    <t>23600947</t>
  </si>
  <si>
    <t>26/11/2025 16:36:53</t>
  </si>
  <si>
    <t>2025-11-26 16:36:53</t>
  </si>
  <si>
    <t>ESTRELLA MEJIA VELEZ</t>
  </si>
  <si>
    <t>2783930</t>
  </si>
  <si>
    <t>3147139110</t>
  </si>
  <si>
    <t>CR 50 CL 113 SUR -64 (INTERIOR 356 )</t>
  </si>
  <si>
    <t>001520003000640356</t>
  </si>
  <si>
    <t>2025-12-05 16:36:53</t>
  </si>
  <si>
    <t>23600949</t>
  </si>
  <si>
    <t>26/11/2025 16:37:10</t>
  </si>
  <si>
    <t>2025-11-26 16:37:10</t>
  </si>
  <si>
    <t>CR 50 CL 113 SUR -64 (INTERIOR 256 )</t>
  </si>
  <si>
    <t>001520003000640256</t>
  </si>
  <si>
    <t>2025-12-05 16:37:10</t>
  </si>
  <si>
    <t>23600975</t>
  </si>
  <si>
    <t>26/11/2025 16:59:46</t>
  </si>
  <si>
    <t>2025-11-26 16:59:46</t>
  </si>
  <si>
    <t>FUNDACION OBRA SOCIAL UNIDA</t>
  </si>
  <si>
    <t>3007406339</t>
  </si>
  <si>
    <t>CL 39 C CR 109 -106</t>
  </si>
  <si>
    <t>083019309001060000</t>
  </si>
  <si>
    <t>2025-12-02 16:59:46</t>
  </si>
  <si>
    <t>23600995</t>
  </si>
  <si>
    <t>26/11/2025 17:20:31</t>
  </si>
  <si>
    <t>2025-11-26 17:20:31</t>
  </si>
  <si>
    <t>PROYECTOS DE INGENIERIA AVANZADA</t>
  </si>
  <si>
    <t>2650555</t>
  </si>
  <si>
    <t>3183451080</t>
  </si>
  <si>
    <t>CR 43 C CL 5 -69</t>
  </si>
  <si>
    <t>050423305000690000</t>
  </si>
  <si>
    <t>2025-12-05 17:20:31</t>
  </si>
  <si>
    <t>23601006</t>
  </si>
  <si>
    <t>26/11/2025 17:33:33</t>
  </si>
  <si>
    <t>2025-11-26 17:33:33</t>
  </si>
  <si>
    <t>CR 43 C CL 5 -69 (INTERIOR 6 )</t>
  </si>
  <si>
    <t>050423305000690006</t>
  </si>
  <si>
    <t>2025-12-05 17:33:33</t>
  </si>
  <si>
    <t>23601012</t>
  </si>
  <si>
    <t>26/11/2025 17:44:38</t>
  </si>
  <si>
    <t>2025-11-26 17:44:38</t>
  </si>
  <si>
    <t>YESSICA MARCELA ANGARITA VELASQUEZ</t>
  </si>
  <si>
    <t>3155765520</t>
  </si>
  <si>
    <t>RURAL_146003598502000004</t>
  </si>
  <si>
    <t>146003598502000004</t>
  </si>
  <si>
    <t>2025-12-09 17:44:38</t>
  </si>
  <si>
    <t>23601020</t>
  </si>
  <si>
    <t>26/11/2025 17:55:35</t>
  </si>
  <si>
    <t>2025-11-26 17:55:35</t>
  </si>
  <si>
    <t>ROSA CAÑAVERAL ARBOLEDA</t>
  </si>
  <si>
    <t>3103920461</t>
  </si>
  <si>
    <t>RURAL_159005200000000009_LA ESTRELLA MELEGUI</t>
  </si>
  <si>
    <t>159005200000000009</t>
  </si>
  <si>
    <t>2025-12-02 17:55:35</t>
  </si>
  <si>
    <t>23601026</t>
  </si>
  <si>
    <t>26/11/2025 18:18:15</t>
  </si>
  <si>
    <t>2025-11-26 18:18:15</t>
  </si>
  <si>
    <t>INVERSIONES LA OCTAVA MARAVILLA S.A.S</t>
  </si>
  <si>
    <t>3207437326</t>
  </si>
  <si>
    <t>RURAL_167102699000000000_167102699000000000</t>
  </si>
  <si>
    <t>167102699000000000</t>
  </si>
  <si>
    <t>2025-12-02 18:18:15</t>
  </si>
  <si>
    <t>23601029</t>
  </si>
  <si>
    <t>26/11/2025 18:38:36</t>
  </si>
  <si>
    <t>2025-11-26 18:38:36</t>
  </si>
  <si>
    <t>COMPANIA DE CONSTRUCTORES ASOCIADOS S A</t>
  </si>
  <si>
    <t>6045050</t>
  </si>
  <si>
    <t>3217186129</t>
  </si>
  <si>
    <t>CL 62 CR 89 C -64 (INTERIOR 428 TR 4 )</t>
  </si>
  <si>
    <t>056812009300640428</t>
  </si>
  <si>
    <t>2025-12-05 18:38:36</t>
  </si>
  <si>
    <t>23601041</t>
  </si>
  <si>
    <t>26/11/2025 23:58:53</t>
  </si>
  <si>
    <t>2025-11-26 23:58:53</t>
  </si>
  <si>
    <t>HAYDEE DEL CARMEN PIMIENTA OSORIO</t>
  </si>
  <si>
    <t>CR 96 CC CL 49 A -18 (INTERIOR 201 )</t>
  </si>
  <si>
    <t>054926339100180201</t>
  </si>
  <si>
    <t>2025-12-02 23:58:53</t>
  </si>
  <si>
    <t>23601042</t>
  </si>
  <si>
    <t>27/11/2025 00:32:22</t>
  </si>
  <si>
    <t>2025-11-27 00:32:23</t>
  </si>
  <si>
    <t>LEISI YULIET CATAÑO ALZATE</t>
  </si>
  <si>
    <t>CR 45 D CL 60 -56</t>
  </si>
  <si>
    <t>056425400000560000</t>
  </si>
  <si>
    <t>2025-12-03 00:32:23</t>
  </si>
  <si>
    <t>23601043</t>
  </si>
  <si>
    <t>27/11/2025 00:51:16</t>
  </si>
  <si>
    <t>2025-11-27 00:51:16</t>
  </si>
  <si>
    <t>JUAN CARLOS MORENO CASAFUS</t>
  </si>
  <si>
    <t>3146810049</t>
  </si>
  <si>
    <t>CR 27 CL 23 SUR -101</t>
  </si>
  <si>
    <t>022227003001010000</t>
  </si>
  <si>
    <t>2025-12-03 00:51:16</t>
  </si>
  <si>
    <t>23601247</t>
  </si>
  <si>
    <t>27/11/2025 08:00:21</t>
  </si>
  <si>
    <t>2025-11-27 08:00:21</t>
  </si>
  <si>
    <t>EDITH MARINA GARCIA CORREA</t>
  </si>
  <si>
    <t>3172291175</t>
  </si>
  <si>
    <t>CL 59 A CR 21 B -24 (INTERIOR 201 )</t>
  </si>
  <si>
    <t>055219101200240201</t>
  </si>
  <si>
    <t>2025-12-04 08:00:21</t>
  </si>
  <si>
    <t>23601249</t>
  </si>
  <si>
    <t>27/11/2025 08:07:10</t>
  </si>
  <si>
    <t>2025-11-27 08:07:10</t>
  </si>
  <si>
    <t>2025-12-03 08:07:10</t>
  </si>
  <si>
    <t>23601257</t>
  </si>
  <si>
    <t>27/11/2025 08:20:28</t>
  </si>
  <si>
    <t>2025-11-27 08:20:28</t>
  </si>
  <si>
    <t>3003420288</t>
  </si>
  <si>
    <t>CL 52 CR 51 -11</t>
  </si>
  <si>
    <t>055512001000110000</t>
  </si>
  <si>
    <t>2025-12-03 08:20:28</t>
  </si>
  <si>
    <t>23601261</t>
  </si>
  <si>
    <t>27/11/2025 08:23:23</t>
  </si>
  <si>
    <t>2025-11-27 08:23:23</t>
  </si>
  <si>
    <t>PAULA ANDREA JIMENEZ SERNA</t>
  </si>
  <si>
    <t>2911167</t>
  </si>
  <si>
    <t>CR 43 CL 40 -14</t>
  </si>
  <si>
    <t>054423000000140000</t>
  </si>
  <si>
    <t>2025-12-03 08:23:23</t>
  </si>
  <si>
    <t>23601263</t>
  </si>
  <si>
    <t>27/11/2025 08:24:12</t>
  </si>
  <si>
    <t>2025-11-27 08:24:12</t>
  </si>
  <si>
    <t>ALBEIRO ANTONIO RODRIGUEZ QUICENO</t>
  </si>
  <si>
    <t>3163144306</t>
  </si>
  <si>
    <t>CR 26 EE CL 37 -42 (INTERIOR 201 )</t>
  </si>
  <si>
    <t>053226557000420201</t>
  </si>
  <si>
    <t>2025-12-04 08:24:12</t>
  </si>
  <si>
    <t>23601266</t>
  </si>
  <si>
    <t>27/11/2025 08:26:12</t>
  </si>
  <si>
    <t>2025-11-27 08:26:12</t>
  </si>
  <si>
    <t>ANDRES FELIPE ACEVEDO MARULANDA</t>
  </si>
  <si>
    <t>3243071689</t>
  </si>
  <si>
    <t>CL 59 CR 132 -77 (INTERIOR 301 )</t>
  </si>
  <si>
    <t>085319002000770301</t>
  </si>
  <si>
    <t>2025-12-04 08:26:12</t>
  </si>
  <si>
    <t>23601271</t>
  </si>
  <si>
    <t>27/11/2025 08:29:29</t>
  </si>
  <si>
    <t>2025-11-27 08:29:29</t>
  </si>
  <si>
    <t>CR 85 D CL 57 A -26 (INTERIOR 302 )</t>
  </si>
  <si>
    <t>055825407100260302</t>
  </si>
  <si>
    <t>2025-12-15 08:29:29</t>
  </si>
  <si>
    <t>23601280</t>
  </si>
  <si>
    <t>27/11/2025 08:34:42</t>
  </si>
  <si>
    <t>2025-11-27 08:34:42</t>
  </si>
  <si>
    <t>YON JAIRO RONDON OSORIO</t>
  </si>
  <si>
    <t>3015840969</t>
  </si>
  <si>
    <t>CR 33 CL 36 B -27</t>
  </si>
  <si>
    <t>053323006200270000</t>
  </si>
  <si>
    <t>2025-12-03 08:34:42</t>
  </si>
  <si>
    <t>23601293</t>
  </si>
  <si>
    <t>27/11/2025 08:51:30</t>
  </si>
  <si>
    <t>2025-11-27 08:51:30</t>
  </si>
  <si>
    <t>FERNEY ANDRES ECHEVERRI ORTIZ</t>
  </si>
  <si>
    <t>3013344040</t>
  </si>
  <si>
    <t>CR 16 A CL 50 -26 (INTERIOR 301 )</t>
  </si>
  <si>
    <t>055126100000260301</t>
  </si>
  <si>
    <t>2025-12-04 08:51:30</t>
  </si>
  <si>
    <t>23601295</t>
  </si>
  <si>
    <t>27/11/2025 08:52:19</t>
  </si>
  <si>
    <t>2025-11-27 08:52:19</t>
  </si>
  <si>
    <t>ANGEL OSVALDO NARVAEZ TORRES</t>
  </si>
  <si>
    <t>3016483199</t>
  </si>
  <si>
    <t>CR 18 B CL 63 -143 (INTERIOR 201 )</t>
  </si>
  <si>
    <t>056128203001430201</t>
  </si>
  <si>
    <t>2025-12-15 08:52:19</t>
  </si>
  <si>
    <t>23601311</t>
  </si>
  <si>
    <t>27/11/2025 09:04:00</t>
  </si>
  <si>
    <t>2025-11-27 09:04:00</t>
  </si>
  <si>
    <t>4332124</t>
  </si>
  <si>
    <t>2025-12-03 09:04:00</t>
  </si>
  <si>
    <t>23601325</t>
  </si>
  <si>
    <t>27/11/2025 09:25:38</t>
  </si>
  <si>
    <t>2025-11-27 09:25:38</t>
  </si>
  <si>
    <t>WILLIAN ESPINOSA CHAVERRA</t>
  </si>
  <si>
    <t>3113805449</t>
  </si>
  <si>
    <t>CR 143 A CL 56 -286 (INTERIOR 101 )</t>
  </si>
  <si>
    <t>085423106002860101</t>
  </si>
  <si>
    <t>2025-12-03 09:25:38</t>
  </si>
  <si>
    <t>23601327</t>
  </si>
  <si>
    <t>27/11/2025 09:27:30</t>
  </si>
  <si>
    <t>2025-11-27 09:27:30</t>
  </si>
  <si>
    <t>CRISTIAN CAMILO CANO ZAPATA</t>
  </si>
  <si>
    <t>3219298033</t>
  </si>
  <si>
    <t>RURAL_147020434000000117_CR 143 A CL 62 B -142_VER</t>
  </si>
  <si>
    <t>147020434000000117</t>
  </si>
  <si>
    <t>2025-12-10 09:27:30</t>
  </si>
  <si>
    <t>23601329</t>
  </si>
  <si>
    <t>27/11/2025 09:29:49</t>
  </si>
  <si>
    <t>2025-11-27 09:29:49</t>
  </si>
  <si>
    <t>EVELYN JULIANA AGUDELO LONDOÑO</t>
  </si>
  <si>
    <t>3023646224</t>
  </si>
  <si>
    <t>CL 56 B CR 20 B -22 (INTERIOR 231 )</t>
  </si>
  <si>
    <t>055216200200220231</t>
  </si>
  <si>
    <t>2025-12-04 09:29:49</t>
  </si>
  <si>
    <t>23601337</t>
  </si>
  <si>
    <t>27/11/2025 09:31:41</t>
  </si>
  <si>
    <t>2025-11-27 09:31:41</t>
  </si>
  <si>
    <t>ANDREA PALACIO MONTOYA</t>
  </si>
  <si>
    <t>3045449106</t>
  </si>
  <si>
    <t>RURAL_166047755000000006_PROV.RURAL_16604775500000</t>
  </si>
  <si>
    <t>166047755000000006</t>
  </si>
  <si>
    <t>2025-12-12 09:31:41</t>
  </si>
  <si>
    <t>9 días 09:31</t>
  </si>
  <si>
    <t>23601363</t>
  </si>
  <si>
    <t>27/11/2025 09:47:05</t>
  </si>
  <si>
    <t>2025-11-27 09:47:05</t>
  </si>
  <si>
    <t>ADRIAN ESTEBAN MORALES CEBALLOS</t>
  </si>
  <si>
    <t>3003909683</t>
  </si>
  <si>
    <t>CL 48 C CR 99 CE -10 (INTERIOR 9901 )</t>
  </si>
  <si>
    <t>054918309350109901</t>
  </si>
  <si>
    <t>2025-12-04 09:47:05</t>
  </si>
  <si>
    <t>23601392</t>
  </si>
  <si>
    <t>27/11/2025 10:05:30</t>
  </si>
  <si>
    <t>JADER ELMER MEJIA RENDON</t>
  </si>
  <si>
    <t>2342375</t>
  </si>
  <si>
    <t>3127884788</t>
  </si>
  <si>
    <t>CR 58 CL 79 -141</t>
  </si>
  <si>
    <t>077528009001410000</t>
  </si>
  <si>
    <t>23601414</t>
  </si>
  <si>
    <t>27/11/2025 10:19:02</t>
  </si>
  <si>
    <t>2025-11-27 10:19:02</t>
  </si>
  <si>
    <t>RODOLFO GOMEZ RAIGOSA</t>
  </si>
  <si>
    <t>3005139148</t>
  </si>
  <si>
    <t>CL 124 SUR CR 50 -13 (INTERIOR 9901 )</t>
  </si>
  <si>
    <t>002514000000139901</t>
  </si>
  <si>
    <t>2025-12-09 10:19:02</t>
  </si>
  <si>
    <t>23601420</t>
  </si>
  <si>
    <t>27/11/2025 10:22:50</t>
  </si>
  <si>
    <t>2025-11-27 10:22:50</t>
  </si>
  <si>
    <t>JORGE ANDRES ZAMBRANO ESTRADA</t>
  </si>
  <si>
    <t>3106395878</t>
  </si>
  <si>
    <t>CL 43 CR 32 -33 (INTERIOR 101 )</t>
  </si>
  <si>
    <t>054313002000330101</t>
  </si>
  <si>
    <t>2025-12-09 10:22:50</t>
  </si>
  <si>
    <t>23601432</t>
  </si>
  <si>
    <t>27/11/2025 10:30:53</t>
  </si>
  <si>
    <t>2025-11-27 10:30:53</t>
  </si>
  <si>
    <t>ALEJANDRA TORO VELASQUEZ</t>
  </si>
  <si>
    <t>3015721760</t>
  </si>
  <si>
    <t>CR 22 CL 17 -221 (INTERIOR 1006 )</t>
  </si>
  <si>
    <t>051222007002211006</t>
  </si>
  <si>
    <t>2025-12-03 10:30:53</t>
  </si>
  <si>
    <t>23601436</t>
  </si>
  <si>
    <t>27/11/2025 10:32:17</t>
  </si>
  <si>
    <t>2025-11-27 10:32:17</t>
  </si>
  <si>
    <t>PAOLA ANDREA ZAMBRANO ESTRADA</t>
  </si>
  <si>
    <t>CL 43 CR 32 -33 (INTERIOR 301 )</t>
  </si>
  <si>
    <t>054313002000330301</t>
  </si>
  <si>
    <t>2025-12-09 10:32:17</t>
  </si>
  <si>
    <t>6 días 10:32</t>
  </si>
  <si>
    <t>23601439</t>
  </si>
  <si>
    <t>27/11/2025 10:33:48</t>
  </si>
  <si>
    <t>2025-11-27 10:33:48</t>
  </si>
  <si>
    <t>ARNOLDO MEDINA GELVEZ</t>
  </si>
  <si>
    <t>3124490988</t>
  </si>
  <si>
    <t>140004954401000000</t>
  </si>
  <si>
    <t>2025-12-12 10:33:48</t>
  </si>
  <si>
    <t>23601454</t>
  </si>
  <si>
    <t>27/11/2025 10:49:32</t>
  </si>
  <si>
    <t>2025-11-27 10:49:32</t>
  </si>
  <si>
    <t>JOHAN DARIO ARANGO AGUIRRE</t>
  </si>
  <si>
    <t>3105149191</t>
  </si>
  <si>
    <t>CL 47 CR 16 CC -87 (INTERIOR 401 )</t>
  </si>
  <si>
    <t>054117006330870401</t>
  </si>
  <si>
    <t>2025-12-04 10:49:32</t>
  </si>
  <si>
    <t>23601464</t>
  </si>
  <si>
    <t>27/11/2025 10:55:11</t>
  </si>
  <si>
    <t>2025-11-27 10:55:11</t>
  </si>
  <si>
    <t>RUBEN DARIO LONDOÑO RESTREPO</t>
  </si>
  <si>
    <t>6115213</t>
  </si>
  <si>
    <t>CR 39 CL 35 SUR -15</t>
  </si>
  <si>
    <t>023329005000150000</t>
  </si>
  <si>
    <t>2025-12-09 10:55:11</t>
  </si>
  <si>
    <t>23601514</t>
  </si>
  <si>
    <t>27/11/2025 11:32:57</t>
  </si>
  <si>
    <t>2025-11-27 11:32:57</t>
  </si>
  <si>
    <t>VERONICA AGUDELO LOPEZ</t>
  </si>
  <si>
    <t>3116747895</t>
  </si>
  <si>
    <t>CL 55 H CR 3 ESTE -7 (INTERIOR 201 )</t>
  </si>
  <si>
    <t>705015803000070201</t>
  </si>
  <si>
    <t>2025-12-04 11:32:57</t>
  </si>
  <si>
    <t>23601515</t>
  </si>
  <si>
    <t>27/11/2025 11:33:45</t>
  </si>
  <si>
    <t>2025-11-27 11:33:45</t>
  </si>
  <si>
    <t>MAURICIO ARNEY ESCORCIA GUERRA</t>
  </si>
  <si>
    <t>3108350279</t>
  </si>
  <si>
    <t>CR 96 A CL 62 D -3 (INTERIOR 2418 )</t>
  </si>
  <si>
    <t>056926102400032418</t>
  </si>
  <si>
    <t>2025-12-03 11:33:45</t>
  </si>
  <si>
    <t>23601543</t>
  </si>
  <si>
    <t>27/11/2025 11:59:32</t>
  </si>
  <si>
    <t>2025-11-27 11:59:32</t>
  </si>
  <si>
    <t>MAYRA ALEJANDRA QUINTANA TOBON</t>
  </si>
  <si>
    <t>3012876800</t>
  </si>
  <si>
    <t>CR 34 E CL 31 -164 (INTERIOR 401 )</t>
  </si>
  <si>
    <t>053324501001640401</t>
  </si>
  <si>
    <t>2025-12-04 11:59:32</t>
  </si>
  <si>
    <t>23601544</t>
  </si>
  <si>
    <t>27/11/2025 11:59:39</t>
  </si>
  <si>
    <t>2025-11-27 11:59:39</t>
  </si>
  <si>
    <t>JHONNY ENRIQUE CASTILLO ROMERO</t>
  </si>
  <si>
    <t>RURAL_053727008000720000_CIRC 8 CL 38 -72</t>
  </si>
  <si>
    <t>053727008000720000</t>
  </si>
  <si>
    <t>2025-12-03 11:59:39</t>
  </si>
  <si>
    <t>3 días 11:59</t>
  </si>
  <si>
    <t>23601546</t>
  </si>
  <si>
    <t>27/11/2025 12:02:09</t>
  </si>
  <si>
    <t>2025-11-27 12:02:09</t>
  </si>
  <si>
    <t>CR 34 E CL 31 -164 (INTERIOR 402 )</t>
  </si>
  <si>
    <t>053324501001640402</t>
  </si>
  <si>
    <t>2025-12-04 12:02:09</t>
  </si>
  <si>
    <t>23601549</t>
  </si>
  <si>
    <t>27/11/2025 12:04:12</t>
  </si>
  <si>
    <t>2025-11-27 12:04:12</t>
  </si>
  <si>
    <t>ALLESA MARIA FERNANDEZ BERRIO</t>
  </si>
  <si>
    <t>3305705</t>
  </si>
  <si>
    <t>3123694640</t>
  </si>
  <si>
    <t>CL 19 B CR 81 B -46</t>
  </si>
  <si>
    <t>051819201200460000</t>
  </si>
  <si>
    <t>2025-12-09 12:04:12</t>
  </si>
  <si>
    <t>23601554</t>
  </si>
  <si>
    <t>27/11/2025 12:08:43</t>
  </si>
  <si>
    <t>2025-11-27 12:08:43</t>
  </si>
  <si>
    <t>AICARDO VILLA GOMEZ</t>
  </si>
  <si>
    <t>4273901</t>
  </si>
  <si>
    <t>RURAL_147001002000000101_147001002000000101</t>
  </si>
  <si>
    <t>147001002000000101</t>
  </si>
  <si>
    <t>2025-12-10 12:08:43</t>
  </si>
  <si>
    <t>23601556</t>
  </si>
  <si>
    <t>27/11/2025 12:09:11</t>
  </si>
  <si>
    <t>2025-11-27 12:09:11</t>
  </si>
  <si>
    <t>JUAN EUGENIO RIOS VILLA</t>
  </si>
  <si>
    <t>3006092484</t>
  </si>
  <si>
    <t>CR 55 B CL 79 C SUR -44</t>
  </si>
  <si>
    <t>037525209300440000</t>
  </si>
  <si>
    <t>2025-12-09 12:09:11</t>
  </si>
  <si>
    <t>23601576</t>
  </si>
  <si>
    <t>27/11/2025 12:35:38</t>
  </si>
  <si>
    <t>2025-11-27 12:35:38</t>
  </si>
  <si>
    <t>CL 43 CR 66 -17 (INTERIOR 101 )</t>
  </si>
  <si>
    <t>054613006000170101</t>
  </si>
  <si>
    <t>2025-12-09 12:35:38</t>
  </si>
  <si>
    <t>23601581</t>
  </si>
  <si>
    <t>27/11/2025 12:41:36</t>
  </si>
  <si>
    <t>2025-11-27 12:41:36</t>
  </si>
  <si>
    <t>LUIS HERNAN BLANDON CASTAÑEDA</t>
  </si>
  <si>
    <t>3031216</t>
  </si>
  <si>
    <t>3012178717</t>
  </si>
  <si>
    <t>CR 42 A CL 125 SUR -130 (INTERIOR 401 )</t>
  </si>
  <si>
    <t>002422105001300401</t>
  </si>
  <si>
    <t>2025-12-09 12:41:36</t>
  </si>
  <si>
    <t>23601599</t>
  </si>
  <si>
    <t>27/11/2025 13:16:18</t>
  </si>
  <si>
    <t>2025-11-27 13:16:18</t>
  </si>
  <si>
    <t>JUAN CARLOS ECHAVARRIA VALENCIA</t>
  </si>
  <si>
    <t>3104509212</t>
  </si>
  <si>
    <t>CR 72 CL 42 -40</t>
  </si>
  <si>
    <t>054722002000400000</t>
  </si>
  <si>
    <t>2025-12-09 13:16:18</t>
  </si>
  <si>
    <t>23601606</t>
  </si>
  <si>
    <t>27/11/2025 13:28:39</t>
  </si>
  <si>
    <t>2025-11-27 13:28:39</t>
  </si>
  <si>
    <t>LORENA DELGADO</t>
  </si>
  <si>
    <t>3193598877</t>
  </si>
  <si>
    <t>CL 10 CR 36 -51</t>
  </si>
  <si>
    <t>051310006000510000</t>
  </si>
  <si>
    <t>2025-12-03 13:28:39</t>
  </si>
  <si>
    <t>23601613</t>
  </si>
  <si>
    <t>27/11/2025 13:39:07</t>
  </si>
  <si>
    <t>2025-11-27 13:39:07</t>
  </si>
  <si>
    <t>TATIANA MARCELA SALDARRIAGA ZAPATA</t>
  </si>
  <si>
    <t>2530071</t>
  </si>
  <si>
    <t>3022690667</t>
  </si>
  <si>
    <t>CR 108 CL 48 B -70</t>
  </si>
  <si>
    <t>084028008200700000</t>
  </si>
  <si>
    <t>2025-12-04 13:39:07</t>
  </si>
  <si>
    <t>23601635</t>
  </si>
  <si>
    <t>27/11/2025 13:57:10</t>
  </si>
  <si>
    <t>2025-11-27 13:57:11</t>
  </si>
  <si>
    <t>JORGE HOYOS ANGEL</t>
  </si>
  <si>
    <t>3525210</t>
  </si>
  <si>
    <t>3195676277</t>
  </si>
  <si>
    <t>CL 77 SUR CR 47 B -211 (INTERIOR 5 )</t>
  </si>
  <si>
    <t>017417007202110005</t>
  </si>
  <si>
    <t>2025-12-03 13:57:11</t>
  </si>
  <si>
    <t>23601649</t>
  </si>
  <si>
    <t>27/11/2025 14:10:46</t>
  </si>
  <si>
    <t>2025-11-27 14:10:46</t>
  </si>
  <si>
    <t>MARIA DEL SOCORRO ESTRADA DE MOLINA</t>
  </si>
  <si>
    <t>CR 46 D CL 75 SUR -48 (LC 201 )</t>
  </si>
  <si>
    <t>017426405000480201</t>
  </si>
  <si>
    <t>2025-12-03 14:10:46</t>
  </si>
  <si>
    <t>23601664</t>
  </si>
  <si>
    <t>27/11/2025 14:22:07</t>
  </si>
  <si>
    <t>2025-11-27 14:22:07</t>
  </si>
  <si>
    <t>ENRIQUE LEON ORTIZ CANO</t>
  </si>
  <si>
    <t>RURAL_114013298500000011_VDA MANZANILLO</t>
  </si>
  <si>
    <t>114013298500000011</t>
  </si>
  <si>
    <t>2025-12-10 14:22:07</t>
  </si>
  <si>
    <t>23601665</t>
  </si>
  <si>
    <t>27/11/2025 14:24:51</t>
  </si>
  <si>
    <t>2025-11-27 14:24:51</t>
  </si>
  <si>
    <t>MAYKER ORLANDO MURILLO RODRIGUEZ</t>
  </si>
  <si>
    <t>3219323426</t>
  </si>
  <si>
    <t>CL 56 A CR 25 BB -74 (INTERIOR 120 )</t>
  </si>
  <si>
    <t>055216105220740120</t>
  </si>
  <si>
    <t>2025-12-04 14:24:51</t>
  </si>
  <si>
    <t>23601673</t>
  </si>
  <si>
    <t>27/11/2025 14:30:13</t>
  </si>
  <si>
    <t>2025-11-27 14:30:13</t>
  </si>
  <si>
    <t>HECTOR ALIRIO ASPRILLA GARCIA</t>
  </si>
  <si>
    <t>3172999115</t>
  </si>
  <si>
    <t>CL 56 A CR 25 BB -74 (INTERIOR 124 )</t>
  </si>
  <si>
    <t>055216105220740124</t>
  </si>
  <si>
    <t>2025-12-04 14:30:13</t>
  </si>
  <si>
    <t>23601678</t>
  </si>
  <si>
    <t>27/11/2025 14:33:24</t>
  </si>
  <si>
    <t>2025-11-27 14:33:24</t>
  </si>
  <si>
    <t>PEDRO ESCILDO MENA MOSQUERA</t>
  </si>
  <si>
    <t>2220863</t>
  </si>
  <si>
    <t>3117128280</t>
  </si>
  <si>
    <t>CL 56 A CR 25 BB -74 (INTERIOR 145 )</t>
  </si>
  <si>
    <t>055216105220740145</t>
  </si>
  <si>
    <t>2025-12-04 14:33:24</t>
  </si>
  <si>
    <t>23601680</t>
  </si>
  <si>
    <t>27/11/2025 14:35:03</t>
  </si>
  <si>
    <t>2025-11-27 14:35:03</t>
  </si>
  <si>
    <t>BLANCA MIRIAM ROJAS LOAIZA</t>
  </si>
  <si>
    <t>3113817324</t>
  </si>
  <si>
    <t>CR 27 CL 58 -45 (INTERIOR 301 )</t>
  </si>
  <si>
    <t>055227008000450301</t>
  </si>
  <si>
    <t>2025-12-09 14:35:03</t>
  </si>
  <si>
    <t>23601683</t>
  </si>
  <si>
    <t>27/11/2025 14:36:25</t>
  </si>
  <si>
    <t>2025-11-27 14:36:25</t>
  </si>
  <si>
    <t>CL 56 A CR 25 BB -74 (INTERIOR 146 )</t>
  </si>
  <si>
    <t>055216105220740146</t>
  </si>
  <si>
    <t>2025-12-04 14:36:25</t>
  </si>
  <si>
    <t>0 días 14:43</t>
  </si>
  <si>
    <t>23601698</t>
  </si>
  <si>
    <t>27/11/2025 14:47:50</t>
  </si>
  <si>
    <t>2025-11-27 14:47:50</t>
  </si>
  <si>
    <t>GLADIS HELENA SUAREZ VELEZ</t>
  </si>
  <si>
    <t>3091674</t>
  </si>
  <si>
    <t>3046209100</t>
  </si>
  <si>
    <t>RURAL_163020130000000001</t>
  </si>
  <si>
    <t>163020130000000001</t>
  </si>
  <si>
    <t>2025-12-10 14:47:50</t>
  </si>
  <si>
    <t>23601701</t>
  </si>
  <si>
    <t>27/11/2025 14:50:09</t>
  </si>
  <si>
    <t>2025-11-27 14:50:09</t>
  </si>
  <si>
    <t>WILLIAM DE JESUS PALACIO ZAPATA</t>
  </si>
  <si>
    <t>5814120</t>
  </si>
  <si>
    <t>3014318686</t>
  </si>
  <si>
    <t>CL 2 B CR 81 B -207 (INTERIOR 150 )</t>
  </si>
  <si>
    <t>050812201202070150</t>
  </si>
  <si>
    <t>2025-12-04 14:50:09</t>
  </si>
  <si>
    <t>23601702</t>
  </si>
  <si>
    <t>27/11/2025 14:50:58</t>
  </si>
  <si>
    <t>2025-11-27 14:50:58</t>
  </si>
  <si>
    <t>RURAL_159064500000000000_PADRE ABIGAIL</t>
  </si>
  <si>
    <t>159064500000000000</t>
  </si>
  <si>
    <t>2025-12-03 14:50:58</t>
  </si>
  <si>
    <t>23601708</t>
  </si>
  <si>
    <t>27/11/2025 14:53:47</t>
  </si>
  <si>
    <t>2025-11-27 14:53:47</t>
  </si>
  <si>
    <t>JUAN ESTEBAN VILLEGAS ECHEVERRI</t>
  </si>
  <si>
    <t>3052946996</t>
  </si>
  <si>
    <t>CL 56 A CR 25 BB -76 (INTERIOR 157 )</t>
  </si>
  <si>
    <t>055216105220760157</t>
  </si>
  <si>
    <t>2025-12-04 14:53:47</t>
  </si>
  <si>
    <t>23601709</t>
  </si>
  <si>
    <t>27/11/2025 14:54:15</t>
  </si>
  <si>
    <t>2025-11-27 14:54:15</t>
  </si>
  <si>
    <t>3128425377</t>
  </si>
  <si>
    <t>CL 56 A CR 25 BB -76 (INTERIOR 125 )</t>
  </si>
  <si>
    <t>055216105220760125</t>
  </si>
  <si>
    <t>2025-12-04 14:54:15</t>
  </si>
  <si>
    <t>23601710</t>
  </si>
  <si>
    <t>VICTOR PEREA GARCIA</t>
  </si>
  <si>
    <t>3124014469</t>
  </si>
  <si>
    <t>CL 56 A CR 25 BB -76 (INTERIOR 137 )</t>
  </si>
  <si>
    <t>055216105220760137</t>
  </si>
  <si>
    <t>23601716</t>
  </si>
  <si>
    <t>27/11/2025 14:56:46</t>
  </si>
  <si>
    <t>2025-11-27 14:56:46</t>
  </si>
  <si>
    <t>CL 56 A CR 25 BB -76 (INTERIOR 158 )</t>
  </si>
  <si>
    <t>055216105220760158</t>
  </si>
  <si>
    <t>2025-12-04 14:56:46</t>
  </si>
  <si>
    <t>ARQUITECTURA Y CONCRETO S.A.S</t>
  </si>
  <si>
    <t>23600994</t>
  </si>
  <si>
    <t>26/11/2025 17:20:01</t>
  </si>
  <si>
    <t>2025-11-26 17:20:01</t>
  </si>
  <si>
    <t>JUAN  LEONEL SILVA CHIVATA</t>
  </si>
  <si>
    <t>6034831</t>
  </si>
  <si>
    <t>CL 65 AA CR 39 A -38</t>
  </si>
  <si>
    <t>056315119100380000</t>
  </si>
  <si>
    <t>2025-12-10 17:20:01</t>
  </si>
  <si>
    <t>23601024</t>
  </si>
  <si>
    <t>26/11/2025 18:08:01</t>
  </si>
  <si>
    <t>2025-11-26 18:08:01</t>
  </si>
  <si>
    <t>MARIA CRISTINA ALVAREZ HERNADEZ</t>
  </si>
  <si>
    <t>3213801787</t>
  </si>
  <si>
    <t>CL 55 CR 129 -137</t>
  </si>
  <si>
    <t>085215009001370000</t>
  </si>
  <si>
    <t>2025-12-10 18:08:01</t>
  </si>
  <si>
    <t>23601300</t>
  </si>
  <si>
    <t>27/11/2025 08:58:06</t>
  </si>
  <si>
    <t>2025-11-27 08:58:06</t>
  </si>
  <si>
    <t>MAGNOLIA JARAMILLO RESTREPO</t>
  </si>
  <si>
    <t>5925287</t>
  </si>
  <si>
    <t>3137008386</t>
  </si>
  <si>
    <t>RURAL_114013451100000000_114013451100000000</t>
  </si>
  <si>
    <t>114013451100000000</t>
  </si>
  <si>
    <t>2025-12-18 08:58:06</t>
  </si>
  <si>
    <t>23601361</t>
  </si>
  <si>
    <t>27/11/2025 09:45:53</t>
  </si>
  <si>
    <t>2025-11-27 09:45:53</t>
  </si>
  <si>
    <t>MAURICIO FERNANDEZ HOYOS</t>
  </si>
  <si>
    <t>3103902925</t>
  </si>
  <si>
    <t>RURAL_161110400000007000_161110400000007000</t>
  </si>
  <si>
    <t>161110400000007000</t>
  </si>
  <si>
    <t>2025-12-18 09:45:53</t>
  </si>
  <si>
    <t>23601398</t>
  </si>
  <si>
    <t>27/11/2025 10:08:20</t>
  </si>
  <si>
    <t>2025-11-27 10:08:20</t>
  </si>
  <si>
    <t>NICOLAS ALBEIRO AGUDELO BARRIENTOS</t>
  </si>
  <si>
    <t>3162760629</t>
  </si>
  <si>
    <t>RURAL_122014511800000001_VDA MAZO</t>
  </si>
  <si>
    <t>122014511800000001</t>
  </si>
  <si>
    <t>2025-12-18 10:08:20</t>
  </si>
  <si>
    <t>23601428</t>
  </si>
  <si>
    <t>27/11/2025 10:26:20</t>
  </si>
  <si>
    <t>2025-11-27 10:26:20</t>
  </si>
  <si>
    <t>GABRIEL ANTONIO RESTREPO RESTREPO</t>
  </si>
  <si>
    <t>3206851166</t>
  </si>
  <si>
    <t>DIAG 47 A CL 31 A -31 (INTERIOR 302 )</t>
  </si>
  <si>
    <t>073477101100310302</t>
  </si>
  <si>
    <t>2025-12-11 10:26:20</t>
  </si>
  <si>
    <t>23601467</t>
  </si>
  <si>
    <t>27/11/2025 10:56:16</t>
  </si>
  <si>
    <t>2025-11-27 10:56:16</t>
  </si>
  <si>
    <t>IVAN DE JESUS CARDONA ALVAREZ</t>
  </si>
  <si>
    <t>RURAL_147048816000000201_147048816000000201</t>
  </si>
  <si>
    <t>147048816000000201</t>
  </si>
  <si>
    <t>2025-12-18 10:56:16</t>
  </si>
  <si>
    <t>23601545</t>
  </si>
  <si>
    <t>27/11/2025 11:59:47</t>
  </si>
  <si>
    <t>2025-11-27 11:59:47</t>
  </si>
  <si>
    <t>MARIA CAMILA RAMIREZ RODAS</t>
  </si>
  <si>
    <t>3504849159</t>
  </si>
  <si>
    <t>CL 39 AD CR 117 B -64 (INTERIOR 205 )</t>
  </si>
  <si>
    <t>083119147200640205</t>
  </si>
  <si>
    <t>2025-12-11 11:59:47</t>
  </si>
  <si>
    <t>23601560</t>
  </si>
  <si>
    <t>27/11/2025 12:11:49</t>
  </si>
  <si>
    <t>2025-11-27 12:11:49</t>
  </si>
  <si>
    <t>CR 122 CL 39 AA -24 (INTERIOR 101 )</t>
  </si>
  <si>
    <t>083222009110240101</t>
  </si>
  <si>
    <t>2025-12-11 12:11:49</t>
  </si>
  <si>
    <t>23601586</t>
  </si>
  <si>
    <t>27/11/2025 12:47:02</t>
  </si>
  <si>
    <t>2025-11-27 12:47:02</t>
  </si>
  <si>
    <t>DIANA MARCELA TRUJILLO GALLEGO</t>
  </si>
  <si>
    <t>2347019</t>
  </si>
  <si>
    <t>3218955145</t>
  </si>
  <si>
    <t>RURAL_136029754320000000_CL 58B CR 98-106 (IN 101)</t>
  </si>
  <si>
    <t>136029754320000000</t>
  </si>
  <si>
    <t>2025-12-18 12:47:02</t>
  </si>
  <si>
    <t>23601654</t>
  </si>
  <si>
    <t>27/11/2025 14:15:05</t>
  </si>
  <si>
    <t>2025-11-27 14:15:05</t>
  </si>
  <si>
    <t>CARLOS MARIO CANO MUÑOZ</t>
  </si>
  <si>
    <t>3146167430</t>
  </si>
  <si>
    <t>RURAL_147024400000000000_EL UVITO</t>
  </si>
  <si>
    <t>147024400000000000</t>
  </si>
  <si>
    <t>2025-12-18 14:15:05</t>
  </si>
  <si>
    <t>23601776</t>
  </si>
  <si>
    <t>27/11/2025 15:32:11</t>
  </si>
  <si>
    <t>2025-11-27 15:32:11</t>
  </si>
  <si>
    <t>COLORETTO S.A. EN REORGANIZACION</t>
  </si>
  <si>
    <t>3011542</t>
  </si>
  <si>
    <t>3155900115</t>
  </si>
  <si>
    <t>CR 49 CL 81 SUR -90</t>
  </si>
  <si>
    <t>018429001000900000</t>
  </si>
  <si>
    <t>2025-12-11 15:32:11</t>
  </si>
  <si>
    <t>23601948</t>
  </si>
  <si>
    <t>27/11/2025 16:48:54</t>
  </si>
  <si>
    <t>2025-11-27 16:48:54</t>
  </si>
  <si>
    <t>JULIO HECTOR ASPRILLA RIVAS</t>
  </si>
  <si>
    <t>3159495800</t>
  </si>
  <si>
    <t>CL 39 E CR 115 A -113</t>
  </si>
  <si>
    <t>083119505101130000</t>
  </si>
  <si>
    <t>2025-12-11 16:48:54</t>
  </si>
  <si>
    <t>23601994</t>
  </si>
  <si>
    <t>27/11/2025 19:54:56</t>
  </si>
  <si>
    <t>2025-11-27 19:54:56</t>
  </si>
  <si>
    <t>CL 57 EE CR 22 B -52</t>
  </si>
  <si>
    <t>055217552200520000</t>
  </si>
  <si>
    <t>2025-12-11 19:54:56</t>
  </si>
  <si>
    <t>18/07/2023 13:53:04</t>
  </si>
  <si>
    <t>2025-11-27 21:44:33</t>
  </si>
  <si>
    <t>MARIA JANNET MEJIA MAZO</t>
  </si>
  <si>
    <t>3739602</t>
  </si>
  <si>
    <t>3045650568</t>
  </si>
  <si>
    <t>163008808700000000</t>
  </si>
  <si>
    <t>2025-12-04 21:44:33</t>
  </si>
  <si>
    <t>2 días 21:44</t>
  </si>
  <si>
    <t>3 días 21:44</t>
  </si>
  <si>
    <t>5 días 09:02</t>
  </si>
  <si>
    <t>2 días 13:42</t>
  </si>
  <si>
    <t>3 días 13:42</t>
  </si>
  <si>
    <t>01/04/2024 17:27:05</t>
  </si>
  <si>
    <t>2025-11-27 21:45:00</t>
  </si>
  <si>
    <t>JORGE IVAN ZAPATA GERMAN</t>
  </si>
  <si>
    <t>5462732</t>
  </si>
  <si>
    <t>3105462732</t>
  </si>
  <si>
    <t>RURAL-116005312515400201</t>
  </si>
  <si>
    <t>116005312515400201</t>
  </si>
  <si>
    <t>2025-12-04 21:45:00</t>
  </si>
  <si>
    <t>2 días 21:45</t>
  </si>
  <si>
    <t>3 días 21:45</t>
  </si>
  <si>
    <t>1 días 10:05</t>
  </si>
  <si>
    <t>1 días 09:02</t>
  </si>
  <si>
    <t>27/11/2025 15:25:18</t>
  </si>
  <si>
    <t>2025-11-27 15:25:18</t>
  </si>
  <si>
    <t>JOHN JAIRO TANGARIFE CASTAÑEDA</t>
  </si>
  <si>
    <t>3217080517</t>
  </si>
  <si>
    <t>RURAL_114007720000009901_114007720000009901</t>
  </si>
  <si>
    <t>114007720000009901</t>
  </si>
  <si>
    <t>2025-12-03 15:25:18</t>
  </si>
  <si>
    <t>2 días 15:25</t>
  </si>
  <si>
    <t>2 días 11:03</t>
  </si>
  <si>
    <t>5 días 11:03</t>
  </si>
  <si>
    <t>1 días 15:02</t>
  </si>
  <si>
    <t>15 días 08:51</t>
  </si>
  <si>
    <t>15 días 08:44</t>
  </si>
  <si>
    <t>4 días 20:00</t>
  </si>
  <si>
    <t>0 días 20:00</t>
  </si>
  <si>
    <t>2 días 09:53</t>
  </si>
  <si>
    <t>5 días 09:53</t>
  </si>
  <si>
    <t>13/11/2024 12:28:24</t>
  </si>
  <si>
    <t>2025-11-28 09:42:11</t>
  </si>
  <si>
    <t>JESUS ORLANDO GALEANO</t>
  </si>
  <si>
    <t>3103792449</t>
  </si>
  <si>
    <t>CR 81 B CL 1 -40 (INTERIOR 202 )</t>
  </si>
  <si>
    <t>050821201000400202</t>
  </si>
  <si>
    <t>2025-12-05 09:42:11</t>
  </si>
  <si>
    <t>1 días 09:42</t>
  </si>
  <si>
    <t>3 días 15:01</t>
  </si>
  <si>
    <t>4 días 15:01</t>
  </si>
  <si>
    <t>2 días 09:43</t>
  </si>
  <si>
    <t>8 días 09:43</t>
  </si>
  <si>
    <t>28/01/2025 07:58:01</t>
  </si>
  <si>
    <t>2025-11-27 15:04:44</t>
  </si>
  <si>
    <t>BLANCA ELVIA OSSA RENDON</t>
  </si>
  <si>
    <t>3122054032</t>
  </si>
  <si>
    <t>CR 66 CL 28 -29 (INTERIOR 202 )</t>
  </si>
  <si>
    <t>072626008000290202</t>
  </si>
  <si>
    <t>2025-12-09 15:04:44</t>
  </si>
  <si>
    <t>5 días 15:04</t>
  </si>
  <si>
    <t>29/01/2025 09:49:59</t>
  </si>
  <si>
    <t>2025-11-28 21:46:58</t>
  </si>
  <si>
    <t>WILLIAM ANTONIO GARCIA BOLIVAR</t>
  </si>
  <si>
    <t>3126076087</t>
  </si>
  <si>
    <t>RURAL_159151499000000205</t>
  </si>
  <si>
    <t>159151499000000205</t>
  </si>
  <si>
    <t>2025-12-15 21:46:58</t>
  </si>
  <si>
    <t>1 días 21:46</t>
  </si>
  <si>
    <t>9 días 21:46</t>
  </si>
  <si>
    <t>29/01/2025 09:56:04</t>
  </si>
  <si>
    <t>2025-11-28 21:47:03</t>
  </si>
  <si>
    <t>RURAL_159151499000000206</t>
  </si>
  <si>
    <t>159151499000000206</t>
  </si>
  <si>
    <t>2025-12-15 21:47:03</t>
  </si>
  <si>
    <t>1 días 21:47</t>
  </si>
  <si>
    <t>9 días 21:47</t>
  </si>
  <si>
    <t>21/02/2025 08:15:37</t>
  </si>
  <si>
    <t>2025-11-28 10:02:23</t>
  </si>
  <si>
    <t>JOSE GILDARDO CUERVO GARCIA</t>
  </si>
  <si>
    <t>3206640252</t>
  </si>
  <si>
    <t>CR 17 A CL 56 H -8 (INTERIOR 2107 )</t>
  </si>
  <si>
    <t>055127106800082107</t>
  </si>
  <si>
    <t>2025-12-16 10:02:23</t>
  </si>
  <si>
    <t>1 días 10:02</t>
  </si>
  <si>
    <t>10 días 10:02</t>
  </si>
  <si>
    <t>8 días 14:31</t>
  </si>
  <si>
    <t>1 días 11:07</t>
  </si>
  <si>
    <t>2 días 09:45</t>
  </si>
  <si>
    <t>5 días 09:45</t>
  </si>
  <si>
    <t>6 días 12:31</t>
  </si>
  <si>
    <t>6 días 10:54</t>
  </si>
  <si>
    <t>2 días 10:54</t>
  </si>
  <si>
    <t>2 días 11:25</t>
  </si>
  <si>
    <t>3 días 11:25</t>
  </si>
  <si>
    <t>23/04/2025 12:21:00</t>
  </si>
  <si>
    <t>2025-11-24 15:25:40</t>
  </si>
  <si>
    <t>JOHANA ANDREA CORREA PEREZ</t>
  </si>
  <si>
    <t>CR 50 CL 146 SUR -398 (INTERIOR 301 )</t>
  </si>
  <si>
    <t>004520006003980301</t>
  </si>
  <si>
    <t>2025-12-01 15:25:40</t>
  </si>
  <si>
    <t>5 días 15:25</t>
  </si>
  <si>
    <t>0 días 15:25</t>
  </si>
  <si>
    <t>12 días 09:54</t>
  </si>
  <si>
    <t>12 días 09:55</t>
  </si>
  <si>
    <t>7 días 21:57</t>
  </si>
  <si>
    <t>28/05/2025 13:56:24</t>
  </si>
  <si>
    <t>2025-11-28 17:23:43</t>
  </si>
  <si>
    <t>AMANDA MONTOYA MEJIA</t>
  </si>
  <si>
    <t>3005954021</t>
  </si>
  <si>
    <t>CR 68 CL 49 -31</t>
  </si>
  <si>
    <t>054628009000310000</t>
  </si>
  <si>
    <t>2025-12-10 17:23:43</t>
  </si>
  <si>
    <t>1 días 17:23</t>
  </si>
  <si>
    <t>6 días 17:23</t>
  </si>
  <si>
    <t>2 días 10:42</t>
  </si>
  <si>
    <t>30/05/2025 09:18:51</t>
  </si>
  <si>
    <t>2025-11-28 08:33:11</t>
  </si>
  <si>
    <t>LINA PAOLA DUQUE HAMBURGER</t>
  </si>
  <si>
    <t>5071954</t>
  </si>
  <si>
    <t>3147688638</t>
  </si>
  <si>
    <t>CL 44 A CR 77 -67 (INTERIOR 401 )</t>
  </si>
  <si>
    <t>054714107000670401</t>
  </si>
  <si>
    <t>2025-12-10 08:33:11</t>
  </si>
  <si>
    <t>1 días 08:33</t>
  </si>
  <si>
    <t>6 días 08:33</t>
  </si>
  <si>
    <t>4 días 11:37</t>
  </si>
  <si>
    <t>7 días 13:35</t>
  </si>
  <si>
    <t>1 días 13:35</t>
  </si>
  <si>
    <t>4 días 09:23</t>
  </si>
  <si>
    <t>1 días 09:23</t>
  </si>
  <si>
    <t>1 días 06:57</t>
  </si>
  <si>
    <t>6 días 06:57</t>
  </si>
  <si>
    <t>1 días 06:59</t>
  </si>
  <si>
    <t>6 días 06:59</t>
  </si>
  <si>
    <t>17/06/2025 16:11:14</t>
  </si>
  <si>
    <t>2025-11-28 10:14:06</t>
  </si>
  <si>
    <t>GERARDO DE JESUS GARCIA ROJAS</t>
  </si>
  <si>
    <t>3136001430</t>
  </si>
  <si>
    <t>CL 54 CR 2 C -7 (INTERIOR 9901 )</t>
  </si>
  <si>
    <t>055014002300079901</t>
  </si>
  <si>
    <t>2025-12-05 10:14:06</t>
  </si>
  <si>
    <t>1 días 10:14</t>
  </si>
  <si>
    <t>4 días 10:14</t>
  </si>
  <si>
    <t>21/06/2025 08:18:26</t>
  </si>
  <si>
    <t>2025-11-28 12:15:09</t>
  </si>
  <si>
    <t>INES ELVIRA VELEZ RESTREPO</t>
  </si>
  <si>
    <t>2846084</t>
  </si>
  <si>
    <t>CR 45 CL 57 -36</t>
  </si>
  <si>
    <t>055425007000360000</t>
  </si>
  <si>
    <t>2025-12-10 12:15:09</t>
  </si>
  <si>
    <t>1 días 12:15</t>
  </si>
  <si>
    <t>6 días 12:15</t>
  </si>
  <si>
    <t>7 días 16:43</t>
  </si>
  <si>
    <t>1 días 16:43</t>
  </si>
  <si>
    <t>04/07/2025 10:03:26</t>
  </si>
  <si>
    <t>2025-11-28 07:55:27</t>
  </si>
  <si>
    <t>ANA EDITH MONTES ECHAVARRIA</t>
  </si>
  <si>
    <t>3136148458</t>
  </si>
  <si>
    <t>CL 83 C SUR CR 56 B -14 (INTERIOR 301 )</t>
  </si>
  <si>
    <t>038513306200140301</t>
  </si>
  <si>
    <t>2025-12-10 07:55:27</t>
  </si>
  <si>
    <t>1 días 07:55</t>
  </si>
  <si>
    <t>6 días 07:55</t>
  </si>
  <si>
    <t>28/11/2025 07:05:58</t>
  </si>
  <si>
    <t>2025-11-28 07:05:58</t>
  </si>
  <si>
    <t>VERONICA MARIA CORRALES CASTAÑEDA</t>
  </si>
  <si>
    <t>3053511910</t>
  </si>
  <si>
    <t>161021950000000001</t>
  </si>
  <si>
    <t>2025-12-11 07:05:58</t>
  </si>
  <si>
    <t>1 días 07:05</t>
  </si>
  <si>
    <t>7 días 07:05</t>
  </si>
  <si>
    <t>8 días 09:22</t>
  </si>
  <si>
    <t>2 días 09:22</t>
  </si>
  <si>
    <t>8 días 12:08</t>
  </si>
  <si>
    <t>6 días 22:37</t>
  </si>
  <si>
    <t>4 días 22:37</t>
  </si>
  <si>
    <t>12 días 21:41</t>
  </si>
  <si>
    <t>9 días 09:54</t>
  </si>
  <si>
    <t>5 días 10:29</t>
  </si>
  <si>
    <t>2 días 10:29</t>
  </si>
  <si>
    <t>2 días 08:55</t>
  </si>
  <si>
    <t>5 días 08:55</t>
  </si>
  <si>
    <t>10 días 21:38</t>
  </si>
  <si>
    <t>01/08/2025 13:38:24</t>
  </si>
  <si>
    <t>2025-11-28 15:29:09</t>
  </si>
  <si>
    <t>MARTHA LUZ RAMIREZ GARCIA</t>
  </si>
  <si>
    <t>3225989103</t>
  </si>
  <si>
    <t>CR 2 CL 54 -263 (INTERIOR 215 )</t>
  </si>
  <si>
    <t>055022004002630215</t>
  </si>
  <si>
    <t>2025-12-05 15:29:09</t>
  </si>
  <si>
    <t>1 días 15:29</t>
  </si>
  <si>
    <t>4 días 15:29</t>
  </si>
  <si>
    <t>04/08/2025 15:11:24</t>
  </si>
  <si>
    <t>2025-11-27 15:01:48</t>
  </si>
  <si>
    <t>JULIO CESAR SALAZAR MONTOYA</t>
  </si>
  <si>
    <t>3015103382</t>
  </si>
  <si>
    <t>CR 51 CL 41 -139 (INTERIOR 2000 )</t>
  </si>
  <si>
    <t>054521001001392000-ENEPRE</t>
  </si>
  <si>
    <t>2025-12-15 15:01:48</t>
  </si>
  <si>
    <t>9 días 15:01</t>
  </si>
  <si>
    <t>8 días 16:04</t>
  </si>
  <si>
    <t>8 días 16:01</t>
  </si>
  <si>
    <t>06/08/2025 11:57:39</t>
  </si>
  <si>
    <t>2025-11-28 12:14:19</t>
  </si>
  <si>
    <t>RUBY ESPERANZA CASTRO GONZALEZ</t>
  </si>
  <si>
    <t>3225981707</t>
  </si>
  <si>
    <t>CL 40 SUR CR 25 AA -54 (INTERIOR 101 )</t>
  </si>
  <si>
    <t>024210005110540101</t>
  </si>
  <si>
    <t>2025-12-10 12:14:19</t>
  </si>
  <si>
    <t>1 días 12:14</t>
  </si>
  <si>
    <t>6 días 12:14</t>
  </si>
  <si>
    <t>11/08/2025 09:50:49</t>
  </si>
  <si>
    <t>2025-11-28 12:13:13</t>
  </si>
  <si>
    <t>CL 40 SUR CR 25 AA -46</t>
  </si>
  <si>
    <t>024210005110460000</t>
  </si>
  <si>
    <t>2025-12-10 12:13:13</t>
  </si>
  <si>
    <t>5 días 14:41</t>
  </si>
  <si>
    <t>3 días 14:41</t>
  </si>
  <si>
    <t>6 días 22:29</t>
  </si>
  <si>
    <t>1 días 22:29</t>
  </si>
  <si>
    <t>13/08/2025 11:31:37</t>
  </si>
  <si>
    <t>2025-11-28 08:59:12</t>
  </si>
  <si>
    <t>SILVIA INES HIDALGO MANCO</t>
  </si>
  <si>
    <t>3106149430</t>
  </si>
  <si>
    <t>CR 90 CL 44 B -9 (INTERIOR 301 )</t>
  </si>
  <si>
    <t>054920004200090301</t>
  </si>
  <si>
    <t>2025-12-10 08:59:12</t>
  </si>
  <si>
    <t>1 días 08:59</t>
  </si>
  <si>
    <t>6 días 08:59</t>
  </si>
  <si>
    <t>7 días 21:58</t>
  </si>
  <si>
    <t>0 días 21:58</t>
  </si>
  <si>
    <t>4 días 09:21</t>
  </si>
  <si>
    <t>28/11/2025 07:19:45</t>
  </si>
  <si>
    <t>2025-11-28 07:19:45</t>
  </si>
  <si>
    <t>ADRIANA MARIA OROZCO JIMENEZ</t>
  </si>
  <si>
    <t>2392918</t>
  </si>
  <si>
    <t>3022813132</t>
  </si>
  <si>
    <t>CR 34 CL 34 C -41 (INTERIOR 201 )</t>
  </si>
  <si>
    <t>053324004300410201</t>
  </si>
  <si>
    <t>2025-12-05 07:19:45</t>
  </si>
  <si>
    <t>1 días 07:19</t>
  </si>
  <si>
    <t>14/08/2025 16:33:51</t>
  </si>
  <si>
    <t>2025-11-28 21:46:12</t>
  </si>
  <si>
    <t>VALENTINA ANGARITA ESCOBAR</t>
  </si>
  <si>
    <t>3017071052</t>
  </si>
  <si>
    <t>CR 134 CL 62 -71 (INTERIOR 302 )</t>
  </si>
  <si>
    <t>086324002000710302</t>
  </si>
  <si>
    <t>2025-12-05 21:46:12</t>
  </si>
  <si>
    <t>4 días 21:46</t>
  </si>
  <si>
    <t>14/08/2025 16:47:56</t>
  </si>
  <si>
    <t>2025-11-28 21:46:17</t>
  </si>
  <si>
    <t>KEVIN ANDERSON ESCOBAR AVENDAÑO</t>
  </si>
  <si>
    <t>3116438559</t>
  </si>
  <si>
    <t>CR 134 CL 62 -71 (INTERIOR 301 )</t>
  </si>
  <si>
    <t>086324002000710301</t>
  </si>
  <si>
    <t>2025-12-05 21:46:17</t>
  </si>
  <si>
    <t>3 días 16:43</t>
  </si>
  <si>
    <t>19/08/2025 14:56:01</t>
  </si>
  <si>
    <t>2025-11-28 14:52:17</t>
  </si>
  <si>
    <t>GLORIA YANETH LONDOÑO FRANCO</t>
  </si>
  <si>
    <t>3137249298</t>
  </si>
  <si>
    <t>CL 55 CR 106 -48 (INTERIOR 201 )</t>
  </si>
  <si>
    <t>085015006000480201</t>
  </si>
  <si>
    <t>2025-12-05 14:52:17</t>
  </si>
  <si>
    <t>1 días 14:52</t>
  </si>
  <si>
    <t>4 días 14:52</t>
  </si>
  <si>
    <t>6 días 22:28</t>
  </si>
  <si>
    <t>1 días 22:28</t>
  </si>
  <si>
    <t>12 días 09:58</t>
  </si>
  <si>
    <t>3 días 14:11</t>
  </si>
  <si>
    <t>4 días 14:11</t>
  </si>
  <si>
    <t>460 falta marcación en acrílico en la puerta de gabinete y en los breakers corregir la entrada de la acometida interna esta no debe pasar por los compartimientos de acometida principal y medidores debe ser directa al compartimiento de los breakers</t>
  </si>
  <si>
    <t>21/08/2025 12:03:55</t>
  </si>
  <si>
    <t>2025-11-27 21:54:54</t>
  </si>
  <si>
    <t>ANA MARIA ORTEGA ALVAREZ</t>
  </si>
  <si>
    <t>3194191348</t>
  </si>
  <si>
    <t>RURAL_023222005002200136_PROV.VDA SANTA CATALINA</t>
  </si>
  <si>
    <t>023222005002200136</t>
  </si>
  <si>
    <t>2025-12-09 21:54:54</t>
  </si>
  <si>
    <t>21/08/2025 14:18:39</t>
  </si>
  <si>
    <t>2025-11-27 21:54:32</t>
  </si>
  <si>
    <t>ANDRES FELIPE CARMONA DEL VALLE</t>
  </si>
  <si>
    <t>2214881</t>
  </si>
  <si>
    <t>3108363535</t>
  </si>
  <si>
    <t>CR 22 CL 52 -33 (INTERIOR 101 )</t>
  </si>
  <si>
    <t>055222002000330101</t>
  </si>
  <si>
    <t>2025-12-09 21:54:32</t>
  </si>
  <si>
    <t>8 días 12:06</t>
  </si>
  <si>
    <t>6 días 14:37</t>
  </si>
  <si>
    <t>1 días 14:37</t>
  </si>
  <si>
    <t>4 días 11:44</t>
  </si>
  <si>
    <t>1 días 11:44</t>
  </si>
  <si>
    <t>1 días 21:51</t>
  </si>
  <si>
    <t>26/08/2025 08:14:42</t>
  </si>
  <si>
    <t>2025-11-28 09:45:06</t>
  </si>
  <si>
    <t>PATRICIA ELENA MORALES DE VANEGAS</t>
  </si>
  <si>
    <t>3128466943</t>
  </si>
  <si>
    <t>RURAL_159047653000000001</t>
  </si>
  <si>
    <t>159047653000000001</t>
  </si>
  <si>
    <t>2025-12-15 09:45:06</t>
  </si>
  <si>
    <t>1 días 09:45</t>
  </si>
  <si>
    <t>9 días 09:45</t>
  </si>
  <si>
    <t>26/08/2025 12:05:05</t>
  </si>
  <si>
    <t>2025-11-29 14:14:10</t>
  </si>
  <si>
    <t>GLORIA ESTER ZEA VELASQUEZ</t>
  </si>
  <si>
    <t>4958401</t>
  </si>
  <si>
    <t>3128842978</t>
  </si>
  <si>
    <t>CL 17 CR 71 -51 (INTERIOR 301 )</t>
  </si>
  <si>
    <t>051717001000510301</t>
  </si>
  <si>
    <t>2025-12-10 14:14:10</t>
  </si>
  <si>
    <t>1 días 14:14</t>
  </si>
  <si>
    <t>6 días 14:14</t>
  </si>
  <si>
    <t>26/08/2025 13:37:00</t>
  </si>
  <si>
    <t>2025-11-28 14:39:33</t>
  </si>
  <si>
    <t>DORIS EMILSE SERNA GOMEZ</t>
  </si>
  <si>
    <t>4133061</t>
  </si>
  <si>
    <t>3014809239</t>
  </si>
  <si>
    <t>CIRC 5 CR 70 -107</t>
  </si>
  <si>
    <t>054751000001070000</t>
  </si>
  <si>
    <t>2025-12-10 14:39:33</t>
  </si>
  <si>
    <t>1 días 14:39</t>
  </si>
  <si>
    <t>6 días 14:39</t>
  </si>
  <si>
    <t>10 días 15:17</t>
  </si>
  <si>
    <t>0 días 21:57</t>
  </si>
  <si>
    <t>27/08/2025 11:37:23</t>
  </si>
  <si>
    <t>2025-11-25 21:50:44</t>
  </si>
  <si>
    <t>EDISON FERNEY  ESCOBAR JIMENEZ</t>
  </si>
  <si>
    <t>6125678</t>
  </si>
  <si>
    <t>3016654553</t>
  </si>
  <si>
    <t>RURAL_161144100000000123</t>
  </si>
  <si>
    <t>161144100000000123</t>
  </si>
  <si>
    <t>2025-12-05 21:50:44</t>
  </si>
  <si>
    <t>28/08/2025 11:52:43</t>
  </si>
  <si>
    <t>2025-11-27 21:43:35</t>
  </si>
  <si>
    <t>LUIS ALBERTO CIRO GALLEGO</t>
  </si>
  <si>
    <t>3206710942</t>
  </si>
  <si>
    <t>CR 115 B CL 38 F -24 (INTERIOR 303 )</t>
  </si>
  <si>
    <t>083125208600240303</t>
  </si>
  <si>
    <t>2025-12-09 21:43:35</t>
  </si>
  <si>
    <t>5 días 21:43</t>
  </si>
  <si>
    <t>28/08/2025 12:12:20</t>
  </si>
  <si>
    <t>2025-11-27 21:43:39</t>
  </si>
  <si>
    <t>CR 115 B CL 38 F -24 (INTERIOR 302 )</t>
  </si>
  <si>
    <t>083125208600240302</t>
  </si>
  <si>
    <t>2025-12-09 21:43:39</t>
  </si>
  <si>
    <t>15 días 11:58</t>
  </si>
  <si>
    <t>12 días 21:49</t>
  </si>
  <si>
    <t>12 días 08:49</t>
  </si>
  <si>
    <t>8 días 14:23</t>
  </si>
  <si>
    <t>02/09/2025 09:35:49</t>
  </si>
  <si>
    <t>2025-11-28 09:47:52</t>
  </si>
  <si>
    <t>CARLOS ARTURO RUDA GONZALEZ</t>
  </si>
  <si>
    <t>2294285</t>
  </si>
  <si>
    <t>3207733513</t>
  </si>
  <si>
    <t>RURAL_159037935000000301_159037935000000301</t>
  </si>
  <si>
    <t>159037935000000301</t>
  </si>
  <si>
    <t>2025-12-15 09:47:52</t>
  </si>
  <si>
    <t>1 días 09:47</t>
  </si>
  <si>
    <t>9 días 09:47</t>
  </si>
  <si>
    <t>11 días 23:45</t>
  </si>
  <si>
    <t>6 días 21:54</t>
  </si>
  <si>
    <t>1 días 21:54</t>
  </si>
  <si>
    <t>7 días 21:50</t>
  </si>
  <si>
    <t>0 días 21:50</t>
  </si>
  <si>
    <t>08/09/2025 12:21:12</t>
  </si>
  <si>
    <t>2025-11-28 13:02:12</t>
  </si>
  <si>
    <t>YENNY STELLA GIRALDO ZAPATA</t>
  </si>
  <si>
    <t>4972410</t>
  </si>
  <si>
    <t>3002697208</t>
  </si>
  <si>
    <t>RURAL_163012401000000000_RURAL ITAGUI EL PEDREGAL</t>
  </si>
  <si>
    <t>163012401000000000</t>
  </si>
  <si>
    <t>2025-12-10 13:02:12</t>
  </si>
  <si>
    <t>1 días 13:02</t>
  </si>
  <si>
    <t>6 días 13:02</t>
  </si>
  <si>
    <t>7 días 12:22</t>
  </si>
  <si>
    <t>5 días 16:09</t>
  </si>
  <si>
    <t>6 días 16:09</t>
  </si>
  <si>
    <t>15 días 21:43</t>
  </si>
  <si>
    <t>5 días 13:02</t>
  </si>
  <si>
    <t>5 días 13:00</t>
  </si>
  <si>
    <t>2 días 13:00</t>
  </si>
  <si>
    <t>16/09/2025 11:47:25</t>
  </si>
  <si>
    <t>2025-11-27 21:43:02</t>
  </si>
  <si>
    <t>AURA ALICIA ARAQUE ACEVEDO</t>
  </si>
  <si>
    <t>3126081367</t>
  </si>
  <si>
    <t>CR 118 CL 39 A -38 (INTERIOR 401 )</t>
  </si>
  <si>
    <t>083128009100380401</t>
  </si>
  <si>
    <t>2025-12-09 21:43:02</t>
  </si>
  <si>
    <t>1 días 21:43</t>
  </si>
  <si>
    <t>8 días 21:43</t>
  </si>
  <si>
    <t>6 días 22:18</t>
  </si>
  <si>
    <t>1 días 22:18</t>
  </si>
  <si>
    <t>19/09/2025 10:49:08</t>
  </si>
  <si>
    <t>2025-11-27 21:43:45</t>
  </si>
  <si>
    <t>CARLOS MARIO CASTRILLON TEJADA</t>
  </si>
  <si>
    <t>4817600</t>
  </si>
  <si>
    <t>CL 57 B CR 53 -21 (INTERIOR 202 )</t>
  </si>
  <si>
    <t>055517203000210202</t>
  </si>
  <si>
    <t>2025-12-09 21:43:45</t>
  </si>
  <si>
    <t>14 días 08:31</t>
  </si>
  <si>
    <t>2 días 12:02</t>
  </si>
  <si>
    <t>3 días 12:02</t>
  </si>
  <si>
    <t>12 días 21:50</t>
  </si>
  <si>
    <t>15 días 22:26</t>
  </si>
  <si>
    <t>7 días 15:32</t>
  </si>
  <si>
    <t>9 días 13:21</t>
  </si>
  <si>
    <t>1 días 13:21</t>
  </si>
  <si>
    <t>24/09/2025 10:50:01</t>
  </si>
  <si>
    <t>2025-11-28 21:44:45</t>
  </si>
  <si>
    <t>2025-12-10 21:44:45</t>
  </si>
  <si>
    <t>1 días 21:44</t>
  </si>
  <si>
    <t>6 días 21:44</t>
  </si>
  <si>
    <t>4 días 21:49</t>
  </si>
  <si>
    <t>6 días 21:49</t>
  </si>
  <si>
    <t>24/09/2025 15:43:54</t>
  </si>
  <si>
    <t>2025-11-27 21:42:37</t>
  </si>
  <si>
    <t>JENNIFER ACEVEDO VALLEJO</t>
  </si>
  <si>
    <t>4920539</t>
  </si>
  <si>
    <t>3045990058</t>
  </si>
  <si>
    <t>CL 48 FA CR 100 AA -2 (INTERIOR 112 )</t>
  </si>
  <si>
    <t>084018610110020112</t>
  </si>
  <si>
    <t>2025-12-09 21:42:37</t>
  </si>
  <si>
    <t>2 días 21:42</t>
  </si>
  <si>
    <t>5 días 21:42</t>
  </si>
  <si>
    <t>25/09/2025 08:03:09</t>
  </si>
  <si>
    <t>2025-11-28 13:57:49</t>
  </si>
  <si>
    <t>MARIA EUGENIA QUIROZ</t>
  </si>
  <si>
    <t>2784496</t>
  </si>
  <si>
    <t>3207132285</t>
  </si>
  <si>
    <t>RURAL_161050310000000002_SECTORLAQUIEBRACERCANOALA</t>
  </si>
  <si>
    <t>161050310000000002</t>
  </si>
  <si>
    <t>2025-12-15 13:57:49</t>
  </si>
  <si>
    <t>1 días 13:57</t>
  </si>
  <si>
    <t>9 días 13:57</t>
  </si>
  <si>
    <t>25/09/2025 09:58:51</t>
  </si>
  <si>
    <t>2025-11-27 21:46:29</t>
  </si>
  <si>
    <t>CINDY YURLEY MARIN MARIN</t>
  </si>
  <si>
    <t>3122983224</t>
  </si>
  <si>
    <t>RURAL_147047200000000100_VEREDA EL LLANO</t>
  </si>
  <si>
    <t>147047200000000100</t>
  </si>
  <si>
    <t>2025-12-12 21:46:29</t>
  </si>
  <si>
    <t>2 días 21:46</t>
  </si>
  <si>
    <t>8 días 21:46</t>
  </si>
  <si>
    <t>7 días 08:51</t>
  </si>
  <si>
    <t>1 días 08:51</t>
  </si>
  <si>
    <t>7 días 08:49</t>
  </si>
  <si>
    <t>1 días 08:49</t>
  </si>
  <si>
    <t>7 días 08:52</t>
  </si>
  <si>
    <t>1 días 08:52</t>
  </si>
  <si>
    <t>6 días 22:03</t>
  </si>
  <si>
    <t>1 días 22:03</t>
  </si>
  <si>
    <t>29/09/2025 09:12:43</t>
  </si>
  <si>
    <t>2025-11-27 17:14:46</t>
  </si>
  <si>
    <t>ANDRES BOTERO GARCIA</t>
  </si>
  <si>
    <t>CL 60 CR 74 A -178</t>
  </si>
  <si>
    <t>056710004101780000</t>
  </si>
  <si>
    <t>2025-12-09 17:14:46</t>
  </si>
  <si>
    <t>2 días 17:14</t>
  </si>
  <si>
    <t>5 días 17:14</t>
  </si>
  <si>
    <t xml:space="preserve">470 falta instalar y conectar el medidor 
415 presentar toda la documentación 
Declaración , matrícula, retie y punto de conexión </t>
  </si>
  <si>
    <t>9 días 16:16</t>
  </si>
  <si>
    <t>29/09/2025 10:46:20</t>
  </si>
  <si>
    <t>2025-11-27 21:45:29</t>
  </si>
  <si>
    <t>YUSNEY GRIMALDO VARGAS</t>
  </si>
  <si>
    <t>3422610</t>
  </si>
  <si>
    <t>3059273714</t>
  </si>
  <si>
    <t>RURAL_116005312515400002_ BR NUEVO</t>
  </si>
  <si>
    <t>116005312515400002</t>
  </si>
  <si>
    <t>2025-12-10 21:45:29</t>
  </si>
  <si>
    <t>6 días 21:45</t>
  </si>
  <si>
    <t>4 días 22:03</t>
  </si>
  <si>
    <t>29/09/2025 16:32:56</t>
  </si>
  <si>
    <t>2025-11-28 10:49:16</t>
  </si>
  <si>
    <t>OTONIEL DE JESUS HOLGUIN GALLEGO</t>
  </si>
  <si>
    <t>3137869287</t>
  </si>
  <si>
    <t>RURAL_159161334000000002_PROV.159161334000000000</t>
  </si>
  <si>
    <t>159161334000000002</t>
  </si>
  <si>
    <t>2025-12-11 10:49:16</t>
  </si>
  <si>
    <t>1 días 10:49</t>
  </si>
  <si>
    <t>7 días 10:49</t>
  </si>
  <si>
    <t>30/09/2025 07:13:18</t>
  </si>
  <si>
    <t>2025-11-27 21:44:15</t>
  </si>
  <si>
    <t>ALEXANDRA MARIA ROLDAN AGUDELO</t>
  </si>
  <si>
    <t>3136037846</t>
  </si>
  <si>
    <t>CL 54 CR 86 A -35 (INTERIOR 528 )</t>
  </si>
  <si>
    <t>055814006100350528</t>
  </si>
  <si>
    <t>2025-12-09 21:44:15</t>
  </si>
  <si>
    <t>5 días 21:44</t>
  </si>
  <si>
    <t>30/09/2025 15:29:45</t>
  </si>
  <si>
    <t>2025-11-27 21:44:10</t>
  </si>
  <si>
    <t>JUAN ESTEBAN MORALES BEDOYA</t>
  </si>
  <si>
    <t>3042009498</t>
  </si>
  <si>
    <t>CL 48 BB CR 110 -37</t>
  </si>
  <si>
    <t>084118220000370000</t>
  </si>
  <si>
    <t>2025-12-09 21:44:10</t>
  </si>
  <si>
    <t>3 días 11:05</t>
  </si>
  <si>
    <t>0 días 16:34</t>
  </si>
  <si>
    <t>2 días 10:12</t>
  </si>
  <si>
    <t>6 días 10:12</t>
  </si>
  <si>
    <t>7 días 07:09</t>
  </si>
  <si>
    <t>7 días 07:14</t>
  </si>
  <si>
    <t>7 días 07:13</t>
  </si>
  <si>
    <t>7 días 07:17</t>
  </si>
  <si>
    <t>7 días 07:11</t>
  </si>
  <si>
    <t>6 días 09:21</t>
  </si>
  <si>
    <t>03/10/2025 16:56:37</t>
  </si>
  <si>
    <t>2025-11-27 21:45:08</t>
  </si>
  <si>
    <t>YESID ALEJANDRO MACHADO FLOREZ</t>
  </si>
  <si>
    <t>3001176714</t>
  </si>
  <si>
    <t>RURAL_136029733600000201_OLAYA HERRERA</t>
  </si>
  <si>
    <t>136029733600000201</t>
  </si>
  <si>
    <t>2025-12-10 21:45:08</t>
  </si>
  <si>
    <t>03/10/2025 17:21:32</t>
  </si>
  <si>
    <t>2025-11-27 21:45:04</t>
  </si>
  <si>
    <t>RURAL_136029733600000101_OLAYA HERRERA</t>
  </si>
  <si>
    <t>136029733600000101</t>
  </si>
  <si>
    <t>2025-12-10 21:45:04</t>
  </si>
  <si>
    <t>4 días 21:52</t>
  </si>
  <si>
    <t>1 días 21:52</t>
  </si>
  <si>
    <t>37 días 08:50</t>
  </si>
  <si>
    <t>06/10/2025 11:25:03</t>
  </si>
  <si>
    <t>2025-11-28 21:47:19</t>
  </si>
  <si>
    <t>MAURICIO SABBAGH VELASCO</t>
  </si>
  <si>
    <t>3229660</t>
  </si>
  <si>
    <t>3202755573</t>
  </si>
  <si>
    <t>CR 76 CL 48 -15 (INTERIOR 201 )</t>
  </si>
  <si>
    <t>054726008000150201</t>
  </si>
  <si>
    <t>2025-12-10 21:47:19</t>
  </si>
  <si>
    <t>6 días 21:47</t>
  </si>
  <si>
    <t>06/10/2025 12:28:18</t>
  </si>
  <si>
    <t>2025-11-27 21:45:12</t>
  </si>
  <si>
    <t>CRISTINA ISABEL PRIMERO BELTRAN</t>
  </si>
  <si>
    <t>3147948826</t>
  </si>
  <si>
    <t>RURAL_116005312360001107</t>
  </si>
  <si>
    <t>116005312360001107</t>
  </si>
  <si>
    <t>2025-12-10 21:45:12</t>
  </si>
  <si>
    <t>06/10/2025 12:37:35</t>
  </si>
  <si>
    <t>2025-11-27 21:45:16</t>
  </si>
  <si>
    <t>ALEXANDRA CADAVID SANCHEZ</t>
  </si>
  <si>
    <t>3413132</t>
  </si>
  <si>
    <t>3203962344</t>
  </si>
  <si>
    <t>RURAL_116005312360000106</t>
  </si>
  <si>
    <t>116005312360000106</t>
  </si>
  <si>
    <t>2025-12-10 21:45:16</t>
  </si>
  <si>
    <t>06/10/2025 12:40:31</t>
  </si>
  <si>
    <t>2025-11-27 21:45:25</t>
  </si>
  <si>
    <t>RURAL_116005312360000107</t>
  </si>
  <si>
    <t>116005312360000107</t>
  </si>
  <si>
    <t>2025-12-10 21:45:25</t>
  </si>
  <si>
    <t>06/10/2025 13:00:38</t>
  </si>
  <si>
    <t>2025-11-27 21:44:21</t>
  </si>
  <si>
    <t>BELISARIO ARCE ARCE</t>
  </si>
  <si>
    <t>3205934947</t>
  </si>
  <si>
    <t>CL 65 CR 16 DD -19 (INTERIOR 1886 )</t>
  </si>
  <si>
    <t>056115006440191886</t>
  </si>
  <si>
    <t>2025-12-04 21:44:21</t>
  </si>
  <si>
    <t>06/10/2025 14:22:10</t>
  </si>
  <si>
    <t>2025-11-27 21:45:33</t>
  </si>
  <si>
    <t>MIRIAM ENID SOTELO POLO</t>
  </si>
  <si>
    <t>3430691</t>
  </si>
  <si>
    <t>3135230834</t>
  </si>
  <si>
    <t>RURAL_116005312360000108</t>
  </si>
  <si>
    <t>116005312360000108</t>
  </si>
  <si>
    <t>2025-12-10 21:45:33</t>
  </si>
  <si>
    <t>06/10/2025 14:26:49</t>
  </si>
  <si>
    <t>2025-11-27 21:45:37</t>
  </si>
  <si>
    <t>JERALDIN  MIRANDA MESA</t>
  </si>
  <si>
    <t>3028152829</t>
  </si>
  <si>
    <t>RURAL_116005308000000000</t>
  </si>
  <si>
    <t>116005308000000000</t>
  </si>
  <si>
    <t>2025-12-10 21:45:37</t>
  </si>
  <si>
    <t>06/10/2025 14:27:06</t>
  </si>
  <si>
    <t>2025-11-28 21:45:42</t>
  </si>
  <si>
    <t>BEATRIZ HELENA FLOREZ OSORIO</t>
  </si>
  <si>
    <t>3157687304</t>
  </si>
  <si>
    <t>CL 45 CR 32 -20 (INTERIOR 301 )</t>
  </si>
  <si>
    <t>054315002000200301</t>
  </si>
  <si>
    <t>2025-12-10 21:45:42</t>
  </si>
  <si>
    <t>1 días 21:45</t>
  </si>
  <si>
    <t>06/10/2025 14:56:14</t>
  </si>
  <si>
    <t>2025-11-27 21:45:51</t>
  </si>
  <si>
    <t>RODOLFO QUINTERO MARTINEZ</t>
  </si>
  <si>
    <t>3218822019</t>
  </si>
  <si>
    <t>RURAL_116005312515600101</t>
  </si>
  <si>
    <t>116005312515600101</t>
  </si>
  <si>
    <t>2025-12-10 21:45:51</t>
  </si>
  <si>
    <t>06/10/2025 14:56:28</t>
  </si>
  <si>
    <t>2025-11-27 21:45:55</t>
  </si>
  <si>
    <t>AMINTA ISABEL CASTRO  ROMERO</t>
  </si>
  <si>
    <t>2567904</t>
  </si>
  <si>
    <t>3012672589</t>
  </si>
  <si>
    <t>RURAL_116005312514601990</t>
  </si>
  <si>
    <t>116005312514601990</t>
  </si>
  <si>
    <t>2025-12-10 21:45:55</t>
  </si>
  <si>
    <t>06/10/2025 15:01:56</t>
  </si>
  <si>
    <t>2025-11-27 21:45:58</t>
  </si>
  <si>
    <t>MARIA TERESA MARTINEZ BORJA</t>
  </si>
  <si>
    <t>3202783148</t>
  </si>
  <si>
    <t>RURAL_116005312515600102</t>
  </si>
  <si>
    <t>116005312515600102</t>
  </si>
  <si>
    <t>2025-12-10 21:45:58</t>
  </si>
  <si>
    <t>06/10/2025 17:18:14</t>
  </si>
  <si>
    <t>2025-11-28 21:46:08</t>
  </si>
  <si>
    <t>MARIA ALEJANDRA SOTO MENESES</t>
  </si>
  <si>
    <t>5068916</t>
  </si>
  <si>
    <t>3003582054</t>
  </si>
  <si>
    <t>CR 26 E CL 38 B -38 (INTERIOR 202 )</t>
  </si>
  <si>
    <t>053226508200380202</t>
  </si>
  <si>
    <t>2025-12-05 21:46:08</t>
  </si>
  <si>
    <t>07/10/2025 08:11:40</t>
  </si>
  <si>
    <t>2025-11-28 21:46:00</t>
  </si>
  <si>
    <t>DANIEL FERNANDO GARCIA BUITRAGO</t>
  </si>
  <si>
    <t>3126403126</t>
  </si>
  <si>
    <t>CL 18 D CR 89 -11 (INTERIOR 101 )</t>
  </si>
  <si>
    <t>051818409000110101</t>
  </si>
  <si>
    <t>2025-12-10 21:46:00</t>
  </si>
  <si>
    <t>6 días 21:46</t>
  </si>
  <si>
    <t>07/10/2025 08:13:59</t>
  </si>
  <si>
    <t>2025-11-28 21:45:56</t>
  </si>
  <si>
    <t>FERNEY OTALVARO GARCIA BUITRAGO</t>
  </si>
  <si>
    <t>3116143420</t>
  </si>
  <si>
    <t>CL 18 D CR 89 -11 (INTERIOR 202 )</t>
  </si>
  <si>
    <t>051818409000110202</t>
  </si>
  <si>
    <t>2025-12-10 21:45:56</t>
  </si>
  <si>
    <t>07/10/2025 08:16:49</t>
  </si>
  <si>
    <t>2025-11-28 21:45:51</t>
  </si>
  <si>
    <t>CL 18 D CR 89 -11 (INTERIOR 201 )</t>
  </si>
  <si>
    <t>051818409000110201</t>
  </si>
  <si>
    <t>7 días 06:31</t>
  </si>
  <si>
    <t>07/10/2025 08:53:16</t>
  </si>
  <si>
    <t>2025-11-27 21:46:09</t>
  </si>
  <si>
    <t>JAIME LEON CANO ROJAS</t>
  </si>
  <si>
    <t>3244817325</t>
  </si>
  <si>
    <t>RURAL_116005312515600104</t>
  </si>
  <si>
    <t>116005312515600104</t>
  </si>
  <si>
    <t>2025-12-10 21:46:09</t>
  </si>
  <si>
    <t>7 días 06:33</t>
  </si>
  <si>
    <t>07/10/2025 10:28:09</t>
  </si>
  <si>
    <t>2025-11-27 21:46:13</t>
  </si>
  <si>
    <t>JOSE IGNACIO SALDARRIAGA QUICENO</t>
  </si>
  <si>
    <t>3778173</t>
  </si>
  <si>
    <t>3242801597</t>
  </si>
  <si>
    <t>RURAL_163012332000000301_RURAL ITAGUI EL PROGRESO</t>
  </si>
  <si>
    <t>163012332000000301</t>
  </si>
  <si>
    <t>2025-12-10 21:46:13</t>
  </si>
  <si>
    <t>07/10/2025 12:17:11</t>
  </si>
  <si>
    <t>2025-11-27 21:44:37</t>
  </si>
  <si>
    <t>ANA ISABEL RESTREPO SEPULVEDA</t>
  </si>
  <si>
    <t>3194852505</t>
  </si>
  <si>
    <t>CL 34 A CR 116 -170 (INTERIOR 215 )</t>
  </si>
  <si>
    <t>083114106001700215</t>
  </si>
  <si>
    <t>2025-12-04 21:44:37</t>
  </si>
  <si>
    <t>07/10/2025 15:27:01</t>
  </si>
  <si>
    <t>2025-11-28 21:45:35</t>
  </si>
  <si>
    <t>ANDRES FELIPE ESPINOSA MARQUEZ</t>
  </si>
  <si>
    <t>2762832</t>
  </si>
  <si>
    <t>3007543066</t>
  </si>
  <si>
    <t>CR 24 E CL 40 SUR -110 (INTERIOR 310 )</t>
  </si>
  <si>
    <t>024224500001100310</t>
  </si>
  <si>
    <t>2025-12-10 21:45:35</t>
  </si>
  <si>
    <t>07/10/2025 16:40:40</t>
  </si>
  <si>
    <t>2025-11-27 21:44:44</t>
  </si>
  <si>
    <t>LILIANA MARIA MUNERA</t>
  </si>
  <si>
    <t>3235983196</t>
  </si>
  <si>
    <t>CL 48 CR 59 -56 (INTERIOR 126 )</t>
  </si>
  <si>
    <t>074518009000560126</t>
  </si>
  <si>
    <t>2025-12-04 21:44:44</t>
  </si>
  <si>
    <t>5 días 12:54</t>
  </si>
  <si>
    <t>2 días 12:54</t>
  </si>
  <si>
    <t>08/10/2025 10:13:09</t>
  </si>
  <si>
    <t>2025-11-27 21:44:48</t>
  </si>
  <si>
    <t>MARIA CLAUDIA GARCES ANAYA</t>
  </si>
  <si>
    <t>3045435161</t>
  </si>
  <si>
    <t>CR 1 ESTE CL 47 C -12 (INTERIOR 108 )</t>
  </si>
  <si>
    <t>704021007300120108</t>
  </si>
  <si>
    <t>2025-12-04 21:44:48</t>
  </si>
  <si>
    <t>08/10/2025 11:01:48</t>
  </si>
  <si>
    <t>2025-11-28 21:46:21</t>
  </si>
  <si>
    <t>CLAUDIA MILENA RIOS SERNA</t>
  </si>
  <si>
    <t>3167760514</t>
  </si>
  <si>
    <t>CR 1 ESTE CL 47 C -12 (INTERIOR 130 )</t>
  </si>
  <si>
    <t>704021007300120130</t>
  </si>
  <si>
    <t>2025-12-05 21:46:21</t>
  </si>
  <si>
    <t>08/10/2025 11:40:41</t>
  </si>
  <si>
    <t>2025-11-27 21:44:52</t>
  </si>
  <si>
    <t>YELITZA RIOS RONDON</t>
  </si>
  <si>
    <t>3145267655</t>
  </si>
  <si>
    <t>CL 65 CR 18 B -156 (INTERIOR 160 )</t>
  </si>
  <si>
    <t>056115008201560160</t>
  </si>
  <si>
    <t>2025-12-04 21:44:52</t>
  </si>
  <si>
    <t>08/10/2025 12:47:37</t>
  </si>
  <si>
    <t>2025-11-27 21:46:25</t>
  </si>
  <si>
    <t>SINDY CAROLINA VIDAL BLANQUICET</t>
  </si>
  <si>
    <t>3232054485</t>
  </si>
  <si>
    <t>RURAL_163008611200000010__VEREDAAJIZALII</t>
  </si>
  <si>
    <t>163008611200000010</t>
  </si>
  <si>
    <t>2025-12-10 21:46:25</t>
  </si>
  <si>
    <t>08/10/2025 12:54:28</t>
  </si>
  <si>
    <t>2025-11-28 21:46:24</t>
  </si>
  <si>
    <t>DUVERNEY CARDONA HENAO</t>
  </si>
  <si>
    <t>4275913</t>
  </si>
  <si>
    <t>3106845109</t>
  </si>
  <si>
    <t>RURAL_146019299009500001_LA ALDEA</t>
  </si>
  <si>
    <t>146019299009500001</t>
  </si>
  <si>
    <t>2025-12-11 21:46:24</t>
  </si>
  <si>
    <t>7 días 21:46</t>
  </si>
  <si>
    <t>12 días 09:59</t>
  </si>
  <si>
    <t>2 días 08:11</t>
  </si>
  <si>
    <t>8 días 08:11</t>
  </si>
  <si>
    <t>09/10/2025 16:19:30</t>
  </si>
  <si>
    <t>2025-11-29 13:02:35</t>
  </si>
  <si>
    <t>WILMAR ALONSO RODRIGUEZ ZAPATA</t>
  </si>
  <si>
    <t>5851364</t>
  </si>
  <si>
    <t>3128927675</t>
  </si>
  <si>
    <t>RURAL_116005480300000101_VEREDA BELEN AGUAS FRIAS</t>
  </si>
  <si>
    <t>116005480300000101</t>
  </si>
  <si>
    <t>2025-12-15 13:02:35</t>
  </si>
  <si>
    <t>9 días 13:02</t>
  </si>
  <si>
    <t>4 días 09:35</t>
  </si>
  <si>
    <t>1 días 09:35</t>
  </si>
  <si>
    <t>7 días 16:44</t>
  </si>
  <si>
    <t>3 días 16:44</t>
  </si>
  <si>
    <t>2 días 10:11</t>
  </si>
  <si>
    <t>3 días 14:47</t>
  </si>
  <si>
    <t>4 días 14:47</t>
  </si>
  <si>
    <t>6 días 21:52</t>
  </si>
  <si>
    <t>14 días 15:14</t>
  </si>
  <si>
    <t>2 días 11:09</t>
  </si>
  <si>
    <t>6 días 11:09</t>
  </si>
  <si>
    <t>5 días 06:07</t>
  </si>
  <si>
    <t>3 días 06:07</t>
  </si>
  <si>
    <t>3 días 07:49</t>
  </si>
  <si>
    <t>4 días 07:49</t>
  </si>
  <si>
    <t>5 días 09:15</t>
  </si>
  <si>
    <t>15 días 09:58</t>
  </si>
  <si>
    <t>1 días 16:44</t>
  </si>
  <si>
    <t>5 días 06:03</t>
  </si>
  <si>
    <t>10 días 08:23</t>
  </si>
  <si>
    <t>3 días 11:32</t>
  </si>
  <si>
    <t>8 días 11:32</t>
  </si>
  <si>
    <t>5 días 17:34</t>
  </si>
  <si>
    <t>0 días 17:34</t>
  </si>
  <si>
    <t>7 días 13:16</t>
  </si>
  <si>
    <t>4 días 13:16</t>
  </si>
  <si>
    <t>5 días 16:30</t>
  </si>
  <si>
    <t>2 días 16:30</t>
  </si>
  <si>
    <t>23/10/2025 14:51:21</t>
  </si>
  <si>
    <t>2025-11-29 10:29:13</t>
  </si>
  <si>
    <t>BRIGITTE NATHALIE SALDARRIAGA CARUPIA</t>
  </si>
  <si>
    <t>3017210131</t>
  </si>
  <si>
    <t>RURAL_136029956000000201_CR 103A CL 55-85 (INTERIO</t>
  </si>
  <si>
    <t>136029956000000201</t>
  </si>
  <si>
    <t>2025-12-11 10:29:13</t>
  </si>
  <si>
    <t>1 días 10:29</t>
  </si>
  <si>
    <t>7 días 10:29</t>
  </si>
  <si>
    <t>28/11/2025 08:41:06</t>
  </si>
  <si>
    <t>2025-11-28 08:41:06</t>
  </si>
  <si>
    <t>GLORIA MARIA GIRALDO LOPEZ</t>
  </si>
  <si>
    <t>2221882</t>
  </si>
  <si>
    <t>3216424400</t>
  </si>
  <si>
    <t>CR 1 C CL 48 -198 (INTERIOR 203 )</t>
  </si>
  <si>
    <t>054021308001980203</t>
  </si>
  <si>
    <t>2025-12-05 08:41:06</t>
  </si>
  <si>
    <t>1 días 08:41</t>
  </si>
  <si>
    <t>4 días 10:59</t>
  </si>
  <si>
    <t>4 días 09:20</t>
  </si>
  <si>
    <t>7 días 09:20</t>
  </si>
  <si>
    <t>1 días 14:15</t>
  </si>
  <si>
    <t>11 días 07:34</t>
  </si>
  <si>
    <t>27/10/2025 07:58:21</t>
  </si>
  <si>
    <t>2025-11-28 17:10:00</t>
  </si>
  <si>
    <t>CARLOS AUGUSTO OSSA BETANCUR</t>
  </si>
  <si>
    <t>3052331833</t>
  </si>
  <si>
    <t>CL 49 D SUR CR 40 A -296 (INTERIOR 9901 )</t>
  </si>
  <si>
    <t>024419400102969901</t>
  </si>
  <si>
    <t>2025-12-10 17:10:00</t>
  </si>
  <si>
    <t>1 días 17:10</t>
  </si>
  <si>
    <t>6 días 17:10</t>
  </si>
  <si>
    <t>23 días 19:04</t>
  </si>
  <si>
    <t>3 días 14:15</t>
  </si>
  <si>
    <t>4 días 14:15</t>
  </si>
  <si>
    <t>29/10/2025 12:10:06</t>
  </si>
  <si>
    <t>2025-11-28 09:21:57</t>
  </si>
  <si>
    <t>JOHANNA PATRICIA PIÑEROS CORREA</t>
  </si>
  <si>
    <t>3127314586</t>
  </si>
  <si>
    <t>CR 24 BB CL 56 EE -35 (INTERIOR 302 )</t>
  </si>
  <si>
    <t>055224226550350302</t>
  </si>
  <si>
    <t>2025-12-10 09:21:57</t>
  </si>
  <si>
    <t>1 días 09:21</t>
  </si>
  <si>
    <t>3 días 08:38</t>
  </si>
  <si>
    <t>1 días 08:38</t>
  </si>
  <si>
    <t>3 días 11:02</t>
  </si>
  <si>
    <t>4 días 11:02</t>
  </si>
  <si>
    <t>29/10/2025 15:01:58</t>
  </si>
  <si>
    <t>2025-11-27 15:02:03</t>
  </si>
  <si>
    <t>GLORIA ELSY CORREA</t>
  </si>
  <si>
    <t>3235088921</t>
  </si>
  <si>
    <t>CL 30 A CR 30 -119 (INTERIOR 302 )</t>
  </si>
  <si>
    <t>053310100001190302</t>
  </si>
  <si>
    <t>2025-12-04 15:02:03</t>
  </si>
  <si>
    <t>2 días 09:57</t>
  </si>
  <si>
    <t>5 días 09:57</t>
  </si>
  <si>
    <t>29/10/2025 15:50:29</t>
  </si>
  <si>
    <t>2025-11-28 11:34:23</t>
  </si>
  <si>
    <t>JUAN CAMILO AGUIRRE RIOS</t>
  </si>
  <si>
    <t>3106107938</t>
  </si>
  <si>
    <t>RURAL_147024475040000000_VEREDA EL UVITO</t>
  </si>
  <si>
    <t>147024475040000000</t>
  </si>
  <si>
    <t>2025-12-11 11:34:23</t>
  </si>
  <si>
    <t>1 días 11:34</t>
  </si>
  <si>
    <t>7 días 11:34</t>
  </si>
  <si>
    <t>3 días 18:01</t>
  </si>
  <si>
    <t>4 días 18:01</t>
  </si>
  <si>
    <t>30/10/2025 16:45:10</t>
  </si>
  <si>
    <t>2025-11-27 16:44:43</t>
  </si>
  <si>
    <t>JAIRO ENRIQUE GARCIA MUÑOZ</t>
  </si>
  <si>
    <t>3006989724</t>
  </si>
  <si>
    <t>RURAL_114005560000000105_114005560000000105</t>
  </si>
  <si>
    <t>114005560000000105</t>
  </si>
  <si>
    <t>2025-12-12 16:44:43</t>
  </si>
  <si>
    <t>8 días 16:44</t>
  </si>
  <si>
    <t>28/11/2025 07:16:35</t>
  </si>
  <si>
    <t>2025-11-28 07:16:35</t>
  </si>
  <si>
    <t>JUAN DE JESUS GUISAO MARIN</t>
  </si>
  <si>
    <t>4461115</t>
  </si>
  <si>
    <t>3128996452</t>
  </si>
  <si>
    <t>CL 56 CR 102 -156 (INTERIOR 216 )</t>
  </si>
  <si>
    <t>085016002001560216</t>
  </si>
  <si>
    <t>2025-12-05 07:16:35</t>
  </si>
  <si>
    <t>1 días 07:16</t>
  </si>
  <si>
    <t>4 días 07:16</t>
  </si>
  <si>
    <t>3 días 11:36</t>
  </si>
  <si>
    <t>8 días 11:36</t>
  </si>
  <si>
    <t>6 días 13:32</t>
  </si>
  <si>
    <t>2 días 13:32</t>
  </si>
  <si>
    <t>5 días 17:09</t>
  </si>
  <si>
    <t>2 días 17:09</t>
  </si>
  <si>
    <t>3 días 10:13</t>
  </si>
  <si>
    <t>1 días 10:13</t>
  </si>
  <si>
    <t>3 días 11:34</t>
  </si>
  <si>
    <t>8 días 11:34</t>
  </si>
  <si>
    <t>8 días 16:45</t>
  </si>
  <si>
    <t>3 días 16:45</t>
  </si>
  <si>
    <t>3 días 13:21</t>
  </si>
  <si>
    <t>5 días 13:21</t>
  </si>
  <si>
    <t>28/11/2025 10:51:55</t>
  </si>
  <si>
    <t>2025-11-28 10:51:55</t>
  </si>
  <si>
    <t>HUMBERTO GIRALDO VELEZ</t>
  </si>
  <si>
    <t>4449982</t>
  </si>
  <si>
    <t>3103876485</t>
  </si>
  <si>
    <t>CR 41 CL 46 -103</t>
  </si>
  <si>
    <t>074421006001030000</t>
  </si>
  <si>
    <t>2025-12-04 10:51:55</t>
  </si>
  <si>
    <t>1 días 10:51</t>
  </si>
  <si>
    <t>3 días 10:51</t>
  </si>
  <si>
    <t>05/11/2025 10:24:24</t>
  </si>
  <si>
    <t>2025-11-28 15:40:33</t>
  </si>
  <si>
    <t>GUSTAVO ADOLFO ALVAREZ BOLIVAR</t>
  </si>
  <si>
    <t>6019975</t>
  </si>
  <si>
    <t>3114362912</t>
  </si>
  <si>
    <t>RURAL_161096107000000002_VEREDA LA SALADA PARTE BA</t>
  </si>
  <si>
    <t>161096107000000002</t>
  </si>
  <si>
    <t>2025-12-11 15:40:33</t>
  </si>
  <si>
    <t>1 días 15:40</t>
  </si>
  <si>
    <t>7 días 15:40</t>
  </si>
  <si>
    <t>6 días 09:36</t>
  </si>
  <si>
    <t>4 días 09:36</t>
  </si>
  <si>
    <t>5 días 14:34</t>
  </si>
  <si>
    <t>2 días 14:34</t>
  </si>
  <si>
    <t>5 días 10:06</t>
  </si>
  <si>
    <t>2 días 10:06</t>
  </si>
  <si>
    <t>06/11/2025 07:24:56</t>
  </si>
  <si>
    <t>2025-11-28 13:52:47</t>
  </si>
  <si>
    <t>BLANCA ORFILIA CASTANO HENAO</t>
  </si>
  <si>
    <t>CL 113 SUR CR 54 -10 (INTERIOR 401 )</t>
  </si>
  <si>
    <t>001513004000100401</t>
  </si>
  <si>
    <t>2025-12-05 13:52:47</t>
  </si>
  <si>
    <t>1 días 13:52</t>
  </si>
  <si>
    <t>4 días 13:52</t>
  </si>
  <si>
    <t>06/11/2025 07:44:35</t>
  </si>
  <si>
    <t>2025-11-28 13:43:49</t>
  </si>
  <si>
    <t>CL 113 SUR CR 54 -10 (INTERIOR 301 )</t>
  </si>
  <si>
    <t>001513004000100301</t>
  </si>
  <si>
    <t>2025-12-05 13:43:49</t>
  </si>
  <si>
    <t>1 días 13:43</t>
  </si>
  <si>
    <t>4 días 13:43</t>
  </si>
  <si>
    <t>06/11/2025 07:47:42</t>
  </si>
  <si>
    <t>2025-11-28 13:41:07</t>
  </si>
  <si>
    <t>PAOLA ANDREA JARAMILLO AGUDELO</t>
  </si>
  <si>
    <t>CL 107 SUR CR 55 -13 (INTERIOR 105 )</t>
  </si>
  <si>
    <t>000517005000130105</t>
  </si>
  <si>
    <t>2025-12-05 13:41:07</t>
  </si>
  <si>
    <t>1 días 13:41</t>
  </si>
  <si>
    <t>4 días 13:41</t>
  </si>
  <si>
    <t>7 días 08:22</t>
  </si>
  <si>
    <t>16 días 16:04</t>
  </si>
  <si>
    <t>4 días 15:24</t>
  </si>
  <si>
    <t>2 días 09:48</t>
  </si>
  <si>
    <t>5 días 09:48</t>
  </si>
  <si>
    <t>5 días 14:27</t>
  </si>
  <si>
    <t>0 días 14:27</t>
  </si>
  <si>
    <t>07/11/2025 11:11:02</t>
  </si>
  <si>
    <t>2025-11-27 15:51:18</t>
  </si>
  <si>
    <t>ELIAS CARDONA GARCIA</t>
  </si>
  <si>
    <t>2382956</t>
  </si>
  <si>
    <t>3195945493</t>
  </si>
  <si>
    <t>CR 97 CL 18 -50 (INTERIOR 150 )</t>
  </si>
  <si>
    <t>051927008000500150</t>
  </si>
  <si>
    <t>2025-12-04 15:51:18</t>
  </si>
  <si>
    <t>2 días 15:51</t>
  </si>
  <si>
    <t>3 días 15:51</t>
  </si>
  <si>
    <t>07/11/2025 12:50:43</t>
  </si>
  <si>
    <t>2025-11-28 11:41:56</t>
  </si>
  <si>
    <t>LINA MARCELA QUICENO</t>
  </si>
  <si>
    <t>3113296013</t>
  </si>
  <si>
    <t>CL 28 CR 67 -7 (INTERIOR 301 )</t>
  </si>
  <si>
    <t>072618007000070301</t>
  </si>
  <si>
    <t>2025-12-10 11:41:56</t>
  </si>
  <si>
    <t>1 días 11:41</t>
  </si>
  <si>
    <t>6 días 11:41</t>
  </si>
  <si>
    <t>3 días 10:08</t>
  </si>
  <si>
    <t>4 días 10:08</t>
  </si>
  <si>
    <t>15 días 10:19</t>
  </si>
  <si>
    <t>28/11/2025 08:42:57</t>
  </si>
  <si>
    <t>2025-11-28 08:42:57</t>
  </si>
  <si>
    <t>JUAN DAVID URRUTIA MARTINEZ</t>
  </si>
  <si>
    <t>3245768037</t>
  </si>
  <si>
    <t>CL 55 EE CR 6 -12 (INTERIOR 1 )</t>
  </si>
  <si>
    <t>055015556000120001</t>
  </si>
  <si>
    <t>2025-12-05 08:42:57</t>
  </si>
  <si>
    <t>1 días 08:42</t>
  </si>
  <si>
    <t>28/11/2025 08:43:35</t>
  </si>
  <si>
    <t>2025-11-28 08:43:35</t>
  </si>
  <si>
    <t>CL 55 EE CR 6 -12 (INTERIOR 202 )</t>
  </si>
  <si>
    <t>055015556000120202</t>
  </si>
  <si>
    <t>2025-12-05 08:43:35</t>
  </si>
  <si>
    <t>1 días 08:43</t>
  </si>
  <si>
    <t>4 días 08:43</t>
  </si>
  <si>
    <t>4 días 08:10</t>
  </si>
  <si>
    <t>5 días 08:10</t>
  </si>
  <si>
    <t>13 días 03:15</t>
  </si>
  <si>
    <t>13 días 05:00</t>
  </si>
  <si>
    <t>2 días 08:25</t>
  </si>
  <si>
    <t>6 días 08:25</t>
  </si>
  <si>
    <t>11/11/2025 09:08:36</t>
  </si>
  <si>
    <t>2025-11-28 16:54:48</t>
  </si>
  <si>
    <t>JUAN CAMILO MARTINEZ ALVAREZ</t>
  </si>
  <si>
    <t>3142958060</t>
  </si>
  <si>
    <t>CL 46 C CR 1 B -41</t>
  </si>
  <si>
    <t>054016301200410000</t>
  </si>
  <si>
    <t>2025-12-10 16:54:48</t>
  </si>
  <si>
    <t>1 días 16:54</t>
  </si>
  <si>
    <t>6 días 16:54</t>
  </si>
  <si>
    <t>11/11/2025 09:10:23</t>
  </si>
  <si>
    <t>2025-11-28 16:53:47</t>
  </si>
  <si>
    <t>CL 46 C CR 1 B -41 (INTERIOR 226 )</t>
  </si>
  <si>
    <t>054016301200410226</t>
  </si>
  <si>
    <t>2025-12-10 16:53:47</t>
  </si>
  <si>
    <t>1 días 16:53</t>
  </si>
  <si>
    <t>6 días 16:53</t>
  </si>
  <si>
    <t>5 días 13:48</t>
  </si>
  <si>
    <t>2 días 13:48</t>
  </si>
  <si>
    <t>13 días 13:32</t>
  </si>
  <si>
    <t>13 días 14:26</t>
  </si>
  <si>
    <t>29/11/2025 10:08:50</t>
  </si>
  <si>
    <t>2025-11-29 10:08:50</t>
  </si>
  <si>
    <t>HERNEY HERNANDEZ MARIN</t>
  </si>
  <si>
    <t>3113686079</t>
  </si>
  <si>
    <t>CL 80 SUR CR 47 E -19</t>
  </si>
  <si>
    <t>018410007500190000</t>
  </si>
  <si>
    <t>2025-12-04 10:08:50</t>
  </si>
  <si>
    <t>1 días 10:08</t>
  </si>
  <si>
    <t>3 días 17:46</t>
  </si>
  <si>
    <t>1 días 17:46</t>
  </si>
  <si>
    <t>12 días 16:24</t>
  </si>
  <si>
    <t>12 días 16:48</t>
  </si>
  <si>
    <t>10 días 04:19</t>
  </si>
  <si>
    <t>10 días 07:54</t>
  </si>
  <si>
    <t>10 días 07:57</t>
  </si>
  <si>
    <t>5 días 09:26</t>
  </si>
  <si>
    <t>1 días 07:08</t>
  </si>
  <si>
    <t>4 días 07:08</t>
  </si>
  <si>
    <t>3 días 16:23</t>
  </si>
  <si>
    <t>4 días 16:23</t>
  </si>
  <si>
    <t>10 días 14:33</t>
  </si>
  <si>
    <t>1 días 14:33</t>
  </si>
  <si>
    <t>10 días 15:23</t>
  </si>
  <si>
    <t>7 días 15:41</t>
  </si>
  <si>
    <t>1 días 11:39</t>
  </si>
  <si>
    <t>9 días 08:31</t>
  </si>
  <si>
    <t>18/11/2025 09:06:34</t>
  </si>
  <si>
    <t>2025-11-29 14:42:02</t>
  </si>
  <si>
    <t>HECTOR ELI ARROYAVE SANCHEZ</t>
  </si>
  <si>
    <t>3206685868</t>
  </si>
  <si>
    <t>CL 4 CR 58 -25 (INTERIOR 101 )</t>
  </si>
  <si>
    <t>050514008000250101</t>
  </si>
  <si>
    <t>2025-12-10 14:42:02</t>
  </si>
  <si>
    <t>1 días 14:42</t>
  </si>
  <si>
    <t>6 días 14:42</t>
  </si>
  <si>
    <t>9 días 09:18</t>
  </si>
  <si>
    <t>9 días 09:28</t>
  </si>
  <si>
    <t>9 días 09:34</t>
  </si>
  <si>
    <t>9 días 09:36</t>
  </si>
  <si>
    <t>9 días 09:46</t>
  </si>
  <si>
    <t>9 días 10:13</t>
  </si>
  <si>
    <t>18/11/2025 10:52:43</t>
  </si>
  <si>
    <t>2025-11-28 08:34:26</t>
  </si>
  <si>
    <t>NORA ALEJANDRA RUIZ VALENCIA</t>
  </si>
  <si>
    <t>3004543682</t>
  </si>
  <si>
    <t>CL 29 SUR CR 25 -2 (INTERIOR 301 )</t>
  </si>
  <si>
    <t>022219005000020301</t>
  </si>
  <si>
    <t>2025-12-10 08:34:26</t>
  </si>
  <si>
    <t>1 días 08:34</t>
  </si>
  <si>
    <t>6 días 08:34</t>
  </si>
  <si>
    <t>18/11/2025 11:51:56</t>
  </si>
  <si>
    <t>2025-11-27 17:59:42</t>
  </si>
  <si>
    <t>VALENTINA GONZALEZ JULIO</t>
  </si>
  <si>
    <t>3003149363</t>
  </si>
  <si>
    <t>CR 10 CL 55 -214 (INTERIOR 246 )</t>
  </si>
  <si>
    <t>055120005002140246</t>
  </si>
  <si>
    <t>2025-12-04 17:59:42</t>
  </si>
  <si>
    <t>2 días 17:59</t>
  </si>
  <si>
    <t>3 días 17:59</t>
  </si>
  <si>
    <t>2 días 09:39</t>
  </si>
  <si>
    <t>3 días 09:39</t>
  </si>
  <si>
    <t>8 días 08:44</t>
  </si>
  <si>
    <t>2 días 08:44</t>
  </si>
  <si>
    <t>8 días 10:12</t>
  </si>
  <si>
    <t>8 días 13:17</t>
  </si>
  <si>
    <t>0 días 13:17</t>
  </si>
  <si>
    <t>8 días 13:49</t>
  </si>
  <si>
    <t>0 días 13:49</t>
  </si>
  <si>
    <t>8 días 13:54</t>
  </si>
  <si>
    <t>3 días 13:54</t>
  </si>
  <si>
    <t>8 días 14:13</t>
  </si>
  <si>
    <t>0 días 14:13</t>
  </si>
  <si>
    <t>8 días 15:18</t>
  </si>
  <si>
    <t>0 días 15:18</t>
  </si>
  <si>
    <t>8 días 15:22</t>
  </si>
  <si>
    <t>8 días 15:39</t>
  </si>
  <si>
    <t>1 días 15:39</t>
  </si>
  <si>
    <t>8 días 15:45</t>
  </si>
  <si>
    <t>8 días 16:34</t>
  </si>
  <si>
    <t>4 días 08:46</t>
  </si>
  <si>
    <t>3 días 15:07</t>
  </si>
  <si>
    <t>7 días 15:07</t>
  </si>
  <si>
    <t>4 días 08:44</t>
  </si>
  <si>
    <t>7 días 09:05</t>
  </si>
  <si>
    <t>4 días 09:05</t>
  </si>
  <si>
    <t>7 días 09:34</t>
  </si>
  <si>
    <t>7 días 09:37</t>
  </si>
  <si>
    <t>2 días 09:37</t>
  </si>
  <si>
    <t>2 días 09:55</t>
  </si>
  <si>
    <t>3 días 09:55</t>
  </si>
  <si>
    <t>28/11/2025 08:46:37</t>
  </si>
  <si>
    <t>2025-11-28 08:46:37</t>
  </si>
  <si>
    <t>JAVIER ALBERTO CASTRILLON</t>
  </si>
  <si>
    <t>3011086793</t>
  </si>
  <si>
    <t>RURAL_167041832000000201_VEREDA PAN DE AZUCAR</t>
  </si>
  <si>
    <t>167041832000000201</t>
  </si>
  <si>
    <t>2025-12-11 08:46:37</t>
  </si>
  <si>
    <t>7 días 08:46</t>
  </si>
  <si>
    <t>7 días 11:46</t>
  </si>
  <si>
    <t>2 días 11:46</t>
  </si>
  <si>
    <t>1 días 11:49</t>
  </si>
  <si>
    <t>7 días 13:25</t>
  </si>
  <si>
    <t>0 días 13:25</t>
  </si>
  <si>
    <t>7 días 15:03</t>
  </si>
  <si>
    <t>7 días 15:14</t>
  </si>
  <si>
    <t>4 días 15:14</t>
  </si>
  <si>
    <t>7 días 15:34</t>
  </si>
  <si>
    <t>4 días 15:34</t>
  </si>
  <si>
    <t>7 días 15:50</t>
  </si>
  <si>
    <t>4 días 12:23</t>
  </si>
  <si>
    <t>20/11/2025 17:11:05</t>
  </si>
  <si>
    <t>2025-11-29 14:41:44</t>
  </si>
  <si>
    <t>CL 4 CR 58 -25 (INTERIOR 202 )</t>
  </si>
  <si>
    <t>050514008000250202</t>
  </si>
  <si>
    <t>2025-12-10 14:41:44</t>
  </si>
  <si>
    <t>1 días 14:41</t>
  </si>
  <si>
    <t>6 días 14:41</t>
  </si>
  <si>
    <t>6 días 08:07</t>
  </si>
  <si>
    <t>8 días 08:07</t>
  </si>
  <si>
    <t>6 días 08:11</t>
  </si>
  <si>
    <t>3 días 08:11</t>
  </si>
  <si>
    <t>6 días 08:19</t>
  </si>
  <si>
    <t>3 días 08:19</t>
  </si>
  <si>
    <t>6 días 08:36</t>
  </si>
  <si>
    <t>2 días 08:36</t>
  </si>
  <si>
    <t>2 días 06:24</t>
  </si>
  <si>
    <t>3 días 06:24</t>
  </si>
  <si>
    <t>6 días 09:04</t>
  </si>
  <si>
    <t>1 días 09:04</t>
  </si>
  <si>
    <t>6 días 09:18</t>
  </si>
  <si>
    <t>1 días 09:18</t>
  </si>
  <si>
    <t>6 días 11:19</t>
  </si>
  <si>
    <t>3 días 11:19</t>
  </si>
  <si>
    <t>6 días 11:40</t>
  </si>
  <si>
    <t>3 días 11:40</t>
  </si>
  <si>
    <t>6 días 12:07</t>
  </si>
  <si>
    <t>1 días 12:31</t>
  </si>
  <si>
    <t>6 días 12:59</t>
  </si>
  <si>
    <t>3 días 12:59</t>
  </si>
  <si>
    <t>6 días 13:31</t>
  </si>
  <si>
    <t>1 días 13:31</t>
  </si>
  <si>
    <t>6 días 14:04</t>
  </si>
  <si>
    <t>5 días 16:18</t>
  </si>
  <si>
    <t>0 días 16:18</t>
  </si>
  <si>
    <t>5 días 08:22</t>
  </si>
  <si>
    <t>5 días 08:24</t>
  </si>
  <si>
    <t>2 días 08:24</t>
  </si>
  <si>
    <t>5 días 08:52</t>
  </si>
  <si>
    <t>5 días 08:58</t>
  </si>
  <si>
    <t>5 días 10:19</t>
  </si>
  <si>
    <t>5 días 10:20</t>
  </si>
  <si>
    <t>5 días 10:24</t>
  </si>
  <si>
    <t>2 días 10:24</t>
  </si>
  <si>
    <t>5 días 10:35</t>
  </si>
  <si>
    <t>2 días 10:35</t>
  </si>
  <si>
    <t>5 días 10:43</t>
  </si>
  <si>
    <t>2 días 10:43</t>
  </si>
  <si>
    <t>5 días 10:44</t>
  </si>
  <si>
    <t>2 días 10:44</t>
  </si>
  <si>
    <t>5 días 10:45</t>
  </si>
  <si>
    <t>2 días 10:45</t>
  </si>
  <si>
    <t>5 días 10:56</t>
  </si>
  <si>
    <t>5 días 11:28</t>
  </si>
  <si>
    <t>2 días 11:28</t>
  </si>
  <si>
    <t>5 días 11:33</t>
  </si>
  <si>
    <t>2 días 11:33</t>
  </si>
  <si>
    <t>5 días 12:12</t>
  </si>
  <si>
    <t>5 días 12:34</t>
  </si>
  <si>
    <t>2 días 12:34</t>
  </si>
  <si>
    <t>5 días 12:40</t>
  </si>
  <si>
    <t>0 días 13:32</t>
  </si>
  <si>
    <t>28/11/2025 07:10:54</t>
  </si>
  <si>
    <t>2025-11-28 07:10:54</t>
  </si>
  <si>
    <t>DEICY NATALIA LOAIZA CORREA</t>
  </si>
  <si>
    <t>4175658</t>
  </si>
  <si>
    <t>3147334426</t>
  </si>
  <si>
    <t>CL 35 D CR 108 B -57 (INTERIOR 302 )</t>
  </si>
  <si>
    <t>083015408200570302</t>
  </si>
  <si>
    <t>2025-12-05 07:10:54</t>
  </si>
  <si>
    <t>1 días 07:10</t>
  </si>
  <si>
    <t>4 días 07:10</t>
  </si>
  <si>
    <t>5 días 15:40</t>
  </si>
  <si>
    <t>2 días 15:50</t>
  </si>
  <si>
    <t>5 días 15:55</t>
  </si>
  <si>
    <t>2 días 15:55</t>
  </si>
  <si>
    <t>24/11/2025 15:56:54</t>
  </si>
  <si>
    <t>2025-11-28 09:29:26</t>
  </si>
  <si>
    <t>LUZ ELENA ORTIZ VELASQUEZ</t>
  </si>
  <si>
    <t>3104011458</t>
  </si>
  <si>
    <t>RURAL_147039510000000201</t>
  </si>
  <si>
    <t>147039510000000201</t>
  </si>
  <si>
    <t>2025-12-11 09:29:26</t>
  </si>
  <si>
    <t>1 días 09:29</t>
  </si>
  <si>
    <t>7 días 09:29</t>
  </si>
  <si>
    <t>5 días 16:00</t>
  </si>
  <si>
    <t>2 días 16:00</t>
  </si>
  <si>
    <t>5 días 16:10</t>
  </si>
  <si>
    <t>2 días 16:10</t>
  </si>
  <si>
    <t>5 días 16:17</t>
  </si>
  <si>
    <t>5 días 17:02</t>
  </si>
  <si>
    <t>2 días 17:02</t>
  </si>
  <si>
    <t>5 días 17:05</t>
  </si>
  <si>
    <t>2 días 17:05</t>
  </si>
  <si>
    <t>4 días 06:56</t>
  </si>
  <si>
    <t>10 días 06:56</t>
  </si>
  <si>
    <t>28/11/2025 07:12:14</t>
  </si>
  <si>
    <t>2025-11-28 07:12:14</t>
  </si>
  <si>
    <t>JOBANY OSWALDO MONTES GOMEZ</t>
  </si>
  <si>
    <t>3023175503</t>
  </si>
  <si>
    <t>CR 107 CL 55 -90 (INTERIOR 3400 )</t>
  </si>
  <si>
    <t>085027005000903400</t>
  </si>
  <si>
    <t>2025-12-05 07:12:14</t>
  </si>
  <si>
    <t>1 días 07:12</t>
  </si>
  <si>
    <t>28/11/2025 07:12:53</t>
  </si>
  <si>
    <t>2025-11-28 07:12:53</t>
  </si>
  <si>
    <t>4211827</t>
  </si>
  <si>
    <t>CR 107 CL 55 -90 (INTERIOR 440 )</t>
  </si>
  <si>
    <t>085027005000900440</t>
  </si>
  <si>
    <t>2025-12-05 07:12:53</t>
  </si>
  <si>
    <t>4 días 15:26</t>
  </si>
  <si>
    <t>1 días 15:26</t>
  </si>
  <si>
    <t>4 días 09:50</t>
  </si>
  <si>
    <t>6 días 09:50</t>
  </si>
  <si>
    <t>4 días 09:54</t>
  </si>
  <si>
    <t>4 días 10:09</t>
  </si>
  <si>
    <t>7 días 10:09</t>
  </si>
  <si>
    <t>7 días 10:11</t>
  </si>
  <si>
    <t>4 días 10:12</t>
  </si>
  <si>
    <t>4 días 10:36</t>
  </si>
  <si>
    <t>4 días 10:39</t>
  </si>
  <si>
    <t>4 días 11:43</t>
  </si>
  <si>
    <t>4 días 11:52</t>
  </si>
  <si>
    <t>1 días 11:52</t>
  </si>
  <si>
    <t>4 días 11:56</t>
  </si>
  <si>
    <t>1 días 11:56</t>
  </si>
  <si>
    <t>7 días 12:07</t>
  </si>
  <si>
    <t>4 días 12:08</t>
  </si>
  <si>
    <t>4 días 12:09</t>
  </si>
  <si>
    <t>4 días 12:17</t>
  </si>
  <si>
    <t>0 días 12:17</t>
  </si>
  <si>
    <t>4 días 12:46</t>
  </si>
  <si>
    <t>5 días 12:46</t>
  </si>
  <si>
    <t>1 días 13:39</t>
  </si>
  <si>
    <t>1 días 14:01</t>
  </si>
  <si>
    <t>25/11/2025 14:03:22</t>
  </si>
  <si>
    <t>2025-11-25 14:03:22</t>
  </si>
  <si>
    <t>MARIANA CORREA HURTADO</t>
  </si>
  <si>
    <t>3105090796</t>
  </si>
  <si>
    <t>RURAL_190130200689750004</t>
  </si>
  <si>
    <t>190130200689750004</t>
  </si>
  <si>
    <t>2025-12-05 14:03:22</t>
  </si>
  <si>
    <t>4 días 14:03</t>
  </si>
  <si>
    <t>4 días 14:04</t>
  </si>
  <si>
    <t>0 días 14:04</t>
  </si>
  <si>
    <t>28/11/2025 07:13:24</t>
  </si>
  <si>
    <t>2025-11-28 07:13:24</t>
  </si>
  <si>
    <t>YURLEY MARIN CANO</t>
  </si>
  <si>
    <t>3006305592</t>
  </si>
  <si>
    <t>CL 65 CR 137 -29 (INTERIOR 101 )</t>
  </si>
  <si>
    <t>086315007000290101</t>
  </si>
  <si>
    <t>2025-12-05 07:13:24</t>
  </si>
  <si>
    <t>5 días 14:16</t>
  </si>
  <si>
    <t>7 días 14:27</t>
  </si>
  <si>
    <t>4 días 14:48</t>
  </si>
  <si>
    <t>5 días 14:48</t>
  </si>
  <si>
    <t>4 días 15:52</t>
  </si>
  <si>
    <t>0 días 15:52</t>
  </si>
  <si>
    <t>4 días 15:53</t>
  </si>
  <si>
    <t>7 días 15:53</t>
  </si>
  <si>
    <t>4 días 15:57</t>
  </si>
  <si>
    <t>7 días 15:57</t>
  </si>
  <si>
    <t>4 días 16:01</t>
  </si>
  <si>
    <t>5 días 16:01</t>
  </si>
  <si>
    <t>4 días 16:14</t>
  </si>
  <si>
    <t>7 días 16:14</t>
  </si>
  <si>
    <t>4 días 16:15</t>
  </si>
  <si>
    <t>1 días 16:15</t>
  </si>
  <si>
    <t>7 días 16:17</t>
  </si>
  <si>
    <t>7 días 16:18</t>
  </si>
  <si>
    <t>4 días 16:24</t>
  </si>
  <si>
    <t>0 días 16:24</t>
  </si>
  <si>
    <t>4 días 17:24</t>
  </si>
  <si>
    <t>5 días 17:24</t>
  </si>
  <si>
    <t>4 días 17:43</t>
  </si>
  <si>
    <t>7 días 17:43</t>
  </si>
  <si>
    <t>4 días 17:52</t>
  </si>
  <si>
    <t>0 días 17:52</t>
  </si>
  <si>
    <t>4 días 18:13</t>
  </si>
  <si>
    <t>0 días 18:13</t>
  </si>
  <si>
    <t>3 días 06:59</t>
  </si>
  <si>
    <t>4 días 06:59</t>
  </si>
  <si>
    <t>3 días 07:06</t>
  </si>
  <si>
    <t>4 días 07:06</t>
  </si>
  <si>
    <t>6 días 07:19</t>
  </si>
  <si>
    <t>3 días 07:35</t>
  </si>
  <si>
    <t>8 días 07:35</t>
  </si>
  <si>
    <t>3 días 07:46</t>
  </si>
  <si>
    <t>1 días 07:46</t>
  </si>
  <si>
    <t>3 días 07:52</t>
  </si>
  <si>
    <t>1 días 07:52</t>
  </si>
  <si>
    <t>3 días 08:01</t>
  </si>
  <si>
    <t>3 días 08:16</t>
  </si>
  <si>
    <t>6 días 08:16</t>
  </si>
  <si>
    <t>3 días 08:21</t>
  </si>
  <si>
    <t>6 días 08:21</t>
  </si>
  <si>
    <t>3 días 08:43</t>
  </si>
  <si>
    <t>3 días 08:50</t>
  </si>
  <si>
    <t>1 días 08:50</t>
  </si>
  <si>
    <t>8 días 08:58</t>
  </si>
  <si>
    <t>3 días 09:14</t>
  </si>
  <si>
    <t>1 días 09:14</t>
  </si>
  <si>
    <t>1 días 09:15</t>
  </si>
  <si>
    <t>3 días 09:59</t>
  </si>
  <si>
    <t>6 días 09:59</t>
  </si>
  <si>
    <t>1 días 10:17</t>
  </si>
  <si>
    <t>7 días 10:27</t>
  </si>
  <si>
    <t>3 días 10:37</t>
  </si>
  <si>
    <t>7 días 10:37</t>
  </si>
  <si>
    <t>1 días 10:37</t>
  </si>
  <si>
    <t>1 días 10:48</t>
  </si>
  <si>
    <t>3 días 10:49</t>
  </si>
  <si>
    <t>1 días 11:30</t>
  </si>
  <si>
    <t>8 días 11:43</t>
  </si>
  <si>
    <t>3 días 11:45</t>
  </si>
  <si>
    <t>8 días 11:45</t>
  </si>
  <si>
    <t>3 días 11:47</t>
  </si>
  <si>
    <t>4 días 11:47</t>
  </si>
  <si>
    <t>3 días 11:49</t>
  </si>
  <si>
    <t>3 días 12:05</t>
  </si>
  <si>
    <t>1 días 12:05</t>
  </si>
  <si>
    <t>3 días 12:19</t>
  </si>
  <si>
    <t>1 días 12:19</t>
  </si>
  <si>
    <t>3 días 12:29</t>
  </si>
  <si>
    <t>1 días 12:29</t>
  </si>
  <si>
    <t>3 días 12:30</t>
  </si>
  <si>
    <t>1 días 12:30</t>
  </si>
  <si>
    <t>3 días 13:04</t>
  </si>
  <si>
    <t>8 días 13:04</t>
  </si>
  <si>
    <t>1 días 13:05</t>
  </si>
  <si>
    <t>3 días 13:09</t>
  </si>
  <si>
    <t>1 días 13:09</t>
  </si>
  <si>
    <t>3 días 13:12</t>
  </si>
  <si>
    <t>6 días 13:12</t>
  </si>
  <si>
    <t>3 días 13:17</t>
  </si>
  <si>
    <t>4 días 13:27</t>
  </si>
  <si>
    <t>3 días 13:36</t>
  </si>
  <si>
    <t>6 días 13:36</t>
  </si>
  <si>
    <t>3 días 13:47</t>
  </si>
  <si>
    <t>4 días 13:47</t>
  </si>
  <si>
    <t>6 días 13:51</t>
  </si>
  <si>
    <t>3 días 13:53</t>
  </si>
  <si>
    <t>4 días 13:53</t>
  </si>
  <si>
    <t>3 días 14:24</t>
  </si>
  <si>
    <t>1 días 14:24</t>
  </si>
  <si>
    <t>3 días 14:28</t>
  </si>
  <si>
    <t>1 días 14:28</t>
  </si>
  <si>
    <t>1 días 14:29</t>
  </si>
  <si>
    <t>4 días 14:29</t>
  </si>
  <si>
    <t>3 días 14:44</t>
  </si>
  <si>
    <t>8 días 14:44</t>
  </si>
  <si>
    <t>3 días 15:05</t>
  </si>
  <si>
    <t>6 días 15:05</t>
  </si>
  <si>
    <t>3 días 15:30</t>
  </si>
  <si>
    <t>7 días 15:30</t>
  </si>
  <si>
    <t>3 días 15:31</t>
  </si>
  <si>
    <t>5 días 15:31</t>
  </si>
  <si>
    <t>7 días 15:31</t>
  </si>
  <si>
    <t>3 días 16:04</t>
  </si>
  <si>
    <t>4 días 16:04</t>
  </si>
  <si>
    <t>3 días 16:36</t>
  </si>
  <si>
    <t>4 días 16:36</t>
  </si>
  <si>
    <t>3 días 16:37</t>
  </si>
  <si>
    <t>4 días 16:37</t>
  </si>
  <si>
    <t>26/11/2025 16:51:16</t>
  </si>
  <si>
    <t>2025-11-26 16:51:16</t>
  </si>
  <si>
    <t>CR 38 CL 46 F SUR -1 (INTERIOR 6100 )</t>
  </si>
  <si>
    <t>024328006600016100</t>
  </si>
  <si>
    <t>2025-12-05 16:51:16</t>
  </si>
  <si>
    <t>3 días 16:51</t>
  </si>
  <si>
    <t>4 días 16:51</t>
  </si>
  <si>
    <t>3 días 16:59</t>
  </si>
  <si>
    <t>1 días 16:59</t>
  </si>
  <si>
    <t>26/11/2025 17:01:35</t>
  </si>
  <si>
    <t>2025-11-26 17:01:35</t>
  </si>
  <si>
    <t>LUIS NORBETO RUIZ PEREZ</t>
  </si>
  <si>
    <t>3206463505</t>
  </si>
  <si>
    <t>RURAL_159144493000000011_RURAL LA ESTRELLA EL PLAN</t>
  </si>
  <si>
    <t>159144493000000011</t>
  </si>
  <si>
    <t>2025-12-09 17:01:35</t>
  </si>
  <si>
    <t>3 días 17:01</t>
  </si>
  <si>
    <t>5 días 17:01</t>
  </si>
  <si>
    <t>3 días 17:20</t>
  </si>
  <si>
    <t>6 días 17:20</t>
  </si>
  <si>
    <t>4 días 17:20</t>
  </si>
  <si>
    <t>3 días 17:33</t>
  </si>
  <si>
    <t>4 días 17:33</t>
  </si>
  <si>
    <t>3 días 17:44</t>
  </si>
  <si>
    <t>5 días 17:44</t>
  </si>
  <si>
    <t>26/11/2025 17:47:14</t>
  </si>
  <si>
    <t>2025-11-26 17:47:14</t>
  </si>
  <si>
    <t>3004797843</t>
  </si>
  <si>
    <t>RURAL_167046850000000005_CL 82 SUR CR 35 INT 5</t>
  </si>
  <si>
    <t>167046850000000005</t>
  </si>
  <si>
    <t>2025-12-11 17:47:14</t>
  </si>
  <si>
    <t>3 días 17:47</t>
  </si>
  <si>
    <t>7 días 17:47</t>
  </si>
  <si>
    <t>26/11/2025 17:51:41</t>
  </si>
  <si>
    <t>2025-11-26 17:51:41</t>
  </si>
  <si>
    <t>RURAL_167046850000000006_CL 82 SUR CR 35 INT 6</t>
  </si>
  <si>
    <t>167046850000000006</t>
  </si>
  <si>
    <t>2025-12-11 17:51:41</t>
  </si>
  <si>
    <t>3 días 17:51</t>
  </si>
  <si>
    <t>7 días 17:51</t>
  </si>
  <si>
    <t>3 días 17:55</t>
  </si>
  <si>
    <t>1 días 17:55</t>
  </si>
  <si>
    <t>3 días 18:08</t>
  </si>
  <si>
    <t>6 días 18:08</t>
  </si>
  <si>
    <t>3 días 18:18</t>
  </si>
  <si>
    <t>1 días 18:18</t>
  </si>
  <si>
    <t>3 días 18:38</t>
  </si>
  <si>
    <t>4 días 18:38</t>
  </si>
  <si>
    <t>3 días 23:58</t>
  </si>
  <si>
    <t>1 días 23:58</t>
  </si>
  <si>
    <t>2 días 00:32</t>
  </si>
  <si>
    <t>2 días 00:51</t>
  </si>
  <si>
    <t>2 días 08:00</t>
  </si>
  <si>
    <t>3 días 08:00</t>
  </si>
  <si>
    <t>2 días 08:07</t>
  </si>
  <si>
    <t>2 días 08:20</t>
  </si>
  <si>
    <t>2 días 08:23</t>
  </si>
  <si>
    <t>3 días 08:26</t>
  </si>
  <si>
    <t>2 días 08:29</t>
  </si>
  <si>
    <t>9 días 08:29</t>
  </si>
  <si>
    <t>2 días 08:34</t>
  </si>
  <si>
    <t>27/11/2025 08:46:12</t>
  </si>
  <si>
    <t>2025-11-27 08:46:12</t>
  </si>
  <si>
    <t>MARISOL OROZCO GIRALDO</t>
  </si>
  <si>
    <t>5576419</t>
  </si>
  <si>
    <t>3128844867</t>
  </si>
  <si>
    <t>RURAL_125004766200000105_PROV.125004766200000102</t>
  </si>
  <si>
    <t>125004766200000105</t>
  </si>
  <si>
    <t>2025-12-12 08:46:12</t>
  </si>
  <si>
    <t>8 días 08:46</t>
  </si>
  <si>
    <t>3 días 08:51</t>
  </si>
  <si>
    <t>9 días 08:52</t>
  </si>
  <si>
    <t>12 días 08:58</t>
  </si>
  <si>
    <t>2 días 09:27</t>
  </si>
  <si>
    <t>6 días 09:27</t>
  </si>
  <si>
    <t>2 días 09:29</t>
  </si>
  <si>
    <t>12 días 09:45</t>
  </si>
  <si>
    <t>2 días 09:47</t>
  </si>
  <si>
    <t>3 días 09:47</t>
  </si>
  <si>
    <t>2025-11-28 14:53:00</t>
  </si>
  <si>
    <t>2025-12-10 14:53:00</t>
  </si>
  <si>
    <t>1 días 14:53</t>
  </si>
  <si>
    <t>6 días 14:53</t>
  </si>
  <si>
    <t>12 días 10:08</t>
  </si>
  <si>
    <t>2 días 10:19</t>
  </si>
  <si>
    <t>6 días 10:21</t>
  </si>
  <si>
    <t>2 días 10:22</t>
  </si>
  <si>
    <t>5 días 10:22</t>
  </si>
  <si>
    <t>2 días 10:26</t>
  </si>
  <si>
    <t>7 días 10:26</t>
  </si>
  <si>
    <t>2 días 10:30</t>
  </si>
  <si>
    <t>5 días 10:32</t>
  </si>
  <si>
    <t>RURAL_140004954401000000_140004954401000000</t>
  </si>
  <si>
    <t>2 días 10:33</t>
  </si>
  <si>
    <t>8 días 10:33</t>
  </si>
  <si>
    <t>2 días 10:55</t>
  </si>
  <si>
    <t>12 días 10:56</t>
  </si>
  <si>
    <t>27/11/2025 11:22:38</t>
  </si>
  <si>
    <t>2025-11-28 07:27:47</t>
  </si>
  <si>
    <t>JESUS ERNESTO CARDONA ORREGO</t>
  </si>
  <si>
    <t>3113187551</t>
  </si>
  <si>
    <t>CL 55 A SUR CR 59 -35 (INTERIOR 112 )</t>
  </si>
  <si>
    <t>045515109000350112</t>
  </si>
  <si>
    <t>2025-12-05 07:27:47</t>
  </si>
  <si>
    <t>1 días 07:27</t>
  </si>
  <si>
    <t>4 días 07:27</t>
  </si>
  <si>
    <t>27/11/2025 11:25:00</t>
  </si>
  <si>
    <t>CL 55 A SUR CR 59 -35 (INTERIOR 113 )</t>
  </si>
  <si>
    <t>045515109000350113</t>
  </si>
  <si>
    <t>27/11/2025 11:28:27</t>
  </si>
  <si>
    <t>2025-11-28 07:27:46</t>
  </si>
  <si>
    <t>CL 55 A SUR CR 59 -35 (INTERIOR 115 )</t>
  </si>
  <si>
    <t>045515109000350115</t>
  </si>
  <si>
    <t>2025-12-05 07:27:46</t>
  </si>
  <si>
    <t>2 días 11:59</t>
  </si>
  <si>
    <t>7 días 11:59</t>
  </si>
  <si>
    <t>2 días 12:04</t>
  </si>
  <si>
    <t>5 días 12:04</t>
  </si>
  <si>
    <t>2 días 12:08</t>
  </si>
  <si>
    <t>6 días 12:08</t>
  </si>
  <si>
    <t>2 días 12:09</t>
  </si>
  <si>
    <t>27/11/2025 12:09:44</t>
  </si>
  <si>
    <t>2025-11-27 12:09:44</t>
  </si>
  <si>
    <t>LUIS HUMBERTO  ESTRADA ARREDONFO</t>
  </si>
  <si>
    <t>2877453</t>
  </si>
  <si>
    <t>3136801408</t>
  </si>
  <si>
    <t>RURAL_163011716000000003_CL 68 CR 67-20</t>
  </si>
  <si>
    <t>163011716000000003</t>
  </si>
  <si>
    <t>2025-12-12 12:09:44</t>
  </si>
  <si>
    <t>8 días 12:09</t>
  </si>
  <si>
    <t>2 días 12:11</t>
  </si>
  <si>
    <t>7 días 12:11</t>
  </si>
  <si>
    <t>2 días 12:35</t>
  </si>
  <si>
    <t>5 días 12:35</t>
  </si>
  <si>
    <t>2 días 12:41</t>
  </si>
  <si>
    <t>5 días 12:41</t>
  </si>
  <si>
    <t>2 días 12:47</t>
  </si>
  <si>
    <t>12 días 12:47</t>
  </si>
  <si>
    <t>27/11/2025 13:06:32</t>
  </si>
  <si>
    <t>2025-11-27 13:06:32</t>
  </si>
  <si>
    <t>CR 72 CL 42 -38</t>
  </si>
  <si>
    <t>054722002000380000</t>
  </si>
  <si>
    <t>2025-12-09 13:06:32</t>
  </si>
  <si>
    <t>2 días 13:06</t>
  </si>
  <si>
    <t>5 días 13:06</t>
  </si>
  <si>
    <t>2 días 13:16</t>
  </si>
  <si>
    <t>2 días 13:28</t>
  </si>
  <si>
    <t>2 días 13:57</t>
  </si>
  <si>
    <t>2 días 14:10</t>
  </si>
  <si>
    <t>12 días 14:15</t>
  </si>
  <si>
    <t>2 días 14:22</t>
  </si>
  <si>
    <t>6 días 14:22</t>
  </si>
  <si>
    <t>27/11/2025 14:31:45</t>
  </si>
  <si>
    <t>2025-11-27 14:31:45</t>
  </si>
  <si>
    <t>CARLOS OVIDIO VERGARA RAIGOZA</t>
  </si>
  <si>
    <t>4415535</t>
  </si>
  <si>
    <t>3136141222</t>
  </si>
  <si>
    <t>CL 57 CR 54 -34 (INTERIOR 401 )</t>
  </si>
  <si>
    <t>055517004000340401</t>
  </si>
  <si>
    <t>2025-12-09 14:31:45</t>
  </si>
  <si>
    <t>2 días 14:31</t>
  </si>
  <si>
    <t>5 días 14:31</t>
  </si>
  <si>
    <t>3 días 14:33</t>
  </si>
  <si>
    <t>2 días 14:35</t>
  </si>
  <si>
    <t>5 días 14:35</t>
  </si>
  <si>
    <t>2 días 14:36</t>
  </si>
  <si>
    <t>3 días 14:36</t>
  </si>
  <si>
    <t>6 días 14:47</t>
  </si>
  <si>
    <t>2 días 14:50</t>
  </si>
  <si>
    <t>2 días 14:53</t>
  </si>
  <si>
    <t>3 días 14:53</t>
  </si>
  <si>
    <t>2 días 14:54</t>
  </si>
  <si>
    <t>2 días 14:56</t>
  </si>
  <si>
    <t>3 días 14:56</t>
  </si>
  <si>
    <t>27/11/2025 14:57:57</t>
  </si>
  <si>
    <t>2025-11-27 14:57:57</t>
  </si>
  <si>
    <t>CONSUELO ARGELIA CALDERON LOPEZ</t>
  </si>
  <si>
    <t>2211840</t>
  </si>
  <si>
    <t>3127397973</t>
  </si>
  <si>
    <t>CL 55 CR 16 -15 (INTERIOR 201 )</t>
  </si>
  <si>
    <t>055115006000150201</t>
  </si>
  <si>
    <t>2025-12-03 14:57:57</t>
  </si>
  <si>
    <t>2 días 14:57</t>
  </si>
  <si>
    <t>27/11/2025 15:01:00</t>
  </si>
  <si>
    <t>2025-11-27 15:01:00</t>
  </si>
  <si>
    <t>FERNANDO AUGUSTO SIERRA CAMARGO</t>
  </si>
  <si>
    <t>3167308842</t>
  </si>
  <si>
    <t>CL 46 E CR 59 C -81 (INTERIOR 302 )</t>
  </si>
  <si>
    <t>074516509300810302</t>
  </si>
  <si>
    <t>2025-12-04 15:01:00</t>
  </si>
  <si>
    <t>27/11/2025 15:01:05</t>
  </si>
  <si>
    <t>2025-11-27 15:01:05</t>
  </si>
  <si>
    <t>CARLOS MARIO OSPINA ARIAS</t>
  </si>
  <si>
    <t>3307151</t>
  </si>
  <si>
    <t>3007841473</t>
  </si>
  <si>
    <t>CR 50 A CL 73 A -23 (INTERIOR 301 )</t>
  </si>
  <si>
    <t>077520103100230301</t>
  </si>
  <si>
    <t>2025-12-09 15:01:05</t>
  </si>
  <si>
    <t>27/11/2025 15:01:46</t>
  </si>
  <si>
    <t>2025-11-27 15:01:46</t>
  </si>
  <si>
    <t>MARCOS FIDEL SUAREZ HIGUITA</t>
  </si>
  <si>
    <t>3152557547</t>
  </si>
  <si>
    <t>CR 52 CL 53 -30 (INTERIOR 408 )</t>
  </si>
  <si>
    <t>055522003000300408</t>
  </si>
  <si>
    <t>2025-12-09 15:01:46</t>
  </si>
  <si>
    <t>27/11/2025 15:07:18</t>
  </si>
  <si>
    <t>2025-11-27 15:07:18</t>
  </si>
  <si>
    <t>CR 27 CL 58 -45</t>
  </si>
  <si>
    <t>055227008000450000</t>
  </si>
  <si>
    <t>2025-12-09 15:07:18</t>
  </si>
  <si>
    <t>5 días 15:07</t>
  </si>
  <si>
    <t>27/11/2025 15:07:19</t>
  </si>
  <si>
    <t>2025-11-27 15:07:19</t>
  </si>
  <si>
    <t>CARLOS ANDRES GRISALES HENAO</t>
  </si>
  <si>
    <t>2050095</t>
  </si>
  <si>
    <t>RURAL_159084350000000120_CL 100 SR 49 95 IN 120</t>
  </si>
  <si>
    <t>159084350000000120</t>
  </si>
  <si>
    <t>2025-12-03 15:07:19</t>
  </si>
  <si>
    <t>27/11/2025 15:08:20</t>
  </si>
  <si>
    <t>2025-11-27 15:08:20</t>
  </si>
  <si>
    <t>CR 50 A CL 73 A -23 (INTERIOR 401 )</t>
  </si>
  <si>
    <t>077520103100230401</t>
  </si>
  <si>
    <t>2025-12-09 15:08:20</t>
  </si>
  <si>
    <t>2 días 15:08</t>
  </si>
  <si>
    <t>5 días 15:08</t>
  </si>
  <si>
    <t>27/11/2025 15:12:54</t>
  </si>
  <si>
    <t>2025-11-27 15:12:54</t>
  </si>
  <si>
    <t>OLGA LUCIA FERNANDEZ GAVIRIA</t>
  </si>
  <si>
    <t>3016291051</t>
  </si>
  <si>
    <t>CR 37 CL 66 D -65 (INTERIOR 302 )</t>
  </si>
  <si>
    <t>056327006400650302</t>
  </si>
  <si>
    <t>2025-12-04 15:12:54</t>
  </si>
  <si>
    <t>2 días 15:12</t>
  </si>
  <si>
    <t>3 días 15:12</t>
  </si>
  <si>
    <t>27/11/2025 15:23:11</t>
  </si>
  <si>
    <t>2025-11-27 15:23:11</t>
  </si>
  <si>
    <t>JESUS DAVID HERNANDEZ SANCHEZ</t>
  </si>
  <si>
    <t>3045790687</t>
  </si>
  <si>
    <t>CR 120 F CL 54 -173 (INTERIOR 2279 )</t>
  </si>
  <si>
    <t>085220604001732279</t>
  </si>
  <si>
    <t>2025-12-15 15:23:11</t>
  </si>
  <si>
    <t>2 días 15:23</t>
  </si>
  <si>
    <t>27/11/2025 15:23:46</t>
  </si>
  <si>
    <t>2025-11-27 15:23:46</t>
  </si>
  <si>
    <t>ROSALBA UPEGUI BEDOYA</t>
  </si>
  <si>
    <t>3372375</t>
  </si>
  <si>
    <t>3203979022</t>
  </si>
  <si>
    <t>RURAL_163020130000000000_VDA OLIVARES</t>
  </si>
  <si>
    <t>163020130000000000</t>
  </si>
  <si>
    <t>2025-12-15 15:23:46</t>
  </si>
  <si>
    <t>27/11/2025 15:29:32</t>
  </si>
  <si>
    <t>2025-11-27 15:29:32</t>
  </si>
  <si>
    <t>CR 27 CL 58 -45 (INTERIOR 201 )</t>
  </si>
  <si>
    <t>055227008000450201</t>
  </si>
  <si>
    <t>2025-12-09 15:29:32</t>
  </si>
  <si>
    <t>2 días 15:29</t>
  </si>
  <si>
    <t>5 días 15:29</t>
  </si>
  <si>
    <t>27/11/2025 15:29:59</t>
  </si>
  <si>
    <t>2025-11-27 15:29:59</t>
  </si>
  <si>
    <t>LUZ MERY FLOREZ FLOREZ</t>
  </si>
  <si>
    <t>3147107471</t>
  </si>
  <si>
    <t>RURAL_116005536000000301_116005536000000301</t>
  </si>
  <si>
    <t>116005536000000301</t>
  </si>
  <si>
    <t>2025-12-15 15:29:59</t>
  </si>
  <si>
    <t>9 días 15:29</t>
  </si>
  <si>
    <t>2 días 15:32</t>
  </si>
  <si>
    <t>27/11/2025 15:32:53</t>
  </si>
  <si>
    <t>2025-11-27 15:32:53</t>
  </si>
  <si>
    <t>YAISIRI ALEJANDRA SANCHEZ MORENO</t>
  </si>
  <si>
    <t>3013173294</t>
  </si>
  <si>
    <t>RURAL_163004535000000201</t>
  </si>
  <si>
    <t>163004535000000201</t>
  </si>
  <si>
    <t>2025-12-10 15:32:53</t>
  </si>
  <si>
    <t>27/11/2025 15:34:10</t>
  </si>
  <si>
    <t>2025-11-27 15:34:10</t>
  </si>
  <si>
    <t>NATALIA  SERNA BARRERA</t>
  </si>
  <si>
    <t>3004674312</t>
  </si>
  <si>
    <t>RURAL_122003570000000101_122003570000000101</t>
  </si>
  <si>
    <t>122003570000000101</t>
  </si>
  <si>
    <t>2025-12-10 15:34:10</t>
  </si>
  <si>
    <t>2 días 15:34</t>
  </si>
  <si>
    <t>27/11/2025 15:36:57</t>
  </si>
  <si>
    <t>2025-11-27 15:36:57</t>
  </si>
  <si>
    <t>JOSE IVAN CORDOBA MARTINEZ</t>
  </si>
  <si>
    <t>3175299323</t>
  </si>
  <si>
    <t>CR 17 B CL 56 EE -38 (INTERIOR 173 )</t>
  </si>
  <si>
    <t>055127206550380173</t>
  </si>
  <si>
    <t>2025-12-04 15:36:57</t>
  </si>
  <si>
    <t>2 días 15:36</t>
  </si>
  <si>
    <t>27/11/2025 15:43:02</t>
  </si>
  <si>
    <t>2025-11-27 15:43:02</t>
  </si>
  <si>
    <t>CL 128 SUR CR 40 -191 (INTERIOR 101 )</t>
  </si>
  <si>
    <t>002418000001910101</t>
  </si>
  <si>
    <t>2025-12-04 15:43:02</t>
  </si>
  <si>
    <t>2 días 15:43</t>
  </si>
  <si>
    <t>3 días 15:43</t>
  </si>
  <si>
    <t>27/11/2025 15:51:53</t>
  </si>
  <si>
    <t>2025-11-27 15:51:53</t>
  </si>
  <si>
    <t>NELSON ARLEY HERRERA SANCHEZ</t>
  </si>
  <si>
    <t>3146603220</t>
  </si>
  <si>
    <t>CL 43 CR 36 A -24 (INTERIOR 420 )</t>
  </si>
  <si>
    <t>054313006100240420</t>
  </si>
  <si>
    <t>2025-12-09 15:51:53</t>
  </si>
  <si>
    <t>5 días 15:51</t>
  </si>
  <si>
    <t>27/11/2025 15:53:09</t>
  </si>
  <si>
    <t>2025-11-27 15:53:09</t>
  </si>
  <si>
    <t>OSCAR DE JESUS AGUDELO ARAQUE</t>
  </si>
  <si>
    <t>5580282</t>
  </si>
  <si>
    <t>3135395979</t>
  </si>
  <si>
    <t>CL 69 CR 121 -250 (INTERIOR 185 )</t>
  </si>
  <si>
    <t>086219001002500185</t>
  </si>
  <si>
    <t>2025-12-15 15:53:09</t>
  </si>
  <si>
    <t>2 días 15:53</t>
  </si>
  <si>
    <t>9 días 15:53</t>
  </si>
  <si>
    <t>27/11/2025 15:56:28</t>
  </si>
  <si>
    <t>2025-11-27 15:56:28</t>
  </si>
  <si>
    <t>DAYANA ANDREA MARIN FERRARO</t>
  </si>
  <si>
    <t>3205400051</t>
  </si>
  <si>
    <t>CL 29 A CR 50 D -21 (INTERIOR 201 )</t>
  </si>
  <si>
    <t>072519100400210201</t>
  </si>
  <si>
    <t>2025-12-09 15:56:28</t>
  </si>
  <si>
    <t>2 días 15:56</t>
  </si>
  <si>
    <t>5 días 15:56</t>
  </si>
  <si>
    <t>27/11/2025 15:57:50</t>
  </si>
  <si>
    <t>2025-11-27 15:57:50</t>
  </si>
  <si>
    <t>LUIS CARLOS VILLA PEREZ</t>
  </si>
  <si>
    <t>3127098683</t>
  </si>
  <si>
    <t>CL 58 AA SUR CR 63 -31 (INTERIOR 112 )</t>
  </si>
  <si>
    <t>045618113000310112</t>
  </si>
  <si>
    <t>2025-12-04 15:57:50</t>
  </si>
  <si>
    <t>2 días 15:57</t>
  </si>
  <si>
    <t>27/11/2025 15:57:53</t>
  </si>
  <si>
    <t>2025-11-27 15:57:53</t>
  </si>
  <si>
    <t>RURAL_122003570000000103</t>
  </si>
  <si>
    <t>122003570000000103</t>
  </si>
  <si>
    <t>2025-12-10 15:57:53</t>
  </si>
  <si>
    <t>6 días 15:57</t>
  </si>
  <si>
    <t>27/11/2025 15:58:05</t>
  </si>
  <si>
    <t>2025-11-27 15:58:05</t>
  </si>
  <si>
    <t>ALBERTO ELIAS AREIZA MONSALVE</t>
  </si>
  <si>
    <t>3005642520</t>
  </si>
  <si>
    <t>CL 39 CR 38 -179 (INTERIOR 401 )</t>
  </si>
  <si>
    <t>053319008001790401</t>
  </si>
  <si>
    <t>2025-12-09 15:58:05</t>
  </si>
  <si>
    <t>2 días 15:58</t>
  </si>
  <si>
    <t>5 días 15:58</t>
  </si>
  <si>
    <t>27/11/2025 15:58:31</t>
  </si>
  <si>
    <t>2025-11-27 15:58:31</t>
  </si>
  <si>
    <t>SANTIAGO AGUDELO GIRALDO</t>
  </si>
  <si>
    <t>3116298157</t>
  </si>
  <si>
    <t>RURAL_103014880059000000_103014880059000000</t>
  </si>
  <si>
    <t>103014880059000000</t>
  </si>
  <si>
    <t>2025-12-12 15:58:31</t>
  </si>
  <si>
    <t>8 días 15:58</t>
  </si>
  <si>
    <t>27/11/2025 15:59:07</t>
  </si>
  <si>
    <t>2025-11-27 15:59:07</t>
  </si>
  <si>
    <t>3005698008</t>
  </si>
  <si>
    <t>CR 17 B CL 56 EE -38 (INTERIOR 274 )</t>
  </si>
  <si>
    <t>055127206550380274</t>
  </si>
  <si>
    <t>2025-12-04 15:59:07</t>
  </si>
  <si>
    <t>2 días 15:59</t>
  </si>
  <si>
    <t>3 días 15:59</t>
  </si>
  <si>
    <t>27/11/2025 16:05:16</t>
  </si>
  <si>
    <t>2025-11-27 16:05:16</t>
  </si>
  <si>
    <t>IDA LUZ TORO MARTINEZ</t>
  </si>
  <si>
    <t>3147134997</t>
  </si>
  <si>
    <t>CL 58 AB CR 97 AA -19 (INTERIOR 223 )</t>
  </si>
  <si>
    <t>055918127110190223</t>
  </si>
  <si>
    <t>2025-12-04 16:05:16</t>
  </si>
  <si>
    <t>2 días 16:05</t>
  </si>
  <si>
    <t>3 días 16:05</t>
  </si>
  <si>
    <t>27/11/2025 16:05:57</t>
  </si>
  <si>
    <t>2025-11-27 16:05:57</t>
  </si>
  <si>
    <t>CR 17 B CL 56 EE -38 (INTERIOR 273 )</t>
  </si>
  <si>
    <t>055127206550380273</t>
  </si>
  <si>
    <t>2025-12-04 16:05:57</t>
  </si>
  <si>
    <t>27/11/2025 16:07:30</t>
  </si>
  <si>
    <t>2025-11-27 16:07:30</t>
  </si>
  <si>
    <t>SILVIA ESTRELLA HERNANDEZ MARTINEZ</t>
  </si>
  <si>
    <t>7051227</t>
  </si>
  <si>
    <t>3107051227</t>
  </si>
  <si>
    <t>CL 59 CR 37 -33</t>
  </si>
  <si>
    <t>055319007000330000</t>
  </si>
  <si>
    <t>2025-12-09 16:07:30</t>
  </si>
  <si>
    <t>2 días 16:07</t>
  </si>
  <si>
    <t>5 días 16:07</t>
  </si>
  <si>
    <t>27/11/2025 16:10:42</t>
  </si>
  <si>
    <t>2025-11-27 16:10:42</t>
  </si>
  <si>
    <t>RURAL_103014880059009801_103014880059009801</t>
  </si>
  <si>
    <t>103014880059009801</t>
  </si>
  <si>
    <t>2025-12-12 16:10:42</t>
  </si>
  <si>
    <t>8 días 16:10</t>
  </si>
  <si>
    <t>27/11/2025 16:10:44</t>
  </si>
  <si>
    <t>2025-11-27 16:10:44</t>
  </si>
  <si>
    <t>MARIA MADELEINE DAVID CARDONA</t>
  </si>
  <si>
    <t>2924348</t>
  </si>
  <si>
    <t>3243679789</t>
  </si>
  <si>
    <t>CR 17 A CL 56 H -8 (INTERIOR 2098 )</t>
  </si>
  <si>
    <t>055127106800082098</t>
  </si>
  <si>
    <t>2025-12-04 16:10:44</t>
  </si>
  <si>
    <t>27/11/2025 16:11:45</t>
  </si>
  <si>
    <t>2025-11-27 16:11:45</t>
  </si>
  <si>
    <t>NUBIA ROSA MOLINA ARROYAVE</t>
  </si>
  <si>
    <t>3127615107</t>
  </si>
  <si>
    <t>CR 90 C CL 15 -91 (INTERIOR 201 )</t>
  </si>
  <si>
    <t>051920305000910201</t>
  </si>
  <si>
    <t>2025-12-09 16:11:45</t>
  </si>
  <si>
    <t>2 días 16:11</t>
  </si>
  <si>
    <t>5 días 16:11</t>
  </si>
  <si>
    <t>27/11/2025 16:12:12</t>
  </si>
  <si>
    <t>2025-11-27 16:12:12</t>
  </si>
  <si>
    <t>ANDRES FELIPE HERRERA SANCHEZ</t>
  </si>
  <si>
    <t>3148054421</t>
  </si>
  <si>
    <t>CL 43 CR 36 A -24 (INTERIOR 320 )</t>
  </si>
  <si>
    <t>054313006100240320</t>
  </si>
  <si>
    <t>2025-12-09 16:12:12</t>
  </si>
  <si>
    <t>5 días 16:12</t>
  </si>
  <si>
    <t>27/11/2025 16:17:04</t>
  </si>
  <si>
    <t>2025-11-27 16:17:04</t>
  </si>
  <si>
    <t>MARIA FLORELIA VALDES DE LOPEZ</t>
  </si>
  <si>
    <t>3002462563</t>
  </si>
  <si>
    <t>CR 55 CL 25 -21 (INTERIOR 201 )</t>
  </si>
  <si>
    <t>052525005000210201</t>
  </si>
  <si>
    <t>2025-12-09 16:17:04</t>
  </si>
  <si>
    <t>2 días 16:17</t>
  </si>
  <si>
    <t>27/11/2025 16:17:29</t>
  </si>
  <si>
    <t>2025-11-27 16:17:29</t>
  </si>
  <si>
    <t>MARIBEL MORALES ARIAS</t>
  </si>
  <si>
    <t>3113084899</t>
  </si>
  <si>
    <t>RURAL_159056925000000000_159056925000000000</t>
  </si>
  <si>
    <t>159056925000000000</t>
  </si>
  <si>
    <t>2025-12-15 16:17:29</t>
  </si>
  <si>
    <t>9 días 16:17</t>
  </si>
  <si>
    <t>27/11/2025 16:22:55</t>
  </si>
  <si>
    <t>2025-11-27 16:22:55</t>
  </si>
  <si>
    <t>RURAL_103014880059009901_103014880059009901</t>
  </si>
  <si>
    <t>103014880059009901</t>
  </si>
  <si>
    <t>2025-12-12 16:22:55</t>
  </si>
  <si>
    <t>2 días 16:22</t>
  </si>
  <si>
    <t>8 días 16:22</t>
  </si>
  <si>
    <t>27/11/2025 16:25:46</t>
  </si>
  <si>
    <t>2025-11-27 16:25:46</t>
  </si>
  <si>
    <t>WESLLY DAIANA LOAIZA ZULUAGA</t>
  </si>
  <si>
    <t>3005121823</t>
  </si>
  <si>
    <t>CL 18 D CR 89 -11 (INTERIOR 375 )</t>
  </si>
  <si>
    <t>051818409000110375</t>
  </si>
  <si>
    <t>2025-12-15 16:25:46</t>
  </si>
  <si>
    <t>2 días 16:25</t>
  </si>
  <si>
    <t>9 días 16:25</t>
  </si>
  <si>
    <t>27/11/2025 16:26:44</t>
  </si>
  <si>
    <t>2025-11-27 16:26:44</t>
  </si>
  <si>
    <t>RURAL_103014880059009902_103014880059009902</t>
  </si>
  <si>
    <t>103014880059009902</t>
  </si>
  <si>
    <t>2025-12-12 16:26:44</t>
  </si>
  <si>
    <t>2 días 16:26</t>
  </si>
  <si>
    <t>8 días 16:26</t>
  </si>
  <si>
    <t>27/11/2025 16:27:48</t>
  </si>
  <si>
    <t>2025-11-27 16:27:48</t>
  </si>
  <si>
    <t>BEATRIZ ELENA MORENO VARGAS</t>
  </si>
  <si>
    <t>3006514363</t>
  </si>
  <si>
    <t>RURAL_125004461130000102</t>
  </si>
  <si>
    <t>125004461130000102</t>
  </si>
  <si>
    <t>2025-12-12 16:27:48</t>
  </si>
  <si>
    <t>2 días 16:27</t>
  </si>
  <si>
    <t>8 días 16:27</t>
  </si>
  <si>
    <t>27/11/2025 16:30:24</t>
  </si>
  <si>
    <t>2025-11-27 16:30:24</t>
  </si>
  <si>
    <t>YASSIRIS MENA RENTERIA</t>
  </si>
  <si>
    <t>4850956</t>
  </si>
  <si>
    <t>3174875763</t>
  </si>
  <si>
    <t>CIRC 3 AVDA 73 -23</t>
  </si>
  <si>
    <t>053759003000230000</t>
  </si>
  <si>
    <t>2025-12-03 16:30:24</t>
  </si>
  <si>
    <t>27/11/2025 16:38:53</t>
  </si>
  <si>
    <t>2025-11-27 16:38:53</t>
  </si>
  <si>
    <t>ROSA MARIA ROJAS OCHOA</t>
  </si>
  <si>
    <t>3127590977</t>
  </si>
  <si>
    <t>CL 36 C CR 112 B -25 (INTERIOR 333 )</t>
  </si>
  <si>
    <t>083116302200250333</t>
  </si>
  <si>
    <t>2025-12-09 16:38:53</t>
  </si>
  <si>
    <t>2 días 16:38</t>
  </si>
  <si>
    <t>5 días 16:38</t>
  </si>
  <si>
    <t>27/11/2025 16:39:05</t>
  </si>
  <si>
    <t>2025-11-27 16:39:05</t>
  </si>
  <si>
    <t>MAGNOLIA PARRA ZAPATA</t>
  </si>
  <si>
    <t>5891566</t>
  </si>
  <si>
    <t>3004688399</t>
  </si>
  <si>
    <t>CL 7 CR 52 -30 (INTERIOR 101 )</t>
  </si>
  <si>
    <t>050517002000300101</t>
  </si>
  <si>
    <t>2025-12-09 16:39:05</t>
  </si>
  <si>
    <t>2 días 16:39</t>
  </si>
  <si>
    <t>5 días 16:39</t>
  </si>
  <si>
    <t>27/11/2025 16:42:21</t>
  </si>
  <si>
    <t>2025-11-27 16:42:21</t>
  </si>
  <si>
    <t>CL 7 CR 52 -30 (INTERIOR 301 )</t>
  </si>
  <si>
    <t>050517002000300301</t>
  </si>
  <si>
    <t>2025-12-09 16:42:21</t>
  </si>
  <si>
    <t>2 días 16:42</t>
  </si>
  <si>
    <t>5 días 16:42</t>
  </si>
  <si>
    <t>27/11/2025 16:42:44</t>
  </si>
  <si>
    <t>2025-11-27 16:42:44</t>
  </si>
  <si>
    <t>LENKA LOPEZ VELEZ</t>
  </si>
  <si>
    <t>CL 6 CR 43 E -41 (INTERIOR 401 )</t>
  </si>
  <si>
    <t>050416003500410401</t>
  </si>
  <si>
    <t>2025-12-03 16:42:44</t>
  </si>
  <si>
    <t>2 días 16:48</t>
  </si>
  <si>
    <t>7 días 16:48</t>
  </si>
  <si>
    <t>27/11/2025 16:59:24</t>
  </si>
  <si>
    <t>2025-11-27 16:59:24</t>
  </si>
  <si>
    <t>JAIME ERNESTO HENAO ARROYAVE</t>
  </si>
  <si>
    <t>4260177</t>
  </si>
  <si>
    <t>3156436650</t>
  </si>
  <si>
    <t>CR 93 CL 62 B -14 (INTERIOR 201 )</t>
  </si>
  <si>
    <t>056923002200140201</t>
  </si>
  <si>
    <t>2025-12-09 16:59:24</t>
  </si>
  <si>
    <t>5 días 16:59</t>
  </si>
  <si>
    <t>27/11/2025 16:59:55</t>
  </si>
  <si>
    <t>2025-11-27 16:59:55</t>
  </si>
  <si>
    <t>MARIA ALPIDIA HIGUITA MONTOYA</t>
  </si>
  <si>
    <t>2262673</t>
  </si>
  <si>
    <t>3106230705</t>
  </si>
  <si>
    <t>CR 24 CL 53 -120 (INTERIOR 262 )</t>
  </si>
  <si>
    <t>055224003001200262</t>
  </si>
  <si>
    <t>2025-12-09 16:59:55</t>
  </si>
  <si>
    <t>27/11/2025 17:35:53</t>
  </si>
  <si>
    <t>2025-11-27 17:35:53</t>
  </si>
  <si>
    <t>RUBEN JAIME PIEDRAHITA OCAMPO</t>
  </si>
  <si>
    <t>5819249</t>
  </si>
  <si>
    <t>3137276847</t>
  </si>
  <si>
    <t>CR 82 C CL 19 -34 (INTERIOR 202 )</t>
  </si>
  <si>
    <t>051822309000340202</t>
  </si>
  <si>
    <t>2025-12-04 17:35:53</t>
  </si>
  <si>
    <t>2 días 17:35</t>
  </si>
  <si>
    <t>3 días 17:35</t>
  </si>
  <si>
    <t>27/11/2025 17:49:21</t>
  </si>
  <si>
    <t>2025-11-27 17:49:21</t>
  </si>
  <si>
    <t>EMPRESAS PUBLICAS DE MEDELLIN E.S.P.</t>
  </si>
  <si>
    <t>3006085217</t>
  </si>
  <si>
    <t>CR 55 CL 64 -84</t>
  </si>
  <si>
    <t>056525004000840000</t>
  </si>
  <si>
    <t>2025-12-09 17:49:21</t>
  </si>
  <si>
    <t>2 días 17:49</t>
  </si>
  <si>
    <t>5 días 17:49</t>
  </si>
  <si>
    <t>2 días 19:54</t>
  </si>
  <si>
    <t>7 días 19:54</t>
  </si>
  <si>
    <t>28/11/2025 06:15:19</t>
  </si>
  <si>
    <t>2025-11-28 06:15:19</t>
  </si>
  <si>
    <t>FABIAN FLOREZ</t>
  </si>
  <si>
    <t>3043517525</t>
  </si>
  <si>
    <t>RURAL_159035000000000000_PUEBLO VIEJO</t>
  </si>
  <si>
    <t>159035000000000000</t>
  </si>
  <si>
    <t>2025-12-04 06:15:19</t>
  </si>
  <si>
    <t>1 días 06:15</t>
  </si>
  <si>
    <t>3 días 06:15</t>
  </si>
  <si>
    <t>28/11/2025 06:20:19</t>
  </si>
  <si>
    <t>2025-11-28 06:20:19</t>
  </si>
  <si>
    <t>3209339296</t>
  </si>
  <si>
    <t>CR 44 CL 17 -120 (INTERIOR 1605 )</t>
  </si>
  <si>
    <t>051424007001201605</t>
  </si>
  <si>
    <t>2025-12-10 06:20:19</t>
  </si>
  <si>
    <t>1 días 06:20</t>
  </si>
  <si>
    <t>6 días 06:20</t>
  </si>
  <si>
    <t>CR 44 CL 17 -120 (INTERIOR 503 )</t>
  </si>
  <si>
    <t>051424007001200503</t>
  </si>
  <si>
    <t>28/11/2025 06:20:20</t>
  </si>
  <si>
    <t>2025-11-28 06:20:20</t>
  </si>
  <si>
    <t>CR 44 CL 17 -120 (INTERIOR 1204 )</t>
  </si>
  <si>
    <t>051424007001201204</t>
  </si>
  <si>
    <t>2025-12-10 06:20:20</t>
  </si>
  <si>
    <t>28/11/2025 06:20:26</t>
  </si>
  <si>
    <t>2025-11-28 06:20:26</t>
  </si>
  <si>
    <t>CR 44 CL 17 -120 (INTERIOR 1205 )</t>
  </si>
  <si>
    <t>051424007001201205</t>
  </si>
  <si>
    <t>2025-12-10 06:20:26</t>
  </si>
  <si>
    <t>28/11/2025 06:20:44</t>
  </si>
  <si>
    <t>2025-11-28 06:20:44</t>
  </si>
  <si>
    <t>CR 44 CL 17 -120 (INTERIOR 2501 )</t>
  </si>
  <si>
    <t>051424007001202501</t>
  </si>
  <si>
    <t>2025-12-10 06:20:44</t>
  </si>
  <si>
    <t>28/11/2025 06:21:08</t>
  </si>
  <si>
    <t>2025-11-28 06:21:08</t>
  </si>
  <si>
    <t>CR 44 CL 17 -120 (INTERIOR 2503 )</t>
  </si>
  <si>
    <t>051424007001202503</t>
  </si>
  <si>
    <t>2025-12-10 06:21:08</t>
  </si>
  <si>
    <t>1 días 06:21</t>
  </si>
  <si>
    <t>6 días 06:21</t>
  </si>
  <si>
    <t>28/11/2025 06:22:07</t>
  </si>
  <si>
    <t>2025-11-28 06:22:07</t>
  </si>
  <si>
    <t>CR 44 CL 17 -120 (INTERIOR 2504 )</t>
  </si>
  <si>
    <t>051424007001202504</t>
  </si>
  <si>
    <t>2025-12-10 06:22:07</t>
  </si>
  <si>
    <t>1 días 06:22</t>
  </si>
  <si>
    <t>6 días 06:22</t>
  </si>
  <si>
    <t>28/11/2025 06:22:30</t>
  </si>
  <si>
    <t>2025-11-28 06:22:30</t>
  </si>
  <si>
    <t>CR 44 CL 17 -120 (INTERIOR 2902 )</t>
  </si>
  <si>
    <t>051424007001202902</t>
  </si>
  <si>
    <t>2025-12-10 06:22:30</t>
  </si>
  <si>
    <t>28/11/2025 06:22:35</t>
  </si>
  <si>
    <t>2025-11-28 06:22:35</t>
  </si>
  <si>
    <t>CR 44 CL 17 -120 (INTERIOR 3006 )</t>
  </si>
  <si>
    <t>051424007001203006</t>
  </si>
  <si>
    <t>2025-12-10 06:22:35</t>
  </si>
  <si>
    <t>28/11/2025 06:22:37</t>
  </si>
  <si>
    <t>2025-11-28 06:22:37</t>
  </si>
  <si>
    <t>CR 44 CL 17 -120 (INTERIOR 2703 )</t>
  </si>
  <si>
    <t>051424007001202703</t>
  </si>
  <si>
    <t>2025-12-10 06:22:37</t>
  </si>
  <si>
    <t>28/11/2025 06:23:13</t>
  </si>
  <si>
    <t>2025-11-28 06:23:13</t>
  </si>
  <si>
    <t>CR 44 CL 17 -120 (INTERIOR 3004 )</t>
  </si>
  <si>
    <t>051424007001203004</t>
  </si>
  <si>
    <t>2025-12-10 06:23:13</t>
  </si>
  <si>
    <t>1 días 06:23</t>
  </si>
  <si>
    <t>6 días 06:23</t>
  </si>
  <si>
    <t>28/11/2025 06:23:28</t>
  </si>
  <si>
    <t>2025-11-28 06:23:28</t>
  </si>
  <si>
    <t>CR 44 CL 17 -120 (INTERIOR 1901 )</t>
  </si>
  <si>
    <t>051424007001201901</t>
  </si>
  <si>
    <t>2025-12-10 06:23:28</t>
  </si>
  <si>
    <t>28/11/2025 06:23:34</t>
  </si>
  <si>
    <t>2025-11-28 06:23:34</t>
  </si>
  <si>
    <t>CR 44 CL 17 -120 (INTERIOR 2203 )</t>
  </si>
  <si>
    <t>051424007001202203</t>
  </si>
  <si>
    <t>2025-12-10 06:23:34</t>
  </si>
  <si>
    <t>28/11/2025 06:23:58</t>
  </si>
  <si>
    <t>2025-11-28 06:23:58</t>
  </si>
  <si>
    <t>CR 44 CL 17 -120 (INTERIOR 805 )</t>
  </si>
  <si>
    <t>051424007001200805</t>
  </si>
  <si>
    <t>2025-12-10 06:23:58</t>
  </si>
  <si>
    <t>28/11/2025 06:25:02</t>
  </si>
  <si>
    <t>2025-11-28 06:25:02</t>
  </si>
  <si>
    <t>CR 44 CL 17 -120 (INTERIOR 705 )</t>
  </si>
  <si>
    <t>051424007001200705</t>
  </si>
  <si>
    <t>2025-12-10 06:25:02</t>
  </si>
  <si>
    <t>1 días 06:25</t>
  </si>
  <si>
    <t>6 días 06:25</t>
  </si>
  <si>
    <t>28/11/2025 06:25:05</t>
  </si>
  <si>
    <t>2025-11-28 06:25:05</t>
  </si>
  <si>
    <t>CR 44 CL 17 -120 (INTERIOR 504 )</t>
  </si>
  <si>
    <t>051424007001200504</t>
  </si>
  <si>
    <t>2025-12-10 06:25:05</t>
  </si>
  <si>
    <t>28/11/2025 06:25:10</t>
  </si>
  <si>
    <t>2025-11-28 06:25:10</t>
  </si>
  <si>
    <t>CR 44 CL 17 -120 (INTERIOR 802 )</t>
  </si>
  <si>
    <t>051424007001200802</t>
  </si>
  <si>
    <t>2025-12-10 06:25:10</t>
  </si>
  <si>
    <t>28/11/2025 06:25:24</t>
  </si>
  <si>
    <t>2025-11-28 06:25:24</t>
  </si>
  <si>
    <t>CR 44 CL 17 -120 (INTERIOR 904 )</t>
  </si>
  <si>
    <t>051424007001200904</t>
  </si>
  <si>
    <t>2025-12-10 06:25:24</t>
  </si>
  <si>
    <t>28/11/2025 06:25:47</t>
  </si>
  <si>
    <t>2025-11-28 06:25:47</t>
  </si>
  <si>
    <t>CR 44 CL 17 -120 (INTERIOR 903 )</t>
  </si>
  <si>
    <t>051424007001200903</t>
  </si>
  <si>
    <t>2025-12-10 06:25:47</t>
  </si>
  <si>
    <t>28/11/2025 06:25:58</t>
  </si>
  <si>
    <t>2025-11-28 06:25:58</t>
  </si>
  <si>
    <t>CR 44 CL 17 -120 (INTERIOR 1505 )</t>
  </si>
  <si>
    <t>051424007001201505</t>
  </si>
  <si>
    <t>2025-12-10 06:25:58</t>
  </si>
  <si>
    <t>28/11/2025 06:26:24</t>
  </si>
  <si>
    <t>2025-11-28 06:26:24</t>
  </si>
  <si>
    <t>CR 44 CL 17 -120 (INTERIOR 2001 )</t>
  </si>
  <si>
    <t>051424007001202001</t>
  </si>
  <si>
    <t>2025-12-10 06:26:24</t>
  </si>
  <si>
    <t>1 días 06:26</t>
  </si>
  <si>
    <t>6 días 06:26</t>
  </si>
  <si>
    <t>28/11/2025 06:26:47</t>
  </si>
  <si>
    <t>2025-11-28 06:26:47</t>
  </si>
  <si>
    <t>CR 44 CL 17 -120 (INTERIOR 1703 )</t>
  </si>
  <si>
    <t>051424007001201703</t>
  </si>
  <si>
    <t>2025-12-10 06:26:47</t>
  </si>
  <si>
    <t>28/11/2025 06:27:05</t>
  </si>
  <si>
    <t>2025-11-28 06:27:05</t>
  </si>
  <si>
    <t>CR 44 CL 17 -120 (INTERIOR 2201 )</t>
  </si>
  <si>
    <t>051424007001202201</t>
  </si>
  <si>
    <t>2025-12-10 06:27:05</t>
  </si>
  <si>
    <t>1 días 06:27</t>
  </si>
  <si>
    <t>6 días 06:27</t>
  </si>
  <si>
    <t>28/11/2025 06:27:16</t>
  </si>
  <si>
    <t>2025-11-28 06:27:16</t>
  </si>
  <si>
    <t>CR 44 CL 17 -120 (INTERIOR 1801 )</t>
  </si>
  <si>
    <t>051424007001201801</t>
  </si>
  <si>
    <t>2025-12-10 06:27:16</t>
  </si>
  <si>
    <t>28/11/2025 06:37:53</t>
  </si>
  <si>
    <t>2025-11-28 06:37:53</t>
  </si>
  <si>
    <t>CR 44 CL 17 -120 (INTERIOR 2301 )</t>
  </si>
  <si>
    <t>051424007001202301</t>
  </si>
  <si>
    <t>2025-12-10 06:37:53</t>
  </si>
  <si>
    <t>1 días 06:37</t>
  </si>
  <si>
    <t>6 días 06:37</t>
  </si>
  <si>
    <t>28/11/2025 06:38:09</t>
  </si>
  <si>
    <t>2025-11-28 06:38:09</t>
  </si>
  <si>
    <t>CR 44 CL 17 -120 (INTERIOR 2905 )</t>
  </si>
  <si>
    <t>051424007001202905</t>
  </si>
  <si>
    <t>2025-12-10 06:38:09</t>
  </si>
  <si>
    <t>1 días 06:38</t>
  </si>
  <si>
    <t>6 días 06:38</t>
  </si>
  <si>
    <t>28/11/2025 06:38:16</t>
  </si>
  <si>
    <t>2025-11-28 06:38:16</t>
  </si>
  <si>
    <t>CR 44 CL 17 -120 (INTERIOR 2904 )</t>
  </si>
  <si>
    <t>051424007001202904</t>
  </si>
  <si>
    <t>2025-12-10 06:38:16</t>
  </si>
  <si>
    <t>28/11/2025 06:38:29</t>
  </si>
  <si>
    <t>2025-11-28 06:38:29</t>
  </si>
  <si>
    <t>CR 44 CL 17 -120 (INTERIOR 2403 )</t>
  </si>
  <si>
    <t>051424007001202403</t>
  </si>
  <si>
    <t>2025-12-10 06:38:29</t>
  </si>
  <si>
    <t>28/11/2025 06:38:37</t>
  </si>
  <si>
    <t>2025-11-28 06:38:37</t>
  </si>
  <si>
    <t>CR 44 CL 17 -120 (INTERIOR 2402 )</t>
  </si>
  <si>
    <t>051424007001202402</t>
  </si>
  <si>
    <t>2025-12-10 06:38:37</t>
  </si>
  <si>
    <t>28/11/2025 06:38:50</t>
  </si>
  <si>
    <t>2025-11-28 06:38:50</t>
  </si>
  <si>
    <t>CR 44 CL 17 -120 (INTERIOR 2305 )</t>
  </si>
  <si>
    <t>051424007001202305</t>
  </si>
  <si>
    <t>2025-12-10 06:38:50</t>
  </si>
  <si>
    <t>28/11/2025 06:39:19</t>
  </si>
  <si>
    <t>2025-11-28 06:39:19</t>
  </si>
  <si>
    <t>CR 44 CL 17 -120 (INTERIOR 2302 )</t>
  </si>
  <si>
    <t>051424007001202302</t>
  </si>
  <si>
    <t>2025-12-10 06:39:19</t>
  </si>
  <si>
    <t>1 días 06:39</t>
  </si>
  <si>
    <t>6 días 06:39</t>
  </si>
  <si>
    <t>28/11/2025 06:56:02</t>
  </si>
  <si>
    <t>2025-11-28 06:56:02</t>
  </si>
  <si>
    <t>CR 44 CL 17 -120 (INTERIOR 3001 )</t>
  </si>
  <si>
    <t>051424007001203001</t>
  </si>
  <si>
    <t>2025-12-10 06:56:02</t>
  </si>
  <si>
    <t>1 días 06:56</t>
  </si>
  <si>
    <t>6 días 06:56</t>
  </si>
  <si>
    <t>28/11/2025 06:56:08</t>
  </si>
  <si>
    <t>2025-11-28 06:56:08</t>
  </si>
  <si>
    <t>CR 44 CL 17 -120 (INTERIOR 3002 )</t>
  </si>
  <si>
    <t>051424007001203002</t>
  </si>
  <si>
    <t>2025-12-10 06:56:08</t>
  </si>
  <si>
    <t>28/11/2025 06:56:29</t>
  </si>
  <si>
    <t>2025-11-28 06:56:29</t>
  </si>
  <si>
    <t>CR 44 CL 17 -120 (INTERIOR 2603 )</t>
  </si>
  <si>
    <t>051424007001202603</t>
  </si>
  <si>
    <t>2025-12-10 06:56:29</t>
  </si>
  <si>
    <t>28/11/2025 06:56:33</t>
  </si>
  <si>
    <t>2025-11-28 06:56:33</t>
  </si>
  <si>
    <t>CR 44 CL 17 -120 (INTERIOR 3005 )</t>
  </si>
  <si>
    <t>051424007001203005</t>
  </si>
  <si>
    <t>2025-12-10 06:56:33</t>
  </si>
  <si>
    <t>28/11/2025 06:57:02</t>
  </si>
  <si>
    <t>2025-11-28 06:57:02</t>
  </si>
  <si>
    <t>CR 44 CL 17 -120 (INTERIOR 2505 )</t>
  </si>
  <si>
    <t>051424007001202505</t>
  </si>
  <si>
    <t>2025-12-10 06:57:02</t>
  </si>
  <si>
    <t>28/11/2025 06:57:15</t>
  </si>
  <si>
    <t>2025-11-28 06:57:15</t>
  </si>
  <si>
    <t>CR 44 CL 17 -120 (INTERIOR 2701 )</t>
  </si>
  <si>
    <t>051424007001202701</t>
  </si>
  <si>
    <t>2025-12-10 06:57:15</t>
  </si>
  <si>
    <t>28/11/2025 06:57:55</t>
  </si>
  <si>
    <t>2025-11-28 06:57:55</t>
  </si>
  <si>
    <t>CR 44 CL 17 -120 (INTERIOR 2605 )</t>
  </si>
  <si>
    <t>051424007001202605</t>
  </si>
  <si>
    <t>2025-12-10 06:57:55</t>
  </si>
  <si>
    <t>28/11/2025 06:57:59</t>
  </si>
  <si>
    <t>2025-11-28 06:57:59</t>
  </si>
  <si>
    <t>CR 44 CL 17 -120 (INTERIOR 2204 )</t>
  </si>
  <si>
    <t>051424007001202204</t>
  </si>
  <si>
    <t>2025-12-10 06:57:59</t>
  </si>
  <si>
    <t>28/11/2025 06:58:10</t>
  </si>
  <si>
    <t>2025-11-28 06:58:10</t>
  </si>
  <si>
    <t>CR 44 CL 17 -120 (INTERIOR 2202 )</t>
  </si>
  <si>
    <t>051424007001202202</t>
  </si>
  <si>
    <t>2025-12-10 06:58:10</t>
  </si>
  <si>
    <t>1 días 06:58</t>
  </si>
  <si>
    <t>6 días 06:58</t>
  </si>
  <si>
    <t>28/11/2025 06:58:39</t>
  </si>
  <si>
    <t>2025-11-28 06:58:39</t>
  </si>
  <si>
    <t>CR 44 CL 17 -120 (INTERIOR 1805 )</t>
  </si>
  <si>
    <t>051424007001201805</t>
  </si>
  <si>
    <t>2025-12-10 06:58:39</t>
  </si>
  <si>
    <t>28/11/2025 06:58:56</t>
  </si>
  <si>
    <t>2025-11-28 06:58:56</t>
  </si>
  <si>
    <t>CR 44 CL 17 -120 (INTERIOR 1501 )</t>
  </si>
  <si>
    <t>051424007001201501</t>
  </si>
  <si>
    <t>2025-12-10 06:58:56</t>
  </si>
  <si>
    <t>CR 44 CL 17 -120 (INTERIOR 1902 )</t>
  </si>
  <si>
    <t>051424007001201902</t>
  </si>
  <si>
    <t>CR 44 CL 17 -120 (INTERIOR 1905 )</t>
  </si>
  <si>
    <t>051424007001201905</t>
  </si>
  <si>
    <t>28/11/2025 06:59:29</t>
  </si>
  <si>
    <t>2025-11-28 06:59:29</t>
  </si>
  <si>
    <t>CR 44 CL 17 -120 (INTERIOR 1001 )</t>
  </si>
  <si>
    <t>051424007001201001</t>
  </si>
  <si>
    <t>2025-12-10 06:59:29</t>
  </si>
  <si>
    <t>28/11/2025 06:59:39</t>
  </si>
  <si>
    <t>2025-11-28 06:59:39</t>
  </si>
  <si>
    <t>CR 44 CL 17 -120 (INTERIOR 1402 )</t>
  </si>
  <si>
    <t>051424007001201402</t>
  </si>
  <si>
    <t>2025-12-10 06:59:39</t>
  </si>
  <si>
    <t>28/11/2025 06:59:44</t>
  </si>
  <si>
    <t>2025-11-28 06:59:44</t>
  </si>
  <si>
    <t>CR 44 CL 17 -120 (INTERIOR 1004 )</t>
  </si>
  <si>
    <t>051424007001201004</t>
  </si>
  <si>
    <t>2025-12-10 06:59:44</t>
  </si>
  <si>
    <t>28/11/2025 07:00:00</t>
  </si>
  <si>
    <t>2025-11-28 07:00:00</t>
  </si>
  <si>
    <t>CL 56 A CR 25 BB -76 (INTERIOR 258 )</t>
  </si>
  <si>
    <t>055216105220760258</t>
  </si>
  <si>
    <t>2025-12-05 07:00:00</t>
  </si>
  <si>
    <t>1 días 07:00</t>
  </si>
  <si>
    <t>4 días 07:00</t>
  </si>
  <si>
    <t>28/11/2025 07:00:07</t>
  </si>
  <si>
    <t>2025-11-28 07:00:07</t>
  </si>
  <si>
    <t>CR 44 CL 17 -120 (INTERIOR 803 )</t>
  </si>
  <si>
    <t>051424007001200803</t>
  </si>
  <si>
    <t>2025-12-10 07:00:07</t>
  </si>
  <si>
    <t>6 días 07:00</t>
  </si>
  <si>
    <t>28/11/2025 07:00:23</t>
  </si>
  <si>
    <t>2025-11-28 07:00:23</t>
  </si>
  <si>
    <t>CR 44 CL 17 -120 (INTERIOR 602 )</t>
  </si>
  <si>
    <t>051424007001200602</t>
  </si>
  <si>
    <t>2025-12-10 07:00:23</t>
  </si>
  <si>
    <t>28/11/2025 07:03:23</t>
  </si>
  <si>
    <t>2025-11-28 07:03:23</t>
  </si>
  <si>
    <t>CL 56 A CR 25 BB -76 (INTERIOR 225 )</t>
  </si>
  <si>
    <t>055216105220760225</t>
  </si>
  <si>
    <t>2025-12-05 07:03:23</t>
  </si>
  <si>
    <t>1 días 07:03</t>
  </si>
  <si>
    <t>4 días 07:03</t>
  </si>
  <si>
    <t>28/11/2025 07:05:21</t>
  </si>
  <si>
    <t>2025-11-28 07:05:21</t>
  </si>
  <si>
    <t>DANIELA ANDREA QUINTERO RAMIREZ</t>
  </si>
  <si>
    <t>3214368400</t>
  </si>
  <si>
    <t>CL 18 D CR 89 -11 (INTERIOR 1193 )</t>
  </si>
  <si>
    <t>051818409000111193</t>
  </si>
  <si>
    <t>2025-12-16 07:05:21</t>
  </si>
  <si>
    <t>10 días 07:05</t>
  </si>
  <si>
    <t>28/11/2025 07:08:17</t>
  </si>
  <si>
    <t>2025-11-28 07:08:17</t>
  </si>
  <si>
    <t>CL 56 A CR 25 BB -76 (INTERIOR 259 )</t>
  </si>
  <si>
    <t>055216105220760259</t>
  </si>
  <si>
    <t>2025-12-05 07:08:17</t>
  </si>
  <si>
    <t>28/11/2025 07:19:39</t>
  </si>
  <si>
    <t>2025-11-28 07:19:39</t>
  </si>
  <si>
    <t>CR 44 CL 17 -120 (INTERIOR 2903 )</t>
  </si>
  <si>
    <t>051424007001202903</t>
  </si>
  <si>
    <t>2025-12-10 07:19:39</t>
  </si>
  <si>
    <t>28/11/2025 07:19:40</t>
  </si>
  <si>
    <t>2025-11-28 07:19:40</t>
  </si>
  <si>
    <t>CR 44 CL 17 -120 (INTERIOR 2906 )</t>
  </si>
  <si>
    <t>051424007001202906</t>
  </si>
  <si>
    <t>2025-12-10 07:19:40</t>
  </si>
  <si>
    <t>28/11/2025 07:19:47</t>
  </si>
  <si>
    <t>2025-11-28 07:19:47</t>
  </si>
  <si>
    <t>CR 44 CL 17 -120 (INTERIOR 3003 )</t>
  </si>
  <si>
    <t>051424007001203003</t>
  </si>
  <si>
    <t>2025-12-10 07:19:47</t>
  </si>
  <si>
    <t>28/11/2025 07:19:49</t>
  </si>
  <si>
    <t>2025-11-28 07:19:49</t>
  </si>
  <si>
    <t>CR 44 CL 17 -120 (INTERIOR 2506 )</t>
  </si>
  <si>
    <t>051424007001202506</t>
  </si>
  <si>
    <t>2025-12-10 07:19:49</t>
  </si>
  <si>
    <t>28/11/2025 07:20:05</t>
  </si>
  <si>
    <t>2025-11-28 07:20:05</t>
  </si>
  <si>
    <t>CR 44 CL 17 -120 (INTERIOR 2206 )</t>
  </si>
  <si>
    <t>051424007001202206</t>
  </si>
  <si>
    <t>2025-12-10 07:20:05</t>
  </si>
  <si>
    <t>1 días 07:20</t>
  </si>
  <si>
    <t>6 días 07:20</t>
  </si>
  <si>
    <t>28/11/2025 07:20:18</t>
  </si>
  <si>
    <t>2025-11-28 07:20:18</t>
  </si>
  <si>
    <t>CR 44 CL 17 -120 (INTERIOR 2604 )</t>
  </si>
  <si>
    <t>051424007001202604</t>
  </si>
  <si>
    <t>2025-12-10 07:20:18</t>
  </si>
  <si>
    <t>28/11/2025 07:20:30</t>
  </si>
  <si>
    <t>2025-11-28 07:20:30</t>
  </si>
  <si>
    <t>CR 44 CL 17 -120 (INTERIOR 2805 )</t>
  </si>
  <si>
    <t>051424007001202805</t>
  </si>
  <si>
    <t>2025-12-10 07:20:30</t>
  </si>
  <si>
    <t>28/11/2025 07:24:58</t>
  </si>
  <si>
    <t>2025-11-28 07:24:58</t>
  </si>
  <si>
    <t>CARLOS MAURICIO ARIZA DAVID</t>
  </si>
  <si>
    <t>3104504262</t>
  </si>
  <si>
    <t>CR 52 CL 67 A -35</t>
  </si>
  <si>
    <t>056522007100350000</t>
  </si>
  <si>
    <t>2025-12-04 07:24:58</t>
  </si>
  <si>
    <t>1 días 07:24</t>
  </si>
  <si>
    <t>3 días 07:24</t>
  </si>
  <si>
    <t>28/11/2025 07:30:17</t>
  </si>
  <si>
    <t>2025-11-28 07:30:17</t>
  </si>
  <si>
    <t>CR 44 CL 17 -120 (INTERIOR 2401 )</t>
  </si>
  <si>
    <t>051424007001202401</t>
  </si>
  <si>
    <t>2025-12-10 07:30:17</t>
  </si>
  <si>
    <t>1 días 07:30</t>
  </si>
  <si>
    <t>6 días 07:30</t>
  </si>
  <si>
    <t>28/11/2025 07:30:35</t>
  </si>
  <si>
    <t>2025-11-28 07:30:35</t>
  </si>
  <si>
    <t>CR 44 CL 17 -120 (INTERIOR 2502 )</t>
  </si>
  <si>
    <t>051424007001202502</t>
  </si>
  <si>
    <t>2025-12-10 07:30:35</t>
  </si>
  <si>
    <t>28/11/2025 07:30:46</t>
  </si>
  <si>
    <t>2025-11-28 07:30:46</t>
  </si>
  <si>
    <t>CR 44 CL 17 -120 (INTERIOR 2705 )</t>
  </si>
  <si>
    <t>051424007001202705</t>
  </si>
  <si>
    <t>2025-12-10 07:30:46</t>
  </si>
  <si>
    <t>28/11/2025 07:31:05</t>
  </si>
  <si>
    <t>2025-11-28 07:31:05</t>
  </si>
  <si>
    <t>CR 44 CL 17 -120 (INTERIOR 2205 )</t>
  </si>
  <si>
    <t>051424007001202205</t>
  </si>
  <si>
    <t>2025-12-10 07:31:05</t>
  </si>
  <si>
    <t>1 días 07:31</t>
  </si>
  <si>
    <t>6 días 07:31</t>
  </si>
  <si>
    <t>28/11/2025 07:37:23</t>
  </si>
  <si>
    <t>2025-11-28 07:37:23</t>
  </si>
  <si>
    <t>GUILLERMO LOPEZ</t>
  </si>
  <si>
    <t>CL 16 CR 43 B -4 (INTERIOR 202 )</t>
  </si>
  <si>
    <t>051416003200040202</t>
  </si>
  <si>
    <t>2025-12-10 07:37:23</t>
  </si>
  <si>
    <t>1 días 07:37</t>
  </si>
  <si>
    <t>6 días 07:37</t>
  </si>
  <si>
    <t>28/11/2025 07:39:32</t>
  </si>
  <si>
    <t>2025-11-28 07:39:32</t>
  </si>
  <si>
    <t>NANCY JOHANA BUILES RUA</t>
  </si>
  <si>
    <t>3045283877</t>
  </si>
  <si>
    <t>CR 22 B CL 56 BB -12 (INTERIOR 206 )</t>
  </si>
  <si>
    <t>055222206220120206</t>
  </si>
  <si>
    <t>2025-12-16 07:39:32</t>
  </si>
  <si>
    <t>1 días 07:39</t>
  </si>
  <si>
    <t>10 días 07:39</t>
  </si>
  <si>
    <t>28/11/2025 07:41:24</t>
  </si>
  <si>
    <t>2025-11-28 07:41:24</t>
  </si>
  <si>
    <t>CR 44 CL 17 -120 (INTERIOR 1802 )</t>
  </si>
  <si>
    <t>051424007001201802</t>
  </si>
  <si>
    <t>2025-12-10 07:41:24</t>
  </si>
  <si>
    <t>1 días 07:41</t>
  </si>
  <si>
    <t>6 días 07:41</t>
  </si>
  <si>
    <t>28/11/2025 07:42:10</t>
  </si>
  <si>
    <t>2025-11-28 07:42:10</t>
  </si>
  <si>
    <t>CR 44 CL 17 -120 (INTERIOR 1706 )</t>
  </si>
  <si>
    <t>051424007001201706</t>
  </si>
  <si>
    <t>2025-12-10 07:42:10</t>
  </si>
  <si>
    <t>1 días 07:42</t>
  </si>
  <si>
    <t>6 días 07:42</t>
  </si>
  <si>
    <t>28/11/2025 07:42:27</t>
  </si>
  <si>
    <t>2025-11-28 07:42:27</t>
  </si>
  <si>
    <t>CR 44 CL 17 -120 (INTERIOR 1704 )</t>
  </si>
  <si>
    <t>051424007001201704</t>
  </si>
  <si>
    <t>2025-12-10 07:42:27</t>
  </si>
  <si>
    <t>28/11/2025 07:42:33</t>
  </si>
  <si>
    <t>2025-11-28 07:42:33</t>
  </si>
  <si>
    <t>CR 44 CL 17 -120 (INTERIOR 2105 )</t>
  </si>
  <si>
    <t>051424007001202105</t>
  </si>
  <si>
    <t>2025-12-10 07:42:33</t>
  </si>
  <si>
    <t>28/11/2025 07:42:42</t>
  </si>
  <si>
    <t>2025-11-28 07:42:42</t>
  </si>
  <si>
    <t>CR 44 CL 17 -120 (INTERIOR 1803 )</t>
  </si>
  <si>
    <t>051424007001201803</t>
  </si>
  <si>
    <t>2025-12-10 07:42:42</t>
  </si>
  <si>
    <t>28/11/2025 07:43:05</t>
  </si>
  <si>
    <t>2025-11-28 07:43:05</t>
  </si>
  <si>
    <t>CR 44 CL 17 -120 (INTERIOR 1705 )</t>
  </si>
  <si>
    <t>051424007001201705</t>
  </si>
  <si>
    <t>2025-12-10 07:43:05</t>
  </si>
  <si>
    <t>1 días 07:43</t>
  </si>
  <si>
    <t>6 días 07:43</t>
  </si>
  <si>
    <t>28/11/2025 07:43:18</t>
  </si>
  <si>
    <t>2025-11-28 07:43:18</t>
  </si>
  <si>
    <t>CR 44 CL 17 -120 (INTERIOR 1906 )</t>
  </si>
  <si>
    <t>051424007001201906</t>
  </si>
  <si>
    <t>2025-12-10 07:43:18</t>
  </si>
  <si>
    <t>28/11/2025 07:47:47</t>
  </si>
  <si>
    <t>2025-11-28 07:47:47</t>
  </si>
  <si>
    <t>LUZ ENEIDA MEDINA CAÑOLA</t>
  </si>
  <si>
    <t>3103875027</t>
  </si>
  <si>
    <t>RURAL_116005519350000000_116005519350000000</t>
  </si>
  <si>
    <t>116005519350000000</t>
  </si>
  <si>
    <t>2025-12-16 07:47:47</t>
  </si>
  <si>
    <t>1 días 07:47</t>
  </si>
  <si>
    <t>10 días 07:47</t>
  </si>
  <si>
    <t>28/11/2025 07:50:14</t>
  </si>
  <si>
    <t>2025-11-28 07:50:14</t>
  </si>
  <si>
    <t>CL 56 A CR 25 BB -76 (INTERIOR 325 )</t>
  </si>
  <si>
    <t>055216105220760325</t>
  </si>
  <si>
    <t>2025-12-05 07:50:14</t>
  </si>
  <si>
    <t>1 días 07:50</t>
  </si>
  <si>
    <t>4 días 07:50</t>
  </si>
  <si>
    <t>28/11/2025 07:57:07</t>
  </si>
  <si>
    <t>2025-11-28 07:57:07</t>
  </si>
  <si>
    <t>GABRIEL ANTONIO FRANCO RESTREPO</t>
  </si>
  <si>
    <t>CL 63 CR 144 -226 (INTERIOR 301 )</t>
  </si>
  <si>
    <t>086413004002260301</t>
  </si>
  <si>
    <t>2025-12-05 07:57:07</t>
  </si>
  <si>
    <t>1 días 07:57</t>
  </si>
  <si>
    <t>4 días 07:57</t>
  </si>
  <si>
    <t>28/11/2025 08:03:23</t>
  </si>
  <si>
    <t>2025-11-28 08:03:23</t>
  </si>
  <si>
    <t>CR 44 CL 17 -120 (INTERIOR 1405 )</t>
  </si>
  <si>
    <t>051424007001201405</t>
  </si>
  <si>
    <t>2025-12-10 08:03:23</t>
  </si>
  <si>
    <t>1 días 08:03</t>
  </si>
  <si>
    <t>6 días 08:03</t>
  </si>
  <si>
    <t>28/11/2025 08:03:47</t>
  </si>
  <si>
    <t>2025-11-28 08:03:47</t>
  </si>
  <si>
    <t>CR 44 CL 17 -120 (INTERIOR 1306 )</t>
  </si>
  <si>
    <t>051424007001201306</t>
  </si>
  <si>
    <t>2025-12-10 08:03:47</t>
  </si>
  <si>
    <t>28/11/2025 08:04:16</t>
  </si>
  <si>
    <t>2025-11-28 08:04:16</t>
  </si>
  <si>
    <t>CR 44 CL 17 -120 (INTERIOR 1401 )</t>
  </si>
  <si>
    <t>051424007001201401</t>
  </si>
  <si>
    <t>2025-12-10 08:04:16</t>
  </si>
  <si>
    <t>1 días 08:04</t>
  </si>
  <si>
    <t>6 días 08:04</t>
  </si>
  <si>
    <t>28/11/2025 08:04:36</t>
  </si>
  <si>
    <t>2025-11-28 08:04:36</t>
  </si>
  <si>
    <t>CR 44 CL 17 -120 (INTERIOR 1305 )</t>
  </si>
  <si>
    <t>051424007001201305</t>
  </si>
  <si>
    <t>2025-12-10 08:04:36</t>
  </si>
  <si>
    <t>28/11/2025 08:04:39</t>
  </si>
  <si>
    <t>2025-11-28 08:04:39</t>
  </si>
  <si>
    <t>CR 44 CL 17 -120 (INTERIOR 1201 )</t>
  </si>
  <si>
    <t>051424007001201201</t>
  </si>
  <si>
    <t>2025-12-10 08:04:39</t>
  </si>
  <si>
    <t>28/11/2025 08:05:14</t>
  </si>
  <si>
    <t>2025-11-28 08:05:14</t>
  </si>
  <si>
    <t>CR 44 CL 17 -120 (INTERIOR 1303 )</t>
  </si>
  <si>
    <t>051424007001201303</t>
  </si>
  <si>
    <t>2025-12-10 08:05:14</t>
  </si>
  <si>
    <t>1 días 08:05</t>
  </si>
  <si>
    <t>6 días 08:05</t>
  </si>
  <si>
    <t>28/11/2025 08:05:19</t>
  </si>
  <si>
    <t>2025-11-28 08:05:19</t>
  </si>
  <si>
    <t>CR 44 CL 17 -120 (INTERIOR 1304 )</t>
  </si>
  <si>
    <t>051424007001201304</t>
  </si>
  <si>
    <t>2025-12-10 08:05:19</t>
  </si>
  <si>
    <t>28/11/2025 08:05:32</t>
  </si>
  <si>
    <t>2025-11-28 08:05:32</t>
  </si>
  <si>
    <t>CR 44 CL 17 -120 (INTERIOR 2802 )</t>
  </si>
  <si>
    <t>051424007001202802</t>
  </si>
  <si>
    <t>2025-12-10 08:05:32</t>
  </si>
  <si>
    <t>28/11/2025 08:08:12</t>
  </si>
  <si>
    <t>2025-11-28 08:08:12</t>
  </si>
  <si>
    <t>CR 44 CL 17 -120 (INTERIOR 2901 )</t>
  </si>
  <si>
    <t>051424007001202901</t>
  </si>
  <si>
    <t>2025-12-10 08:08:12</t>
  </si>
  <si>
    <t>1 días 08:08</t>
  </si>
  <si>
    <t>6 días 08:08</t>
  </si>
  <si>
    <t>28/11/2025 08:08:24</t>
  </si>
  <si>
    <t>2025-11-28 08:08:24</t>
  </si>
  <si>
    <t>CR 44 CL 17 -120 (INTERIOR 2806 )</t>
  </si>
  <si>
    <t>051424007001202806</t>
  </si>
  <si>
    <t>2025-12-10 08:08:24</t>
  </si>
  <si>
    <t>28/11/2025 08:08:48</t>
  </si>
  <si>
    <t>2025-11-28 08:08:48</t>
  </si>
  <si>
    <t>CR 44 CL 17 -120 (INTERIOR 2804 )</t>
  </si>
  <si>
    <t>051424007001202804</t>
  </si>
  <si>
    <t>2025-12-10 08:08:48</t>
  </si>
  <si>
    <t>28/11/2025 08:10:24</t>
  </si>
  <si>
    <t>2025-11-28 08:10:24</t>
  </si>
  <si>
    <t>CR 44 CL 17 -120 (INTERIOR 1301 )</t>
  </si>
  <si>
    <t>051424007001201301</t>
  </si>
  <si>
    <t>2025-12-10 08:10:24</t>
  </si>
  <si>
    <t>1 días 08:10</t>
  </si>
  <si>
    <t>28/11/2025 08:11:15</t>
  </si>
  <si>
    <t>2025-11-28 08:11:15</t>
  </si>
  <si>
    <t>CR 44 CL 17 -120 (INTERIOR 2406 )</t>
  </si>
  <si>
    <t>051424007001202406</t>
  </si>
  <si>
    <t>2025-12-10 08:11:15</t>
  </si>
  <si>
    <t>1 días 08:11</t>
  </si>
  <si>
    <t>28/11/2025 08:11:34</t>
  </si>
  <si>
    <t>2025-11-28 08:11:34</t>
  </si>
  <si>
    <t>CR 44 CL 17 -120 (INTERIOR 2404 )</t>
  </si>
  <si>
    <t>051424007001202404</t>
  </si>
  <si>
    <t>2025-12-10 08:11:34</t>
  </si>
  <si>
    <t>28/11/2025 08:11:58</t>
  </si>
  <si>
    <t>2025-11-28 08:11:58</t>
  </si>
  <si>
    <t>CR 44 CL 17 -120 (INTERIOR 2706 )</t>
  </si>
  <si>
    <t>051424007001202706</t>
  </si>
  <si>
    <t>2025-12-10 08:11:58</t>
  </si>
  <si>
    <t>28/11/2025 08:12:05</t>
  </si>
  <si>
    <t>2025-11-28 08:12:05</t>
  </si>
  <si>
    <t>CR 44 CL 17 -120 (INTERIOR 1804 )</t>
  </si>
  <si>
    <t>051424007001201804</t>
  </si>
  <si>
    <t>2025-12-10 08:12:05</t>
  </si>
  <si>
    <t>1 días 08:12</t>
  </si>
  <si>
    <t>6 días 08:12</t>
  </si>
  <si>
    <t>28/11/2025 08:12:07</t>
  </si>
  <si>
    <t>2025-11-28 08:12:07</t>
  </si>
  <si>
    <t>CR 44 CL 17 -120 (INTERIOR 2002 )</t>
  </si>
  <si>
    <t>051424007001202002</t>
  </si>
  <si>
    <t>2025-12-10 08:12:07</t>
  </si>
  <si>
    <t>28/11/2025 08:12:06</t>
  </si>
  <si>
    <t>2025-11-28 08:12:06</t>
  </si>
  <si>
    <t>CR 44 CL 17 -120 (INTERIOR 1904 )</t>
  </si>
  <si>
    <t>051424007001201904</t>
  </si>
  <si>
    <t>2025-12-10 08:12:06</t>
  </si>
  <si>
    <t>28/11/2025 08:12:09</t>
  </si>
  <si>
    <t>2025-11-28 08:12:09</t>
  </si>
  <si>
    <t>CR 44 CL 17 -120 (INTERIOR 2801 )</t>
  </si>
  <si>
    <t>051424007001202801</t>
  </si>
  <si>
    <t>2025-12-10 08:12:09</t>
  </si>
  <si>
    <t>28/11/2025 08:12:19</t>
  </si>
  <si>
    <t>2025-11-28 08:12:19</t>
  </si>
  <si>
    <t>CR 44 CL 17 -120 (INTERIOR 1006 )</t>
  </si>
  <si>
    <t>051424007001201006</t>
  </si>
  <si>
    <t>2025-12-10 08:12:19</t>
  </si>
  <si>
    <t>28/11/2025 08:13:01</t>
  </si>
  <si>
    <t>2025-11-28 08:13:01</t>
  </si>
  <si>
    <t>ALBA MERY BERRIO MONTOYA</t>
  </si>
  <si>
    <t>3875365</t>
  </si>
  <si>
    <t>3158190474</t>
  </si>
  <si>
    <t>RURAL_159116911500000202_TRABLAZA LA ESTRELLA</t>
  </si>
  <si>
    <t>159116911500000202</t>
  </si>
  <si>
    <t>2025-12-11 08:13:01</t>
  </si>
  <si>
    <t>1 días 08:13</t>
  </si>
  <si>
    <t>7 días 08:13</t>
  </si>
  <si>
    <t>28/11/2025 08:13:15</t>
  </si>
  <si>
    <t>2025-11-28 08:13:15</t>
  </si>
  <si>
    <t>CR 44 CL 17 -120 (INTERIOR 804 )</t>
  </si>
  <si>
    <t>051424007001200804</t>
  </si>
  <si>
    <t>2025-12-10 08:13:15</t>
  </si>
  <si>
    <t>6 días 08:13</t>
  </si>
  <si>
    <t>28/11/2025 08:13:24</t>
  </si>
  <si>
    <t>2025-11-28 08:13:24</t>
  </si>
  <si>
    <t>CR 44 CL 17 -120 (INTERIOR 2303 )</t>
  </si>
  <si>
    <t>051424007001202303</t>
  </si>
  <si>
    <t>2025-12-10 08:13:24</t>
  </si>
  <si>
    <t>28/11/2025 08:13:27</t>
  </si>
  <si>
    <t>2025-11-28 08:13:27</t>
  </si>
  <si>
    <t>CR 44 CL 17 -120 (INTERIOR 702 )</t>
  </si>
  <si>
    <t>051424007001200702</t>
  </si>
  <si>
    <t>2025-12-10 08:13:27</t>
  </si>
  <si>
    <t>28/11/2025 08:13:32</t>
  </si>
  <si>
    <t>2025-11-28 08:13:32</t>
  </si>
  <si>
    <t>CR 44 CL 17 -120 (INTERIOR 2006 )</t>
  </si>
  <si>
    <t>051424007001202006</t>
  </si>
  <si>
    <t>2025-12-10 08:13:32</t>
  </si>
  <si>
    <t>28/11/2025 08:13:41</t>
  </si>
  <si>
    <t>2025-11-28 08:13:41</t>
  </si>
  <si>
    <t>CR 44 CL 17 -120 (INTERIOR 2005 )</t>
  </si>
  <si>
    <t>051424007001202005</t>
  </si>
  <si>
    <t>2025-12-10 08:13:41</t>
  </si>
  <si>
    <t>28/11/2025 08:13:47</t>
  </si>
  <si>
    <t>2025-11-28 08:13:47</t>
  </si>
  <si>
    <t>CR 44 CL 17 -120 (INTERIOR 604 )</t>
  </si>
  <si>
    <t>051424007001200604</t>
  </si>
  <si>
    <t>2025-12-10 08:13:47</t>
  </si>
  <si>
    <t>28/11/2025 08:20:50</t>
  </si>
  <si>
    <t>2025-11-28 08:20:50</t>
  </si>
  <si>
    <t>CR 44 CL 17 -120 (INTERIOR 2601 )</t>
  </si>
  <si>
    <t>051424007001202601</t>
  </si>
  <si>
    <t>2025-12-10 08:20:50</t>
  </si>
  <si>
    <t>1 días 08:20</t>
  </si>
  <si>
    <t>6 días 08:20</t>
  </si>
  <si>
    <t>28/11/2025 08:20:57</t>
  </si>
  <si>
    <t>2025-11-28 08:20:57</t>
  </si>
  <si>
    <t>CR 44 CL 17 -120 (INTERIOR 2702 )</t>
  </si>
  <si>
    <t>051424007001202702</t>
  </si>
  <si>
    <t>2025-12-10 08:20:57</t>
  </si>
  <si>
    <t>28/11/2025 08:21:11</t>
  </si>
  <si>
    <t>2025-11-28 08:21:11</t>
  </si>
  <si>
    <t>CR 44 CL 17 -120 (INTERIOR 2306 )</t>
  </si>
  <si>
    <t>051424007001202306</t>
  </si>
  <si>
    <t>2025-12-10 08:21:11</t>
  </si>
  <si>
    <t>1 días 08:21</t>
  </si>
  <si>
    <t>28/11/2025 08:35:11</t>
  </si>
  <si>
    <t>2025-11-28 08:35:11</t>
  </si>
  <si>
    <t>FLORENTINO PIZARRO PALACIOS</t>
  </si>
  <si>
    <t>3206666608</t>
  </si>
  <si>
    <t>CL 56 A CR 25 BB -72 (INTERIOR 120 )</t>
  </si>
  <si>
    <t>055216105220720120</t>
  </si>
  <si>
    <t>2025-12-05 08:35:11</t>
  </si>
  <si>
    <t>1 días 08:35</t>
  </si>
  <si>
    <t>4 días 08:35</t>
  </si>
  <si>
    <t>28/11/2025 08:40:23</t>
  </si>
  <si>
    <t>2025-11-28 08:40:23</t>
  </si>
  <si>
    <t>ADRIANA PATRICIA ACEVEDO RAMIREZ</t>
  </si>
  <si>
    <t>3013070899</t>
  </si>
  <si>
    <t>CL 56 A CR 25 BB -76 (INTERIOR 121 )</t>
  </si>
  <si>
    <t>055216105220760121</t>
  </si>
  <si>
    <t>2025-12-05 08:40:23</t>
  </si>
  <si>
    <t>1 días 08:40</t>
  </si>
  <si>
    <t>4 días 08:40</t>
  </si>
  <si>
    <t>28/11/2025 08:40:53</t>
  </si>
  <si>
    <t>2025-11-28 08:40:53</t>
  </si>
  <si>
    <t>CR 44 CL 17 -120 (INTERIOR 2803 )</t>
  </si>
  <si>
    <t>051424007001202803</t>
  </si>
  <si>
    <t>2025-12-10 08:40:53</t>
  </si>
  <si>
    <t>6 días 08:40</t>
  </si>
  <si>
    <t>28/11/2025 08:41:12</t>
  </si>
  <si>
    <t>2025-11-28 08:41:12</t>
  </si>
  <si>
    <t>CR 44 CL 17 -120 (INTERIOR 2704 )</t>
  </si>
  <si>
    <t>051424007001202704</t>
  </si>
  <si>
    <t>2025-12-10 08:41:12</t>
  </si>
  <si>
    <t>6 días 08:41</t>
  </si>
  <si>
    <t>28/11/2025 08:41:23</t>
  </si>
  <si>
    <t>2025-11-28 08:41:23</t>
  </si>
  <si>
    <t>CR 44 CL 17 -120 (INTERIOR 2405 )</t>
  </si>
  <si>
    <t>051424007001202405</t>
  </si>
  <si>
    <t>2025-12-10 08:41:23</t>
  </si>
  <si>
    <t>28/11/2025 08:42:38</t>
  </si>
  <si>
    <t>2025-11-28 08:42:38</t>
  </si>
  <si>
    <t>CR 44 CL 17 -120 (INTERIOR 2106 )</t>
  </si>
  <si>
    <t>051424007001202106</t>
  </si>
  <si>
    <t>2025-12-10 08:42:38</t>
  </si>
  <si>
    <t>28/11/2025 08:42:43</t>
  </si>
  <si>
    <t>2025-11-28 08:42:43</t>
  </si>
  <si>
    <t>CR 44 CL 17 -120 (INTERIOR 2101 )</t>
  </si>
  <si>
    <t>051424007001202101</t>
  </si>
  <si>
    <t>2025-12-10 08:42:43</t>
  </si>
  <si>
    <t>28/11/2025 08:42:56</t>
  </si>
  <si>
    <t>2025-11-28 08:42:56</t>
  </si>
  <si>
    <t>CR 44 CL 17 -120 (INTERIOR 2104 )</t>
  </si>
  <si>
    <t>051424007001202104</t>
  </si>
  <si>
    <t>2025-12-10 08:42:56</t>
  </si>
  <si>
    <t>28/11/2025 08:43:11</t>
  </si>
  <si>
    <t>2025-11-28 08:43:11</t>
  </si>
  <si>
    <t>CR 44 CL 17 -120 (INTERIOR 1404 )</t>
  </si>
  <si>
    <t>051424007001201404</t>
  </si>
  <si>
    <t>2025-12-10 08:43:11</t>
  </si>
  <si>
    <t>6 días 08:43</t>
  </si>
  <si>
    <t>28/11/2025 09:18:06</t>
  </si>
  <si>
    <t>2025-11-28 09:18:06</t>
  </si>
  <si>
    <t>CR 44 CL 17 -120 (INTERIOR 1701 )</t>
  </si>
  <si>
    <t>051424007001201701</t>
  </si>
  <si>
    <t>2025-12-10 09:18:06</t>
  </si>
  <si>
    <t>28/11/2025 09:18:18</t>
  </si>
  <si>
    <t>2025-11-28 09:18:18</t>
  </si>
  <si>
    <t>CR 44 CL 17 -120 (INTERIOR 2103 )</t>
  </si>
  <si>
    <t>051424007001202103</t>
  </si>
  <si>
    <t>2025-12-10 09:18:18</t>
  </si>
  <si>
    <t>28/11/2025 09:18:58</t>
  </si>
  <si>
    <t>2025-11-28 09:18:58</t>
  </si>
  <si>
    <t>CR 44 CL 17 -120 (INTERIOR 1603 )</t>
  </si>
  <si>
    <t>051424007001201603</t>
  </si>
  <si>
    <t>2025-12-10 09:18:58</t>
  </si>
  <si>
    <t>28/11/2025 09:19:47</t>
  </si>
  <si>
    <t>2025-11-28 09:19:47</t>
  </si>
  <si>
    <t>CR 44 CL 17 -120 (INTERIOR 1103 )</t>
  </si>
  <si>
    <t>051424007001201103</t>
  </si>
  <si>
    <t>2025-12-10 09:19:47</t>
  </si>
  <si>
    <t>1 días 09:19</t>
  </si>
  <si>
    <t>6 días 09:19</t>
  </si>
  <si>
    <t>28/11/2025 09:19:59</t>
  </si>
  <si>
    <t>2025-11-28 09:19:59</t>
  </si>
  <si>
    <t>CR 44 CL 17 -120 (INTERIOR 1106 )</t>
  </si>
  <si>
    <t>051424007001201106</t>
  </si>
  <si>
    <t>2025-12-10 09:19:59</t>
  </si>
  <si>
    <t>28/11/2025 09:20:11</t>
  </si>
  <si>
    <t>2025-11-28 09:20:11</t>
  </si>
  <si>
    <t>CR 44 CL 17 -120 (INTERIOR 1202 )</t>
  </si>
  <si>
    <t>051424007001201202</t>
  </si>
  <si>
    <t>2025-12-10 09:20:11</t>
  </si>
  <si>
    <t>6 días 09:20</t>
  </si>
  <si>
    <t>28/11/2025 09:20:30</t>
  </si>
  <si>
    <t>2025-11-28 09:20:30</t>
  </si>
  <si>
    <t>CR 44 CL 17 -120 (INTERIOR 1206 )</t>
  </si>
  <si>
    <t>051424007001201206</t>
  </si>
  <si>
    <t>2025-12-10 09:20:30</t>
  </si>
  <si>
    <t>28/11/2025 09:20:42</t>
  </si>
  <si>
    <t>2025-11-28 09:20:42</t>
  </si>
  <si>
    <t>CR 44 CL 17 -120 (INTERIOR 801 )</t>
  </si>
  <si>
    <t>051424007001200801</t>
  </si>
  <si>
    <t>2025-12-10 09:20:42</t>
  </si>
  <si>
    <t>28/11/2025 09:21:31</t>
  </si>
  <si>
    <t>2025-11-28 09:21:31</t>
  </si>
  <si>
    <t>CR 44 CL 17 -120 (INTERIOR 2304 )</t>
  </si>
  <si>
    <t>051424007001202304</t>
  </si>
  <si>
    <t>2025-12-10 09:21:31</t>
  </si>
  <si>
    <t>28/11/2025 09:21:50</t>
  </si>
  <si>
    <t>2025-11-28 09:21:50</t>
  </si>
  <si>
    <t>CR 44 CL 17 -120 (INTERIOR 2606 )</t>
  </si>
  <si>
    <t>051424007001202606</t>
  </si>
  <si>
    <t>2025-12-10 09:21:50</t>
  </si>
  <si>
    <t>28/11/2025 09:22:13</t>
  </si>
  <si>
    <t>2025-11-28 09:22:13</t>
  </si>
  <si>
    <t>CR 44 CL 17 -120 (INTERIOR 2602 )</t>
  </si>
  <si>
    <t>051424007001202602</t>
  </si>
  <si>
    <t>2025-12-10 09:22:13</t>
  </si>
  <si>
    <t>1 días 09:22</t>
  </si>
  <si>
    <t>6 días 09:22</t>
  </si>
  <si>
    <t>28/11/2025 09:26:37</t>
  </si>
  <si>
    <t>2025-11-28 09:26:37</t>
  </si>
  <si>
    <t>ALEJANDRA MILENA RESTREPO GIRALDO</t>
  </si>
  <si>
    <t>3042182152</t>
  </si>
  <si>
    <t>CL 32 CR 67 -5</t>
  </si>
  <si>
    <t>073612007000050000</t>
  </si>
  <si>
    <t>2025-12-10 09:26:37</t>
  </si>
  <si>
    <t>1 días 09:26</t>
  </si>
  <si>
    <t>28/11/2025 09:30:19</t>
  </si>
  <si>
    <t>2025-11-28 09:30:19</t>
  </si>
  <si>
    <t>JOSE MAURICIO POSADA GUTIERREZ</t>
  </si>
  <si>
    <t>3108411178</t>
  </si>
  <si>
    <t>RURAL_161078600000000001_PROV.VIA ALTO DE MINAS CE</t>
  </si>
  <si>
    <t>161078600000000001</t>
  </si>
  <si>
    <t>2025-12-15 09:30:19</t>
  </si>
  <si>
    <t>1 días 09:30</t>
  </si>
  <si>
    <t>9 días 09:30</t>
  </si>
  <si>
    <t>28/11/2025 09:30:26</t>
  </si>
  <si>
    <t>2025-11-28 09:30:26</t>
  </si>
  <si>
    <t>LUZ YANED ALVAREZ PEÑA</t>
  </si>
  <si>
    <t>3128217209</t>
  </si>
  <si>
    <t>CL 58 CR 120 G -89</t>
  </si>
  <si>
    <t>085218000700890000</t>
  </si>
  <si>
    <t>2025-12-16 09:30:26</t>
  </si>
  <si>
    <t>10 días 09:30</t>
  </si>
  <si>
    <t>28/11/2025 09:55:09</t>
  </si>
  <si>
    <t>2025-11-28 09:55:09</t>
  </si>
  <si>
    <t>FELIPE GOMEZ ARDILA</t>
  </si>
  <si>
    <t>3810025</t>
  </si>
  <si>
    <t>3155031186</t>
  </si>
  <si>
    <t>RURAL_125002630000001012_LAS PALMAS ENVIGADO</t>
  </si>
  <si>
    <t>125002630000001012</t>
  </si>
  <si>
    <t>2025-12-04 09:55:09</t>
  </si>
  <si>
    <t>1 días 09:55</t>
  </si>
  <si>
    <t>28/11/2025 10:08:56</t>
  </si>
  <si>
    <t>2025-11-28 10:08:56</t>
  </si>
  <si>
    <t>CR 44 CL 17 -120 (INTERIOR 1506 )</t>
  </si>
  <si>
    <t>051424007001201506</t>
  </si>
  <si>
    <t>2025-12-10 10:08:56</t>
  </si>
  <si>
    <t>6 días 10:08</t>
  </si>
  <si>
    <t>28/11/2025 10:09:07</t>
  </si>
  <si>
    <t>2025-11-28 10:09:07</t>
  </si>
  <si>
    <t>CR 44 CL 17 -120 (INTERIOR 1503 )</t>
  </si>
  <si>
    <t>051424007001201503</t>
  </si>
  <si>
    <t>2025-12-10 10:09:07</t>
  </si>
  <si>
    <t>1 días 10:09</t>
  </si>
  <si>
    <t>6 días 10:09</t>
  </si>
  <si>
    <t>28/11/2025 10:09:17</t>
  </si>
  <si>
    <t>2025-11-28 10:09:17</t>
  </si>
  <si>
    <t>CR 44 CL 17 -120 (INTERIOR 1406 )</t>
  </si>
  <si>
    <t>051424007001201406</t>
  </si>
  <si>
    <t>2025-12-10 10:09:17</t>
  </si>
  <si>
    <t>28/11/2025 10:10:28</t>
  </si>
  <si>
    <t>2025-11-28 10:10:28</t>
  </si>
  <si>
    <t>CR 44 CL 17 -120 (INTERIOR 701 )</t>
  </si>
  <si>
    <t>051424007001200701</t>
  </si>
  <si>
    <t>2025-12-10 10:10:28</t>
  </si>
  <si>
    <t>1 días 10:10</t>
  </si>
  <si>
    <t>6 días 10:10</t>
  </si>
  <si>
    <t>28/11/2025 10:10:46</t>
  </si>
  <si>
    <t>2025-11-28 10:10:46</t>
  </si>
  <si>
    <t>CR 44 CL 17 -120 (INTERIOR 1102 )</t>
  </si>
  <si>
    <t>051424007001201102</t>
  </si>
  <si>
    <t>2025-12-10 10:10:46</t>
  </si>
  <si>
    <t>28/11/2025 10:10:58</t>
  </si>
  <si>
    <t>2025-11-28 10:10:58</t>
  </si>
  <si>
    <t>CR 44 CL 17 -120 (INTERIOR 1302 )</t>
  </si>
  <si>
    <t>051424007001201302</t>
  </si>
  <si>
    <t>2025-12-10 10:10:58</t>
  </si>
  <si>
    <t>28/11/2025 10:11:16</t>
  </si>
  <si>
    <t>2025-11-28 10:11:16</t>
  </si>
  <si>
    <t>CR 44 CL 17 -120 (INTERIOR 1105 )</t>
  </si>
  <si>
    <t>051424007001201105</t>
  </si>
  <si>
    <t>2025-12-10 10:11:16</t>
  </si>
  <si>
    <t>1 días 10:11</t>
  </si>
  <si>
    <t>6 días 10:11</t>
  </si>
  <si>
    <t>28/11/2025 10:11:35</t>
  </si>
  <si>
    <t>2025-11-28 10:11:35</t>
  </si>
  <si>
    <t>CR 44 CL 17 -120 (INTERIOR 606 )</t>
  </si>
  <si>
    <t>051424007001200606</t>
  </si>
  <si>
    <t>2025-12-10 10:11:35</t>
  </si>
  <si>
    <t>28/11/2025 10:11:37</t>
  </si>
  <si>
    <t>2025-11-28 10:11:37</t>
  </si>
  <si>
    <t>CR 44 CL 17 -120 (INTERIOR 1104 )</t>
  </si>
  <si>
    <t>051424007001201104</t>
  </si>
  <si>
    <t>2025-12-10 10:11:37</t>
  </si>
  <si>
    <t>28/11/2025 10:13:17</t>
  </si>
  <si>
    <t>2025-11-28 10:13:17</t>
  </si>
  <si>
    <t>JUAN PABLO FLOREZ SANCHEZ</t>
  </si>
  <si>
    <t>3026178412</t>
  </si>
  <si>
    <t>CL 81 CR 50 A -14 (INTERIOR 305 )</t>
  </si>
  <si>
    <t>078511000100140305</t>
  </si>
  <si>
    <t>2025-12-16 10:13:17</t>
  </si>
  <si>
    <t>10 días 10:13</t>
  </si>
  <si>
    <t>28/11/2025 10:15:29</t>
  </si>
  <si>
    <t>2025-11-28 10:15:29</t>
  </si>
  <si>
    <t>DIANA MARCELA JIMENEZ GIRALDO</t>
  </si>
  <si>
    <t>3136563837</t>
  </si>
  <si>
    <t>CL 45 CR 77 -68</t>
  </si>
  <si>
    <t>054715007000680000-ENEPRE</t>
  </si>
  <si>
    <t>2025-12-16 10:15:29</t>
  </si>
  <si>
    <t>1 días 10:15</t>
  </si>
  <si>
    <t>10 días 10:15</t>
  </si>
  <si>
    <t>28/11/2025 10:32:10</t>
  </si>
  <si>
    <t>2025-11-28 10:32:10</t>
  </si>
  <si>
    <t>CR 44 CL 17 -120 (INTERIOR 1601 )</t>
  </si>
  <si>
    <t>051424007001201601</t>
  </si>
  <si>
    <t>2025-12-10 10:32:10</t>
  </si>
  <si>
    <t>28/11/2025 10:32:35</t>
  </si>
  <si>
    <t>2025-11-28 10:32:35</t>
  </si>
  <si>
    <t>CR 44 CL 17 -120 (INTERIOR 1606 )</t>
  </si>
  <si>
    <t>051424007001201606</t>
  </si>
  <si>
    <t>2025-12-10 10:32:35</t>
  </si>
  <si>
    <t>28/11/2025 10:33:21</t>
  </si>
  <si>
    <t>2025-11-28 10:33:21</t>
  </si>
  <si>
    <t>CR 44 CL 17 -120 (INTERIOR 1101 )</t>
  </si>
  <si>
    <t>051424007001201101</t>
  </si>
  <si>
    <t>2025-12-10 10:33:21</t>
  </si>
  <si>
    <t>1 días 10:33</t>
  </si>
  <si>
    <t>6 días 10:33</t>
  </si>
  <si>
    <t>28/11/2025 10:33:30</t>
  </si>
  <si>
    <t>2025-11-28 10:33:30</t>
  </si>
  <si>
    <t>CR 44 CL 17 -120 (INTERIOR 1005 )</t>
  </si>
  <si>
    <t>051424007001201005</t>
  </si>
  <si>
    <t>2025-12-10 10:33:30</t>
  </si>
  <si>
    <t>28/11/2025 10:33:45</t>
  </si>
  <si>
    <t>2025-11-28 10:33:45</t>
  </si>
  <si>
    <t>CR 44 CL 17 -120 (INTERIOR 703 )</t>
  </si>
  <si>
    <t>051424007001200703</t>
  </si>
  <si>
    <t>2025-12-10 10:33:45</t>
  </si>
  <si>
    <t>28/11/2025 10:33:58</t>
  </si>
  <si>
    <t>2025-11-28 10:33:58</t>
  </si>
  <si>
    <t>CR 44 CL 17 -120 (INTERIOR 603 )</t>
  </si>
  <si>
    <t>051424007001200603</t>
  </si>
  <si>
    <t>2025-12-10 10:33:58</t>
  </si>
  <si>
    <t>28/11/2025 10:38:28</t>
  </si>
  <si>
    <t>2025-11-28 10:38:28</t>
  </si>
  <si>
    <t>JAINER ALEXANDER GIRALDO</t>
  </si>
  <si>
    <t>3173387521</t>
  </si>
  <si>
    <t>CR 85 CL 32 -30</t>
  </si>
  <si>
    <t>053825002000300000</t>
  </si>
  <si>
    <t>2025-12-04 10:38:28</t>
  </si>
  <si>
    <t>3 días 10:38</t>
  </si>
  <si>
    <t>28/11/2025 10:39:35</t>
  </si>
  <si>
    <t>2025-11-28 10:39:35</t>
  </si>
  <si>
    <t>JOSE ALBEIRO RAMIREZ GIRALDO</t>
  </si>
  <si>
    <t>2931456</t>
  </si>
  <si>
    <t>3137005660</t>
  </si>
  <si>
    <t>TRAN 31 SUR DIAG 32 D -53</t>
  </si>
  <si>
    <t>023391002400530000</t>
  </si>
  <si>
    <t>2025-12-04 10:39:35</t>
  </si>
  <si>
    <t>28/11/2025 10:43:49</t>
  </si>
  <si>
    <t>2025-11-28 10:43:49</t>
  </si>
  <si>
    <t>ALEXIS NARANJO CEBALLOS</t>
  </si>
  <si>
    <t>2981540</t>
  </si>
  <si>
    <t>3215173615</t>
  </si>
  <si>
    <t>CL 18 B CR 88 A -50</t>
  </si>
  <si>
    <t>051818208100500000</t>
  </si>
  <si>
    <t>2025-12-04 10:43:49</t>
  </si>
  <si>
    <t>1 días 10:43</t>
  </si>
  <si>
    <t>28/11/2025 10:44:16</t>
  </si>
  <si>
    <t>2025-11-28 10:44:16</t>
  </si>
  <si>
    <t>ALBA YANETH PALACIO SANCHEZ</t>
  </si>
  <si>
    <t>3148155927</t>
  </si>
  <si>
    <t>RURAL_163014829600000001_EL PEDREGAL</t>
  </si>
  <si>
    <t>163014829600000001</t>
  </si>
  <si>
    <t>2025-12-15 10:44:16</t>
  </si>
  <si>
    <t>1 días 10:44</t>
  </si>
  <si>
    <t>9 días 10:44</t>
  </si>
  <si>
    <t>28/11/2025 10:44:35</t>
  </si>
  <si>
    <t>2025-11-28 10:44:35</t>
  </si>
  <si>
    <t>3213935325</t>
  </si>
  <si>
    <t>CL 77 SUR CR 34 -82 (BQ 2 )</t>
  </si>
  <si>
    <t>017317004000820002</t>
  </si>
  <si>
    <t>2025-12-10 10:44:35</t>
  </si>
  <si>
    <t>6 días 10:44</t>
  </si>
  <si>
    <t>28/11/2025 10:48:26</t>
  </si>
  <si>
    <t>2025-11-28 10:48:26</t>
  </si>
  <si>
    <t>LADRILLERA EL DIAMANTE S.A</t>
  </si>
  <si>
    <t>2004308</t>
  </si>
  <si>
    <t>3116323117</t>
  </si>
  <si>
    <t>CL 31 F CR 100 -10</t>
  </si>
  <si>
    <t>083011600000100000</t>
  </si>
  <si>
    <t>2025-12-04 10:48:26</t>
  </si>
  <si>
    <t>28/11/2025 10:51:35</t>
  </si>
  <si>
    <t>2025-11-28 10:51:35</t>
  </si>
  <si>
    <t>OTONIEL CEBALLOS NARANJO</t>
  </si>
  <si>
    <t>5889147</t>
  </si>
  <si>
    <t>3136138250</t>
  </si>
  <si>
    <t>CR 136 C CL 66 -417 (INTERIOR 223 )</t>
  </si>
  <si>
    <t>086326306004170223</t>
  </si>
  <si>
    <t>2025-12-10 10:51:35</t>
  </si>
  <si>
    <t>6 días 10:51</t>
  </si>
  <si>
    <t>28/11/2025 10:55:26</t>
  </si>
  <si>
    <t>2025-11-28 10:55:26</t>
  </si>
  <si>
    <t>INVERSIONES EML S.A.S.</t>
  </si>
  <si>
    <t>5638974</t>
  </si>
  <si>
    <t>CR 73 CL 29 -5</t>
  </si>
  <si>
    <t>052723009000050000</t>
  </si>
  <si>
    <t>2025-12-10 10:55:26</t>
  </si>
  <si>
    <t>1 días 10:55</t>
  </si>
  <si>
    <t>28/11/2025 11:01:12</t>
  </si>
  <si>
    <t>2025-11-28 11:01:12</t>
  </si>
  <si>
    <t>DANIEL BETANCUR BERNAL</t>
  </si>
  <si>
    <t>3188858580</t>
  </si>
  <si>
    <t>RURAL_147049990000000115_PROV.VEREDA TRAVESIAS</t>
  </si>
  <si>
    <t>147049990000000115</t>
  </si>
  <si>
    <t>2025-12-15 11:01:12</t>
  </si>
  <si>
    <t>1 días 11:01</t>
  </si>
  <si>
    <t>9 días 11:01</t>
  </si>
  <si>
    <t>28/11/2025 11:02:04</t>
  </si>
  <si>
    <t>2025-11-28 11:02:04</t>
  </si>
  <si>
    <t>LUZ CELINA PEREZ VELEZ</t>
  </si>
  <si>
    <t>3125943796</t>
  </si>
  <si>
    <t>CL 51 B CR 1 ESTE -125 (INTERIOR 103 )</t>
  </si>
  <si>
    <t>705011201001250103</t>
  </si>
  <si>
    <t>2025-12-05 11:02:04</t>
  </si>
  <si>
    <t>1 días 11:02</t>
  </si>
  <si>
    <t>28/11/2025 11:03:13</t>
  </si>
  <si>
    <t>2025-11-28 11:03:13</t>
  </si>
  <si>
    <t>CR 44 CL 17 -120 (INTERIOR 1502 )</t>
  </si>
  <si>
    <t>051424007001201502</t>
  </si>
  <si>
    <t>2025-12-10 11:03:13</t>
  </si>
  <si>
    <t>1 días 11:03</t>
  </si>
  <si>
    <t>28/11/2025 11:03:19</t>
  </si>
  <si>
    <t>2025-11-28 11:03:20</t>
  </si>
  <si>
    <t>CR 44 CL 17 -120 (INTERIOR 1604 )</t>
  </si>
  <si>
    <t>051424007001201604</t>
  </si>
  <si>
    <t>2025-12-10 11:03:20</t>
  </si>
  <si>
    <t>28/11/2025 11:03:41</t>
  </si>
  <si>
    <t>2025-11-28 11:03:41</t>
  </si>
  <si>
    <t>ADRIAN  RUA CALLE</t>
  </si>
  <si>
    <t>3775224</t>
  </si>
  <si>
    <t>3213503456</t>
  </si>
  <si>
    <t>RURAL_163012191800000000_163012191800000000</t>
  </si>
  <si>
    <t>163012191800000000</t>
  </si>
  <si>
    <t>2025-12-15 11:03:41</t>
  </si>
  <si>
    <t>9 días 11:03</t>
  </si>
  <si>
    <t>28/11/2025 11:03:45</t>
  </si>
  <si>
    <t>2025-11-28 11:03:45</t>
  </si>
  <si>
    <t>NUBELLY DEL CARMEN DAVILA ROJAS</t>
  </si>
  <si>
    <t>3146914065</t>
  </si>
  <si>
    <t>CR 20 A CL 56 A -19 (INTERIOR 301 )</t>
  </si>
  <si>
    <t>055220106100190301</t>
  </si>
  <si>
    <t>2025-12-10 11:03:45</t>
  </si>
  <si>
    <t>28/11/2025 11:03:55</t>
  </si>
  <si>
    <t>2025-11-28 11:03:55</t>
  </si>
  <si>
    <t>CR 44 CL 17 -120 (INTERIOR 1903 )</t>
  </si>
  <si>
    <t>051424007001201903</t>
  </si>
  <si>
    <t>2025-12-10 11:03:55</t>
  </si>
  <si>
    <t>28/11/2025 11:04:01</t>
  </si>
  <si>
    <t>2025-11-28 11:04:01</t>
  </si>
  <si>
    <t>CR 44 CL 17 -120 (INTERIOR 1702 )</t>
  </si>
  <si>
    <t>051424007001201702</t>
  </si>
  <si>
    <t>2025-12-10 11:04:01</t>
  </si>
  <si>
    <t>1 días 11:04</t>
  </si>
  <si>
    <t>6 días 11:04</t>
  </si>
  <si>
    <t>28/11/2025 11:04:19</t>
  </si>
  <si>
    <t>2025-11-28 11:04:19</t>
  </si>
  <si>
    <t>CR 44 CL 17 -120 (INTERIOR 2003 )</t>
  </si>
  <si>
    <t>051424007001202003</t>
  </si>
  <si>
    <t>2025-12-10 11:04:19</t>
  </si>
  <si>
    <t>28/11/2025 11:05:00</t>
  </si>
  <si>
    <t>2025-11-28 11:05:00</t>
  </si>
  <si>
    <t>CR 44 CL 17 -120 (INTERIOR 601 )</t>
  </si>
  <si>
    <t>051424007001200601</t>
  </si>
  <si>
    <t>2025-12-10 11:05:00</t>
  </si>
  <si>
    <t>1 días 11:05</t>
  </si>
  <si>
    <t>6 días 11:05</t>
  </si>
  <si>
    <t>28/11/2025 11:05:49</t>
  </si>
  <si>
    <t>2025-11-28 11:05:49</t>
  </si>
  <si>
    <t>CR 44 CL 17 -120 (INTERIOR 906 )</t>
  </si>
  <si>
    <t>051424007001200906</t>
  </si>
  <si>
    <t>2025-12-10 11:05:49</t>
  </si>
  <si>
    <t>28/11/2025 11:06:10</t>
  </si>
  <si>
    <t>2025-11-28 11:06:10</t>
  </si>
  <si>
    <t>CR 44 CL 17 -120 (INTERIOR 706 )</t>
  </si>
  <si>
    <t>051424007001200706</t>
  </si>
  <si>
    <t>2025-12-10 11:06:10</t>
  </si>
  <si>
    <t>28/11/2025 11:07:43</t>
  </si>
  <si>
    <t>2025-11-28 11:07:43</t>
  </si>
  <si>
    <t>RURAL_163014829600000002_EL PEDREGAL</t>
  </si>
  <si>
    <t>163014829600000002</t>
  </si>
  <si>
    <t>2025-12-15 11:07:43</t>
  </si>
  <si>
    <t>9 días 11:07</t>
  </si>
  <si>
    <t>28/11/2025 11:09:23</t>
  </si>
  <si>
    <t>2025-11-28 11:09:23</t>
  </si>
  <si>
    <t>CR 20 A CL 56 A -19 (INTERIOR 302 )</t>
  </si>
  <si>
    <t>055220106100190302</t>
  </si>
  <si>
    <t>2025-12-10 11:09:23</t>
  </si>
  <si>
    <t>1 días 11:09</t>
  </si>
  <si>
    <t>28/11/2025 11:13:02</t>
  </si>
  <si>
    <t>2025-11-28 11:13:02</t>
  </si>
  <si>
    <t>HENRY MUÑOZ CRUZ</t>
  </si>
  <si>
    <t>6042204</t>
  </si>
  <si>
    <t>3122308073</t>
  </si>
  <si>
    <t>RURAL_125004760700000050_PARCELACION CORRIENTES</t>
  </si>
  <si>
    <t>125004760700000050</t>
  </si>
  <si>
    <t>2025-12-15 11:13:02</t>
  </si>
  <si>
    <t>1 días 11:13</t>
  </si>
  <si>
    <t>9 días 11:13</t>
  </si>
  <si>
    <t>28/11/2025 11:17:43</t>
  </si>
  <si>
    <t>2025-11-28 11:17:43</t>
  </si>
  <si>
    <t>MANUEL IVAN ARANGO LONDOÑO</t>
  </si>
  <si>
    <t>3008391840</t>
  </si>
  <si>
    <t>CL 63 CR 98 B -87</t>
  </si>
  <si>
    <t>056913008200870000</t>
  </si>
  <si>
    <t>2025-12-10 11:17:43</t>
  </si>
  <si>
    <t>1 días 11:17</t>
  </si>
  <si>
    <t>6 días 11:17</t>
  </si>
  <si>
    <t>28/11/2025 11:18:30</t>
  </si>
  <si>
    <t>2025-11-28 11:18:30</t>
  </si>
  <si>
    <t>MARIA ALEJANDRA GONZALEZ VELASQUEZ</t>
  </si>
  <si>
    <t>3107201606</t>
  </si>
  <si>
    <t>CR 113 CL 39 A -66 (INTERIOR 234 )</t>
  </si>
  <si>
    <t>083123009100660234</t>
  </si>
  <si>
    <t>2025-12-05 11:18:30</t>
  </si>
  <si>
    <t>1 días 11:18</t>
  </si>
  <si>
    <t>4 días 11:18</t>
  </si>
  <si>
    <t>28/11/2025 11:23:36</t>
  </si>
  <si>
    <t>2025-11-28 11:23:36</t>
  </si>
  <si>
    <t>CL 63 CR 98 B -91</t>
  </si>
  <si>
    <t>056913008200910000</t>
  </si>
  <si>
    <t>2025-12-10 11:23:36</t>
  </si>
  <si>
    <t>1 días 11:23</t>
  </si>
  <si>
    <t>6 días 11:23</t>
  </si>
  <si>
    <t>28/11/2025 11:25:45</t>
  </si>
  <si>
    <t>2025-11-28 11:25:45</t>
  </si>
  <si>
    <t>JESUS MARIA LOPEZ LEZAMA</t>
  </si>
  <si>
    <t>3188748600</t>
  </si>
  <si>
    <t>CL 33 AA CR 80 C -3</t>
  </si>
  <si>
    <t>053813110300030000</t>
  </si>
  <si>
    <t>2025-12-04 11:25:45</t>
  </si>
  <si>
    <t>1 días 11:25</t>
  </si>
  <si>
    <t>28/11/2025 11:26:30</t>
  </si>
  <si>
    <t>2025-11-28 11:26:30</t>
  </si>
  <si>
    <t>ELIANA JANET CARDONA PEREZ</t>
  </si>
  <si>
    <t>3013177609</t>
  </si>
  <si>
    <t>RURAL_161127500000000302_PROV.161127500000000301</t>
  </si>
  <si>
    <t>161127500000000302</t>
  </si>
  <si>
    <t>2025-12-11 11:26:30</t>
  </si>
  <si>
    <t>1 días 11:26</t>
  </si>
  <si>
    <t>7 días 11:26</t>
  </si>
  <si>
    <t>28/11/2025 11:28:27</t>
  </si>
  <si>
    <t>2025-11-28 11:28:27</t>
  </si>
  <si>
    <t>HENRY ZULETA PIEDRAHITA</t>
  </si>
  <si>
    <t>2130684</t>
  </si>
  <si>
    <t>3135690765</t>
  </si>
  <si>
    <t>RURAL_147024610000000102_EL UVITO CL 70 CR 152 A -</t>
  </si>
  <si>
    <t>147024610000000102</t>
  </si>
  <si>
    <t>2025-12-15 11:28:27</t>
  </si>
  <si>
    <t>1 días 11:28</t>
  </si>
  <si>
    <t>9 días 11:28</t>
  </si>
  <si>
    <t>28/11/2025 11:30:09</t>
  </si>
  <si>
    <t>2025-11-28 16:07:57</t>
  </si>
  <si>
    <t>GILBERTO ATEHORTUA RAMIREZ</t>
  </si>
  <si>
    <t>3007554469</t>
  </si>
  <si>
    <t>CR 17 B CL 56 EE -38 (INTERIOR 1171 )</t>
  </si>
  <si>
    <t>055127206550381171</t>
  </si>
  <si>
    <t>2025-12-05 16:07:57</t>
  </si>
  <si>
    <t>1 días 16:07</t>
  </si>
  <si>
    <t>4 días 16:07</t>
  </si>
  <si>
    <t>28/11/2025 11:39:19</t>
  </si>
  <si>
    <t>2025-11-28 11:39:19</t>
  </si>
  <si>
    <t>JOHN ALEXANDER SOTO POSADA</t>
  </si>
  <si>
    <t>3136557544</t>
  </si>
  <si>
    <t>RURAL_114004479040100103_114004479040100103</t>
  </si>
  <si>
    <t>114004479040100103</t>
  </si>
  <si>
    <t>2025-12-15 11:39:19</t>
  </si>
  <si>
    <t>9 días 11:39</t>
  </si>
  <si>
    <t>28/11/2025 11:39:52</t>
  </si>
  <si>
    <t>2025-11-28 11:39:52</t>
  </si>
  <si>
    <t>CR 27 CL 41 -37 (INTERIOR 1 )</t>
  </si>
  <si>
    <t>054227001000370001</t>
  </si>
  <si>
    <t>2025-12-10 11:39:52</t>
  </si>
  <si>
    <t>6 días 11:39</t>
  </si>
  <si>
    <t>28/11/2025 11:39:57</t>
  </si>
  <si>
    <t>2025-11-28 11:39:57</t>
  </si>
  <si>
    <t>JESUS ALBEIRO ALVAREZ ARENAS</t>
  </si>
  <si>
    <t>3246499416</t>
  </si>
  <si>
    <t>CL 2 B CR 81 B -217 (INTERIOR 174 )</t>
  </si>
  <si>
    <t>050812201202170174</t>
  </si>
  <si>
    <t>2025-12-10 11:39:57</t>
  </si>
  <si>
    <t>28/11/2025 11:49:09</t>
  </si>
  <si>
    <t>2025-11-28 11:49:09</t>
  </si>
  <si>
    <t>YOREIDY ARIAS PALACIOS</t>
  </si>
  <si>
    <t>3103763721</t>
  </si>
  <si>
    <t>CR 90 D CL 13 -23 (INTERIOR 201 )</t>
  </si>
  <si>
    <t>051920403000230201</t>
  </si>
  <si>
    <t>2025-12-05 11:49:09</t>
  </si>
  <si>
    <t>4 días 11:49</t>
  </si>
  <si>
    <t>28/11/2025 11:58:04</t>
  </si>
  <si>
    <t>2025-11-28 11:58:04</t>
  </si>
  <si>
    <t>LUIS ALFONSO BUSTAMANTE CUARTAS</t>
  </si>
  <si>
    <t>2350050</t>
  </si>
  <si>
    <t>3134765095</t>
  </si>
  <si>
    <t>CR 65 D CL 25 -65 (INTERIOR 201 )</t>
  </si>
  <si>
    <t>052625405000650201</t>
  </si>
  <si>
    <t>2025-12-10 11:58:04</t>
  </si>
  <si>
    <t>1 días 11:58</t>
  </si>
  <si>
    <t>28/11/2025 12:04:16</t>
  </si>
  <si>
    <t>2025-11-28 16:07:54</t>
  </si>
  <si>
    <t>BERNARDA PATRICIA DIAZ ALVAREZ</t>
  </si>
  <si>
    <t>3107174993</t>
  </si>
  <si>
    <t>CR 17 B CL 56 EE -38 (INTERIOR 2171 )</t>
  </si>
  <si>
    <t>055127206550382171</t>
  </si>
  <si>
    <t>2025-12-05 16:07:54</t>
  </si>
  <si>
    <t>28/11/2025 12:04:39</t>
  </si>
  <si>
    <t>2025-11-28 12:04:39</t>
  </si>
  <si>
    <t>YULIANA CRISTIANA SANCHEZ</t>
  </si>
  <si>
    <t>3000000000</t>
  </si>
  <si>
    <t>RURAL_147047152000000023_EL LLANO</t>
  </si>
  <si>
    <t>147047152000000023</t>
  </si>
  <si>
    <t>2025-12-11 12:04:39</t>
  </si>
  <si>
    <t>1 días 12:04</t>
  </si>
  <si>
    <t>7 días 12:04</t>
  </si>
  <si>
    <t>28/11/2025 12:10:06</t>
  </si>
  <si>
    <t>2025-11-28 12:10:06</t>
  </si>
  <si>
    <t>JOHAN SNEIDER VALCERDE PALACIOS</t>
  </si>
  <si>
    <t>3146511038</t>
  </si>
  <si>
    <t>CL 56 A CR 25 BB -29 (INTERIOR 222 )</t>
  </si>
  <si>
    <t>055216105220290222</t>
  </si>
  <si>
    <t>2025-12-10 12:10:06</t>
  </si>
  <si>
    <t>1 días 12:10</t>
  </si>
  <si>
    <t>6 días 12:10</t>
  </si>
  <si>
    <t>28/11/2025 12:45:41</t>
  </si>
  <si>
    <t>2025-11-28 12:45:41</t>
  </si>
  <si>
    <t>CL 56 A CR 25 BB -29</t>
  </si>
  <si>
    <t>055216105220290000</t>
  </si>
  <si>
    <t>2025-12-10 12:45:41</t>
  </si>
  <si>
    <t>1 días 12:45</t>
  </si>
  <si>
    <t>6 días 12:45</t>
  </si>
  <si>
    <t>28/11/2025 13:03:06</t>
  </si>
  <si>
    <t>2025-11-28 13:03:06</t>
  </si>
  <si>
    <t>SANTA LUZ MARY TORRES RIVAS</t>
  </si>
  <si>
    <t>3128907932</t>
  </si>
  <si>
    <t>CL 54 CR 2 -16 (INTERIOR 101 )</t>
  </si>
  <si>
    <t>055014002000160101</t>
  </si>
  <si>
    <t>2025-12-10 13:03:06</t>
  </si>
  <si>
    <t>1 días 13:03</t>
  </si>
  <si>
    <t>6 días 13:03</t>
  </si>
  <si>
    <t>28/11/2025 13:05:12</t>
  </si>
  <si>
    <t>2025-11-28 13:05:12</t>
  </si>
  <si>
    <t>LUZ DARY VELASQUEZ VALENCIA</t>
  </si>
  <si>
    <t>3146194348</t>
  </si>
  <si>
    <t>CR 25 BB CL 56 -65 (INTERIOR 147 )</t>
  </si>
  <si>
    <t>055225226000650147</t>
  </si>
  <si>
    <t>2025-12-05 13:05:12</t>
  </si>
  <si>
    <t>28/11/2025 13:06:11</t>
  </si>
  <si>
    <t>2025-11-28 13:06:11</t>
  </si>
  <si>
    <t>MARTHA ELENA VARGAS MORENO</t>
  </si>
  <si>
    <t>3043849668</t>
  </si>
  <si>
    <t>CL 57 C CR 19 -9 (INTERIOR 202 )</t>
  </si>
  <si>
    <t>055117309000090202</t>
  </si>
  <si>
    <t>2025-12-05 13:06:11</t>
  </si>
  <si>
    <t>1 días 13:06</t>
  </si>
  <si>
    <t>4 días 13:06</t>
  </si>
  <si>
    <t>28/11/2025 13:09:00</t>
  </si>
  <si>
    <t>2025-11-28 13:09:00</t>
  </si>
  <si>
    <t>CL 54 CR 2 -16 (INTERIOR 301 )</t>
  </si>
  <si>
    <t>055014002000160301</t>
  </si>
  <si>
    <t>2025-12-10 13:09:00</t>
  </si>
  <si>
    <t>6 días 13:09</t>
  </si>
  <si>
    <t>28/11/2025 13:14:51</t>
  </si>
  <si>
    <t>2025-11-28 13:14:51</t>
  </si>
  <si>
    <t>LUIS ELIECER ESCOBAR ESCOBAR</t>
  </si>
  <si>
    <t>3117043529</t>
  </si>
  <si>
    <t>CR 140 CL 66 -84 (INTERIOR 203 )</t>
  </si>
  <si>
    <t>086420006000840203</t>
  </si>
  <si>
    <t>2025-12-05 13:14:51</t>
  </si>
  <si>
    <t>1 días 13:14</t>
  </si>
  <si>
    <t>28/11/2025 13:14:57</t>
  </si>
  <si>
    <t>2025-11-28 13:14:57</t>
  </si>
  <si>
    <t>CENTRO SUR S.A.S</t>
  </si>
  <si>
    <t>4480648</t>
  </si>
  <si>
    <t>CR 46 C CL 80 SUR -160</t>
  </si>
  <si>
    <t>018426300001600000</t>
  </si>
  <si>
    <t>2025-12-04 13:14:57</t>
  </si>
  <si>
    <t>28/11/2025 13:17:36</t>
  </si>
  <si>
    <t>2025-11-28 13:17:36</t>
  </si>
  <si>
    <t>3006100403</t>
  </si>
  <si>
    <t>CL 37 SUR CR 41 -42 (INTERIOR 101 )</t>
  </si>
  <si>
    <t>023417001000420101</t>
  </si>
  <si>
    <t>2025-12-10 13:17:36</t>
  </si>
  <si>
    <t>6 días 13:17</t>
  </si>
  <si>
    <t>28/11/2025 13:21:33</t>
  </si>
  <si>
    <t>2025-11-28 13:21:33</t>
  </si>
  <si>
    <t>ROBINSON ANDRES GARCIA CARDONA</t>
  </si>
  <si>
    <t>3122363262</t>
  </si>
  <si>
    <t>RURAL_125004460500000001_ LAS PALMAS ENVIGADO</t>
  </si>
  <si>
    <t>125004460500000001</t>
  </si>
  <si>
    <t>2025-12-04 13:21:33</t>
  </si>
  <si>
    <t>28/11/2025 13:26:39</t>
  </si>
  <si>
    <t>2025-11-28 13:26:39</t>
  </si>
  <si>
    <t>CLAUDIA HELENA VALLEJO ORTIZ</t>
  </si>
  <si>
    <t>3113737370</t>
  </si>
  <si>
    <t>TRAN 49 D CR 59 -95</t>
  </si>
  <si>
    <t>054519409000950000</t>
  </si>
  <si>
    <t>2025-12-04 13:26:39</t>
  </si>
  <si>
    <t>1 días 13:26</t>
  </si>
  <si>
    <t>3 días 13:26</t>
  </si>
  <si>
    <t>28/11/2025 13:26:50</t>
  </si>
  <si>
    <t>2025-11-28 13:26:50</t>
  </si>
  <si>
    <t>CR 44 CL 17 -120 (INTERIOR 1504 )</t>
  </si>
  <si>
    <t>051424007001201504</t>
  </si>
  <si>
    <t>2025-12-10 13:26:50</t>
  </si>
  <si>
    <t>6 días 13:26</t>
  </si>
  <si>
    <t>28/11/2025 13:26:58</t>
  </si>
  <si>
    <t>2025-11-28 13:26:58</t>
  </si>
  <si>
    <t>CR 44 CL 17 -120 (INTERIOR 1403 )</t>
  </si>
  <si>
    <t>051424007001201403</t>
  </si>
  <si>
    <t>2025-12-10 13:26:58</t>
  </si>
  <si>
    <t>28/11/2025 13:27:31</t>
  </si>
  <si>
    <t>2025-11-28 13:27:31</t>
  </si>
  <si>
    <t>CR 44 CL 17 -120 (INTERIOR 2102 )</t>
  </si>
  <si>
    <t>051424007001202102</t>
  </si>
  <si>
    <t>2025-12-10 13:27:31</t>
  </si>
  <si>
    <t>1 días 13:27</t>
  </si>
  <si>
    <t>6 días 13:27</t>
  </si>
  <si>
    <t>28/11/2025 13:27:55</t>
  </si>
  <si>
    <t>2025-11-28 13:27:55</t>
  </si>
  <si>
    <t>CR 44 CL 17 -120 (INTERIOR 1602 )</t>
  </si>
  <si>
    <t>051424007001201602</t>
  </si>
  <si>
    <t>2025-12-10 13:27:55</t>
  </si>
  <si>
    <t>28/11/2025 13:33:35</t>
  </si>
  <si>
    <t>2025-11-28 13:33:35</t>
  </si>
  <si>
    <t>CL 57 C CR 19 -9 (INTERIOR 301 )</t>
  </si>
  <si>
    <t>055117309000090301</t>
  </si>
  <si>
    <t>2025-12-05 13:33:35</t>
  </si>
  <si>
    <t>1 días 13:33</t>
  </si>
  <si>
    <t>4 días 13:33</t>
  </si>
  <si>
    <t>28/11/2025 13:35:32</t>
  </si>
  <si>
    <t>2025-11-28 13:35:32</t>
  </si>
  <si>
    <t>JOHAN SEBASTIAN ACOSTA PRESIGA</t>
  </si>
  <si>
    <t>3167564646</t>
  </si>
  <si>
    <t>RURAL_163017038604500010_LOMADELOSZULETA</t>
  </si>
  <si>
    <t>163017038604500010</t>
  </si>
  <si>
    <t>2025-12-11 13:35:32</t>
  </si>
  <si>
    <t>28/11/2025 13:36:16</t>
  </si>
  <si>
    <t>2025-11-28 13:36:16</t>
  </si>
  <si>
    <t>MARIA CECILIA JARAMILLO</t>
  </si>
  <si>
    <t>3503765427</t>
  </si>
  <si>
    <t>CR 68 A CL 45 -15 (INTERIOR 101 )</t>
  </si>
  <si>
    <t>054628105000150101</t>
  </si>
  <si>
    <t>2025-12-04 13:36:16</t>
  </si>
  <si>
    <t>1 días 13:36</t>
  </si>
  <si>
    <t>28/11/2025 13:36:38</t>
  </si>
  <si>
    <t>2025-11-28 13:36:38</t>
  </si>
  <si>
    <t>CL 37 SUR CR 41 -42 (INTERIOR 102 )</t>
  </si>
  <si>
    <t>023417001000420102</t>
  </si>
  <si>
    <t>2025-12-10 13:36:38</t>
  </si>
  <si>
    <t>28/11/2025 13:37:14</t>
  </si>
  <si>
    <t>2025-11-28 13:37:14</t>
  </si>
  <si>
    <t>CR 44 CL 17 -120 (INTERIOR 806 )</t>
  </si>
  <si>
    <t>051424007001200806</t>
  </si>
  <si>
    <t>2025-12-10 13:37:14</t>
  </si>
  <si>
    <t>1 días 13:37</t>
  </si>
  <si>
    <t>6 días 13:37</t>
  </si>
  <si>
    <t>28/11/2025 13:37:20</t>
  </si>
  <si>
    <t>2025-11-28 13:37:20</t>
  </si>
  <si>
    <t>CR 44 CL 17 -120 (INTERIOR 704 )</t>
  </si>
  <si>
    <t>051424007001200704</t>
  </si>
  <si>
    <t>2025-12-10 13:37:20</t>
  </si>
  <si>
    <t>28/11/2025 13:37:27</t>
  </si>
  <si>
    <t>2025-11-28 13:37:27</t>
  </si>
  <si>
    <t>CR 44 CL 17 -120 (INTERIOR 902 )</t>
  </si>
  <si>
    <t>051424007001200902</t>
  </si>
  <si>
    <t>2025-12-10 13:37:27</t>
  </si>
  <si>
    <t>28/11/2025 13:37:59</t>
  </si>
  <si>
    <t>2025-11-28 13:37:59</t>
  </si>
  <si>
    <t>CR 44 CL 17 -120 (INTERIOR 1806 )</t>
  </si>
  <si>
    <t>051424007001201806</t>
  </si>
  <si>
    <t>2025-12-10 13:37:59</t>
  </si>
  <si>
    <t>28/11/2025 13:38:13</t>
  </si>
  <si>
    <t>2025-11-28 13:38:13</t>
  </si>
  <si>
    <t>CR 44 CL 17 -120 (INTERIOR 2004 )</t>
  </si>
  <si>
    <t>051424007001202004</t>
  </si>
  <si>
    <t>2025-12-10 13:38:13</t>
  </si>
  <si>
    <t>1 días 13:38</t>
  </si>
  <si>
    <t>6 días 13:38</t>
  </si>
  <si>
    <t>28/11/2025 13:38:38</t>
  </si>
  <si>
    <t>2025-11-28 13:38:38</t>
  </si>
  <si>
    <t>CR 44 CL 17 -120 (INTERIOR 1203 )</t>
  </si>
  <si>
    <t>051424007001201203</t>
  </si>
  <si>
    <t>2025-12-10 13:38:38</t>
  </si>
  <si>
    <t>28/11/2025 13:42:17</t>
  </si>
  <si>
    <t>2025-11-28 13:42:17</t>
  </si>
  <si>
    <t>DANIELA RODRIGUEZ ROJAS</t>
  </si>
  <si>
    <t>3107116524</t>
  </si>
  <si>
    <t>CR 19 A CL 57 C -3 (INTERIOR 201 )</t>
  </si>
  <si>
    <t>055129107300030201</t>
  </si>
  <si>
    <t>2025-12-05 13:42:17</t>
  </si>
  <si>
    <t>1 días 13:42</t>
  </si>
  <si>
    <t>28/11/2025 13:46:36</t>
  </si>
  <si>
    <t>2025-11-28 13:46:36</t>
  </si>
  <si>
    <t>RURAL_163017038604500011_LOMADELOSZULETA</t>
  </si>
  <si>
    <t>163017038604500011</t>
  </si>
  <si>
    <t>2025-12-11 13:46:36</t>
  </si>
  <si>
    <t>1 días 13:46</t>
  </si>
  <si>
    <t>7 días 13:46</t>
  </si>
  <si>
    <t>28/11/2025 14:04:59</t>
  </si>
  <si>
    <t>2025-11-28 14:05:00</t>
  </si>
  <si>
    <t>KAREN SIEGERT FRANCO</t>
  </si>
  <si>
    <t>3137381408</t>
  </si>
  <si>
    <t>RURAL_125004452900000005_CL 24 SR 6 - 50 (IN 05)</t>
  </si>
  <si>
    <t>125004452900000005</t>
  </si>
  <si>
    <t>2025-12-15 14:05:00</t>
  </si>
  <si>
    <t>1 días 14:05</t>
  </si>
  <si>
    <t>9 días 14:05</t>
  </si>
  <si>
    <t>28/11/2025 14:10:11</t>
  </si>
  <si>
    <t>2025-11-28 14:10:11</t>
  </si>
  <si>
    <t>WILMER MARIO URIBE SALAZAR</t>
  </si>
  <si>
    <t>3155455910</t>
  </si>
  <si>
    <t>CL 48 CR 99 -117</t>
  </si>
  <si>
    <t>054918009001170000</t>
  </si>
  <si>
    <t>2025-12-10 14:10:11</t>
  </si>
  <si>
    <t>1 días 14:10</t>
  </si>
  <si>
    <t>6 días 14:10</t>
  </si>
  <si>
    <t>28/11/2025 14:10:42</t>
  </si>
  <si>
    <t>2025-11-28 14:10:42</t>
  </si>
  <si>
    <t>LUIS EDUARD CORREA VELASQUEZ</t>
  </si>
  <si>
    <t>3205741752</t>
  </si>
  <si>
    <t>RURAL_122002980000000000_122002980000000000</t>
  </si>
  <si>
    <t>122002980000000000</t>
  </si>
  <si>
    <t>2025-12-04 14:10:42</t>
  </si>
  <si>
    <t>28/11/2025 14:13:30</t>
  </si>
  <si>
    <t>2025-11-28 14:13:30</t>
  </si>
  <si>
    <t>JHERALDIN LUJAN</t>
  </si>
  <si>
    <t>1310261</t>
  </si>
  <si>
    <t>3002068765</t>
  </si>
  <si>
    <t>CR 49 CL 56 -44</t>
  </si>
  <si>
    <t>055429006000440000</t>
  </si>
  <si>
    <t>2025-12-04 14:13:30</t>
  </si>
  <si>
    <t>3 días 14:13</t>
  </si>
  <si>
    <t>28/11/2025 14:13:31</t>
  </si>
  <si>
    <t>2025-11-28 14:13:31</t>
  </si>
  <si>
    <t>DIEGO DE JESUS GALLEGO CASTAÑEDA</t>
  </si>
  <si>
    <t>3132720721</t>
  </si>
  <si>
    <t>RURAL_161105312000000001_PROV.BR LA CORRALA</t>
  </si>
  <si>
    <t>161105312000000001</t>
  </si>
  <si>
    <t>2025-12-04 14:13:31</t>
  </si>
  <si>
    <t>28/11/2025 14:15:08</t>
  </si>
  <si>
    <t>2025-11-28 14:15:08</t>
  </si>
  <si>
    <t>LUIS GUILLERMO VARGAS MORENO</t>
  </si>
  <si>
    <t>3146364537</t>
  </si>
  <si>
    <t>CR 19 A CL 57 C -3 (INTERIOR 301 )</t>
  </si>
  <si>
    <t>055129107300030301</t>
  </si>
  <si>
    <t>2025-12-05 14:15:08</t>
  </si>
  <si>
    <t>28/11/2025 14:24:19</t>
  </si>
  <si>
    <t>2025-11-28 14:24:19</t>
  </si>
  <si>
    <t>CR 44 CL 17 -120 (INTERIOR 1002 )</t>
  </si>
  <si>
    <t>051424007001201002</t>
  </si>
  <si>
    <t>2025-12-10 14:24:19</t>
  </si>
  <si>
    <t>6 días 14:24</t>
  </si>
  <si>
    <t>28/11/2025 14:24:36</t>
  </si>
  <si>
    <t>2025-11-28 14:24:36</t>
  </si>
  <si>
    <t>CL 48 CR 99 -119</t>
  </si>
  <si>
    <t>054918009001190000</t>
  </si>
  <si>
    <t>2025-12-10 14:24:36</t>
  </si>
  <si>
    <t>28/11/2025 14:24:42</t>
  </si>
  <si>
    <t>2025-11-28 14:24:42</t>
  </si>
  <si>
    <t>CR 44 CL 17 -120 (INTERIOR 905 )</t>
  </si>
  <si>
    <t>051424007001200905</t>
  </si>
  <si>
    <t>2025-12-10 14:24:42</t>
  </si>
  <si>
    <t>28/11/2025 14:24:53</t>
  </si>
  <si>
    <t>2025-11-28 14:24:53</t>
  </si>
  <si>
    <t>CR 44 CL 17 -120 (INTERIOR 901 )</t>
  </si>
  <si>
    <t>051424007001200901</t>
  </si>
  <si>
    <t>2025-12-10 14:24:53</t>
  </si>
  <si>
    <t>28/11/2025 14:25:08</t>
  </si>
  <si>
    <t>2025-11-28 14:25:08</t>
  </si>
  <si>
    <t>CR 44 CL 17 -120 (INTERIOR 1003 )</t>
  </si>
  <si>
    <t>051424007001201003</t>
  </si>
  <si>
    <t>2025-12-10 14:25:08</t>
  </si>
  <si>
    <t>1 días 14:25</t>
  </si>
  <si>
    <t>6 días 14:25</t>
  </si>
  <si>
    <t>28/11/2025 14:44:21</t>
  </si>
  <si>
    <t>2025-11-28 14:44:21</t>
  </si>
  <si>
    <t>3225509608</t>
  </si>
  <si>
    <t>CR 51 CL 83 -6 (INTERIOR 101 )</t>
  </si>
  <si>
    <t>078521003000060101</t>
  </si>
  <si>
    <t>2025-12-04 14:44:21</t>
  </si>
  <si>
    <t>1 días 14:44</t>
  </si>
  <si>
    <t>28/11/2025 15:18:27</t>
  </si>
  <si>
    <t>2025-11-28 15:18:27</t>
  </si>
  <si>
    <t>LUIS DAVID CARREÑO HENAO</t>
  </si>
  <si>
    <t>2553537</t>
  </si>
  <si>
    <t>3054050959</t>
  </si>
  <si>
    <t>CL 4 CR 54 -113 (INTERIOR 401 )</t>
  </si>
  <si>
    <t>050514004001130401</t>
  </si>
  <si>
    <t>2025-12-10 15:18:27</t>
  </si>
  <si>
    <t>6 días 15:18</t>
  </si>
  <si>
    <t>28/11/2025 15:19:42</t>
  </si>
  <si>
    <t>2025-11-28 15:19:42</t>
  </si>
  <si>
    <t>OLGA LUCIA CASTRILLON AGUDELO</t>
  </si>
  <si>
    <t>3147853317</t>
  </si>
  <si>
    <t>CL 53 A CR 48 -34 (INTERIOR 301 )</t>
  </si>
  <si>
    <t>075413108000340301</t>
  </si>
  <si>
    <t>2025-12-10 15:19:42</t>
  </si>
  <si>
    <t>1 días 15:19</t>
  </si>
  <si>
    <t>6 días 15:19</t>
  </si>
  <si>
    <t>28/11/2025 15:21:57</t>
  </si>
  <si>
    <t>2025-11-28 15:21:57</t>
  </si>
  <si>
    <t>CL 4 CR 54 -113 (INTERIOR 301 )</t>
  </si>
  <si>
    <t>050514004001130301</t>
  </si>
  <si>
    <t>2025-12-10 15:21:57</t>
  </si>
  <si>
    <t>1 días 15:21</t>
  </si>
  <si>
    <t>6 días 15:21</t>
  </si>
  <si>
    <t>28/11/2025 15:24:30</t>
  </si>
  <si>
    <t>2025-11-28 15:24:30</t>
  </si>
  <si>
    <t>YUDI ESTELA MORENO CARVAJAL</t>
  </si>
  <si>
    <t>3148174031</t>
  </si>
  <si>
    <t>RURAL_163001036500000201</t>
  </si>
  <si>
    <t>163001036500000201</t>
  </si>
  <si>
    <t>2025-12-11 15:24:30</t>
  </si>
  <si>
    <t>1 días 15:24</t>
  </si>
  <si>
    <t>7 días 15:24</t>
  </si>
  <si>
    <t>28/11/2025 15:31:59</t>
  </si>
  <si>
    <t>2025-11-28 15:31:59</t>
  </si>
  <si>
    <t>ROSALBA DEL ROCIO FLOREZ RODRIGUEZ</t>
  </si>
  <si>
    <t>3798342</t>
  </si>
  <si>
    <t>CR 57 CL 44 -31 (INTERIOR 306 )</t>
  </si>
  <si>
    <t>074527004000310306</t>
  </si>
  <si>
    <t>2025-12-10 15:31:59</t>
  </si>
  <si>
    <t>1 días 15:31</t>
  </si>
  <si>
    <t>28/11/2025 15:33:06</t>
  </si>
  <si>
    <t>2025-11-28 15:33:06</t>
  </si>
  <si>
    <t>MARIA KATERINE MOLINA CARDONA</t>
  </si>
  <si>
    <t>3107454957</t>
  </si>
  <si>
    <t>CL 39 A SUR CR 46 A -39 (INTERIOR 301 )</t>
  </si>
  <si>
    <t>023419106100390301</t>
  </si>
  <si>
    <t>2025-12-10 15:33:06</t>
  </si>
  <si>
    <t>1 días 15:33</t>
  </si>
  <si>
    <t>6 días 15:33</t>
  </si>
  <si>
    <t>28/11/2025 15:46:50</t>
  </si>
  <si>
    <t>2025-11-28 15:46:50</t>
  </si>
  <si>
    <t>LUZ  MARINA OQUENDO ALVAREZ</t>
  </si>
  <si>
    <t>3122689743</t>
  </si>
  <si>
    <t>CL 38 D CR 27 A -11 (INTERIOR 205 )</t>
  </si>
  <si>
    <t>053218407100110205</t>
  </si>
  <si>
    <t>2025-12-05 15:46:50</t>
  </si>
  <si>
    <t>1 días 15:46</t>
  </si>
  <si>
    <t>4 días 15:46</t>
  </si>
  <si>
    <t>28/11/2025 15:47:16</t>
  </si>
  <si>
    <t>2025-11-28 15:47:16</t>
  </si>
  <si>
    <t>CL 39 A SUR CR 46 A -39 (INTERIOR 201 )</t>
  </si>
  <si>
    <t>023419106100390201</t>
  </si>
  <si>
    <t>2025-12-10 15:47:16</t>
  </si>
  <si>
    <t>1 días 15:47</t>
  </si>
  <si>
    <t>6 días 15:47</t>
  </si>
  <si>
    <t>28/11/2025 15:51:36</t>
  </si>
  <si>
    <t>2025-11-28 15:51:36</t>
  </si>
  <si>
    <t>JUAN DAVID MUÑOZ GONZALEZ</t>
  </si>
  <si>
    <t>4782690</t>
  </si>
  <si>
    <t>3214782690</t>
  </si>
  <si>
    <t>RURAL_116005351680000000_116005351680000000</t>
  </si>
  <si>
    <t>116005351680000000</t>
  </si>
  <si>
    <t>2025-12-16 15:51:36</t>
  </si>
  <si>
    <t>1 días 15:51</t>
  </si>
  <si>
    <t>10 días 15:51</t>
  </si>
  <si>
    <t>28/11/2025 16:03:33</t>
  </si>
  <si>
    <t>2025-11-28 16:03:33</t>
  </si>
  <si>
    <t>CL 39 A SUR CR 46 A -39 (INTERIOR 102 )</t>
  </si>
  <si>
    <t>023419106100390102</t>
  </si>
  <si>
    <t>2025-12-10 16:03:33</t>
  </si>
  <si>
    <t>1 días 16:03</t>
  </si>
  <si>
    <t>6 días 16:03</t>
  </si>
  <si>
    <t>28/11/2025 16:06:52</t>
  </si>
  <si>
    <t>2025-11-28 16:06:52</t>
  </si>
  <si>
    <t>JOSE IGNACIO ACOSTA BETANCUR</t>
  </si>
  <si>
    <t>3114399404</t>
  </si>
  <si>
    <t>CL 40 SUR CR 74 A -5</t>
  </si>
  <si>
    <t>044710004100050000</t>
  </si>
  <si>
    <t>2025-12-10 16:06:52</t>
  </si>
  <si>
    <t>1 días 16:06</t>
  </si>
  <si>
    <t>6 días 16:06</t>
  </si>
  <si>
    <t>28/11/2025 16:08:35</t>
  </si>
  <si>
    <t>2025-11-28 16:08:35</t>
  </si>
  <si>
    <t>ARQUITECTURA Y CONCRETO S A</t>
  </si>
  <si>
    <t>2468622</t>
  </si>
  <si>
    <t>3128948263</t>
  </si>
  <si>
    <t>CR 49 CL 29 SUR -140 (INTERIOR 7 )</t>
  </si>
  <si>
    <t>022429009001400007</t>
  </si>
  <si>
    <t>2025-12-04 16:08:35</t>
  </si>
  <si>
    <t>1 días 16:08</t>
  </si>
  <si>
    <t>3 días 16:08</t>
  </si>
  <si>
    <t>28/11/2025 16:10:37</t>
  </si>
  <si>
    <t>2025-11-28 16:10:37</t>
  </si>
  <si>
    <t>CR 44 CL 17 -120 (INTERIOR 605 )</t>
  </si>
  <si>
    <t>051424007001200605</t>
  </si>
  <si>
    <t>2025-12-10 16:10:37</t>
  </si>
  <si>
    <t>1 días 16:10</t>
  </si>
  <si>
    <t>6 días 16:10</t>
  </si>
  <si>
    <t>28/11/2025 16:21:08</t>
  </si>
  <si>
    <t>2025-11-28 16:21:08</t>
  </si>
  <si>
    <t>DORIS PATRICIA RINCON ARANGO</t>
  </si>
  <si>
    <t>3216079225</t>
  </si>
  <si>
    <t>CR 107 CL 35 -110 (INTERIOR 102 )</t>
  </si>
  <si>
    <t>083027005001100102</t>
  </si>
  <si>
    <t>2025-12-16 16:21:08</t>
  </si>
  <si>
    <t>1 días 16:21</t>
  </si>
  <si>
    <t>10 días 16:21</t>
  </si>
  <si>
    <t>28/11/2025 16:21:30</t>
  </si>
  <si>
    <t>2025-11-28 16:21:30</t>
  </si>
  <si>
    <t>CL 39 A SUR CR 46 A -39 (INTERIOR 101 )</t>
  </si>
  <si>
    <t>023419106100390101</t>
  </si>
  <si>
    <t>2025-12-10 16:21:30</t>
  </si>
  <si>
    <t>6 días 16:21</t>
  </si>
  <si>
    <t>28/11/2025 16:33:57</t>
  </si>
  <si>
    <t>2025-11-28 16:33:57</t>
  </si>
  <si>
    <t>MARIA ALEJANDRA HOYOS SIERRA</t>
  </si>
  <si>
    <t>3104509421</t>
  </si>
  <si>
    <t>RURAL_140004950000000024_PROV.VOLTA HOUSING CR 3A</t>
  </si>
  <si>
    <t>140004950000000024</t>
  </si>
  <si>
    <t>2025-12-15 16:33:57</t>
  </si>
  <si>
    <t>1 días 16:33</t>
  </si>
  <si>
    <t>9 días 16:33</t>
  </si>
  <si>
    <t>28/11/2025 16:37:01</t>
  </si>
  <si>
    <t>2025-11-28 16:37:01</t>
  </si>
  <si>
    <t>GILMA DEL SOCORRO AGUDELO ARIAS</t>
  </si>
  <si>
    <t>3175089663</t>
  </si>
  <si>
    <t>CR 44 CL 64 B SUR -27 (INTERIOR 201 )</t>
  </si>
  <si>
    <t>016424004200270201</t>
  </si>
  <si>
    <t>2025-12-10 16:37:01</t>
  </si>
  <si>
    <t>1 días 16:37</t>
  </si>
  <si>
    <t>6 días 16:37</t>
  </si>
  <si>
    <t>28/11/2025 16:38:23</t>
  </si>
  <si>
    <t>2025-11-28 16:38:23</t>
  </si>
  <si>
    <t>CL 39 A SUR CR 46 A -41 (INTERIOR 301 )</t>
  </si>
  <si>
    <t>023419106100410301</t>
  </si>
  <si>
    <t>2025-12-10 16:38:23</t>
  </si>
  <si>
    <t>1 días 16:38</t>
  </si>
  <si>
    <t>6 días 16:38</t>
  </si>
  <si>
    <t>28/11/2025 16:59:34</t>
  </si>
  <si>
    <t>2025-11-28 16:59:34</t>
  </si>
  <si>
    <t>WBER RRONY VALENCIA AMPUDIA</t>
  </si>
  <si>
    <t>3135860063</t>
  </si>
  <si>
    <t>CL 13 CR 111 -74 (INTERIOR 202 )</t>
  </si>
  <si>
    <t>081113001000740202</t>
  </si>
  <si>
    <t>2025-12-05 16:59:34</t>
  </si>
  <si>
    <t>4 días 16:59</t>
  </si>
  <si>
    <t>28/11/2025 17:00:47</t>
  </si>
  <si>
    <t>2025-11-28 17:00:47</t>
  </si>
  <si>
    <t>JULIO CESAR GARCIA VASQUEZ</t>
  </si>
  <si>
    <t>3474644</t>
  </si>
  <si>
    <t>3175097039</t>
  </si>
  <si>
    <t>CL 59 CR 52 -26</t>
  </si>
  <si>
    <t>055519002000260000</t>
  </si>
  <si>
    <t>2025-12-04 17:00:47</t>
  </si>
  <si>
    <t>1 días 17:00</t>
  </si>
  <si>
    <t>3 días 17:00</t>
  </si>
  <si>
    <t>28/11/2025 17:38:23</t>
  </si>
  <si>
    <t>2025-11-28 17:38:23</t>
  </si>
  <si>
    <t>ANGELA MARIA MARTINEZ SILVA</t>
  </si>
  <si>
    <t>2117595</t>
  </si>
  <si>
    <t>3122117595</t>
  </si>
  <si>
    <t>CR 121 CL 57 -173 (INTERIOR 127 )</t>
  </si>
  <si>
    <t>085221007001730127</t>
  </si>
  <si>
    <t>2025-12-16 17:38:23</t>
  </si>
  <si>
    <t>1 días 17:38</t>
  </si>
  <si>
    <t>10 días 17:38</t>
  </si>
  <si>
    <t>28/11/2025 20:05:43</t>
  </si>
  <si>
    <t>2025-11-28 20:05:43</t>
  </si>
  <si>
    <t>VICTOR HUGO PARRA VALENCIA</t>
  </si>
  <si>
    <t>3016002852</t>
  </si>
  <si>
    <t>2025-12-04 20:05:43</t>
  </si>
  <si>
    <t>1 días 20:05</t>
  </si>
  <si>
    <t>3 días 20:05</t>
  </si>
  <si>
    <t>28/11/2025 22:03:32</t>
  </si>
  <si>
    <t>2025-11-28 22:03:32</t>
  </si>
  <si>
    <t>GILDARDO MARTINEZ GOMEZ</t>
  </si>
  <si>
    <t>3193290909</t>
  </si>
  <si>
    <t>CL 34 A CR 54 A -54</t>
  </si>
  <si>
    <t>073514104100540000</t>
  </si>
  <si>
    <t>2025-12-04 22:03:32</t>
  </si>
  <si>
    <t>3 días 22:03</t>
  </si>
  <si>
    <t>29/11/2025 06:50:05</t>
  </si>
  <si>
    <t>2025-11-29 06:50:05</t>
  </si>
  <si>
    <t>ANGGIE VANESA BERMUDEZ CANO</t>
  </si>
  <si>
    <t>3148235694</t>
  </si>
  <si>
    <t>CL 19 CR 105 -40 (INTERIOR 203 )</t>
  </si>
  <si>
    <t>081019005000400203</t>
  </si>
  <si>
    <t>2025-12-16 06:50:05</t>
  </si>
  <si>
    <t>1 días 06:50</t>
  </si>
  <si>
    <t>10 días 06:50</t>
  </si>
  <si>
    <t>29/11/2025 06:58:42</t>
  </si>
  <si>
    <t>2025-11-29 06:58:42</t>
  </si>
  <si>
    <t>MARIA NOHELIA CANO QUINCHIA</t>
  </si>
  <si>
    <t>5374315</t>
  </si>
  <si>
    <t>3106671137</t>
  </si>
  <si>
    <t>CL 19 CR 105 -40 (INTERIOR 2203 )</t>
  </si>
  <si>
    <t>081019005000402203</t>
  </si>
  <si>
    <t>2025-12-16 06:58:42</t>
  </si>
  <si>
    <t>10 días 06:58</t>
  </si>
  <si>
    <t>29/11/2025 07:00:46</t>
  </si>
  <si>
    <t>2025-11-29 07:00:46</t>
  </si>
  <si>
    <t>CL 81 SUR CR 69 -99</t>
  </si>
  <si>
    <t>038611009000990000</t>
  </si>
  <si>
    <t>2025-12-10 07:00:46</t>
  </si>
  <si>
    <t>29/11/2025 07:24:33</t>
  </si>
  <si>
    <t>2025-11-29 07:24:33</t>
  </si>
  <si>
    <t>SERGIO ANDRES MIRA RIOS</t>
  </si>
  <si>
    <t>5864400</t>
  </si>
  <si>
    <t>3006111493</t>
  </si>
  <si>
    <t>CR 52 C CL 77 -55 (INTERIOR 402 )</t>
  </si>
  <si>
    <t>077522307000550402</t>
  </si>
  <si>
    <t>2025-12-16 07:24:33</t>
  </si>
  <si>
    <t>10 días 07:24</t>
  </si>
  <si>
    <t>29/11/2025 08:14:36</t>
  </si>
  <si>
    <t>2025-11-29 08:14:36</t>
  </si>
  <si>
    <t>CR 52 C CL 77 -55 (INTERIOR 302 )</t>
  </si>
  <si>
    <t>077522307000550302</t>
  </si>
  <si>
    <t>2025-12-16 08:14:36</t>
  </si>
  <si>
    <t>1 días 08:14</t>
  </si>
  <si>
    <t>10 días 08:14</t>
  </si>
  <si>
    <t>29/11/2025 09:38:56</t>
  </si>
  <si>
    <t>2025-11-29 09:38:56</t>
  </si>
  <si>
    <t>MARIA PAULINA LONDOÑO GIRALDO</t>
  </si>
  <si>
    <t>3006657831</t>
  </si>
  <si>
    <t>CL 1 CR 65 A -38 (INTERIOR 301 )</t>
  </si>
  <si>
    <t>050611005100380301</t>
  </si>
  <si>
    <t>2025-12-10 09:38:56</t>
  </si>
  <si>
    <t>1 días 09:38</t>
  </si>
  <si>
    <t>6 días 09:38</t>
  </si>
  <si>
    <t>29/11/2025 09:44:57</t>
  </si>
  <si>
    <t>2025-11-29 09:44:57</t>
  </si>
  <si>
    <t>CR 27 CL 23 SUR -101 (INTERIOR 101 )</t>
  </si>
  <si>
    <t>022227003001010101</t>
  </si>
  <si>
    <t>2025-12-04 09:44:57</t>
  </si>
  <si>
    <t>1 días 09:44</t>
  </si>
  <si>
    <t>3 días 09:44</t>
  </si>
  <si>
    <t>29/11/2025 10:09:56</t>
  </si>
  <si>
    <t>2025-11-29 10:09:56</t>
  </si>
  <si>
    <t>CL 36 D SUR CR 23 -104 (INTERIOR 101 )</t>
  </si>
  <si>
    <t>023216403001040101</t>
  </si>
  <si>
    <t>2025-12-04 10:09:56</t>
  </si>
  <si>
    <t>29/11/2025 10:13:49</t>
  </si>
  <si>
    <t>2025-11-29 10:13:49</t>
  </si>
  <si>
    <t>CL 36 D SUR CR 23 -73</t>
  </si>
  <si>
    <t>023216403000730000</t>
  </si>
  <si>
    <t>2025-12-04 10:13:49</t>
  </si>
  <si>
    <t>29/11/2025 10:16:02</t>
  </si>
  <si>
    <t>2025-11-29 10:16:02</t>
  </si>
  <si>
    <t>CL 36 D SUR CR 23 -60</t>
  </si>
  <si>
    <t>023216403000600000</t>
  </si>
  <si>
    <t>2025-12-04 10:16:02</t>
  </si>
  <si>
    <t>1 días 10:16</t>
  </si>
  <si>
    <t>29/11/2025 10:18:06</t>
  </si>
  <si>
    <t>2025-11-29 10:18:06</t>
  </si>
  <si>
    <t>CL 36 D SUR CR 23 -55</t>
  </si>
  <si>
    <t>023216403000550000</t>
  </si>
  <si>
    <t>2025-12-04 10:18:06</t>
  </si>
  <si>
    <t>1 días 10:18</t>
  </si>
  <si>
    <t>3 días 10:18</t>
  </si>
  <si>
    <t>29/11/2025 10:21:27</t>
  </si>
  <si>
    <t>2025-11-29 10:21:27</t>
  </si>
  <si>
    <t>CL 36 D SUR CR 23 -7</t>
  </si>
  <si>
    <t>023216403000070000</t>
  </si>
  <si>
    <t>2025-12-04 10:21:27</t>
  </si>
  <si>
    <t>1 días 10:21</t>
  </si>
  <si>
    <t>29/11/2025 10:21:38</t>
  </si>
  <si>
    <t>2025-11-29 10:21:38</t>
  </si>
  <si>
    <t>NATALIA LONDOÑO GIRALDO</t>
  </si>
  <si>
    <t>3005476657</t>
  </si>
  <si>
    <t>CL 1 CR 65 A -38 (INTERIOR 402 )</t>
  </si>
  <si>
    <t>050611005100380402</t>
  </si>
  <si>
    <t>2025-12-10 10:21:38</t>
  </si>
  <si>
    <t>29/11/2025 10:36:43</t>
  </si>
  <si>
    <t>2025-11-29 10:36:43</t>
  </si>
  <si>
    <t>INMOBILIARIA HABITAD URBANO S</t>
  </si>
  <si>
    <t>CR 79 CL 35 -79</t>
  </si>
  <si>
    <t>053729005000790000</t>
  </si>
  <si>
    <t>2025-12-04 10:36:43</t>
  </si>
  <si>
    <t>1 días 10:36</t>
  </si>
  <si>
    <t>29/11/2025 10:38:05</t>
  </si>
  <si>
    <t>2025-11-29 10:38:05</t>
  </si>
  <si>
    <t>YURIS YARIDIS GASPAR QUINTERO</t>
  </si>
  <si>
    <t>3232421590</t>
  </si>
  <si>
    <t>CL 62 CR 96 A -157 (INTERIOR 181 )</t>
  </si>
  <si>
    <t>056912006101570181</t>
  </si>
  <si>
    <t>2025-12-05 10:38:05</t>
  </si>
  <si>
    <t>4 días 10:38</t>
  </si>
  <si>
    <t>29/11/2025 10:50:50</t>
  </si>
  <si>
    <t>2025-11-29 10:50:50</t>
  </si>
  <si>
    <t>ROBLES LAURELES S.A.S.</t>
  </si>
  <si>
    <t>CL 34 CR 76 -26</t>
  </si>
  <si>
    <t>053714006000260000</t>
  </si>
  <si>
    <t>2025-12-04 10:50:50</t>
  </si>
  <si>
    <t>3 días 10:50</t>
  </si>
  <si>
    <t>29/11/2025 10:58:23</t>
  </si>
  <si>
    <t>2025-11-29 10:58:23</t>
  </si>
  <si>
    <t>LEOPOLDO RAMOS CASTAÑO</t>
  </si>
  <si>
    <t>5283151</t>
  </si>
  <si>
    <t>3222843042</t>
  </si>
  <si>
    <t>CL 63 CR 47 -23</t>
  </si>
  <si>
    <t>056413007000230000</t>
  </si>
  <si>
    <t>2025-12-04 10:58:23</t>
  </si>
  <si>
    <t>1 días 10:58</t>
  </si>
  <si>
    <t>29/11/2025 11:06:10</t>
  </si>
  <si>
    <t>2025-11-29 11:06:10</t>
  </si>
  <si>
    <t>CR 55 CL 25 -21 (BG 301 )</t>
  </si>
  <si>
    <t>052525005000210301</t>
  </si>
  <si>
    <t>29/11/2025 11:30:32</t>
  </si>
  <si>
    <t>2025-11-29 11:30:32</t>
  </si>
  <si>
    <t>MARTIN ALONSO GAVIRIA MUÑOZ</t>
  </si>
  <si>
    <t>4509395</t>
  </si>
  <si>
    <t>3165375562</t>
  </si>
  <si>
    <t>TRAN 34 D SUR DIAG 29 -38 (INTERIOR 206 )</t>
  </si>
  <si>
    <t>023294409000380206</t>
  </si>
  <si>
    <t>2025-12-04 11:30:32</t>
  </si>
  <si>
    <t>29/11/2025 11:33:00</t>
  </si>
  <si>
    <t>2025-11-29 11:33:00</t>
  </si>
  <si>
    <t>NEYSA TATIANA HIGUITA MANCO</t>
  </si>
  <si>
    <t>3112295823</t>
  </si>
  <si>
    <t>CL 59 CR 120 F -9 (INTERIOR 203 )</t>
  </si>
  <si>
    <t>085219000600090203</t>
  </si>
  <si>
    <t>2025-12-05 11:33:00</t>
  </si>
  <si>
    <t>1 días 11:33</t>
  </si>
  <si>
    <t>29/11/2025 13:49:26</t>
  </si>
  <si>
    <t>2025-11-29 13:49:26</t>
  </si>
  <si>
    <t>CL 1 CR 65 A -38 (INTERIOR 101 )</t>
  </si>
  <si>
    <t>050611005100380101</t>
  </si>
  <si>
    <t>2025-12-10 13:49:26</t>
  </si>
  <si>
    <t>6 días 13:49</t>
  </si>
  <si>
    <t>29/11/2025 13:59:22</t>
  </si>
  <si>
    <t>2025-11-29 13:59:23</t>
  </si>
  <si>
    <t>ARMANDO LEON JARAMILLO SANCHEZ</t>
  </si>
  <si>
    <t>3128185</t>
  </si>
  <si>
    <t>3146629497</t>
  </si>
  <si>
    <t>CR 49 CL 45 -35 (INTERIOR 101 )</t>
  </si>
  <si>
    <t>074429005000350101</t>
  </si>
  <si>
    <t>2025-12-10 13:59:23</t>
  </si>
  <si>
    <t>1 días 13:59</t>
  </si>
  <si>
    <t>6 días 13:59</t>
  </si>
  <si>
    <t>29/11/2025 14:10:23</t>
  </si>
  <si>
    <t>2025-11-29 14:10:23</t>
  </si>
  <si>
    <t>JULIAN ALVAREZ</t>
  </si>
  <si>
    <t>3216092689</t>
  </si>
  <si>
    <t>CL 48 CC CR 103 A -7 (INTERIOR 200 )</t>
  </si>
  <si>
    <t>084018333100070200</t>
  </si>
  <si>
    <t>2025-12-05 14:10:23</t>
  </si>
  <si>
    <t>4 días 14:10</t>
  </si>
  <si>
    <t>29/11/2025 14:17:51</t>
  </si>
  <si>
    <t>2025-11-29 14:17:51</t>
  </si>
  <si>
    <t>CL 48 CC CR 103 A -7 (INTERIOR 221 )</t>
  </si>
  <si>
    <t>084018333100070221</t>
  </si>
  <si>
    <t>2025-12-05 14:17:51</t>
  </si>
  <si>
    <t>1 días 14:17</t>
  </si>
  <si>
    <t>4 días 14:17</t>
  </si>
  <si>
    <t>29/11/2025 14:43:38</t>
  </si>
  <si>
    <t>2025-11-29 14:43:38</t>
  </si>
  <si>
    <t>FREDDY ALBERTO LONDOÑO ESTRADA</t>
  </si>
  <si>
    <t>CL 41 SUR CR 83 -70 (INTERIOR 131 )</t>
  </si>
  <si>
    <t>044811003000700131</t>
  </si>
  <si>
    <t>2025-12-10 14:43:38</t>
  </si>
  <si>
    <t>6 días 14:43</t>
  </si>
  <si>
    <t>29/11/2025 14:46:04</t>
  </si>
  <si>
    <t>2025-11-29 14:46:04</t>
  </si>
  <si>
    <t>ENERBIT S.A. E.S.P</t>
  </si>
  <si>
    <t>3208046619</t>
  </si>
  <si>
    <t>CR 30 CL 10 -335</t>
  </si>
  <si>
    <t>051320000003350000</t>
  </si>
  <si>
    <t>2025-12-04 14:46:04</t>
  </si>
  <si>
    <t>1 días 14:46</t>
  </si>
  <si>
    <t>29/11/2025 14:47:01</t>
  </si>
  <si>
    <t>2025-11-29 14:47:01</t>
  </si>
  <si>
    <t>CL 41 SUR CR 83 -70 (INTERIOR 6631 )</t>
  </si>
  <si>
    <t>044811003000706631</t>
  </si>
  <si>
    <t>2025-12-10 14:47:01</t>
  </si>
  <si>
    <t>1 días 14:47</t>
  </si>
  <si>
    <t>29/11/2025 14:47:24</t>
  </si>
  <si>
    <t>2025-11-29 14:47:24</t>
  </si>
  <si>
    <t>CL 41 SUR CR 83 -70 (INTERIOR 1131 )</t>
  </si>
  <si>
    <t>044811003000701131</t>
  </si>
  <si>
    <t>2025-12-10 14:47:24</t>
  </si>
  <si>
    <t>29/11/2025 14:47:44</t>
  </si>
  <si>
    <t>2025-11-29 14:47:44</t>
  </si>
  <si>
    <t>CL 41 SUR CR 83 -70 (INTERIOR 3331 )</t>
  </si>
  <si>
    <t>044811003000703331</t>
  </si>
  <si>
    <t>2025-12-10 14:47:44</t>
  </si>
  <si>
    <t>CL 41 SUR CR 83 -70 (INTERIOR 5531 )</t>
  </si>
  <si>
    <t>044811003000705531</t>
  </si>
  <si>
    <t>29/11/2025 14:48:05</t>
  </si>
  <si>
    <t>2025-11-29 14:48:05</t>
  </si>
  <si>
    <t>CL 41 SUR CR 83 -70 (INTERIOR 4431 )</t>
  </si>
  <si>
    <t>044811003000704431</t>
  </si>
  <si>
    <t>2025-12-10 14:48:05</t>
  </si>
  <si>
    <t>1 días 14:48</t>
  </si>
  <si>
    <t>29/11/2025 14:51:57</t>
  </si>
  <si>
    <t>2025-11-29 14:51:57</t>
  </si>
  <si>
    <t>CL 41 SUR CR 83 -70 (INTERIOR 231 )</t>
  </si>
  <si>
    <t>044811003000700231</t>
  </si>
  <si>
    <t>2025-12-10 14:51:57</t>
  </si>
  <si>
    <t>1 días 14:51</t>
  </si>
  <si>
    <t>6 días 14:51</t>
  </si>
  <si>
    <t>29/11/2025 14:52:47</t>
  </si>
  <si>
    <t>2025-11-29 14:52:47</t>
  </si>
  <si>
    <t>CL 41 SUR CR 83 -70 (INTERIOR 631 )</t>
  </si>
  <si>
    <t>044811003000700631</t>
  </si>
  <si>
    <t>2025-12-10 14:52:47</t>
  </si>
  <si>
    <t>6 días 14:52</t>
  </si>
  <si>
    <t>29/11/2025 14:56:47</t>
  </si>
  <si>
    <t>2025-11-29 14:56:47</t>
  </si>
  <si>
    <t>CL 41 SUR CR 83 -70 (INTERIOR 331 )</t>
  </si>
  <si>
    <t>044811003000700331</t>
  </si>
  <si>
    <t>2025-12-10 14:56:47</t>
  </si>
  <si>
    <t>1 días 14:56</t>
  </si>
  <si>
    <t>6 días 14:56</t>
  </si>
  <si>
    <t>29/11/2025 14:57:05</t>
  </si>
  <si>
    <t>2025-11-29 14:57:05</t>
  </si>
  <si>
    <t>CL 41 SUR CR 83 -70 (INTERIOR 431 )</t>
  </si>
  <si>
    <t>044811003000700431</t>
  </si>
  <si>
    <t>2025-12-10 14:57:05</t>
  </si>
  <si>
    <t>1 días 14:57</t>
  </si>
  <si>
    <t>6 días 14:57</t>
  </si>
  <si>
    <t>29/11/2025 15:05:04</t>
  </si>
  <si>
    <t>2025-11-29 15:05:04</t>
  </si>
  <si>
    <t>CL 41 SUR CR 83 -70 (INTERIOR 2231 )</t>
  </si>
  <si>
    <t>044811003000702231</t>
  </si>
  <si>
    <t>2025-12-10 15:05:04</t>
  </si>
  <si>
    <t>1 días 15:05</t>
  </si>
  <si>
    <t>29/11/2025 15:07:16</t>
  </si>
  <si>
    <t>2025-11-29 15:07:16</t>
  </si>
  <si>
    <t>CL 41 SUR CR 83 -70 (INTERIOR 531 )</t>
  </si>
  <si>
    <t>044811003000700531</t>
  </si>
  <si>
    <t>2025-12-10 15:07:16</t>
  </si>
  <si>
    <t>1 días 15:07</t>
  </si>
  <si>
    <t>6 días 15:07</t>
  </si>
  <si>
    <t>30/11/2025 11:31:46</t>
  </si>
  <si>
    <t>2025-11-30 11:31:46</t>
  </si>
  <si>
    <t>EURELIS GONZALEZ</t>
  </si>
  <si>
    <t>3042738291</t>
  </si>
  <si>
    <t>CR 17 B CL 56 EE -50 (INTERIOR 165 )</t>
  </si>
  <si>
    <t>055127206550500165</t>
  </si>
  <si>
    <t>2025-12-16 11:31:46</t>
  </si>
  <si>
    <t>0 días 11:31</t>
  </si>
  <si>
    <t>10 días 11:31</t>
  </si>
  <si>
    <t>22824005</t>
  </si>
  <si>
    <t>23069420</t>
  </si>
  <si>
    <t>23102563</t>
  </si>
  <si>
    <t>23274649</t>
  </si>
  <si>
    <t>23341522</t>
  </si>
  <si>
    <t>23343145</t>
  </si>
  <si>
    <t>23343157</t>
  </si>
  <si>
    <t>23359888</t>
  </si>
  <si>
    <t>23420270</t>
  </si>
  <si>
    <t>23450519</t>
  </si>
  <si>
    <t>23452577</t>
  </si>
  <si>
    <t>23467973</t>
  </si>
  <si>
    <t>23471708</t>
  </si>
  <si>
    <t>23479817</t>
  </si>
  <si>
    <t>23480587</t>
  </si>
  <si>
    <t>23503817</t>
  </si>
  <si>
    <t>23505532</t>
  </si>
  <si>
    <t>23507490</t>
  </si>
  <si>
    <t>23509695</t>
  </si>
  <si>
    <t>23512182</t>
  </si>
  <si>
    <t>23513566</t>
  </si>
  <si>
    <t>23513834</t>
  </si>
  <si>
    <t>23513852</t>
  </si>
  <si>
    <t>23516279</t>
  </si>
  <si>
    <t>23518427</t>
  </si>
  <si>
    <t>23518559</t>
  </si>
  <si>
    <t>23522515</t>
  </si>
  <si>
    <t>23522866</t>
  </si>
  <si>
    <t>23522996</t>
  </si>
  <si>
    <t>23524192</t>
  </si>
  <si>
    <t>23525401</t>
  </si>
  <si>
    <t>23525427</t>
  </si>
  <si>
    <t>23528676</t>
  </si>
  <si>
    <t>23533715</t>
  </si>
  <si>
    <t>23540723</t>
  </si>
  <si>
    <t>23543533</t>
  </si>
  <si>
    <t>23547989</t>
  </si>
  <si>
    <t>23548384</t>
  </si>
  <si>
    <t>23548763</t>
  </si>
  <si>
    <t>23548897</t>
  </si>
  <si>
    <t>23551142</t>
  </si>
  <si>
    <t>23551325</t>
  </si>
  <si>
    <t>23551858</t>
  </si>
  <si>
    <t>23552182</t>
  </si>
  <si>
    <t>23552893</t>
  </si>
  <si>
    <t>23556232</t>
  </si>
  <si>
    <t>23556259</t>
  </si>
  <si>
    <t>23557086</t>
  </si>
  <si>
    <t>23557188</t>
  </si>
  <si>
    <t>23557196</t>
  </si>
  <si>
    <t>23557211</t>
  </si>
  <si>
    <t>23557387</t>
  </si>
  <si>
    <t>23557530</t>
  </si>
  <si>
    <t>23557539</t>
  </si>
  <si>
    <t>23557541</t>
  </si>
  <si>
    <t>23557589</t>
  </si>
  <si>
    <t>23557590</t>
  </si>
  <si>
    <t>23557598</t>
  </si>
  <si>
    <t>23557797</t>
  </si>
  <si>
    <t>23558074</t>
  </si>
  <si>
    <t>23558078</t>
  </si>
  <si>
    <t>23558082</t>
  </si>
  <si>
    <t>23558128</t>
  </si>
  <si>
    <t>23558288</t>
  </si>
  <si>
    <t>23558454</t>
  </si>
  <si>
    <t>23558712</t>
  </si>
  <si>
    <t>23558817</t>
  </si>
  <si>
    <t>23559305</t>
  </si>
  <si>
    <t>23559381</t>
  </si>
  <si>
    <t>23559454</t>
  </si>
  <si>
    <t>23559540</t>
  </si>
  <si>
    <t>23559549</t>
  </si>
  <si>
    <t>23560979</t>
  </si>
  <si>
    <t>23571696</t>
  </si>
  <si>
    <t>23571812</t>
  </si>
  <si>
    <t>23573236</t>
  </si>
  <si>
    <t>23576552</t>
  </si>
  <si>
    <t>23576849</t>
  </si>
  <si>
    <t>23576920</t>
  </si>
  <si>
    <t>23578445</t>
  </si>
  <si>
    <t>23578452</t>
  </si>
  <si>
    <t>23581809</t>
  </si>
  <si>
    <t>23581929</t>
  </si>
  <si>
    <t>23583170</t>
  </si>
  <si>
    <t>23583184</t>
  </si>
  <si>
    <t>23583188</t>
  </si>
  <si>
    <t>23584689</t>
  </si>
  <si>
    <t>23584851</t>
  </si>
  <si>
    <t>23585588</t>
  </si>
  <si>
    <t>23585591</t>
  </si>
  <si>
    <t>23586950</t>
  </si>
  <si>
    <t>23586952</t>
  </si>
  <si>
    <t>23587709</t>
  </si>
  <si>
    <t>23591991</t>
  </si>
  <si>
    <t>23592383</t>
  </si>
  <si>
    <t>23592517</t>
  </si>
  <si>
    <t>23595177</t>
  </si>
  <si>
    <t>23595782</t>
  </si>
  <si>
    <t>23598153</t>
  </si>
  <si>
    <t>23598263</t>
  </si>
  <si>
    <t>23598716</t>
  </si>
  <si>
    <t>23598720</t>
  </si>
  <si>
    <t>23599395</t>
  </si>
  <si>
    <t>23599515</t>
  </si>
  <si>
    <t>23600964</t>
  </si>
  <si>
    <t>23600976</t>
  </si>
  <si>
    <t>23601016</t>
  </si>
  <si>
    <t>23601018</t>
  </si>
  <si>
    <t>23601289</t>
  </si>
  <si>
    <t>23601493</t>
  </si>
  <si>
    <t>23601499</t>
  </si>
  <si>
    <t>23601508</t>
  </si>
  <si>
    <t>23601557</t>
  </si>
  <si>
    <t>23601595</t>
  </si>
  <si>
    <t>23601677</t>
  </si>
  <si>
    <t>23601719</t>
  </si>
  <si>
    <t>23601724</t>
  </si>
  <si>
    <t>23601725</t>
  </si>
  <si>
    <t>23601726</t>
  </si>
  <si>
    <t>23601738</t>
  </si>
  <si>
    <t>23601739</t>
  </si>
  <si>
    <t>23601741</t>
  </si>
  <si>
    <t>23601746</t>
  </si>
  <si>
    <t>23601759</t>
  </si>
  <si>
    <t>23601761</t>
  </si>
  <si>
    <t>23601769</t>
  </si>
  <si>
    <t>23601770</t>
  </si>
  <si>
    <t>23601780</t>
  </si>
  <si>
    <t>23601786</t>
  </si>
  <si>
    <t>23601801</t>
  </si>
  <si>
    <t>23601820</t>
  </si>
  <si>
    <t>23601839</t>
  </si>
  <si>
    <t>23601840</t>
  </si>
  <si>
    <t>23601857</t>
  </si>
  <si>
    <t>23601863</t>
  </si>
  <si>
    <t>23601864</t>
  </si>
  <si>
    <t>23601865</t>
  </si>
  <si>
    <t>23601867</t>
  </si>
  <si>
    <t>23601868</t>
  </si>
  <si>
    <t>23601878</t>
  </si>
  <si>
    <t>23601880</t>
  </si>
  <si>
    <t>23601883</t>
  </si>
  <si>
    <t>23601888</t>
  </si>
  <si>
    <t>23601889</t>
  </si>
  <si>
    <t>23601892</t>
  </si>
  <si>
    <t>23601894</t>
  </si>
  <si>
    <t>23601900</t>
  </si>
  <si>
    <t>23601901</t>
  </si>
  <si>
    <t>23601914</t>
  </si>
  <si>
    <t>23601922</t>
  </si>
  <si>
    <t>23601924</t>
  </si>
  <si>
    <t>23601926</t>
  </si>
  <si>
    <t>23601930</t>
  </si>
  <si>
    <t>23601934</t>
  </si>
  <si>
    <t>23601935</t>
  </si>
  <si>
    <t>23601941</t>
  </si>
  <si>
    <t>23601942</t>
  </si>
  <si>
    <t>23601965</t>
  </si>
  <si>
    <t>23601966</t>
  </si>
  <si>
    <t>23601982</t>
  </si>
  <si>
    <t>23601985</t>
  </si>
  <si>
    <t>23602012</t>
  </si>
  <si>
    <t>23602014</t>
  </si>
  <si>
    <t>23602015</t>
  </si>
  <si>
    <t>23602016</t>
  </si>
  <si>
    <t>23602017</t>
  </si>
  <si>
    <t>23602018</t>
  </si>
  <si>
    <t>23602020</t>
  </si>
  <si>
    <t>23602021</t>
  </si>
  <si>
    <t>23602022</t>
  </si>
  <si>
    <t>23602023</t>
  </si>
  <si>
    <t>23602024</t>
  </si>
  <si>
    <t>23602025</t>
  </si>
  <si>
    <t>23602026</t>
  </si>
  <si>
    <t>23602027</t>
  </si>
  <si>
    <t>23602028</t>
  </si>
  <si>
    <t>23602029</t>
  </si>
  <si>
    <t>23602030</t>
  </si>
  <si>
    <t>23602031</t>
  </si>
  <si>
    <t>23602033</t>
  </si>
  <si>
    <t>23602034</t>
  </si>
  <si>
    <t>23602035</t>
  </si>
  <si>
    <t>23602036</t>
  </si>
  <si>
    <t>23602037</t>
  </si>
  <si>
    <t>23602038</t>
  </si>
  <si>
    <t>23602039</t>
  </si>
  <si>
    <t>23602042</t>
  </si>
  <si>
    <t>23602043</t>
  </si>
  <si>
    <t>23602044</t>
  </si>
  <si>
    <t>23602045</t>
  </si>
  <si>
    <t>23602046</t>
  </si>
  <si>
    <t>23602047</t>
  </si>
  <si>
    <t>23602048</t>
  </si>
  <si>
    <t>23602051</t>
  </si>
  <si>
    <t>23602052</t>
  </si>
  <si>
    <t>23602053</t>
  </si>
  <si>
    <t>23602054</t>
  </si>
  <si>
    <t>23602055</t>
  </si>
  <si>
    <t>23602056</t>
  </si>
  <si>
    <t>23602057</t>
  </si>
  <si>
    <t>23602058</t>
  </si>
  <si>
    <t>23602059</t>
  </si>
  <si>
    <t>23602060</t>
  </si>
  <si>
    <t>23602061</t>
  </si>
  <si>
    <t>23602062</t>
  </si>
  <si>
    <t>23602063</t>
  </si>
  <si>
    <t>23602064</t>
  </si>
  <si>
    <t>23602065</t>
  </si>
  <si>
    <t>23602066</t>
  </si>
  <si>
    <t>23602067</t>
  </si>
  <si>
    <t>23602068</t>
  </si>
  <si>
    <t>23602069</t>
  </si>
  <si>
    <t>23602070</t>
  </si>
  <si>
    <t>23602071</t>
  </si>
  <si>
    <t>23602072</t>
  </si>
  <si>
    <t>23602076</t>
  </si>
  <si>
    <t>23602077</t>
  </si>
  <si>
    <t>23602078</t>
  </si>
  <si>
    <t>23602079</t>
  </si>
  <si>
    <t>23602080</t>
  </si>
  <si>
    <t>23602081</t>
  </si>
  <si>
    <t>23602082</t>
  </si>
  <si>
    <t>23602084</t>
  </si>
  <si>
    <t>23602086</t>
  </si>
  <si>
    <t>23602087</t>
  </si>
  <si>
    <t>23602088</t>
  </si>
  <si>
    <t>23602089</t>
  </si>
  <si>
    <t>23602092</t>
  </si>
  <si>
    <t>23602093</t>
  </si>
  <si>
    <t>23602100</t>
  </si>
  <si>
    <t>23602103</t>
  </si>
  <si>
    <t>23602104</t>
  </si>
  <si>
    <t>23602105</t>
  </si>
  <si>
    <t>23602106</t>
  </si>
  <si>
    <t>23602107</t>
  </si>
  <si>
    <t>23602108</t>
  </si>
  <si>
    <t>23602112</t>
  </si>
  <si>
    <t>23602119</t>
  </si>
  <si>
    <t>23602124</t>
  </si>
  <si>
    <t>23602132</t>
  </si>
  <si>
    <t>23602133</t>
  </si>
  <si>
    <t>23602134</t>
  </si>
  <si>
    <t>23602135</t>
  </si>
  <si>
    <t>23602136</t>
  </si>
  <si>
    <t>23602140</t>
  </si>
  <si>
    <t>23602141</t>
  </si>
  <si>
    <t>23602143</t>
  </si>
  <si>
    <t>23602157</t>
  </si>
  <si>
    <t>23602161</t>
  </si>
  <si>
    <t>23602162</t>
  </si>
  <si>
    <t>23602168</t>
  </si>
  <si>
    <t>23602169</t>
  </si>
  <si>
    <t>23602172</t>
  </si>
  <si>
    <t>23602178</t>
  </si>
  <si>
    <t>23602180</t>
  </si>
  <si>
    <t>23602181</t>
  </si>
  <si>
    <t>23602182</t>
  </si>
  <si>
    <t>23602183</t>
  </si>
  <si>
    <t>23602184</t>
  </si>
  <si>
    <t>23602190</t>
  </si>
  <si>
    <t>23602193</t>
  </si>
  <si>
    <t>23602196</t>
  </si>
  <si>
    <t>23602197</t>
  </si>
  <si>
    <t>23602198</t>
  </si>
  <si>
    <t>23602201</t>
  </si>
  <si>
    <t>23602203</t>
  </si>
  <si>
    <t>23602212</t>
  </si>
  <si>
    <t>23602213</t>
  </si>
  <si>
    <t>23602214</t>
  </si>
  <si>
    <t>23602232</t>
  </si>
  <si>
    <t>23602238</t>
  </si>
  <si>
    <t>23602240</t>
  </si>
  <si>
    <t>23602241</t>
  </si>
  <si>
    <t>23602245</t>
  </si>
  <si>
    <t>23602246</t>
  </si>
  <si>
    <t>23602247</t>
  </si>
  <si>
    <t>23602248</t>
  </si>
  <si>
    <t>23602249</t>
  </si>
  <si>
    <t>23602283</t>
  </si>
  <si>
    <t>23602284</t>
  </si>
  <si>
    <t>23602287</t>
  </si>
  <si>
    <t>23602289</t>
  </si>
  <si>
    <t>23602291</t>
  </si>
  <si>
    <t>23602292</t>
  </si>
  <si>
    <t>23602294</t>
  </si>
  <si>
    <t>23602295</t>
  </si>
  <si>
    <t>23602296</t>
  </si>
  <si>
    <t>23602298</t>
  </si>
  <si>
    <t>23602299</t>
  </si>
  <si>
    <t>23602312</t>
  </si>
  <si>
    <t>23602318</t>
  </si>
  <si>
    <t>23602319</t>
  </si>
  <si>
    <t>23602347</t>
  </si>
  <si>
    <t>23602364</t>
  </si>
  <si>
    <t>23602365</t>
  </si>
  <si>
    <t>23602366</t>
  </si>
  <si>
    <t>23602369</t>
  </si>
  <si>
    <t>23602371</t>
  </si>
  <si>
    <t>23602373</t>
  </si>
  <si>
    <t>23602375</t>
  </si>
  <si>
    <t>23602376</t>
  </si>
  <si>
    <t>23602377</t>
  </si>
  <si>
    <t>23602379</t>
  </si>
  <si>
    <t>23602384</t>
  </si>
  <si>
    <t>23602405</t>
  </si>
  <si>
    <t>23602406</t>
  </si>
  <si>
    <t>23602409</t>
  </si>
  <si>
    <t>23602410</t>
  </si>
  <si>
    <t>23602411</t>
  </si>
  <si>
    <t>23602412</t>
  </si>
  <si>
    <t>23602428</t>
  </si>
  <si>
    <t>23602430</t>
  </si>
  <si>
    <t>23602438</t>
  </si>
  <si>
    <t>23602439</t>
  </si>
  <si>
    <t>23602440</t>
  </si>
  <si>
    <t>23602467</t>
  </si>
  <si>
    <t>23602509</t>
  </si>
  <si>
    <t>23602543</t>
  </si>
  <si>
    <t>23602600</t>
  </si>
  <si>
    <t>23602601</t>
  </si>
  <si>
    <t>23602603</t>
  </si>
  <si>
    <t>23602604</t>
  </si>
  <si>
    <t>23602605</t>
  </si>
  <si>
    <t>23602606</t>
  </si>
  <si>
    <t>23602607</t>
  </si>
  <si>
    <t>23602608</t>
  </si>
  <si>
    <t>23602609</t>
  </si>
  <si>
    <t>23602610</t>
  </si>
  <si>
    <t>23602614</t>
  </si>
  <si>
    <t>23602615</t>
  </si>
  <si>
    <t>23602616</t>
  </si>
  <si>
    <t>23602621</t>
  </si>
  <si>
    <t>23602643</t>
  </si>
  <si>
    <t>23602651</t>
  </si>
  <si>
    <t>23602653</t>
  </si>
  <si>
    <t>23602657</t>
  </si>
  <si>
    <t>23602658</t>
  </si>
  <si>
    <t>23602660</t>
  </si>
  <si>
    <t>23602665</t>
  </si>
  <si>
    <t>23602667</t>
  </si>
  <si>
    <t>23602677</t>
  </si>
  <si>
    <t>23602678</t>
  </si>
  <si>
    <t>23602679</t>
  </si>
  <si>
    <t>23602689</t>
  </si>
  <si>
    <t>23602704</t>
  </si>
  <si>
    <t>23602713</t>
  </si>
  <si>
    <t>23602714</t>
  </si>
  <si>
    <t>23602717</t>
  </si>
  <si>
    <t>23602736</t>
  </si>
  <si>
    <t>23602741</t>
  </si>
  <si>
    <t>23602742</t>
  </si>
  <si>
    <t>23602745</t>
  </si>
  <si>
    <t>23602746</t>
  </si>
  <si>
    <t>23602751</t>
  </si>
  <si>
    <t>23602752</t>
  </si>
  <si>
    <t>23602756</t>
  </si>
  <si>
    <t>23602757</t>
  </si>
  <si>
    <t>23602761</t>
  </si>
  <si>
    <t>23602762</t>
  </si>
  <si>
    <t>23602763</t>
  </si>
  <si>
    <t>23602765</t>
  </si>
  <si>
    <t>23602766</t>
  </si>
  <si>
    <t>23602774</t>
  </si>
  <si>
    <t>23602776</t>
  </si>
  <si>
    <t>23602777</t>
  </si>
  <si>
    <t>23602778</t>
  </si>
  <si>
    <t>23602779</t>
  </si>
  <si>
    <t>23602780</t>
  </si>
  <si>
    <t>23602781</t>
  </si>
  <si>
    <t>23602783</t>
  </si>
  <si>
    <t>23602784</t>
  </si>
  <si>
    <t>23602785</t>
  </si>
  <si>
    <t>23602789</t>
  </si>
  <si>
    <t>23602799</t>
  </si>
  <si>
    <t>23602824</t>
  </si>
  <si>
    <t>23602833</t>
  </si>
  <si>
    <t>23602836</t>
  </si>
  <si>
    <t>23602844</t>
  </si>
  <si>
    <t>23602845</t>
  </si>
  <si>
    <t>23602851</t>
  </si>
  <si>
    <t>23602872</t>
  </si>
  <si>
    <t>23602873</t>
  </si>
  <si>
    <t>23602874</t>
  </si>
  <si>
    <t>23602876</t>
  </si>
  <si>
    <t>23602878</t>
  </si>
  <si>
    <t>23602900</t>
  </si>
  <si>
    <t>23602963</t>
  </si>
  <si>
    <t>23602965</t>
  </si>
  <si>
    <t>23602967</t>
  </si>
  <si>
    <t>23602975</t>
  </si>
  <si>
    <t>23602982</t>
  </si>
  <si>
    <t>23602984</t>
  </si>
  <si>
    <t>23602995</t>
  </si>
  <si>
    <t>23602996</t>
  </si>
  <si>
    <t>23603002</t>
  </si>
  <si>
    <t>23603020</t>
  </si>
  <si>
    <t>23603024</t>
  </si>
  <si>
    <t>23603027</t>
  </si>
  <si>
    <t>23603030</t>
  </si>
  <si>
    <t>23603043</t>
  </si>
  <si>
    <t>23603044</t>
  </si>
  <si>
    <t>23603058</t>
  </si>
  <si>
    <t>23603062</t>
  </si>
  <si>
    <t>23603063</t>
  </si>
  <si>
    <t>23603077</t>
  </si>
  <si>
    <t>23603080</t>
  </si>
  <si>
    <t>23603098</t>
  </si>
  <si>
    <t>23603109</t>
  </si>
  <si>
    <t>23603111</t>
  </si>
  <si>
    <t>23603298</t>
  </si>
  <si>
    <t>23603303</t>
  </si>
  <si>
    <t>23603305</t>
  </si>
  <si>
    <t>23603310</t>
  </si>
  <si>
    <t>23603319</t>
  </si>
  <si>
    <t>23603397</t>
  </si>
  <si>
    <t>23603402</t>
  </si>
  <si>
    <t>23603418</t>
  </si>
  <si>
    <t>23603419</t>
  </si>
  <si>
    <t>23603421</t>
  </si>
  <si>
    <t>23603424</t>
  </si>
  <si>
    <t>23603427</t>
  </si>
  <si>
    <t>23603428</t>
  </si>
  <si>
    <t>23603435</t>
  </si>
  <si>
    <t>23603436</t>
  </si>
  <si>
    <t>23603441</t>
  </si>
  <si>
    <t>23603446</t>
  </si>
  <si>
    <t>23603448</t>
  </si>
  <si>
    <t>23603467</t>
  </si>
  <si>
    <t>23603476</t>
  </si>
  <si>
    <t>23603550</t>
  </si>
  <si>
    <t>23603559</t>
  </si>
  <si>
    <t>23603565</t>
  </si>
  <si>
    <t>23603573</t>
  </si>
  <si>
    <t>23603581</t>
  </si>
  <si>
    <t>23603582</t>
  </si>
  <si>
    <t>23603583</t>
  </si>
  <si>
    <t>23603584</t>
  </si>
  <si>
    <t>23603585</t>
  </si>
  <si>
    <t>23603586</t>
  </si>
  <si>
    <t>23603587</t>
  </si>
  <si>
    <t>23603589</t>
  </si>
  <si>
    <t>23603590</t>
  </si>
  <si>
    <t>23603594</t>
  </si>
  <si>
    <t>23603595</t>
  </si>
  <si>
    <t>23603597</t>
  </si>
  <si>
    <t>23603599</t>
  </si>
  <si>
    <t>23603744</t>
  </si>
  <si>
    <t>22706722</t>
  </si>
  <si>
    <t>17/03/2023 11:41:57</t>
  </si>
  <si>
    <t>2025-11-29 13:17:28</t>
  </si>
  <si>
    <t>CLAUDIA DEL ROSARIO CORREA MORA</t>
  </si>
  <si>
    <t>5335196</t>
  </si>
  <si>
    <t>3207732621</t>
  </si>
  <si>
    <t>RURAL_159054788000000201</t>
  </si>
  <si>
    <t>159054788000000201</t>
  </si>
  <si>
    <t>2025-12-11 13:17:28</t>
  </si>
  <si>
    <t>7 días 13:17</t>
  </si>
  <si>
    <t>161021950000000000</t>
  </si>
  <si>
    <t>23581476</t>
  </si>
  <si>
    <t>05/11/2025 06:46:58</t>
  </si>
  <si>
    <t>2025-12-01 11:11:52</t>
  </si>
  <si>
    <t>MANUEL EDUARDO GARCIA CASTRO</t>
  </si>
  <si>
    <t>3116202148</t>
  </si>
  <si>
    <t>CL 84 A CR 50 A -1</t>
  </si>
  <si>
    <t>078514100100010000</t>
  </si>
  <si>
    <t>2025-12-11 11:11:52</t>
  </si>
  <si>
    <t>-1 días 11:11</t>
  </si>
  <si>
    <t>7 días 11:11</t>
  </si>
  <si>
    <t>23581485</t>
  </si>
  <si>
    <t>05/11/2025 07:00:35</t>
  </si>
  <si>
    <t>2025-12-01 07:11:55</t>
  </si>
  <si>
    <t>FRANK DIEGO FERNANDEZ LOPEZ</t>
  </si>
  <si>
    <t>3122025819</t>
  </si>
  <si>
    <t>DIAG 55 A CL 55 -31</t>
  </si>
  <si>
    <t>055575105000310000</t>
  </si>
  <si>
    <t>2025-12-05 07:11:55</t>
  </si>
  <si>
    <t>-1 días 07:11</t>
  </si>
  <si>
    <t>4 días 07:11</t>
  </si>
  <si>
    <t xml:space="preserve">405 presentar licencia de construcción para válidar la cantidad de instalaciones proyectadas y presentar a interventoría 
Se encuentra gabinete de 20 puestos </t>
  </si>
  <si>
    <t>23584841</t>
  </si>
  <si>
    <t>ENEMOV</t>
  </si>
  <si>
    <t>07/11/2025 12:35:49</t>
  </si>
  <si>
    <t>2025-12-01 09:19:48</t>
  </si>
  <si>
    <t>LUIS FELIPE RUIZ PIEDRAHITA</t>
  </si>
  <si>
    <t>3177996467</t>
  </si>
  <si>
    <t>CR 46 CL 76 SUR -69 (PQ 5379 )</t>
  </si>
  <si>
    <t>017426006000695379</t>
  </si>
  <si>
    <t>Movilidad Eléctrica Metrosur</t>
  </si>
  <si>
    <t>2025-12-11 09:19:48</t>
  </si>
  <si>
    <t>-1 días 09:19</t>
  </si>
  <si>
    <t>7 días 09:19</t>
  </si>
  <si>
    <t>23590002</t>
  </si>
  <si>
    <t>14/11/2025 07:24:47</t>
  </si>
  <si>
    <t>2025-12-01 11:10:35</t>
  </si>
  <si>
    <t>EMPRESA DE SERVICIS PUBLICOS DE SABANETA</t>
  </si>
  <si>
    <t>3215202060</t>
  </si>
  <si>
    <t>CL 75 B SUR CR 40 -20 (INTERIOR 6100 )</t>
  </si>
  <si>
    <t>017415200000206100</t>
  </si>
  <si>
    <t>2025-12-11 11:10:35</t>
  </si>
  <si>
    <t>-1 días 11:10</t>
  </si>
  <si>
    <t>7 días 11:10</t>
  </si>
  <si>
    <t>23602390</t>
  </si>
  <si>
    <t>28/11/2025 10:20:51</t>
  </si>
  <si>
    <t>2025-11-28 10:20:51</t>
  </si>
  <si>
    <t>CAMILO ANGEL MACHADO</t>
  </si>
  <si>
    <t>2669168</t>
  </si>
  <si>
    <t>3166908498</t>
  </si>
  <si>
    <t>PAJARITO 170050100160991</t>
  </si>
  <si>
    <t>000000000000000000</t>
  </si>
  <si>
    <t>2025-12-12 10:20:51</t>
  </si>
  <si>
    <t>1 días 10:20</t>
  </si>
  <si>
    <t>8 días 10:20</t>
  </si>
  <si>
    <t>23602805</t>
  </si>
  <si>
    <t>28/11/2025 13:50:29</t>
  </si>
  <si>
    <t>2025-11-28 13:50:29</t>
  </si>
  <si>
    <t>LINA MARCELA LOPERA PULGARIN</t>
  </si>
  <si>
    <t>CR 53 CL 61 A -47</t>
  </si>
  <si>
    <t>056523001100470000</t>
  </si>
  <si>
    <t>2025-12-12 13:50:29</t>
  </si>
  <si>
    <t>1 días 13:50</t>
  </si>
  <si>
    <t>8 días 13:50</t>
  </si>
  <si>
    <t>23602826</t>
  </si>
  <si>
    <t>28/11/2025 14:06:53</t>
  </si>
  <si>
    <t>2025-11-28 14:06:53</t>
  </si>
  <si>
    <t>LINA MARIA MARTINEZ QUINTERO</t>
  </si>
  <si>
    <t>3226267656</t>
  </si>
  <si>
    <t>CL 52 CR 5 -27</t>
  </si>
  <si>
    <t>055012005000270000</t>
  </si>
  <si>
    <t>2025-12-12 14:06:53</t>
  </si>
  <si>
    <t>1 días 14:06</t>
  </si>
  <si>
    <t>8 días 14:06</t>
  </si>
  <si>
    <t>23602888</t>
  </si>
  <si>
    <t>28/11/2025 14:33:28</t>
  </si>
  <si>
    <t>2025-11-28 14:33:28</t>
  </si>
  <si>
    <t>SANDRA JANETH FLOREZ VELEZ</t>
  </si>
  <si>
    <t>3127811408</t>
  </si>
  <si>
    <t>CR 14 A CL 49 -20 (INTERIOR 301 )</t>
  </si>
  <si>
    <t>054124109000200301</t>
  </si>
  <si>
    <t>2025-12-12 14:33:28</t>
  </si>
  <si>
    <t>8 días 14:33</t>
  </si>
  <si>
    <t>23602905</t>
  </si>
  <si>
    <t>28/11/2025 14:48:32</t>
  </si>
  <si>
    <t>2025-11-28 14:48:32</t>
  </si>
  <si>
    <t>LAURA NATALLY MUÑOZ GUARIN</t>
  </si>
  <si>
    <t>2025-12-12 14:48:32</t>
  </si>
  <si>
    <t>8 días 14:48</t>
  </si>
  <si>
    <t>23603029</t>
  </si>
  <si>
    <t>28/11/2025 16:09:16</t>
  </si>
  <si>
    <t>2025-11-28 16:09:16</t>
  </si>
  <si>
    <t>DIANA PATRICIA SALAZAR PANESSO</t>
  </si>
  <si>
    <t>4216976</t>
  </si>
  <si>
    <t>CR 87 CL 58 CC -90</t>
  </si>
  <si>
    <t>055827008330900000</t>
  </si>
  <si>
    <t>2025-12-12 16:09:16</t>
  </si>
  <si>
    <t>1 días 16:09</t>
  </si>
  <si>
    <t>8 días 16:09</t>
  </si>
  <si>
    <t>23603093</t>
  </si>
  <si>
    <t>28/11/2025 17:19:12</t>
  </si>
  <si>
    <t>2025-11-28 17:19:12</t>
  </si>
  <si>
    <t>JOSE RAMIRO GOMEZ ARANGO</t>
  </si>
  <si>
    <t>5047939</t>
  </si>
  <si>
    <t>3138259843</t>
  </si>
  <si>
    <t>CL 49 CR 99 -49</t>
  </si>
  <si>
    <t>054919009000490000</t>
  </si>
  <si>
    <t>2025-12-12 17:19:12</t>
  </si>
  <si>
    <t>1 días 17:19</t>
  </si>
  <si>
    <t>8 días 17:19</t>
  </si>
  <si>
    <t>23603454</t>
  </si>
  <si>
    <t>29/11/2025 11:11:16</t>
  </si>
  <si>
    <t>2025-11-29 11:11:16</t>
  </si>
  <si>
    <t>DIANA PATRICIA TILANO CASTAÑEDA</t>
  </si>
  <si>
    <t>2868126</t>
  </si>
  <si>
    <t>3186206816</t>
  </si>
  <si>
    <t>CL 54 SUR CR 62 D -11</t>
  </si>
  <si>
    <t>045614002400110000</t>
  </si>
  <si>
    <t>2025-12-12 11:11:16</t>
  </si>
  <si>
    <t>1 días 11:11</t>
  </si>
  <si>
    <t>8 días 11:11</t>
  </si>
  <si>
    <t>23603635</t>
  </si>
  <si>
    <t>29/11/2025 22:12:07</t>
  </si>
  <si>
    <t>2025-11-29 22:12:07</t>
  </si>
  <si>
    <t>ANA AYDE CHAVERRA CORDOBA</t>
  </si>
  <si>
    <t>3235620711</t>
  </si>
  <si>
    <t>CR 103 B CL 60 C -43</t>
  </si>
  <si>
    <t>086023200300430000</t>
  </si>
  <si>
    <t>2025-12-12 22:12:07</t>
  </si>
  <si>
    <t>1 días 22:12</t>
  </si>
  <si>
    <t>8 días 22:12</t>
  </si>
  <si>
    <t>23603758</t>
  </si>
  <si>
    <t>30/11/2025 13:56:46</t>
  </si>
  <si>
    <t>2025-11-30 13:56:46</t>
  </si>
  <si>
    <t>LUIS FERNANDO CORREA FLOREZ</t>
  </si>
  <si>
    <t>3207371319</t>
  </si>
  <si>
    <t>CL 36 B SUR CR 79 -17</t>
  </si>
  <si>
    <t>043716209000170000</t>
  </si>
  <si>
    <t>2025-12-12 13:56:46</t>
  </si>
  <si>
    <t>0 días 13:56</t>
  </si>
  <si>
    <t>8 días 13:56</t>
  </si>
  <si>
    <t>23603764</t>
  </si>
  <si>
    <t>30/11/2025 16:48:06</t>
  </si>
  <si>
    <t>2025-11-30 16:48:06</t>
  </si>
  <si>
    <t>ELIDA DEL CARMEN RESTAM CUITIVA</t>
  </si>
  <si>
    <t>3576111</t>
  </si>
  <si>
    <t>3225619389</t>
  </si>
  <si>
    <t>CR 103 B CL 60 C -37</t>
  </si>
  <si>
    <t>086023200300370000</t>
  </si>
  <si>
    <t>2025-12-12 16:48:06</t>
  </si>
  <si>
    <t>0 días 16:48</t>
  </si>
  <si>
    <t>8 días 16:48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</si>
</sst>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b/>
      <sz val="22"/>
      <color theme="0"/>
      <name val="Segoe UI"/>
      <family val="2"/>
    </font>
    <font>
      <sz val="11"/>
      <color rgb="FFCE9178"/>
      <name val="Consolas"/>
      <family val="3"/>
    </font>
    <font>
      <b/>
      <sz val="12"/>
      <color theme="1"/>
      <name val="Segoe UI"/>
      <family val="2"/>
    </font>
    <font>
      <sz val="12"/>
      <color theme="1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name val="Calibri"/>
      <family val="2"/>
    </font>
    <font>
      <b/>
      <sz val="12"/>
      <color theme="0"/>
      <name val="Aptos Narrow"/>
      <family val="2"/>
      <scheme val="minor"/>
    </font>
    <font>
      <b/>
      <u/>
      <sz val="20"/>
      <color theme="1"/>
      <name val="Segoe UI"/>
      <family val="2"/>
    </font>
    <font>
      <sz val="8"/>
      <name val="Aptos Narrow"/>
      <family val="2"/>
      <scheme val="minor"/>
    </font>
    <font>
      <b/>
      <sz val="1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D9D9D9"/>
        <bgColor rgb="FFD9D9D9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FFFF00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0" fillId="3" borderId="0" xfId="0" applyFill="1"/>
    <xf numFmtId="0" fontId="5" fillId="3" borderId="0" xfId="0" applyFont="1" applyFill="1"/>
    <xf numFmtId="0" fontId="5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3" fillId="3" borderId="0" xfId="0" applyFont="1" applyFill="1" applyAlignment="1">
      <alignment horizontal="right"/>
    </xf>
    <xf numFmtId="0" fontId="4" fillId="3" borderId="0" xfId="0" applyFont="1" applyFill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2" fillId="3" borderId="0" xfId="0" applyFont="1" applyFill="1" applyAlignment="1">
      <alignment vertical="center"/>
    </xf>
    <xf numFmtId="0" fontId="7" fillId="3" borderId="0" xfId="0" applyFont="1" applyFill="1"/>
    <xf numFmtId="0" fontId="0" fillId="5" borderId="0" xfId="0" applyFill="1"/>
    <xf numFmtId="0" fontId="6" fillId="2" borderId="2" xfId="0" applyFont="1" applyFill="1" applyBorder="1" applyAlignment="1">
      <alignment horizontal="center" vertical="top"/>
    </xf>
    <xf numFmtId="0" fontId="10" fillId="6" borderId="1" xfId="0" applyFont="1" applyFill="1" applyBorder="1" applyAlignment="1">
      <alignment horizontal="center" vertical="top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/>
    <xf numFmtId="0" fontId="1" fillId="4" borderId="0" xfId="0" applyFont="1" applyFill="1" applyAlignment="1">
      <alignment horizontal="center" vertical="center"/>
    </xf>
    <xf numFmtId="0" fontId="0" fillId="4" borderId="0" xfId="0" applyFill="1" applyAlignment="1">
      <alignment vertical="center"/>
    </xf>
    <xf numFmtId="0" fontId="8" fillId="3" borderId="0" xfId="0" applyFont="1" applyFill="1" applyAlignment="1">
      <alignment horizontal="right" vertical="center"/>
    </xf>
    <xf numFmtId="0" fontId="0" fillId="0" borderId="0" xfId="0" applyNumberFormat="1"/>
    <xf numFmtId="0" fontId="6" fillId="3" borderId="0" xfId="0" applyFont="1" applyFill="1" applyBorder="1" applyAlignment="1">
      <alignment horizontal="center" vertical="top"/>
    </xf>
    <xf numFmtId="22" fontId="6" fillId="3" borderId="0" xfId="0" applyNumberFormat="1" applyFont="1" applyFill="1" applyBorder="1" applyAlignment="1">
      <alignment horizontal="center" vertical="top"/>
    </xf>
  </cellXfs>
  <cellStyles count="1">
    <cellStyle name="Normal" xfId="0" builtinId="0"/>
  </cellStyles>
  <dxfs count="62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 patternType="solid">
          <fgColor rgb="FF7030A0"/>
          <bgColor rgb="FF7030A0"/>
        </patternFill>
      </fill>
    </dxf>
    <dxf>
      <fill>
        <patternFill patternType="solid">
          <fgColor rgb="FF8FAADC"/>
          <bgColor rgb="FF8FAAD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ont>
        <color rgb="FFFFFFFF"/>
      </font>
      <fill>
        <patternFill patternType="solid">
          <fgColor rgb="FFFFA500"/>
          <bgColor rgb="FFFFA5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7F6000"/>
      </font>
      <fill>
        <patternFill patternType="solid">
          <fgColor rgb="FFFFF2CC"/>
          <bgColor rgb="FFFFF2CC"/>
        </patternFill>
      </fill>
    </dxf>
    <dxf>
      <font>
        <color rgb="FF006100"/>
      </font>
      <fill>
        <patternFill patternType="solid">
          <fgColor rgb="FF92D050"/>
          <bgColor rgb="FF92D050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rgb="FF404040"/>
      </font>
      <fill>
        <patternFill patternType="solid">
          <fgColor rgb="FFD9D9D9"/>
          <bgColor rgb="FFD9D9D9"/>
        </patternFill>
      </fill>
    </dxf>
    <dxf>
      <font>
        <color rgb="FF7F6000"/>
      </font>
      <fill>
        <patternFill patternType="solid">
          <fgColor rgb="FFFFD966"/>
          <bgColor rgb="FFFFD966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F200"/>
          <bgColor rgb="FFFFF200"/>
        </patternFill>
      </fill>
    </dxf>
    <dxf>
      <fill>
        <patternFill patternType="solid">
          <fgColor rgb="FFFFA500"/>
          <bgColor rgb="FFFFA5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7030A0"/>
          <bgColor rgb="FF7030A0"/>
        </patternFill>
      </fill>
    </dxf>
    <dxf>
      <fill>
        <patternFill patternType="solid">
          <fgColor rgb="FF8FAADC"/>
          <bgColor rgb="FF8FAAD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ont>
        <color rgb="FFFFFFFF"/>
      </font>
      <fill>
        <patternFill patternType="solid">
          <fgColor rgb="FFFFA500"/>
          <bgColor rgb="FFFFA5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7F6000"/>
      </font>
      <fill>
        <patternFill patternType="solid">
          <fgColor rgb="FFFFF2CC"/>
          <bgColor rgb="FFFFF2CC"/>
        </patternFill>
      </fill>
    </dxf>
    <dxf>
      <font>
        <color rgb="FF006100"/>
      </font>
      <fill>
        <patternFill patternType="solid">
          <fgColor rgb="FF92D050"/>
          <bgColor rgb="FF92D050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rgb="FF404040"/>
      </font>
      <fill>
        <patternFill patternType="solid">
          <fgColor rgb="FFD9D9D9"/>
          <bgColor rgb="FFD9D9D9"/>
        </patternFill>
      </fill>
    </dxf>
    <dxf>
      <font>
        <color rgb="FF7F6000"/>
      </font>
      <fill>
        <patternFill patternType="solid">
          <fgColor rgb="FFFFD966"/>
          <bgColor rgb="FFFFD966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F200"/>
          <bgColor rgb="FFFFF200"/>
        </patternFill>
      </fill>
    </dxf>
    <dxf>
      <fill>
        <patternFill patternType="solid">
          <fgColor rgb="FFFFA500"/>
          <bgColor rgb="FFFFA500"/>
        </patternFill>
      </fill>
    </dxf>
    <dxf>
      <fill>
        <patternFill patternType="solid">
          <fgColor rgb="FFFF000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border outline="0">
        <top style="thin">
          <color auto="1"/>
        </top>
      </border>
    </dxf>
    <dxf>
      <fill>
        <patternFill patternType="solid">
          <fgColor indexed="64"/>
          <bgColor theme="2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9D9D9"/>
          <bgColor rgb="FFD9D9D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microsoft.com/office/2007/relationships/slicerCache" Target="slicerCaches/slicerCache5.xml"/><Relationship Id="rId4" Type="http://schemas.openxmlformats.org/officeDocument/2006/relationships/worksheet" Target="worksheets/sheet4.xml"/><Relationship Id="rId9" Type="http://schemas.microsoft.com/office/2007/relationships/slicerCache" Target="slicerCaches/slicerCache4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[Plantilla.xlsm]TD!TablaDinámica1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Cantidad</a:t>
            </a:r>
            <a:r>
              <a:rPr lang="en-US" b="1" baseline="0">
                <a:solidFill>
                  <a:sysClr val="windowText" lastClr="000000"/>
                </a:solidFill>
              </a:rPr>
              <a:t> Pedidos por Estado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</c:pivotFmt>
      <c:pivotFmt>
        <c:idx val="2"/>
        <c:spPr>
          <a:solidFill>
            <a:srgbClr val="FFFF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</c:pivotFmt>
      <c:pivotFmt>
        <c:idx val="6"/>
        <c:spPr>
          <a:solidFill>
            <a:srgbClr val="FFFF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</c:pivotFmt>
      <c:pivotFmt>
        <c:idx val="10"/>
        <c:spPr>
          <a:solidFill>
            <a:srgbClr val="FFFF00"/>
          </a:solidFill>
          <a:ln>
            <a:noFill/>
          </a:ln>
          <a:effectLst/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0ED-421A-BDA2-BCCD13C7FDC8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0ED-421A-BDA2-BCCD13C7FDC8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0ED-421A-BDA2-BCCD13C7FDC8}"/>
              </c:ext>
            </c:extLst>
          </c:dPt>
          <c:dPt>
            <c:idx val="4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5FAF-441E-9C1C-AB9D8627D2D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TD!$A$4:$A$9</c:f>
              <c:strCache>
                <c:ptCount val="5"/>
                <c:pt idx="0">
                  <c:v>A TIEMPO</c:v>
                </c:pt>
                <c:pt idx="1">
                  <c:v>ALERTA</c:v>
                </c:pt>
                <c:pt idx="2">
                  <c:v>VENCIDO</c:v>
                </c:pt>
                <c:pt idx="3">
                  <c:v>SIN FECHA</c:v>
                </c:pt>
                <c:pt idx="4">
                  <c:v>ALERTA_0 Días</c:v>
                </c:pt>
              </c:strCache>
            </c:strRef>
          </c:cat>
          <c:val>
            <c:numRef>
              <c:f>TD!$B$4:$B$9</c:f>
              <c:numCache>
                <c:formatCode>General</c:formatCode>
                <c:ptCount val="5"/>
                <c:pt idx="0">
                  <c:v>884</c:v>
                </c:pt>
                <c:pt idx="1">
                  <c:v>279</c:v>
                </c:pt>
                <c:pt idx="2">
                  <c:v>106</c:v>
                </c:pt>
                <c:pt idx="3">
                  <c:v>1</c:v>
                </c:pt>
                <c:pt idx="4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ED-421A-BDA2-BCCD13C7F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612815"/>
        <c:axId val="275595535"/>
      </c:barChart>
      <c:catAx>
        <c:axId val="275612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75595535"/>
        <c:crosses val="autoZero"/>
        <c:auto val="1"/>
        <c:lblAlgn val="ctr"/>
        <c:lblOffset val="100"/>
        <c:noMultiLvlLbl val="0"/>
      </c:catAx>
      <c:valAx>
        <c:axId val="27559553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75612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[Plantilla.xlsm]TD!TablaDinámica2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Distribución de Pedidos por Estado (%)</a:t>
            </a:r>
          </a:p>
        </c:rich>
      </c:tx>
      <c:layout>
        <c:manualLayout>
          <c:xMode val="edge"/>
          <c:yMode val="edge"/>
          <c:x val="0.21541666666666667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TD!$F$3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70A-4DD4-92B2-BA98BCE01B81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70A-4DD4-92B2-BA98BCE01B81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70A-4DD4-92B2-BA98BCE01B8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DC8-4433-96F3-EF92F855A85D}"/>
              </c:ext>
            </c:extLst>
          </c:dPt>
          <c:dPt>
            <c:idx val="4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831C-4228-9DFA-EE9A429BFD2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TD!$E$4:$E$9</c:f>
              <c:strCache>
                <c:ptCount val="5"/>
                <c:pt idx="0">
                  <c:v>A TIEMPO</c:v>
                </c:pt>
                <c:pt idx="1">
                  <c:v>ALERTA</c:v>
                </c:pt>
                <c:pt idx="2">
                  <c:v>VENCIDO</c:v>
                </c:pt>
                <c:pt idx="3">
                  <c:v>SIN FECHA</c:v>
                </c:pt>
                <c:pt idx="4">
                  <c:v>ALERTA_0 Días</c:v>
                </c:pt>
              </c:strCache>
            </c:strRef>
          </c:cat>
          <c:val>
            <c:numRef>
              <c:f>TD!$F$4:$F$9</c:f>
              <c:numCache>
                <c:formatCode>0.00%</c:formatCode>
                <c:ptCount val="5"/>
                <c:pt idx="0">
                  <c:v>0.67947732513451187</c:v>
                </c:pt>
                <c:pt idx="1">
                  <c:v>0.21445042275172943</c:v>
                </c:pt>
                <c:pt idx="2">
                  <c:v>8.1475787855495779E-2</c:v>
                </c:pt>
                <c:pt idx="3">
                  <c:v>7.6863950807071484E-4</c:v>
                </c:pt>
                <c:pt idx="4">
                  <c:v>2.3827824750192159E-2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70A-4DD4-92B2-BA98BCE01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24091</xdr:colOff>
      <xdr:row>2</xdr:row>
      <xdr:rowOff>56030</xdr:rowOff>
    </xdr:from>
    <xdr:to>
      <xdr:col>3</xdr:col>
      <xdr:colOff>896469</xdr:colOff>
      <xdr:row>3</xdr:row>
      <xdr:rowOff>257735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2574491-C4E1-F28E-BEA8-EAFA60CE7B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444" y="795618"/>
          <a:ext cx="3528172" cy="739588"/>
        </a:xfrm>
        <a:prstGeom prst="rect">
          <a:avLst/>
        </a:prstGeom>
      </xdr:spPr>
    </xdr:pic>
    <xdr:clientData/>
  </xdr:twoCellAnchor>
  <xdr:twoCellAnchor>
    <xdr:from>
      <xdr:col>2</xdr:col>
      <xdr:colOff>86287</xdr:colOff>
      <xdr:row>6</xdr:row>
      <xdr:rowOff>179294</xdr:rowOff>
    </xdr:from>
    <xdr:to>
      <xdr:col>3</xdr:col>
      <xdr:colOff>75080</xdr:colOff>
      <xdr:row>8</xdr:row>
      <xdr:rowOff>56030</xdr:rowOff>
    </xdr:to>
    <xdr:sp macro="" textlink="TD!K8">
      <xdr:nvSpPr>
        <xdr:cNvPr id="4" name="Rectángulo: esquinas redondeadas 3">
          <a:extLst>
            <a:ext uri="{FF2B5EF4-FFF2-40B4-BE49-F238E27FC236}">
              <a16:creationId xmlns:a16="http://schemas.microsoft.com/office/drawing/2014/main" id="{EC63C455-BCC3-40ED-30FE-70976D2C4E22}"/>
            </a:ext>
          </a:extLst>
        </xdr:cNvPr>
        <xdr:cNvSpPr/>
      </xdr:nvSpPr>
      <xdr:spPr>
        <a:xfrm>
          <a:off x="2260228" y="2028265"/>
          <a:ext cx="1176617" cy="291353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3BFE91B-95DB-41F2-AE3E-74DF7677CE28}" type="TxLink">
            <a:rPr lang="en-US" sz="1800" b="1" i="0" u="none" strike="noStrike">
              <a:solidFill>
                <a:srgbClr val="000000"/>
              </a:solidFill>
              <a:latin typeface="Aptos Narrow"/>
            </a:rPr>
            <a:pPr algn="ctr"/>
            <a:t>1301</a:t>
          </a:fld>
          <a:endParaRPr lang="es-CO" sz="1800" b="1"/>
        </a:p>
      </xdr:txBody>
    </xdr:sp>
    <xdr:clientData/>
  </xdr:twoCellAnchor>
  <xdr:twoCellAnchor>
    <xdr:from>
      <xdr:col>2</xdr:col>
      <xdr:colOff>86287</xdr:colOff>
      <xdr:row>8</xdr:row>
      <xdr:rowOff>197224</xdr:rowOff>
    </xdr:from>
    <xdr:to>
      <xdr:col>3</xdr:col>
      <xdr:colOff>75080</xdr:colOff>
      <xdr:row>10</xdr:row>
      <xdr:rowOff>62753</xdr:rowOff>
    </xdr:to>
    <xdr:sp macro="" textlink="TD!K5">
      <xdr:nvSpPr>
        <xdr:cNvPr id="5" name="Rectángulo: esquinas redondeadas 4">
          <a:extLst>
            <a:ext uri="{FF2B5EF4-FFF2-40B4-BE49-F238E27FC236}">
              <a16:creationId xmlns:a16="http://schemas.microsoft.com/office/drawing/2014/main" id="{518441E8-7E70-4791-B6C0-5DBFA7A8CF84}"/>
            </a:ext>
          </a:extLst>
        </xdr:cNvPr>
        <xdr:cNvSpPr/>
      </xdr:nvSpPr>
      <xdr:spPr>
        <a:xfrm>
          <a:off x="2260228" y="2460812"/>
          <a:ext cx="1176617" cy="291353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A8958B2-C56D-4E93-ABA1-05129AB0C02C}" type="TxLink">
            <a:rPr lang="en-US" sz="1800" b="1" i="0" u="none" strike="noStrike">
              <a:solidFill>
                <a:srgbClr val="000000"/>
              </a:solidFill>
              <a:latin typeface="Aptos Narrow"/>
            </a:rPr>
            <a:pPr algn="ctr"/>
            <a:t>884</a:t>
          </a:fld>
          <a:endParaRPr lang="es-CO" sz="1800" b="1"/>
        </a:p>
      </xdr:txBody>
    </xdr:sp>
    <xdr:clientData/>
  </xdr:twoCellAnchor>
  <xdr:twoCellAnchor>
    <xdr:from>
      <xdr:col>2</xdr:col>
      <xdr:colOff>86287</xdr:colOff>
      <xdr:row>11</xdr:row>
      <xdr:rowOff>2241</xdr:rowOff>
    </xdr:from>
    <xdr:to>
      <xdr:col>3</xdr:col>
      <xdr:colOff>75080</xdr:colOff>
      <xdr:row>12</xdr:row>
      <xdr:rowOff>69477</xdr:rowOff>
    </xdr:to>
    <xdr:sp macro="" textlink="TD!K4">
      <xdr:nvSpPr>
        <xdr:cNvPr id="6" name="Rectángulo: esquinas redondeadas 5">
          <a:extLst>
            <a:ext uri="{FF2B5EF4-FFF2-40B4-BE49-F238E27FC236}">
              <a16:creationId xmlns:a16="http://schemas.microsoft.com/office/drawing/2014/main" id="{84A649A3-F046-4AAC-B43A-2C8360F688E7}"/>
            </a:ext>
          </a:extLst>
        </xdr:cNvPr>
        <xdr:cNvSpPr/>
      </xdr:nvSpPr>
      <xdr:spPr>
        <a:xfrm>
          <a:off x="2260228" y="2893359"/>
          <a:ext cx="1176617" cy="291353"/>
        </a:xfrm>
        <a:prstGeom prst="round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7930881-6C21-48B6-8A79-534422E83001}" type="TxLink">
            <a:rPr lang="en-US" sz="1800" b="1" i="0" u="none" strike="noStrike">
              <a:solidFill>
                <a:srgbClr val="000000"/>
              </a:solidFill>
              <a:latin typeface="Aptos Narrow"/>
            </a:rPr>
            <a:pPr algn="ctr"/>
            <a:t>279</a:t>
          </a:fld>
          <a:endParaRPr lang="es-CO" sz="1800" b="1"/>
        </a:p>
      </xdr:txBody>
    </xdr:sp>
    <xdr:clientData/>
  </xdr:twoCellAnchor>
  <xdr:twoCellAnchor>
    <xdr:from>
      <xdr:col>2</xdr:col>
      <xdr:colOff>86287</xdr:colOff>
      <xdr:row>13</xdr:row>
      <xdr:rowOff>20171</xdr:rowOff>
    </xdr:from>
    <xdr:to>
      <xdr:col>3</xdr:col>
      <xdr:colOff>75080</xdr:colOff>
      <xdr:row>14</xdr:row>
      <xdr:rowOff>87406</xdr:rowOff>
    </xdr:to>
    <xdr:sp macro="" textlink="TD!K3">
      <xdr:nvSpPr>
        <xdr:cNvPr id="7" name="Rectángulo: esquinas redondeadas 6">
          <a:extLst>
            <a:ext uri="{FF2B5EF4-FFF2-40B4-BE49-F238E27FC236}">
              <a16:creationId xmlns:a16="http://schemas.microsoft.com/office/drawing/2014/main" id="{7857874F-BA48-408F-AA32-9013FEB37732}"/>
            </a:ext>
          </a:extLst>
        </xdr:cNvPr>
        <xdr:cNvSpPr/>
      </xdr:nvSpPr>
      <xdr:spPr>
        <a:xfrm>
          <a:off x="2260228" y="3337112"/>
          <a:ext cx="1176617" cy="291353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5BB2E55-87BC-4B7A-9B4E-EC32DA017C2E}" type="TxLink">
            <a:rPr lang="en-US" sz="1800" b="1" i="0" u="none" strike="noStrike">
              <a:solidFill>
                <a:srgbClr val="000000"/>
              </a:solidFill>
              <a:latin typeface="Aptos Narrow"/>
            </a:rPr>
            <a:pPr algn="ctr"/>
            <a:t>106</a:t>
          </a:fld>
          <a:endParaRPr lang="es-CO" sz="1800" b="1"/>
        </a:p>
      </xdr:txBody>
    </xdr:sp>
    <xdr:clientData/>
  </xdr:twoCellAnchor>
  <xdr:twoCellAnchor>
    <xdr:from>
      <xdr:col>2</xdr:col>
      <xdr:colOff>86287</xdr:colOff>
      <xdr:row>15</xdr:row>
      <xdr:rowOff>4482</xdr:rowOff>
    </xdr:from>
    <xdr:to>
      <xdr:col>3</xdr:col>
      <xdr:colOff>75080</xdr:colOff>
      <xdr:row>16</xdr:row>
      <xdr:rowOff>71718</xdr:rowOff>
    </xdr:to>
    <xdr:sp macro="" textlink="TD!K6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9667D1A-B452-4230-BB57-B632AB0CEDC9}"/>
            </a:ext>
          </a:extLst>
        </xdr:cNvPr>
        <xdr:cNvSpPr/>
      </xdr:nvSpPr>
      <xdr:spPr>
        <a:xfrm>
          <a:off x="2260228" y="3747247"/>
          <a:ext cx="1176617" cy="291353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9AEC048-8F96-404E-9625-550D8C21FFF2}" type="TxLink">
            <a:rPr lang="en-US" sz="1800" b="1" i="0" u="none" strike="noStrike">
              <a:solidFill>
                <a:srgbClr val="000000"/>
              </a:solidFill>
              <a:latin typeface="Aptos Narrow"/>
            </a:rPr>
            <a:pPr algn="ctr"/>
            <a:t>31</a:t>
          </a:fld>
          <a:endParaRPr lang="es-CO" sz="1800" b="1"/>
        </a:p>
      </xdr:txBody>
    </xdr:sp>
    <xdr:clientData/>
  </xdr:twoCellAnchor>
  <xdr:twoCellAnchor>
    <xdr:from>
      <xdr:col>2</xdr:col>
      <xdr:colOff>86287</xdr:colOff>
      <xdr:row>16</xdr:row>
      <xdr:rowOff>179294</xdr:rowOff>
    </xdr:from>
    <xdr:to>
      <xdr:col>3</xdr:col>
      <xdr:colOff>75080</xdr:colOff>
      <xdr:row>18</xdr:row>
      <xdr:rowOff>44823</xdr:rowOff>
    </xdr:to>
    <xdr:sp macro="" textlink="TD!K7">
      <xdr:nvSpPr>
        <xdr:cNvPr id="9" name="Rectángulo: esquinas redondeadas 8">
          <a:extLst>
            <a:ext uri="{FF2B5EF4-FFF2-40B4-BE49-F238E27FC236}">
              <a16:creationId xmlns:a16="http://schemas.microsoft.com/office/drawing/2014/main" id="{8237445D-2FCA-4D03-A072-B092E178BCC6}"/>
            </a:ext>
          </a:extLst>
        </xdr:cNvPr>
        <xdr:cNvSpPr/>
      </xdr:nvSpPr>
      <xdr:spPr>
        <a:xfrm>
          <a:off x="2260228" y="4146176"/>
          <a:ext cx="1176617" cy="291353"/>
        </a:xfrm>
        <a:prstGeom prst="round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63EB282-7772-4EC4-9384-E41F147FC076}" type="TxLink">
            <a:rPr lang="en-US" sz="1800" b="1" i="0" u="none" strike="noStrike">
              <a:solidFill>
                <a:srgbClr val="000000"/>
              </a:solidFill>
              <a:latin typeface="Aptos Narrow"/>
            </a:rPr>
            <a:pPr algn="ctr"/>
            <a:t>1</a:t>
          </a:fld>
          <a:endParaRPr lang="es-CO" sz="1800" b="1"/>
        </a:p>
      </xdr:txBody>
    </xdr:sp>
    <xdr:clientData/>
  </xdr:twoCellAnchor>
  <xdr:twoCellAnchor>
    <xdr:from>
      <xdr:col>3</xdr:col>
      <xdr:colOff>840441</xdr:colOff>
      <xdr:row>5</xdr:row>
      <xdr:rowOff>392206</xdr:rowOff>
    </xdr:from>
    <xdr:to>
      <xdr:col>7</xdr:col>
      <xdr:colOff>549088</xdr:colOff>
      <xdr:row>18</xdr:row>
      <xdr:rowOff>177053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CBAFF9AD-305C-4E7C-9E43-3E4AA51643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997324</xdr:colOff>
      <xdr:row>6</xdr:row>
      <xdr:rowOff>0</xdr:rowOff>
    </xdr:from>
    <xdr:to>
      <xdr:col>12</xdr:col>
      <xdr:colOff>0</xdr:colOff>
      <xdr:row>18</xdr:row>
      <xdr:rowOff>199465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91D11040-0657-4578-B65E-EC97392F8D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941294</xdr:colOff>
      <xdr:row>2</xdr:row>
      <xdr:rowOff>44824</xdr:rowOff>
    </xdr:from>
    <xdr:to>
      <xdr:col>5</xdr:col>
      <xdr:colOff>259976</xdr:colOff>
      <xdr:row>5</xdr:row>
      <xdr:rowOff>324969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TIPO_DIRECCION">
              <a:extLst>
                <a:ext uri="{FF2B5EF4-FFF2-40B4-BE49-F238E27FC236}">
                  <a16:creationId xmlns:a16="http://schemas.microsoft.com/office/drawing/2014/main" id="{8E3F7403-E56C-49D1-8B8F-4AE576C977A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_DIREC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88441" y="784412"/>
              <a:ext cx="1828800" cy="16472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661148</xdr:colOff>
      <xdr:row>2</xdr:row>
      <xdr:rowOff>56030</xdr:rowOff>
    </xdr:from>
    <xdr:to>
      <xdr:col>11</xdr:col>
      <xdr:colOff>1221442</xdr:colOff>
      <xdr:row>5</xdr:row>
      <xdr:rowOff>358588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ACTIVIDAD">
              <a:extLst>
                <a:ext uri="{FF2B5EF4-FFF2-40B4-BE49-F238E27FC236}">
                  <a16:creationId xmlns:a16="http://schemas.microsoft.com/office/drawing/2014/main" id="{E42B0FD7-CEA8-43C5-AA5E-D970A5606EE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CTIVI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50824" y="795618"/>
              <a:ext cx="4000500" cy="16696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302558</xdr:colOff>
      <xdr:row>2</xdr:row>
      <xdr:rowOff>56030</xdr:rowOff>
    </xdr:from>
    <xdr:to>
      <xdr:col>8</xdr:col>
      <xdr:colOff>537882</xdr:colOff>
      <xdr:row>5</xdr:row>
      <xdr:rowOff>324970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MUNICIPIO">
              <a:extLst>
                <a:ext uri="{FF2B5EF4-FFF2-40B4-BE49-F238E27FC236}">
                  <a16:creationId xmlns:a16="http://schemas.microsoft.com/office/drawing/2014/main" id="{F5B4B228-E140-431F-90F5-D3D6AB783A6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59823" y="795618"/>
              <a:ext cx="4067735" cy="163605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44822</xdr:colOff>
      <xdr:row>3</xdr:row>
      <xdr:rowOff>347382</xdr:rowOff>
    </xdr:from>
    <xdr:to>
      <xdr:col>3</xdr:col>
      <xdr:colOff>885264</xdr:colOff>
      <xdr:row>5</xdr:row>
      <xdr:rowOff>392205</xdr:rowOff>
    </xdr:to>
    <xdr:pic macro="[0]!GenerarMapaANS_Excel">
      <xdr:nvPicPr>
        <xdr:cNvPr id="24" name="Imagen 23">
          <a:extLst>
            <a:ext uri="{FF2B5EF4-FFF2-40B4-BE49-F238E27FC236}">
              <a16:creationId xmlns:a16="http://schemas.microsoft.com/office/drawing/2014/main" id="{5E68BC2F-CFBC-0A26-6E5C-2818A769B3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175" y="1624853"/>
          <a:ext cx="3496236" cy="8740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11206</xdr:colOff>
      <xdr:row>0</xdr:row>
      <xdr:rowOff>56029</xdr:rowOff>
    </xdr:from>
    <xdr:to>
      <xdr:col>1</xdr:col>
      <xdr:colOff>1199029</xdr:colOff>
      <xdr:row>0</xdr:row>
      <xdr:rowOff>302558</xdr:rowOff>
    </xdr:to>
    <xdr:sp macro="[0]!Actualizar_Dashboard_AN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621953A-7A17-1CAE-DFEE-F71EC4F80466}"/>
            </a:ext>
          </a:extLst>
        </xdr:cNvPr>
        <xdr:cNvSpPr/>
      </xdr:nvSpPr>
      <xdr:spPr>
        <a:xfrm>
          <a:off x="302559" y="56029"/>
          <a:ext cx="1187823" cy="246529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>
              <a:solidFill>
                <a:sysClr val="windowText" lastClr="000000"/>
              </a:solidFill>
            </a:rPr>
            <a:t>Actualizar</a:t>
          </a:r>
          <a:r>
            <a:rPr lang="es-CO" sz="1100" baseline="0">
              <a:solidFill>
                <a:sysClr val="windowText" lastClr="000000"/>
              </a:solidFill>
            </a:rPr>
            <a:t> Datos</a:t>
          </a:r>
          <a:endParaRPr lang="es-CO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2</xdr:col>
      <xdr:colOff>54905</xdr:colOff>
      <xdr:row>20</xdr:row>
      <xdr:rowOff>114299</xdr:rowOff>
    </xdr:from>
    <xdr:to>
      <xdr:col>6</xdr:col>
      <xdr:colOff>89647</xdr:colOff>
      <xdr:row>24</xdr:row>
      <xdr:rowOff>89647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5" name="ESTADO">
              <a:extLst>
                <a:ext uri="{FF2B5EF4-FFF2-40B4-BE49-F238E27FC236}">
                  <a16:creationId xmlns:a16="http://schemas.microsoft.com/office/drawing/2014/main" id="{A3E7C8BD-5FD7-ACF8-771B-E31FBB9D86B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4231" y="5582770"/>
              <a:ext cx="4192121" cy="7149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234203</xdr:colOff>
      <xdr:row>20</xdr:row>
      <xdr:rowOff>112058</xdr:rowOff>
    </xdr:from>
    <xdr:to>
      <xdr:col>11</xdr:col>
      <xdr:colOff>168089</xdr:colOff>
      <xdr:row>24</xdr:row>
      <xdr:rowOff>112058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4" name="ACTIVIDAD 1">
              <a:extLst>
                <a:ext uri="{FF2B5EF4-FFF2-40B4-BE49-F238E27FC236}">
                  <a16:creationId xmlns:a16="http://schemas.microsoft.com/office/drawing/2014/main" id="{69C2D3C4-A353-5E4E-DB3F-4642A0E9E28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CTIVIDAD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24115" y="5580529"/>
              <a:ext cx="5973856" cy="8068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ctor Alejandro Gaviria" refreshedDate="45992.495167013891" createdVersion="8" refreshedVersion="8" minRefreshableVersion="3" recordCount="1301" xr:uid="{00000000-000A-0000-FFFF-FFFF0B000000}">
  <cacheSource type="worksheet">
    <worksheetSource name="FENIX_ANS_TABLA"/>
  </cacheSource>
  <cacheFields count="30">
    <cacheField name="PEDIDO" numFmtId="0">
      <sharedItems/>
    </cacheField>
    <cacheField name="PRODUCTO_ID" numFmtId="0">
      <sharedItems/>
    </cacheField>
    <cacheField name="TIPO_TRABAJO" numFmtId="0">
      <sharedItems/>
    </cacheField>
    <cacheField name="TIPO_ELEMENTO_ID" numFmtId="0">
      <sharedItems/>
    </cacheField>
    <cacheField name="FECHA_RECIBO" numFmtId="0">
      <sharedItems/>
    </cacheField>
    <cacheField name="FECHA_INICIO_ANS" numFmtId="0">
      <sharedItems/>
    </cacheField>
    <cacheField name="CLIENTEID" numFmtId="0">
      <sharedItems containsSemiMixedTypes="0" containsString="0" containsNumber="1" containsInteger="1" minValue="250390" maxValue="101716563528"/>
    </cacheField>
    <cacheField name="NOMBRE_CLIENTE" numFmtId="0">
      <sharedItems/>
    </cacheField>
    <cacheField name="TELEFONO_CONTACTO" numFmtId="0">
      <sharedItems/>
    </cacheField>
    <cacheField name="CELULAR_CONTACTO" numFmtId="0">
      <sharedItems/>
    </cacheField>
    <cacheField name="DIRECCION" numFmtId="0">
      <sharedItems/>
    </cacheField>
    <cacheField name="MUNICIPIO" numFmtId="0">
      <sharedItems containsBlank="1" count="8">
        <s v="LA ESTRELLA"/>
        <s v="ITAGUÍ"/>
        <s v="MEDELLÍN"/>
        <s v="CALDAS"/>
        <s v="SABANETA"/>
        <s v="ENVIGADO"/>
        <m u="1"/>
        <s v="GUARNE" u="1"/>
      </sharedItems>
    </cacheField>
    <cacheField name="INSTALACION" numFmtId="0">
      <sharedItems/>
    </cacheField>
    <cacheField name="AREA_TRABAJO" numFmtId="0">
      <sharedItems/>
    </cacheField>
    <cacheField name="ACTIVIDAD" numFmtId="0">
      <sharedItems containsBlank="1" count="13">
        <s v="ARTER"/>
        <s v="ACAMN"/>
        <s v="ALEGA"/>
        <s v="ACREV"/>
        <s v="ALEGN"/>
        <s v="ALECA"/>
        <s v="INPRE"/>
        <s v="AEJDO"/>
        <s v="DIPRE"/>
        <s v="REEQU"/>
        <s v="APLIN"/>
        <s v="AMRTR"/>
        <m u="1"/>
      </sharedItems>
    </cacheField>
    <cacheField name="NOMBRE" numFmtId="0">
      <sharedItems/>
    </cacheField>
    <cacheField name="TIPO_DIRECCION" numFmtId="0">
      <sharedItems containsBlank="1" count="3">
        <s v="Rural"/>
        <s v="Urbano"/>
        <m u="1"/>
      </sharedItems>
    </cacheField>
    <cacheField name="DIAS_PACTADOS" numFmtId="0">
      <sharedItems containsSemiMixedTypes="0" containsString="0" containsNumber="1" containsInteger="1" minValue="0" maxValue="14"/>
    </cacheField>
    <cacheField name="FECHA_LIMITE_ANS" numFmtId="0">
      <sharedItems containsBlank="1"/>
    </cacheField>
    <cacheField name="DIAS_TRANSCURRIDOS" numFmtId="0">
      <sharedItems/>
    </cacheField>
    <cacheField name="DIAS_RESTANTES" numFmtId="0">
      <sharedItems containsBlank="1"/>
    </cacheField>
    <cacheField name="ESTADO" numFmtId="0">
      <sharedItems containsBlank="1" count="6">
        <s v="A TIEMPO"/>
        <s v="ALERTA"/>
        <s v="VENCIDO"/>
        <s v="ALERTA_0 Días"/>
        <s v="SIN FECHA"/>
        <m u="1"/>
      </sharedItems>
    </cacheField>
    <cacheField name="REPORTE_TECNICO" numFmtId="0">
      <sharedItems/>
    </cacheField>
    <cacheField name="TECNICO_EJECUTA" numFmtId="0">
      <sharedItems/>
    </cacheField>
    <cacheField name="OBSERVACION" numFmtId="0">
      <sharedItems/>
    </cacheField>
    <cacheField name="ESTADO_FENIX" numFmtId="0">
      <sharedItems/>
    </cacheField>
    <cacheField name="COORDENADAX" numFmtId="0">
      <sharedItems containsSemiMixedTypes="0" containsString="0" containsNumber="1" minValue="-75.707118449999996" maxValue="-75.480254880000004"/>
    </cacheField>
    <cacheField name="COORDENADAY" numFmtId="0">
      <sharedItems containsSemiMixedTypes="0" containsString="0" containsNumber="1" minValue="6.0252134000000002" maxValue="6.3659890099999998"/>
    </cacheField>
    <cacheField name="AREA_OPERATIVA" numFmtId="0">
      <sharedItems/>
    </cacheField>
    <cacheField name="SUBZONA" numFmtId="0">
      <sharedItems/>
    </cacheField>
  </cacheFields>
  <extLst>
    <ext xmlns:x14="http://schemas.microsoft.com/office/spreadsheetml/2009/9/main" uri="{725AE2AE-9491-48be-B2B4-4EB974FC3084}">
      <x14:pivotCacheDefinition pivotCacheId="45124535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1">
  <r>
    <s v="22706722"/>
    <s v="ENERES"/>
    <s v="NUEVO"/>
    <s v="ENEDOM"/>
    <s v="17/03/2023 11:41:57"/>
    <s v="2025-11-29 13:17:28"/>
    <n v="42892506"/>
    <s v="CLAUDIA DEL ROSARIO CORREA MORA"/>
    <s v="5335196"/>
    <s v="3207732621"/>
    <s v="RURAL_159054788000000201"/>
    <x v="0"/>
    <s v="159054788000000201"/>
    <s v="La Estrella"/>
    <x v="0"/>
    <s v="MET Rev-Inst-Concentra E_CR014"/>
    <x v="0"/>
    <n v="8"/>
    <s v="2025-12-11 13:17:28"/>
    <s v="1 días 13:17"/>
    <s v="7 días 13:17"/>
    <x v="0"/>
    <s v="SIN DATO"/>
    <s v="SIN DATO"/>
    <s v="SIN DATO"/>
    <s v="ABIERTO"/>
    <n v="-75.649831634999899"/>
    <n v="6.1379125160000303"/>
    <s v="SUR-ENE"/>
    <s v="Metropolitana Sur"/>
  </r>
  <r>
    <s v="22824005"/>
    <s v="ENEPRE"/>
    <s v="NUEVO"/>
    <s v="ENEPRE"/>
    <s v="18/07/2023 13:53:04"/>
    <s v="2025-11-27 21:44:33"/>
    <n v="42798753"/>
    <s v="MARIA JANNET MEJIA MAZO"/>
    <s v="3739602"/>
    <s v="3045650568"/>
    <s v="163008808700000000"/>
    <x v="1"/>
    <s v="163008808700000000"/>
    <s v="Itaguí"/>
    <x v="0"/>
    <s v="Energía Prepago Metrosur"/>
    <x v="1"/>
    <n v="5"/>
    <s v="2025-12-04 21:44:33"/>
    <s v="2 días 21:44"/>
    <s v="3 días 21:44"/>
    <x v="0"/>
    <s v="SIN DATO"/>
    <s v="SIN DATO"/>
    <s v="SIN DATO"/>
    <s v="ABIERTO"/>
    <n v="-75.609656939999994"/>
    <n v="6.1956974200000001"/>
    <s v="SUR-ENE"/>
    <s v="Metropolitana Sur"/>
  </r>
  <r>
    <s v="22845091"/>
    <s v="ENENOR"/>
    <s v="CAMBI"/>
    <s v="ENENOR"/>
    <s v="09/08/2023 10:13:10"/>
    <s v="2025-11-24 09:02:32"/>
    <n v="1087547709"/>
    <s v="HECTOR MARIO GALLEGO ACEVEDO"/>
    <s v="SIN DATOS"/>
    <s v="3206413426"/>
    <s v="CL 30 CR 88 B -142"/>
    <x v="2"/>
    <s v="053810008201420000"/>
    <s v="Medellín"/>
    <x v="1"/>
    <s v="METROSUR Vin. Leg. Ref. Concentrada"/>
    <x v="1"/>
    <n v="7"/>
    <s v="2025-12-03 09:02:32"/>
    <s v="5 días 09:02"/>
    <s v="2 días 09:02"/>
    <x v="1"/>
    <s v="SIN DATO"/>
    <s v="SIN DATO"/>
    <s v="SIN DATO"/>
    <s v="ABIERTO"/>
    <n v="-75.614163169999998"/>
    <n v="6.2313810700000003"/>
    <s v="SUR-ENE"/>
    <s v="Metropolitana Sur"/>
  </r>
  <r>
    <s v="22869272"/>
    <s v="ENERES"/>
    <s v="NUEVO"/>
    <s v="ENEDOM"/>
    <s v="05/09/2023 12:58:45"/>
    <s v="2025-11-27 13:42:22"/>
    <n v="22796894"/>
    <s v="MARGELIS URIBE REQUENA"/>
    <s v="3776324"/>
    <s v="3126387276"/>
    <s v="RURAL_163017139000000000_LOS ZULETAS"/>
    <x v="1"/>
    <s v="163017139000000000"/>
    <s v="Itaguí"/>
    <x v="0"/>
    <s v="Habilitación Viviendas Metrosur"/>
    <x v="1"/>
    <n v="5"/>
    <s v="2025-12-04 13:42:22"/>
    <s v="2 días 13:42"/>
    <s v="3 días 13:42"/>
    <x v="0"/>
    <s v="SIN DATO"/>
    <s v="SIN DATO"/>
    <s v="SIN DATO"/>
    <s v="ABIERTO"/>
    <n v="-75.615575879999994"/>
    <n v="6.1780693500000003"/>
    <s v="SUR-ENE"/>
    <s v="Metropolitana Sur"/>
  </r>
  <r>
    <s v="23069420"/>
    <s v="ENERES"/>
    <s v="NUEVO"/>
    <s v="ENEDOM"/>
    <s v="01/04/2024 17:27:05"/>
    <s v="2025-11-27 21:45:00"/>
    <n v="8323358"/>
    <s v="JORGE IVAN ZAPATA GERMAN"/>
    <s v="5462732"/>
    <s v="3105462732"/>
    <s v="RURAL-116005312515400201"/>
    <x v="2"/>
    <s v="116005312515400201"/>
    <s v="Medellín"/>
    <x v="0"/>
    <s v="Habilitación Viviendas Metrosur"/>
    <x v="1"/>
    <n v="5"/>
    <s v="2025-12-04 21:45:00"/>
    <s v="2 días 21:45"/>
    <s v="3 días 21:45"/>
    <x v="0"/>
    <s v="SIN DATO"/>
    <s v="SIN DATO"/>
    <s v="SIN DATO"/>
    <s v="ABIERTO"/>
    <n v="-75.630061670000003"/>
    <n v="6.23489833"/>
    <s v="SUR-ENE"/>
    <s v="Metropolitana Sur"/>
  </r>
  <r>
    <s v="23070653"/>
    <s v="ENERES"/>
    <s v="NUEVO"/>
    <s v="ENERES"/>
    <s v="02/04/2024 17:28:31"/>
    <s v="2025-11-22 10:05:08"/>
    <n v="1152441868"/>
    <s v="ANDRES FELIPE AGUDELO RIOS"/>
    <s v="4892884"/>
    <s v="3126021565"/>
    <s v="CR 91 CL 44 -20 (INTERIOR 301 )"/>
    <x v="2"/>
    <s v="054921004000200309"/>
    <s v="Medellín"/>
    <x v="2"/>
    <s v="Revisor Inst. Particulares Metrosur"/>
    <x v="1"/>
    <n v="7"/>
    <s v="2025-12-02 10:05:08"/>
    <s v="6 días 10:05"/>
    <s v="1 días 10:05"/>
    <x v="1"/>
    <s v="SIN DATO"/>
    <s v="SIN DATO"/>
    <s v="SIN DATO"/>
    <s v="ABIERTO"/>
    <n v="-75.608566749999994"/>
    <n v="6.2534277999999999"/>
    <s v="SUR-ENE"/>
    <s v="Metropolitana Sur"/>
  </r>
  <r>
    <s v="23092855"/>
    <s v="ENECNX"/>
    <s v="NUEVO"/>
    <s v="ENECNX"/>
    <s v="26/11/2025 09:02:19"/>
    <s v="2025-11-26 09:02:19"/>
    <n v="900599091"/>
    <s v="TANGENT S"/>
    <s v="SIN DATOS"/>
    <s v="3104494046"/>
    <s v="CR 36 CL 8 A -54"/>
    <x v="2"/>
    <s v="050326008100540000"/>
    <s v="Medellín"/>
    <x v="3"/>
    <s v="Revisor Puntos de Conexión Metrosur"/>
    <x v="1"/>
    <n v="4"/>
    <s v="2025-12-02 09:02:19"/>
    <s v="3 días 09:02"/>
    <s v="1 días 09:02"/>
    <x v="1"/>
    <s v="SIN DATO"/>
    <s v="SIN DATO"/>
    <s v="SIN DATO"/>
    <s v="ABIERTO"/>
    <n v="-75.566350549999996"/>
    <n v="6.20810671"/>
    <s v="SUR-ENE"/>
    <s v="Metropolitana Sur"/>
  </r>
  <r>
    <s v="23102563"/>
    <s v="ENECNX"/>
    <s v="NUEVO"/>
    <s v="ENECNX"/>
    <s v="27/11/2025 15:25:18"/>
    <s v="2025-11-27 15:25:18"/>
    <n v="98496847"/>
    <s v="JOHN JAIRO TANGARIFE CASTAÑEDA"/>
    <s v="SIN DATOS"/>
    <s v="3217080517"/>
    <s v="RURAL_114007720000009901_114007720000009901"/>
    <x v="2"/>
    <s v="114007720000009901"/>
    <s v="Medellín"/>
    <x v="3"/>
    <s v="Revisor Puntos de Conexión Metrosur"/>
    <x v="1"/>
    <n v="4"/>
    <s v="2025-12-03 15:25:18"/>
    <s v="2 días 15:25"/>
    <s v="2 días 15:25"/>
    <x v="1"/>
    <s v="SIN DATO"/>
    <s v="SIN DATO"/>
    <s v="SIN DATO"/>
    <s v="ABIERTO"/>
    <n v="-75.617607000000007"/>
    <n v="6.2070850000000002"/>
    <s v="SUR-ENE"/>
    <s v="Metropolitana Sur"/>
  </r>
  <r>
    <s v="23112653"/>
    <s v="ENERES"/>
    <s v="NUEVO"/>
    <s v="ENERES"/>
    <s v="21/05/2024 17:15:23"/>
    <s v="2025-11-27 11:03:21"/>
    <n v="900082107"/>
    <s v="CONSTRUCTORA CONTEX SAS"/>
    <s v="3014841"/>
    <s v="3153872412"/>
    <s v="CR 54 CL 153 SUR -89 (INTERIOR 522 )"/>
    <x v="3"/>
    <s v="005524003000890522"/>
    <s v="Caldas"/>
    <x v="2"/>
    <s v="Revisor Inst. Particulares Metrosur"/>
    <x v="1"/>
    <n v="7"/>
    <s v="2025-12-09 11:03:21"/>
    <s v="2 días 11:03"/>
    <s v="5 días 11:03"/>
    <x v="0"/>
    <s v="SIN DATO"/>
    <s v="SIN DATO"/>
    <s v="SIN DATO"/>
    <s v="ABIERTO"/>
    <n v="-75.637040999999996"/>
    <n v="6.0752300000000004"/>
    <s v="SUR-ENE"/>
    <s v="Metropolitana Sur"/>
  </r>
  <r>
    <s v="23117607"/>
    <s v="ENERES"/>
    <s v="NUEVO"/>
    <s v="ENERES"/>
    <s v="27/05/2024 15:53:24"/>
    <s v="2025-11-25 21:50:35"/>
    <n v="1039451358"/>
    <s v="PAULA ANDREA MONTOYA RAMOS"/>
    <s v="SIN DATOS"/>
    <s v="3007782372"/>
    <s v="CR 43 C CL 68 SUR -69 (INTERIOR 401 )"/>
    <x v="4"/>
    <s v="016423308000690401"/>
    <s v="Sabaneta"/>
    <x v="2"/>
    <s v="METROSUR Vin. Leg. Ref. Concentrada"/>
    <x v="1"/>
    <n v="7"/>
    <s v="2025-12-04 21:50:35"/>
    <s v="4 días 21:50"/>
    <s v="3 días 21:50"/>
    <x v="0"/>
    <s v="SIN DATO"/>
    <s v="SIN DATO"/>
    <s v="SIN DATO"/>
    <s v="ABIERTO"/>
    <n v="-75.614618989999997"/>
    <n v="6.1514716600000003"/>
    <s v="SUR-ENE"/>
    <s v="Metropolitana Sur"/>
  </r>
  <r>
    <s v="23166279"/>
    <s v="ENERES"/>
    <s v="NUEVO"/>
    <s v="ENEDOM"/>
    <s v="25/07/2024 11:04:58"/>
    <s v="2025-11-25 15:02:01"/>
    <n v="22175131"/>
    <s v="GLORIA INES GAVIRIA SALAZAR"/>
    <s v="5049050"/>
    <s v="3217307527"/>
    <s v="CR 120 F CL 48 D -85 (INTERIOR 301 )"/>
    <x v="2"/>
    <s v="084220608400850301"/>
    <s v="Medellín"/>
    <x v="0"/>
    <s v="Habilitación Viviendas Metrosur"/>
    <x v="1"/>
    <n v="5"/>
    <s v="2025-12-02 15:02:01"/>
    <s v="4 días 15:02"/>
    <s v="1 días 15:02"/>
    <x v="1"/>
    <s v="SIN DATO"/>
    <s v="SIN DATO"/>
    <s v="SIN DATO"/>
    <s v="ABIERTO"/>
    <n v="-75.627763999999999"/>
    <n v="6.2676660000000002"/>
    <s v="SUR-ENE"/>
    <s v="Metropolitana Sur"/>
  </r>
  <r>
    <s v="23184846"/>
    <s v="ENERES"/>
    <s v="NUEVO"/>
    <s v="ENEDOM"/>
    <s v="15/08/2024 14:09:45"/>
    <s v="2025-11-27 09:42:07"/>
    <n v="71580572"/>
    <s v="JAIRO HERNAN SALAZAR ESCOBAR"/>
    <s v="2303286"/>
    <s v="3012590569"/>
    <s v="CR 18 CL 48 -41 (INTERIOR 203 )"/>
    <x v="2"/>
    <s v="054128008000410003"/>
    <s v="Medellín"/>
    <x v="0"/>
    <s v="Habilitación Viviendas Metrosur"/>
    <x v="1"/>
    <n v="5"/>
    <s v="2025-12-04 09:42:07"/>
    <s v="2 días 09:42"/>
    <s v="3 días 09:42"/>
    <x v="0"/>
    <s v="SIN DATO"/>
    <s v="SIN DATO"/>
    <s v="SIN DATO"/>
    <s v="ABIERTO"/>
    <n v="-75.546165999999999"/>
    <n v="6.2363099999999996"/>
    <s v="SUR-ENE"/>
    <s v="Metropolitana Sur"/>
  </r>
  <r>
    <s v="23224829"/>
    <s v="ENENOR"/>
    <s v="NUEVO"/>
    <s v="ENENOR"/>
    <s v="25/09/2024 14:26:50"/>
    <s v="2025-11-25 12:14:34"/>
    <n v="71614503"/>
    <s v="YOMAR DE JESUS GUTIERREZ NARANJO"/>
    <s v="3772602"/>
    <s v="3146621486"/>
    <s v="CL 25 CR 65 D -36 (INTERIOR 101 )"/>
    <x v="2"/>
    <s v="052615005400360101"/>
    <s v="Medellín"/>
    <x v="4"/>
    <s v="Revisor Instal. Regadas Metrosur"/>
    <x v="1"/>
    <n v="7"/>
    <s v="2025-12-04 12:14:34"/>
    <s v="4 días 12:14"/>
    <s v="3 días 12:14"/>
    <x v="0"/>
    <s v="SIN DATO"/>
    <s v="SIN DATO"/>
    <s v="SIN DATO"/>
    <s v="ABIERTO"/>
    <n v="-75.585895570000005"/>
    <n v="6.2260384699999998"/>
    <s v="SUR-ENE"/>
    <s v="Metropolitana Sur"/>
  </r>
  <r>
    <s v="23252004"/>
    <s v="ENERES"/>
    <s v="CAMBI"/>
    <s v="ENERES"/>
    <s v="22/10/2024 09:03:27"/>
    <s v="2025-11-08 08:51:59"/>
    <n v="250390"/>
    <s v="DORINA PALMIERI"/>
    <s v="SIN DATOS"/>
    <s v="3162963521"/>
    <s v="CL 45 D CR 72 -19"/>
    <x v="2"/>
    <s v="054715402000190000"/>
    <s v="Medellín"/>
    <x v="5"/>
    <s v="MET Rev-Inst-Concentra E_CR014"/>
    <x v="1"/>
    <n v="7"/>
    <s v="2025-11-19 08:51:59"/>
    <s v="15 días 08:51"/>
    <s v="VENCIDO"/>
    <x v="2"/>
    <s v="SIN DATO"/>
    <s v="SIN DATO"/>
    <s v="SIN DATO"/>
    <s v="ABIERTO"/>
    <n v="-75.591133040000003"/>
    <n v="6.2507997399999997"/>
    <s v="SUR-ENE"/>
    <s v="Metropolitana Sur"/>
  </r>
  <r>
    <s v="23252019"/>
    <s v="ENERES"/>
    <s v="CAMBI"/>
    <s v="ENERES"/>
    <s v="22/10/2024 09:16:11"/>
    <s v="2025-11-08 08:51:28"/>
    <n v="250390"/>
    <s v="DORINA PALMIERI"/>
    <s v="SIN DATOS"/>
    <s v="3162963521"/>
    <s v="CL 45 D CR 72 -11"/>
    <x v="2"/>
    <s v="054715402000110000"/>
    <s v="Medellín"/>
    <x v="5"/>
    <s v="MET Rev-Inst-Concentra E_CR014"/>
    <x v="1"/>
    <n v="7"/>
    <s v="2025-11-19 08:51:28"/>
    <s v="15 días 08:51"/>
    <s v="VENCIDO"/>
    <x v="2"/>
    <s v="SIN DATO"/>
    <s v="SIN DATO"/>
    <s v="SIN DATO"/>
    <s v="ABIERTO"/>
    <n v="-75.591133040000003"/>
    <n v="6.2507997399999997"/>
    <s v="SUR-ENE"/>
    <s v="Metropolitana Sur"/>
  </r>
  <r>
    <s v="23253443"/>
    <s v="ENERES"/>
    <s v="CAMBI"/>
    <s v="ENERES"/>
    <s v="23/10/2024 08:09:48"/>
    <s v="2025-11-08 08:44:25"/>
    <n v="250390"/>
    <s v="DORINA PALMIERI"/>
    <s v="SIN DATOS"/>
    <s v="3162963521"/>
    <s v="CR 72 CL 44 A -59"/>
    <x v="2"/>
    <s v="054722004100590000"/>
    <s v="Medellín"/>
    <x v="5"/>
    <s v="MET Rev-Inst-Concentra E_CR014"/>
    <x v="1"/>
    <n v="7"/>
    <s v="2025-11-19 08:44:25"/>
    <s v="15 días 08:44"/>
    <s v="VENCIDO"/>
    <x v="2"/>
    <s v="SIN DATO"/>
    <s v="SIN DATO"/>
    <s v="SIN DATO"/>
    <s v="ABIERTO"/>
    <n v="-75.591152780000002"/>
    <n v="6.2507429800000001"/>
    <s v="SUR-ENE"/>
    <s v="Metropolitana Sur"/>
  </r>
  <r>
    <s v="23255212"/>
    <s v="ENECNX"/>
    <s v="NUEVO"/>
    <s v="ENECNX"/>
    <s v="25/11/2025 20:00:10"/>
    <s v="2025-11-25 20:00:10"/>
    <n v="1152435931"/>
    <s v="DANIEL MEDINA"/>
    <s v="SIN DATOS"/>
    <s v="3204754508"/>
    <s v="CL 42 CR 70 -93"/>
    <x v="2"/>
    <s v="054712000000930000"/>
    <s v="Medellín"/>
    <x v="3"/>
    <s v="Revisor Puntos de Conexión Metrosur"/>
    <x v="1"/>
    <n v="4"/>
    <s v="2025-12-01 20:00:10"/>
    <s v="4 días 20:00"/>
    <s v="0 días 20:00"/>
    <x v="3"/>
    <s v="SIN DATO"/>
    <s v="SIN DATO"/>
    <s v="SIN DATO"/>
    <s v="ABIERTO"/>
    <n v="-75.589862429999997"/>
    <n v="6.2478126400000003"/>
    <s v="SUR-ENE"/>
    <s v="Metropolitana Sur"/>
  </r>
  <r>
    <s v="23263902"/>
    <s v="ENERES"/>
    <s v="NUEVO"/>
    <s v="ENERES"/>
    <s v="31/10/2024 16:59:25"/>
    <s v="2025-11-27 09:53:55"/>
    <n v="43588429"/>
    <s v="GLORIA PATRICIA ZULUAGA GOMEZ"/>
    <s v="SIN DATOS"/>
    <s v="3008317290"/>
    <s v="CR 144 CL 68 -143"/>
    <x v="2"/>
    <s v="086424008001430000"/>
    <s v="Medellín"/>
    <x v="2"/>
    <s v="Revisor Instal. Regadas Metrosur"/>
    <x v="1"/>
    <n v="7"/>
    <s v="2025-12-09 09:53:55"/>
    <s v="2 días 09:53"/>
    <s v="5 días 09:53"/>
    <x v="0"/>
    <s v="SIN DATO"/>
    <s v="SIN DATO"/>
    <s v="SIN DATO"/>
    <s v="ABIERTO"/>
    <n v="-75.643484999999998"/>
    <n v="6.2875490000000003"/>
    <s v="SUR-ENE"/>
    <s v="Metropolitana Sur"/>
  </r>
  <r>
    <s v="23274649"/>
    <s v="ENERES"/>
    <s v="NUEVO"/>
    <s v="ENEDOM"/>
    <s v="13/11/2024 12:28:24"/>
    <s v="2025-11-28 09:42:11"/>
    <n v="15362898"/>
    <s v="JESUS ORLANDO GALEANO"/>
    <s v="SIN DATOS"/>
    <s v="3103792449"/>
    <s v="CR 81 B CL 1 -40 (INTERIOR 202 )"/>
    <x v="2"/>
    <s v="050821201000400202"/>
    <s v="Medellín"/>
    <x v="0"/>
    <s v="Habilitación Viviendas Metrosur"/>
    <x v="1"/>
    <n v="5"/>
    <s v="2025-12-05 09:42:11"/>
    <s v="1 días 09:42"/>
    <s v="4 días 09:42"/>
    <x v="0"/>
    <s v="SIN DATO"/>
    <s v="SIN DATO"/>
    <s v="SIN DATO"/>
    <s v="ABIERTO"/>
    <n v="-75.604960140000003"/>
    <n v="6.21044895"/>
    <s v="SUR-ENE"/>
    <s v="Metropolitana Sur"/>
  </r>
  <r>
    <s v="23296257"/>
    <s v="ENERES"/>
    <s v="NUEVO"/>
    <s v="ENEDOM"/>
    <s v="03/12/2024 06:41:07"/>
    <s v="2025-11-27 09:15:44"/>
    <n v="43988687"/>
    <s v="MARIA JOVANA ECHAVARRIA MUÑOZ"/>
    <s v="6124320"/>
    <s v="3217176505"/>
    <s v="CL 56 BD CR 21 -15"/>
    <x v="2"/>
    <s v="055216241000150000"/>
    <s v="Medellín"/>
    <x v="0"/>
    <s v="Habilitación Viviendas Metrosur"/>
    <x v="1"/>
    <n v="5"/>
    <s v="2025-12-04 09:15:44"/>
    <s v="2 días 09:15"/>
    <s v="3 días 09:15"/>
    <x v="0"/>
    <s v="SIN DATO"/>
    <s v="SIN DATO"/>
    <s v="SIN DATO"/>
    <s v="ABIERTO"/>
    <n v="-75.542232139999996"/>
    <n v="6.2419253299999999"/>
    <s v="SUR-ENE"/>
    <s v="Metropolitana Sur"/>
  </r>
  <r>
    <s v="23313637"/>
    <s v="ENERES"/>
    <s v="NUEVO"/>
    <s v="ENERES"/>
    <s v="27/12/2024 07:40:52"/>
    <s v="2025-11-26 15:01:23"/>
    <n v="32536625"/>
    <s v="BEATRIZ ELENA MOLINA RESTREPO"/>
    <s v="4997245"/>
    <s v="3148699415"/>
    <s v="CL 43 CR 102 -14 (INTERIOR 201 )"/>
    <x v="2"/>
    <s v="084013002000140201"/>
    <s v="Medellín"/>
    <x v="2"/>
    <s v="Revisor Instal. Regadas Metrosur"/>
    <x v="1"/>
    <n v="7"/>
    <s v="2025-12-05 15:01:23"/>
    <s v="3 días 15:01"/>
    <s v="4 días 15:01"/>
    <x v="0"/>
    <s v="SIN DATO"/>
    <s v="SIN DATO"/>
    <s v="SIN DATO"/>
    <s v="ABIERTO"/>
    <n v="-75.617800009999996"/>
    <n v="6.2565242999999997"/>
    <s v="SUR-ENE"/>
    <s v="Metropolitana Sur"/>
  </r>
  <r>
    <s v="23321291"/>
    <s v="ENERES"/>
    <s v="NUEVO"/>
    <s v="ENERES"/>
    <s v="10/01/2025 10:10:48"/>
    <s v="2025-11-27 09:43:59"/>
    <n v="71393880"/>
    <s v="DARIO DE JESUS FRANCO HERNANDEZ"/>
    <s v="SIN DATOS"/>
    <s v="3193779823"/>
    <s v="RURAL_159040881700000001"/>
    <x v="0"/>
    <s v="159040881700000001"/>
    <s v="La Estrella"/>
    <x v="2"/>
    <s v="MET Rev-Inst-Concentra E_CR014"/>
    <x v="0"/>
    <n v="10"/>
    <s v="2025-12-12 09:43:59"/>
    <s v="2 días 09:43"/>
    <s v="8 días 09:43"/>
    <x v="0"/>
    <s v="SIN DATO"/>
    <s v="SIN DATO"/>
    <s v="SIN DATO"/>
    <s v="ABIERTO"/>
    <n v="-75.640644789999996"/>
    <n v="6.1383689500000003"/>
    <s v="SUR-ENE"/>
    <s v="Metropolitana Sur"/>
  </r>
  <r>
    <s v="23341522"/>
    <s v="ENERES"/>
    <s v="NUEVO"/>
    <s v="ENERES"/>
    <s v="28/01/2025 07:58:01"/>
    <s v="2025-11-27 15:04:44"/>
    <n v="43380686"/>
    <s v="BLANCA ELVIA OSSA RENDON"/>
    <s v="SIN DATOS"/>
    <s v="3122054032"/>
    <s v="CR 66 CL 28 -29 (INTERIOR 202 )"/>
    <x v="1"/>
    <s v="072626008000290202"/>
    <s v="Itaguí"/>
    <x v="2"/>
    <s v="Revisor Instal. Regadas Metrosur"/>
    <x v="1"/>
    <n v="7"/>
    <s v="2025-12-09 15:04:44"/>
    <s v="2 días 15:04"/>
    <s v="5 días 15:04"/>
    <x v="0"/>
    <s v="SIN DATO"/>
    <s v="SIN DATO"/>
    <s v="SIN DATO"/>
    <s v="ABIERTO"/>
    <n v="-75.638953229999998"/>
    <n v="6.1704784200000002"/>
    <s v="SUR-ENE"/>
    <s v="Metropolitana Sur"/>
  </r>
  <r>
    <s v="23343145"/>
    <s v="ENERES"/>
    <s v="NUEVO"/>
    <s v="ENERES"/>
    <s v="29/01/2025 09:49:59"/>
    <s v="2025-11-28 21:46:58"/>
    <n v="15259431"/>
    <s v="WILLIAM ANTONIO GARCIA BOLIVAR"/>
    <s v="SIN DATOS"/>
    <s v="3126076087"/>
    <s v="RURAL_159151499000000205"/>
    <x v="0"/>
    <s v="159151499000000205"/>
    <s v="La Estrella"/>
    <x v="2"/>
    <s v="METROSUR Vin. Leg. Ref. Concentrada"/>
    <x v="0"/>
    <n v="10"/>
    <s v="2025-12-15 21:46:58"/>
    <s v="1 días 21:46"/>
    <s v="9 días 21:46"/>
    <x v="0"/>
    <s v="SIN DATO"/>
    <s v="SIN DATO"/>
    <s v="SIN DATO"/>
    <s v="ABIERTO"/>
    <n v="-75.635930729999998"/>
    <n v="6.1180920700000003"/>
    <s v="SUR-ENE"/>
    <s v="Metropolitana Sur"/>
  </r>
  <r>
    <s v="23343157"/>
    <s v="ENERES"/>
    <s v="NUEVO"/>
    <s v="ENERES"/>
    <s v="29/01/2025 09:56:04"/>
    <s v="2025-11-28 21:47:03"/>
    <n v="15259431"/>
    <s v="WILLIAM ANTONIO GARCIA BOLIVAR"/>
    <s v="SIN DATOS"/>
    <s v="3126076087"/>
    <s v="RURAL_159151499000000206"/>
    <x v="0"/>
    <s v="159151499000000206"/>
    <s v="La Estrella"/>
    <x v="2"/>
    <s v="METROSUR Vin. Leg. Ref. Concentrada"/>
    <x v="0"/>
    <n v="10"/>
    <s v="2025-12-15 21:47:03"/>
    <s v="1 días 21:47"/>
    <s v="9 días 21:47"/>
    <x v="0"/>
    <s v="SIN DATO"/>
    <s v="SIN DATO"/>
    <s v="SIN DATO"/>
    <s v="ABIERTO"/>
    <n v="-75.635930729999998"/>
    <n v="6.1180920700000003"/>
    <s v="SUR-ENE"/>
    <s v="Metropolitana Sur"/>
  </r>
  <r>
    <s v="23359888"/>
    <s v="ENEPRE"/>
    <s v="NUEVO"/>
    <s v="ENEPRE"/>
    <s v="21/02/2025 08:15:37"/>
    <s v="2025-11-28 10:02:23"/>
    <n v="70301891"/>
    <s v="JOSE GILDARDO CUERVO GARCIA"/>
    <s v="SIN DATOS"/>
    <s v="3206640252"/>
    <s v="CR 17 A CL 56 H -8 (INTERIOR 2107 )"/>
    <x v="2"/>
    <s v="055127106800082107"/>
    <s v="Medellín"/>
    <x v="6"/>
    <s v="Energía Prepago Metrosur"/>
    <x v="1"/>
    <n v="11"/>
    <s v="2025-12-16 10:02:23"/>
    <s v="1 días 10:02"/>
    <s v="10 días 10:02"/>
    <x v="0"/>
    <s v="SIN DATO"/>
    <s v="SIN DATO"/>
    <s v="SIN DATO"/>
    <s v="ABIERTO"/>
    <n v="-75.537633"/>
    <n v="6.249117"/>
    <s v="SUR-ENE"/>
    <s v="Metropolitana Sur"/>
  </r>
  <r>
    <s v="23359888"/>
    <s v="ENEPRE"/>
    <s v="NUEVO"/>
    <s v="ENEPRE"/>
    <s v="21/02/2025 08:15:37"/>
    <s v="2025-11-28 10:02:23"/>
    <n v="70301891"/>
    <s v="JOSE GILDARDO CUERVO GARCIA"/>
    <s v="SIN DATOS"/>
    <s v="3206640252"/>
    <s v="CR 17 A CL 56 H -8 (INTERIOR 2107 )"/>
    <x v="2"/>
    <s v="055127106800082107"/>
    <s v="Medellín"/>
    <x v="6"/>
    <s v="Energía Prepago Metrosur"/>
    <x v="1"/>
    <n v="11"/>
    <s v="2025-12-16 10:02:23"/>
    <s v="1 días 10:02"/>
    <s v="10 días 10:02"/>
    <x v="0"/>
    <s v="SIN DATO"/>
    <s v="SIN DATO"/>
    <s v="SIN DATO"/>
    <s v="ABIERTO"/>
    <n v="-75.537633"/>
    <n v="6.249117"/>
    <s v="SUR-ENE"/>
    <s v="Metropolitana Sur"/>
  </r>
  <r>
    <s v="23379236"/>
    <s v="ENENOR"/>
    <s v="NUEVO"/>
    <s v="ENENOR"/>
    <s v="06/03/2025 08:44:32"/>
    <s v="2025-11-25 09:42:15"/>
    <n v="71261831"/>
    <s v="FABIO ANDRES MUÑOZ FRANCO"/>
    <s v="2515232"/>
    <s v="3176582156"/>
    <s v="RURAL_125004748000000105"/>
    <x v="5"/>
    <s v="125004748000000105"/>
    <s v="Envigado"/>
    <x v="4"/>
    <s v="Revisor Instal. Regadas Metrosur"/>
    <x v="0"/>
    <n v="10"/>
    <s v="2025-12-10 09:42:15"/>
    <s v="4 días 09:42"/>
    <s v="6 días 09:42"/>
    <x v="0"/>
    <s v="SIN DATO"/>
    <s v="SIN DATO"/>
    <s v="SIN DATO"/>
    <s v="ABIERTO"/>
    <n v="-75.480254880000004"/>
    <n v="6.1705531999999996"/>
    <s v="SUR-ENE"/>
    <s v="Metropolitana Sur"/>
  </r>
  <r>
    <s v="23380759"/>
    <s v="ENERES"/>
    <s v="NUEVO"/>
    <s v="ENERES"/>
    <s v="07/03/2025 16:14:40"/>
    <s v="2025-11-19 14:31:34"/>
    <n v="43271228"/>
    <s v="YAMILE ANDREA MUÑOZ BURITICA"/>
    <s v="SIN DATOS"/>
    <s v="3192415186"/>
    <s v="CR 14 CC CL 48 A -10 (INTERIOR 201 )"/>
    <x v="2"/>
    <s v="054124338100100201"/>
    <s v="Medellín"/>
    <x v="2"/>
    <s v="METROSUR Vin. Leg. Ref. Concentrada"/>
    <x v="1"/>
    <n v="7"/>
    <s v="2025-11-28 14:31:34"/>
    <s v="8 días 14:31"/>
    <s v="VENCIDO"/>
    <x v="2"/>
    <s v="SIN DATO"/>
    <s v="SIN DATO"/>
    <s v="SIN DATO"/>
    <s v="ABIERTO"/>
    <n v="-75.542099359999995"/>
    <n v="6.2327710600000001"/>
    <s v="SUR-ENE"/>
    <s v="Metropolitana Sur"/>
  </r>
  <r>
    <s v="23400913"/>
    <s v="ENERES"/>
    <s v="NUEVO"/>
    <s v="ENERES"/>
    <s v="29/03/2025 10:35:17"/>
    <s v="2025-11-27 09:45:04"/>
    <n v="70900761"/>
    <s v="JESUS DAVID CASTAÑO HOYOS"/>
    <s v="SIN DATOS"/>
    <s v="3155096162"/>
    <s v="CL 49 CR 51 -66 (INTERIOR 602 )"/>
    <x v="1"/>
    <s v="074519001000660602"/>
    <s v="Itaguí"/>
    <x v="2"/>
    <s v="Revisor Instal. Regadas Metrosur"/>
    <x v="1"/>
    <n v="7"/>
    <s v="2025-12-09 09:45:04"/>
    <s v="2 días 09:45"/>
    <s v="5 días 09:45"/>
    <x v="0"/>
    <s v="SIN DATO"/>
    <s v="SIN DATO"/>
    <s v="SIN DATO"/>
    <s v="ABIERTO"/>
    <n v="-75.610941999999994"/>
    <n v="6.1729500000000002"/>
    <s v="SUR-ENE"/>
    <s v="Metropolitana Sur"/>
  </r>
  <r>
    <s v="23404475"/>
    <s v="ENERES"/>
    <s v="NUEVO"/>
    <s v="ENEDOM"/>
    <s v="02/04/2025 12:14:56"/>
    <s v="2025-11-26 14:29:57"/>
    <n v="32419380"/>
    <s v="ANA DELIA ISAZA ISAZA"/>
    <s v="4719300"/>
    <s v="3127599010"/>
    <s v="CL 54 B CR 1 ESTE -14"/>
    <x v="2"/>
    <s v="705014201000140000"/>
    <s v="Medellín"/>
    <x v="0"/>
    <s v="Habilitación Viviendas Metrosur"/>
    <x v="1"/>
    <n v="5"/>
    <s v="2025-12-03 14:29:57"/>
    <s v="3 días 14:29"/>
    <s v="2 días 14:29"/>
    <x v="1"/>
    <s v="SIN DATO"/>
    <s v="SIN DATO"/>
    <s v="SIN DATO"/>
    <s v="ABIERTO"/>
    <n v="-75.528789360000005"/>
    <n v="6.2353311500000004"/>
    <s v="SUR-ENE"/>
    <s v="Metropolitana Sur"/>
  </r>
  <r>
    <s v="23405052"/>
    <s v="ENERES"/>
    <s v="NUEVO"/>
    <s v="ENEDOM"/>
    <s v="02/04/2025 15:26:40"/>
    <s v="2025-11-26 09:31:26"/>
    <n v="71050729"/>
    <s v="JAIRO OCTAVIO URAN VARGAS"/>
    <s v="SIN DATOS"/>
    <s v="3232949035"/>
    <s v="CR 7 ESTE CL 55 HH -90 (INTERIOR 7000 )"/>
    <x v="2"/>
    <s v="705027005880907000"/>
    <s v="Medellín"/>
    <x v="0"/>
    <s v="Habilitación Viviendas Metrosur"/>
    <x v="1"/>
    <n v="5"/>
    <s v="2025-12-03 09:31:26"/>
    <s v="3 días 09:31"/>
    <s v="2 días 09:31"/>
    <x v="1"/>
    <s v="SIN DATO"/>
    <s v="SIN DATO"/>
    <s v="SIN DATO"/>
    <s v="ABIERTO"/>
    <n v="-75.526194050000001"/>
    <n v="6.2355122700000001"/>
    <s v="SUR-ENE"/>
    <s v="Metropolitana Sur"/>
  </r>
  <r>
    <s v="23417291"/>
    <s v="ENERES"/>
    <s v="NUEVO"/>
    <s v="ENEDOM"/>
    <s v="21/04/2025 09:01:45"/>
    <s v="2025-11-21 12:31:48"/>
    <n v="42799221"/>
    <s v="LUZ ESTELLA VELEZ RODRIGUEZ"/>
    <s v="SIN DATOS"/>
    <s v="3117203563"/>
    <s v="RURAL_159105840000000109_PROV.ALTO DE LOS SIERRAS"/>
    <x v="0"/>
    <s v="159105840000000109"/>
    <s v="La Estrella"/>
    <x v="0"/>
    <s v="MET Rev-Inst-Concentra E_CR014"/>
    <x v="0"/>
    <n v="8"/>
    <s v="2025-12-03 12:31:48"/>
    <s v="6 días 12:31"/>
    <s v="2 días 12:31"/>
    <x v="1"/>
    <s v="SIN DATO"/>
    <s v="SIN DATO"/>
    <s v="SIN DATO"/>
    <s v="ABIERTO"/>
    <n v="-75.629416120000002"/>
    <n v="6.1161046900000002"/>
    <s v="SUR-ENE"/>
    <s v="Metropolitana Sur"/>
  </r>
  <r>
    <s v="23417321"/>
    <s v="ENERES"/>
    <s v="NUEVO"/>
    <s v="ENEDOM"/>
    <s v="21/04/2025 09:17:46"/>
    <s v="2025-11-21 10:54:20"/>
    <n v="1040755753"/>
    <s v="LUISA FERNANDA SIERRA VELEZ"/>
    <s v="SIN DATOS"/>
    <s v="3218474968"/>
    <s v="RURAL_159105840000000110_PROV.ALTO DE LOS SIERRA"/>
    <x v="0"/>
    <s v="159105840000000110"/>
    <s v="La Estrella"/>
    <x v="0"/>
    <s v="MET Rev-Inst-Concentra E_CR014"/>
    <x v="0"/>
    <n v="8"/>
    <s v="2025-12-03 10:54:20"/>
    <s v="6 días 10:54"/>
    <s v="2 días 10:54"/>
    <x v="1"/>
    <s v="SIN DATO"/>
    <s v="SIN DATO"/>
    <s v="SIN DATO"/>
    <s v="ABIERTO"/>
    <n v="-75.629416120000002"/>
    <n v="6.1161046900000002"/>
    <s v="SUR-ENE"/>
    <s v="Metropolitana Sur"/>
  </r>
  <r>
    <s v="23418545"/>
    <s v="ENENOR"/>
    <s v="NUEVO"/>
    <s v="ENENOR"/>
    <s v="22/04/2025 08:33:42"/>
    <s v="2025-11-25 18:04:14"/>
    <n v="71273380"/>
    <s v="WILDEMAN ALBERTO OQUENDO GALLEGO"/>
    <s v="4481509"/>
    <s v="3002744494"/>
    <s v="CR 57 CL 40 -19 (INTERIOR 5 )"/>
    <x v="1"/>
    <s v="074527000000190005"/>
    <s v="Itaguí"/>
    <x v="4"/>
    <s v="Revisor Inst. Particulares Metrosur"/>
    <x v="1"/>
    <n v="7"/>
    <s v="2025-12-04 18:04:14"/>
    <s v="4 días 18:04"/>
    <s v="3 días 18:04"/>
    <x v="0"/>
    <s v="SIN DATO"/>
    <s v="SIN DATO"/>
    <s v="SIN DATO"/>
    <s v="ABIERTO"/>
    <n v="-75.617996219999995"/>
    <n v="6.1734976799999997"/>
    <s v="SUR-ENE"/>
    <s v="Metropolitana Sur"/>
  </r>
  <r>
    <s v="23419840"/>
    <s v="ENERES"/>
    <s v="NUEVO"/>
    <s v="ENEDOM"/>
    <s v="07/11/2025 06:12:59"/>
    <s v="2025-11-27 11:25:02"/>
    <n v="21818225"/>
    <s v="LUZ MARINA GOMEZ DE ARANGO"/>
    <s v="SIN DATOS"/>
    <s v="3216327814"/>
    <s v="CR 17 CL 56 E -2 (INTERIOR 105 )"/>
    <x v="2"/>
    <s v="055127006500020105"/>
    <s v="Medellín"/>
    <x v="7"/>
    <s v="Habilitación Viviendas Metrosur"/>
    <x v="1"/>
    <n v="5"/>
    <s v="2025-12-04 11:25:02"/>
    <s v="2 días 11:25"/>
    <s v="3 días 11:25"/>
    <x v="0"/>
    <s v="SIN DATO"/>
    <s v="SIN DATO"/>
    <s v="SIN DATO"/>
    <s v="ABIERTO"/>
    <n v="-75.538740000000004"/>
    <n v="6.2417290000000003"/>
    <s v="SUR-ENE"/>
    <s v="Metropolitana Sur"/>
  </r>
  <r>
    <s v="23420270"/>
    <s v="ENERES"/>
    <s v="NUEVO"/>
    <s v="ENEDOM"/>
    <s v="23/04/2025 12:21:00"/>
    <s v="2025-11-24 15:25:40"/>
    <n v="1026133067"/>
    <s v="JOHANA ANDREA CORREA PEREZ"/>
    <s v="SIN DATOS"/>
    <s v="3137677943"/>
    <s v="CR 50 CL 146 SUR -398 (INTERIOR 301 )"/>
    <x v="3"/>
    <s v="004520006003980301"/>
    <s v="Caldas"/>
    <x v="0"/>
    <s v="MET Rev-Inst-Concentra E_CR014"/>
    <x v="1"/>
    <n v="5"/>
    <s v="2025-12-01 15:25:40"/>
    <s v="5 días 15:25"/>
    <s v="0 días 15:25"/>
    <x v="3"/>
    <s v="SIN DATO"/>
    <s v="SIN DATO"/>
    <s v="SIN DATO"/>
    <s v="ABIERTO"/>
    <n v="-75.634807350000003"/>
    <n v="6.0763302000000001"/>
    <s v="SUR-ENE"/>
    <s v="Metropolitana Sur"/>
  </r>
  <r>
    <s v="23422327"/>
    <s v="ENERES"/>
    <s v="NUEVO"/>
    <s v="ENERES"/>
    <s v="25/04/2025 09:50:05"/>
    <s v="2025-11-12 09:54:11"/>
    <n v="1128461918"/>
    <s v="LUIS FERNANDO SALAZAR ESPINOSA"/>
    <s v="SIN DATOS"/>
    <s v="3135742816"/>
    <s v="RURAL_161025394000000206"/>
    <x v="3"/>
    <s v="161025394000000206"/>
    <s v="Caldas"/>
    <x v="2"/>
    <s v="MET Rev-Inst-Concentra E_CR014"/>
    <x v="0"/>
    <n v="10"/>
    <s v="2025-11-27 09:54:11"/>
    <s v="12 días 09:54"/>
    <s v="VENCIDO"/>
    <x v="2"/>
    <s v="SIN DATO"/>
    <s v="SIN DATO"/>
    <s v="SIN DATO"/>
    <s v="ABIERTO"/>
    <n v="-75.635639749999996"/>
    <n v="6.0736636800000001"/>
    <s v="SUR-ENE"/>
    <s v="Metropolitana Sur"/>
  </r>
  <r>
    <s v="23422371"/>
    <s v="ENERES"/>
    <s v="NUEVO"/>
    <s v="ENERES"/>
    <s v="25/04/2025 10:12:11"/>
    <s v="2025-11-12 09:54:35"/>
    <n v="1128461918"/>
    <s v="LUIS FERNANDO SALAZAR ESPINOSA"/>
    <s v="SIN DATOS"/>
    <s v="3135742816"/>
    <s v="RURAL_161025394000000306"/>
    <x v="2"/>
    <s v="161025394000000306"/>
    <s v="Medellín"/>
    <x v="2"/>
    <s v="MET Rev-Inst-Concentra E_CR014"/>
    <x v="0"/>
    <n v="10"/>
    <s v="2025-11-27 09:54:35"/>
    <s v="12 días 09:54"/>
    <s v="VENCIDO"/>
    <x v="2"/>
    <s v="SIN DATO"/>
    <s v="SIN DATO"/>
    <s v="SIN DATO"/>
    <s v="ABIERTO"/>
    <n v="-75.610884501000001"/>
    <n v="6.2574398200000596"/>
    <s v="SUR-ENE"/>
    <s v="Metropolitana Sur"/>
  </r>
  <r>
    <s v="23424424"/>
    <s v="ENERES"/>
    <s v="NUEVO"/>
    <s v="ENERES"/>
    <s v="28/04/2025 14:10:45"/>
    <s v="2025-11-12 09:55:02"/>
    <n v="1128461918"/>
    <s v="LUIS FERNANDO SALAZAR ESPINOSA"/>
    <s v="SIN DATOS"/>
    <s v="3135742816"/>
    <s v="RURAL_161025394000000016"/>
    <x v="3"/>
    <s v="161025394000000016"/>
    <s v="Caldas"/>
    <x v="2"/>
    <s v="MET Rev-Inst-Concentra E_CR014"/>
    <x v="0"/>
    <n v="10"/>
    <s v="2025-11-27 09:55:02"/>
    <s v="12 días 09:55"/>
    <s v="VENCIDO"/>
    <x v="2"/>
    <s v="SIN DATO"/>
    <s v="SIN DATO"/>
    <s v="SIN DATO"/>
    <s v="ABIERTO"/>
    <n v="-75.635639749999996"/>
    <n v="6.0736636800000001"/>
    <s v="SUR-ENE"/>
    <s v="Metropolitana Sur"/>
  </r>
  <r>
    <s v="23432797"/>
    <s v="ENERES"/>
    <s v="NUEVO"/>
    <s v="ENERES"/>
    <s v="08/05/2025 07:56:22"/>
    <s v="2025-11-24 10:58:41"/>
    <n v="43062462"/>
    <s v="MARGARITA MARIA QUINTERO MORENO"/>
    <s v="SIN DATOS"/>
    <s v="3113755618"/>
    <s v="CR 65 C CL 26 -73 (INTERIOR 501 )"/>
    <x v="2"/>
    <s v="052625306000730501"/>
    <s v="Medellín"/>
    <x v="2"/>
    <s v="MET Rev-Inst-Concentra E_CR014"/>
    <x v="1"/>
    <n v="7"/>
    <s v="2025-12-03 10:58:41"/>
    <s v="5 días 10:58"/>
    <s v="2 días 10:58"/>
    <x v="1"/>
    <s v="SIN DATO"/>
    <s v="SIN DATO"/>
    <s v="SIN DATO"/>
    <s v="ABIERTO"/>
    <n v="-75.585179999999994"/>
    <n v="6.2283119999999998"/>
    <s v="SUR-ENE"/>
    <s v="Metropolitana Sur"/>
  </r>
  <r>
    <s v="23444304"/>
    <s v="ENERES"/>
    <s v="NUEVO"/>
    <s v="ENEDOM"/>
    <s v="21/05/2025 10:48:53"/>
    <s v="2025-11-20 21:57:15"/>
    <n v="43532055"/>
    <s v="AURA ELENA PUERTA SUAREZ"/>
    <s v="SIN DATOS"/>
    <s v="3002968446"/>
    <s v="159037005000000000"/>
    <x v="0"/>
    <s v="159037005000000000"/>
    <s v="La Estrella"/>
    <x v="0"/>
    <s v="MET Rev-Inst-Concentra E_CR014"/>
    <x v="0"/>
    <n v="8"/>
    <s v="2025-12-02 21:57:15"/>
    <s v="7 días 21:57"/>
    <s v="1 días 21:57"/>
    <x v="1"/>
    <s v="SIN DATO"/>
    <s v="SIN DATO"/>
    <s v="SIN DATO"/>
    <s v="ABIERTO"/>
    <n v="-75.649831634999899"/>
    <n v="6.1379125160000303"/>
    <s v="SUR-ENE"/>
    <s v="Metropolitana Sur"/>
  </r>
  <r>
    <s v="23450519"/>
    <s v="ENENOR"/>
    <s v="NUEVO"/>
    <s v="ENENOR"/>
    <s v="28/05/2025 13:56:24"/>
    <s v="2025-11-28 17:23:43"/>
    <n v="42891263"/>
    <s v="AMANDA MONTOYA MEJIA"/>
    <s v="SIN DATOS"/>
    <s v="3005954021"/>
    <s v="CR 68 CL 49 -31"/>
    <x v="2"/>
    <s v="054628009000310000"/>
    <s v="Medellín"/>
    <x v="4"/>
    <s v="METROSUR Vin. Leg. Ref. Concentrada"/>
    <x v="1"/>
    <n v="7"/>
    <s v="2025-12-10 17:23:43"/>
    <s v="1 días 17:23"/>
    <s v="6 días 17:23"/>
    <x v="0"/>
    <s v="SIN DATO"/>
    <s v="SIN DATO"/>
    <s v="SIN DATO"/>
    <s v="ABIERTO"/>
    <n v="-75.58494116"/>
    <n v="6.2564985599999998"/>
    <s v="SUR-ENE"/>
    <s v="Metropolitana Sur"/>
  </r>
  <r>
    <s v="23450715"/>
    <s v="ENECNX"/>
    <s v="NUEVO"/>
    <s v="ENECNX"/>
    <s v="27/11/2025 10:42:59"/>
    <s v="2025-11-27 10:42:59"/>
    <n v="900929864"/>
    <s v="CANTAGIRONE S.A.S."/>
    <s v="SIN DATOS"/>
    <s v="3243021881"/>
    <s v="CR 22 CL 16 AA SUR -140"/>
    <x v="2"/>
    <s v="041222006111400000"/>
    <s v="Medellín"/>
    <x v="3"/>
    <s v="Revisor Puntos de Conexión Metrosur"/>
    <x v="1"/>
    <n v="4"/>
    <s v="2025-12-03 10:42:59"/>
    <s v="2 días 10:42"/>
    <s v="2 días 10:42"/>
    <x v="1"/>
    <s v="SIN DATO"/>
    <s v="SIN DATO"/>
    <s v="SIN DATO"/>
    <s v="ABIERTO"/>
    <n v="-75.559436000000005"/>
    <n v="6.180904"/>
    <s v="SUR-ENE"/>
    <s v="Metropolitana Sur"/>
  </r>
  <r>
    <s v="23452577"/>
    <s v="ENERES"/>
    <s v="NUEVO"/>
    <s v="ENERES"/>
    <s v="30/05/2025 09:18:51"/>
    <s v="2025-11-28 08:33:11"/>
    <n v="24348308"/>
    <s v="LINA PAOLA DUQUE HAMBURGER"/>
    <s v="5071954"/>
    <s v="3147688638"/>
    <s v="CL 44 A CR 77 -67 (INTERIOR 401 )"/>
    <x v="2"/>
    <s v="054714107000670401"/>
    <s v="Medellín"/>
    <x v="2"/>
    <s v="Revisor Instal. Regadas Metrosur"/>
    <x v="1"/>
    <n v="7"/>
    <s v="2025-12-10 08:33:11"/>
    <s v="1 días 08:33"/>
    <s v="6 días 08:33"/>
    <x v="0"/>
    <s v="SIN DATO"/>
    <s v="SIN DATO"/>
    <s v="SIN DATO"/>
    <s v="ABIERTO"/>
    <n v="-75.596076969999999"/>
    <n v="6.2506194099999997"/>
    <s v="SUR-ENE"/>
    <s v="Metropolitana Sur"/>
  </r>
  <r>
    <s v="23454633"/>
    <s v="ENERES"/>
    <s v="NUEVO"/>
    <s v="ENEDOM"/>
    <s v="26/11/2025 09:25:25"/>
    <s v="2025-11-26 09:25:25"/>
    <n v="32544367"/>
    <s v="ROSIO BUSTAMANTE MUÑOZ"/>
    <s v="4338418"/>
    <s v="3016118535"/>
    <s v="DIAG 42 CL 36 A -71 (INTERIOR 201 )"/>
    <x v="1"/>
    <s v="073472006100710201"/>
    <s v="Itaguí"/>
    <x v="7"/>
    <s v="Habilitación Viviendas Metrosur"/>
    <x v="1"/>
    <n v="5"/>
    <s v="2025-12-03 09:25:25"/>
    <s v="3 días 09:25"/>
    <s v="2 días 09:25"/>
    <x v="1"/>
    <s v="SIN DATO"/>
    <s v="SIN DATO"/>
    <s v="SIN DATO"/>
    <s v="ABIERTO"/>
    <n v="-75.616200390000003"/>
    <n v="6.1669234800000003"/>
    <s v="SUR-ENE"/>
    <s v="Metropolitana Sur"/>
  </r>
  <r>
    <s v="23460305"/>
    <s v="ENERES"/>
    <s v="NUEVO"/>
    <s v="ENERES"/>
    <s v="09/06/2025 16:51:10"/>
    <s v="2025-11-26 21:49:05"/>
    <n v="1026142876"/>
    <s v="CINDY YULIETH VANEGAS LARREA"/>
    <s v="SIN DATOS"/>
    <s v="3165282824"/>
    <s v="RURAL_161117747000000202_PROV.LA CORRALA"/>
    <x v="3"/>
    <s v="161117747000000202"/>
    <s v="Caldas"/>
    <x v="2"/>
    <s v="METROSUR Vin. Leg. Ref. Concentrada"/>
    <x v="0"/>
    <n v="10"/>
    <s v="2025-12-11 21:49:05"/>
    <s v="3 días 21:49"/>
    <s v="7 días 21:49"/>
    <x v="0"/>
    <s v="SIN DATO"/>
    <s v="SIN DATO"/>
    <s v="SIN DATO"/>
    <s v="ABIERTO"/>
    <n v="-75.619954000000007"/>
    <n v="6.0885730000000002"/>
    <s v="SUR-ENE"/>
    <s v="Metropolitana Sur"/>
  </r>
  <r>
    <s v="23460704"/>
    <s v="ENERES"/>
    <s v="NUEVO"/>
    <s v="ENERES"/>
    <s v="10/06/2025 08:08:30"/>
    <s v="2025-11-26 11:37:11"/>
    <n v="71379184"/>
    <s v="JOHN FREDY CASTAÑEDA PALACIO"/>
    <s v="3808080"/>
    <s v="3104629328"/>
    <s v="CR 82 TRAN 45 C -54 (INTERIOR 501 )"/>
    <x v="2"/>
    <s v="054822005300540501"/>
    <s v="Medellín"/>
    <x v="2"/>
    <s v="MET Rev-Inst-Concentra E_CR014"/>
    <x v="1"/>
    <n v="7"/>
    <s v="2025-12-05 11:37:11"/>
    <s v="3 días 11:37"/>
    <s v="4 días 11:37"/>
    <x v="0"/>
    <s v="SIN DATO"/>
    <s v="SIN DATO"/>
    <s v="SIN DATO"/>
    <s v="ABIERTO"/>
    <n v="-75.601681060000004"/>
    <n v="6.2539904699999997"/>
    <s v="SUR-ENE"/>
    <s v="Metropolitana Sur"/>
  </r>
  <r>
    <s v="23462523"/>
    <s v="ENERES"/>
    <s v="NUEVO"/>
    <s v="ENEDOM"/>
    <s v="11/06/2025 12:57:12"/>
    <s v="2025-11-20 13:35:13"/>
    <n v="43729979"/>
    <s v="DORA ALBA ESCOBAR SANCHEZ"/>
    <s v="SIN DATOS"/>
    <s v="3006107409"/>
    <s v="RURAL_159158454000000301"/>
    <x v="0"/>
    <s v="159158454000000301"/>
    <s v="La Estrella"/>
    <x v="0"/>
    <s v="METROSUR-Vinculaciones-HV-Prepago"/>
    <x v="0"/>
    <n v="8"/>
    <s v="2025-12-02 13:35:13"/>
    <s v="7 días 13:35"/>
    <s v="1 días 13:35"/>
    <x v="1"/>
    <s v="SIN DATO"/>
    <s v="SIN DATO"/>
    <s v="SIN DATO"/>
    <s v="ABIERTO"/>
    <n v="-75.639820630000003"/>
    <n v="6.1136927999999999"/>
    <s v="SUR-ENE"/>
    <s v="Metropolitana Sur"/>
  </r>
  <r>
    <s v="23464079"/>
    <s v="ENERES"/>
    <s v="NUEVO"/>
    <s v="ENEDOM"/>
    <s v="12/06/2025 14:47:41"/>
    <s v="2025-11-25 09:23:53"/>
    <n v="1036631015"/>
    <s v="NATALIA BOLAÑO ARRIETA"/>
    <s v="3577703"/>
    <s v="3105951764"/>
    <s v="CR 65 CL 39 -12 (INTERIOR 301 )"/>
    <x v="1"/>
    <s v="073625009000120301"/>
    <s v="Itaguí"/>
    <x v="0"/>
    <s v="Habilitación Viviendas Metrosur"/>
    <x v="1"/>
    <n v="5"/>
    <s v="2025-12-02 09:23:53"/>
    <s v="4 días 09:23"/>
    <s v="1 días 09:23"/>
    <x v="1"/>
    <s v="SIN DATO"/>
    <s v="SIN DATO"/>
    <s v="SIN DATO"/>
    <s v="ABIERTO"/>
    <n v="-75.628653999999997"/>
    <n v="6.1742790000000003"/>
    <s v="SUR-ENE"/>
    <s v="Metropolitana Sur"/>
  </r>
  <r>
    <s v="23467973"/>
    <s v="ENERES"/>
    <s v="NUEVO"/>
    <s v="ENEDOM"/>
    <s v="17/06/2025 16:11:14"/>
    <s v="2025-11-28 10:14:06"/>
    <n v="1148698057"/>
    <s v="GERARDO DE JESUS GARCIA ROJAS"/>
    <s v="SIN DATOS"/>
    <s v="3136001430"/>
    <s v="CL 54 CR 2 C -7 (INTERIOR 9901 )"/>
    <x v="2"/>
    <s v="055014002300079901"/>
    <s v="Medellín"/>
    <x v="0"/>
    <s v="Habilitación Viviendas Metrosur"/>
    <x v="1"/>
    <n v="5"/>
    <s v="2025-12-05 10:14:06"/>
    <s v="1 días 10:14"/>
    <s v="4 días 10:14"/>
    <x v="0"/>
    <s v="SIN DATO"/>
    <s v="SIN DATO"/>
    <s v="SIN DATO"/>
    <s v="ABIERTO"/>
    <n v="-75.531628569999995"/>
    <n v="6.2320648299999997"/>
    <s v="SUR-ENE"/>
    <s v="Metropolitana Sur"/>
  </r>
  <r>
    <s v="23471708"/>
    <s v="ENENOR"/>
    <s v="NUEVO"/>
    <s v="ENENOR"/>
    <s v="21/06/2025 08:18:26"/>
    <s v="2025-11-28 12:15:09"/>
    <n v="32444974"/>
    <s v="INES ELVIRA VELEZ RESTREPO"/>
    <s v="2846084"/>
    <s v="3206784745"/>
    <s v="CR 45 CL 57 -36"/>
    <x v="2"/>
    <s v="055425007000360000"/>
    <s v="Medellín"/>
    <x v="4"/>
    <s v="METROSUR Vin. Leg. Ref. Concentrada"/>
    <x v="1"/>
    <n v="7"/>
    <s v="2025-12-10 12:15:09"/>
    <s v="1 días 12:15"/>
    <s v="6 días 12:15"/>
    <x v="0"/>
    <s v="SIN DATO"/>
    <s v="SIN DATO"/>
    <s v="SIN DATO"/>
    <s v="ABIERTO"/>
    <n v="-75.56075147"/>
    <n v="6.25274369"/>
    <s v="SUR-ENE"/>
    <s v="Metropolitana Sur"/>
  </r>
  <r>
    <s v="23472097"/>
    <s v="ENERES"/>
    <s v="NUEVO"/>
    <s v="ENERES"/>
    <s v="24/06/2025 08:50:42"/>
    <s v="2025-11-12 09:55:32"/>
    <n v="1026147160"/>
    <s v="ANDRES FELIPE MONTOYA ARANGO"/>
    <s v="SIN DATOS"/>
    <s v="3213439465"/>
    <s v="161083998000000000"/>
    <x v="3"/>
    <s v="161083105000000001"/>
    <s v="Caldas"/>
    <x v="2"/>
    <s v="MET Rev-Inst-Concentra E_CR014"/>
    <x v="0"/>
    <n v="10"/>
    <s v="2025-11-27 09:55:32"/>
    <s v="12 días 09:55"/>
    <s v="VENCIDO"/>
    <x v="2"/>
    <s v="SIN DATO"/>
    <s v="SIN DATO"/>
    <s v="SIN DATO"/>
    <s v="ABIERTO"/>
    <n v="-75.626904001"/>
    <n v="6.0546154810000399"/>
    <s v="SUR-ENE"/>
    <s v="Metropolitana Sur"/>
  </r>
  <r>
    <s v="23475477"/>
    <s v="ENERES"/>
    <s v="NUEVO"/>
    <s v="ENEDOM"/>
    <s v="27/06/2025 11:30:49"/>
    <s v="2025-11-20 16:43:26"/>
    <n v="71398480"/>
    <s v="JHON JAIRO UPEGUI RIOS"/>
    <s v="SIN DATOS"/>
    <s v="3117886419"/>
    <s v="RURAL_159162200000000001_PROV.159162200000000000"/>
    <x v="0"/>
    <s v="159162200000000001"/>
    <s v="La Estrella"/>
    <x v="0"/>
    <s v="MET Rev-Inst-Concentra E_CR014"/>
    <x v="0"/>
    <n v="8"/>
    <s v="2025-12-02 16:43:26"/>
    <s v="7 días 16:43"/>
    <s v="1 días 16:43"/>
    <x v="1"/>
    <s v="SIN DATO"/>
    <s v="SIN DATO"/>
    <s v="SIN DATO"/>
    <s v="ABIERTO"/>
    <n v="-75.641568789999994"/>
    <n v="6.1125257299999998"/>
    <s v="SUR-ENE"/>
    <s v="Metropolitana Sur"/>
  </r>
  <r>
    <s v="23479817"/>
    <s v="ENERES"/>
    <s v="NUEVO"/>
    <s v="ENERES"/>
    <s v="04/07/2025 10:03:26"/>
    <s v="2025-11-28 07:55:27"/>
    <n v="32317879"/>
    <s v="ANA EDITH MONTES ECHAVARRIA"/>
    <s v="SIN DATOS"/>
    <s v="3136148458"/>
    <s v="CL 83 C SUR CR 56 B -14 (INTERIOR 301 )"/>
    <x v="0"/>
    <s v="038513306200140301"/>
    <s v="La Estrella"/>
    <x v="2"/>
    <s v="MET Rev-Inst-Concentra E_CR014"/>
    <x v="1"/>
    <n v="7"/>
    <s v="2025-12-10 07:55:27"/>
    <s v="1 días 07:55"/>
    <s v="6 días 07:55"/>
    <x v="0"/>
    <s v="SIN DATO"/>
    <s v="SIN DATO"/>
    <s v="SIN DATO"/>
    <s v="ABIERTO"/>
    <n v="-75.639223900000005"/>
    <n v="6.1534893000000004"/>
    <s v="SUR-ENE"/>
    <s v="Metropolitana Sur"/>
  </r>
  <r>
    <s v="23480587"/>
    <s v="ENERES"/>
    <s v="NUEVO"/>
    <s v="ENEDOM"/>
    <s v="28/11/2025 07:05:58"/>
    <s v="2025-11-28 07:05:58"/>
    <n v="1041351052"/>
    <s v="VERONICA MARIA CORRALES CASTAÑEDA"/>
    <s v="SIN DATOS"/>
    <s v="3053511910"/>
    <s v="161021950000000000"/>
    <x v="3"/>
    <s v="161021950000000001"/>
    <s v="Caldas"/>
    <x v="7"/>
    <s v="MET Rev-Inst-Concentra E_CR014"/>
    <x v="0"/>
    <n v="8"/>
    <s v="2025-12-11 07:05:58"/>
    <s v="1 días 07:05"/>
    <s v="7 días 07:05"/>
    <x v="0"/>
    <s v="SIN DATO"/>
    <s v="SIN DATO"/>
    <s v="SIN DATO"/>
    <s v="ABIERTO"/>
    <n v="-75.639686170000004"/>
    <n v="6.0816494499999996"/>
    <s v="SUR-ENE"/>
    <s v="Metropolitana Sur"/>
  </r>
  <r>
    <s v="23482895"/>
    <s v="ENERES"/>
    <s v="NUEVO"/>
    <s v="ENEDOM"/>
    <s v="08/07/2025 15:29:49"/>
    <s v="2025-11-12 09:55:42"/>
    <n v="1037666442"/>
    <s v="JUAN CAMILO PULGARIN CARDONA"/>
    <s v="SIN DATOS"/>
    <s v="3234371572"/>
    <s v="RURAL_161129490000000001_PROV.161129490000000000"/>
    <x v="3"/>
    <s v="161129490000000001"/>
    <s v="Caldas"/>
    <x v="0"/>
    <s v="MET Rev-Inst-Concentra E_CR014"/>
    <x v="0"/>
    <n v="8"/>
    <s v="2025-11-25 09:55:42"/>
    <s v="12 días 09:55"/>
    <s v="VENCIDO"/>
    <x v="2"/>
    <s v="SIN DATO"/>
    <s v="SIN DATO"/>
    <s v="SIN DATO"/>
    <s v="ABIERTO"/>
    <n v="-75.613804130000005"/>
    <n v="6.0969629300000001"/>
    <s v="SUR-ENE"/>
    <s v="Metropolitana Sur"/>
  </r>
  <r>
    <s v="23483592"/>
    <s v="ENERES"/>
    <s v="CAMBI"/>
    <s v="ENERES"/>
    <s v="09/07/2025 10:56:54"/>
    <s v="2025-11-19 09:22:00"/>
    <n v="71790117"/>
    <s v="JUAN DAVID CUARTAS FRANCO"/>
    <s v="3667245"/>
    <s v="3052529654"/>
    <s v="RURAL_125002630000000106_PARC BALMORAL (CASA 106)"/>
    <x v="5"/>
    <s v="125002630000000106"/>
    <s v="Envigado"/>
    <x v="5"/>
    <s v="METROSUR Vin. Leg. Ref. Concentrada"/>
    <x v="0"/>
    <n v="10"/>
    <s v="2025-12-03 09:22:00"/>
    <s v="8 días 09:22"/>
    <s v="2 días 09:22"/>
    <x v="1"/>
    <s v="SIN DATO"/>
    <s v="SIN DATO"/>
    <s v="SIN DATO"/>
    <s v="ABIERTO"/>
    <n v="-75.532007160000006"/>
    <n v="6.1637369"/>
    <s v="SUR-ENE"/>
    <s v="Metropolitana Sur"/>
  </r>
  <r>
    <s v="23484537"/>
    <s v="ENECNX"/>
    <s v="NUEVO"/>
    <s v="ENECNX"/>
    <s v="21/11/2025 11:06:38"/>
    <s v="2025-11-21 11:06:38"/>
    <n v="830045722"/>
    <s v="CONSORCIO CANALES NACIONALES PRIVADOS"/>
    <s v="SIN DATOS"/>
    <s v="3136478725"/>
    <s v="RURAL_146009909000000000_BOQUERON PALMITAS"/>
    <x v="2"/>
    <s v="146009909000000000"/>
    <s v="Medellín"/>
    <x v="3"/>
    <s v="Revisor Puntos de Conexión Metrosur"/>
    <x v="0"/>
    <n v="4"/>
    <s v="2025-11-27 11:06:38"/>
    <s v="6 días 11:06"/>
    <s v="VENCIDO"/>
    <x v="2"/>
    <s v="SIN DATO"/>
    <s v="SIN DATO"/>
    <s v="SIN DATO"/>
    <s v="ABIERTO"/>
    <n v="-75.687497780000001"/>
    <n v="6.2789320499999999"/>
    <s v="SUR-ENE"/>
    <s v="Metropolitana Sur"/>
  </r>
  <r>
    <s v="23485436"/>
    <s v="ENERES"/>
    <s v="NUEVO"/>
    <s v="ENERES"/>
    <s v="11/07/2025 08:10:25"/>
    <s v="2025-11-19 12:08:16"/>
    <n v="43154304"/>
    <s v="OLGA LUCIA MAZO CHAVARRIA"/>
    <s v="5913330"/>
    <s v="3148096726"/>
    <s v="CR 91 B CL 35 A -22 (INTERIOR 301 )"/>
    <x v="2"/>
    <s v="053921205100220301"/>
    <s v="Medellín"/>
    <x v="2"/>
    <s v="MET Rev-Inst-Concentra E_CR014"/>
    <x v="1"/>
    <n v="7"/>
    <s v="2025-11-28 12:08:16"/>
    <s v="8 días 12:08"/>
    <s v="VENCIDO"/>
    <x v="2"/>
    <s v="SIN DATO"/>
    <s v="SIN DATO"/>
    <s v="SIN DATO"/>
    <s v="ABIERTO"/>
    <n v="-75.614635190000001"/>
    <n v="6.2473113800000002"/>
    <s v="SUR-ENE"/>
    <s v="Metropolitana Sur"/>
  </r>
  <r>
    <s v="23487041"/>
    <s v="ENENOR"/>
    <s v="NUEVO"/>
    <s v="ENENOR"/>
    <s v="14/07/2025 09:02:28"/>
    <s v="2025-11-22 22:37:52"/>
    <n v="32295376"/>
    <s v="ERICA MILENA PEREZ MARTINEZ"/>
    <s v="SIN DATOS"/>
    <s v="3046463544"/>
    <s v="RURAL_116005623000000105"/>
    <x v="2"/>
    <s v="116005623000000105"/>
    <s v="Medellín"/>
    <x v="4"/>
    <s v="Revisor Instal. Regadas Metrosur"/>
    <x v="0"/>
    <n v="10"/>
    <s v="2025-12-05 22:37:52"/>
    <s v="6 días 22:37"/>
    <s v="4 días 22:37"/>
    <x v="0"/>
    <s v="SIN DATO"/>
    <s v="SIN DATO"/>
    <s v="SIN DATO"/>
    <s v="ABIERTO"/>
    <n v="-75.632897909999997"/>
    <n v="6.2321876300000003"/>
    <s v="SUR-ENE"/>
    <s v="Metropolitana Sur"/>
  </r>
  <r>
    <s v="23491968"/>
    <s v="ENERES"/>
    <s v="NUEVO"/>
    <s v="ENERES"/>
    <s v="18/07/2025 16:12:25"/>
    <s v="2025-11-12 21:41:45"/>
    <n v="43818997"/>
    <s v="GLORIA PATRICIA VASQUEZ MONTOYA"/>
    <s v="SIN DATOS"/>
    <s v="3176861950"/>
    <s v="CL 46 CR 29 -88 (INTERIOR 502 )"/>
    <x v="2"/>
    <s v="054216009000880502"/>
    <s v="Medellín"/>
    <x v="2"/>
    <s v="MET Rev-Inst-Concentra E_CR014"/>
    <x v="1"/>
    <n v="7"/>
    <s v="2025-11-24 21:41:45"/>
    <s v="12 días 21:41"/>
    <s v="VENCIDO"/>
    <x v="2"/>
    <s v="SIN DATO"/>
    <s v="SIN DATO"/>
    <s v="SIN DATO"/>
    <s v="ABIERTO"/>
    <n v="-75.553940999999995"/>
    <n v="6.238378"/>
    <s v="SUR-ENE"/>
    <s v="Metropolitana Sur"/>
  </r>
  <r>
    <s v="23495581"/>
    <s v="ENENOR"/>
    <s v="NUEVO"/>
    <s v="ENENOR"/>
    <s v="23/07/2025 16:34:29"/>
    <s v="2025-11-18 09:54:18"/>
    <n v="43985561"/>
    <s v="MARIA JOHANNA CALDERON PALACIO"/>
    <s v="5586487"/>
    <s v="3004198565"/>
    <s v="CR 88 CL 41 -40 (INTERIOR 101 )"/>
    <x v="2"/>
    <s v="054828001000400101"/>
    <s v="Medellín"/>
    <x v="4"/>
    <s v="MET Rev-Inst-Concentra E_CR014"/>
    <x v="1"/>
    <n v="7"/>
    <s v="2025-11-27 09:54:18"/>
    <s v="9 días 09:54"/>
    <s v="VENCIDO"/>
    <x v="2"/>
    <s v="SIN DATO"/>
    <s v="SIN DATO"/>
    <s v="SIN DATO"/>
    <s v="ABIERTO"/>
    <n v="-75.607306429999994"/>
    <n v="6.2495971199999998"/>
    <s v="SUR-ENE"/>
    <s v="Metropolitana Sur"/>
  </r>
  <r>
    <s v="23499103"/>
    <s v="ENERES"/>
    <s v="NUEVO"/>
    <s v="ENERES"/>
    <s v="28/07/2025 16:33:30"/>
    <s v="2025-11-24 10:29:12"/>
    <n v="527471"/>
    <s v="LUIS ALONSO ESPINOSA"/>
    <s v="5129115"/>
    <s v="3192148804"/>
    <s v="CL 26 SUR CR 22 -50 (INTERIOR 104 )"/>
    <x v="5"/>
    <s v="022216002000500104"/>
    <s v="Envigado"/>
    <x v="2"/>
    <s v="Revisor Instal. Regadas Metrosur"/>
    <x v="1"/>
    <n v="7"/>
    <s v="2025-12-03 10:29:12"/>
    <s v="5 días 10:29"/>
    <s v="2 días 10:29"/>
    <x v="1"/>
    <s v="SIN DATO"/>
    <s v="SIN DATO"/>
    <s v="SIN DATO"/>
    <s v="ABIERTO"/>
    <n v="-75.563266999999996"/>
    <n v="6.1705810000000003"/>
    <s v="SUR-ENE"/>
    <s v="Metropolitana Sur"/>
  </r>
  <r>
    <s v="23502063"/>
    <s v="ENENOR"/>
    <s v="CAMBI"/>
    <s v="ENENOR"/>
    <s v="31/07/2025 09:21:58"/>
    <s v="2025-11-27 08:55:52"/>
    <n v="890905211"/>
    <s v="ALCALDIA DE MEDELLIN"/>
    <s v="3854052"/>
    <s v="3015366347"/>
    <s v="CL 18 CR 103 -175 (INTERIOR 9901 )"/>
    <x v="2"/>
    <s v="081018003001759901"/>
    <s v="Medellín"/>
    <x v="1"/>
    <s v="METROSUR Vin. Leg. Ref. Concentrada"/>
    <x v="1"/>
    <n v="7"/>
    <s v="2025-12-09 08:55:52"/>
    <s v="2 días 08:55"/>
    <s v="5 días 08:55"/>
    <x v="0"/>
    <s v="SIN DATO"/>
    <s v="SIN DATO"/>
    <s v="SIN DATO"/>
    <s v="ABIERTO"/>
    <n v="-75.629232000000002"/>
    <n v="6.2234100000000003"/>
    <s v="SUR-ENE"/>
    <s v="Metropolitana Sur"/>
  </r>
  <r>
    <s v="23502220"/>
    <s v="ENERES"/>
    <s v="NUEVO"/>
    <s v="ENEDOM"/>
    <s v="06/08/2025 18:29:54"/>
    <s v="2025-11-20 21:57:25"/>
    <n v="1098806826"/>
    <s v="ESPERANZA COTES CABALLERO"/>
    <s v="SIN DATOS"/>
    <s v="3013652750"/>
    <s v="RURAL_161038400000000002_PROV.161038400000000000"/>
    <x v="3"/>
    <s v="161038400000000002"/>
    <s v="Caldas"/>
    <x v="7"/>
    <s v="Habilitación Viviendas Metrosur"/>
    <x v="0"/>
    <n v="8"/>
    <s v="2025-12-02 21:57:25"/>
    <s v="7 días 21:57"/>
    <s v="1 días 21:57"/>
    <x v="1"/>
    <s v="SIN DATO"/>
    <s v="SIN DATO"/>
    <s v="SIN DATO"/>
    <s v="ABIERTO"/>
    <n v="-75.626904001"/>
    <n v="6.0546154810000399"/>
    <s v="SUR-ENE"/>
    <s v="Metropolitana Sur"/>
  </r>
  <r>
    <s v="23503045"/>
    <s v="ENERES"/>
    <s v="NUEVO"/>
    <s v="ENERES"/>
    <s v="01/08/2025 08:51:18"/>
    <s v="2025-11-15 21:38:44"/>
    <n v="8434330"/>
    <s v="GIULIANY MEJIA RAMIREZ"/>
    <s v="4961696"/>
    <s v="3107012237"/>
    <s v="CR 64 A CL 33 -17 (INTERIOR 402 )"/>
    <x v="1"/>
    <s v="073624103000170402"/>
    <s v="Itaguí"/>
    <x v="2"/>
    <s v="MET Rev-Inst-Concentra E_CR014"/>
    <x v="1"/>
    <n v="7"/>
    <s v="2025-11-26 21:38:44"/>
    <s v="10 días 21:38"/>
    <s v="VENCIDO"/>
    <x v="2"/>
    <s v="SIN DATO"/>
    <s v="SIN DATO"/>
    <s v="SIN DATO"/>
    <s v="ABIERTO"/>
    <n v="-75.635305529999997"/>
    <n v="6.1712143700000004"/>
    <s v="SUR-ENE"/>
    <s v="Metropolitana Sur"/>
  </r>
  <r>
    <s v="23503817"/>
    <s v="ENERES"/>
    <s v="NUEVO"/>
    <s v="ENEDOM"/>
    <s v="01/08/2025 13:38:24"/>
    <s v="2025-11-28 15:29:09"/>
    <n v="44008118"/>
    <s v="MARTHA LUZ RAMIREZ GARCIA"/>
    <s v="SIN DATOS"/>
    <s v="3225989103"/>
    <s v="CR 2 CL 54 -263 (INTERIOR 215 )"/>
    <x v="2"/>
    <s v="055022004002630215"/>
    <s v="Medellín"/>
    <x v="0"/>
    <s v="Habilitación Viviendas Metrosur"/>
    <x v="1"/>
    <n v="5"/>
    <s v="2025-12-05 15:29:09"/>
    <s v="1 días 15:29"/>
    <s v="4 días 15:29"/>
    <x v="0"/>
    <s v="SIN DATO"/>
    <s v="SIN DATO"/>
    <s v="SIN DATO"/>
    <s v="ABIERTO"/>
    <n v="-75.529520000000005"/>
    <n v="6.2338480000000001"/>
    <s v="SUR-ENE"/>
    <s v="Metropolitana Sur"/>
  </r>
  <r>
    <s v="23505532"/>
    <s v="ENEPRE"/>
    <s v="RETIR"/>
    <s v="ENEPRE"/>
    <s v="04/08/2025 15:11:24"/>
    <s v="2025-11-27 15:01:48"/>
    <n v="14253910"/>
    <s v="JULIO CESAR SALAZAR MONTOYA"/>
    <s v="SIN DATOS"/>
    <s v="3015103382"/>
    <s v="CR 51 CL 41 -139 (INTERIOR 2000 )"/>
    <x v="2"/>
    <s v="054521001001392000-ENEPRE"/>
    <s v="Medellín"/>
    <x v="8"/>
    <s v="Energía Prepago Metrosur"/>
    <x v="1"/>
    <n v="11"/>
    <s v="2025-12-15 15:01:48"/>
    <s v="2 días 15:01"/>
    <s v="9 días 15:01"/>
    <x v="0"/>
    <s v="SIN DATO"/>
    <s v="SIN DATO"/>
    <s v="SIN DATO"/>
    <s v="ABIERTO"/>
    <n v="-75.571463730000005"/>
    <n v="6.2433336199999996"/>
    <s v="SUR-ENE"/>
    <s v="Metropolitana Sur"/>
  </r>
  <r>
    <s v="23506543"/>
    <s v="ENERES"/>
    <s v="NUEVO"/>
    <s v="ENERES"/>
    <s v="05/08/2025 13:51:54"/>
    <s v="2025-11-19 16:04:26"/>
    <n v="42996563"/>
    <s v="ALBA CECILIA VARGAS FLOREZ"/>
    <s v="3229898"/>
    <s v="3012800705"/>
    <s v="CL 1 C CR 66 -76 (INTERIOR 101 )"/>
    <x v="2"/>
    <s v="050611306000760101"/>
    <s v="Medellín"/>
    <x v="2"/>
    <s v="MET Rev-Inst-Concentra E_CR014"/>
    <x v="1"/>
    <n v="7"/>
    <s v="2025-11-28 16:04:26"/>
    <s v="8 días 16:04"/>
    <s v="VENCIDO"/>
    <x v="2"/>
    <s v="SIN DATO"/>
    <s v="SIN DATO"/>
    <s v="SIN DATO"/>
    <s v="ABIERTO"/>
    <n v="-75.589658009999994"/>
    <n v="6.2109658699999999"/>
    <s v="SUR-ENE"/>
    <s v="Metropolitana Sur"/>
  </r>
  <r>
    <s v="23506565"/>
    <s v="ENERES"/>
    <s v="NUEVO"/>
    <s v="ENERES"/>
    <s v="05/08/2025 14:05:44"/>
    <s v="2025-11-19 16:01:57"/>
    <n v="42996563"/>
    <s v="ALBA CECILIA VARGAS FLOREZ"/>
    <s v="3229898"/>
    <s v="3012800705"/>
    <s v="CL 1 C CR 66 -76 (INTERIOR 201 )"/>
    <x v="2"/>
    <s v="050611306000760201"/>
    <s v="Medellín"/>
    <x v="2"/>
    <s v="MET Rev-Inst-Concentra E_CR014"/>
    <x v="1"/>
    <n v="7"/>
    <s v="2025-11-28 16:01:57"/>
    <s v="8 días 16:01"/>
    <s v="VENCIDO"/>
    <x v="2"/>
    <s v="SIN DATO"/>
    <s v="SIN DATO"/>
    <s v="SIN DATO"/>
    <s v="ABIERTO"/>
    <n v="-75.589658009999994"/>
    <n v="6.2109658699999999"/>
    <s v="SUR-ENE"/>
    <s v="Metropolitana Sur"/>
  </r>
  <r>
    <s v="23507490"/>
    <s v="ENERES"/>
    <s v="NUEVO"/>
    <s v="ENERES"/>
    <s v="06/08/2025 11:57:39"/>
    <s v="2025-11-28 12:14:19"/>
    <n v="42883669"/>
    <s v="RUBY ESPERANZA CASTRO GONZALEZ"/>
    <s v="SIN DATOS"/>
    <s v="3225981707"/>
    <s v="CL 40 SUR CR 25 AA -54 (INTERIOR 101 )"/>
    <x v="5"/>
    <s v="024210005110540101"/>
    <s v="Envigado"/>
    <x v="2"/>
    <s v="Revisor Instal. Regadas Metrosur"/>
    <x v="1"/>
    <n v="7"/>
    <s v="2025-12-10 12:14:19"/>
    <s v="1 días 12:14"/>
    <s v="6 días 12:14"/>
    <x v="0"/>
    <s v="SIN DATO"/>
    <s v="SIN DATO"/>
    <s v="SIN DATO"/>
    <s v="ABIERTO"/>
    <n v="-75.580210710000003"/>
    <n v="6.1552209400000004"/>
    <s v="SUR-ENE"/>
    <s v="Metropolitana Sur"/>
  </r>
  <r>
    <s v="23509049"/>
    <s v="ENERES"/>
    <s v="NUEVO"/>
    <s v="ENERES"/>
    <s v="08/08/2025 15:24:19"/>
    <s v="2025-11-25 21:51:37"/>
    <n v="21553775"/>
    <s v="MARIA ISABEL ZULETA MARTINEZ"/>
    <s v="SIN DATOS"/>
    <s v="3218566213"/>
    <s v="CL 2 B CR 81 B -213 (INTERIOR 387 )"/>
    <x v="2"/>
    <s v="050812201202130387"/>
    <s v="Medellín"/>
    <x v="2"/>
    <s v="METROSUR Vin. Leg. Ref. Concentrada"/>
    <x v="1"/>
    <n v="7"/>
    <s v="2025-12-04 21:51:37"/>
    <s v="4 días 21:51"/>
    <s v="3 días 21:51"/>
    <x v="0"/>
    <s v="SIN DATO"/>
    <s v="SIN DATO"/>
    <s v="SIN DATO"/>
    <s v="ABIERTO"/>
    <n v="-75.606078539999999"/>
    <n v="6.2103835299999997"/>
    <s v="SUR-ENE"/>
    <s v="Metropolitana Sur"/>
  </r>
  <r>
    <s v="23509695"/>
    <s v="ENERES"/>
    <s v="NUEVO"/>
    <s v="ENERES"/>
    <s v="11/08/2025 09:50:49"/>
    <s v="2025-11-28 12:13:13"/>
    <n v="42883669"/>
    <s v="RUBY ESPERANZA CASTRO GONZALEZ"/>
    <s v="SIN DATOS"/>
    <s v="3225981707"/>
    <s v="CL 40 SUR CR 25 AA -46"/>
    <x v="5"/>
    <s v="024210005110460000"/>
    <s v="Envigado"/>
    <x v="2"/>
    <s v="Revisor Instal. Regadas Metrosur"/>
    <x v="1"/>
    <n v="7"/>
    <s v="2025-12-10 12:13:13"/>
    <s v="1 días 12:13"/>
    <s v="6 días 12:13"/>
    <x v="0"/>
    <s v="SIN DATO"/>
    <s v="SIN DATO"/>
    <s v="SIN DATO"/>
    <s v="ABIERTO"/>
    <n v="-75.580198069999994"/>
    <n v="6.1551497199999998"/>
    <s v="SUR-ENE"/>
    <s v="Metropolitana Sur"/>
  </r>
  <r>
    <s v="23509698"/>
    <s v="ENERES"/>
    <s v="NUEVO"/>
    <s v="ENEDOM"/>
    <s v="21/10/2025 15:31:36"/>
    <s v="2025-11-24 14:41:13"/>
    <n v="32312831"/>
    <s v="MARIA ALIRIA BUILES BEDOYA"/>
    <s v="SIN DATOS"/>
    <s v="3137479857"/>
    <s v="RURAL_146032900000000002_PROV.RURAL_14603290000000"/>
    <x v="2"/>
    <s v="146032900000000002"/>
    <s v="Medellín"/>
    <x v="7"/>
    <s v="Habilitación Viviendas Metrosur"/>
    <x v="0"/>
    <n v="8"/>
    <s v="2025-12-04 14:41:13"/>
    <s v="5 días 14:41"/>
    <s v="3 días 14:41"/>
    <x v="0"/>
    <s v="SIN DATO"/>
    <s v="SIN DATO"/>
    <s v="SIN DATO"/>
    <s v="ABIERTO"/>
    <n v="-75.707118449999996"/>
    <n v="6.3659890099999998"/>
    <s v="SUR-ENE"/>
    <s v="Metropolitana Sur"/>
  </r>
  <r>
    <s v="23510125"/>
    <s v="ENERES"/>
    <s v="NUEVO"/>
    <s v="ENERES"/>
    <s v="11/08/2025 14:52:53"/>
    <s v="2025-11-22 22:29:03"/>
    <n v="8128828"/>
    <s v="FREDIS ALBERTO MOSQUERA PEDROZA"/>
    <s v="SIN DATOS"/>
    <s v="3122118503"/>
    <s v="CL 42 SUR CR 66 -46 (INTERIOR 117 )"/>
    <x v="2"/>
    <s v="044612006000460117"/>
    <s v="Medellín"/>
    <x v="2"/>
    <s v="Revisor Instal. Regadas Metrosur"/>
    <x v="1"/>
    <n v="7"/>
    <s v="2025-12-02 22:29:03"/>
    <s v="6 días 22:29"/>
    <s v="1 días 22:29"/>
    <x v="1"/>
    <s v="SIN DATO"/>
    <s v="SIN DATO"/>
    <s v="SIN DATO"/>
    <s v="ABIERTO"/>
    <n v="-75.647742879999996"/>
    <n v="6.1830394599999998"/>
    <s v="SUR-ENE"/>
    <s v="Metropolitana Sur"/>
  </r>
  <r>
    <s v="23512182"/>
    <s v="ENERES"/>
    <s v="NUEVO"/>
    <s v="ENERES"/>
    <s v="13/08/2025 11:31:37"/>
    <s v="2025-11-28 08:59:12"/>
    <n v="43029293"/>
    <s v="SILVIA INES HIDALGO MANCO"/>
    <s v="SIN DATOS"/>
    <s v="3106149430"/>
    <s v="CR 90 CL 44 B -9 (INTERIOR 301 )"/>
    <x v="2"/>
    <s v="054920004200090301"/>
    <s v="Medellín"/>
    <x v="2"/>
    <s v="MET Rev-Inst-Concentra E_CR014"/>
    <x v="1"/>
    <n v="7"/>
    <s v="2025-12-10 08:59:12"/>
    <s v="1 días 08:59"/>
    <s v="6 días 08:59"/>
    <x v="0"/>
    <s v="SIN DATO"/>
    <s v="SIN DATO"/>
    <s v="SIN DATO"/>
    <s v="ABIERTO"/>
    <n v="-75.606602629999998"/>
    <n v="6.2538589800000004"/>
    <s v="SUR-ENE"/>
    <s v="Metropolitana Sur"/>
  </r>
  <r>
    <s v="23512401"/>
    <s v="ENERES"/>
    <s v="NUEVO"/>
    <s v="ENERES"/>
    <s v="13/08/2025 15:07:42"/>
    <s v="2025-11-20 21:58:23"/>
    <n v="71722829"/>
    <s v="FREDY ARISMENDY SIERRA"/>
    <s v="SIN DATOS"/>
    <s v="3158384060"/>
    <s v="CR 89 CL 31 -72"/>
    <x v="2"/>
    <s v="053829001000720000"/>
    <s v="Medellín"/>
    <x v="2"/>
    <s v="MET Rev-Inst-Concentra E_CR014"/>
    <x v="1"/>
    <n v="7"/>
    <s v="2025-12-01 21:58:23"/>
    <s v="7 días 21:58"/>
    <s v="0 días 21:58"/>
    <x v="3"/>
    <s v="SIN DATO"/>
    <s v="SIN DATO"/>
    <s v="SIN DATO"/>
    <s v="ABIERTO"/>
    <n v="-75.612865839999998"/>
    <n v="6.2336444799999997"/>
    <s v="SUR-ENE"/>
    <s v="Metropolitana Sur"/>
  </r>
  <r>
    <s v="23512919"/>
    <s v="ENEPRE"/>
    <s v="NUEVO"/>
    <s v="ENEPRE"/>
    <s v="14/08/2025 09:20:46"/>
    <s v="2025-11-25 09:42:47"/>
    <n v="70876152"/>
    <s v="ALONSO ALZATE OROZCO"/>
    <s v="SIN DATOS"/>
    <s v="3004349926"/>
    <s v="CL 80 SUR CR 63 A -0 (INTERIOR 5000 )"/>
    <x v="0"/>
    <s v="038610003100005000"/>
    <s v="La Estrella"/>
    <x v="0"/>
    <s v="MET Rev-Inst-Concentra E_CR014"/>
    <x v="1"/>
    <n v="5"/>
    <s v="2025-12-02 09:42:47"/>
    <s v="4 días 09:42"/>
    <s v="1 días 09:42"/>
    <x v="1"/>
    <s v="SIN DATO"/>
    <s v="SIN DATO"/>
    <s v="SIN DATO"/>
    <s v="ABIERTO"/>
    <n v="-75.646382290000005"/>
    <n v="6.1591179900000004"/>
    <s v="SUR-ENE"/>
    <s v="Metropolitana Sur"/>
  </r>
  <r>
    <s v="23513266"/>
    <s v="ENERES"/>
    <s v="NUEVO"/>
    <s v="ENERES"/>
    <s v="14/08/2025 12:56:05"/>
    <s v="2025-11-26 09:21:21"/>
    <n v="32402829"/>
    <s v="MARIA NELLY BEATRIZ CASTRILLON ESPITIA"/>
    <s v="4591916"/>
    <s v="3137394493"/>
    <s v="CR 33 CL 44 -7"/>
    <x v="2"/>
    <s v="054323004000070000"/>
    <s v="Medellín"/>
    <x v="2"/>
    <s v="Revisor Instal. Regadas Metrosur"/>
    <x v="1"/>
    <n v="7"/>
    <s v="2025-12-05 09:21:21"/>
    <s v="3 días 09:21"/>
    <s v="4 días 09:21"/>
    <x v="0"/>
    <s v="SIN DATO"/>
    <s v="SIN DATO"/>
    <s v="SIN DATO"/>
    <s v="ABIERTO"/>
    <n v="-75.556740000000005"/>
    <n v="6.2386150000000002"/>
    <s v="SUR-ENE"/>
    <s v="Metropolitana Sur"/>
  </r>
  <r>
    <s v="23513566"/>
    <s v="ENERES"/>
    <s v="NUEVO"/>
    <s v="ENEDOM"/>
    <s v="28/11/2025 07:19:45"/>
    <s v="2025-11-28 07:19:45"/>
    <n v="43151376"/>
    <s v="ADRIANA MARIA OROZCO JIMENEZ"/>
    <s v="2392918"/>
    <s v="3022813132"/>
    <s v="CR 34 CL 34 C -41 (INTERIOR 201 )"/>
    <x v="2"/>
    <s v="053324004300410201"/>
    <s v="Medellín"/>
    <x v="7"/>
    <s v="Habilitación Viviendas Metrosur"/>
    <x v="1"/>
    <n v="5"/>
    <s v="2025-12-05 07:19:45"/>
    <s v="1 días 07:19"/>
    <s v="4 días 07:19"/>
    <x v="0"/>
    <s v="SIN DATO"/>
    <s v="SIN DATO"/>
    <s v="SIN DATO"/>
    <s v="ABIERTO"/>
    <n v="-75.610884501000001"/>
    <n v="6.2574398200000596"/>
    <s v="SUR-ENE"/>
    <s v="Metropolitana Sur"/>
  </r>
  <r>
    <s v="23513834"/>
    <s v="ENERES"/>
    <s v="NUEVO"/>
    <s v="ENEDOM"/>
    <s v="14/08/2025 16:33:51"/>
    <s v="2025-11-28 21:46:12"/>
    <n v="1000898616"/>
    <s v="VALENTINA ANGARITA ESCOBAR"/>
    <s v="SIN DATOS"/>
    <s v="3017071052"/>
    <s v="CR 134 CL 62 -71 (INTERIOR 302 )"/>
    <x v="2"/>
    <s v="086324002000710302"/>
    <s v="Medellín"/>
    <x v="0"/>
    <s v="Habilitación Viviendas Metrosur"/>
    <x v="1"/>
    <n v="5"/>
    <s v="2025-12-05 21:46:12"/>
    <s v="1 días 21:46"/>
    <s v="4 días 21:46"/>
    <x v="0"/>
    <s v="SIN DATO"/>
    <s v="SIN DATO"/>
    <s v="SIN DATO"/>
    <s v="ABIERTO"/>
    <n v="-75.639285790000002"/>
    <n v="6.2785502800000001"/>
    <s v="SUR-ENE"/>
    <s v="Metropolitana Sur"/>
  </r>
  <r>
    <s v="23513852"/>
    <s v="ENERES"/>
    <s v="NUEVO"/>
    <s v="ENEDOM"/>
    <s v="14/08/2025 16:47:56"/>
    <s v="2025-11-28 21:46:17"/>
    <n v="1216725824"/>
    <s v="KEVIN ANDERSON ESCOBAR AVENDAÑO"/>
    <s v="SIN DATOS"/>
    <s v="3116438559"/>
    <s v="CR 134 CL 62 -71 (INTERIOR 301 )"/>
    <x v="2"/>
    <s v="086324002000710301"/>
    <s v="Medellín"/>
    <x v="0"/>
    <s v="Habilitación Viviendas Metrosur"/>
    <x v="1"/>
    <n v="5"/>
    <s v="2025-12-05 21:46:17"/>
    <s v="1 días 21:46"/>
    <s v="4 días 21:46"/>
    <x v="0"/>
    <s v="SIN DATO"/>
    <s v="SIN DATO"/>
    <s v="SIN DATO"/>
    <s v="ABIERTO"/>
    <n v="-75.639277840000005"/>
    <n v="6.2785703499999999"/>
    <s v="SUR-ENE"/>
    <s v="Metropolitana Sur"/>
  </r>
  <r>
    <s v="23514427"/>
    <s v="ENERES"/>
    <s v="NUEVO"/>
    <s v="ENERES"/>
    <s v="15/08/2025 11:12:48"/>
    <s v="2025-11-20 16:43:32"/>
    <n v="8036062"/>
    <s v="DANIEL DE JESUS RODRIGUEZ HERNANDEZ"/>
    <s v="SIN DATOS"/>
    <s v="3204553651"/>
    <s v="RURAL_159142107000000001"/>
    <x v="0"/>
    <s v="159142107000000001"/>
    <s v="La Estrella"/>
    <x v="2"/>
    <s v="MET Rev-Inst-Concentra E_CR014"/>
    <x v="0"/>
    <n v="10"/>
    <s v="2025-12-04 16:43:32"/>
    <s v="7 días 16:43"/>
    <s v="3 días 16:43"/>
    <x v="0"/>
    <s v="SIN DATO"/>
    <s v="SIN DATO"/>
    <s v="SIN DATO"/>
    <s v="ABIERTO"/>
    <n v="-75.647189999999995"/>
    <n v="6.1162409999999996"/>
    <s v="SUR-ENE"/>
    <s v="Metropolitana Sur"/>
  </r>
  <r>
    <s v="23514708"/>
    <s v="ENERES"/>
    <s v="NUEVO"/>
    <s v="ENERES"/>
    <s v="15/08/2025 15:32:29"/>
    <s v="2025-11-22 22:29:51"/>
    <n v="43081514"/>
    <s v="JANETT PATRICIA QUINTERO LOAIZA"/>
    <s v="SIN DATOS"/>
    <s v="3165279652"/>
    <s v="CL 36 B CR 31 -9 (INTERIOR 201 )"/>
    <x v="2"/>
    <s v="053316201000090201"/>
    <s v="Medellín"/>
    <x v="2"/>
    <s v="Revisor Instal. Regadas Metrosur"/>
    <x v="1"/>
    <n v="7"/>
    <s v="2025-12-02 22:29:51"/>
    <s v="6 días 22:29"/>
    <s v="1 días 22:29"/>
    <x v="1"/>
    <s v="SIN DATO"/>
    <s v="SIN DATO"/>
    <s v="SIN DATO"/>
    <s v="ABIERTO"/>
    <n v="-75.558314999999993"/>
    <n v="6.2342110000000002"/>
    <s v="SUR-ENE"/>
    <s v="Metropolitana Sur"/>
  </r>
  <r>
    <s v="23516267"/>
    <s v="ENERES"/>
    <s v="NUEVO"/>
    <s v="ENEDOM"/>
    <s v="19/08/2025 14:49:51"/>
    <s v="2025-11-20 16:43:39"/>
    <n v="15254482"/>
    <s v="JESUS ALBERTO OCAMPO ACEVEDO"/>
    <s v="SIN DATOS"/>
    <s v="3146306770"/>
    <s v="RURAL_159149432000000103_PROV.159149432000000101"/>
    <x v="0"/>
    <s v="159149432000000103"/>
    <s v="La Estrella"/>
    <x v="0"/>
    <s v="MET Rev-Inst-Concentra E_CR014"/>
    <x v="0"/>
    <n v="8"/>
    <s v="2025-12-02 16:43:39"/>
    <s v="7 días 16:43"/>
    <s v="1 días 16:43"/>
    <x v="1"/>
    <s v="SIN DATO"/>
    <s v="SIN DATO"/>
    <s v="SIN DATO"/>
    <s v="ABIERTO"/>
    <n v="-75.635412130000006"/>
    <n v="6.1188385900000002"/>
    <s v="SUR-ENE"/>
    <s v="Metropolitana Sur"/>
  </r>
  <r>
    <s v="23516279"/>
    <s v="ENERES"/>
    <s v="NUEVO"/>
    <s v="ENEDOM"/>
    <s v="19/08/2025 14:56:01"/>
    <s v="2025-11-28 14:52:17"/>
    <n v="32292074"/>
    <s v="GLORIA YANETH LONDOÑO FRANCO"/>
    <s v="SIN DATOS"/>
    <s v="3137249298"/>
    <s v="CL 55 CR 106 -48 (INTERIOR 201 )"/>
    <x v="2"/>
    <s v="085015006000480201"/>
    <s v="Medellín"/>
    <x v="0"/>
    <s v="Habilitación Viviendas Metrosur"/>
    <x v="1"/>
    <n v="5"/>
    <s v="2025-12-05 14:52:17"/>
    <s v="1 días 14:52"/>
    <s v="4 días 14:52"/>
    <x v="0"/>
    <s v="SIN DATO"/>
    <s v="SIN DATO"/>
    <s v="SIN DATO"/>
    <s v="ABIERTO"/>
    <n v="-75.612482"/>
    <n v="6.271528"/>
    <s v="SUR-ENE"/>
    <s v="Metropolitana Sur"/>
  </r>
  <r>
    <s v="23516976"/>
    <s v="ENERES"/>
    <s v="NUEVO"/>
    <s v="ENERES"/>
    <s v="20/08/2025 10:03:04"/>
    <s v="2025-11-22 22:28:58"/>
    <n v="8433185"/>
    <s v="WILMAR ARLEY GARCIA GONZALEZ"/>
    <s v="1111111"/>
    <s v="3233186886"/>
    <s v="CR 65 CL 29 -25 (INTERIOR 501 )"/>
    <x v="1"/>
    <s v="072625009000250501"/>
    <s v="Itaguí"/>
    <x v="2"/>
    <s v="MET Rev-Inst-Concentra E_CR014"/>
    <x v="1"/>
    <n v="7"/>
    <s v="2025-12-02 22:28:58"/>
    <s v="6 días 22:28"/>
    <s v="1 días 22:28"/>
    <x v="1"/>
    <s v="SIN DATO"/>
    <s v="SIN DATO"/>
    <s v="SIN DATO"/>
    <s v="ABIERTO"/>
    <n v="-75.638063889999998"/>
    <n v="6.1702879900000003"/>
    <s v="SUR-ENE"/>
    <s v="Metropolitana Sur"/>
  </r>
  <r>
    <s v="23517392"/>
    <s v="ENERES"/>
    <s v="NUEVO"/>
    <s v="ENERES"/>
    <s v="20/08/2025 14:45:55"/>
    <s v="2025-11-12 09:58:00"/>
    <n v="43681923"/>
    <s v="LILIANA MARIA ACEVEDO MARULANDA"/>
    <s v="SIN DATOS"/>
    <s v="3008815414"/>
    <s v="RURAL_161142030000000001_PROV.RURAL_16114203000000"/>
    <x v="3"/>
    <s v="161142030000000001"/>
    <s v="Caldas"/>
    <x v="2"/>
    <s v="MET Rev-Inst-Concentra E_CR014"/>
    <x v="0"/>
    <n v="10"/>
    <s v="2025-11-27 09:58:00"/>
    <s v="12 días 09:58"/>
    <s v="VENCIDO"/>
    <x v="2"/>
    <s v="SIN DATO"/>
    <s v="SIN DATO"/>
    <s v="SIN DATO"/>
    <s v="ABIERTO"/>
    <n v="-75.622718340000006"/>
    <n v="6.1024570499999999"/>
    <s v="SUR-ENE"/>
    <s v="Metropolitana Sur"/>
  </r>
  <r>
    <s v="23517681"/>
    <s v="ENERES"/>
    <s v="NUEVO"/>
    <s v="ENERES"/>
    <s v="20/08/2025 17:07:15"/>
    <s v="2025-11-26 14:11:34"/>
    <n v="42870318"/>
    <s v="LUZ MARINA MARIN VALENCIA"/>
    <s v="4539142"/>
    <s v="3217942765"/>
    <s v="CL 9 A SUR CR 56 D -21 (INTERIOR 111 )"/>
    <x v="2"/>
    <s v="040519106400210111"/>
    <s v="Medellín"/>
    <x v="2"/>
    <s v="Revisor Instal. Regadas Metrosur"/>
    <x v="1"/>
    <n v="7"/>
    <s v="2025-12-05 14:11:34"/>
    <s v="3 días 14:11"/>
    <s v="4 días 14:11"/>
    <x v="0"/>
    <s v="DESCARTADO"/>
    <s v="JUAN GUILLERMO RIVERA MAZO"/>
    <s v="460 falta marcación en acrílico en la puerta de gabinete y en los breakers corregir la entrada de la acometida interna esta no debe pasar por los compartimientos de acometida principal y medidores debe ser directa al compartimiento de los breakers"/>
    <s v="ABIERTO"/>
    <n v="-75.595949000000005"/>
    <n v="6.201816"/>
    <s v="SUR-ENE"/>
    <s v="Metropolitana Sur"/>
  </r>
  <r>
    <s v="23518427"/>
    <s v="ENERES"/>
    <s v="NUEVO"/>
    <s v="ENERES"/>
    <s v="21/08/2025 12:03:55"/>
    <s v="2025-11-27 21:54:54"/>
    <n v="43978558"/>
    <s v="ANA MARIA ORTEGA ALVAREZ"/>
    <s v="SIN DATOS"/>
    <s v="3194191348"/>
    <s v="RURAL_023222005002200136_PROV.VDA SANTA CATALINA"/>
    <x v="5"/>
    <s v="023222005002200136"/>
    <s v="Envigado"/>
    <x v="2"/>
    <s v="Revisor Instal. Regadas Metrosur"/>
    <x v="1"/>
    <n v="7"/>
    <s v="2025-12-09 21:54:54"/>
    <s v="2 días 21:54"/>
    <s v="5 días 21:54"/>
    <x v="0"/>
    <s v="SIN DATO"/>
    <s v="SIN DATO"/>
    <s v="SIN DATO"/>
    <s v="ABIERTO"/>
    <n v="-75.556946440000004"/>
    <n v="6.1667514900000002"/>
    <s v="SUR-ENE"/>
    <s v="Metropolitana Sur"/>
  </r>
  <r>
    <s v="23518559"/>
    <s v="ENERES"/>
    <s v="NUEVO"/>
    <s v="ENERES"/>
    <s v="21/08/2025 14:18:39"/>
    <s v="2025-11-27 21:54:32"/>
    <n v="98639586"/>
    <s v="ANDRES FELIPE CARMONA DEL VALLE"/>
    <s v="2214881"/>
    <s v="3108363535"/>
    <s v="CR 22 CL 52 -33 (INTERIOR 101 )"/>
    <x v="2"/>
    <s v="055222002000330101"/>
    <s v="Medellín"/>
    <x v="2"/>
    <s v="Revisor Instal. Regadas Metrosur"/>
    <x v="1"/>
    <n v="7"/>
    <s v="2025-12-09 21:54:32"/>
    <s v="2 días 21:54"/>
    <s v="5 días 21:54"/>
    <x v="0"/>
    <s v="SIN DATO"/>
    <s v="SIN DATO"/>
    <s v="SIN DATO"/>
    <s v="ABIERTO"/>
    <n v="-75.545385010000004"/>
    <n v="6.2406586099999997"/>
    <s v="SUR-ENE"/>
    <s v="Metropolitana Sur"/>
  </r>
  <r>
    <s v="23520528"/>
    <s v="ENERES"/>
    <s v="NUEVO"/>
    <s v="ENERES"/>
    <s v="22/08/2025 17:37:51"/>
    <s v="2025-11-19 12:06:17"/>
    <n v="43154304"/>
    <s v="OLGA LUCIA MAZO CHAVARRIA"/>
    <s v="5913330"/>
    <s v="3148298310"/>
    <s v="CR 91 B CL 35 A -22 (INTERIOR 201 )"/>
    <x v="2"/>
    <s v="053921205100220201"/>
    <s v="Medellín"/>
    <x v="2"/>
    <s v="MET Rev-Inst-Concentra E_CR014"/>
    <x v="1"/>
    <n v="7"/>
    <s v="2025-11-28 12:06:17"/>
    <s v="8 días 12:06"/>
    <s v="VENCIDO"/>
    <x v="2"/>
    <s v="SIN DATO"/>
    <s v="SIN DATO"/>
    <s v="SIN DATO"/>
    <s v="ABIERTO"/>
    <n v="-75.614635190000001"/>
    <n v="6.2473113800000002"/>
    <s v="SUR-ENE"/>
    <s v="Metropolitana Sur"/>
  </r>
  <r>
    <s v="23521342"/>
    <s v="ENEGED"/>
    <s v="CAMBI"/>
    <s v="ENEGED"/>
    <s v="25/08/2025 10:40:27"/>
    <s v="2025-11-21 14:37:03"/>
    <n v="900548173"/>
    <s v="MASIVO DE OCCIDENTE SAS"/>
    <s v="SIN DATOS"/>
    <s v="3043786563"/>
    <s v="CL 8 B CR 65 -281"/>
    <x v="2"/>
    <s v="050618205002810000"/>
    <s v="Medellín"/>
    <x v="2"/>
    <s v="AGPE Metropolitana Sur"/>
    <x v="1"/>
    <n v="7"/>
    <s v="2025-12-02 14:37:03"/>
    <s v="6 días 14:37"/>
    <s v="1 días 14:37"/>
    <x v="1"/>
    <s v="SIN DATO"/>
    <s v="SIN DATO"/>
    <s v="SIN DATO"/>
    <s v="ABIERTO"/>
    <n v="-75.589029120000006"/>
    <n v="6.2157494299999998"/>
    <s v="SUR-ENE"/>
    <s v="Metropolitana Sur"/>
  </r>
  <r>
    <s v="23521512"/>
    <s v="ENERES"/>
    <s v="NUEVO"/>
    <s v="ENEDOM"/>
    <s v="25/08/2025 12:31:48"/>
    <s v="2025-11-25 11:44:29"/>
    <n v="6789185"/>
    <s v="LUIS FERNANDO USUGA TANGARIFE"/>
    <s v="SIN DATOS"/>
    <s v="3148892916"/>
    <s v="CR 112 B CL 36 C -88"/>
    <x v="2"/>
    <s v="083122206300880000"/>
    <s v="Medellín"/>
    <x v="0"/>
    <s v="Habilitación Viviendas Metrosur"/>
    <x v="1"/>
    <n v="5"/>
    <s v="2025-12-02 11:44:29"/>
    <s v="4 días 11:44"/>
    <s v="1 días 11:44"/>
    <x v="1"/>
    <s v="SIN DATO"/>
    <s v="SIN DATO"/>
    <s v="SIN DATO"/>
    <s v="ABIERTO"/>
    <n v="-75.624357669999995"/>
    <n v="6.2498781599999997"/>
    <s v="SUR-ENE"/>
    <s v="Metropolitana Sur"/>
  </r>
  <r>
    <s v="23521718"/>
    <s v="ENEPRE"/>
    <s v="NUEVO"/>
    <s v="ENEPRE"/>
    <s v="25/08/2025 15:05:17"/>
    <s v="2025-11-25 21:51:53"/>
    <n v="98569867"/>
    <s v="OSCAR ADRIAN FERNANDEZ ZAPATA"/>
    <s v="2533134"/>
    <s v="3002394339"/>
    <s v="CL 42 CR 105 -5 (INTERIOR 100 )"/>
    <x v="2"/>
    <s v="084012005000050100"/>
    <s v="Medellín"/>
    <x v="0"/>
    <s v="Energía Prepago Metrosur"/>
    <x v="1"/>
    <n v="5"/>
    <s v="2025-12-02 21:51:53"/>
    <s v="4 días 21:51"/>
    <s v="1 días 21:51"/>
    <x v="1"/>
    <s v="SIN DATO"/>
    <s v="SIN DATO"/>
    <s v="SIN DATO"/>
    <s v="ABIERTO"/>
    <n v="-75.619748099999995"/>
    <n v="6.2555037200000001"/>
    <s v="SUR-ENE"/>
    <s v="Metropolitana Sur"/>
  </r>
  <r>
    <s v="23522515"/>
    <s v="ENERES"/>
    <s v="NUEVO"/>
    <s v="ENERES"/>
    <s v="26/08/2025 08:14:42"/>
    <s v="2025-11-28 09:45:06"/>
    <n v="43057046"/>
    <s v="PATRICIA ELENA MORALES DE VANEGAS"/>
    <s v="SIN DATOS"/>
    <s v="3128466943"/>
    <s v="RURAL_159047653000000001"/>
    <x v="0"/>
    <s v="159047653000000001"/>
    <s v="La Estrella"/>
    <x v="2"/>
    <s v="MET Rev-Inst-Concentra E_CR014"/>
    <x v="0"/>
    <n v="10"/>
    <s v="2025-12-15 09:45:06"/>
    <s v="1 días 09:45"/>
    <s v="9 días 09:45"/>
    <x v="0"/>
    <s v="SIN DATO"/>
    <s v="SIN DATO"/>
    <s v="SIN DATO"/>
    <s v="ABIERTO"/>
    <n v="-75.634586330000005"/>
    <n v="6.1472644900000004"/>
    <s v="SUR-ENE"/>
    <s v="Metropolitana Sur"/>
  </r>
  <r>
    <s v="23522866"/>
    <s v="ENERES"/>
    <s v="NUEVO"/>
    <s v="ENERES"/>
    <s v="26/08/2025 12:05:05"/>
    <s v="2025-11-29 14:14:10"/>
    <n v="42935746"/>
    <s v="GLORIA ESTER ZEA VELASQUEZ"/>
    <s v="4958401"/>
    <s v="3128842978"/>
    <s v="CL 17 CR 71 -51 (INTERIOR 301 )"/>
    <x v="2"/>
    <s v="051717001000510301"/>
    <s v="Medellín"/>
    <x v="2"/>
    <s v="Revisor Instal. Regadas Metrosur"/>
    <x v="1"/>
    <n v="7"/>
    <s v="2025-12-10 14:14:10"/>
    <s v="1 días 14:14"/>
    <s v="6 días 14:14"/>
    <x v="0"/>
    <s v="SIN DATO"/>
    <s v="SIN DATO"/>
    <s v="SIN DATO"/>
    <s v="ABIERTO"/>
    <n v="-75.593886560000001"/>
    <n v="6.2221089599999999"/>
    <s v="SUR-ENE"/>
    <s v="Metropolitana Sur"/>
  </r>
  <r>
    <s v="23522996"/>
    <s v="ENENOR"/>
    <s v="NUEVO"/>
    <s v="ENENOR"/>
    <s v="26/08/2025 13:37:00"/>
    <s v="2025-11-28 14:39:33"/>
    <n v="45498998"/>
    <s v="DORIS EMILSE SERNA GOMEZ"/>
    <s v="4133061"/>
    <s v="3014809239"/>
    <s v="CIRC 5 CR 70 -107"/>
    <x v="2"/>
    <s v="054751000001070000"/>
    <s v="Medellín"/>
    <x v="4"/>
    <s v="MET Rev-Inst-Concentra E_CR014"/>
    <x v="1"/>
    <n v="7"/>
    <s v="2025-12-10 14:39:33"/>
    <s v="1 días 14:39"/>
    <s v="6 días 14:39"/>
    <x v="0"/>
    <s v="SIN DATO"/>
    <s v="SIN DATO"/>
    <s v="SIN DATO"/>
    <s v="ABIERTO"/>
    <n v="-75.590048379999999"/>
    <n v="6.2470219299999998"/>
    <s v="SUR-ENE"/>
    <s v="Metropolitana Sur"/>
  </r>
  <r>
    <s v="23523085"/>
    <s v="ENEGED"/>
    <s v="NUEVO"/>
    <s v="ENEGED"/>
    <s v="26/08/2025 14:36:07"/>
    <s v="2025-11-14 15:17:04"/>
    <n v="901110203"/>
    <s v="CONJUNTO RESIDENCIAL LEMMON 1 ETAPA"/>
    <s v="SIN DATOS"/>
    <s v="3164937806"/>
    <s v="CR 43 A CL 71 SUR -41"/>
    <x v="4"/>
    <s v="017423101000410000"/>
    <s v="Sabaneta"/>
    <x v="2"/>
    <s v="AGPE Metropolitana Sur"/>
    <x v="1"/>
    <n v="7"/>
    <s v="2025-11-26 15:17:04"/>
    <s v="10 días 15:17"/>
    <s v="VENCIDO"/>
    <x v="2"/>
    <s v="SIN DATO"/>
    <s v="SIN DATO"/>
    <s v="SIN DATO"/>
    <s v="ABIERTO"/>
    <n v="-75.615030009999998"/>
    <n v="6.1494669999999996"/>
    <s v="SUR-ENE"/>
    <s v="Metropolitana Sur"/>
  </r>
  <r>
    <s v="23523231"/>
    <s v="ENERES"/>
    <s v="NUEVO"/>
    <s v="ENERES"/>
    <s v="26/08/2025 15:51:52"/>
    <s v="2025-11-20 21:57:56"/>
    <n v="70783398"/>
    <s v="JOHN JAIRO JARAMILLO ARIAS"/>
    <s v="SIN DATOS"/>
    <s v="3217798274"/>
    <s v="CL 53 CR 27 -47 (INTERIOR 103 )"/>
    <x v="2"/>
    <s v="055213007000470103"/>
    <s v="Medellín"/>
    <x v="2"/>
    <s v="Revisor Instal. Regadas Metrosur"/>
    <x v="1"/>
    <n v="7"/>
    <s v="2025-12-01 21:57:56"/>
    <s v="7 días 21:57"/>
    <s v="0 días 21:57"/>
    <x v="3"/>
    <s v="SIN DATO"/>
    <s v="SIN DATO"/>
    <s v="SIN DATO"/>
    <s v="ABIERTO"/>
    <n v="-75.549368999999999"/>
    <n v="6.2430250000000003"/>
    <s v="SUR-ENE"/>
    <s v="Metropolitana Sur"/>
  </r>
  <r>
    <s v="23524192"/>
    <s v="ENERES"/>
    <s v="NUEVO"/>
    <s v="ENEDOM"/>
    <s v="27/08/2025 11:37:23"/>
    <s v="2025-11-25 21:50:44"/>
    <n v="1012357139"/>
    <s v="EDISON FERNEY  ESCOBAR JIMENEZ"/>
    <s v="6125678"/>
    <s v="3016654553"/>
    <s v="RURAL_161144100000000123"/>
    <x v="3"/>
    <s v="161144100000000123"/>
    <s v="Caldas"/>
    <x v="0"/>
    <s v="MET Rev-Inst-Concentra E_CR014"/>
    <x v="0"/>
    <n v="8"/>
    <s v="2025-12-05 21:50:44"/>
    <s v="4 días 21:50"/>
    <s v="4 días 21:50"/>
    <x v="0"/>
    <s v="SIN DATO"/>
    <s v="SIN DATO"/>
    <s v="SIN DATO"/>
    <s v="ABIERTO"/>
    <n v="-75.627263150000005"/>
    <n v="6.1008441500000004"/>
    <s v="SUR-ENE"/>
    <s v="Metropolitana Sur"/>
  </r>
  <r>
    <s v="23525401"/>
    <s v="ENERES"/>
    <s v="NUEVO"/>
    <s v="ENERES"/>
    <s v="28/08/2025 11:52:43"/>
    <s v="2025-11-27 21:43:35"/>
    <n v="70384257"/>
    <s v="LUIS ALBERTO CIRO GALLEGO"/>
    <s v="SIN DATOS"/>
    <s v="3206710942"/>
    <s v="CR 115 B CL 38 F -24 (INTERIOR 303 )"/>
    <x v="2"/>
    <s v="083125208600240303"/>
    <s v="Medellín"/>
    <x v="2"/>
    <s v="METROSUR Vin. Leg. Ref. Concentrada"/>
    <x v="1"/>
    <n v="7"/>
    <s v="2025-12-09 21:43:35"/>
    <s v="2 días 21:43"/>
    <s v="5 días 21:43"/>
    <x v="0"/>
    <s v="SIN DATO"/>
    <s v="SIN DATO"/>
    <s v="SIN DATO"/>
    <s v="ABIERTO"/>
    <n v="-75.627685"/>
    <n v="6.2497980000000002"/>
    <s v="SUR-ENE"/>
    <s v="Metropolitana Sur"/>
  </r>
  <r>
    <s v="23525427"/>
    <s v="ENERES"/>
    <s v="NUEVO"/>
    <s v="ENERES"/>
    <s v="28/08/2025 12:12:20"/>
    <s v="2025-11-27 21:43:39"/>
    <n v="70384257"/>
    <s v="LUIS ALBERTO CIRO GALLEGO"/>
    <s v="SIN DATOS"/>
    <s v="3206710942"/>
    <s v="CR 115 B CL 38 F -24 (INTERIOR 302 )"/>
    <x v="2"/>
    <s v="083125208600240302"/>
    <s v="Medellín"/>
    <x v="2"/>
    <s v="METROSUR Vin. Leg. Ref. Concentrada"/>
    <x v="1"/>
    <n v="7"/>
    <s v="2025-12-09 21:43:39"/>
    <s v="2 días 21:43"/>
    <s v="5 días 21:43"/>
    <x v="0"/>
    <s v="SIN DATO"/>
    <s v="SIN DATO"/>
    <s v="SIN DATO"/>
    <s v="ABIERTO"/>
    <n v="-75.627685"/>
    <n v="6.2497980000000002"/>
    <s v="SUR-ENE"/>
    <s v="Metropolitana Sur"/>
  </r>
  <r>
    <s v="23525448"/>
    <s v="ENERES"/>
    <s v="NUEVO"/>
    <s v="ENERES"/>
    <s v="28/08/2025 12:49:13"/>
    <s v="2025-11-20 21:57:45"/>
    <n v="43455146"/>
    <s v="MARYI YURLEY PARRA GUISAO"/>
    <s v="SIN DATOS"/>
    <s v="3126022752"/>
    <s v="CL 56 A CR 17 H -14 (INTERIOR 127 )"/>
    <x v="2"/>
    <s v="055116107800140127"/>
    <s v="Medellín"/>
    <x v="2"/>
    <s v="Revisor Instal. Regadas Metrosur"/>
    <x v="1"/>
    <n v="7"/>
    <s v="2025-12-01 21:57:45"/>
    <s v="7 días 21:57"/>
    <s v="0 días 21:57"/>
    <x v="3"/>
    <s v="SIN DATO"/>
    <s v="SIN DATO"/>
    <s v="SIN DATO"/>
    <s v="ABIERTO"/>
    <n v="-75.542180000000002"/>
    <n v="6.2385890000000002"/>
    <s v="SUR-ENE"/>
    <s v="Metropolitana Sur"/>
  </r>
  <r>
    <s v="23525803"/>
    <s v="ENERES"/>
    <s v="NUEVO"/>
    <s v="ENERES"/>
    <s v="28/08/2025 15:53:53"/>
    <s v="2025-11-12 21:41:41"/>
    <n v="98531846"/>
    <s v="IVAN DARIO CARDONA GUTIERREZ"/>
    <s v="2877547"/>
    <s v="3145861332"/>
    <s v="CL 49 CR 13 -20 (INTERIOR 302 )"/>
    <x v="2"/>
    <s v="054119003000200302"/>
    <s v="Medellín"/>
    <x v="2"/>
    <s v="MET Rev-Inst-Concentra E_CR014"/>
    <x v="1"/>
    <n v="7"/>
    <s v="2025-11-24 21:41:41"/>
    <s v="12 días 21:41"/>
    <s v="VENCIDO"/>
    <x v="2"/>
    <s v="SIN DATO"/>
    <s v="SIN DATO"/>
    <s v="SIN DATO"/>
    <s v="ABIERTO"/>
    <n v="-75.541352000000003"/>
    <n v="6.2326050000000004"/>
    <s v="SUR-ENE"/>
    <s v="Metropolitana Sur"/>
  </r>
  <r>
    <s v="23525819"/>
    <s v="ENENOR"/>
    <s v="CAMBI"/>
    <s v="ENENOR"/>
    <s v="28/08/2025 16:05:42"/>
    <s v="2025-11-08 11:58:23"/>
    <n v="678262"/>
    <s v="JOSE ALEJANDRO  GARCIA ALZATE"/>
    <s v="SIN DATOS"/>
    <s v="3022960207"/>
    <s v="CR 48 CL 62 -23"/>
    <x v="2"/>
    <s v="056428002000230000"/>
    <s v="Medellín"/>
    <x v="1"/>
    <s v="MET Rev-Inst-Concentra E_CR014"/>
    <x v="1"/>
    <n v="7"/>
    <s v="2025-11-19 11:58:23"/>
    <s v="15 días 11:58"/>
    <s v="VENCIDO"/>
    <x v="2"/>
    <s v="SIN DATO"/>
    <s v="SIN DATO"/>
    <s v="SIN DATO"/>
    <s v="ABIERTO"/>
    <n v="-75.560830760000002"/>
    <n v="6.2583005500000004"/>
    <s v="SUR-ENE"/>
    <s v="Metropolitana Sur"/>
  </r>
  <r>
    <s v="23526333"/>
    <s v="ENENOR"/>
    <s v="NUEVO"/>
    <s v="ENENOR"/>
    <s v="29/08/2025 09:10:31"/>
    <s v="2025-11-12 21:49:17"/>
    <n v="10274994"/>
    <s v="ALBERTO SOTO VARGAS"/>
    <s v="2511555"/>
    <s v="3113485977"/>
    <s v="CR 49 CL 46 -35 (INTERIOR 201 )"/>
    <x v="2"/>
    <s v="054429006000350201"/>
    <s v="Medellín"/>
    <x v="4"/>
    <s v="MET Rev-Inst-Concentra E_CR014"/>
    <x v="1"/>
    <n v="7"/>
    <s v="2025-11-24 21:49:17"/>
    <s v="12 días 21:49"/>
    <s v="VENCIDO"/>
    <x v="2"/>
    <s v="SIN DATO"/>
    <s v="SIN DATO"/>
    <s v="SIN DATO"/>
    <s v="ABIERTO"/>
    <n v="-75.56814996"/>
    <n v="6.2470900199999999"/>
    <s v="SUR-ENE"/>
    <s v="Metropolitana Sur"/>
  </r>
  <r>
    <s v="23526471"/>
    <s v="ENERES"/>
    <s v="NUEVO"/>
    <s v="ENERES"/>
    <s v="29/08/2025 10:43:36"/>
    <s v="2025-11-12 09:58:24"/>
    <n v="43049491"/>
    <s v="MARIA EUGENIA GAÑAN DE MORENO"/>
    <s v="SIN DATOS"/>
    <s v="3126666718"/>
    <s v="RURAL_161116317500000001_PROV.VEREDA LA CORRALA"/>
    <x v="3"/>
    <s v="161116317500000001"/>
    <s v="Caldas"/>
    <x v="2"/>
    <s v="MET Rev-Inst-Concentra E_CR014"/>
    <x v="0"/>
    <n v="10"/>
    <s v="2025-11-27 09:58:24"/>
    <s v="12 días 09:58"/>
    <s v="VENCIDO"/>
    <x v="2"/>
    <s v="SIN DATO"/>
    <s v="SIN DATO"/>
    <s v="SIN DATO"/>
    <s v="ABIERTO"/>
    <n v="-75.627960000000002"/>
    <n v="6.0895797600000003"/>
    <s v="SUR-ENE"/>
    <s v="Metropolitana Sur"/>
  </r>
  <r>
    <s v="23527471"/>
    <s v="ENERES"/>
    <s v="NUEVO"/>
    <s v="ENERES"/>
    <s v="01/09/2025 08:40:16"/>
    <s v="2025-11-12 08:49:43"/>
    <n v="71600193"/>
    <s v="HECTOR FABIO CALLE MONTOYA"/>
    <s v="4444444"/>
    <s v="3122875444"/>
    <s v="RURAL_159043436000000301"/>
    <x v="0"/>
    <s v="159043436000000301"/>
    <s v="La Estrella"/>
    <x v="2"/>
    <s v="MET Rev-Inst-Concentra E_CR014"/>
    <x v="0"/>
    <n v="10"/>
    <s v="2025-11-27 08:49:43"/>
    <s v="12 días 08:49"/>
    <s v="VENCIDO"/>
    <x v="2"/>
    <s v="SIN DATO"/>
    <s v="SIN DATO"/>
    <s v="SIN DATO"/>
    <s v="ABIERTO"/>
    <n v="-75.640242150000006"/>
    <n v="6.1400813799999998"/>
    <s v="SUR-ENE"/>
    <s v="Metropolitana Sur"/>
  </r>
  <r>
    <s v="23527934"/>
    <s v="ENERES"/>
    <s v="NUEVO"/>
    <s v="ENERES"/>
    <s v="01/09/2025 14:05:26"/>
    <s v="2025-11-19 14:23:24"/>
    <n v="32352420"/>
    <s v="DEICY DAMARIS CARMONA ZULUAGA"/>
    <s v="SIN DATOS"/>
    <s v="3234235935"/>
    <s v="CR 112 CL 48 B -93 (INTERIOR 101 )"/>
    <x v="2"/>
    <s v="084122008200930101"/>
    <s v="Medellín"/>
    <x v="2"/>
    <s v="MET Rev-Inst-Concentra E_CR014"/>
    <x v="1"/>
    <n v="7"/>
    <s v="2025-11-28 14:23:24"/>
    <s v="8 días 14:23"/>
    <s v="VENCIDO"/>
    <x v="2"/>
    <s v="SIN DATO"/>
    <s v="SIN DATO"/>
    <s v="SIN DATO"/>
    <s v="ABIERTO"/>
    <n v="-75.624371999999994"/>
    <n v="6.2627889999999997"/>
    <s v="SUR-ENE"/>
    <s v="Metropolitana Sur"/>
  </r>
  <r>
    <s v="23528676"/>
    <s v="ENERES"/>
    <s v="NUEVO"/>
    <s v="ENERES"/>
    <s v="02/09/2025 09:35:49"/>
    <s v="2025-11-28 09:47:52"/>
    <n v="70003788"/>
    <s v="CARLOS ARTURO RUDA GONZALEZ"/>
    <s v="2294285"/>
    <s v="3207733513"/>
    <s v="RURAL_159037935000000301_159037935000000301"/>
    <x v="0"/>
    <s v="159037935000000301"/>
    <s v="La Estrella"/>
    <x v="2"/>
    <s v="MET Rev-Inst-Concentra E_CR014"/>
    <x v="0"/>
    <n v="10"/>
    <s v="2025-12-15 09:47:52"/>
    <s v="1 días 09:47"/>
    <s v="9 días 09:47"/>
    <x v="0"/>
    <s v="SIN DATO"/>
    <s v="SIN DATO"/>
    <s v="SIN DATO"/>
    <s v="ABIERTO"/>
    <n v="-75.643317319999994"/>
    <n v="6.1384746200000002"/>
    <s v="SUR-ENE"/>
    <s v="Metropolitana Sur"/>
  </r>
  <r>
    <s v="23530703"/>
    <s v="ENERES"/>
    <s v="NUEVO"/>
    <s v="ENERES"/>
    <s v="03/09/2025 16:36:11"/>
    <s v="2025-11-13 23:45:15"/>
    <n v="1036657898"/>
    <s v="JUAN PABLO MONTOYA"/>
    <s v="SIN DATOS"/>
    <s v="3162431326"/>
    <s v="RURAL_159115068000000001_TABLAZA"/>
    <x v="0"/>
    <s v="159115068000000001"/>
    <s v="La Estrella"/>
    <x v="2"/>
    <s v="MET Rev-Inst-Concentra E_CR014"/>
    <x v="0"/>
    <n v="10"/>
    <s v="2025-11-28 23:45:15"/>
    <s v="11 días 23:45"/>
    <s v="VENCIDO"/>
    <x v="2"/>
    <s v="SIN DATO"/>
    <s v="SIN DATO"/>
    <s v="SIN DATO"/>
    <s v="ABIERTO"/>
    <n v="-75.631007210000007"/>
    <n v="6.1170650599999998"/>
    <s v="SUR-ENE"/>
    <s v="Metropolitana Sur"/>
  </r>
  <r>
    <s v="23531667"/>
    <s v="ENERES"/>
    <s v="NUEVO"/>
    <s v="ENERES"/>
    <s v="04/09/2025 14:19:46"/>
    <s v="2025-11-22 21:54:34"/>
    <n v="21945118"/>
    <s v="AMPARO ELENA HERNANDEZ ZAPATA"/>
    <s v="5102014"/>
    <s v="3148925152"/>
    <s v="CL 16 CR 59 -70 (INTERIOR 201 )"/>
    <x v="2"/>
    <s v="051516009000700201"/>
    <s v="Medellín"/>
    <x v="2"/>
    <s v="MET Rev-Inst-Concentra E_CR014"/>
    <x v="1"/>
    <n v="7"/>
    <s v="2025-12-02 21:54:34"/>
    <s v="6 días 21:54"/>
    <s v="1 días 21:54"/>
    <x v="1"/>
    <s v="SIN DATO"/>
    <s v="SIN DATO"/>
    <s v="SIN DATO"/>
    <s v="ABIERTO"/>
    <n v="-75.584629000000007"/>
    <n v="6.2202200100000002"/>
    <s v="SUR-ENE"/>
    <s v="Metropolitana Sur"/>
  </r>
  <r>
    <s v="23532115"/>
    <s v="ENENOR"/>
    <s v="NUEVO"/>
    <s v="ENENOR"/>
    <s v="05/09/2025 07:50:12"/>
    <s v="2025-11-26 10:58:56"/>
    <n v="3556792"/>
    <s v="PABLO MORENO ACOSTA"/>
    <s v="SIN DATOS"/>
    <s v="3017510607"/>
    <s v="CR 43 A CL 14 -57 (INTERIOR 220 )"/>
    <x v="2"/>
    <s v="051423104000570220"/>
    <s v="Medellín"/>
    <x v="4"/>
    <s v="METROSUR Vin. Leg. Ref. Concentrada"/>
    <x v="1"/>
    <n v="7"/>
    <s v="2025-12-05 10:58:56"/>
    <s v="3 días 10:58"/>
    <s v="4 días 10:58"/>
    <x v="0"/>
    <s v="SIN DATO"/>
    <s v="SIN DATO"/>
    <s v="SIN DATO"/>
    <s v="CUMPLIDO"/>
    <n v="-75.570068359999993"/>
    <n v="6.2148957300000003"/>
    <s v="SUR-ENE"/>
    <s v="Metropolitana Sur"/>
  </r>
  <r>
    <s v="23533556"/>
    <s v="ENENOR"/>
    <s v="NUEVO"/>
    <s v="ENENOR"/>
    <s v="08/09/2025 10:45:50"/>
    <s v="2025-11-20 21:50:45"/>
    <n v="43667274"/>
    <s v="CLAUDIA ASTRID OSORIO VILLA"/>
    <s v="3022880"/>
    <s v="3113517212"/>
    <s v="CL 48 C SUR CR 36 -96 (INTERIOR 5 )"/>
    <x v="5"/>
    <s v="024318306000960005"/>
    <s v="Envigado"/>
    <x v="4"/>
    <s v="Revisor Instal. Regadas Metrosur"/>
    <x v="1"/>
    <n v="7"/>
    <s v="2025-12-01 21:50:45"/>
    <s v="7 días 21:50"/>
    <s v="0 días 21:50"/>
    <x v="3"/>
    <s v="SIN DATO"/>
    <s v="SIN DATO"/>
    <s v="SIN DATO"/>
    <s v="ABIERTO"/>
    <n v="-75.594663999999995"/>
    <n v="6.1526959999999997"/>
    <s v="SUR-ENE"/>
    <s v="Metropolitana Sur"/>
  </r>
  <r>
    <s v="23533715"/>
    <s v="ENERES"/>
    <s v="NUEVO"/>
    <s v="ENERES"/>
    <s v="08/09/2025 12:21:12"/>
    <s v="2025-11-28 13:02:12"/>
    <n v="43911165"/>
    <s v="YENNY STELLA GIRALDO ZAPATA"/>
    <s v="4972410"/>
    <s v="3002697208"/>
    <s v="RURAL_163012401000000000_RURAL ITAGUI EL PEDREGAL"/>
    <x v="1"/>
    <s v="163012401000000000"/>
    <s v="Itaguí"/>
    <x v="2"/>
    <s v="Revisor Instal. Regadas Metrosur"/>
    <x v="1"/>
    <n v="7"/>
    <s v="2025-12-10 13:02:12"/>
    <s v="1 días 13:02"/>
    <s v="6 días 13:02"/>
    <x v="0"/>
    <s v="SIN DATO"/>
    <s v="SIN DATO"/>
    <s v="SIN DATO"/>
    <s v="ABIERTO"/>
    <n v="-75.616451889999993"/>
    <n v="6.1888940899999998"/>
    <s v="SUR-ENE"/>
    <s v="Metropolitana Sur"/>
  </r>
  <r>
    <s v="23533893"/>
    <s v="ENERES"/>
    <s v="NUEVO"/>
    <s v="ENEDOM"/>
    <s v="08/09/2025 14:53:28"/>
    <s v="2025-11-20 12:22:07"/>
    <n v="1032401002"/>
    <s v="MARCO AURELIO SALGADO"/>
    <s v="SIN DATOS"/>
    <s v="3136964360"/>
    <s v="RURAL_159021832000000301"/>
    <x v="0"/>
    <s v="159021832000000301"/>
    <s v="La Estrella"/>
    <x v="0"/>
    <s v="MET Rev-Inst-Concentra E_CR014"/>
    <x v="0"/>
    <n v="8"/>
    <s v="2025-12-02 12:22:07"/>
    <s v="7 días 12:22"/>
    <s v="1 días 12:22"/>
    <x v="1"/>
    <s v="SIN DATO"/>
    <s v="SIN DATO"/>
    <s v="SIN DATO"/>
    <s v="ABIERTO"/>
    <n v="-75.656292620000002"/>
    <n v="6.1509925599999997"/>
    <s v="SUR-ENE"/>
    <s v="Metropolitana Sur"/>
  </r>
  <r>
    <s v="23534712"/>
    <s v="ENEPRE"/>
    <s v="NUEVO"/>
    <s v="ENEPRE"/>
    <s v="24/09/2025 14:15:55"/>
    <s v="2025-11-24 16:09:44"/>
    <n v="71273466"/>
    <s v="GERMAN AUGUSTO ORTEGA MESA"/>
    <s v="3328634"/>
    <s v="3216442539"/>
    <s v="CL 49 CR 52 -55 (INTERIOR 2000 )"/>
    <x v="1"/>
    <s v="074519002000552000"/>
    <s v="Itaguí"/>
    <x v="6"/>
    <s v="Energía Prepago Metrosur"/>
    <x v="1"/>
    <n v="11"/>
    <s v="2025-12-10 16:09:44"/>
    <s v="5 días 16:09"/>
    <s v="6 días 16:09"/>
    <x v="0"/>
    <s v="SIN DATO"/>
    <s v="SIN DATO"/>
    <s v="SIN DATO"/>
    <s v="ABIERTO"/>
    <n v="-75.61130756"/>
    <n v="6.1734083200000001"/>
    <s v="SUR-ENE"/>
    <s v="Metropolitana Sur"/>
  </r>
  <r>
    <s v="23534946"/>
    <s v="ENERES"/>
    <s v="NUEVO"/>
    <s v="ENEDOM"/>
    <s v="09/09/2025 14:34:41"/>
    <s v="2025-11-09 21:43:01"/>
    <n v="43922481"/>
    <s v="JESSICA BETANCOURT MESA"/>
    <s v="SIN DATOS"/>
    <s v="3122609338"/>
    <s v="CR 52 CL 79 SUR -263 (INTERIOR 501 )"/>
    <x v="0"/>
    <s v="037522009002630501"/>
    <s v="La Estrella"/>
    <x v="0"/>
    <s v="MET Rev-Inst-Concentra E_CR014"/>
    <x v="1"/>
    <n v="5"/>
    <s v="2025-11-14 21:43:01"/>
    <s v="15 días 21:43"/>
    <s v="VENCIDO"/>
    <x v="2"/>
    <s v="SIN DATO"/>
    <s v="SIN DATO"/>
    <s v="SIN DATO"/>
    <s v="ABIERTO"/>
    <n v="-75.632193000000001"/>
    <n v="6.1541759999999996"/>
    <s v="SUR-ENE"/>
    <s v="Metropolitana Sur"/>
  </r>
  <r>
    <s v="23539478"/>
    <s v="ENERES"/>
    <s v="NUEVO"/>
    <s v="ENERES"/>
    <s v="15/09/2025 11:20:59"/>
    <s v="2025-11-24 13:02:33"/>
    <n v="1128271507"/>
    <s v="CINDY ALEJANDRA HENAO RAMIREZ"/>
    <s v="SIN DATOS"/>
    <s v="3044876862"/>
    <s v="CL 26 CR 65 A -8 (AP 202 )"/>
    <x v="2"/>
    <s v="052616005100080202"/>
    <s v="Medellín"/>
    <x v="2"/>
    <s v="MET Rev-Inst-Concentra E_CR014"/>
    <x v="1"/>
    <n v="7"/>
    <s v="2025-12-03 13:02:33"/>
    <s v="5 días 13:02"/>
    <s v="2 días 13:02"/>
    <x v="1"/>
    <s v="SIN DATO"/>
    <s v="SIN DATO"/>
    <s v="SIN DATO"/>
    <s v="ABIERTO"/>
    <n v="-75.583991690000005"/>
    <n v="6.2276057600000003"/>
    <s v="SUR-ENE"/>
    <s v="Metropolitana Sur"/>
  </r>
  <r>
    <s v="23539513"/>
    <s v="ENERES"/>
    <s v="NUEVO"/>
    <s v="ENERES"/>
    <s v="15/09/2025 11:42:18"/>
    <s v="2025-11-24 13:00:40"/>
    <n v="1128271507"/>
    <s v="CINDY ALEJANDRA HENAO RAMIREZ"/>
    <s v="SIN DATOS"/>
    <s v="3044876862"/>
    <s v="CL 26 CR 65 A -8 (AP 201 )"/>
    <x v="2"/>
    <s v="052616005100080201"/>
    <s v="Medellín"/>
    <x v="2"/>
    <s v="MET Rev-Inst-Concentra E_CR014"/>
    <x v="1"/>
    <n v="7"/>
    <s v="2025-12-03 13:00:40"/>
    <s v="5 días 13:00"/>
    <s v="2 días 13:00"/>
    <x v="1"/>
    <s v="SIN DATO"/>
    <s v="SIN DATO"/>
    <s v="SIN DATO"/>
    <s v="ABIERTO"/>
    <n v="-75.583991690000005"/>
    <n v="6.2276057600000003"/>
    <s v="SUR-ENE"/>
    <s v="Metropolitana Sur"/>
  </r>
  <r>
    <s v="23539530"/>
    <s v="ENENOR"/>
    <s v="CAMBI"/>
    <s v="ENENOR"/>
    <s v="15/09/2025 11:59:16"/>
    <s v="2025-11-24 12:57:17"/>
    <n v="1128271507"/>
    <s v="CINDY ALEJANDRA HENAO RAMIREZ"/>
    <s v="SIN DATOS"/>
    <s v="3044876862"/>
    <s v="CL 26 CR 65 A -8"/>
    <x v="2"/>
    <s v="052616005100080000"/>
    <s v="Medellín"/>
    <x v="1"/>
    <s v="MET Rev-Inst-Concentra E_CR014"/>
    <x v="1"/>
    <n v="7"/>
    <s v="2025-12-03 12:57:17"/>
    <s v="5 días 12:57"/>
    <s v="2 días 12:57"/>
    <x v="1"/>
    <s v="SIN DATO"/>
    <s v="SIN DATO"/>
    <s v="SIN DATO"/>
    <s v="ABIERTO"/>
    <n v="-75.583991690000005"/>
    <n v="6.2276057600000003"/>
    <s v="SUR-ENE"/>
    <s v="Metropolitana Sur"/>
  </r>
  <r>
    <s v="23540723"/>
    <s v="ENERES"/>
    <s v="NUEVO"/>
    <s v="ENERES"/>
    <s v="16/09/2025 11:47:25"/>
    <s v="2025-11-27 21:43:02"/>
    <n v="21792152"/>
    <s v="AURA ALICIA ARAQUE ACEVEDO"/>
    <s v="SIN DATOS"/>
    <s v="3126081367"/>
    <s v="CR 118 CL 39 A -38 (INTERIOR 401 )"/>
    <x v="2"/>
    <s v="083128009100380401"/>
    <s v="Medellín"/>
    <x v="2"/>
    <s v="Revisor Instal. Regadas Metrosur"/>
    <x v="1"/>
    <n v="7"/>
    <s v="2025-12-09 21:43:02"/>
    <s v="2 días 21:43"/>
    <s v="5 días 21:43"/>
    <x v="0"/>
    <s v="SIN DATO"/>
    <s v="SIN DATO"/>
    <s v="SIN DATO"/>
    <s v="ABIERTO"/>
    <n v="-75.628726880000002"/>
    <n v="6.25090228"/>
    <s v="SUR-ENE"/>
    <s v="Metropolitana Sur"/>
  </r>
  <r>
    <s v="23540725"/>
    <s v="ENERES"/>
    <s v="NUEVO"/>
    <s v="ENEDOM"/>
    <s v="16/09/2025 11:48:22"/>
    <s v="2025-11-20 21:43:11"/>
    <n v="21991377"/>
    <s v="OLGA FABIOLA MOLINA"/>
    <s v="2786321"/>
    <s v="3218733676"/>
    <s v="RURAL_161023655000000302_PROV.CHUSCALA"/>
    <x v="3"/>
    <s v="161023655000000302"/>
    <s v="Caldas"/>
    <x v="0"/>
    <s v="MET Rev-Inst-Concentra E_CR014"/>
    <x v="0"/>
    <n v="8"/>
    <s v="2025-12-02 21:43:11"/>
    <s v="7 días 21:43"/>
    <s v="1 días 21:43"/>
    <x v="1"/>
    <s v="SIN DATO"/>
    <s v="SIN DATO"/>
    <s v="SIN DATO"/>
    <s v="ABIERTO"/>
    <n v="-75.638615000000001"/>
    <n v="6.0836579999999998"/>
    <s v="SUR-ENE"/>
    <s v="Metropolitana Sur"/>
  </r>
  <r>
    <s v="23540876"/>
    <s v="ENERES"/>
    <s v="NUEVO"/>
    <s v="ENERES"/>
    <s v="16/09/2025 14:06:09"/>
    <s v="2025-11-19 21:43:19"/>
    <n v="44004142"/>
    <s v="MARIA TERESA RIVERA MEJIA"/>
    <s v="SIN DATOS"/>
    <s v="3003023706"/>
    <s v="CL 46 DD CR 2 AD -4 (INTERIOR 302 )"/>
    <x v="2"/>
    <s v="054016442140040302"/>
    <s v="Medellín"/>
    <x v="2"/>
    <s v="Revisor Instal. Regadas Metrosur"/>
    <x v="1"/>
    <n v="7"/>
    <s v="2025-11-28 21:43:19"/>
    <s v="8 días 21:43"/>
    <s v="VENCIDO"/>
    <x v="2"/>
    <s v="SIN DATO"/>
    <s v="SIN DATO"/>
    <s v="SIN DATO"/>
    <s v="ABIERTO"/>
    <n v="-75.530877050000001"/>
    <n v="6.2286028900000003"/>
    <s v="SUR-ENE"/>
    <s v="Metropolitana Sur"/>
  </r>
  <r>
    <s v="23541723"/>
    <s v="ENERES"/>
    <s v="NUEVO"/>
    <s v="ENERES"/>
    <s v="17/09/2025 14:57:46"/>
    <s v="2025-11-27 09:42:51"/>
    <n v="70900761"/>
    <s v="JESUS DAVID CASTAÑO HOYOS"/>
    <s v="SIN DATOS"/>
    <s v="3113156047"/>
    <s v="CL 49 CR 51 -66 (INTERIOR 603 )"/>
    <x v="1"/>
    <s v="074519001000660603"/>
    <s v="Itaguí"/>
    <x v="2"/>
    <s v="Revisor Instal. Regadas Metrosur"/>
    <x v="1"/>
    <n v="7"/>
    <s v="2025-12-09 09:42:51"/>
    <s v="2 días 09:42"/>
    <s v="5 días 09:42"/>
    <x v="0"/>
    <s v="SIN DATO"/>
    <s v="SIN DATO"/>
    <s v="SIN DATO"/>
    <s v="ABIERTO"/>
    <n v="-75.611007310000005"/>
    <n v="6.1728941099999997"/>
    <s v="SUR-ENE"/>
    <s v="Metropolitana Sur"/>
  </r>
  <r>
    <s v="23541742"/>
    <s v="ENERES"/>
    <s v="NUEVO"/>
    <s v="ENERES"/>
    <s v="17/09/2025 15:14:46"/>
    <s v="2025-11-25 21:50:39"/>
    <n v="1001164958"/>
    <s v="FERLEY ALBERTO ARANGO GIRALDO"/>
    <s v="SIN DATOS"/>
    <s v="3122188197"/>
    <s v="CR 2 C CL 48 C -42"/>
    <x v="2"/>
    <s v="054022308300420000"/>
    <s v="Medellín"/>
    <x v="2"/>
    <s v="Revisor Instal. Regadas Metrosur"/>
    <x v="1"/>
    <n v="7"/>
    <s v="2025-12-04 21:50:39"/>
    <s v="4 días 21:50"/>
    <s v="3 días 21:50"/>
    <x v="0"/>
    <s v="SIN DATO"/>
    <s v="SIN DATO"/>
    <s v="SIN DATO"/>
    <s v="ABIERTO"/>
    <n v="-75.532370599999993"/>
    <n v="6.2294986699999999"/>
    <s v="SUR-ENE"/>
    <s v="Metropolitana Sur"/>
  </r>
  <r>
    <s v="23542632"/>
    <s v="ENERES"/>
    <s v="NUEVO"/>
    <s v="ENERES"/>
    <s v="18/09/2025 11:15:23"/>
    <s v="2025-11-22 22:18:49"/>
    <n v="70416827"/>
    <s v="ALVEIRO DE JESUS VALDERRAMA TABARES"/>
    <s v="SIN DATOS"/>
    <s v="3103827306"/>
    <s v="CL 51 B CR 1 ESTE -263"/>
    <x v="2"/>
    <s v="705011201002630000"/>
    <s v="Medellín"/>
    <x v="2"/>
    <s v="METROSUR Vin. Leg. Ref. Concentrada"/>
    <x v="1"/>
    <n v="7"/>
    <s v="2025-12-02 22:18:49"/>
    <s v="6 días 22:18"/>
    <s v="1 días 22:18"/>
    <x v="1"/>
    <s v="SIN DATO"/>
    <s v="SIN DATO"/>
    <s v="SIN DATO"/>
    <s v="ABIERTO"/>
    <n v="-75.526249000000007"/>
    <n v="6.2308339999999998"/>
    <s v="SUR-ENE"/>
    <s v="Metropolitana Sur"/>
  </r>
  <r>
    <s v="23542749"/>
    <s v="ENERES"/>
    <s v="NUEVO"/>
    <s v="ENERES"/>
    <s v="18/09/2025 13:15:56"/>
    <s v="2025-11-12 21:49:40"/>
    <n v="1026149467"/>
    <s v="YENNY ALEJANDRA GUZMAN BETANCUR"/>
    <s v="SIN DATOS"/>
    <s v="3117902767"/>
    <s v="RURAL_161096293000000067_VEREDA SALADA PARTE BAJA"/>
    <x v="3"/>
    <s v="161096293000000067"/>
    <s v="Caldas"/>
    <x v="2"/>
    <s v="MET Rev-Inst-Concentra E_CR014"/>
    <x v="0"/>
    <n v="10"/>
    <s v="2025-11-27 21:49:40"/>
    <s v="12 días 21:49"/>
    <s v="VENCIDO"/>
    <x v="2"/>
    <s v="SIN DATO"/>
    <s v="SIN DATO"/>
    <s v="SIN DATO"/>
    <s v="ABIERTO"/>
    <n v="-75.625281909999998"/>
    <n v="6.05262601"/>
    <s v="SUR-ENE"/>
    <s v="Metropolitana Sur"/>
  </r>
  <r>
    <s v="23543030"/>
    <s v="ENERES"/>
    <s v="NUEVO"/>
    <s v="ENEDOM"/>
    <s v="18/09/2025 17:14:05"/>
    <s v="2025-11-20 16:43:48"/>
    <n v="1000314254"/>
    <s v="JENIFFER URAN  ALCARAZ"/>
    <s v="3785010"/>
    <s v="3244729939"/>
    <s v="RURAL_159145016000000302_159145016000000302"/>
    <x v="0"/>
    <s v="159145016000000302"/>
    <s v="La Estrella"/>
    <x v="0"/>
    <s v="MET Rev-Inst-Concentra E_CR014"/>
    <x v="0"/>
    <n v="8"/>
    <s v="2025-12-02 16:43:48"/>
    <s v="7 días 16:43"/>
    <s v="1 días 16:43"/>
    <x v="1"/>
    <s v="SIN DATO"/>
    <s v="SIN DATO"/>
    <s v="SIN DATO"/>
    <s v="ABIERTO"/>
    <n v="-75.639198410000006"/>
    <n v="6.1212905700000002"/>
    <s v="SUR-ENE"/>
    <s v="Metropolitana Sur"/>
  </r>
  <r>
    <s v="23543388"/>
    <s v="ENERES"/>
    <s v="NUEVO"/>
    <s v="ENERES"/>
    <s v="19/09/2025 09:06:20"/>
    <s v="2025-11-12 21:49:36"/>
    <n v="1028005363"/>
    <s v="JULIANA  ALVAREZ"/>
    <s v="SIN DATOS"/>
    <s v="3017902755"/>
    <s v="RURAL_161095804000000303_VEREDA LA CLARA"/>
    <x v="3"/>
    <s v="161095804000000303"/>
    <s v="Caldas"/>
    <x v="2"/>
    <s v="MET Rev-Inst-Concentra E_CR014"/>
    <x v="0"/>
    <n v="10"/>
    <s v="2025-11-27 21:49:36"/>
    <s v="12 días 21:49"/>
    <s v="VENCIDO"/>
    <x v="2"/>
    <s v="SIN DATO"/>
    <s v="SIN DATO"/>
    <s v="SIN DATO"/>
    <s v="ABIERTO"/>
    <n v="-75.626788329999997"/>
    <n v="6.0543135399999999"/>
    <s v="SUR-ENE"/>
    <s v="Metropolitana Sur"/>
  </r>
  <r>
    <s v="23543450"/>
    <s v="ENERES"/>
    <s v="NUEVO"/>
    <s v="ENERES"/>
    <s v="19/09/2025 10:02:38"/>
    <s v="2025-11-20 21:58:05"/>
    <n v="15511037"/>
    <s v="EDUAR JOHVANY JARAMILLO"/>
    <s v="SIN DATOS"/>
    <s v="3022960207"/>
    <s v="CR 83 A CL 33 B -5 (INTERIOR 401 )"/>
    <x v="2"/>
    <s v="053823103200050401"/>
    <s v="Medellín"/>
    <x v="2"/>
    <s v="MET Rev-Inst-Concentra E_CR014"/>
    <x v="1"/>
    <n v="7"/>
    <s v="2025-12-01 21:58:05"/>
    <s v="7 días 21:58"/>
    <s v="0 días 21:58"/>
    <x v="3"/>
    <s v="SIN DATO"/>
    <s v="SIN DATO"/>
    <s v="SIN DATO"/>
    <s v="ABIERTO"/>
    <n v="-75.606615820000002"/>
    <n v="6.2408473100000004"/>
    <s v="SUR-ENE"/>
    <s v="Metropolitana Sur"/>
  </r>
  <r>
    <s v="23543463"/>
    <s v="ENERES"/>
    <s v="NUEVO"/>
    <s v="ENERES"/>
    <s v="19/09/2025 10:10:51"/>
    <s v="2025-11-20 21:58:09"/>
    <n v="15511037"/>
    <s v="EDUAR JOHVANY JARAMILLO"/>
    <s v="SIN DATOS"/>
    <s v="3022960207"/>
    <s v="CR 83 A CL 33 B -5 (INTERIOR 402 )"/>
    <x v="2"/>
    <s v="053823103200050402"/>
    <s v="Medellín"/>
    <x v="2"/>
    <s v="MET Rev-Inst-Concentra E_CR014"/>
    <x v="1"/>
    <n v="7"/>
    <s v="2025-12-01 21:58:09"/>
    <s v="7 días 21:58"/>
    <s v="0 días 21:58"/>
    <x v="3"/>
    <s v="SIN DATO"/>
    <s v="SIN DATO"/>
    <s v="SIN DATO"/>
    <s v="ABIERTO"/>
    <n v="-75.606615820000002"/>
    <n v="6.2408473100000004"/>
    <s v="SUR-ENE"/>
    <s v="Metropolitana Sur"/>
  </r>
  <r>
    <s v="23543533"/>
    <s v="ENENOR"/>
    <s v="NUEVO"/>
    <s v="ENENOR"/>
    <s v="19/09/2025 10:49:08"/>
    <s v="2025-11-27 21:43:45"/>
    <n v="71722285"/>
    <s v="CARLOS MARIO CASTRILLON TEJADA"/>
    <s v="4817600"/>
    <s v="3005701732"/>
    <s v="CL 57 B CR 53 -21 (INTERIOR 202 )"/>
    <x v="2"/>
    <s v="055517203000210202"/>
    <s v="Medellín"/>
    <x v="4"/>
    <s v="Revisor Instal. Regadas Metrosur"/>
    <x v="1"/>
    <n v="7"/>
    <s v="2025-12-09 21:43:45"/>
    <s v="2 días 21:43"/>
    <s v="5 días 21:43"/>
    <x v="0"/>
    <s v="SIN DATO"/>
    <s v="SIN DATO"/>
    <s v="SIN DATO"/>
    <s v="ABIERTO"/>
    <n v="-75.568988000000004"/>
    <n v="6.2571529999999997"/>
    <s v="SUR-ENE"/>
    <s v="Metropolitana Sur"/>
  </r>
  <r>
    <s v="23543674"/>
    <s v="ENENOR"/>
    <s v="NUEVO"/>
    <s v="ENENOR"/>
    <s v="19/09/2025 12:51:35"/>
    <s v="2025-11-10 08:31:14"/>
    <n v="71393065"/>
    <s v="OSCAR DARIO CORREA VELEZ"/>
    <s v="3004072"/>
    <s v="3128171344"/>
    <s v="CR 51 CL 129 SUR -59"/>
    <x v="3"/>
    <s v="002521009000590000"/>
    <s v="Caldas"/>
    <x v="4"/>
    <s v="MET Rev-Inst-Concentra E_CR014"/>
    <x v="1"/>
    <n v="7"/>
    <s v="2025-11-20 08:31:14"/>
    <s v="14 días 08:31"/>
    <s v="VENCIDO"/>
    <x v="2"/>
    <s v="SIN DATO"/>
    <s v="SIN DATO"/>
    <s v="SIN DATO"/>
    <s v="ABIERTO"/>
    <n v="-75.636893520000001"/>
    <n v="6.0916210099999999"/>
    <s v="SUR-ENE"/>
    <s v="Metropolitana Sur"/>
  </r>
  <r>
    <s v="23545646"/>
    <s v="ENERES"/>
    <s v="NUEVO"/>
    <s v="ENEDOM"/>
    <s v="22/09/2025 11:15:33"/>
    <s v="2025-11-27 12:02:31"/>
    <n v="1017271970"/>
    <s v="LUZ MERI CARAVALLO VASQUEZ"/>
    <s v="SIN DATOS"/>
    <s v="3173766532"/>
    <s v="CL 55 CR 103 DA -414 (INTERIOR 121 )"/>
    <x v="2"/>
    <s v="085015003414140121"/>
    <s v="Medellín"/>
    <x v="0"/>
    <s v="Habilitación Viviendas Metrosur"/>
    <x v="1"/>
    <n v="5"/>
    <s v="2025-12-04 12:02:31"/>
    <s v="2 días 12:02"/>
    <s v="3 días 12:02"/>
    <x v="0"/>
    <s v="SIN DATO"/>
    <s v="SIN DATO"/>
    <s v="SIN DATO"/>
    <s v="ABIERTO"/>
    <n v="-75.615707999999998"/>
    <n v="6.2713380000000001"/>
    <s v="SUR-ENE"/>
    <s v="Metropolitana Sur"/>
  </r>
  <r>
    <s v="23546046"/>
    <s v="ENERES"/>
    <s v="NUEVO"/>
    <s v="ENERES"/>
    <s v="22/09/2025 16:04:28"/>
    <s v="2025-11-20 16:43:50"/>
    <n v="43688434"/>
    <s v="MARIA DEL CARMEN VELEZ MOLINA"/>
    <s v="SIN DATOS"/>
    <s v="3165072032"/>
    <s v="RURAL_159146326000000002_PROV.LA TABLAZA"/>
    <x v="0"/>
    <s v="159146326000000002"/>
    <s v="La Estrella"/>
    <x v="2"/>
    <s v="MET Rev-Inst-Concentra E_CR014"/>
    <x v="0"/>
    <n v="10"/>
    <s v="2025-12-04 16:43:50"/>
    <s v="7 días 16:43"/>
    <s v="3 días 16:43"/>
    <x v="0"/>
    <s v="SIN DATO"/>
    <s v="SIN DATO"/>
    <s v="SIN DATO"/>
    <s v="ABIERTO"/>
    <n v="-75.638875369999994"/>
    <n v="6.1188010999999998"/>
    <s v="SUR-ENE"/>
    <s v="Metropolitana Sur"/>
  </r>
  <r>
    <s v="23546592"/>
    <s v="ENERES"/>
    <s v="NUEVO"/>
    <s v="ENEDOM"/>
    <s v="23/09/2025 09:24:05"/>
    <s v="2025-11-12 09:58:28"/>
    <n v="71391065"/>
    <s v="DIEGO ALFONSO LOPEZ CORREA"/>
    <s v="SIN DATOS"/>
    <s v="3216384586"/>
    <s v="RURAL_161025393000000009_161025393000000000_PRIMAV"/>
    <x v="3"/>
    <s v="161025393000000009"/>
    <s v="Caldas"/>
    <x v="0"/>
    <s v="MET Rev-Inst-Concentra E_CR014"/>
    <x v="0"/>
    <n v="8"/>
    <s v="2025-11-25 09:58:28"/>
    <s v="12 días 09:58"/>
    <s v="VENCIDO"/>
    <x v="2"/>
    <s v="SIN DATO"/>
    <s v="SIN DATO"/>
    <s v="SIN DATO"/>
    <s v="ABIERTO"/>
    <n v="-75.635639749999996"/>
    <n v="6.0736636800000001"/>
    <s v="SUR-ENE"/>
    <s v="Metropolitana Sur"/>
  </r>
  <r>
    <s v="23546595"/>
    <s v="ENERES"/>
    <s v="NUEVO"/>
    <s v="ENERES"/>
    <s v="23/09/2025 09:25:47"/>
    <s v="2025-11-20 21:58:14"/>
    <n v="15511037"/>
    <s v="EDUAR JOHVANY JARAMILLO"/>
    <s v="SIN DATOS"/>
    <s v="3022960207"/>
    <s v="CR 83 A CL 33 B -5 (INTERIOR 501 )"/>
    <x v="2"/>
    <s v="053823103200050501"/>
    <s v="Medellín"/>
    <x v="2"/>
    <s v="MET Rev-Inst-Concentra E_CR014"/>
    <x v="1"/>
    <n v="7"/>
    <s v="2025-12-01 21:58:14"/>
    <s v="7 días 21:58"/>
    <s v="0 días 21:58"/>
    <x v="3"/>
    <s v="SIN DATO"/>
    <s v="SIN DATO"/>
    <s v="SIN DATO"/>
    <s v="ABIERTO"/>
    <n v="-75.606615820000002"/>
    <n v="6.2408473100000004"/>
    <s v="SUR-ENE"/>
    <s v="Metropolitana Sur"/>
  </r>
  <r>
    <s v="23546598"/>
    <s v="ENERES"/>
    <s v="NUEVO"/>
    <s v="ENERES"/>
    <s v="23/09/2025 09:27:59"/>
    <s v="2025-11-20 21:58:17"/>
    <n v="15511037"/>
    <s v="EDUAR JOHVANY JARAMILLO"/>
    <s v="SIN DATOS"/>
    <s v="3022960207"/>
    <s v="CR 83 A CL 33 B -5 (INTERIOR 601 )"/>
    <x v="2"/>
    <s v="053823103200050601"/>
    <s v="Medellín"/>
    <x v="2"/>
    <s v="MET Rev-Inst-Concentra E_CR014"/>
    <x v="1"/>
    <n v="7"/>
    <s v="2025-12-01 21:58:17"/>
    <s v="7 días 21:58"/>
    <s v="0 días 21:58"/>
    <x v="3"/>
    <s v="SIN DATO"/>
    <s v="SIN DATO"/>
    <s v="SIN DATO"/>
    <s v="ABIERTO"/>
    <n v="-75.606615820000002"/>
    <n v="6.2408473100000004"/>
    <s v="SUR-ENE"/>
    <s v="Metropolitana Sur"/>
  </r>
  <r>
    <s v="23546621"/>
    <s v="ENERES"/>
    <s v="NUEVO"/>
    <s v="ENEDOM"/>
    <s v="23/09/2025 09:42:48"/>
    <s v="2025-11-12 21:50:30"/>
    <n v="43752510"/>
    <s v="PAULA CRISTINA ATEHORTUA BRAN"/>
    <s v="SIN DATOS"/>
    <s v="3046822450"/>
    <s v="RURAL_161117100000000001"/>
    <x v="3"/>
    <s v="161117100000000001"/>
    <s v="Caldas"/>
    <x v="0"/>
    <s v="MET Rev-Inst-Concentra E_CR014"/>
    <x v="0"/>
    <n v="8"/>
    <s v="2025-11-25 21:50:30"/>
    <s v="12 días 21:50"/>
    <s v="VENCIDO"/>
    <x v="2"/>
    <s v="SIN DATO"/>
    <s v="SIN DATO"/>
    <s v="SIN DATO"/>
    <s v="ABIERTO"/>
    <n v="-75.621536890000002"/>
    <n v="6.0882243899999997"/>
    <s v="SUR-ENE"/>
    <s v="Metropolitana Sur"/>
  </r>
  <r>
    <s v="23546805"/>
    <s v="ENENOR"/>
    <s v="NUEVO"/>
    <s v="ENENOR"/>
    <s v="23/09/2025 11:37:56"/>
    <s v="2025-11-08 22:26:04"/>
    <n v="890923668"/>
    <s v="METRO DE MEDELLIN LTDA."/>
    <s v="4548888"/>
    <s v="3054260060"/>
    <s v="CR 49 CL 37 SUR -130 (INTERIOR 120 )"/>
    <x v="5"/>
    <s v="023429007001300120"/>
    <s v="Envigado"/>
    <x v="4"/>
    <s v="MET Rev-Inst-Concentra E_CR014"/>
    <x v="1"/>
    <n v="7"/>
    <s v="2025-11-19 22:26:04"/>
    <s v="15 días 22:26"/>
    <s v="VENCIDO"/>
    <x v="2"/>
    <s v="SIN DATO"/>
    <s v="SIN DATO"/>
    <s v="SIN DATO"/>
    <s v="ABIERTO"/>
    <n v="-75.596101000000004"/>
    <n v="6.1743085000000004"/>
    <s v="SUR-ENE"/>
    <s v="Metropolitana Sur"/>
  </r>
  <r>
    <s v="23547075"/>
    <s v="ENENOR"/>
    <s v="NUEVO"/>
    <s v="ENENOR"/>
    <s v="23/09/2025 14:44:20"/>
    <s v="2025-11-18 13:21:29"/>
    <n v="811012208"/>
    <s v="ENVIASEO E.S.P."/>
    <s v="4487997"/>
    <s v="3153493476"/>
    <s v="RURAL_166035905300006000_VDA.EL VALLANO"/>
    <x v="5"/>
    <s v="166035905300006000"/>
    <s v="Envigado"/>
    <x v="4"/>
    <s v="Revisor Instal. Regadas Metrosur"/>
    <x v="0"/>
    <n v="10"/>
    <s v="2025-12-02 13:21:29"/>
    <s v="9 días 13:21"/>
    <s v="1 días 13:21"/>
    <x v="1"/>
    <s v="SIN DATO"/>
    <s v="SIN DATO"/>
    <s v="SIN DATO"/>
    <s v="ABIERTO"/>
    <n v="-75.579853110000002"/>
    <n v="6.1357671299999996"/>
    <s v="SUR-ENE"/>
    <s v="Metropolitana Sur"/>
  </r>
  <r>
    <s v="23547105"/>
    <s v="ENERES"/>
    <s v="NUEVO"/>
    <s v="ENEDOM"/>
    <s v="23/09/2025 15:02:03"/>
    <s v="2025-11-12 09:58:32"/>
    <n v="15257247"/>
    <s v="LIBARDO DE JESUS ARRUBLA LOPEZ"/>
    <s v="SIN DATOS"/>
    <s v="3122106406"/>
    <s v="RURAL_161004600000000004_PROV.LA AGUACATALA"/>
    <x v="3"/>
    <s v="161004600000000004"/>
    <s v="Caldas"/>
    <x v="0"/>
    <s v="MET Rev-Inst-Concentra E_CR014"/>
    <x v="0"/>
    <n v="8"/>
    <s v="2025-11-25 09:58:32"/>
    <s v="12 días 09:58"/>
    <s v="VENCIDO"/>
    <x v="2"/>
    <s v="SIN DATO"/>
    <s v="SIN DATO"/>
    <s v="SIN DATO"/>
    <s v="ABIERTO"/>
    <n v="-75.644391999999996"/>
    <n v="6.1033770000000001"/>
    <s v="SUR-ENE"/>
    <s v="Metropolitana Sur"/>
  </r>
  <r>
    <s v="23547326"/>
    <s v="ENERES"/>
    <s v="NUEVO"/>
    <s v="ENEDOM"/>
    <s v="23/09/2025 16:22:51"/>
    <s v="2025-11-20 16:43:52"/>
    <n v="43686397"/>
    <s v="MONICA MARIA ESCOBAR SANCHEZ"/>
    <s v="SIN DATOS"/>
    <s v="3116825884"/>
    <s v="RURAL_159158458000000002_PROV.LA RAYA"/>
    <x v="0"/>
    <s v="159158458000000002"/>
    <s v="La Estrella"/>
    <x v="0"/>
    <s v="MET Rev-Inst-Concentra E_CR014"/>
    <x v="0"/>
    <n v="8"/>
    <s v="2025-12-02 16:43:52"/>
    <s v="7 días 16:43"/>
    <s v="1 días 16:43"/>
    <x v="1"/>
    <s v="SIN DATO"/>
    <s v="SIN DATO"/>
    <s v="SIN DATO"/>
    <s v="ABIERTO"/>
    <n v="-75.639914860000005"/>
    <n v="6.1137030699999997"/>
    <s v="SUR-ENE"/>
    <s v="Metropolitana Sur"/>
  </r>
  <r>
    <s v="23547980"/>
    <s v="ENERES"/>
    <s v="NUEVO"/>
    <s v="ENEDOM"/>
    <s v="24/09/2025 10:46:14"/>
    <s v="2025-11-20 16:43:53"/>
    <n v="1026151370"/>
    <s v="ANGELO BETANCUR PEREZ"/>
    <s v="SIN DATOS"/>
    <s v="3004374253"/>
    <s v="RURAL_159111862000000001_PROV.TABLAZA"/>
    <x v="0"/>
    <s v="159111862000000001"/>
    <s v="La Estrella"/>
    <x v="0"/>
    <s v="MET Rev-Inst-Concentra E_CR014"/>
    <x v="0"/>
    <n v="8"/>
    <s v="2025-12-02 16:43:53"/>
    <s v="7 días 16:43"/>
    <s v="1 días 16:43"/>
    <x v="1"/>
    <s v="SIN DATO"/>
    <s v="SIN DATO"/>
    <s v="SIN DATO"/>
    <s v="ABIERTO"/>
    <n v="-75.630068219999998"/>
    <n v="6.1183878800000002"/>
    <s v="SUR-ENE"/>
    <s v="Metropolitana Sur"/>
  </r>
  <r>
    <s v="23547989"/>
    <s v="ENERES"/>
    <s v="NUEVO"/>
    <s v="ENERES"/>
    <s v="24/09/2025 10:50:01"/>
    <s v="2025-11-28 21:44:45"/>
    <n v="42753469"/>
    <s v="LUCY MARGARITA VELASQUEZ ROJAS"/>
    <s v="5006407"/>
    <s v="3104755426"/>
    <s v="CL 19 CR 54 -85 (INTERIOR 202 )"/>
    <x v="2"/>
    <s v="051519004000850202"/>
    <s v="Medellín"/>
    <x v="2"/>
    <s v="MET Rev-Inst-Concentra E_CR014"/>
    <x v="1"/>
    <n v="7"/>
    <s v="2025-12-10 21:44:45"/>
    <s v="1 días 21:44"/>
    <s v="6 días 21:44"/>
    <x v="0"/>
    <s v="SIN DATO"/>
    <s v="SIN DATO"/>
    <s v="SIN DATO"/>
    <s v="ABIERTO"/>
    <n v="-75.582297420000003"/>
    <n v="6.2217058099999996"/>
    <s v="SUR-ENE"/>
    <s v="Metropolitana Sur"/>
  </r>
  <r>
    <s v="23548143"/>
    <s v="ENERES"/>
    <s v="NUEVO"/>
    <s v="ENERES"/>
    <s v="24/09/2025 13:16:14"/>
    <s v="2025-11-25 21:49:36"/>
    <n v="8347622"/>
    <s v="JOSE IVAN CORREA"/>
    <s v="3321815"/>
    <s v="3148079968"/>
    <s v="RURAL_159086000000000102"/>
    <x v="0"/>
    <s v="159086000000000102"/>
    <s v="La Estrella"/>
    <x v="2"/>
    <s v="MET Rev-Inst-Concentra E_CR014"/>
    <x v="0"/>
    <n v="10"/>
    <s v="2025-12-10 21:49:36"/>
    <s v="4 días 21:49"/>
    <s v="6 días 21:49"/>
    <x v="0"/>
    <s v="SIN DATO"/>
    <s v="SIN DATO"/>
    <s v="SIN DATO"/>
    <s v="ABIERTO"/>
    <n v="-75.627596339999997"/>
    <n v="6.1270621199999997"/>
    <s v="SUR-ENE"/>
    <s v="Metropolitana Sur"/>
  </r>
  <r>
    <s v="23548384"/>
    <s v="ENERES"/>
    <s v="NUEVO"/>
    <s v="ENERES"/>
    <s v="24/09/2025 15:43:54"/>
    <s v="2025-11-27 21:42:37"/>
    <n v="43977311"/>
    <s v="JENNIFER ACEVEDO VALLEJO"/>
    <s v="4920539"/>
    <s v="3045990058"/>
    <s v="CL 48 FA CR 100 AA -2 (INTERIOR 112 )"/>
    <x v="2"/>
    <s v="084018610110020112"/>
    <s v="Medellín"/>
    <x v="2"/>
    <s v="Revisor Instal. Regadas Metrosur"/>
    <x v="1"/>
    <n v="7"/>
    <s v="2025-12-09 21:42:37"/>
    <s v="2 días 21:42"/>
    <s v="5 días 21:42"/>
    <x v="0"/>
    <s v="SIN DATO"/>
    <s v="SIN DATO"/>
    <s v="SIN DATO"/>
    <s v="ABIERTO"/>
    <n v="-75.615449999999996"/>
    <n v="6.2603099999999996"/>
    <s v="SUR-ENE"/>
    <s v="Metropolitana Sur"/>
  </r>
  <r>
    <s v="23548763"/>
    <s v="ENERES"/>
    <s v="NUEVO"/>
    <s v="ENERES"/>
    <s v="25/09/2025 08:03:09"/>
    <s v="2025-11-28 13:57:49"/>
    <n v="39162756"/>
    <s v="MARIA EUGENIA QUIROZ"/>
    <s v="2784496"/>
    <s v="3207132285"/>
    <s v="RURAL_161050310000000002_SECTORLAQUIEBRACERCANOALA"/>
    <x v="3"/>
    <s v="161050310000000002"/>
    <s v="Caldas"/>
    <x v="2"/>
    <s v="Revisor Instal. Regadas Metrosur"/>
    <x v="0"/>
    <n v="10"/>
    <s v="2025-12-15 13:57:49"/>
    <s v="1 días 13:57"/>
    <s v="9 días 13:57"/>
    <x v="0"/>
    <s v="SIN DATO"/>
    <s v="SIN DATO"/>
    <s v="SIN DATO"/>
    <s v="ABIERTO"/>
    <n v="-75.648542280000001"/>
    <n v="6.0595225700000004"/>
    <s v="SUR-ENE"/>
    <s v="Metropolitana Sur"/>
  </r>
  <r>
    <s v="23548897"/>
    <s v="ENERES"/>
    <s v="NUEVO"/>
    <s v="ENERES"/>
    <s v="25/09/2025 09:58:51"/>
    <s v="2025-11-27 21:46:29"/>
    <n v="1128474117"/>
    <s v="CINDY YURLEY MARIN MARIN"/>
    <s v="SIN DATOS"/>
    <s v="3122983224"/>
    <s v="RURAL_147047200000000100_VEREDA EL LLANO"/>
    <x v="2"/>
    <s v="147047200000000100"/>
    <s v="Medellín"/>
    <x v="2"/>
    <s v="Revisor Instal. Regadas Metrosur"/>
    <x v="0"/>
    <n v="10"/>
    <s v="2025-12-12 21:46:29"/>
    <s v="2 días 21:46"/>
    <s v="8 días 21:46"/>
    <x v="0"/>
    <s v="SIN DATO"/>
    <s v="SIN DATO"/>
    <s v="SIN DATO"/>
    <s v="ABIERTO"/>
    <n v="-75.647079340000005"/>
    <n v="6.2985959899999999"/>
    <s v="SUR-ENE"/>
    <s v="Metropolitana Sur"/>
  </r>
  <r>
    <s v="23548922"/>
    <s v="ENERES"/>
    <s v="NUEVO"/>
    <s v="ENERES"/>
    <s v="25/09/2025 10:16:44"/>
    <s v="2025-11-12 09:58:59"/>
    <n v="70757270"/>
    <s v="HUGO ERNESTO MONTOYA TORO"/>
    <s v="SIN DATOS"/>
    <s v="3105361855"/>
    <s v="RURAL_161083300000000012"/>
    <x v="3"/>
    <s v="161083300000000012"/>
    <s v="Caldas"/>
    <x v="2"/>
    <s v="MET Rev-Inst-Concentra E_CR014"/>
    <x v="0"/>
    <n v="10"/>
    <s v="2025-11-27 09:58:59"/>
    <s v="12 días 09:58"/>
    <s v="VENCIDO"/>
    <x v="2"/>
    <s v="SIN DATO"/>
    <s v="SIN DATO"/>
    <s v="SIN DATO"/>
    <s v="ABIERTO"/>
    <n v="-75.625926419999999"/>
    <n v="6.0252134000000002"/>
    <s v="SUR-ENE"/>
    <s v="Metropolitana Sur"/>
  </r>
  <r>
    <s v="23549064"/>
    <s v="ENERES"/>
    <s v="NUEVO"/>
    <s v="ENERES"/>
    <s v="25/09/2025 11:53:59"/>
    <s v="2025-11-25 21:50:30"/>
    <n v="1039451358"/>
    <s v="PAULA ANDREA MONTOYA RAMOS"/>
    <s v="SIN DATOS"/>
    <s v="3007782372"/>
    <s v="CR 43 C CL 68 SUR -69 (INTERIOR 501 )"/>
    <x v="4"/>
    <s v="016423308000690501"/>
    <s v="Sabaneta"/>
    <x v="2"/>
    <s v="METROSUR Vin. Leg. Ref. Concentrada"/>
    <x v="1"/>
    <n v="7"/>
    <s v="2025-12-04 21:50:30"/>
    <s v="4 días 21:50"/>
    <s v="3 días 21:50"/>
    <x v="0"/>
    <s v="SIN DATO"/>
    <s v="SIN DATO"/>
    <s v="SIN DATO"/>
    <s v="ABIERTO"/>
    <n v="-75.614618989999997"/>
    <n v="6.1514716600000003"/>
    <s v="SUR-ENE"/>
    <s v="Metropolitana Sur"/>
  </r>
  <r>
    <s v="23549201"/>
    <s v="ENERES"/>
    <s v="NUEVO"/>
    <s v="ENEDOM"/>
    <s v="25/09/2025 13:32:01"/>
    <s v="2025-11-20 08:51:45"/>
    <n v="70035811"/>
    <s v="LUIS FERNANDO OCHOA OCHOA"/>
    <s v="SIN DATOS"/>
    <s v="3174003272"/>
    <s v="RURAL_159056676000000001_PROV.159056676000000000"/>
    <x v="0"/>
    <s v="159056676000000001"/>
    <s v="La Estrella"/>
    <x v="0"/>
    <s v="MET Rev-Inst-Concentra E_CR014"/>
    <x v="0"/>
    <n v="8"/>
    <s v="2025-12-02 08:51:45"/>
    <s v="7 días 08:51"/>
    <s v="1 días 08:51"/>
    <x v="1"/>
    <s v="SIN DATO"/>
    <s v="SIN DATO"/>
    <s v="SIN DATO"/>
    <s v="ABIERTO"/>
    <n v="-75.637119299999995"/>
    <n v="6.1370273199999996"/>
    <s v="SUR-ENE"/>
    <s v="Metropolitana Sur"/>
  </r>
  <r>
    <s v="23549216"/>
    <s v="ENERES"/>
    <s v="NUEVO"/>
    <s v="ENEDOM"/>
    <s v="25/09/2025 13:43:46"/>
    <s v="2025-11-20 08:49:57"/>
    <n v="70035811"/>
    <s v="LUIS FERNANDO OCHOA OCHOA"/>
    <s v="SIN DATOS"/>
    <s v="3174003272"/>
    <s v="RURAL_159056676000000002_PROV.159056676000000000"/>
    <x v="0"/>
    <s v="159056676000000002"/>
    <s v="La Estrella"/>
    <x v="0"/>
    <s v="MET Rev-Inst-Concentra E_CR014"/>
    <x v="0"/>
    <n v="8"/>
    <s v="2025-12-02 08:49:57"/>
    <s v="7 días 08:49"/>
    <s v="1 días 08:49"/>
    <x v="1"/>
    <s v="SIN DATO"/>
    <s v="SIN DATO"/>
    <s v="SIN DATO"/>
    <s v="ABIERTO"/>
    <n v="-75.637119299999995"/>
    <n v="6.1370273199999996"/>
    <s v="SUR-ENE"/>
    <s v="Metropolitana Sur"/>
  </r>
  <r>
    <s v="23549218"/>
    <s v="ENENOR"/>
    <s v="NUEVO"/>
    <s v="ENENOR"/>
    <s v="25/09/2025 13:46:22"/>
    <s v="2025-11-25 21:41:44"/>
    <n v="43598079"/>
    <s v="BIBIANA NATALIA CADAVID OSPINA"/>
    <s v="SIN DATOS"/>
    <s v="3153108662"/>
    <s v="CR 65 F CL 25 -67 (INTERIOR 101 )"/>
    <x v="2"/>
    <s v="052625605000670101"/>
    <s v="Medellín"/>
    <x v="4"/>
    <s v="MET Rev-Inst-Concentra E_CR014"/>
    <x v="1"/>
    <n v="7"/>
    <s v="2025-12-04 21:41:44"/>
    <s v="4 días 21:41"/>
    <s v="3 días 21:41"/>
    <x v="0"/>
    <s v="SIN DATO"/>
    <s v="SIN DATO"/>
    <s v="SIN DATO"/>
    <s v="ABIERTO"/>
    <n v="-75.586954109999994"/>
    <n v="6.2259489500000003"/>
    <s v="SUR-ENE"/>
    <s v="Metropolitana Sur"/>
  </r>
  <r>
    <s v="23549229"/>
    <s v="ENERES"/>
    <s v="NUEVO"/>
    <s v="ENEDOM"/>
    <s v="25/09/2025 14:00:14"/>
    <s v="2025-11-20 08:52:40"/>
    <n v="70035811"/>
    <s v="LUIS FERNANDO OCHOA OCHOA"/>
    <s v="SIN DATOS"/>
    <s v="3174003272"/>
    <s v="RURAL_159056676000000003_PROV.159056676000000000"/>
    <x v="0"/>
    <s v="159056676000000003"/>
    <s v="La Estrella"/>
    <x v="0"/>
    <s v="MET Rev-Inst-Concentra E_CR014"/>
    <x v="0"/>
    <n v="8"/>
    <s v="2025-12-02 08:52:40"/>
    <s v="7 días 08:52"/>
    <s v="1 días 08:52"/>
    <x v="1"/>
    <s v="SIN DATO"/>
    <s v="SIN DATO"/>
    <s v="SIN DATO"/>
    <s v="ABIERTO"/>
    <n v="-75.637119299999995"/>
    <n v="6.1370273199999996"/>
    <s v="SUR-ENE"/>
    <s v="Metropolitana Sur"/>
  </r>
  <r>
    <s v="23549479"/>
    <s v="ENERES"/>
    <s v="NUEVO"/>
    <s v="ENEDOM"/>
    <s v="25/09/2025 16:38:20"/>
    <s v="2025-11-20 16:43:55"/>
    <n v="43684550"/>
    <s v="MARLENY DEL SOCORRO CRUZ RUIZ"/>
    <s v="2785050"/>
    <s v="3044285501"/>
    <s v="RURAL_159145023000000201_SAN MIGUEL"/>
    <x v="0"/>
    <s v="159145023000000201"/>
    <s v="La Estrella"/>
    <x v="0"/>
    <s v="MET Rev-Inst-Concentra E_CR014"/>
    <x v="1"/>
    <n v="5"/>
    <s v="2025-11-27 16:43:55"/>
    <s v="7 días 16:43"/>
    <s v="VENCIDO"/>
    <x v="2"/>
    <s v="SIN DATO"/>
    <s v="SIN DATO"/>
    <s v="SIN DATO"/>
    <s v="ABIERTO"/>
    <n v="-75.63930225"/>
    <n v="6.1213880100000004"/>
    <s v="SUR-ENE"/>
    <s v="Metropolitana Sur"/>
  </r>
  <r>
    <s v="23549772"/>
    <s v="ENERES"/>
    <s v="NUEVO"/>
    <s v="ENERES"/>
    <s v="26/09/2025 08:07:01"/>
    <s v="2025-11-22 22:03:09"/>
    <n v="71371058"/>
    <s v="JORGE IVAN HERNANDEZ GALLEGO"/>
    <s v="SIN DATOS"/>
    <s v="3122596866"/>
    <s v="CR 82 TRAN 45 C -96 (INTERIOR 401 )"/>
    <x v="2"/>
    <s v="054822005300960401"/>
    <s v="Medellín"/>
    <x v="2"/>
    <s v="Revisor Instal. Regadas Metrosur"/>
    <x v="1"/>
    <n v="7"/>
    <s v="2025-12-02 22:03:09"/>
    <s v="6 días 22:03"/>
    <s v="1 días 22:03"/>
    <x v="1"/>
    <s v="SIN DATO"/>
    <s v="SIN DATO"/>
    <s v="SIN DATO"/>
    <s v="ABIERTO"/>
    <n v="-75.601465000000005"/>
    <n v="6.2542580000000001"/>
    <s v="SUR-ENE"/>
    <s v="Metropolitana Sur"/>
  </r>
  <r>
    <s v="23551142"/>
    <s v="ENENOR"/>
    <s v="NUEVO"/>
    <s v="ENENOR"/>
    <s v="29/09/2025 09:12:43"/>
    <s v="2025-11-27 17:14:46"/>
    <n v="98707797"/>
    <s v="ANDRES BOTERO GARCIA"/>
    <s v="SIN DATOS"/>
    <s v="3105072582"/>
    <s v="CL 60 CR 74 A -178"/>
    <x v="2"/>
    <s v="056710004101780000"/>
    <s v="Medellín"/>
    <x v="4"/>
    <s v="Revisor Instal. Regadas Metrosur"/>
    <x v="1"/>
    <n v="7"/>
    <s v="2025-12-09 17:14:46"/>
    <s v="2 días 17:14"/>
    <s v="5 días 17:14"/>
    <x v="0"/>
    <s v="DESCARTADO"/>
    <s v="JUAN GUILLERMO RIVERA MAZO"/>
    <s v="470 falta instalar y conectar el medidor _x000a_415 presentar toda la documentación _x000a_Declaración , matrícula, retie y punto de conexión "/>
    <s v="ABIERTO"/>
    <n v="-75.58909955"/>
    <n v="6.2668565599999999"/>
    <s v="SUR-ENE"/>
    <s v="Metropolitana Sur"/>
  </r>
  <r>
    <s v="23551166"/>
    <s v="ENERES"/>
    <s v="NUEVO"/>
    <s v="ENERES"/>
    <s v="29/09/2025 09:34:26"/>
    <s v="2025-11-18 16:16:52"/>
    <n v="1152198552"/>
    <s v="CAROLINA ESPINAL HINCAPIE"/>
    <s v="SIN DATOS"/>
    <s v="3014822740"/>
    <s v="CL 44 A CR 73 -10 (INTERIOR 301 )"/>
    <x v="2"/>
    <s v="054714103000100301"/>
    <s v="Medellín"/>
    <x v="2"/>
    <s v="MET Rev-Inst-Concentra E_CR014"/>
    <x v="1"/>
    <n v="7"/>
    <s v="2025-11-27 16:16:52"/>
    <s v="9 días 16:16"/>
    <s v="VENCIDO"/>
    <x v="2"/>
    <s v="SIN DATO"/>
    <s v="SIN DATO"/>
    <s v="SIN DATO"/>
    <s v="ABIERTO"/>
    <n v="-75.59235674"/>
    <n v="6.2504042399999999"/>
    <s v="SUR-ENE"/>
    <s v="Metropolitana Sur"/>
  </r>
  <r>
    <s v="23551325"/>
    <s v="ENERES"/>
    <s v="NUEVO"/>
    <s v="ENEDOM"/>
    <s v="29/09/2025 10:46:20"/>
    <s v="2025-11-27 21:45:29"/>
    <n v="96194689"/>
    <s v="YUSNEY GRIMALDO VARGAS"/>
    <s v="3422610"/>
    <s v="3059273714"/>
    <s v="RURAL_116005312515400002_ BR NUEVO"/>
    <x v="2"/>
    <s v="116005312515400002"/>
    <s v="Medellín"/>
    <x v="0"/>
    <s v="Habilitación Viviendas Metrosur"/>
    <x v="0"/>
    <n v="8"/>
    <s v="2025-12-10 21:45:29"/>
    <s v="2 días 21:45"/>
    <s v="6 días 21:45"/>
    <x v="0"/>
    <s v="SIN DATO"/>
    <s v="SIN DATO"/>
    <s v="SIN DATO"/>
    <s v="ABIERTO"/>
    <n v="-75.630061670000003"/>
    <n v="6.23489833"/>
    <s v="SUR-ENE"/>
    <s v="Metropolitana Sur"/>
  </r>
  <r>
    <s v="23551421"/>
    <s v="ENERES"/>
    <s v="NUEVO"/>
    <s v="ENEDOM"/>
    <s v="29/09/2025 11:36:50"/>
    <s v="2025-11-20 16:43:57"/>
    <n v="1026157614"/>
    <s v="JULIO CESAR AGUDELO CARMONA"/>
    <s v="SIN DATOS"/>
    <s v="3108813844"/>
    <s v="RURAL_159098613800000001_PROV.BR SAN ISIDRO POR TA"/>
    <x v="0"/>
    <s v="159098613800000001"/>
    <s v="La Estrella"/>
    <x v="0"/>
    <s v="MET Rev-Inst-Concentra E_CR014"/>
    <x v="0"/>
    <n v="8"/>
    <s v="2025-12-02 16:43:57"/>
    <s v="7 días 16:43"/>
    <s v="1 días 16:43"/>
    <x v="1"/>
    <s v="SIN DATO"/>
    <s v="SIN DATO"/>
    <s v="SIN DATO"/>
    <s v="ABIERTO"/>
    <n v="-75.624669229999995"/>
    <n v="6.1179366499999999"/>
    <s v="SUR-ENE"/>
    <s v="Metropolitana Sur"/>
  </r>
  <r>
    <s v="23551591"/>
    <s v="ENERES"/>
    <s v="NUEVO"/>
    <s v="ENEDOM"/>
    <s v="29/09/2025 13:56:10"/>
    <s v="2025-11-20 21:43:55"/>
    <n v="1045076057"/>
    <s v="JAIME ESTEBAN GUTIERREZ TORRES"/>
    <s v="SIN DATOS"/>
    <s v="3137371156"/>
    <s v="RURAL_159054904000000302_PROV.LA INMACULADA 2"/>
    <x v="0"/>
    <s v="159054904000000302"/>
    <s v="La Estrella"/>
    <x v="0"/>
    <s v="MET Rev-Inst-Concentra E_CR014"/>
    <x v="0"/>
    <n v="8"/>
    <s v="2025-12-02 21:43:55"/>
    <s v="7 días 21:43"/>
    <s v="1 días 21:43"/>
    <x v="1"/>
    <s v="SIN DATO"/>
    <s v="SIN DATO"/>
    <s v="SIN DATO"/>
    <s v="ABIERTO"/>
    <n v="-75.636323469999994"/>
    <n v="6.13745326"/>
    <s v="SUR-ENE"/>
    <s v="Metropolitana Sur"/>
  </r>
  <r>
    <s v="23551735"/>
    <s v="ENERES"/>
    <s v="NUEVO"/>
    <s v="ENERES"/>
    <s v="29/09/2025 15:20:10"/>
    <s v="2025-11-22 22:03:18"/>
    <n v="70556198"/>
    <s v="JUAN MANUEL ATEHORTUA RESTREPO"/>
    <s v="SIN DATOS"/>
    <s v="3013171716"/>
    <s v="RURAL_166041210000000010_VEREDA EL VALLANO"/>
    <x v="5"/>
    <s v="166041210000000010"/>
    <s v="Envigado"/>
    <x v="2"/>
    <s v="Revisor Instal. Regadas Metrosur"/>
    <x v="0"/>
    <n v="10"/>
    <s v="2025-12-05 22:03:18"/>
    <s v="6 días 22:03"/>
    <s v="4 días 22:03"/>
    <x v="0"/>
    <s v="SIN DATO"/>
    <s v="SIN DATO"/>
    <s v="SIN DATO"/>
    <s v="ABIERTO"/>
    <n v="-75.571868429999995"/>
    <n v="6.1331045900000003"/>
    <s v="SUR-ENE"/>
    <s v="Metropolitana Sur"/>
  </r>
  <r>
    <s v="23551858"/>
    <s v="ENERES"/>
    <s v="NUEVO"/>
    <s v="ENEDOM"/>
    <s v="29/09/2025 16:32:56"/>
    <s v="2025-11-28 10:49:16"/>
    <n v="1017145643"/>
    <s v="OTONIEL DE JESUS HOLGUIN GALLEGO"/>
    <s v="SIN DATOS"/>
    <s v="3137869287"/>
    <s v="RURAL_159161334000000002_PROV.159161334000000000"/>
    <x v="0"/>
    <s v="159161334000000002"/>
    <s v="La Estrella"/>
    <x v="0"/>
    <s v="MET Rev-Inst-Concentra E_CR014"/>
    <x v="0"/>
    <n v="8"/>
    <s v="2025-12-11 10:49:16"/>
    <s v="1 días 10:49"/>
    <s v="7 días 10:49"/>
    <x v="0"/>
    <s v="SIN DATO"/>
    <s v="SIN DATO"/>
    <s v="SIN DATO"/>
    <s v="ABIERTO"/>
    <n v="-75.641842780000005"/>
    <n v="6.1135202099999999"/>
    <s v="SUR-ENE"/>
    <s v="Metropolitana Sur"/>
  </r>
  <r>
    <s v="23552182"/>
    <s v="ENERES"/>
    <s v="NUEVO"/>
    <s v="ENERES"/>
    <s v="30/09/2025 07:13:18"/>
    <s v="2025-11-27 21:44:15"/>
    <n v="43727919"/>
    <s v="ALEXANDRA MARIA ROLDAN AGUDELO"/>
    <s v="SIN DATOS"/>
    <s v="3136037846"/>
    <s v="CL 54 CR 86 A -35 (INTERIOR 528 )"/>
    <x v="2"/>
    <s v="055814006100350528"/>
    <s v="Medellín"/>
    <x v="2"/>
    <s v="Revisor Instal. Regadas Metrosur"/>
    <x v="1"/>
    <n v="7"/>
    <s v="2025-12-09 21:44:15"/>
    <s v="2 días 21:44"/>
    <s v="5 días 21:44"/>
    <x v="0"/>
    <s v="SIN DATO"/>
    <s v="SIN DATO"/>
    <s v="SIN DATO"/>
    <s v="ABIERTO"/>
    <n v="-75.602481999999995"/>
    <n v="6.2711139999999999"/>
    <s v="SUR-ENE"/>
    <s v="Metropolitana Sur"/>
  </r>
  <r>
    <s v="23552893"/>
    <s v="ENERES"/>
    <s v="NUEVO"/>
    <s v="ENERES"/>
    <s v="30/09/2025 15:29:45"/>
    <s v="2025-11-27 21:44:10"/>
    <n v="1152700621"/>
    <s v="JUAN ESTEBAN MORALES BEDOYA"/>
    <s v="SIN DATOS"/>
    <s v="3042009498"/>
    <s v="CL 48 BB CR 110 -37"/>
    <x v="2"/>
    <s v="084118220000370000"/>
    <s v="Medellín"/>
    <x v="2"/>
    <s v="Revisor Instal. Regadas Metrosur"/>
    <x v="1"/>
    <n v="7"/>
    <s v="2025-12-09 21:44:10"/>
    <s v="2 días 21:44"/>
    <s v="5 días 21:44"/>
    <x v="0"/>
    <s v="SIN DATO"/>
    <s v="SIN DATO"/>
    <s v="SIN DATO"/>
    <s v="ABIERTO"/>
    <n v="-75.624073999999993"/>
    <n v="6.262753"/>
    <s v="SUR-ENE"/>
    <s v="Metropolitana Sur"/>
  </r>
  <r>
    <s v="23552973"/>
    <s v="ENERES"/>
    <s v="NUEVO"/>
    <s v="ENEDOM"/>
    <s v="30/09/2025 16:28:31"/>
    <s v="2025-11-27 11:05:09"/>
    <n v="1214730812"/>
    <s v="DORA EMILSE OSPINA BENITEZ"/>
    <s v="2924047"/>
    <s v="3106171722"/>
    <s v="CL 57 B CR 17 A -56 (INTERIOR 333 )"/>
    <x v="2"/>
    <s v="055117207100560333"/>
    <s v="Medellín"/>
    <x v="0"/>
    <s v="Habilitación Viviendas Metrosur"/>
    <x v="1"/>
    <n v="5"/>
    <s v="2025-12-04 11:05:09"/>
    <s v="2 días 11:05"/>
    <s v="3 días 11:05"/>
    <x v="0"/>
    <s v="SIN DATO"/>
    <s v="SIN DATO"/>
    <s v="SIN DATO"/>
    <s v="ABIERTO"/>
    <n v="-75.540640460000006"/>
    <n v="6.2509716099999997"/>
    <s v="SUR-ENE"/>
    <s v="Metropolitana Sur"/>
  </r>
  <r>
    <s v="23553386"/>
    <s v="ENERES"/>
    <s v="NUEVO"/>
    <s v="ENERES"/>
    <s v="01/10/2025 09:14:49"/>
    <s v="2025-11-20 16:34:18"/>
    <n v="71800196"/>
    <s v="JESUS MARIA VALBUENA DUQUE"/>
    <s v="SIN DATOS"/>
    <s v="3001935114"/>
    <s v="CR 21 CL 57 C -42 (INTERIOR 201 )"/>
    <x v="2"/>
    <s v="055221007300420201"/>
    <s v="Medellín"/>
    <x v="2"/>
    <s v="Revisor Instal. Regadas Metrosur"/>
    <x v="1"/>
    <n v="7"/>
    <s v="2025-12-01 16:34:18"/>
    <s v="7 días 16:34"/>
    <s v="0 días 16:34"/>
    <x v="3"/>
    <s v="SIN DATO"/>
    <s v="SIN DATO"/>
    <s v="SIN DATO"/>
    <s v="ABIERTO"/>
    <n v="-75.543281370000003"/>
    <n v="6.2507798000000001"/>
    <s v="SUR-ENE"/>
    <s v="Metropolitana Sur"/>
  </r>
  <r>
    <s v="23553652"/>
    <s v="ENERES"/>
    <s v="NUEVO"/>
    <s v="ENEDOM"/>
    <s v="25/11/2025 10:37:25"/>
    <s v="2025-11-27 10:12:49"/>
    <n v="4931691"/>
    <s v="JONAIKER JOSE RODRIGUEZ CARDEVILLA"/>
    <s v="SIN DATOS"/>
    <s v="3172699286"/>
    <s v="RURAL_163007734700000000"/>
    <x v="1"/>
    <s v="163007734700000000"/>
    <s v="Itaguí"/>
    <x v="7"/>
    <s v="Habilitación Viviendas Metrosur"/>
    <x v="0"/>
    <n v="8"/>
    <s v="2025-12-10 10:12:49"/>
    <s v="2 días 10:12"/>
    <s v="6 días 10:12"/>
    <x v="0"/>
    <s v="SIN DATO"/>
    <s v="SIN DATO"/>
    <s v="SIN DATO"/>
    <s v="ABIERTO"/>
    <n v="-75.606993849999995"/>
    <n v="6.1954807599999997"/>
    <s v="SUR-ENE"/>
    <s v="Metropolitana Sur"/>
  </r>
  <r>
    <s v="23553817"/>
    <s v="ENERES"/>
    <s v="NUEVO"/>
    <s v="ENERES"/>
    <s v="01/10/2025 15:01:56"/>
    <s v="2025-11-20 07:09:10"/>
    <n v="21399132"/>
    <s v="LUZ MARINA GOMEZ BERGEN"/>
    <s v="2646900"/>
    <s v="3212570103"/>
    <s v="CR 70 CL 45 E -25 (INTERIOR 201 )"/>
    <x v="2"/>
    <s v="054720005500250201"/>
    <s v="Medellín"/>
    <x v="2"/>
    <s v="MET Rev-Inst-Concentra E_CR014"/>
    <x v="1"/>
    <n v="7"/>
    <s v="2025-12-01 07:09:10"/>
    <s v="7 días 07:09"/>
    <s v="VENCIDO"/>
    <x v="2"/>
    <s v="SIN DATO"/>
    <s v="SIN DATO"/>
    <s v="SIN DATO"/>
    <s v="ABIERTO"/>
    <n v="-75.588422679999994"/>
    <n v="6.2511689400000003"/>
    <s v="SUR-ENE"/>
    <s v="Metropolitana Sur"/>
  </r>
  <r>
    <s v="23553818"/>
    <s v="ENERES"/>
    <s v="NUEVO"/>
    <s v="ENERES"/>
    <s v="01/10/2025 15:01:56"/>
    <s v="2025-11-20 07:14:23"/>
    <n v="21399132"/>
    <s v="LUZ MARINA GOMEZ BERGEN"/>
    <s v="2646900"/>
    <s v="3212570103"/>
    <s v="CR 70 CL 45 E -25 (INTERIOR 202 )"/>
    <x v="2"/>
    <s v="054720005500250202"/>
    <s v="Medellín"/>
    <x v="2"/>
    <s v="MET Rev-Inst-Concentra E_CR014"/>
    <x v="1"/>
    <n v="7"/>
    <s v="2025-12-01 07:14:23"/>
    <s v="7 días 07:14"/>
    <s v="VENCIDO"/>
    <x v="2"/>
    <s v="SIN DATO"/>
    <s v="SIN DATO"/>
    <s v="SIN DATO"/>
    <s v="ABIERTO"/>
    <n v="-75.588422679999994"/>
    <n v="6.2511689400000003"/>
    <s v="SUR-ENE"/>
    <s v="Metropolitana Sur"/>
  </r>
  <r>
    <s v="23553819"/>
    <s v="ENERES"/>
    <s v="NUEVO"/>
    <s v="ENERES"/>
    <s v="01/10/2025 15:02:57"/>
    <s v="2025-11-20 07:13:28"/>
    <n v="21399132"/>
    <s v="LUZ MARINA GOMEZ BERGEN"/>
    <s v="2646900"/>
    <s v="3212570103"/>
    <s v="CR 70 CL 45 E -25 (INTERIOR 203 )"/>
    <x v="2"/>
    <s v="054720005500250203"/>
    <s v="Medellín"/>
    <x v="2"/>
    <s v="MET Rev-Inst-Concentra E_CR014"/>
    <x v="1"/>
    <n v="7"/>
    <s v="2025-12-01 07:13:28"/>
    <s v="7 días 07:13"/>
    <s v="VENCIDO"/>
    <x v="2"/>
    <s v="SIN DATO"/>
    <s v="SIN DATO"/>
    <s v="SIN DATO"/>
    <s v="ABIERTO"/>
    <n v="-75.588422679999994"/>
    <n v="6.2511689400000003"/>
    <s v="SUR-ENE"/>
    <s v="Metropolitana Sur"/>
  </r>
  <r>
    <s v="23553823"/>
    <s v="ENENOR"/>
    <s v="NUEVO"/>
    <s v="ENENOR"/>
    <s v="01/10/2025 15:05:23"/>
    <s v="2025-11-20 07:17:18"/>
    <n v="21399132"/>
    <s v="LUZ MARINA GOMEZ BERGEN"/>
    <s v="2646900"/>
    <s v="3212570103"/>
    <s v="CR 70 CL 45 E -25 (INTERIOR 101 )"/>
    <x v="2"/>
    <s v="054720005500250101"/>
    <s v="Medellín"/>
    <x v="4"/>
    <s v="MET Rev-Inst-Concentra E_CR014"/>
    <x v="1"/>
    <n v="7"/>
    <s v="2025-12-01 07:17:18"/>
    <s v="7 días 07:17"/>
    <s v="VENCIDO"/>
    <x v="2"/>
    <s v="SIN DATO"/>
    <s v="SIN DATO"/>
    <s v="SIN DATO"/>
    <s v="ABIERTO"/>
    <n v="-75.588422679999994"/>
    <n v="6.2511689400000003"/>
    <s v="SUR-ENE"/>
    <s v="Metropolitana Sur"/>
  </r>
  <r>
    <s v="23553824"/>
    <s v="ENERES"/>
    <s v="NUEVO"/>
    <s v="ENERES"/>
    <s v="01/10/2025 15:05:24"/>
    <s v="2025-11-20 07:11:16"/>
    <n v="21399132"/>
    <s v="LUZ MARINA GOMEZ BERGEN"/>
    <s v="2646900"/>
    <s v="3212570103"/>
    <s v="CR 70 CL 45 E -25 (INTERIOR 301 )"/>
    <x v="2"/>
    <s v="054720005500250301"/>
    <s v="Medellín"/>
    <x v="2"/>
    <s v="MET Rev-Inst-Concentra E_CR014"/>
    <x v="1"/>
    <n v="7"/>
    <s v="2025-12-01 07:11:16"/>
    <s v="7 días 07:11"/>
    <s v="VENCIDO"/>
    <x v="2"/>
    <s v="SIN DATO"/>
    <s v="SIN DATO"/>
    <s v="SIN DATO"/>
    <s v="ABIERTO"/>
    <n v="-75.588422679999994"/>
    <n v="6.2511689400000003"/>
    <s v="SUR-ENE"/>
    <s v="Metropolitana Sur"/>
  </r>
  <r>
    <s v="23554440"/>
    <s v="ENERES"/>
    <s v="NUEVO"/>
    <s v="ENERES"/>
    <s v="02/10/2025 10:41:55"/>
    <s v="2025-11-25 09:21:29"/>
    <n v="1077467177"/>
    <s v="YORGENSON ESTIWAR ROBLEDO RODRIGUEZ"/>
    <s v="SIN DATOS"/>
    <s v="3107308001"/>
    <s v="RURAL_147050935015000002_PROV.SAN CRISTOBAL"/>
    <x v="2"/>
    <s v="147050935015000002"/>
    <s v="Medellín"/>
    <x v="2"/>
    <s v="Revisor Instal. Regadas Metrosur"/>
    <x v="0"/>
    <n v="10"/>
    <s v="2025-12-10 09:21:29"/>
    <s v="4 días 09:21"/>
    <s v="6 días 09:21"/>
    <x v="0"/>
    <s v="SIN DATO"/>
    <s v="SIN DATO"/>
    <s v="SIN DATO"/>
    <s v="ABIERTO"/>
    <n v="-75.643936999999994"/>
    <n v="6.2901629999999997"/>
    <s v="SUR-ENE"/>
    <s v="Metropolitana Sur"/>
  </r>
  <r>
    <s v="23556160"/>
    <s v="ENERES"/>
    <s v="NUEVO"/>
    <s v="ENEDOM"/>
    <s v="03/10/2025 16:08:13"/>
    <s v="2025-11-20 16:43:57"/>
    <n v="1026145331"/>
    <s v="ANDERSON MONTOYA LOPEZ"/>
    <s v="SIN DATOS"/>
    <s v="3045242540"/>
    <s v="RURAL_159119000000000000_MARIAN OSPINA"/>
    <x v="0"/>
    <s v="159119000000000000"/>
    <s v="La Estrella"/>
    <x v="0"/>
    <s v="MET Rev-Inst-Concentra E_CR014"/>
    <x v="0"/>
    <n v="8"/>
    <s v="2025-12-02 16:43:57"/>
    <s v="7 días 16:43"/>
    <s v="1 días 16:43"/>
    <x v="1"/>
    <s v="SIN DATO"/>
    <s v="SIN DATO"/>
    <s v="SIN DATO"/>
    <s v="ABIERTO"/>
    <n v="-75.632413339999999"/>
    <n v="6.1165099999999999"/>
    <s v="SUR-ENE"/>
    <s v="Metropolitana Sur"/>
  </r>
  <r>
    <s v="23556232"/>
    <s v="ENEPRE"/>
    <s v="NUEVO"/>
    <s v="ENEPRE"/>
    <s v="03/10/2025 16:56:37"/>
    <s v="2025-11-27 21:45:08"/>
    <n v="1001762934"/>
    <s v="YESID ALEJANDRO MACHADO FLOREZ"/>
    <s v="SIN DATOS"/>
    <s v="3001176714"/>
    <s v="RURAL_136029733600000201_OLAYA HERRERA"/>
    <x v="2"/>
    <s v="136029733600000201"/>
    <s v="Medellín"/>
    <x v="0"/>
    <s v="Energía Prepago Metrosur"/>
    <x v="0"/>
    <n v="8"/>
    <s v="2025-12-10 21:45:08"/>
    <s v="2 días 21:45"/>
    <s v="6 días 21:45"/>
    <x v="0"/>
    <s v="SIN DATO"/>
    <s v="SIN DATO"/>
    <s v="SIN DATO"/>
    <s v="ABIERTO"/>
    <n v="-75.6100371"/>
    <n v="6.27526501"/>
    <s v="SUR-ENE"/>
    <s v="Metropolitana Sur"/>
  </r>
  <r>
    <s v="23556259"/>
    <s v="ENEPRE"/>
    <s v="NUEVO"/>
    <s v="ENEPRE"/>
    <s v="03/10/2025 17:21:32"/>
    <s v="2025-11-27 21:45:04"/>
    <n v="1001762934"/>
    <s v="YESID ALEJANDRO MACHADO FLOREZ"/>
    <s v="SIN DATOS"/>
    <s v="3001176714"/>
    <s v="RURAL_136029733600000101_OLAYA HERRERA"/>
    <x v="2"/>
    <s v="136029733600000101"/>
    <s v="Medellín"/>
    <x v="0"/>
    <s v="Energía Prepago Metrosur"/>
    <x v="0"/>
    <n v="8"/>
    <s v="2025-12-10 21:45:04"/>
    <s v="2 días 21:45"/>
    <s v="6 días 21:45"/>
    <x v="0"/>
    <s v="SIN DATO"/>
    <s v="SIN DATO"/>
    <s v="SIN DATO"/>
    <s v="ABIERTO"/>
    <n v="-75.6100371"/>
    <n v="6.27526501"/>
    <s v="SUR-ENE"/>
    <s v="Metropolitana Sur"/>
  </r>
  <r>
    <s v="23556313"/>
    <s v="ENERES"/>
    <s v="NUEVO"/>
    <s v="ENEDOM"/>
    <s v="04/10/2025 09:52:12"/>
    <s v="2025-11-25 21:52:04"/>
    <n v="43782316"/>
    <s v="DORA ELSY CORREA MONTOYA"/>
    <s v="SIN DATOS"/>
    <s v="3128099055"/>
    <s v="CL 56 EC CR 18 A -54 (INTERIOR 101 )"/>
    <x v="2"/>
    <s v="055116538100540101"/>
    <s v="Medellín"/>
    <x v="0"/>
    <s v="Habilitación Viviendas Metrosur"/>
    <x v="1"/>
    <n v="5"/>
    <s v="2025-12-02 21:52:04"/>
    <s v="4 días 21:52"/>
    <s v="1 días 21:52"/>
    <x v="1"/>
    <s v="SIN DATO"/>
    <s v="SIN DATO"/>
    <s v="SIN DATO"/>
    <s v="ABIERTO"/>
    <n v="-75.541467999999995"/>
    <n v="6.2432780000000001"/>
    <s v="SUR-ENE"/>
    <s v="Metropolitana Sur"/>
  </r>
  <r>
    <s v="23556819"/>
    <s v="ENERES"/>
    <s v="NUEVO"/>
    <s v="ENEDOM"/>
    <s v="06/10/2025 08:50:01"/>
    <s v="2025-10-06 08:50:01"/>
    <n v="1017162066"/>
    <s v="NATALIA CAÑOLA MARIN"/>
    <s v="3663032"/>
    <s v="3046130668"/>
    <s v="CR 1 ESTE CL 55 G -10 (INTERIOR 100 )"/>
    <x v="2"/>
    <s v="705021005700100100"/>
    <s v="Medellín"/>
    <x v="0"/>
    <s v="Habilitación Viviendas Metrosur"/>
    <x v="1"/>
    <n v="5"/>
    <s v="2025-10-14 08:50:01"/>
    <s v="37 días 08:50"/>
    <s v="VENCIDO"/>
    <x v="2"/>
    <s v="SIN DATO"/>
    <s v="SIN DATO"/>
    <s v="SIN DATO"/>
    <s v="ABIERTO"/>
    <n v="-75.528749000000005"/>
    <n v="6.2354020400000003"/>
    <s v="SUR-ENE"/>
    <s v="Metropolitana Sur"/>
  </r>
  <r>
    <s v="23557086"/>
    <s v="ENERES"/>
    <s v="NUEVO"/>
    <s v="ENERES"/>
    <s v="06/10/2025 11:25:03"/>
    <s v="2025-11-28 21:47:19"/>
    <n v="71760189"/>
    <s v="MAURICIO SABBAGH VELASCO"/>
    <s v="3229660"/>
    <s v="3202755573"/>
    <s v="CR 76 CL 48 -15 (INTERIOR 201 )"/>
    <x v="2"/>
    <s v="054726008000150201"/>
    <s v="Medellín"/>
    <x v="2"/>
    <s v="MET Rev-Inst-Concentra E_CR014"/>
    <x v="1"/>
    <n v="7"/>
    <s v="2025-12-10 21:47:19"/>
    <s v="1 días 21:47"/>
    <s v="6 días 21:47"/>
    <x v="0"/>
    <s v="SIN DATO"/>
    <s v="SIN DATO"/>
    <s v="SIN DATO"/>
    <s v="ABIERTO"/>
    <n v="-75.592968999999997"/>
    <n v="6.2577579999999999"/>
    <s v="SUR-ENE"/>
    <s v="Metropolitana Sur"/>
  </r>
  <r>
    <s v="23557188"/>
    <s v="ENERES"/>
    <s v="NUEVO"/>
    <s v="ENEDOM"/>
    <s v="06/10/2025 12:28:18"/>
    <s v="2025-11-27 21:45:12"/>
    <n v="22240921"/>
    <s v="CRISTINA ISABEL PRIMERO BELTRAN"/>
    <s v="SIN DATOS"/>
    <s v="3147948826"/>
    <s v="RURAL_116005312360001107"/>
    <x v="2"/>
    <s v="116005312360001107"/>
    <s v="Medellín"/>
    <x v="0"/>
    <s v="Habilitación Viviendas Metrosur"/>
    <x v="0"/>
    <n v="8"/>
    <s v="2025-12-10 21:45:12"/>
    <s v="2 días 21:45"/>
    <s v="6 días 21:45"/>
    <x v="0"/>
    <s v="SIN DATO"/>
    <s v="SIN DATO"/>
    <s v="SIN DATO"/>
    <s v="ABIERTO"/>
    <n v="-75.629273310000002"/>
    <n v="6.2352416599999998"/>
    <s v="SUR-ENE"/>
    <s v="Metropolitana Sur"/>
  </r>
  <r>
    <s v="23557196"/>
    <s v="ENERES"/>
    <s v="NUEVO"/>
    <s v="ENEDOM"/>
    <s v="06/10/2025 12:37:35"/>
    <s v="2025-11-27 21:45:16"/>
    <n v="1152465882"/>
    <s v="ALEXANDRA CADAVID SANCHEZ"/>
    <s v="3413132"/>
    <s v="3203962344"/>
    <s v="RURAL_116005312360000106"/>
    <x v="2"/>
    <s v="116005312360000106"/>
    <s v="Medellín"/>
    <x v="0"/>
    <s v="Habilitación Viviendas Metrosur"/>
    <x v="0"/>
    <n v="8"/>
    <s v="2025-12-10 21:45:16"/>
    <s v="2 días 21:45"/>
    <s v="6 días 21:45"/>
    <x v="0"/>
    <s v="SIN DATO"/>
    <s v="SIN DATO"/>
    <s v="SIN DATO"/>
    <s v="ABIERTO"/>
    <n v="-75.629273310000002"/>
    <n v="6.2352416599999998"/>
    <s v="SUR-ENE"/>
    <s v="Metropolitana Sur"/>
  </r>
  <r>
    <s v="23557211"/>
    <s v="ENERES"/>
    <s v="NUEVO"/>
    <s v="ENEDOM"/>
    <s v="06/10/2025 12:40:31"/>
    <s v="2025-11-27 21:45:25"/>
    <n v="1152465882"/>
    <s v="ALEXANDRA CADAVID SANCHEZ"/>
    <s v="3413132"/>
    <s v="3203962344"/>
    <s v="RURAL_116005312360000107"/>
    <x v="2"/>
    <s v="116005312360000107"/>
    <s v="Medellín"/>
    <x v="0"/>
    <s v="Habilitación Viviendas Metrosur"/>
    <x v="0"/>
    <n v="8"/>
    <s v="2025-12-10 21:45:25"/>
    <s v="2 días 21:45"/>
    <s v="6 días 21:45"/>
    <x v="0"/>
    <s v="SIN DATO"/>
    <s v="SIN DATO"/>
    <s v="SIN DATO"/>
    <s v="ABIERTO"/>
    <n v="-75.629273310000002"/>
    <n v="6.2352416599999998"/>
    <s v="SUR-ENE"/>
    <s v="Metropolitana Sur"/>
  </r>
  <r>
    <s v="23557387"/>
    <s v="ENERES"/>
    <s v="NUEVO"/>
    <s v="ENEDOM"/>
    <s v="06/10/2025 13:00:38"/>
    <s v="2025-11-27 21:44:21"/>
    <n v="1004027595"/>
    <s v="BELISARIO ARCE ARCE"/>
    <s v="SIN DATOS"/>
    <s v="3205934947"/>
    <s v="CL 65 CR 16 DD -19 (INTERIOR 1886 )"/>
    <x v="2"/>
    <s v="056115006440191886"/>
    <s v="Medellín"/>
    <x v="0"/>
    <s v="Habilitación Viviendas Metrosur"/>
    <x v="1"/>
    <n v="5"/>
    <s v="2025-12-04 21:44:21"/>
    <s v="2 días 21:44"/>
    <s v="3 días 21:44"/>
    <x v="0"/>
    <s v="SIN DATO"/>
    <s v="SIN DATO"/>
    <s v="SIN DATO"/>
    <s v="ABIERTO"/>
    <n v="-75.537087999999997"/>
    <n v="6.256869"/>
    <s v="SUR-ENE"/>
    <s v="Metropolitana Sur"/>
  </r>
  <r>
    <s v="23557530"/>
    <s v="ENERES"/>
    <s v="NUEVO"/>
    <s v="ENEDOM"/>
    <s v="06/10/2025 14:22:10"/>
    <s v="2025-11-27 21:45:33"/>
    <n v="34971253"/>
    <s v="MIRIAM ENID SOTELO POLO"/>
    <s v="3430691"/>
    <s v="3135230834"/>
    <s v="RURAL_116005312360000108"/>
    <x v="2"/>
    <s v="116005312360000108"/>
    <s v="Medellín"/>
    <x v="0"/>
    <s v="Habilitación Viviendas Metrosur"/>
    <x v="0"/>
    <n v="8"/>
    <s v="2025-12-10 21:45:33"/>
    <s v="2 días 21:45"/>
    <s v="6 días 21:45"/>
    <x v="0"/>
    <s v="SIN DATO"/>
    <s v="SIN DATO"/>
    <s v="SIN DATO"/>
    <s v="ABIERTO"/>
    <n v="-75.629273310000002"/>
    <n v="6.2352416599999998"/>
    <s v="SUR-ENE"/>
    <s v="Metropolitana Sur"/>
  </r>
  <r>
    <s v="23557539"/>
    <s v="ENERES"/>
    <s v="NUEVO"/>
    <s v="ENEDOM"/>
    <s v="06/10/2025 14:26:49"/>
    <s v="2025-11-27 21:45:37"/>
    <n v="1017271382"/>
    <s v="JERALDIN  MIRANDA MESA"/>
    <s v="SIN DATOS"/>
    <s v="3028152829"/>
    <s v="RURAL_116005308000000000"/>
    <x v="2"/>
    <s v="116005308000000000"/>
    <s v="Medellín"/>
    <x v="0"/>
    <s v="Habilitación Viviendas Metrosur"/>
    <x v="0"/>
    <n v="8"/>
    <s v="2025-12-10 21:45:37"/>
    <s v="2 días 21:45"/>
    <s v="6 días 21:45"/>
    <x v="0"/>
    <s v="SIN DATO"/>
    <s v="SIN DATO"/>
    <s v="SIN DATO"/>
    <s v="ABIERTO"/>
    <n v="-75.630233570000001"/>
    <n v="6.2334557999999998"/>
    <s v="SUR-ENE"/>
    <s v="Metropolitana Sur"/>
  </r>
  <r>
    <s v="23557541"/>
    <s v="ENERES"/>
    <s v="NUEVO"/>
    <s v="ENERES"/>
    <s v="06/10/2025 14:27:06"/>
    <s v="2025-11-28 21:45:42"/>
    <n v="43048766"/>
    <s v="BEATRIZ HELENA FLOREZ OSORIO"/>
    <s v="SIN DATOS"/>
    <s v="3157687304"/>
    <s v="CL 45 CR 32 -20 (INTERIOR 301 )"/>
    <x v="2"/>
    <s v="054315002000200301"/>
    <s v="Medellín"/>
    <x v="2"/>
    <s v="Revisor Instal. Regadas Metrosur"/>
    <x v="1"/>
    <n v="7"/>
    <s v="2025-12-10 21:45:42"/>
    <s v="1 días 21:45"/>
    <s v="6 días 21:45"/>
    <x v="0"/>
    <s v="SIN DATO"/>
    <s v="SIN DATO"/>
    <s v="SIN DATO"/>
    <s v="ABIERTO"/>
    <n v="-75.555959990000005"/>
    <n v="6.2389200100000002"/>
    <s v="SUR-ENE"/>
    <s v="Metropolitana Sur"/>
  </r>
  <r>
    <s v="23557589"/>
    <s v="ENERES"/>
    <s v="NUEVO"/>
    <s v="ENEDOM"/>
    <s v="06/10/2025 14:56:14"/>
    <s v="2025-11-27 21:45:51"/>
    <n v="1214747991"/>
    <s v="RODOLFO QUINTERO MARTINEZ"/>
    <s v="SIN DATOS"/>
    <s v="3218822019"/>
    <s v="RURAL_116005312515600101"/>
    <x v="2"/>
    <s v="116005312515600101"/>
    <s v="Medellín"/>
    <x v="0"/>
    <s v="Habilitación Viviendas Metrosur"/>
    <x v="0"/>
    <n v="8"/>
    <s v="2025-12-10 21:45:51"/>
    <s v="2 días 21:45"/>
    <s v="6 días 21:45"/>
    <x v="0"/>
    <s v="SIN DATO"/>
    <s v="SIN DATO"/>
    <s v="SIN DATO"/>
    <s v="ABIERTO"/>
    <n v="-75.630061670000003"/>
    <n v="6.23489833"/>
    <s v="SUR-ENE"/>
    <s v="Metropolitana Sur"/>
  </r>
  <r>
    <s v="23557590"/>
    <s v="ENERES"/>
    <s v="NUEVO"/>
    <s v="ENEDOM"/>
    <s v="06/10/2025 14:56:28"/>
    <s v="2025-11-27 21:45:55"/>
    <n v="32812514"/>
    <s v="AMINTA ISABEL CASTRO  ROMERO"/>
    <s v="2567904"/>
    <s v="3012672589"/>
    <s v="RURAL_116005312514601990"/>
    <x v="2"/>
    <s v="116005312514601990"/>
    <s v="Medellín"/>
    <x v="0"/>
    <s v="Habilitación Viviendas Metrosur"/>
    <x v="0"/>
    <n v="8"/>
    <s v="2025-12-10 21:45:55"/>
    <s v="2 días 21:45"/>
    <s v="6 días 21:45"/>
    <x v="0"/>
    <s v="SIN DATO"/>
    <s v="SIN DATO"/>
    <s v="SIN DATO"/>
    <s v="ABIERTO"/>
    <n v="-75.629721000000004"/>
    <n v="6.2345170000000003"/>
    <s v="SUR-ENE"/>
    <s v="Metropolitana Sur"/>
  </r>
  <r>
    <s v="23557598"/>
    <s v="ENERES"/>
    <s v="NUEVO"/>
    <s v="ENEDOM"/>
    <s v="06/10/2025 15:01:56"/>
    <s v="2025-11-27 21:45:58"/>
    <n v="30079806"/>
    <s v="MARIA TERESA MARTINEZ BORJA"/>
    <s v="SIN DATOS"/>
    <s v="3202783148"/>
    <s v="RURAL_116005312515600102"/>
    <x v="2"/>
    <s v="116005312515600102"/>
    <s v="Medellín"/>
    <x v="0"/>
    <s v="Habilitación Viviendas Metrosur"/>
    <x v="0"/>
    <n v="8"/>
    <s v="2025-12-10 21:45:58"/>
    <s v="2 días 21:45"/>
    <s v="6 días 21:45"/>
    <x v="0"/>
    <s v="SIN DATO"/>
    <s v="SIN DATO"/>
    <s v="SIN DATO"/>
    <s v="ABIERTO"/>
    <n v="-75.630061670000003"/>
    <n v="6.23489833"/>
    <s v="SUR-ENE"/>
    <s v="Metropolitana Sur"/>
  </r>
  <r>
    <s v="23557797"/>
    <s v="ENERES"/>
    <s v="NUEVO"/>
    <s v="ENEDOM"/>
    <s v="06/10/2025 17:18:14"/>
    <s v="2025-11-28 21:46:08"/>
    <n v="1128471237"/>
    <s v="MARIA ALEJANDRA SOTO MENESES"/>
    <s v="5068916"/>
    <s v="3003582054"/>
    <s v="CR 26 E CL 38 B -38 (INTERIOR 202 )"/>
    <x v="2"/>
    <s v="053226508200380202"/>
    <s v="Medellín"/>
    <x v="0"/>
    <s v="Habilitación Viviendas Metrosur"/>
    <x v="1"/>
    <n v="5"/>
    <s v="2025-12-05 21:46:08"/>
    <s v="1 días 21:46"/>
    <s v="4 días 21:46"/>
    <x v="0"/>
    <s v="SIN DATO"/>
    <s v="SIN DATO"/>
    <s v="SIN DATO"/>
    <s v="ABIERTO"/>
    <n v="-75.554452019999999"/>
    <n v="6.2318557300000004"/>
    <s v="SUR-ENE"/>
    <s v="Metropolitana Sur"/>
  </r>
  <r>
    <s v="23558074"/>
    <s v="ENERES"/>
    <s v="NUEVO"/>
    <s v="ENERES"/>
    <s v="07/10/2025 08:11:40"/>
    <s v="2025-11-28 21:46:00"/>
    <n v="1152435734"/>
    <s v="DANIEL FERNANDO GARCIA BUITRAGO"/>
    <s v="SIN DATOS"/>
    <s v="3126403126"/>
    <s v="CL 18 D CR 89 -11 (INTERIOR 101 )"/>
    <x v="2"/>
    <s v="051818409000110101"/>
    <s v="Medellín"/>
    <x v="2"/>
    <s v="METROSUR Vin. Leg. Ref. Concentrada"/>
    <x v="1"/>
    <n v="7"/>
    <s v="2025-12-10 21:46:00"/>
    <s v="1 días 21:46"/>
    <s v="6 días 21:46"/>
    <x v="0"/>
    <s v="SIN DATO"/>
    <s v="SIN DATO"/>
    <s v="SIN DATO"/>
    <s v="ABIERTO"/>
    <n v="-75.611549999999994"/>
    <n v="6.2218999999999998"/>
    <s v="SUR-ENE"/>
    <s v="Metropolitana Sur"/>
  </r>
  <r>
    <s v="23558078"/>
    <s v="ENERES"/>
    <s v="NUEVO"/>
    <s v="ENERES"/>
    <s v="07/10/2025 08:13:59"/>
    <s v="2025-11-28 21:45:56"/>
    <n v="71795455"/>
    <s v="FERNEY OTALVARO GARCIA BUITRAGO"/>
    <s v="SIN DATOS"/>
    <s v="3116143420"/>
    <s v="CL 18 D CR 89 -11 (INTERIOR 202 )"/>
    <x v="2"/>
    <s v="051818409000110202"/>
    <s v="Medellín"/>
    <x v="2"/>
    <s v="METROSUR Vin. Leg. Ref. Concentrada"/>
    <x v="1"/>
    <n v="7"/>
    <s v="2025-12-10 21:45:56"/>
    <s v="1 días 21:45"/>
    <s v="6 días 21:45"/>
    <x v="0"/>
    <s v="SIN DATO"/>
    <s v="SIN DATO"/>
    <s v="SIN DATO"/>
    <s v="ABIERTO"/>
    <n v="-75.611457569999999"/>
    <n v="6.2226487800000001"/>
    <s v="SUR-ENE"/>
    <s v="Metropolitana Sur"/>
  </r>
  <r>
    <s v="23558082"/>
    <s v="ENERES"/>
    <s v="NUEVO"/>
    <s v="ENERES"/>
    <s v="07/10/2025 08:16:49"/>
    <s v="2025-11-28 21:45:51"/>
    <n v="71795455"/>
    <s v="FERNEY OTALVARO GARCIA BUITRAGO"/>
    <s v="SIN DATOS"/>
    <s v="3116143420"/>
    <s v="CL 18 D CR 89 -11 (INTERIOR 201 )"/>
    <x v="2"/>
    <s v="051818409000110201"/>
    <s v="Medellín"/>
    <x v="2"/>
    <s v="Revisor Instal. Regadas Metrosur"/>
    <x v="1"/>
    <n v="7"/>
    <s v="2025-12-10 21:45:51"/>
    <s v="1 días 21:45"/>
    <s v="6 días 21:45"/>
    <x v="0"/>
    <s v="SIN DATO"/>
    <s v="SIN DATO"/>
    <s v="SIN DATO"/>
    <s v="ABIERTO"/>
    <n v="-75.611573000000007"/>
    <n v="6.2219239999999996"/>
    <s v="SUR-ENE"/>
    <s v="Metropolitana Sur"/>
  </r>
  <r>
    <s v="23558127"/>
    <s v="ENERES"/>
    <s v="NUEVO"/>
    <s v="ENERES"/>
    <s v="07/10/2025 08:52:45"/>
    <s v="2025-11-20 06:31:35"/>
    <n v="1102837513"/>
    <s v="OSCAR ALEXIS ARRIETA ROSA"/>
    <s v="SIN DATOS"/>
    <s v="3024340895"/>
    <s v="CR 75 CL 44 A -52 (INTERIOR 202 )"/>
    <x v="2"/>
    <s v="054725004100520202"/>
    <s v="Medellín"/>
    <x v="2"/>
    <s v="MET Rev-Inst-Concentra E_CR014"/>
    <x v="1"/>
    <n v="7"/>
    <s v="2025-12-01 06:31:35"/>
    <s v="7 días 06:31"/>
    <s v="VENCIDO"/>
    <x v="2"/>
    <s v="SIN DATO"/>
    <s v="SIN DATO"/>
    <s v="SIN DATO"/>
    <s v="ABIERTO"/>
    <n v="-75.593856540000004"/>
    <n v="6.2509838599999998"/>
    <s v="SUR-ENE"/>
    <s v="Metropolitana Sur"/>
  </r>
  <r>
    <s v="23558128"/>
    <s v="ENERES"/>
    <s v="NUEVO"/>
    <s v="ENEDOM"/>
    <s v="07/10/2025 08:53:16"/>
    <s v="2025-11-27 21:46:09"/>
    <n v="15346064"/>
    <s v="JAIME LEON CANO ROJAS"/>
    <s v="SIN DATOS"/>
    <s v="3244817325"/>
    <s v="RURAL_116005312515600104"/>
    <x v="2"/>
    <s v="116005312515600104"/>
    <s v="Medellín"/>
    <x v="0"/>
    <s v="Habilitación Viviendas Metrosur"/>
    <x v="0"/>
    <n v="8"/>
    <s v="2025-12-10 21:46:09"/>
    <s v="2 días 21:46"/>
    <s v="6 días 21:46"/>
    <x v="0"/>
    <s v="SIN DATO"/>
    <s v="SIN DATO"/>
    <s v="SIN DATO"/>
    <s v="ABIERTO"/>
    <n v="-75.630061670000003"/>
    <n v="6.23489833"/>
    <s v="SUR-ENE"/>
    <s v="Metropolitana Sur"/>
  </r>
  <r>
    <s v="23558137"/>
    <s v="ENERES"/>
    <s v="NUEVO"/>
    <s v="ENERES"/>
    <s v="07/10/2025 08:58:18"/>
    <s v="2025-11-20 06:33:38"/>
    <n v="79470052"/>
    <s v="GERMAN ALBERTO GUEVARA GONZALEZ"/>
    <s v="5788824"/>
    <s v="3024340895"/>
    <s v="CR 75 CL 44 A -52 (INTERIOR 801 )"/>
    <x v="2"/>
    <s v="054725004100520801"/>
    <s v="Medellín"/>
    <x v="2"/>
    <s v="MET Rev-Inst-Concentra E_CR014"/>
    <x v="1"/>
    <n v="7"/>
    <s v="2025-12-01 06:33:38"/>
    <s v="7 días 06:33"/>
    <s v="VENCIDO"/>
    <x v="2"/>
    <s v="SIN DATO"/>
    <s v="SIN DATO"/>
    <s v="SIN DATO"/>
    <s v="ABIERTO"/>
    <n v="-75.593856540000004"/>
    <n v="6.2509838599999998"/>
    <s v="SUR-ENE"/>
    <s v="Metropolitana Sur"/>
  </r>
  <r>
    <s v="23558288"/>
    <s v="ENERES"/>
    <s v="NUEVO"/>
    <s v="ENEDOM"/>
    <s v="07/10/2025 10:28:09"/>
    <s v="2025-11-27 21:46:13"/>
    <n v="98534250"/>
    <s v="JOSE IGNACIO SALDARRIAGA QUICENO"/>
    <s v="3778173"/>
    <s v="3242801597"/>
    <s v="RURAL_163012332000000301_RURAL ITAGUI EL PROGRESO"/>
    <x v="1"/>
    <s v="163012332000000301"/>
    <s v="Itaguí"/>
    <x v="0"/>
    <s v="Habilitación Viviendas Metrosur"/>
    <x v="0"/>
    <n v="8"/>
    <s v="2025-12-10 21:46:13"/>
    <s v="2 días 21:46"/>
    <s v="6 días 21:46"/>
    <x v="0"/>
    <s v="SIN DATO"/>
    <s v="SIN DATO"/>
    <s v="SIN DATO"/>
    <s v="ABIERTO"/>
    <n v="-75.616186999999996"/>
    <n v="6.1873360000000002"/>
    <s v="SUR-ENE"/>
    <s v="Metropolitana Sur"/>
  </r>
  <r>
    <s v="23558454"/>
    <s v="ENERES"/>
    <s v="NUEVO"/>
    <s v="ENEDOM"/>
    <s v="07/10/2025 12:17:11"/>
    <s v="2025-11-27 21:44:37"/>
    <n v="43524677"/>
    <s v="ANA ISABEL RESTREPO SEPULVEDA"/>
    <s v="SIN DATOS"/>
    <s v="3194852505"/>
    <s v="CL 34 A CR 116 -170 (INTERIOR 215 )"/>
    <x v="2"/>
    <s v="083114106001700215"/>
    <s v="Medellín"/>
    <x v="0"/>
    <s v="Habilitación Viviendas Metrosur"/>
    <x v="1"/>
    <n v="5"/>
    <s v="2025-12-04 21:44:37"/>
    <s v="2 días 21:44"/>
    <s v="3 días 21:44"/>
    <x v="0"/>
    <s v="SIN DATO"/>
    <s v="SIN DATO"/>
    <s v="SIN DATO"/>
    <s v="ABIERTO"/>
    <n v="-75.627324999999999"/>
    <n v="6.2458910000000003"/>
    <s v="SUR-ENE"/>
    <s v="Metropolitana Sur"/>
  </r>
  <r>
    <s v="23558712"/>
    <s v="ENERES"/>
    <s v="NUEVO"/>
    <s v="ENERES"/>
    <s v="07/10/2025 15:27:01"/>
    <s v="2025-11-28 21:45:35"/>
    <n v="98657648"/>
    <s v="ANDRES FELIPE ESPINOSA MARQUEZ"/>
    <s v="2762832"/>
    <s v="3007543066"/>
    <s v="CR 24 E CL 40 SUR -110 (INTERIOR 310 )"/>
    <x v="5"/>
    <s v="024224500001100310"/>
    <s v="Envigado"/>
    <x v="2"/>
    <s v="Revisor Instal. Regadas Metrosur"/>
    <x v="1"/>
    <n v="7"/>
    <s v="2025-12-10 21:45:35"/>
    <s v="1 días 21:45"/>
    <s v="6 días 21:45"/>
    <x v="0"/>
    <s v="SIN DATO"/>
    <s v="SIN DATO"/>
    <s v="SIN DATO"/>
    <s v="ABIERTO"/>
    <n v="-75.577908829999998"/>
    <n v="6.1494648300000003"/>
    <s v="SUR-ENE"/>
    <s v="Metropolitana Sur"/>
  </r>
  <r>
    <s v="23558817"/>
    <s v="ENERES"/>
    <s v="NUEVO"/>
    <s v="ENEDOM"/>
    <s v="07/10/2025 16:40:40"/>
    <s v="2025-11-27 21:44:44"/>
    <n v="66992784"/>
    <s v="LILIANA MARIA MUNERA"/>
    <s v="SIN DATOS"/>
    <s v="3235983196"/>
    <s v="CL 48 CR 59 -56 (INTERIOR 126 )"/>
    <x v="1"/>
    <s v="074518009000560126"/>
    <s v="Itaguí"/>
    <x v="0"/>
    <s v="Habilitación Viviendas Metrosur"/>
    <x v="1"/>
    <n v="5"/>
    <s v="2025-12-04 21:44:44"/>
    <s v="2 días 21:44"/>
    <s v="3 días 21:44"/>
    <x v="0"/>
    <s v="SIN DATO"/>
    <s v="SIN DATO"/>
    <s v="SIN DATO"/>
    <s v="ABIERTO"/>
    <n v="-75.611615439999994"/>
    <n v="6.1789861000000004"/>
    <s v="SUR-ENE"/>
    <s v="Metropolitana Sur"/>
  </r>
  <r>
    <s v="23559194"/>
    <s v="ENERES"/>
    <s v="NUEVO"/>
    <s v="ENERES"/>
    <s v="08/10/2025 08:53:36"/>
    <s v="2025-11-24 12:54:14"/>
    <n v="43036427"/>
    <s v="VIOLETA ISABEL GIRALDO ARBOLEDA"/>
    <s v="SIN DATOS"/>
    <s v="3002113064"/>
    <s v="CL 19 A CR 27 -210"/>
    <x v="2"/>
    <s v="051219107002100000"/>
    <s v="Medellín"/>
    <x v="2"/>
    <s v="Revisor Instal. Regadas Metrosur"/>
    <x v="1"/>
    <n v="7"/>
    <s v="2025-12-03 12:54:14"/>
    <s v="5 días 12:54"/>
    <s v="2 días 12:54"/>
    <x v="1"/>
    <s v="SIN DATO"/>
    <s v="SIN DATO"/>
    <s v="SIN DATO"/>
    <s v="ABIERTO"/>
    <n v="-75.560003280000004"/>
    <n v="6.2218848500000004"/>
    <s v="SUR-ENE"/>
    <s v="Metropolitana Sur"/>
  </r>
  <r>
    <s v="23559305"/>
    <s v="ENERES"/>
    <s v="NUEVO"/>
    <s v="ENEDOM"/>
    <s v="08/10/2025 10:13:09"/>
    <s v="2025-11-27 21:44:48"/>
    <n v="1100399704"/>
    <s v="MARIA CLAUDIA GARCES ANAYA"/>
    <s v="SIN DATOS"/>
    <s v="3045435161"/>
    <s v="CR 1 ESTE CL 47 C -12 (INTERIOR 108 )"/>
    <x v="2"/>
    <s v="704021007300120108"/>
    <s v="Medellín"/>
    <x v="0"/>
    <s v="Habilitación Viviendas Metrosur"/>
    <x v="1"/>
    <n v="5"/>
    <s v="2025-12-04 21:44:48"/>
    <s v="2 días 21:44"/>
    <s v="3 días 21:44"/>
    <x v="0"/>
    <s v="SIN DATO"/>
    <s v="SIN DATO"/>
    <s v="SIN DATO"/>
    <s v="ABIERTO"/>
    <n v="-75.527796820000006"/>
    <n v="6.2292002599999998"/>
    <s v="SUR-ENE"/>
    <s v="Metropolitana Sur"/>
  </r>
  <r>
    <s v="23559381"/>
    <s v="ENERES"/>
    <s v="NUEVO"/>
    <s v="ENEDOM"/>
    <s v="08/10/2025 11:01:48"/>
    <s v="2025-11-28 21:46:21"/>
    <n v="1002206004"/>
    <s v="CLAUDIA MILENA RIOS SERNA"/>
    <s v="SIN DATOS"/>
    <s v="3167760514"/>
    <s v="CR 1 ESTE CL 47 C -12 (INTERIOR 130 )"/>
    <x v="2"/>
    <s v="704021007300120130"/>
    <s v="Medellín"/>
    <x v="0"/>
    <s v="Habilitación Viviendas Metrosur"/>
    <x v="1"/>
    <n v="5"/>
    <s v="2025-12-05 21:46:21"/>
    <s v="1 días 21:46"/>
    <s v="4 días 21:46"/>
    <x v="0"/>
    <s v="SIN DATO"/>
    <s v="SIN DATO"/>
    <s v="SIN DATO"/>
    <s v="ABIERTO"/>
    <n v="-75.527796820000006"/>
    <n v="6.2292002599999998"/>
    <s v="SUR-ENE"/>
    <s v="Metropolitana Sur"/>
  </r>
  <r>
    <s v="23559454"/>
    <s v="ENERES"/>
    <s v="NUEVO"/>
    <s v="ENEDOM"/>
    <s v="08/10/2025 11:40:41"/>
    <s v="2025-11-27 21:44:52"/>
    <n v="1376624"/>
    <s v="YELITZA RIOS RONDON"/>
    <s v="SIN DATOS"/>
    <s v="3145267655"/>
    <s v="CL 65 CR 18 B -156 (INTERIOR 160 )"/>
    <x v="2"/>
    <s v="056115008201560160"/>
    <s v="Medellín"/>
    <x v="0"/>
    <s v="Habilitación Viviendas Metrosur"/>
    <x v="1"/>
    <n v="5"/>
    <s v="2025-12-04 21:44:52"/>
    <s v="2 días 21:44"/>
    <s v="3 días 21:44"/>
    <x v="0"/>
    <s v="SIN DATO"/>
    <s v="SIN DATO"/>
    <s v="SIN DATO"/>
    <s v="ABIERTO"/>
    <n v="-75.540728000000001"/>
    <n v="6.2564599999999997"/>
    <s v="SUR-ENE"/>
    <s v="Metropolitana Sur"/>
  </r>
  <r>
    <s v="23559540"/>
    <s v="ENERES"/>
    <s v="NUEVO"/>
    <s v="ENEDOM"/>
    <s v="08/10/2025 12:47:37"/>
    <s v="2025-11-27 21:46:25"/>
    <n v="1063175548"/>
    <s v="SINDY CAROLINA VIDAL BLANQUICET"/>
    <s v="SIN DATOS"/>
    <s v="3232054485"/>
    <s v="RURAL_163008611200000010__VEREDAAJIZALII"/>
    <x v="1"/>
    <s v="163008611200000010"/>
    <s v="Itaguí"/>
    <x v="0"/>
    <s v="Habilitación Viviendas Metrosur"/>
    <x v="0"/>
    <n v="8"/>
    <s v="2025-12-10 21:46:25"/>
    <s v="2 días 21:46"/>
    <s v="6 días 21:46"/>
    <x v="0"/>
    <s v="SIN DATO"/>
    <s v="SIN DATO"/>
    <s v="SIN DATO"/>
    <s v="ABIERTO"/>
    <n v="-75.608369999999994"/>
    <n v="6.19414"/>
    <s v="SUR-ENE"/>
    <s v="Metropolitana Sur"/>
  </r>
  <r>
    <s v="23559549"/>
    <s v="ENERES"/>
    <s v="NUEVO"/>
    <s v="ENEDOM"/>
    <s v="08/10/2025 12:54:28"/>
    <s v="2025-11-28 21:46:24"/>
    <n v="1038416085"/>
    <s v="DUVERNEY CARDONA HENAO"/>
    <s v="4275913"/>
    <s v="3106845109"/>
    <s v="RURAL_146019299009500001_LA ALDEA"/>
    <x v="2"/>
    <s v="146019299009500001"/>
    <s v="Medellín"/>
    <x v="0"/>
    <s v="Habilitación Viviendas Metrosur"/>
    <x v="0"/>
    <n v="8"/>
    <s v="2025-12-11 21:46:24"/>
    <s v="1 días 21:46"/>
    <s v="7 días 21:46"/>
    <x v="0"/>
    <s v="SIN DATO"/>
    <s v="SIN DATO"/>
    <s v="SIN DATO"/>
    <s v="ABIERTO"/>
    <n v="-75.703687000000002"/>
    <n v="6.3443120000000004"/>
    <s v="SUR-ENE"/>
    <s v="Metropolitana Sur"/>
  </r>
  <r>
    <s v="23560594"/>
    <s v="ENERES"/>
    <s v="NUEVO"/>
    <s v="ENEDOM"/>
    <s v="09/10/2025 11:20:47"/>
    <s v="2025-11-12 09:59:02"/>
    <n v="98518808"/>
    <s v="ELKIN DE JESUS QUIRAMA JIMENEZ"/>
    <s v="2783238"/>
    <s v="3137677943"/>
    <s v="RURAL_161015849499000002_VEREDA EL RAIZAL"/>
    <x v="3"/>
    <s v="161015849499000002"/>
    <s v="Caldas"/>
    <x v="0"/>
    <s v="MET Rev-Inst-Concentra E_CR014"/>
    <x v="0"/>
    <n v="8"/>
    <s v="2025-11-25 09:59:02"/>
    <s v="12 días 09:59"/>
    <s v="VENCIDO"/>
    <x v="2"/>
    <s v="SIN DATO"/>
    <s v="SIN DATO"/>
    <s v="SIN DATO"/>
    <s v="ABIERTO"/>
    <n v="-75.645488029999996"/>
    <n v="6.08697394"/>
    <s v="SUR-ENE"/>
    <s v="Metropolitana Sur"/>
  </r>
  <r>
    <s v="23560771"/>
    <s v="ENERES"/>
    <s v="CAMBI"/>
    <s v="ENERES"/>
    <s v="09/10/2025 14:07:46"/>
    <s v="2025-11-27 08:11:27"/>
    <n v="94393750"/>
    <s v="GIOVANNI PEÑALOZA OSORIO"/>
    <s v="SIN DATOS"/>
    <s v="3003531412"/>
    <s v="RURAL_125004452800000001_125004452800000001"/>
    <x v="5"/>
    <s v="125004452800000001"/>
    <s v="Envigado"/>
    <x v="5"/>
    <s v="Revisor Inst. Particulares Metrosur"/>
    <x v="0"/>
    <n v="10"/>
    <s v="2025-12-12 08:11:27"/>
    <s v="2 días 08:11"/>
    <s v="8 días 08:11"/>
    <x v="0"/>
    <s v="SIN DATO"/>
    <s v="SIN DATO"/>
    <s v="SIN DATO"/>
    <s v="ABIERTO"/>
    <n v="-75.524680880000005"/>
    <n v="6.1614959100000002"/>
    <s v="SUR-ENE"/>
    <s v="Metropolitana Sur"/>
  </r>
  <r>
    <s v="23560979"/>
    <s v="ENERES"/>
    <s v="NUEVO"/>
    <s v="ENERES"/>
    <s v="09/10/2025 16:19:30"/>
    <s v="2025-11-29 13:02:35"/>
    <n v="86007707"/>
    <s v="WILMAR ALONSO RODRIGUEZ ZAPATA"/>
    <s v="5851364"/>
    <s v="3128927675"/>
    <s v="RURAL_116005480300000101_VEREDA BELEN AGUAS FRIAS"/>
    <x v="2"/>
    <s v="116005480300000101"/>
    <s v="Medellín"/>
    <x v="2"/>
    <s v="METROSUR Vin. Leg. Ref. Concentrada"/>
    <x v="0"/>
    <n v="10"/>
    <s v="2025-12-15 13:02:35"/>
    <s v="1 días 13:02"/>
    <s v="9 días 13:02"/>
    <x v="0"/>
    <s v="SIN DATO"/>
    <s v="SIN DATO"/>
    <s v="SIN DATO"/>
    <s v="ABIERTO"/>
    <n v="-75.632182"/>
    <n v="6.2337290000000003"/>
    <s v="SUR-ENE"/>
    <s v="Metropolitana Sur"/>
  </r>
  <r>
    <s v="23561699"/>
    <s v="ENEPRE"/>
    <s v="NUEVO"/>
    <s v="ENEPRE"/>
    <s v="10/10/2025 14:28:09"/>
    <s v="2025-11-25 09:35:32"/>
    <n v="1017209389"/>
    <s v="YENI PAOLA JARAMILLO TORRES"/>
    <s v="SIN DATOS"/>
    <s v="3128811762"/>
    <s v="CL 48 BB CR 99 DF -3"/>
    <x v="2"/>
    <s v="054918229460030000"/>
    <s v="Medellín"/>
    <x v="0"/>
    <s v="Energía Prepago Metrosur"/>
    <x v="1"/>
    <n v="5"/>
    <s v="2025-12-02 09:35:32"/>
    <s v="4 días 09:35"/>
    <s v="1 días 09:35"/>
    <x v="1"/>
    <s v="SIN DATO"/>
    <s v="SIN DATO"/>
    <s v="SIN DATO"/>
    <s v="ABIERTO"/>
    <n v="-75.615814"/>
    <n v="6.2628440000000003"/>
    <s v="SUR-ENE"/>
    <s v="Metropolitana Sur"/>
  </r>
  <r>
    <s v="23561908"/>
    <s v="ENERES"/>
    <s v="NUEVO"/>
    <s v="ENEDOM"/>
    <s v="11/10/2025 12:10:44"/>
    <s v="2025-11-12 09:59:03"/>
    <n v="1000919208"/>
    <s v="LAURA DAHIANA ACEVEDO HENAO"/>
    <s v="SIN DATOS"/>
    <s v="3128191227"/>
    <s v="RURAL_161012406000000002_PROV.161012406000000000_V"/>
    <x v="3"/>
    <s v="161012406000000002"/>
    <s v="Caldas"/>
    <x v="0"/>
    <s v="MET Rev-Inst-Concentra E_CR014"/>
    <x v="0"/>
    <n v="8"/>
    <s v="2025-11-25 09:59:03"/>
    <s v="12 días 09:59"/>
    <s v="VENCIDO"/>
    <x v="2"/>
    <s v="SIN DATO"/>
    <s v="SIN DATO"/>
    <s v="SIN DATO"/>
    <s v="ABIERTO"/>
    <n v="-75.64584533"/>
    <n v="6.0906396599999999"/>
    <s v="SUR-ENE"/>
    <s v="Metropolitana Sur"/>
  </r>
  <r>
    <s v="23562465"/>
    <s v="ENERES"/>
    <s v="NUEVO"/>
    <s v="ENERES"/>
    <s v="14/10/2025 08:22:52"/>
    <s v="2025-11-25 15:17:26"/>
    <n v="15348470"/>
    <s v="CARLOS MARIO GUZMAN DIAZ"/>
    <s v="SIN DATOS"/>
    <s v="3134222575"/>
    <s v="CL 91 SUR CR 55 -116 (INTERIOR 101 )"/>
    <x v="0"/>
    <s v="039511005001160101"/>
    <s v="La Estrella"/>
    <x v="2"/>
    <s v="MET Rev-Inst-Concentra E_CR014"/>
    <x v="1"/>
    <n v="7"/>
    <s v="2025-12-04 15:17:26"/>
    <s v="4 días 15:17"/>
    <s v="3 días 15:17"/>
    <x v="0"/>
    <s v="SIN DATO"/>
    <s v="SIN DATO"/>
    <s v="SIN DATO"/>
    <s v="ABIERTO"/>
    <n v="-75.649831634999899"/>
    <n v="6.1379125160000303"/>
    <s v="SUR-ENE"/>
    <s v="Metropolitana Sur"/>
  </r>
  <r>
    <s v="23562883"/>
    <s v="ENERES"/>
    <s v="NUEVO"/>
    <s v="ENERES"/>
    <s v="14/10/2025 13:49:50"/>
    <s v="2025-11-20 16:44:00"/>
    <n v="15338612"/>
    <s v="JUAN GUILLERMO RIOS GARCIA"/>
    <s v="SIN DATOS"/>
    <s v="3013126833"/>
    <s v="RURAL_159112002000000006_PROV.TABLAZA EL HOYO DE B"/>
    <x v="0"/>
    <s v="159112002000000006"/>
    <s v="La Estrella"/>
    <x v="2"/>
    <s v="MET Rev-Inst-Concentra E_CR014"/>
    <x v="0"/>
    <n v="10"/>
    <s v="2025-12-04 16:44:00"/>
    <s v="7 días 16:44"/>
    <s v="3 días 16:44"/>
    <x v="0"/>
    <s v="SIN DATO"/>
    <s v="SIN DATO"/>
    <s v="SIN DATO"/>
    <s v="ABIERTO"/>
    <n v="-75.629652820000004"/>
    <n v="6.1181262600000004"/>
    <s v="SUR-ENE"/>
    <s v="Metropolitana Sur"/>
  </r>
  <r>
    <s v="23563259"/>
    <s v="ENERES"/>
    <s v="NUEVO"/>
    <s v="ENEDOM"/>
    <s v="15/10/2025 05:40:58"/>
    <s v="2025-11-27 10:11:27"/>
    <n v="1018348655"/>
    <s v="KELLY JOHANA  MUÑOZ HOYOS"/>
    <s v="SIN DATOS"/>
    <s v="3235010905"/>
    <s v="CL 51 CR 15 A -32 (INTERIOR 222 )"/>
    <x v="2"/>
    <s v="055111005100320222"/>
    <s v="Medellín"/>
    <x v="0"/>
    <s v="Habilitación Viviendas Metrosur"/>
    <x v="1"/>
    <n v="5"/>
    <s v="2025-12-04 10:11:27"/>
    <s v="2 días 10:11"/>
    <s v="3 días 10:11"/>
    <x v="0"/>
    <s v="SIN DATO"/>
    <s v="SIN DATO"/>
    <s v="SIN DATO"/>
    <s v="ABIERTO"/>
    <n v="-75.541528009999993"/>
    <n v="6.2357822699999996"/>
    <s v="SUR-ENE"/>
    <s v="Metropolitana Sur"/>
  </r>
  <r>
    <s v="23563271"/>
    <s v="ENERES"/>
    <s v="NUEVO"/>
    <s v="ENEDOM"/>
    <s v="15/10/2025 05:47:01"/>
    <s v="2025-11-12 09:59:04"/>
    <n v="21493698"/>
    <s v="MARIA LEONISA OSPINA SEPULVEDA"/>
    <s v="SIN DATOS"/>
    <s v="3217366792"/>
    <s v="RURAL_161027451000000001_VEREDA PRIMAVERA"/>
    <x v="3"/>
    <s v="161027451000000001"/>
    <s v="Caldas"/>
    <x v="0"/>
    <s v="MET Rev-Inst-Concentra E_CR014"/>
    <x v="0"/>
    <n v="8"/>
    <s v="2025-11-25 09:59:04"/>
    <s v="12 días 09:59"/>
    <s v="VENCIDO"/>
    <x v="2"/>
    <s v="SIN DATO"/>
    <s v="SIN DATO"/>
    <s v="SIN DATO"/>
    <s v="ABIERTO"/>
    <n v="-75.63509578"/>
    <n v="6.07050891"/>
    <s v="SUR-ENE"/>
    <s v="Metropolitana Sur"/>
  </r>
  <r>
    <s v="23563310"/>
    <s v="ENERES"/>
    <s v="NUEVO"/>
    <s v="ENEDOM"/>
    <s v="15/10/2025 06:07:21"/>
    <s v="2025-11-12 09:59:05"/>
    <n v="71395395"/>
    <s v="JORGE ALBERTO RUIZ CHAVERRA"/>
    <s v="SIN DATOS"/>
    <s v="3215330730"/>
    <s v="RURAL_161027499000000001_VEREDA PRIMAVERA"/>
    <x v="3"/>
    <s v="161027499000000001"/>
    <s v="Caldas"/>
    <x v="0"/>
    <s v="MET Rev-Inst-Concentra E_CR014"/>
    <x v="0"/>
    <n v="8"/>
    <s v="2025-11-25 09:59:05"/>
    <s v="12 días 09:59"/>
    <s v="VENCIDO"/>
    <x v="2"/>
    <s v="SIN DATO"/>
    <s v="SIN DATO"/>
    <s v="SIN DATO"/>
    <s v="ABIERTO"/>
    <n v="-75.635050000000007"/>
    <n v="6.070354"/>
    <s v="SUR-ENE"/>
    <s v="Metropolitana Sur"/>
  </r>
  <r>
    <s v="23563329"/>
    <s v="ENERES"/>
    <s v="NUEVO"/>
    <s v="ENEDOM"/>
    <s v="15/10/2025 06:32:30"/>
    <s v="2025-11-12 09:59:06"/>
    <n v="1026159445"/>
    <s v="ANGIE CAROLINA HENAO HERRERA"/>
    <s v="3036595"/>
    <s v="3234345894"/>
    <s v="RURAL_161012413000000201_VEREDA EL CANELON"/>
    <x v="3"/>
    <s v="161012413000000201"/>
    <s v="Caldas"/>
    <x v="0"/>
    <s v="MET Rev-Inst-Concentra E_CR014"/>
    <x v="0"/>
    <n v="8"/>
    <s v="2025-11-25 09:59:06"/>
    <s v="12 días 09:59"/>
    <s v="VENCIDO"/>
    <x v="2"/>
    <s v="SIN DATO"/>
    <s v="SIN DATO"/>
    <s v="SIN DATO"/>
    <s v="ABIERTO"/>
    <n v="-75.645960160000001"/>
    <n v="6.0904045299999998"/>
    <s v="SUR-ENE"/>
    <s v="Metropolitana Sur"/>
  </r>
  <r>
    <s v="23563342"/>
    <s v="ENERES"/>
    <s v="NUEVO"/>
    <s v="ENERES"/>
    <s v="15/10/2025 06:47:08"/>
    <s v="2025-11-26 14:47:30"/>
    <n v="15373148"/>
    <s v="WILSON ARLEY MARIN ALZATE"/>
    <s v="3375131"/>
    <s v="3122506609"/>
    <s v="CR 40 CL 124 SUR -2 (INTERIOR 101 )"/>
    <x v="3"/>
    <s v="002420004000020101"/>
    <s v="Caldas"/>
    <x v="2"/>
    <s v="MET Rev-Inst-Concentra E_CR014"/>
    <x v="1"/>
    <n v="7"/>
    <s v="2025-12-05 14:47:30"/>
    <s v="3 días 14:47"/>
    <s v="4 días 14:47"/>
    <x v="0"/>
    <s v="SIN DATO"/>
    <s v="SIN DATO"/>
    <s v="SIN DATO"/>
    <s v="ABIERTO"/>
    <n v="-75.625359709999998"/>
    <n v="6.0976809799999998"/>
    <s v="SUR-ENE"/>
    <s v="Metropolitana Sur"/>
  </r>
  <r>
    <s v="23563485"/>
    <s v="ENERES"/>
    <s v="NUEVO"/>
    <s v="ENERES"/>
    <s v="15/10/2025 08:27:03"/>
    <s v="2025-11-19 10:36:23"/>
    <n v="32296024"/>
    <s v="LEIDY JOHANA GIL GONZALEZ"/>
    <s v="SIN DATOS"/>
    <s v="3197087948"/>
    <s v="RURAL_167118650000000000_VDA MARIA AUXILIADORA"/>
    <x v="4"/>
    <s v="167118650000000000"/>
    <s v="Sabaneta"/>
    <x v="2"/>
    <s v="Revisor Instal. Regadas Metrosur"/>
    <x v="1"/>
    <n v="7"/>
    <s v="2025-11-28 10:36:23"/>
    <s v="8 días 10:36"/>
    <s v="VENCIDO"/>
    <x v="2"/>
    <s v="SIN DATO"/>
    <s v="SIN DATO"/>
    <s v="SIN DATO"/>
    <s v="ABIERTO"/>
    <n v="-75.599127749999994"/>
    <n v="6.1502203599999996"/>
    <s v="SUR-ENE"/>
    <s v="Metropolitana Sur"/>
  </r>
  <r>
    <s v="23563911"/>
    <s v="ENENOR"/>
    <s v="NUEVO"/>
    <s v="ENENOR"/>
    <s v="15/10/2025 10:59:15"/>
    <s v="2025-11-23 21:52:56"/>
    <n v="84095152"/>
    <s v="JOSE LUIS SERRANO OCHOA"/>
    <s v="SIN DATOS"/>
    <s v="3016931939"/>
    <s v="CL 32 CR 87 A -30 (INTERIOR 5 )"/>
    <x v="2"/>
    <s v="053812007100300005"/>
    <s v="Medellín"/>
    <x v="4"/>
    <s v="Revisor Instal. Regadas Metrosur"/>
    <x v="1"/>
    <n v="7"/>
    <s v="2025-12-02 21:52:56"/>
    <s v="6 días 21:52"/>
    <s v="1 días 21:52"/>
    <x v="1"/>
    <s v="SIN DATO"/>
    <s v="SIN DATO"/>
    <s v="SIN DATO"/>
    <s v="ABIERTO"/>
    <n v="-75.609983999999997"/>
    <n v="6.2348470000000002"/>
    <s v="SUR-ENE"/>
    <s v="Metropolitana Sur"/>
  </r>
  <r>
    <s v="23563994"/>
    <s v="ENERES"/>
    <s v="NUEVO"/>
    <s v="ENEDOM"/>
    <s v="15/10/2025 11:38:26"/>
    <s v="2025-11-12 09:59:07"/>
    <n v="21991377"/>
    <s v="OLGA FABIOLA MOLINA"/>
    <s v="SIN DATOS"/>
    <s v="3243642744"/>
    <s v="RURAL_161023655000000309_161023655000000309_VEREDA"/>
    <x v="3"/>
    <s v="161023655000000309"/>
    <s v="Caldas"/>
    <x v="0"/>
    <s v="MET Rev-Inst-Concentra E_CR014"/>
    <x v="0"/>
    <n v="8"/>
    <s v="2025-11-25 09:59:07"/>
    <s v="12 días 09:59"/>
    <s v="VENCIDO"/>
    <x v="2"/>
    <s v="SIN DATO"/>
    <s v="SIN DATO"/>
    <s v="SIN DATO"/>
    <s v="ABIERTO"/>
    <n v="-75.638880999999998"/>
    <n v="6.0835499999999998"/>
    <s v="SUR-ENE"/>
    <s v="Metropolitana Sur"/>
  </r>
  <r>
    <s v="23564416"/>
    <s v="ENERES"/>
    <s v="NUEVO"/>
    <s v="ENEDOM"/>
    <s v="15/10/2025 14:50:59"/>
    <s v="2025-11-12 09:59:08"/>
    <n v="43000605"/>
    <s v="MARLENY DE LAS MISERICORDIAS MEDINA DE CADAVID"/>
    <s v="SIN DATOS"/>
    <s v="3234164014"/>
    <s v="RURAL_161099890000000204_LA SALADA PARTE BAJA"/>
    <x v="3"/>
    <s v="161099890000000204"/>
    <s v="Caldas"/>
    <x v="0"/>
    <s v="MET Rev-Inst-Concentra E_CR014"/>
    <x v="0"/>
    <n v="8"/>
    <s v="2025-11-25 09:59:08"/>
    <s v="12 días 09:59"/>
    <s v="VENCIDO"/>
    <x v="2"/>
    <s v="SIN DATO"/>
    <s v="SIN DATO"/>
    <s v="SIN DATO"/>
    <s v="ABIERTO"/>
    <n v="-75.627865850000006"/>
    <n v="6.0573459300000003"/>
    <s v="SUR-ENE"/>
    <s v="Metropolitana Sur"/>
  </r>
  <r>
    <s v="23564550"/>
    <s v="ENERES"/>
    <s v="NUEVO"/>
    <s v="ENERES"/>
    <s v="15/10/2025 16:07:26"/>
    <s v="2025-11-10 15:14:12"/>
    <n v="98518408"/>
    <s v="REINALDO MAYA RESTREPO"/>
    <s v="SIN DATOS"/>
    <s v="3183112186"/>
    <s v="RURAL_159054600000000102_PROV.RURAL_15905460000000"/>
    <x v="0"/>
    <s v="159054600000000102"/>
    <s v="La Estrella"/>
    <x v="2"/>
    <s v="MET Rev-Inst-Concentra E_CR014"/>
    <x v="0"/>
    <n v="10"/>
    <s v="2025-11-25 15:14:12"/>
    <s v="14 días 15:14"/>
    <s v="VENCIDO"/>
    <x v="2"/>
    <s v="SIN DATO"/>
    <s v="SIN DATO"/>
    <s v="SIN DATO"/>
    <s v="ABIERTO"/>
    <n v="-75.635803039999999"/>
    <n v="6.1372650899999996"/>
    <s v="SUR-ENE"/>
    <s v="Metropolitana Sur"/>
  </r>
  <r>
    <s v="23565001"/>
    <s v="ENERES"/>
    <s v="NUEVO"/>
    <s v="ENEDOM"/>
    <s v="16/10/2025 08:49:13"/>
    <s v="2025-11-12 09:59:09"/>
    <n v="21533978"/>
    <s v="PAULA ANDREA ESPINOSA ANGEL"/>
    <s v="SIN DATOS"/>
    <s v="3207374709"/>
    <s v="RURAL_161123850100000009_161123850100000009"/>
    <x v="3"/>
    <s v="161123850100000009"/>
    <s v="Caldas"/>
    <x v="0"/>
    <s v="MET Rev-Inst-Concentra E_CR014"/>
    <x v="0"/>
    <n v="8"/>
    <s v="2025-11-25 09:59:09"/>
    <s v="12 días 09:59"/>
    <s v="VENCIDO"/>
    <x v="2"/>
    <s v="SIN DATO"/>
    <s v="SIN DATO"/>
    <s v="SIN DATO"/>
    <s v="ABIERTO"/>
    <n v="-75.618030540000007"/>
    <n v="6.0968372799999999"/>
    <s v="SUR-ENE"/>
    <s v="Metropolitana Sur"/>
  </r>
  <r>
    <s v="23565305"/>
    <s v="ENERES"/>
    <s v="NUEVO"/>
    <s v="ENEDOM"/>
    <s v="29/10/2025 15:46:30"/>
    <s v="2025-11-27 11:09:20"/>
    <n v="32470676"/>
    <s v="ANA DOLORES MARTINEZ DAVILA"/>
    <s v="SIN DATOS"/>
    <s v="3147472272"/>
    <s v="RURAL_117004646000000101_VEREDA CORAZON"/>
    <x v="2"/>
    <s v="117004646000000101"/>
    <s v="Medellín"/>
    <x v="7"/>
    <s v="Habilitación Viviendas Metrosur"/>
    <x v="0"/>
    <n v="8"/>
    <s v="2025-12-10 11:09:20"/>
    <s v="2 días 11:09"/>
    <s v="6 días 11:09"/>
    <x v="0"/>
    <s v="SIN DATO"/>
    <s v="SIN DATO"/>
    <s v="SIN DATO"/>
    <s v="ABIERTO"/>
    <n v="-75.635156100000003"/>
    <n v="6.2476077999999999"/>
    <s v="SUR-ENE"/>
    <s v="Metropolitana Sur"/>
  </r>
  <r>
    <s v="23565411"/>
    <s v="ENERES"/>
    <s v="NUEVO"/>
    <s v="ENEDOM"/>
    <s v="23/10/2025 15:05:33"/>
    <s v="2025-11-24 06:07:44"/>
    <n v="71141792"/>
    <s v="VICTOR DANIEL LOPEZ RESTREPO"/>
    <s v="SIN DATOS"/>
    <s v="3113448801"/>
    <s v="RURAL_163008968000000001"/>
    <x v="1"/>
    <s v="163008968000000001"/>
    <s v="Itaguí"/>
    <x v="7"/>
    <s v="Habilitación Viviendas Metrosur"/>
    <x v="0"/>
    <n v="8"/>
    <s v="2025-12-04 06:07:44"/>
    <s v="5 días 06:07"/>
    <s v="3 días 06:07"/>
    <x v="0"/>
    <s v="SIN DATO"/>
    <s v="SIN DATO"/>
    <s v="SIN DATO"/>
    <s v="ABIERTO"/>
    <n v="-75.608706459999993"/>
    <n v="6.19487977"/>
    <s v="SUR-ENE"/>
    <s v="Metropolitana Sur"/>
  </r>
  <r>
    <s v="23565552"/>
    <s v="ENERES"/>
    <s v="NUEVO"/>
    <s v="ENEDOM"/>
    <s v="16/10/2025 12:57:11"/>
    <s v="2025-11-12 09:59:10"/>
    <n v="70567716"/>
    <s v="RIGOBERTO DE JESUS PEREZ CARDENAS"/>
    <s v="2782464"/>
    <s v="3016711530"/>
    <s v="RURAL_161023686000000001_PROV.161023686000000000"/>
    <x v="3"/>
    <s v="161023686000000001"/>
    <s v="Caldas"/>
    <x v="0"/>
    <s v="MET Rev-Inst-Concentra E_CR014"/>
    <x v="0"/>
    <n v="8"/>
    <s v="2025-11-25 09:59:10"/>
    <s v="12 días 09:59"/>
    <s v="VENCIDO"/>
    <x v="2"/>
    <s v="SIN DATO"/>
    <s v="SIN DATO"/>
    <s v="SIN DATO"/>
    <s v="ABIERTO"/>
    <n v="-75.638816480000003"/>
    <n v="6.0835469399999997"/>
    <s v="SUR-ENE"/>
    <s v="Metropolitana Sur"/>
  </r>
  <r>
    <s v="23565554"/>
    <s v="ENERES"/>
    <s v="NUEVO"/>
    <s v="ENERES"/>
    <s v="16/10/2025 12:59:21"/>
    <s v="2025-11-26 07:49:59"/>
    <n v="39325938"/>
    <s v="GILMA LUZ MARIN CARMONA"/>
    <s v="SIN DATOS"/>
    <s v="3117616516"/>
    <s v="CR 40 A CL 44 SUR -83 (INTERIOR 301 )"/>
    <x v="5"/>
    <s v="024420104000830301"/>
    <s v="Envigado"/>
    <x v="2"/>
    <s v="Revisor Instal. Regadas Metrosur"/>
    <x v="1"/>
    <n v="7"/>
    <s v="2025-12-05 07:49:59"/>
    <s v="3 días 07:49"/>
    <s v="4 días 07:49"/>
    <x v="0"/>
    <s v="SIN DATO"/>
    <s v="SIN DATO"/>
    <s v="SIN DATO"/>
    <s v="ABIERTO"/>
    <n v="-75.590875960000005"/>
    <n v="6.1630446900000004"/>
    <s v="SUR-ENE"/>
    <s v="Metropolitana Sur"/>
  </r>
  <r>
    <s v="23566102"/>
    <s v="ENERES"/>
    <s v="NUEVO"/>
    <s v="ENEDOM"/>
    <s v="16/10/2025 16:17:03"/>
    <s v="2025-11-12 09:59:11"/>
    <n v="21620236"/>
    <s v="ARACELLY PATIÑO SANCHEZ"/>
    <s v="SIN DATOS"/>
    <s v="3122121381"/>
    <s v="RURAL_161098416600000001_VDA LA CLARA YENDO HACIA"/>
    <x v="3"/>
    <s v="161098416600000001"/>
    <s v="Caldas"/>
    <x v="0"/>
    <s v="MET Rev-Inst-Concentra E_CR014"/>
    <x v="0"/>
    <n v="8"/>
    <s v="2025-11-25 09:59:11"/>
    <s v="12 días 09:59"/>
    <s v="VENCIDO"/>
    <x v="2"/>
    <s v="SIN DATO"/>
    <s v="SIN DATO"/>
    <s v="SIN DATO"/>
    <s v="ABIERTO"/>
    <n v="-75.618901129999998"/>
    <n v="6.0442584400000001"/>
    <s v="SUR-ENE"/>
    <s v="Metropolitana Sur"/>
  </r>
  <r>
    <s v="23566222"/>
    <s v="ENERES"/>
    <s v="NUEVO"/>
    <s v="ENERES"/>
    <s v="16/10/2025 17:05:26"/>
    <s v="2025-11-24 09:15:41"/>
    <n v="42753469"/>
    <s v="LUCY MARGARITA VELASQUEZ ROJAS"/>
    <s v="5006407"/>
    <s v="3104755426"/>
    <s v="CL 19 CR 54 -85 (INTERIOR 202 )"/>
    <x v="2"/>
    <s v="051519004000850202"/>
    <s v="Medellín"/>
    <x v="2"/>
    <s v="MET Rev-Inst-Concentra E_CR014"/>
    <x v="1"/>
    <n v="7"/>
    <s v="2025-12-03 09:15:41"/>
    <s v="5 días 09:15"/>
    <s v="2 días 09:15"/>
    <x v="1"/>
    <s v="SIN DATO"/>
    <s v="SIN DATO"/>
    <s v="SIN DATO"/>
    <s v="ABIERTO"/>
    <n v="-75.582297420000003"/>
    <n v="6.2217058099999996"/>
    <s v="SUR-ENE"/>
    <s v="Metropolitana Sur"/>
  </r>
  <r>
    <s v="23567454"/>
    <s v="ENERES"/>
    <s v="NUEVO"/>
    <s v="ENEDOM"/>
    <s v="18/10/2025 04:44:35"/>
    <s v="2025-11-07 09:58:43"/>
    <n v="43681705"/>
    <s v="SOL PATRICIA OBANDO BETANCUR"/>
    <s v="3383203"/>
    <s v="3233879734"/>
    <s v="RURAL_159118311000000202_MARIANO OSPINA"/>
    <x v="0"/>
    <s v="159118311000000202"/>
    <s v="La Estrella"/>
    <x v="0"/>
    <s v="MET Rev-Inst-Concentra E_CR014"/>
    <x v="0"/>
    <n v="8"/>
    <s v="2025-11-20 09:58:43"/>
    <s v="15 días 09:58"/>
    <s v="VENCIDO"/>
    <x v="2"/>
    <s v="SIN DATO"/>
    <s v="SIN DATO"/>
    <s v="SIN DATO"/>
    <s v="ABIERTO"/>
    <n v="-75.632054659999994"/>
    <n v="6.1164638199999999"/>
    <s v="SUR-ENE"/>
    <s v="Metropolitana Sur"/>
  </r>
  <r>
    <s v="23567606"/>
    <s v="ENERES"/>
    <s v="NUEVO"/>
    <s v="ENEDOM"/>
    <s v="18/10/2025 14:00:39"/>
    <s v="2025-11-20 16:44:01"/>
    <n v="1040745975"/>
    <s v="LUIS FERNANDO VELEZ CALLE"/>
    <s v="SIN DATOS"/>
    <s v="3122722317"/>
    <s v="RURAL_159097302000000002_PROV.LA TABLAZA BR SAN IS"/>
    <x v="0"/>
    <s v="159097302000000002"/>
    <s v="La Estrella"/>
    <x v="0"/>
    <s v="MET Rev-Inst-Concentra E_CR014"/>
    <x v="0"/>
    <n v="8"/>
    <s v="2025-12-02 16:44:01"/>
    <s v="7 días 16:44"/>
    <s v="1 días 16:44"/>
    <x v="1"/>
    <s v="SIN DATO"/>
    <s v="SIN DATO"/>
    <s v="SIN DATO"/>
    <s v="ABIERTO"/>
    <n v="-75.622964229999994"/>
    <n v="6.1176419199999996"/>
    <s v="SUR-ENE"/>
    <s v="Metropolitana Sur"/>
  </r>
  <r>
    <s v="23567608"/>
    <s v="ENERES"/>
    <s v="NUEVO"/>
    <s v="ENEDOM"/>
    <s v="12/11/2025 14:33:45"/>
    <s v="2025-11-24 06:03:51"/>
    <n v="1045430047"/>
    <s v="YESSICA LORENA ROJAS ROJAS"/>
    <s v="SIN DATOS"/>
    <s v="3043312201"/>
    <s v="CR 125 CL 52 -121 (INTERIOR 101 )"/>
    <x v="2"/>
    <s v="085225002001210101"/>
    <s v="Medellín"/>
    <x v="7"/>
    <s v="Habilitación Viviendas Metrosur"/>
    <x v="1"/>
    <n v="5"/>
    <s v="2025-12-01 06:03:51"/>
    <s v="5 días 06:03"/>
    <s v="VENCIDO"/>
    <x v="2"/>
    <s v="SIN DATO"/>
    <s v="SIN DATO"/>
    <s v="SIN DATO"/>
    <s v="ABIERTO"/>
    <n v="-75.630716000000007"/>
    <n v="6.2694549999999998"/>
    <s v="SUR-ENE"/>
    <s v="Metropolitana Sur"/>
  </r>
  <r>
    <s v="23567809"/>
    <s v="ENERES"/>
    <s v="NUEVO"/>
    <s v="ENEDOM"/>
    <s v="20/10/2025 05:51:30"/>
    <s v="2025-11-14 08:23:51"/>
    <n v="70471888"/>
    <s v="FABIO NELSON VARGAS BEDOYA"/>
    <s v="SIN DATOS"/>
    <s v="3137735745"/>
    <s v="CR 50 CL 78 SUR -59 (INTERIOR 101 )"/>
    <x v="0"/>
    <s v="037520008000590101"/>
    <s v="La Estrella"/>
    <x v="0"/>
    <s v="MET Rev-Inst-Concentra E_CR014"/>
    <x v="1"/>
    <n v="5"/>
    <s v="2025-11-24 08:23:51"/>
    <s v="10 días 08:23"/>
    <s v="VENCIDO"/>
    <x v="2"/>
    <s v="SIN DATO"/>
    <s v="SIN DATO"/>
    <s v="SIN DATO"/>
    <s v="ABIERTO"/>
    <n v="-75.628871270000005"/>
    <n v="6.1542556599999996"/>
    <s v="SUR-ENE"/>
    <s v="Metropolitana Sur"/>
  </r>
  <r>
    <s v="23567957"/>
    <s v="ENERES"/>
    <s v="NUEVO"/>
    <s v="ENEDOM"/>
    <s v="20/10/2025 08:16:57"/>
    <s v="2025-11-12 09:59:12"/>
    <n v="70567716"/>
    <s v="RIGOBERTO DE JESUS PEREZ CARDENAS"/>
    <s v="2782464"/>
    <s v="3016711530"/>
    <s v="RURAL_161023686000000002_LA CHUSCALA"/>
    <x v="3"/>
    <s v="161023686000000002"/>
    <s v="Caldas"/>
    <x v="0"/>
    <s v="MET Rev-Inst-Concentra E_CR014"/>
    <x v="0"/>
    <n v="8"/>
    <s v="2025-11-25 09:59:12"/>
    <s v="12 días 09:59"/>
    <s v="VENCIDO"/>
    <x v="2"/>
    <s v="SIN DATO"/>
    <s v="SIN DATO"/>
    <s v="SIN DATO"/>
    <s v="ABIERTO"/>
    <n v="-75.638816480000003"/>
    <n v="6.0835469399999997"/>
    <s v="SUR-ENE"/>
    <s v="Metropolitana Sur"/>
  </r>
  <r>
    <s v="23568486"/>
    <s v="ENEPRE"/>
    <s v="NUEVO"/>
    <s v="ENEPRE"/>
    <s v="27/10/2025 15:30:35"/>
    <s v="2025-11-26 11:32:27"/>
    <n v="1013456275"/>
    <s v="MONICA MARITZA PRESIGA USUGA"/>
    <s v="SIN DATOS"/>
    <s v="3207803365"/>
    <s v="RURAL_136032711300000201_CR 105 CL 57A-24 (IN 201)"/>
    <x v="2"/>
    <s v="136032711300000201"/>
    <s v="Medellín"/>
    <x v="6"/>
    <s v="Energía Prepago Metrosur"/>
    <x v="0"/>
    <n v="11"/>
    <s v="2025-12-12 11:32:27"/>
    <s v="3 días 11:32"/>
    <s v="8 días 11:32"/>
    <x v="0"/>
    <s v="SIN DATO"/>
    <s v="SIN DATO"/>
    <s v="SIN DATO"/>
    <s v="ABIERTO"/>
    <n v="-75.614178999999993"/>
    <n v="6.2727870000000001"/>
    <s v="SUR-ENE"/>
    <s v="Metropolitana Sur"/>
  </r>
  <r>
    <s v="23568985"/>
    <s v="ENERES"/>
    <s v="NUEVO"/>
    <s v="ENEDOM"/>
    <s v="21/10/2025 05:50:26"/>
    <s v="2025-11-12 09:59:14"/>
    <n v="43534700"/>
    <s v="FRANCY HERLEY MARIA HOLGUIN MESA"/>
    <s v="SIN DATOS"/>
    <s v="3016636744"/>
    <s v="RURAL_161145023000000101_VEREDA LA MIEL PARTE ALTA"/>
    <x v="3"/>
    <s v="161145023000000101"/>
    <s v="Caldas"/>
    <x v="0"/>
    <s v="MET Rev-Inst-Concentra E_CR014"/>
    <x v="0"/>
    <n v="8"/>
    <s v="2025-11-25 09:59:14"/>
    <s v="12 días 09:59"/>
    <s v="VENCIDO"/>
    <x v="2"/>
    <s v="SIN DATO"/>
    <s v="SIN DATO"/>
    <s v="SIN DATO"/>
    <s v="ABIERTO"/>
    <n v="-75.623941919999993"/>
    <n v="6.1008311099999997"/>
    <s v="SUR-ENE"/>
    <s v="Metropolitana Sur"/>
  </r>
  <r>
    <s v="23568995"/>
    <s v="ENERES"/>
    <s v="NUEVO"/>
    <s v="ENEDOM"/>
    <s v="21/10/2025 06:37:48"/>
    <s v="2025-11-12 09:59:15"/>
    <n v="1026159625"/>
    <s v="JENNIFER ANDREA GONZALEZ PEREZ"/>
    <s v="SIN DATOS"/>
    <s v="3226124062"/>
    <s v="RURAL_161097304000000201"/>
    <x v="3"/>
    <s v="161097304000000201"/>
    <s v="Caldas"/>
    <x v="0"/>
    <s v="MET Rev-Inst-Concentra E_CR014"/>
    <x v="0"/>
    <n v="8"/>
    <s v="2025-11-25 09:59:15"/>
    <s v="12 días 09:59"/>
    <s v="VENCIDO"/>
    <x v="2"/>
    <s v="SIN DATO"/>
    <s v="SIN DATO"/>
    <s v="SIN DATO"/>
    <s v="ABIERTO"/>
    <n v="-75.619720560000005"/>
    <n v="6.0500862199999998"/>
    <s v="SUR-ENE"/>
    <s v="Metropolitana Sur"/>
  </r>
  <r>
    <s v="23569381"/>
    <s v="ENERES"/>
    <s v="NUEVO"/>
    <s v="ENEDOM"/>
    <s v="21/10/2025 08:39:16"/>
    <s v="2025-11-12 09:59:17"/>
    <n v="32151011"/>
    <s v="MARIA NATALY YEPES PEREZ"/>
    <s v="SIN DATOS"/>
    <s v="3148821246"/>
    <s v="RURAL_161099295000000201"/>
    <x v="3"/>
    <s v="161099295000000201"/>
    <s v="Caldas"/>
    <x v="0"/>
    <s v="MET Rev-Inst-Concentra E_CR014"/>
    <x v="0"/>
    <n v="8"/>
    <s v="2025-11-25 09:59:17"/>
    <s v="12 días 09:59"/>
    <s v="VENCIDO"/>
    <x v="2"/>
    <s v="SIN DATO"/>
    <s v="SIN DATO"/>
    <s v="SIN DATO"/>
    <s v="ABIERTO"/>
    <n v="-75.619245280000001"/>
    <n v="6.0495144500000002"/>
    <s v="SUR-ENE"/>
    <s v="Metropolitana Sur"/>
  </r>
  <r>
    <s v="23570071"/>
    <s v="ENERES"/>
    <s v="NUEVO"/>
    <s v="ENEDOM"/>
    <s v="22/10/2025 02:15:57"/>
    <s v="2025-11-24 17:34:01"/>
    <n v="98478931"/>
    <s v="LUIS ERLEY MONCADA MONTOYA"/>
    <s v="SIN DATOS"/>
    <s v="3003356694"/>
    <s v="CR 43 A CL 50 D SUR -28"/>
    <x v="5"/>
    <s v="025423100400280000"/>
    <s v="Envigado"/>
    <x v="0"/>
    <s v="MET Rev-Inst-Concentra E_CR014"/>
    <x v="1"/>
    <n v="5"/>
    <s v="2025-12-01 17:34:01"/>
    <s v="5 días 17:34"/>
    <s v="0 días 17:34"/>
    <x v="3"/>
    <s v="SIN DATO"/>
    <s v="SIN DATO"/>
    <s v="SIN DATO"/>
    <s v="ABIERTO"/>
    <n v="-75.603468090000007"/>
    <n v="6.1591616"/>
    <s v="SUR-ENE"/>
    <s v="Metropolitana Sur"/>
  </r>
  <r>
    <s v="23570715"/>
    <s v="ENERES"/>
    <s v="NUEVO"/>
    <s v="ENERES"/>
    <s v="22/10/2025 17:02:35"/>
    <s v="2025-11-24 09:18:10"/>
    <n v="42753469"/>
    <s v="LUCY MARGARITA VELASQUEZ ROJAS"/>
    <s v="5006407"/>
    <s v="3104755426"/>
    <s v="CL 19 CR 54 -85 (INTERIOR 201 )"/>
    <x v="2"/>
    <s v="051519004000850201"/>
    <s v="Medellín"/>
    <x v="2"/>
    <s v="MET Rev-Inst-Concentra E_CR014"/>
    <x v="1"/>
    <n v="7"/>
    <s v="2025-12-03 09:18:10"/>
    <s v="5 días 09:18"/>
    <s v="2 días 09:18"/>
    <x v="1"/>
    <s v="SIN DATO"/>
    <s v="SIN DATO"/>
    <s v="SIN DATO"/>
    <s v="ABIERTO"/>
    <n v="-75.582297420000003"/>
    <n v="6.2217058099999996"/>
    <s v="SUR-ENE"/>
    <s v="Metropolitana Sur"/>
  </r>
  <r>
    <s v="23571579"/>
    <s v="ENERES"/>
    <s v="NUEVO"/>
    <s v="ENEDOM"/>
    <s v="29/10/2025 15:49:25"/>
    <s v="2025-11-27 11:03:38"/>
    <n v="1000396539"/>
    <s v="ANA MARIA ARROYAVE ORTIZ"/>
    <s v="SIN DATOS"/>
    <s v="3043121382"/>
    <s v="RURAL_117004600200000101"/>
    <x v="2"/>
    <s v="117004600200000101"/>
    <s v="Medellín"/>
    <x v="7"/>
    <s v="Habilitación Viviendas Metrosur"/>
    <x v="0"/>
    <n v="8"/>
    <s v="2025-12-10 11:03:38"/>
    <s v="2 días 11:03"/>
    <s v="6 días 11:03"/>
    <x v="0"/>
    <s v="SIN DATO"/>
    <s v="SIN DATO"/>
    <s v="SIN DATO"/>
    <s v="ABIERTO"/>
    <n v="-75.634240680000005"/>
    <n v="6.2477107900000002"/>
    <s v="SUR-ENE"/>
    <s v="Metropolitana Sur"/>
  </r>
  <r>
    <s v="23571669"/>
    <s v="ENEPRE"/>
    <s v="REUBI"/>
    <s v="ENEPRE"/>
    <s v="23/10/2025 14:29:55"/>
    <s v="2025-11-20 13:16:35"/>
    <n v="1083883398"/>
    <s v="LEIDY JHOANA CARDENAS TUMIÑA"/>
    <s v="SIN DATOS"/>
    <s v="3147814629"/>
    <s v="CL 58 CR 94 -61 (INTERIOR 145 )"/>
    <x v="2"/>
    <s v="055918004000610145"/>
    <s v="Medellín"/>
    <x v="9"/>
    <s v="Energía Prepago Metrosur"/>
    <x v="1"/>
    <n v="11"/>
    <s v="2025-12-05 13:16:35"/>
    <s v="7 días 13:16"/>
    <s v="4 días 13:16"/>
    <x v="0"/>
    <s v="SIN DATO"/>
    <s v="SIN DATO"/>
    <s v="SIN DATO"/>
    <s v="ABIERTO"/>
    <n v="-75.606734000000003"/>
    <n v="6.2758279999999997"/>
    <s v="SUR-ENE"/>
    <s v="Metropolitana Sur"/>
  </r>
  <r>
    <s v="23571691"/>
    <s v="ENENOR"/>
    <s v="CAMBI"/>
    <s v="ENENOR"/>
    <s v="23/10/2025 14:47:24"/>
    <s v="2025-11-24 16:30:36"/>
    <n v="14450692"/>
    <s v="JOSE ANIBAL GARCIA GARCIA"/>
    <s v="SIN DATOS"/>
    <s v="3007832022"/>
    <s v="CR 76 CL 32 E -32"/>
    <x v="2"/>
    <s v="053726002500320000"/>
    <s v="Medellín"/>
    <x v="1"/>
    <s v="METROSUR Vin. Leg. Ref. Concentrada"/>
    <x v="1"/>
    <n v="7"/>
    <s v="2025-12-03 16:30:36"/>
    <s v="5 días 16:30"/>
    <s v="2 días 16:30"/>
    <x v="1"/>
    <s v="SIN DATO"/>
    <s v="SIN DATO"/>
    <s v="SIN DATO"/>
    <s v="ABIERTO"/>
    <n v="-75.596536599999993"/>
    <n v="6.23771437"/>
    <s v="SUR-ENE"/>
    <s v="Metropolitana Sur"/>
  </r>
  <r>
    <s v="23571696"/>
    <s v="ENERES"/>
    <s v="NUEVO"/>
    <s v="ENEDOM"/>
    <s v="23/10/2025 14:51:21"/>
    <s v="2025-11-29 10:29:13"/>
    <n v="1216722467"/>
    <s v="BRIGITTE NATHALIE SALDARRIAGA CARUPIA"/>
    <s v="SIN DATOS"/>
    <s v="3017210131"/>
    <s v="RURAL_136029956000000201_CR 103A CL 55-85 (INTERIO"/>
    <x v="2"/>
    <s v="136029956000000201"/>
    <s v="Medellín"/>
    <x v="0"/>
    <s v="Habilitación Viviendas Metrosur"/>
    <x v="0"/>
    <n v="8"/>
    <s v="2025-12-11 10:29:13"/>
    <s v="1 días 10:29"/>
    <s v="7 días 10:29"/>
    <x v="0"/>
    <s v="SIN DATO"/>
    <s v="SIN DATO"/>
    <s v="SIN DATO"/>
    <s v="ABIERTO"/>
    <n v="-75.611364519999995"/>
    <n v="6.2732668499999997"/>
    <s v="SUR-ENE"/>
    <s v="Metropolitana Sur"/>
  </r>
  <r>
    <s v="23571812"/>
    <s v="ENERES"/>
    <s v="NUEVO"/>
    <s v="ENEDOM"/>
    <s v="28/11/2025 08:41:06"/>
    <s v="2025-11-28 08:41:06"/>
    <n v="1020451138"/>
    <s v="GLORIA MARIA GIRALDO LOPEZ"/>
    <s v="2221882"/>
    <s v="3216424400"/>
    <s v="CR 1 C CL 48 -198 (INTERIOR 203 )"/>
    <x v="2"/>
    <s v="054021308001980203"/>
    <s v="Medellín"/>
    <x v="7"/>
    <s v="Habilitación Viviendas Metrosur"/>
    <x v="1"/>
    <n v="5"/>
    <s v="2025-12-05 08:41:06"/>
    <s v="1 días 08:41"/>
    <s v="4 días 08:41"/>
    <x v="0"/>
    <s v="SIN DATO"/>
    <s v="SIN DATO"/>
    <s v="SIN DATO"/>
    <s v="ABIERTO"/>
    <n v="-75.529843"/>
    <n v="6.2295749999999996"/>
    <s v="SUR-ENE"/>
    <s v="Metropolitana Sur"/>
  </r>
  <r>
    <s v="23571838"/>
    <s v="ENERES"/>
    <s v="NUEVO"/>
    <s v="ENERES"/>
    <s v="23/10/2025 16:35:20"/>
    <s v="2025-11-26 10:57:59"/>
    <n v="1026134673"/>
    <s v="DIEGO ANDRES URREGO URREGO"/>
    <s v="SIN DATOS"/>
    <s v="3194806148"/>
    <s v="CL 142 SUR CR 51 -123 (INTERIOR 401 )"/>
    <x v="3"/>
    <s v="004512001001230401"/>
    <s v="Caldas"/>
    <x v="2"/>
    <s v="MET Rev-Inst-Concentra E_CR014"/>
    <x v="1"/>
    <n v="7"/>
    <s v="2025-12-05 10:57:59"/>
    <s v="3 días 10:57"/>
    <s v="4 días 10:57"/>
    <x v="0"/>
    <s v="SIN DATO"/>
    <s v="SIN DATO"/>
    <s v="SIN DATO"/>
    <s v="ABIERTO"/>
    <n v="-75.636188500000003"/>
    <n v="6.0810917"/>
    <s v="SUR-ENE"/>
    <s v="Metropolitana Sur"/>
  </r>
  <r>
    <s v="23571847"/>
    <s v="ENERES"/>
    <s v="NUEVO"/>
    <s v="ENERES"/>
    <s v="23/10/2025 16:43:45"/>
    <s v="2025-11-26 10:59:14"/>
    <n v="1026152158"/>
    <s v="JULIAN ALBERTO URREGO URREGO"/>
    <s v="SIN DATOS"/>
    <s v="3150270350"/>
    <s v="CL 142 SUR CR 51 -123 (INTERIOR 402 )"/>
    <x v="3"/>
    <s v="004512001001230402"/>
    <s v="Caldas"/>
    <x v="2"/>
    <s v="MET Rev-Inst-Concentra E_CR014"/>
    <x v="1"/>
    <n v="7"/>
    <s v="2025-12-05 10:59:14"/>
    <s v="3 días 10:59"/>
    <s v="4 días 10:59"/>
    <x v="0"/>
    <s v="SIN DATO"/>
    <s v="SIN DATO"/>
    <s v="SIN DATO"/>
    <s v="ABIERTO"/>
    <n v="-75.636188500000003"/>
    <n v="6.0810917"/>
    <s v="SUR-ENE"/>
    <s v="Metropolitana Sur"/>
  </r>
  <r>
    <s v="23572180"/>
    <s v="ENEPRE"/>
    <s v="NUEVO"/>
    <s v="ENEPRE"/>
    <s v="24/10/2025 08:11:01"/>
    <s v="2025-11-25 09:20:11"/>
    <n v="1053809306"/>
    <s v="CIELO ZULEIMA MARIN DIAZ"/>
    <s v="SIN DATOS"/>
    <s v="3022190077"/>
    <s v="CR 18 B CL 56 F -28 (INTERIOR 242 )"/>
    <x v="2"/>
    <s v="055128206600280242"/>
    <s v="Medellín"/>
    <x v="6"/>
    <s v="Energía Prepago Metrosur"/>
    <x v="1"/>
    <n v="11"/>
    <s v="2025-12-11 09:20:11"/>
    <s v="4 días 09:20"/>
    <s v="7 días 09:20"/>
    <x v="0"/>
    <s v="SIN DATO"/>
    <s v="SIN DATO"/>
    <s v="SIN DATO"/>
    <s v="ABIERTO"/>
    <n v="-75.539640250000005"/>
    <n v="6.2475234500000001"/>
    <s v="SUR-ENE"/>
    <s v="Metropolitana Sur"/>
  </r>
  <r>
    <s v="23572681"/>
    <s v="ENEPRE"/>
    <s v="NUEVO"/>
    <s v="ENEPRE"/>
    <s v="13/11/2025 07:34:16"/>
    <s v="2025-11-13 07:34:16"/>
    <n v="1128407195"/>
    <s v="KARLA YARLEDI CARTAGENA MUÑOZ"/>
    <s v="SIN DATOS"/>
    <s v="3006708847"/>
    <s v="CL 39 DA CR 119 C -145 (INTERIOR 108 )"/>
    <x v="2"/>
    <s v="083119419301450108"/>
    <s v="Medellín"/>
    <x v="10"/>
    <s v="Revisor Instal. Regadas Metrosur"/>
    <x v="1"/>
    <n v="0"/>
    <m/>
    <s v="11 días 07:34"/>
    <m/>
    <x v="4"/>
    <s v="SIN DATO"/>
    <s v="SIN DATO"/>
    <s v="SIN DATO"/>
    <s v="CUMPLIDO"/>
    <n v="-75.630776999999995"/>
    <n v="6.2531040000000004"/>
    <s v="SUR-ENE"/>
    <s v="Metropolitana Sur"/>
  </r>
  <r>
    <s v="23573236"/>
    <s v="ENERES"/>
    <s v="NUEVO"/>
    <s v="ENERES"/>
    <s v="27/10/2025 07:58:21"/>
    <s v="2025-11-28 17:10:00"/>
    <n v="70567451"/>
    <s v="CARLOS AUGUSTO OSSA BETANCUR"/>
    <s v="SIN DATOS"/>
    <s v="3052331833"/>
    <s v="CL 49 D SUR CR 40 A -296 (INTERIOR 9901 )"/>
    <x v="5"/>
    <s v="024419400102969901"/>
    <s v="Envigado"/>
    <x v="2"/>
    <s v="METROSUR Vin. Leg. Ref. Concentrada"/>
    <x v="1"/>
    <n v="7"/>
    <s v="2025-12-10 17:10:00"/>
    <s v="1 días 17:10"/>
    <s v="6 días 17:10"/>
    <x v="0"/>
    <s v="SIN DATO"/>
    <s v="SIN DATO"/>
    <s v="SIN DATO"/>
    <s v="ABIERTO"/>
    <n v="-75.599654000000001"/>
    <n v="6.1585140000000003"/>
    <s v="SUR-ENE"/>
    <s v="Metropolitana Sur"/>
  </r>
  <r>
    <s v="23574357"/>
    <s v="ENEMRT"/>
    <s v="NUEVO"/>
    <s v="ENEMVI"/>
    <s v="27/10/2025 19:04:35"/>
    <s v="2025-10-27 19:04:35"/>
    <n v="162285721"/>
    <s v="JOSE DIEGO ALONSO RESTREPO"/>
    <s v="SIN DATOS"/>
    <s v="3216635570"/>
    <s v="RURAL_103043302750000005_103043302750000005"/>
    <x v="2"/>
    <s v="103043302750000005"/>
    <s v="Medellín"/>
    <x v="11"/>
    <s v="Mov Red Trans Dairo Gil"/>
    <x v="0"/>
    <n v="14"/>
    <s v="2025-11-18 19:04:35"/>
    <s v="23 días 19:04"/>
    <s v="VENCIDO"/>
    <x v="2"/>
    <s v="SIN DATO"/>
    <s v="SIN DATO"/>
    <s v="SIN DATO"/>
    <s v="CUMPLIDO"/>
    <n v="-75.676379449999999"/>
    <n v="6.1945998900000001"/>
    <s v="SUR-ENE"/>
    <s v="Metropolitana Sur"/>
  </r>
  <r>
    <s v="23575140"/>
    <s v="ENERES"/>
    <s v="NUEVO"/>
    <s v="ENERES"/>
    <s v="28/10/2025 12:32:26"/>
    <s v="2025-11-26 14:15:28"/>
    <n v="1152198866"/>
    <s v="ANDRES FELIPE MEJIA ARANGO"/>
    <s v="SIN DATOS"/>
    <s v="3117968418"/>
    <s v="CR 76 CL 46 C -83"/>
    <x v="2"/>
    <s v="054726006300830000"/>
    <s v="Medellín"/>
    <x v="2"/>
    <s v="Revisor Instal. Regadas Metrosur"/>
    <x v="1"/>
    <n v="7"/>
    <s v="2025-12-05 14:15:28"/>
    <s v="3 días 14:15"/>
    <s v="4 días 14:15"/>
    <x v="0"/>
    <s v="SIN DATO"/>
    <s v="SIN DATO"/>
    <s v="SIN DATO"/>
    <s v="ABIERTO"/>
    <n v="-75.592836939999998"/>
    <n v="6.25799021"/>
    <s v="SUR-ENE"/>
    <s v="Metropolitana Sur"/>
  </r>
  <r>
    <s v="23575971"/>
    <s v="ENECNX"/>
    <s v="NUEVO"/>
    <s v="ENECNX"/>
    <s v="24/11/2025 08:01:29"/>
    <s v="2025-11-24 08:01:29"/>
    <n v="3474414"/>
    <s v="JOMAR ALEXIS HENAO RESTREPO"/>
    <s v="2659441"/>
    <s v="3207932507"/>
    <s v="CL 29 AA CR 50 -9"/>
    <x v="2"/>
    <s v="052519110000090000"/>
    <s v="Medellín"/>
    <x v="3"/>
    <s v="Revisor Puntos de Conexión Metrosur"/>
    <x v="1"/>
    <n v="4"/>
    <s v="2025-11-28 08:01:29"/>
    <s v="5 días 08:01"/>
    <s v="VENCIDO"/>
    <x v="2"/>
    <s v="SIN DATO"/>
    <s v="SIN DATO"/>
    <s v="SIN DATO"/>
    <s v="CUMPLIDO"/>
    <n v="-75.576749000000007"/>
    <n v="6.2293329999999996"/>
    <s v="SUR-ENE"/>
    <s v="Metropolitana Sur"/>
  </r>
  <r>
    <s v="23576552"/>
    <s v="ENERES"/>
    <s v="NUEVO"/>
    <s v="ENERES"/>
    <s v="29/10/2025 12:10:06"/>
    <s v="2025-11-28 09:21:57"/>
    <n v="1042767845"/>
    <s v="JOHANNA PATRICIA PIÑEROS CORREA"/>
    <s v="SIN DATOS"/>
    <s v="3127314586"/>
    <s v="CR 24 BB CL 56 EE -35 (INTERIOR 302 )"/>
    <x v="2"/>
    <s v="055224226550350302"/>
    <s v="Medellín"/>
    <x v="2"/>
    <s v="Revisor Instal. Regadas Metrosur"/>
    <x v="1"/>
    <n v="7"/>
    <s v="2025-12-10 09:21:57"/>
    <s v="1 días 09:21"/>
    <s v="6 días 09:21"/>
    <x v="0"/>
    <s v="SIN DATO"/>
    <s v="SIN DATO"/>
    <s v="SIN DATO"/>
    <s v="ABIERTO"/>
    <n v="-75.54234726"/>
    <n v="6.2455663899999996"/>
    <s v="SUR-ENE"/>
    <s v="Metropolitana Sur"/>
  </r>
  <r>
    <s v="23576600"/>
    <s v="ENECNX"/>
    <s v="NUEVO"/>
    <s v="ENECNX"/>
    <s v="26/11/2025 08:38:01"/>
    <s v="2025-11-26 08:38:01"/>
    <n v="43619603"/>
    <s v="MARIA CAROLINA HERNANDEZ CARO"/>
    <s v="SIN DATOS"/>
    <s v="3225866906"/>
    <s v="CL 1 CR 82 -230 (INTERIOR 124 )"/>
    <x v="2"/>
    <s v="050811002002300124"/>
    <s v="Medellín"/>
    <x v="3"/>
    <s v="Revisor Puntos de Conexión Metrosur"/>
    <x v="1"/>
    <n v="4"/>
    <s v="2025-12-02 08:38:01"/>
    <s v="3 días 08:38"/>
    <s v="1 días 08:38"/>
    <x v="1"/>
    <s v="SIN DATO"/>
    <s v="SIN DATO"/>
    <s v="SIN DATO"/>
    <s v="CUMPLIDO"/>
    <n v="-75.607884999999996"/>
    <n v="6.2091620000000001"/>
    <s v="SUR-ENE"/>
    <s v="Metropolitana Sur"/>
  </r>
  <r>
    <s v="23576818"/>
    <s v="ENERES"/>
    <s v="NUEVO"/>
    <s v="ENERES"/>
    <s v="29/10/2025 14:47:39"/>
    <s v="2025-11-26 11:02:48"/>
    <n v="1152188266"/>
    <s v="LIZET JOHANA ORTIZ ALVAREZ"/>
    <s v="SIN DATOS"/>
    <s v="3012043974"/>
    <s v="CL 34 B CR 130 -27 (INTERIOR 143 )"/>
    <x v="2"/>
    <s v="083314200000270143"/>
    <s v="Medellín"/>
    <x v="2"/>
    <s v="Revisor Instal. Regadas Metrosur"/>
    <x v="1"/>
    <n v="7"/>
    <s v="2025-12-05 11:02:48"/>
    <s v="3 días 11:02"/>
    <s v="4 días 11:02"/>
    <x v="0"/>
    <s v="SIN DATO"/>
    <s v="SIN DATO"/>
    <s v="SIN DATO"/>
    <s v="ABIERTO"/>
    <n v="-75.636521999999999"/>
    <n v="6.2501740000000003"/>
    <s v="SUR-ENE"/>
    <s v="Metropolitana Sur"/>
  </r>
  <r>
    <s v="23576849"/>
    <s v="ENERES"/>
    <s v="NUEVO"/>
    <s v="ENEDOM"/>
    <s v="29/10/2025 15:01:58"/>
    <s v="2025-11-27 15:02:03"/>
    <n v="43535004"/>
    <s v="GLORIA ELSY CORREA"/>
    <s v="SIN DATOS"/>
    <s v="3235088921"/>
    <s v="CL 30 A CR 30 -119 (INTERIOR 302 )"/>
    <x v="2"/>
    <s v="053310100001190302"/>
    <s v="Medellín"/>
    <x v="0"/>
    <s v="Habilitación Viviendas Metrosur"/>
    <x v="1"/>
    <n v="5"/>
    <s v="2025-12-04 15:02:03"/>
    <s v="2 días 15:02"/>
    <s v="3 días 15:02"/>
    <x v="0"/>
    <s v="SIN DATO"/>
    <s v="SIN DATO"/>
    <s v="SIN DATO"/>
    <s v="ABIERTO"/>
    <n v="-75.561195429999998"/>
    <n v="6.2287495000000002"/>
    <s v="SUR-ENE"/>
    <s v="Metropolitana Sur"/>
  </r>
  <r>
    <s v="23576911"/>
    <s v="ENERES"/>
    <s v="NUEVO"/>
    <s v="ENERES"/>
    <s v="29/10/2025 15:47:35"/>
    <s v="2025-11-27 09:57:49"/>
    <n v="1038335048"/>
    <s v="VERONICA JOHANA RESTREPO GUTIERREZ"/>
    <s v="4387319"/>
    <s v="3128119388"/>
    <s v="CR 131 B CL 59 -45 (INTERIOR 101 )"/>
    <x v="2"/>
    <s v="085321209000450101"/>
    <s v="Medellín"/>
    <x v="2"/>
    <s v="Revisor Instal. Regadas Metrosur"/>
    <x v="1"/>
    <n v="7"/>
    <s v="2025-12-09 09:57:49"/>
    <s v="2 días 09:57"/>
    <s v="5 días 09:57"/>
    <x v="0"/>
    <s v="SIN DATO"/>
    <s v="SIN DATO"/>
    <s v="SIN DATO"/>
    <s v="ABIERTO"/>
    <n v="-75.636516999999998"/>
    <n v="6.2757909999999999"/>
    <s v="SUR-ENE"/>
    <s v="Metropolitana Sur"/>
  </r>
  <r>
    <s v="23576920"/>
    <s v="ENERES"/>
    <s v="NUEVO"/>
    <s v="ENEDOM"/>
    <s v="29/10/2025 15:50:29"/>
    <s v="2025-11-28 11:34:23"/>
    <n v="1037071418"/>
    <s v="JUAN CAMILO AGUIRRE RIOS"/>
    <s v="SIN DATOS"/>
    <s v="3106107938"/>
    <s v="RURAL_147024475040000000_VEREDA EL UVITO"/>
    <x v="2"/>
    <s v="147024475040000000"/>
    <s v="Medellín"/>
    <x v="0"/>
    <s v="Habilitación Viviendas Metrosur"/>
    <x v="0"/>
    <n v="8"/>
    <s v="2025-12-11 11:34:23"/>
    <s v="1 días 11:34"/>
    <s v="7 días 11:34"/>
    <x v="0"/>
    <s v="SIN DATO"/>
    <s v="SIN DATO"/>
    <s v="SIN DATO"/>
    <s v="ABIERTO"/>
    <n v="-75.650955999999994"/>
    <n v="6.2895289999999999"/>
    <s v="SUR-ENE"/>
    <s v="Metropolitana Sur"/>
  </r>
  <r>
    <s v="23577619"/>
    <s v="ENERES"/>
    <s v="NUEVO"/>
    <s v="ENERES"/>
    <s v="30/10/2025 07:50:17"/>
    <s v="2025-11-25 16:13:49"/>
    <n v="70056686"/>
    <s v="LUIS CARLOS ARENAS AGUDELO"/>
    <s v="SIN DATOS"/>
    <s v="3244570844"/>
    <s v="CR 69 CL 26 -84 (INTERIOR 401 )"/>
    <x v="1"/>
    <s v="072629006000840401"/>
    <s v="Itaguí"/>
    <x v="2"/>
    <s v="MET Rev-Inst-Concentra E_CR014"/>
    <x v="1"/>
    <n v="7"/>
    <s v="2025-12-04 16:13:49"/>
    <s v="4 días 16:13"/>
    <s v="3 días 16:13"/>
    <x v="0"/>
    <s v="SIN DATO"/>
    <s v="SIN DATO"/>
    <s v="SIN DATO"/>
    <s v="ABIERTO"/>
    <n v="-75.641402420000006"/>
    <n v="6.1712472299999996"/>
    <s v="SUR-ENE"/>
    <s v="Metropolitana Sur"/>
  </r>
  <r>
    <s v="23577622"/>
    <s v="ENERES"/>
    <s v="NUEVO"/>
    <s v="ENERES"/>
    <s v="30/10/2025 07:53:01"/>
    <s v="2025-11-25 16:16:14"/>
    <n v="70056686"/>
    <s v="LUIS CARLOS ARENAS AGUDELO"/>
    <s v="SIN DATOS"/>
    <s v="3113764569"/>
    <s v="CR 69 CL 26 -84 (INTERIOR 402 )"/>
    <x v="1"/>
    <s v="072629006000840402"/>
    <s v="Itaguí"/>
    <x v="2"/>
    <s v="MET Rev-Inst-Concentra E_CR014"/>
    <x v="1"/>
    <n v="7"/>
    <s v="2025-12-04 16:16:14"/>
    <s v="4 días 16:16"/>
    <s v="3 días 16:16"/>
    <x v="0"/>
    <s v="SIN DATO"/>
    <s v="SIN DATO"/>
    <s v="SIN DATO"/>
    <s v="ABIERTO"/>
    <n v="-75.641402420000006"/>
    <n v="6.1712472299999996"/>
    <s v="SUR-ENE"/>
    <s v="Metropolitana Sur"/>
  </r>
  <r>
    <s v="23577789"/>
    <s v="ENERES"/>
    <s v="NUEVO"/>
    <s v="ENERES"/>
    <s v="30/10/2025 08:46:16"/>
    <s v="2025-11-26 18:01:01"/>
    <n v="70500061"/>
    <s v="HECTOR DE JESUS TORRES QUICENO"/>
    <s v="SIN DATOS"/>
    <s v="3017375950"/>
    <s v="CL 16 CR 52 -110 (INTERIOR 101 )"/>
    <x v="2"/>
    <s v="051516002001100101"/>
    <s v="Medellín"/>
    <x v="2"/>
    <s v="MET Rev-Inst-Concentra E_CR014"/>
    <x v="1"/>
    <n v="7"/>
    <s v="2025-12-05 18:01:01"/>
    <s v="3 días 18:01"/>
    <s v="4 días 18:01"/>
    <x v="0"/>
    <s v="SIN DATO"/>
    <s v="SIN DATO"/>
    <s v="SIN DATO"/>
    <s v="ABIERTO"/>
    <n v="-75.581468569999998"/>
    <n v="6.2194975699999997"/>
    <s v="SUR-ENE"/>
    <s v="Metropolitana Sur"/>
  </r>
  <r>
    <s v="23578445"/>
    <s v="ENERES"/>
    <s v="NUEVO"/>
    <s v="ENERES"/>
    <s v="30/10/2025 16:45:10"/>
    <s v="2025-11-27 16:44:43"/>
    <n v="71617831"/>
    <s v="JAIRO ENRIQUE GARCIA MUÑOZ"/>
    <s v="SIN DATOS"/>
    <s v="3006989724"/>
    <s v="RURAL_114005560000000105_114005560000000105"/>
    <x v="2"/>
    <s v="114005560000000105"/>
    <s v="Medellín"/>
    <x v="2"/>
    <s v="Revisor Instal. Regadas Metrosur"/>
    <x v="0"/>
    <n v="10"/>
    <s v="2025-12-12 16:44:43"/>
    <s v="2 días 16:44"/>
    <s v="8 días 16:44"/>
    <x v="0"/>
    <s v="SIN DATO"/>
    <s v="SIN DATO"/>
    <s v="SIN DATO"/>
    <s v="ABIERTO"/>
    <n v="-75.621608350000002"/>
    <n v="6.2019699499999996"/>
    <s v="SUR-ENE"/>
    <s v="Metropolitana Sur"/>
  </r>
  <r>
    <s v="23578452"/>
    <s v="ENERES"/>
    <s v="NUEVO"/>
    <s v="ENEDOM"/>
    <s v="28/11/2025 07:16:35"/>
    <s v="2025-11-28 07:16:35"/>
    <n v="98520547"/>
    <s v="JUAN DE JESUS GUISAO MARIN"/>
    <s v="4461115"/>
    <s v="3128996452"/>
    <s v="CL 56 CR 102 -156 (INTERIOR 216 )"/>
    <x v="2"/>
    <s v="085016002001560216"/>
    <s v="Medellín"/>
    <x v="7"/>
    <s v="Habilitación Viviendas Metrosur"/>
    <x v="1"/>
    <n v="5"/>
    <s v="2025-12-05 07:16:35"/>
    <s v="1 días 07:16"/>
    <s v="4 días 07:16"/>
    <x v="0"/>
    <s v="SIN DATO"/>
    <s v="SIN DATO"/>
    <s v="SIN DATO"/>
    <s v="ABIERTO"/>
    <n v="-75.612572119999996"/>
    <n v="6.2721151300000004"/>
    <s v="SUR-ENE"/>
    <s v="Metropolitana Sur"/>
  </r>
  <r>
    <s v="23578468"/>
    <s v="ENEPRE"/>
    <s v="NUEVO"/>
    <s v="ENEPRE"/>
    <s v="07/11/2025 14:22:40"/>
    <s v="2025-11-26 11:36:07"/>
    <n v="39410293"/>
    <s v="LUZ OMAIRA SERNA DUARTE"/>
    <s v="SIN DATOS"/>
    <s v="3117810396"/>
    <s v="CR 17 D CL 56 BB -54 (INTERIOR 210 )"/>
    <x v="2"/>
    <s v="055127406220540210"/>
    <s v="Medellín"/>
    <x v="6"/>
    <s v="Energía Prepago Metrosur"/>
    <x v="1"/>
    <n v="11"/>
    <s v="2025-12-12 11:36:07"/>
    <s v="3 días 11:36"/>
    <s v="8 días 11:36"/>
    <x v="0"/>
    <s v="SIN DATO"/>
    <s v="SIN DATO"/>
    <s v="SIN DATO"/>
    <s v="ABIERTO"/>
    <n v="-75.540646050000007"/>
    <n v="6.2406160699999997"/>
    <s v="SUR-ENE"/>
    <s v="Metropolitana Sur"/>
  </r>
  <r>
    <s v="23579461"/>
    <s v="ENERES"/>
    <s v="NUEVO"/>
    <s v="ENEDOM"/>
    <s v="05/11/2025 11:58:56"/>
    <s v="2025-11-26 11:35:09"/>
    <n v="1151437279"/>
    <s v="HIDBEN DAVID POSSO"/>
    <s v="SIN DATOS"/>
    <s v="3053659497"/>
    <s v="CL 64 CR 16 DD -23 (INTERIOR 201 )"/>
    <x v="2"/>
    <s v="056114006440230201"/>
    <s v="Medellín"/>
    <x v="7"/>
    <s v="Habilitación Viviendas Metrosur"/>
    <x v="1"/>
    <n v="5"/>
    <s v="2025-12-03 11:35:09"/>
    <s v="3 días 11:35"/>
    <s v="2 días 11:35"/>
    <x v="1"/>
    <s v="SIN DATO"/>
    <s v="SIN DATO"/>
    <s v="SIN DATO"/>
    <s v="ABIERTO"/>
    <n v="-75.537805000000006"/>
    <n v="6.2544630000000003"/>
    <s v="SUR-ENE"/>
    <s v="Metropolitana Sur"/>
  </r>
  <r>
    <s v="23579578"/>
    <s v="ENERES"/>
    <s v="NUEVO"/>
    <s v="ENEDOM"/>
    <s v="07/11/2025 06:19:55"/>
    <s v="2025-11-21 13:32:14"/>
    <n v="43538535"/>
    <s v="RUBER SANDRA CASTAÑEDA GIRALDO"/>
    <s v="SIN DATOS"/>
    <s v="3166145300"/>
    <s v="RURAL_146005784600000000_146005784600000000"/>
    <x v="2"/>
    <s v="146005784600000000"/>
    <s v="Medellín"/>
    <x v="7"/>
    <s v="Habilitación Viviendas Metrosur"/>
    <x v="0"/>
    <n v="8"/>
    <s v="2025-12-03 13:32:14"/>
    <s v="6 días 13:32"/>
    <s v="2 días 13:32"/>
    <x v="1"/>
    <s v="SIN DATO"/>
    <s v="SIN DATO"/>
    <s v="SIN DATO"/>
    <s v="ABIERTO"/>
    <n v="-75.638014799999993"/>
    <n v="6.3048486700000002"/>
    <s v="SUR-ENE"/>
    <s v="Metropolitana Sur"/>
  </r>
  <r>
    <s v="23579879"/>
    <s v="ENERES"/>
    <s v="NUEVO"/>
    <s v="ENERES"/>
    <s v="31/10/2025 15:29:38"/>
    <s v="2025-11-24 17:09:45"/>
    <n v="15259452"/>
    <s v="JORGE WILLIAM ARENAS MUNERA"/>
    <s v="SIN DATOS"/>
    <s v="3007007880"/>
    <s v="CL 129 SUR CR 55 -51"/>
    <x v="3"/>
    <s v="002519005000510000"/>
    <s v="Caldas"/>
    <x v="2"/>
    <s v="Revisor Inst. Particulares Metrosur"/>
    <x v="1"/>
    <n v="7"/>
    <s v="2025-12-03 17:09:45"/>
    <s v="5 días 17:09"/>
    <s v="2 días 17:09"/>
    <x v="1"/>
    <s v="SIN DATO"/>
    <s v="SIN DATO"/>
    <s v="SIN DATO"/>
    <s v="ABIERTO"/>
    <n v="-75.640385359999996"/>
    <n v="6.0910183499999997"/>
    <s v="SUR-ENE"/>
    <s v="Metropolitana Sur"/>
  </r>
  <r>
    <s v="23580305"/>
    <s v="ENECNX"/>
    <s v="NUEVO"/>
    <s v="ENECNX"/>
    <s v="26/11/2025 10:13:49"/>
    <s v="2025-11-26 10:13:49"/>
    <n v="70561899"/>
    <s v="JORGE IGNACIO ACEVEDO ZULUAGA"/>
    <s v="4730867"/>
    <s v="3122446133"/>
    <s v="CR 49 CL 61 SUR -540 (INTERIOR 152 )"/>
    <x v="4"/>
    <s v="016429001005400152"/>
    <s v="Sabaneta"/>
    <x v="3"/>
    <s v="Revisor Puntos de Conexión Metrosur"/>
    <x v="1"/>
    <n v="4"/>
    <s v="2025-12-02 10:13:49"/>
    <s v="3 días 10:13"/>
    <s v="1 días 10:13"/>
    <x v="1"/>
    <s v="SIN DATO"/>
    <s v="SIN DATO"/>
    <s v="SIN DATO"/>
    <s v="CUMPLIDO"/>
    <n v="-75.615600099999995"/>
    <n v="6.1571709999999999"/>
    <s v="SUR-ENE"/>
    <s v="Metropolitana Sur"/>
  </r>
  <r>
    <s v="23580726"/>
    <s v="ENEPRE"/>
    <s v="NUEVO"/>
    <s v="ENEPRE"/>
    <s v="07/11/2025 06:17:53"/>
    <s v="2025-11-26 11:34:19"/>
    <n v="1007476595"/>
    <s v="LUISA FERNANDA RUIZ AGUDELO"/>
    <s v="SIN DATOS"/>
    <s v="3128874013"/>
    <s v="CR 18 A CL 59 C -46 (INTERIOR 102 )"/>
    <x v="2"/>
    <s v="055128109300460102"/>
    <s v="Medellín"/>
    <x v="6"/>
    <s v="Energía Prepago Metrosur"/>
    <x v="1"/>
    <n v="11"/>
    <s v="2025-12-12 11:34:19"/>
    <s v="3 días 11:34"/>
    <s v="8 días 11:34"/>
    <x v="0"/>
    <s v="SIN DATO"/>
    <s v="SIN DATO"/>
    <s v="SIN DATO"/>
    <s v="ABIERTO"/>
    <n v="-75.539713000000006"/>
    <n v="6.2533760000000003"/>
    <s v="SUR-ENE"/>
    <s v="Metropolitana Sur"/>
  </r>
  <r>
    <s v="23581106"/>
    <s v="ENEPRE"/>
    <s v="REUBI"/>
    <s v="ENEPRE"/>
    <s v="04/11/2025 16:51:22"/>
    <s v="2025-11-19 16:45:56"/>
    <n v="43672289"/>
    <s v="LUCIA ELENA GUTIERREZ BEDOYA"/>
    <s v="SIN DATOS"/>
    <s v="3022142311"/>
    <s v="CR 87 CL 49 DD -43"/>
    <x v="2"/>
    <s v="054827009440430000"/>
    <s v="Medellín"/>
    <x v="9"/>
    <s v="Energía Prepago Metrosur"/>
    <x v="1"/>
    <n v="11"/>
    <s v="2025-12-04 16:45:56"/>
    <s v="8 días 16:45"/>
    <s v="3 días 16:45"/>
    <x v="0"/>
    <s v="SIN DATO"/>
    <s v="SIN DATO"/>
    <s v="SIN DATO"/>
    <s v="ABIERTO"/>
    <n v="-75.605506210000001"/>
    <n v="6.2629534800000002"/>
    <s v="SUR-ENE"/>
    <s v="Metropolitana Sur"/>
  </r>
  <r>
    <s v="23581431"/>
    <s v="ENERES"/>
    <s v="NUEVO"/>
    <s v="ENEDOM"/>
    <s v="07/11/2025 14:24:36"/>
    <s v="2025-11-26 11:31:33"/>
    <n v="43843651"/>
    <s v="MARIA ADELAIDA GONZALEZ GONZALEZ"/>
    <s v="SIN DATOS"/>
    <s v="3013657881"/>
    <s v="CL 48 EE CR 99 DD -154 (INTERIOR 173 )"/>
    <x v="2"/>
    <s v="054918559441540173"/>
    <s v="Medellín"/>
    <x v="7"/>
    <s v="Habilitación Viviendas Metrosur"/>
    <x v="1"/>
    <n v="5"/>
    <s v="2025-12-03 11:31:33"/>
    <s v="3 días 11:31"/>
    <s v="2 días 11:31"/>
    <x v="1"/>
    <s v="SIN DATO"/>
    <s v="SIN DATO"/>
    <s v="SIN DATO"/>
    <s v="ABIERTO"/>
    <n v="-75.614800099999997"/>
    <n v="6.2681170000000002"/>
    <s v="SUR-ENE"/>
    <s v="Metropolitana Sur"/>
  </r>
  <r>
    <s v="23581476"/>
    <s v="ENENOR"/>
    <s v="CAMBI"/>
    <s v="ENENOR"/>
    <s v="05/11/2025 06:46:58"/>
    <s v="2025-12-01 11:11:52"/>
    <n v="70043759"/>
    <s v="MANUEL EDUARDO GARCIA CASTRO"/>
    <s v="SIN DATOS"/>
    <s v="3116202148"/>
    <s v="CL 84 A CR 50 A -1"/>
    <x v="1"/>
    <s v="078514100100010000"/>
    <s v="Itaguí"/>
    <x v="1"/>
    <s v="Revisor Inst. Particulares Metrosur"/>
    <x v="1"/>
    <n v="7"/>
    <s v="2025-12-11 11:11:52"/>
    <s v="-1 días 11:11"/>
    <s v="7 días 11:11"/>
    <x v="0"/>
    <s v="SIN DATO"/>
    <s v="SIN DATO"/>
    <s v="SIN DATO"/>
    <s v="ABIERTO"/>
    <n v="-75.591346119999997"/>
    <n v="6.19028285"/>
    <s v="SUR-ENE"/>
    <s v="Metropolitana Sur"/>
  </r>
  <r>
    <s v="23581485"/>
    <s v="ENECNX"/>
    <s v="NUEVO"/>
    <s v="ENECNX"/>
    <s v="05/11/2025 07:00:35"/>
    <s v="2025-12-01 07:11:55"/>
    <n v="15272029"/>
    <s v="FRANK DIEGO FERNANDEZ LOPEZ"/>
    <s v="SIN DATOS"/>
    <s v="3122025819"/>
    <s v="DIAG 55 A CL 55 -31"/>
    <x v="2"/>
    <s v="055575105000310000"/>
    <s v="Medellín"/>
    <x v="3"/>
    <s v="Revisor Puntos de Conexión Metrosur"/>
    <x v="1"/>
    <n v="4"/>
    <s v="2025-12-05 07:11:55"/>
    <s v="-1 días 07:11"/>
    <s v="4 días 07:11"/>
    <x v="0"/>
    <s v="SIN DATO"/>
    <s v="SIN DATO"/>
    <s v="SIN DATO"/>
    <s v="ABIERTO"/>
    <n v="-75.572607579999996"/>
    <n v="6.2540204299999997"/>
    <s v="SUR-ENE"/>
    <s v="Metropolitana Sur"/>
  </r>
  <r>
    <s v="23581655"/>
    <s v="ENERES"/>
    <s v="NUEVO"/>
    <s v="ENEDOM"/>
    <s v="05/11/2025 08:01:09"/>
    <s v="2025-11-26 13:21:41"/>
    <n v="42879459"/>
    <s v="MARIA ELENA HERNANDEZ SALAZAR"/>
    <s v="SIN DATOS"/>
    <s v="3173211404"/>
    <s v="RURAL_167041685000000301"/>
    <x v="4"/>
    <s v="167041685000000301"/>
    <s v="Sabaneta"/>
    <x v="0"/>
    <s v="Habilitación Viviendas Metrosur"/>
    <x v="0"/>
    <n v="8"/>
    <s v="2025-12-09 13:21:41"/>
    <s v="3 días 13:21"/>
    <s v="5 días 13:21"/>
    <x v="0"/>
    <s v="SIN DATO"/>
    <s v="SIN DATO"/>
    <s v="SIN DATO"/>
    <s v="ABIERTO"/>
    <n v="-75.630287710000005"/>
    <n v="6.1388069500000002"/>
    <s v="SUR-ENE"/>
    <s v="Metropolitana Sur"/>
  </r>
  <r>
    <s v="23581809"/>
    <s v="ENECNX"/>
    <s v="NUEVO"/>
    <s v="ENECNX"/>
    <s v="28/11/2025 10:51:55"/>
    <s v="2025-11-28 10:51:55"/>
    <n v="8235388"/>
    <s v="HUMBERTO GIRALDO VELEZ"/>
    <s v="4449982"/>
    <s v="3103876485"/>
    <s v="CR 41 CL 46 -103"/>
    <x v="1"/>
    <s v="074421006001030000"/>
    <s v="Itaguí"/>
    <x v="3"/>
    <s v="Revisor Puntos de Conexión Metrosur"/>
    <x v="1"/>
    <n v="4"/>
    <s v="2025-12-04 10:51:55"/>
    <s v="1 días 10:51"/>
    <s v="3 días 10:51"/>
    <x v="0"/>
    <s v="SIN DATO"/>
    <s v="SIN DATO"/>
    <s v="SIN DATO"/>
    <s v="CUMPLIDO"/>
    <n v="-75.607604859999995"/>
    <n v="6.1648899000000004"/>
    <s v="SUR-ENE"/>
    <s v="Metropolitana Sur"/>
  </r>
  <r>
    <s v="23581929"/>
    <s v="ENERES"/>
    <s v="NUEVO"/>
    <s v="ENEDOM"/>
    <s v="05/11/2025 10:24:24"/>
    <s v="2025-11-28 15:40:33"/>
    <n v="1026150666"/>
    <s v="GUSTAVO ADOLFO ALVAREZ BOLIVAR"/>
    <s v="6019975"/>
    <s v="3114362912"/>
    <s v="RURAL_161096107000000002_VEREDA LA SALADA PARTE BA"/>
    <x v="3"/>
    <s v="161096107000000002"/>
    <s v="Caldas"/>
    <x v="0"/>
    <s v="MET Rev-Inst-Concentra E_CR014"/>
    <x v="0"/>
    <n v="8"/>
    <s v="2025-12-11 15:40:33"/>
    <s v="1 días 15:40"/>
    <s v="7 días 15:40"/>
    <x v="0"/>
    <s v="SIN DATO"/>
    <s v="SIN DATO"/>
    <s v="SIN DATO"/>
    <s v="ABIERTO"/>
    <n v="-75.624387049999996"/>
    <n v="6.0470949799999998"/>
    <s v="SUR-ENE"/>
    <s v="Metropolitana Sur"/>
  </r>
  <r>
    <s v="23581952"/>
    <s v="ENERES"/>
    <s v="NUEVO"/>
    <s v="ENERES"/>
    <s v="05/11/2025 10:37:03"/>
    <s v="2025-11-22 09:36:42"/>
    <n v="1130626454"/>
    <s v="MARIA DELMAR TAMAYO VELEZ"/>
    <s v="SIN DATOS"/>
    <s v="3134833871"/>
    <s v="RURAL_125004452800000060"/>
    <x v="5"/>
    <s v="125004452800000060"/>
    <s v="Envigado"/>
    <x v="2"/>
    <s v="Revisor Inst. Particulares Metrosur"/>
    <x v="0"/>
    <n v="10"/>
    <s v="2025-12-05 09:36:42"/>
    <s v="6 días 09:36"/>
    <s v="4 días 09:36"/>
    <x v="0"/>
    <s v="SIN DATO"/>
    <s v="SIN DATO"/>
    <s v="SIN DATO"/>
    <s v="ABIERTO"/>
    <n v="-75.524680880000005"/>
    <n v="6.1614959100000002"/>
    <s v="SUR-ENE"/>
    <s v="Metropolitana Sur"/>
  </r>
  <r>
    <s v="23582032"/>
    <s v="ENENOR"/>
    <s v="NUEVO"/>
    <s v="ENENOR"/>
    <s v="05/11/2025 11:08:45"/>
    <s v="2025-11-25 16:10:02"/>
    <n v="890980331"/>
    <s v="MUNICIPIO SABANETA"/>
    <s v="6002972"/>
    <s v="3136365454"/>
    <s v="CL 71 SUR CR 45 -1 (INTERIOR 1 )"/>
    <x v="4"/>
    <s v="017411005000010001"/>
    <s v="Sabaneta"/>
    <x v="4"/>
    <s v="Revisor Instal. Regadas Metrosur"/>
    <x v="1"/>
    <n v="7"/>
    <s v="2025-12-04 16:10:02"/>
    <s v="4 días 16:10"/>
    <s v="3 días 16:10"/>
    <x v="0"/>
    <s v="SIN DATO"/>
    <s v="SIN DATO"/>
    <s v="SIN DATO"/>
    <s v="ABIERTO"/>
    <n v="-75.616439"/>
    <n v="6.1512349999999998"/>
    <s v="SUR-ENE"/>
    <s v="Metropolitana Sur"/>
  </r>
  <r>
    <s v="23582117"/>
    <s v="ENERES"/>
    <s v="NUEVO"/>
    <s v="ENEDOM"/>
    <s v="07/11/2025 14:25:59"/>
    <s v="2025-11-27 11:27:45"/>
    <n v="1148697421"/>
    <s v="VANESA VELASQUEZ MUÑOZ"/>
    <s v="5598310"/>
    <s v="3045598310"/>
    <s v="CL 31 AA CR 107 -2 (INTERIOR 302 )"/>
    <x v="2"/>
    <s v="083011117000020302"/>
    <s v="Medellín"/>
    <x v="7"/>
    <s v="Habilitación Viviendas Metrosur"/>
    <x v="1"/>
    <n v="5"/>
    <s v="2025-12-04 11:27:45"/>
    <s v="2 días 11:27"/>
    <s v="3 días 11:27"/>
    <x v="0"/>
    <s v="SIN DATO"/>
    <s v="SIN DATO"/>
    <s v="SIN DATO"/>
    <s v="ABIERTO"/>
    <n v="-75.625602000000001"/>
    <n v="6.2342940000000002"/>
    <s v="SUR-ENE"/>
    <s v="Metropolitana Sur"/>
  </r>
  <r>
    <s v="23582328"/>
    <s v="ENERES"/>
    <s v="NUEVO"/>
    <s v="ENEDOM"/>
    <s v="08/11/2025 09:29:52"/>
    <s v="2025-11-24 14:30:05"/>
    <n v="43867006"/>
    <s v="ANA ISABEL RESTREPO ALVAREZ"/>
    <s v="2530342"/>
    <s v="3136025230"/>
    <s v="CL 34 B CR 94 -155"/>
    <x v="2"/>
    <s v="053914204001550000"/>
    <s v="Medellín"/>
    <x v="7"/>
    <s v="Habilitación Viviendas Metrosur"/>
    <x v="1"/>
    <n v="5"/>
    <s v="2025-12-01 14:30:05"/>
    <s v="5 días 14:30"/>
    <s v="0 días 14:30"/>
    <x v="3"/>
    <s v="SIN DATO"/>
    <s v="SIN DATO"/>
    <s v="SIN DATO"/>
    <s v="ABIERTO"/>
    <n v="-75.621040500000007"/>
    <n v="6.2454973999999996"/>
    <s v="SUR-ENE"/>
    <s v="Metropolitana Sur"/>
  </r>
  <r>
    <s v="23582533"/>
    <s v="ENENOR"/>
    <s v="NUEVO"/>
    <s v="ENENOR"/>
    <s v="05/11/2025 15:50:11"/>
    <s v="2025-11-24 14:30:38"/>
    <n v="43681489"/>
    <s v="NORA CECILIA PALACIO VELEZ"/>
    <s v="SIN DATOS"/>
    <s v="3007853976"/>
    <s v="CR 43 CL 10 -9"/>
    <x v="2"/>
    <s v="051423000000090000"/>
    <s v="Medellín"/>
    <x v="4"/>
    <s v="MET Rev-Inst-Concentra E_CR014"/>
    <x v="1"/>
    <n v="7"/>
    <s v="2025-12-03 14:30:38"/>
    <s v="5 días 14:30"/>
    <s v="2 días 14:30"/>
    <x v="1"/>
    <s v="SIN DATO"/>
    <s v="SIN DATO"/>
    <s v="SIN DATO"/>
    <s v="ABIERTO"/>
    <n v="-75.569931690000004"/>
    <n v="6.2107174499999998"/>
    <s v="SUR-ENE"/>
    <s v="Metropolitana Sur"/>
  </r>
  <r>
    <s v="23582546"/>
    <s v="ENENOR"/>
    <s v="NUEVO"/>
    <s v="ENENOR"/>
    <s v="05/11/2025 15:55:08"/>
    <s v="2025-11-24 14:34:17"/>
    <n v="1152467812"/>
    <s v="SARA GOMEZ MONSALVE"/>
    <s v="3217259"/>
    <s v="3174378336"/>
    <s v="CR 43 CL 10 -15"/>
    <x v="2"/>
    <s v="051423000000150000"/>
    <s v="Medellín"/>
    <x v="4"/>
    <s v="MET Rev-Inst-Concentra E_CR014"/>
    <x v="1"/>
    <n v="7"/>
    <s v="2025-12-03 14:34:17"/>
    <s v="5 días 14:34"/>
    <s v="2 días 14:34"/>
    <x v="1"/>
    <s v="SIN DATO"/>
    <s v="SIN DATO"/>
    <s v="SIN DATO"/>
    <s v="ABIERTO"/>
    <n v="-75.569931690000004"/>
    <n v="6.2107174499999998"/>
    <s v="SUR-ENE"/>
    <s v="Metropolitana Sur"/>
  </r>
  <r>
    <s v="23583169"/>
    <s v="ENENOR"/>
    <s v="NUEVO"/>
    <s v="ENENOR"/>
    <s v="06/11/2025 07:24:54"/>
    <s v="2025-11-24 10:06:35"/>
    <n v="42748272"/>
    <s v="LUZ EDILMA CASTAÑO RESTREPO"/>
    <s v="3710844"/>
    <s v="3235053071"/>
    <s v="CR 56 A CL 31 -8 (INTERIOR 101 )"/>
    <x v="1"/>
    <s v="073526101000080101"/>
    <s v="Itaguí"/>
    <x v="4"/>
    <s v="Revisor Instal. Regadas Metrosur"/>
    <x v="1"/>
    <n v="7"/>
    <s v="2025-12-03 10:06:35"/>
    <s v="5 días 10:06"/>
    <s v="2 días 10:06"/>
    <x v="1"/>
    <s v="SIN DATO"/>
    <s v="SIN DATO"/>
    <s v="SIN DATO"/>
    <s v="ABIERTO"/>
    <n v="-75.62669434"/>
    <n v="6.1643108"/>
    <s v="SUR-ENE"/>
    <s v="Metropolitana Sur"/>
  </r>
  <r>
    <s v="23583170"/>
    <s v="ENERES"/>
    <s v="NUEVO"/>
    <s v="ENEDOM"/>
    <s v="06/11/2025 07:24:56"/>
    <s v="2025-11-28 13:52:47"/>
    <n v="43686177"/>
    <s v="BLANCA ORFILIA CASTANO HENAO"/>
    <s v="SIN DATOS"/>
    <s v="3137677943"/>
    <s v="CL 113 SUR CR 54 -10 (INTERIOR 401 )"/>
    <x v="3"/>
    <s v="001513004000100401"/>
    <s v="Caldas"/>
    <x v="0"/>
    <s v="MET Rev-Inst-Concentra E_CR014"/>
    <x v="1"/>
    <n v="5"/>
    <s v="2025-12-05 13:52:47"/>
    <s v="1 días 13:52"/>
    <s v="4 días 13:52"/>
    <x v="0"/>
    <s v="SIN DATO"/>
    <s v="SIN DATO"/>
    <s v="SIN DATO"/>
    <s v="ABIERTO"/>
    <n v="-75.640576999999993"/>
    <n v="6.1065620000000003"/>
    <s v="SUR-ENE"/>
    <s v="Metropolitana Sur"/>
  </r>
  <r>
    <s v="23583184"/>
    <s v="ENERES"/>
    <s v="NUEVO"/>
    <s v="ENEDOM"/>
    <s v="06/11/2025 07:44:35"/>
    <s v="2025-11-28 13:43:49"/>
    <n v="43686177"/>
    <s v="BLANCA ORFILIA CASTANO HENAO"/>
    <s v="SIN DATOS"/>
    <s v="3137677943"/>
    <s v="CL 113 SUR CR 54 -10 (INTERIOR 301 )"/>
    <x v="3"/>
    <s v="001513004000100301"/>
    <s v="Caldas"/>
    <x v="0"/>
    <s v="MET Rev-Inst-Concentra E_CR014"/>
    <x v="1"/>
    <n v="5"/>
    <s v="2025-12-05 13:43:49"/>
    <s v="1 días 13:43"/>
    <s v="4 días 13:43"/>
    <x v="0"/>
    <s v="SIN DATO"/>
    <s v="SIN DATO"/>
    <s v="SIN DATO"/>
    <s v="ABIERTO"/>
    <n v="-75.640576999999993"/>
    <n v="6.1065620000000003"/>
    <s v="SUR-ENE"/>
    <s v="Metropolitana Sur"/>
  </r>
  <r>
    <s v="23583188"/>
    <s v="ENERES"/>
    <s v="NUEVO"/>
    <s v="ENEDOM"/>
    <s v="06/11/2025 07:47:42"/>
    <s v="2025-11-28 13:41:07"/>
    <n v="43758836"/>
    <s v="PAOLA ANDREA JARAMILLO AGUDELO"/>
    <s v="SIN DATOS"/>
    <s v="3137677943"/>
    <s v="CL 107 SUR CR 55 -13 (INTERIOR 105 )"/>
    <x v="3"/>
    <s v="000517005000130105"/>
    <s v="Caldas"/>
    <x v="0"/>
    <s v="MET Rev-Inst-Concentra E_CR014"/>
    <x v="1"/>
    <n v="5"/>
    <s v="2025-12-05 13:41:07"/>
    <s v="1 días 13:41"/>
    <s v="4 días 13:41"/>
    <x v="0"/>
    <s v="SIN DATO"/>
    <s v="SIN DATO"/>
    <s v="SIN DATO"/>
    <s v="ABIERTO"/>
    <n v="-75.641244060000005"/>
    <n v="6.1107932099999998"/>
    <s v="SUR-ENE"/>
    <s v="Metropolitana Sur"/>
  </r>
  <r>
    <s v="23583283"/>
    <s v="ENERES"/>
    <s v="NUEVO"/>
    <s v="ENEDOM"/>
    <s v="13/11/2025 13:41:46"/>
    <s v="2025-11-20 08:22:21"/>
    <n v="21659760"/>
    <s v="MARIA MELBA RAMIREZ GUARIN"/>
    <s v="2220228"/>
    <s v="3013353512"/>
    <s v="CL 53 CR 110 -539 (INTERIOR 279 )"/>
    <x v="2"/>
    <s v="085113000005390279"/>
    <s v="Medellín"/>
    <x v="7"/>
    <s v="Habilitación Viviendas Metrosur"/>
    <x v="1"/>
    <n v="5"/>
    <s v="2025-11-27 08:22:21"/>
    <s v="7 días 08:22"/>
    <s v="VENCIDO"/>
    <x v="2"/>
    <s v="SIN DATO"/>
    <s v="SIN DATO"/>
    <s v="SIN DATO"/>
    <s v="CUMPLIDO"/>
    <n v="-75.626542999999998"/>
    <n v="6.2692240000000004"/>
    <s v="SUR-ENE"/>
    <s v="Metropolitana Sur"/>
  </r>
  <r>
    <s v="23583917"/>
    <s v="ENEMRT"/>
    <s v="NUEVO"/>
    <s v="ENEMVI"/>
    <s v="06/11/2025 16:04:30"/>
    <s v="2025-11-06 16:04:30"/>
    <n v="1053867076"/>
    <s v="MATEO PACHON HERNANDEZ"/>
    <s v="SIN DATOS"/>
    <s v="3217361666"/>
    <s v="CR 42 CL 46 -110"/>
    <x v="1"/>
    <s v="074422006001100000"/>
    <s v="Itaguí"/>
    <x v="11"/>
    <s v="Mov Red Trans Dairo Gil"/>
    <x v="1"/>
    <n v="9"/>
    <s v="2025-11-20 16:04:30"/>
    <s v="16 días 16:04"/>
    <s v="VENCIDO"/>
    <x v="2"/>
    <s v="SIN DATO"/>
    <s v="SIN DATO"/>
    <s v="SIN DATO"/>
    <s v="CUMPLIDO"/>
    <n v="-75.608930740000005"/>
    <n v="6.1662684499999996"/>
    <s v="SUR-ENE"/>
    <s v="Metropolitana Sur"/>
  </r>
  <r>
    <s v="23584434"/>
    <s v="ENENOR"/>
    <s v="NUEVO"/>
    <s v="ENENOR"/>
    <s v="07/11/2025 08:38:29"/>
    <s v="2025-11-25 10:27:54"/>
    <n v="15327603"/>
    <s v="JUAN ROMAN RESTREPO ARANGO"/>
    <s v="2691659"/>
    <s v="3005152429"/>
    <s v="CR 65 A CL 26 -41"/>
    <x v="2"/>
    <s v="052625106000410000"/>
    <s v="Medellín"/>
    <x v="4"/>
    <s v="Revisor Instal. Regadas Metrosur"/>
    <x v="1"/>
    <n v="7"/>
    <s v="2025-12-04 10:27:54"/>
    <s v="4 días 10:27"/>
    <s v="3 días 10:27"/>
    <x v="0"/>
    <s v="SIN DATO"/>
    <s v="SIN DATO"/>
    <s v="SIN DATO"/>
    <s v="ABIERTO"/>
    <n v="-75.583842000000004"/>
    <n v="6.2280009999999999"/>
    <s v="SUR-ENE"/>
    <s v="Metropolitana Sur"/>
  </r>
  <r>
    <s v="23584537"/>
    <s v="ENERES"/>
    <s v="NUEVO"/>
    <s v="ENERES"/>
    <s v="07/11/2025 09:48:19"/>
    <s v="2025-11-27 09:48:29"/>
    <n v="3348734"/>
    <s v="JAIME ALBERTO YEPES JARAMILLO"/>
    <s v="SIN DATOS"/>
    <s v="3043286515"/>
    <s v="CR 74 CL 20 A -12 (INTERIOR 201 )"/>
    <x v="2"/>
    <s v="052724000100120201"/>
    <s v="Medellín"/>
    <x v="2"/>
    <s v="Revisor Instal. Regadas Metrosur"/>
    <x v="1"/>
    <n v="7"/>
    <s v="2025-12-09 09:48:29"/>
    <s v="2 días 09:48"/>
    <s v="5 días 09:48"/>
    <x v="0"/>
    <s v="DESCARTADO"/>
    <s v="JUAN GUILLERMO RIVERA MAZO"/>
    <s v="405 presentar licencia de construcción para válidar la cantidad de instalaciones proyectadas y presentar a interventoría _x000a_Se encuentra gabinete de 20 puestos "/>
    <s v="ABIERTO"/>
    <n v="-75.595450119999995"/>
    <n v="6.2244734499999996"/>
    <s v="SUR-ENE"/>
    <s v="Metropolitana Sur"/>
  </r>
  <r>
    <s v="23584639"/>
    <s v="ENERES"/>
    <s v="NUEVO"/>
    <s v="ENEDOM"/>
    <s v="14/11/2025 13:25:22"/>
    <s v="2025-11-24 14:27:30"/>
    <n v="1152210535"/>
    <s v="YURANI ANDREA MUÑOZ ALVAREZ"/>
    <s v="SIN DATOS"/>
    <s v="3234430213"/>
    <s v="CL 58 C CR 90 -1 (INTERIOR 132 )"/>
    <x v="2"/>
    <s v="055918300000010132"/>
    <s v="Medellín"/>
    <x v="7"/>
    <s v="Habilitación Viviendas Metrosur"/>
    <x v="1"/>
    <n v="5"/>
    <s v="2025-12-01 14:27:30"/>
    <s v="5 días 14:27"/>
    <s v="0 días 14:27"/>
    <x v="3"/>
    <s v="SIN DATO"/>
    <s v="SIN DATO"/>
    <s v="SIN DATO"/>
    <s v="ABIERTO"/>
    <n v="-75.603185999999994"/>
    <n v="6.273917"/>
    <s v="SUR-ENE"/>
    <s v="Metropolitana Sur"/>
  </r>
  <r>
    <s v="23584689"/>
    <s v="ENERES"/>
    <s v="NUEVO"/>
    <s v="ENEDOM"/>
    <s v="07/11/2025 11:11:02"/>
    <s v="2025-11-27 15:51:18"/>
    <n v="8303770"/>
    <s v="ELIAS CARDONA GARCIA"/>
    <s v="2382956"/>
    <s v="3195945493"/>
    <s v="CR 97 CL 18 -50 (INTERIOR 150 )"/>
    <x v="2"/>
    <s v="051927008000500150"/>
    <s v="Medellín"/>
    <x v="0"/>
    <s v="Habilitación Viviendas Metrosur"/>
    <x v="1"/>
    <n v="5"/>
    <s v="2025-12-04 15:51:18"/>
    <s v="2 días 15:51"/>
    <s v="3 días 15:51"/>
    <x v="0"/>
    <s v="SIN DATO"/>
    <s v="SIN DATO"/>
    <s v="SIN DATO"/>
    <s v="ABIERTO"/>
    <n v="-75.620059999999995"/>
    <n v="6.2235250000000004"/>
    <s v="SUR-ENE"/>
    <s v="Metropolitana Sur"/>
  </r>
  <r>
    <s v="23584810"/>
    <s v="ENERES"/>
    <s v="NUEVO"/>
    <s v="ENEDOM"/>
    <s v="07/11/2025 11:58:25"/>
    <s v="2025-11-07 11:58:25"/>
    <n v="43022546"/>
    <s v="ADRIANA DEL SOCORRO GONZALEZ MUNERA"/>
    <s v="SIN DATOS"/>
    <s v="3157880298"/>
    <s v="RURAL_161112302000000002_PROV VDA LA CORRALITA"/>
    <x v="3"/>
    <s v="161112302000000002"/>
    <s v="Caldas"/>
    <x v="0"/>
    <s v="MET Rev-Inst-Concentra E_CR014"/>
    <x v="0"/>
    <n v="8"/>
    <s v="2025-11-20 11:58:25"/>
    <s v="15 días 11:58"/>
    <s v="VENCIDO"/>
    <x v="2"/>
    <s v="SIN DATO"/>
    <s v="SIN DATO"/>
    <s v="SIN DATO"/>
    <s v="ABIERTO"/>
    <n v="-75.622352800000002"/>
    <n v="6.0841204800000002"/>
    <s v="SUR-ENE"/>
    <s v="Metropolitana Sur"/>
  </r>
  <r>
    <s v="23584834"/>
    <s v="ENERES"/>
    <s v="NUEVO"/>
    <s v="ENEDOM"/>
    <s v="07/11/2025 12:28:52"/>
    <s v="2025-11-26 19:43:50"/>
    <n v="1037668843"/>
    <s v="JHON SANTOS BLANDON"/>
    <s v="SIN DATOS"/>
    <s v="3127574144"/>
    <s v="CR 103 C CL 19 EE -15 (INTERIOR 115 )"/>
    <x v="2"/>
    <s v="081023309550150115"/>
    <s v="Medellín"/>
    <x v="0"/>
    <s v="Habilitación Viviendas Metrosur"/>
    <x v="1"/>
    <n v="5"/>
    <s v="2025-12-03 19:43:50"/>
    <s v="3 días 19:43"/>
    <s v="2 días 19:43"/>
    <x v="1"/>
    <s v="SIN DATO"/>
    <s v="SIN DATO"/>
    <s v="SIN DATO"/>
    <s v="ABIERTO"/>
    <n v="-75.625735000000006"/>
    <n v="6.2253930000000004"/>
    <s v="SUR-ENE"/>
    <s v="Metropolitana Sur"/>
  </r>
  <r>
    <s v="23584841"/>
    <s v="ENEMOV"/>
    <s v="NUEVO"/>
    <s v="ENEMOV"/>
    <s v="07/11/2025 12:35:49"/>
    <s v="2025-12-01 09:19:48"/>
    <n v="71296208"/>
    <s v="LUIS FELIPE RUIZ PIEDRAHITA"/>
    <s v="SIN DATOS"/>
    <s v="3177996467"/>
    <s v="CR 46 CL 76 SUR -69 (PQ 5379 )"/>
    <x v="4"/>
    <s v="017426006000695379"/>
    <s v="Sabaneta"/>
    <x v="2"/>
    <s v="Movilidad Eléctrica Metrosur"/>
    <x v="1"/>
    <n v="7"/>
    <s v="2025-12-11 09:19:48"/>
    <s v="-1 días 09:19"/>
    <s v="7 días 09:19"/>
    <x v="0"/>
    <s v="SIN DATO"/>
    <s v="SIN DATO"/>
    <s v="SIN DATO"/>
    <s v="ABIERTO"/>
    <n v="-75.620727000000002"/>
    <n v="6.1504149999999997"/>
    <s v="SUR-ENE"/>
    <s v="Metropolitana Sur"/>
  </r>
  <r>
    <s v="23584851"/>
    <s v="ENERES"/>
    <s v="NUEVO"/>
    <s v="ENERES"/>
    <s v="07/11/2025 12:50:43"/>
    <s v="2025-11-28 11:41:56"/>
    <n v="43836858"/>
    <s v="LINA MARCELA QUICENO"/>
    <s v="SIN DATOS"/>
    <s v="3113296013"/>
    <s v="CL 28 CR 67 -7 (INTERIOR 301 )"/>
    <x v="1"/>
    <s v="072618007000070301"/>
    <s v="Itaguí"/>
    <x v="2"/>
    <s v="Revisor Instal. Regadas Metrosur"/>
    <x v="1"/>
    <n v="7"/>
    <s v="2025-12-10 11:41:56"/>
    <s v="1 días 11:41"/>
    <s v="6 días 11:41"/>
    <x v="0"/>
    <s v="SIN DATO"/>
    <s v="SIN DATO"/>
    <s v="SIN DATO"/>
    <s v="ABIERTO"/>
    <n v="-75.639408489999994"/>
    <n v="6.1709468000000003"/>
    <s v="SUR-ENE"/>
    <s v="Metropolitana Sur"/>
  </r>
  <r>
    <s v="23584931"/>
    <s v="ENENOR"/>
    <s v="CAMBI"/>
    <s v="ENENOR"/>
    <s v="07/11/2025 14:15:39"/>
    <s v="2025-11-26 10:08:22"/>
    <n v="1039450593"/>
    <s v="ANDREA METAUTE ARCILA"/>
    <s v="SIN DATOS"/>
    <s v="3206197381"/>
    <s v="CL 39 D SUR CR 24 A -11"/>
    <x v="5"/>
    <s v="023219404100110000"/>
    <s v="Envigado"/>
    <x v="1"/>
    <s v="METROSUR Vin. Leg. Ref. Concentrada"/>
    <x v="1"/>
    <n v="7"/>
    <s v="2025-12-05 10:08:22"/>
    <s v="3 días 10:08"/>
    <s v="4 días 10:08"/>
    <x v="0"/>
    <s v="SIN DATO"/>
    <s v="SIN DATO"/>
    <s v="SIN DATO"/>
    <s v="ABIERTO"/>
    <n v="-75.575063"/>
    <n v="6.1427149999999999"/>
    <s v="SUR-ENE"/>
    <s v="Metropolitana Sur"/>
  </r>
  <r>
    <s v="23585389"/>
    <s v="ENERES"/>
    <s v="NUEVO"/>
    <s v="ENERES"/>
    <s v="08/11/2025 10:19:59"/>
    <s v="2025-11-08 10:19:59"/>
    <n v="3518362"/>
    <s v="GUSTAVO MEJIA HERRERA"/>
    <s v="SIN DATOS"/>
    <s v="3207336498"/>
    <s v="CL 87 SUR CR 62 -105 (INTERIOR 207 )"/>
    <x v="0"/>
    <s v="038617002001050207"/>
    <s v="La Estrella"/>
    <x v="2"/>
    <s v="MET Rev-Inst-Concentra E_CR014"/>
    <x v="1"/>
    <n v="7"/>
    <s v="2025-11-19 10:19:59"/>
    <s v="15 días 10:19"/>
    <s v="VENCIDO"/>
    <x v="2"/>
    <s v="SIN DATO"/>
    <s v="SIN DATO"/>
    <s v="SIN DATO"/>
    <s v="ABIERTO"/>
    <n v="-75.647666060000006"/>
    <n v="6.1529794799999999"/>
    <s v="SUR-ENE"/>
    <s v="Metropolitana Sur"/>
  </r>
  <r>
    <s v="23585588"/>
    <s v="ENERES"/>
    <s v="NUEVO"/>
    <s v="ENEDOM"/>
    <s v="28/11/2025 08:42:57"/>
    <s v="2025-11-28 08:42:57"/>
    <n v="1216725837"/>
    <s v="JUAN DAVID URRUTIA MARTINEZ"/>
    <s v="SIN DATOS"/>
    <s v="3245768037"/>
    <s v="CL 55 EE CR 6 -12 (INTERIOR 1 )"/>
    <x v="2"/>
    <s v="055015556000120001"/>
    <s v="Medellín"/>
    <x v="7"/>
    <s v="Habilitación Viviendas Metrosur"/>
    <x v="1"/>
    <n v="5"/>
    <s v="2025-12-05 08:42:57"/>
    <s v="1 días 08:42"/>
    <s v="4 días 08:42"/>
    <x v="0"/>
    <s v="SIN DATO"/>
    <s v="SIN DATO"/>
    <s v="SIN DATO"/>
    <s v="ABIERTO"/>
    <n v="-75.531360000000006"/>
    <n v="6.2361519999999997"/>
    <s v="SUR-ENE"/>
    <s v="Metropolitana Sur"/>
  </r>
  <r>
    <s v="23585591"/>
    <s v="ENERES"/>
    <s v="NUEVO"/>
    <s v="ENEDOM"/>
    <s v="28/11/2025 08:43:35"/>
    <s v="2025-11-28 08:43:35"/>
    <n v="1216725837"/>
    <s v="JUAN DAVID URRUTIA MARTINEZ"/>
    <s v="SIN DATOS"/>
    <s v="3245768037"/>
    <s v="CL 55 EE CR 6 -12 (INTERIOR 202 )"/>
    <x v="2"/>
    <s v="055015556000120202"/>
    <s v="Medellín"/>
    <x v="7"/>
    <s v="Habilitación Viviendas Metrosur"/>
    <x v="1"/>
    <n v="5"/>
    <s v="2025-12-05 08:43:35"/>
    <s v="1 días 08:43"/>
    <s v="4 días 08:43"/>
    <x v="0"/>
    <s v="SIN DATO"/>
    <s v="SIN DATO"/>
    <s v="SIN DATO"/>
    <s v="ABIERTO"/>
    <n v="-75.531360000000006"/>
    <n v="6.2361519999999997"/>
    <s v="SUR-ENE"/>
    <s v="Metropolitana Sur"/>
  </r>
  <r>
    <s v="23586100"/>
    <s v="ENEMRT"/>
    <s v="NUEVO"/>
    <s v="ENEMVI"/>
    <s v="10/11/2025 13:54:18"/>
    <s v="2025-11-25 08:10:38"/>
    <n v="1143158261"/>
    <s v="CRISTIAN CAMILO GONZALEZ NARVAEZ"/>
    <s v="SIN DATOS"/>
    <s v="3008701121"/>
    <s v="CL 50 A CR 84 -122"/>
    <x v="2"/>
    <s v="055810104001220000"/>
    <s v="Medellín"/>
    <x v="11"/>
    <s v="METR Mov Red Trans Anderson Castaño"/>
    <x v="1"/>
    <n v="9"/>
    <s v="2025-12-09 08:10:38"/>
    <s v="4 días 08:10"/>
    <s v="5 días 08:10"/>
    <x v="0"/>
    <s v="SIN DATO"/>
    <s v="SIN DATO"/>
    <s v="SIN DATO"/>
    <s v="ABIERTO"/>
    <n v="-75.602720070000004"/>
    <n v="6.2666976200000004"/>
    <s v="SUR-ENE"/>
    <s v="Metropolitana Sur"/>
  </r>
  <r>
    <s v="23586429"/>
    <s v="ENERES"/>
    <s v="NUEVO"/>
    <s v="ENEDOM"/>
    <s v="11/11/2025 03:15:30"/>
    <s v="2025-11-11 03:15:30"/>
    <n v="1037665983"/>
    <s v="VALENTINA MOLINA RESTREPO"/>
    <s v="SIN DATOS"/>
    <s v="3012016846"/>
    <s v="RURAL_159033400000000003_PROV.159033400000000003"/>
    <x v="0"/>
    <s v="159033400000000003"/>
    <s v="La Estrella"/>
    <x v="0"/>
    <s v="MET Rev-Inst-Concentra E_CR014"/>
    <x v="0"/>
    <n v="8"/>
    <s v="2025-11-24 03:15:30"/>
    <s v="13 días 03:15"/>
    <s v="VENCIDO"/>
    <x v="2"/>
    <s v="SIN DATO"/>
    <s v="SIN DATO"/>
    <s v="SIN DATO"/>
    <s v="ABIERTO"/>
    <n v="-75.649729030000003"/>
    <n v="6.13705224"/>
    <s v="SUR-ENE"/>
    <s v="Metropolitana Sur"/>
  </r>
  <r>
    <s v="23586512"/>
    <s v="ENERES"/>
    <s v="NUEVO"/>
    <s v="ENEDOM"/>
    <s v="11/11/2025 05:00:26"/>
    <s v="2025-11-11 05:00:26"/>
    <n v="8070239"/>
    <s v="JOSE FERNANDO VELEZ VELEZ"/>
    <s v="SIN DATOS"/>
    <s v="3206459709"/>
    <s v="RURAL_159144497000000204_PROV.TABLAZA EL LLANO"/>
    <x v="0"/>
    <s v="159144497000000204"/>
    <s v="La Estrella"/>
    <x v="0"/>
    <s v="MET Rev-Inst-Concentra E_CR014"/>
    <x v="0"/>
    <n v="8"/>
    <s v="2025-11-24 05:00:26"/>
    <s v="13 días 05:00"/>
    <s v="VENCIDO"/>
    <x v="2"/>
    <s v="SIN DATO"/>
    <s v="SIN DATO"/>
    <s v="SIN DATO"/>
    <s v="ABIERTO"/>
    <n v="-75.640313000000006"/>
    <n v="6.1219950000000001"/>
    <s v="SUR-ENE"/>
    <s v="Metropolitana Sur"/>
  </r>
  <r>
    <s v="23586554"/>
    <s v="ENERES"/>
    <s v="NUEVO"/>
    <s v="ENEDOM"/>
    <s v="11/11/2025 05:22:40"/>
    <s v="2025-11-27 08:25:01"/>
    <n v="43017238"/>
    <s v="MARIA DEL CARMEN LONDOÑO DE ALVAREZ"/>
    <s v="4226889"/>
    <s v="3022048546"/>
    <s v="RURAL_136029902204000001_OLAYA HERRERA"/>
    <x v="2"/>
    <s v="136029902204000001"/>
    <s v="Medellín"/>
    <x v="0"/>
    <s v="Habilitación Viviendas Metrosur"/>
    <x v="0"/>
    <n v="8"/>
    <s v="2025-12-10 08:25:01"/>
    <s v="2 días 08:25"/>
    <s v="6 días 08:25"/>
    <x v="0"/>
    <s v="SIN DATO"/>
    <s v="SIN DATO"/>
    <s v="SIN DATO"/>
    <s v="ABIERTO"/>
    <n v="-75.611720969999993"/>
    <n v="6.27213786"/>
    <s v="SUR-ENE"/>
    <s v="Metropolitana Sur"/>
  </r>
  <r>
    <s v="23586633"/>
    <s v="ENECNX"/>
    <s v="NUEVO"/>
    <s v="ENECNX"/>
    <s v="24/11/2025 10:54:03"/>
    <s v="2025-11-24 10:54:03"/>
    <n v="3408360"/>
    <s v="ALEXANDER DUQUE PIEDRAHITA"/>
    <s v="SIN DATOS"/>
    <s v="3012240246"/>
    <s v="CR 34 CL 7 -143"/>
    <x v="2"/>
    <s v="050324007001430000"/>
    <s v="Medellín"/>
    <x v="3"/>
    <s v="Revisor Puntos de Conexión Metrosur"/>
    <x v="1"/>
    <n v="4"/>
    <s v="2025-11-28 10:54:03"/>
    <s v="5 días 10:54"/>
    <s v="VENCIDO"/>
    <x v="2"/>
    <s v="SIN DATO"/>
    <s v="SIN DATO"/>
    <s v="SIN DATO"/>
    <s v="CUMPLIDO"/>
    <n v="-75.565169940000004"/>
    <n v="6.2072927099999999"/>
    <s v="SUR-ENE"/>
    <s v="Metropolitana Sur"/>
  </r>
  <r>
    <s v="23586829"/>
    <s v="ENERES"/>
    <s v="NUEVO"/>
    <s v="ENEDOM"/>
    <s v="11/11/2025 08:22:23"/>
    <s v="2025-11-26 13:27:51"/>
    <n v="1017164470"/>
    <s v="LIBETH CRISTINA CAUSADO OSORNO"/>
    <s v="4911042"/>
    <s v="3146002209"/>
    <s v="CR 99 EE CL 49 AA -81 (INTERIOR 201 )"/>
    <x v="2"/>
    <s v="054929559110810201"/>
    <s v="Medellín"/>
    <x v="0"/>
    <s v="Habilitación Viviendas Metrosur"/>
    <x v="1"/>
    <n v="5"/>
    <s v="2025-12-03 13:27:51"/>
    <s v="3 días 13:27"/>
    <s v="2 días 13:27"/>
    <x v="1"/>
    <s v="SIN DATO"/>
    <s v="SIN DATO"/>
    <s v="SIN DATO"/>
    <s v="ABIERTO"/>
    <n v="-75.612960240000007"/>
    <n v="6.2676801299999996"/>
    <s v="SUR-ENE"/>
    <s v="Metropolitana Sur"/>
  </r>
  <r>
    <s v="23586950"/>
    <s v="ENERES"/>
    <s v="NUEVO"/>
    <s v="ENERES"/>
    <s v="11/11/2025 09:08:36"/>
    <s v="2025-11-28 16:54:48"/>
    <n v="1017210412"/>
    <s v="JUAN CAMILO MARTINEZ ALVAREZ"/>
    <s v="SIN DATOS"/>
    <s v="3142958060"/>
    <s v="CL 46 C CR 1 B -41"/>
    <x v="2"/>
    <s v="054016301200410000"/>
    <s v="Medellín"/>
    <x v="2"/>
    <s v="Revisor Instal. Regadas Metrosur"/>
    <x v="1"/>
    <n v="7"/>
    <s v="2025-12-10 16:54:48"/>
    <s v="1 días 16:54"/>
    <s v="6 días 16:54"/>
    <x v="0"/>
    <s v="SIN DATO"/>
    <s v="SIN DATO"/>
    <s v="SIN DATO"/>
    <s v="ABIERTO"/>
    <n v="-75.529291000000001"/>
    <n v="6.2278250000000002"/>
    <s v="SUR-ENE"/>
    <s v="Metropolitana Sur"/>
  </r>
  <r>
    <s v="23586952"/>
    <s v="ENERES"/>
    <s v="NUEVO"/>
    <s v="ENERES"/>
    <s v="11/11/2025 09:10:23"/>
    <s v="2025-11-28 16:53:47"/>
    <n v="1017210412"/>
    <s v="JUAN CAMILO MARTINEZ ALVAREZ"/>
    <s v="SIN DATOS"/>
    <s v="3142958060"/>
    <s v="CL 46 C CR 1 B -41 (INTERIOR 226 )"/>
    <x v="2"/>
    <s v="054016301200410226"/>
    <s v="Medellín"/>
    <x v="2"/>
    <s v="Revisor Instal. Regadas Metrosur"/>
    <x v="1"/>
    <n v="7"/>
    <s v="2025-12-10 16:53:47"/>
    <s v="1 días 16:53"/>
    <s v="6 días 16:53"/>
    <x v="0"/>
    <s v="SIN DATO"/>
    <s v="SIN DATO"/>
    <s v="SIN DATO"/>
    <s v="ABIERTO"/>
    <n v="-75.529291000000001"/>
    <n v="6.2278250000000002"/>
    <s v="SUR-ENE"/>
    <s v="Metropolitana Sur"/>
  </r>
  <r>
    <s v="23587104"/>
    <s v="ENENOR"/>
    <s v="NUEVO"/>
    <s v="ENENOR"/>
    <s v="11/11/2025 10:26:32"/>
    <s v="2025-11-24 13:48:45"/>
    <n v="71267285"/>
    <s v="UBERNEY PEREZ SEPULVEDA"/>
    <s v="SIN DATOS"/>
    <s v="3007818199"/>
    <s v="CL 49 CR 12 -16"/>
    <x v="2"/>
    <s v="054119002000160000"/>
    <s v="Medellín"/>
    <x v="4"/>
    <s v="Revisor Instal. Regadas Metrosur"/>
    <x v="1"/>
    <n v="7"/>
    <s v="2025-12-03 13:48:45"/>
    <s v="5 días 13:48"/>
    <s v="2 días 13:48"/>
    <x v="1"/>
    <s v="SIN DATO"/>
    <s v="SIN DATO"/>
    <s v="SIN DATO"/>
    <s v="ABIERTO"/>
    <n v="-75.540679999999995"/>
    <n v="6.2324339999999996"/>
    <s v="SUR-ENE"/>
    <s v="Metropolitana Sur"/>
  </r>
  <r>
    <s v="23587430"/>
    <s v="ENERES"/>
    <s v="NUEVO"/>
    <s v="ENEDOM"/>
    <s v="11/11/2025 13:32:25"/>
    <s v="2025-11-11 13:32:25"/>
    <n v="1040744579"/>
    <s v="DIEGO ALEJANDRO PARRA CARDONA"/>
    <s v="SIN DATOS"/>
    <s v="3023697730"/>
    <s v="RURAL_159054830000000123_159054830000000123"/>
    <x v="0"/>
    <s v="159054830000000123"/>
    <s v="La Estrella"/>
    <x v="0"/>
    <s v="MET Rev-Inst-Concentra E_CR014"/>
    <x v="0"/>
    <n v="8"/>
    <s v="2025-11-24 13:32:25"/>
    <s v="13 días 13:32"/>
    <s v="VENCIDO"/>
    <x v="2"/>
    <s v="SIN DATO"/>
    <s v="SIN DATO"/>
    <s v="SIN DATO"/>
    <s v="ABIERTO"/>
    <n v="-75.636657999999997"/>
    <n v="6.1380397200000001"/>
    <s v="SUR-ENE"/>
    <s v="Metropolitana Sur"/>
  </r>
  <r>
    <s v="23587500"/>
    <s v="ENERES"/>
    <s v="NUEVO"/>
    <s v="ENEDOM"/>
    <s v="11/11/2025 14:26:38"/>
    <s v="2025-11-11 14:26:38"/>
    <n v="1040742729"/>
    <s v="YECENIA MARGARITA CASTAÑEDA DUARTE"/>
    <s v="3784648"/>
    <s v="3146148518"/>
    <s v="RURAL_159135899000000001"/>
    <x v="0"/>
    <s v="159135899000000001"/>
    <s v="La Estrella"/>
    <x v="0"/>
    <s v="MET Rev-Inst-Concentra E_CR014"/>
    <x v="0"/>
    <n v="8"/>
    <s v="2025-11-24 14:26:38"/>
    <s v="13 días 14:26"/>
    <s v="VENCIDO"/>
    <x v="2"/>
    <s v="SIN DATO"/>
    <s v="SIN DATO"/>
    <s v="SIN DATO"/>
    <s v="ABIERTO"/>
    <n v="-75.645811730000005"/>
    <n v="6.1193518300000003"/>
    <s v="SUR-ENE"/>
    <s v="Metropolitana Sur"/>
  </r>
  <r>
    <s v="23587709"/>
    <s v="ENECNX"/>
    <s v="NUEVO"/>
    <s v="ENECNX"/>
    <s v="29/11/2025 10:08:50"/>
    <s v="2025-11-29 10:08:50"/>
    <n v="70070329"/>
    <s v="HERNEY HERNANDEZ MARIN"/>
    <s v="SIN DATOS"/>
    <s v="3113686079"/>
    <s v="CL 80 SUR CR 47 E -19"/>
    <x v="4"/>
    <s v="018410007500190000"/>
    <s v="Sabaneta"/>
    <x v="3"/>
    <s v="Revisor Puntos de Conexión Metrosur"/>
    <x v="1"/>
    <n v="4"/>
    <s v="2025-12-04 10:08:50"/>
    <s v="1 días 10:08"/>
    <s v="3 días 10:08"/>
    <x v="0"/>
    <s v="SIN DATO"/>
    <s v="SIN DATO"/>
    <s v="SIN DATO"/>
    <s v="CUMPLIDO"/>
    <n v="-75.627846000000005"/>
    <n v="6.1483949999999998"/>
    <s v="SUR-ENE"/>
    <s v="Metropolitana Sur"/>
  </r>
  <r>
    <s v="23587774"/>
    <s v="ENECNX"/>
    <s v="NUEVO"/>
    <s v="ENECNX"/>
    <s v="26/11/2025 17:46:57"/>
    <s v="2025-11-26 17:46:57"/>
    <n v="1007099897"/>
    <s v="JUAN ERNESTO HERNANDEZ SANCHEZ"/>
    <s v="3005076"/>
    <s v="3002065738"/>
    <s v="CR 39 CL 8 -71 (INTERIOR 201 )"/>
    <x v="2"/>
    <s v="050329008000710201"/>
    <s v="Medellín"/>
    <x v="3"/>
    <s v="Revisor Puntos de Conexión Metrosur"/>
    <x v="1"/>
    <n v="4"/>
    <s v="2025-12-02 17:46:57"/>
    <s v="3 días 17:46"/>
    <s v="1 días 17:46"/>
    <x v="1"/>
    <s v="SIN DATO"/>
    <s v="SIN DATO"/>
    <s v="SIN DATO"/>
    <s v="CUMPLIDO"/>
    <n v="-75.568188989999996"/>
    <n v="6.2085586399999997"/>
    <s v="SUR-ENE"/>
    <s v="Metropolitana Sur"/>
  </r>
  <r>
    <s v="23588038"/>
    <s v="ENERES"/>
    <s v="NUEVO"/>
    <s v="ENERES"/>
    <s v="12/11/2025 08:02:36"/>
    <s v="2025-11-24 09:45:01"/>
    <n v="7545401"/>
    <s v="EDGAR JAVIER ESPAÑA GOMEZ"/>
    <s v="2170970"/>
    <s v="3113876611"/>
    <s v="CR 36 CL 48 -36 (INTERIOR 201 )"/>
    <x v="2"/>
    <s v="054326008000360201"/>
    <s v="Medellín"/>
    <x v="2"/>
    <s v="Revisor Instal. Regadas Metrosur"/>
    <x v="1"/>
    <n v="7"/>
    <s v="2025-12-03 09:45:01"/>
    <s v="5 días 09:45"/>
    <s v="2 días 09:45"/>
    <x v="1"/>
    <s v="SIN DATO"/>
    <s v="SIN DATO"/>
    <s v="SIN DATO"/>
    <s v="ABIERTO"/>
    <n v="-75.557467299999999"/>
    <n v="6.2419914500000004"/>
    <s v="SUR-ENE"/>
    <s v="Metropolitana Sur"/>
  </r>
  <r>
    <s v="23588138"/>
    <s v="ENERES"/>
    <s v="NUEVO"/>
    <s v="ENEDOM"/>
    <s v="20/11/2025 07:51:36"/>
    <s v="2025-11-26 11:43:09"/>
    <n v="33990278"/>
    <s v="MARIA NUBIA MONTOYA CADAVID"/>
    <s v="2866725"/>
    <s v="3127549060"/>
    <s v="RURAL_103043255024500002_PROV.RURAL_10304325502450"/>
    <x v="2"/>
    <s v="103043255024500002"/>
    <s v="Medellín"/>
    <x v="7"/>
    <s v="Habilitación Viviendas Metrosur"/>
    <x v="0"/>
    <n v="8"/>
    <s v="2025-12-09 11:43:09"/>
    <s v="3 días 11:43"/>
    <s v="5 días 11:43"/>
    <x v="0"/>
    <s v="SIN DATO"/>
    <s v="SIN DATO"/>
    <s v="SIN DATO"/>
    <s v="ABIERTO"/>
    <n v="-75.690994160000002"/>
    <n v="6.2146807700000002"/>
    <s v="SUR-ENE"/>
    <s v="Metropolitana Sur"/>
  </r>
  <r>
    <s v="23588761"/>
    <s v="ENERES"/>
    <s v="NUEVO"/>
    <s v="ENEDOM"/>
    <s v="12/11/2025 16:24:14"/>
    <s v="2025-11-12 16:24:14"/>
    <n v="1040757377"/>
    <s v="ANGIE PAOLA CUARTAS GALLEGO"/>
    <s v="SIN DATOS"/>
    <s v="3182304012"/>
    <s v="RURAL_159001664000000001_SAN JOSE"/>
    <x v="0"/>
    <s v="159001664000000001"/>
    <s v="La Estrella"/>
    <x v="0"/>
    <s v="MET Rev-Inst-Concentra E_CR014"/>
    <x v="0"/>
    <n v="8"/>
    <s v="2025-11-25 16:24:14"/>
    <s v="12 días 16:24"/>
    <s v="VENCIDO"/>
    <x v="2"/>
    <s v="SIN DATO"/>
    <s v="SIN DATO"/>
    <s v="SIN DATO"/>
    <s v="ABIERTO"/>
    <n v="-75.661205170000002"/>
    <n v="6.1687347199999998"/>
    <s v="SUR-ENE"/>
    <s v="Metropolitana Sur"/>
  </r>
  <r>
    <s v="23588809"/>
    <s v="ENERES"/>
    <s v="NUEVO"/>
    <s v="ENEDOM"/>
    <s v="12/11/2025 16:48:56"/>
    <s v="2025-11-12 16:48:56"/>
    <n v="1128420997"/>
    <s v="ALEXANDER SIERRA VARGAS"/>
    <s v="SIN DATOS"/>
    <s v="3014298465"/>
    <s v="CL 81 SUR CR 69 -101"/>
    <x v="0"/>
    <s v="038611009001010000"/>
    <s v="La Estrella"/>
    <x v="0"/>
    <s v="MET Rev-Inst-Concentra E_CR014"/>
    <x v="1"/>
    <n v="5"/>
    <s v="2025-11-20 16:48:56"/>
    <s v="12 días 16:48"/>
    <s v="VENCIDO"/>
    <x v="2"/>
    <s v="SIN DATO"/>
    <s v="SIN DATO"/>
    <s v="SIN DATO"/>
    <s v="ABIERTO"/>
    <n v="-75.649831634999899"/>
    <n v="6.1379125160000303"/>
    <s v="SUR-ENE"/>
    <s v="Metropolitana Sur"/>
  </r>
  <r>
    <s v="23589686"/>
    <s v="ENERES"/>
    <s v="NUEVO"/>
    <s v="ENEDOM"/>
    <s v="26/11/2025 10:53:20"/>
    <s v="2025-11-26 10:53:20"/>
    <n v="71318308"/>
    <s v="JOHN CARLOS TABORDA ALZATE"/>
    <s v="SIN DATOS"/>
    <s v="3017969654"/>
    <s v="CL 48 D CR 110 -356 (INTERIOR 121 )"/>
    <x v="2"/>
    <s v="084118400003560121"/>
    <s v="Medellín"/>
    <x v="7"/>
    <s v="Habilitación Viviendas Metrosur"/>
    <x v="1"/>
    <n v="5"/>
    <s v="2025-12-03 10:53:20"/>
    <s v="3 días 10:53"/>
    <s v="2 días 10:53"/>
    <x v="1"/>
    <s v="SIN DATO"/>
    <s v="SIN DATO"/>
    <s v="SIN DATO"/>
    <s v="ABIERTO"/>
    <n v="-75.625248999999997"/>
    <n v="6.2651510000000004"/>
    <s v="SUR-ENE"/>
    <s v="Metropolitana Sur"/>
  </r>
  <r>
    <s v="23589913"/>
    <s v="ENERES"/>
    <s v="NUEVO"/>
    <s v="ENEDOM"/>
    <s v="14/11/2025 04:19:11"/>
    <s v="2025-11-14 04:19:11"/>
    <n v="42788720"/>
    <s v="PATRICIA VALLEJO VELEZ"/>
    <s v="4985833"/>
    <s v="3011921726"/>
    <s v="RURAL_159056480000000001_PROV.159056480000000000_"/>
    <x v="0"/>
    <s v="159056480000000001"/>
    <s v="La Estrella"/>
    <x v="0"/>
    <s v="MET Rev-Inst-Concentra E_CR014"/>
    <x v="0"/>
    <n v="8"/>
    <s v="2025-11-27 04:19:11"/>
    <s v="10 días 04:19"/>
    <s v="VENCIDO"/>
    <x v="2"/>
    <s v="SIN DATO"/>
    <s v="SIN DATO"/>
    <s v="SIN DATO"/>
    <s v="ABIERTO"/>
    <n v="-75.637493000000006"/>
    <n v="6.136838"/>
    <s v="SUR-ENE"/>
    <s v="Metropolitana Sur"/>
  </r>
  <r>
    <s v="23590002"/>
    <s v="ENENOR"/>
    <s v="NUEVO"/>
    <s v="ENENOR"/>
    <s v="14/11/2025 07:24:47"/>
    <s v="2025-12-01 11:10:35"/>
    <n v="811042483"/>
    <s v="EMPRESA DE SERVICIS PUBLICOS DE SABANETA"/>
    <s v="SIN DATOS"/>
    <s v="3215202060"/>
    <s v="CL 75 B SUR CR 40 -20 (INTERIOR 6100 )"/>
    <x v="4"/>
    <s v="017415200000206100"/>
    <s v="Sabaneta"/>
    <x v="4"/>
    <s v="Revisor Instal. Regadas Metrosur"/>
    <x v="1"/>
    <n v="7"/>
    <s v="2025-12-11 11:10:35"/>
    <s v="-1 días 11:10"/>
    <s v="7 días 11:10"/>
    <x v="0"/>
    <s v="SIN DATO"/>
    <s v="SIN DATO"/>
    <s v="SIN DATO"/>
    <s v="ABIERTO"/>
    <n v="-75.616736689999996"/>
    <n v="6.1456651899999999"/>
    <s v="SUR-ENE"/>
    <s v="Metropolitana Sur"/>
  </r>
  <r>
    <s v="23590020"/>
    <s v="ENERES"/>
    <s v="NUEVO"/>
    <s v="ENEDOM"/>
    <s v="14/11/2025 07:54:07"/>
    <s v="2025-11-14 07:54:07"/>
    <n v="43078171"/>
    <s v="LUZ ELENA PEREAÑEZ"/>
    <s v="4179092"/>
    <s v="3113120737"/>
    <s v="RURAL_161118237480000100_VEREDA LA CORRALA CONTIGU"/>
    <x v="3"/>
    <s v="161118237480000100"/>
    <s v="Caldas"/>
    <x v="0"/>
    <s v="MET Rev-Inst-Concentra E_CR014"/>
    <x v="0"/>
    <n v="8"/>
    <s v="2025-11-27 07:54:07"/>
    <s v="10 días 07:54"/>
    <s v="VENCIDO"/>
    <x v="2"/>
    <s v="SIN DATO"/>
    <s v="SIN DATO"/>
    <s v="SIN DATO"/>
    <s v="ABIERTO"/>
    <n v="-75.620955949999995"/>
    <n v="6.0886768"/>
    <s v="SUR-ENE"/>
    <s v="Metropolitana Sur"/>
  </r>
  <r>
    <s v="23590024"/>
    <s v="ENERES"/>
    <s v="NUEVO"/>
    <s v="ENEDOM"/>
    <s v="14/11/2025 07:57:40"/>
    <s v="2025-11-14 07:57:40"/>
    <n v="43837476"/>
    <s v="LINA MARIA JARAMILLO ALVAREZ"/>
    <s v="2813293"/>
    <s v="3003949089"/>
    <s v="RURAL_159065000000006001"/>
    <x v="0"/>
    <s v="159065000000006001"/>
    <s v="La Estrella"/>
    <x v="0"/>
    <s v="MET Rev-Inst-Concentra E_CR014"/>
    <x v="0"/>
    <n v="8"/>
    <s v="2025-11-27 07:57:40"/>
    <s v="10 días 07:57"/>
    <s v="VENCIDO"/>
    <x v="2"/>
    <s v="SIN DATO"/>
    <s v="SIN DATO"/>
    <s v="SIN DATO"/>
    <s v="ABIERTO"/>
    <n v="-75.649894410000002"/>
    <n v="6.1336061700000002"/>
    <s v="SUR-ENE"/>
    <s v="Metropolitana Sur"/>
  </r>
  <r>
    <s v="23590049"/>
    <s v="ENERES"/>
    <s v="NUEVO"/>
    <s v="ENEDOM"/>
    <s v="26/11/2025 09:26:43"/>
    <s v="2025-11-26 09:26:43"/>
    <n v="1216727744"/>
    <s v="ISABEL CRISTINA CANO TORRES"/>
    <s v="SIN DATOS"/>
    <s v="3053208373"/>
    <s v="RURAL_147002404000000002_CRA 152 CA CL 59 -139_VER"/>
    <x v="2"/>
    <s v="147002404000000002"/>
    <s v="Medellín"/>
    <x v="7"/>
    <s v="Habilitación Viviendas Metrosur"/>
    <x v="0"/>
    <n v="8"/>
    <s v="2025-12-09 09:26:43"/>
    <s v="3 días 09:26"/>
    <s v="5 días 09:26"/>
    <x v="0"/>
    <s v="SIN DATO"/>
    <s v="SIN DATO"/>
    <s v="SIN DATO"/>
    <s v="ABIERTO"/>
    <n v="-75.651903129999994"/>
    <n v="6.2703638799999997"/>
    <s v="SUR-ENE"/>
    <s v="Metropolitana Sur"/>
  </r>
  <r>
    <s v="23590635"/>
    <s v="ENERES"/>
    <s v="NUEVO"/>
    <s v="ENERES"/>
    <s v="14/11/2025 13:50:02"/>
    <s v="2025-11-26 16:23:29"/>
    <n v="1017177972"/>
    <s v="JORGE ANDRES GUTIERREZ MOLINA"/>
    <s v="2212728"/>
    <s v="3017657385"/>
    <s v="CL 54 CR 17 B -38 (INTERIOR 303 )"/>
    <x v="2"/>
    <s v="055114007200380303"/>
    <s v="Medellín"/>
    <x v="2"/>
    <s v="Revisor Instal. Regadas Metrosur"/>
    <x v="1"/>
    <n v="7"/>
    <s v="2025-12-05 16:23:29"/>
    <s v="3 días 16:23"/>
    <s v="4 días 16:23"/>
    <x v="0"/>
    <s v="SIN DATO"/>
    <s v="SIN DATO"/>
    <s v="SIN DATO"/>
    <s v="ABIERTO"/>
    <n v="-75.542151750000002"/>
    <n v="6.23797523"/>
    <s v="SUR-ENE"/>
    <s v="Metropolitana Sur"/>
  </r>
  <r>
    <s v="23590750"/>
    <s v="ENEPRE"/>
    <s v="RETIR"/>
    <s v="ENEPRE"/>
    <s v="14/11/2025 14:33:18"/>
    <s v="2025-11-14 14:33:18"/>
    <n v="42781031"/>
    <s v="LUZ MERY TORRES MONTES"/>
    <s v="SIN DATOS"/>
    <s v="3004743703"/>
    <s v="CR 52 A CL 77 -12 (INTERIOR 300 )"/>
    <x v="1"/>
    <s v="077522107000120300-ENEPRE"/>
    <s v="Itaguí"/>
    <x v="8"/>
    <s v="Energía Prepago Metrosur"/>
    <x v="1"/>
    <n v="11"/>
    <s v="2025-12-02 14:33:18"/>
    <s v="10 días 14:33"/>
    <s v="1 días 14:33"/>
    <x v="1"/>
    <s v="SIN DATO"/>
    <s v="SIN DATO"/>
    <s v="SIN DATO"/>
    <s v="ABIERTO"/>
    <n v="-75.595671519999996"/>
    <n v="6.1865448799999996"/>
    <s v="SUR-ENE"/>
    <s v="Metropolitana Sur"/>
  </r>
  <r>
    <s v="23590826"/>
    <s v="ENERES"/>
    <s v="NUEVO"/>
    <s v="ENEDOM"/>
    <s v="14/11/2025 15:23:28"/>
    <s v="2025-11-14 15:23:28"/>
    <n v="1026162432"/>
    <s v="YURANI ATEHORTUA ATEHORTUA"/>
    <s v="SIN DATOS"/>
    <s v="3052063337"/>
    <s v="RURAL_161071503000000104_RURAL_161071503000000104"/>
    <x v="3"/>
    <s v="161071503000000104"/>
    <s v="Caldas"/>
    <x v="0"/>
    <s v="MET Rev-Inst-Concentra E_CR014"/>
    <x v="0"/>
    <n v="8"/>
    <s v="2025-11-27 15:23:28"/>
    <s v="10 días 15:23"/>
    <s v="VENCIDO"/>
    <x v="2"/>
    <s v="SIN DATO"/>
    <s v="SIN DATO"/>
    <s v="SIN DATO"/>
    <s v="ABIERTO"/>
    <n v="-75.636649239999997"/>
    <n v="6.05487398"/>
    <s v="SUR-ENE"/>
    <s v="Metropolitana Sur"/>
  </r>
  <r>
    <s v="23590847"/>
    <s v="ENEMRT"/>
    <s v="NUEVO"/>
    <s v="ENEMVI"/>
    <s v="14/11/2025 15:40:45"/>
    <s v="2025-11-20 15:41:33"/>
    <n v="1127593111"/>
    <s v="GINA PAOLA BELTRAN MADERA"/>
    <s v="SIN DATOS"/>
    <s v="3178663018"/>
    <s v="RURAL_163004487900000201_163004487900000201"/>
    <x v="1"/>
    <s v="163004487900000201"/>
    <s v="Itaguí"/>
    <x v="11"/>
    <s v="Mov Red Trans Dairo Gil"/>
    <x v="0"/>
    <n v="14"/>
    <s v="2025-12-11 15:41:33"/>
    <s v="7 días 15:41"/>
    <s v="7 días 15:41"/>
    <x v="0"/>
    <s v="SIN DATO"/>
    <s v="SIN DATO"/>
    <s v="SIN DATO"/>
    <s v="ABIERTO"/>
    <n v="-75.614358710000005"/>
    <n v="6.1695976300000002"/>
    <s v="SUR-ENE"/>
    <s v="Metropolitana Sur"/>
  </r>
  <r>
    <s v="23590914"/>
    <s v="ENERES"/>
    <s v="NUEVO"/>
    <s v="ENERES"/>
    <s v="14/11/2025 16:27:55"/>
    <s v="2025-11-25 08:54:16"/>
    <n v="71799202"/>
    <s v="JORGE MARIO USUGA VELASQUEZ"/>
    <s v="SIN DATOS"/>
    <s v="3005134772"/>
    <s v="CL 63 A CR 46 -50 (INTERIOR 401 )"/>
    <x v="2"/>
    <s v="056413106000500401"/>
    <s v="Medellín"/>
    <x v="2"/>
    <s v="MET Rev-Inst-Concentra E_CR014"/>
    <x v="1"/>
    <n v="7"/>
    <s v="2025-12-04 08:54:16"/>
    <s v="4 días 08:54"/>
    <s v="3 días 08:54"/>
    <x v="0"/>
    <s v="SIN DATO"/>
    <s v="SIN DATO"/>
    <s v="SIN DATO"/>
    <s v="ABIERTO"/>
    <n v="-75.559316510000002"/>
    <n v="6.2588269600000004"/>
    <s v="SUR-ENE"/>
    <s v="Metropolitana Sur"/>
  </r>
  <r>
    <s v="23591823"/>
    <s v="ENECNX"/>
    <s v="NUEVO"/>
    <s v="ENECNX"/>
    <s v="26/11/2025 11:39:35"/>
    <s v="2025-11-26 11:39:35"/>
    <n v="1128408067"/>
    <s v="DANIEL MARTINEZ RIOS"/>
    <s v="0"/>
    <s v="3207319362"/>
    <s v="CR 57 CL 74 -4"/>
    <x v="1"/>
    <s v="077527004000040000"/>
    <s v="Itaguí"/>
    <x v="3"/>
    <s v="Revisor Puntos de Conexión Metrosur"/>
    <x v="1"/>
    <n v="4"/>
    <s v="2025-12-02 11:39:35"/>
    <s v="3 días 11:39"/>
    <s v="1 días 11:39"/>
    <x v="1"/>
    <s v="SIN DATO"/>
    <s v="SIN DATO"/>
    <s v="SIN DATO"/>
    <s v="CUMPLIDO"/>
    <n v="-75.602134599999999"/>
    <n v="6.1890243800000002"/>
    <s v="SUR-ENE"/>
    <s v="Metropolitana Sur"/>
  </r>
  <r>
    <s v="23591926"/>
    <s v="ENERES"/>
    <s v="NUEVO"/>
    <s v="ENERES"/>
    <s v="18/11/2025 08:31:18"/>
    <s v="2025-11-18 08:31:18"/>
    <n v="15323810"/>
    <s v="OSCAR FERNANDO ZAPATA ZABALA"/>
    <s v="SIN DATOS"/>
    <s v="3146304934"/>
    <s v="CL 48 CR 32 -49 (INTERIOR 703 )"/>
    <x v="2"/>
    <s v="054318002000490703"/>
    <s v="Medellín"/>
    <x v="2"/>
    <s v="MET Rev-Inst-Concentra E_CR014"/>
    <x v="1"/>
    <n v="7"/>
    <s v="2025-11-27 08:31:18"/>
    <s v="9 días 08:31"/>
    <s v="VENCIDO"/>
    <x v="2"/>
    <s v="SIN DATO"/>
    <s v="SIN DATO"/>
    <s v="SIN DATO"/>
    <s v="ABIERTO"/>
    <n v="-75.555111740000001"/>
    <n v="6.2410049900000004"/>
    <s v="SUR-ENE"/>
    <s v="Metropolitana Sur"/>
  </r>
  <r>
    <s v="23591991"/>
    <s v="ENERES"/>
    <s v="NUEVO"/>
    <s v="ENERES"/>
    <s v="18/11/2025 09:06:34"/>
    <s v="2025-11-29 14:42:02"/>
    <n v="70723802"/>
    <s v="HECTOR ELI ARROYAVE SANCHEZ"/>
    <s v="SIN DATOS"/>
    <s v="3206685868"/>
    <s v="CL 4 CR 58 -25 (INTERIOR 101 )"/>
    <x v="2"/>
    <s v="050514008000250101"/>
    <s v="Medellín"/>
    <x v="2"/>
    <s v="Revisor Instal. Regadas Metrosur"/>
    <x v="1"/>
    <n v="7"/>
    <s v="2025-12-10 14:42:02"/>
    <s v="1 días 14:42"/>
    <s v="6 días 14:42"/>
    <x v="0"/>
    <s v="SIN DATO"/>
    <s v="SIN DATO"/>
    <s v="SIN DATO"/>
    <s v="ABIERTO"/>
    <n v="-75.586939299999997"/>
    <n v="6.2116381199999999"/>
    <s v="SUR-ENE"/>
    <s v="Metropolitana Sur"/>
  </r>
  <r>
    <s v="23592065"/>
    <s v="ENERES"/>
    <s v="NUEVO"/>
    <s v="ENEDOM"/>
    <s v="18/11/2025 09:18:32"/>
    <s v="2025-11-18 09:18:32"/>
    <n v="8037673"/>
    <s v="RUBEN EMILIO MARTINEZ"/>
    <s v="SIN DATOS"/>
    <s v="3128142771"/>
    <s v="RURAL_161071515000000001_PROV.LA TOLVA URAPANES"/>
    <x v="3"/>
    <s v="161071515000000001"/>
    <s v="Caldas"/>
    <x v="0"/>
    <s v="MET Rev-Inst-Concentra E_CR014"/>
    <x v="0"/>
    <n v="8"/>
    <s v="2025-11-28 09:18:32"/>
    <s v="9 días 09:18"/>
    <s v="VENCIDO"/>
    <x v="2"/>
    <s v="SIN DATO"/>
    <s v="SIN DATO"/>
    <s v="SIN DATO"/>
    <s v="ABIERTO"/>
    <n v="-75.637011659999999"/>
    <n v="6.0556765800000001"/>
    <s v="SUR-ENE"/>
    <s v="Metropolitana Sur"/>
  </r>
  <r>
    <s v="23592201"/>
    <s v="ENERES"/>
    <s v="NUEVO"/>
    <s v="ENERES"/>
    <s v="18/11/2025 09:28:44"/>
    <s v="2025-11-18 09:28:44"/>
    <n v="15323810"/>
    <s v="OSCAR FERNANDO ZAPATA ZABALA"/>
    <s v="SIN DATOS"/>
    <s v="3146304934"/>
    <s v="CL 48 CR 32 -49 (INTERIOR 804 )"/>
    <x v="2"/>
    <s v="054318002000490804"/>
    <s v="Medellín"/>
    <x v="2"/>
    <s v="MET Rev-Inst-Concentra E_CR014"/>
    <x v="1"/>
    <n v="7"/>
    <s v="2025-11-27 09:28:44"/>
    <s v="9 días 09:28"/>
    <s v="VENCIDO"/>
    <x v="2"/>
    <s v="SIN DATO"/>
    <s v="SIN DATO"/>
    <s v="SIN DATO"/>
    <s v="ABIERTO"/>
    <n v="-75.555111740000001"/>
    <n v="6.2410049900000004"/>
    <s v="SUR-ENE"/>
    <s v="Metropolitana Sur"/>
  </r>
  <r>
    <s v="23592207"/>
    <s v="ENERES"/>
    <s v="NUEVO"/>
    <s v="ENERES"/>
    <s v="18/11/2025 09:31:54"/>
    <s v="2025-11-18 09:31:54"/>
    <n v="15323810"/>
    <s v="OSCAR FERNANDO ZAPATA ZABALA"/>
    <s v="SIN DATOS"/>
    <s v="3146304934"/>
    <s v="CL 48 CR 32 -49 (INTERIOR 803 )"/>
    <x v="2"/>
    <s v="054318002000490803"/>
    <s v="Medellín"/>
    <x v="2"/>
    <s v="MET Rev-Inst-Concentra E_CR014"/>
    <x v="1"/>
    <n v="7"/>
    <s v="2025-11-27 09:31:54"/>
    <s v="9 días 09:31"/>
    <s v="VENCIDO"/>
    <x v="2"/>
    <s v="SIN DATO"/>
    <s v="SIN DATO"/>
    <s v="SIN DATO"/>
    <s v="ABIERTO"/>
    <n v="-75.555111740000001"/>
    <n v="6.2410049900000004"/>
    <s v="SUR-ENE"/>
    <s v="Metropolitana Sur"/>
  </r>
  <r>
    <s v="23592214"/>
    <s v="ENERES"/>
    <s v="NUEVO"/>
    <s v="ENERES"/>
    <s v="18/11/2025 09:34:04"/>
    <s v="2025-11-18 09:34:04"/>
    <n v="15323810"/>
    <s v="OSCAR FERNANDO ZAPATA ZABALA"/>
    <s v="SIN DATOS"/>
    <s v="3146304934"/>
    <s v="CL 48 CR 32 -49 (INTERIOR 704 )"/>
    <x v="2"/>
    <s v="054318002000490704"/>
    <s v="Medellín"/>
    <x v="2"/>
    <s v="MET Rev-Inst-Concentra E_CR014"/>
    <x v="1"/>
    <n v="7"/>
    <s v="2025-11-27 09:34:04"/>
    <s v="9 días 09:34"/>
    <s v="VENCIDO"/>
    <x v="2"/>
    <s v="SIN DATO"/>
    <s v="SIN DATO"/>
    <s v="SIN DATO"/>
    <s v="ABIERTO"/>
    <n v="-75.555111740000001"/>
    <n v="6.2410049900000004"/>
    <s v="SUR-ENE"/>
    <s v="Metropolitana Sur"/>
  </r>
  <r>
    <s v="23592225"/>
    <s v="ENERES"/>
    <s v="NUEVO"/>
    <s v="ENERES"/>
    <s v="18/11/2025 09:36:03"/>
    <s v="2025-11-18 09:36:03"/>
    <n v="15323810"/>
    <s v="OSCAR FERNANDO ZAPATA ZABALA"/>
    <s v="SIN DATOS"/>
    <s v="3146304934"/>
    <s v="CL 48 CR 32 -49 (INTERIOR 801 )"/>
    <x v="2"/>
    <s v="054318002000490801"/>
    <s v="Medellín"/>
    <x v="2"/>
    <s v="MET Rev-Inst-Concentra E_CR014"/>
    <x v="1"/>
    <n v="7"/>
    <s v="2025-11-27 09:36:03"/>
    <s v="9 días 09:36"/>
    <s v="VENCIDO"/>
    <x v="2"/>
    <s v="SIN DATO"/>
    <s v="SIN DATO"/>
    <s v="SIN DATO"/>
    <s v="ABIERTO"/>
    <n v="-75.555111740000001"/>
    <n v="6.2410049900000004"/>
    <s v="SUR-ENE"/>
    <s v="Metropolitana Sur"/>
  </r>
  <r>
    <s v="23592245"/>
    <s v="ENERES"/>
    <s v="NUEVO"/>
    <s v="ENERES"/>
    <s v="18/11/2025 09:46:55"/>
    <s v="2025-11-18 09:46:55"/>
    <n v="15323810"/>
    <s v="OSCAR FERNANDO ZAPATA ZABALA"/>
    <s v="SIN DATOS"/>
    <s v="3146304934"/>
    <s v="CL 48 CR 32 -49 (INTERIOR 702 )"/>
    <x v="2"/>
    <s v="054318002000490702"/>
    <s v="Medellín"/>
    <x v="2"/>
    <s v="MET Rev-Inst-Concentra E_CR014"/>
    <x v="1"/>
    <n v="7"/>
    <s v="2025-11-27 09:46:55"/>
    <s v="9 días 09:46"/>
    <s v="VENCIDO"/>
    <x v="2"/>
    <s v="SIN DATO"/>
    <s v="SIN DATO"/>
    <s v="SIN DATO"/>
    <s v="ABIERTO"/>
    <n v="-75.555111740000001"/>
    <n v="6.2410049900000004"/>
    <s v="SUR-ENE"/>
    <s v="Metropolitana Sur"/>
  </r>
  <r>
    <s v="23592246"/>
    <s v="ENERES"/>
    <s v="NUEVO"/>
    <s v="ENERES"/>
    <s v="18/11/2025 09:47:32"/>
    <s v="2025-11-18 09:47:32"/>
    <n v="15323810"/>
    <s v="OSCAR FERNANDO ZAPATA ZABALA"/>
    <s v="SIN DATOS"/>
    <s v="3146304934"/>
    <s v="CL 48 CR 32 -49 (INTERIOR 802 )"/>
    <x v="2"/>
    <s v="054318002000490802"/>
    <s v="Medellín"/>
    <x v="2"/>
    <s v="MET Rev-Inst-Concentra E_CR014"/>
    <x v="1"/>
    <n v="7"/>
    <s v="2025-11-27 09:47:32"/>
    <s v="9 días 09:47"/>
    <s v="VENCIDO"/>
    <x v="2"/>
    <s v="SIN DATO"/>
    <s v="SIN DATO"/>
    <s v="SIN DATO"/>
    <s v="ABIERTO"/>
    <n v="-75.555111740000001"/>
    <n v="6.2410049900000004"/>
    <s v="SUR-ENE"/>
    <s v="Metropolitana Sur"/>
  </r>
  <r>
    <s v="23592291"/>
    <s v="ENERES"/>
    <s v="NUEVO"/>
    <s v="ENEDOM"/>
    <s v="18/11/2025 10:13:18"/>
    <s v="2025-11-18 10:13:18"/>
    <n v="1128419592"/>
    <s v="JORGE MARIO PANIAGUA GRANADA"/>
    <s v="SIN DATOS"/>
    <s v="3226175702"/>
    <s v="RURAL_161110136000000007"/>
    <x v="3"/>
    <s v="161110136000000007"/>
    <s v="Caldas"/>
    <x v="0"/>
    <s v="MET Rev-Inst-Concentra E_CR014"/>
    <x v="0"/>
    <n v="8"/>
    <s v="2025-11-28 10:13:18"/>
    <s v="9 días 10:13"/>
    <s v="VENCIDO"/>
    <x v="2"/>
    <s v="SIN DATO"/>
    <s v="SIN DATO"/>
    <s v="SIN DATO"/>
    <s v="ABIERTO"/>
    <n v="-75.624374599999996"/>
    <n v="6.0867810100000002"/>
    <s v="SUR-ENE"/>
    <s v="Metropolitana Sur"/>
  </r>
  <r>
    <s v="23592324"/>
    <s v="ENERES"/>
    <s v="NUEVO"/>
    <s v="ENEDOM"/>
    <s v="18/11/2025 10:25:01"/>
    <s v="2025-11-18 10:25:01"/>
    <n v="70858227"/>
    <s v="JORGE ALIRIO PANIAGUA LEDERMA"/>
    <s v="SIN DATOS"/>
    <s v="3103670989"/>
    <s v="RURAL_161110136000000008"/>
    <x v="3"/>
    <s v="161110136000000008"/>
    <s v="Caldas"/>
    <x v="0"/>
    <s v="MET Rev-Inst-Concentra E_CR014"/>
    <x v="0"/>
    <n v="8"/>
    <s v="2025-11-28 10:25:01"/>
    <s v="9 días 10:25"/>
    <s v="VENCIDO"/>
    <x v="2"/>
    <s v="SIN DATO"/>
    <s v="SIN DATO"/>
    <s v="SIN DATO"/>
    <s v="ABIERTO"/>
    <n v="-75.624374599999996"/>
    <n v="6.0867810100000002"/>
    <s v="SUR-ENE"/>
    <s v="Metropolitana Sur"/>
  </r>
  <r>
    <s v="23592382"/>
    <s v="ENERES"/>
    <s v="NUEVO"/>
    <s v="ENERES"/>
    <s v="18/11/2025 10:51:51"/>
    <s v="2025-11-25 09:02:52"/>
    <n v="98462618"/>
    <s v="LEON ANGEL CORREA CHAVARRIA"/>
    <s v="SIN DATOS"/>
    <s v="3005873610"/>
    <s v="RURAL_122004401200009900_122004401200009900"/>
    <x v="2"/>
    <s v="122004401200009900"/>
    <s v="Medellín"/>
    <x v="2"/>
    <s v="Revisor Instal. Regadas Metrosur"/>
    <x v="0"/>
    <n v="10"/>
    <s v="2025-12-10 09:02:52"/>
    <s v="4 días 09:02"/>
    <s v="6 días 09:02"/>
    <x v="0"/>
    <s v="SIN DATO"/>
    <s v="SIN DATO"/>
    <s v="SIN DATO"/>
    <s v="ABIERTO"/>
    <n v="-75.522782520000007"/>
    <n v="6.2340416699999999"/>
    <s v="SUR-ENE"/>
    <s v="Metropolitana Sur"/>
  </r>
  <r>
    <s v="23592383"/>
    <s v="ENERES"/>
    <s v="NUEVO"/>
    <s v="ENERES"/>
    <s v="18/11/2025 10:52:43"/>
    <s v="2025-11-28 08:34:26"/>
    <n v="21526067"/>
    <s v="NORA ALEJANDRA RUIZ VALENCIA"/>
    <s v="SIN DATOS"/>
    <s v="3004543682"/>
    <s v="CL 29 SUR CR 25 -2 (INTERIOR 301 )"/>
    <x v="5"/>
    <s v="022219005000020301"/>
    <s v="Envigado"/>
    <x v="2"/>
    <s v="Revisor Instal. Regadas Metrosur"/>
    <x v="1"/>
    <n v="7"/>
    <s v="2025-12-10 08:34:26"/>
    <s v="1 días 08:34"/>
    <s v="6 días 08:34"/>
    <x v="0"/>
    <s v="SIN DATO"/>
    <s v="SIN DATO"/>
    <s v="SIN DATO"/>
    <s v="ABIERTO"/>
    <n v="-75.564647519999994"/>
    <n v="6.1678856800000004"/>
    <s v="SUR-ENE"/>
    <s v="Metropolitana Sur"/>
  </r>
  <r>
    <s v="23592517"/>
    <s v="ENERES"/>
    <s v="NUEVO"/>
    <s v="ENEDOM"/>
    <s v="18/11/2025 11:51:56"/>
    <s v="2025-11-27 17:59:42"/>
    <n v="1032180151"/>
    <s v="VALENTINA GONZALEZ JULIO"/>
    <s v="SIN DATOS"/>
    <s v="3003149363"/>
    <s v="CR 10 CL 55 -214 (INTERIOR 246 )"/>
    <x v="2"/>
    <s v="055120005002140246"/>
    <s v="Medellín"/>
    <x v="0"/>
    <s v="Habilitación Viviendas Metrosur"/>
    <x v="1"/>
    <n v="5"/>
    <s v="2025-12-04 17:59:42"/>
    <s v="2 días 17:59"/>
    <s v="3 días 17:59"/>
    <x v="0"/>
    <s v="SIN DATO"/>
    <s v="SIN DATO"/>
    <s v="SIN DATO"/>
    <s v="ABIERTO"/>
    <n v="-75.534552000000005"/>
    <n v="6.2368209999999999"/>
    <s v="SUR-ENE"/>
    <s v="Metropolitana Sur"/>
  </r>
  <r>
    <s v="23592849"/>
    <s v="ENERES"/>
    <s v="NUEVO"/>
    <s v="ENEDOM"/>
    <s v="18/11/2025 15:43:29"/>
    <s v="2025-11-27 09:39:17"/>
    <n v="1128479008"/>
    <s v="STIVEN ALEXANDER CANO PULGARIN"/>
    <s v="SIN DATOS"/>
    <s v="3126243286"/>
    <s v="CR 120 ED CL 48 D -41 (INTERIOR 201 )"/>
    <x v="2"/>
    <s v="084220548400410201"/>
    <s v="Medellín"/>
    <x v="0"/>
    <s v="Habilitación Viviendas Metrosur"/>
    <x v="1"/>
    <n v="5"/>
    <s v="2025-12-04 09:39:17"/>
    <s v="2 días 09:39"/>
    <s v="3 días 09:39"/>
    <x v="0"/>
    <s v="SIN DATO"/>
    <s v="SIN DATO"/>
    <s v="SIN DATO"/>
    <s v="ABIERTO"/>
    <n v="-75.627454999999998"/>
    <n v="6.2669280000000001"/>
    <s v="SUR-ENE"/>
    <s v="Metropolitana Sur"/>
  </r>
  <r>
    <s v="23593305"/>
    <s v="ENERES"/>
    <s v="NUEVO"/>
    <s v="ENERES"/>
    <s v="19/11/2025 08:44:01"/>
    <s v="2025-11-19 08:44:01"/>
    <n v="3369956"/>
    <s v="JESUS ENRIQUE BARRERA CANO"/>
    <s v="SIN DATOS"/>
    <s v="3002991473"/>
    <s v="RURAL_114000574000000102_MANZANILLO"/>
    <x v="2"/>
    <s v="114000574000000102"/>
    <s v="Medellín"/>
    <x v="2"/>
    <s v="Revisor Instal. Regadas Metrosur"/>
    <x v="0"/>
    <n v="10"/>
    <s v="2025-12-03 08:44:01"/>
    <s v="8 días 08:44"/>
    <s v="2 días 08:44"/>
    <x v="1"/>
    <s v="SIN DATO"/>
    <s v="SIN DATO"/>
    <s v="SIN DATO"/>
    <s v="ABIERTO"/>
    <n v="-75.609279000000001"/>
    <n v="6.2115840000000002"/>
    <s v="SUR-ENE"/>
    <s v="Metropolitana Sur"/>
  </r>
  <r>
    <s v="23593447"/>
    <s v="ENERES"/>
    <s v="NUEVO"/>
    <s v="ENEDOM"/>
    <s v="19/11/2025 10:12:40"/>
    <s v="2025-11-19 10:12:40"/>
    <n v="15523655"/>
    <s v="WILLIAM RESTREPO OSPINA"/>
    <s v="2431647"/>
    <s v="SIN DATOS"/>
    <s v="RURAL_161115073000000201_RURAL CALDAS LA CORRALA"/>
    <x v="3"/>
    <s v="161115073000000201"/>
    <s v="Caldas"/>
    <x v="0"/>
    <s v="MET Rev-Inst-Concentra E_CR014"/>
    <x v="0"/>
    <n v="8"/>
    <s v="2025-12-01 10:12:40"/>
    <s v="8 días 10:12"/>
    <s v="VENCIDO"/>
    <x v="2"/>
    <s v="SIN DATO"/>
    <s v="SIN DATO"/>
    <s v="SIN DATO"/>
    <s v="ABIERTO"/>
    <n v="-75.628093649999997"/>
    <n v="6.08757196"/>
    <s v="SUR-ENE"/>
    <s v="Metropolitana Sur"/>
  </r>
  <r>
    <s v="23593830"/>
    <s v="ENERES"/>
    <s v="NUEVO"/>
    <s v="ENEDOM"/>
    <s v="19/11/2025 13:17:42"/>
    <s v="2025-11-19 13:17:42"/>
    <n v="1152693844"/>
    <s v="JUDITH CATERINE PEREZ RODRIGUEZ"/>
    <s v="SIN DATOS"/>
    <s v="3147405591"/>
    <s v="RURAL_114014081000000001"/>
    <x v="2"/>
    <s v="114014081000000001"/>
    <s v="Medellín"/>
    <x v="0"/>
    <s v="Habilitación Viviendas Metrosur"/>
    <x v="0"/>
    <n v="8"/>
    <s v="2025-12-01 13:17:42"/>
    <s v="8 días 13:17"/>
    <s v="0 días 13:17"/>
    <x v="3"/>
    <s v="SIN DATO"/>
    <s v="SIN DATO"/>
    <s v="SIN DATO"/>
    <s v="ABIERTO"/>
    <n v="-75.61283066"/>
    <n v="6.2054087300000003"/>
    <s v="SUR-ENE"/>
    <s v="Metropolitana Sur"/>
  </r>
  <r>
    <s v="23593835"/>
    <s v="ENERES"/>
    <s v="NUEVO"/>
    <s v="ENEDOM"/>
    <s v="19/11/2025 13:22:18"/>
    <s v="2025-11-27 12:22:52"/>
    <n v="1152199162"/>
    <s v="LUIS CARLOS CORTES SANCHEZ"/>
    <s v="SIN DATOS"/>
    <s v="3235101976"/>
    <s v="CR 18 CL 52 -130 (INTERIOR 301 )"/>
    <x v="2"/>
    <s v="055128002001300301"/>
    <s v="Medellín"/>
    <x v="0"/>
    <s v="Habilitación Viviendas Metrosur"/>
    <x v="1"/>
    <n v="5"/>
    <s v="2025-12-04 12:22:52"/>
    <s v="2 días 12:22"/>
    <s v="3 días 12:22"/>
    <x v="0"/>
    <s v="SIN DATO"/>
    <s v="SIN DATO"/>
    <s v="SIN DATO"/>
    <s v="ABIERTO"/>
    <n v="-75.543082420000005"/>
    <n v="6.2379671400000003"/>
    <s v="SUR-ENE"/>
    <s v="Metropolitana Sur"/>
  </r>
  <r>
    <s v="23593880"/>
    <s v="ENERES"/>
    <s v="NUEVO"/>
    <s v="ENEDOM"/>
    <s v="19/11/2025 13:49:11"/>
    <s v="2025-11-19 13:49:11"/>
    <n v="71393250"/>
    <s v="CESAR AUGUSTO GALLEGO TORRES"/>
    <s v="0"/>
    <s v="3142520510"/>
    <s v="RURAL_161015840000000001_PROV.VEREDA EL RAIZAL SEC"/>
    <x v="3"/>
    <s v="161015840000000001"/>
    <s v="Caldas"/>
    <x v="0"/>
    <s v="MET Rev-Inst-Concentra E_CR014"/>
    <x v="0"/>
    <n v="8"/>
    <s v="2025-12-01 13:49:11"/>
    <s v="8 días 13:49"/>
    <s v="0 días 13:49"/>
    <x v="3"/>
    <s v="SIN DATO"/>
    <s v="SIN DATO"/>
    <s v="SIN DATO"/>
    <s v="ABIERTO"/>
    <n v="-75.645366620000004"/>
    <n v="6.0870563100000004"/>
    <s v="SUR-ENE"/>
    <s v="Metropolitana Sur"/>
  </r>
  <r>
    <s v="23593888"/>
    <s v="ENEPRE"/>
    <s v="REUBI"/>
    <s v="ENEPRE"/>
    <s v="19/11/2025 13:54:04"/>
    <s v="2025-11-19 13:54:04"/>
    <n v="43503766"/>
    <s v="NORA ELSY MONTOYA URREGO"/>
    <s v="SIN DATOS"/>
    <s v="3008381530"/>
    <s v="CL 62 CR 85 -326 (INTERIOR 101 )"/>
    <x v="2"/>
    <s v="056812005003260101"/>
    <s v="Medellín"/>
    <x v="9"/>
    <s v="Energía Prepago Metrosur"/>
    <x v="1"/>
    <n v="11"/>
    <s v="2025-12-04 13:54:04"/>
    <s v="8 días 13:54"/>
    <s v="3 días 13:54"/>
    <x v="0"/>
    <s v="SIN DATO"/>
    <s v="SIN DATO"/>
    <s v="SIN DATO"/>
    <s v="ABIERTO"/>
    <n v="-75.598703920000005"/>
    <n v="6.2754780300000004"/>
    <s v="SUR-ENE"/>
    <s v="Metropolitana Sur"/>
  </r>
  <r>
    <s v="23593926"/>
    <s v="ENERES"/>
    <s v="NUEVO"/>
    <s v="ENEDOM"/>
    <s v="19/11/2025 14:13:54"/>
    <s v="2025-11-19 14:13:54"/>
    <n v="22186973"/>
    <s v="MARIA ELSY VASQUEZ RODRIGUEZ"/>
    <s v="5287842"/>
    <s v="3216109725"/>
    <s v="RURAL_163014803800000002_RURAL ITAGUI EL PEDREGAL"/>
    <x v="1"/>
    <s v="163014803800000002"/>
    <s v="Itaguí"/>
    <x v="0"/>
    <s v="Habilitación Viviendas Metrosur"/>
    <x v="0"/>
    <n v="8"/>
    <s v="2025-12-01 14:13:54"/>
    <s v="8 días 14:13"/>
    <s v="0 días 14:13"/>
    <x v="3"/>
    <s v="SIN DATO"/>
    <s v="SIN DATO"/>
    <s v="SIN DATO"/>
    <s v="ABIERTO"/>
    <n v="-75.619467560000004"/>
    <n v="6.1888718599999999"/>
    <s v="SUR-ENE"/>
    <s v="Metropolitana Sur"/>
  </r>
  <r>
    <s v="23594031"/>
    <s v="ENERES"/>
    <s v="NUEVO"/>
    <s v="ENEDOM"/>
    <s v="19/11/2025 15:18:03"/>
    <s v="2025-11-19 15:18:03"/>
    <n v="1026158765"/>
    <s v="VERONICA BETANCOURT ARRUBLA"/>
    <s v="SIN DATOS"/>
    <s v="3216228180"/>
    <s v="RURAL_161113870000000002_PROV.RURAL_16111387000000"/>
    <x v="3"/>
    <s v="161113870000000002"/>
    <s v="Caldas"/>
    <x v="0"/>
    <s v="MET Rev-Inst-Concentra E_CR014"/>
    <x v="0"/>
    <n v="8"/>
    <s v="2025-12-01 15:18:03"/>
    <s v="8 días 15:18"/>
    <s v="0 días 15:18"/>
    <x v="3"/>
    <s v="SIN DATO"/>
    <s v="SIN DATO"/>
    <s v="SIN DATO"/>
    <s v="ABIERTO"/>
    <n v="-75.626033230000004"/>
    <n v="6.08803976"/>
    <s v="SUR-ENE"/>
    <s v="Metropolitana Sur"/>
  </r>
  <r>
    <s v="23594051"/>
    <s v="ENERES"/>
    <s v="NUEVO"/>
    <s v="ENERES"/>
    <s v="19/11/2025 15:22:46"/>
    <s v="2025-11-19 15:22:46"/>
    <n v="71799202"/>
    <s v="JORGE MARIO USUGA VELASQUEZ"/>
    <s v="SIN DATOS"/>
    <s v="3202860166"/>
    <s v="CL 63 A CR 46 -50 (INTERIOR 301 )"/>
    <x v="2"/>
    <s v="056413106000500301"/>
    <s v="Medellín"/>
    <x v="2"/>
    <s v="MET Rev-Inst-Concentra E_CR014"/>
    <x v="1"/>
    <n v="7"/>
    <s v="2025-11-28 15:22:46"/>
    <s v="8 días 15:22"/>
    <s v="VENCIDO"/>
    <x v="2"/>
    <s v="SIN DATO"/>
    <s v="SIN DATO"/>
    <s v="SIN DATO"/>
    <s v="ABIERTO"/>
    <n v="-75.559316510000002"/>
    <n v="6.2588269600000004"/>
    <s v="SUR-ENE"/>
    <s v="Metropolitana Sur"/>
  </r>
  <r>
    <s v="23594085"/>
    <s v="ENEMRT"/>
    <s v="NUEVO"/>
    <s v="ENEMVI"/>
    <s v="19/11/2025 15:39:50"/>
    <s v="2025-11-19 15:39:50"/>
    <n v="1002065378"/>
    <s v="NATALIA ANDREA MONSALVE ROJO"/>
    <s v="SIN DATOS"/>
    <s v="3104242411"/>
    <s v="CL 58 CR 94 -95"/>
    <x v="2"/>
    <s v="055918004000950000"/>
    <s v="Medellín"/>
    <x v="11"/>
    <s v="Mov Red Trans Dairo Gil"/>
    <x v="1"/>
    <n v="9"/>
    <s v="2025-12-02 15:39:50"/>
    <s v="8 días 15:39"/>
    <s v="1 días 15:39"/>
    <x v="1"/>
    <s v="SIN DATO"/>
    <s v="SIN DATO"/>
    <s v="SIN DATO"/>
    <s v="ABIERTO"/>
    <n v="-75.605880400000004"/>
    <n v="6.2759845099999998"/>
    <s v="SUR-ENE"/>
    <s v="Metropolitana Sur"/>
  </r>
  <r>
    <s v="23594102"/>
    <s v="ENERES"/>
    <s v="NUEVO"/>
    <s v="ENERES"/>
    <s v="19/11/2025 15:45:32"/>
    <s v="2025-11-19 15:45:32"/>
    <n v="43585521"/>
    <s v="ALEXANDRA MARIA SARRIAS ARBOLEDA"/>
    <s v="5084930"/>
    <s v="3228484421"/>
    <s v="CL 65 BB CR 40 -11 (INTERIOR 201 )"/>
    <x v="2"/>
    <s v="056415220000110201"/>
    <s v="Medellín"/>
    <x v="2"/>
    <s v="Revisor Instal. Regadas Metrosur"/>
    <x v="1"/>
    <n v="7"/>
    <s v="2025-11-28 15:45:32"/>
    <s v="8 días 15:45"/>
    <s v="VENCIDO"/>
    <x v="2"/>
    <s v="SIN DATO"/>
    <s v="SIN DATO"/>
    <s v="SIN DATO"/>
    <s v="ABIERTO"/>
    <n v="-75.553008770000005"/>
    <n v="6.2581888599999997"/>
    <s v="SUR-ENE"/>
    <s v="Metropolitana Sur"/>
  </r>
  <r>
    <s v="23594200"/>
    <s v="ENEMRT"/>
    <s v="NUEVO"/>
    <s v="ENEMVI"/>
    <s v="19/11/2025 16:34:11"/>
    <s v="2025-11-19 16:34:11"/>
    <n v="43180623"/>
    <s v="YESSICA MARIA OSPINA OSPINA"/>
    <s v="SIN DATOS"/>
    <s v="3002835232"/>
    <s v="RURAL_147045228500000000_147045228500000000"/>
    <x v="2"/>
    <s v="147045228500000000"/>
    <s v="Medellín"/>
    <x v="11"/>
    <s v="METR Mov Red Trans Anderson Castaño"/>
    <x v="0"/>
    <n v="14"/>
    <s v="2025-12-10 16:34:11"/>
    <s v="8 días 16:34"/>
    <s v="6 días 16:34"/>
    <x v="0"/>
    <s v="SIN DATO"/>
    <s v="SIN DATO"/>
    <s v="SIN DATO"/>
    <s v="ABIERTO"/>
    <n v="-75.647926999999996"/>
    <n v="6.2980210000000003"/>
    <s v="SUR-ENE"/>
    <s v="Metropolitana Sur"/>
  </r>
  <r>
    <s v="23594211"/>
    <s v="ENERES"/>
    <s v="NUEVO"/>
    <s v="ENEDOM"/>
    <s v="19/11/2025 16:39:30"/>
    <s v="2025-11-25 08:46:51"/>
    <n v="1146434436"/>
    <s v="DEISY JIMENEZ ROJAS"/>
    <s v="SIN DATOS"/>
    <s v="3116985223"/>
    <s v="CR 24 CL 56 E -22 (INTERIOR 150 )"/>
    <x v="2"/>
    <s v="055224006500220150"/>
    <s v="Medellín"/>
    <x v="0"/>
    <s v="Habilitación Viviendas Metrosur"/>
    <x v="1"/>
    <n v="5"/>
    <s v="2025-12-02 08:46:51"/>
    <s v="4 días 08:46"/>
    <s v="1 días 08:46"/>
    <x v="1"/>
    <s v="SIN DATO"/>
    <s v="SIN DATO"/>
    <s v="SIN DATO"/>
    <s v="ABIERTO"/>
    <n v="-75.542572890000002"/>
    <n v="6.2437684500000001"/>
    <s v="SUR-ENE"/>
    <s v="Metropolitana Sur"/>
  </r>
  <r>
    <s v="23594291"/>
    <s v="ENERES"/>
    <s v="NUEVO"/>
    <s v="ENERES"/>
    <s v="19/11/2025 17:12:10"/>
    <s v="2025-11-26 15:07:56"/>
    <n v="43205673"/>
    <s v="JOHANA GUZMAN MURIEL"/>
    <s v="SIN DATOS"/>
    <s v="3173686410"/>
    <s v="RURAL_125004526000000102_CL 20C SUR CR 7 - 504"/>
    <x v="5"/>
    <s v="125004526000000102"/>
    <s v="Envigado"/>
    <x v="2"/>
    <s v="Revisor Instal. Regadas Metrosur"/>
    <x v="0"/>
    <n v="10"/>
    <s v="2025-12-11 15:07:56"/>
    <s v="3 días 15:07"/>
    <s v="7 días 15:07"/>
    <x v="0"/>
    <s v="SIN DATO"/>
    <s v="SIN DATO"/>
    <s v="SIN DATO"/>
    <s v="ABIERTO"/>
    <n v="-75.526851289999996"/>
    <n v="6.1940976499999998"/>
    <s v="SUR-ENE"/>
    <s v="Metropolitana Sur"/>
  </r>
  <r>
    <s v="23594914"/>
    <s v="ENEPRE"/>
    <s v="RETIR"/>
    <s v="ENEPRE"/>
    <s v="20/11/2025 08:44:04"/>
    <s v="2025-11-20 08:44:04"/>
    <n v="43835602"/>
    <s v="ALINA MARIA MALDONADO JARAMILLO"/>
    <s v="SIN DATOS"/>
    <s v="3245529072"/>
    <s v="CR 53 CL 73 -35 (INTERIOR 211 )"/>
    <x v="1"/>
    <s v="077523003000350211-ENEPRE"/>
    <s v="Itaguí"/>
    <x v="8"/>
    <s v="Energía Prepago Metrosur"/>
    <x v="1"/>
    <n v="11"/>
    <s v="2025-12-05 08:44:04"/>
    <s v="7 días 08:44"/>
    <s v="4 días 08:44"/>
    <x v="0"/>
    <s v="SIN DATO"/>
    <s v="SIN DATO"/>
    <s v="SIN DATO"/>
    <s v="ABIERTO"/>
    <n v="-75.599817490000007"/>
    <n v="6.1861674300000002"/>
    <s v="SUR-ENE"/>
    <s v="Metropolitana Sur"/>
  </r>
  <r>
    <s v="23594956"/>
    <s v="ENEPRE"/>
    <s v="RETIR"/>
    <s v="ENEPRE"/>
    <s v="20/11/2025 09:05:58"/>
    <s v="2025-11-20 09:05:58"/>
    <n v="43620521"/>
    <s v="ERIKA SUJEY GOMEZ CATAÑO"/>
    <s v="5805945"/>
    <s v="3234212759"/>
    <s v="CL 48 E CR 90 A -5 (INTERIOR 201 )"/>
    <x v="2"/>
    <s v="054918500100050201-ENEPRE"/>
    <s v="Medellín"/>
    <x v="8"/>
    <s v="Energía Prepago Metrosur"/>
    <x v="1"/>
    <n v="11"/>
    <s v="2025-12-05 09:05:58"/>
    <s v="7 días 09:05"/>
    <s v="4 días 09:05"/>
    <x v="0"/>
    <s v="SIN DATO"/>
    <s v="SIN DATO"/>
    <s v="SIN DATO"/>
    <s v="ABIERTO"/>
    <n v="-75.607661140000005"/>
    <n v="6.2600248499999998"/>
    <s v="SUR-ENE"/>
    <s v="Metropolitana Sur"/>
  </r>
  <r>
    <s v="23594987"/>
    <s v="ENERES"/>
    <s v="NUEVO"/>
    <s v="ENERES"/>
    <s v="20/11/2025 09:34:26"/>
    <s v="2025-11-20 09:34:26"/>
    <n v="42766573"/>
    <s v="MARIA DORIS GARCIA ZULUAGA"/>
    <s v="2771094"/>
    <s v="3052348158"/>
    <s v="CL 68 CR 52 -35 (INTERIOR 601 )"/>
    <x v="1"/>
    <s v="076518002000350601"/>
    <s v="Itaguí"/>
    <x v="2"/>
    <s v="Revisor Instal. Regadas Metrosur"/>
    <x v="1"/>
    <n v="7"/>
    <s v="2025-12-01 09:34:26"/>
    <s v="7 días 09:34"/>
    <s v="VENCIDO"/>
    <x v="2"/>
    <s v="SIN DATO"/>
    <s v="SIN DATO"/>
    <s v="SIN DATO"/>
    <s v="ABIERTO"/>
    <n v="-75.59945673"/>
    <n v="6.1821824400000001"/>
    <s v="SUR-ENE"/>
    <s v="Metropolitana Sur"/>
  </r>
  <r>
    <s v="23594991"/>
    <s v="ENEMRT"/>
    <s v="NUEVO"/>
    <s v="ENEMVI"/>
    <s v="20/11/2025 09:37:15"/>
    <s v="2025-11-20 09:37:15"/>
    <n v="71637652"/>
    <s v="RAMIRO DE JESUS MEJIA BENITEZ"/>
    <s v="SIN DATOS"/>
    <s v="3207593219"/>
    <s v="CL 57 F CR 92 CC -7 (INTERIOR 120 )"/>
    <x v="2"/>
    <s v="055917602330070120"/>
    <s v="Medellín"/>
    <x v="11"/>
    <s v="METR Mov Red Trans Anderson Castaño"/>
    <x v="1"/>
    <n v="9"/>
    <s v="2025-12-03 09:37:15"/>
    <s v="7 días 09:37"/>
    <s v="2 días 09:37"/>
    <x v="1"/>
    <s v="SIN DATO"/>
    <s v="SIN DATO"/>
    <s v="SIN DATO"/>
    <s v="ABIERTO"/>
    <n v="-75.604655080000001"/>
    <n v="6.2742202599999999"/>
    <s v="SUR-ENE"/>
    <s v="Metropolitana Sur"/>
  </r>
  <r>
    <s v="23595000"/>
    <s v="ENEPRE"/>
    <s v="NUEVO"/>
    <s v="ENEPRE"/>
    <s v="20/11/2025 09:42:07"/>
    <s v="2025-11-20 09:42:07"/>
    <n v="22108273"/>
    <s v="CARMEN EMILIA PAMPLONA ARANGO"/>
    <s v="SIN DATOS"/>
    <s v="3014506241"/>
    <s v="CR 18 B CL 56 HG -63"/>
    <x v="2"/>
    <s v="055128206870630000"/>
    <s v="Medellín"/>
    <x v="6"/>
    <s v="Energía Prepago Metrosur"/>
    <x v="1"/>
    <n v="11"/>
    <s v="2025-12-05 09:42:07"/>
    <s v="7 días 09:42"/>
    <s v="4 días 09:42"/>
    <x v="0"/>
    <s v="SIN DATO"/>
    <s v="SIN DATO"/>
    <s v="SIN DATO"/>
    <s v="ABIERTO"/>
    <n v="-75.540311869999996"/>
    <n v="6.2488550099999998"/>
    <s v="SUR-ENE"/>
    <s v="Metropolitana Sur"/>
  </r>
  <r>
    <s v="23595053"/>
    <s v="ENERES"/>
    <s v="NUEVO"/>
    <s v="ENEDOM"/>
    <s v="20/11/2025 10:12:18"/>
    <s v="2025-11-27 09:55:26"/>
    <n v="71930087"/>
    <s v="PABLO JOAQUIN SANCHEZ CAÑIZALES"/>
    <s v="SIN DATOS"/>
    <s v="3224152390"/>
    <s v="CL 39 A CR 114 -61 (INTERIOR 101 )"/>
    <x v="2"/>
    <s v="083119104000610101"/>
    <s v="Medellín"/>
    <x v="0"/>
    <s v="Habilitación Viviendas Metrosur"/>
    <x v="1"/>
    <n v="5"/>
    <s v="2025-12-04 09:55:26"/>
    <s v="2 días 09:55"/>
    <s v="3 días 09:55"/>
    <x v="0"/>
    <s v="SIN DATO"/>
    <s v="SIN DATO"/>
    <s v="SIN DATO"/>
    <s v="ABIERTO"/>
    <n v="-75.626892999999995"/>
    <n v="6.2499580000000003"/>
    <s v="SUR-ENE"/>
    <s v="Metropolitana Sur"/>
  </r>
  <r>
    <s v="23595177"/>
    <s v="ENERES"/>
    <s v="NUEVO"/>
    <s v="ENEDOM"/>
    <s v="28/11/2025 08:46:37"/>
    <s v="2025-11-28 08:46:37"/>
    <n v="70220020"/>
    <s v="JAVIER ALBERTO CASTRILLON"/>
    <s v="SIN DATOS"/>
    <s v="3011086793"/>
    <s v="RURAL_167041832000000201_VEREDA PAN DE AZUCAR"/>
    <x v="4"/>
    <s v="167041832000000201"/>
    <s v="Sabaneta"/>
    <x v="7"/>
    <s v="Habilitación Viviendas Metrosur"/>
    <x v="0"/>
    <n v="8"/>
    <s v="2025-12-11 08:46:37"/>
    <s v="1 días 08:46"/>
    <s v="7 días 08:46"/>
    <x v="0"/>
    <s v="SIN DATO"/>
    <s v="SIN DATO"/>
    <s v="SIN DATO"/>
    <s v="ABIERTO"/>
    <n v="-75.63061218"/>
    <n v="6.1389063300000002"/>
    <s v="SUR-ENE"/>
    <s v="Metropolitana Sur"/>
  </r>
  <r>
    <s v="23595243"/>
    <s v="ENEMRT"/>
    <s v="NUEVO"/>
    <s v="ENEMVI"/>
    <s v="20/11/2025 11:46:32"/>
    <s v="2025-11-20 11:46:32"/>
    <n v="3424884"/>
    <s v="RAMON ALCIDES ACOSTA LAVERDE"/>
    <s v="SIN DATOS"/>
    <s v="3117263326"/>
    <s v="CL 62 AA CR 96 -120 (INTERIOR 1105 )"/>
    <x v="2"/>
    <s v="056912116001201105"/>
    <s v="Medellín"/>
    <x v="11"/>
    <s v="METR Mov Red Trans Anderson Castaño"/>
    <x v="1"/>
    <n v="9"/>
    <s v="2025-12-03 11:46:32"/>
    <s v="7 días 11:46"/>
    <s v="2 días 11:46"/>
    <x v="1"/>
    <s v="SIN DATO"/>
    <s v="SIN DATO"/>
    <s v="SIN DATO"/>
    <s v="ABIERTO"/>
    <n v="-75.607009210000001"/>
    <n v="6.2786223200000002"/>
    <s v="SUR-ENE"/>
    <s v="Metropolitana Sur"/>
  </r>
  <r>
    <s v="23595250"/>
    <s v="ENERES"/>
    <s v="NUEVO"/>
    <s v="ENEDOM"/>
    <s v="20/11/2025 11:49:28"/>
    <s v="2025-11-20 11:49:28"/>
    <n v="1000922035"/>
    <s v="LUZ KARINE MORALES QUNTERO"/>
    <s v="SIN DATOS"/>
    <s v="3101990684"/>
    <s v="RURAL_161033410000000201_VEREDA PRIMAVERA"/>
    <x v="3"/>
    <s v="161033410000000201"/>
    <s v="Caldas"/>
    <x v="0"/>
    <s v="MET Rev-Inst-Concentra E_CR014"/>
    <x v="0"/>
    <n v="8"/>
    <s v="2025-12-02 11:49:28"/>
    <s v="7 días 11:49"/>
    <s v="1 días 11:49"/>
    <x v="1"/>
    <s v="SIN DATO"/>
    <s v="SIN DATO"/>
    <s v="SIN DATO"/>
    <s v="ABIERTO"/>
    <n v="-75.635582060000004"/>
    <n v="6.0689308899999999"/>
    <s v="SUR-ENE"/>
    <s v="Metropolitana Sur"/>
  </r>
  <r>
    <s v="23595347"/>
    <s v="ENECNX"/>
    <s v="NUEVO"/>
    <s v="ENECNX"/>
    <s v="20/11/2025 13:16:36"/>
    <s v="2025-11-20 13:16:36"/>
    <n v="98709451"/>
    <s v="JAMES HINCAPIE"/>
    <s v="6044444"/>
    <s v="3217757424"/>
    <s v="CR 40 CL 52 -51"/>
    <x v="2"/>
    <s v="055420002000510000"/>
    <s v="Medellín"/>
    <x v="3"/>
    <s v="Revisor Puntos de Conexión Metrosur"/>
    <x v="1"/>
    <n v="4"/>
    <s v="2025-11-26 13:16:36"/>
    <s v="7 días 13:16"/>
    <s v="VENCIDO"/>
    <x v="2"/>
    <s v="SIN DATO"/>
    <s v="SIN DATO"/>
    <s v="SIN DATO"/>
    <s v="ABIERTO"/>
    <n v="-75.559600000000003"/>
    <n v="6.2481840000000002"/>
    <s v="SUR-ENE"/>
    <s v="Metropolitana Sur"/>
  </r>
  <r>
    <s v="23595360"/>
    <s v="ENERES"/>
    <s v="NUEVO"/>
    <s v="ENERES"/>
    <s v="20/11/2025 13:25:48"/>
    <s v="2025-11-20 13:25:48"/>
    <n v="43781255"/>
    <s v="OMAIRA DEL SOCORRO AGUDELO HIGUITA"/>
    <s v="SIN DATOS"/>
    <s v="3186285841"/>
    <s v="CL 63 CR 18 C -70 (INTERIOR 330 )"/>
    <x v="2"/>
    <s v="056113008300700330"/>
    <s v="Medellín"/>
    <x v="2"/>
    <s v="Revisor Instal. Regadas Metrosur"/>
    <x v="1"/>
    <n v="7"/>
    <s v="2025-12-01 13:25:48"/>
    <s v="7 días 13:25"/>
    <s v="0 días 13:25"/>
    <x v="3"/>
    <s v="SIN DATO"/>
    <s v="SIN DATO"/>
    <s v="SIN DATO"/>
    <s v="ABIERTO"/>
    <n v="-75.541076000000004"/>
    <n v="6.2545859999999998"/>
    <s v="SUR-ENE"/>
    <s v="Metropolitana Sur"/>
  </r>
  <r>
    <s v="23595554"/>
    <s v="ENEMRT"/>
    <s v="NUEVO"/>
    <s v="ENEMVI"/>
    <s v="20/11/2025 15:03:58"/>
    <s v="2025-11-20 15:03:58"/>
    <n v="43036921"/>
    <s v="NURY DEL CARMEN TORRES SANCHEZ"/>
    <s v="SIN DATOS"/>
    <s v="3004999389"/>
    <s v="RURAL_147048860000000001_ VEREDA TRAVESIAS"/>
    <x v="2"/>
    <s v="147048860000000001"/>
    <s v="Medellín"/>
    <x v="11"/>
    <s v="METR Mov Red Trans Anderson Castaño"/>
    <x v="0"/>
    <n v="14"/>
    <s v="2025-12-11 15:03:58"/>
    <s v="7 días 15:03"/>
    <s v="7 días 15:03"/>
    <x v="0"/>
    <s v="SIN DATO"/>
    <s v="SIN DATO"/>
    <s v="SIN DATO"/>
    <s v="ABIERTO"/>
    <n v="-75.646938899999995"/>
    <n v="6.2852713400000004"/>
    <s v="SUR-ENE"/>
    <s v="Metropolitana Sur"/>
  </r>
  <r>
    <s v="23595571"/>
    <s v="ENEPRE"/>
    <s v="RETIR"/>
    <s v="ENEPRE"/>
    <s v="20/11/2025 15:14:46"/>
    <s v="2025-11-20 15:14:46"/>
    <n v="71616114"/>
    <s v="FRANCISCO ALBERTO MONTOYA SANCHEZ"/>
    <s v="SIN DATOS"/>
    <s v="3102205501"/>
    <s v="CL 16 CR 55 -82"/>
    <x v="2"/>
    <s v="051516005000820000-ENEPRE"/>
    <s v="Medellín"/>
    <x v="8"/>
    <s v="Energía Prepago Metrosur"/>
    <x v="1"/>
    <n v="11"/>
    <s v="2025-12-05 15:14:46"/>
    <s v="7 días 15:14"/>
    <s v="4 días 15:14"/>
    <x v="0"/>
    <s v="SIN DATO"/>
    <s v="SIN DATO"/>
    <s v="SIN DATO"/>
    <s v="ABIERTO"/>
    <n v="-75.583165050000005"/>
    <n v="6.2198196599999998"/>
    <s v="SUR-ENE"/>
    <s v="Metropolitana Sur"/>
  </r>
  <r>
    <s v="23595614"/>
    <s v="ENEPRE"/>
    <s v="REUBI"/>
    <s v="ENEPRE"/>
    <s v="20/11/2025 15:34:16"/>
    <s v="2025-11-20 15:34:16"/>
    <n v="15482908"/>
    <s v="GILBERTO COSSIO SERNA"/>
    <s v="SIN DATOS"/>
    <s v="3214405929"/>
    <s v="CR 8 A CL 58 B -101 (INTERIOR 175 )"/>
    <x v="2"/>
    <s v="055028108201010175"/>
    <s v="Medellín"/>
    <x v="9"/>
    <s v="Energía Prepago Metrosur"/>
    <x v="1"/>
    <n v="11"/>
    <s v="2025-12-05 15:34:16"/>
    <s v="7 días 15:34"/>
    <s v="4 días 15:34"/>
    <x v="0"/>
    <s v="SIN DATO"/>
    <s v="SIN DATO"/>
    <s v="SIN DATO"/>
    <s v="ABIERTO"/>
    <n v="-75.532750379999996"/>
    <n v="6.2380932600000003"/>
    <s v="SUR-ENE"/>
    <s v="Metropolitana Sur"/>
  </r>
  <r>
    <s v="23595655"/>
    <s v="ENEPRE"/>
    <s v="RETIR"/>
    <s v="ENEPRE"/>
    <s v="20/11/2025 15:50:48"/>
    <s v="2025-11-20 15:50:48"/>
    <n v="101716563528"/>
    <s v="ANDRES FELIPE POSADA MORALES"/>
    <s v="SIN DATOS"/>
    <s v="3105072582"/>
    <s v="CR 43 A CL 39 A -127"/>
    <x v="2"/>
    <s v="053423109101270000-ENEPRE"/>
    <s v="Medellín"/>
    <x v="8"/>
    <s v="Energía Prepago Metrosur"/>
    <x v="1"/>
    <n v="11"/>
    <s v="2025-12-05 15:50:48"/>
    <s v="7 días 15:50"/>
    <s v="4 días 15:50"/>
    <x v="0"/>
    <s v="SIN DATO"/>
    <s v="SIN DATO"/>
    <s v="SIN DATO"/>
    <s v="ABIERTO"/>
    <n v="-75.567284529999995"/>
    <n v="6.2392610299999998"/>
    <s v="SUR-ENE"/>
    <s v="Metropolitana Sur"/>
  </r>
  <r>
    <s v="23595670"/>
    <s v="ENERES"/>
    <s v="NUEVO"/>
    <s v="ENEDOM"/>
    <s v="20/11/2025 15:54:47"/>
    <s v="2025-11-25 12:23:14"/>
    <n v="43452589"/>
    <s v="FRANCY NETH RENGIFO LOPEZ"/>
    <s v="2343748"/>
    <s v="3114182296"/>
    <s v="RURAL_147036900000000101_EL NARANJAL"/>
    <x v="2"/>
    <s v="147036900000000101"/>
    <s v="Medellín"/>
    <x v="0"/>
    <s v="Habilitación Viviendas Metrosur"/>
    <x v="0"/>
    <n v="8"/>
    <s v="2025-12-05 12:23:14"/>
    <s v="4 días 12:23"/>
    <s v="4 días 12:23"/>
    <x v="0"/>
    <s v="SIN DATO"/>
    <s v="SIN DATO"/>
    <s v="SIN DATO"/>
    <s v="ABIERTO"/>
    <n v="-75.661386460000003"/>
    <n v="6.3066020399999996"/>
    <s v="SUR-ENE"/>
    <s v="Metropolitana Sur"/>
  </r>
  <r>
    <s v="23595782"/>
    <s v="ENERES"/>
    <s v="NUEVO"/>
    <s v="ENERES"/>
    <s v="20/11/2025 17:11:05"/>
    <s v="2025-11-29 14:41:44"/>
    <n v="70723802"/>
    <s v="HECTOR ELI ARROYAVE SANCHEZ"/>
    <s v="SIN DATOS"/>
    <s v="3206685868"/>
    <s v="CL 4 CR 58 -25 (INTERIOR 202 )"/>
    <x v="2"/>
    <s v="050514008000250202"/>
    <s v="Medellín"/>
    <x v="2"/>
    <s v="Revisor Instal. Regadas Metrosur"/>
    <x v="1"/>
    <n v="7"/>
    <s v="2025-12-10 14:41:44"/>
    <s v="1 días 14:41"/>
    <s v="6 días 14:41"/>
    <x v="0"/>
    <s v="SIN DATO"/>
    <s v="SIN DATO"/>
    <s v="SIN DATO"/>
    <s v="ABIERTO"/>
    <n v="-75.586939299999997"/>
    <n v="6.2116381199999999"/>
    <s v="SUR-ENE"/>
    <s v="Metropolitana Sur"/>
  </r>
  <r>
    <s v="23596263"/>
    <s v="ENEMRT"/>
    <s v="NUEVO"/>
    <s v="ENEMVI"/>
    <s v="21/11/2025 08:07:54"/>
    <s v="2025-11-21 08:07:54"/>
    <n v="71493800"/>
    <s v="DENSY DE JESUS MORALES MONTOYA"/>
    <s v="SIN DATOS"/>
    <s v="3172623804"/>
    <s v="RURAL_163007687000000000_ITAGUI AJIZAL"/>
    <x v="1"/>
    <s v="163007687000000000"/>
    <s v="Itaguí"/>
    <x v="11"/>
    <s v="Mov Red Trans Dairo Gil"/>
    <x v="0"/>
    <n v="14"/>
    <s v="2025-12-12 08:07:54"/>
    <s v="6 días 08:07"/>
    <s v="8 días 08:07"/>
    <x v="0"/>
    <s v="SIN DATO"/>
    <s v="SIN DATO"/>
    <s v="SIN DATO"/>
    <s v="ABIERTO"/>
    <n v="-75.610441170000001"/>
    <n v="6.1975118299999998"/>
    <s v="SUR-ENE"/>
    <s v="Metropolitana Sur"/>
  </r>
  <r>
    <s v="23596269"/>
    <s v="ENEMRT"/>
    <s v="NUEVO"/>
    <s v="ENEMVI"/>
    <s v="21/11/2025 08:11:48"/>
    <s v="2025-11-21 08:11:49"/>
    <n v="98613876"/>
    <s v="LUIS ALBERTO SUAREZ DUARTE"/>
    <s v="SIN DATOS"/>
    <s v="3007561858"/>
    <s v="CL 63 CR 18 C -41 (INTERIOR 201 )"/>
    <x v="2"/>
    <s v="056113008300410201"/>
    <s v="Medellín"/>
    <x v="11"/>
    <s v="METR Mov Red Trans Anderson Castaño"/>
    <x v="1"/>
    <n v="9"/>
    <s v="2025-12-04 08:11:49"/>
    <s v="6 días 08:11"/>
    <s v="3 días 08:11"/>
    <x v="0"/>
    <s v="SIN DATO"/>
    <s v="SIN DATO"/>
    <s v="SIN DATO"/>
    <s v="ABIERTO"/>
    <n v="-75.540873000000005"/>
    <n v="6.254651"/>
    <s v="SUR-ENE"/>
    <s v="Metropolitana Sur"/>
  </r>
  <r>
    <s v="23596283"/>
    <s v="ENEMRT"/>
    <s v="NUEVO"/>
    <s v="ENEMVI"/>
    <s v="21/11/2025 08:19:59"/>
    <s v="2025-11-21 08:19:59"/>
    <n v="3255011"/>
    <s v="JOSE MESIAS GARCIA SACRISTAN"/>
    <s v="5738751"/>
    <s v="3185948042"/>
    <s v="CL 53 CR 110 -524 (INTERIOR 102 )"/>
    <x v="2"/>
    <s v="085113000005240102"/>
    <s v="Medellín"/>
    <x v="11"/>
    <s v="METR Mov Red Trans Anderson Castaño"/>
    <x v="1"/>
    <n v="9"/>
    <s v="2025-12-04 08:19:59"/>
    <s v="6 días 08:19"/>
    <s v="3 días 08:19"/>
    <x v="0"/>
    <s v="SIN DATO"/>
    <s v="SIN DATO"/>
    <s v="SIN DATO"/>
    <s v="ABIERTO"/>
    <n v="-75.627469000000005"/>
    <n v="6.2696709999999998"/>
    <s v="SUR-ENE"/>
    <s v="Metropolitana Sur"/>
  </r>
  <r>
    <s v="23596304"/>
    <s v="ENERES"/>
    <s v="NUEVO"/>
    <s v="ENEDOM"/>
    <s v="21/11/2025 08:36:14"/>
    <s v="2025-11-21 08:36:14"/>
    <n v="71141323"/>
    <s v="GUSTAVO DE JESUS CRUZ RUIZ"/>
    <s v="2991634"/>
    <s v="3148025851"/>
    <s v="RURAL_161012715000000205_PROV.161012715000000201"/>
    <x v="3"/>
    <s v="161012715000000205"/>
    <s v="Caldas"/>
    <x v="0"/>
    <s v="MET Rev-Inst-Concentra E_CR014"/>
    <x v="0"/>
    <n v="8"/>
    <s v="2025-12-03 08:36:14"/>
    <s v="6 días 08:36"/>
    <s v="2 días 08:36"/>
    <x v="1"/>
    <s v="SIN DATO"/>
    <s v="SIN DATO"/>
    <s v="SIN DATO"/>
    <s v="ABIERTO"/>
    <n v="-75.649164999999996"/>
    <n v="6.0846790000000004"/>
    <s v="SUR-ENE"/>
    <s v="Metropolitana Sur"/>
  </r>
  <r>
    <s v="23596333"/>
    <s v="ENERES"/>
    <s v="NUEVO"/>
    <s v="ENEDOM"/>
    <s v="27/11/2025 06:24:36"/>
    <s v="2025-11-27 06:24:36"/>
    <n v="9857101"/>
    <s v="JOSE ISRAEL GONZALEZ SARAZA"/>
    <s v="SIN DATOS"/>
    <s v="3113155696"/>
    <s v="CR 107 C CL 45 A -70 (INTERIOR 2139 )"/>
    <x v="2"/>
    <s v="084027305100702139"/>
    <s v="Medellín"/>
    <x v="7"/>
    <s v="Habilitación Viviendas Metrosur"/>
    <x v="1"/>
    <n v="5"/>
    <s v="2025-12-04 06:24:36"/>
    <s v="2 días 06:24"/>
    <s v="3 días 06:24"/>
    <x v="0"/>
    <s v="SIN DATO"/>
    <s v="SIN DATO"/>
    <s v="SIN DATO"/>
    <s v="ABIERTO"/>
    <n v="-75.621696999999998"/>
    <n v="6.2584850000000003"/>
    <s v="SUR-ENE"/>
    <s v="Metropolitana Sur"/>
  </r>
  <r>
    <s v="23596341"/>
    <s v="ENENOR"/>
    <s v="CAMBI"/>
    <s v="ENENOR"/>
    <s v="21/11/2025 09:04:33"/>
    <s v="2025-11-21 09:04:33"/>
    <n v="1017123436"/>
    <s v="CRISTIAN ADRIAN GOMEZ MUÑOZ"/>
    <s v="SIN DATOS"/>
    <s v="3113651861"/>
    <s v="CR 49 CL 48 -58 (INTERIOR 1001 )"/>
    <x v="2"/>
    <s v="054429008000581001"/>
    <s v="Medellín"/>
    <x v="1"/>
    <s v="MET Rev-Inst-Concentra E_CR014"/>
    <x v="1"/>
    <n v="7"/>
    <s v="2025-12-02 09:04:33"/>
    <s v="6 días 09:04"/>
    <s v="1 días 09:04"/>
    <x v="1"/>
    <s v="SIN DATO"/>
    <s v="SIN DATO"/>
    <s v="SIN DATO"/>
    <s v="ABIERTO"/>
    <n v="-75.567274999999995"/>
    <n v="6.2479990000000001"/>
    <s v="SUR-ENE"/>
    <s v="Metropolitana Sur"/>
  </r>
  <r>
    <s v="23596355"/>
    <s v="ENERES"/>
    <s v="NUEVO"/>
    <s v="ENERES"/>
    <s v="21/11/2025 09:18:42"/>
    <s v="2025-11-21 09:18:42"/>
    <n v="1036642801"/>
    <s v="STEFANIA MORALES TOBON"/>
    <s v="SIN DATOS"/>
    <s v="3136145990"/>
    <s v="CL 57 DD CR 23 B -48 (INTERIOR 201 )"/>
    <x v="2"/>
    <s v="055217443200480201"/>
    <s v="Medellín"/>
    <x v="2"/>
    <s v="Revisor Instal. Regadas Metrosur"/>
    <x v="1"/>
    <n v="7"/>
    <s v="2025-12-02 09:18:42"/>
    <s v="6 días 09:18"/>
    <s v="1 días 09:18"/>
    <x v="1"/>
    <s v="SIN DATO"/>
    <s v="SIN DATO"/>
    <s v="SIN DATO"/>
    <s v="ABIERTO"/>
    <n v="-75.545776630000006"/>
    <n v="6.24923552"/>
    <s v="SUR-ENE"/>
    <s v="Metropolitana Sur"/>
  </r>
  <r>
    <s v="23596476"/>
    <s v="ENEPRE"/>
    <s v="REUBI"/>
    <s v="ENEPRE"/>
    <s v="21/11/2025 10:49:18"/>
    <s v="2025-11-21 10:49:18"/>
    <n v="98660010"/>
    <s v="WILLIAN ALBERTO ORTIZ CASTAÑEDA"/>
    <s v="3427411"/>
    <s v="3113147433"/>
    <s v="CR 106 CL 31 AA -139 (INTERIOR 155 )"/>
    <x v="2"/>
    <s v="083026001111390155"/>
    <s v="Medellín"/>
    <x v="9"/>
    <s v="Energía Prepago Metrosur"/>
    <x v="1"/>
    <n v="11"/>
    <s v="2025-12-09 10:49:18"/>
    <s v="6 días 10:49"/>
    <s v="5 días 10:49"/>
    <x v="0"/>
    <s v="SIN DATO"/>
    <s v="SIN DATO"/>
    <s v="SIN DATO"/>
    <s v="ABIERTO"/>
    <n v="-75.623810000000006"/>
    <n v="6.2353120000000004"/>
    <s v="SUR-ENE"/>
    <s v="Metropolitana Sur"/>
  </r>
  <r>
    <s v="23596488"/>
    <s v="ENEPRE"/>
    <s v="RETIR"/>
    <s v="ENEPRE"/>
    <s v="21/11/2025 10:55:37"/>
    <s v="2025-11-21 10:55:37"/>
    <n v="43263487"/>
    <s v="SANDRA PATRICIA ARIAS VIDAL"/>
    <s v="SIN DATOS"/>
    <s v="3008026330"/>
    <s v="CL 48 FE CR 100 AG -3"/>
    <x v="2"/>
    <s v="084018650170030000-ENEPRE"/>
    <s v="Medellín"/>
    <x v="8"/>
    <s v="Energía Prepago Metrosur"/>
    <x v="1"/>
    <n v="11"/>
    <s v="2025-12-09 10:55:37"/>
    <s v="6 días 10:55"/>
    <s v="5 días 10:55"/>
    <x v="0"/>
    <s v="SIN DATO"/>
    <s v="SIN DATO"/>
    <s v="SIN DATO"/>
    <s v="ABIERTO"/>
    <n v="-75.615689000000003"/>
    <n v="6.261361"/>
    <s v="SUR-ENE"/>
    <s v="Metropolitana Sur"/>
  </r>
  <r>
    <s v="23596514"/>
    <s v="ENEMRT"/>
    <s v="NUEVO"/>
    <s v="ENEMVI"/>
    <s v="21/11/2025 11:19:22"/>
    <s v="2025-11-21 11:19:22"/>
    <n v="43668786"/>
    <s v="LUZ MARY BLANCO PEÑATA"/>
    <s v="SIN DATOS"/>
    <s v="3054403648"/>
    <s v="CL 56 AA CR 14 B -32 (INTERIOR 180 )"/>
    <x v="2"/>
    <s v="055116114200320180"/>
    <s v="Medellín"/>
    <x v="11"/>
    <s v="METR Mov Red Trans Anderson Castaño"/>
    <x v="1"/>
    <n v="9"/>
    <s v="2025-12-04 11:19:22"/>
    <s v="6 días 11:19"/>
    <s v="3 días 11:19"/>
    <x v="0"/>
    <s v="SIN DATO"/>
    <s v="SIN DATO"/>
    <s v="SIN DATO"/>
    <s v="ABIERTO"/>
    <n v="-75.538639000000003"/>
    <n v="6.239128"/>
    <s v="SUR-ENE"/>
    <s v="Metropolitana Sur"/>
  </r>
  <r>
    <s v="23596553"/>
    <s v="ENEMRT"/>
    <s v="NUEVO"/>
    <s v="ENEMVI"/>
    <s v="21/11/2025 11:40:49"/>
    <s v="2025-11-21 11:40:49"/>
    <n v="43001255"/>
    <s v="GLORIA  AMPARO GAÑAN  MUÑOZ"/>
    <s v="SIN DATOS"/>
    <s v="3044166238"/>
    <s v="CL 36 C CR 114 -139"/>
    <x v="2"/>
    <s v="083116304001390000"/>
    <s v="Medellín"/>
    <x v="11"/>
    <s v="METR Mov Red Trans Anderson Castaño"/>
    <x v="1"/>
    <n v="9"/>
    <s v="2025-12-04 11:40:49"/>
    <s v="6 días 11:40"/>
    <s v="3 días 11:40"/>
    <x v="0"/>
    <s v="SIN DATO"/>
    <s v="SIN DATO"/>
    <s v="SIN DATO"/>
    <s v="ABIERTO"/>
    <n v="-75.627688000000006"/>
    <n v="6.2488960000000002"/>
    <s v="SUR-ENE"/>
    <s v="Metropolitana Sur"/>
  </r>
  <r>
    <s v="23596556"/>
    <s v="ENEPRE"/>
    <s v="NUEVO"/>
    <s v="ENEPRE"/>
    <s v="21/11/2025 11:42:52"/>
    <s v="2025-11-21 11:42:52"/>
    <n v="43095174"/>
    <s v="LUZ STELLA ESCUDERO GALLEGO"/>
    <s v="SIN DATOS"/>
    <s v="3168563574"/>
    <s v="RURAL_116007800000000000_116007800000000000"/>
    <x v="2"/>
    <s v="116007800000000000"/>
    <s v="Medellín"/>
    <x v="6"/>
    <s v="Energía Prepago Metrosur"/>
    <x v="0"/>
    <n v="11"/>
    <s v="2025-12-09 11:42:52"/>
    <s v="6 días 11:42"/>
    <s v="5 días 11:42"/>
    <x v="0"/>
    <s v="SIN DATO"/>
    <s v="SIN DATO"/>
    <s v="SIN DATO"/>
    <s v="ABIERTO"/>
    <n v="-75.639167610000001"/>
    <n v="6.2399221699999998"/>
    <s v="SUR-ENE"/>
    <s v="Metropolitana Sur"/>
  </r>
  <r>
    <s v="23596600"/>
    <s v="ENEMRT"/>
    <s v="NUEVO"/>
    <s v="ENEMVI"/>
    <s v="21/11/2025 12:07:47"/>
    <s v="2025-11-21 12:07:47"/>
    <n v="21581417"/>
    <s v="LUZ EDILIA HIDALGO USUGA"/>
    <s v="SIN DATOS"/>
    <s v="3136507696"/>
    <s v="CR 129 CL 67 -260 (INTERIOR 168 )"/>
    <x v="2"/>
    <s v="086229007002600168"/>
    <s v="Medellín"/>
    <x v="11"/>
    <s v="METR Mov Red Trans Anderson Castaño"/>
    <x v="1"/>
    <n v="9"/>
    <s v="2025-12-04 12:07:47"/>
    <s v="6 días 12:07"/>
    <s v="3 días 12:07"/>
    <x v="0"/>
    <s v="SIN DATO"/>
    <s v="SIN DATO"/>
    <s v="SIN DATO"/>
    <s v="ABIERTO"/>
    <n v="-75.632484790000007"/>
    <n v="6.2847516900000002"/>
    <s v="SUR-ENE"/>
    <s v="Metropolitana Sur"/>
  </r>
  <r>
    <s v="23596601"/>
    <s v="ENEPRE"/>
    <s v="RETIR"/>
    <s v="ENEPRE"/>
    <s v="21/11/2025 12:09:19"/>
    <s v="2025-11-21 12:09:19"/>
    <n v="1073321596"/>
    <s v="JONATHAN  ESCOBAR CARDONA"/>
    <s v="SIN DATOS"/>
    <s v="3126174989"/>
    <s v="RURAL_159058914000000000_LA INMACULADA"/>
    <x v="0"/>
    <s v="159058914000000000-ENEPRE"/>
    <s v="La Estrella"/>
    <x v="8"/>
    <s v="Energía Prepago Metrosur"/>
    <x v="0"/>
    <n v="11"/>
    <s v="2025-12-09 12:09:19"/>
    <s v="6 días 12:09"/>
    <s v="5 días 12:09"/>
    <x v="0"/>
    <s v="SIN DATO"/>
    <s v="SIN DATO"/>
    <s v="SIN DATO"/>
    <s v="ABIERTO"/>
    <n v="-75.634455520000003"/>
    <n v="6.1362958599999997"/>
    <s v="SUR-ENE"/>
    <s v="Metropolitana Sur"/>
  </r>
  <r>
    <s v="23596623"/>
    <s v="ENERES"/>
    <s v="CAMBI"/>
    <s v="ENERES"/>
    <s v="21/11/2025 12:22:32"/>
    <s v="2025-11-21 12:22:32"/>
    <n v="901389507"/>
    <s v="CONSTRUCTORA HUDIVAL SAS"/>
    <s v="SIN DATOS"/>
    <s v="3216964527"/>
    <s v="CR 48 CL 48 -55"/>
    <x v="1"/>
    <s v="074428008000550000"/>
    <s v="Itaguí"/>
    <x v="5"/>
    <s v="MET Rev-Inst-Concentra E_CR014"/>
    <x v="1"/>
    <n v="7"/>
    <s v="2025-12-02 12:22:32"/>
    <s v="6 días 12:22"/>
    <s v="1 días 12:22"/>
    <x v="1"/>
    <s v="SIN DATO"/>
    <s v="SIN DATO"/>
    <s v="SIN DATO"/>
    <s v="ABIERTO"/>
    <n v="-75.610293999999996"/>
    <n v="6.1697410000000001"/>
    <s v="SUR-ENE"/>
    <s v="Metropolitana Sur"/>
  </r>
  <r>
    <s v="23596638"/>
    <s v="ENEMRT"/>
    <s v="NUEVO"/>
    <s v="ENEMVI"/>
    <s v="21/11/2025 12:31:31"/>
    <s v="2025-11-21 12:31:31"/>
    <n v="71774136"/>
    <s v="JAMES ASMED DE LA PAVA GARCIA"/>
    <s v="SIN DATOS"/>
    <s v="3108290301"/>
    <s v="CL 24 CR 73 -23"/>
    <x v="2"/>
    <s v="052714003000230000"/>
    <s v="Medellín"/>
    <x v="11"/>
    <s v="METR Mov Red Trans Anderson Castaño"/>
    <x v="1"/>
    <n v="9"/>
    <s v="2025-12-04 12:31:31"/>
    <s v="6 días 12:31"/>
    <s v="3 días 12:31"/>
    <x v="0"/>
    <s v="SIN DATO"/>
    <s v="SIN DATO"/>
    <s v="SIN DATO"/>
    <s v="ABIERTO"/>
    <n v="-75.594596699999997"/>
    <n v="6.2259718199999998"/>
    <s v="SUR-ENE"/>
    <s v="Metropolitana Sur"/>
  </r>
  <r>
    <s v="23596639"/>
    <s v="ENERES"/>
    <s v="NUEVO"/>
    <s v="ENERES"/>
    <s v="21/11/2025 12:31:37"/>
    <s v="2025-11-21 12:31:37"/>
    <n v="1146443174"/>
    <s v="ALDEBER DANIEL HIGUITA GOMEZ"/>
    <s v="SIN DATOS"/>
    <s v="3126863917"/>
    <s v="CR 111 C CL 13 -140 (INTERIOR 201 )"/>
    <x v="2"/>
    <s v="081121303001400201"/>
    <s v="Medellín"/>
    <x v="2"/>
    <s v="Revisor Instal. Regadas Metrosur"/>
    <x v="1"/>
    <n v="7"/>
    <s v="2025-12-02 12:31:37"/>
    <s v="6 días 12:31"/>
    <s v="1 días 12:31"/>
    <x v="1"/>
    <s v="SIN DATO"/>
    <s v="SIN DATO"/>
    <s v="SIN DATO"/>
    <s v="ABIERTO"/>
    <n v="-75.635024000000001"/>
    <n v="6.2203619999999997"/>
    <s v="SUR-ENE"/>
    <s v="Metropolitana Sur"/>
  </r>
  <r>
    <s v="23596669"/>
    <s v="ENEMRT"/>
    <s v="NUEVO"/>
    <s v="ENEMVI"/>
    <s v="21/11/2025 12:59:49"/>
    <s v="2025-11-21 12:59:49"/>
    <n v="1128419135"/>
    <s v="LOVERLLY ANDRES  MUÑOZ RAMIREZ"/>
    <s v="4963410"/>
    <s v="3145398207"/>
    <s v="CR 117 D CL 36 C -11"/>
    <x v="2"/>
    <s v="083127406300110000"/>
    <s v="Medellín"/>
    <x v="11"/>
    <s v="METR Mov Red Trans Anderson Castaño"/>
    <x v="1"/>
    <n v="9"/>
    <s v="2025-12-04 12:59:49"/>
    <s v="6 días 12:59"/>
    <s v="3 días 12:59"/>
    <x v="0"/>
    <s v="SIN DATO"/>
    <s v="SIN DATO"/>
    <s v="SIN DATO"/>
    <s v="ABIERTO"/>
    <n v="-75.629478879999994"/>
    <n v="6.2489738099999999"/>
    <s v="SUR-ENE"/>
    <s v="Metropolitana Sur"/>
  </r>
  <r>
    <s v="23596686"/>
    <s v="ENERES"/>
    <s v="NUEVO"/>
    <s v="ENERES"/>
    <s v="21/11/2025 13:31:02"/>
    <s v="2025-11-21 13:31:02"/>
    <n v="1146438259"/>
    <s v="MARIANA  TORRES ALVAREZ"/>
    <s v="3424742"/>
    <s v="3215299405"/>
    <s v="CR 106 CL 31 AA -85 (INTERIOR 201 )"/>
    <x v="2"/>
    <s v="083026001110850201"/>
    <s v="Medellín"/>
    <x v="2"/>
    <s v="Revisor Instal. Regadas Metrosur"/>
    <x v="1"/>
    <n v="7"/>
    <s v="2025-12-02 13:31:02"/>
    <s v="6 días 13:31"/>
    <s v="1 días 13:31"/>
    <x v="1"/>
    <s v="SIN DATO"/>
    <s v="SIN DATO"/>
    <s v="SIN DATO"/>
    <s v="ABIERTO"/>
    <n v="-75.624080000000006"/>
    <n v="6.234858"/>
    <s v="SUR-ENE"/>
    <s v="Metropolitana Sur"/>
  </r>
  <r>
    <s v="23596704"/>
    <s v="ENERES"/>
    <s v="CAMBI"/>
    <s v="ENERES"/>
    <s v="21/11/2025 14:04:36"/>
    <s v="2025-11-21 14:04:36"/>
    <n v="900911047"/>
    <s v="VIZZA INGENIERIA Y CONSTRUCTORA S.A.S"/>
    <s v="SIN DATOS"/>
    <s v="3136452476"/>
    <s v="CL 30 A CR 80 -73"/>
    <x v="2"/>
    <s v="053810100000730000"/>
    <s v="Medellín"/>
    <x v="5"/>
    <s v="MET Rev-Inst-Concentra E_CR014"/>
    <x v="1"/>
    <n v="7"/>
    <s v="2025-12-02 14:04:36"/>
    <s v="6 días 14:04"/>
    <s v="1 días 14:04"/>
    <x v="1"/>
    <s v="SIN DATO"/>
    <s v="SIN DATO"/>
    <s v="SIN DATO"/>
    <s v="ABIERTO"/>
    <n v="-75.601458859999994"/>
    <n v="6.2319239199999998"/>
    <s v="SUR-ENE"/>
    <s v="Metropolitana Sur"/>
  </r>
  <r>
    <s v="23597482"/>
    <s v="ENEMRT"/>
    <s v="NUEVO"/>
    <s v="ENEMVI"/>
    <s v="24/11/2025 07:15:36"/>
    <s v="2025-11-24 07:15:36"/>
    <n v="43107017"/>
    <s v="LINA MARIA RESTREPO SALINAS"/>
    <s v="SIN DATOS"/>
    <s v="3116314937"/>
    <s v="163017848500000202_LOMA LOS ZULETA"/>
    <x v="1"/>
    <s v="900053600001852053"/>
    <s v="Itaguí"/>
    <x v="11"/>
    <s v="Mov Red Trans Dairo Gil"/>
    <x v="1"/>
    <n v="9"/>
    <s v="2025-12-05 07:15:36"/>
    <s v="5 días 07:15"/>
    <s v="4 días 07:15"/>
    <x v="0"/>
    <s v="SIN DATO"/>
    <s v="SIN DATO"/>
    <s v="SIN DATO"/>
    <s v="ABIERTO"/>
    <n v="-75.614312745000007"/>
    <n v="6.1789636690000398"/>
    <s v="SUR-ENE"/>
    <s v="Metropolitana Sur"/>
  </r>
  <r>
    <s v="23597501"/>
    <s v="ENEPRE"/>
    <s v="NUEVO"/>
    <s v="ENEPRE"/>
    <s v="24/11/2025 07:58:17"/>
    <s v="2025-11-24 16:18:31"/>
    <n v="71241780"/>
    <s v="DANER URRUTIA JORDAN"/>
    <s v="SIN DATOS"/>
    <s v="3206334199"/>
    <s v="CR 10 CL 55 -405 (INTERIOR 205 )"/>
    <x v="2"/>
    <s v="055120005004050205"/>
    <s v="Medellín"/>
    <x v="0"/>
    <s v="Energía Prepago Metrosur"/>
    <x v="1"/>
    <n v="5"/>
    <s v="2025-12-01 16:18:31"/>
    <s v="5 días 16:18"/>
    <s v="0 días 16:18"/>
    <x v="3"/>
    <s v="SIN DATO"/>
    <s v="SIN DATO"/>
    <s v="SIN DATO"/>
    <s v="ABIERTO"/>
    <n v="-75.534627"/>
    <n v="6.2378309999999999"/>
    <s v="SUR-ENE"/>
    <s v="Metropolitana Sur"/>
  </r>
  <r>
    <s v="23597515"/>
    <s v="ENECNX"/>
    <s v="NUEVO"/>
    <s v="ENECNX"/>
    <s v="24/11/2025 08:22:59"/>
    <s v="2025-11-24 08:22:59"/>
    <n v="43142344"/>
    <s v="MARINELA MARIA GONZALEZ ESPINOSA"/>
    <s v="SIN DATOS"/>
    <s v="3108299374"/>
    <s v="RURAL_122042270000000000_122042270000000000"/>
    <x v="2"/>
    <s v="122042270000000000"/>
    <s v="Medellín"/>
    <x v="3"/>
    <s v="Revisor Punto de Conexión Oriente"/>
    <x v="0"/>
    <n v="4"/>
    <s v="2025-11-28 08:22:59"/>
    <s v="5 días 08:22"/>
    <s v="VENCIDO"/>
    <x v="2"/>
    <s v="SIN DATO"/>
    <s v="SIN DATO"/>
    <s v="SIN DATO"/>
    <s v="ABIERTO"/>
    <n v="-75.493202400000001"/>
    <n v="6.2019366900000001"/>
    <s v="SUR-ENE"/>
    <s v="Metropolitana Sur"/>
  </r>
  <r>
    <s v="23597516"/>
    <s v="ENENOR"/>
    <s v="NUEVO"/>
    <s v="ENENOR"/>
    <s v="24/11/2025 08:24:08"/>
    <s v="2025-11-24 08:24:08"/>
    <n v="900467839"/>
    <s v="ANTIOQUEÑA DE REFRIFERACION LF SAS"/>
    <s v="4082870"/>
    <s v="3136718162"/>
    <s v="CR 54 CL 59 -29"/>
    <x v="2"/>
    <s v="055524009000290000"/>
    <s v="Medellín"/>
    <x v="4"/>
    <s v="Revisor Instal. Regadas Metrosur"/>
    <x v="1"/>
    <n v="7"/>
    <s v="2025-12-03 08:24:08"/>
    <s v="5 días 08:24"/>
    <s v="2 días 08:24"/>
    <x v="1"/>
    <s v="SIN DATO"/>
    <s v="SIN DATO"/>
    <s v="SIN DATO"/>
    <s v="ABIERTO"/>
    <n v="-75.56939697"/>
    <n v="6.2586927399999999"/>
    <s v="SUR-ENE"/>
    <s v="Metropolitana Sur"/>
  </r>
  <r>
    <s v="23597530"/>
    <s v="ENEMRT"/>
    <s v="NUEVO"/>
    <s v="ENEMVI"/>
    <s v="24/11/2025 08:41:47"/>
    <s v="2025-11-24 08:41:47"/>
    <n v="1152462189"/>
    <s v="YESID ALEJANDRO SANCHEZ VALENCIA"/>
    <s v="SIN DATOS"/>
    <s v="3122412860"/>
    <s v="CL 26 CR 84 BC -63"/>
    <x v="2"/>
    <s v="052816004230630000"/>
    <s v="Medellín"/>
    <x v="11"/>
    <s v="METR Mov Red Trans Anderson Castaño"/>
    <x v="1"/>
    <n v="9"/>
    <s v="2025-12-05 08:41:47"/>
    <s v="5 días 08:41"/>
    <s v="4 días 08:41"/>
    <x v="0"/>
    <s v="SIN DATO"/>
    <s v="SIN DATO"/>
    <s v="SIN DATO"/>
    <s v="ABIERTO"/>
    <n v="-75.608904850000002"/>
    <n v="6.2275337500000001"/>
    <s v="SUR-ENE"/>
    <s v="Metropolitana Sur"/>
  </r>
  <r>
    <s v="23597531"/>
    <s v="ENEMRT"/>
    <s v="NUEVO"/>
    <s v="ENEMVI"/>
    <s v="24/11/2025 08:42:05"/>
    <s v="2025-11-24 08:42:05"/>
    <n v="70567547"/>
    <s v="EDWIN LIBARDO MARULANDA CORREA"/>
    <s v="SIN DATOS"/>
    <s v="3175594332"/>
    <s v="CR 31 CL 29 -95 (INTERIOR 102 )"/>
    <x v="2"/>
    <s v="052321009000950102"/>
    <s v="Medellín"/>
    <x v="11"/>
    <s v="METR Mov Red Trans Anderson Castaño"/>
    <x v="1"/>
    <n v="9"/>
    <s v="2025-12-05 08:42:05"/>
    <s v="5 días 08:42"/>
    <s v="4 días 08:42"/>
    <x v="0"/>
    <s v="SIN DATO"/>
    <s v="SIN DATO"/>
    <s v="SIN DATO"/>
    <s v="ABIERTO"/>
    <n v="-75.560669480000001"/>
    <n v="6.22803548"/>
    <s v="SUR-ENE"/>
    <s v="Metropolitana Sur"/>
  </r>
  <r>
    <s v="23597539"/>
    <s v="ENERES"/>
    <s v="NUEVO"/>
    <s v="ENERES"/>
    <s v="24/11/2025 08:52:16"/>
    <s v="2025-11-24 08:52:16"/>
    <n v="1042771985"/>
    <s v="SINDY DANIELA PINILLOS ZABALA"/>
    <s v="SIN DATOS"/>
    <s v="3005701732"/>
    <s v="RURAL_146001904000000038"/>
    <x v="2"/>
    <s v="146001904000000038"/>
    <s v="Medellín"/>
    <x v="2"/>
    <s v="Revisor Instal. Regadas Metrosur"/>
    <x v="0"/>
    <n v="10"/>
    <s v="2025-12-09 08:52:16"/>
    <s v="5 días 08:52"/>
    <s v="5 días 08:52"/>
    <x v="0"/>
    <s v="SIN DATO"/>
    <s v="SIN DATO"/>
    <s v="SIN DATO"/>
    <s v="ABIERTO"/>
    <n v="-75.619883150000007"/>
    <n v="6.29025722"/>
    <s v="SUR-ENE"/>
    <s v="Metropolitana Sur"/>
  </r>
  <r>
    <s v="23597551"/>
    <s v="ENERES"/>
    <s v="NUEVO"/>
    <s v="ENERES"/>
    <s v="24/11/2025 08:58:23"/>
    <s v="2025-11-24 08:58:23"/>
    <n v="98520025"/>
    <s v="LEON DE JESUS AGUDELO HURTADO"/>
    <s v="5036103"/>
    <s v="3167158913"/>
    <s v="CL 9 SUR CR 54 E -69 (INTERIOR 208 )"/>
    <x v="2"/>
    <s v="040519004500690208"/>
    <s v="Medellín"/>
    <x v="2"/>
    <s v="Revisor Instal. Regadas Metrosur"/>
    <x v="1"/>
    <n v="7"/>
    <s v="2025-12-03 08:58:23"/>
    <s v="5 días 08:58"/>
    <s v="2 días 08:58"/>
    <x v="1"/>
    <s v="EJECUTADO EN CAMPO"/>
    <s v="JUAN GUILLERMO RIVERA MAZO"/>
    <s v="Legalizado "/>
    <s v="ALERTA"/>
    <n v="-75.593997999999999"/>
    <n v="6.2017090000000001"/>
    <s v="SUR-ENE"/>
    <s v="Metropolitana Sur"/>
  </r>
  <r>
    <s v="23597656"/>
    <s v="ENERES"/>
    <s v="NUEVO"/>
    <s v="ENEDOM"/>
    <s v="24/11/2025 10:20:43"/>
    <s v="2025-11-24 10:20:43"/>
    <n v="1036639257"/>
    <s v="JOHN STIVEN CASTAÑO GIRALDO"/>
    <s v="SIN DATOS"/>
    <s v="3113668886"/>
    <s v="CR 79 B CL 46 SUR -15 (INTERIOR 101 )"/>
    <x v="2"/>
    <s v="044729206000150101"/>
    <s v="Medellín"/>
    <x v="0"/>
    <s v="Habilitación Viviendas Metrosur"/>
    <x v="1"/>
    <n v="5"/>
    <s v="2025-12-01 10:20:43"/>
    <s v="5 días 10:20"/>
    <s v="VENCIDO"/>
    <x v="2"/>
    <s v="SIN DATO"/>
    <s v="SIN DATO"/>
    <s v="SIN DATO"/>
    <s v="ABIERTO"/>
    <n v="-75.657697529999993"/>
    <n v="6.1802313699999996"/>
    <s v="SUR-ENE"/>
    <s v="Metropolitana Sur"/>
  </r>
  <r>
    <s v="23597663"/>
    <s v="ENERES"/>
    <s v="NUEVO"/>
    <s v="ENERES"/>
    <s v="24/11/2025 10:24:09"/>
    <s v="2025-11-24 10:24:09"/>
    <n v="900982391"/>
    <s v="PROMOTORA COSTA AZUL S.A.S"/>
    <s v="5913058"/>
    <s v="SIN DATOS"/>
    <s v="CL 75 SUR CR 57 -22 (INTERIOR 713 BQ 3 COSTA AZUL"/>
    <x v="0"/>
    <s v="037515007000220713"/>
    <s v="La Estrella"/>
    <x v="2"/>
    <s v="Revisor Inst. Particulares Metrosur"/>
    <x v="1"/>
    <n v="7"/>
    <s v="2025-12-03 10:24:09"/>
    <s v="5 días 10:24"/>
    <s v="2 días 10:24"/>
    <x v="1"/>
    <s v="SIN DATO"/>
    <s v="SIN DATO"/>
    <s v="SIN DATO"/>
    <s v="ABIERTO"/>
    <n v="-75.649831634999899"/>
    <n v="6.1379125160000303"/>
    <s v="SUR-ENE"/>
    <s v="Metropolitana Sur"/>
  </r>
  <r>
    <s v="23597684"/>
    <s v="ENENOR"/>
    <s v="CAMBI"/>
    <s v="ENENOR"/>
    <s v="24/11/2025 10:35:39"/>
    <s v="2025-11-24 10:35:39"/>
    <n v="43644678"/>
    <s v="BLANCA LUCIA MONTES GIRALDO"/>
    <s v="SIN DATOS"/>
    <s v="3012584149"/>
    <s v="CL 43 CR 66 -17"/>
    <x v="2"/>
    <s v="054613006000170000"/>
    <s v="Medellín"/>
    <x v="1"/>
    <s v="MET Rev-Inst-Concentra E_CR014"/>
    <x v="1"/>
    <n v="7"/>
    <s v="2025-12-03 10:35:39"/>
    <s v="5 días 10:35"/>
    <s v="2 días 10:35"/>
    <x v="1"/>
    <s v="SIN DATO"/>
    <s v="SIN DATO"/>
    <s v="SIN DATO"/>
    <s v="ABIERTO"/>
    <n v="-75.584685840000006"/>
    <n v="6.24781852"/>
    <s v="SUR-ENE"/>
    <s v="Metropolitana Sur"/>
  </r>
  <r>
    <s v="23597699"/>
    <s v="ENERES"/>
    <s v="NUEVO"/>
    <s v="ENERES"/>
    <s v="24/11/2025 10:43:03"/>
    <s v="2025-11-24 10:43:03"/>
    <n v="900982391"/>
    <s v="PROMOTORA COSTA AZUL S.A.S"/>
    <s v="5913058"/>
    <s v="SIN DATOS"/>
    <s v="CL 75 SUR CR 57 -22 (INTERIOR 1014 BQ 3 COSTA AZUL"/>
    <x v="0"/>
    <s v="037515007000221014"/>
    <s v="La Estrella"/>
    <x v="2"/>
    <s v="Revisor Inst. Particulares Metrosur"/>
    <x v="1"/>
    <n v="7"/>
    <s v="2025-12-03 10:43:03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00"/>
    <s v="ENERES"/>
    <s v="NUEVO"/>
    <s v="ENERES"/>
    <s v="24/11/2025 10:43:06"/>
    <s v="2025-11-24 10:43:06"/>
    <n v="900982391"/>
    <s v="PROMOTORA COSTA AZUL S.A.S"/>
    <s v="5913058"/>
    <s v="SIN DATOS"/>
    <s v="CL 75 SUR CR 57 -22 (INTERIOR 2116 BQ 3 COSTA AZUL"/>
    <x v="0"/>
    <s v="037515007000222116"/>
    <s v="La Estrella"/>
    <x v="2"/>
    <s v="Revisor Inst. Particulares Metrosur"/>
    <x v="1"/>
    <n v="7"/>
    <s v="2025-12-03 10:43:06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01"/>
    <s v="ENERES"/>
    <s v="NUEVO"/>
    <s v="ENERES"/>
    <s v="24/11/2025 10:43:07"/>
    <s v="2025-11-24 10:43:07"/>
    <n v="900982391"/>
    <s v="PROMOTORA COSTA AZUL S.A.S"/>
    <s v="5913058"/>
    <s v="SIN DATOS"/>
    <s v="CL 75 SUR CR 57 -22 (INTERIOR 2216 BQ 3 COSTA AZUL"/>
    <x v="0"/>
    <s v="037515007000222216"/>
    <s v="La Estrella"/>
    <x v="2"/>
    <s v="Revisor Inst. Particulares Metrosur"/>
    <x v="1"/>
    <n v="7"/>
    <s v="2025-12-03 10:43:07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02"/>
    <s v="ENERES"/>
    <s v="NUEVO"/>
    <s v="ENERES"/>
    <s v="24/11/2025 10:43:09"/>
    <s v="2025-11-24 10:43:09"/>
    <n v="900982391"/>
    <s v="PROMOTORA COSTA AZUL S.A.S"/>
    <s v="5913058"/>
    <s v="SIN DATOS"/>
    <s v="CL 75 SUR CR 57 -22 (INTERIOR 2413 BQ 3 COSTA AZUL"/>
    <x v="0"/>
    <s v="037515007000222413"/>
    <s v="La Estrella"/>
    <x v="2"/>
    <s v="Revisor Inst. Particulares Metrosur"/>
    <x v="1"/>
    <n v="7"/>
    <s v="2025-12-03 10:43:09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03"/>
    <s v="ENERES"/>
    <s v="NUEVO"/>
    <s v="ENERES"/>
    <s v="24/11/2025 10:43:09"/>
    <s v="2025-11-24 10:43:09"/>
    <n v="900982391"/>
    <s v="PROMOTORA COSTA AZUL S.A.S"/>
    <s v="5913058"/>
    <s v="SIN DATOS"/>
    <s v="CL 75 SUR CR 57 -22 (INTERIOR 2015 BQ 3 COSTA AZUL"/>
    <x v="0"/>
    <s v="037515007000222015"/>
    <s v="La Estrella"/>
    <x v="2"/>
    <s v="Revisor Inst. Particulares Metrosur"/>
    <x v="1"/>
    <n v="7"/>
    <s v="2025-12-03 10:43:09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04"/>
    <s v="ENERES"/>
    <s v="NUEVO"/>
    <s v="ENERES"/>
    <s v="24/11/2025 10:43:10"/>
    <s v="2025-11-24 10:43:10"/>
    <n v="900982391"/>
    <s v="PROMOTORA COSTA AZUL S.A.S"/>
    <s v="5913058"/>
    <s v="SIN DATOS"/>
    <s v="CL 75 SUR CR 57 -22 (INTERIOR 1914 BQ 3 COSTA AZUL"/>
    <x v="0"/>
    <s v="037515007000221914"/>
    <s v="La Estrella"/>
    <x v="2"/>
    <s v="Revisor Inst. Particulares Metrosur"/>
    <x v="1"/>
    <n v="7"/>
    <s v="2025-12-03 10:43:10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05"/>
    <s v="ENERES"/>
    <s v="NUEVO"/>
    <s v="ENERES"/>
    <s v="24/11/2025 10:43:10"/>
    <s v="2025-11-24 10:43:10"/>
    <n v="900982391"/>
    <s v="PROMOTORA COSTA AZUL S.A.S"/>
    <s v="5913058"/>
    <s v="SIN DATOS"/>
    <s v="CL 75 SUR CR 57 -22 (INTERIOR 918 BQ 3 COSTA AZUL"/>
    <x v="0"/>
    <s v="037515007000220918"/>
    <s v="La Estrella"/>
    <x v="2"/>
    <s v="Revisor Inst. Particulares Metrosur"/>
    <x v="1"/>
    <n v="7"/>
    <s v="2025-12-03 10:43:10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06"/>
    <s v="ENERES"/>
    <s v="NUEVO"/>
    <s v="ENERES"/>
    <s v="24/11/2025 10:43:12"/>
    <s v="2025-11-24 10:43:12"/>
    <n v="900982391"/>
    <s v="PROMOTORA COSTA AZUL S.A.S"/>
    <s v="5913058"/>
    <s v="SIN DATOS"/>
    <s v="CL 75 SUR CR 57 -22 (INTERIOR 718 BQ 3 COSTA AZUL"/>
    <x v="0"/>
    <s v="037515007000220718"/>
    <s v="La Estrella"/>
    <x v="2"/>
    <s v="Revisor Inst. Particulares Metrosur"/>
    <x v="1"/>
    <n v="7"/>
    <s v="2025-12-03 10:43:12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07"/>
    <s v="ENERES"/>
    <s v="NUEVO"/>
    <s v="ENERES"/>
    <s v="24/11/2025 10:43:12"/>
    <s v="2025-11-24 10:43:12"/>
    <n v="900982391"/>
    <s v="PROMOTORA COSTA AZUL S.A.S"/>
    <s v="5913058"/>
    <s v="SIN DATOS"/>
    <s v="CL 75 SUR CR 57 -22 (INTERIOR 2017 BQ 3 COSTA AZUL"/>
    <x v="0"/>
    <s v="037515007000222017"/>
    <s v="La Estrella"/>
    <x v="2"/>
    <s v="Revisor Inst. Particulares Metrosur"/>
    <x v="1"/>
    <n v="7"/>
    <s v="2025-12-03 10:43:12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08"/>
    <s v="ENERES"/>
    <s v="NUEVO"/>
    <s v="ENERES"/>
    <s v="24/11/2025 10:43:13"/>
    <s v="2025-11-24 10:43:13"/>
    <n v="900982391"/>
    <s v="PROMOTORA COSTA AZUL S.A.S"/>
    <s v="5913058"/>
    <s v="SIN DATOS"/>
    <s v="CL 75 SUR CR 57 -22 (INTERIOR 714 BQ 3 COSTA AZUL"/>
    <x v="0"/>
    <s v="037515007000220714"/>
    <s v="La Estrella"/>
    <x v="2"/>
    <s v="Revisor Inst. Particulares Metrosur"/>
    <x v="1"/>
    <n v="7"/>
    <s v="2025-12-03 10:43:13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09"/>
    <s v="ENERES"/>
    <s v="NUEVO"/>
    <s v="ENERES"/>
    <s v="24/11/2025 10:43:14"/>
    <s v="2025-11-24 10:43:14"/>
    <n v="900982391"/>
    <s v="PROMOTORA COSTA AZUL S.A.S"/>
    <s v="5913058"/>
    <s v="SIN DATOS"/>
    <s v="CL 75 SUR CR 57 -22 (INTERIOR 2317 BQ 3 COSTA AZUL"/>
    <x v="0"/>
    <s v="037515007000222317"/>
    <s v="La Estrella"/>
    <x v="2"/>
    <s v="Revisor Inst. Particulares Metrosur"/>
    <x v="1"/>
    <n v="7"/>
    <s v="2025-12-03 10:43:14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10"/>
    <s v="ENERES"/>
    <s v="NUEVO"/>
    <s v="ENERES"/>
    <s v="24/11/2025 10:43:16"/>
    <s v="2025-11-24 10:43:16"/>
    <n v="900982391"/>
    <s v="PROMOTORA COSTA AZUL S.A.S"/>
    <s v="5913058"/>
    <s v="SIN DATOS"/>
    <s v="CL 75 SUR CR 57 -22 (INTERIOR 715 BQ 3 COSTA AZUL"/>
    <x v="0"/>
    <s v="037515007000220715"/>
    <s v="La Estrella"/>
    <x v="2"/>
    <s v="Revisor Inst. Particulares Metrosur"/>
    <x v="1"/>
    <n v="7"/>
    <s v="2025-12-03 10:43:16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11"/>
    <s v="ENERES"/>
    <s v="NUEVO"/>
    <s v="ENERES"/>
    <s v="24/11/2025 10:43:16"/>
    <s v="2025-11-24 10:43:16"/>
    <n v="900982391"/>
    <s v="PROMOTORA COSTA AZUL S.A.S"/>
    <s v="5913058"/>
    <s v="SIN DATOS"/>
    <s v="CL 75 SUR CR 57 -22 (INTERIOR 2613 BQ 3 COSTA AZUL"/>
    <x v="0"/>
    <s v="037515007000222613"/>
    <s v="La Estrella"/>
    <x v="2"/>
    <s v="Revisor Inst. Particulares Metrosur"/>
    <x v="1"/>
    <n v="7"/>
    <s v="2025-12-03 10:43:16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12"/>
    <s v="ENERES"/>
    <s v="NUEVO"/>
    <s v="ENERES"/>
    <s v="24/11/2025 10:43:16"/>
    <s v="2025-11-24 10:43:16"/>
    <n v="900982391"/>
    <s v="PROMOTORA COSTA AZUL S.A.S"/>
    <s v="5913058"/>
    <s v="SIN DATOS"/>
    <s v="CL 75 SUR CR 57 -22 (INTERIOR 2018 BQ 3 COSTA AZUL"/>
    <x v="0"/>
    <s v="037515007000222018"/>
    <s v="La Estrella"/>
    <x v="2"/>
    <s v="Revisor Inst. Particulares Metrosur"/>
    <x v="1"/>
    <n v="7"/>
    <s v="2025-12-03 10:43:16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13"/>
    <s v="ENERES"/>
    <s v="NUEVO"/>
    <s v="ENERES"/>
    <s v="24/11/2025 10:43:18"/>
    <s v="2025-11-24 10:43:18"/>
    <n v="900982391"/>
    <s v="PROMOTORA COSTA AZUL S.A.S"/>
    <s v="5913058"/>
    <s v="SIN DATOS"/>
    <s v="CL 75 SUR CR 57 -22 (INTERIOR 916 BQ 3 COSTA AZUL"/>
    <x v="0"/>
    <s v="037515007000220916"/>
    <s v="La Estrella"/>
    <x v="2"/>
    <s v="Revisor Inst. Particulares Metrosur"/>
    <x v="1"/>
    <n v="7"/>
    <s v="2025-12-03 10:43:18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14"/>
    <s v="ENERES"/>
    <s v="NUEVO"/>
    <s v="ENERES"/>
    <s v="24/11/2025 10:43:18"/>
    <s v="2025-11-24 10:43:18"/>
    <n v="900982391"/>
    <s v="PROMOTORA COSTA AZUL S.A.S"/>
    <s v="5913058"/>
    <s v="SIN DATOS"/>
    <s v="CL 75 SUR CR 57 -22 (INTERIOR 815 BQ 3 COSTA AZUL"/>
    <x v="0"/>
    <s v="037515007000220815"/>
    <s v="La Estrella"/>
    <x v="2"/>
    <s v="Revisor Inst. Particulares Metrosur"/>
    <x v="1"/>
    <n v="7"/>
    <s v="2025-12-03 10:43:18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15"/>
    <s v="ENERES"/>
    <s v="NUEVO"/>
    <s v="ENERES"/>
    <s v="24/11/2025 10:43:18"/>
    <s v="2025-11-24 10:43:18"/>
    <n v="900982391"/>
    <s v="PROMOTORA COSTA AZUL S.A.S"/>
    <s v="5913058"/>
    <s v="SIN DATOS"/>
    <s v="CL 75 SUR CR 57 -22 (INTERIOR 2117 BQ 3 COSTA AZUL"/>
    <x v="0"/>
    <s v="037515007000222117"/>
    <s v="La Estrella"/>
    <x v="2"/>
    <s v="Revisor Inst. Particulares Metrosur"/>
    <x v="1"/>
    <n v="7"/>
    <s v="2025-12-03 10:43:18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16"/>
    <s v="ENERES"/>
    <s v="NUEVO"/>
    <s v="ENERES"/>
    <s v="24/11/2025 10:43:20"/>
    <s v="2025-11-24 10:43:20"/>
    <n v="900982391"/>
    <s v="PROMOTORA COSTA AZUL S.A.S"/>
    <s v="5913058"/>
    <s v="SIN DATOS"/>
    <s v="CL 75 SUR CR 57 -22 (INTERIOR 1813 BQ 3 COSTA AZUL"/>
    <x v="0"/>
    <s v="037515007000221813"/>
    <s v="La Estrella"/>
    <x v="2"/>
    <s v="Revisor Inst. Particulares Metrosur"/>
    <x v="1"/>
    <n v="7"/>
    <s v="2025-12-03 10:43:20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17"/>
    <s v="ENERES"/>
    <s v="NUEVO"/>
    <s v="ENERES"/>
    <s v="24/11/2025 10:43:20"/>
    <s v="2025-11-24 10:43:20"/>
    <n v="900982391"/>
    <s v="PROMOTORA COSTA AZUL S.A.S"/>
    <s v="5913058"/>
    <s v="SIN DATOS"/>
    <s v="CL 75 SUR CR 57 -22 (INTERIOR 2217 BQ 3 COSTA AZUL"/>
    <x v="0"/>
    <s v="037515007000222217"/>
    <s v="La Estrella"/>
    <x v="2"/>
    <s v="Revisor Inst. Particulares Metrosur"/>
    <x v="1"/>
    <n v="7"/>
    <s v="2025-12-03 10:43:20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18"/>
    <s v="ENERES"/>
    <s v="NUEVO"/>
    <s v="ENERES"/>
    <s v="24/11/2025 10:43:26"/>
    <s v="2025-11-24 10:43:26"/>
    <n v="900982391"/>
    <s v="PROMOTORA COSTA AZUL S.A.S"/>
    <s v="5913058"/>
    <s v="SIN DATOS"/>
    <s v="CL 75 SUR CR 57 -22 (INTERIOR 1218 BQ 3 COSTA AZUL"/>
    <x v="0"/>
    <s v="037515007000221218"/>
    <s v="La Estrella"/>
    <x v="2"/>
    <s v="Revisor Inst. Particulares Metrosur"/>
    <x v="1"/>
    <n v="7"/>
    <s v="2025-12-03 10:43:26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19"/>
    <s v="ENERES"/>
    <s v="NUEVO"/>
    <s v="ENERES"/>
    <s v="24/11/2025 10:43:25"/>
    <s v="2025-11-24 10:43:25"/>
    <n v="900982391"/>
    <s v="PROMOTORA COSTA AZUL S.A.S"/>
    <s v="5913058"/>
    <s v="SIN DATOS"/>
    <s v="CL 75 SUR CR 57 -22 (INTERIOR 2318 BQ 3 COSTA AZUL"/>
    <x v="0"/>
    <s v="037515007000222318"/>
    <s v="La Estrella"/>
    <x v="2"/>
    <s v="Revisor Inst. Particulares Metrosur"/>
    <x v="1"/>
    <n v="7"/>
    <s v="2025-12-03 10:43:25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20"/>
    <s v="ENERES"/>
    <s v="NUEVO"/>
    <s v="ENERES"/>
    <s v="24/11/2025 10:43:26"/>
    <s v="2025-11-24 10:43:26"/>
    <n v="900982391"/>
    <s v="PROMOTORA COSTA AZUL S.A.S"/>
    <s v="5913058"/>
    <s v="SIN DATOS"/>
    <s v="CL 75 SUR CR 57 -22 (INTERIOR 2213 BQ 3 COSTA AZUL"/>
    <x v="0"/>
    <s v="037515007000222213"/>
    <s v="La Estrella"/>
    <x v="2"/>
    <s v="Revisor Inst. Particulares Metrosur"/>
    <x v="1"/>
    <n v="7"/>
    <s v="2025-12-03 10:43:26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21"/>
    <s v="ENERES"/>
    <s v="NUEVO"/>
    <s v="ENERES"/>
    <s v="24/11/2025 10:43:26"/>
    <s v="2025-11-24 10:43:26"/>
    <n v="900982391"/>
    <s v="PROMOTORA COSTA AZUL S.A.S"/>
    <s v="5913058"/>
    <s v="SIN DATOS"/>
    <s v="CL 75 SUR CR 57 -22 (INTERIOR 2414 BQ 3 COSTA AZUL"/>
    <x v="0"/>
    <s v="037515007000222414"/>
    <s v="La Estrella"/>
    <x v="2"/>
    <s v="Revisor Inst. Particulares Metrosur"/>
    <x v="1"/>
    <n v="7"/>
    <s v="2025-12-03 10:43:26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22"/>
    <s v="ENERES"/>
    <s v="NUEVO"/>
    <s v="ENERES"/>
    <s v="24/11/2025 10:43:27"/>
    <s v="2025-11-24 10:43:27"/>
    <n v="900982391"/>
    <s v="PROMOTORA COSTA AZUL S.A.S"/>
    <s v="5913058"/>
    <s v="SIN DATOS"/>
    <s v="CL 75 SUR CR 57 -22 (INTERIOR 917 BQ 3 COSTA AZUL"/>
    <x v="0"/>
    <s v="037515007000220917"/>
    <s v="La Estrella"/>
    <x v="2"/>
    <s v="Revisor Inst. Particulares Metrosur"/>
    <x v="1"/>
    <n v="7"/>
    <s v="2025-12-03 10:43:27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23"/>
    <s v="ENERES"/>
    <s v="NUEVO"/>
    <s v="ENERES"/>
    <s v="24/11/2025 10:43:28"/>
    <s v="2025-11-24 10:43:28"/>
    <n v="900982391"/>
    <s v="PROMOTORA COSTA AZUL S.A.S"/>
    <s v="5913058"/>
    <s v="SIN DATOS"/>
    <s v="CL 75 SUR CR 57 -22 (INTERIOR 2215 BQ 3 COSTA AZUL"/>
    <x v="0"/>
    <s v="037515007000222215"/>
    <s v="La Estrella"/>
    <x v="2"/>
    <s v="Revisor Inst. Particulares Metrosur"/>
    <x v="1"/>
    <n v="7"/>
    <s v="2025-12-03 10:43:28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24"/>
    <s v="ENERES"/>
    <s v="NUEVO"/>
    <s v="ENERES"/>
    <s v="24/11/2025 10:43:28"/>
    <s v="2025-11-24 10:43:28"/>
    <n v="900982391"/>
    <s v="PROMOTORA COSTA AZUL S.A.S"/>
    <s v="5913058"/>
    <s v="SIN DATOS"/>
    <s v="CL 75 SUR CR 57 -22 (INTERIOR 2016 BQ 3 COSTA AZUL"/>
    <x v="0"/>
    <s v="037515007000222016"/>
    <s v="La Estrella"/>
    <x v="2"/>
    <s v="Revisor Inst. Particulares Metrosur"/>
    <x v="1"/>
    <n v="7"/>
    <s v="2025-12-03 10:43:28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25"/>
    <s v="ENERES"/>
    <s v="NUEVO"/>
    <s v="ENERES"/>
    <s v="24/11/2025 10:43:30"/>
    <s v="2025-11-24 10:43:30"/>
    <n v="900982391"/>
    <s v="PROMOTORA COSTA AZUL S.A.S"/>
    <s v="5913058"/>
    <s v="SIN DATOS"/>
    <s v="CL 75 SUR CR 57 -22 (INTERIOR 1013 BQ 3 COSTA AZUL"/>
    <x v="0"/>
    <s v="037515007000221013"/>
    <s v="La Estrella"/>
    <x v="2"/>
    <s v="Revisor Inst. Particulares Metrosur"/>
    <x v="1"/>
    <n v="7"/>
    <s v="2025-12-03 10:43:30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26"/>
    <s v="ENERES"/>
    <s v="NUEVO"/>
    <s v="ENERES"/>
    <s v="24/11/2025 10:43:32"/>
    <s v="2025-11-24 10:43:32"/>
    <n v="900982391"/>
    <s v="PROMOTORA COSTA AZUL S.A.S"/>
    <s v="5913058"/>
    <s v="SIN DATOS"/>
    <s v="CL 75 SUR CR 57 -22 (INTERIOR 2415 BQ 3 COSTA AZUL"/>
    <x v="0"/>
    <s v="037515007000222415"/>
    <s v="La Estrella"/>
    <x v="2"/>
    <s v="Revisor Inst. Particulares Metrosur"/>
    <x v="1"/>
    <n v="7"/>
    <s v="2025-12-03 10:43:32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27"/>
    <s v="ENERES"/>
    <s v="NUEVO"/>
    <s v="ENERES"/>
    <s v="24/11/2025 10:43:33"/>
    <s v="2025-11-24 10:43:33"/>
    <n v="900982391"/>
    <s v="PROMOTORA COSTA AZUL S.A.S"/>
    <s v="5913058"/>
    <s v="SIN DATOS"/>
    <s v="CL 75 SUR CR 57 -22 (INTERIOR 2115 BQ 3 COSTA AZUL"/>
    <x v="0"/>
    <s v="037515007000222115"/>
    <s v="La Estrella"/>
    <x v="2"/>
    <s v="Revisor Inst. Particulares Metrosur"/>
    <x v="1"/>
    <n v="7"/>
    <s v="2025-12-03 10:43:33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28"/>
    <s v="ENERES"/>
    <s v="NUEVO"/>
    <s v="ENERES"/>
    <s v="24/11/2025 10:43:34"/>
    <s v="2025-11-24 10:43:34"/>
    <n v="900982391"/>
    <s v="PROMOTORA COSTA AZUL S.A.S"/>
    <s v="5913058"/>
    <s v="SIN DATOS"/>
    <s v="CL 75 SUR CR 57 -22 (INTERIOR 2113 BQ 3 COSTA AZUL"/>
    <x v="0"/>
    <s v="037515007000222113"/>
    <s v="La Estrella"/>
    <x v="2"/>
    <s v="Revisor Inst. Particulares Metrosur"/>
    <x v="1"/>
    <n v="7"/>
    <s v="2025-12-03 10:43:34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29"/>
    <s v="ENERES"/>
    <s v="NUEVO"/>
    <s v="ENERES"/>
    <s v="24/11/2025 10:43:35"/>
    <s v="2025-11-24 10:43:35"/>
    <n v="900982391"/>
    <s v="PROMOTORA COSTA AZUL S.A.S"/>
    <s v="5913058"/>
    <s v="SIN DATOS"/>
    <s v="CL 75 SUR CR 57 -22 (INTERIOR 2114 BQ 3 COSTA AZUL"/>
    <x v="0"/>
    <s v="037515007000222114"/>
    <s v="La Estrella"/>
    <x v="2"/>
    <s v="Revisor Inst. Particulares Metrosur"/>
    <x v="1"/>
    <n v="7"/>
    <s v="2025-12-03 10:43:35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30"/>
    <s v="ENERES"/>
    <s v="NUEVO"/>
    <s v="ENERES"/>
    <s v="24/11/2025 10:43:38"/>
    <s v="2025-11-24 10:43:38"/>
    <n v="900982391"/>
    <s v="PROMOTORA COSTA AZUL S.A.S"/>
    <s v="5913058"/>
    <s v="SIN DATOS"/>
    <s v="CL 75 SUR CR 57 -22 (INTERIOR 2214 BQ 3 COSTA AZUL"/>
    <x v="0"/>
    <s v="037515007000222214"/>
    <s v="La Estrella"/>
    <x v="2"/>
    <s v="Revisor Inst. Particulares Metrosur"/>
    <x v="1"/>
    <n v="7"/>
    <s v="2025-12-03 10:43:38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31"/>
    <s v="ENERES"/>
    <s v="NUEVO"/>
    <s v="ENERES"/>
    <s v="24/11/2025 10:43:38"/>
    <s v="2025-11-24 10:43:38"/>
    <n v="900982391"/>
    <s v="PROMOTORA COSTA AZUL S.A.S"/>
    <s v="5913058"/>
    <s v="SIN DATOS"/>
    <s v="CL 75 SUR CR 57 -22 (INTERIOR 2118 BQ 3 COSTA AZUL"/>
    <x v="0"/>
    <s v="037515007000222118"/>
    <s v="La Estrella"/>
    <x v="2"/>
    <s v="Revisor Inst. Particulares Metrosur"/>
    <x v="1"/>
    <n v="7"/>
    <s v="2025-12-03 10:43:38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32"/>
    <s v="ENERES"/>
    <s v="NUEVO"/>
    <s v="ENERES"/>
    <s v="24/11/2025 10:43:39"/>
    <s v="2025-11-24 10:43:39"/>
    <n v="900982391"/>
    <s v="PROMOTORA COSTA AZUL S.A.S"/>
    <s v="5913058"/>
    <s v="SIN DATOS"/>
    <s v="CL 75 SUR CR 57 -22 (INTERIOR 1718 BQ 3 COSTA AZUL"/>
    <x v="0"/>
    <s v="037515007000221718"/>
    <s v="La Estrella"/>
    <x v="2"/>
    <s v="Revisor Inst. Particulares Metrosur"/>
    <x v="1"/>
    <n v="7"/>
    <s v="2025-12-03 10:43:39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33"/>
    <s v="ENERES"/>
    <s v="NUEVO"/>
    <s v="ENERES"/>
    <s v="24/11/2025 10:43:39"/>
    <s v="2025-11-24 10:43:39"/>
    <n v="900982391"/>
    <s v="PROMOTORA COSTA AZUL S.A.S"/>
    <s v="5913058"/>
    <s v="SIN DATOS"/>
    <s v="CL 75 SUR CR 57 -22 (INTERIOR 2316 BQ 3 COSTA AZUL"/>
    <x v="0"/>
    <s v="037515007000222316"/>
    <s v="La Estrella"/>
    <x v="2"/>
    <s v="Revisor Inst. Particulares Metrosur"/>
    <x v="1"/>
    <n v="7"/>
    <s v="2025-12-03 10:43:39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34"/>
    <s v="ENERES"/>
    <s v="NUEVO"/>
    <s v="ENERES"/>
    <s v="24/11/2025 10:43:42"/>
    <s v="2025-11-24 10:43:42"/>
    <n v="900982391"/>
    <s v="PROMOTORA COSTA AZUL S.A.S"/>
    <s v="5913058"/>
    <s v="SIN DATOS"/>
    <s v="CL 75 SUR CR 57 -22 (INTERIOR 1015 BQ 3 COSTA AZUL"/>
    <x v="0"/>
    <s v="037515007000221015"/>
    <s v="La Estrella"/>
    <x v="2"/>
    <s v="Revisor Inst. Particulares Metrosur"/>
    <x v="1"/>
    <n v="7"/>
    <s v="2025-12-03 10:43:42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35"/>
    <s v="ENERES"/>
    <s v="NUEVO"/>
    <s v="ENERES"/>
    <s v="24/11/2025 10:43:49"/>
    <s v="2025-11-24 10:43:49"/>
    <n v="900982391"/>
    <s v="PROMOTORA COSTA AZUL S.A.S"/>
    <s v="5913058"/>
    <s v="SIN DATOS"/>
    <s v="CL 75 SUR CR 57 -22 (INTERIOR 1317 BQ 3 COSTA AZUL"/>
    <x v="0"/>
    <s v="037515007000221317"/>
    <s v="La Estrella"/>
    <x v="2"/>
    <s v="Revisor Inst. Particulares Metrosur"/>
    <x v="1"/>
    <n v="7"/>
    <s v="2025-12-03 10:43:49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36"/>
    <s v="ENERES"/>
    <s v="NUEVO"/>
    <s v="ENERES"/>
    <s v="24/11/2025 10:43:49"/>
    <s v="2025-11-24 10:43:49"/>
    <n v="900982391"/>
    <s v="PROMOTORA COSTA AZUL S.A.S"/>
    <s v="5913058"/>
    <s v="SIN DATOS"/>
    <s v="CL 75 SUR CR 57 -22 (INTERIOR 1415 BQ 3 COSTA AZUL"/>
    <x v="0"/>
    <s v="037515007000221415"/>
    <s v="La Estrella"/>
    <x v="2"/>
    <s v="Revisor Inst. Particulares Metrosur"/>
    <x v="1"/>
    <n v="7"/>
    <s v="2025-12-03 10:43:49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37"/>
    <s v="ENERES"/>
    <s v="NUEVO"/>
    <s v="ENERES"/>
    <s v="24/11/2025 10:43:53"/>
    <s v="2025-11-24 10:43:53"/>
    <n v="900982391"/>
    <s v="PROMOTORA COSTA AZUL S.A.S"/>
    <s v="5913058"/>
    <s v="SIN DATOS"/>
    <s v="CL 75 SUR CR 57 -22 (INTERIOR 1617 BQ 3 COSTA AZUL"/>
    <x v="0"/>
    <s v="037515007000221617"/>
    <s v="La Estrella"/>
    <x v="2"/>
    <s v="Revisor Inst. Particulares Metrosur"/>
    <x v="1"/>
    <n v="7"/>
    <s v="2025-12-03 10:43:53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38"/>
    <s v="ENERES"/>
    <s v="NUEVO"/>
    <s v="ENERES"/>
    <s v="24/11/2025 10:43:53"/>
    <s v="2025-11-24 10:43:53"/>
    <n v="900982391"/>
    <s v="PROMOTORA COSTA AZUL S.A.S"/>
    <s v="5913058"/>
    <s v="SIN DATOS"/>
    <s v="CL 75 SUR CR 57 -22 (INTERIOR 1417 BQ 3 COSTA AZUL"/>
    <x v="0"/>
    <s v="037515007000221417"/>
    <s v="La Estrella"/>
    <x v="2"/>
    <s v="Revisor Inst. Particulares Metrosur"/>
    <x v="1"/>
    <n v="7"/>
    <s v="2025-12-03 10:43:53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39"/>
    <s v="ENERES"/>
    <s v="NUEVO"/>
    <s v="ENERES"/>
    <s v="24/11/2025 10:43:56"/>
    <s v="2025-11-24 10:43:56"/>
    <n v="900982391"/>
    <s v="PROMOTORA COSTA AZUL S.A.S"/>
    <s v="5913058"/>
    <s v="SIN DATOS"/>
    <s v="CL 75 SUR CR 57 -22 (INTERIOR 1613 BQ 3 COSTA AZUL"/>
    <x v="0"/>
    <s v="037515007000221613"/>
    <s v="La Estrella"/>
    <x v="2"/>
    <s v="Revisor Inst. Particulares Metrosur"/>
    <x v="1"/>
    <n v="7"/>
    <s v="2025-12-03 10:43:56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40"/>
    <s v="ENERES"/>
    <s v="NUEVO"/>
    <s v="ENERES"/>
    <s v="24/11/2025 10:43:57"/>
    <s v="2025-11-24 10:43:57"/>
    <n v="900982391"/>
    <s v="PROMOTORA COSTA AZUL S.A.S"/>
    <s v="5913058"/>
    <s v="SIN DATOS"/>
    <s v="CL 75 SUR CR 57 -22 (INTERIOR 1615 BQ 3 COSTA AZUL"/>
    <x v="0"/>
    <s v="037515007000221615"/>
    <s v="La Estrella"/>
    <x v="2"/>
    <s v="Revisor Inst. Particulares Metrosur"/>
    <x v="1"/>
    <n v="7"/>
    <s v="2025-12-03 10:43:57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41"/>
    <s v="ENERES"/>
    <s v="NUEVO"/>
    <s v="ENERES"/>
    <s v="24/11/2025 10:43:59"/>
    <s v="2025-11-24 10:43:59"/>
    <n v="900982391"/>
    <s v="PROMOTORA COSTA AZUL S.A.S"/>
    <s v="5913058"/>
    <s v="SIN DATOS"/>
    <s v="CL 75 SUR CR 57 -22 (INTERIOR 1413 BQ 3 COSTA AZUL"/>
    <x v="0"/>
    <s v="037515007000221413"/>
    <s v="La Estrella"/>
    <x v="2"/>
    <s v="Revisor Inst. Particulares Metrosur"/>
    <x v="1"/>
    <n v="7"/>
    <s v="2025-12-03 10:43:59"/>
    <s v="5 días 10:43"/>
    <s v="2 días 10:43"/>
    <x v="1"/>
    <s v="SIN DATO"/>
    <s v="SIN DATO"/>
    <s v="SIN DATO"/>
    <s v="ABIERTO"/>
    <n v="-75.649831634999899"/>
    <n v="6.1379125160000303"/>
    <s v="SUR-ENE"/>
    <s v="Metropolitana Sur"/>
  </r>
  <r>
    <s v="23597742"/>
    <s v="ENERES"/>
    <s v="NUEVO"/>
    <s v="ENERES"/>
    <s v="24/11/2025 10:44:00"/>
    <s v="2025-11-24 10:44:00"/>
    <n v="900982391"/>
    <s v="PROMOTORA COSTA AZUL S.A.S"/>
    <s v="5913058"/>
    <s v="SIN DATOS"/>
    <s v="CL 75 SUR CR 57 -22 (INTERIOR 1314 BQ 3 COSTA AZUL"/>
    <x v="0"/>
    <s v="037515007000221314"/>
    <s v="La Estrella"/>
    <x v="2"/>
    <s v="Revisor Inst. Particulares Metrosur"/>
    <x v="1"/>
    <n v="7"/>
    <s v="2025-12-03 10:44:00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43"/>
    <s v="ENERES"/>
    <s v="NUEVO"/>
    <s v="ENERES"/>
    <s v="24/11/2025 10:44:00"/>
    <s v="2025-11-24 10:44:00"/>
    <n v="900982391"/>
    <s v="PROMOTORA COSTA AZUL S.A.S"/>
    <s v="5913058"/>
    <s v="SIN DATOS"/>
    <s v="CL 75 SUR CR 57 -22 (INTERIOR 1515 BQ 3 COSTA AZUL"/>
    <x v="0"/>
    <s v="037515007000221515"/>
    <s v="La Estrella"/>
    <x v="2"/>
    <s v="Revisor Inst. Particulares Metrosur"/>
    <x v="1"/>
    <n v="7"/>
    <s v="2025-12-03 10:44:00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44"/>
    <s v="ENERES"/>
    <s v="NUEVO"/>
    <s v="ENERES"/>
    <s v="24/11/2025 10:44:01"/>
    <s v="2025-11-24 10:44:01"/>
    <n v="900982391"/>
    <s v="PROMOTORA COSTA AZUL S.A.S"/>
    <s v="5913058"/>
    <s v="SIN DATOS"/>
    <s v="CL 75 SUR CR 57 -22 (INTERIOR 1313 BQ 3 COSTA AZUL"/>
    <x v="0"/>
    <s v="037515007000221313"/>
    <s v="La Estrella"/>
    <x v="2"/>
    <s v="Revisor Inst. Particulares Metrosur"/>
    <x v="1"/>
    <n v="7"/>
    <s v="2025-12-03 10:44:01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45"/>
    <s v="ENERES"/>
    <s v="NUEVO"/>
    <s v="ENERES"/>
    <s v="24/11/2025 10:44:01"/>
    <s v="2025-11-24 10:44:01"/>
    <n v="900982391"/>
    <s v="PROMOTORA COSTA AZUL S.A.S"/>
    <s v="5913058"/>
    <s v="SIN DATOS"/>
    <s v="CL 75 SUR CR 57 -22 (INTERIOR 1618 BQ 3 COSTA AZUL"/>
    <x v="0"/>
    <s v="037515007000221618"/>
    <s v="La Estrella"/>
    <x v="2"/>
    <s v="Revisor Inst. Particulares Metrosur"/>
    <x v="1"/>
    <n v="7"/>
    <s v="2025-12-03 10:44:01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46"/>
    <s v="ENERES"/>
    <s v="NUEVO"/>
    <s v="ENERES"/>
    <s v="24/11/2025 10:44:02"/>
    <s v="2025-11-24 10:44:02"/>
    <n v="900982391"/>
    <s v="PROMOTORA COSTA AZUL S.A.S"/>
    <s v="5913058"/>
    <s v="SIN DATOS"/>
    <s v="CL 75 SUR CR 57 -22 (INTERIOR 1614 BQ 3 COSTA AZUL"/>
    <x v="0"/>
    <s v="037515007000221614"/>
    <s v="La Estrella"/>
    <x v="2"/>
    <s v="Revisor Inst. Particulares Metrosur"/>
    <x v="1"/>
    <n v="7"/>
    <s v="2025-12-03 10:44:02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47"/>
    <s v="ENERES"/>
    <s v="NUEVO"/>
    <s v="ENERES"/>
    <s v="24/11/2025 10:44:03"/>
    <s v="2025-11-24 10:44:03"/>
    <n v="900982391"/>
    <s v="PROMOTORA COSTA AZUL S.A.S"/>
    <s v="5913058"/>
    <s v="SIN DATOS"/>
    <s v="CL 75 SUR CR 57 -22 (INTERIOR 1017 BQ 3 COSTA AZUL"/>
    <x v="0"/>
    <s v="037515007000221017"/>
    <s v="La Estrella"/>
    <x v="2"/>
    <s v="Revisor Inst. Particulares Metrosur"/>
    <x v="1"/>
    <n v="7"/>
    <s v="2025-12-03 10:44:03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48"/>
    <s v="ENERES"/>
    <s v="NUEVO"/>
    <s v="ENERES"/>
    <s v="24/11/2025 10:44:06"/>
    <s v="2025-11-24 10:44:06"/>
    <n v="900982391"/>
    <s v="PROMOTORA COSTA AZUL S.A.S"/>
    <s v="5913058"/>
    <s v="SIN DATOS"/>
    <s v="CL 75 SUR CR 57 -22 (INTERIOR 1316 BQ 3 COSTA AZUL"/>
    <x v="0"/>
    <s v="037515007000221316"/>
    <s v="La Estrella"/>
    <x v="2"/>
    <s v="Revisor Inst. Particulares Metrosur"/>
    <x v="1"/>
    <n v="7"/>
    <s v="2025-12-03 10:44:06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49"/>
    <s v="ENERES"/>
    <s v="NUEVO"/>
    <s v="ENERES"/>
    <s v="24/11/2025 10:44:06"/>
    <s v="2025-11-24 10:44:06"/>
    <n v="900982391"/>
    <s v="PROMOTORA COSTA AZUL S.A.S"/>
    <s v="5913058"/>
    <s v="SIN DATOS"/>
    <s v="CL 75 SUR CR 57 -22 (INTERIOR 1115 BQ 3 COSTA AZUL"/>
    <x v="0"/>
    <s v="037515007000221115"/>
    <s v="La Estrella"/>
    <x v="2"/>
    <s v="Revisor Inst. Particulares Metrosur"/>
    <x v="1"/>
    <n v="7"/>
    <s v="2025-12-03 10:44:06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50"/>
    <s v="ENERES"/>
    <s v="NUEVO"/>
    <s v="ENERES"/>
    <s v="24/11/2025 10:44:10"/>
    <s v="2025-11-24 10:44:10"/>
    <n v="900982391"/>
    <s v="PROMOTORA COSTA AZUL S.A.S"/>
    <s v="5913058"/>
    <s v="SIN DATOS"/>
    <s v="CL 75 SUR CR 57 -22 (INTERIOR 1018 BQ 3 COSTA AZUL"/>
    <x v="0"/>
    <s v="037515007000221018"/>
    <s v="La Estrella"/>
    <x v="2"/>
    <s v="Revisor Inst. Particulares Metrosur"/>
    <x v="1"/>
    <n v="7"/>
    <s v="2025-12-03 10:44:10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51"/>
    <s v="ENERES"/>
    <s v="NUEVO"/>
    <s v="ENERES"/>
    <s v="24/11/2025 10:44:11"/>
    <s v="2025-11-24 10:44:11"/>
    <n v="900982391"/>
    <s v="PROMOTORA COSTA AZUL S.A.S"/>
    <s v="5913058"/>
    <s v="SIN DATOS"/>
    <s v="CL 75 SUR CR 57 -22 (INTERIOR 1516 BQ 3 COSTA AZUL"/>
    <x v="0"/>
    <s v="037515007000221516"/>
    <s v="La Estrella"/>
    <x v="2"/>
    <s v="Revisor Inst. Particulares Metrosur"/>
    <x v="1"/>
    <n v="7"/>
    <s v="2025-12-03 10:44:11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52"/>
    <s v="ENERES"/>
    <s v="NUEVO"/>
    <s v="ENERES"/>
    <s v="24/11/2025 10:44:12"/>
    <s v="2025-11-24 10:44:12"/>
    <n v="900982391"/>
    <s v="PROMOTORA COSTA AZUL S.A.S"/>
    <s v="5913058"/>
    <s v="SIN DATOS"/>
    <s v="CL 75 SUR CR 57 -22 (INTERIOR 1016 BQ 3 COSTA AZUL"/>
    <x v="0"/>
    <s v="037515007000221016"/>
    <s v="La Estrella"/>
    <x v="2"/>
    <s v="Revisor Inst. Particulares Metrosur"/>
    <x v="1"/>
    <n v="7"/>
    <s v="2025-12-03 10:44:12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53"/>
    <s v="ENERES"/>
    <s v="NUEVO"/>
    <s v="ENERES"/>
    <s v="24/11/2025 10:44:13"/>
    <s v="2025-11-24 10:44:13"/>
    <n v="900982391"/>
    <s v="PROMOTORA COSTA AZUL S.A.S"/>
    <s v="5913058"/>
    <s v="SIN DATOS"/>
    <s v="CL 75 SUR CR 57 -22 (INTERIOR 716 BQ 3 COSTA AZUL"/>
    <x v="0"/>
    <s v="037515007000220716"/>
    <s v="La Estrella"/>
    <x v="2"/>
    <s v="Revisor Inst. Particulares Metrosur"/>
    <x v="1"/>
    <n v="7"/>
    <s v="2025-12-03 10:44:13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54"/>
    <s v="ENERES"/>
    <s v="NUEVO"/>
    <s v="ENERES"/>
    <s v="24/11/2025 10:44:14"/>
    <s v="2025-11-24 10:44:14"/>
    <n v="900982391"/>
    <s v="PROMOTORA COSTA AZUL S.A.S"/>
    <s v="5913058"/>
    <s v="SIN DATOS"/>
    <s v="CL 75 SUR CR 57 -22 (INTERIOR 1318 BQ 3 COSTA AZUL"/>
    <x v="0"/>
    <s v="037515007000221318"/>
    <s v="La Estrella"/>
    <x v="2"/>
    <s v="Revisor Inst. Particulares Metrosur"/>
    <x v="1"/>
    <n v="7"/>
    <s v="2025-12-03 10:44:14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55"/>
    <s v="ENERES"/>
    <s v="NUEVO"/>
    <s v="ENERES"/>
    <s v="24/11/2025 10:44:14"/>
    <s v="2025-11-24 10:44:14"/>
    <n v="900982391"/>
    <s v="PROMOTORA COSTA AZUL S.A.S"/>
    <s v="5913058"/>
    <s v="SIN DATOS"/>
    <s v="CL 75 SUR CR 57 -22 (INTERIOR 817 BQ 3 COSTA AZUL"/>
    <x v="0"/>
    <s v="037515007000220817"/>
    <s v="La Estrella"/>
    <x v="2"/>
    <s v="Revisor Inst. Particulares Metrosur"/>
    <x v="1"/>
    <n v="7"/>
    <s v="2025-12-03 10:44:14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57"/>
    <s v="ENERES"/>
    <s v="NUEVO"/>
    <s v="ENERES"/>
    <s v="24/11/2025 10:44:16"/>
    <s v="2025-11-24 10:44:16"/>
    <n v="900982391"/>
    <s v="PROMOTORA COSTA AZUL S.A.S"/>
    <s v="5913058"/>
    <s v="SIN DATOS"/>
    <s v="CL 75 SUR CR 57 -22 (INTERIOR 1214 BQ 3 COSTA AZUL"/>
    <x v="0"/>
    <s v="037515007000221214"/>
    <s v="La Estrella"/>
    <x v="2"/>
    <s v="Revisor Inst. Particulares Metrosur"/>
    <x v="1"/>
    <n v="7"/>
    <s v="2025-12-03 10:44:16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58"/>
    <s v="ENERES"/>
    <s v="NUEVO"/>
    <s v="ENERES"/>
    <s v="24/11/2025 10:44:16"/>
    <s v="2025-11-24 10:44:16"/>
    <n v="900982391"/>
    <s v="PROMOTORA COSTA AZUL S.A.S"/>
    <s v="5913058"/>
    <s v="SIN DATOS"/>
    <s v="CL 75 SUR CR 57 -22 (INTERIOR 1416 BQ 3 COSTA AZUL"/>
    <x v="0"/>
    <s v="037515007000221416"/>
    <s v="La Estrella"/>
    <x v="2"/>
    <s v="Revisor Inst. Particulares Metrosur"/>
    <x v="1"/>
    <n v="7"/>
    <s v="2025-12-03 10:44:16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59"/>
    <s v="ENERES"/>
    <s v="NUEVO"/>
    <s v="ENERES"/>
    <s v="24/11/2025 10:44:18"/>
    <s v="2025-11-24 10:44:18"/>
    <n v="900982391"/>
    <s v="PROMOTORA COSTA AZUL S.A.S"/>
    <s v="5913058"/>
    <s v="SIN DATOS"/>
    <s v="CL 75 SUR CR 57 -22 (INTERIOR 1716 BQ 3 COSTA AZUL"/>
    <x v="0"/>
    <s v="037515007000221716"/>
    <s v="La Estrella"/>
    <x v="2"/>
    <s v="Revisor Inst. Particulares Metrosur"/>
    <x v="1"/>
    <n v="7"/>
    <s v="2025-12-03 10:44:18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60"/>
    <s v="ENERES"/>
    <s v="NUEVO"/>
    <s v="ENERES"/>
    <s v="24/11/2025 10:44:18"/>
    <s v="2025-11-24 10:44:18"/>
    <n v="900982391"/>
    <s v="PROMOTORA COSTA AZUL S.A.S"/>
    <s v="5913058"/>
    <s v="SIN DATOS"/>
    <s v="CL 75 SUR CR 57 -22 (INTERIOR 1818 BQ 3 COSTA AZUL"/>
    <x v="0"/>
    <s v="037515007000221818"/>
    <s v="La Estrella"/>
    <x v="2"/>
    <s v="Revisor Inst. Particulares Metrosur"/>
    <x v="1"/>
    <n v="7"/>
    <s v="2025-12-03 10:44:18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61"/>
    <s v="ENERES"/>
    <s v="NUEVO"/>
    <s v="ENERES"/>
    <s v="24/11/2025 10:44:20"/>
    <s v="2025-11-24 10:44:20"/>
    <n v="900982391"/>
    <s v="PROMOTORA COSTA AZUL S.A.S"/>
    <s v="5913058"/>
    <s v="SIN DATOS"/>
    <s v="CL 75 SUR CR 57 -22 (INTERIOR 1817 BQ 3 COSTA AZUL"/>
    <x v="0"/>
    <s v="037515007000221817"/>
    <s v="La Estrella"/>
    <x v="2"/>
    <s v="Revisor Inst. Particulares Metrosur"/>
    <x v="1"/>
    <n v="7"/>
    <s v="2025-12-03 10:44:20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62"/>
    <s v="ENERES"/>
    <s v="NUEVO"/>
    <s v="ENERES"/>
    <s v="24/11/2025 10:44:20"/>
    <s v="2025-11-24 10:44:20"/>
    <n v="900982391"/>
    <s v="PROMOTORA COSTA AZUL S.A.S"/>
    <s v="5913058"/>
    <s v="SIN DATOS"/>
    <s v="CL 75 SUR CR 57 -22 (INTERIOR 2417 BQ 3 COSTA AZUL"/>
    <x v="0"/>
    <s v="037515007000222417"/>
    <s v="La Estrella"/>
    <x v="2"/>
    <s v="Revisor Inst. Particulares Metrosur"/>
    <x v="1"/>
    <n v="7"/>
    <s v="2025-12-03 10:44:20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63"/>
    <s v="ENERES"/>
    <s v="NUEVO"/>
    <s v="ENERES"/>
    <s v="24/11/2025 10:44:23"/>
    <s v="2025-11-24 10:44:23"/>
    <n v="900982391"/>
    <s v="PROMOTORA COSTA AZUL S.A.S"/>
    <s v="5913058"/>
    <s v="SIN DATOS"/>
    <s v="CL 75 SUR CR 57 -22 (INTERIOR 1514 BQ 3 COSTA AZUL"/>
    <x v="0"/>
    <s v="037515007000221514"/>
    <s v="La Estrella"/>
    <x v="2"/>
    <s v="Revisor Inst. Particulares Metrosur"/>
    <x v="1"/>
    <n v="7"/>
    <s v="2025-12-03 10:44:23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64"/>
    <s v="ENERES"/>
    <s v="NUEVO"/>
    <s v="ENERES"/>
    <s v="24/11/2025 10:44:24"/>
    <s v="2025-11-24 10:44:24"/>
    <n v="900982391"/>
    <s v="PROMOTORA COSTA AZUL S.A.S"/>
    <s v="5913058"/>
    <s v="SIN DATOS"/>
    <s v="CL 75 SUR CR 57 -22 (INTERIOR 1418 BQ 3 COSTA AZUL"/>
    <x v="0"/>
    <s v="037515007000221418"/>
    <s v="La Estrella"/>
    <x v="2"/>
    <s v="Revisor Inst. Particulares Metrosur"/>
    <x v="1"/>
    <n v="7"/>
    <s v="2025-12-03 10:44:24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65"/>
    <s v="ENERES"/>
    <s v="NUEVO"/>
    <s v="ENERES"/>
    <s v="24/11/2025 10:44:24"/>
    <s v="2025-11-24 10:44:24"/>
    <n v="900982391"/>
    <s v="PROMOTORA COSTA AZUL S.A.S"/>
    <s v="5913058"/>
    <s v="SIN DATOS"/>
    <s v="CL 75 SUR CR 57 -22 (INTERIOR 1713 BQ 3 COSTA AZUL"/>
    <x v="0"/>
    <s v="037515007000221713"/>
    <s v="La Estrella"/>
    <x v="2"/>
    <s v="Revisor Inst. Particulares Metrosur"/>
    <x v="1"/>
    <n v="7"/>
    <s v="2025-12-03 10:44:24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66"/>
    <s v="ENERES"/>
    <s v="NUEVO"/>
    <s v="ENERES"/>
    <s v="24/11/2025 10:44:24"/>
    <s v="2025-11-24 10:44:24"/>
    <n v="900982391"/>
    <s v="PROMOTORA COSTA AZUL S.A.S"/>
    <s v="5913058"/>
    <s v="SIN DATOS"/>
    <s v="CL 75 SUR CR 57 -22 (INTERIOR 2314 BQ 3 COSTA AZUL"/>
    <x v="0"/>
    <s v="037515007000222314"/>
    <s v="La Estrella"/>
    <x v="2"/>
    <s v="Revisor Inst. Particulares Metrosur"/>
    <x v="1"/>
    <n v="7"/>
    <s v="2025-12-03 10:44:24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67"/>
    <s v="ENERES"/>
    <s v="NUEVO"/>
    <s v="ENERES"/>
    <s v="24/11/2025 10:44:24"/>
    <s v="2025-11-24 10:44:24"/>
    <n v="900982391"/>
    <s v="PROMOTORA COSTA AZUL S.A.S"/>
    <s v="5913058"/>
    <s v="SIN DATOS"/>
    <s v="CL 75 SUR CR 57 -22 (INTERIOR 717 BQ 3 COSTA AZUL"/>
    <x v="0"/>
    <s v="037515007000220717"/>
    <s v="La Estrella"/>
    <x v="2"/>
    <s v="Revisor Inst. Particulares Metrosur"/>
    <x v="1"/>
    <n v="7"/>
    <s v="2025-12-03 10:44:24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68"/>
    <s v="ENERES"/>
    <s v="NUEVO"/>
    <s v="ENERES"/>
    <s v="24/11/2025 10:44:24"/>
    <s v="2025-11-24 10:44:24"/>
    <n v="900982391"/>
    <s v="PROMOTORA COSTA AZUL S.A.S"/>
    <s v="5913058"/>
    <s v="SIN DATOS"/>
    <s v="CL 75 SUR CR 57 -22 (INTERIOR 1217 BQ 3 COSTA AZUL"/>
    <x v="0"/>
    <s v="037515007000221217"/>
    <s v="La Estrella"/>
    <x v="2"/>
    <s v="Revisor Inst. Particulares Metrosur"/>
    <x v="1"/>
    <n v="7"/>
    <s v="2025-12-03 10:44:24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69"/>
    <s v="ENERES"/>
    <s v="NUEVO"/>
    <s v="ENERES"/>
    <s v="24/11/2025 10:44:24"/>
    <s v="2025-11-24 10:44:24"/>
    <n v="900982391"/>
    <s v="PROMOTORA COSTA AZUL S.A.S"/>
    <s v="5913058"/>
    <s v="SIN DATOS"/>
    <s v="CL 75 SUR CR 57 -22 (INTERIOR 1717 BQ 3 COSTA AZUL"/>
    <x v="0"/>
    <s v="037515007000221717"/>
    <s v="La Estrella"/>
    <x v="2"/>
    <s v="Revisor Inst. Particulares Metrosur"/>
    <x v="1"/>
    <n v="7"/>
    <s v="2025-12-03 10:44:24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70"/>
    <s v="ENERES"/>
    <s v="NUEVO"/>
    <s v="ENERES"/>
    <s v="24/11/2025 10:44:25"/>
    <s v="2025-11-24 10:44:25"/>
    <n v="900982391"/>
    <s v="PROMOTORA COSTA AZUL S.A.S"/>
    <s v="5913058"/>
    <s v="SIN DATOS"/>
    <s v="CL 75 SUR CR 57 -22 (INTERIOR 1815 BQ 3 COSTA AZUL"/>
    <x v="0"/>
    <s v="037515007000221815"/>
    <s v="La Estrella"/>
    <x v="2"/>
    <s v="Revisor Inst. Particulares Metrosur"/>
    <x v="1"/>
    <n v="7"/>
    <s v="2025-12-03 10:44:25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71"/>
    <s v="ENERES"/>
    <s v="NUEVO"/>
    <s v="ENERES"/>
    <s v="24/11/2025 10:44:24"/>
    <s v="2025-11-24 10:44:24"/>
    <n v="900982391"/>
    <s v="PROMOTORA COSTA AZUL S.A.S"/>
    <s v="5913058"/>
    <s v="SIN DATOS"/>
    <s v="CL 75 SUR CR 57 -22 (INTERIOR 1715 BQ 3 COSTA AZUL"/>
    <x v="0"/>
    <s v="037515007000221715"/>
    <s v="La Estrella"/>
    <x v="2"/>
    <s v="Revisor Inst. Particulares Metrosur"/>
    <x v="1"/>
    <n v="7"/>
    <s v="2025-12-03 10:44:24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72"/>
    <s v="ENERES"/>
    <s v="NUEVO"/>
    <s v="ENERES"/>
    <s v="24/11/2025 10:44:25"/>
    <s v="2025-11-24 10:44:25"/>
    <n v="900982391"/>
    <s v="PROMOTORA COSTA AZUL S.A.S"/>
    <s v="5913058"/>
    <s v="SIN DATOS"/>
    <s v="CL 75 SUR CR 57 -22 (INTERIOR 1714 BQ 3 COSTA AZUL"/>
    <x v="0"/>
    <s v="037515007000221714"/>
    <s v="La Estrella"/>
    <x v="2"/>
    <s v="Revisor Inst. Particulares Metrosur"/>
    <x v="1"/>
    <n v="7"/>
    <s v="2025-12-03 10:44:25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74"/>
    <s v="ENERES"/>
    <s v="NUEVO"/>
    <s v="ENERES"/>
    <s v="24/11/2025 10:44:26"/>
    <s v="2025-11-24 10:44:26"/>
    <n v="900982391"/>
    <s v="PROMOTORA COSTA AZUL S.A.S"/>
    <s v="5913058"/>
    <s v="SIN DATOS"/>
    <s v="CL 75 SUR CR 57 -22 (INTERIOR 1816 BQ 3 COSTA AZUL"/>
    <x v="0"/>
    <s v="037515007000221816"/>
    <s v="La Estrella"/>
    <x v="2"/>
    <s v="Revisor Inst. Particulares Metrosur"/>
    <x v="1"/>
    <n v="7"/>
    <s v="2025-12-03 10:44:26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75"/>
    <s v="ENERES"/>
    <s v="NUEVO"/>
    <s v="ENERES"/>
    <s v="24/11/2025 10:44:26"/>
    <s v="2025-11-24 10:44:26"/>
    <n v="900982391"/>
    <s v="PROMOTORA COSTA AZUL S.A.S"/>
    <s v="5913058"/>
    <s v="SIN DATOS"/>
    <s v="CL 75 SUR CR 57 -22 (INTERIOR 1616 BQ 3 COSTA AZUL"/>
    <x v="0"/>
    <s v="037515007000221616"/>
    <s v="La Estrella"/>
    <x v="2"/>
    <s v="Revisor Inst. Particulares Metrosur"/>
    <x v="1"/>
    <n v="7"/>
    <s v="2025-12-03 10:44:26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76"/>
    <s v="ENERES"/>
    <s v="NUEVO"/>
    <s v="ENERES"/>
    <s v="24/11/2025 10:44:27"/>
    <s v="2025-11-24 10:44:27"/>
    <n v="900982391"/>
    <s v="PROMOTORA COSTA AZUL S.A.S"/>
    <s v="5913058"/>
    <s v="SIN DATOS"/>
    <s v="CL 75 SUR CR 57 -22 (INTERIOR 1518 BQ 3 COSTA AZUL"/>
    <x v="0"/>
    <s v="037515007000221518"/>
    <s v="La Estrella"/>
    <x v="2"/>
    <s v="Revisor Inst. Particulares Metrosur"/>
    <x v="1"/>
    <n v="7"/>
    <s v="2025-12-03 10:44:27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77"/>
    <s v="ENERES"/>
    <s v="NUEVO"/>
    <s v="ENERES"/>
    <s v="24/11/2025 10:44:31"/>
    <s v="2025-11-24 10:44:31"/>
    <n v="900982391"/>
    <s v="PROMOTORA COSTA AZUL S.A.S"/>
    <s v="5913058"/>
    <s v="SIN DATOS"/>
    <s v="CL 75 SUR CR 57 -22 (INTERIOR 2013 BQ 3 COSTA AZUL"/>
    <x v="0"/>
    <s v="037515007000222013"/>
    <s v="La Estrella"/>
    <x v="2"/>
    <s v="Revisor Inst. Particulares Metrosur"/>
    <x v="1"/>
    <n v="7"/>
    <s v="2025-12-03 10:44:31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78"/>
    <s v="ENERES"/>
    <s v="NUEVO"/>
    <s v="ENERES"/>
    <s v="24/11/2025 10:44:31"/>
    <s v="2025-11-24 10:44:31"/>
    <n v="900982391"/>
    <s v="PROMOTORA COSTA AZUL S.A.S"/>
    <s v="5913058"/>
    <s v="SIN DATOS"/>
    <s v="CL 75 SUR CR 57 -22 (INTERIOR 2618 BQ 3 COSTA AZUL"/>
    <x v="0"/>
    <s v="037515007000222618"/>
    <s v="La Estrella"/>
    <x v="2"/>
    <s v="Revisor Inst. Particulares Metrosur"/>
    <x v="1"/>
    <n v="7"/>
    <s v="2025-12-03 10:44:31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79"/>
    <s v="ENERES"/>
    <s v="NUEVO"/>
    <s v="ENERES"/>
    <s v="24/11/2025 10:44:31"/>
    <s v="2025-11-24 10:44:31"/>
    <n v="900982391"/>
    <s v="PROMOTORA COSTA AZUL S.A.S"/>
    <s v="5913058"/>
    <s v="SIN DATOS"/>
    <s v="CL 75 SUR CR 57 -22 (INTERIOR 915 BQ 3 COSTA AZUL"/>
    <x v="0"/>
    <s v="037515007000220915"/>
    <s v="La Estrella"/>
    <x v="2"/>
    <s v="Revisor Inst. Particulares Metrosur"/>
    <x v="1"/>
    <n v="7"/>
    <s v="2025-12-03 10:44:31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80"/>
    <s v="ENERES"/>
    <s v="NUEVO"/>
    <s v="ENERES"/>
    <s v="24/11/2025 10:44:31"/>
    <s v="2025-11-24 10:44:31"/>
    <n v="900982391"/>
    <s v="PROMOTORA COSTA AZUL S.A.S"/>
    <s v="5913058"/>
    <s v="SIN DATOS"/>
    <s v="CL 75 SUR CR 57 -22 (INTERIOR 1814 BQ 3 COSTA AZUL"/>
    <x v="0"/>
    <s v="037515007000221814"/>
    <s v="La Estrella"/>
    <x v="2"/>
    <s v="Revisor Inst. Particulares Metrosur"/>
    <x v="1"/>
    <n v="7"/>
    <s v="2025-12-03 10:44:31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81"/>
    <s v="ENERES"/>
    <s v="NUEVO"/>
    <s v="ENERES"/>
    <s v="24/11/2025 10:44:31"/>
    <s v="2025-11-24 10:44:31"/>
    <n v="900982391"/>
    <s v="PROMOTORA COSTA AZUL S.A.S"/>
    <s v="5913058"/>
    <s v="SIN DATOS"/>
    <s v="CL 75 SUR CR 57 -22 (INTERIOR 1216 BQ 3 COSTA AZUL"/>
    <x v="0"/>
    <s v="037515007000221216"/>
    <s v="La Estrella"/>
    <x v="2"/>
    <s v="Revisor Inst. Particulares Metrosur"/>
    <x v="1"/>
    <n v="7"/>
    <s v="2025-12-03 10:44:31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82"/>
    <s v="ENERES"/>
    <s v="NUEVO"/>
    <s v="ENERES"/>
    <s v="24/11/2025 10:44:31"/>
    <s v="2025-11-24 10:44:31"/>
    <n v="900982391"/>
    <s v="PROMOTORA COSTA AZUL S.A.S"/>
    <s v="5913058"/>
    <s v="SIN DATOS"/>
    <s v="CL 75 SUR CR 57 -22 (INTERIOR 1513 BQ 3 COSTA AZUL"/>
    <x v="0"/>
    <s v="037515007000221513"/>
    <s v="La Estrella"/>
    <x v="2"/>
    <s v="Revisor Inst. Particulares Metrosur"/>
    <x v="1"/>
    <n v="7"/>
    <s v="2025-12-03 10:44:31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83"/>
    <s v="ENERES"/>
    <s v="NUEVO"/>
    <s v="ENERES"/>
    <s v="24/11/2025 10:44:32"/>
    <s v="2025-11-24 10:44:32"/>
    <n v="900982391"/>
    <s v="PROMOTORA COSTA AZUL S.A.S"/>
    <s v="5913058"/>
    <s v="SIN DATOS"/>
    <s v="CL 75 SUR CR 57 -22 (INTERIOR 1114 BQ 3 COSTA AZUL"/>
    <x v="0"/>
    <s v="037515007000221114"/>
    <s v="La Estrella"/>
    <x v="2"/>
    <s v="Revisor Inst. Particulares Metrosur"/>
    <x v="1"/>
    <n v="7"/>
    <s v="2025-12-03 10:44:32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84"/>
    <s v="ENERES"/>
    <s v="NUEVO"/>
    <s v="ENERES"/>
    <s v="24/11/2025 10:44:34"/>
    <s v="2025-11-24 10:44:34"/>
    <n v="900982391"/>
    <s v="PROMOTORA COSTA AZUL S.A.S"/>
    <s v="5913058"/>
    <s v="SIN DATOS"/>
    <s v="CL 75 SUR CR 57 -22 (INTERIOR 2615 BQ 3 COSTA AZUL"/>
    <x v="0"/>
    <s v="037515007000222615"/>
    <s v="La Estrella"/>
    <x v="2"/>
    <s v="Revisor Inst. Particulares Metrosur"/>
    <x v="1"/>
    <n v="7"/>
    <s v="2025-12-03 10:44:34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85"/>
    <s v="ENERES"/>
    <s v="NUEVO"/>
    <s v="ENERES"/>
    <s v="24/11/2025 10:44:35"/>
    <s v="2025-11-24 10:44:35"/>
    <n v="900982391"/>
    <s v="PROMOTORA COSTA AZUL S.A.S"/>
    <s v="5913058"/>
    <s v="SIN DATOS"/>
    <s v="CL 75 SUR CR 57 -22 (INTERIOR 1113 BQ 3 COSTA AZUL"/>
    <x v="0"/>
    <s v="037515007000221113"/>
    <s v="La Estrella"/>
    <x v="2"/>
    <s v="Revisor Inst. Particulares Metrosur"/>
    <x v="1"/>
    <n v="7"/>
    <s v="2025-12-03 10:44:35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86"/>
    <s v="ENERES"/>
    <s v="NUEVO"/>
    <s v="ENERES"/>
    <s v="24/11/2025 10:44:34"/>
    <s v="2025-11-24 10:44:34"/>
    <n v="900982391"/>
    <s v="PROMOTORA COSTA AZUL S.A.S"/>
    <s v="5913058"/>
    <s v="SIN DATOS"/>
    <s v="CL 75 SUR CR 57 -22 (INTERIOR 1918 BQ 3 COSTA AZUL"/>
    <x v="0"/>
    <s v="037515007000221918"/>
    <s v="La Estrella"/>
    <x v="2"/>
    <s v="Revisor Inst. Particulares Metrosur"/>
    <x v="1"/>
    <n v="7"/>
    <s v="2025-12-03 10:44:34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87"/>
    <s v="ENERES"/>
    <s v="NUEVO"/>
    <s v="ENERES"/>
    <s v="24/11/2025 10:44:34"/>
    <s v="2025-11-24 10:44:34"/>
    <n v="900982391"/>
    <s v="PROMOTORA COSTA AZUL S.A.S"/>
    <s v="5913058"/>
    <s v="SIN DATOS"/>
    <s v="CL 75 SUR CR 57 -22 (INTERIOR 1517 BQ 3 COSTA AZUL"/>
    <x v="0"/>
    <s v="037515007000221517"/>
    <s v="La Estrella"/>
    <x v="2"/>
    <s v="Revisor Inst. Particulares Metrosur"/>
    <x v="1"/>
    <n v="7"/>
    <s v="2025-12-03 10:44:34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88"/>
    <s v="ENERES"/>
    <s v="NUEVO"/>
    <s v="ENERES"/>
    <s v="24/11/2025 10:44:35"/>
    <s v="2025-11-24 10:44:35"/>
    <n v="900982391"/>
    <s v="PROMOTORA COSTA AZUL S.A.S"/>
    <s v="5913058"/>
    <s v="SIN DATOS"/>
    <s v="CL 75 SUR CR 57 -22 (INTERIOR 1215 BQ 3 COSTA AZUL"/>
    <x v="0"/>
    <s v="037515007000221215"/>
    <s v="La Estrella"/>
    <x v="2"/>
    <s v="Revisor Inst. Particulares Metrosur"/>
    <x v="1"/>
    <n v="7"/>
    <s v="2025-12-03 10:44:35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89"/>
    <s v="ENERES"/>
    <s v="NUEVO"/>
    <s v="ENERES"/>
    <s v="24/11/2025 10:44:36"/>
    <s v="2025-11-24 10:44:36"/>
    <n v="900982391"/>
    <s v="PROMOTORA COSTA AZUL S.A.S"/>
    <s v="5913058"/>
    <s v="SIN DATOS"/>
    <s v="CL 75 SUR CR 57 -22 (INTERIOR 914 BQ 3 COSTA AZUL"/>
    <x v="0"/>
    <s v="037515007000220914"/>
    <s v="La Estrella"/>
    <x v="2"/>
    <s v="Revisor Inst. Particulares Metrosur"/>
    <x v="1"/>
    <n v="7"/>
    <s v="2025-12-03 10:44:36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90"/>
    <s v="ENERES"/>
    <s v="NUEVO"/>
    <s v="ENERES"/>
    <s v="24/11/2025 10:44:38"/>
    <s v="2025-11-24 10:44:38"/>
    <n v="900982391"/>
    <s v="PROMOTORA COSTA AZUL S.A.S"/>
    <s v="5913058"/>
    <s v="SIN DATOS"/>
    <s v="CL 75 SUR CR 57 -22 (INTERIOR 2617 BQ 3 COSTA AZUL"/>
    <x v="0"/>
    <s v="037515007000222617"/>
    <s v="La Estrella"/>
    <x v="2"/>
    <s v="Revisor Inst. Particulares Metrosur"/>
    <x v="1"/>
    <n v="7"/>
    <s v="2025-12-03 10:44:38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91"/>
    <s v="ENERES"/>
    <s v="NUEVO"/>
    <s v="ENERES"/>
    <s v="24/11/2025 10:44:38"/>
    <s v="2025-11-24 10:44:38"/>
    <n v="900982391"/>
    <s v="PROMOTORA COSTA AZUL S.A.S"/>
    <s v="5913058"/>
    <s v="SIN DATOS"/>
    <s v="CL 75 SUR CR 57 -22 (INTERIOR 2315 BQ 3 COSTA AZUL"/>
    <x v="0"/>
    <s v="037515007000222315"/>
    <s v="La Estrella"/>
    <x v="2"/>
    <s v="Revisor Inst. Particulares Metrosur"/>
    <x v="1"/>
    <n v="7"/>
    <s v="2025-12-03 10:44:38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92"/>
    <s v="ENERES"/>
    <s v="NUEVO"/>
    <s v="ENERES"/>
    <s v="24/11/2025 10:44:38"/>
    <s v="2025-11-24 10:44:38"/>
    <n v="900982391"/>
    <s v="PROMOTORA COSTA AZUL S.A.S"/>
    <s v="5913058"/>
    <s v="SIN DATOS"/>
    <s v="CL 75 SUR CR 57 -22 (INTERIOR 1213 BQ 3 COSTA AZUL"/>
    <x v="0"/>
    <s v="037515007000221213"/>
    <s v="La Estrella"/>
    <x v="2"/>
    <s v="Revisor Inst. Particulares Metrosur"/>
    <x v="1"/>
    <n v="7"/>
    <s v="2025-12-03 10:44:38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93"/>
    <s v="ENERES"/>
    <s v="NUEVO"/>
    <s v="ENERES"/>
    <s v="24/11/2025 10:44:39"/>
    <s v="2025-11-24 10:44:39"/>
    <n v="900982391"/>
    <s v="PROMOTORA COSTA AZUL S.A.S"/>
    <s v="5913058"/>
    <s v="SIN DATOS"/>
    <s v="CL 75 SUR CR 57 -22 (INTERIOR 1916 BQ 3 COSTA AZUL"/>
    <x v="0"/>
    <s v="037515007000221916"/>
    <s v="La Estrella"/>
    <x v="2"/>
    <s v="Revisor Inst. Particulares Metrosur"/>
    <x v="1"/>
    <n v="7"/>
    <s v="2025-12-03 10:44:39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94"/>
    <s v="ENERES"/>
    <s v="NUEVO"/>
    <s v="ENERES"/>
    <s v="24/11/2025 10:44:39"/>
    <s v="2025-11-24 10:44:39"/>
    <n v="900982391"/>
    <s v="PROMOTORA COSTA AZUL S.A.S"/>
    <s v="5913058"/>
    <s v="SIN DATOS"/>
    <s v="CL 75 SUR CR 57 -22 (INTERIOR 2614 BQ 3 COSTA AZUL"/>
    <x v="0"/>
    <s v="037515007000222614"/>
    <s v="La Estrella"/>
    <x v="2"/>
    <s v="Revisor Inst. Particulares Metrosur"/>
    <x v="1"/>
    <n v="7"/>
    <s v="2025-12-03 10:44:39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95"/>
    <s v="ENERES"/>
    <s v="NUEVO"/>
    <s v="ENERES"/>
    <s v="24/11/2025 10:44:39"/>
    <s v="2025-11-24 10:44:39"/>
    <n v="900982391"/>
    <s v="PROMOTORA COSTA AZUL S.A.S"/>
    <s v="5913058"/>
    <s v="SIN DATOS"/>
    <s v="CL 75 SUR CR 57 -22 (INTERIOR 2616 BQ 3 COSTA AZUL"/>
    <x v="0"/>
    <s v="037515007000222616"/>
    <s v="La Estrella"/>
    <x v="2"/>
    <s v="Revisor Inst. Particulares Metrosur"/>
    <x v="1"/>
    <n v="7"/>
    <s v="2025-12-03 10:44:39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96"/>
    <s v="ENERES"/>
    <s v="NUEVO"/>
    <s v="ENERES"/>
    <s v="24/11/2025 10:44:40"/>
    <s v="2025-11-24 10:44:40"/>
    <n v="900982391"/>
    <s v="PROMOTORA COSTA AZUL S.A.S"/>
    <s v="5913058"/>
    <s v="SIN DATOS"/>
    <s v="CL 75 SUR CR 57 -22 (INTERIOR 2418 BQ 3 COSTA AZUL"/>
    <x v="0"/>
    <s v="037515007000222418"/>
    <s v="La Estrella"/>
    <x v="2"/>
    <s v="Revisor Inst. Particulares Metrosur"/>
    <x v="1"/>
    <n v="7"/>
    <s v="2025-12-03 10:44:40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97"/>
    <s v="ENERES"/>
    <s v="NUEVO"/>
    <s v="ENERES"/>
    <s v="24/11/2025 10:44:40"/>
    <s v="2025-11-24 10:44:40"/>
    <n v="900982391"/>
    <s v="PROMOTORA COSTA AZUL S.A.S"/>
    <s v="5913058"/>
    <s v="SIN DATOS"/>
    <s v="CL 75 SUR CR 57 -22 (INTERIOR 913 BQ 3 COSTA AZUL"/>
    <x v="0"/>
    <s v="037515007000220913"/>
    <s v="La Estrella"/>
    <x v="2"/>
    <s v="Revisor Inst. Particulares Metrosur"/>
    <x v="1"/>
    <n v="7"/>
    <s v="2025-12-03 10:44:40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98"/>
    <s v="ENERES"/>
    <s v="NUEVO"/>
    <s v="ENERES"/>
    <s v="24/11/2025 10:44:41"/>
    <s v="2025-11-24 10:44:41"/>
    <n v="900982391"/>
    <s v="PROMOTORA COSTA AZUL S.A.S"/>
    <s v="5913058"/>
    <s v="SIN DATOS"/>
    <s v="CL 75 SUR CR 57 -22 (INTERIOR 2518 BQ 3 COSTA AZUL"/>
    <x v="0"/>
    <s v="037515007000222518"/>
    <s v="La Estrella"/>
    <x v="2"/>
    <s v="Revisor Inst. Particulares Metrosur"/>
    <x v="1"/>
    <n v="7"/>
    <s v="2025-12-03 10:44:41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799"/>
    <s v="ENERES"/>
    <s v="NUEVO"/>
    <s v="ENERES"/>
    <s v="24/11/2025 10:44:42"/>
    <s v="2025-11-24 10:44:42"/>
    <n v="900982391"/>
    <s v="PROMOTORA COSTA AZUL S.A.S"/>
    <s v="5913058"/>
    <s v="SIN DATOS"/>
    <s v="CL 75 SUR CR 57 -22 (INTERIOR 2517 BQ 3 COSTA AZUL"/>
    <x v="0"/>
    <s v="037515007000222517"/>
    <s v="La Estrella"/>
    <x v="2"/>
    <s v="Revisor Inst. Particulares Metrosur"/>
    <x v="1"/>
    <n v="7"/>
    <s v="2025-12-03 10:44:42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800"/>
    <s v="ENERES"/>
    <s v="NUEVO"/>
    <s v="ENERES"/>
    <s v="24/11/2025 10:44:43"/>
    <s v="2025-11-24 10:44:43"/>
    <n v="900982391"/>
    <s v="PROMOTORA COSTA AZUL S.A.S"/>
    <s v="5913058"/>
    <s v="SIN DATOS"/>
    <s v="CL 75 SUR CR 57 -22 (INTERIOR 2514 BQ 3 COSTA AZUL"/>
    <x v="0"/>
    <s v="037515007000222514"/>
    <s v="La Estrella"/>
    <x v="2"/>
    <s v="Revisor Inst. Particulares Metrosur"/>
    <x v="1"/>
    <n v="7"/>
    <s v="2025-12-03 10:44:43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801"/>
    <s v="ENERES"/>
    <s v="NUEVO"/>
    <s v="ENERES"/>
    <s v="24/11/2025 10:44:45"/>
    <s v="2025-11-24 10:44:45"/>
    <n v="900982391"/>
    <s v="PROMOTORA COSTA AZUL S.A.S"/>
    <s v="5913058"/>
    <s v="SIN DATOS"/>
    <s v="CL 75 SUR CR 57 -22 (INTERIOR 2515 BQ 3 COSTA AZUL"/>
    <x v="0"/>
    <s v="037515007000222515"/>
    <s v="La Estrella"/>
    <x v="2"/>
    <s v="Revisor Inst. Particulares Metrosur"/>
    <x v="1"/>
    <n v="7"/>
    <s v="2025-12-03 10:44:45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802"/>
    <s v="ENERES"/>
    <s v="NUEVO"/>
    <s v="ENERES"/>
    <s v="24/11/2025 10:44:50"/>
    <s v="2025-11-24 10:44:50"/>
    <n v="900982391"/>
    <s v="PROMOTORA COSTA AZUL S.A.S"/>
    <s v="5913058"/>
    <s v="SIN DATOS"/>
    <s v="CL 75 SUR CR 57 -22 (INTERIOR 813 BQ 3 COSTA AZUL"/>
    <x v="0"/>
    <s v="037515007000220813"/>
    <s v="La Estrella"/>
    <x v="2"/>
    <s v="Revisor Inst. Particulares Metrosur"/>
    <x v="1"/>
    <n v="7"/>
    <s v="2025-12-03 10:44:50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803"/>
    <s v="ENERES"/>
    <s v="NUEVO"/>
    <s v="ENERES"/>
    <s v="24/11/2025 10:44:53"/>
    <s v="2025-11-24 10:44:53"/>
    <n v="900982391"/>
    <s v="PROMOTORA COSTA AZUL S.A.S"/>
    <s v="5913058"/>
    <s v="SIN DATOS"/>
    <s v="CL 75 SUR CR 57 -22 (INTERIOR 1917 BQ 3 COSTA AZUL"/>
    <x v="0"/>
    <s v="037515007000221917"/>
    <s v="La Estrella"/>
    <x v="2"/>
    <s v="Revisor Inst. Particulares Metrosur"/>
    <x v="1"/>
    <n v="7"/>
    <s v="2025-12-03 10:44:53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804"/>
    <s v="ENERES"/>
    <s v="NUEVO"/>
    <s v="ENERES"/>
    <s v="24/11/2025 10:44:53"/>
    <s v="2025-11-24 10:44:53"/>
    <n v="900982391"/>
    <s v="PROMOTORA COSTA AZUL S.A.S"/>
    <s v="5913058"/>
    <s v="SIN DATOS"/>
    <s v="CL 75 SUR CR 57 -22 (INTERIOR 2014 BQ 3 COSTA AZUL"/>
    <x v="0"/>
    <s v="037515007000222014"/>
    <s v="La Estrella"/>
    <x v="2"/>
    <s v="Revisor Inst. Particulares Metrosur"/>
    <x v="1"/>
    <n v="7"/>
    <s v="2025-12-03 10:44:53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805"/>
    <s v="ENERES"/>
    <s v="NUEVO"/>
    <s v="ENERES"/>
    <s v="24/11/2025 10:44:54"/>
    <s v="2025-11-24 10:44:54"/>
    <n v="900982391"/>
    <s v="PROMOTORA COSTA AZUL S.A.S"/>
    <s v="5913058"/>
    <s v="SIN DATOS"/>
    <s v="CL 75 SUR CR 57 -22 (INTERIOR 814 BQ 3 COSTA AZUL"/>
    <x v="0"/>
    <s v="037515007000220814"/>
    <s v="La Estrella"/>
    <x v="2"/>
    <s v="Revisor Inst. Particulares Metrosur"/>
    <x v="1"/>
    <n v="7"/>
    <s v="2025-12-03 10:44:54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806"/>
    <s v="ENERES"/>
    <s v="NUEVO"/>
    <s v="ENERES"/>
    <s v="24/11/2025 10:44:57"/>
    <s v="2025-11-24 10:44:57"/>
    <n v="900982391"/>
    <s v="PROMOTORA COSTA AZUL S.A.S"/>
    <s v="5913058"/>
    <s v="SIN DATOS"/>
    <s v="CL 75 SUR CR 57 -22 (INTERIOR 2513 BQ 3 COSTA AZUL"/>
    <x v="0"/>
    <s v="037515007000222513"/>
    <s v="La Estrella"/>
    <x v="2"/>
    <s v="Revisor Inst. Particulares Metrosur"/>
    <x v="1"/>
    <n v="7"/>
    <s v="2025-12-03 10:44:57"/>
    <s v="5 días 10:44"/>
    <s v="2 días 10:44"/>
    <x v="1"/>
    <s v="SIN DATO"/>
    <s v="SIN DATO"/>
    <s v="SIN DATO"/>
    <s v="ABIERTO"/>
    <n v="-75.649831634999899"/>
    <n v="6.1379125160000303"/>
    <s v="SUR-ENE"/>
    <s v="Metropolitana Sur"/>
  </r>
  <r>
    <s v="23597807"/>
    <s v="ENERES"/>
    <s v="NUEVO"/>
    <s v="ENERES"/>
    <s v="24/11/2025 10:45:02"/>
    <s v="2025-11-24 10:45:02"/>
    <n v="900982391"/>
    <s v="PROMOTORA COSTA AZUL S.A.S"/>
    <s v="5913058"/>
    <s v="SIN DATOS"/>
    <s v="CL 75 SUR CR 57 -22 (INTERIOR 2516 BQ 3 COSTA AZUL"/>
    <x v="0"/>
    <s v="037515007000222516"/>
    <s v="La Estrella"/>
    <x v="2"/>
    <s v="Revisor Inst. Particulares Metrosur"/>
    <x v="1"/>
    <n v="7"/>
    <s v="2025-12-03 10:45:02"/>
    <s v="5 días 10:45"/>
    <s v="2 días 10:45"/>
    <x v="1"/>
    <s v="SIN DATO"/>
    <s v="SIN DATO"/>
    <s v="SIN DATO"/>
    <s v="ABIERTO"/>
    <n v="-75.649831634999899"/>
    <n v="6.1379125160000303"/>
    <s v="SUR-ENE"/>
    <s v="Metropolitana Sur"/>
  </r>
  <r>
    <s v="23597808"/>
    <s v="ENERES"/>
    <s v="NUEVO"/>
    <s v="ENERES"/>
    <s v="24/11/2025 10:45:04"/>
    <s v="2025-11-24 10:45:04"/>
    <n v="900982391"/>
    <s v="PROMOTORA COSTA AZUL S.A.S"/>
    <s v="5913058"/>
    <s v="SIN DATOS"/>
    <s v="CL 75 SUR CR 57 -22 (INTERIOR 2416 BQ 3 COSTA AZUL"/>
    <x v="0"/>
    <s v="037515007000222416"/>
    <s v="La Estrella"/>
    <x v="2"/>
    <s v="Revisor Inst. Particulares Metrosur"/>
    <x v="1"/>
    <n v="7"/>
    <s v="2025-12-03 10:45:04"/>
    <s v="5 días 10:45"/>
    <s v="2 días 10:45"/>
    <x v="1"/>
    <s v="SIN DATO"/>
    <s v="SIN DATO"/>
    <s v="SIN DATO"/>
    <s v="ABIERTO"/>
    <n v="-75.649831634999899"/>
    <n v="6.1379125160000303"/>
    <s v="SUR-ENE"/>
    <s v="Metropolitana Sur"/>
  </r>
  <r>
    <s v="23597809"/>
    <s v="ENERES"/>
    <s v="NUEVO"/>
    <s v="ENERES"/>
    <s v="24/11/2025 10:45:06"/>
    <s v="2025-11-24 10:45:06"/>
    <n v="900982391"/>
    <s v="PROMOTORA COSTA AZUL S.A.S"/>
    <s v="5913058"/>
    <s v="SIN DATOS"/>
    <s v="CL 75 SUR CR 57 -22 (INTERIOR 1915 BQ 3 COSTA AZUL"/>
    <x v="0"/>
    <s v="037515007000221915"/>
    <s v="La Estrella"/>
    <x v="2"/>
    <s v="Revisor Inst. Particulares Metrosur"/>
    <x v="1"/>
    <n v="7"/>
    <s v="2025-12-03 10:45:06"/>
    <s v="5 días 10:45"/>
    <s v="2 días 10:45"/>
    <x v="1"/>
    <s v="SIN DATO"/>
    <s v="SIN DATO"/>
    <s v="SIN DATO"/>
    <s v="ABIERTO"/>
    <n v="-75.649831634999899"/>
    <n v="6.1379125160000303"/>
    <s v="SUR-ENE"/>
    <s v="Metropolitana Sur"/>
  </r>
  <r>
    <s v="23597810"/>
    <s v="ENERES"/>
    <s v="NUEVO"/>
    <s v="ENERES"/>
    <s v="24/11/2025 10:45:09"/>
    <s v="2025-11-24 10:45:09"/>
    <n v="900982391"/>
    <s v="PROMOTORA COSTA AZUL S.A.S"/>
    <s v="5913058"/>
    <s v="SIN DATOS"/>
    <s v="CL 75 SUR CR 57 -22 (INTERIOR 1414 BQ 3 COSTA AZUL"/>
    <x v="0"/>
    <s v="037515007000221414"/>
    <s v="La Estrella"/>
    <x v="2"/>
    <s v="Revisor Inst. Particulares Metrosur"/>
    <x v="1"/>
    <n v="7"/>
    <s v="2025-12-03 10:45:09"/>
    <s v="5 días 10:45"/>
    <s v="2 días 10:45"/>
    <x v="1"/>
    <s v="SIN DATO"/>
    <s v="SIN DATO"/>
    <s v="SIN DATO"/>
    <s v="ABIERTO"/>
    <n v="-75.649831634999899"/>
    <n v="6.1379125160000303"/>
    <s v="SUR-ENE"/>
    <s v="Metropolitana Sur"/>
  </r>
  <r>
    <s v="23597830"/>
    <s v="ENERES"/>
    <s v="NUEVO"/>
    <s v="ENERES"/>
    <s v="24/11/2025 10:54:33"/>
    <s v="2025-11-24 10:54:33"/>
    <n v="42757927"/>
    <s v="LUZ ELENA DURANGO HOLGUIN"/>
    <s v="SIN DATOS"/>
    <s v="3135863048"/>
    <s v="CR 57 CL 40 -193 (INTERIOR 305 )"/>
    <x v="1"/>
    <s v="074527000001930305"/>
    <s v="Itaguí"/>
    <x v="2"/>
    <s v="Revisor Instal. Regadas Metrosur"/>
    <x v="1"/>
    <n v="7"/>
    <s v="2025-12-03 10:54:33"/>
    <s v="5 días 10:54"/>
    <s v="2 días 10:54"/>
    <x v="1"/>
    <s v="SIN DATO"/>
    <s v="SIN DATO"/>
    <s v="SIN DATO"/>
    <s v="ABIERTO"/>
    <n v="-75.616832889999998"/>
    <n v="6.1746686999999998"/>
    <s v="SUR-ENE"/>
    <s v="Metropolitana Sur"/>
  </r>
  <r>
    <s v="23597833"/>
    <s v="ENERES"/>
    <s v="NUEVO"/>
    <s v="ENERES"/>
    <s v="24/11/2025 10:56:00"/>
    <s v="2025-11-24 10:56:00"/>
    <n v="900982391"/>
    <s v="PROMOTORA COSTA AZUL S.A.S"/>
    <s v="5913058"/>
    <s v="SIN DATOS"/>
    <s v="CL 75 SUR CR 57 -22 (INTERIOR 1913 BQ 3 COSTA AZUL"/>
    <x v="0"/>
    <s v="037515007000221913"/>
    <s v="La Estrella"/>
    <x v="2"/>
    <s v="Revisor Inst. Particulares Metrosur"/>
    <x v="1"/>
    <n v="7"/>
    <s v="2025-12-03 10:56:00"/>
    <s v="5 días 10:56"/>
    <s v="2 días 10:56"/>
    <x v="1"/>
    <s v="SIN DATO"/>
    <s v="SIN DATO"/>
    <s v="SIN DATO"/>
    <s v="ABIERTO"/>
    <n v="-75.649831634999899"/>
    <n v="6.1379125160000303"/>
    <s v="SUR-ENE"/>
    <s v="Metropolitana Sur"/>
  </r>
  <r>
    <s v="23597834"/>
    <s v="ENERES"/>
    <s v="NUEVO"/>
    <s v="ENERES"/>
    <s v="24/11/2025 10:56:01"/>
    <s v="2025-11-24 10:56:01"/>
    <n v="900982391"/>
    <s v="PROMOTORA COSTA AZUL S.A.S"/>
    <s v="5913058"/>
    <s v="SIN DATOS"/>
    <s v="CL 75 SUR CR 57 -22 (INTERIOR 818 BQ 3 COSTA AZUL"/>
    <x v="0"/>
    <s v="037515007000220818"/>
    <s v="La Estrella"/>
    <x v="2"/>
    <s v="Revisor Inst. Particulares Metrosur"/>
    <x v="1"/>
    <n v="7"/>
    <s v="2025-12-03 10:56:01"/>
    <s v="5 días 10:56"/>
    <s v="2 días 10:56"/>
    <x v="1"/>
    <s v="SIN DATO"/>
    <s v="SIN DATO"/>
    <s v="SIN DATO"/>
    <s v="ABIERTO"/>
    <n v="-75.649831634999899"/>
    <n v="6.1379125160000303"/>
    <s v="SUR-ENE"/>
    <s v="Metropolitana Sur"/>
  </r>
  <r>
    <s v="23597842"/>
    <s v="ENERES"/>
    <s v="NUEVO"/>
    <s v="ENERES"/>
    <s v="24/11/2025 10:57:47"/>
    <s v="2025-11-24 10:57:47"/>
    <n v="42867940"/>
    <s v="ANGELA MUNERA MUNERA"/>
    <s v="SIN DATOS"/>
    <s v="3014572440"/>
    <s v="CR 64 B CL 25 A -3 (INTERIOR 100 )"/>
    <x v="1"/>
    <s v="072624205100030100"/>
    <s v="Itaguí"/>
    <x v="2"/>
    <s v="Revisor Instal. Regadas Metrosur"/>
    <x v="1"/>
    <n v="7"/>
    <s v="2025-12-03 10:57:47"/>
    <s v="5 días 10:57"/>
    <s v="2 días 10:57"/>
    <x v="1"/>
    <s v="SIN DATO"/>
    <s v="SIN DATO"/>
    <s v="SIN DATO"/>
    <s v="ABIERTO"/>
    <n v="-75.642689669999996"/>
    <n v="6.1689482099999999"/>
    <s v="SUR-ENE"/>
    <s v="Metropolitana Sur"/>
  </r>
  <r>
    <s v="23597845"/>
    <s v="ENEMRT"/>
    <s v="NUEVO"/>
    <s v="ENEMVI"/>
    <s v="24/11/2025 10:58:41"/>
    <s v="2025-11-24 10:58:41"/>
    <n v="71612946"/>
    <s v="FREDY ALFONSO GOMEZ GOMEZ"/>
    <s v="SIN DATOS"/>
    <s v="3108408586"/>
    <s v="CR 19 CL 62 -30"/>
    <x v="2"/>
    <s v="056129002000300000"/>
    <s v="Medellín"/>
    <x v="11"/>
    <s v="METR Mov Red Trans Anderson Castaño"/>
    <x v="1"/>
    <n v="9"/>
    <s v="2025-12-05 10:58:41"/>
    <s v="5 días 10:58"/>
    <s v="4 días 10:58"/>
    <x v="0"/>
    <s v="SIN DATO"/>
    <s v="SIN DATO"/>
    <s v="SIN DATO"/>
    <s v="ABIERTO"/>
    <n v="-75.541616790000006"/>
    <n v="6.2542075199999996"/>
    <s v="SUR-ENE"/>
    <s v="Metropolitana Sur"/>
  </r>
  <r>
    <s v="23597898"/>
    <s v="ENEMRT"/>
    <s v="NUEVO"/>
    <s v="ENEMVI"/>
    <s v="24/11/2025 11:27:15"/>
    <s v="2025-11-24 11:27:15"/>
    <n v="1017244058"/>
    <s v="ALEJANDRO HERNAN OCAMPO OCAMPO"/>
    <s v="SIN DATOS"/>
    <s v="3246272504"/>
    <s v="CL 56 AA CR 1 -44"/>
    <x v="2"/>
    <s v="055016111000440000"/>
    <s v="Medellín"/>
    <x v="11"/>
    <s v="METR Mov Red Trans Anderson Castaño"/>
    <x v="1"/>
    <n v="9"/>
    <s v="2025-12-05 11:27:15"/>
    <s v="5 días 11:27"/>
    <s v="4 días 11:27"/>
    <x v="0"/>
    <s v="SIN DATO"/>
    <s v="SIN DATO"/>
    <s v="SIN DATO"/>
    <s v="ABIERTO"/>
    <n v="-75.528304399999996"/>
    <n v="6.23651219"/>
    <s v="SUR-ENE"/>
    <s v="Metropolitana Sur"/>
  </r>
  <r>
    <s v="23597904"/>
    <s v="ENERES"/>
    <s v="CAMBI"/>
    <s v="ENERES"/>
    <s v="24/11/2025 11:28:51"/>
    <s v="2025-11-24 11:28:51"/>
    <n v="15458130"/>
    <s v="NELSON DE JESUS MONTOYA SANCHEZ"/>
    <s v="SIN DATOS"/>
    <s v="3146466859"/>
    <s v="CR 42 A CL 125 SUR -77 (INTERIOR 5 )"/>
    <x v="3"/>
    <s v="002422105000770005"/>
    <s v="Caldas"/>
    <x v="5"/>
    <s v="MET Rev-Inst-Concentra E_CR014"/>
    <x v="1"/>
    <n v="7"/>
    <s v="2025-12-03 11:28:51"/>
    <s v="5 días 11:28"/>
    <s v="2 días 11:28"/>
    <x v="1"/>
    <s v="SIN DATO"/>
    <s v="SIN DATO"/>
    <s v="SIN DATO"/>
    <s v="ABIERTO"/>
    <n v="-75.629795000000001"/>
    <n v="6.0959989999999999"/>
    <s v="SUR-ENE"/>
    <s v="Metropolitana Sur"/>
  </r>
  <r>
    <s v="23597917"/>
    <s v="ENERES"/>
    <s v="NUEVO"/>
    <s v="ENERES"/>
    <s v="24/11/2025 11:33:10"/>
    <s v="2025-11-24 11:33:10"/>
    <n v="900982391"/>
    <s v="PROMOTORA COSTA AZUL S.A.S"/>
    <s v="5913058"/>
    <s v="SIN DATOS"/>
    <s v="CL 75 SUR CR 57 -22 (INTERIOR 1315 BQ 3 COSTA AZUL"/>
    <x v="0"/>
    <s v="037515007000221315"/>
    <s v="La Estrella"/>
    <x v="2"/>
    <s v="Revisor Inst. Particulares Metrosur"/>
    <x v="1"/>
    <n v="7"/>
    <s v="2025-12-03 11:33:10"/>
    <s v="5 días 11:33"/>
    <s v="2 días 11:33"/>
    <x v="1"/>
    <s v="SIN DATO"/>
    <s v="SIN DATO"/>
    <s v="SIN DATO"/>
    <s v="ABIERTO"/>
    <n v="-75.649831634999899"/>
    <n v="6.1379125160000303"/>
    <s v="SUR-ENE"/>
    <s v="Metropolitana Sur"/>
  </r>
  <r>
    <s v="23597918"/>
    <s v="ENERES"/>
    <s v="NUEVO"/>
    <s v="ENERES"/>
    <s v="24/11/2025 11:33:13"/>
    <s v="2025-11-24 11:33:13"/>
    <n v="900982391"/>
    <s v="PROMOTORA COSTA AZUL S.A.S"/>
    <s v="5913058"/>
    <s v="SIN DATOS"/>
    <s v="CL 75 SUR CR 57 -22 (INTERIOR 1116 BQ 3 COSTA AZUL"/>
    <x v="0"/>
    <s v="037515007000221116"/>
    <s v="La Estrella"/>
    <x v="2"/>
    <s v="Revisor Inst. Particulares Metrosur"/>
    <x v="1"/>
    <n v="7"/>
    <s v="2025-12-03 11:33:13"/>
    <s v="5 días 11:33"/>
    <s v="2 días 11:33"/>
    <x v="1"/>
    <s v="SIN DATO"/>
    <s v="SIN DATO"/>
    <s v="SIN DATO"/>
    <s v="ABIERTO"/>
    <n v="-75.649831634999899"/>
    <n v="6.1379125160000303"/>
    <s v="SUR-ENE"/>
    <s v="Metropolitana Sur"/>
  </r>
  <r>
    <s v="23597919"/>
    <s v="ENERES"/>
    <s v="NUEVO"/>
    <s v="ENERES"/>
    <s v="24/11/2025 11:33:17"/>
    <s v="2025-11-24 11:33:17"/>
    <n v="900982391"/>
    <s v="PROMOTORA COSTA AZUL S.A.S"/>
    <s v="5913058"/>
    <s v="SIN DATOS"/>
    <s v="CL 75 SUR CR 57 -22 (INTERIOR 2218 BQ 3 COSTAAZUL"/>
    <x v="0"/>
    <s v="037515007000222218"/>
    <s v="La Estrella"/>
    <x v="2"/>
    <s v="Revisor Inst. Particulares Metrosur"/>
    <x v="1"/>
    <n v="7"/>
    <s v="2025-12-03 11:33:17"/>
    <s v="5 días 11:33"/>
    <s v="2 días 11:33"/>
    <x v="1"/>
    <s v="SIN DATO"/>
    <s v="SIN DATO"/>
    <s v="SIN DATO"/>
    <s v="ABIERTO"/>
    <n v="-75.649831634999899"/>
    <n v="6.1379125160000303"/>
    <s v="SUR-ENE"/>
    <s v="Metropolitana Sur"/>
  </r>
  <r>
    <s v="23597920"/>
    <s v="ENERES"/>
    <s v="NUEVO"/>
    <s v="ENERES"/>
    <s v="24/11/2025 11:33:18"/>
    <s v="2025-11-24 11:33:18"/>
    <n v="900982391"/>
    <s v="PROMOTORA COSTA AZUL S.A.S"/>
    <s v="5913058"/>
    <s v="SIN DATOS"/>
    <s v="CL 75 SUR CR 57 -22 (INTERIOR 816 BQ 3 COSTA AZUL"/>
    <x v="0"/>
    <s v="037515007000220816"/>
    <s v="La Estrella"/>
    <x v="2"/>
    <s v="Revisor Inst. Particulares Metrosur"/>
    <x v="1"/>
    <n v="7"/>
    <s v="2025-12-03 11:33:18"/>
    <s v="5 días 11:33"/>
    <s v="2 días 11:33"/>
    <x v="1"/>
    <s v="SIN DATO"/>
    <s v="SIN DATO"/>
    <s v="SIN DATO"/>
    <s v="ABIERTO"/>
    <n v="-75.649831634999899"/>
    <n v="6.1379125160000303"/>
    <s v="SUR-ENE"/>
    <s v="Metropolitana Sur"/>
  </r>
  <r>
    <s v="23597921"/>
    <s v="ENERES"/>
    <s v="NUEVO"/>
    <s v="ENERES"/>
    <s v="24/11/2025 11:33:18"/>
    <s v="2025-11-24 11:33:18"/>
    <n v="900982391"/>
    <s v="PROMOTORA COSTA AZUL S.A.S"/>
    <s v="5913058"/>
    <s v="SIN DATOS"/>
    <s v="CL 75 SUR CR 57 -22 (INTERIOR 2313 BQ 3 COSTAAZUL"/>
    <x v="0"/>
    <s v="037515007000222313"/>
    <s v="La Estrella"/>
    <x v="2"/>
    <s v="Revisor Inst. Particulares Metrosur"/>
    <x v="1"/>
    <n v="7"/>
    <s v="2025-12-03 11:33:18"/>
    <s v="5 días 11:33"/>
    <s v="2 días 11:33"/>
    <x v="1"/>
    <s v="SIN DATO"/>
    <s v="SIN DATO"/>
    <s v="SIN DATO"/>
    <s v="ABIERTO"/>
    <n v="-75.649831634999899"/>
    <n v="6.1379125160000303"/>
    <s v="SUR-ENE"/>
    <s v="Metropolitana Sur"/>
  </r>
  <r>
    <s v="23597922"/>
    <s v="ENERES"/>
    <s v="NUEVO"/>
    <s v="ENERES"/>
    <s v="24/11/2025 11:33:22"/>
    <s v="2025-11-24 11:33:22"/>
    <n v="900982391"/>
    <s v="PROMOTORA COSTA AZUL S.A.S"/>
    <s v="5913058"/>
    <s v="SIN DATOS"/>
    <s v="CL 75 SUR CR 57 -22 (INTERIOR 1117 BQ 3 COSTA AZUL"/>
    <x v="0"/>
    <s v="037515007000221117"/>
    <s v="La Estrella"/>
    <x v="2"/>
    <s v="Revisor Inst. Particulares Metrosur"/>
    <x v="1"/>
    <n v="7"/>
    <s v="2025-12-03 11:33:22"/>
    <s v="5 días 11:33"/>
    <s v="2 días 11:33"/>
    <x v="1"/>
    <s v="SIN DATO"/>
    <s v="SIN DATO"/>
    <s v="SIN DATO"/>
    <s v="ABIERTO"/>
    <n v="-75.649831634999899"/>
    <n v="6.1379125160000303"/>
    <s v="SUR-ENE"/>
    <s v="Metropolitana Sur"/>
  </r>
  <r>
    <s v="23597923"/>
    <s v="ENERES"/>
    <s v="NUEVO"/>
    <s v="ENERES"/>
    <s v="24/11/2025 11:33:23"/>
    <s v="2025-11-24 11:33:23"/>
    <n v="900982391"/>
    <s v="PROMOTORA COSTA AZUL S.A.S"/>
    <s v="5913058"/>
    <s v="SIN DATOS"/>
    <s v="CL 75 SUR CR 57 -22 (INTERIOR 1118 BQ 3 COSTA AZUL"/>
    <x v="0"/>
    <s v="037515007000221118"/>
    <s v="La Estrella"/>
    <x v="2"/>
    <s v="Revisor Inst. Particulares Metrosur"/>
    <x v="1"/>
    <n v="7"/>
    <s v="2025-12-03 11:33:23"/>
    <s v="5 días 11:33"/>
    <s v="2 días 11:33"/>
    <x v="1"/>
    <s v="SIN DATO"/>
    <s v="SIN DATO"/>
    <s v="SIN DATO"/>
    <s v="ABIERTO"/>
    <n v="-75.649831634999899"/>
    <n v="6.1379125160000303"/>
    <s v="SUR-ENE"/>
    <s v="Metropolitana Sur"/>
  </r>
  <r>
    <s v="23597970"/>
    <s v="ENEMRT"/>
    <s v="NUEVO"/>
    <s v="ENEMVI"/>
    <s v="24/11/2025 12:06:32"/>
    <s v="2025-11-24 12:06:32"/>
    <n v="71353655"/>
    <s v="ALEX ENRIQUE CUESTA CASARRUBIA"/>
    <s v="5824531"/>
    <s v="3147611560"/>
    <s v="CL 50 FA SUR CR 63 C -21"/>
    <x v="2"/>
    <s v="045610613300210000"/>
    <s v="Medellín"/>
    <x v="11"/>
    <s v="Mov Red Trans Dairo Gil"/>
    <x v="1"/>
    <n v="9"/>
    <s v="2025-12-05 12:06:32"/>
    <s v="5 días 12:06"/>
    <s v="4 días 12:06"/>
    <x v="0"/>
    <s v="SIN DATO"/>
    <s v="SIN DATO"/>
    <s v="SIN DATO"/>
    <s v="ABIERTO"/>
    <n v="-75.645575719999997"/>
    <n v="6.1764970100000003"/>
    <s v="SUR-ENE"/>
    <s v="Metropolitana Sur"/>
  </r>
  <r>
    <s v="23597975"/>
    <s v="ENERES"/>
    <s v="NUEVO"/>
    <s v="ENERES"/>
    <s v="24/11/2025 12:12:43"/>
    <s v="2025-11-24 12:12:43"/>
    <n v="71023144"/>
    <s v="ANTONIO JOSE RODRIGUEZ CARDONA"/>
    <s v="SIN DATOS"/>
    <s v="3016122713"/>
    <s v="CL 34 AA CR 118 -77 (INTERIOR 201 )"/>
    <x v="2"/>
    <s v="083114118000770201"/>
    <s v="Medellín"/>
    <x v="2"/>
    <s v="Revisor Instal. Regadas Metrosur"/>
    <x v="1"/>
    <n v="7"/>
    <s v="2025-12-03 12:12:43"/>
    <s v="5 días 12:12"/>
    <s v="2 días 12:12"/>
    <x v="1"/>
    <s v="SIN DATO"/>
    <s v="SIN DATO"/>
    <s v="SIN DATO"/>
    <s v="ABIERTO"/>
    <n v="-75.631550000000004"/>
    <n v="6.2465460000000004"/>
    <s v="SUR-ENE"/>
    <s v="Metropolitana Sur"/>
  </r>
  <r>
    <s v="23597993"/>
    <s v="ENENOR"/>
    <s v="NUEVO"/>
    <s v="ENENOR"/>
    <s v="24/11/2025 12:34:14"/>
    <s v="2025-11-24 12:34:14"/>
    <n v="70033370"/>
    <s v="TIBERIO ALZATE VARGAS"/>
    <s v="SIN DATOS"/>
    <s v="3108455366"/>
    <s v="CR 80 AA CL 35 A -17"/>
    <x v="2"/>
    <s v="053820115100170000"/>
    <s v="Medellín"/>
    <x v="4"/>
    <s v="MET Rev-Inst-Concentra E_CR014"/>
    <x v="1"/>
    <n v="7"/>
    <s v="2025-12-03 12:34:14"/>
    <s v="5 días 12:34"/>
    <s v="2 días 12:34"/>
    <x v="1"/>
    <s v="SIN DATO"/>
    <s v="SIN DATO"/>
    <s v="SIN DATO"/>
    <s v="ABIERTO"/>
    <n v="-75.601500759999993"/>
    <n v="6.2437849400000003"/>
    <s v="SUR-ENE"/>
    <s v="Metropolitana Sur"/>
  </r>
  <r>
    <s v="23598000"/>
    <s v="ENERES"/>
    <s v="NUEVO"/>
    <s v="ENERES"/>
    <s v="24/11/2025 12:40:59"/>
    <s v="2025-11-24 12:40:59"/>
    <n v="42779798"/>
    <s v="MARLENY DIAZ ARENAS"/>
    <s v="5375199"/>
    <s v="3207008969"/>
    <s v="RURAL_159045843000000005_PROV.159045843000000000"/>
    <x v="0"/>
    <s v="159045843000000005"/>
    <s v="La Estrella"/>
    <x v="2"/>
    <s v="Revisor Inst. Particulares Metrosur"/>
    <x v="0"/>
    <n v="10"/>
    <s v="2025-12-09 12:40:59"/>
    <s v="5 días 12:40"/>
    <s v="5 días 12:40"/>
    <x v="0"/>
    <s v="SIN DATO"/>
    <s v="SIN DATO"/>
    <s v="SIN DATO"/>
    <s v="ABIERTO"/>
    <n v="-75.63546393"/>
    <n v="6.1473713700000001"/>
    <s v="SUR-ENE"/>
    <s v="Metropolitana Sur"/>
  </r>
  <r>
    <s v="23598041"/>
    <s v="ENERES"/>
    <s v="NUEVO"/>
    <s v="ENEDOM"/>
    <s v="24/11/2025 13:32:06"/>
    <s v="2025-11-24 13:32:06"/>
    <n v="1037651734"/>
    <s v="LAURA CRISTINA GOMEZ OBREGON"/>
    <s v="SIN DATOS"/>
    <s v="3172406715"/>
    <s v="CL 38 SUR CR 82 -14 (INTERIOR 401 )"/>
    <x v="2"/>
    <s v="043818002000140401"/>
    <s v="Medellín"/>
    <x v="0"/>
    <s v="Habilitación Viviendas Metrosur"/>
    <x v="1"/>
    <n v="5"/>
    <s v="2025-12-01 13:32:06"/>
    <s v="5 días 13:32"/>
    <s v="0 días 13:32"/>
    <x v="3"/>
    <s v="SIN DATO"/>
    <s v="SIN DATO"/>
    <s v="SIN DATO"/>
    <s v="ABIERTO"/>
    <n v="-75.658205589999994"/>
    <n v="6.1871261999999998"/>
    <s v="SUR-ENE"/>
    <s v="Metropolitana Sur"/>
  </r>
  <r>
    <s v="23598080"/>
    <s v="ENEMRT"/>
    <s v="NUEVO"/>
    <s v="ENEMVI"/>
    <s v="24/11/2025 14:12:43"/>
    <s v="2025-11-24 14:12:43"/>
    <n v="7502634"/>
    <s v="HERNANDO DE JESUS GUERRA RODRIGUEZ"/>
    <s v="SIN DATOS"/>
    <s v="3164693628"/>
    <s v="CR 33 CL 47 -14"/>
    <x v="2"/>
    <s v="054323007000140000"/>
    <s v="Medellín"/>
    <x v="11"/>
    <s v="METR Mov Red Trans Anderson Castaño"/>
    <x v="1"/>
    <n v="9"/>
    <s v="2025-12-05 14:12:43"/>
    <s v="5 días 14:12"/>
    <s v="4 días 14:12"/>
    <x v="0"/>
    <s v="SIN DATO"/>
    <s v="SIN DATO"/>
    <s v="SIN DATO"/>
    <s v="ABIERTO"/>
    <n v="-75.555795829999994"/>
    <n v="6.2403086800000001"/>
    <s v="SUR-ENE"/>
    <s v="Metropolitana Sur"/>
  </r>
  <r>
    <s v="23598138"/>
    <s v="ENEMRT"/>
    <s v="NUEVO"/>
    <s v="ENEMVI"/>
    <s v="24/11/2025 14:49:42"/>
    <s v="2025-11-24 14:49:42"/>
    <n v="22978253"/>
    <s v="MARQUEZA JOSEFA TORRENTE VEGA"/>
    <s v="SIN DATOS"/>
    <s v="3106826356"/>
    <s v="CR 116 CL 39 F -25"/>
    <x v="2"/>
    <s v="083126009600250000"/>
    <s v="Medellín"/>
    <x v="11"/>
    <s v="METR Mov Red Trans Anderson Castaño"/>
    <x v="1"/>
    <n v="9"/>
    <s v="2025-12-05 14:49:42"/>
    <s v="5 días 14:49"/>
    <s v="4 días 14:49"/>
    <x v="0"/>
    <s v="SIN DATO"/>
    <s v="SIN DATO"/>
    <s v="SIN DATO"/>
    <s v="ABIERTO"/>
    <n v="-75.626795459999997"/>
    <n v="6.2556940299999999"/>
    <s v="SUR-ENE"/>
    <s v="Metropolitana Sur"/>
  </r>
  <r>
    <s v="23598153"/>
    <s v="ENERES"/>
    <s v="NUEVO"/>
    <s v="ENEDOM"/>
    <s v="28/11/2025 07:10:54"/>
    <s v="2025-11-28 07:10:54"/>
    <n v="43999679"/>
    <s v="DEICY NATALIA LOAIZA CORREA"/>
    <s v="4175658"/>
    <s v="3147334426"/>
    <s v="CL 35 D CR 108 B -57 (INTERIOR 302 )"/>
    <x v="2"/>
    <s v="083015408200570302"/>
    <s v="Medellín"/>
    <x v="7"/>
    <s v="Habilitación Viviendas Metrosur"/>
    <x v="1"/>
    <n v="5"/>
    <s v="2025-12-05 07:10:54"/>
    <s v="1 días 07:10"/>
    <s v="4 días 07:10"/>
    <x v="0"/>
    <s v="SIN DATO"/>
    <s v="SIN DATO"/>
    <s v="SIN DATO"/>
    <s v="ABIERTO"/>
    <n v="-75.620886080000005"/>
    <n v="6.2482865600000004"/>
    <s v="SUR-ENE"/>
    <s v="Metropolitana Sur"/>
  </r>
  <r>
    <s v="23598161"/>
    <s v="ENEMRT"/>
    <s v="NUEVO"/>
    <s v="ENEMVI"/>
    <s v="24/11/2025 15:02:24"/>
    <s v="2025-11-24 15:02:24"/>
    <n v="901648916"/>
    <s v="CORPORACION BARRIO MANILA"/>
    <s v="SIN DATOS"/>
    <s v="3104165784"/>
    <s v="CL 13 CR 43 E -"/>
    <x v="2"/>
    <s v="051413003500000000"/>
    <s v="Medellín"/>
    <x v="11"/>
    <s v="METR Mov Red Trans Anderson Castaño"/>
    <x v="1"/>
    <n v="9"/>
    <s v="2025-12-05 15:02:24"/>
    <s v="5 días 15:02"/>
    <s v="4 días 15:02"/>
    <x v="0"/>
    <s v="SIN DATO"/>
    <s v="SIN DATO"/>
    <s v="SIN DATO"/>
    <s v="ABIERTO"/>
    <n v="-75.572816889999999"/>
    <n v="6.2144875900000001"/>
    <s v="SUR-ENE"/>
    <s v="Metropolitana Sur"/>
  </r>
  <r>
    <s v="23598228"/>
    <s v="ENECNX"/>
    <s v="NUEVO"/>
    <s v="ENECNX"/>
    <s v="24/11/2025 15:40:55"/>
    <s v="2025-11-24 15:40:55"/>
    <n v="43531328"/>
    <s v="SONIA YOLANDA LOPEZ TOBON"/>
    <s v="SIN DATOS"/>
    <s v="3012584149"/>
    <s v="CL 41 CR 42 A -80"/>
    <x v="2"/>
    <s v="054411002100800000"/>
    <s v="Medellín"/>
    <x v="3"/>
    <s v="Revisor Puntos de Conexión Metrosur"/>
    <x v="1"/>
    <n v="4"/>
    <s v="2025-11-28 15:40:55"/>
    <s v="5 días 15:40"/>
    <s v="VENCIDO"/>
    <x v="2"/>
    <s v="SIN DATO"/>
    <s v="SIN DATO"/>
    <s v="SIN DATO"/>
    <s v="ABIERTO"/>
    <n v="-75.566215999999997"/>
    <n v="6.2400549999999999"/>
    <s v="SUR-ENE"/>
    <s v="Metropolitana Sur"/>
  </r>
  <r>
    <s v="23598253"/>
    <s v="ENERES"/>
    <s v="NUEVO"/>
    <s v="ENERES"/>
    <s v="24/11/2025 15:50:20"/>
    <s v="2025-11-24 15:50:20"/>
    <n v="71686939"/>
    <s v="OSCAR ANTONIO HICAPIE MUÑOZ"/>
    <s v="SIN DATOS"/>
    <s v="3147373400"/>
    <s v="CR 24 C CL 41 SUR -0 (INTERIOR 138 )"/>
    <x v="5"/>
    <s v="024224301000000138"/>
    <s v="Envigado"/>
    <x v="2"/>
    <s v="Revisor Instal. Regadas Metrosur"/>
    <x v="1"/>
    <n v="7"/>
    <s v="2025-12-03 15:50:20"/>
    <s v="5 días 15:50"/>
    <s v="2 días 15:50"/>
    <x v="1"/>
    <s v="SIN DATO"/>
    <s v="SIN DATO"/>
    <s v="SIN DATO"/>
    <s v="ABIERTO"/>
    <n v="-75.584475940000004"/>
    <n v="6.1527274099999998"/>
    <s v="SUR-ENE"/>
    <s v="Metropolitana Sur"/>
  </r>
  <r>
    <s v="23598261"/>
    <s v="ENERES"/>
    <s v="NUEVO"/>
    <s v="ENERES"/>
    <s v="24/11/2025 15:55:59"/>
    <s v="2025-11-24 15:55:59"/>
    <n v="71799202"/>
    <s v="JORGE MARIO USUGA VELASQUEZ"/>
    <s v="SIN DATOS"/>
    <s v="3053039439"/>
    <s v="CL 63 A CR 46 -50 (INTERIOR 201 )"/>
    <x v="2"/>
    <s v="056413106000500201"/>
    <s v="Medellín"/>
    <x v="2"/>
    <s v="MET Rev-Inst-Concentra E_CR014"/>
    <x v="1"/>
    <n v="7"/>
    <s v="2025-12-03 15:55:59"/>
    <s v="5 días 15:55"/>
    <s v="2 días 15:55"/>
    <x v="1"/>
    <s v="SIN DATO"/>
    <s v="SIN DATO"/>
    <s v="SIN DATO"/>
    <s v="ABIERTO"/>
    <n v="-75.559316510000002"/>
    <n v="6.2588269600000004"/>
    <s v="SUR-ENE"/>
    <s v="Metropolitana Sur"/>
  </r>
  <r>
    <s v="23598263"/>
    <s v="ENERES"/>
    <s v="NUEVO"/>
    <s v="ENEDOM"/>
    <s v="24/11/2025 15:56:54"/>
    <s v="2025-11-28 09:29:26"/>
    <n v="43452072"/>
    <s v="LUZ ELENA ORTIZ VELASQUEZ"/>
    <s v="SIN DATOS"/>
    <s v="3104011458"/>
    <s v="RURAL_147039510000000201"/>
    <x v="2"/>
    <s v="147039510000000201"/>
    <s v="Medellín"/>
    <x v="0"/>
    <s v="Habilitación Viviendas Metrosur"/>
    <x v="0"/>
    <n v="8"/>
    <s v="2025-12-11 09:29:26"/>
    <s v="1 días 09:29"/>
    <s v="7 días 09:29"/>
    <x v="0"/>
    <s v="SIN DATO"/>
    <s v="SIN DATO"/>
    <s v="SIN DATO"/>
    <s v="ABIERTO"/>
    <n v="-75.656045000000006"/>
    <n v="6.3013139999999996"/>
    <s v="SUR-ENE"/>
    <s v="Metropolitana Sur"/>
  </r>
  <r>
    <s v="23598271"/>
    <s v="ENENOR"/>
    <s v="NUEVO"/>
    <s v="ENENOR"/>
    <s v="24/11/2025 16:00:16"/>
    <s v="2025-11-24 16:00:16"/>
    <n v="8301454"/>
    <s v="ADOLFO LEON DE JESUS MALDONADO PIEDRAHITA"/>
    <s v="4445842"/>
    <s v="3044965188"/>
    <s v="CR 50 C CL 10 SUR -141 (INTERIOR 102 )"/>
    <x v="2"/>
    <s v="041520300001410102"/>
    <s v="Medellín"/>
    <x v="4"/>
    <s v="Revisor Instal. Regadas Metrosur"/>
    <x v="1"/>
    <n v="7"/>
    <s v="2025-12-03 16:00:16"/>
    <s v="5 días 16:00"/>
    <s v="2 días 16:00"/>
    <x v="1"/>
    <s v="SIN DATO"/>
    <s v="SIN DATO"/>
    <s v="SIN DATO"/>
    <s v="ABIERTO"/>
    <n v="-75.583624639999996"/>
    <n v="6.1966626400000004"/>
    <s v="SUR-ENE"/>
    <s v="Metropolitana Sur"/>
  </r>
  <r>
    <s v="23598283"/>
    <s v="ENENOR"/>
    <s v="NUEVO"/>
    <s v="ENENOR"/>
    <s v="24/11/2025 16:10:47"/>
    <s v="2025-11-24 16:10:47"/>
    <n v="901985141"/>
    <s v="CONSORCIO ECOCALERA"/>
    <s v="SIN DATOS"/>
    <s v="3148295285"/>
    <s v="CR 17 CL 2 -161 (INTERIOR 5 )"/>
    <x v="2"/>
    <s v="050127002001610005"/>
    <s v="Medellín"/>
    <x v="4"/>
    <s v="Revisor Instal. Regadas Metrosur"/>
    <x v="1"/>
    <n v="7"/>
    <s v="2025-12-03 16:10:47"/>
    <s v="5 días 16:10"/>
    <s v="2 días 16:10"/>
    <x v="1"/>
    <s v="SIN DATO"/>
    <s v="SIN DATO"/>
    <s v="SIN DATO"/>
    <s v="ABIERTO"/>
    <n v="-75.55212521"/>
    <n v="6.1964984200000002"/>
    <s v="SUR-ENE"/>
    <s v="Metropolitana Sur"/>
  </r>
  <r>
    <s v="23598369"/>
    <s v="ENERES"/>
    <s v="NUEVO"/>
    <s v="ENERES"/>
    <s v="24/11/2025 17:02:56"/>
    <s v="2025-11-24 17:02:56"/>
    <n v="70878913"/>
    <s v="CESAR AUGUSTO OCAMPO LOPEZ"/>
    <s v="5054278"/>
    <s v="3003949089"/>
    <s v="DIAG 31 D TRAN 32 SUR -41 (INTERIOR 3 )"/>
    <x v="5"/>
    <s v="023371402000410003"/>
    <s v="Envigado"/>
    <x v="2"/>
    <s v="Revisor Instal. Regadas Metrosur"/>
    <x v="1"/>
    <n v="7"/>
    <s v="2025-12-03 17:02:56"/>
    <s v="5 días 17:02"/>
    <s v="2 días 17:02"/>
    <x v="1"/>
    <s v="SIN DATO"/>
    <s v="SIN DATO"/>
    <s v="SIN DATO"/>
    <s v="ABIERTO"/>
    <n v="-75.580984920000006"/>
    <n v="6.1763140999999999"/>
    <s v="SUR-ENE"/>
    <s v="Metropolitana Sur"/>
  </r>
  <r>
    <s v="23598373"/>
    <s v="ENERES"/>
    <s v="NUEVO"/>
    <s v="ENERES"/>
    <s v="24/11/2025 17:05:16"/>
    <s v="2025-11-24 17:05:16"/>
    <n v="71799202"/>
    <s v="JORGE MARIO USUGA VELASQUEZ"/>
    <s v="SIN DATOS"/>
    <s v="3053039439"/>
    <s v="CL 63 A CR 46 -50 (INTERIOR 101 )"/>
    <x v="2"/>
    <s v="056413106000500101"/>
    <s v="Medellín"/>
    <x v="2"/>
    <s v="MET Rev-Inst-Concentra E_CR014"/>
    <x v="1"/>
    <n v="7"/>
    <s v="2025-12-03 17:05:16"/>
    <s v="5 días 17:05"/>
    <s v="2 días 17:05"/>
    <x v="1"/>
    <s v="SIN DATO"/>
    <s v="SIN DATO"/>
    <s v="SIN DATO"/>
    <s v="ABIERTO"/>
    <n v="-75.557037149999999"/>
    <n v="6.2580377499999997"/>
    <s v="SUR-ENE"/>
    <s v="Metropolitana Sur"/>
  </r>
  <r>
    <s v="23598379"/>
    <s v="ENERES"/>
    <s v="NUEVO"/>
    <s v="ENERES"/>
    <s v="24/11/2025 17:08:34"/>
    <s v="2025-11-24 17:08:34"/>
    <n v="1036630219"/>
    <s v="MARIA CATALINA DAVID MANCO"/>
    <s v="SIN DATOS"/>
    <s v="3011370881"/>
    <s v="RURAL_163001610000000001"/>
    <x v="1"/>
    <s v="163001610000000001"/>
    <s v="Itaguí"/>
    <x v="2"/>
    <s v="Revisor Instal. Regadas Metrosur"/>
    <x v="0"/>
    <n v="10"/>
    <s v="2025-12-09 17:08:34"/>
    <s v="5 días 17:08"/>
    <s v="5 días 17:08"/>
    <x v="0"/>
    <s v="SIN DATO"/>
    <s v="SIN DATO"/>
    <s v="SIN DATO"/>
    <s v="ABIERTO"/>
    <n v="-75.599124110000005"/>
    <n v="6.1965167799999996"/>
    <s v="SUR-ENE"/>
    <s v="Metropolitana Sur"/>
  </r>
  <r>
    <s v="23598630"/>
    <s v="ENEMRT"/>
    <s v="NUEVO"/>
    <s v="ENEMVI"/>
    <s v="25/11/2025 06:56:57"/>
    <s v="2025-11-25 06:56:57"/>
    <n v="39167711"/>
    <s v="MARIA ELIZABETH COLORADO BAENA"/>
    <s v="SIN DATOS"/>
    <s v="3006555166"/>
    <s v="RURAL_190130200700930000_SALINAS"/>
    <x v="3"/>
    <s v="190130200700930000"/>
    <s v="Caldas"/>
    <x v="11"/>
    <s v="Mov Red Trans Dairo Gil"/>
    <x v="0"/>
    <n v="14"/>
    <s v="2025-12-16 06:56:57"/>
    <s v="4 días 06:56"/>
    <s v="10 días 06:56"/>
    <x v="0"/>
    <s v="SIN DATO"/>
    <s v="SIN DATO"/>
    <s v="SIN DATO"/>
    <s v="ABIERTO"/>
    <n v="-75.674688529999997"/>
    <n v="6.0497677699999999"/>
    <s v="SUR-ENE"/>
    <s v="Metropolitana Sur"/>
  </r>
  <r>
    <s v="23598639"/>
    <s v="ENERES"/>
    <s v="NUEVO"/>
    <s v="ENERES"/>
    <s v="25/11/2025 07:12:19"/>
    <s v="2025-11-25 07:12:19"/>
    <n v="70503594"/>
    <s v="ELKIN ARTURO MEJIA ZEA"/>
    <s v="0"/>
    <s v="3044852864"/>
    <s v="CL 41 CR 77 -75 (INTERIOR 601 )"/>
    <x v="2"/>
    <s v="054711007000750601"/>
    <s v="Medellín"/>
    <x v="2"/>
    <s v="Revisor Inst. Particulares Metrosur"/>
    <x v="1"/>
    <n v="7"/>
    <s v="2025-12-04 07:12:19"/>
    <s v="4 días 07:12"/>
    <s v="3 días 07:12"/>
    <x v="0"/>
    <s v="SIN DATO"/>
    <s v="SIN DATO"/>
    <s v="SIN DATO"/>
    <s v="ABIERTO"/>
    <n v="-75.597436000000002"/>
    <n v="6.2479399999999998"/>
    <s v="SUR-ENE"/>
    <s v="Metropolitana Sur"/>
  </r>
  <r>
    <s v="23598640"/>
    <s v="ENERES"/>
    <s v="NUEVO"/>
    <s v="ENERES"/>
    <s v="25/11/2025 07:13:28"/>
    <s v="2025-11-25 07:13:28"/>
    <n v="70503594"/>
    <s v="ELKIN ARTURO MEJIA ZEA"/>
    <s v="0"/>
    <s v="3044852864"/>
    <s v="CL 41 CR 77 -75 (INTERIOR 501 )"/>
    <x v="2"/>
    <s v="054711007000750501"/>
    <s v="Medellín"/>
    <x v="2"/>
    <s v="Revisor Inst. Particulares Metrosur"/>
    <x v="1"/>
    <n v="7"/>
    <s v="2025-12-04 07:13:28"/>
    <s v="4 días 07:13"/>
    <s v="3 días 07:13"/>
    <x v="0"/>
    <s v="SIN DATO"/>
    <s v="SIN DATO"/>
    <s v="SIN DATO"/>
    <s v="ABIERTO"/>
    <n v="-75.597436000000002"/>
    <n v="6.2479399999999998"/>
    <s v="SUR-ENE"/>
    <s v="Metropolitana Sur"/>
  </r>
  <r>
    <s v="23598642"/>
    <s v="ENERES"/>
    <s v="NUEVO"/>
    <s v="ENERES"/>
    <s v="25/11/2025 07:13:53"/>
    <s v="2025-11-25 07:13:53"/>
    <n v="70503594"/>
    <s v="ELKIN ARTURO MEJIA ZEA"/>
    <s v="0"/>
    <s v="3044852864"/>
    <s v="CL 41 CR 77 -75 (INTERIOR 401 )"/>
    <x v="2"/>
    <s v="054711007000750401"/>
    <s v="Medellín"/>
    <x v="2"/>
    <s v="Revisor Inst. Particulares Metrosur"/>
    <x v="1"/>
    <n v="7"/>
    <s v="2025-12-04 07:13:53"/>
    <s v="4 días 07:13"/>
    <s v="3 días 07:13"/>
    <x v="0"/>
    <s v="SIN DATO"/>
    <s v="SIN DATO"/>
    <s v="SIN DATO"/>
    <s v="ABIERTO"/>
    <n v="-75.597436000000002"/>
    <n v="6.2479399999999998"/>
    <s v="SUR-ENE"/>
    <s v="Metropolitana Sur"/>
  </r>
  <r>
    <s v="23598646"/>
    <s v="ENERES"/>
    <s v="NUEVO"/>
    <s v="ENERES"/>
    <s v="25/11/2025 07:15:00"/>
    <s v="2025-11-25 07:15:00"/>
    <n v="70503594"/>
    <s v="ELKIN ARTURO MEJIA ZEA"/>
    <s v="0"/>
    <s v="3044852864"/>
    <s v="CL 41 CR 77 -75 (INTERIOR 301 )"/>
    <x v="2"/>
    <s v="054711007000750301"/>
    <s v="Medellín"/>
    <x v="2"/>
    <s v="Revisor Inst. Particulares Metrosur"/>
    <x v="1"/>
    <n v="7"/>
    <s v="2025-12-04 07:15:00"/>
    <s v="4 días 07:15"/>
    <s v="3 días 07:15"/>
    <x v="0"/>
    <s v="SIN DATO"/>
    <s v="SIN DATO"/>
    <s v="SIN DATO"/>
    <s v="ABIERTO"/>
    <n v="-75.597436000000002"/>
    <n v="6.2479399999999998"/>
    <s v="SUR-ENE"/>
    <s v="Metropolitana Sur"/>
  </r>
  <r>
    <s v="23598649"/>
    <s v="ENERES"/>
    <s v="NUEVO"/>
    <s v="ENERES"/>
    <s v="25/11/2025 07:19:37"/>
    <s v="2025-11-25 07:19:37"/>
    <n v="70503594"/>
    <s v="ELKIN ARTURO MEJIA ZEA"/>
    <s v="SIN DATOS"/>
    <s v="3044852864"/>
    <s v="CL 41 CR 77 -75 (INTERIOR 201 )"/>
    <x v="2"/>
    <s v="054711007000750201"/>
    <s v="Medellín"/>
    <x v="2"/>
    <s v="Revisor Inst. Particulares Metrosur"/>
    <x v="1"/>
    <n v="7"/>
    <s v="2025-12-04 07:19:37"/>
    <s v="4 días 07:19"/>
    <s v="3 días 07:19"/>
    <x v="0"/>
    <s v="SIN DATO"/>
    <s v="SIN DATO"/>
    <s v="SIN DATO"/>
    <s v="ABIERTO"/>
    <n v="-75.597436000000002"/>
    <n v="6.2479399999999998"/>
    <s v="SUR-ENE"/>
    <s v="Metropolitana Sur"/>
  </r>
  <r>
    <s v="23598716"/>
    <s v="ENERES"/>
    <s v="NUEVO"/>
    <s v="ENEDOM"/>
    <s v="28/11/2025 07:12:14"/>
    <s v="2025-11-28 07:12:14"/>
    <n v="98560156"/>
    <s v="JOBANY OSWALDO MONTES GOMEZ"/>
    <s v="SIN DATOS"/>
    <s v="3023175503"/>
    <s v="CR 107 CL 55 -90 (INTERIOR 3400 )"/>
    <x v="2"/>
    <s v="085027005000903400"/>
    <s v="Medellín"/>
    <x v="7"/>
    <s v="Habilitación Viviendas Metrosur"/>
    <x v="1"/>
    <n v="5"/>
    <s v="2025-12-05 07:12:14"/>
    <s v="1 días 07:12"/>
    <s v="4 días 07:12"/>
    <x v="0"/>
    <s v="SIN DATO"/>
    <s v="SIN DATO"/>
    <s v="SIN DATO"/>
    <s v="ABIERTO"/>
    <n v="-75.615544"/>
    <n v="6.2716130000000003"/>
    <s v="SUR-ENE"/>
    <s v="Metropolitana Sur"/>
  </r>
  <r>
    <s v="23598720"/>
    <s v="ENERES"/>
    <s v="NUEVO"/>
    <s v="ENEDOM"/>
    <s v="28/11/2025 07:12:53"/>
    <s v="2025-11-28 07:12:53"/>
    <n v="98560156"/>
    <s v="JOBANY OSWALDO MONTES GOMEZ"/>
    <s v="4211827"/>
    <s v="3023175503"/>
    <s v="CR 107 CL 55 -90 (INTERIOR 440 )"/>
    <x v="2"/>
    <s v="085027005000900440"/>
    <s v="Medellín"/>
    <x v="7"/>
    <s v="Habilitación Viviendas Metrosur"/>
    <x v="1"/>
    <n v="5"/>
    <s v="2025-12-05 07:12:53"/>
    <s v="1 días 07:12"/>
    <s v="4 días 07:12"/>
    <x v="0"/>
    <s v="SIN DATO"/>
    <s v="SIN DATO"/>
    <s v="SIN DATO"/>
    <s v="ABIERTO"/>
    <n v="-75.615544"/>
    <n v="6.2716130000000003"/>
    <s v="SUR-ENE"/>
    <s v="Metropolitana Sur"/>
  </r>
  <r>
    <s v="23598744"/>
    <s v="ENEMRT"/>
    <s v="NUEVO"/>
    <s v="ENEMVI"/>
    <s v="25/11/2025 08:42:56"/>
    <s v="2025-11-25 08:42:56"/>
    <n v="1116781423"/>
    <s v="JOSSEPH EDWIN HERNANDEZ SANCHEZ"/>
    <s v="SIN DATOS"/>
    <s v="3015127392"/>
    <s v="CL 61 CR 126 -31"/>
    <x v="2"/>
    <s v="086211006000310000"/>
    <s v="Medellín"/>
    <x v="11"/>
    <s v="METR Mov Red Trans Anderson Castaño"/>
    <x v="1"/>
    <n v="9"/>
    <s v="2025-12-09 08:42:56"/>
    <s v="4 días 08:42"/>
    <s v="5 días 08:42"/>
    <x v="0"/>
    <s v="SIN DATO"/>
    <s v="SIN DATO"/>
    <s v="SIN DATO"/>
    <s v="ABIERTO"/>
    <n v="-75.631744620000006"/>
    <n v="6.2767403100000001"/>
    <s v="SUR-ENE"/>
    <s v="Metropolitana Sur"/>
  </r>
  <r>
    <s v="23598832"/>
    <s v="ENENOR"/>
    <s v="NUEVO"/>
    <s v="ENENOR"/>
    <s v="25/11/2025 09:26:35"/>
    <s v="2025-11-25 09:26:35"/>
    <n v="901167772"/>
    <s v="JMMA CONSTRUCCIONES"/>
    <s v="SIN DATOS"/>
    <s v="3143483907"/>
    <s v="CR 27 CL 36 A SUR -70"/>
    <x v="5"/>
    <s v="023227006100700000"/>
    <s v="Envigado"/>
    <x v="4"/>
    <s v="Revisor Instal. Regadas Metrosur"/>
    <x v="1"/>
    <n v="7"/>
    <s v="2025-12-04 09:26:35"/>
    <s v="4 días 09:26"/>
    <s v="3 días 09:26"/>
    <x v="0"/>
    <s v="SIN DATO"/>
    <s v="SIN DATO"/>
    <s v="SIN DATO"/>
    <s v="ABIERTO"/>
    <n v="-75.56971455"/>
    <n v="6.1652502"/>
    <s v="SUR-ENE"/>
    <s v="Metropolitana Sur"/>
  </r>
  <r>
    <s v="23598836"/>
    <s v="ENERES"/>
    <s v="CAMBI"/>
    <s v="ENERES"/>
    <s v="25/11/2025 09:29:15"/>
    <s v="2025-11-25 09:29:16"/>
    <n v="1128280924"/>
    <s v="CARLOS ANDRES RODRIGUEZ PEREZ"/>
    <s v="SIN DATOS"/>
    <s v="3016600799"/>
    <s v="CR 76 CL 19 -6 (INTERIOR 301 )"/>
    <x v="2"/>
    <s v="051726009000060301"/>
    <s v="Medellín"/>
    <x v="5"/>
    <s v="METROSUR Vin. Leg. Ref. Concentrada"/>
    <x v="1"/>
    <n v="7"/>
    <s v="2025-12-04 09:29:16"/>
    <s v="4 días 09:29"/>
    <s v="3 días 09:29"/>
    <x v="0"/>
    <s v="SIN DATO"/>
    <s v="SIN DATO"/>
    <s v="SIN DATO"/>
    <s v="ABIERTO"/>
    <n v="-75.597416350000003"/>
    <n v="6.2238005999999997"/>
    <s v="SUR-ENE"/>
    <s v="Metropolitana Sur"/>
  </r>
  <r>
    <s v="23598849"/>
    <s v="ENEPRE"/>
    <s v="NUEVO"/>
    <s v="ENEPRE"/>
    <s v="25/11/2025 09:35:07"/>
    <s v="2025-11-25 15:26:34"/>
    <n v="43068416"/>
    <s v="LUZ HELENA CANO"/>
    <s v="SIN DATOS"/>
    <s v="3246542204"/>
    <s v="CR 23 CL 56 HC -6 (INTERIOR 2000 )"/>
    <x v="2"/>
    <s v="055223006830062000"/>
    <s v="Medellín"/>
    <x v="0"/>
    <s v="Energía Prepago Metrosur"/>
    <x v="1"/>
    <n v="5"/>
    <s v="2025-12-02 15:26:34"/>
    <s v="4 días 15:26"/>
    <s v="1 días 15:26"/>
    <x v="1"/>
    <s v="SIN DATO"/>
    <s v="SIN DATO"/>
    <s v="SIN DATO"/>
    <s v="ABIERTO"/>
    <n v="-75.542908740000001"/>
    <n v="6.2477969699999996"/>
    <s v="SUR-ENE"/>
    <s v="Metropolitana Sur"/>
  </r>
  <r>
    <s v="23598879"/>
    <s v="ENECNX"/>
    <s v="NUEVO"/>
    <s v="ENECNX"/>
    <s v="25/11/2025 09:50:53"/>
    <s v="2025-11-25 09:50:53"/>
    <n v="1037575804"/>
    <s v="CARLOS ANDRES GOMEZ ARBOLEDA"/>
    <s v="SIN DATOS"/>
    <s v="3012699491"/>
    <s v="CR 43 A CL 25 SUR -41"/>
    <x v="5"/>
    <s v="022423105000410000"/>
    <s v="Envigado"/>
    <x v="3"/>
    <s v="Revisor Puntos de Conexión Metrosur"/>
    <x v="1"/>
    <n v="4"/>
    <s v="2025-12-01 09:50:53"/>
    <s v="4 días 09:50"/>
    <s v="VENCIDO"/>
    <x v="2"/>
    <s v="SIN DATO"/>
    <s v="SIN DATO"/>
    <s v="SIN DATO"/>
    <s v="ABIERTO"/>
    <n v="-75.582297249999996"/>
    <n v="6.18163543"/>
    <s v="SUR-ENE"/>
    <s v="Metropolitana Sur"/>
  </r>
  <r>
    <s v="23598880"/>
    <s v="ENERES"/>
    <s v="NUEVO"/>
    <s v="ENERES"/>
    <s v="25/11/2025 09:50:56"/>
    <s v="2025-11-25 09:50:56"/>
    <n v="1026144579"/>
    <s v="RAMIRO ALONSO SALAZAR ARROYAVE"/>
    <s v="3036413"/>
    <s v="3128372753"/>
    <s v="RURAL_159119166000000402_RURAL BARRIO LA FRANCIA"/>
    <x v="0"/>
    <s v="159119166000000402"/>
    <s v="La Estrella"/>
    <x v="2"/>
    <s v="Revisor Instal. Regadas Metrosur"/>
    <x v="0"/>
    <n v="10"/>
    <s v="2025-12-10 09:50:56"/>
    <s v="4 días 09:50"/>
    <s v="6 días 09:50"/>
    <x v="0"/>
    <s v="SIN DATO"/>
    <s v="SIN DATO"/>
    <s v="SIN DATO"/>
    <s v="ABIERTO"/>
    <n v="-75.632402619999993"/>
    <n v="6.1171856299999998"/>
    <s v="SUR-ENE"/>
    <s v="Metropolitana Sur"/>
  </r>
  <r>
    <s v="23598885"/>
    <s v="ENECNX"/>
    <s v="NUEVO"/>
    <s v="ENECNX"/>
    <s v="25/11/2025 09:54:15"/>
    <s v="2025-11-25 09:54:15"/>
    <n v="830500960"/>
    <s v="INVERSIONES TODO DROGAS"/>
    <s v="4547239"/>
    <s v="3148226825"/>
    <s v="CR 48 CL 49 -45"/>
    <x v="2"/>
    <s v="054428009000450000"/>
    <s v="Medellín"/>
    <x v="3"/>
    <s v="Revisor Puntos de Conexión Metrosur"/>
    <x v="1"/>
    <n v="4"/>
    <s v="2025-12-01 09:54:15"/>
    <s v="4 días 09:54"/>
    <s v="VENCIDO"/>
    <x v="2"/>
    <s v="SIN DATO"/>
    <s v="SIN DATO"/>
    <s v="SIN DATO"/>
    <s v="ABIERTO"/>
    <n v="-75.566688060000004"/>
    <n v="6.2485980799999998"/>
    <s v="SUR-ENE"/>
    <s v="Metropolitana Sur"/>
  </r>
  <r>
    <s v="23598886"/>
    <s v="ENERES"/>
    <s v="NUEVO"/>
    <s v="ENEDOM"/>
    <s v="25/11/2025 09:54:40"/>
    <s v="2025-11-25 09:54:40"/>
    <n v="21736844"/>
    <s v="MARIA EDILMA OSORIO ROJAS"/>
    <s v="6120570"/>
    <s v="3103798536"/>
    <s v="CL 128 SUR CR 40 -191 (INTERIOR 102 )"/>
    <x v="2"/>
    <s v="042418000001910102"/>
    <s v="Medellín"/>
    <x v="0"/>
    <s v="Habilitación Viviendas Metrosur"/>
    <x v="1"/>
    <n v="5"/>
    <s v="2025-12-02 09:54:40"/>
    <s v="4 días 09:54"/>
    <s v="1 días 09:54"/>
    <x v="1"/>
    <s v="SIN DATO"/>
    <s v="SIN DATO"/>
    <s v="SIN DATO"/>
    <s v="ABIERTO"/>
    <n v="-75.610884501000001"/>
    <n v="6.2574398200000596"/>
    <s v="SUR-ENE"/>
    <s v="Metropolitana Sur"/>
  </r>
  <r>
    <s v="23598909"/>
    <s v="ENECNX"/>
    <s v="NUEVO"/>
    <s v="ENECNX"/>
    <s v="25/11/2025 10:06:39"/>
    <s v="2025-11-25 10:06:39"/>
    <n v="1037575804"/>
    <s v="CARLOS ANDRES GOMEZ ARBOLEDA"/>
    <s v="SIN DATOS"/>
    <s v="3148226825"/>
    <s v="CL 54 CR 50 -86"/>
    <x v="2"/>
    <s v="055514000000860000"/>
    <s v="Medellín"/>
    <x v="3"/>
    <s v="Revisor Puntos de Conexión Metrosur"/>
    <x v="1"/>
    <n v="4"/>
    <s v="2025-12-01 10:06:39"/>
    <s v="4 días 10:06"/>
    <s v="VENCIDO"/>
    <x v="2"/>
    <s v="SIN DATO"/>
    <s v="SIN DATO"/>
    <s v="SIN DATO"/>
    <s v="ABIERTO"/>
    <n v="-75.566950079999998"/>
    <n v="6.2535376200000004"/>
    <s v="SUR-ENE"/>
    <s v="Metropolitana Sur"/>
  </r>
  <r>
    <s v="23598919"/>
    <s v="ENEPRE"/>
    <s v="RETIR"/>
    <s v="ENEPRE"/>
    <s v="25/11/2025 10:09:11"/>
    <s v="2025-11-25 10:09:11"/>
    <n v="1017197149"/>
    <s v="KELLY CAROLINA RODRIGUEZ MUÑOZ"/>
    <s v="SIN DATOS"/>
    <s v="3014090599"/>
    <s v="CL 57 B CR 23 -85"/>
    <x v="2"/>
    <s v="055217203000850000-ENEPRE"/>
    <s v="Medellín"/>
    <x v="8"/>
    <s v="Energía Prepago Metrosur"/>
    <x v="1"/>
    <n v="11"/>
    <s v="2025-12-11 10:09:11"/>
    <s v="4 días 10:09"/>
    <s v="7 días 10:09"/>
    <x v="0"/>
    <s v="SIN DATO"/>
    <s v="SIN DATO"/>
    <s v="SIN DATO"/>
    <s v="ABIERTO"/>
    <n v="-75.544186620000005"/>
    <n v="6.2490092099999996"/>
    <s v="SUR-ENE"/>
    <s v="Metropolitana Sur"/>
  </r>
  <r>
    <s v="23598924"/>
    <s v="ENEPRE"/>
    <s v="RETIR"/>
    <s v="ENEPRE"/>
    <s v="25/11/2025 10:11:42"/>
    <s v="2025-11-25 10:11:42"/>
    <n v="21524551"/>
    <s v="AMANDA DEL SOCORRO ABREU AGUDELO"/>
    <s v="3632336"/>
    <s v="3206718777"/>
    <s v="CL 10 CR 52 -70 (INTERIOR 7000 )"/>
    <x v="2"/>
    <s v="051510002000707000-ENEPRE"/>
    <s v="Medellín"/>
    <x v="8"/>
    <s v="Energía Prepago Metrosur"/>
    <x v="1"/>
    <n v="11"/>
    <s v="2025-12-11 10:11:42"/>
    <s v="4 días 10:11"/>
    <s v="7 días 10:11"/>
    <x v="0"/>
    <s v="SIN DATO"/>
    <s v="SIN DATO"/>
    <s v="SIN DATO"/>
    <s v="ABIERTO"/>
    <n v="-75.582285569999996"/>
    <n v="6.2150544099999996"/>
    <s v="SUR-ENE"/>
    <s v="Metropolitana Sur"/>
  </r>
  <r>
    <s v="23598927"/>
    <s v="ENECNX"/>
    <s v="NUEVO"/>
    <s v="ENECNX"/>
    <s v="25/11/2025 10:12:18"/>
    <s v="2025-11-25 10:12:18"/>
    <n v="6913105"/>
    <s v="FELIX ANTONI JOHAN DE BRUIJN"/>
    <s v="SIN DATOS"/>
    <s v="3148226825"/>
    <s v="RURAL_126009500000000023"/>
    <x v="2"/>
    <s v="126009500000000023"/>
    <s v="Medellín"/>
    <x v="3"/>
    <s v="Revisor Puntos de Conexión Metrosur"/>
    <x v="0"/>
    <n v="4"/>
    <s v="2025-12-01 10:12:18"/>
    <s v="4 días 10:12"/>
    <s v="VENCIDO"/>
    <x v="2"/>
    <s v="SIN DATO"/>
    <s v="SIN DATO"/>
    <s v="SIN DATO"/>
    <s v="ABIERTO"/>
    <n v="-75.544891190000001"/>
    <n v="6.1923018599999997"/>
    <s v="SUR-ENE"/>
    <s v="Metropolitana Sur"/>
  </r>
  <r>
    <s v="23598934"/>
    <s v="ENENOR"/>
    <s v="NUEVO"/>
    <s v="ENENOR"/>
    <s v="25/11/2025 10:16:31"/>
    <s v="2025-11-25 10:16:31"/>
    <n v="800093117"/>
    <s v="ARQUITECTURA Y CONCRETO S.A.S"/>
    <s v="3123618"/>
    <s v="3194234770"/>
    <s v="CL 39 SUR CR 48 -180 (INTERIOR 2 )"/>
    <x v="5"/>
    <s v="023419008001800002"/>
    <s v="Envigado"/>
    <x v="4"/>
    <s v="Revisor Inst. Particulares Metrosur"/>
    <x v="1"/>
    <n v="7"/>
    <s v="2025-12-04 10:16:31"/>
    <s v="4 días 10:16"/>
    <s v="3 días 10:16"/>
    <x v="0"/>
    <s v="SIN DATO"/>
    <s v="SIN DATO"/>
    <s v="SIN DATO"/>
    <s v="ABIERTO"/>
    <n v="-75.595314979999998"/>
    <n v="6.1729275399999999"/>
    <s v="SUR-ENE"/>
    <s v="Metropolitana Sur"/>
  </r>
  <r>
    <s v="23598935"/>
    <s v="ENENOR"/>
    <s v="NUEVO"/>
    <s v="ENENOR"/>
    <s v="25/11/2025 10:17:24"/>
    <s v="2025-11-25 10:17:24"/>
    <n v="800093117"/>
    <s v="ARQUITECTURA Y CONCRETO S.A.S"/>
    <s v="3123618"/>
    <s v="3194234770"/>
    <s v="CL 39 SUR CR 48 -180 (INTERIOR 3 )"/>
    <x v="5"/>
    <s v="023419008001800003"/>
    <s v="Envigado"/>
    <x v="4"/>
    <s v="Revisor Inst. Particulares Metrosur"/>
    <x v="1"/>
    <n v="7"/>
    <s v="2025-12-04 10:17:24"/>
    <s v="4 días 10:17"/>
    <s v="3 días 10:17"/>
    <x v="0"/>
    <s v="SIN DATO"/>
    <s v="SIN DATO"/>
    <s v="SIN DATO"/>
    <s v="ABIERTO"/>
    <n v="-75.595314979999998"/>
    <n v="6.1729275399999999"/>
    <s v="SUR-ENE"/>
    <s v="Metropolitana Sur"/>
  </r>
  <r>
    <s v="23598957"/>
    <s v="ENEPRE"/>
    <s v="NUEVO"/>
    <s v="ENEPRE"/>
    <s v="25/11/2025 10:36:07"/>
    <s v="2025-11-25 10:36:07"/>
    <n v="43106538"/>
    <s v="MONICA MARIA RAMIEZ RAMIREZ"/>
    <s v="SIN DATOS"/>
    <s v="3013770772"/>
    <s v="CL 59 CR 65 -64 (INTERIOR 202 )"/>
    <x v="2"/>
    <s v="055619005000640202"/>
    <s v="Medellín"/>
    <x v="6"/>
    <s v="Energía Prepago Metrosur"/>
    <x v="1"/>
    <n v="11"/>
    <s v="2025-12-11 10:36:07"/>
    <s v="4 días 10:36"/>
    <s v="7 días 10:36"/>
    <x v="0"/>
    <s v="SIN DATO"/>
    <s v="SIN DATO"/>
    <s v="SIN DATO"/>
    <s v="ABIERTO"/>
    <n v="-75.580674669999993"/>
    <n v="6.2596838799999999"/>
    <s v="SUR-ENE"/>
    <s v="Metropolitana Sur"/>
  </r>
  <r>
    <s v="23598960"/>
    <s v="ENECNX"/>
    <s v="NUEVO"/>
    <s v="ENECNX"/>
    <s v="25/11/2025 10:39:35"/>
    <s v="2025-11-25 10:39:35"/>
    <n v="43627721"/>
    <s v="CATALINA MARIA ALVAREZ HERRERA"/>
    <s v="3555100"/>
    <s v="3006559655"/>
    <s v="RURAL_125004766200000110"/>
    <x v="5"/>
    <s v="125004766200000110"/>
    <s v="Envigado"/>
    <x v="3"/>
    <s v="Revisor Puntos de Conexión Metrosur"/>
    <x v="0"/>
    <n v="4"/>
    <s v="2025-12-01 10:39:35"/>
    <s v="4 días 10:39"/>
    <s v="VENCIDO"/>
    <x v="2"/>
    <s v="SIN DATO"/>
    <s v="SIN DATO"/>
    <s v="SIN DATO"/>
    <s v="ABIERTO"/>
    <n v="-75.505385000000004"/>
    <n v="6.1594350000000002"/>
    <s v="SUR-ENE"/>
    <s v="Metropolitana Sur"/>
  </r>
  <r>
    <s v="23599038"/>
    <s v="ENERES"/>
    <s v="NUEVO"/>
    <s v="ENERES"/>
    <s v="25/11/2025 11:26:07"/>
    <s v="2025-11-25 11:26:07"/>
    <n v="901335234"/>
    <s v="TERRAH SAS"/>
    <s v="3118500"/>
    <s v="3104706701"/>
    <s v="CL 77 SUR CR 34 -82 (INTERIOR 709 BQ 2 )"/>
    <x v="4"/>
    <s v="017317004000820709"/>
    <s v="Sabaneta"/>
    <x v="2"/>
    <s v="Revisor Inst. Particulares Metrosur"/>
    <x v="1"/>
    <n v="7"/>
    <s v="2025-12-04 11:26:07"/>
    <s v="4 días 11:26"/>
    <s v="3 días 11:26"/>
    <x v="0"/>
    <s v="SIN DATO"/>
    <s v="SIN DATO"/>
    <s v="SIN DATO"/>
    <s v="ABIERTO"/>
    <n v="-75.617241000000007"/>
    <n v="6.1404480000000001"/>
    <s v="SUR-ENE"/>
    <s v="Metropolitana Sur"/>
  </r>
  <r>
    <s v="23599039"/>
    <s v="ENERES"/>
    <s v="NUEVO"/>
    <s v="ENERES"/>
    <s v="25/11/2025 11:26:06"/>
    <s v="2025-11-25 11:26:06"/>
    <n v="901335234"/>
    <s v="TERRAH SAS"/>
    <s v="3118500"/>
    <s v="3104706701"/>
    <s v="CL 77 SUR CR 34 -82 (INTERIOR 615 BQ 2 )"/>
    <x v="4"/>
    <s v="017317004000820615"/>
    <s v="Sabaneta"/>
    <x v="2"/>
    <s v="Revisor Inst. Particulares Metrosur"/>
    <x v="1"/>
    <n v="7"/>
    <s v="2025-12-04 11:26:06"/>
    <s v="4 días 11:26"/>
    <s v="3 días 11:26"/>
    <x v="0"/>
    <s v="SIN DATO"/>
    <s v="SIN DATO"/>
    <s v="SIN DATO"/>
    <s v="ABIERTO"/>
    <n v="-75.617241000000007"/>
    <n v="6.1404480000000001"/>
    <s v="SUR-ENE"/>
    <s v="Metropolitana Sur"/>
  </r>
  <r>
    <s v="23599040"/>
    <s v="ENERES"/>
    <s v="NUEVO"/>
    <s v="ENERES"/>
    <s v="25/11/2025 11:26:10"/>
    <s v="2025-11-25 11:26:10"/>
    <n v="901335234"/>
    <s v="TERRAH SAS"/>
    <s v="3118500"/>
    <s v="3104706701"/>
    <s v="CL 77 SUR CR 34 -82 (INTERIOR 1415 BQ 2 )"/>
    <x v="4"/>
    <s v="017317004000821415"/>
    <s v="Sabaneta"/>
    <x v="2"/>
    <s v="Revisor Inst. Particulares Metrosur"/>
    <x v="1"/>
    <n v="7"/>
    <s v="2025-12-04 11:26:10"/>
    <s v="4 días 11:26"/>
    <s v="3 días 11:26"/>
    <x v="0"/>
    <s v="SIN DATO"/>
    <s v="SIN DATO"/>
    <s v="SIN DATO"/>
    <s v="ABIERTO"/>
    <n v="-75.617241000000007"/>
    <n v="6.1404480000000001"/>
    <s v="SUR-ENE"/>
    <s v="Metropolitana Sur"/>
  </r>
  <r>
    <s v="23599041"/>
    <s v="ENERES"/>
    <s v="NUEVO"/>
    <s v="ENERES"/>
    <s v="25/11/2025 11:26:11"/>
    <s v="2025-11-25 11:26:11"/>
    <n v="901335234"/>
    <s v="TERRAH SAS"/>
    <s v="3118500"/>
    <s v="3104706701"/>
    <s v="CL 77 SUR CR 34 -82 (INTERIOR 1713 BQ 2 )"/>
    <x v="4"/>
    <s v="017317004000821713"/>
    <s v="Sabaneta"/>
    <x v="2"/>
    <s v="Revisor Inst. Particulares Metrosur"/>
    <x v="1"/>
    <n v="7"/>
    <s v="2025-12-04 11:26:11"/>
    <s v="4 días 11:26"/>
    <s v="3 días 11:26"/>
    <x v="0"/>
    <s v="SIN DATO"/>
    <s v="SIN DATO"/>
    <s v="SIN DATO"/>
    <s v="ABIERTO"/>
    <n v="-75.617241000000007"/>
    <n v="6.1404480000000001"/>
    <s v="SUR-ENE"/>
    <s v="Metropolitana Sur"/>
  </r>
  <r>
    <s v="23599042"/>
    <s v="ENERES"/>
    <s v="NUEVO"/>
    <s v="ENERES"/>
    <s v="25/11/2025 11:26:11"/>
    <s v="2025-11-25 11:26:11"/>
    <n v="901335234"/>
    <s v="TERRAH SAS"/>
    <s v="3118500"/>
    <s v="3104706701"/>
    <s v="CL 77 SUR CR 34 -82 (INTERIOR 811 BQ 2 )"/>
    <x v="4"/>
    <s v="017317004000820811"/>
    <s v="Sabaneta"/>
    <x v="2"/>
    <s v="Revisor Inst. Particulares Metrosur"/>
    <x v="1"/>
    <n v="7"/>
    <s v="2025-12-04 11:26:11"/>
    <s v="4 días 11:26"/>
    <s v="3 días 11:26"/>
    <x v="0"/>
    <s v="SIN DATO"/>
    <s v="SIN DATO"/>
    <s v="SIN DATO"/>
    <s v="ABIERTO"/>
    <n v="-75.617241000000007"/>
    <n v="6.1404480000000001"/>
    <s v="SUR-ENE"/>
    <s v="Metropolitana Sur"/>
  </r>
  <r>
    <s v="23599043"/>
    <s v="ENERES"/>
    <s v="NUEVO"/>
    <s v="ENERES"/>
    <s v="25/11/2025 11:26:12"/>
    <s v="2025-11-25 11:26:12"/>
    <n v="901335234"/>
    <s v="TERRAH SAS"/>
    <s v="3118500"/>
    <s v="3104706701"/>
    <s v="CL 77 SUR CR 34 -82 (INTERIOR 2015 BQ 2 )"/>
    <x v="4"/>
    <s v="017317004000822015"/>
    <s v="Sabaneta"/>
    <x v="2"/>
    <s v="Revisor Inst. Particulares Metrosur"/>
    <x v="1"/>
    <n v="7"/>
    <s v="2025-12-04 11:26:12"/>
    <s v="4 días 11:26"/>
    <s v="3 días 11:26"/>
    <x v="0"/>
    <s v="SIN DATO"/>
    <s v="SIN DATO"/>
    <s v="SIN DATO"/>
    <s v="ABIERTO"/>
    <n v="-75.617241000000007"/>
    <n v="6.1404480000000001"/>
    <s v="SUR-ENE"/>
    <s v="Metropolitana Sur"/>
  </r>
  <r>
    <s v="23599044"/>
    <s v="ENERES"/>
    <s v="NUEVO"/>
    <s v="ENERES"/>
    <s v="25/11/2025 11:26:12"/>
    <s v="2025-11-25 11:26:12"/>
    <n v="901335234"/>
    <s v="TERRAH SAS"/>
    <s v="3118500"/>
    <s v="3104706701"/>
    <s v="CL 77 SUR CR 34 -82 (INTERIOR 2212 BQ 2 )"/>
    <x v="4"/>
    <s v="017317004000822212"/>
    <s v="Sabaneta"/>
    <x v="2"/>
    <s v="Revisor Inst. Particulares Metrosur"/>
    <x v="1"/>
    <n v="7"/>
    <s v="2025-12-04 11:26:12"/>
    <s v="4 días 11:26"/>
    <s v="3 días 11:26"/>
    <x v="0"/>
    <s v="SIN DATO"/>
    <s v="SIN DATO"/>
    <s v="SIN DATO"/>
    <s v="ABIERTO"/>
    <n v="-75.617241000000007"/>
    <n v="6.1404480000000001"/>
    <s v="SUR-ENE"/>
    <s v="Metropolitana Sur"/>
  </r>
  <r>
    <s v="23599045"/>
    <s v="ENERES"/>
    <s v="NUEVO"/>
    <s v="ENERES"/>
    <s v="25/11/2025 11:26:19"/>
    <s v="2025-11-25 11:26:19"/>
    <n v="901335234"/>
    <s v="TERRAH SAS"/>
    <s v="3118500"/>
    <s v="3104706701"/>
    <s v="CL 77 SUR CR 34 -82 (INTERIOR 1912 BQ 2 )"/>
    <x v="4"/>
    <s v="017317004000821912"/>
    <s v="Sabaneta"/>
    <x v="2"/>
    <s v="Revisor Inst. Particulares Metrosur"/>
    <x v="1"/>
    <n v="7"/>
    <s v="2025-12-04 11:26:19"/>
    <s v="4 días 11:26"/>
    <s v="3 días 11:26"/>
    <x v="0"/>
    <s v="SIN DATO"/>
    <s v="SIN DATO"/>
    <s v="SIN DATO"/>
    <s v="ABIERTO"/>
    <n v="-75.617241000000007"/>
    <n v="6.1404480000000001"/>
    <s v="SUR-ENE"/>
    <s v="Metropolitana Sur"/>
  </r>
  <r>
    <s v="23599046"/>
    <s v="ENERES"/>
    <s v="NUEVO"/>
    <s v="ENERES"/>
    <s v="25/11/2025 11:26:20"/>
    <s v="2025-11-25 11:26:20"/>
    <n v="901335234"/>
    <s v="TERRAH SAS"/>
    <s v="3118500"/>
    <s v="3104706701"/>
    <s v="CL 77 SUR CR 34 -82 (INTERIOR 2215 BQ 2 )"/>
    <x v="4"/>
    <s v="017317004000822215"/>
    <s v="Sabaneta"/>
    <x v="2"/>
    <s v="Revisor Inst. Particulares Metrosur"/>
    <x v="1"/>
    <n v="7"/>
    <s v="2025-12-04 11:26:20"/>
    <s v="4 días 11:26"/>
    <s v="3 días 11:26"/>
    <x v="0"/>
    <s v="SIN DATO"/>
    <s v="SIN DATO"/>
    <s v="SIN DATO"/>
    <s v="ABIERTO"/>
    <n v="-75.617241000000007"/>
    <n v="6.1404480000000001"/>
    <s v="SUR-ENE"/>
    <s v="Metropolitana Sur"/>
  </r>
  <r>
    <s v="23599047"/>
    <s v="ENERES"/>
    <s v="NUEVO"/>
    <s v="ENERES"/>
    <s v="25/11/2025 11:26:20"/>
    <s v="2025-11-25 11:26:20"/>
    <n v="901335234"/>
    <s v="TERRAH SAS"/>
    <s v="3118500"/>
    <s v="3104706701"/>
    <s v="CL 77 SUR CR 34 -82 (INTERIOR 2109 BQ 2 )"/>
    <x v="4"/>
    <s v="017317004000822109"/>
    <s v="Sabaneta"/>
    <x v="2"/>
    <s v="Revisor Inst. Particulares Metrosur"/>
    <x v="1"/>
    <n v="7"/>
    <s v="2025-12-04 11:26:20"/>
    <s v="4 días 11:26"/>
    <s v="3 días 11:26"/>
    <x v="0"/>
    <s v="SIN DATO"/>
    <s v="SIN DATO"/>
    <s v="SIN DATO"/>
    <s v="ABIERTO"/>
    <n v="-75.617241000000007"/>
    <n v="6.1404480000000001"/>
    <s v="SUR-ENE"/>
    <s v="Metropolitana Sur"/>
  </r>
  <r>
    <s v="23599048"/>
    <s v="ENERES"/>
    <s v="NUEVO"/>
    <s v="ENERES"/>
    <s v="25/11/2025 11:26:20"/>
    <s v="2025-11-25 11:26:20"/>
    <n v="901335234"/>
    <s v="TERRAH SAS"/>
    <s v="3118500"/>
    <s v="3104706701"/>
    <s v="CL 77 SUR CR 34 -82 (INTERIOR 2114 BQ 2 )"/>
    <x v="4"/>
    <s v="017317004000822114"/>
    <s v="Sabaneta"/>
    <x v="2"/>
    <s v="Revisor Inst. Particulares Metrosur"/>
    <x v="1"/>
    <n v="7"/>
    <s v="2025-12-04 11:26:20"/>
    <s v="4 días 11:26"/>
    <s v="3 días 11:26"/>
    <x v="0"/>
    <s v="SIN DATO"/>
    <s v="SIN DATO"/>
    <s v="SIN DATO"/>
    <s v="ABIERTO"/>
    <n v="-75.61732069"/>
    <n v="6.1404824400000004"/>
    <s v="SUR-ENE"/>
    <s v="Metropolitana Sur"/>
  </r>
  <r>
    <s v="23599051"/>
    <s v="ENERES"/>
    <s v="NUEVO"/>
    <s v="ENERES"/>
    <s v="25/11/2025 11:27:14"/>
    <s v="2025-11-25 11:27:14"/>
    <n v="901335234"/>
    <s v="TERRAH SAS"/>
    <s v="3118500"/>
    <s v="3104706701"/>
    <s v="CL 77 SUR CR 34 -82 (INTERIOR 2113 BQ 2 )"/>
    <x v="4"/>
    <s v="017317004000822113"/>
    <s v="Sabaneta"/>
    <x v="2"/>
    <s v="Revisor Inst. Particulares Metrosur"/>
    <x v="1"/>
    <n v="7"/>
    <s v="2025-12-04 11:27:14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52"/>
    <s v="ENERES"/>
    <s v="NUEVO"/>
    <s v="ENERES"/>
    <s v="25/11/2025 11:27:15"/>
    <s v="2025-11-25 11:27:15"/>
    <n v="901335234"/>
    <s v="TERRAH SAS"/>
    <s v="3118500"/>
    <s v="3104706701"/>
    <s v="CL 77 SUR CR 34 -82 (INTERIOR 613 BQ 2 )"/>
    <x v="4"/>
    <s v="017317004000820613"/>
    <s v="Sabaneta"/>
    <x v="2"/>
    <s v="Revisor Inst. Particulares Metrosur"/>
    <x v="1"/>
    <n v="7"/>
    <s v="2025-12-04 11:27:15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53"/>
    <s v="ENERES"/>
    <s v="NUEVO"/>
    <s v="ENERES"/>
    <s v="25/11/2025 11:27:15"/>
    <s v="2025-11-25 11:27:15"/>
    <n v="901335234"/>
    <s v="TERRAH SAS"/>
    <s v="3118500"/>
    <s v="3104706701"/>
    <s v="CL 77 SUR CR 34 -82 (INTERIOR 2110 BQ 2 )"/>
    <x v="4"/>
    <s v="017317004000822110"/>
    <s v="Sabaneta"/>
    <x v="2"/>
    <s v="Revisor Inst. Particulares Metrosur"/>
    <x v="1"/>
    <n v="7"/>
    <s v="2025-12-04 11:27:15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54"/>
    <s v="ENERES"/>
    <s v="NUEVO"/>
    <s v="ENERES"/>
    <s v="25/11/2025 11:27:15"/>
    <s v="2025-11-25 11:27:16"/>
    <n v="901335234"/>
    <s v="TERRAH SAS"/>
    <s v="3118500"/>
    <s v="3104706701"/>
    <s v="CL 77 SUR CR 34 -82 (INTERIOR 1910 BQ 2 )"/>
    <x v="4"/>
    <s v="017317004000821910"/>
    <s v="Sabaneta"/>
    <x v="2"/>
    <s v="Revisor Inst. Particulares Metrosur"/>
    <x v="1"/>
    <n v="7"/>
    <s v="2025-12-04 11:27:16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55"/>
    <s v="ENERES"/>
    <s v="NUEVO"/>
    <s v="ENERES"/>
    <s v="25/11/2025 11:27:16"/>
    <s v="2025-11-25 11:27:16"/>
    <n v="901335234"/>
    <s v="TERRAH SAS"/>
    <s v="3118500"/>
    <s v="3104706701"/>
    <s v="CL 77 SUR CR 34 -82 (INTERIOR 612 BQ 2 )"/>
    <x v="4"/>
    <s v="017317004000820612"/>
    <s v="Sabaneta"/>
    <x v="2"/>
    <s v="Revisor Inst. Particulares Metrosur"/>
    <x v="1"/>
    <n v="7"/>
    <s v="2025-12-04 11:27:16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56"/>
    <s v="ENERES"/>
    <s v="NUEVO"/>
    <s v="ENERES"/>
    <s v="25/11/2025 11:27:16"/>
    <s v="2025-11-25 11:27:16"/>
    <n v="901335234"/>
    <s v="TERRAH SAS"/>
    <s v="3118500"/>
    <s v="3104706701"/>
    <s v="CL 77 SUR CR 34 -82 (INTERIOR 1712 BQ 2 )"/>
    <x v="4"/>
    <s v="017317004000821712"/>
    <s v="Sabaneta"/>
    <x v="2"/>
    <s v="Revisor Inst. Particulares Metrosur"/>
    <x v="1"/>
    <n v="7"/>
    <s v="2025-12-04 11:27:16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57"/>
    <s v="ENERES"/>
    <s v="NUEVO"/>
    <s v="ENERES"/>
    <s v="25/11/2025 11:27:17"/>
    <s v="2025-11-25 11:27:17"/>
    <n v="901335234"/>
    <s v="TERRAH SAS"/>
    <s v="3118500"/>
    <s v="3104706701"/>
    <s v="CL 77 SUR CR 34 -82 (INTERIOR 1915 BQ 2 )"/>
    <x v="4"/>
    <s v="017317004000821915"/>
    <s v="Sabaneta"/>
    <x v="2"/>
    <s v="Revisor Inst. Particulares Metrosur"/>
    <x v="1"/>
    <n v="7"/>
    <s v="2025-12-04 11:27:17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58"/>
    <s v="ENERES"/>
    <s v="NUEVO"/>
    <s v="ENERES"/>
    <s v="25/11/2025 11:27:18"/>
    <s v="2025-11-25 11:27:18"/>
    <n v="901335234"/>
    <s v="TERRAH SAS"/>
    <s v="3118500"/>
    <s v="3104706701"/>
    <s v="CL 77 SUR CR 34 -82 (INTERIOR 1812 BQ 2 )"/>
    <x v="4"/>
    <s v="017317004000821812"/>
    <s v="Sabaneta"/>
    <x v="2"/>
    <s v="Revisor Inst. Particulares Metrosur"/>
    <x v="1"/>
    <n v="7"/>
    <s v="2025-12-04 11:27:18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59"/>
    <s v="ENERES"/>
    <s v="NUEVO"/>
    <s v="ENERES"/>
    <s v="25/11/2025 11:27:20"/>
    <s v="2025-11-25 11:27:20"/>
    <n v="901335234"/>
    <s v="TERRAH SAS"/>
    <s v="3118500"/>
    <s v="3104706701"/>
    <s v="CL 77 SUR CR 34 -82 (INTERIOR 2112 BQ 2 )"/>
    <x v="4"/>
    <s v="017317004000822112"/>
    <s v="Sabaneta"/>
    <x v="2"/>
    <s v="Revisor Inst. Particulares Metrosur"/>
    <x v="1"/>
    <n v="7"/>
    <s v="2025-12-04 11:27:20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60"/>
    <s v="ENERES"/>
    <s v="NUEVO"/>
    <s v="ENERES"/>
    <s v="25/11/2025 11:27:20"/>
    <s v="2025-11-25 11:27:20"/>
    <n v="901335234"/>
    <s v="TERRAH SAS"/>
    <s v="3118500"/>
    <s v="3104706701"/>
    <s v="CL 77 SUR CR 34 -82 (INTERIOR 1813 BQ 2 )"/>
    <x v="4"/>
    <s v="017317004000821813"/>
    <s v="Sabaneta"/>
    <x v="2"/>
    <s v="Revisor Inst. Particulares Metrosur"/>
    <x v="1"/>
    <n v="7"/>
    <s v="2025-12-04 11:27:20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61"/>
    <s v="ENERES"/>
    <s v="NUEVO"/>
    <s v="ENERES"/>
    <s v="25/11/2025 11:27:23"/>
    <s v="2025-11-25 11:27:23"/>
    <n v="901335234"/>
    <s v="TERRAH SAS"/>
    <s v="3118500"/>
    <s v="3104706701"/>
    <s v="CL 77 SUR CR 34 -82 (INTERIOR 1916 BQ 2 )"/>
    <x v="4"/>
    <s v="017317004000821916"/>
    <s v="Sabaneta"/>
    <x v="2"/>
    <s v="Revisor Inst. Particulares Metrosur"/>
    <x v="1"/>
    <n v="7"/>
    <s v="2025-12-04 11:27:23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62"/>
    <s v="ENERES"/>
    <s v="NUEVO"/>
    <s v="ENERES"/>
    <s v="25/11/2025 11:27:23"/>
    <s v="2025-11-25 11:27:23"/>
    <n v="901335234"/>
    <s v="TERRAH SAS"/>
    <s v="3118500"/>
    <s v="3104706701"/>
    <s v="CL 77 SUR CR 34 -82 (INTERIOR 1216 BQ 2 )"/>
    <x v="4"/>
    <s v="017317004000821216"/>
    <s v="Sabaneta"/>
    <x v="2"/>
    <s v="Revisor Inst. Particulares Metrosur"/>
    <x v="1"/>
    <n v="7"/>
    <s v="2025-12-04 11:27:23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63"/>
    <s v="ENERES"/>
    <s v="NUEVO"/>
    <s v="ENERES"/>
    <s v="25/11/2025 11:27:22"/>
    <s v="2025-11-25 11:27:22"/>
    <n v="901335234"/>
    <s v="TERRAH SAS"/>
    <s v="3118500"/>
    <s v="3104706701"/>
    <s v="CL 77 SUR CR 34 -82 (INTERIOR 2016 BQ 2 )"/>
    <x v="4"/>
    <s v="017317004000822016"/>
    <s v="Sabaneta"/>
    <x v="2"/>
    <s v="Revisor Inst. Particulares Metrosur"/>
    <x v="1"/>
    <n v="7"/>
    <s v="2025-12-04 11:27:22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64"/>
    <s v="ENERES"/>
    <s v="NUEVO"/>
    <s v="ENERES"/>
    <s v="25/11/2025 11:27:23"/>
    <s v="2025-11-25 11:27:23"/>
    <n v="901335234"/>
    <s v="TERRAH SAS"/>
    <s v="3118500"/>
    <s v="3104706701"/>
    <s v="CL 77 SUR CR 34 -82 (INTERIOR 1213 BQ 2 )"/>
    <x v="4"/>
    <s v="017317004000821213"/>
    <s v="Sabaneta"/>
    <x v="2"/>
    <s v="Revisor Inst. Particulares Metrosur"/>
    <x v="1"/>
    <n v="7"/>
    <s v="2025-12-04 11:27:23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65"/>
    <s v="ENERES"/>
    <s v="NUEVO"/>
    <s v="ENERES"/>
    <s v="25/11/2025 11:27:24"/>
    <s v="2025-11-25 11:27:24"/>
    <n v="901335234"/>
    <s v="TERRAH SAS"/>
    <s v="3118500"/>
    <s v="3104706701"/>
    <s v="CL 77 SUR CR 34 -82 (INTERIOR 1212 BQ 2 )"/>
    <x v="4"/>
    <s v="017317004000821212"/>
    <s v="Sabaneta"/>
    <x v="2"/>
    <s v="Revisor Inst. Particulares Metrosur"/>
    <x v="1"/>
    <n v="7"/>
    <s v="2025-12-04 11:27:24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66"/>
    <s v="ENERES"/>
    <s v="NUEVO"/>
    <s v="ENERES"/>
    <s v="25/11/2025 11:27:24"/>
    <s v="2025-11-25 11:27:24"/>
    <n v="901335234"/>
    <s v="TERRAH SAS"/>
    <s v="3118500"/>
    <s v="3104706701"/>
    <s v="CL 77 SUR CR 34 -82 (INTERIOR 1715 BQ 2 )"/>
    <x v="4"/>
    <s v="017317004000821715"/>
    <s v="Sabaneta"/>
    <x v="2"/>
    <s v="Revisor Inst. Particulares Metrosur"/>
    <x v="1"/>
    <n v="7"/>
    <s v="2025-12-04 11:27:24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67"/>
    <s v="ENERES"/>
    <s v="NUEVO"/>
    <s v="ENERES"/>
    <s v="25/11/2025 11:27:24"/>
    <s v="2025-11-25 11:27:24"/>
    <n v="901335234"/>
    <s v="TERRAH SAS"/>
    <s v="3118500"/>
    <s v="3104706701"/>
    <s v="CL 77 SUR CR 34 -82 (INTERIOR 1913 BQ 2 )"/>
    <x v="4"/>
    <s v="017317004000821913"/>
    <s v="Sabaneta"/>
    <x v="2"/>
    <s v="Revisor Inst. Particulares Metrosur"/>
    <x v="1"/>
    <n v="7"/>
    <s v="2025-12-04 11:27:24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68"/>
    <s v="ENERES"/>
    <s v="NUEVO"/>
    <s v="ENERES"/>
    <s v="25/11/2025 11:27:24"/>
    <s v="2025-11-25 11:27:24"/>
    <n v="901335234"/>
    <s v="TERRAH SAS"/>
    <s v="3118500"/>
    <s v="3104706701"/>
    <s v="CL 77 SUR CR 34 -82 (INTERIOR 1816 BQ 2 )"/>
    <x v="4"/>
    <s v="017317004000821816"/>
    <s v="Sabaneta"/>
    <x v="2"/>
    <s v="Revisor Inst. Particulares Metrosur"/>
    <x v="1"/>
    <n v="7"/>
    <s v="2025-12-04 11:27:24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69"/>
    <s v="ENERES"/>
    <s v="NUEVO"/>
    <s v="ENERES"/>
    <s v="25/11/2025 11:27:24"/>
    <s v="2025-11-25 11:27:24"/>
    <n v="901335234"/>
    <s v="TERRAH SAS"/>
    <s v="3118500"/>
    <s v="3104706701"/>
    <s v="CL 77 SUR CR 34 -82 (INTERIOR 1809 BQ 2 )"/>
    <x v="4"/>
    <s v="017317004000821809"/>
    <s v="Sabaneta"/>
    <x v="2"/>
    <s v="Revisor Inst. Particulares Metrosur"/>
    <x v="1"/>
    <n v="7"/>
    <s v="2025-12-04 11:27:24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70"/>
    <s v="ENERES"/>
    <s v="NUEVO"/>
    <s v="ENERES"/>
    <s v="25/11/2025 11:27:24"/>
    <s v="2025-11-25 11:27:24"/>
    <n v="901335234"/>
    <s v="TERRAH SAS"/>
    <s v="3118500"/>
    <s v="3104706701"/>
    <s v="CL 77 SUR CR 34 -82 (INTERIOR 1914 BQ 2 )"/>
    <x v="4"/>
    <s v="017317004000821914"/>
    <s v="Sabaneta"/>
    <x v="2"/>
    <s v="Revisor Inst. Particulares Metrosur"/>
    <x v="1"/>
    <n v="7"/>
    <s v="2025-12-04 11:27:24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71"/>
    <s v="ENERES"/>
    <s v="NUEVO"/>
    <s v="ENERES"/>
    <s v="25/11/2025 11:27:25"/>
    <s v="2025-11-25 11:27:25"/>
    <n v="901335234"/>
    <s v="TERRAH SAS"/>
    <s v="3118500"/>
    <s v="3104706701"/>
    <s v="CL 77 SUR CR 34 -82 (INTERIOR 1509 BQ 2 )"/>
    <x v="4"/>
    <s v="017317004000821509"/>
    <s v="Sabaneta"/>
    <x v="2"/>
    <s v="Revisor Inst. Particulares Metrosur"/>
    <x v="1"/>
    <n v="7"/>
    <s v="2025-12-04 11:27:25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72"/>
    <s v="ENERES"/>
    <s v="NUEVO"/>
    <s v="ENERES"/>
    <s v="25/11/2025 11:27:25"/>
    <s v="2025-11-25 11:27:25"/>
    <n v="901335234"/>
    <s v="TERRAH SAS"/>
    <s v="3118500"/>
    <s v="3104706701"/>
    <s v="CL 77 SUR CR 34 -82 (INTERIOR 1416 BQ 2 )"/>
    <x v="4"/>
    <s v="017317004000821416"/>
    <s v="Sabaneta"/>
    <x v="2"/>
    <s v="Revisor Inst. Particulares Metrosur"/>
    <x v="1"/>
    <n v="7"/>
    <s v="2025-12-04 11:27:25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73"/>
    <s v="ENERES"/>
    <s v="NUEVO"/>
    <s v="ENERES"/>
    <s v="25/11/2025 11:27:26"/>
    <s v="2025-11-25 11:27:26"/>
    <n v="901335234"/>
    <s v="TERRAH SAS"/>
    <s v="3118500"/>
    <s v="3104706701"/>
    <s v="CL 77 SUR CR 34 -82 (INTERIOR 1811 BQ 2 )"/>
    <x v="4"/>
    <s v="017317004000821811"/>
    <s v="Sabaneta"/>
    <x v="2"/>
    <s v="Revisor Inst. Particulares Metrosur"/>
    <x v="1"/>
    <n v="7"/>
    <s v="2025-12-04 11:27:26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74"/>
    <s v="ENERES"/>
    <s v="NUEVO"/>
    <s v="ENERES"/>
    <s v="25/11/2025 11:27:26"/>
    <s v="2025-11-25 11:27:26"/>
    <n v="901335234"/>
    <s v="TERRAH SAS"/>
    <s v="3118500"/>
    <s v="3104706701"/>
    <s v="CL 77 SUR CR 34 -82 (INTERIOR 1214 BQ 2 )"/>
    <x v="4"/>
    <s v="017317004000821214"/>
    <s v="Sabaneta"/>
    <x v="2"/>
    <s v="Revisor Inst. Particulares Metrosur"/>
    <x v="1"/>
    <n v="7"/>
    <s v="2025-12-04 11:27:26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75"/>
    <s v="ENERES"/>
    <s v="NUEVO"/>
    <s v="ENERES"/>
    <s v="25/11/2025 11:27:27"/>
    <s v="2025-11-25 11:27:27"/>
    <n v="901335234"/>
    <s v="TERRAH SAS"/>
    <s v="3118500"/>
    <s v="3104706701"/>
    <s v="CL 77 SUR CR 34 -82 (INTERIOR 2010 BQ 2 )"/>
    <x v="4"/>
    <s v="017317004000822010"/>
    <s v="Sabaneta"/>
    <x v="2"/>
    <s v="Revisor Inst. Particulares Metrosur"/>
    <x v="1"/>
    <n v="7"/>
    <s v="2025-12-04 11:27:27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76"/>
    <s v="ENERES"/>
    <s v="NUEVO"/>
    <s v="ENERES"/>
    <s v="25/11/2025 11:27:28"/>
    <s v="2025-11-25 11:27:28"/>
    <n v="901335234"/>
    <s v="TERRAH SAS"/>
    <s v="3118500"/>
    <s v="3104706701"/>
    <s v="CL 77 SUR CR 34 -82 (INTERIOR 1909 BQ 2 )"/>
    <x v="4"/>
    <s v="017317004000821909"/>
    <s v="Sabaneta"/>
    <x v="2"/>
    <s v="Revisor Inst. Particulares Metrosur"/>
    <x v="1"/>
    <n v="7"/>
    <s v="2025-12-04 11:27:28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77"/>
    <s v="ENERES"/>
    <s v="NUEVO"/>
    <s v="ENERES"/>
    <s v="25/11/2025 11:27:28"/>
    <s v="2025-11-25 11:27:28"/>
    <n v="901335234"/>
    <s v="TERRAH SAS"/>
    <s v="3118500"/>
    <s v="3104706701"/>
    <s v="CL 77 SUR CR 34 -82 (INTERIOR 2012 BQ 2 )"/>
    <x v="4"/>
    <s v="017317004000822012"/>
    <s v="Sabaneta"/>
    <x v="2"/>
    <s v="Revisor Inst. Particulares Metrosur"/>
    <x v="1"/>
    <n v="7"/>
    <s v="2025-12-04 11:27:28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78"/>
    <s v="ENERES"/>
    <s v="NUEVO"/>
    <s v="ENERES"/>
    <s v="25/11/2025 11:27:29"/>
    <s v="2025-11-25 11:27:29"/>
    <n v="901335234"/>
    <s v="TERRAH SAS"/>
    <s v="3118500"/>
    <s v="3104706701"/>
    <s v="CL 77 SUR CR 34 -82 (INTERIOR 1210 BQ 2 )"/>
    <x v="4"/>
    <s v="017317004000821210"/>
    <s v="Sabaneta"/>
    <x v="2"/>
    <s v="Revisor Inst. Particulares Metrosur"/>
    <x v="1"/>
    <n v="7"/>
    <s v="2025-12-04 11:27:29"/>
    <s v="4 días 11:27"/>
    <s v="3 días 11:27"/>
    <x v="0"/>
    <s v="SIN DATO"/>
    <s v="SIN DATO"/>
    <s v="SIN DATO"/>
    <s v="ABIERTO"/>
    <n v="-75.61732069"/>
    <n v="6.1404824400000004"/>
    <s v="SUR-ENE"/>
    <s v="Metropolitana Sur"/>
  </r>
  <r>
    <s v="23599079"/>
    <s v="ENERES"/>
    <s v="NUEVO"/>
    <s v="ENERES"/>
    <s v="25/11/2025 11:27:29"/>
    <s v="2025-11-25 11:27:29"/>
    <n v="901335234"/>
    <s v="TERRAH SAS"/>
    <s v="3118500"/>
    <s v="3104706701"/>
    <s v="CL 77 SUR CR 34 -82 (INTERIOR 1810 BQ 2 )"/>
    <x v="4"/>
    <s v="017317004000821810"/>
    <s v="Sabaneta"/>
    <x v="2"/>
    <s v="Revisor Inst. Particulares Metrosur"/>
    <x v="1"/>
    <n v="7"/>
    <s v="2025-12-04 11:27:29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80"/>
    <s v="ENERES"/>
    <s v="NUEVO"/>
    <s v="ENERES"/>
    <s v="25/11/2025 11:27:31"/>
    <s v="2025-11-25 11:27:31"/>
    <n v="901335234"/>
    <s v="TERRAH SAS"/>
    <s v="3118500"/>
    <s v="3104706701"/>
    <s v="CL 77 SUR CR 34 -82 (INTERIOR 1716 BQ 2 )"/>
    <x v="4"/>
    <s v="017317004000821716"/>
    <s v="Sabaneta"/>
    <x v="2"/>
    <s v="Revisor Inst. Particulares Metrosur"/>
    <x v="1"/>
    <n v="7"/>
    <s v="2025-12-04 11:27:31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81"/>
    <s v="ENERES"/>
    <s v="NUEVO"/>
    <s v="ENERES"/>
    <s v="25/11/2025 11:27:30"/>
    <s v="2025-11-25 11:27:30"/>
    <n v="901335234"/>
    <s v="TERRAH SAS"/>
    <s v="3118500"/>
    <s v="3104706701"/>
    <s v="CL 77 SUR CR 34 -82 (INTERIOR 2009 BQ 2 )"/>
    <x v="4"/>
    <s v="017317004000822009"/>
    <s v="Sabaneta"/>
    <x v="2"/>
    <s v="Revisor Inst. Particulares Metrosur"/>
    <x v="1"/>
    <n v="7"/>
    <s v="2025-12-04 11:27:30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82"/>
    <s v="ENERES"/>
    <s v="NUEVO"/>
    <s v="ENERES"/>
    <s v="25/11/2025 11:27:31"/>
    <s v="2025-11-25 11:27:31"/>
    <n v="901335234"/>
    <s v="TERRAH SAS"/>
    <s v="3118500"/>
    <s v="3104706701"/>
    <s v="CL 77 SUR CR 34 -82 (INTERIOR 1309 BQ 2 )"/>
    <x v="4"/>
    <s v="017317004000821309"/>
    <s v="Sabaneta"/>
    <x v="2"/>
    <s v="Revisor Inst. Particulares Metrosur"/>
    <x v="1"/>
    <n v="7"/>
    <s v="2025-12-04 11:27:31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83"/>
    <s v="ENERES"/>
    <s v="NUEVO"/>
    <s v="ENERES"/>
    <s v="25/11/2025 11:27:32"/>
    <s v="2025-11-25 11:27:32"/>
    <n v="901335234"/>
    <s v="TERRAH SAS"/>
    <s v="3118500"/>
    <s v="3104706701"/>
    <s v="CL 77 SUR CR 34 -82 (INTERIOR 1714 BQ 2 )"/>
    <x v="4"/>
    <s v="017317004000821714"/>
    <s v="Sabaneta"/>
    <x v="2"/>
    <s v="Revisor Inst. Particulares Metrosur"/>
    <x v="1"/>
    <n v="7"/>
    <s v="2025-12-04 11:27:32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84"/>
    <s v="ENERES"/>
    <s v="NUEVO"/>
    <s v="ENERES"/>
    <s v="25/11/2025 11:27:34"/>
    <s v="2025-11-25 11:27:34"/>
    <n v="901335234"/>
    <s v="TERRAH SAS"/>
    <s v="3118500"/>
    <s v="3104706701"/>
    <s v="CL 77 SUR CR 34 -82 (INTERIOR 509 BQ 2 )"/>
    <x v="4"/>
    <s v="017317004000820509"/>
    <s v="Sabaneta"/>
    <x v="2"/>
    <s v="Revisor Inst. Particulares Metrosur"/>
    <x v="1"/>
    <n v="7"/>
    <s v="2025-12-04 11:27:34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85"/>
    <s v="ENERES"/>
    <s v="NUEVO"/>
    <s v="ENERES"/>
    <s v="25/11/2025 11:27:34"/>
    <s v="2025-11-25 11:27:34"/>
    <n v="901335234"/>
    <s v="TERRAH SAS"/>
    <s v="3118500"/>
    <s v="3104706701"/>
    <s v="CL 77 SUR CR 34 -82 (INTERIOR 2011 BQ 2 )"/>
    <x v="4"/>
    <s v="017317004000822011"/>
    <s v="Sabaneta"/>
    <x v="2"/>
    <s v="Revisor Inst. Particulares Metrosur"/>
    <x v="1"/>
    <n v="7"/>
    <s v="2025-12-04 11:27:34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86"/>
    <s v="ENERES"/>
    <s v="NUEVO"/>
    <s v="ENERES"/>
    <s v="25/11/2025 11:27:35"/>
    <s v="2025-11-25 11:27:35"/>
    <n v="901335234"/>
    <s v="TERRAH SAS"/>
    <s v="3118500"/>
    <s v="3104706701"/>
    <s v="CL 77 SUR CR 34 -82 (INTERIOR 614 BQ 2 )"/>
    <x v="4"/>
    <s v="017317004000820614"/>
    <s v="Sabaneta"/>
    <x v="2"/>
    <s v="Revisor Inst. Particulares Metrosur"/>
    <x v="1"/>
    <n v="7"/>
    <s v="2025-12-04 11:27:35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87"/>
    <s v="ENERES"/>
    <s v="NUEVO"/>
    <s v="ENERES"/>
    <s v="25/11/2025 11:27:36"/>
    <s v="2025-11-25 11:27:36"/>
    <n v="901335234"/>
    <s v="TERRAH SAS"/>
    <s v="3118500"/>
    <s v="3104706701"/>
    <s v="CL 77 SUR CR 34 -82 (INTERIOR 2310 BQ 2 )"/>
    <x v="4"/>
    <s v="017317004000822310"/>
    <s v="Sabaneta"/>
    <x v="2"/>
    <s v="Revisor Inst. Particulares Metrosur"/>
    <x v="1"/>
    <n v="7"/>
    <s v="2025-12-04 11:27:36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88"/>
    <s v="ENERES"/>
    <s v="NUEVO"/>
    <s v="ENERES"/>
    <s v="25/11/2025 11:27:36"/>
    <s v="2025-11-25 11:27:36"/>
    <n v="901335234"/>
    <s v="TERRAH SAS"/>
    <s v="3118500"/>
    <s v="3104706701"/>
    <s v="CL 77 SUR CR 34 -82 (INTERIOR 610 BQ 2 )"/>
    <x v="4"/>
    <s v="017317004000820610"/>
    <s v="Sabaneta"/>
    <x v="2"/>
    <s v="Revisor Inst. Particulares Metrosur"/>
    <x v="1"/>
    <n v="7"/>
    <s v="2025-12-04 11:27:36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89"/>
    <s v="ENERES"/>
    <s v="NUEVO"/>
    <s v="ENERES"/>
    <s v="25/11/2025 11:27:36"/>
    <s v="2025-11-25 11:27:36"/>
    <n v="901335234"/>
    <s v="TERRAH SAS"/>
    <s v="3118500"/>
    <s v="3104706701"/>
    <s v="CL 77 SUR CR 34 -82 (INTERIOR 1815 BQ 2 )"/>
    <x v="4"/>
    <s v="017317004000821815"/>
    <s v="Sabaneta"/>
    <x v="2"/>
    <s v="Revisor Inst. Particulares Metrosur"/>
    <x v="1"/>
    <n v="7"/>
    <s v="2025-12-04 11:27:36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90"/>
    <s v="ENERES"/>
    <s v="NUEVO"/>
    <s v="ENERES"/>
    <s v="25/11/2025 11:27:36"/>
    <s v="2025-11-25 11:27:36"/>
    <n v="901335234"/>
    <s v="TERRAH SAS"/>
    <s v="3118500"/>
    <s v="3104706701"/>
    <s v="CL 77 SUR CR 34 -82 (INTERIOR 1209 BQ 2 )"/>
    <x v="4"/>
    <s v="017317004000821209"/>
    <s v="Sabaneta"/>
    <x v="2"/>
    <s v="Revisor Inst. Particulares Metrosur"/>
    <x v="1"/>
    <n v="7"/>
    <s v="2025-12-04 11:27:36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91"/>
    <s v="ENERES"/>
    <s v="NUEVO"/>
    <s v="ENERES"/>
    <s v="25/11/2025 11:27:37"/>
    <s v="2025-11-25 11:27:37"/>
    <n v="901335234"/>
    <s v="TERRAH SAS"/>
    <s v="3118500"/>
    <s v="3104706701"/>
    <s v="CL 77 SUR CR 34 -82 (INTERIOR 1211 BQ 2 )"/>
    <x v="4"/>
    <s v="017317004000821211"/>
    <s v="Sabaneta"/>
    <x v="2"/>
    <s v="Revisor Inst. Particulares Metrosur"/>
    <x v="1"/>
    <n v="7"/>
    <s v="2025-12-04 11:27:37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92"/>
    <s v="ENERES"/>
    <s v="NUEVO"/>
    <s v="ENERES"/>
    <s v="25/11/2025 11:27:38"/>
    <s v="2025-11-25 11:27:38"/>
    <n v="901335234"/>
    <s v="TERRAH SAS"/>
    <s v="3118500"/>
    <s v="3104706701"/>
    <s v="CL 77 SUR CR 34 -82 (INTERIOR 2013 BQ 2 )"/>
    <x v="4"/>
    <s v="017317004000822013"/>
    <s v="Sabaneta"/>
    <x v="2"/>
    <s v="Revisor Inst. Particulares Metrosur"/>
    <x v="1"/>
    <n v="7"/>
    <s v="2025-12-04 11:27:38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93"/>
    <s v="ENERES"/>
    <s v="NUEVO"/>
    <s v="ENERES"/>
    <s v="25/11/2025 11:27:39"/>
    <s v="2025-11-25 11:27:39"/>
    <n v="901335234"/>
    <s v="TERRAH SAS"/>
    <s v="3118500"/>
    <s v="3104706701"/>
    <s v="CL 77 SUR CR 34 -82 (INTERIOR 2111 BQ 2 )"/>
    <x v="4"/>
    <s v="017317004000822111"/>
    <s v="Sabaneta"/>
    <x v="2"/>
    <s v="Revisor Inst. Particulares Metrosur"/>
    <x v="1"/>
    <n v="7"/>
    <s v="2025-12-04 11:27:39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94"/>
    <s v="ENERES"/>
    <s v="NUEVO"/>
    <s v="ENERES"/>
    <s v="25/11/2025 11:27:39"/>
    <s v="2025-11-25 11:27:39"/>
    <n v="901335234"/>
    <s v="TERRAH SAS"/>
    <s v="3118500"/>
    <s v="3104706701"/>
    <s v="CL 77 SUR CR 34 -82 (INTERIOR 514 BQ 2 )"/>
    <x v="4"/>
    <s v="017317004000820514"/>
    <s v="Sabaneta"/>
    <x v="2"/>
    <s v="Revisor Inst. Particulares Metrosur"/>
    <x v="1"/>
    <n v="7"/>
    <s v="2025-12-04 11:27:39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95"/>
    <s v="ENERES"/>
    <s v="NUEVO"/>
    <s v="ENERES"/>
    <s v="25/11/2025 11:27:39"/>
    <s v="2025-11-25 11:27:39"/>
    <n v="901335234"/>
    <s v="TERRAH SAS"/>
    <s v="3118500"/>
    <s v="3104706701"/>
    <s v="CL 77 SUR CR 34 -82 (INTERIOR 2515 BQ 2 )"/>
    <x v="4"/>
    <s v="017317004000822515"/>
    <s v="Sabaneta"/>
    <x v="2"/>
    <s v="Revisor Inst. Particulares Metrosur"/>
    <x v="1"/>
    <n v="7"/>
    <s v="2025-12-04 11:27:39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96"/>
    <s v="ENERES"/>
    <s v="NUEVO"/>
    <s v="ENERES"/>
    <s v="25/11/2025 11:27:40"/>
    <s v="2025-11-25 11:27:40"/>
    <n v="901335234"/>
    <s v="TERRAH SAS"/>
    <s v="3118500"/>
    <s v="3104706701"/>
    <s v="CL 77 SUR CR 34 -82 (INTERIOR 1114 BQ 2 )"/>
    <x v="4"/>
    <s v="017317004000821114"/>
    <s v="Sabaneta"/>
    <x v="2"/>
    <s v="Revisor Inst. Particulares Metrosur"/>
    <x v="1"/>
    <n v="7"/>
    <s v="2025-12-04 11:27:40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97"/>
    <s v="ENERES"/>
    <s v="NUEVO"/>
    <s v="ENERES"/>
    <s v="25/11/2025 11:27:40"/>
    <s v="2025-11-25 11:27:40"/>
    <n v="901335234"/>
    <s v="TERRAH SAS"/>
    <s v="3118500"/>
    <s v="3104706701"/>
    <s v="CL 77 SUR CR 34 -82 (INTERIOR 2211 BQ 2 )"/>
    <x v="4"/>
    <s v="017317004000822211"/>
    <s v="Sabaneta"/>
    <x v="2"/>
    <s v="Revisor Inst. Particulares Metrosur"/>
    <x v="1"/>
    <n v="7"/>
    <s v="2025-12-04 11:27:40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98"/>
    <s v="ENERES"/>
    <s v="NUEVO"/>
    <s v="ENERES"/>
    <s v="25/11/2025 11:27:40"/>
    <s v="2025-11-25 11:27:40"/>
    <n v="901335234"/>
    <s v="TERRAH SAS"/>
    <s v="3118500"/>
    <s v="3104706701"/>
    <s v="CL 77 SUR CR 34 -82 (INTERIOR 1814 BQ 2 )"/>
    <x v="4"/>
    <s v="017317004000821814"/>
    <s v="Sabaneta"/>
    <x v="2"/>
    <s v="Revisor Inst. Particulares Metrosur"/>
    <x v="1"/>
    <n v="7"/>
    <s v="2025-12-04 11:27:40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099"/>
    <s v="ENERES"/>
    <s v="NUEVO"/>
    <s v="ENERES"/>
    <s v="25/11/2025 11:27:40"/>
    <s v="2025-11-25 11:27:40"/>
    <n v="901335234"/>
    <s v="TERRAH SAS"/>
    <s v="3118500"/>
    <s v="3104706701"/>
    <s v="CL 77 SUR CR 34 -82 (INTERIOR 611 BQ 2 )"/>
    <x v="4"/>
    <s v="017317004000820611"/>
    <s v="Sabaneta"/>
    <x v="2"/>
    <s v="Revisor Inst. Particulares Metrosur"/>
    <x v="1"/>
    <n v="7"/>
    <s v="2025-12-04 11:27:40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100"/>
    <s v="ENERES"/>
    <s v="NUEVO"/>
    <s v="ENERES"/>
    <s v="25/11/2025 11:27:41"/>
    <s v="2025-11-25 11:27:41"/>
    <n v="901335234"/>
    <s v="TERRAH SAS"/>
    <s v="3118500"/>
    <s v="3104706701"/>
    <s v="CL 77 SUR CR 34 -82 (INTERIOR 1613 BQ 2 )"/>
    <x v="4"/>
    <s v="017317004000821613"/>
    <s v="Sabaneta"/>
    <x v="2"/>
    <s v="Revisor Inst. Particulares Metrosur"/>
    <x v="1"/>
    <n v="7"/>
    <s v="2025-12-04 11:27:41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101"/>
    <s v="ENERES"/>
    <s v="NUEVO"/>
    <s v="ENERES"/>
    <s v="25/11/2025 11:27:42"/>
    <s v="2025-11-25 11:27:42"/>
    <n v="901335234"/>
    <s v="TERRAH SAS"/>
    <s v="3118500"/>
    <s v="3104706701"/>
    <s v="CL 77 SUR CR 34 -82 (INTERIOR 2316 BQ 2 )"/>
    <x v="4"/>
    <s v="017317004000822316"/>
    <s v="Sabaneta"/>
    <x v="2"/>
    <s v="Revisor Inst. Particulares Metrosur"/>
    <x v="1"/>
    <n v="7"/>
    <s v="2025-12-04 11:27:42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102"/>
    <s v="ENERES"/>
    <s v="NUEVO"/>
    <s v="ENERES"/>
    <s v="25/11/2025 11:27:42"/>
    <s v="2025-11-25 11:27:42"/>
    <n v="901335234"/>
    <s v="TERRAH SAS"/>
    <s v="3118500"/>
    <s v="3104706701"/>
    <s v="CL 77 SUR CR 34 -82 (INTERIOR 1615 BQ 2 )"/>
    <x v="4"/>
    <s v="017317004000821615"/>
    <s v="Sabaneta"/>
    <x v="2"/>
    <s v="Revisor Inst. Particulares Metrosur"/>
    <x v="1"/>
    <n v="7"/>
    <s v="2025-12-04 11:27:42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103"/>
    <s v="ENERES"/>
    <s v="NUEVO"/>
    <s v="ENERES"/>
    <s v="25/11/2025 11:27:42"/>
    <s v="2025-11-25 11:27:42"/>
    <n v="901335234"/>
    <s v="TERRAH SAS"/>
    <s v="3118500"/>
    <s v="3104706701"/>
    <s v="CL 77 SUR CR 34 -82 (INTERIOR 913 BQ 2 )"/>
    <x v="4"/>
    <s v="017317004000820913"/>
    <s v="Sabaneta"/>
    <x v="2"/>
    <s v="Revisor Inst. Particulares Metrosur"/>
    <x v="1"/>
    <n v="7"/>
    <s v="2025-12-04 11:27:42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104"/>
    <s v="ENERES"/>
    <s v="NUEVO"/>
    <s v="ENERES"/>
    <s v="25/11/2025 11:27:42"/>
    <s v="2025-11-25 11:27:42"/>
    <n v="901335234"/>
    <s v="TERRAH SAS"/>
    <s v="3118500"/>
    <s v="3104706701"/>
    <s v="CL 77 SUR CR 34 -82 (INTERIOR 2014 BQ 2 )"/>
    <x v="4"/>
    <s v="017317004000822014"/>
    <s v="Sabaneta"/>
    <x v="2"/>
    <s v="Revisor Inst. Particulares Metrosur"/>
    <x v="1"/>
    <n v="7"/>
    <s v="2025-12-04 11:27:42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105"/>
    <s v="ENERES"/>
    <s v="NUEVO"/>
    <s v="ENERES"/>
    <s v="25/11/2025 11:27:43"/>
    <s v="2025-11-25 11:27:43"/>
    <n v="901335234"/>
    <s v="TERRAH SAS"/>
    <s v="3118500"/>
    <s v="3104706701"/>
    <s v="CL 77 SUR CR 34 -82 (INTERIOR 914 BQ 2 )"/>
    <x v="4"/>
    <s v="017317004000820914"/>
    <s v="Sabaneta"/>
    <x v="2"/>
    <s v="Revisor Inst. Particulares Metrosur"/>
    <x v="1"/>
    <n v="7"/>
    <s v="2025-12-04 11:27:43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106"/>
    <s v="ENERES"/>
    <s v="NUEVO"/>
    <s v="ENERES"/>
    <s v="25/11/2025 11:27:43"/>
    <s v="2025-11-25 11:27:43"/>
    <n v="901335234"/>
    <s v="TERRAH SAS"/>
    <s v="3118500"/>
    <s v="3104706701"/>
    <s v="CL 77 SUR CR 34 -82 (INTERIOR 1116 BQ 2 )"/>
    <x v="4"/>
    <s v="017317004000821116"/>
    <s v="Sabaneta"/>
    <x v="2"/>
    <s v="Revisor Inst. Particulares Metrosur"/>
    <x v="1"/>
    <n v="7"/>
    <s v="2025-12-04 11:27:43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107"/>
    <s v="ENERES"/>
    <s v="NUEVO"/>
    <s v="ENERES"/>
    <s v="25/11/2025 11:27:44"/>
    <s v="2025-11-25 11:27:44"/>
    <n v="901335234"/>
    <s v="TERRAH SAS"/>
    <s v="3118500"/>
    <s v="3104706701"/>
    <s v="CL 77 SUR CR 34 -82 (INTERIOR 1215 BQ 2 )"/>
    <x v="4"/>
    <s v="017317004000821215"/>
    <s v="Sabaneta"/>
    <x v="2"/>
    <s v="Revisor Inst. Particulares Metrosur"/>
    <x v="1"/>
    <n v="7"/>
    <s v="2025-12-04 11:27:44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108"/>
    <s v="ENERES"/>
    <s v="NUEVO"/>
    <s v="ENERES"/>
    <s v="25/11/2025 11:27:45"/>
    <s v="2025-11-25 11:27:45"/>
    <n v="901335234"/>
    <s v="TERRAH SAS"/>
    <s v="3118500"/>
    <s v="3104706701"/>
    <s v="CL 77 SUR CR 34 -82 (INTERIOR 2116 BQ 2 )"/>
    <x v="4"/>
    <s v="017317004000822116"/>
    <s v="Sabaneta"/>
    <x v="2"/>
    <s v="Revisor Inst. Particulares Metrosur"/>
    <x v="1"/>
    <n v="7"/>
    <s v="2025-12-04 11:27:45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109"/>
    <s v="ENERES"/>
    <s v="NUEVO"/>
    <s v="ENERES"/>
    <s v="25/11/2025 11:27:46"/>
    <s v="2025-11-25 11:27:46"/>
    <n v="901335234"/>
    <s v="TERRAH SAS"/>
    <s v="3118500"/>
    <s v="3104706701"/>
    <s v="CL 77 SUR CR 34 -82 (INTERIOR 2516 BQ 2 )"/>
    <x v="4"/>
    <s v="017317004000822516"/>
    <s v="Sabaneta"/>
    <x v="2"/>
    <s v="Revisor Inst. Particulares Metrosur"/>
    <x v="1"/>
    <n v="7"/>
    <s v="2025-12-04 11:27:46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110"/>
    <s v="ENERES"/>
    <s v="NUEVO"/>
    <s v="ENERES"/>
    <s v="25/11/2025 11:27:47"/>
    <s v="2025-11-25 11:27:47"/>
    <n v="901335234"/>
    <s v="TERRAH SAS"/>
    <s v="3118500"/>
    <s v="3104706701"/>
    <s v="CL 77 SUR CR 34 -82 (INTERIOR 2115 BQ 2 )"/>
    <x v="4"/>
    <s v="017317004000822115"/>
    <s v="Sabaneta"/>
    <x v="2"/>
    <s v="Revisor Inst. Particulares Metrosur"/>
    <x v="1"/>
    <n v="7"/>
    <s v="2025-12-04 11:27:47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111"/>
    <s v="ENERES"/>
    <s v="NUEVO"/>
    <s v="ENERES"/>
    <s v="25/11/2025 11:27:49"/>
    <s v="2025-11-25 11:27:49"/>
    <n v="901335234"/>
    <s v="TERRAH SAS"/>
    <s v="3118500"/>
    <s v="3104706701"/>
    <s v="CL 77 SUR CR 34 -82 (INTERIOR 2213 BQ 2 )"/>
    <x v="4"/>
    <s v="017317004000822213"/>
    <s v="Sabaneta"/>
    <x v="2"/>
    <s v="Revisor Inst. Particulares Metrosur"/>
    <x v="1"/>
    <n v="7"/>
    <s v="2025-12-04 11:27:49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112"/>
    <s v="ENERES"/>
    <s v="NUEVO"/>
    <s v="ENERES"/>
    <s v="25/11/2025 11:27:51"/>
    <s v="2025-11-25 11:27:51"/>
    <n v="901335234"/>
    <s v="TERRAH SAS"/>
    <s v="3118500"/>
    <s v="3104706701"/>
    <s v="CL 77 SUR CR 34 -82 (INTERIOR 1115 BQ 2 )"/>
    <x v="4"/>
    <s v="017317004000821115"/>
    <s v="Sabaneta"/>
    <x v="2"/>
    <s v="Revisor Inst. Particulares Metrosur"/>
    <x v="1"/>
    <n v="7"/>
    <s v="2025-12-04 11:27:51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113"/>
    <s v="ENERES"/>
    <s v="NUEVO"/>
    <s v="ENERES"/>
    <s v="25/11/2025 11:27:55"/>
    <s v="2025-11-25 11:27:55"/>
    <n v="901335234"/>
    <s v="TERRAH SAS"/>
    <s v="3118500"/>
    <s v="3104706701"/>
    <s v="CL 77 SUR CR 34 -82 (INTERIOR 2409 BQ 2 )"/>
    <x v="4"/>
    <s v="017317004000822409"/>
    <s v="Sabaneta"/>
    <x v="2"/>
    <s v="Revisor Inst. Particulares Metrosur"/>
    <x v="1"/>
    <n v="7"/>
    <s v="2025-12-04 11:27:55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114"/>
    <s v="ENERES"/>
    <s v="NUEVO"/>
    <s v="ENERES"/>
    <s v="25/11/2025 11:27:58"/>
    <s v="2025-11-25 11:27:58"/>
    <n v="901335234"/>
    <s v="TERRAH SAS"/>
    <s v="3118500"/>
    <s v="3104706701"/>
    <s v="CL 77 SUR CR 34 -82 (INTERIOR 911 BQ 2 )"/>
    <x v="4"/>
    <s v="017317004000820911"/>
    <s v="Sabaneta"/>
    <x v="2"/>
    <s v="Revisor Inst. Particulares Metrosur"/>
    <x v="1"/>
    <n v="7"/>
    <s v="2025-12-04 11:27:58"/>
    <s v="4 días 11:27"/>
    <s v="3 días 11:27"/>
    <x v="0"/>
    <s v="SIN DATO"/>
    <s v="SIN DATO"/>
    <s v="SIN DATO"/>
    <s v="ABIERTO"/>
    <n v="-75.617241000000007"/>
    <n v="6.1404480000000001"/>
    <s v="SUR-ENE"/>
    <s v="Metropolitana Sur"/>
  </r>
  <r>
    <s v="23599115"/>
    <s v="ENERES"/>
    <s v="NUEVO"/>
    <s v="ENERES"/>
    <s v="25/11/2025 11:28:01"/>
    <s v="2025-11-25 11:28:01"/>
    <n v="901335234"/>
    <s v="TERRAH SAS"/>
    <s v="3118500"/>
    <s v="3104706701"/>
    <s v="CL 77 SUR CR 34 -82 (INTERIOR 912 BQ 2 )"/>
    <x v="4"/>
    <s v="017317004000820912"/>
    <s v="Sabaneta"/>
    <x v="2"/>
    <s v="Revisor Inst. Particulares Metrosur"/>
    <x v="1"/>
    <n v="7"/>
    <s v="2025-12-04 11:28:01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16"/>
    <s v="ENERES"/>
    <s v="NUEVO"/>
    <s v="ENERES"/>
    <s v="25/11/2025 11:28:01"/>
    <s v="2025-11-25 11:28:01"/>
    <n v="901335234"/>
    <s v="TERRAH SAS"/>
    <s v="3118500"/>
    <s v="3104706701"/>
    <s v="CL 77 SUR CR 34 -82 (INTERIOR 915 BQ 2 )"/>
    <x v="4"/>
    <s v="017317004000820915"/>
    <s v="Sabaneta"/>
    <x v="2"/>
    <s v="Revisor Inst. Particulares Metrosur"/>
    <x v="1"/>
    <n v="7"/>
    <s v="2025-12-04 11:28:01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17"/>
    <s v="ENERES"/>
    <s v="NUEVO"/>
    <s v="ENERES"/>
    <s v="25/11/2025 11:28:09"/>
    <s v="2025-11-25 11:28:09"/>
    <n v="901335234"/>
    <s v="TERRAH SAS"/>
    <s v="3118500"/>
    <s v="3104706701"/>
    <s v="CL 77 SUR CR 34 -82 (INTERIOR 2309 BQ 2 )"/>
    <x v="4"/>
    <s v="017317004000822309"/>
    <s v="Sabaneta"/>
    <x v="2"/>
    <s v="Revisor Inst. Particulares Metrosur"/>
    <x v="1"/>
    <n v="7"/>
    <s v="2025-12-04 11:28:09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18"/>
    <s v="ENERES"/>
    <s v="NUEVO"/>
    <s v="ENERES"/>
    <s v="25/11/2025 11:28:10"/>
    <s v="2025-11-25 11:28:10"/>
    <n v="901335234"/>
    <s v="TERRAH SAS"/>
    <s v="3118500"/>
    <s v="3104706701"/>
    <s v="CL 77 SUR CR 34 -82 (INTERIOR 2216 BQ 2 )"/>
    <x v="4"/>
    <s v="017317004000822216"/>
    <s v="Sabaneta"/>
    <x v="2"/>
    <s v="Revisor Inst. Particulares Metrosur"/>
    <x v="1"/>
    <n v="7"/>
    <s v="2025-12-04 11:28:10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19"/>
    <s v="ENERES"/>
    <s v="NUEVO"/>
    <s v="ENERES"/>
    <s v="25/11/2025 11:28:11"/>
    <s v="2025-11-25 11:28:11"/>
    <n v="901335234"/>
    <s v="TERRAH SAS"/>
    <s v="3118500"/>
    <s v="3104706701"/>
    <s v="CL 77 SUR CR 34 -82 (INTERIOR 2210 BQ 2 )"/>
    <x v="4"/>
    <s v="017317004000822210"/>
    <s v="Sabaneta"/>
    <x v="2"/>
    <s v="Revisor Inst. Particulares Metrosur"/>
    <x v="1"/>
    <n v="7"/>
    <s v="2025-12-04 11:28:11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20"/>
    <s v="ENERES"/>
    <s v="NUEVO"/>
    <s v="ENERES"/>
    <s v="25/11/2025 11:28:12"/>
    <s v="2025-11-25 11:28:12"/>
    <n v="901335234"/>
    <s v="TERRAH SAS"/>
    <s v="3118500"/>
    <s v="3104706701"/>
    <s v="CL 77 SUR CR 34 -82 (INTERIOR 2214 BQ 2 )"/>
    <x v="4"/>
    <s v="017317004000822214"/>
    <s v="Sabaneta"/>
    <x v="2"/>
    <s v="Revisor Inst. Particulares Metrosur"/>
    <x v="1"/>
    <n v="7"/>
    <s v="2025-12-04 11:28:12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21"/>
    <s v="ENERES"/>
    <s v="NUEVO"/>
    <s v="ENERES"/>
    <s v="25/11/2025 11:28:12"/>
    <s v="2025-11-25 11:28:12"/>
    <n v="901335234"/>
    <s v="TERRAH SAS"/>
    <s v="3118500"/>
    <s v="3104706701"/>
    <s v="CL 77 SUR CR 34 -82 (INTERIOR 2312 BQ 2 )"/>
    <x v="4"/>
    <s v="017317004000822312"/>
    <s v="Sabaneta"/>
    <x v="2"/>
    <s v="Revisor Inst. Particulares Metrosur"/>
    <x v="1"/>
    <n v="7"/>
    <s v="2025-12-04 11:28:12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22"/>
    <s v="ENERES"/>
    <s v="NUEVO"/>
    <s v="ENERES"/>
    <s v="25/11/2025 11:28:12"/>
    <s v="2025-11-25 11:28:12"/>
    <n v="901335234"/>
    <s v="TERRAH SAS"/>
    <s v="3118500"/>
    <s v="3104706701"/>
    <s v="CL 77 SUR CR 34 -82 (INTERIOR 2514 BQ 2 )"/>
    <x v="4"/>
    <s v="017317004000822514"/>
    <s v="Sabaneta"/>
    <x v="2"/>
    <s v="Revisor Inst. Particulares Metrosur"/>
    <x v="1"/>
    <n v="7"/>
    <s v="2025-12-04 11:28:12"/>
    <s v="4 días 11:28"/>
    <s v="3 días 11:28"/>
    <x v="0"/>
    <s v="SIN DATO"/>
    <s v="SIN DATO"/>
    <s v="SIN DATO"/>
    <s v="ABIERTO"/>
    <n v="-75.61732069"/>
    <n v="6.1404824400000004"/>
    <s v="SUR-ENE"/>
    <s v="Metropolitana Sur"/>
  </r>
  <r>
    <s v="23599123"/>
    <s v="ENERES"/>
    <s v="NUEVO"/>
    <s v="ENERES"/>
    <s v="25/11/2025 11:28:12"/>
    <s v="2025-11-25 11:28:12"/>
    <n v="901335234"/>
    <s v="TERRAH SAS"/>
    <s v="3118500"/>
    <s v="3104706701"/>
    <s v="CL 77 SUR CR 34 -82 (INTERIOR 2609 BQ 2 )"/>
    <x v="4"/>
    <s v="017317004000822609"/>
    <s v="Sabaneta"/>
    <x v="2"/>
    <s v="Revisor Inst. Particulares Metrosur"/>
    <x v="1"/>
    <n v="7"/>
    <s v="2025-12-04 11:28:12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24"/>
    <s v="ENERES"/>
    <s v="NUEVO"/>
    <s v="ENERES"/>
    <s v="25/11/2025 11:28:15"/>
    <s v="2025-11-25 11:28:15"/>
    <n v="901335234"/>
    <s v="TERRAH SAS"/>
    <s v="3118500"/>
    <s v="3104706701"/>
    <s v="CL 77 SUR CR 34 -82 (INTERIOR 2412 BQ 2 )"/>
    <x v="4"/>
    <s v="017317004000822412"/>
    <s v="Sabaneta"/>
    <x v="2"/>
    <s v="Revisor Inst. Particulares Metrosur"/>
    <x v="1"/>
    <n v="7"/>
    <s v="2025-12-04 11:28:15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25"/>
    <s v="ENERES"/>
    <s v="NUEVO"/>
    <s v="ENERES"/>
    <s v="25/11/2025 11:28:16"/>
    <s v="2025-11-25 11:28:16"/>
    <n v="901335234"/>
    <s v="TERRAH SAS"/>
    <s v="3118500"/>
    <s v="3104706701"/>
    <s v="CL 77 SUR CR 34 -82 (INTERIOR 2313 BQ 2 )"/>
    <x v="4"/>
    <s v="017317004000822313"/>
    <s v="Sabaneta"/>
    <x v="2"/>
    <s v="Revisor Inst. Particulares Metrosur"/>
    <x v="1"/>
    <n v="7"/>
    <s v="2025-12-04 11:28:16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26"/>
    <s v="ENERES"/>
    <s v="NUEVO"/>
    <s v="ENERES"/>
    <s v="25/11/2025 11:28:17"/>
    <s v="2025-11-25 11:28:17"/>
    <n v="901335234"/>
    <s v="TERRAH SAS"/>
    <s v="3118500"/>
    <s v="3104706701"/>
    <s v="CL 77 SUR CR 34 -82 (INTERIOR 2315 BQ 2 )"/>
    <x v="4"/>
    <s v="017317004000822315"/>
    <s v="Sabaneta"/>
    <x v="2"/>
    <s v="Revisor Inst. Particulares Metrosur"/>
    <x v="1"/>
    <n v="7"/>
    <s v="2025-12-04 11:28:17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27"/>
    <s v="ENERES"/>
    <s v="NUEVO"/>
    <s v="ENERES"/>
    <s v="25/11/2025 11:28:19"/>
    <s v="2025-11-25 11:28:19"/>
    <n v="901335234"/>
    <s v="TERRAH SAS"/>
    <s v="3118500"/>
    <s v="3104706701"/>
    <s v="CL 77 SUR CR 34 -82 (INTERIOR 2415 BQ 2 )"/>
    <x v="4"/>
    <s v="017317004000822415"/>
    <s v="Sabaneta"/>
    <x v="2"/>
    <s v="Revisor Inst. Particulares Metrosur"/>
    <x v="1"/>
    <n v="7"/>
    <s v="2025-12-04 11:28:19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28"/>
    <s v="ENERES"/>
    <s v="NUEVO"/>
    <s v="ENERES"/>
    <s v="25/11/2025 11:28:22"/>
    <s v="2025-11-25 11:28:22"/>
    <n v="901335234"/>
    <s v="TERRAH SAS"/>
    <s v="3118500"/>
    <s v="3104706701"/>
    <s v="CL 77 SUR CR 34 -82 (INTERIOR 2510 BQ 2 )"/>
    <x v="4"/>
    <s v="017317004000822510"/>
    <s v="Sabaneta"/>
    <x v="2"/>
    <s v="Revisor Inst. Particulares Metrosur"/>
    <x v="1"/>
    <n v="7"/>
    <s v="2025-12-04 11:28:22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29"/>
    <s v="ENERES"/>
    <s v="NUEVO"/>
    <s v="ENERES"/>
    <s v="25/11/2025 11:28:22"/>
    <s v="2025-11-25 11:28:22"/>
    <n v="901335234"/>
    <s v="TERRAH SAS"/>
    <s v="3118500"/>
    <s v="3104706701"/>
    <s v="CL 77 SUR CR 34 -82 (INTERIOR 616 BQ 2 )"/>
    <x v="4"/>
    <s v="017317004000820616"/>
    <s v="Sabaneta"/>
    <x v="2"/>
    <s v="Revisor Inst. Particulares Metrosur"/>
    <x v="1"/>
    <n v="7"/>
    <s v="2025-12-04 11:28:22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30"/>
    <s v="ENERES"/>
    <s v="NUEVO"/>
    <s v="ENERES"/>
    <s v="25/11/2025 11:28:22"/>
    <s v="2025-11-25 11:28:22"/>
    <n v="901335234"/>
    <s v="TERRAH SAS"/>
    <s v="3118500"/>
    <s v="3104706701"/>
    <s v="CL 77 SUR CR 34 -82 (INTERIOR 2411 BQ 2 )"/>
    <x v="4"/>
    <s v="017317004000822411"/>
    <s v="Sabaneta"/>
    <x v="2"/>
    <s v="Revisor Inst. Particulares Metrosur"/>
    <x v="1"/>
    <n v="7"/>
    <s v="2025-12-04 11:28:22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31"/>
    <s v="ENERES"/>
    <s v="NUEVO"/>
    <s v="ENERES"/>
    <s v="25/11/2025 11:28:22"/>
    <s v="2025-11-25 11:28:22"/>
    <n v="901335234"/>
    <s v="TERRAH SAS"/>
    <s v="3118500"/>
    <s v="3104706701"/>
    <s v="CL 77 SUR CR 34 -82 (INTERIOR 2416 BQ 2 )"/>
    <x v="4"/>
    <s v="017317004000822416"/>
    <s v="Sabaneta"/>
    <x v="2"/>
    <s v="Revisor Inst. Particulares Metrosur"/>
    <x v="1"/>
    <n v="7"/>
    <s v="2025-12-04 11:28:22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32"/>
    <s v="ENERES"/>
    <s v="NUEVO"/>
    <s v="ENERES"/>
    <s v="25/11/2025 11:28:23"/>
    <s v="2025-11-25 11:28:23"/>
    <n v="901335234"/>
    <s v="TERRAH SAS"/>
    <s v="3118500"/>
    <s v="3104706701"/>
    <s v="CL 77 SUR CR 34 -82 (INTERIOR 2509 BQ 2 )"/>
    <x v="4"/>
    <s v="017317004000822509"/>
    <s v="Sabaneta"/>
    <x v="2"/>
    <s v="Revisor Inst. Particulares Metrosur"/>
    <x v="1"/>
    <n v="7"/>
    <s v="2025-12-04 11:28:23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33"/>
    <s v="ENERES"/>
    <s v="NUEVO"/>
    <s v="ENERES"/>
    <s v="25/11/2025 11:28:23"/>
    <s v="2025-11-25 11:28:23"/>
    <n v="901335234"/>
    <s v="TERRAH SAS"/>
    <s v="3118500"/>
    <s v="3104706701"/>
    <s v="CL 77 SUR CR 34 -82 (INTERIOR 2615 BQ 2 )"/>
    <x v="4"/>
    <s v="017317004000822615"/>
    <s v="Sabaneta"/>
    <x v="2"/>
    <s v="Revisor Inst. Particulares Metrosur"/>
    <x v="1"/>
    <n v="7"/>
    <s v="2025-12-04 11:28:23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34"/>
    <s v="ENERES"/>
    <s v="NUEVO"/>
    <s v="ENERES"/>
    <s v="25/11/2025 11:28:23"/>
    <s v="2025-11-25 11:28:23"/>
    <n v="901335234"/>
    <s v="TERRAH SAS"/>
    <s v="3118500"/>
    <s v="3104706701"/>
    <s v="CL 77 SUR CR 34 -82 (INTERIOR 2511 BQ 2 )"/>
    <x v="4"/>
    <s v="017317004000822511"/>
    <s v="Sabaneta"/>
    <x v="2"/>
    <s v="Revisor Inst. Particulares Metrosur"/>
    <x v="1"/>
    <n v="7"/>
    <s v="2025-12-04 11:28:23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35"/>
    <s v="ENERES"/>
    <s v="NUEVO"/>
    <s v="ENERES"/>
    <s v="25/11/2025 11:28:24"/>
    <s v="2025-11-25 11:28:24"/>
    <n v="901335234"/>
    <s v="TERRAH SAS"/>
    <s v="3118500"/>
    <s v="3104706701"/>
    <s v="CL 77 SUR CR 34 -82 (INTERIOR 2613 BQ 2 )"/>
    <x v="4"/>
    <s v="017317004000822613"/>
    <s v="Sabaneta"/>
    <x v="2"/>
    <s v="Revisor Inst. Particulares Metrosur"/>
    <x v="1"/>
    <n v="7"/>
    <s v="2025-12-04 11:28:24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36"/>
    <s v="ENERES"/>
    <s v="NUEVO"/>
    <s v="ENERES"/>
    <s v="25/11/2025 11:28:25"/>
    <s v="2025-11-25 11:28:25"/>
    <n v="901335234"/>
    <s v="TERRAH SAS"/>
    <s v="3118500"/>
    <s v="3104706701"/>
    <s v="CL 77 SUR CR 34 -82 (INTERIOR 2610 BQ 2 )"/>
    <x v="4"/>
    <s v="017317004000822610"/>
    <s v="Sabaneta"/>
    <x v="2"/>
    <s v="Revisor Inst. Particulares Metrosur"/>
    <x v="1"/>
    <n v="7"/>
    <s v="2025-12-04 11:28:25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37"/>
    <s v="ENERES"/>
    <s v="NUEVO"/>
    <s v="ENERES"/>
    <s v="25/11/2025 11:28:26"/>
    <s v="2025-11-25 11:28:26"/>
    <n v="901335234"/>
    <s v="TERRAH SAS"/>
    <s v="3118500"/>
    <s v="3104706701"/>
    <s v="CL 77 SUR CR 34 -82 (INTERIOR 2414 BQ 2 )"/>
    <x v="4"/>
    <s v="017317004000822414"/>
    <s v="Sabaneta"/>
    <x v="2"/>
    <s v="Revisor Inst. Particulares Metrosur"/>
    <x v="1"/>
    <n v="7"/>
    <s v="2025-12-04 11:28:26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38"/>
    <s v="ENERES"/>
    <s v="NUEVO"/>
    <s v="ENERES"/>
    <s v="25/11/2025 11:28:26"/>
    <s v="2025-11-25 11:28:26"/>
    <n v="901335234"/>
    <s v="TERRAH SAS"/>
    <s v="3118500"/>
    <s v="3104706701"/>
    <s v="CL 77 SUR CR 34 -82 (INTERIOR 2209 BQ 2 )"/>
    <x v="4"/>
    <s v="017317004000822209"/>
    <s v="Sabaneta"/>
    <x v="2"/>
    <s v="Revisor Inst. Particulares Metrosur"/>
    <x v="1"/>
    <n v="7"/>
    <s v="2025-12-04 11:28:26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39"/>
    <s v="ENERES"/>
    <s v="NUEVO"/>
    <s v="ENERES"/>
    <s v="25/11/2025 11:28:26"/>
    <s v="2025-11-25 11:28:26"/>
    <n v="901335234"/>
    <s v="TERRAH SAS"/>
    <s v="3118500"/>
    <s v="3104706701"/>
    <s v="CL 77 SUR CR 34 -82 (INTERIOR 2709 BQ 2 )"/>
    <x v="4"/>
    <s v="017317004000822709"/>
    <s v="Sabaneta"/>
    <x v="2"/>
    <s v="Revisor Inst. Particulares Metrosur"/>
    <x v="1"/>
    <n v="7"/>
    <s v="2025-12-04 11:28:26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40"/>
    <s v="ENERES"/>
    <s v="NUEVO"/>
    <s v="ENERES"/>
    <s v="25/11/2025 11:28:27"/>
    <s v="2025-11-25 11:28:27"/>
    <n v="901335234"/>
    <s v="TERRAH SAS"/>
    <s v="3118500"/>
    <s v="3104706701"/>
    <s v="CL 77 SUR CR 34 -82 (INTERIOR 2314 BQ 2 )"/>
    <x v="4"/>
    <s v="017317004000822314"/>
    <s v="Sabaneta"/>
    <x v="2"/>
    <s v="Revisor Inst. Particulares Metrosur"/>
    <x v="1"/>
    <n v="7"/>
    <s v="2025-12-04 11:28:27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41"/>
    <s v="ENERES"/>
    <s v="NUEVO"/>
    <s v="ENERES"/>
    <s v="25/11/2025 11:28:27"/>
    <s v="2025-11-25 11:28:27"/>
    <n v="901335234"/>
    <s v="TERRAH SAS"/>
    <s v="3118500"/>
    <s v="3104706701"/>
    <s v="CL 77 SUR CR 34 -82 (INTERIOR 2410 BQ 2 )"/>
    <x v="4"/>
    <s v="017317004000822410"/>
    <s v="Sabaneta"/>
    <x v="2"/>
    <s v="Revisor Inst. Particulares Metrosur"/>
    <x v="1"/>
    <n v="7"/>
    <s v="2025-12-04 11:28:27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42"/>
    <s v="ENERES"/>
    <s v="NUEVO"/>
    <s v="ENERES"/>
    <s v="25/11/2025 11:28:28"/>
    <s v="2025-11-25 11:28:28"/>
    <n v="901335234"/>
    <s v="TERRAH SAS"/>
    <s v="3118500"/>
    <s v="3104706701"/>
    <s v="CL 77 SUR CR 34 -82 (INTERIOR 2311 BQ 2 )"/>
    <x v="4"/>
    <s v="017317004000822311"/>
    <s v="Sabaneta"/>
    <x v="2"/>
    <s v="Revisor Inst. Particulares Metrosur"/>
    <x v="1"/>
    <n v="7"/>
    <s v="2025-12-04 11:28:28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43"/>
    <s v="ENERES"/>
    <s v="NUEVO"/>
    <s v="ENERES"/>
    <s v="25/11/2025 11:28:30"/>
    <s v="2025-11-25 11:28:30"/>
    <n v="901335234"/>
    <s v="TERRAH SAS"/>
    <s v="3118500"/>
    <s v="3104706701"/>
    <s v="CL 77 SUR CR 34 -82 (INTERIOR 2611 BQ 2 )"/>
    <x v="4"/>
    <s v="017317004000822611"/>
    <s v="Sabaneta"/>
    <x v="2"/>
    <s v="Revisor Inst. Particulares Metrosur"/>
    <x v="1"/>
    <n v="7"/>
    <s v="2025-12-04 11:28:30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44"/>
    <s v="ENERES"/>
    <s v="NUEVO"/>
    <s v="ENERES"/>
    <s v="25/11/2025 11:28:30"/>
    <s v="2025-11-25 11:28:30"/>
    <n v="901335234"/>
    <s v="TERRAH SAS"/>
    <s v="3118500"/>
    <s v="3104706701"/>
    <s v="CL 77 SUR CR 34 -82 (INTERIOR 2413 BQ 2 )"/>
    <x v="4"/>
    <s v="017317004000822413"/>
    <s v="Sabaneta"/>
    <x v="2"/>
    <s v="Revisor Inst. Particulares Metrosur"/>
    <x v="1"/>
    <n v="7"/>
    <s v="2025-12-04 11:28:30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45"/>
    <s v="ENERES"/>
    <s v="NUEVO"/>
    <s v="ENERES"/>
    <s v="25/11/2025 11:28:31"/>
    <s v="2025-11-25 11:28:31"/>
    <n v="901335234"/>
    <s v="TERRAH SAS"/>
    <s v="3118500"/>
    <s v="3104706701"/>
    <s v="CL 77 SUR CR 34 -82 (INTERIOR 812 BQ 2 )"/>
    <x v="4"/>
    <s v="017317004000820812"/>
    <s v="Sabaneta"/>
    <x v="2"/>
    <s v="Revisor Inst. Particulares Metrosur"/>
    <x v="1"/>
    <n v="7"/>
    <s v="2025-12-04 11:28:31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46"/>
    <s v="ENERES"/>
    <s v="NUEVO"/>
    <s v="ENERES"/>
    <s v="25/11/2025 11:28:32"/>
    <s v="2025-11-25 11:28:32"/>
    <n v="901335234"/>
    <s v="TERRAH SAS"/>
    <s v="3118500"/>
    <s v="3104706701"/>
    <s v="CL 77 SUR CR 34 -82 (INTERIOR 2612 BQ 2 )"/>
    <x v="4"/>
    <s v="017317004000822612"/>
    <s v="Sabaneta"/>
    <x v="2"/>
    <s v="Revisor Inst. Particulares Metrosur"/>
    <x v="1"/>
    <n v="7"/>
    <s v="2025-12-04 11:28:32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47"/>
    <s v="ENERES"/>
    <s v="NUEVO"/>
    <s v="ENERES"/>
    <s v="25/11/2025 11:28:32"/>
    <s v="2025-11-25 11:28:32"/>
    <n v="901335234"/>
    <s v="TERRAH SAS"/>
    <s v="3118500"/>
    <s v="3104706701"/>
    <s v="CL 77 SUR CR 34 -82 (INTERIOR 716 BQ 2 )"/>
    <x v="4"/>
    <s v="017317004000820716"/>
    <s v="Sabaneta"/>
    <x v="2"/>
    <s v="Revisor Inst. Particulares Metrosur"/>
    <x v="1"/>
    <n v="7"/>
    <s v="2025-12-04 11:28:32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48"/>
    <s v="ENERES"/>
    <s v="NUEVO"/>
    <s v="ENERES"/>
    <s v="25/11/2025 11:28:33"/>
    <s v="2025-11-25 11:28:33"/>
    <n v="901335234"/>
    <s v="TERRAH SAS"/>
    <s v="3118500"/>
    <s v="3104706701"/>
    <s v="CL 77 SUR CR 34 -82 (INTERIOR 809 BQ 2 )"/>
    <x v="4"/>
    <s v="017317004000820809"/>
    <s v="Sabaneta"/>
    <x v="2"/>
    <s v="Revisor Inst. Particulares Metrosur"/>
    <x v="1"/>
    <n v="7"/>
    <s v="2025-12-04 11:28:33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49"/>
    <s v="ENERES"/>
    <s v="NUEVO"/>
    <s v="ENERES"/>
    <s v="25/11/2025 11:28:33"/>
    <s v="2025-11-25 11:28:33"/>
    <n v="901335234"/>
    <s v="TERRAH SAS"/>
    <s v="3118500"/>
    <s v="3104706701"/>
    <s v="CL 77 SUR CR 34 -82 (INTERIOR 810 BQ 2 )"/>
    <x v="4"/>
    <s v="017317004000820810"/>
    <s v="Sabaneta"/>
    <x v="2"/>
    <s v="Revisor Inst. Particulares Metrosur"/>
    <x v="1"/>
    <n v="7"/>
    <s v="2025-12-04 11:28:33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50"/>
    <s v="ENERES"/>
    <s v="NUEVO"/>
    <s v="ENERES"/>
    <s v="25/11/2025 11:28:38"/>
    <s v="2025-11-25 11:28:38"/>
    <n v="901335234"/>
    <s v="TERRAH SAS"/>
    <s v="3118500"/>
    <s v="3104706701"/>
    <s v="CL 77 SUR CR 34 -82 (INTERIOR 2616 BQ 2 )"/>
    <x v="4"/>
    <s v="017317004000822616"/>
    <s v="Sabaneta"/>
    <x v="2"/>
    <s v="Revisor Inst. Particulares Metrosur"/>
    <x v="1"/>
    <n v="7"/>
    <s v="2025-12-04 11:28:38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51"/>
    <s v="ENERES"/>
    <s v="NUEVO"/>
    <s v="ENERES"/>
    <s v="25/11/2025 11:28:40"/>
    <s v="2025-11-25 11:28:40"/>
    <n v="901335234"/>
    <s v="TERRAH SAS"/>
    <s v="3118500"/>
    <s v="3104706701"/>
    <s v="CL 77 SUR CR 34 -82 (INTERIOR 2614 BQ 2 )"/>
    <x v="4"/>
    <s v="017317004000822614"/>
    <s v="Sabaneta"/>
    <x v="2"/>
    <s v="Revisor Inst. Particulares Metrosur"/>
    <x v="1"/>
    <n v="7"/>
    <s v="2025-12-04 11:28:40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52"/>
    <s v="ENERES"/>
    <s v="NUEVO"/>
    <s v="ENERES"/>
    <s v="25/11/2025 11:28:40"/>
    <s v="2025-11-25 11:28:40"/>
    <n v="901335234"/>
    <s v="TERRAH SAS"/>
    <s v="3118500"/>
    <s v="3104706701"/>
    <s v="CL 77 SUR CR 34 -82 (INTERIOR 813 BQ 2 )"/>
    <x v="4"/>
    <s v="017317004000820813"/>
    <s v="Sabaneta"/>
    <x v="2"/>
    <s v="Revisor Inst. Particulares Metrosur"/>
    <x v="1"/>
    <n v="7"/>
    <s v="2025-12-04 11:28:40"/>
    <s v="4 días 11:28"/>
    <s v="3 días 11:28"/>
    <x v="0"/>
    <s v="SIN DATO"/>
    <s v="SIN DATO"/>
    <s v="SIN DATO"/>
    <s v="ABIERTO"/>
    <n v="-75.617241000000007"/>
    <n v="6.1404480000000001"/>
    <s v="SUR-ENE"/>
    <s v="Metropolitana Sur"/>
  </r>
  <r>
    <s v="23599155"/>
    <s v="ENERES"/>
    <s v="NUEVO"/>
    <s v="ENERES"/>
    <s v="25/11/2025 11:29:04"/>
    <s v="2025-11-25 11:29:04"/>
    <n v="901335234"/>
    <s v="TERRAH SAS"/>
    <s v="3118500"/>
    <s v="3104706701"/>
    <s v="CL 77 SUR CR 34 -82 (INTERIOR 816 BQ 2 )"/>
    <x v="4"/>
    <s v="017317004000820816"/>
    <s v="Sabaneta"/>
    <x v="2"/>
    <s v="Revisor Inst. Particulares Metrosur"/>
    <x v="1"/>
    <n v="7"/>
    <s v="2025-12-04 11:29:04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56"/>
    <s v="ENERES"/>
    <s v="NUEVO"/>
    <s v="ENERES"/>
    <s v="25/11/2025 11:29:06"/>
    <s v="2025-11-25 11:29:06"/>
    <n v="901335234"/>
    <s v="TERRAH SAS"/>
    <s v="3118500"/>
    <s v="3104706701"/>
    <s v="CL 77 SUR CR 34 -82 (INTERIOR 1110 BQ 2 )"/>
    <x v="4"/>
    <s v="017317004000821110"/>
    <s v="Sabaneta"/>
    <x v="2"/>
    <s v="Revisor Inst. Particulares Metrosur"/>
    <x v="1"/>
    <n v="7"/>
    <s v="2025-12-04 11:29:06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57"/>
    <s v="ENERES"/>
    <s v="NUEVO"/>
    <s v="ENERES"/>
    <s v="25/11/2025 11:29:07"/>
    <s v="2025-11-25 11:29:07"/>
    <n v="901335234"/>
    <s v="TERRAH SAS"/>
    <s v="3118500"/>
    <s v="3104706701"/>
    <s v="CL 77 SUR CR 34 -82 (INTERIOR 1111 BQ 2 )"/>
    <x v="4"/>
    <s v="017317004000821111"/>
    <s v="Sabaneta"/>
    <x v="2"/>
    <s v="Revisor Inst. Particulares Metrosur"/>
    <x v="1"/>
    <n v="7"/>
    <s v="2025-12-04 11:29:07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58"/>
    <s v="ENERES"/>
    <s v="NUEVO"/>
    <s v="ENERES"/>
    <s v="25/11/2025 11:29:09"/>
    <s v="2025-11-25 11:29:09"/>
    <n v="901335234"/>
    <s v="TERRAH SAS"/>
    <s v="3118500"/>
    <s v="3104706701"/>
    <s v="CL 77 SUR CR 34 -82 (INTERIOR 1113 BQ 2 )"/>
    <x v="4"/>
    <s v="017317004000821113"/>
    <s v="Sabaneta"/>
    <x v="2"/>
    <s v="Revisor Inst. Particulares Metrosur"/>
    <x v="1"/>
    <n v="7"/>
    <s v="2025-12-04 11:29:09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59"/>
    <s v="ENERES"/>
    <s v="NUEVO"/>
    <s v="ENERES"/>
    <s v="25/11/2025 11:29:10"/>
    <s v="2025-11-25 11:29:10"/>
    <n v="901335234"/>
    <s v="TERRAH SAS"/>
    <s v="3118500"/>
    <s v="3104706701"/>
    <s v="CL 77 SUR CR 34 -82 (INTERIOR 1109 BQ 2 )"/>
    <x v="4"/>
    <s v="017317004000821109"/>
    <s v="Sabaneta"/>
    <x v="2"/>
    <s v="Revisor Inst. Particulares Metrosur"/>
    <x v="1"/>
    <n v="7"/>
    <s v="2025-12-04 11:29:10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60"/>
    <s v="ENERES"/>
    <s v="NUEVO"/>
    <s v="ENERES"/>
    <s v="25/11/2025 11:29:11"/>
    <s v="2025-11-25 11:29:11"/>
    <n v="901335234"/>
    <s v="TERRAH SAS"/>
    <s v="3118500"/>
    <s v="3104706701"/>
    <s v="CL 77 SUR CR 34 -82 (INTERIOR 909 BQ 2 )"/>
    <x v="4"/>
    <s v="017317004000820909"/>
    <s v="Sabaneta"/>
    <x v="2"/>
    <s v="Revisor Inst. Particulares Metrosur"/>
    <x v="1"/>
    <n v="7"/>
    <s v="2025-12-04 11:29:11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61"/>
    <s v="ENERES"/>
    <s v="NUEVO"/>
    <s v="ENERES"/>
    <s v="25/11/2025 11:29:11"/>
    <s v="2025-11-25 11:29:11"/>
    <n v="901335234"/>
    <s v="TERRAH SAS"/>
    <s v="3118500"/>
    <s v="3104706701"/>
    <s v="CL 77 SUR CR 34 -82 (INTERIOR 2512 BQ 2 )"/>
    <x v="4"/>
    <s v="017317004000822512"/>
    <s v="Sabaneta"/>
    <x v="2"/>
    <s v="Revisor Inst. Particulares Metrosur"/>
    <x v="1"/>
    <n v="7"/>
    <s v="2025-12-04 11:29:11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62"/>
    <s v="ENERES"/>
    <s v="NUEVO"/>
    <s v="ENERES"/>
    <s v="25/11/2025 11:29:13"/>
    <s v="2025-11-25 11:29:13"/>
    <n v="901335234"/>
    <s v="TERRAH SAS"/>
    <s v="3118500"/>
    <s v="3104706701"/>
    <s v="CL 77 SUR CR 34 -82 (INTERIOR 815 BQ 2 )"/>
    <x v="4"/>
    <s v="017317004000820815"/>
    <s v="Sabaneta"/>
    <x v="2"/>
    <s v="Revisor Inst. Particulares Metrosur"/>
    <x v="1"/>
    <n v="7"/>
    <s v="2025-12-04 11:29:13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63"/>
    <s v="ENERES"/>
    <s v="NUEVO"/>
    <s v="ENERES"/>
    <s v="25/11/2025 11:29:13"/>
    <s v="2025-11-25 11:29:13"/>
    <n v="901335234"/>
    <s v="TERRAH SAS"/>
    <s v="3118500"/>
    <s v="3104706701"/>
    <s v="CL 77 SUR CR 34 -82 (INTERIOR 511 BQ 2 )"/>
    <x v="4"/>
    <s v="017317004000820511"/>
    <s v="Sabaneta"/>
    <x v="2"/>
    <s v="Revisor Inst. Particulares Metrosur"/>
    <x v="1"/>
    <n v="7"/>
    <s v="2025-12-04 11:29:13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64"/>
    <s v="ENERES"/>
    <s v="NUEVO"/>
    <s v="ENERES"/>
    <s v="25/11/2025 11:29:13"/>
    <s v="2025-11-25 11:29:13"/>
    <n v="901335234"/>
    <s v="TERRAH SAS"/>
    <s v="3118500"/>
    <s v="3104706701"/>
    <s v="CL 77 SUR CR 34 -82 (INTERIOR 1412 BQ 2 )"/>
    <x v="4"/>
    <s v="017317004000821412"/>
    <s v="Sabaneta"/>
    <x v="2"/>
    <s v="Revisor Inst. Particulares Metrosur"/>
    <x v="1"/>
    <n v="7"/>
    <s v="2025-12-04 11:29:13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65"/>
    <s v="ENERES"/>
    <s v="NUEVO"/>
    <s v="ENERES"/>
    <s v="25/11/2025 11:29:14"/>
    <s v="2025-11-25 11:29:14"/>
    <n v="901335234"/>
    <s v="TERRAH SAS"/>
    <s v="3118500"/>
    <s v="3104706701"/>
    <s v="CL 77 SUR CR 34 -82 (INTERIOR 1413 BQ 2 )"/>
    <x v="4"/>
    <s v="017317004000821413"/>
    <s v="Sabaneta"/>
    <x v="2"/>
    <s v="Revisor Inst. Particulares Metrosur"/>
    <x v="1"/>
    <n v="7"/>
    <s v="2025-12-04 11:29:14"/>
    <s v="4 días 11:29"/>
    <s v="3 días 11:29"/>
    <x v="0"/>
    <s v="SIN DATO"/>
    <s v="SIN DATO"/>
    <s v="SIN DATO"/>
    <s v="ABIERTO"/>
    <n v="-75.61732069"/>
    <n v="6.1404824400000004"/>
    <s v="SUR-ENE"/>
    <s v="Metropolitana Sur"/>
  </r>
  <r>
    <s v="23599166"/>
    <s v="ENERES"/>
    <s v="NUEVO"/>
    <s v="ENERES"/>
    <s v="25/11/2025 11:29:15"/>
    <s v="2025-11-25 11:29:15"/>
    <n v="901335234"/>
    <s v="TERRAH SAS"/>
    <s v="3118500"/>
    <s v="3104706701"/>
    <s v="CL 77 SUR CR 34 -82 (INTERIOR 1414 BQ 2 )"/>
    <x v="4"/>
    <s v="017317004000821414"/>
    <s v="Sabaneta"/>
    <x v="2"/>
    <s v="Revisor Inst. Particulares Metrosur"/>
    <x v="1"/>
    <n v="7"/>
    <s v="2025-12-04 11:29:15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67"/>
    <s v="ENERES"/>
    <s v="NUEVO"/>
    <s v="ENERES"/>
    <s v="25/11/2025 11:29:15"/>
    <s v="2025-11-25 11:29:15"/>
    <n v="901335234"/>
    <s v="TERRAH SAS"/>
    <s v="3118500"/>
    <s v="3104706701"/>
    <s v="CL 77 SUR CR 34 -82 (INTERIOR 516 BQ 2 )"/>
    <x v="4"/>
    <s v="017317004000820516"/>
    <s v="Sabaneta"/>
    <x v="2"/>
    <s v="Revisor Inst. Particulares Metrosur"/>
    <x v="1"/>
    <n v="7"/>
    <s v="2025-12-04 11:29:15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68"/>
    <s v="ENERES"/>
    <s v="NUEVO"/>
    <s v="ENERES"/>
    <s v="25/11/2025 11:29:16"/>
    <s v="2025-11-25 11:29:16"/>
    <n v="901335234"/>
    <s v="TERRAH SAS"/>
    <s v="3118500"/>
    <s v="3104706701"/>
    <s v="CL 77 SUR CR 34 -82 (INTERIOR 2513 BQ 2 )"/>
    <x v="4"/>
    <s v="017317004000822513"/>
    <s v="Sabaneta"/>
    <x v="2"/>
    <s v="Revisor Inst. Particulares Metrosur"/>
    <x v="1"/>
    <n v="7"/>
    <s v="2025-12-04 11:29:16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69"/>
    <s v="ENERES"/>
    <s v="NUEVO"/>
    <s v="ENERES"/>
    <s v="25/11/2025 11:29:16"/>
    <s v="2025-11-25 11:29:16"/>
    <n v="901335234"/>
    <s v="TERRAH SAS"/>
    <s v="3118500"/>
    <s v="3104706701"/>
    <s v="CL 77 SUR CR 34 -82 (INTERIOR 2710 BQ 2 )"/>
    <x v="4"/>
    <s v="017317004000822710"/>
    <s v="Sabaneta"/>
    <x v="2"/>
    <s v="Revisor Inst. Particulares Metrosur"/>
    <x v="1"/>
    <n v="7"/>
    <s v="2025-12-04 11:29:16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70"/>
    <s v="ENERES"/>
    <s v="NUEVO"/>
    <s v="ENERES"/>
    <s v="25/11/2025 11:29:19"/>
    <s v="2025-11-25 11:29:19"/>
    <n v="901335234"/>
    <s v="TERRAH SAS"/>
    <s v="3118500"/>
    <s v="3104706701"/>
    <s v="CL 77 SUR CR 34 -82 (INTERIOR 2715 BQ 2 )"/>
    <x v="4"/>
    <s v="017317004000822715"/>
    <s v="Sabaneta"/>
    <x v="2"/>
    <s v="Revisor Inst. Particulares Metrosur"/>
    <x v="1"/>
    <n v="7"/>
    <s v="2025-12-04 11:29:19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71"/>
    <s v="ENERES"/>
    <s v="NUEVO"/>
    <s v="ENERES"/>
    <s v="25/11/2025 11:29:20"/>
    <s v="2025-11-25 11:29:20"/>
    <n v="901335234"/>
    <s v="TERRAH SAS"/>
    <s v="3118500"/>
    <s v="3104706701"/>
    <s v="CL 77 SUR CR 34 -82 (INTERIOR 2714 BQ 2 )"/>
    <x v="4"/>
    <s v="017317004000822714"/>
    <s v="Sabaneta"/>
    <x v="2"/>
    <s v="Revisor Inst. Particulares Metrosur"/>
    <x v="1"/>
    <n v="7"/>
    <s v="2025-12-04 11:29:20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72"/>
    <s v="ENERES"/>
    <s v="NUEVO"/>
    <s v="ENERES"/>
    <s v="25/11/2025 11:29:21"/>
    <s v="2025-11-25 11:29:21"/>
    <n v="901335234"/>
    <s v="TERRAH SAS"/>
    <s v="3118500"/>
    <s v="3104706701"/>
    <s v="CL 77 SUR CR 34 -82 (INTERIOR 2711 BQ 2 )"/>
    <x v="4"/>
    <s v="017317004000822711"/>
    <s v="Sabaneta"/>
    <x v="2"/>
    <s v="Revisor Inst. Particulares Metrosur"/>
    <x v="1"/>
    <n v="7"/>
    <s v="2025-12-04 11:29:21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73"/>
    <s v="ENERES"/>
    <s v="NUEVO"/>
    <s v="ENERES"/>
    <s v="25/11/2025 11:29:21"/>
    <s v="2025-11-25 11:29:21"/>
    <n v="901335234"/>
    <s v="TERRAH SAS"/>
    <s v="3118500"/>
    <s v="3104706701"/>
    <s v="CL 77 SUR CR 34 -82 (INTERIOR 513 BQ 2 )"/>
    <x v="4"/>
    <s v="017317004000820513"/>
    <s v="Sabaneta"/>
    <x v="2"/>
    <s v="Revisor Inst. Particulares Metrosur"/>
    <x v="1"/>
    <n v="7"/>
    <s v="2025-12-04 11:29:21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74"/>
    <s v="ENERES"/>
    <s v="NUEVO"/>
    <s v="ENERES"/>
    <s v="25/11/2025 11:29:23"/>
    <s v="2025-11-25 11:29:24"/>
    <n v="901335234"/>
    <s v="TERRAH SAS"/>
    <s v="3118500"/>
    <s v="3104706701"/>
    <s v="CL 77 SUR CR 34 -82 (INTERIOR 710 BQ 2 )"/>
    <x v="4"/>
    <s v="017317004000820710"/>
    <s v="Sabaneta"/>
    <x v="2"/>
    <s v="Revisor Inst. Particulares Metrosur"/>
    <x v="1"/>
    <n v="7"/>
    <s v="2025-12-04 11:29:24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75"/>
    <s v="ENERES"/>
    <s v="NUEVO"/>
    <s v="ENERES"/>
    <s v="25/11/2025 11:29:24"/>
    <s v="2025-11-25 11:29:24"/>
    <n v="901335234"/>
    <s v="TERRAH SAS"/>
    <s v="3118500"/>
    <s v="3104706701"/>
    <s v="CL 77 SUR CR 34 -82 (INTERIOR 711 BQ 2 )"/>
    <x v="4"/>
    <s v="017317004000820711"/>
    <s v="Sabaneta"/>
    <x v="2"/>
    <s v="Revisor Inst. Particulares Metrosur"/>
    <x v="1"/>
    <n v="7"/>
    <s v="2025-12-04 11:29:24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76"/>
    <s v="ENERES"/>
    <s v="NUEVO"/>
    <s v="ENERES"/>
    <s v="25/11/2025 11:29:24"/>
    <s v="2025-11-25 11:29:24"/>
    <n v="901335234"/>
    <s v="TERRAH SAS"/>
    <s v="3118500"/>
    <s v="3104706701"/>
    <s v="CL 77 SUR CR 34 -82 (INTERIOR 2713 BQ 2 )"/>
    <x v="4"/>
    <s v="017317004000822713"/>
    <s v="Sabaneta"/>
    <x v="2"/>
    <s v="Revisor Inst. Particulares Metrosur"/>
    <x v="1"/>
    <n v="7"/>
    <s v="2025-12-04 11:29:24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77"/>
    <s v="ENERES"/>
    <s v="NUEVO"/>
    <s v="ENERES"/>
    <s v="25/11/2025 11:29:24"/>
    <s v="2025-11-25 11:29:24"/>
    <n v="901335234"/>
    <s v="TERRAH SAS"/>
    <s v="3118500"/>
    <s v="3104706701"/>
    <s v="CL 77 SUR CR 34 -82 (INTERIOR 2716 BQ 2 )"/>
    <x v="4"/>
    <s v="017317004000822716"/>
    <s v="Sabaneta"/>
    <x v="2"/>
    <s v="Revisor Inst. Particulares Metrosur"/>
    <x v="1"/>
    <n v="7"/>
    <s v="2025-12-04 11:29:24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78"/>
    <s v="ENERES"/>
    <s v="NUEVO"/>
    <s v="ENERES"/>
    <s v="25/11/2025 11:29:25"/>
    <s v="2025-11-25 11:29:25"/>
    <n v="901335234"/>
    <s v="TERRAH SAS"/>
    <s v="3118500"/>
    <s v="3104706701"/>
    <s v="CL 77 SUR CR 34 -82 (INTERIOR 713 BQ 2 )"/>
    <x v="4"/>
    <s v="017317004000820713"/>
    <s v="Sabaneta"/>
    <x v="2"/>
    <s v="Revisor Inst. Particulares Metrosur"/>
    <x v="1"/>
    <n v="7"/>
    <s v="2025-12-04 11:29:25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80"/>
    <s v="ENERES"/>
    <s v="NUEVO"/>
    <s v="ENERES"/>
    <s v="25/11/2025 11:29:25"/>
    <s v="2025-11-25 11:29:25"/>
    <n v="901335234"/>
    <s v="TERRAH SAS"/>
    <s v="3118500"/>
    <s v="3104706701"/>
    <s v="CL 77 SUR CR 34 -82 (INTERIOR 712 BQ 2 )"/>
    <x v="4"/>
    <s v="017317004000820712"/>
    <s v="Sabaneta"/>
    <x v="2"/>
    <s v="Revisor Inst. Particulares Metrosur"/>
    <x v="1"/>
    <n v="7"/>
    <s v="2025-12-04 11:29:25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81"/>
    <s v="ENERES"/>
    <s v="NUEVO"/>
    <s v="ENERES"/>
    <s v="25/11/2025 11:29:26"/>
    <s v="2025-11-25 11:29:26"/>
    <n v="901335234"/>
    <s v="TERRAH SAS"/>
    <s v="3118500"/>
    <s v="3104706701"/>
    <s v="CL 77 SUR CR 34 -82 (INTERIOR 715 BQ 2 )"/>
    <x v="4"/>
    <s v="017317004000820715"/>
    <s v="Sabaneta"/>
    <x v="2"/>
    <s v="Revisor Inst. Particulares Metrosur"/>
    <x v="1"/>
    <n v="7"/>
    <s v="2025-12-04 11:29:26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82"/>
    <s v="ENERES"/>
    <s v="NUEVO"/>
    <s v="ENERES"/>
    <s v="25/11/2025 11:29:26"/>
    <s v="2025-11-25 11:29:26"/>
    <n v="901335234"/>
    <s v="TERRAH SAS"/>
    <s v="3118500"/>
    <s v="3104706701"/>
    <s v="CL 77 SUR CR 34 -82 (INTERIOR 1112 BQ 2 )"/>
    <x v="4"/>
    <s v="017317004000821112"/>
    <s v="Sabaneta"/>
    <x v="2"/>
    <s v="Revisor Inst. Particulares Metrosur"/>
    <x v="1"/>
    <n v="7"/>
    <s v="2025-12-04 11:29:26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83"/>
    <s v="ENERES"/>
    <s v="NUEVO"/>
    <s v="ENERES"/>
    <s v="25/11/2025 11:29:28"/>
    <s v="2025-11-25 11:29:28"/>
    <n v="901335234"/>
    <s v="TERRAH SAS"/>
    <s v="3118500"/>
    <s v="3104706701"/>
    <s v="CL 77 SUR CR 34 -82 (INTERIOR 1009 BQ 2 )"/>
    <x v="4"/>
    <s v="017317004000821009"/>
    <s v="Sabaneta"/>
    <x v="2"/>
    <s v="Revisor Inst. Particulares Metrosur"/>
    <x v="1"/>
    <n v="7"/>
    <s v="2025-12-04 11:29:28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84"/>
    <s v="ENERES"/>
    <s v="NUEVO"/>
    <s v="ENERES"/>
    <s v="25/11/2025 11:29:29"/>
    <s v="2025-11-25 11:29:29"/>
    <n v="901335234"/>
    <s v="TERRAH SAS"/>
    <s v="3118500"/>
    <s v="3104706701"/>
    <s v="CL 77 SUR CR 34 -82 (INTERIOR 512 BQ 2 )"/>
    <x v="4"/>
    <s v="017317004000820512"/>
    <s v="Sabaneta"/>
    <x v="2"/>
    <s v="Revisor Inst. Particulares Metrosur"/>
    <x v="1"/>
    <n v="7"/>
    <s v="2025-12-04 11:29:29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85"/>
    <s v="ENERES"/>
    <s v="NUEVO"/>
    <s v="ENERES"/>
    <s v="25/11/2025 11:29:30"/>
    <s v="2025-11-25 11:29:30"/>
    <n v="901335234"/>
    <s v="TERRAH SAS"/>
    <s v="3118500"/>
    <s v="3104706701"/>
    <s v="CL 77 SUR CR 34 -82 (INTERIOR 1010 BQ 2 )"/>
    <x v="4"/>
    <s v="017317004000821010"/>
    <s v="Sabaneta"/>
    <x v="2"/>
    <s v="Revisor Inst. Particulares Metrosur"/>
    <x v="1"/>
    <n v="7"/>
    <s v="2025-12-04 11:29:30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86"/>
    <s v="ENERES"/>
    <s v="NUEVO"/>
    <s v="ENERES"/>
    <s v="25/11/2025 11:29:33"/>
    <s v="2025-11-25 11:29:33"/>
    <n v="901335234"/>
    <s v="TERRAH SAS"/>
    <s v="3118500"/>
    <s v="3104706701"/>
    <s v="CL 77 SUR CR 34 -82 (INTERIOR 1011 BQ 2 )"/>
    <x v="4"/>
    <s v="017317004000821011"/>
    <s v="Sabaneta"/>
    <x v="2"/>
    <s v="Revisor Inst. Particulares Metrosur"/>
    <x v="1"/>
    <n v="7"/>
    <s v="2025-12-04 11:29:33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87"/>
    <s v="ENERES"/>
    <s v="NUEVO"/>
    <s v="ENERES"/>
    <s v="25/11/2025 11:29:33"/>
    <s v="2025-11-25 11:29:33"/>
    <n v="901335234"/>
    <s v="TERRAH SAS"/>
    <s v="3118500"/>
    <s v="3104706701"/>
    <s v="CL 77 SUR CR 34 -82 (INTERIOR 1013 BQ 2 )"/>
    <x v="4"/>
    <s v="017317004000821013"/>
    <s v="Sabaneta"/>
    <x v="2"/>
    <s v="Revisor Inst. Particulares Metrosur"/>
    <x v="1"/>
    <n v="7"/>
    <s v="2025-12-04 11:29:33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88"/>
    <s v="ENERES"/>
    <s v="NUEVO"/>
    <s v="ENERES"/>
    <s v="25/11/2025 11:29:34"/>
    <s v="2025-11-25 11:29:34"/>
    <n v="901335234"/>
    <s v="TERRAH SAS"/>
    <s v="3118500"/>
    <s v="3104706701"/>
    <s v="CL 77 SUR CR 34 -82 (INTERIOR 2712 BQ 2 )"/>
    <x v="4"/>
    <s v="017317004000822712"/>
    <s v="Sabaneta"/>
    <x v="2"/>
    <s v="Revisor Inst. Particulares Metrosur"/>
    <x v="1"/>
    <n v="7"/>
    <s v="2025-12-04 11:29:34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89"/>
    <s v="ENERES"/>
    <s v="NUEVO"/>
    <s v="ENERES"/>
    <s v="25/11/2025 11:29:35"/>
    <s v="2025-11-25 11:29:35"/>
    <n v="901335234"/>
    <s v="TERRAH SAS"/>
    <s v="3118500"/>
    <s v="3104706701"/>
    <s v="CL 77 SUR CR 34 -82 (INTERIOR 1012 BQ 2 )"/>
    <x v="4"/>
    <s v="017317004000821012"/>
    <s v="Sabaneta"/>
    <x v="2"/>
    <s v="Revisor Inst. Particulares Metrosur"/>
    <x v="1"/>
    <n v="7"/>
    <s v="2025-12-04 11:29:35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90"/>
    <s v="ENERES"/>
    <s v="NUEVO"/>
    <s v="ENERES"/>
    <s v="25/11/2025 11:29:39"/>
    <s v="2025-11-25 11:29:39"/>
    <n v="901335234"/>
    <s v="TERRAH SAS"/>
    <s v="3118500"/>
    <s v="3104706701"/>
    <s v="CL 77 SUR CR 34 -82 (INTERIOR 714 BQ 2 )"/>
    <x v="4"/>
    <s v="017317004000820714"/>
    <s v="Sabaneta"/>
    <x v="2"/>
    <s v="Revisor Inst. Particulares Metrosur"/>
    <x v="1"/>
    <n v="7"/>
    <s v="2025-12-04 11:29:39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91"/>
    <s v="ENERES"/>
    <s v="NUEVO"/>
    <s v="ENERES"/>
    <s v="25/11/2025 11:29:39"/>
    <s v="2025-11-25 11:29:39"/>
    <n v="901335234"/>
    <s v="TERRAH SAS"/>
    <s v="3118500"/>
    <s v="3104706701"/>
    <s v="CL 77 SUR CR 34 -82 (INTERIOR 916 BQ 2 )"/>
    <x v="4"/>
    <s v="017317004000820916"/>
    <s v="Sabaneta"/>
    <x v="2"/>
    <s v="Revisor Inst. Particulares Metrosur"/>
    <x v="1"/>
    <n v="7"/>
    <s v="2025-12-04 11:29:39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92"/>
    <s v="ENERES"/>
    <s v="NUEVO"/>
    <s v="ENERES"/>
    <s v="25/11/2025 11:29:54"/>
    <s v="2025-11-25 11:29:54"/>
    <n v="901335234"/>
    <s v="TERRAH SAS"/>
    <s v="3118500"/>
    <s v="3104706701"/>
    <s v="CL 77 SUR CR 34 -82 (INTERIOR 1014 BQ 2 )"/>
    <x v="4"/>
    <s v="017317004000821014"/>
    <s v="Sabaneta"/>
    <x v="2"/>
    <s v="Revisor Inst. Particulares Metrosur"/>
    <x v="1"/>
    <n v="7"/>
    <s v="2025-12-04 11:29:54"/>
    <s v="4 días 11:29"/>
    <s v="3 días 11:29"/>
    <x v="0"/>
    <s v="SIN DATO"/>
    <s v="SIN DATO"/>
    <s v="SIN DATO"/>
    <s v="ABIERTO"/>
    <n v="-75.617241000000007"/>
    <n v="6.1404480000000001"/>
    <s v="SUR-ENE"/>
    <s v="Metropolitana Sur"/>
  </r>
  <r>
    <s v="23599193"/>
    <s v="ENERES"/>
    <s v="NUEVO"/>
    <s v="ENERES"/>
    <s v="25/11/2025 11:30:05"/>
    <s v="2025-11-25 11:30:05"/>
    <n v="901335234"/>
    <s v="TERRAH SAS"/>
    <s v="3118500"/>
    <s v="3104706701"/>
    <s v="CL 77 SUR CR 34 -82 (INTERIOR 1016 BQ 2 )"/>
    <x v="4"/>
    <s v="017317004000821016"/>
    <s v="Sabaneta"/>
    <x v="2"/>
    <s v="Revisor Inst. Particulares Metrosur"/>
    <x v="1"/>
    <n v="7"/>
    <s v="2025-12-04 11:30:05"/>
    <s v="4 días 11:30"/>
    <s v="3 días 11:30"/>
    <x v="0"/>
    <s v="SIN DATO"/>
    <s v="SIN DATO"/>
    <s v="SIN DATO"/>
    <s v="ABIERTO"/>
    <n v="-75.617241000000007"/>
    <n v="6.1404480000000001"/>
    <s v="SUR-ENE"/>
    <s v="Metropolitana Sur"/>
  </r>
  <r>
    <s v="23599194"/>
    <s v="ENERES"/>
    <s v="NUEVO"/>
    <s v="ENERES"/>
    <s v="25/11/2025 11:30:05"/>
    <s v="2025-11-25 11:30:05"/>
    <n v="901335234"/>
    <s v="TERRAH SAS"/>
    <s v="3118500"/>
    <s v="3104706701"/>
    <s v="CL 77 SUR CR 34 -82 (INTERIOR 1015 BQ 2 )"/>
    <x v="4"/>
    <s v="017317004000821015"/>
    <s v="Sabaneta"/>
    <x v="2"/>
    <s v="Revisor Inst. Particulares Metrosur"/>
    <x v="1"/>
    <n v="7"/>
    <s v="2025-12-04 11:30:05"/>
    <s v="4 días 11:30"/>
    <s v="3 días 11:30"/>
    <x v="0"/>
    <s v="SIN DATO"/>
    <s v="SIN DATO"/>
    <s v="SIN DATO"/>
    <s v="ABIERTO"/>
    <n v="-75.617241000000007"/>
    <n v="6.1404480000000001"/>
    <s v="SUR-ENE"/>
    <s v="Metropolitana Sur"/>
  </r>
  <r>
    <s v="23599195"/>
    <s v="ENERES"/>
    <s v="NUEVO"/>
    <s v="ENERES"/>
    <s v="25/11/2025 11:30:07"/>
    <s v="2025-11-25 11:30:07"/>
    <n v="901335234"/>
    <s v="TERRAH SAS"/>
    <s v="3118500"/>
    <s v="3104706701"/>
    <s v="CL 77 SUR CR 34 -82 (INTERIOR 515 BQ 2 )"/>
    <x v="4"/>
    <s v="017317004000820515"/>
    <s v="Sabaneta"/>
    <x v="2"/>
    <s v="Revisor Inst. Particulares Metrosur"/>
    <x v="1"/>
    <n v="7"/>
    <s v="2025-12-04 11:30:07"/>
    <s v="4 días 11:30"/>
    <s v="3 días 11:30"/>
    <x v="0"/>
    <s v="SIN DATO"/>
    <s v="SIN DATO"/>
    <s v="SIN DATO"/>
    <s v="ABIERTO"/>
    <n v="-75.617241000000007"/>
    <n v="6.1404480000000001"/>
    <s v="SUR-ENE"/>
    <s v="Metropolitana Sur"/>
  </r>
  <r>
    <s v="23599196"/>
    <s v="ENERES"/>
    <s v="NUEVO"/>
    <s v="ENERES"/>
    <s v="25/11/2025 11:30:07"/>
    <s v="2025-11-25 11:30:07"/>
    <n v="901335234"/>
    <s v="TERRAH SAS"/>
    <s v="3118500"/>
    <s v="3104706701"/>
    <s v="CL 77 SUR CR 34 -82 (INTERIOR 1310 BQ 2 )"/>
    <x v="4"/>
    <s v="017317004000821310"/>
    <s v="Sabaneta"/>
    <x v="2"/>
    <s v="Revisor Inst. Particulares Metrosur"/>
    <x v="1"/>
    <n v="7"/>
    <s v="2025-12-04 11:30:07"/>
    <s v="4 días 11:30"/>
    <s v="3 días 11:30"/>
    <x v="0"/>
    <s v="SIN DATO"/>
    <s v="SIN DATO"/>
    <s v="SIN DATO"/>
    <s v="ABIERTO"/>
    <n v="-75.617241000000007"/>
    <n v="6.1404480000000001"/>
    <s v="SUR-ENE"/>
    <s v="Metropolitana Sur"/>
  </r>
  <r>
    <s v="23599197"/>
    <s v="ENERES"/>
    <s v="NUEVO"/>
    <s v="ENERES"/>
    <s v="25/11/2025 11:30:07"/>
    <s v="2025-11-25 11:30:07"/>
    <n v="901335234"/>
    <s v="TERRAH SAS"/>
    <s v="3118500"/>
    <s v="3104706701"/>
    <s v="CL 77 SUR CR 34 -82 (INTERIOR 1311 BQ 2 )"/>
    <x v="4"/>
    <s v="017317004000821311"/>
    <s v="Sabaneta"/>
    <x v="2"/>
    <s v="Revisor Inst. Particulares Metrosur"/>
    <x v="1"/>
    <n v="7"/>
    <s v="2025-12-04 11:30:07"/>
    <s v="4 días 11:30"/>
    <s v="3 días 11:30"/>
    <x v="0"/>
    <s v="SIN DATO"/>
    <s v="SIN DATO"/>
    <s v="SIN DATO"/>
    <s v="ABIERTO"/>
    <n v="-75.617241000000007"/>
    <n v="6.1404480000000001"/>
    <s v="SUR-ENE"/>
    <s v="Metropolitana Sur"/>
  </r>
  <r>
    <s v="23599198"/>
    <s v="ENERES"/>
    <s v="NUEVO"/>
    <s v="ENERES"/>
    <s v="25/11/2025 11:30:08"/>
    <s v="2025-11-25 11:30:08"/>
    <n v="901335234"/>
    <s v="TERRAH SAS"/>
    <s v="3118500"/>
    <s v="3104706701"/>
    <s v="CL 77 SUR CR 34 -82 (INTERIOR 1313 BQ 2 )"/>
    <x v="4"/>
    <s v="017317004000821313"/>
    <s v="Sabaneta"/>
    <x v="2"/>
    <s v="Revisor Inst. Particulares Metrosur"/>
    <x v="1"/>
    <n v="7"/>
    <s v="2025-12-04 11:30:08"/>
    <s v="4 días 11:30"/>
    <s v="3 días 11:30"/>
    <x v="0"/>
    <s v="SIN DATO"/>
    <s v="SIN DATO"/>
    <s v="SIN DATO"/>
    <s v="ABIERTO"/>
    <n v="-75.617241000000007"/>
    <n v="6.1404480000000001"/>
    <s v="SUR-ENE"/>
    <s v="Metropolitana Sur"/>
  </r>
  <r>
    <s v="23599199"/>
    <s v="ENERES"/>
    <s v="NUEVO"/>
    <s v="ENERES"/>
    <s v="25/11/2025 11:30:08"/>
    <s v="2025-11-25 11:30:08"/>
    <n v="901335234"/>
    <s v="TERRAH SAS"/>
    <s v="3118500"/>
    <s v="3104706701"/>
    <s v="CL 77 SUR CR 34 -82 (INTERIOR 1315 BQ 2 )"/>
    <x v="4"/>
    <s v="017317004000821315"/>
    <s v="Sabaneta"/>
    <x v="2"/>
    <s v="Revisor Inst. Particulares Metrosur"/>
    <x v="1"/>
    <n v="7"/>
    <s v="2025-12-04 11:30:08"/>
    <s v="4 días 11:30"/>
    <s v="3 días 11:30"/>
    <x v="0"/>
    <s v="SIN DATO"/>
    <s v="SIN DATO"/>
    <s v="SIN DATO"/>
    <s v="ABIERTO"/>
    <n v="-75.617241000000007"/>
    <n v="6.1404480000000001"/>
    <s v="SUR-ENE"/>
    <s v="Metropolitana Sur"/>
  </r>
  <r>
    <s v="23599200"/>
    <s v="ENERES"/>
    <s v="NUEVO"/>
    <s v="ENERES"/>
    <s v="25/11/2025 11:30:12"/>
    <s v="2025-11-25 11:30:12"/>
    <n v="901335234"/>
    <s v="TERRAH SAS"/>
    <s v="3118500"/>
    <s v="3104706701"/>
    <s v="CL 77 SUR CR 34 -82 (INTERIOR 1410 BQ 2 )"/>
    <x v="4"/>
    <s v="017317004000821410"/>
    <s v="Sabaneta"/>
    <x v="2"/>
    <s v="Revisor Inst. Particulares Metrosur"/>
    <x v="1"/>
    <n v="7"/>
    <s v="2025-12-04 11:30:12"/>
    <s v="4 días 11:30"/>
    <s v="3 días 11:30"/>
    <x v="0"/>
    <s v="SIN DATO"/>
    <s v="SIN DATO"/>
    <s v="SIN DATO"/>
    <s v="ABIERTO"/>
    <n v="-75.617241000000007"/>
    <n v="6.1404480000000001"/>
    <s v="SUR-ENE"/>
    <s v="Metropolitana Sur"/>
  </r>
  <r>
    <s v="23599201"/>
    <s v="ENERES"/>
    <s v="NUEVO"/>
    <s v="ENERES"/>
    <s v="25/11/2025 11:30:13"/>
    <s v="2025-11-25 11:30:13"/>
    <n v="901335234"/>
    <s v="TERRAH SAS"/>
    <s v="3118500"/>
    <s v="3104706701"/>
    <s v="CL 77 SUR CR 34 -82 (INTERIOR 1316 BQ 2 )"/>
    <x v="4"/>
    <s v="017317004000821316"/>
    <s v="Sabaneta"/>
    <x v="2"/>
    <s v="Revisor Inst. Particulares Metrosur"/>
    <x v="1"/>
    <n v="7"/>
    <s v="2025-12-04 11:30:13"/>
    <s v="4 días 11:30"/>
    <s v="3 días 11:30"/>
    <x v="0"/>
    <s v="SIN DATO"/>
    <s v="SIN DATO"/>
    <s v="SIN DATO"/>
    <s v="ABIERTO"/>
    <n v="-75.617241000000007"/>
    <n v="6.1404480000000001"/>
    <s v="SUR-ENE"/>
    <s v="Metropolitana Sur"/>
  </r>
  <r>
    <s v="23599202"/>
    <s v="ENERES"/>
    <s v="NUEVO"/>
    <s v="ENERES"/>
    <s v="25/11/2025 11:30:13"/>
    <s v="2025-11-25 11:30:13"/>
    <n v="901335234"/>
    <s v="TERRAH SAS"/>
    <s v="3118500"/>
    <s v="3104706701"/>
    <s v="CL 77 SUR CR 34 -82 (INTERIOR 1411 BQ 2 )"/>
    <x v="4"/>
    <s v="017317004000821411"/>
    <s v="Sabaneta"/>
    <x v="2"/>
    <s v="Revisor Inst. Particulares Metrosur"/>
    <x v="1"/>
    <n v="7"/>
    <s v="2025-12-04 11:30:13"/>
    <s v="4 días 11:30"/>
    <s v="3 días 11:30"/>
    <x v="0"/>
    <s v="SIN DATO"/>
    <s v="SIN DATO"/>
    <s v="SIN DATO"/>
    <s v="ABIERTO"/>
    <n v="-75.617241000000007"/>
    <n v="6.1404480000000001"/>
    <s v="SUR-ENE"/>
    <s v="Metropolitana Sur"/>
  </r>
  <r>
    <s v="23599203"/>
    <s v="ENERES"/>
    <s v="NUEVO"/>
    <s v="ENERES"/>
    <s v="25/11/2025 11:30:13"/>
    <s v="2025-11-25 11:30:13"/>
    <n v="901335234"/>
    <s v="TERRAH SAS"/>
    <s v="3118500"/>
    <s v="3104706701"/>
    <s v="CL 77 SUR CR 34 -82 (INTERIOR 1312 BQ 2 )"/>
    <x v="4"/>
    <s v="017317004000821312"/>
    <s v="Sabaneta"/>
    <x v="2"/>
    <s v="Revisor Inst. Particulares Metrosur"/>
    <x v="1"/>
    <n v="7"/>
    <s v="2025-12-04 11:30:13"/>
    <s v="4 días 11:30"/>
    <s v="3 días 11:30"/>
    <x v="0"/>
    <s v="SIN DATO"/>
    <s v="SIN DATO"/>
    <s v="SIN DATO"/>
    <s v="ABIERTO"/>
    <n v="-75.617241000000007"/>
    <n v="6.1404480000000001"/>
    <s v="SUR-ENE"/>
    <s v="Metropolitana Sur"/>
  </r>
  <r>
    <s v="23599204"/>
    <s v="ENERES"/>
    <s v="NUEVO"/>
    <s v="ENERES"/>
    <s v="25/11/2025 11:30:13"/>
    <s v="2025-11-25 11:30:13"/>
    <n v="901335234"/>
    <s v="TERRAH SAS"/>
    <s v="3118500"/>
    <s v="3104706701"/>
    <s v="CL 77 SUR CR 34 -82 (INTERIOR 1612 BQ 2 )"/>
    <x v="4"/>
    <s v="017317004000821612"/>
    <s v="Sabaneta"/>
    <x v="2"/>
    <s v="Revisor Inst. Particulares Metrosur"/>
    <x v="1"/>
    <n v="7"/>
    <s v="2025-12-04 11:30:13"/>
    <s v="4 días 11:30"/>
    <s v="3 días 11:30"/>
    <x v="0"/>
    <s v="SIN DATO"/>
    <s v="SIN DATO"/>
    <s v="SIN DATO"/>
    <s v="ABIERTO"/>
    <n v="-75.617241000000007"/>
    <n v="6.1404480000000001"/>
    <s v="SUR-ENE"/>
    <s v="Metropolitana Sur"/>
  </r>
  <r>
    <s v="23599205"/>
    <s v="ENERES"/>
    <s v="NUEVO"/>
    <s v="ENERES"/>
    <s v="25/11/2025 11:30:14"/>
    <s v="2025-11-25 11:30:14"/>
    <n v="901335234"/>
    <s v="TERRAH SAS"/>
    <s v="3118500"/>
    <s v="3104706701"/>
    <s v="CL 77 SUR CR 34 -82 (INTERIOR 910 BQ 2 )"/>
    <x v="4"/>
    <s v="017317004000820910"/>
    <s v="Sabaneta"/>
    <x v="2"/>
    <s v="Revisor Inst. Particulares Metrosur"/>
    <x v="1"/>
    <n v="7"/>
    <s v="2025-12-04 11:30:14"/>
    <s v="4 días 11:30"/>
    <s v="3 días 11:30"/>
    <x v="0"/>
    <s v="SIN DATO"/>
    <s v="SIN DATO"/>
    <s v="SIN DATO"/>
    <s v="ABIERTO"/>
    <n v="-75.617241000000007"/>
    <n v="6.1404480000000001"/>
    <s v="SUR-ENE"/>
    <s v="Metropolitana Sur"/>
  </r>
  <r>
    <s v="23599206"/>
    <s v="ENERES"/>
    <s v="NUEVO"/>
    <s v="ENERES"/>
    <s v="25/11/2025 11:30:14"/>
    <s v="2025-11-25 11:30:14"/>
    <n v="901335234"/>
    <s v="TERRAH SAS"/>
    <s v="3118500"/>
    <s v="3104706701"/>
    <s v="CL 77 SUR CR 34 -82 (INTERIOR 1314 BQ 2 )"/>
    <x v="4"/>
    <s v="017317004000821314"/>
    <s v="Sabaneta"/>
    <x v="2"/>
    <s v="Revisor Inst. Particulares Metrosur"/>
    <x v="1"/>
    <n v="7"/>
    <s v="2025-12-04 11:30:14"/>
    <s v="4 días 11:30"/>
    <s v="3 días 11:30"/>
    <x v="0"/>
    <s v="SIN DATO"/>
    <s v="SIN DATO"/>
    <s v="SIN DATO"/>
    <s v="ABIERTO"/>
    <n v="-75.617241000000007"/>
    <n v="6.1404480000000001"/>
    <s v="SUR-ENE"/>
    <s v="Metropolitana Sur"/>
  </r>
  <r>
    <s v="23599207"/>
    <s v="ENERES"/>
    <s v="NUEVO"/>
    <s v="ENERES"/>
    <s v="25/11/2025 11:30:15"/>
    <s v="2025-11-25 11:30:15"/>
    <n v="901335234"/>
    <s v="TERRAH SAS"/>
    <s v="3118500"/>
    <s v="3104706701"/>
    <s v="CL 77 SUR CR 34 -82 (INTERIOR 1513 BQ 2 )"/>
    <x v="4"/>
    <s v="017317004000821513"/>
    <s v="Sabaneta"/>
    <x v="2"/>
    <s v="Revisor Inst. Particulares Metrosur"/>
    <x v="1"/>
    <n v="7"/>
    <s v="2025-12-04 11:30:15"/>
    <s v="4 días 11:30"/>
    <s v="3 días 11:30"/>
    <x v="0"/>
    <s v="SIN DATO"/>
    <s v="SIN DATO"/>
    <s v="SIN DATO"/>
    <s v="ABIERTO"/>
    <n v="-75.617241000000007"/>
    <n v="6.1404480000000001"/>
    <s v="SUR-ENE"/>
    <s v="Metropolitana Sur"/>
  </r>
  <r>
    <s v="23599208"/>
    <s v="ENERES"/>
    <s v="NUEVO"/>
    <s v="ENERES"/>
    <s v="25/11/2025 11:30:15"/>
    <s v="2025-11-25 11:30:15"/>
    <n v="901335234"/>
    <s v="TERRAH SAS"/>
    <s v="3118500"/>
    <s v="3104706701"/>
    <s v="CL 77 SUR CR 34 -82 (INTERIOR 1510 BQ 2 )"/>
    <x v="4"/>
    <s v="017317004000821510"/>
    <s v="Sabaneta"/>
    <x v="2"/>
    <s v="Revisor Inst. Particulares Metrosur"/>
    <x v="1"/>
    <n v="7"/>
    <s v="2025-12-04 11:30:15"/>
    <s v="4 días 11:30"/>
    <s v="3 días 11:30"/>
    <x v="0"/>
    <s v="SIN DATO"/>
    <s v="SIN DATO"/>
    <s v="SIN DATO"/>
    <s v="ABIERTO"/>
    <n v="-75.617241000000007"/>
    <n v="6.1404480000000001"/>
    <s v="SUR-ENE"/>
    <s v="Metropolitana Sur"/>
  </r>
  <r>
    <s v="23599209"/>
    <s v="ENERES"/>
    <s v="NUEVO"/>
    <s v="ENERES"/>
    <s v="25/11/2025 11:30:17"/>
    <s v="2025-11-25 11:30:17"/>
    <n v="901335234"/>
    <s v="TERRAH SAS"/>
    <s v="3118500"/>
    <s v="3104706701"/>
    <s v="CL 77 SUR CR 34 -82 (INTERIOR 1511 BQ 2 )"/>
    <x v="4"/>
    <s v="017317004000821511"/>
    <s v="Sabaneta"/>
    <x v="2"/>
    <s v="Revisor Inst. Particulares Metrosur"/>
    <x v="1"/>
    <n v="7"/>
    <s v="2025-12-04 11:30:17"/>
    <s v="4 días 11:30"/>
    <s v="3 días 11:30"/>
    <x v="0"/>
    <s v="SIN DATO"/>
    <s v="SIN DATO"/>
    <s v="SIN DATO"/>
    <s v="ABIERTO"/>
    <n v="-75.617241000000007"/>
    <n v="6.1404480000000001"/>
    <s v="SUR-ENE"/>
    <s v="Metropolitana Sur"/>
  </r>
  <r>
    <s v="23599210"/>
    <s v="ENERES"/>
    <s v="NUEVO"/>
    <s v="ENERES"/>
    <s v="25/11/2025 11:30:20"/>
    <s v="2025-11-25 11:30:20"/>
    <n v="901335234"/>
    <s v="TERRAH SAS"/>
    <s v="3118500"/>
    <s v="3104706701"/>
    <s v="CL 77 SUR CR 34 -82 (INTERIOR 1616 BQ 2 )"/>
    <x v="4"/>
    <s v="017317004000821616"/>
    <s v="Sabaneta"/>
    <x v="2"/>
    <s v="Revisor Inst. Particulares Metrosur"/>
    <x v="1"/>
    <n v="7"/>
    <s v="2025-12-04 11:30:20"/>
    <s v="4 días 11:30"/>
    <s v="3 días 11:30"/>
    <x v="0"/>
    <s v="SIN DATO"/>
    <s v="SIN DATO"/>
    <s v="SIN DATO"/>
    <s v="ABIERTO"/>
    <n v="-75.617241000000007"/>
    <n v="6.1404480000000001"/>
    <s v="SUR-ENE"/>
    <s v="Metropolitana Sur"/>
  </r>
  <r>
    <s v="23599211"/>
    <s v="ENERES"/>
    <s v="NUEVO"/>
    <s v="ENERES"/>
    <s v="25/11/2025 11:30:23"/>
    <s v="2025-11-25 11:30:23"/>
    <n v="901335234"/>
    <s v="TERRAH SAS"/>
    <s v="3118500"/>
    <s v="3104706701"/>
    <s v="CL 77 SUR CR 34 -82 (INTERIOR 1514 BQ 2 )"/>
    <x v="4"/>
    <s v="017317004000821514"/>
    <s v="Sabaneta"/>
    <x v="2"/>
    <s v="Revisor Inst. Particulares Metrosur"/>
    <x v="1"/>
    <n v="7"/>
    <s v="2025-12-04 11:30:23"/>
    <s v="4 días 11:30"/>
    <s v="3 días 11:30"/>
    <x v="0"/>
    <s v="SIN DATO"/>
    <s v="SIN DATO"/>
    <s v="SIN DATO"/>
    <s v="ABIERTO"/>
    <n v="-75.617241000000007"/>
    <n v="6.1404480000000001"/>
    <s v="SUR-ENE"/>
    <s v="Metropolitana Sur"/>
  </r>
  <r>
    <s v="23599212"/>
    <s v="ENERES"/>
    <s v="NUEVO"/>
    <s v="ENERES"/>
    <s v="25/11/2025 11:30:24"/>
    <s v="2025-11-25 11:30:24"/>
    <n v="901335234"/>
    <s v="TERRAH SAS"/>
    <s v="3118500"/>
    <s v="3104706701"/>
    <s v="CL 77 SUR CR 34 -82 (INTERIOR 1515 BQ 2 )"/>
    <x v="4"/>
    <s v="017317004000821515"/>
    <s v="Sabaneta"/>
    <x v="2"/>
    <s v="Revisor Inst. Particulares Metrosur"/>
    <x v="1"/>
    <n v="7"/>
    <s v="2025-12-04 11:30:24"/>
    <s v="4 días 11:30"/>
    <s v="3 días 11:30"/>
    <x v="0"/>
    <s v="SIN DATO"/>
    <s v="SIN DATO"/>
    <s v="SIN DATO"/>
    <s v="ABIERTO"/>
    <n v="-75.617241000000007"/>
    <n v="6.1404480000000001"/>
    <s v="SUR-ENE"/>
    <s v="Metropolitana Sur"/>
  </r>
  <r>
    <s v="23599213"/>
    <s v="ENERES"/>
    <s v="NUEVO"/>
    <s v="ENERES"/>
    <s v="25/11/2025 11:30:24"/>
    <s v="2025-11-25 11:30:24"/>
    <n v="901335234"/>
    <s v="TERRAH SAS"/>
    <s v="3118500"/>
    <s v="3104706701"/>
    <s v="CL 77 SUR CR 34 -82 (INTERIOR 609 BQ 2 )"/>
    <x v="4"/>
    <s v="017317004000820609"/>
    <s v="Sabaneta"/>
    <x v="2"/>
    <s v="Revisor Inst. Particulares Metrosur"/>
    <x v="1"/>
    <n v="7"/>
    <s v="2025-12-04 11:30:24"/>
    <s v="4 días 11:30"/>
    <s v="3 días 11:30"/>
    <x v="0"/>
    <s v="SIN DATO"/>
    <s v="SIN DATO"/>
    <s v="SIN DATO"/>
    <s v="ABIERTO"/>
    <n v="-75.617241000000007"/>
    <n v="6.1404480000000001"/>
    <s v="SUR-ENE"/>
    <s v="Metropolitana Sur"/>
  </r>
  <r>
    <s v="23599214"/>
    <s v="ENERES"/>
    <s v="NUEVO"/>
    <s v="ENERES"/>
    <s v="25/11/2025 11:30:25"/>
    <s v="2025-11-25 11:30:25"/>
    <n v="901335234"/>
    <s v="TERRAH SAS"/>
    <s v="3118500"/>
    <s v="3104706701"/>
    <s v="CL 77 SUR CR 34 -82 (INTERIOR 1610 BQ 2 )"/>
    <x v="4"/>
    <s v="017317004000821610"/>
    <s v="Sabaneta"/>
    <x v="2"/>
    <s v="Revisor Inst. Particulares Metrosur"/>
    <x v="1"/>
    <n v="7"/>
    <s v="2025-12-04 11:30:25"/>
    <s v="4 días 11:30"/>
    <s v="3 días 11:30"/>
    <x v="0"/>
    <s v="SIN DATO"/>
    <s v="SIN DATO"/>
    <s v="SIN DATO"/>
    <s v="ABIERTO"/>
    <n v="-75.617241000000007"/>
    <n v="6.1404480000000001"/>
    <s v="SUR-ENE"/>
    <s v="Metropolitana Sur"/>
  </r>
  <r>
    <s v="23599215"/>
    <s v="ENERES"/>
    <s v="NUEVO"/>
    <s v="ENERES"/>
    <s v="25/11/2025 11:30:26"/>
    <s v="2025-11-25 11:30:26"/>
    <n v="901335234"/>
    <s v="TERRAH SAS"/>
    <s v="3118500"/>
    <s v="3104706701"/>
    <s v="CL 77 SUR CR 34 -82 (INTERIOR 1516 BQ 2 )"/>
    <x v="4"/>
    <s v="017317004000821516"/>
    <s v="Sabaneta"/>
    <x v="2"/>
    <s v="Revisor Inst. Particulares Metrosur"/>
    <x v="1"/>
    <n v="7"/>
    <s v="2025-12-04 11:30:26"/>
    <s v="4 días 11:30"/>
    <s v="3 días 11:30"/>
    <x v="0"/>
    <s v="SIN DATO"/>
    <s v="SIN DATO"/>
    <s v="SIN DATO"/>
    <s v="ABIERTO"/>
    <n v="-75.617241000000007"/>
    <n v="6.1404480000000001"/>
    <s v="SUR-ENE"/>
    <s v="Metropolitana Sur"/>
  </r>
  <r>
    <s v="23599216"/>
    <s v="ENERES"/>
    <s v="NUEVO"/>
    <s v="ENERES"/>
    <s v="25/11/2025 11:30:26"/>
    <s v="2025-11-25 11:30:26"/>
    <n v="901335234"/>
    <s v="TERRAH SAS"/>
    <s v="3118500"/>
    <s v="3104706701"/>
    <s v="CL 77 SUR CR 34 -82 (INTERIOR 1512 BQ 2 )"/>
    <x v="4"/>
    <s v="017317004000821512"/>
    <s v="Sabaneta"/>
    <x v="2"/>
    <s v="Revisor Inst. Particulares Metrosur"/>
    <x v="1"/>
    <n v="7"/>
    <s v="2025-12-04 11:30:26"/>
    <s v="4 días 11:30"/>
    <s v="3 días 11:30"/>
    <x v="0"/>
    <s v="SIN DATO"/>
    <s v="SIN DATO"/>
    <s v="SIN DATO"/>
    <s v="ABIERTO"/>
    <n v="-75.617241000000007"/>
    <n v="6.1404480000000001"/>
    <s v="SUR-ENE"/>
    <s v="Metropolitana Sur"/>
  </r>
  <r>
    <s v="23599217"/>
    <s v="ENERES"/>
    <s v="NUEVO"/>
    <s v="ENERES"/>
    <s v="25/11/2025 11:30:26"/>
    <s v="2025-11-25 11:30:26"/>
    <n v="901335234"/>
    <s v="TERRAH SAS"/>
    <s v="3118500"/>
    <s v="3104706701"/>
    <s v="CL 77 SUR CR 34 -82 (INTERIOR 1609 BQ 2 )"/>
    <x v="4"/>
    <s v="017317004000821609"/>
    <s v="Sabaneta"/>
    <x v="2"/>
    <s v="Revisor Inst. Particulares Metrosur"/>
    <x v="1"/>
    <n v="7"/>
    <s v="2025-12-04 11:30:26"/>
    <s v="4 días 11:30"/>
    <s v="3 días 11:30"/>
    <x v="0"/>
    <s v="SIN DATO"/>
    <s v="SIN DATO"/>
    <s v="SIN DATO"/>
    <s v="ABIERTO"/>
    <n v="-75.617241000000007"/>
    <n v="6.1404480000000001"/>
    <s v="SUR-ENE"/>
    <s v="Metropolitana Sur"/>
  </r>
  <r>
    <s v="23599218"/>
    <s v="ENERES"/>
    <s v="NUEVO"/>
    <s v="ENERES"/>
    <s v="25/11/2025 11:30:27"/>
    <s v="2025-11-25 11:30:27"/>
    <n v="901335234"/>
    <s v="TERRAH SAS"/>
    <s v="3118500"/>
    <s v="3104706701"/>
    <s v="CL 77 SUR CR 34 -82 (INTERIOR 1711 BQ 2 )"/>
    <x v="4"/>
    <s v="017317004000821711"/>
    <s v="Sabaneta"/>
    <x v="2"/>
    <s v="Revisor Inst. Particulares Metrosur"/>
    <x v="1"/>
    <n v="7"/>
    <s v="2025-12-04 11:30:27"/>
    <s v="4 días 11:30"/>
    <s v="3 días 11:30"/>
    <x v="0"/>
    <s v="SIN DATO"/>
    <s v="SIN DATO"/>
    <s v="SIN DATO"/>
    <s v="ABIERTO"/>
    <n v="-75.617241000000007"/>
    <n v="6.1404480000000001"/>
    <s v="SUR-ENE"/>
    <s v="Metropolitana Sur"/>
  </r>
  <r>
    <s v="23599219"/>
    <s v="ENERES"/>
    <s v="NUEVO"/>
    <s v="ENERES"/>
    <s v="25/11/2025 11:30:27"/>
    <s v="2025-11-25 11:30:27"/>
    <n v="901335234"/>
    <s v="TERRAH SAS"/>
    <s v="3118500"/>
    <s v="3104706701"/>
    <s v="CL 77 SUR CR 34 -82 (INTERIOR 1611 BQ 2 )"/>
    <x v="4"/>
    <s v="017317004000821611"/>
    <s v="Sabaneta"/>
    <x v="2"/>
    <s v="Revisor Inst. Particulares Metrosur"/>
    <x v="1"/>
    <n v="7"/>
    <s v="2025-12-04 11:30:27"/>
    <s v="4 días 11:30"/>
    <s v="3 días 11:30"/>
    <x v="0"/>
    <s v="SIN DATO"/>
    <s v="SIN DATO"/>
    <s v="SIN DATO"/>
    <s v="ABIERTO"/>
    <n v="-75.617241000000007"/>
    <n v="6.1404480000000001"/>
    <s v="SUR-ENE"/>
    <s v="Metropolitana Sur"/>
  </r>
  <r>
    <s v="23599220"/>
    <s v="ENERES"/>
    <s v="NUEVO"/>
    <s v="ENERES"/>
    <s v="25/11/2025 11:30:27"/>
    <s v="2025-11-25 11:30:27"/>
    <n v="901335234"/>
    <s v="TERRAH SAS"/>
    <s v="3118500"/>
    <s v="3104706701"/>
    <s v="CL 77 SUR CR 34 -82 (INTERIOR 1710 BQ 2 )"/>
    <x v="4"/>
    <s v="017317004000821710"/>
    <s v="Sabaneta"/>
    <x v="2"/>
    <s v="Revisor Inst. Particulares Metrosur"/>
    <x v="1"/>
    <n v="7"/>
    <s v="2025-12-04 11:30:27"/>
    <s v="4 días 11:30"/>
    <s v="3 días 11:30"/>
    <x v="0"/>
    <s v="SIN DATO"/>
    <s v="SIN DATO"/>
    <s v="SIN DATO"/>
    <s v="ABIERTO"/>
    <n v="-75.617241000000007"/>
    <n v="6.1404480000000001"/>
    <s v="SUR-ENE"/>
    <s v="Metropolitana Sur"/>
  </r>
  <r>
    <s v="23599221"/>
    <s v="ENERES"/>
    <s v="NUEVO"/>
    <s v="ENERES"/>
    <s v="25/11/2025 11:30:27"/>
    <s v="2025-11-25 11:30:28"/>
    <n v="901335234"/>
    <s v="TERRAH SAS"/>
    <s v="3118500"/>
    <s v="3104706701"/>
    <s v="CL 77 SUR CR 34 -82 (INTERIOR 1709 BQ 2 )"/>
    <x v="4"/>
    <s v="017317004000821709"/>
    <s v="Sabaneta"/>
    <x v="2"/>
    <s v="Revisor Inst. Particulares Metrosur"/>
    <x v="1"/>
    <n v="7"/>
    <s v="2025-12-04 11:30:28"/>
    <s v="4 días 11:30"/>
    <s v="3 días 11:30"/>
    <x v="0"/>
    <s v="SIN DATO"/>
    <s v="SIN DATO"/>
    <s v="SIN DATO"/>
    <s v="ABIERTO"/>
    <n v="-75.617241000000007"/>
    <n v="6.1404480000000001"/>
    <s v="SUR-ENE"/>
    <s v="Metropolitana Sur"/>
  </r>
  <r>
    <s v="23599223"/>
    <s v="ENERES"/>
    <s v="NUEVO"/>
    <s v="ENERES"/>
    <s v="25/11/2025 11:30:52"/>
    <s v="2025-11-25 11:30:52"/>
    <n v="901335234"/>
    <s v="TERRAH SAS"/>
    <s v="3118500"/>
    <s v="3104706701"/>
    <s v="CL 77 SUR CR 34 -82 (INTERIOR 1911 BQ 2 )"/>
    <x v="4"/>
    <s v="017317004000821911"/>
    <s v="Sabaneta"/>
    <x v="2"/>
    <s v="Revisor Inst. Particulares Metrosur"/>
    <x v="1"/>
    <n v="7"/>
    <s v="2025-12-04 11:30:52"/>
    <s v="4 días 11:30"/>
    <s v="3 días 11:30"/>
    <x v="0"/>
    <s v="SIN DATO"/>
    <s v="SIN DATO"/>
    <s v="SIN DATO"/>
    <s v="ABIERTO"/>
    <n v="-75.617241000000007"/>
    <n v="6.1404480000000001"/>
    <s v="SUR-ENE"/>
    <s v="Metropolitana Sur"/>
  </r>
  <r>
    <s v="23599233"/>
    <s v="ENECNX"/>
    <s v="NUEVO"/>
    <s v="ENECNX"/>
    <s v="25/11/2025 11:37:39"/>
    <s v="2025-11-25 11:37:39"/>
    <n v="1036625073"/>
    <s v="JUAN DANIEL FUENTES RIVERA"/>
    <s v="SIN DATOS"/>
    <s v="3113077370"/>
    <s v="CL 75 A SUR CR 52 F -90 (INTERIOR 914 BQ 3 )"/>
    <x v="1"/>
    <s v="777515102600900914"/>
    <s v="Itaguí"/>
    <x v="3"/>
    <s v="Revisor Puntos de Conexión Metrosur"/>
    <x v="1"/>
    <n v="4"/>
    <s v="2025-12-01 11:37:39"/>
    <s v="4 días 11:37"/>
    <s v="VENCIDO"/>
    <x v="2"/>
    <s v="SIN DATO"/>
    <s v="SIN DATO"/>
    <s v="SIN DATO"/>
    <s v="ABIERTO"/>
    <n v="-75.632284999999996"/>
    <n v="6.1644569999999996"/>
    <s v="SUR-ENE"/>
    <s v="Metropolitana Sur"/>
  </r>
  <r>
    <s v="23599240"/>
    <s v="ENEPRE"/>
    <s v="NUEVO"/>
    <s v="ENEPRE"/>
    <s v="25/11/2025 11:41:58"/>
    <s v="2025-11-25 15:26:35"/>
    <n v="42872958"/>
    <s v="MARTA LIGIA GIL MONTOYA"/>
    <s v="6007820"/>
    <s v="3165501876"/>
    <s v="CR 47 F CL 79 SUR -37 (INTERIOR 8000 )"/>
    <x v="4"/>
    <s v="017427609000378000"/>
    <s v="Sabaneta"/>
    <x v="0"/>
    <s v="Energía Prepago Metrosur"/>
    <x v="1"/>
    <n v="5"/>
    <s v="2025-12-02 15:26:35"/>
    <s v="4 días 15:26"/>
    <s v="1 días 15:26"/>
    <x v="1"/>
    <s v="SIN DATO"/>
    <s v="SIN DATO"/>
    <s v="SIN DATO"/>
    <s v="ABIERTO"/>
    <n v="-75.627644000000004"/>
    <n v="6.1496510000000004"/>
    <s v="SUR-ENE"/>
    <s v="Metropolitana Sur"/>
  </r>
  <r>
    <s v="23599257"/>
    <s v="ENERES"/>
    <s v="NUEVO"/>
    <s v="ENEDOM"/>
    <s v="25/11/2025 11:52:54"/>
    <s v="2025-11-25 11:52:54"/>
    <n v="1040732793"/>
    <s v="DIANA MARCELA RAMIREZ MANCO"/>
    <s v="SIN DATOS"/>
    <s v="3116557889"/>
    <s v="CR 67 E CL 58 C -7 (INTERIOR 301 )"/>
    <x v="2"/>
    <s v="055627508300070301"/>
    <s v="Medellín"/>
    <x v="0"/>
    <s v="Habilitación Viviendas Metrosur"/>
    <x v="1"/>
    <n v="5"/>
    <s v="2025-12-02 11:52:54"/>
    <s v="4 días 11:52"/>
    <s v="1 días 11:52"/>
    <x v="1"/>
    <s v="SIN DATO"/>
    <s v="SIN DATO"/>
    <s v="SIN DATO"/>
    <s v="ABIERTO"/>
    <n v="-75.582945219999999"/>
    <n v="6.2608476900000003"/>
    <s v="SUR-ENE"/>
    <s v="Metropolitana Sur"/>
  </r>
  <r>
    <s v="23599261"/>
    <s v="ENERES"/>
    <s v="NUEVO"/>
    <s v="ENEDOM"/>
    <s v="25/11/2025 11:56:53"/>
    <s v="2025-11-25 11:56:53"/>
    <n v="1128476501"/>
    <s v="ISABEL CRISTINA ALVAREZ CASTRO"/>
    <s v="SIN DATOS"/>
    <s v="3013101459"/>
    <s v="CL 55 CR 109 -29"/>
    <x v="2"/>
    <s v="085015009000290000"/>
    <s v="Medellín"/>
    <x v="0"/>
    <s v="Habilitación Viviendas Metrosur"/>
    <x v="1"/>
    <n v="5"/>
    <s v="2025-12-02 11:56:53"/>
    <s v="4 días 11:56"/>
    <s v="1 días 11:56"/>
    <x v="1"/>
    <s v="SIN DATO"/>
    <s v="SIN DATO"/>
    <s v="SIN DATO"/>
    <s v="ABIERTO"/>
    <n v="-75.617339999999999"/>
    <n v="6.2705609999999998"/>
    <s v="SUR-ENE"/>
    <s v="Metropolitana Sur"/>
  </r>
  <r>
    <s v="23599278"/>
    <s v="ENEPRE"/>
    <s v="RETIR"/>
    <s v="ENEPRE"/>
    <s v="25/11/2025 12:07:15"/>
    <s v="2025-11-25 12:07:15"/>
    <n v="15255853"/>
    <s v="ISRAEL DE JESUS GRANADOS PEREZ"/>
    <s v="SIN DATOS"/>
    <s v="3104954546"/>
    <s v="RURAL_161021700000000000_RURAL CALDAS LA CHUSCALA"/>
    <x v="3"/>
    <s v="161021700000000000-ENEPRE"/>
    <s v="Caldas"/>
    <x v="8"/>
    <s v="Energía Prepago Metrosur"/>
    <x v="0"/>
    <n v="11"/>
    <s v="2025-12-11 12:07:15"/>
    <s v="4 días 12:07"/>
    <s v="7 días 12:07"/>
    <x v="0"/>
    <s v="SIN DATO"/>
    <s v="SIN DATO"/>
    <s v="SIN DATO"/>
    <s v="ABIERTO"/>
    <n v="-75.639612650000004"/>
    <n v="6.0829978200000001"/>
    <s v="SUR-ENE"/>
    <s v="Metropolitana Sur"/>
  </r>
  <r>
    <s v="23599279"/>
    <s v="ENECNX"/>
    <s v="NUEVO"/>
    <s v="ENECNX"/>
    <s v="25/11/2025 12:08:08"/>
    <s v="2025-11-25 12:08:08"/>
    <n v="890980093"/>
    <s v="MUNICIPIO DE ITAGUI"/>
    <s v="3737676"/>
    <s v="3162810102"/>
    <s v="CR 56 CL 78 -45"/>
    <x v="1"/>
    <s v="077526008000450000"/>
    <s v="Itaguí"/>
    <x v="3"/>
    <s v="Revisor Puntos de Conexión Metrosur"/>
    <x v="1"/>
    <n v="4"/>
    <s v="2025-12-01 12:08:08"/>
    <s v="4 días 12:08"/>
    <s v="0 días 12:08"/>
    <x v="3"/>
    <s v="SIN DATO"/>
    <s v="SIN DATO"/>
    <s v="SIN DATO"/>
    <s v="ABIERTO"/>
    <n v="-75.598935440000005"/>
    <n v="6.1903351999999998"/>
    <s v="SUR-ENE"/>
    <s v="Metropolitana Sur"/>
  </r>
  <r>
    <s v="23599282"/>
    <s v="ENERES"/>
    <s v="NUEVO"/>
    <s v="ENEDOM"/>
    <s v="25/11/2025 12:09:17"/>
    <s v="2025-11-25 12:09:17"/>
    <n v="43831080"/>
    <s v="LUZ MERY OSPINA PEREZ"/>
    <s v="3716011"/>
    <s v="SIN DATOS"/>
    <s v="RURAL_163018112000000301_163018112000000301ZULETA"/>
    <x v="1"/>
    <s v="163018112000000301"/>
    <s v="Itaguí"/>
    <x v="0"/>
    <s v="Habilitación Viviendas Metrosur"/>
    <x v="0"/>
    <n v="8"/>
    <s v="2025-12-05 12:09:17"/>
    <s v="4 días 12:09"/>
    <s v="4 días 12:09"/>
    <x v="0"/>
    <s v="SIN DATO"/>
    <s v="SIN DATO"/>
    <s v="SIN DATO"/>
    <s v="ABIERTO"/>
    <n v="-75.616522180000004"/>
    <n v="6.1761828400000001"/>
    <s v="SUR-ENE"/>
    <s v="Metropolitana Sur"/>
  </r>
  <r>
    <s v="23599294"/>
    <s v="ENECNX"/>
    <s v="NUEVO"/>
    <s v="ENECNX"/>
    <s v="25/11/2025 12:17:34"/>
    <s v="2025-11-25 12:17:34"/>
    <n v="71226174"/>
    <s v="JAIME LOPEZ CASTAÑEDA"/>
    <s v="SIN DATOS"/>
    <s v="3122278171"/>
    <s v="CR 73 A CL 30 B -72"/>
    <x v="2"/>
    <s v="053723100200720000"/>
    <s v="Medellín"/>
    <x v="3"/>
    <s v="Revisor Puntos de Conexión Metrosur"/>
    <x v="1"/>
    <n v="4"/>
    <s v="2025-12-01 12:17:34"/>
    <s v="4 días 12:17"/>
    <s v="0 días 12:17"/>
    <x v="3"/>
    <s v="SIN DATO"/>
    <s v="SIN DATO"/>
    <s v="SIN DATO"/>
    <s v="ABIERTO"/>
    <n v="-75.594222759999994"/>
    <n v="6.2334273400000004"/>
    <s v="SUR-ENE"/>
    <s v="Metropolitana Sur"/>
  </r>
  <r>
    <s v="23599299"/>
    <s v="ENECNX"/>
    <s v="NUEVO"/>
    <s v="ENECNX"/>
    <s v="25/11/2025 12:22:32"/>
    <s v="2025-11-25 12:22:32"/>
    <n v="71763028"/>
    <s v="JARINSON CAICEDO VALENCIA"/>
    <s v="2739524"/>
    <s v="3005035680"/>
    <s v="CL 2 CR 66 -77"/>
    <x v="2"/>
    <s v="050612006000770000"/>
    <s v="Medellín"/>
    <x v="3"/>
    <s v="Revisor Puntos de Conexión Metrosur"/>
    <x v="1"/>
    <n v="4"/>
    <s v="2025-12-01 12:22:32"/>
    <s v="4 días 12:22"/>
    <s v="0 días 12:22"/>
    <x v="3"/>
    <s v="SIN DATO"/>
    <s v="SIN DATO"/>
    <s v="SIN DATO"/>
    <s v="ABIERTO"/>
    <n v="-75.589479909999994"/>
    <n v="6.2111045899999997"/>
    <s v="SUR-ENE"/>
    <s v="Metropolitana Sur"/>
  </r>
  <r>
    <s v="23599313"/>
    <s v="ENEMRT"/>
    <s v="NUEVO"/>
    <s v="ENEMVI"/>
    <s v="25/11/2025 12:46:18"/>
    <s v="2025-11-25 12:46:18"/>
    <n v="43076028"/>
    <s v="MARIA DORIS GIL LOPEZ"/>
    <s v="3885126"/>
    <s v="3005187420"/>
    <s v="CL 52 CR 17 -10 (INTERIOR 201 )"/>
    <x v="2"/>
    <s v="055112007000100201"/>
    <s v="Medellín"/>
    <x v="11"/>
    <s v="METR Mov Red Trans Anderson Castaño"/>
    <x v="1"/>
    <n v="9"/>
    <s v="2025-12-09 12:46:18"/>
    <s v="4 días 12:46"/>
    <s v="5 días 12:46"/>
    <x v="0"/>
    <s v="SIN DATO"/>
    <s v="SIN DATO"/>
    <s v="SIN DATO"/>
    <s v="ABIERTO"/>
    <n v="-75.542018999999996"/>
    <n v="6.2369810000000001"/>
    <s v="SUR-ENE"/>
    <s v="Metropolitana Sur"/>
  </r>
  <r>
    <s v="23599337"/>
    <s v="ENENOR"/>
    <s v="NUEVO"/>
    <s v="ENENOR"/>
    <s v="25/11/2025 13:14:17"/>
    <s v="2025-11-25 13:14:17"/>
    <n v="800005154"/>
    <s v="VALLAS Y AVISOS S.A."/>
    <s v="SIN DATOS"/>
    <s v="3006753557"/>
    <s v="CR 43 CL 50 -49 (INTERIOR 6000 )"/>
    <x v="1"/>
    <s v="075423000000496000"/>
    <s v="Itaguí"/>
    <x v="4"/>
    <s v="Revisor Inst. Particulares Metrosur"/>
    <x v="1"/>
    <n v="7"/>
    <s v="2025-12-04 13:14:17"/>
    <s v="4 días 13:14"/>
    <s v="3 días 13:14"/>
    <x v="0"/>
    <s v="SIN DATO"/>
    <s v="SIN DATO"/>
    <s v="SIN DATO"/>
    <s v="ABIERTO"/>
    <n v="-75.60747284"/>
    <n v="6.1679020400000004"/>
    <s v="SUR-ENE"/>
    <s v="Metropolitana Sur"/>
  </r>
  <r>
    <s v="23599355"/>
    <s v="ENERES"/>
    <s v="NUEVO"/>
    <s v="ENERES"/>
    <s v="25/11/2025 13:34:43"/>
    <s v="2025-11-25 13:34:43"/>
    <n v="1128417191"/>
    <s v="WILMAR JHOAN YEPEZ MONSALVE"/>
    <s v="SIN DATOS"/>
    <s v="3104212705"/>
    <s v="CL 39 DA CR 117 -48 (INTERIOR 101 )"/>
    <x v="2"/>
    <s v="083119417000480101"/>
    <s v="Medellín"/>
    <x v="2"/>
    <s v="Revisor Instal. Regadas Metrosur"/>
    <x v="1"/>
    <n v="7"/>
    <s v="2025-12-04 13:34:43"/>
    <s v="4 días 13:34"/>
    <s v="3 días 13:34"/>
    <x v="0"/>
    <s v="SIN DATO"/>
    <s v="SIN DATO"/>
    <s v="SIN DATO"/>
    <s v="ABIERTO"/>
    <n v="-75.627530050000004"/>
    <n v="6.2538077000000003"/>
    <s v="SUR-ENE"/>
    <s v="Metropolitana Sur"/>
  </r>
  <r>
    <s v="23599368"/>
    <s v="ENERES"/>
    <s v="NUEVO"/>
    <s v="ENERES"/>
    <s v="25/11/2025 13:44:53"/>
    <s v="2025-11-25 13:44:53"/>
    <n v="1152711899"/>
    <s v="CARLOS ANDRES VARELA LOPEZ"/>
    <s v="SIN DATOS"/>
    <s v="3502406996"/>
    <s v="CL 59 CR 24 -72 (INTERIOR 301 )"/>
    <x v="2"/>
    <s v="055219004000720301"/>
    <s v="Medellín"/>
    <x v="2"/>
    <s v="Revisor Instal. Regadas Metrosur"/>
    <x v="1"/>
    <n v="7"/>
    <s v="2025-12-04 13:44:53"/>
    <s v="4 días 13:44"/>
    <s v="3 días 13:44"/>
    <x v="0"/>
    <s v="SIN DATO"/>
    <s v="SIN DATO"/>
    <s v="SIN DATO"/>
    <s v="ABIERTO"/>
    <n v="-75.547099470000006"/>
    <n v="6.2512351300000004"/>
    <s v="SUR-ENE"/>
    <s v="Metropolitana Sur"/>
  </r>
  <r>
    <s v="23599375"/>
    <s v="ENERES"/>
    <s v="NUEVO"/>
    <s v="ENERES"/>
    <s v="25/11/2025 13:50:09"/>
    <s v="2025-11-25 13:50:09"/>
    <n v="901335234"/>
    <s v="TERRAH SAS"/>
    <s v="3118500"/>
    <s v="3104706701"/>
    <s v="CL 77 SUR CR 34 -82 (INTERIOR 1614 BQ 2 )"/>
    <x v="4"/>
    <s v="017317004000821614"/>
    <s v="Sabaneta"/>
    <x v="2"/>
    <s v="Revisor Inst. Particulares Metrosur"/>
    <x v="1"/>
    <n v="7"/>
    <s v="2025-12-04 13:50:09"/>
    <s v="4 días 13:50"/>
    <s v="3 días 13:50"/>
    <x v="0"/>
    <s v="SIN DATO"/>
    <s v="SIN DATO"/>
    <s v="SIN DATO"/>
    <s v="ABIERTO"/>
    <n v="-75.617241000000007"/>
    <n v="6.1404480000000001"/>
    <s v="SUR-ENE"/>
    <s v="Metropolitana Sur"/>
  </r>
  <r>
    <s v="23599377"/>
    <s v="ENERES"/>
    <s v="NUEVO"/>
    <s v="ENERES"/>
    <s v="25/11/2025 13:50:16"/>
    <s v="2025-11-25 13:50:16"/>
    <n v="901335234"/>
    <s v="TERRAH SAS"/>
    <s v="3118500"/>
    <s v="3104706701"/>
    <s v="CL 77 SUR CR 34 -82 (INTERIOR 1409 BQ 2 )"/>
    <x v="4"/>
    <s v="017317004000821409"/>
    <s v="Sabaneta"/>
    <x v="2"/>
    <s v="Revisor Inst. Particulares Metrosur"/>
    <x v="1"/>
    <n v="7"/>
    <s v="2025-12-04 13:50:16"/>
    <s v="4 días 13:50"/>
    <s v="3 días 13:50"/>
    <x v="0"/>
    <s v="SIN DATO"/>
    <s v="SIN DATO"/>
    <s v="SIN DATO"/>
    <s v="ABIERTO"/>
    <n v="-75.617241000000007"/>
    <n v="6.1404480000000001"/>
    <s v="SUR-ENE"/>
    <s v="Metropolitana Sur"/>
  </r>
  <r>
    <s v="23599378"/>
    <s v="ENERES"/>
    <s v="NUEVO"/>
    <s v="ENERES"/>
    <s v="25/11/2025 13:50:25"/>
    <s v="2025-11-25 13:50:25"/>
    <n v="901335234"/>
    <s v="TERRAH SAS"/>
    <s v="3118500"/>
    <s v="3104706701"/>
    <s v="CL 77 SUR CR 34 -82 (INTERIOR 510 BQ 2 )"/>
    <x v="4"/>
    <s v="017317004000820510"/>
    <s v="Sabaneta"/>
    <x v="2"/>
    <s v="Revisor Inst. Particulares Metrosur"/>
    <x v="1"/>
    <n v="7"/>
    <s v="2025-12-04 13:50:25"/>
    <s v="4 días 13:50"/>
    <s v="3 días 13:50"/>
    <x v="0"/>
    <s v="SIN DATO"/>
    <s v="SIN DATO"/>
    <s v="SIN DATO"/>
    <s v="ABIERTO"/>
    <n v="-75.617241000000007"/>
    <n v="6.1404480000000001"/>
    <s v="SUR-ENE"/>
    <s v="Metropolitana Sur"/>
  </r>
  <r>
    <s v="23599379"/>
    <s v="ENERES"/>
    <s v="NUEVO"/>
    <s v="ENERES"/>
    <s v="25/11/2025 13:50:30"/>
    <s v="2025-11-25 13:50:30"/>
    <n v="901335234"/>
    <s v="TERRAH SAS"/>
    <s v="3118500"/>
    <s v="3104706701"/>
    <s v="CL 77 SUR CR 34 -82 (INTERIOR 814 BQ 2 )"/>
    <x v="4"/>
    <s v="017317004000820814"/>
    <s v="Sabaneta"/>
    <x v="2"/>
    <s v="Revisor Inst. Particulares Metrosur"/>
    <x v="1"/>
    <n v="7"/>
    <s v="2025-12-04 13:50:30"/>
    <s v="4 días 13:50"/>
    <s v="3 días 13:50"/>
    <x v="0"/>
    <s v="SIN DATO"/>
    <s v="SIN DATO"/>
    <s v="SIN DATO"/>
    <s v="ABIERTO"/>
    <n v="-75.617241000000007"/>
    <n v="6.1404480000000001"/>
    <s v="SUR-ENE"/>
    <s v="Metropolitana Sur"/>
  </r>
  <r>
    <s v="23599392"/>
    <s v="ENERES"/>
    <s v="NUEVO"/>
    <s v="ENEDOM"/>
    <s v="25/11/2025 14:01:25"/>
    <s v="2025-11-25 14:01:25"/>
    <n v="1017263135"/>
    <s v="CAROLINA VELEZ PETRO"/>
    <s v="2111111"/>
    <s v="3116022081"/>
    <s v="CR 25 AA CL 56 EE -21 (INTERIOR 402 )"/>
    <x v="2"/>
    <s v="055225116550210402"/>
    <s v="Medellín"/>
    <x v="0"/>
    <s v="Habilitación Viviendas Metrosur"/>
    <x v="1"/>
    <n v="5"/>
    <s v="2025-12-02 14:01:25"/>
    <s v="4 días 14:01"/>
    <s v="1 días 14:01"/>
    <x v="1"/>
    <s v="SIN DATO"/>
    <s v="SIN DATO"/>
    <s v="SIN DATO"/>
    <s v="ABIERTO"/>
    <n v="-75.543626810000006"/>
    <n v="6.2462299100000003"/>
    <s v="SUR-ENE"/>
    <s v="Metropolitana Sur"/>
  </r>
  <r>
    <s v="23599395"/>
    <s v="ENERES"/>
    <s v="NUEVO"/>
    <s v="ENEDOM"/>
    <s v="25/11/2025 14:03:22"/>
    <s v="2025-11-25 14:03:22"/>
    <n v="1000406120"/>
    <s v="MARIANA CORREA HURTADO"/>
    <s v="SIN DATOS"/>
    <s v="3105090796"/>
    <s v="RURAL_190130200689750004"/>
    <x v="3"/>
    <s v="190130200689750004"/>
    <s v="Caldas"/>
    <x v="0"/>
    <s v="MET Rev-Inst-Concentra E_CR014"/>
    <x v="0"/>
    <n v="8"/>
    <s v="2025-12-05 14:03:22"/>
    <s v="4 días 14:03"/>
    <s v="4 días 14:03"/>
    <x v="0"/>
    <s v="SIN DATO"/>
    <s v="SIN DATO"/>
    <s v="SIN DATO"/>
    <s v="ABIERTO"/>
    <n v="-75.658924339999999"/>
    <n v="6.0555707600000002"/>
    <s v="SUR-ENE"/>
    <s v="Metropolitana Sur"/>
  </r>
  <r>
    <s v="23599399"/>
    <s v="ENECNX"/>
    <s v="NUEVO"/>
    <s v="ENECNX"/>
    <s v="25/11/2025 14:04:54"/>
    <s v="2025-11-25 14:04:54"/>
    <n v="43565537"/>
    <s v="MARIA ELENA JARAMILLO"/>
    <s v="4516821"/>
    <s v="3217821275"/>
    <s v="RURAL_147026500000000000_LA CUCHILLA"/>
    <x v="2"/>
    <s v="147026500000000000"/>
    <s v="Medellín"/>
    <x v="3"/>
    <s v="Revisor Puntos de Conexión Metrosur"/>
    <x v="0"/>
    <n v="4"/>
    <s v="2025-12-01 14:04:54"/>
    <s v="4 días 14:04"/>
    <s v="0 días 14:04"/>
    <x v="3"/>
    <s v="SIN DATO"/>
    <s v="SIN DATO"/>
    <s v="SIN DATO"/>
    <s v="ABIERTO"/>
    <n v="-75.655484999999999"/>
    <n v="6.2949299999999999"/>
    <s v="SUR-ENE"/>
    <s v="Metropolitana Sur"/>
  </r>
  <r>
    <s v="23599515"/>
    <s v="ENERES"/>
    <s v="NUEVO"/>
    <s v="ENEDOM"/>
    <s v="28/11/2025 07:13:24"/>
    <s v="2025-11-28 07:13:24"/>
    <n v="71366129"/>
    <s v="YURLEY MARIN CANO"/>
    <s v="SIN DATOS"/>
    <s v="3006305592"/>
    <s v="CL 65 CR 137 -29 (INTERIOR 101 )"/>
    <x v="2"/>
    <s v="086315007000290101"/>
    <s v="Medellín"/>
    <x v="7"/>
    <s v="Habilitación Viviendas Metrosur"/>
    <x v="1"/>
    <n v="5"/>
    <s v="2025-12-05 07:13:24"/>
    <s v="1 días 07:13"/>
    <s v="4 días 07:13"/>
    <x v="0"/>
    <s v="SIN DATO"/>
    <s v="SIN DATO"/>
    <s v="SIN DATO"/>
    <s v="ABIERTO"/>
    <n v="-75.639812000000006"/>
    <n v="6.2812109999999999"/>
    <s v="SUR-ENE"/>
    <s v="Metropolitana Sur"/>
  </r>
  <r>
    <s v="23599601"/>
    <s v="ENENOR"/>
    <s v="NUEVO"/>
    <s v="ENENOR"/>
    <s v="25/11/2025 14:16:34"/>
    <s v="2025-11-25 14:16:34"/>
    <n v="70506784"/>
    <s v="GABRIEL ANTONIO ARANGO SIERRA"/>
    <s v="3615295"/>
    <s v="3007895971"/>
    <s v="CL 13 SUR CR 55 -187"/>
    <x v="1"/>
    <s v="771513005001870000"/>
    <s v="Itaguí"/>
    <x v="4"/>
    <s v="Revisor Instal. Regadas Metrosur"/>
    <x v="1"/>
    <n v="7"/>
    <s v="2025-12-04 14:16:34"/>
    <s v="4 días 14:16"/>
    <s v="3 días 14:16"/>
    <x v="0"/>
    <s v="SIN DATO"/>
    <s v="SIN DATO"/>
    <s v="SIN DATO"/>
    <s v="ABIERTO"/>
    <n v="-75.596042679999996"/>
    <n v="6.1980360399999999"/>
    <s v="SUR-ENE"/>
    <s v="Metropolitana Sur"/>
  </r>
  <r>
    <s v="23599602"/>
    <s v="ENEMRT"/>
    <s v="NUEVO"/>
    <s v="ENEMVI"/>
    <s v="25/11/2025 14:16:56"/>
    <s v="2025-11-25 14:16:56"/>
    <n v="22139658"/>
    <s v="MARIA EUGENIA FLOREZ DE VELEZ"/>
    <s v="2682211"/>
    <s v="3145147984"/>
    <s v="TRAN 12 A CR 32 -116"/>
    <x v="2"/>
    <s v="051312102001160000"/>
    <s v="Medellín"/>
    <x v="11"/>
    <s v="METR Mov Red Trans Anderson Castaño"/>
    <x v="1"/>
    <n v="9"/>
    <s v="2025-12-09 14:16:56"/>
    <s v="4 días 14:16"/>
    <s v="5 días 14:16"/>
    <x v="0"/>
    <s v="SIN DATO"/>
    <s v="SIN DATO"/>
    <s v="SIN DATO"/>
    <s v="ABIERTO"/>
    <n v="-75.563579369999999"/>
    <n v="6.2131245499999999"/>
    <s v="SUR-ENE"/>
    <s v="Metropolitana Sur"/>
  </r>
  <r>
    <s v="23599660"/>
    <s v="ENEPRE"/>
    <s v="RETIR"/>
    <s v="ENEPRE"/>
    <s v="25/11/2025 14:27:50"/>
    <s v="2025-11-25 14:27:50"/>
    <n v="5266651"/>
    <s v="JOHANA MILEYDI RIVERO MARTINEZ"/>
    <s v="4821020"/>
    <s v="3176276890"/>
    <s v="CR 22 B CL 59 B -40 (INTERIOR 9902 )"/>
    <x v="2"/>
    <s v="055222209200409902-ENEPRE"/>
    <s v="Medellín"/>
    <x v="8"/>
    <s v="Energía Prepago Metrosur"/>
    <x v="1"/>
    <n v="11"/>
    <s v="2025-12-11 14:27:50"/>
    <s v="4 días 14:27"/>
    <s v="7 días 14:27"/>
    <x v="0"/>
    <s v="SIN DATO"/>
    <s v="SIN DATO"/>
    <s v="SIN DATO"/>
    <s v="ABIERTO"/>
    <n v="-75.545347910000004"/>
    <n v="6.2527073099999999"/>
    <s v="SUR-ENE"/>
    <s v="Metropolitana Sur"/>
  </r>
  <r>
    <s v="23599692"/>
    <s v="ENECNX"/>
    <s v="NUEVO"/>
    <s v="ENECNX"/>
    <s v="25/11/2025 14:43:24"/>
    <s v="2025-11-25 14:43:24"/>
    <n v="1214733995"/>
    <s v="DANIEL OCHOA RODRIGUEZ"/>
    <s v="4639061"/>
    <s v="3217921505"/>
    <s v="RURAL_122016986400000000_122016986400000000"/>
    <x v="2"/>
    <s v="122016986400000000"/>
    <s v="Medellín"/>
    <x v="3"/>
    <s v="Revisor Puntos de Conexión Metrosur"/>
    <x v="0"/>
    <n v="4"/>
    <s v="2025-12-01 14:43:24"/>
    <s v="4 días 14:43"/>
    <s v="0 días 14:43"/>
    <x v="3"/>
    <s v="SIN DATO"/>
    <s v="SIN DATO"/>
    <s v="SIN DATO"/>
    <s v="ABIERTO"/>
    <n v="-75.496980460000003"/>
    <n v="6.2441511700000003"/>
    <s v="SUR-ENE"/>
    <s v="Metropolitana Sur"/>
  </r>
  <r>
    <s v="23599696"/>
    <s v="ENERES"/>
    <s v="NUEVO"/>
    <s v="ENERES"/>
    <s v="25/11/2025 14:46:10"/>
    <s v="2025-11-25 14:46:10"/>
    <n v="43990703"/>
    <s v="LUZ MARLENIS GRACIANO DAVID"/>
    <s v="SIN DATOS"/>
    <s v="3148799321"/>
    <s v="CR 20 BA CL 56 B -25 (INTERIOR 501 )"/>
    <x v="2"/>
    <s v="055220216200250501"/>
    <s v="Medellín"/>
    <x v="2"/>
    <s v="Revisor Instal. Regadas Metrosur"/>
    <x v="1"/>
    <n v="7"/>
    <s v="2025-12-04 14:46:10"/>
    <s v="4 días 14:46"/>
    <s v="3 días 14:46"/>
    <x v="0"/>
    <s v="SIN DATO"/>
    <s v="SIN DATO"/>
    <s v="SIN DATO"/>
    <s v="ABIERTO"/>
    <n v="-75.542282"/>
    <n v="6.2410439999999996"/>
    <s v="SUR-ENE"/>
    <s v="Metropolitana Sur"/>
  </r>
  <r>
    <s v="23599700"/>
    <s v="ENEMRT"/>
    <s v="NUEVO"/>
    <s v="ENEMVI"/>
    <s v="25/11/2025 14:48:59"/>
    <s v="2025-11-25 14:48:59"/>
    <n v="35423609"/>
    <s v="ALEXANDRA TELLEZ ALONSO"/>
    <s v="SIN DATOS"/>
    <s v="3116202500"/>
    <s v="CR 2 A CL 53 B -26 (INTERIOR 202 )"/>
    <x v="2"/>
    <s v="055022103200260202"/>
    <s v="Medellín"/>
    <x v="11"/>
    <s v="METR Mov Red Trans Anderson Castaño"/>
    <x v="1"/>
    <n v="9"/>
    <s v="2025-12-09 14:48:59"/>
    <s v="4 días 14:48"/>
    <s v="5 días 14:48"/>
    <x v="0"/>
    <s v="SIN DATO"/>
    <s v="SIN DATO"/>
    <s v="SIN DATO"/>
    <s v="ABIERTO"/>
    <n v="-75.530970019999998"/>
    <n v="6.2316700000000003"/>
    <s v="SUR-ENE"/>
    <s v="Metropolitana Sur"/>
  </r>
  <r>
    <s v="23599758"/>
    <s v="ENEMRT"/>
    <s v="NUEVO"/>
    <s v="ENEMVI"/>
    <s v="25/11/2025 15:24:09"/>
    <s v="2025-11-25 15:24:09"/>
    <n v="1017126146"/>
    <s v="LILIANA PIMIENTA PALACIO"/>
    <s v="SIN DATOS"/>
    <s v="3016998519"/>
    <s v="CR 5 CL 55 F -29 (INTERIOR 201 )"/>
    <x v="2"/>
    <s v="055025005600290201"/>
    <s v="Medellín"/>
    <x v="11"/>
    <s v="METR Mov Red Trans Anderson Castaño"/>
    <x v="1"/>
    <n v="9"/>
    <s v="2025-12-09 15:24:09"/>
    <s v="4 días 15:24"/>
    <s v="5 días 15:24"/>
    <x v="0"/>
    <s v="SIN DATO"/>
    <s v="SIN DATO"/>
    <s v="SIN DATO"/>
    <s v="ABIERTO"/>
    <n v="-75.530350010000006"/>
    <n v="6.23641998"/>
    <s v="SUR-ENE"/>
    <s v="Metropolitana Sur"/>
  </r>
  <r>
    <s v="23599798"/>
    <s v="ENECNX"/>
    <s v="NUEVO"/>
    <s v="ENECNX"/>
    <s v="25/11/2025 15:52:33"/>
    <s v="2025-11-25 15:52:33"/>
    <n v="1128430438"/>
    <s v="ANDRES FELIPE ZULUAGA HINCAPIE"/>
    <s v="SIN DATOS"/>
    <s v="3162974117"/>
    <s v="CR 9 CL 2 -10"/>
    <x v="2"/>
    <s v="050029002000100000"/>
    <s v="Medellín"/>
    <x v="3"/>
    <s v="Revisor Puntos de Conexión Metrosur"/>
    <x v="1"/>
    <n v="4"/>
    <s v="2025-12-01 15:52:33"/>
    <s v="4 días 15:52"/>
    <s v="0 días 15:52"/>
    <x v="3"/>
    <s v="SIN DATO"/>
    <s v="SIN DATO"/>
    <s v="SIN DATO"/>
    <s v="ABIERTO"/>
    <n v="-75.610884501000001"/>
    <n v="6.2574398200000596"/>
    <s v="SUR-ENE"/>
    <s v="Metropolitana Sur"/>
  </r>
  <r>
    <s v="23599799"/>
    <s v="ENECNX"/>
    <s v="NUEVO"/>
    <s v="ENECNX"/>
    <s v="25/11/2025 15:52:25"/>
    <s v="2025-11-25 15:52:25"/>
    <n v="70551884"/>
    <s v="RAMIRO ANDRES RESTREPO TAMAYO"/>
    <s v="2749117"/>
    <s v="3104627849"/>
    <s v="RURAL_161072500000000081_161072500000000081"/>
    <x v="3"/>
    <s v="161072500000000081"/>
    <s v="Caldas"/>
    <x v="3"/>
    <s v="Revisor Puntos de Conexión Metrosur"/>
    <x v="0"/>
    <n v="4"/>
    <s v="2025-12-01 15:52:25"/>
    <s v="4 días 15:52"/>
    <s v="0 días 15:52"/>
    <x v="3"/>
    <s v="SIN DATO"/>
    <s v="SIN DATO"/>
    <s v="SIN DATO"/>
    <s v="ABIERTO"/>
    <n v="-75.639791000000002"/>
    <n v="6.0579510000000001"/>
    <s v="SUR-ENE"/>
    <s v="Metropolitana Sur"/>
  </r>
  <r>
    <s v="23599802"/>
    <s v="ENEPRE"/>
    <s v="NUEVO"/>
    <s v="ENEPRE"/>
    <s v="25/11/2025 15:53:51"/>
    <s v="2025-11-25 15:53:51"/>
    <n v="15486530"/>
    <s v="GILDARDO MONTOYA VARGAS"/>
    <s v="SIN DATOS"/>
    <s v="3214969930"/>
    <s v="CR 85 D CL 57 A -18 (INTERIOR 9505 )"/>
    <x v="2"/>
    <s v="055825407100189505"/>
    <s v="Medellín"/>
    <x v="6"/>
    <s v="Energía Prepago Metrosur"/>
    <x v="1"/>
    <n v="11"/>
    <s v="2025-12-11 15:53:51"/>
    <s v="4 días 15:53"/>
    <s v="7 días 15:53"/>
    <x v="0"/>
    <s v="SIN DATO"/>
    <s v="SIN DATO"/>
    <s v="SIN DATO"/>
    <s v="ABIERTO"/>
    <n v="-75.599741690000002"/>
    <n v="6.2719680100000001"/>
    <s v="SUR-ENE"/>
    <s v="Metropolitana Sur"/>
  </r>
  <r>
    <s v="23599807"/>
    <s v="ENEPRE"/>
    <s v="NUEVO"/>
    <s v="ENEPRE"/>
    <s v="25/11/2025 15:57:07"/>
    <s v="2025-11-25 15:57:07"/>
    <n v="8414182"/>
    <s v="LUIS GEISER ZAPATA DURANGO"/>
    <s v="SIN DATOS"/>
    <s v="3163966135"/>
    <s v="CL 19 D CR 104 B -20 (INTERIOR 149 )"/>
    <x v="2"/>
    <s v="081019404200200149"/>
    <s v="Medellín"/>
    <x v="6"/>
    <s v="Energía Prepago Metrosur"/>
    <x v="1"/>
    <n v="11"/>
    <s v="2025-12-11 15:57:07"/>
    <s v="4 días 15:57"/>
    <s v="7 días 15:57"/>
    <x v="0"/>
    <s v="SIN DATO"/>
    <s v="SIN DATO"/>
    <s v="SIN DATO"/>
    <s v="ABIERTO"/>
    <n v="-75.626695999999995"/>
    <n v="6.2254200099999997"/>
    <s v="SUR-ENE"/>
    <s v="Metropolitana Sur"/>
  </r>
  <r>
    <s v="23599816"/>
    <s v="ENEMRT"/>
    <s v="NUEVO"/>
    <s v="ENEMVI"/>
    <s v="25/11/2025 16:01:56"/>
    <s v="2025-11-25 16:01:56"/>
    <n v="1065003258"/>
    <s v="CARLOS ALFREDO OQUENDO CASTRO"/>
    <s v="SIN DATOS"/>
    <s v="3105314517"/>
    <s v="CL 34 AA CR 125 -53 (INTERIOR 103 )"/>
    <x v="2"/>
    <s v="083214115000530103"/>
    <s v="Medellín"/>
    <x v="11"/>
    <s v="METR Mov Red Trans Anderson Castaño"/>
    <x v="1"/>
    <n v="9"/>
    <s v="2025-12-09 16:01:56"/>
    <s v="4 días 16:01"/>
    <s v="5 días 16:01"/>
    <x v="0"/>
    <s v="SIN DATO"/>
    <s v="SIN DATO"/>
    <s v="SIN DATO"/>
    <s v="ABIERTO"/>
    <n v="-75.632174359999993"/>
    <n v="6.2470283200000001"/>
    <s v="SUR-ENE"/>
    <s v="Metropolitana Sur"/>
  </r>
  <r>
    <s v="23599830"/>
    <s v="ENEPRE"/>
    <s v="NUEVO"/>
    <s v="ENEPRE"/>
    <s v="25/11/2025 16:14:52"/>
    <s v="2025-11-25 16:14:52"/>
    <n v="8329560"/>
    <s v="JUAN SALVADOR GONZALEZ ALVAREZ"/>
    <s v="SIN DATOS"/>
    <s v="3205145270"/>
    <s v="RURAL_116005312515100201_116005312515100201"/>
    <x v="2"/>
    <s v="116005312515100201"/>
    <s v="Medellín"/>
    <x v="6"/>
    <s v="Energía Prepago Metrosur"/>
    <x v="0"/>
    <n v="11"/>
    <s v="2025-12-11 16:14:52"/>
    <s v="4 días 16:14"/>
    <s v="7 días 16:14"/>
    <x v="0"/>
    <s v="SIN DATO"/>
    <s v="SIN DATO"/>
    <s v="SIN DATO"/>
    <s v="ABIERTO"/>
    <n v="-75.630043999999998"/>
    <n v="6.2346899999999996"/>
    <s v="SUR-ENE"/>
    <s v="Metropolitana Sur"/>
  </r>
  <r>
    <s v="23599832"/>
    <s v="ENERES"/>
    <s v="NUEVO"/>
    <s v="ENEDOM"/>
    <s v="25/11/2025 16:15:41"/>
    <s v="2025-11-25 16:15:41"/>
    <n v="1236438191"/>
    <s v="MIGUEL ANGEL ZAPATA VILLA"/>
    <s v="SIN DATOS"/>
    <s v="3505329375"/>
    <s v="CR 94 CL 57 C -65 (INTERIOR 238 )"/>
    <x v="2"/>
    <s v="055924007300650238"/>
    <s v="Medellín"/>
    <x v="0"/>
    <s v="Habilitación Viviendas Metrosur"/>
    <x v="1"/>
    <n v="5"/>
    <s v="2025-12-02 16:15:41"/>
    <s v="4 días 16:15"/>
    <s v="1 días 16:15"/>
    <x v="1"/>
    <s v="SIN DATO"/>
    <s v="SIN DATO"/>
    <s v="SIN DATO"/>
    <s v="ABIERTO"/>
    <n v="-75.606899979999994"/>
    <n v="6.2748936300000002"/>
    <s v="SUR-ENE"/>
    <s v="Metropolitana Sur"/>
  </r>
  <r>
    <s v="23599837"/>
    <s v="ENEPRE"/>
    <s v="NUEVO"/>
    <s v="ENEPRE"/>
    <s v="25/11/2025 16:17:54"/>
    <s v="2025-11-25 16:17:54"/>
    <n v="1037609232"/>
    <s v="CLAUDIA PATRICIA DURANGO YEPES"/>
    <s v="2994577"/>
    <s v="3215397677"/>
    <s v="RURAL_116005319400000101_116005319400000101"/>
    <x v="2"/>
    <s v="116005319400000101"/>
    <s v="Medellín"/>
    <x v="6"/>
    <s v="Energía Prepago Metrosur"/>
    <x v="0"/>
    <n v="11"/>
    <s v="2025-12-11 16:17:54"/>
    <s v="4 días 16:17"/>
    <s v="7 días 16:17"/>
    <x v="0"/>
    <s v="SIN DATO"/>
    <s v="SIN DATO"/>
    <s v="SIN DATO"/>
    <s v="ABIERTO"/>
    <n v="-75.630611999999999"/>
    <n v="6.2339169999999999"/>
    <s v="SUR-ENE"/>
    <s v="Metropolitana Sur"/>
  </r>
  <r>
    <s v="23599838"/>
    <s v="ENEPRE"/>
    <s v="NUEVO"/>
    <s v="ENEPRE"/>
    <s v="25/11/2025 16:18:37"/>
    <s v="2025-11-25 16:18:37"/>
    <n v="1037609232"/>
    <s v="CLAUDIA PATRICIA DURANGO YEPES"/>
    <s v="2994577"/>
    <s v="3215397677"/>
    <s v="RURAL_116005319400000201_116005319400000201"/>
    <x v="2"/>
    <s v="116005319400000201"/>
    <s v="Medellín"/>
    <x v="6"/>
    <s v="Energía Prepago Metrosur"/>
    <x v="0"/>
    <n v="11"/>
    <s v="2025-12-11 16:18:37"/>
    <s v="4 días 16:18"/>
    <s v="7 días 16:18"/>
    <x v="0"/>
    <s v="SIN DATO"/>
    <s v="SIN DATO"/>
    <s v="SIN DATO"/>
    <s v="ABIERTO"/>
    <n v="-75.630613999999994"/>
    <n v="6.2339520000000004"/>
    <s v="SUR-ENE"/>
    <s v="Metropolitana Sur"/>
  </r>
  <r>
    <s v="23599846"/>
    <s v="ENECNX"/>
    <s v="NUEVO"/>
    <s v="ENECNX"/>
    <s v="25/11/2025 16:24:23"/>
    <s v="2025-11-25 16:24:23"/>
    <n v="98561539"/>
    <s v="JOHN ARBEY ALVAREZ"/>
    <s v="SIN DATOS"/>
    <s v="3105314517"/>
    <s v="CR 125 CL 34 AA -148"/>
    <x v="2"/>
    <s v="083225004111480000"/>
    <s v="Medellín"/>
    <x v="3"/>
    <s v="Revisor Puntos de Conexión Metrosur"/>
    <x v="1"/>
    <n v="4"/>
    <s v="2025-12-01 16:24:23"/>
    <s v="4 días 16:24"/>
    <s v="0 días 16:24"/>
    <x v="3"/>
    <s v="SIN DATO"/>
    <s v="SIN DATO"/>
    <s v="SIN DATO"/>
    <s v="ABIERTO"/>
    <n v="-75.632130910000001"/>
    <n v="6.2478740100000003"/>
    <s v="SUR-ENE"/>
    <s v="Metropolitana Sur"/>
  </r>
  <r>
    <s v="23599875"/>
    <s v="ENERES"/>
    <s v="NUEVO"/>
    <s v="ENERES"/>
    <s v="25/11/2025 16:53:50"/>
    <s v="2025-11-25 16:53:50"/>
    <n v="71799202"/>
    <s v="JORGE MARIO USUGA VELASQUEZ"/>
    <s v="SIN DATOS"/>
    <s v="3053039439"/>
    <s v="CL 63 A CR 46 -50"/>
    <x v="2"/>
    <s v="056413106000500000"/>
    <s v="Medellín"/>
    <x v="2"/>
    <s v="Revisor Instal. Regadas Metrosur"/>
    <x v="1"/>
    <n v="7"/>
    <s v="2025-12-04 16:53:50"/>
    <s v="4 días 16:53"/>
    <s v="3 días 16:53"/>
    <x v="0"/>
    <s v="SIN DATO"/>
    <s v="SIN DATO"/>
    <s v="SIN DATO"/>
    <s v="ABIERTO"/>
    <n v="-75.559316510000002"/>
    <n v="6.2588269600000004"/>
    <s v="SUR-ENE"/>
    <s v="Metropolitana Sur"/>
  </r>
  <r>
    <s v="23599887"/>
    <s v="ENERES"/>
    <s v="NUEVO"/>
    <s v="ENEDOM"/>
    <s v="25/11/2025 17:08:05"/>
    <s v="2025-11-25 17:08:05"/>
    <n v="39436407"/>
    <s v="MIRIAM DE SOCORRO RIOS SOTO"/>
    <s v="SIN DATOS"/>
    <s v="3206911173"/>
    <s v="RURAL_125004498600000008_CL 20C SUR CR 3 - 158"/>
    <x v="5"/>
    <s v="125004498600000008"/>
    <s v="Envigado"/>
    <x v="0"/>
    <s v="Habilitación Viviendas Metrosur"/>
    <x v="0"/>
    <n v="8"/>
    <s v="2025-12-05 17:08:05"/>
    <s v="4 días 17:08"/>
    <s v="4 días 17:08"/>
    <x v="0"/>
    <s v="SIN DATO"/>
    <s v="SIN DATO"/>
    <s v="SIN DATO"/>
    <s v="ABIERTO"/>
    <n v="-75.510422680000005"/>
    <n v="6.1861523800000002"/>
    <s v="SUR-ENE"/>
    <s v="Metropolitana Sur"/>
  </r>
  <r>
    <s v="23599896"/>
    <s v="ENEMRT"/>
    <s v="NUEVO"/>
    <s v="ENEMVI"/>
    <s v="25/11/2025 17:24:48"/>
    <s v="2025-11-25 17:24:48"/>
    <n v="43979927"/>
    <s v="MARIA JIMENA USUGA GRACIANO"/>
    <s v="SIN DATOS"/>
    <s v="3116202804"/>
    <s v="CR 143 CL 68 -20 (INTERIOR 114 )"/>
    <x v="2"/>
    <s v="086423008000200114"/>
    <s v="Medellín"/>
    <x v="11"/>
    <s v="METR Mov Red Trans Anderson Castaño"/>
    <x v="1"/>
    <n v="9"/>
    <s v="2025-12-09 17:24:48"/>
    <s v="4 días 17:24"/>
    <s v="5 días 17:24"/>
    <x v="0"/>
    <s v="SIN DATO"/>
    <s v="SIN DATO"/>
    <s v="SIN DATO"/>
    <s v="ABIERTO"/>
    <n v="-75.641606999999993"/>
    <n v="6.2862549999999997"/>
    <s v="SUR-ENE"/>
    <s v="Metropolitana Sur"/>
  </r>
  <r>
    <s v="23599904"/>
    <s v="ENEPRE"/>
    <s v="NUEVO"/>
    <s v="ENEPRE"/>
    <s v="25/11/2025 17:43:24"/>
    <s v="2025-11-25 17:43:24"/>
    <n v="1045522147"/>
    <s v="YULI JOHANA CARDONA TRUJILLO"/>
    <s v="SIN DATOS"/>
    <s v="3127573564"/>
    <s v="RURAL_116005499070000000_116005499070000000"/>
    <x v="2"/>
    <s v="116005499070000000"/>
    <s v="Medellín"/>
    <x v="6"/>
    <s v="Energía Prepago Metrosur"/>
    <x v="0"/>
    <n v="11"/>
    <s v="2025-12-11 17:43:24"/>
    <s v="4 días 17:43"/>
    <s v="7 días 17:43"/>
    <x v="0"/>
    <s v="SIN DATO"/>
    <s v="SIN DATO"/>
    <s v="SIN DATO"/>
    <s v="ABIERTO"/>
    <n v="-75.631522309999994"/>
    <n v="6.2332326699999996"/>
    <s v="SUR-ENE"/>
    <s v="Metropolitana Sur"/>
  </r>
  <r>
    <s v="23599912"/>
    <s v="ENECNX"/>
    <s v="NUEVO"/>
    <s v="ENECNX"/>
    <s v="25/11/2025 17:52:22"/>
    <s v="2025-11-25 17:52:22"/>
    <n v="43444824"/>
    <s v="CLAUDIA ANDREA MARIN LONDOÑO"/>
    <s v="4569876"/>
    <s v="3207017511"/>
    <s v="CL 30 CR 69 B -25"/>
    <x v="2"/>
    <s v="053610009200250000"/>
    <s v="Medellín"/>
    <x v="3"/>
    <s v="Revisor Puntos de Conexión Metrosur"/>
    <x v="1"/>
    <n v="4"/>
    <s v="2025-12-01 17:52:22"/>
    <s v="4 días 17:52"/>
    <s v="0 días 17:52"/>
    <x v="3"/>
    <s v="SIN DATO"/>
    <s v="SIN DATO"/>
    <s v="SIN DATO"/>
    <s v="ABIERTO"/>
    <n v="-75.590605139999994"/>
    <n v="6.2314422199999999"/>
    <s v="SUR-ENE"/>
    <s v="Metropolitana Sur"/>
  </r>
  <r>
    <s v="23599919"/>
    <s v="ENECNX"/>
    <s v="NUEVO"/>
    <s v="ENECNX"/>
    <s v="25/11/2025 18:13:37"/>
    <s v="2025-11-25 18:13:37"/>
    <n v="43479029"/>
    <s v="ANA CRISTINA VASQUEZ GONZALEZ"/>
    <s v="SIN DATOS"/>
    <s v="3167841019"/>
    <s v="CL 138 C SUR CR 47 A -43"/>
    <x v="3"/>
    <s v="003418307100430000"/>
    <s v="Caldas"/>
    <x v="3"/>
    <s v="Revisor Puntos de Conexión Metrosur"/>
    <x v="1"/>
    <n v="4"/>
    <s v="2025-12-01 18:13:37"/>
    <s v="4 días 18:13"/>
    <s v="0 días 18:13"/>
    <x v="3"/>
    <s v="SIN DATO"/>
    <s v="SIN DATO"/>
    <s v="SIN DATO"/>
    <s v="ABIERTO"/>
    <n v="-75.633526320000001"/>
    <n v="6.0842165499999998"/>
    <s v="SUR-ENE"/>
    <s v="Metropolitana Sur"/>
  </r>
  <r>
    <s v="23600149"/>
    <s v="ENENOR"/>
    <s v="NUEVO"/>
    <s v="ENENOR"/>
    <s v="26/11/2025 06:59:08"/>
    <s v="2025-11-26 06:59:08"/>
    <n v="900540685"/>
    <s v="INVERSIONES RYJ S.A.S."/>
    <s v="SIN DATOS"/>
    <s v="3014091338"/>
    <s v="CR 65 CL 40 -71 (INTERIOR 5 )"/>
    <x v="2"/>
    <s v="054625000000710005"/>
    <s v="Medellín"/>
    <x v="4"/>
    <s v="Revisor Inst. Particulares Metrosur"/>
    <x v="1"/>
    <n v="7"/>
    <s v="2025-12-05 06:59:08"/>
    <s v="3 días 06:59"/>
    <s v="4 días 06:59"/>
    <x v="0"/>
    <s v="SIN DATO"/>
    <s v="SIN DATO"/>
    <s v="SIN DATO"/>
    <s v="ABIERTO"/>
    <n v="-75.58392139"/>
    <n v="6.2461113599999996"/>
    <s v="SUR-ENE"/>
    <s v="Metropolitana Sur"/>
  </r>
  <r>
    <s v="23600160"/>
    <s v="ENENOR"/>
    <s v="NUEVO"/>
    <s v="ENENOR"/>
    <s v="26/11/2025 07:06:00"/>
    <s v="2025-11-26 07:06:00"/>
    <n v="900540685"/>
    <s v="INVERSIONES RYJ S.A.S."/>
    <s v="SIN DATOS"/>
    <s v="3014091338"/>
    <s v="CR 65 CL 40 -71 (INTERIOR 6 )"/>
    <x v="2"/>
    <s v="054625000000710006"/>
    <s v="Medellín"/>
    <x v="4"/>
    <s v="Revisor Inst. Particulares Metrosur"/>
    <x v="1"/>
    <n v="7"/>
    <s v="2025-12-05 07:06:00"/>
    <s v="3 días 07:06"/>
    <s v="4 días 07:06"/>
    <x v="0"/>
    <s v="SIN DATO"/>
    <s v="SIN DATO"/>
    <s v="SIN DATO"/>
    <s v="ABIERTO"/>
    <n v="-75.58392139"/>
    <n v="6.2461113599999996"/>
    <s v="SUR-ENE"/>
    <s v="Metropolitana Sur"/>
  </r>
  <r>
    <s v="23600166"/>
    <s v="ENEMRT"/>
    <s v="NUEVO"/>
    <s v="ENEMVI"/>
    <s v="26/11/2025 07:19:14"/>
    <s v="2025-11-26 07:19:14"/>
    <n v="800215807"/>
    <s v="INSTITUTO NACIONAL DE VIAS - INVIAS"/>
    <s v="3770600"/>
    <s v="SIN DATOS"/>
    <s v="CR 48 CL 98 SUR -"/>
    <x v="0"/>
    <s v="039428008000000000"/>
    <s v="La Estrella"/>
    <x v="11"/>
    <s v="Mov Red Trans Dairo Gil"/>
    <x v="1"/>
    <n v="9"/>
    <s v="2025-12-10 07:19:14"/>
    <s v="3 días 07:19"/>
    <s v="6 días 07:19"/>
    <x v="0"/>
    <s v="SIN DATO"/>
    <s v="SIN DATO"/>
    <s v="SIN DATO"/>
    <s v="ABIERTO"/>
    <n v="-75.649831634999899"/>
    <n v="6.1379125160000303"/>
    <s v="SUR-ENE"/>
    <s v="Metropolitana Sur"/>
  </r>
  <r>
    <s v="23600181"/>
    <s v="ENEPRE"/>
    <s v="NUEVO"/>
    <s v="ENEPRE"/>
    <s v="26/11/2025 07:35:40"/>
    <s v="2025-11-26 07:35:40"/>
    <n v="1128416532"/>
    <s v="MONICA MARIA ACOSTA"/>
    <s v="2566634"/>
    <s v="3024011646"/>
    <s v="RURAL_116005329290900000_116005329290900000"/>
    <x v="2"/>
    <s v="116005329290900000"/>
    <s v="Medellín"/>
    <x v="6"/>
    <s v="Energía Prepago Metrosur"/>
    <x v="0"/>
    <n v="11"/>
    <s v="2025-12-12 07:35:40"/>
    <s v="3 días 07:35"/>
    <s v="8 días 07:35"/>
    <x v="0"/>
    <s v="SIN DATO"/>
    <s v="SIN DATO"/>
    <s v="SIN DATO"/>
    <s v="ABIERTO"/>
    <n v="-75.632462000000004"/>
    <n v="6.2345509999999997"/>
    <s v="SUR-ENE"/>
    <s v="Metropolitana Sur"/>
  </r>
  <r>
    <s v="23600188"/>
    <s v="ENERES"/>
    <s v="NUEVO"/>
    <s v="ENEDOM"/>
    <s v="26/11/2025 07:42:40"/>
    <s v="2025-11-26 07:42:40"/>
    <n v="1001808727"/>
    <s v="DAVID CARO BERRIO"/>
    <s v="SIN DATOS"/>
    <s v="3004709378"/>
    <s v="CL 54 B CR 58 -14 (INTERIOR 301 )"/>
    <x v="1"/>
    <s v="075514208000140301"/>
    <s v="Itaguí"/>
    <x v="0"/>
    <s v="Habilitación Viviendas Metrosur"/>
    <x v="1"/>
    <n v="5"/>
    <s v="2025-12-03 07:42:40"/>
    <s v="3 días 07:42"/>
    <s v="2 días 07:42"/>
    <x v="1"/>
    <s v="SIN DATO"/>
    <s v="SIN DATO"/>
    <s v="SIN DATO"/>
    <s v="ABIERTO"/>
    <n v="-75.609866229999994"/>
    <n v="6.1768508500000001"/>
    <s v="SUR-ENE"/>
    <s v="Metropolitana Sur"/>
  </r>
  <r>
    <s v="23600192"/>
    <s v="ENECNX"/>
    <s v="NUEVO"/>
    <s v="ENECNX"/>
    <s v="26/11/2025 07:46:45"/>
    <s v="2025-11-26 07:46:45"/>
    <n v="70551884"/>
    <s v="RAMIRO ANDRES RESTREPO TAMAYO"/>
    <s v="2749117"/>
    <s v="3104627849"/>
    <s v="RURAL_161072500000000055_161072500000000055"/>
    <x v="3"/>
    <s v="161072500000000055"/>
    <s v="Caldas"/>
    <x v="3"/>
    <s v="Revisor Puntos de Conexión Metrosur"/>
    <x v="0"/>
    <n v="4"/>
    <s v="2025-12-02 07:46:45"/>
    <s v="3 días 07:46"/>
    <s v="1 días 07:46"/>
    <x v="1"/>
    <s v="SIN DATO"/>
    <s v="SIN DATO"/>
    <s v="SIN DATO"/>
    <s v="ABIERTO"/>
    <n v="-75.638868349999996"/>
    <n v="6.0582478200000001"/>
    <s v="SUR-ENE"/>
    <s v="Metropolitana Sur"/>
  </r>
  <r>
    <s v="23600204"/>
    <s v="ENECNX"/>
    <s v="NUEVO"/>
    <s v="ENECNX"/>
    <s v="26/11/2025 07:52:24"/>
    <s v="2025-11-26 07:52:24"/>
    <n v="1037658814"/>
    <s v="MATEO CUERVO ALZATE"/>
    <s v="SIN DATOS"/>
    <s v="3117379587"/>
    <s v="CL 56 B CR 24 -41 (INTERIOR 301 )"/>
    <x v="2"/>
    <s v="055216204000410301"/>
    <s v="Medellín"/>
    <x v="3"/>
    <s v="Revisor Puntos de Conexión Metrosur"/>
    <x v="1"/>
    <n v="4"/>
    <s v="2025-12-02 07:52:24"/>
    <s v="3 días 07:52"/>
    <s v="1 días 07:52"/>
    <x v="1"/>
    <s v="SIN DATO"/>
    <s v="SIN DATO"/>
    <s v="SIN DATO"/>
    <s v="ABIERTO"/>
    <n v="-75.543926999999996"/>
    <n v="6.243296"/>
    <s v="SUR-ENE"/>
    <s v="Metropolitana Sur"/>
  </r>
  <r>
    <s v="23600216"/>
    <s v="ENERES"/>
    <s v="CAMBI"/>
    <s v="ENERES"/>
    <s v="26/11/2025 08:01:18"/>
    <s v="2025-11-26 08:01:18"/>
    <n v="22228554"/>
    <s v="LUZ MIRIAN URIBE MUÑETON"/>
    <s v="3340169"/>
    <s v="3127333371"/>
    <s v="CR 40 A CL 44 SUR -83 (INTERIOR 201 )"/>
    <x v="5"/>
    <s v="024420104000830201"/>
    <s v="Envigado"/>
    <x v="5"/>
    <s v="METROSUR Vin. Leg. Ref. Concentrada"/>
    <x v="1"/>
    <n v="7"/>
    <s v="2025-12-05 08:01:18"/>
    <s v="3 días 08:01"/>
    <s v="4 días 08:01"/>
    <x v="0"/>
    <s v="SIN DATO"/>
    <s v="SIN DATO"/>
    <s v="SIN DATO"/>
    <s v="ABIERTO"/>
    <n v="-75.590922000000006"/>
    <n v="6.1630880000000001"/>
    <s v="SUR-ENE"/>
    <s v="Metropolitana Sur"/>
  </r>
  <r>
    <s v="23600232"/>
    <s v="ENEMRT"/>
    <s v="NUEVO"/>
    <s v="ENEMVI"/>
    <s v="26/11/2025 08:16:18"/>
    <s v="2025-11-26 08:16:18"/>
    <n v="98575844"/>
    <s v="DIEGO ALONSO PELAEZ CARDENAS"/>
    <s v="2556221"/>
    <s v="3206983371"/>
    <s v="CR 51 A CL 3 SUR -30"/>
    <x v="2"/>
    <s v="040521103000300000"/>
    <s v="Medellín"/>
    <x v="11"/>
    <s v="METR Mov Red Trans Anderson Castaño"/>
    <x v="1"/>
    <n v="9"/>
    <s v="2025-12-10 08:16:18"/>
    <s v="3 días 08:16"/>
    <s v="6 días 08:16"/>
    <x v="0"/>
    <s v="SIN DATO"/>
    <s v="SIN DATO"/>
    <s v="SIN DATO"/>
    <s v="ABIERTO"/>
    <n v="-75.585129600000002"/>
    <n v="6.2051576700000002"/>
    <s v="SUR-ENE"/>
    <s v="Metropolitana Sur"/>
  </r>
  <r>
    <s v="23600245"/>
    <s v="ENEMRT"/>
    <s v="NUEVO"/>
    <s v="ENEMVI"/>
    <s v="26/11/2025 08:21:43"/>
    <s v="2025-11-26 08:21:43"/>
    <n v="1128266320"/>
    <s v="LEIDY CAROLINA JIMENEZ GIL"/>
    <s v="5591727"/>
    <s v="3118189982"/>
    <s v="CR 57 A CL 45 -41"/>
    <x v="2"/>
    <s v="054527105000410000"/>
    <s v="Medellín"/>
    <x v="11"/>
    <s v="METR Mov Red Trans Anderson Castaño"/>
    <x v="1"/>
    <n v="9"/>
    <s v="2025-12-10 08:21:43"/>
    <s v="3 días 08:21"/>
    <s v="6 días 08:21"/>
    <x v="0"/>
    <s v="SIN DATO"/>
    <s v="SIN DATO"/>
    <s v="SIN DATO"/>
    <s v="ABIERTO"/>
    <n v="-75.575741679999993"/>
    <n v="6.2482697299999996"/>
    <s v="SUR-ENE"/>
    <s v="Metropolitana Sur"/>
  </r>
  <r>
    <s v="23600276"/>
    <s v="ENENOR"/>
    <s v="NUEVO"/>
    <s v="ENENOR"/>
    <s v="26/11/2025 08:43:09"/>
    <s v="2025-11-26 08:43:09"/>
    <n v="98516520"/>
    <s v="BLAS ELIDES GIRALDO GRACIANO"/>
    <s v="SIN DATOS"/>
    <s v="3104708305"/>
    <s v="CR 45 CL 49 -6 (INTERIOR 301 )"/>
    <x v="2"/>
    <s v="054425009000060301"/>
    <s v="Medellín"/>
    <x v="4"/>
    <s v="Revisor Instal. Regadas Metrosur"/>
    <x v="1"/>
    <n v="7"/>
    <s v="2025-12-05 08:43:09"/>
    <s v="3 días 08:43"/>
    <s v="4 días 08:43"/>
    <x v="0"/>
    <s v="SIN DATO"/>
    <s v="SIN DATO"/>
    <s v="SIN DATO"/>
    <s v="ABIERTO"/>
    <n v="-75.564641120000005"/>
    <n v="6.2470775200000004"/>
    <s v="SUR-ENE"/>
    <s v="Metropolitana Sur"/>
  </r>
  <r>
    <s v="23600287"/>
    <s v="ENECNX"/>
    <s v="NUEVO"/>
    <s v="ENECNX"/>
    <s v="26/11/2025 08:50:40"/>
    <s v="2025-11-26 08:50:40"/>
    <n v="890905211"/>
    <s v="ALCALDIA DE MEDELLIN"/>
    <s v="3855555"/>
    <s v="3105418215"/>
    <s v="CL 18 CR 103 -175 (INTERIOR 9902 )"/>
    <x v="2"/>
    <s v="081018003001759902"/>
    <s v="Medellín"/>
    <x v="3"/>
    <s v="Revisor Puntos de Conexión Metrosur"/>
    <x v="1"/>
    <n v="4"/>
    <s v="2025-12-02 08:50:40"/>
    <s v="3 días 08:50"/>
    <s v="1 días 08:50"/>
    <x v="1"/>
    <s v="SIN DATO"/>
    <s v="SIN DATO"/>
    <s v="SIN DATO"/>
    <s v="ABIERTO"/>
    <n v="-75.625659999999996"/>
    <n v="6.2233039999999997"/>
    <s v="SUR-ENE"/>
    <s v="Metropolitana Sur"/>
  </r>
  <r>
    <s v="23600299"/>
    <s v="ENEPRE"/>
    <s v="NUEVO"/>
    <s v="ENEPRE"/>
    <s v="26/11/2025 08:58:46"/>
    <s v="2025-11-26 08:58:46"/>
    <n v="43345638"/>
    <s v="MARIA ADELAIDA MUÑOZ SEGURO"/>
    <s v="SIN DATOS"/>
    <s v="3107709865"/>
    <s v="RURAL_116005537080000000_116005537080000000"/>
    <x v="2"/>
    <s v="116005537080000000"/>
    <s v="Medellín"/>
    <x v="6"/>
    <s v="Energía Prepago Metrosur"/>
    <x v="0"/>
    <n v="11"/>
    <s v="2025-12-12 08:58:46"/>
    <s v="3 días 08:58"/>
    <s v="8 días 08:58"/>
    <x v="0"/>
    <s v="SIN DATO"/>
    <s v="SIN DATO"/>
    <s v="SIN DATO"/>
    <s v="ABIERTO"/>
    <n v="-75.631196000000003"/>
    <n v="6.2330199999999998"/>
    <s v="SUR-ENE"/>
    <s v="Metropolitana Sur"/>
  </r>
  <r>
    <s v="23600313"/>
    <s v="ENECNX"/>
    <s v="NUEVO"/>
    <s v="ENECNX"/>
    <s v="26/11/2025 09:14:39"/>
    <s v="2025-11-26 09:14:39"/>
    <n v="800237326"/>
    <s v="EVALTEC S.A"/>
    <s v="SIN DATOS"/>
    <s v="SIN DATOS"/>
    <s v="CR 80 A CL 28 -109 (INTERIOR 301 )"/>
    <x v="2"/>
    <s v="052820108001090301"/>
    <s v="Medellín"/>
    <x v="3"/>
    <s v="Revisor Puntos de Conexión Metrosur"/>
    <x v="1"/>
    <n v="4"/>
    <s v="2025-12-02 09:14:39"/>
    <s v="3 días 09:14"/>
    <s v="1 días 09:14"/>
    <x v="1"/>
    <s v="SIN DATO"/>
    <s v="SIN DATO"/>
    <s v="SIN DATO"/>
    <s v="ABIERTO"/>
    <n v="-75.601380919999997"/>
    <n v="6.23056492"/>
    <s v="SUR-ENE"/>
    <s v="Metropolitana Sur"/>
  </r>
  <r>
    <s v="23600314"/>
    <s v="ENECNX"/>
    <s v="NUEVO"/>
    <s v="ENECNX"/>
    <s v="26/11/2025 09:15:18"/>
    <s v="2025-11-26 09:15:18"/>
    <n v="43065179"/>
    <s v="LUZ ADIELA GARCIA DE OTALVARO"/>
    <s v="2308882"/>
    <s v="3117379587"/>
    <s v="CR 68 C CIRC 3 -122"/>
    <x v="2"/>
    <s v="053628309001220000"/>
    <s v="Medellín"/>
    <x v="3"/>
    <s v="Revisor Puntos de Conexión Metrosur"/>
    <x v="1"/>
    <n v="4"/>
    <s v="2025-12-02 09:15:18"/>
    <s v="3 días 09:15"/>
    <s v="1 días 09:15"/>
    <x v="1"/>
    <s v="SIN DATO"/>
    <s v="SIN DATO"/>
    <s v="SIN DATO"/>
    <s v="ABIERTO"/>
    <n v="-75.587503999999996"/>
    <n v="6.2465299999999999"/>
    <s v="SUR-ENE"/>
    <s v="Metropolitana Sur"/>
  </r>
  <r>
    <s v="23600369"/>
    <s v="ENEMRT"/>
    <s v="NUEVO"/>
    <s v="ENEMVI"/>
    <s v="26/11/2025 09:59:40"/>
    <s v="2025-11-26 09:59:40"/>
    <n v="43048532"/>
    <s v="SILVIA MARGARITA SANCHEZ VELASQUEZ"/>
    <s v="SIN DATOS"/>
    <s v="3218298809"/>
    <s v="CR 55 CL 63 C -11"/>
    <x v="1"/>
    <s v="076525003300110000"/>
    <s v="Itaguí"/>
    <x v="11"/>
    <s v="Mov Red Trans Dairo Gil"/>
    <x v="1"/>
    <n v="9"/>
    <s v="2025-12-10 09:59:40"/>
    <s v="3 días 09:59"/>
    <s v="6 días 09:59"/>
    <x v="0"/>
    <s v="SIN DATO"/>
    <s v="SIN DATO"/>
    <s v="SIN DATO"/>
    <s v="ABIERTO"/>
    <n v="-75.603318810000005"/>
    <n v="6.1810467200000003"/>
    <s v="SUR-ENE"/>
    <s v="Metropolitana Sur"/>
  </r>
  <r>
    <s v="23600402"/>
    <s v="ENECNX"/>
    <s v="NUEVO"/>
    <s v="ENECNX"/>
    <s v="26/11/2025 10:17:11"/>
    <s v="2025-11-26 10:17:11"/>
    <n v="35570299"/>
    <s v="ELIZABETH  SALAZAR PALACIOS"/>
    <s v="SIN DATOS"/>
    <s v="3122207678"/>
    <s v="CR 2 AH CL 46 -111 (INTERIOR 301 )"/>
    <x v="2"/>
    <s v="054022186001110301"/>
    <s v="Medellín"/>
    <x v="3"/>
    <s v="Revisor Puntos de Conexión Metrosur"/>
    <x v="1"/>
    <n v="4"/>
    <s v="2025-12-02 10:17:11"/>
    <s v="3 días 10:17"/>
    <s v="1 días 10:17"/>
    <x v="1"/>
    <s v="SIN DATO"/>
    <s v="SIN DATO"/>
    <s v="SIN DATO"/>
    <s v="ABIERTO"/>
    <n v="-75.531650339999999"/>
    <n v="6.2280678900000002"/>
    <s v="SUR-ENE"/>
    <s v="Metropolitana Sur"/>
  </r>
  <r>
    <s v="23600405"/>
    <s v="ENERES"/>
    <s v="NUEVO"/>
    <s v="ENEDOM"/>
    <s v="26/11/2025 10:21:03"/>
    <s v="2025-11-26 10:21:03"/>
    <n v="1005180552"/>
    <s v="YELITZA SERNA"/>
    <s v="SIN DATOS"/>
    <s v="3223555336"/>
    <s v="CL 48 D CR 110 -364"/>
    <x v="2"/>
    <s v="084118400003640000"/>
    <s v="Medellín"/>
    <x v="0"/>
    <s v="Habilitación Viviendas Metrosur"/>
    <x v="1"/>
    <n v="5"/>
    <s v="2025-12-03 10:21:03"/>
    <s v="3 días 10:21"/>
    <s v="2 días 10:21"/>
    <x v="1"/>
    <s v="SIN DATO"/>
    <s v="SIN DATO"/>
    <s v="SIN DATO"/>
    <s v="ABIERTO"/>
    <n v="-75.625248999999997"/>
    <n v="6.2651510000000004"/>
    <s v="SUR-ENE"/>
    <s v="Metropolitana Sur"/>
  </r>
  <r>
    <s v="23600416"/>
    <s v="ENERES"/>
    <s v="NUEVO"/>
    <s v="ENERES"/>
    <s v="26/11/2025 10:27:34"/>
    <s v="2025-11-26 10:27:34"/>
    <n v="1036613141"/>
    <s v="ALEJANDRA PEREZ ARANGO"/>
    <s v="SIN DATOS"/>
    <s v="3116097857"/>
    <s v="RURAL_167082000000000101_167082000000000101"/>
    <x v="4"/>
    <s v="167082000000000101"/>
    <s v="Sabaneta"/>
    <x v="2"/>
    <s v="Revisor Instal. Regadas Metrosur"/>
    <x v="0"/>
    <n v="10"/>
    <s v="2025-12-11 10:27:34"/>
    <s v="3 días 10:27"/>
    <s v="7 días 10:27"/>
    <x v="0"/>
    <s v="SIN DATO"/>
    <s v="SIN DATO"/>
    <s v="SIN DATO"/>
    <s v="ABIERTO"/>
    <n v="-75.600047040000007"/>
    <n v="6.1388037400000002"/>
    <s v="SUR-ENE"/>
    <s v="Metropolitana Sur"/>
  </r>
  <r>
    <s v="23600423"/>
    <s v="ENECNX"/>
    <s v="NUEVO"/>
    <s v="ENECNX"/>
    <s v="26/11/2025 10:32:28"/>
    <s v="2025-11-26 10:32:28"/>
    <n v="901506542"/>
    <s v="RECONSTRUCTORA MEDELLIN SAS"/>
    <s v="2625397"/>
    <s v="3148302470"/>
    <s v="CL 40 CR 52 A -25"/>
    <x v="2"/>
    <s v="054510002100250000"/>
    <s v="Medellín"/>
    <x v="3"/>
    <s v="Revisor Puntos de Conexión Metrosur"/>
    <x v="1"/>
    <n v="4"/>
    <s v="2025-12-02 10:32:28"/>
    <s v="3 días 10:32"/>
    <s v="1 días 10:32"/>
    <x v="1"/>
    <s v="SIN DATO"/>
    <s v="SIN DATO"/>
    <s v="SIN DATO"/>
    <s v="ABIERTO"/>
    <n v="-75.573812000000004"/>
    <n v="6.2411009999999996"/>
    <s v="SUR-ENE"/>
    <s v="Metropolitana Sur"/>
  </r>
  <r>
    <s v="23600432"/>
    <s v="ENERES"/>
    <s v="NUEVO"/>
    <s v="ENERES"/>
    <s v="26/11/2025 10:37:15"/>
    <s v="2025-11-26 10:37:15"/>
    <n v="28532665"/>
    <s v="ALCIRA COLLAZOS"/>
    <s v="2653708"/>
    <s v="3152673851"/>
    <s v="RURAL_114005210000000105"/>
    <x v="2"/>
    <s v="114005210000000105"/>
    <s v="Medellín"/>
    <x v="2"/>
    <s v="Revisor Instal. Regadas Metrosur"/>
    <x v="0"/>
    <n v="10"/>
    <s v="2025-12-11 10:37:15"/>
    <s v="3 días 10:37"/>
    <s v="7 días 10:37"/>
    <x v="0"/>
    <s v="SIN DATO"/>
    <s v="SIN DATO"/>
    <s v="SIN DATO"/>
    <s v="ABIERTO"/>
    <n v="-75.62342941"/>
    <n v="6.2057815600000001"/>
    <s v="SUR-ENE"/>
    <s v="Metropolitana Sur"/>
  </r>
  <r>
    <s v="23600434"/>
    <s v="ENECNX"/>
    <s v="NUEVO"/>
    <s v="ENECNX"/>
    <s v="26/11/2025 10:37:29"/>
    <s v="2025-11-26 10:37:29"/>
    <n v="3493409"/>
    <s v="FELIX TAMAYO ARISTIZABAL"/>
    <s v="SIN DATOS"/>
    <s v="3002126563"/>
    <s v="CL 44 A CR 71 -55"/>
    <x v="2"/>
    <s v="054714101000550000"/>
    <s v="Medellín"/>
    <x v="3"/>
    <s v="Revisor Puntos de Conexión Metrosur"/>
    <x v="1"/>
    <n v="4"/>
    <s v="2025-12-02 10:37:29"/>
    <s v="3 días 10:37"/>
    <s v="1 días 10:37"/>
    <x v="1"/>
    <s v="SIN DATO"/>
    <s v="SIN DATO"/>
    <s v="SIN DATO"/>
    <s v="ABIERTO"/>
    <n v="-75.590697950000006"/>
    <n v="6.2500701899999997"/>
    <s v="SUR-ENE"/>
    <s v="Metropolitana Sur"/>
  </r>
  <r>
    <s v="23600446"/>
    <s v="ENECNX"/>
    <s v="NUEVO"/>
    <s v="ENECNX"/>
    <s v="26/11/2025 10:48:35"/>
    <s v="2025-11-26 10:48:35"/>
    <n v="811012208"/>
    <s v="ENVIASEO E.S.P."/>
    <s v="5930421"/>
    <s v="3136803626"/>
    <s v="CR 48 CL 46 SUR -150"/>
    <x v="5"/>
    <s v="024428006001500000"/>
    <s v="Envigado"/>
    <x v="3"/>
    <s v="Revisor Puntos de Conexión Metrosur"/>
    <x v="1"/>
    <n v="4"/>
    <s v="2025-12-02 10:48:35"/>
    <s v="3 días 10:48"/>
    <s v="1 días 10:48"/>
    <x v="1"/>
    <s v="SIN DATO"/>
    <s v="SIN DATO"/>
    <s v="SIN DATO"/>
    <s v="ABIERTO"/>
    <n v="-75.600252929999996"/>
    <n v="6.16516894"/>
    <s v="SUR-ENE"/>
    <s v="Metropolitana Sur"/>
  </r>
  <r>
    <s v="23600502"/>
    <s v="ENERES"/>
    <s v="NUEVO"/>
    <s v="ENERES"/>
    <s v="26/11/2025 11:27:35"/>
    <s v="2025-11-26 11:27:35"/>
    <n v="1000901270"/>
    <s v="STEFANY SALAZAR IBARGUEN"/>
    <s v="SIN DATOS"/>
    <s v="3015050980"/>
    <s v="CL 58 CR 93 A -24 (INTERIOR 200 )"/>
    <x v="2"/>
    <s v="055918003100240200"/>
    <s v="Medellín"/>
    <x v="2"/>
    <s v="Revisor Instal. Regadas Metrosur"/>
    <x v="1"/>
    <n v="7"/>
    <s v="2025-12-05 11:27:35"/>
    <s v="3 días 11:27"/>
    <s v="4 días 11:27"/>
    <x v="0"/>
    <s v="SIN DATO"/>
    <s v="SIN DATO"/>
    <s v="SIN DATO"/>
    <s v="ABIERTO"/>
    <n v="-75.606008000000003"/>
    <n v="6.275741"/>
    <s v="SUR-ENE"/>
    <s v="Metropolitana Sur"/>
  </r>
  <r>
    <s v="23600505"/>
    <s v="ENECNX"/>
    <s v="NUEVO"/>
    <s v="ENECNX"/>
    <s v="26/11/2025 11:30:37"/>
    <s v="2025-11-26 11:30:37"/>
    <n v="98560607"/>
    <s v="CARLOS ESTEBAN URIBE LONDONO"/>
    <s v="5779432"/>
    <s v="3157144855"/>
    <s v="RURAL_126010500000000052_MEDELLIN LAS PALMAS"/>
    <x v="2"/>
    <s v="126010500000000052"/>
    <s v="Medellín"/>
    <x v="3"/>
    <s v="Revisor Puntos de Conexión Metrosur"/>
    <x v="0"/>
    <n v="4"/>
    <s v="2025-12-02 11:30:37"/>
    <s v="3 días 11:30"/>
    <s v="1 días 11:30"/>
    <x v="1"/>
    <s v="SIN DATO"/>
    <s v="SIN DATO"/>
    <s v="SIN DATO"/>
    <s v="ABIERTO"/>
    <n v="-75.543839809999994"/>
    <n v="6.2163443699999998"/>
    <s v="SUR-ENE"/>
    <s v="Metropolitana Sur"/>
  </r>
  <r>
    <s v="23600529"/>
    <s v="ENEPRE"/>
    <s v="RETIR"/>
    <s v="ENEPRE"/>
    <s v="26/11/2025 11:43:33"/>
    <s v="2025-11-26 11:43:33"/>
    <n v="98622531"/>
    <s v="YOVER ALFONSO SUAREZ RESTREPO"/>
    <s v="SIN DATOS"/>
    <s v="3024466199"/>
    <s v="CL 42 B SUR CR 63 -58 (INTERIOR 402 )"/>
    <x v="2"/>
    <s v="044612203000580402-ENEPRE"/>
    <s v="Medellín"/>
    <x v="8"/>
    <s v="Energía Prepago Metrosur"/>
    <x v="1"/>
    <n v="11"/>
    <s v="2025-12-12 11:43:33"/>
    <s v="3 días 11:43"/>
    <s v="8 días 11:43"/>
    <x v="0"/>
    <s v="SIN DATO"/>
    <s v="SIN DATO"/>
    <s v="SIN DATO"/>
    <s v="ABIERTO"/>
    <n v="-75.643862870000007"/>
    <n v="6.1825959800000003"/>
    <s v="SUR-ENE"/>
    <s v="Metropolitana Sur"/>
  </r>
  <r>
    <s v="23600530"/>
    <s v="ENENOR"/>
    <s v="NUEVO"/>
    <s v="ENENOR"/>
    <s v="26/11/2025 11:43:35"/>
    <s v="2025-11-26 11:43:35"/>
    <n v="1039474773"/>
    <s v="JUAN CAMILO AGUDELO YEPES"/>
    <s v="SIN DATOS"/>
    <s v="3216319028"/>
    <s v="CL 75 B SUR CR 40 -323"/>
    <x v="4"/>
    <s v="017415200003230000"/>
    <s v="Sabaneta"/>
    <x v="4"/>
    <s v="Revisor Instal. Regadas Metrosur"/>
    <x v="1"/>
    <n v="7"/>
    <s v="2025-12-05 11:43:35"/>
    <s v="3 días 11:43"/>
    <s v="4 días 11:43"/>
    <x v="0"/>
    <s v="SIN DATO"/>
    <s v="SIN DATO"/>
    <s v="SIN DATO"/>
    <s v="ABIERTO"/>
    <n v="-75.618495999999993"/>
    <n v="6.1483910000000002"/>
    <s v="SUR-ENE"/>
    <s v="Metropolitana Sur"/>
  </r>
  <r>
    <s v="23600532"/>
    <s v="ENEPRE"/>
    <s v="REUBI"/>
    <s v="ENEPRE"/>
    <s v="26/11/2025 11:45:54"/>
    <s v="2025-11-26 11:45:54"/>
    <n v="98460439"/>
    <s v="JOHN ELKIN VARELAS TORRES"/>
    <s v="SIN DATOS"/>
    <s v="3137698363"/>
    <s v="CR 132 A CL 59 -34"/>
    <x v="2"/>
    <s v="085322109000340000"/>
    <s v="Medellín"/>
    <x v="9"/>
    <s v="Energía Prepago Metrosur"/>
    <x v="1"/>
    <n v="11"/>
    <s v="2025-12-12 11:45:54"/>
    <s v="3 días 11:45"/>
    <s v="8 días 11:45"/>
    <x v="0"/>
    <s v="SIN DATO"/>
    <s v="SIN DATO"/>
    <s v="SIN DATO"/>
    <s v="ABIERTO"/>
    <n v="-75.637687999999997"/>
    <n v="6.2762840000000004"/>
    <s v="SUR-ENE"/>
    <s v="Metropolitana Sur"/>
  </r>
  <r>
    <s v="23600534"/>
    <s v="ENERES"/>
    <s v="NUEVO"/>
    <s v="ENERES"/>
    <s v="26/11/2025 11:47:50"/>
    <s v="2025-11-26 11:47:50"/>
    <n v="21562918"/>
    <s v="ISABEL CRISTINA CORREA PEÑA"/>
    <s v="SIN DATOS"/>
    <s v="3008248572"/>
    <s v="CL 40 G SUR CR 25 -83 (INTERIOR 202 )"/>
    <x v="5"/>
    <s v="024210705000830202"/>
    <s v="Envigado"/>
    <x v="2"/>
    <s v="Revisor Instal. Regadas Metrosur"/>
    <x v="1"/>
    <n v="7"/>
    <s v="2025-12-05 11:47:50"/>
    <s v="3 días 11:47"/>
    <s v="4 días 11:47"/>
    <x v="0"/>
    <s v="SIN DATO"/>
    <s v="SIN DATO"/>
    <s v="SIN DATO"/>
    <s v="ABIERTO"/>
    <n v="-75.583792680000002"/>
    <n v="6.1537350499999999"/>
    <s v="SUR-ENE"/>
    <s v="Metropolitana Sur"/>
  </r>
  <r>
    <s v="23600540"/>
    <s v="ENEMRT"/>
    <s v="NUEVO"/>
    <s v="ENEMVI"/>
    <s v="26/11/2025 11:49:37"/>
    <s v="2025-11-26 11:49:37"/>
    <n v="6820192"/>
    <s v="CARLOS EMILIO SOTO DUQUE"/>
    <s v="SIN DATOS"/>
    <s v="3136507696"/>
    <s v="CR 129 CL 67 -260 (INTERIOR 168 )"/>
    <x v="2"/>
    <s v="086229007002600168"/>
    <s v="Medellín"/>
    <x v="11"/>
    <s v="METR Mov Red Trans Anderson Castaño"/>
    <x v="1"/>
    <n v="9"/>
    <s v="2025-12-10 11:49:37"/>
    <s v="3 días 11:49"/>
    <s v="6 días 11:49"/>
    <x v="0"/>
    <s v="SIN DATO"/>
    <s v="SIN DATO"/>
    <s v="SIN DATO"/>
    <s v="ABIERTO"/>
    <n v="-75.632484790000007"/>
    <n v="6.2847516900000002"/>
    <s v="SUR-ENE"/>
    <s v="Metropolitana Sur"/>
  </r>
  <r>
    <s v="23600541"/>
    <s v="ENECNX"/>
    <s v="NUEVO"/>
    <s v="ENECNX"/>
    <s v="26/11/2025 11:49:52"/>
    <s v="2025-11-26 11:49:52"/>
    <n v="1035223298"/>
    <s v="GUSTAVO ADOLFO SUAREZ CORREA"/>
    <s v="SIN DATOS"/>
    <s v="3128673069"/>
    <s v="CL 12 C SUR CR 53 -120"/>
    <x v="2"/>
    <s v="041512303001200000"/>
    <s v="Medellín"/>
    <x v="3"/>
    <s v="Revisor Puntos de Conexión Metrosur"/>
    <x v="1"/>
    <n v="4"/>
    <s v="2025-12-02 11:49:52"/>
    <s v="3 días 11:49"/>
    <s v="1 días 11:49"/>
    <x v="1"/>
    <s v="SIN DATO"/>
    <s v="SIN DATO"/>
    <s v="SIN DATO"/>
    <s v="ABIERTO"/>
    <n v="-75.593247000000005"/>
    <n v="6.1970369999999999"/>
    <s v="SUR-ENE"/>
    <s v="Metropolitana Sur"/>
  </r>
  <r>
    <s v="23600548"/>
    <s v="ENECNX"/>
    <s v="NUEVO"/>
    <s v="ENECNX"/>
    <s v="26/11/2025 12:05:08"/>
    <s v="2025-11-26 12:05:08"/>
    <n v="1087547709"/>
    <s v="HECTOR MARIO GALLEGO ACEVEDO"/>
    <s v="SIN DATOS"/>
    <s v="3007452017"/>
    <s v="CL 30 CR 88 B -142 (INTERIOR 111 )"/>
    <x v="2"/>
    <s v="053810008201420111"/>
    <s v="Medellín"/>
    <x v="3"/>
    <s v="Revisor Puntos de Conexión Metrosur"/>
    <x v="1"/>
    <n v="4"/>
    <s v="2025-12-02 12:05:08"/>
    <s v="3 días 12:05"/>
    <s v="1 días 12:05"/>
    <x v="1"/>
    <s v="SIN DATO"/>
    <s v="SIN DATO"/>
    <s v="SIN DATO"/>
    <s v="ABIERTO"/>
    <n v="-75.614163169999998"/>
    <n v="6.2313810700000003"/>
    <s v="SUR-ENE"/>
    <s v="Metropolitana Sur"/>
  </r>
  <r>
    <s v="23600559"/>
    <s v="ENEMRT"/>
    <s v="NUEVO"/>
    <s v="ENEMVI"/>
    <s v="26/11/2025 12:17:42"/>
    <s v="2025-11-26 12:17:42"/>
    <n v="43048532"/>
    <s v="SILVIA MARGARITA SANCHEZ VELASQUEZ"/>
    <s v="SIN DATOS"/>
    <s v="3218298809"/>
    <s v="CR 55 CL 63 C -11"/>
    <x v="1"/>
    <s v="076525003300110000"/>
    <s v="Itaguí"/>
    <x v="11"/>
    <s v="Mov Red Trans Dairo Gil"/>
    <x v="1"/>
    <n v="9"/>
    <s v="2025-12-10 12:17:42"/>
    <s v="3 días 12:17"/>
    <s v="6 días 12:17"/>
    <x v="0"/>
    <s v="SIN DATO"/>
    <s v="SIN DATO"/>
    <s v="SIN DATO"/>
    <s v="ABIERTO"/>
    <n v="-75.603318810000005"/>
    <n v="6.1810467200000003"/>
    <s v="SUR-ENE"/>
    <s v="Metropolitana Sur"/>
  </r>
  <r>
    <s v="23600561"/>
    <s v="ENECNX"/>
    <s v="NUEVO"/>
    <s v="ENECNX"/>
    <s v="26/11/2025 12:19:06"/>
    <s v="2025-11-26 12:19:06"/>
    <n v="70161263"/>
    <s v="JOSE DOLORES LLANOS HERNANDEZ"/>
    <s v="3807753"/>
    <s v="3168148800"/>
    <s v="CL 78 A SUR CR 52 B -136"/>
    <x v="0"/>
    <s v="037518102201360000"/>
    <s v="La Estrella"/>
    <x v="3"/>
    <s v="Revisor Puntos de Conexión Metrosur"/>
    <x v="1"/>
    <n v="4"/>
    <s v="2025-12-02 12:19:06"/>
    <s v="3 días 12:19"/>
    <s v="1 días 12:19"/>
    <x v="1"/>
    <s v="SIN DATO"/>
    <s v="SIN DATO"/>
    <s v="SIN DATO"/>
    <s v="ABIERTO"/>
    <n v="-75.631903550000004"/>
    <n v="6.1577796899999999"/>
    <s v="SUR-ENE"/>
    <s v="Metropolitana Sur"/>
  </r>
  <r>
    <s v="23600565"/>
    <s v="ENECNX"/>
    <s v="NUEVO"/>
    <s v="ENECNX"/>
    <s v="26/11/2025 12:22:12"/>
    <s v="2025-11-26 12:22:12"/>
    <n v="98577796"/>
    <s v="JOHN HENRY SERNA CASTAÑO"/>
    <s v="SIN DATOS"/>
    <s v="3122871814"/>
    <s v="CR 44 CL 39 -45"/>
    <x v="2"/>
    <s v="053424009000450000"/>
    <s v="Medellín"/>
    <x v="3"/>
    <s v="Revisor Puntos de Conexión Metrosur"/>
    <x v="1"/>
    <n v="4"/>
    <s v="2025-12-02 12:22:12"/>
    <s v="3 días 12:22"/>
    <s v="1 días 12:22"/>
    <x v="1"/>
    <s v="SIN DATO"/>
    <s v="SIN DATO"/>
    <s v="SIN DATO"/>
    <s v="ABIERTO"/>
    <n v="-75.568579"/>
    <n v="6.2389590000000004"/>
    <s v="SUR-ENE"/>
    <s v="Metropolitana Sur"/>
  </r>
  <r>
    <s v="23600571"/>
    <s v="ENECNX"/>
    <s v="NUEVO"/>
    <s v="ENECNX"/>
    <s v="26/11/2025 12:29:41"/>
    <s v="2025-11-26 12:29:41"/>
    <n v="1128466617"/>
    <s v="ELIBER ANDRES LOPEZ MEJIA"/>
    <s v="SIN DATOS"/>
    <s v="3016101192"/>
    <s v="CR 52 CL 143 SUR -71"/>
    <x v="3"/>
    <s v="004522003000710000"/>
    <s v="Caldas"/>
    <x v="3"/>
    <s v="Revisor Puntos de Conexión Metrosur"/>
    <x v="1"/>
    <n v="4"/>
    <s v="2025-12-02 12:29:41"/>
    <s v="3 días 12:29"/>
    <s v="1 días 12:29"/>
    <x v="1"/>
    <s v="SIN DATO"/>
    <s v="SIN DATO"/>
    <s v="SIN DATO"/>
    <s v="ABIERTO"/>
    <n v="-75.635759649999997"/>
    <n v="6.0796672899999997"/>
    <s v="SUR-ENE"/>
    <s v="Metropolitana Sur"/>
  </r>
  <r>
    <s v="23600572"/>
    <s v="ENECNX"/>
    <s v="NUEVO"/>
    <s v="ENECNX"/>
    <s v="26/11/2025 12:30:10"/>
    <s v="2025-11-26 12:30:10"/>
    <n v="8345348"/>
    <s v="OLIVERIO DE JESUS ARANGO PEREZ"/>
    <s v="SIN DATOS"/>
    <s v="3136360310"/>
    <s v="CL 37 SUR CR 41 -42"/>
    <x v="5"/>
    <s v="023417001000420000"/>
    <s v="Envigado"/>
    <x v="3"/>
    <s v="Revisor Puntos de Conexión Metrosur"/>
    <x v="1"/>
    <n v="4"/>
    <s v="2025-12-02 12:30:10"/>
    <s v="3 días 12:30"/>
    <s v="1 días 12:30"/>
    <x v="1"/>
    <s v="SIN DATO"/>
    <s v="SIN DATO"/>
    <s v="SIN DATO"/>
    <s v="ABIERTO"/>
    <n v="-75.586495479999996"/>
    <n v="6.1701203700000002"/>
    <s v="SUR-ENE"/>
    <s v="Metropolitana Sur"/>
  </r>
  <r>
    <s v="23600596"/>
    <s v="ENECNX"/>
    <s v="NUEVO"/>
    <s v="ENECNX"/>
    <s v="26/11/2025 13:02:07"/>
    <s v="2025-11-26 13:02:07"/>
    <n v="98458346"/>
    <s v="ELKIN ALFONSO QUIROZ AGUDELO"/>
    <s v="5886883"/>
    <s v="3204754508"/>
    <s v="CL 35 SUR CR 43 -63"/>
    <x v="5"/>
    <s v="023415003000630000"/>
    <s v="Envigado"/>
    <x v="3"/>
    <s v="Revisor Puntos de Conexión Metrosur"/>
    <x v="1"/>
    <n v="4"/>
    <s v="2025-12-02 13:02:07"/>
    <s v="3 días 13:02"/>
    <s v="1 días 13:02"/>
    <x v="1"/>
    <s v="SIN DATO"/>
    <s v="SIN DATO"/>
    <s v="SIN DATO"/>
    <s v="ABIERTO"/>
    <n v="-75.587126560000002"/>
    <n v="6.1722332299999998"/>
    <s v="SUR-ENE"/>
    <s v="Metropolitana Sur"/>
  </r>
  <r>
    <s v="23600639"/>
    <s v="ENEPRE"/>
    <s v="NUEVO"/>
    <s v="ENEPRE"/>
    <s v="26/11/2025 13:04:00"/>
    <s v="2025-11-26 13:04:00"/>
    <n v="1036395606"/>
    <s v="FLOR DINENCY OROZCO LOAIZA"/>
    <s v="SIN DATOS"/>
    <s v="3103724577"/>
    <s v="CL 56 E CR 17 B -3 (INTERIOR 301 )"/>
    <x v="2"/>
    <s v="055116507200030301"/>
    <s v="Medellín"/>
    <x v="6"/>
    <s v="Energía Prepago Metrosur"/>
    <x v="1"/>
    <n v="11"/>
    <s v="2025-12-12 13:04:00"/>
    <s v="3 días 13:04"/>
    <s v="8 días 13:04"/>
    <x v="0"/>
    <s v="SIN DATO"/>
    <s v="SIN DATO"/>
    <s v="SIN DATO"/>
    <s v="ABIERTO"/>
    <n v="-75.540361680000004"/>
    <n v="6.2419703799999997"/>
    <s v="SUR-ENE"/>
    <s v="Metropolitana Sur"/>
  </r>
  <r>
    <s v="23600659"/>
    <s v="ENECNX"/>
    <s v="NUEVO"/>
    <s v="ENECNX"/>
    <s v="26/11/2025 13:05:39"/>
    <s v="2025-11-26 13:05:39"/>
    <n v="15252659"/>
    <s v="NELSON DE JESUS VANEGAS MARTINEZ"/>
    <s v="2783238"/>
    <s v="3137677943"/>
    <s v="CR 45 CL 125 SUR -201 (INTERIOR 203 )"/>
    <x v="3"/>
    <s v="002425005002010203"/>
    <s v="Caldas"/>
    <x v="3"/>
    <s v="Revisor Puntos de Conexión Metrosur"/>
    <x v="1"/>
    <n v="4"/>
    <s v="2025-12-02 13:05:39"/>
    <s v="3 días 13:05"/>
    <s v="1 días 13:05"/>
    <x v="1"/>
    <s v="SIN DATO"/>
    <s v="SIN DATO"/>
    <s v="SIN DATO"/>
    <s v="ABIERTO"/>
    <n v="-75.631940999999998"/>
    <n v="6.0946889999999998"/>
    <s v="SUR-ENE"/>
    <s v="Metropolitana Sur"/>
  </r>
  <r>
    <s v="23600665"/>
    <s v="ENECNX"/>
    <s v="NUEVO"/>
    <s v="ENECNX"/>
    <s v="26/11/2025 13:09:34"/>
    <s v="2025-11-26 13:09:34"/>
    <n v="71993207"/>
    <s v="JULIAN ANDRES GRANADA RESTREPO"/>
    <s v="8553354"/>
    <s v="3002126563"/>
    <s v="TRAN 32 E DIAG 74 D -69"/>
    <x v="2"/>
    <s v="053792504400690000"/>
    <s v="Medellín"/>
    <x v="3"/>
    <s v="Revisor Puntos de Conexión Metrosur"/>
    <x v="1"/>
    <n v="4"/>
    <s v="2025-12-02 13:09:34"/>
    <s v="3 días 13:09"/>
    <s v="1 días 13:09"/>
    <x v="1"/>
    <s v="SIN DATO"/>
    <s v="SIN DATO"/>
    <s v="SIN DATO"/>
    <s v="ABIERTO"/>
    <n v="-75.594006539999995"/>
    <n v="6.2377761300000003"/>
    <s v="SUR-ENE"/>
    <s v="Metropolitana Sur"/>
  </r>
  <r>
    <s v="23600683"/>
    <s v="ENEMRT"/>
    <s v="NUEVO"/>
    <s v="ENEMVI"/>
    <s v="26/11/2025 13:12:37"/>
    <s v="2025-11-26 13:12:37"/>
    <n v="43996449"/>
    <s v="MARTA CECILIA BENAVIDES GALVIS"/>
    <s v="SIN DATOS"/>
    <s v="3052083833"/>
    <s v="CL 56 BB CR 20 C -1 (INTERIOR 202 )"/>
    <x v="2"/>
    <s v="055216220300010202"/>
    <s v="Medellín"/>
    <x v="11"/>
    <s v="METR Mov Red Trans Anderson Castaño"/>
    <x v="1"/>
    <n v="9"/>
    <s v="2025-12-10 13:12:37"/>
    <s v="3 días 13:12"/>
    <s v="6 días 13:12"/>
    <x v="0"/>
    <s v="SIN DATO"/>
    <s v="SIN DATO"/>
    <s v="SIN DATO"/>
    <s v="ABIERTO"/>
    <n v="-75.541744510000001"/>
    <n v="6.2411347199999998"/>
    <s v="SUR-ENE"/>
    <s v="Metropolitana Sur"/>
  </r>
  <r>
    <s v="23600686"/>
    <s v="ENECNX"/>
    <s v="NUEVO"/>
    <s v="ENECNX"/>
    <s v="26/11/2025 13:17:18"/>
    <s v="2025-11-26 13:17:18"/>
    <n v="901575134"/>
    <s v="PROMOTORA BRISAS DEL VALLE SAS"/>
    <s v="SIN DATOS"/>
    <s v="3148873658"/>
    <s v="CL 82 SUR CR 35 -1"/>
    <x v="4"/>
    <s v="018312005000010000"/>
    <s v="Sabaneta"/>
    <x v="3"/>
    <s v="Revisor Puntos de Conexión Metrosur"/>
    <x v="1"/>
    <n v="4"/>
    <s v="2025-12-02 13:17:18"/>
    <s v="3 días 13:17"/>
    <s v="1 días 13:17"/>
    <x v="1"/>
    <s v="SIN DATO"/>
    <s v="SIN DATO"/>
    <s v="SIN DATO"/>
    <s v="ABIERTO"/>
    <n v="-75.609673309000001"/>
    <n v="6.1384108720000699"/>
    <s v="SUR-ENE"/>
    <s v="Metropolitana Sur"/>
  </r>
  <r>
    <s v="23600701"/>
    <s v="ENERES"/>
    <s v="NUEVO"/>
    <s v="ENERES"/>
    <s v="26/11/2025 13:27:52"/>
    <s v="2025-11-26 13:27:52"/>
    <n v="98523880"/>
    <s v="RAUL FARID RAVE HERNANDEZ"/>
    <s v="SIN DATOS"/>
    <s v="3136192350"/>
    <s v="CL 39 F CR 115 A -149 (INTERIOR 301 )"/>
    <x v="2"/>
    <s v="083119605101490301"/>
    <s v="Medellín"/>
    <x v="2"/>
    <s v="Revisor Instal. Regadas Metrosur"/>
    <x v="1"/>
    <n v="7"/>
    <s v="2025-12-05 13:27:52"/>
    <s v="3 días 13:27"/>
    <s v="4 días 13:27"/>
    <x v="0"/>
    <s v="SIN DATO"/>
    <s v="SIN DATO"/>
    <s v="SIN DATO"/>
    <s v="ABIERTO"/>
    <n v="-75.626980849999995"/>
    <n v="6.2550836500000004"/>
    <s v="SUR-ENE"/>
    <s v="Metropolitana Sur"/>
  </r>
  <r>
    <s v="23600714"/>
    <s v="ENEMRT"/>
    <s v="NUEVO"/>
    <s v="ENEMVI"/>
    <s v="26/11/2025 13:36:52"/>
    <s v="2025-11-26 13:36:52"/>
    <n v="1128481683"/>
    <s v="YESICA JOHANA ALVAREZ"/>
    <s v="SIN DATOS"/>
    <s v="3002430152"/>
    <s v="CR 118 CL 36 C -98"/>
    <x v="2"/>
    <s v="083128006300980000"/>
    <s v="Medellín"/>
    <x v="11"/>
    <s v="METR Mov Red Trans Anderson Castaño"/>
    <x v="1"/>
    <n v="9"/>
    <s v="2025-12-10 13:36:52"/>
    <s v="3 días 13:36"/>
    <s v="6 días 13:36"/>
    <x v="0"/>
    <s v="SIN DATO"/>
    <s v="SIN DATO"/>
    <s v="SIN DATO"/>
    <s v="ABIERTO"/>
    <n v="-75.629370120000004"/>
    <n v="6.2494074399999997"/>
    <s v="SUR-ENE"/>
    <s v="Metropolitana Sur"/>
  </r>
  <r>
    <s v="23600717"/>
    <s v="ENECNX"/>
    <s v="NUEVO"/>
    <s v="ENECNX"/>
    <s v="26/11/2025 13:39:04"/>
    <s v="2025-11-26 13:39:04"/>
    <n v="43927389"/>
    <s v="CLAUDIA PATRICIA MONTOYA ESPINAL"/>
    <s v="2538885"/>
    <s v="3016084879"/>
    <s v="CL 40 CR 88 -115"/>
    <x v="2"/>
    <s v="054810008001150000"/>
    <s v="Medellín"/>
    <x v="3"/>
    <s v="Revisor Puntos de Conexión Metrosur"/>
    <x v="1"/>
    <n v="4"/>
    <s v="2025-12-02 13:39:04"/>
    <s v="3 días 13:39"/>
    <s v="1 días 13:39"/>
    <x v="1"/>
    <s v="SIN DATO"/>
    <s v="SIN DATO"/>
    <s v="SIN DATO"/>
    <s v="ABIERTO"/>
    <n v="-75.60906808"/>
    <n v="6.2496924800000002"/>
    <s v="SUR-ENE"/>
    <s v="Metropolitana Sur"/>
  </r>
  <r>
    <s v="23600730"/>
    <s v="ENERES"/>
    <s v="NUEVO"/>
    <s v="ENERES"/>
    <s v="26/11/2025 13:47:46"/>
    <s v="2025-11-26 13:47:46"/>
    <n v="98773868"/>
    <s v="JUAN ESTEBAN ACOSTA MONSALVE"/>
    <s v="SIN DATOS"/>
    <s v="3218114859"/>
    <s v="CR 39 CL 50 -20 (INTERIOR 702 )"/>
    <x v="2"/>
    <s v="055329000000200702"/>
    <s v="Medellín"/>
    <x v="2"/>
    <s v="METROSUR Vin. Leg. Ref. Concentrada"/>
    <x v="1"/>
    <n v="7"/>
    <s v="2025-12-05 13:47:46"/>
    <s v="3 días 13:47"/>
    <s v="4 días 13:47"/>
    <x v="0"/>
    <s v="SIN DATO"/>
    <s v="SIN DATO"/>
    <s v="SIN DATO"/>
    <s v="ABIERTO"/>
    <n v="-75.559336999999999"/>
    <n v="6.2456189999999996"/>
    <s v="SUR-ENE"/>
    <s v="Metropolitana Sur"/>
  </r>
  <r>
    <s v="23600733"/>
    <s v="ENERES"/>
    <s v="NUEVO"/>
    <s v="ENERES"/>
    <s v="26/11/2025 13:50:08"/>
    <s v="2025-11-26 13:50:08"/>
    <n v="98773868"/>
    <s v="JUAN ESTEBAN ACOSTA MONSALVE"/>
    <s v="SIN DATOS"/>
    <s v="3007524342"/>
    <s v="CR 39 CL 50 -20 (INTERIOR 701 )"/>
    <x v="2"/>
    <s v="055329000000200701"/>
    <s v="Medellín"/>
    <x v="2"/>
    <s v="METROSUR Vin. Leg. Ref. Concentrada"/>
    <x v="1"/>
    <n v="7"/>
    <s v="2025-12-05 13:50:08"/>
    <s v="3 días 13:50"/>
    <s v="4 días 13:50"/>
    <x v="0"/>
    <s v="SIN DATO"/>
    <s v="SIN DATO"/>
    <s v="SIN DATO"/>
    <s v="ABIERTO"/>
    <n v="-75.559336999999999"/>
    <n v="6.2456189999999996"/>
    <s v="SUR-ENE"/>
    <s v="Metropolitana Sur"/>
  </r>
  <r>
    <s v="23600735"/>
    <s v="ENERES"/>
    <s v="NUEVO"/>
    <s v="ENEDOM"/>
    <s v="26/11/2025 13:51:27"/>
    <s v="2025-11-26 13:51:27"/>
    <n v="1017164470"/>
    <s v="LIBETH CRISTINA CAUSADO OSORNO"/>
    <s v="4911042"/>
    <s v="3146002209"/>
    <s v="CR 99 EE CL 49 AA -81 (INTERIOR 202 )"/>
    <x v="2"/>
    <s v="054929559110810202"/>
    <s v="Medellín"/>
    <x v="0"/>
    <s v="Habilitación Viviendas Metrosur"/>
    <x v="1"/>
    <n v="5"/>
    <s v="2025-12-03 13:51:27"/>
    <s v="3 días 13:51"/>
    <s v="2 días 13:51"/>
    <x v="1"/>
    <s v="SIN DATO"/>
    <s v="SIN DATO"/>
    <s v="SIN DATO"/>
    <s v="ABIERTO"/>
    <n v="-75.612960240000007"/>
    <n v="6.2676801299999996"/>
    <s v="SUR-ENE"/>
    <s v="Metropolitana Sur"/>
  </r>
  <r>
    <s v="23600736"/>
    <s v="ENEMRT"/>
    <s v="NUEVO"/>
    <s v="ENEMVI"/>
    <s v="26/11/2025 13:51:36"/>
    <s v="2025-11-26 13:51:36"/>
    <n v="1017222720"/>
    <s v="OSCAR MARIO RESTREPO HOYOS"/>
    <s v="3013390"/>
    <s v="3013390592"/>
    <s v="CL 44 CR 31 -11"/>
    <x v="2"/>
    <s v="054314001000110000"/>
    <s v="Medellín"/>
    <x v="11"/>
    <s v="METR Mov Red Trans Anderson Castaño"/>
    <x v="1"/>
    <n v="9"/>
    <s v="2025-12-10 13:51:36"/>
    <s v="3 días 13:51"/>
    <s v="6 días 13:51"/>
    <x v="0"/>
    <s v="SIN DATO"/>
    <s v="SIN DATO"/>
    <s v="SIN DATO"/>
    <s v="ABIERTO"/>
    <n v="-75.555615950000004"/>
    <n v="6.2377446699999997"/>
    <s v="SUR-ENE"/>
    <s v="Metropolitana Sur"/>
  </r>
  <r>
    <s v="23600737"/>
    <s v="ENENOR"/>
    <s v="CAMBI"/>
    <s v="ENENOR"/>
    <s v="26/11/2025 13:53:30"/>
    <s v="2025-11-26 13:53:30"/>
    <n v="1017132444"/>
    <s v="ANA CAROLINA BETANCUR GAVIRIA"/>
    <s v="6043053"/>
    <s v="3053039439"/>
    <s v="CL 126 SUR CR 40 -155 (INTERIOR 120 )"/>
    <x v="3"/>
    <s v="002416000001550120"/>
    <s v="Caldas"/>
    <x v="1"/>
    <s v="MET Rev-Inst-Concentra E_CR014"/>
    <x v="1"/>
    <n v="7"/>
    <s v="2025-12-05 13:53:30"/>
    <s v="3 días 13:53"/>
    <s v="4 días 13:53"/>
    <x v="0"/>
    <s v="SIN DATO"/>
    <s v="SIN DATO"/>
    <s v="SIN DATO"/>
    <s v="ABIERTO"/>
    <n v="-75.626904001"/>
    <n v="6.0546154810000399"/>
    <s v="SUR-ENE"/>
    <s v="Metropolitana Sur"/>
  </r>
  <r>
    <s v="23600772"/>
    <s v="ENECNX"/>
    <s v="NUEVO"/>
    <s v="ENECNX"/>
    <s v="26/11/2025 14:24:30"/>
    <s v="2025-11-26 14:24:30"/>
    <n v="73127077"/>
    <s v="JORGE ALBERTO PEREZ MARTIN"/>
    <s v="5820206"/>
    <s v="3006525034"/>
    <s v="CR 81 C CL 49 F -62"/>
    <x v="2"/>
    <s v="054821309600620000"/>
    <s v="Medellín"/>
    <x v="3"/>
    <s v="Revisor Puntos de Conexión Metrosur"/>
    <x v="1"/>
    <n v="4"/>
    <s v="2025-12-02 14:24:30"/>
    <s v="3 días 14:24"/>
    <s v="1 días 14:24"/>
    <x v="1"/>
    <s v="SIN DATO"/>
    <s v="SIN DATO"/>
    <s v="SIN DATO"/>
    <s v="ABIERTO"/>
    <n v="-75.599769879999997"/>
    <n v="6.2639913500000004"/>
    <s v="SUR-ENE"/>
    <s v="Metropolitana Sur"/>
  </r>
  <r>
    <s v="23600773"/>
    <s v="ENECNX"/>
    <s v="NUEVO"/>
    <s v="ENECNX"/>
    <s v="26/11/2025 14:28:47"/>
    <s v="2025-11-26 14:28:47"/>
    <n v="1039475322"/>
    <s v="KRISTIAN HERNANDEZ JARAMILLO"/>
    <s v="SIN DATOS"/>
    <s v="3012590569"/>
    <s v="CL 130 SUR CR 56 -310 (INTERIOR 152 )"/>
    <x v="3"/>
    <s v="003510006003100152"/>
    <s v="Caldas"/>
    <x v="3"/>
    <s v="Revisor Puntos de Conexión Metrosur"/>
    <x v="1"/>
    <n v="4"/>
    <s v="2025-12-02 14:28:47"/>
    <s v="3 días 14:28"/>
    <s v="1 días 14:28"/>
    <x v="1"/>
    <s v="SIN DATO"/>
    <s v="SIN DATO"/>
    <s v="SIN DATO"/>
    <s v="ABIERTO"/>
    <n v="-75.641144679999996"/>
    <n v="6.08799724"/>
    <s v="SUR-ENE"/>
    <s v="Metropolitana Sur"/>
  </r>
  <r>
    <s v="23600775"/>
    <s v="ENECNX"/>
    <s v="NUEVO"/>
    <s v="ENECNX"/>
    <s v="26/11/2025 14:29:37"/>
    <s v="2025-11-26 14:29:37"/>
    <n v="71718593"/>
    <s v="JUAN CARLOS AMAYA RAMIREZ"/>
    <s v="5992224"/>
    <s v="3206973382"/>
    <s v="CR 65 CL 35 -36"/>
    <x v="1"/>
    <s v="073625005000360000"/>
    <s v="Itaguí"/>
    <x v="3"/>
    <s v="Revisor Puntos de Conexión Metrosur"/>
    <x v="1"/>
    <n v="4"/>
    <s v="2025-12-02 14:29:37"/>
    <s v="3 días 14:29"/>
    <s v="1 días 14:29"/>
    <x v="1"/>
    <s v="SIN DATO"/>
    <s v="SIN DATO"/>
    <s v="SIN DATO"/>
    <s v="ABIERTO"/>
    <n v="-75.629686849999999"/>
    <n v="6.1716111500000004"/>
    <s v="SUR-ENE"/>
    <s v="Metropolitana Sur"/>
  </r>
  <r>
    <s v="23600776"/>
    <s v="ENERES"/>
    <s v="NUEVO"/>
    <s v="ENERES"/>
    <s v="26/11/2025 14:29:49"/>
    <s v="2025-11-26 14:29:49"/>
    <n v="98521010"/>
    <s v="JORGE ALONSO CAÑON HENAO"/>
    <s v="SIN DATOS"/>
    <s v="3216389115"/>
    <s v="CL 26 SUR CR 22 -50 (INTERIOR 114 )"/>
    <x v="5"/>
    <s v="022216002000500114"/>
    <s v="Envigado"/>
    <x v="2"/>
    <s v="Revisor Instal. Regadas Metrosur"/>
    <x v="1"/>
    <n v="7"/>
    <s v="2025-12-05 14:29:49"/>
    <s v="3 días 14:29"/>
    <s v="4 días 14:29"/>
    <x v="0"/>
    <s v="SIN DATO"/>
    <s v="SIN DATO"/>
    <s v="SIN DATO"/>
    <s v="ABIERTO"/>
    <n v="-75.563266999999996"/>
    <n v="6.1705810000000003"/>
    <s v="SUR-ENE"/>
    <s v="Metropolitana Sur"/>
  </r>
  <r>
    <s v="23600790"/>
    <s v="ENERES"/>
    <s v="NUEVO"/>
    <s v="ENEDOM"/>
    <s v="26/11/2025 14:39:55"/>
    <s v="2025-11-26 14:39:55"/>
    <n v="43001138"/>
    <s v="MARIA OFELIA GOMEZ DE RUIZ"/>
    <s v="SIN DATOS"/>
    <s v="3217472558"/>
    <s v="CL 56 A CR 25 BB -76 (INTERIOR 328 )"/>
    <x v="2"/>
    <s v="055216105220760328"/>
    <s v="Medellín"/>
    <x v="0"/>
    <s v="Habilitación Viviendas Metrosur"/>
    <x v="1"/>
    <n v="5"/>
    <s v="2025-12-03 14:39:55"/>
    <s v="3 días 14:39"/>
    <s v="2 días 14:39"/>
    <x v="1"/>
    <s v="SIN DATO"/>
    <s v="SIN DATO"/>
    <s v="SIN DATO"/>
    <s v="ABIERTO"/>
    <n v="-75.544512999999995"/>
    <n v="6.2473419999999997"/>
    <s v="SUR-ENE"/>
    <s v="Metropolitana Sur"/>
  </r>
  <r>
    <s v="23600794"/>
    <s v="ENEPRE"/>
    <s v="RETIR"/>
    <s v="ENEPRE"/>
    <s v="26/11/2025 14:44:04"/>
    <s v="2025-11-26 14:44:04"/>
    <n v="42746366"/>
    <s v="AURA ROSA RODRIGUEZ ACEVEDO"/>
    <s v="SIN DATOS"/>
    <s v="3014113600"/>
    <s v="CR 55 B CL 55 -36 (INTERIOR 210 )"/>
    <x v="1"/>
    <s v="075525205000360210-ENEPRE"/>
    <s v="Itaguí"/>
    <x v="8"/>
    <s v="Energía Prepago Metrosur"/>
    <x v="1"/>
    <n v="11"/>
    <s v="2025-12-12 14:44:04"/>
    <s v="3 días 14:44"/>
    <s v="8 días 14:44"/>
    <x v="0"/>
    <s v="SIN DATO"/>
    <s v="SIN DATO"/>
    <s v="SIN DATO"/>
    <s v="ABIERTO"/>
    <n v="-75.607757669999998"/>
    <n v="6.1771097800000003"/>
    <s v="SUR-ENE"/>
    <s v="Metropolitana Sur"/>
  </r>
  <r>
    <s v="23600817"/>
    <s v="ENEMRT"/>
    <s v="NUEVO"/>
    <s v="ENEMVI"/>
    <s v="26/11/2025 15:05:58"/>
    <s v="2025-11-26 15:05:58"/>
    <n v="1039290815"/>
    <s v="ALVARO DIEL SANCHEZ VARELAS"/>
    <s v="SIN DATOS"/>
    <s v="3226673519"/>
    <s v="CR 99 CD CL 49 A -118 (INTERIOR 206 )"/>
    <x v="2"/>
    <s v="054929349101180206"/>
    <s v="Medellín"/>
    <x v="11"/>
    <s v="METR Mov Red Trans Anderson Castaño"/>
    <x v="1"/>
    <n v="9"/>
    <s v="2025-12-10 15:05:58"/>
    <s v="3 días 15:05"/>
    <s v="6 días 15:05"/>
    <x v="0"/>
    <s v="SIN DATO"/>
    <s v="SIN DATO"/>
    <s v="SIN DATO"/>
    <s v="ABIERTO"/>
    <n v="-75.612078999999994"/>
    <n v="6.2659789999999997"/>
    <s v="SUR-ENE"/>
    <s v="Metropolitana Sur"/>
  </r>
  <r>
    <s v="23600829"/>
    <s v="ENERES"/>
    <s v="NUEVO"/>
    <s v="ENEDOM"/>
    <s v="26/11/2025 15:16:29"/>
    <s v="2025-11-26 15:16:29"/>
    <n v="82382561"/>
    <s v="JOSE EVARISTO TORRES GIRON"/>
    <s v="SIN DATOS"/>
    <s v="3225218349"/>
    <s v="CL 56 A CR 25 BB -76 (INTERIOR 280 )"/>
    <x v="2"/>
    <s v="055216105220760280"/>
    <s v="Medellín"/>
    <x v="0"/>
    <s v="Habilitación Viviendas Metrosur"/>
    <x v="1"/>
    <n v="5"/>
    <s v="2025-12-03 15:16:29"/>
    <s v="3 días 15:16"/>
    <s v="2 días 15:16"/>
    <x v="1"/>
    <s v="SIN DATO"/>
    <s v="SIN DATO"/>
    <s v="SIN DATO"/>
    <s v="ABIERTO"/>
    <n v="-75.544512999999995"/>
    <n v="6.2473419999999997"/>
    <s v="SUR-ENE"/>
    <s v="Metropolitana Sur"/>
  </r>
  <r>
    <s v="23600836"/>
    <s v="ENERES"/>
    <s v="NUEVO"/>
    <s v="ENEDOM"/>
    <s v="26/11/2025 15:19:55"/>
    <s v="2025-11-26 15:19:55"/>
    <n v="1193117724"/>
    <s v="LUISA FERNANDA ZAPATA ALVAREZ"/>
    <s v="SIN DATOS"/>
    <s v="3008657235"/>
    <s v="CL 56 A CR 25 BB -76 (INTERIOR 119 )"/>
    <x v="2"/>
    <s v="055216105220760119"/>
    <s v="Medellín"/>
    <x v="0"/>
    <s v="Habilitación Viviendas Metrosur"/>
    <x v="1"/>
    <n v="5"/>
    <s v="2025-12-03 15:19:55"/>
    <s v="3 días 15:19"/>
    <s v="2 días 15:19"/>
    <x v="1"/>
    <s v="SIN DATO"/>
    <s v="SIN DATO"/>
    <s v="SIN DATO"/>
    <s v="ABIERTO"/>
    <n v="-75.544512999999995"/>
    <n v="6.2473419999999997"/>
    <s v="SUR-ENE"/>
    <s v="Metropolitana Sur"/>
  </r>
  <r>
    <s v="23600849"/>
    <s v="ENENOR"/>
    <s v="NUEVO"/>
    <s v="ENENOR"/>
    <s v="26/11/2025 15:30:50"/>
    <s v="2025-11-26 15:30:50"/>
    <n v="900416677"/>
    <s v="ASOMIELRODAS"/>
    <s v="SIN DATOS"/>
    <s v="3508754669"/>
    <s v="RURAL_166055080500000300_VEREDA EL ESCOBERO LOTE 1"/>
    <x v="5"/>
    <s v="166055080500000300"/>
    <s v="Envigado"/>
    <x v="4"/>
    <s v="Revisor Instal. Regadas Metrosur"/>
    <x v="0"/>
    <n v="10"/>
    <s v="2025-12-11 15:30:50"/>
    <s v="3 días 15:30"/>
    <s v="7 días 15:30"/>
    <x v="0"/>
    <s v="SIN DATO"/>
    <s v="SIN DATO"/>
    <s v="SIN DATO"/>
    <s v="ABIERTO"/>
    <n v="-75.556499000000002"/>
    <n v="6.1389630000000004"/>
    <s v="SUR-ENE"/>
    <s v="Metropolitana Sur"/>
  </r>
  <r>
    <s v="23600852"/>
    <s v="ENERES"/>
    <s v="NUEVO"/>
    <s v="ENEDOM"/>
    <s v="26/11/2025 15:31:52"/>
    <s v="2025-11-26 15:31:52"/>
    <n v="15430443"/>
    <s v="JUAN DIEGO RAVE CRUZ"/>
    <s v="SIN DATOS"/>
    <s v="3226043282"/>
    <s v="RURAL_122040550000000101_VEREDA EL LLANO"/>
    <x v="2"/>
    <s v="122040550000000101"/>
    <s v="Medellín"/>
    <x v="0"/>
    <s v="Habilitación Viviendas Metrosur"/>
    <x v="0"/>
    <n v="8"/>
    <s v="2025-12-09 15:31:52"/>
    <s v="3 días 15:31"/>
    <s v="5 días 15:31"/>
    <x v="0"/>
    <s v="SIN DATO"/>
    <s v="SIN DATO"/>
    <s v="SIN DATO"/>
    <s v="ABIERTO"/>
    <n v="-75.496141050000006"/>
    <n v="6.2050762300000004"/>
    <s v="SUR-ENE"/>
    <s v="Metropolitana Sur"/>
  </r>
  <r>
    <s v="23600853"/>
    <s v="ENERES"/>
    <s v="NUEVO"/>
    <s v="ENERES"/>
    <s v="26/11/2025 15:31:53"/>
    <s v="2025-11-26 15:31:53"/>
    <n v="2773807"/>
    <s v="FRANCISCO JAVIER URREA TRUJILLO"/>
    <s v="3013874"/>
    <s v="3006245091"/>
    <s v="RURAL_167060700000000001_PROV.RURAL_16706070000000"/>
    <x v="4"/>
    <s v="167060700000000001"/>
    <s v="Sabaneta"/>
    <x v="2"/>
    <s v="Revisor Instal. Regadas Metrosur"/>
    <x v="0"/>
    <n v="10"/>
    <s v="2025-12-11 15:31:53"/>
    <s v="3 días 15:31"/>
    <s v="7 días 15:31"/>
    <x v="0"/>
    <s v="SIN DATO"/>
    <s v="SIN DATO"/>
    <s v="SIN DATO"/>
    <s v="ABIERTO"/>
    <n v="-75.619093050000004"/>
    <n v="6.1294888299999997"/>
    <s v="SUR-ENE"/>
    <s v="Metropolitana Sur"/>
  </r>
  <r>
    <s v="23600866"/>
    <s v="ENEPRE"/>
    <s v="NUEVO"/>
    <s v="ENEPRE"/>
    <s v="26/11/2025 15:40:25"/>
    <s v="2025-11-26 15:40:25"/>
    <n v="38251179"/>
    <s v="MARIA CONSUELO VAHOS QUICENO"/>
    <s v="SIN DATOS"/>
    <s v="3207374277"/>
    <s v="CL 48 FA CR 102 A -26 (INTERIOR 301 )"/>
    <x v="2"/>
    <s v="084018612100260301"/>
    <s v="Medellín"/>
    <x v="0"/>
    <s v="Energía Prepago Metrosur"/>
    <x v="1"/>
    <n v="5"/>
    <s v="2025-12-03 15:40:25"/>
    <s v="3 días 15:40"/>
    <s v="2 días 15:40"/>
    <x v="1"/>
    <s v="SIN DATO"/>
    <s v="SIN DATO"/>
    <s v="SIN DATO"/>
    <s v="ABIERTO"/>
    <n v="-75.616311999999994"/>
    <n v="6.2625929999999999"/>
    <s v="SUR-ENE"/>
    <s v="Metropolitana Sur"/>
  </r>
  <r>
    <s v="23600906"/>
    <s v="ENERES"/>
    <s v="NUEVO"/>
    <s v="ENERES"/>
    <s v="26/11/2025 16:04:27"/>
    <s v="2025-11-26 16:04:27"/>
    <n v="1017179778"/>
    <s v="MALORI GISELA RIOS CHALARCA"/>
    <s v="SIN DATOS"/>
    <s v="3217271865"/>
    <s v="CR 27 CL 59 -98 (INTERIOR 201 )"/>
    <x v="2"/>
    <s v="055227009000980201"/>
    <s v="Medellín"/>
    <x v="2"/>
    <s v="Revisor Instal. Regadas Metrosur"/>
    <x v="1"/>
    <n v="7"/>
    <s v="2025-12-05 16:04:27"/>
    <s v="3 días 16:04"/>
    <s v="4 días 16:04"/>
    <x v="0"/>
    <s v="SIN DATO"/>
    <s v="SIN DATO"/>
    <s v="SIN DATO"/>
    <s v="ABIERTO"/>
    <n v="-75.548352789999996"/>
    <n v="6.2519059800000001"/>
    <s v="SUR-ENE"/>
    <s v="Metropolitana Sur"/>
  </r>
  <r>
    <s v="23600918"/>
    <s v="ENERES"/>
    <s v="NUEVO"/>
    <s v="ENEDOM"/>
    <s v="26/11/2025 16:12:25"/>
    <s v="2025-11-26 16:12:25"/>
    <n v="8202343"/>
    <s v="JACKSON JOSE SANCHEZ MOSQUERA"/>
    <s v="SIN DATOS"/>
    <s v="3105142953"/>
    <s v="CL 49 B CR 99 B -218 (INTERIOR 103 )"/>
    <x v="2"/>
    <s v="054919209202180103"/>
    <s v="Medellín"/>
    <x v="0"/>
    <s v="Habilitación Viviendas Metrosur"/>
    <x v="1"/>
    <n v="5"/>
    <s v="2025-12-03 16:12:25"/>
    <s v="3 días 16:12"/>
    <s v="2 días 16:12"/>
    <x v="1"/>
    <s v="SIN DATO"/>
    <s v="SIN DATO"/>
    <s v="SIN DATO"/>
    <s v="ABIERTO"/>
    <n v="-75.611996000000005"/>
    <n v="6.2673629999999996"/>
    <s v="SUR-ENE"/>
    <s v="Metropolitana Sur"/>
  </r>
  <r>
    <s v="23600947"/>
    <s v="ENERES"/>
    <s v="NUEVO"/>
    <s v="ENERES"/>
    <s v="26/11/2025 16:36:53"/>
    <s v="2025-11-26 16:36:53"/>
    <n v="39168369"/>
    <s v="ESTRELLA MEJIA VELEZ"/>
    <s v="2783930"/>
    <s v="3147139110"/>
    <s v="CR 50 CL 113 SUR -64 (INTERIOR 356 )"/>
    <x v="3"/>
    <s v="001520003000640356"/>
    <s v="Caldas"/>
    <x v="2"/>
    <s v="METROSUR Vin. Leg. Ref. Concentrada"/>
    <x v="1"/>
    <n v="7"/>
    <s v="2025-12-05 16:36:53"/>
    <s v="3 días 16:36"/>
    <s v="4 días 16:36"/>
    <x v="0"/>
    <s v="SIN DATO"/>
    <s v="SIN DATO"/>
    <s v="SIN DATO"/>
    <s v="ABIERTO"/>
    <n v="-75.635645060000002"/>
    <n v="6.1059666699999999"/>
    <s v="SUR-ENE"/>
    <s v="Metropolitana Sur"/>
  </r>
  <r>
    <s v="23600949"/>
    <s v="ENERES"/>
    <s v="NUEVO"/>
    <s v="ENERES"/>
    <s v="26/11/2025 16:37:10"/>
    <s v="2025-11-26 16:37:10"/>
    <n v="39168369"/>
    <s v="ESTRELLA MEJIA VELEZ"/>
    <s v="2783930"/>
    <s v="3147139110"/>
    <s v="CR 50 CL 113 SUR -64 (INTERIOR 256 )"/>
    <x v="3"/>
    <s v="001520003000640256"/>
    <s v="Caldas"/>
    <x v="2"/>
    <s v="METROSUR Vin. Leg. Ref. Concentrada"/>
    <x v="1"/>
    <n v="7"/>
    <s v="2025-12-05 16:37:10"/>
    <s v="3 días 16:37"/>
    <s v="4 días 16:37"/>
    <x v="0"/>
    <s v="SIN DATO"/>
    <s v="SIN DATO"/>
    <s v="SIN DATO"/>
    <s v="ABIERTO"/>
    <n v="-75.635645060000002"/>
    <n v="6.1059666699999999"/>
    <s v="SUR-ENE"/>
    <s v="Metropolitana Sur"/>
  </r>
  <r>
    <s v="23600964"/>
    <s v="ENENOR"/>
    <s v="NUEVO"/>
    <s v="ENENOR"/>
    <s v="26/11/2025 16:51:16"/>
    <s v="2025-11-26 16:51:16"/>
    <n v="811012208"/>
    <s v="ENVIASEO E.S.P."/>
    <s v="4032000"/>
    <s v="3014809239"/>
    <s v="CR 38 CL 46 F SUR -1 (INTERIOR 6100 )"/>
    <x v="5"/>
    <s v="024328006600016100"/>
    <s v="Envigado"/>
    <x v="4"/>
    <s v="Revisor Instal. Regadas Metrosur"/>
    <x v="1"/>
    <n v="7"/>
    <s v="2025-12-05 16:51:16"/>
    <s v="3 días 16:51"/>
    <s v="4 días 16:51"/>
    <x v="0"/>
    <s v="SIN DATO"/>
    <s v="SIN DATO"/>
    <s v="SIN DATO"/>
    <s v="ABIERTO"/>
    <n v="-75.546760286999998"/>
    <n v="6.15418410400002"/>
    <s v="SUR-ENE"/>
    <s v="Metropolitana Sur"/>
  </r>
  <r>
    <s v="23600975"/>
    <s v="ENECNX"/>
    <s v="NUEVO"/>
    <s v="ENECNX"/>
    <s v="26/11/2025 16:59:46"/>
    <s v="2025-11-26 16:59:46"/>
    <n v="804013627"/>
    <s v="FUNDACION OBRA SOCIAL UNIDA"/>
    <s v="SIN DATOS"/>
    <s v="3007406339"/>
    <s v="CL 39 C CR 109 -106"/>
    <x v="2"/>
    <s v="083019309001060000"/>
    <s v="Medellín"/>
    <x v="3"/>
    <s v="Revisor Puntos de Conexión Metrosur"/>
    <x v="1"/>
    <n v="4"/>
    <s v="2025-12-02 16:59:46"/>
    <s v="3 días 16:59"/>
    <s v="1 días 16:59"/>
    <x v="1"/>
    <s v="SIN DATO"/>
    <s v="SIN DATO"/>
    <s v="SIN DATO"/>
    <s v="ABIERTO"/>
    <n v="-75.622631089999999"/>
    <n v="6.2523561000000001"/>
    <s v="SUR-ENE"/>
    <s v="Metropolitana Sur"/>
  </r>
  <r>
    <s v="23600976"/>
    <s v="ENERES"/>
    <s v="NUEVO"/>
    <s v="ENEDOM"/>
    <s v="26/11/2025 17:01:35"/>
    <s v="2025-11-26 17:01:35"/>
    <n v="71393110"/>
    <s v="LUIS NORBETO RUIZ PEREZ"/>
    <s v="SIN DATOS"/>
    <s v="3206463505"/>
    <s v="RURAL_159144493000000011_RURAL LA ESTRELLA EL PLAN"/>
    <x v="0"/>
    <s v="159144493000000011"/>
    <s v="La Estrella"/>
    <x v="0"/>
    <s v="MET Rev-Inst-Concentra E_CR014"/>
    <x v="0"/>
    <n v="8"/>
    <s v="2025-12-09 17:01:35"/>
    <s v="3 días 17:01"/>
    <s v="5 días 17:01"/>
    <x v="0"/>
    <s v="SIN DATO"/>
    <s v="SIN DATO"/>
    <s v="SIN DATO"/>
    <s v="ABIERTO"/>
    <n v="-75.63999484"/>
    <n v="6.1220664200000003"/>
    <s v="SUR-ENE"/>
    <s v="Metropolitana Sur"/>
  </r>
  <r>
    <s v="23600994"/>
    <s v="ENEMRT"/>
    <s v="NUEVO"/>
    <s v="ENEMVI"/>
    <s v="26/11/2025 17:20:01"/>
    <s v="2025-11-26 17:20:01"/>
    <n v="71616939"/>
    <s v="JUAN  LEONEL SILVA CHIVATA"/>
    <s v="6034831"/>
    <s v="3006753557"/>
    <s v="CL 65 AA CR 39 A -38"/>
    <x v="2"/>
    <s v="056315119100380000"/>
    <s v="Medellín"/>
    <x v="11"/>
    <s v="METR Mov Red Trans Anderson Castaño"/>
    <x v="1"/>
    <n v="9"/>
    <s v="2025-12-10 17:20:01"/>
    <s v="3 días 17:20"/>
    <s v="6 días 17:20"/>
    <x v="0"/>
    <s v="SIN DATO"/>
    <s v="SIN DATO"/>
    <s v="SIN DATO"/>
    <s v="ABIERTO"/>
    <n v="-75.552861030000003"/>
    <n v="6.2573251699999997"/>
    <s v="SUR-ENE"/>
    <s v="Metropolitana Sur"/>
  </r>
  <r>
    <s v="23600995"/>
    <s v="ENENOR"/>
    <s v="CAMBI"/>
    <s v="ENENOR"/>
    <s v="26/11/2025 17:20:31"/>
    <s v="2025-11-26 17:20:31"/>
    <n v="900081271"/>
    <s v="PROYECTOS DE INGENIERIA AVANZADA"/>
    <s v="2650555"/>
    <s v="3183451080"/>
    <s v="CR 43 C CL 5 -69"/>
    <x v="2"/>
    <s v="050423305000690000"/>
    <s v="Medellín"/>
    <x v="1"/>
    <s v="METROSUR Vin. Leg. Ref. Concentrada"/>
    <x v="1"/>
    <n v="7"/>
    <s v="2025-12-05 17:20:31"/>
    <s v="3 días 17:20"/>
    <s v="4 días 17:20"/>
    <x v="0"/>
    <s v="SIN DATO"/>
    <s v="SIN DATO"/>
    <s v="SIN DATO"/>
    <s v="ABIERTO"/>
    <n v="-75.573216909999999"/>
    <n v="6.2065292100000002"/>
    <s v="SUR-ENE"/>
    <s v="Metropolitana Sur"/>
  </r>
  <r>
    <s v="23601006"/>
    <s v="ENENOR"/>
    <s v="CAMBI"/>
    <s v="ENENOR"/>
    <s v="26/11/2025 17:33:33"/>
    <s v="2025-11-26 17:33:33"/>
    <n v="900081271"/>
    <s v="PROYECTOS DE INGENIERIA AVANZADA"/>
    <s v="2650555"/>
    <s v="3183451080"/>
    <s v="CR 43 C CL 5 -69 (INTERIOR 6 )"/>
    <x v="2"/>
    <s v="050423305000690006"/>
    <s v="Medellín"/>
    <x v="1"/>
    <s v="METROSUR Vin. Leg. Ref. Concentrada"/>
    <x v="1"/>
    <n v="7"/>
    <s v="2025-12-05 17:33:33"/>
    <s v="3 días 17:33"/>
    <s v="4 días 17:33"/>
    <x v="0"/>
    <s v="SIN DATO"/>
    <s v="SIN DATO"/>
    <s v="SIN DATO"/>
    <s v="ABIERTO"/>
    <n v="-75.572981999999996"/>
    <n v="6.206766"/>
    <s v="SUR-ENE"/>
    <s v="Metropolitana Sur"/>
  </r>
  <r>
    <s v="23601012"/>
    <s v="ENERES"/>
    <s v="NUEVO"/>
    <s v="ENEDOM"/>
    <s v="26/11/2025 17:44:38"/>
    <s v="2025-11-26 17:44:38"/>
    <n v="43971221"/>
    <s v="YESSICA MARCELA ANGARITA VELASQUEZ"/>
    <s v="SIN DATOS"/>
    <s v="3155765520"/>
    <s v="RURAL_146003598502000004"/>
    <x v="2"/>
    <s v="146003598502000004"/>
    <s v="Medellín"/>
    <x v="0"/>
    <s v="Habilitación Viviendas Metrosur"/>
    <x v="0"/>
    <n v="8"/>
    <s v="2025-12-09 17:44:38"/>
    <s v="3 días 17:44"/>
    <s v="5 días 17:44"/>
    <x v="0"/>
    <s v="SIN DATO"/>
    <s v="SIN DATO"/>
    <s v="SIN DATO"/>
    <s v="ABIERTO"/>
    <n v="-75.631585770000001"/>
    <n v="6.30136085"/>
    <s v="SUR-ENE"/>
    <s v="Metropolitana Sur"/>
  </r>
  <r>
    <s v="23601016"/>
    <s v="ENENOR"/>
    <s v="NUEVO"/>
    <s v="ENENOR"/>
    <s v="26/11/2025 17:47:14"/>
    <s v="2025-11-26 17:47:14"/>
    <n v="901575134"/>
    <s v="PROMOTORA BRISAS DEL VALLE SAS"/>
    <s v="SIN DATOS"/>
    <s v="3004797843"/>
    <s v="RURAL_167046850000000005_CL 82 SUR CR 35 INT 5"/>
    <x v="4"/>
    <s v="167046850000000005"/>
    <s v="Sabaneta"/>
    <x v="4"/>
    <s v="Revisor Inst. Particulares Metrosur"/>
    <x v="0"/>
    <n v="10"/>
    <s v="2025-12-11 17:47:14"/>
    <s v="3 días 17:47"/>
    <s v="7 días 17:47"/>
    <x v="0"/>
    <s v="SIN DATO"/>
    <s v="SIN DATO"/>
    <s v="SIN DATO"/>
    <s v="ABIERTO"/>
    <n v="-75.630391130000007"/>
    <n v="6.1414991600000004"/>
    <s v="SUR-ENE"/>
    <s v="Metropolitana Sur"/>
  </r>
  <r>
    <s v="23601018"/>
    <s v="ENENOR"/>
    <s v="NUEVO"/>
    <s v="ENENOR"/>
    <s v="26/11/2025 17:51:41"/>
    <s v="2025-11-26 17:51:41"/>
    <n v="901575134"/>
    <s v="PROMOTORA BRISAS DEL VALLE SAS"/>
    <s v="SIN DATOS"/>
    <s v="3004797843"/>
    <s v="RURAL_167046850000000006_CL 82 SUR CR 35 INT 6"/>
    <x v="4"/>
    <s v="167046850000000006"/>
    <s v="Sabaneta"/>
    <x v="4"/>
    <s v="Revisor Inst. Particulares Metrosur"/>
    <x v="0"/>
    <n v="10"/>
    <s v="2025-12-11 17:51:41"/>
    <s v="3 días 17:51"/>
    <s v="7 días 17:51"/>
    <x v="0"/>
    <s v="SIN DATO"/>
    <s v="SIN DATO"/>
    <s v="SIN DATO"/>
    <s v="ABIERTO"/>
    <n v="-75.630391130000007"/>
    <n v="6.1414991600000004"/>
    <s v="SUR-ENE"/>
    <s v="Metropolitana Sur"/>
  </r>
  <r>
    <s v="23601020"/>
    <s v="ENECNX"/>
    <s v="NUEVO"/>
    <s v="ENECNX"/>
    <s v="26/11/2025 17:55:35"/>
    <s v="2025-11-26 17:55:35"/>
    <n v="43590807"/>
    <s v="ROSA CAÑAVERAL ARBOLEDA"/>
    <s v="SIN DATOS"/>
    <s v="3103920461"/>
    <s v="RURAL_159005200000000009_LA ESTRELLA MELEGUI"/>
    <x v="0"/>
    <s v="159005200000000009"/>
    <s v="La Estrella"/>
    <x v="3"/>
    <s v="Revisor Puntos de Conexión Metrosur"/>
    <x v="0"/>
    <n v="4"/>
    <s v="2025-12-02 17:55:35"/>
    <s v="3 días 17:55"/>
    <s v="1 días 17:55"/>
    <x v="1"/>
    <s v="SIN DATO"/>
    <s v="SIN DATO"/>
    <s v="SIN DATO"/>
    <s v="ABIERTO"/>
    <n v="-75.656577999999996"/>
    <n v="6.1661409999999997"/>
    <s v="SUR-ENE"/>
    <s v="Metropolitana Sur"/>
  </r>
  <r>
    <s v="23601024"/>
    <s v="ENEMRT"/>
    <s v="NUEVO"/>
    <s v="ENEMVI"/>
    <s v="26/11/2025 18:08:01"/>
    <s v="2025-11-26 18:08:01"/>
    <n v="43730254"/>
    <s v="MARIA CRISTINA ALVAREZ HERNADEZ"/>
    <s v="SIN DATOS"/>
    <s v="3213801787"/>
    <s v="CL 55 CR 129 -137"/>
    <x v="2"/>
    <s v="085215009001370000"/>
    <s v="Medellín"/>
    <x v="11"/>
    <s v="METR Mov Red Trans Anderson Castaño"/>
    <x v="1"/>
    <n v="9"/>
    <s v="2025-12-10 18:08:01"/>
    <s v="3 días 18:08"/>
    <s v="6 días 18:08"/>
    <x v="0"/>
    <s v="SIN DATO"/>
    <s v="SIN DATO"/>
    <s v="SIN DATO"/>
    <s v="ABIERTO"/>
    <n v="-75.634291000000005"/>
    <n v="6.2708880000000002"/>
    <s v="SUR-ENE"/>
    <s v="Metropolitana Sur"/>
  </r>
  <r>
    <s v="23601026"/>
    <s v="ENECNX"/>
    <s v="NUEVO"/>
    <s v="ENECNX"/>
    <s v="26/11/2025 18:18:15"/>
    <s v="2025-11-26 18:18:15"/>
    <n v="901227531"/>
    <s v="INVERSIONES LA OCTAVA MARAVILLA S.A.S"/>
    <s v="SIN DATOS"/>
    <s v="3207437326"/>
    <s v="RURAL_167102699000000000_167102699000000000"/>
    <x v="4"/>
    <s v="167102699000000000"/>
    <s v="Sabaneta"/>
    <x v="3"/>
    <s v="Revisor Puntos de Conexión Metrosur"/>
    <x v="0"/>
    <n v="4"/>
    <s v="2025-12-02 18:18:15"/>
    <s v="3 días 18:18"/>
    <s v="1 días 18:18"/>
    <x v="1"/>
    <s v="SIN DATO"/>
    <s v="SIN DATO"/>
    <s v="SIN DATO"/>
    <s v="ABIERTO"/>
    <n v="-75.605020519999997"/>
    <n v="6.14392637"/>
    <s v="SUR-ENE"/>
    <s v="Metropolitana Sur"/>
  </r>
  <r>
    <s v="23601029"/>
    <s v="ENERES"/>
    <s v="NUEVO"/>
    <s v="ENERES"/>
    <s v="26/11/2025 18:38:36"/>
    <s v="2025-11-26 18:38:36"/>
    <n v="800150443"/>
    <s v="COMPANIA DE CONSTRUCTORES ASOCIADOS S A"/>
    <s v="6045050"/>
    <s v="3217186129"/>
    <s v="CL 62 CR 89 C -64 (INTERIOR 428 TR 4 )"/>
    <x v="2"/>
    <s v="056812009300640428"/>
    <s v="Medellín"/>
    <x v="2"/>
    <s v="Revisor Inst. Particulares Metrosur"/>
    <x v="1"/>
    <n v="7"/>
    <s v="2025-12-05 18:38:36"/>
    <s v="3 días 18:38"/>
    <s v="4 días 18:38"/>
    <x v="0"/>
    <s v="SIN DATO"/>
    <s v="SIN DATO"/>
    <s v="SIN DATO"/>
    <s v="ABIERTO"/>
    <n v="-75.610884501000001"/>
    <n v="6.2574398200000596"/>
    <s v="SUR-ENE"/>
    <s v="Metropolitana Sur"/>
  </r>
  <r>
    <s v="23601041"/>
    <s v="ENECNX"/>
    <s v="NUEVO"/>
    <s v="ENECNX"/>
    <s v="26/11/2025 23:58:53"/>
    <s v="2025-11-26 23:58:53"/>
    <n v="32484513"/>
    <s v="HAYDEE DEL CARMEN PIMIENTA OSORIO"/>
    <s v="SIN DATOS"/>
    <s v="3216635570"/>
    <s v="CR 96 CC CL 49 A -18 (INTERIOR 201 )"/>
    <x v="2"/>
    <s v="054926339100180201"/>
    <s v="Medellín"/>
    <x v="3"/>
    <s v="Revisor Puntos de Conexión Metrosur"/>
    <x v="1"/>
    <n v="4"/>
    <s v="2025-12-02 23:58:53"/>
    <s v="3 días 23:58"/>
    <s v="1 días 23:58"/>
    <x v="1"/>
    <s v="SIN DATO"/>
    <s v="SIN DATO"/>
    <s v="SIN DATO"/>
    <s v="ABIERTO"/>
    <n v="-75.610353000000003"/>
    <n v="6.2631800000000002"/>
    <s v="SUR-ENE"/>
    <s v="Metropolitana Sur"/>
  </r>
  <r>
    <s v="23601042"/>
    <s v="ENECNX"/>
    <s v="NUEVO"/>
    <s v="ENECNX"/>
    <s v="27/11/2025 00:32:22"/>
    <s v="2025-11-27 00:32:23"/>
    <n v="39425084"/>
    <s v="LEISI YULIET CATAÑO ALZATE"/>
    <s v="SIN DATOS"/>
    <s v="3216635570"/>
    <s v="CR 45 D CL 60 -56"/>
    <x v="2"/>
    <s v="056425400000560000"/>
    <s v="Medellín"/>
    <x v="3"/>
    <s v="Revisor Puntos de Conexión Metrosur"/>
    <x v="1"/>
    <n v="4"/>
    <s v="2025-12-03 00:32:23"/>
    <s v="2 días 00:32"/>
    <s v="2 días 00:32"/>
    <x v="1"/>
    <s v="SIN DATO"/>
    <s v="SIN DATO"/>
    <s v="SIN DATO"/>
    <s v="ABIERTO"/>
    <n v="-75.559656059999995"/>
    <n v="6.2557499099999996"/>
    <s v="SUR-ENE"/>
    <s v="Metropolitana Sur"/>
  </r>
  <r>
    <s v="23601043"/>
    <s v="ENECNX"/>
    <s v="NUEVO"/>
    <s v="ENECNX"/>
    <s v="27/11/2025 00:51:16"/>
    <s v="2025-11-27 00:51:16"/>
    <n v="71691445"/>
    <s v="JUAN CARLOS MORENO CASAFUS"/>
    <s v="6043053"/>
    <s v="3146810049"/>
    <s v="CR 27 CL 23 SUR -101"/>
    <x v="5"/>
    <s v="022227003001010000"/>
    <s v="Envigado"/>
    <x v="3"/>
    <s v="Revisor Puntos de Conexión Metrosur"/>
    <x v="1"/>
    <n v="4"/>
    <s v="2025-12-03 00:51:16"/>
    <s v="2 días 00:51"/>
    <s v="2 días 00:51"/>
    <x v="1"/>
    <s v="SIN DATO"/>
    <s v="SIN DATO"/>
    <s v="SIN DATO"/>
    <s v="ABIERTO"/>
    <n v="-75.567070290000004"/>
    <n v="6.17555079"/>
    <s v="SUR-ENE"/>
    <s v="Metropolitana Sur"/>
  </r>
  <r>
    <s v="23601247"/>
    <s v="ENERES"/>
    <s v="NUEVO"/>
    <s v="ENEDOM"/>
    <s v="27/11/2025 08:00:21"/>
    <s v="2025-11-27 08:00:21"/>
    <n v="43159164"/>
    <s v="EDITH MARINA GARCIA CORREA"/>
    <s v="SIN DATOS"/>
    <s v="3172291175"/>
    <s v="CL 59 A CR 21 B -24 (INTERIOR 201 )"/>
    <x v="2"/>
    <s v="055219101200240201"/>
    <s v="Medellín"/>
    <x v="0"/>
    <s v="Habilitación Viviendas Metrosur"/>
    <x v="1"/>
    <n v="5"/>
    <s v="2025-12-04 08:00:21"/>
    <s v="2 días 08:00"/>
    <s v="3 días 08:00"/>
    <x v="0"/>
    <s v="SIN DATO"/>
    <s v="SIN DATO"/>
    <s v="SIN DATO"/>
    <s v="ABIERTO"/>
    <n v="-75.545173009999999"/>
    <n v="6.25274763"/>
    <s v="SUR-ENE"/>
    <s v="Metropolitana Sur"/>
  </r>
  <r>
    <s v="23601249"/>
    <s v="ENECNX"/>
    <s v="NUEVO"/>
    <s v="ENECNX"/>
    <s v="27/11/2025 08:07:10"/>
    <s v="2025-11-27 08:07:10"/>
    <n v="8031469"/>
    <s v="WILSON FERNANDO ARANGO MARTINEZ"/>
    <s v="SIN DATOS"/>
    <s v="3105072582"/>
    <s v="CR 34 CL 7 -143"/>
    <x v="2"/>
    <s v="050324007001430000"/>
    <s v="Medellín"/>
    <x v="3"/>
    <s v="Revisor Puntos de Conexión Metrosur"/>
    <x v="1"/>
    <n v="4"/>
    <s v="2025-12-03 08:07:10"/>
    <s v="2 días 08:07"/>
    <s v="2 días 08:07"/>
    <x v="1"/>
    <s v="SIN DATO"/>
    <s v="SIN DATO"/>
    <s v="SIN DATO"/>
    <s v="ABIERTO"/>
    <n v="-75.565169940000004"/>
    <n v="6.2072927099999999"/>
    <s v="SUR-ENE"/>
    <s v="Metropolitana Sur"/>
  </r>
  <r>
    <s v="23601257"/>
    <s v="ENECNX"/>
    <s v="NUEVO"/>
    <s v="ENECNX"/>
    <s v="27/11/2025 08:20:28"/>
    <s v="2025-11-27 08:20:28"/>
    <n v="890905211"/>
    <s v="ALCALDIA DE MEDELLIN"/>
    <s v="3855555"/>
    <s v="3003420288"/>
    <s v="CL 52 CR 51 -11"/>
    <x v="2"/>
    <s v="055512001000110000"/>
    <s v="Medellín"/>
    <x v="3"/>
    <s v="Revisor Puntos de Conexión Metrosur"/>
    <x v="1"/>
    <n v="4"/>
    <s v="2025-12-03 08:20:28"/>
    <s v="2 días 08:20"/>
    <s v="2 días 08:20"/>
    <x v="1"/>
    <s v="SIN DATO"/>
    <s v="SIN DATO"/>
    <s v="SIN DATO"/>
    <s v="ABIERTO"/>
    <n v="-75.568146560000002"/>
    <n v="6.2511979999999996"/>
    <s v="SUR-ENE"/>
    <s v="Metropolitana Sur"/>
  </r>
  <r>
    <s v="23601261"/>
    <s v="ENECNX"/>
    <s v="NUEVO"/>
    <s v="ENECNX"/>
    <s v="27/11/2025 08:23:23"/>
    <s v="2025-11-27 08:23:23"/>
    <n v="43760427"/>
    <s v="PAULA ANDREA JIMENEZ SERNA"/>
    <s v="2911167"/>
    <s v="3105072582"/>
    <s v="CR 43 CL 40 -14"/>
    <x v="2"/>
    <s v="054423000000140000"/>
    <s v="Medellín"/>
    <x v="3"/>
    <s v="Revisor Puntos de Conexión Metrosur"/>
    <x v="1"/>
    <n v="4"/>
    <s v="2025-12-03 08:23:23"/>
    <s v="2 días 08:23"/>
    <s v="2 días 08:23"/>
    <x v="1"/>
    <s v="SIN DATO"/>
    <s v="SIN DATO"/>
    <s v="SIN DATO"/>
    <s v="ABIERTO"/>
    <n v="-75.566710220000004"/>
    <n v="6.2396204800000001"/>
    <s v="SUR-ENE"/>
    <s v="Metropolitana Sur"/>
  </r>
  <r>
    <s v="23601263"/>
    <s v="ENERES"/>
    <s v="NUEVO"/>
    <s v="ENEDOM"/>
    <s v="27/11/2025 08:24:12"/>
    <s v="2025-11-27 08:24:12"/>
    <n v="71420323"/>
    <s v="ALBEIRO ANTONIO RODRIGUEZ QUICENO"/>
    <s v="SIN DATOS"/>
    <s v="3163144306"/>
    <s v="CR 26 EE CL 37 -42 (INTERIOR 201 )"/>
    <x v="2"/>
    <s v="053226557000420201"/>
    <s v="Medellín"/>
    <x v="0"/>
    <s v="Habilitación Viviendas Metrosur"/>
    <x v="1"/>
    <n v="5"/>
    <s v="2025-12-04 08:24:12"/>
    <s v="2 días 08:24"/>
    <s v="3 días 08:24"/>
    <x v="0"/>
    <s v="SIN DATO"/>
    <s v="SIN DATO"/>
    <s v="SIN DATO"/>
    <s v="ABIERTO"/>
    <n v="-75.555198000000004"/>
    <n v="6.2297130000000003"/>
    <s v="SUR-ENE"/>
    <s v="Metropolitana Sur"/>
  </r>
  <r>
    <s v="23601266"/>
    <s v="ENERES"/>
    <s v="NUEVO"/>
    <s v="ENEDOM"/>
    <s v="27/11/2025 08:26:12"/>
    <s v="2025-11-27 08:26:12"/>
    <n v="1017127802"/>
    <s v="ANDRES FELIPE ACEVEDO MARULANDA"/>
    <s v="SIN DATOS"/>
    <s v="3243071689"/>
    <s v="CL 59 CR 132 -77 (INTERIOR 301 )"/>
    <x v="2"/>
    <s v="085319002000770301"/>
    <s v="Medellín"/>
    <x v="0"/>
    <s v="Habilitación Viviendas Metrosur"/>
    <x v="1"/>
    <n v="5"/>
    <s v="2025-12-04 08:26:12"/>
    <s v="2 días 08:26"/>
    <s v="3 días 08:26"/>
    <x v="0"/>
    <s v="SIN DATO"/>
    <s v="SIN DATO"/>
    <s v="SIN DATO"/>
    <s v="ABIERTO"/>
    <n v="-75.638197000000005"/>
    <n v="6.2760899999999999"/>
    <s v="SUR-ENE"/>
    <s v="Metropolitana Sur"/>
  </r>
  <r>
    <s v="23601271"/>
    <s v="ENEPRE"/>
    <s v="NUEVO"/>
    <s v="ENEPRE"/>
    <s v="27/11/2025 08:29:29"/>
    <s v="2025-11-27 08:29:29"/>
    <n v="15486530"/>
    <s v="GILDARDO MONTOYA VARGAS"/>
    <s v="SIN DATOS"/>
    <s v="3214969930"/>
    <s v="CR 85 D CL 57 A -26 (INTERIOR 302 )"/>
    <x v="2"/>
    <s v="055825407100260302"/>
    <s v="Medellín"/>
    <x v="6"/>
    <s v="Energía Prepago Metrosur"/>
    <x v="1"/>
    <n v="11"/>
    <s v="2025-12-15 08:29:29"/>
    <s v="2 días 08:29"/>
    <s v="9 días 08:29"/>
    <x v="0"/>
    <s v="SIN DATO"/>
    <s v="SIN DATO"/>
    <s v="SIN DATO"/>
    <s v="ABIERTO"/>
    <n v="-75.599942999999996"/>
    <n v="6.2720890000000002"/>
    <s v="SUR-ENE"/>
    <s v="Metropolitana Sur"/>
  </r>
  <r>
    <s v="23601280"/>
    <s v="ENECNX"/>
    <s v="NUEVO"/>
    <s v="ENECNX"/>
    <s v="27/11/2025 08:34:42"/>
    <s v="2025-11-27 08:34:42"/>
    <n v="75082049"/>
    <s v="YON JAIRO RONDON OSORIO"/>
    <s v="SIN DATOS"/>
    <s v="3015840969"/>
    <s v="CR 33 CL 36 B -27"/>
    <x v="2"/>
    <s v="053323006200270000"/>
    <s v="Medellín"/>
    <x v="3"/>
    <s v="Revisor Puntos de Conexión Metrosur"/>
    <x v="1"/>
    <n v="4"/>
    <s v="2025-12-03 08:34:42"/>
    <s v="2 días 08:34"/>
    <s v="2 días 08:34"/>
    <x v="1"/>
    <s v="SIN DATO"/>
    <s v="SIN DATO"/>
    <s v="SIN DATO"/>
    <s v="ABIERTO"/>
    <n v="-75.559369070000002"/>
    <n v="6.23420504"/>
    <s v="SUR-ENE"/>
    <s v="Metropolitana Sur"/>
  </r>
  <r>
    <s v="23601289"/>
    <s v="ENENOR"/>
    <s v="NUEVO"/>
    <s v="ENENOR"/>
    <s v="27/11/2025 08:46:12"/>
    <s v="2025-11-27 08:46:12"/>
    <n v="43272512"/>
    <s v="MARISOL OROZCO GIRALDO"/>
    <s v="5576419"/>
    <s v="3128844867"/>
    <s v="RURAL_125004766200000105_PROV.125004766200000102"/>
    <x v="5"/>
    <s v="125004766200000105"/>
    <s v="Envigado"/>
    <x v="4"/>
    <s v="Revisor Inst. Particulares Metrosur"/>
    <x v="0"/>
    <n v="10"/>
    <s v="2025-12-12 08:46:12"/>
    <s v="2 días 08:46"/>
    <s v="8 días 08:46"/>
    <x v="0"/>
    <s v="SIN DATO"/>
    <s v="SIN DATO"/>
    <s v="SIN DATO"/>
    <s v="ABIERTO"/>
    <n v="-75.505385000000004"/>
    <n v="6.1594350000000002"/>
    <s v="SUR-ENE"/>
    <s v="Metropolitana Sur"/>
  </r>
  <r>
    <s v="23601293"/>
    <s v="ENERES"/>
    <s v="NUEVO"/>
    <s v="ENEDOM"/>
    <s v="27/11/2025 08:51:30"/>
    <s v="2025-11-27 08:51:30"/>
    <n v="71363555"/>
    <s v="FERNEY ANDRES ECHEVERRI ORTIZ"/>
    <s v="SIN DATOS"/>
    <s v="3013344040"/>
    <s v="CR 16 A CL 50 -26 (INTERIOR 301 )"/>
    <x v="2"/>
    <s v="055126100000260301"/>
    <s v="Medellín"/>
    <x v="0"/>
    <s v="Habilitación Viviendas Metrosur"/>
    <x v="1"/>
    <n v="5"/>
    <s v="2025-12-04 08:51:30"/>
    <s v="2 días 08:51"/>
    <s v="3 días 08:51"/>
    <x v="0"/>
    <s v="SIN DATO"/>
    <s v="SIN DATO"/>
    <s v="SIN DATO"/>
    <s v="ABIERTO"/>
    <n v="-75.542248150000006"/>
    <n v="6.2356925900000002"/>
    <s v="SUR-ENE"/>
    <s v="Metropolitana Sur"/>
  </r>
  <r>
    <s v="23601295"/>
    <s v="ENEPRE"/>
    <s v="NUEVO"/>
    <s v="ENEPRE"/>
    <s v="27/11/2025 08:52:19"/>
    <s v="2025-11-27 08:52:19"/>
    <n v="98469420"/>
    <s v="ANGEL OSVALDO NARVAEZ TORRES"/>
    <s v="SIN DATOS"/>
    <s v="3016483199"/>
    <s v="CR 18 B CL 63 -143 (INTERIOR 201 )"/>
    <x v="2"/>
    <s v="056128203001430201"/>
    <s v="Medellín"/>
    <x v="6"/>
    <s v="Energía Prepago Metrosur"/>
    <x v="1"/>
    <n v="11"/>
    <s v="2025-12-15 08:52:19"/>
    <s v="2 días 08:52"/>
    <s v="9 días 08:52"/>
    <x v="0"/>
    <s v="SIN DATO"/>
    <s v="SIN DATO"/>
    <s v="SIN DATO"/>
    <s v="ABIERTO"/>
    <n v="-75.539891249999997"/>
    <n v="6.2560977700000002"/>
    <s v="SUR-ENE"/>
    <s v="Metropolitana Sur"/>
  </r>
  <r>
    <s v="23601300"/>
    <s v="ENEMRT"/>
    <s v="NUEVO"/>
    <s v="ENEMVI"/>
    <s v="27/11/2025 08:58:06"/>
    <s v="2025-11-27 08:58:06"/>
    <n v="21981002"/>
    <s v="MAGNOLIA JARAMILLO RESTREPO"/>
    <s v="5925287"/>
    <s v="3137008386"/>
    <s v="RURAL_114013451100000000_114013451100000000"/>
    <x v="2"/>
    <s v="114013451100000000"/>
    <s v="Medellín"/>
    <x v="11"/>
    <s v="METR Mov Red Trans Anderson Castaño"/>
    <x v="0"/>
    <n v="14"/>
    <s v="2025-12-18 08:58:06"/>
    <s v="2 días 08:58"/>
    <s v="12 días 08:58"/>
    <x v="0"/>
    <s v="SIN DATO"/>
    <s v="SIN DATO"/>
    <s v="SIN DATO"/>
    <s v="ABIERTO"/>
    <n v="-75.610298"/>
    <n v="6.2045539999999999"/>
    <s v="SUR-ENE"/>
    <s v="Metropolitana Sur"/>
  </r>
  <r>
    <s v="23601311"/>
    <s v="ENECNX"/>
    <s v="NUEVO"/>
    <s v="ENECNX"/>
    <s v="27/11/2025 09:04:00"/>
    <s v="2025-11-27 09:04:00"/>
    <n v="8345348"/>
    <s v="OLIVERIO DE JESUS ARANGO PEREZ"/>
    <s v="4332124"/>
    <s v="3136360310"/>
    <s v="CL 37 SUR CR 41 -42"/>
    <x v="5"/>
    <s v="023417001000420000"/>
    <s v="Envigado"/>
    <x v="3"/>
    <s v="Revisor Puntos de Conexión Metrosur"/>
    <x v="1"/>
    <n v="4"/>
    <s v="2025-12-03 09:04:00"/>
    <s v="2 días 09:04"/>
    <s v="2 días 09:04"/>
    <x v="1"/>
    <s v="SIN DATO"/>
    <s v="SIN DATO"/>
    <s v="SIN DATO"/>
    <s v="ABIERTO"/>
    <n v="-75.586495479999996"/>
    <n v="6.1701203700000002"/>
    <s v="SUR-ENE"/>
    <s v="Metropolitana Sur"/>
  </r>
  <r>
    <s v="23601325"/>
    <s v="ENECNX"/>
    <s v="NUEVO"/>
    <s v="ENECNX"/>
    <s v="27/11/2025 09:25:38"/>
    <s v="2025-11-27 09:25:38"/>
    <n v="8115393"/>
    <s v="WILLIAN ESPINOSA CHAVERRA"/>
    <s v="SIN DATOS"/>
    <s v="3113805449"/>
    <s v="CR 143 A CL 56 -286 (INTERIOR 101 )"/>
    <x v="2"/>
    <s v="085423106002860101"/>
    <s v="Medellín"/>
    <x v="3"/>
    <s v="Revisor Puntos de Conexión Metrosur"/>
    <x v="1"/>
    <n v="4"/>
    <s v="2025-12-03 09:25:38"/>
    <s v="2 días 09:25"/>
    <s v="2 días 09:25"/>
    <x v="1"/>
    <s v="SIN DATO"/>
    <s v="SIN DATO"/>
    <s v="SIN DATO"/>
    <s v="ABIERTO"/>
    <n v="-75.640069980000007"/>
    <n v="6.2769458199999999"/>
    <s v="SUR-ENE"/>
    <s v="Metropolitana Sur"/>
  </r>
  <r>
    <s v="23601327"/>
    <s v="ENERES"/>
    <s v="NUEVO"/>
    <s v="ENEDOM"/>
    <s v="27/11/2025 09:27:30"/>
    <s v="2025-11-27 09:27:30"/>
    <n v="3438523"/>
    <s v="CRISTIAN CAMILO CANO ZAPATA"/>
    <s v="SIN DATOS"/>
    <s v="3219298033"/>
    <s v="RURAL_147020434000000117_CR 143 A CL 62 B -142_VER"/>
    <x v="2"/>
    <s v="147020434000000117"/>
    <s v="Medellín"/>
    <x v="0"/>
    <s v="Habilitación Viviendas Metrosur"/>
    <x v="0"/>
    <n v="8"/>
    <s v="2025-12-10 09:27:30"/>
    <s v="2 días 09:27"/>
    <s v="6 días 09:27"/>
    <x v="0"/>
    <s v="SIN DATO"/>
    <s v="SIN DATO"/>
    <s v="SIN DATO"/>
    <s v="ABIERTO"/>
    <n v="-75.642641999999995"/>
    <n v="6.2781909999999996"/>
    <s v="SUR-ENE"/>
    <s v="Metropolitana Sur"/>
  </r>
  <r>
    <s v="23601329"/>
    <s v="ENERES"/>
    <s v="NUEVO"/>
    <s v="ENEDOM"/>
    <s v="27/11/2025 09:29:49"/>
    <s v="2025-11-27 09:29:49"/>
    <n v="1000539973"/>
    <s v="EVELYN JULIANA AGUDELO LONDOÑO"/>
    <s v="SIN DATOS"/>
    <s v="3023646224"/>
    <s v="CL 56 B CR 20 B -22 (INTERIOR 231 )"/>
    <x v="2"/>
    <s v="055216200200220231"/>
    <s v="Medellín"/>
    <x v="0"/>
    <s v="Habilitación Viviendas Metrosur"/>
    <x v="1"/>
    <n v="5"/>
    <s v="2025-12-04 09:29:49"/>
    <s v="2 días 09:29"/>
    <s v="3 días 09:29"/>
    <x v="0"/>
    <s v="SIN DATO"/>
    <s v="SIN DATO"/>
    <s v="SIN DATO"/>
    <s v="ABIERTO"/>
    <n v="-75.542329339999995"/>
    <n v="6.2408634300000001"/>
    <s v="SUR-ENE"/>
    <s v="Metropolitana Sur"/>
  </r>
  <r>
    <s v="23601337"/>
    <s v="ENERES"/>
    <s v="NUEVO"/>
    <s v="ENERES"/>
    <s v="27/11/2025 09:31:41"/>
    <s v="2025-11-27 09:31:41"/>
    <n v="1037626028"/>
    <s v="ANDREA PALACIO MONTOYA"/>
    <s v="SIN DATOS"/>
    <s v="3045449106"/>
    <s v="RURAL_166047755000000006_PROV.RURAL_16604775500000"/>
    <x v="5"/>
    <s v="166047755000000006"/>
    <s v="Envigado"/>
    <x v="2"/>
    <s v="Revisor Instal. Regadas Metrosur"/>
    <x v="0"/>
    <n v="10"/>
    <s v="2025-12-12 09:31:41"/>
    <s v="2 días 09:31"/>
    <s v="8 días 09:31"/>
    <x v="0"/>
    <s v="SIN DATO"/>
    <s v="SIN DATO"/>
    <s v="SIN DATO"/>
    <s v="ABIERTO"/>
    <n v="-75.568341000000004"/>
    <n v="6.1468809999999996"/>
    <s v="SUR-ENE"/>
    <s v="Metropolitana Sur"/>
  </r>
  <r>
    <s v="23601361"/>
    <s v="ENEMRT"/>
    <s v="NUEVO"/>
    <s v="ENEMVI"/>
    <s v="27/11/2025 09:45:53"/>
    <s v="2025-11-27 09:45:53"/>
    <n v="71390820"/>
    <s v="MAURICIO FERNANDEZ HOYOS"/>
    <s v="SIN DATOS"/>
    <s v="3103902925"/>
    <s v="RURAL_161110400000007000_161110400000007000"/>
    <x v="3"/>
    <s v="161110400000007000"/>
    <s v="Caldas"/>
    <x v="11"/>
    <s v="Mov Red Trans Dairo Gil"/>
    <x v="0"/>
    <n v="14"/>
    <s v="2025-12-18 09:45:53"/>
    <s v="2 días 09:45"/>
    <s v="12 días 09:45"/>
    <x v="0"/>
    <s v="SIN DATO"/>
    <s v="SIN DATO"/>
    <s v="SIN DATO"/>
    <s v="ABIERTO"/>
    <n v="-75.625189250000005"/>
    <n v="6.0862940500000002"/>
    <s v="SUR-ENE"/>
    <s v="Metropolitana Sur"/>
  </r>
  <r>
    <s v="23601363"/>
    <s v="ENERES"/>
    <s v="NUEVO"/>
    <s v="ENEDOM"/>
    <s v="27/11/2025 09:47:05"/>
    <s v="2025-11-27 09:47:05"/>
    <n v="71527359"/>
    <s v="ADRIAN ESTEBAN MORALES CEBALLOS"/>
    <s v="SIN DATOS"/>
    <s v="3003909683"/>
    <s v="CL 48 C CR 99 CE -10 (INTERIOR 9901 )"/>
    <x v="2"/>
    <s v="054918309350109901"/>
    <s v="Medellín"/>
    <x v="0"/>
    <s v="Habilitación Viviendas Metrosur"/>
    <x v="1"/>
    <n v="5"/>
    <s v="2025-12-04 09:47:05"/>
    <s v="2 días 09:47"/>
    <s v="3 días 09:47"/>
    <x v="0"/>
    <s v="SIN DATO"/>
    <s v="SIN DATO"/>
    <s v="SIN DATO"/>
    <s v="ABIERTO"/>
    <n v="-75.616868089999997"/>
    <n v="6.2674710899999999"/>
    <s v="SUR-ENE"/>
    <s v="Metropolitana Sur"/>
  </r>
  <r>
    <s v="23601392"/>
    <s v="ENENOR"/>
    <s v="CAMBI"/>
    <s v="ENENOR"/>
    <s v="27/11/2025 10:05:30"/>
    <s v="2025-11-28 14:53:00"/>
    <n v="70166471"/>
    <s v="JADER ELMER MEJIA RENDON"/>
    <s v="2342375"/>
    <s v="3127884788"/>
    <s v="CR 58 CL 79 -141"/>
    <x v="1"/>
    <s v="077528009001410000"/>
    <s v="Itaguí"/>
    <x v="1"/>
    <s v="METROSUR Vin. Leg. Ref. Concentrada"/>
    <x v="1"/>
    <n v="7"/>
    <s v="2025-12-10 14:53:00"/>
    <s v="1 días 14:53"/>
    <s v="6 días 14:53"/>
    <x v="0"/>
    <s v="SIN DATO"/>
    <s v="SIN DATO"/>
    <s v="SIN DATO"/>
    <s v="ABIERTO"/>
    <n v="-75.599506849999997"/>
    <n v="6.1911473199999998"/>
    <s v="SUR-ENE"/>
    <s v="Metropolitana Sur"/>
  </r>
  <r>
    <s v="23601398"/>
    <s v="ENEMRT"/>
    <s v="NUEVO"/>
    <s v="ENEMVI"/>
    <s v="27/11/2025 10:08:20"/>
    <s v="2025-11-27 10:08:20"/>
    <n v="3490006"/>
    <s v="NICOLAS ALBEIRO AGUDELO BARRIENTOS"/>
    <s v="SIN DATOS"/>
    <s v="3162760629"/>
    <s v="RURAL_122014511800000001_VDA MAZO"/>
    <x v="2"/>
    <s v="122014511800000001"/>
    <s v="Medellín"/>
    <x v="11"/>
    <s v="METR Mov Red Trans Anderson Castaño"/>
    <x v="0"/>
    <n v="14"/>
    <s v="2025-12-18 10:08:20"/>
    <s v="2 días 10:08"/>
    <s v="12 días 10:08"/>
    <x v="0"/>
    <s v="SIN DATO"/>
    <s v="SIN DATO"/>
    <s v="SIN DATO"/>
    <s v="ABIERTO"/>
    <n v="-75.500567390000001"/>
    <n v="6.2530853899999999"/>
    <s v="SUR-ENE"/>
    <s v="Metropolitana Sur"/>
  </r>
  <r>
    <s v="23601414"/>
    <s v="ENERES"/>
    <s v="NUEVO"/>
    <s v="ENERES"/>
    <s v="27/11/2025 10:19:02"/>
    <s v="2025-11-27 10:19:02"/>
    <n v="16236835"/>
    <s v="RODOLFO GOMEZ RAIGOSA"/>
    <s v="SIN DATOS"/>
    <s v="3005139148"/>
    <s v="CL 124 SUR CR 50 -13 (INTERIOR 9901 )"/>
    <x v="3"/>
    <s v="002514000000139901"/>
    <s v="Caldas"/>
    <x v="2"/>
    <s v="Revisor Instal. Regadas Metrosur"/>
    <x v="1"/>
    <n v="7"/>
    <s v="2025-12-09 10:19:02"/>
    <s v="2 días 10:19"/>
    <s v="5 días 10:19"/>
    <x v="0"/>
    <s v="SIN DATO"/>
    <s v="SIN DATO"/>
    <s v="SIN DATO"/>
    <s v="ABIERTO"/>
    <n v="-75.636704739999999"/>
    <n v="6.0960636600000004"/>
    <s v="SUR-ENE"/>
    <s v="Metropolitana Sur"/>
  </r>
  <r>
    <s v="23601420"/>
    <s v="ENERES"/>
    <s v="NUEVO"/>
    <s v="ENERES"/>
    <s v="27/11/2025 10:22:50"/>
    <s v="2025-11-27 10:22:50"/>
    <n v="8029384"/>
    <s v="JORGE ANDRES ZAMBRANO ESTRADA"/>
    <s v="SIN DATOS"/>
    <s v="3106395878"/>
    <s v="CL 43 CR 32 -33 (INTERIOR 101 )"/>
    <x v="2"/>
    <s v="054313002000330101"/>
    <s v="Medellín"/>
    <x v="2"/>
    <s v="METROSUR Vin. Leg. Ref. Concentrada"/>
    <x v="1"/>
    <n v="7"/>
    <s v="2025-12-09 10:22:50"/>
    <s v="2 días 10:22"/>
    <s v="5 días 10:22"/>
    <x v="0"/>
    <s v="SIN DATO"/>
    <s v="SIN DATO"/>
    <s v="SIN DATO"/>
    <s v="ABIERTO"/>
    <n v="-75.556798020000002"/>
    <n v="6.2376216199999996"/>
    <s v="SUR-ENE"/>
    <s v="Metropolitana Sur"/>
  </r>
  <r>
    <s v="23601428"/>
    <s v="ENEMRT"/>
    <s v="NUEVO"/>
    <s v="ENEMVI"/>
    <s v="27/11/2025 10:26:20"/>
    <s v="2025-11-27 10:26:20"/>
    <n v="71420699"/>
    <s v="GABRIEL ANTONIO RESTREPO RESTREPO"/>
    <s v="SIN DATOS"/>
    <s v="3206851166"/>
    <s v="DIAG 47 A CL 31 A -31 (INTERIOR 302 )"/>
    <x v="1"/>
    <s v="073477101100310302"/>
    <s v="Itaguí"/>
    <x v="11"/>
    <s v="Mov Red Trans Dairo Gil"/>
    <x v="1"/>
    <n v="9"/>
    <s v="2025-12-11 10:26:20"/>
    <s v="2 días 10:26"/>
    <s v="7 días 10:26"/>
    <x v="0"/>
    <s v="SIN DATO"/>
    <s v="SIN DATO"/>
    <s v="SIN DATO"/>
    <s v="ABIERTO"/>
    <n v="-75.620313210000006"/>
    <n v="6.1638645900000002"/>
    <s v="SUR-ENE"/>
    <s v="Metropolitana Sur"/>
  </r>
  <r>
    <s v="23601432"/>
    <s v="ENECNX"/>
    <s v="NUEVO"/>
    <s v="ENECNX"/>
    <s v="27/11/2025 10:30:53"/>
    <s v="2025-11-27 10:30:53"/>
    <n v="1036600285"/>
    <s v="ALEJANDRA TORO VELASQUEZ"/>
    <s v="SIN DATOS"/>
    <s v="3015721760"/>
    <s v="CR 22 CL 17 -221 (INTERIOR 1006 )"/>
    <x v="2"/>
    <s v="051222007002211006"/>
    <s v="Medellín"/>
    <x v="3"/>
    <s v="Revisor Puntos de Conexión Metrosur"/>
    <x v="1"/>
    <n v="4"/>
    <s v="2025-12-03 10:30:53"/>
    <s v="2 días 10:30"/>
    <s v="2 días 10:30"/>
    <x v="1"/>
    <s v="SIN DATO"/>
    <s v="SIN DATO"/>
    <s v="SIN DATO"/>
    <s v="ABIERTO"/>
    <n v="-75.552340000000001"/>
    <n v="6.2156029999999998"/>
    <s v="SUR-ENE"/>
    <s v="Metropolitana Sur"/>
  </r>
  <r>
    <s v="23601436"/>
    <s v="ENERES"/>
    <s v="NUEVO"/>
    <s v="ENERES"/>
    <s v="27/11/2025 10:32:17"/>
    <s v="2025-11-27 10:32:17"/>
    <n v="1036609044"/>
    <s v="PAOLA ANDREA ZAMBRANO ESTRADA"/>
    <s v="SIN DATOS"/>
    <s v="3106395878"/>
    <s v="CL 43 CR 32 -33 (INTERIOR 301 )"/>
    <x v="2"/>
    <s v="054313002000330301"/>
    <s v="Medellín"/>
    <x v="2"/>
    <s v="METROSUR Vin. Leg. Ref. Concentrada"/>
    <x v="1"/>
    <n v="7"/>
    <s v="2025-12-09 10:32:17"/>
    <s v="2 días 10:32"/>
    <s v="5 días 10:32"/>
    <x v="0"/>
    <s v="SIN DATO"/>
    <s v="SIN DATO"/>
    <s v="SIN DATO"/>
    <s v="ABIERTO"/>
    <n v="-75.556798020000002"/>
    <n v="6.2376216199999996"/>
    <s v="SUR-ENE"/>
    <s v="Metropolitana Sur"/>
  </r>
  <r>
    <s v="23601439"/>
    <s v="ENERES"/>
    <s v="CAMBI"/>
    <s v="ENERES"/>
    <s v="27/11/2025 10:33:48"/>
    <s v="2025-11-27 10:33:48"/>
    <n v="91349889"/>
    <s v="ARNOLDO MEDINA GELVEZ"/>
    <s v="SIN DATOS"/>
    <s v="3124490988"/>
    <s v="RURAL_140004954401000000_140004954401000000"/>
    <x v="5"/>
    <s v="140004954401000000"/>
    <s v="Envigado"/>
    <x v="5"/>
    <s v="METROSUR Vin. Leg. Ref. Concentrada"/>
    <x v="0"/>
    <n v="10"/>
    <s v="2025-12-12 10:33:48"/>
    <s v="2 días 10:33"/>
    <s v="8 días 10:33"/>
    <x v="0"/>
    <s v="SIN DATO"/>
    <s v="SIN DATO"/>
    <s v="SIN DATO"/>
    <s v="ABIERTO"/>
    <n v="-75.527976969999997"/>
    <n v="6.1377919500000004"/>
    <s v="SUR-ENE"/>
    <s v="Metropolitana Sur"/>
  </r>
  <r>
    <s v="23601454"/>
    <s v="ENERES"/>
    <s v="NUEVO"/>
    <s v="ENEDOM"/>
    <s v="27/11/2025 10:49:32"/>
    <s v="2025-11-27 10:49:32"/>
    <n v="71386273"/>
    <s v="JOHAN DARIO ARANGO AGUIRRE"/>
    <s v="SIN DATOS"/>
    <s v="3105149191"/>
    <s v="CL 47 CR 16 CC -87 (INTERIOR 401 )"/>
    <x v="2"/>
    <s v="054117006330870401"/>
    <s v="Medellín"/>
    <x v="0"/>
    <s v="Habilitación Viviendas Metrosur"/>
    <x v="1"/>
    <n v="5"/>
    <s v="2025-12-04 10:49:32"/>
    <s v="2 días 10:49"/>
    <s v="3 días 10:49"/>
    <x v="0"/>
    <s v="SIN DATO"/>
    <s v="SIN DATO"/>
    <s v="SIN DATO"/>
    <s v="ABIERTO"/>
    <n v="-75.544976919999996"/>
    <n v="6.2352838400000001"/>
    <s v="SUR-ENE"/>
    <s v="Metropolitana Sur"/>
  </r>
  <r>
    <s v="23601464"/>
    <s v="ENENOR"/>
    <s v="CAMBI"/>
    <s v="ENENOR"/>
    <s v="27/11/2025 10:55:11"/>
    <s v="2025-11-27 10:55:11"/>
    <n v="70550320"/>
    <s v="RUBEN DARIO LONDOÑO RESTREPO"/>
    <s v="6115213"/>
    <s v="3002049670"/>
    <s v="CR 39 CL 35 SUR -15"/>
    <x v="5"/>
    <s v="023329005000150000"/>
    <s v="Envigado"/>
    <x v="1"/>
    <s v="METROSUR Vin. Leg. Ref. Concentrada"/>
    <x v="1"/>
    <n v="7"/>
    <s v="2025-12-09 10:55:11"/>
    <s v="2 días 10:55"/>
    <s v="5 días 10:55"/>
    <x v="0"/>
    <s v="SIN DATO"/>
    <s v="SIN DATO"/>
    <s v="SIN DATO"/>
    <s v="ABIERTO"/>
    <n v="-75.584219230000002"/>
    <n v="6.16998742"/>
    <s v="SUR-ENE"/>
    <s v="Metropolitana Sur"/>
  </r>
  <r>
    <s v="23601467"/>
    <s v="ENEMRT"/>
    <s v="NUEVO"/>
    <s v="ENEMVI"/>
    <s v="27/11/2025 10:56:16"/>
    <s v="2025-11-27 10:56:16"/>
    <n v="71600198"/>
    <s v="IVAN DE JESUS CARDONA ALVAREZ"/>
    <s v="SIN DATOS"/>
    <s v="3117268685"/>
    <s v="RURAL_147048816000000201_147048816000000201"/>
    <x v="2"/>
    <s v="147048816000000201"/>
    <s v="Medellín"/>
    <x v="11"/>
    <s v="METR Mov Red Trans Anderson Castaño"/>
    <x v="0"/>
    <n v="14"/>
    <s v="2025-12-18 10:56:16"/>
    <s v="2 días 10:56"/>
    <s v="12 días 10:56"/>
    <x v="0"/>
    <s v="SIN DATO"/>
    <s v="SIN DATO"/>
    <s v="SIN DATO"/>
    <s v="ABIERTO"/>
    <n v="-75.647835999999998"/>
    <n v="6.2851400000000002"/>
    <s v="SUR-ENE"/>
    <s v="Metropolitana Sur"/>
  </r>
  <r>
    <s v="23601493"/>
    <s v="ENEPRE"/>
    <s v="NUEVO"/>
    <s v="ENEPRE"/>
    <s v="27/11/2025 11:22:38"/>
    <s v="2025-11-28 07:27:47"/>
    <n v="1042772489"/>
    <s v="JESUS ERNESTO CARDONA ORREGO"/>
    <s v="SIN DATOS"/>
    <s v="3113187551"/>
    <s v="CL 55 A SUR CR 59 -35 (INTERIOR 112 )"/>
    <x v="2"/>
    <s v="045515109000350112"/>
    <s v="Medellín"/>
    <x v="0"/>
    <s v="Habilitación Viviendas Metrosur"/>
    <x v="1"/>
    <n v="5"/>
    <s v="2025-12-05 07:27:47"/>
    <s v="1 días 07:27"/>
    <s v="4 días 07:27"/>
    <x v="0"/>
    <s v="SIN DATO"/>
    <s v="SIN DATO"/>
    <s v="SIN DATO"/>
    <s v="ABIERTO"/>
    <n v="-75.640305999999995"/>
    <n v="6.174461"/>
    <s v="SUR-ENE"/>
    <s v="Metropolitana Sur"/>
  </r>
  <r>
    <s v="23601499"/>
    <s v="ENEPRE"/>
    <s v="NUEVO"/>
    <s v="ENEPRE"/>
    <s v="27/11/2025 11:25:00"/>
    <s v="2025-11-28 07:27:47"/>
    <n v="1042772489"/>
    <s v="JESUS ERNESTO CARDONA ORREGO"/>
    <s v="SIN DATOS"/>
    <s v="3113187551"/>
    <s v="CL 55 A SUR CR 59 -35 (INTERIOR 113 )"/>
    <x v="2"/>
    <s v="045515109000350113"/>
    <s v="Medellín"/>
    <x v="0"/>
    <s v="Habilitación Viviendas Metrosur"/>
    <x v="1"/>
    <n v="5"/>
    <s v="2025-12-05 07:27:47"/>
    <s v="1 días 07:27"/>
    <s v="4 días 07:27"/>
    <x v="0"/>
    <s v="SIN DATO"/>
    <s v="SIN DATO"/>
    <s v="SIN DATO"/>
    <s v="ABIERTO"/>
    <n v="-75.640305999999995"/>
    <n v="6.174461"/>
    <s v="SUR-ENE"/>
    <s v="Metropolitana Sur"/>
  </r>
  <r>
    <s v="23601508"/>
    <s v="ENEPRE"/>
    <s v="NUEVO"/>
    <s v="ENEPRE"/>
    <s v="27/11/2025 11:28:27"/>
    <s v="2025-11-28 07:27:46"/>
    <n v="1042772489"/>
    <s v="JESUS ERNESTO CARDONA ORREGO"/>
    <s v="SIN DATOS"/>
    <s v="3113187551"/>
    <s v="CL 55 A SUR CR 59 -35 (INTERIOR 115 )"/>
    <x v="2"/>
    <s v="045515109000350115"/>
    <s v="Medellín"/>
    <x v="0"/>
    <s v="Habilitación Viviendas Metrosur"/>
    <x v="1"/>
    <n v="5"/>
    <s v="2025-12-05 07:27:46"/>
    <s v="1 días 07:27"/>
    <s v="4 días 07:27"/>
    <x v="0"/>
    <s v="SIN DATO"/>
    <s v="SIN DATO"/>
    <s v="SIN DATO"/>
    <s v="ABIERTO"/>
    <n v="-75.640305999999995"/>
    <n v="6.174461"/>
    <s v="SUR-ENE"/>
    <s v="Metropolitana Sur"/>
  </r>
  <r>
    <s v="23601514"/>
    <s v="ENERES"/>
    <s v="NUEVO"/>
    <s v="ENEDOM"/>
    <s v="27/11/2025 11:32:57"/>
    <s v="2025-11-27 11:32:57"/>
    <n v="1214734588"/>
    <s v="VERONICA AGUDELO LOPEZ"/>
    <s v="SIN DATOS"/>
    <s v="3116747895"/>
    <s v="CL 55 H CR 3 ESTE -7 (INTERIOR 201 )"/>
    <x v="2"/>
    <s v="705015803000070201"/>
    <s v="Medellín"/>
    <x v="0"/>
    <s v="Habilitación Viviendas Metrosur"/>
    <x v="1"/>
    <n v="5"/>
    <s v="2025-12-04 11:32:57"/>
    <s v="2 días 11:32"/>
    <s v="3 días 11:32"/>
    <x v="0"/>
    <s v="SIN DATO"/>
    <s v="SIN DATO"/>
    <s v="SIN DATO"/>
    <s v="ABIERTO"/>
    <n v="-75.527999159999993"/>
    <n v="6.2349434199999996"/>
    <s v="SUR-ENE"/>
    <s v="Metropolitana Sur"/>
  </r>
  <r>
    <s v="23601515"/>
    <s v="ENECNX"/>
    <s v="NUEVO"/>
    <s v="ENECNX"/>
    <s v="27/11/2025 11:33:45"/>
    <s v="2025-11-27 11:33:45"/>
    <n v="1038821146"/>
    <s v="MAURICIO ARNEY ESCORCIA GUERRA"/>
    <s v="SIN DATOS"/>
    <s v="3108350279"/>
    <s v="CR 96 A CL 62 D -3 (INTERIOR 2418 )"/>
    <x v="2"/>
    <s v="056926102400032418"/>
    <s v="Medellín"/>
    <x v="3"/>
    <s v="Revisor Puntos de Conexión Metrosur"/>
    <x v="1"/>
    <n v="4"/>
    <s v="2025-12-03 11:33:45"/>
    <s v="2 días 11:33"/>
    <s v="2 días 11:33"/>
    <x v="1"/>
    <s v="SIN DATO"/>
    <s v="SIN DATO"/>
    <s v="SIN DATO"/>
    <s v="ABIERTO"/>
    <n v="-75.607009210000001"/>
    <n v="6.2786223200000002"/>
    <s v="SUR-ENE"/>
    <s v="Metropolitana Sur"/>
  </r>
  <r>
    <s v="23601543"/>
    <s v="ENERES"/>
    <s v="NUEVO"/>
    <s v="ENEDOM"/>
    <s v="27/11/2025 11:59:32"/>
    <s v="2025-11-27 11:59:32"/>
    <n v="1037662020"/>
    <s v="MAYRA ALEJANDRA QUINTANA TOBON"/>
    <s v="SIN DATOS"/>
    <s v="3012876800"/>
    <s v="CR 34 E CL 31 -164 (INTERIOR 401 )"/>
    <x v="2"/>
    <s v="053324501001640401"/>
    <s v="Medellín"/>
    <x v="0"/>
    <s v="Habilitación Viviendas Metrosur"/>
    <x v="1"/>
    <n v="5"/>
    <s v="2025-12-04 11:59:32"/>
    <s v="2 días 11:59"/>
    <s v="3 días 11:59"/>
    <x v="0"/>
    <s v="SIN DATO"/>
    <s v="SIN DATO"/>
    <s v="SIN DATO"/>
    <s v="ABIERTO"/>
    <n v="-75.563727999999998"/>
    <n v="6.2305580000000003"/>
    <s v="SUR-ENE"/>
    <s v="Metropolitana Sur"/>
  </r>
  <r>
    <s v="23601544"/>
    <s v="ENECNX"/>
    <s v="NUEVO"/>
    <s v="ENECNX"/>
    <s v="27/11/2025 11:59:39"/>
    <s v="2025-11-27 11:59:39"/>
    <n v="1116787521"/>
    <s v="JHONNY ENRIQUE CASTILLO ROMERO"/>
    <s v="SIN DATOS"/>
    <s v="3007818199"/>
    <s v="RURAL_053727008000720000_CIRC 8 CL 38 -72"/>
    <x v="2"/>
    <s v="053727008000720000"/>
    <s v="Medellín"/>
    <x v="3"/>
    <s v="Revisor Puntos de Conexión Metrosur"/>
    <x v="1"/>
    <n v="4"/>
    <s v="2025-12-03 11:59:39"/>
    <s v="2 días 11:59"/>
    <s v="2 días 11:59"/>
    <x v="1"/>
    <s v="SIN DATO"/>
    <s v="SIN DATO"/>
    <s v="SIN DATO"/>
    <s v="ABIERTO"/>
    <n v="-75.598335000000006"/>
    <n v="6.246048"/>
    <s v="SUR-ENE"/>
    <s v="Metropolitana Sur"/>
  </r>
  <r>
    <s v="23601545"/>
    <s v="ENEMRT"/>
    <s v="NUEVO"/>
    <s v="ENEMVI"/>
    <s v="27/11/2025 11:59:47"/>
    <s v="2025-11-27 11:59:47"/>
    <n v="1152225530"/>
    <s v="MARIA CAMILA RAMIREZ RODAS"/>
    <s v="SIN DATOS"/>
    <s v="3504849159"/>
    <s v="CL 39 AD CR 117 B -64 (INTERIOR 205 )"/>
    <x v="2"/>
    <s v="083119147200640205"/>
    <s v="Medellín"/>
    <x v="11"/>
    <s v="METR Mov Red Trans Anderson Castaño"/>
    <x v="1"/>
    <n v="9"/>
    <s v="2025-12-11 11:59:47"/>
    <s v="2 días 11:59"/>
    <s v="7 días 11:59"/>
    <x v="0"/>
    <s v="SIN DATO"/>
    <s v="SIN DATO"/>
    <s v="SIN DATO"/>
    <s v="ABIERTO"/>
    <n v="-75.628520429999995"/>
    <n v="6.25181188"/>
    <s v="SUR-ENE"/>
    <s v="Metropolitana Sur"/>
  </r>
  <r>
    <s v="23601546"/>
    <s v="ENERES"/>
    <s v="NUEVO"/>
    <s v="ENEDOM"/>
    <s v="27/11/2025 12:02:09"/>
    <s v="2025-11-27 12:02:09"/>
    <n v="1037662020"/>
    <s v="MAYRA ALEJANDRA QUINTANA TOBON"/>
    <s v="SIN DATOS"/>
    <s v="3012876800"/>
    <s v="CR 34 E CL 31 -164 (INTERIOR 402 )"/>
    <x v="2"/>
    <s v="053324501001640402"/>
    <s v="Medellín"/>
    <x v="0"/>
    <s v="Habilitación Viviendas Metrosur"/>
    <x v="1"/>
    <n v="5"/>
    <s v="2025-12-04 12:02:09"/>
    <s v="2 días 12:02"/>
    <s v="3 días 12:02"/>
    <x v="0"/>
    <s v="SIN DATO"/>
    <s v="SIN DATO"/>
    <s v="SIN DATO"/>
    <s v="ABIERTO"/>
    <n v="-75.563727999999998"/>
    <n v="6.2305580000000003"/>
    <s v="SUR-ENE"/>
    <s v="Metropolitana Sur"/>
  </r>
  <r>
    <s v="23601549"/>
    <s v="ENERES"/>
    <s v="NUEVO"/>
    <s v="ENERES"/>
    <s v="27/11/2025 12:04:12"/>
    <s v="2025-11-27 12:04:12"/>
    <n v="43039326"/>
    <s v="ALLESA MARIA FERNANDEZ BERRIO"/>
    <s v="3305705"/>
    <s v="3123694640"/>
    <s v="CL 19 B CR 81 B -46"/>
    <x v="2"/>
    <s v="051819201200460000"/>
    <s v="Medellín"/>
    <x v="2"/>
    <s v="Revisor Instal. Regadas Metrosur"/>
    <x v="1"/>
    <n v="7"/>
    <s v="2025-12-09 12:04:12"/>
    <s v="2 días 12:04"/>
    <s v="5 días 12:04"/>
    <x v="0"/>
    <s v="SIN DATO"/>
    <s v="SIN DATO"/>
    <s v="SIN DATO"/>
    <s v="ABIERTO"/>
    <n v="-75.603776999999994"/>
    <n v="6.2254000899999999"/>
    <s v="SUR-ENE"/>
    <s v="Metropolitana Sur"/>
  </r>
  <r>
    <s v="23601554"/>
    <s v="ENERES"/>
    <s v="NUEVO"/>
    <s v="ENEDOM"/>
    <s v="27/11/2025 12:08:43"/>
    <s v="2025-11-27 12:08:43"/>
    <n v="3430188"/>
    <s v="AICARDO VILLA GOMEZ"/>
    <s v="4273901"/>
    <s v="SIN DATOS"/>
    <s v="RURAL_147001002000000101_147001002000000101"/>
    <x v="2"/>
    <s v="147001002000000101"/>
    <s v="Medellín"/>
    <x v="0"/>
    <s v="Habilitación Viviendas Metrosur"/>
    <x v="0"/>
    <n v="8"/>
    <s v="2025-12-10 12:08:43"/>
    <s v="2 días 12:08"/>
    <s v="6 días 12:08"/>
    <x v="0"/>
    <s v="SIN DATO"/>
    <s v="SIN DATO"/>
    <s v="SIN DATO"/>
    <s v="ABIERTO"/>
    <n v="-75.64396241"/>
    <n v="6.2745096699999996"/>
    <s v="SUR-ENE"/>
    <s v="Metropolitana Sur"/>
  </r>
  <r>
    <s v="23601556"/>
    <s v="ENERES"/>
    <s v="CAMBI"/>
    <s v="ENERES"/>
    <s v="27/11/2025 12:09:11"/>
    <s v="2025-11-27 12:09:11"/>
    <n v="70124689"/>
    <s v="JUAN EUGENIO RIOS VILLA"/>
    <s v="SIN DATOS"/>
    <s v="3006092484"/>
    <s v="CR 55 B CL 79 C SUR -44"/>
    <x v="0"/>
    <s v="037525209300440000"/>
    <s v="La Estrella"/>
    <x v="5"/>
    <s v="METROSUR Vin. Leg. Ref. Concentrada"/>
    <x v="1"/>
    <n v="7"/>
    <s v="2025-12-09 12:09:11"/>
    <s v="2 días 12:09"/>
    <s v="5 días 12:09"/>
    <x v="0"/>
    <s v="SIN DATO"/>
    <s v="SIN DATO"/>
    <s v="SIN DATO"/>
    <s v="ABIERTO"/>
    <n v="-75.636289110000007"/>
    <n v="6.1549134499999996"/>
    <s v="SUR-ENE"/>
    <s v="Metropolitana Sur"/>
  </r>
  <r>
    <s v="23601557"/>
    <s v="ENENOR"/>
    <s v="NUEVO"/>
    <s v="ENENOR"/>
    <s v="27/11/2025 12:09:44"/>
    <s v="2025-11-27 12:09:44"/>
    <n v="6788471"/>
    <s v="LUIS HUMBERTO  ESTRADA ARREDONFO"/>
    <s v="2877453"/>
    <s v="3136801408"/>
    <s v="RURAL_163011716000000003_CL 68 CR 67-20"/>
    <x v="1"/>
    <s v="163011716000000003"/>
    <s v="Itaguí"/>
    <x v="4"/>
    <s v="Revisor Inst. Particulares Metrosur"/>
    <x v="0"/>
    <n v="10"/>
    <s v="2025-12-12 12:09:44"/>
    <s v="2 días 12:09"/>
    <s v="8 días 12:09"/>
    <x v="0"/>
    <s v="SIN DATO"/>
    <s v="SIN DATO"/>
    <s v="SIN DATO"/>
    <s v="ABIERTO"/>
    <n v="-75.611388989999995"/>
    <n v="6.1891516800000002"/>
    <s v="SUR-ENE"/>
    <s v="Metropolitana Sur"/>
  </r>
  <r>
    <s v="23601560"/>
    <s v="ENEMRT"/>
    <s v="NUEVO"/>
    <s v="ENEMVI"/>
    <s v="27/11/2025 12:11:49"/>
    <s v="2025-11-27 12:11:49"/>
    <n v="1026156343"/>
    <s v="CLAUDIA PATRICIA ALVAREZ CARO"/>
    <s v="5776172"/>
    <s v="3016035891"/>
    <s v="CR 122 CL 39 AA -24 (INTERIOR 101 )"/>
    <x v="2"/>
    <s v="083222009110240101"/>
    <s v="Medellín"/>
    <x v="11"/>
    <s v="METR Mov Red Trans Anderson Castaño"/>
    <x v="1"/>
    <n v="9"/>
    <s v="2025-12-11 12:11:49"/>
    <s v="2 días 12:11"/>
    <s v="7 días 12:11"/>
    <x v="0"/>
    <s v="SIN DATO"/>
    <s v="SIN DATO"/>
    <s v="SIN DATO"/>
    <s v="ABIERTO"/>
    <n v="-75.630166000000003"/>
    <n v="6.2504619999999997"/>
    <s v="SUR-ENE"/>
    <s v="Metropolitana Sur"/>
  </r>
  <r>
    <s v="23601576"/>
    <s v="ENERES"/>
    <s v="NUEVO"/>
    <s v="ENERES"/>
    <s v="27/11/2025 12:35:38"/>
    <s v="2025-11-27 12:35:38"/>
    <n v="43644678"/>
    <s v="BLANCA LUCIA MONTES GIRALDO"/>
    <s v="SIN DATOS"/>
    <s v="3012584149"/>
    <s v="CL 43 CR 66 -17 (INTERIOR 101 )"/>
    <x v="2"/>
    <s v="054613006000170101"/>
    <s v="Medellín"/>
    <x v="2"/>
    <s v="METROSUR Vin. Leg. Ref. Concentrada"/>
    <x v="1"/>
    <n v="7"/>
    <s v="2025-12-09 12:35:38"/>
    <s v="2 días 12:35"/>
    <s v="5 días 12:35"/>
    <x v="0"/>
    <s v="SIN DATO"/>
    <s v="SIN DATO"/>
    <s v="SIN DATO"/>
    <s v="ABIERTO"/>
    <n v="-75.584685840000006"/>
    <n v="6.24781852"/>
    <s v="SUR-ENE"/>
    <s v="Metropolitana Sur"/>
  </r>
  <r>
    <s v="23601581"/>
    <s v="ENERES"/>
    <s v="NUEVO"/>
    <s v="ENERES"/>
    <s v="27/11/2025 12:41:36"/>
    <s v="2025-11-27 12:41:36"/>
    <n v="15255624"/>
    <s v="LUIS HERNAN BLANDON CASTAÑEDA"/>
    <s v="3031216"/>
    <s v="3012178717"/>
    <s v="CR 42 A CL 125 SUR -130 (INTERIOR 401 )"/>
    <x v="3"/>
    <s v="002422105001300401"/>
    <s v="Caldas"/>
    <x v="2"/>
    <s v="Revisor Instal. Regadas Metrosur"/>
    <x v="1"/>
    <n v="7"/>
    <s v="2025-12-09 12:41:36"/>
    <s v="2 días 12:41"/>
    <s v="5 días 12:41"/>
    <x v="0"/>
    <s v="SIN DATO"/>
    <s v="SIN DATO"/>
    <s v="SIN DATO"/>
    <s v="ABIERTO"/>
    <n v="-75.629560490000003"/>
    <n v="6.0958739700000004"/>
    <s v="SUR-ENE"/>
    <s v="Metropolitana Sur"/>
  </r>
  <r>
    <s v="23601586"/>
    <s v="ENEMRT"/>
    <s v="NUEVO"/>
    <s v="ENEMVI"/>
    <s v="27/11/2025 12:47:02"/>
    <s v="2025-11-27 12:47:02"/>
    <n v="1094941872"/>
    <s v="DIANA MARCELA TRUJILLO GALLEGO"/>
    <s v="2347019"/>
    <s v="3218955145"/>
    <s v="RURAL_136029754320000000_CL 58B CR 98-106 (IN 101)"/>
    <x v="2"/>
    <s v="136029754320000000"/>
    <s v="Medellín"/>
    <x v="11"/>
    <s v="METR Mov Red Trans Anderson Castaño"/>
    <x v="0"/>
    <n v="14"/>
    <s v="2025-12-18 12:47:02"/>
    <s v="2 días 12:47"/>
    <s v="12 días 12:47"/>
    <x v="0"/>
    <s v="SIN DATO"/>
    <s v="SIN DATO"/>
    <s v="SIN DATO"/>
    <s v="ABIERTO"/>
    <n v="-75.608321829999994"/>
    <n v="6.2749278799999999"/>
    <s v="SUR-ENE"/>
    <s v="Metropolitana Sur"/>
  </r>
  <r>
    <s v="23601595"/>
    <s v="ENENOR"/>
    <s v="NUEVO"/>
    <s v="ENENOR"/>
    <s v="27/11/2025 13:06:32"/>
    <s v="2025-11-27 13:06:32"/>
    <n v="70602422"/>
    <s v="JUAN CARLOS ECHAVARRIA VALENCIA"/>
    <s v="SIN DATOS"/>
    <s v="3104509212"/>
    <s v="CR 72 CL 42 -38"/>
    <x v="2"/>
    <s v="054722002000380000"/>
    <s v="Medellín"/>
    <x v="4"/>
    <s v="METROSUR Vin. Leg. Ref. Concentrada"/>
    <x v="1"/>
    <n v="7"/>
    <s v="2025-12-09 13:06:32"/>
    <s v="2 días 13:06"/>
    <s v="5 días 13:06"/>
    <x v="0"/>
    <s v="SIN DATO"/>
    <s v="SIN DATO"/>
    <s v="SIN DATO"/>
    <s v="ABIERTO"/>
    <n v="-75.591282179999993"/>
    <n v="6.2484682300000003"/>
    <s v="SUR-ENE"/>
    <s v="Metropolitana Sur"/>
  </r>
  <r>
    <s v="23601599"/>
    <s v="ENENOR"/>
    <s v="CAMBI"/>
    <s v="ENENOR"/>
    <s v="27/11/2025 13:16:18"/>
    <s v="2025-11-27 13:16:18"/>
    <n v="70602422"/>
    <s v="JUAN CARLOS ECHAVARRIA VALENCIA"/>
    <s v="SIN DATOS"/>
    <s v="3104509212"/>
    <s v="CR 72 CL 42 -40"/>
    <x v="2"/>
    <s v="054722002000400000"/>
    <s v="Medellín"/>
    <x v="1"/>
    <s v="METROSUR Vin. Leg. Ref. Concentrada"/>
    <x v="1"/>
    <n v="7"/>
    <s v="2025-12-09 13:16:18"/>
    <s v="2 días 13:16"/>
    <s v="5 días 13:16"/>
    <x v="0"/>
    <s v="SIN DATO"/>
    <s v="SIN DATO"/>
    <s v="SIN DATO"/>
    <s v="ABIERTO"/>
    <n v="-75.591280139999995"/>
    <n v="6.2484853899999999"/>
    <s v="SUR-ENE"/>
    <s v="Metropolitana Sur"/>
  </r>
  <r>
    <s v="23601606"/>
    <s v="ENECNX"/>
    <s v="NUEVO"/>
    <s v="ENECNX"/>
    <s v="27/11/2025 13:28:39"/>
    <s v="2025-11-27 13:28:39"/>
    <n v="1018504823"/>
    <s v="LORENA DELGADO"/>
    <s v="SIN DATOS"/>
    <s v="3193598877"/>
    <s v="CL 10 CR 36 -51"/>
    <x v="2"/>
    <s v="051310006000510000"/>
    <s v="Medellín"/>
    <x v="3"/>
    <s v="Revisor Puntos de Conexión Metrosur"/>
    <x v="1"/>
    <n v="4"/>
    <s v="2025-12-03 13:28:39"/>
    <s v="2 días 13:28"/>
    <s v="2 días 13:28"/>
    <x v="1"/>
    <s v="SIN DATO"/>
    <s v="SIN DATO"/>
    <s v="SIN DATO"/>
    <s v="ABIERTO"/>
    <n v="-75.566621999999995"/>
    <n v="6.2090360000000002"/>
    <s v="SUR-ENE"/>
    <s v="Metropolitana Sur"/>
  </r>
  <r>
    <s v="23601613"/>
    <s v="ENERES"/>
    <s v="NUEVO"/>
    <s v="ENEDOM"/>
    <s v="27/11/2025 13:39:07"/>
    <s v="2025-11-27 13:39:07"/>
    <n v="1128415019"/>
    <s v="TATIANA MARCELA SALDARRIAGA ZAPATA"/>
    <s v="2530071"/>
    <s v="3022690667"/>
    <s v="CR 108 CL 48 B -70"/>
    <x v="2"/>
    <s v="084028008200700000"/>
    <s v="Medellín"/>
    <x v="0"/>
    <s v="Habilitación Viviendas Metrosur"/>
    <x v="1"/>
    <n v="5"/>
    <s v="2025-12-04 13:39:07"/>
    <s v="2 días 13:39"/>
    <s v="3 días 13:39"/>
    <x v="0"/>
    <s v="SIN DATO"/>
    <s v="SIN DATO"/>
    <s v="SIN DATO"/>
    <s v="ABIERTO"/>
    <n v="-75.623011570000003"/>
    <n v="6.2607761799999997"/>
    <s v="SUR-ENE"/>
    <s v="Metropolitana Sur"/>
  </r>
  <r>
    <s v="23601635"/>
    <s v="ENECNX"/>
    <s v="NUEVO"/>
    <s v="ENECNX"/>
    <s v="27/11/2025 13:57:10"/>
    <s v="2025-11-27 13:57:11"/>
    <n v="70555877"/>
    <s v="JORGE HOYOS ANGEL"/>
    <s v="3525210"/>
    <s v="3195676277"/>
    <s v="CL 77 SUR CR 47 B -211 (INTERIOR 5 )"/>
    <x v="4"/>
    <s v="017417007202110005"/>
    <s v="Sabaneta"/>
    <x v="3"/>
    <s v="Revisor Puntos de Conexión Metrosur"/>
    <x v="1"/>
    <n v="4"/>
    <s v="2025-12-03 13:57:11"/>
    <s v="2 días 13:57"/>
    <s v="2 días 13:57"/>
    <x v="1"/>
    <s v="SIN DATO"/>
    <s v="SIN DATO"/>
    <s v="SIN DATO"/>
    <s v="ABIERTO"/>
    <n v="-75.624838999999994"/>
    <n v="6.1517439999999999"/>
    <s v="SUR-ENE"/>
    <s v="Metropolitana Sur"/>
  </r>
  <r>
    <s v="23601649"/>
    <s v="ENECNX"/>
    <s v="NUEVO"/>
    <s v="ENECNX"/>
    <s v="27/11/2025 14:10:46"/>
    <s v="2025-11-27 14:10:46"/>
    <n v="21728793"/>
    <s v="MARIA DEL SOCORRO ESTRADA DE MOLINA"/>
    <s v="SIN DATOS"/>
    <s v="3006245091"/>
    <s v="CR 46 D CL 75 SUR -48 (LC 201 )"/>
    <x v="4"/>
    <s v="017426405000480201"/>
    <s v="Sabaneta"/>
    <x v="3"/>
    <s v="Revisor Puntos de Conexión Metrosur"/>
    <x v="1"/>
    <n v="4"/>
    <s v="2025-12-03 14:10:46"/>
    <s v="2 días 14:10"/>
    <s v="2 días 14:10"/>
    <x v="1"/>
    <s v="SIN DATO"/>
    <s v="SIN DATO"/>
    <s v="SIN DATO"/>
    <s v="ABIERTO"/>
    <n v="-75.620339689999994"/>
    <n v="6.1510181800000003"/>
    <s v="SUR-ENE"/>
    <s v="Metropolitana Sur"/>
  </r>
  <r>
    <s v="23601654"/>
    <s v="ENEMRT"/>
    <s v="NUEVO"/>
    <s v="ENEMVI"/>
    <s v="27/11/2025 14:15:05"/>
    <s v="2025-11-27 14:15:05"/>
    <n v="70097561"/>
    <s v="CARLOS MARIO CANO MUÑOZ"/>
    <s v="SIN DATOS"/>
    <s v="3146167430"/>
    <s v="RURAL_147024400000000000_EL UVITO"/>
    <x v="2"/>
    <s v="147024400000000000"/>
    <s v="Medellín"/>
    <x v="11"/>
    <s v="METR Mov Red Trans Anderson Castaño"/>
    <x v="0"/>
    <n v="14"/>
    <s v="2025-12-18 14:15:05"/>
    <s v="2 días 14:15"/>
    <s v="12 días 14:15"/>
    <x v="0"/>
    <s v="SIN DATO"/>
    <s v="SIN DATO"/>
    <s v="SIN DATO"/>
    <s v="ABIERTO"/>
    <n v="-75.652553889999993"/>
    <n v="6.2904410799999999"/>
    <s v="SUR-ENE"/>
    <s v="Metropolitana Sur"/>
  </r>
  <r>
    <s v="23601664"/>
    <s v="ENERES"/>
    <s v="NUEVO"/>
    <s v="ENEDOM"/>
    <s v="27/11/2025 14:22:07"/>
    <s v="2025-11-27 14:22:07"/>
    <n v="70875621"/>
    <s v="ENRIQUE LEON ORTIZ CANO"/>
    <s v="SIN DATOS"/>
    <s v="3207017511"/>
    <s v="RURAL_114013298500000011_VDA MANZANILLO"/>
    <x v="2"/>
    <s v="114013298500000011"/>
    <s v="Medellín"/>
    <x v="0"/>
    <s v="Habilitación Viviendas Metrosur"/>
    <x v="0"/>
    <n v="8"/>
    <s v="2025-12-10 14:22:07"/>
    <s v="2 días 14:22"/>
    <s v="6 días 14:22"/>
    <x v="0"/>
    <s v="SIN DATO"/>
    <s v="SIN DATO"/>
    <s v="SIN DATO"/>
    <s v="ABIERTO"/>
    <n v="-75.610043910000002"/>
    <n v="6.2052303599999998"/>
    <s v="SUR-ENE"/>
    <s v="Metropolitana Sur"/>
  </r>
  <r>
    <s v="23601665"/>
    <s v="ENERES"/>
    <s v="NUEVO"/>
    <s v="ENEDOM"/>
    <s v="27/11/2025 14:24:51"/>
    <s v="2025-11-27 14:24:51"/>
    <n v="1010107622"/>
    <s v="MAYKER ORLANDO MURILLO RODRIGUEZ"/>
    <s v="SIN DATOS"/>
    <s v="3219323426"/>
    <s v="CL 56 A CR 25 BB -74 (INTERIOR 120 )"/>
    <x v="2"/>
    <s v="055216105220740120"/>
    <s v="Medellín"/>
    <x v="0"/>
    <s v="Habilitación Viviendas Metrosur"/>
    <x v="1"/>
    <n v="5"/>
    <s v="2025-12-04 14:24:51"/>
    <s v="2 días 14:24"/>
    <s v="3 días 14:24"/>
    <x v="0"/>
    <s v="SIN DATO"/>
    <s v="SIN DATO"/>
    <s v="SIN DATO"/>
    <s v="ABIERTO"/>
    <n v="-75.544843"/>
    <n v="6.2470699999999999"/>
    <s v="SUR-ENE"/>
    <s v="Metropolitana Sur"/>
  </r>
  <r>
    <s v="23601673"/>
    <s v="ENERES"/>
    <s v="NUEVO"/>
    <s v="ENEDOM"/>
    <s v="27/11/2025 14:30:13"/>
    <s v="2025-11-27 14:30:13"/>
    <n v="11798004"/>
    <s v="HECTOR ALIRIO ASPRILLA GARCIA"/>
    <s v="SIN DATOS"/>
    <s v="3172999115"/>
    <s v="CL 56 A CR 25 BB -74 (INTERIOR 124 )"/>
    <x v="2"/>
    <s v="055216105220740124"/>
    <s v="Medellín"/>
    <x v="0"/>
    <s v="Habilitación Viviendas Metrosur"/>
    <x v="1"/>
    <n v="5"/>
    <s v="2025-12-04 14:30:13"/>
    <s v="2 días 14:30"/>
    <s v="3 días 14:30"/>
    <x v="0"/>
    <s v="SIN DATO"/>
    <s v="SIN DATO"/>
    <s v="SIN DATO"/>
    <s v="ABIERTO"/>
    <n v="-75.544843"/>
    <n v="6.2470699999999999"/>
    <s v="SUR-ENE"/>
    <s v="Metropolitana Sur"/>
  </r>
  <r>
    <s v="23601677"/>
    <s v="ENENOR"/>
    <s v="NUEVO"/>
    <s v="ENENOR"/>
    <s v="27/11/2025 14:31:45"/>
    <s v="2025-11-27 14:31:45"/>
    <n v="3626571"/>
    <s v="CARLOS OVIDIO VERGARA RAIGOZA"/>
    <s v="4415535"/>
    <s v="3136141222"/>
    <s v="CL 57 CR 54 -34 (INTERIOR 401 )"/>
    <x v="2"/>
    <s v="055517004000340401"/>
    <s v="Medellín"/>
    <x v="4"/>
    <s v="Revisor Instal. Regadas Metrosur"/>
    <x v="1"/>
    <n v="7"/>
    <s v="2025-12-09 14:31:45"/>
    <s v="2 días 14:31"/>
    <s v="5 días 14:31"/>
    <x v="0"/>
    <s v="SIN DATO"/>
    <s v="SIN DATO"/>
    <s v="SIN DATO"/>
    <s v="ABIERTO"/>
    <n v="-75.570069009999997"/>
    <n v="6.2567256599999999"/>
    <s v="SUR-ENE"/>
    <s v="Metropolitana Sur"/>
  </r>
  <r>
    <s v="23601678"/>
    <s v="ENERES"/>
    <s v="NUEVO"/>
    <s v="ENEDOM"/>
    <s v="27/11/2025 14:33:24"/>
    <s v="2025-11-27 14:33:24"/>
    <n v="11937438"/>
    <s v="PEDRO ESCILDO MENA MOSQUERA"/>
    <s v="2220863"/>
    <s v="3117128280"/>
    <s v="CL 56 A CR 25 BB -74 (INTERIOR 145 )"/>
    <x v="2"/>
    <s v="055216105220740145"/>
    <s v="Medellín"/>
    <x v="0"/>
    <s v="Habilitación Viviendas Metrosur"/>
    <x v="1"/>
    <n v="5"/>
    <s v="2025-12-04 14:33:24"/>
    <s v="2 días 14:33"/>
    <s v="3 días 14:33"/>
    <x v="0"/>
    <s v="SIN DATO"/>
    <s v="SIN DATO"/>
    <s v="SIN DATO"/>
    <s v="ABIERTO"/>
    <n v="-75.544843"/>
    <n v="6.2470699999999999"/>
    <s v="SUR-ENE"/>
    <s v="Metropolitana Sur"/>
  </r>
  <r>
    <s v="23601680"/>
    <s v="ENERES"/>
    <s v="NUEVO"/>
    <s v="ENERES"/>
    <s v="27/11/2025 14:35:03"/>
    <s v="2025-11-27 14:35:03"/>
    <n v="43263200"/>
    <s v="BLANCA MIRIAM ROJAS LOAIZA"/>
    <s v="SIN DATOS"/>
    <s v="3113817324"/>
    <s v="CR 27 CL 58 -45 (INTERIOR 301 )"/>
    <x v="2"/>
    <s v="055227008000450301"/>
    <s v="Medellín"/>
    <x v="2"/>
    <s v="Revisor Instal. Regadas Metrosur"/>
    <x v="1"/>
    <n v="7"/>
    <s v="2025-12-09 14:35:03"/>
    <s v="2 días 14:35"/>
    <s v="5 días 14:35"/>
    <x v="0"/>
    <s v="SIN DATO"/>
    <s v="SIN DATO"/>
    <s v="SIN DATO"/>
    <s v="ABIERTO"/>
    <n v="-75.547798099999994"/>
    <n v="6.2496190900000004"/>
    <s v="SUR-ENE"/>
    <s v="Metropolitana Sur"/>
  </r>
  <r>
    <s v="23601683"/>
    <s v="ENERES"/>
    <s v="NUEVO"/>
    <s v="ENEDOM"/>
    <s v="27/11/2025 14:36:25"/>
    <s v="2025-11-27 14:36:25"/>
    <n v="11937438"/>
    <s v="PEDRO ESCILDO MENA MOSQUERA"/>
    <s v="2220863"/>
    <s v="3117128280"/>
    <s v="CL 56 A CR 25 BB -74 (INTERIOR 146 )"/>
    <x v="2"/>
    <s v="055216105220740146"/>
    <s v="Medellín"/>
    <x v="0"/>
    <s v="Habilitación Viviendas Metrosur"/>
    <x v="1"/>
    <n v="5"/>
    <s v="2025-12-04 14:36:25"/>
    <s v="2 días 14:36"/>
    <s v="3 días 14:36"/>
    <x v="0"/>
    <s v="SIN DATO"/>
    <s v="SIN DATO"/>
    <s v="SIN DATO"/>
    <s v="ABIERTO"/>
    <n v="-75.544843"/>
    <n v="6.2470699999999999"/>
    <s v="SUR-ENE"/>
    <s v="Metropolitana Sur"/>
  </r>
  <r>
    <s v="23601698"/>
    <s v="ENERES"/>
    <s v="NUEVO"/>
    <s v="ENEDOM"/>
    <s v="27/11/2025 14:47:50"/>
    <s v="2025-11-27 14:47:50"/>
    <n v="43839316"/>
    <s v="GLADIS HELENA SUAREZ VELEZ"/>
    <s v="3091674"/>
    <s v="3046209100"/>
    <s v="RURAL_163020130000000001"/>
    <x v="1"/>
    <s v="163020130000000001"/>
    <s v="Itaguí"/>
    <x v="0"/>
    <s v="Habilitación Viviendas Metrosur"/>
    <x v="0"/>
    <n v="8"/>
    <s v="2025-12-10 14:47:50"/>
    <s v="2 días 14:47"/>
    <s v="6 días 14:47"/>
    <x v="0"/>
    <s v="SIN DATO"/>
    <s v="SIN DATO"/>
    <s v="SIN DATO"/>
    <s v="ABIERTO"/>
    <n v="-75.621187680000006"/>
    <n v="6.1746380099999998"/>
    <s v="SUR-ENE"/>
    <s v="Metropolitana Sur"/>
  </r>
  <r>
    <s v="23601701"/>
    <s v="ENERES"/>
    <s v="NUEVO"/>
    <s v="ENEDOM"/>
    <s v="27/11/2025 14:50:09"/>
    <s v="2025-11-27 14:50:09"/>
    <n v="70096022"/>
    <s v="WILLIAM DE JESUS PALACIO ZAPATA"/>
    <s v="5814120"/>
    <s v="3014318686"/>
    <s v="CL 2 B CR 81 B -207 (INTERIOR 150 )"/>
    <x v="2"/>
    <s v="050812201202070150"/>
    <s v="Medellín"/>
    <x v="0"/>
    <s v="Habilitación Viviendas Metrosur"/>
    <x v="1"/>
    <n v="5"/>
    <s v="2025-12-04 14:50:09"/>
    <s v="2 días 14:50"/>
    <s v="3 días 14:50"/>
    <x v="0"/>
    <s v="SIN DATO"/>
    <s v="SIN DATO"/>
    <s v="SIN DATO"/>
    <s v="ABIERTO"/>
    <n v="-75.605614310000007"/>
    <n v="6.2108647299999999"/>
    <s v="SUR-ENE"/>
    <s v="Metropolitana Sur"/>
  </r>
  <r>
    <s v="23601702"/>
    <s v="ENECNX"/>
    <s v="NUEVO"/>
    <s v="ENECNX"/>
    <s v="27/11/2025 14:50:58"/>
    <s v="2025-11-27 14:50:58"/>
    <n v="1040743836"/>
    <s v="NATALIA ARANGO RESTREPO"/>
    <s v="SIN DATOS"/>
    <s v="3246642705"/>
    <s v="RURAL_159064500000000000_PADRE ABIGAIL"/>
    <x v="0"/>
    <s v="159064500000000000"/>
    <s v="La Estrella"/>
    <x v="3"/>
    <s v="Revisor Puntos de Conexión Metrosur"/>
    <x v="0"/>
    <n v="4"/>
    <s v="2025-12-03 14:50:58"/>
    <s v="2 días 14:50"/>
    <s v="2 días 14:50"/>
    <x v="1"/>
    <s v="SIN DATO"/>
    <s v="SIN DATO"/>
    <s v="SIN DATO"/>
    <s v="ABIERTO"/>
    <n v="-75.644123109999995"/>
    <n v="6.1337471700000004"/>
    <s v="SUR-ENE"/>
    <s v="Metropolitana Sur"/>
  </r>
  <r>
    <s v="23601708"/>
    <s v="ENERES"/>
    <s v="NUEVO"/>
    <s v="ENEDOM"/>
    <s v="27/11/2025 14:53:47"/>
    <s v="2025-11-27 14:53:47"/>
    <n v="1128441898"/>
    <s v="JUAN ESTEBAN VILLEGAS ECHEVERRI"/>
    <s v="SIN DATOS"/>
    <s v="3052946996"/>
    <s v="CL 56 A CR 25 BB -76 (INTERIOR 157 )"/>
    <x v="2"/>
    <s v="055216105220760157"/>
    <s v="Medellín"/>
    <x v="0"/>
    <s v="Habilitación Viviendas Metrosur"/>
    <x v="1"/>
    <n v="5"/>
    <s v="2025-12-04 14:53:47"/>
    <s v="2 días 14:53"/>
    <s v="3 días 14:53"/>
    <x v="0"/>
    <s v="SIN DATO"/>
    <s v="SIN DATO"/>
    <s v="SIN DATO"/>
    <s v="ABIERTO"/>
    <n v="-75.544512999999995"/>
    <n v="6.2473419999999997"/>
    <s v="SUR-ENE"/>
    <s v="Metropolitana Sur"/>
  </r>
  <r>
    <s v="23601709"/>
    <s v="ENERES"/>
    <s v="NUEVO"/>
    <s v="ENEDOM"/>
    <s v="27/11/2025 14:54:15"/>
    <s v="2025-11-27 14:54:15"/>
    <n v="11437438"/>
    <s v="PEDRO ESCILDO MENA MOSQUERA"/>
    <s v="SIN DATOS"/>
    <s v="3128425377"/>
    <s v="CL 56 A CR 25 BB -76 (INTERIOR 125 )"/>
    <x v="2"/>
    <s v="055216105220760125"/>
    <s v="Medellín"/>
    <x v="0"/>
    <s v="Habilitación Viviendas Metrosur"/>
    <x v="1"/>
    <n v="5"/>
    <s v="2025-12-04 14:54:15"/>
    <s v="2 días 14:54"/>
    <s v="3 días 14:54"/>
    <x v="0"/>
    <s v="SIN DATO"/>
    <s v="SIN DATO"/>
    <s v="SIN DATO"/>
    <s v="ABIERTO"/>
    <n v="-75.544512999999995"/>
    <n v="6.2473419999999997"/>
    <s v="SUR-ENE"/>
    <s v="Metropolitana Sur"/>
  </r>
  <r>
    <s v="23601710"/>
    <s v="ENERES"/>
    <s v="NUEVO"/>
    <s v="ENEDOM"/>
    <s v="27/11/2025 14:54:15"/>
    <s v="2025-11-27 14:54:15"/>
    <n v="11796585"/>
    <s v="VICTOR PEREA GARCIA"/>
    <s v="SIN DATOS"/>
    <s v="3124014469"/>
    <s v="CL 56 A CR 25 BB -76 (INTERIOR 137 )"/>
    <x v="2"/>
    <s v="055216105220760137"/>
    <s v="Medellín"/>
    <x v="0"/>
    <s v="Habilitación Viviendas Metrosur"/>
    <x v="1"/>
    <n v="5"/>
    <s v="2025-12-04 14:54:15"/>
    <s v="2 días 14:54"/>
    <s v="3 días 14:54"/>
    <x v="0"/>
    <s v="SIN DATO"/>
    <s v="SIN DATO"/>
    <s v="SIN DATO"/>
    <s v="ABIERTO"/>
    <n v="-75.544512999999995"/>
    <n v="6.2473419999999997"/>
    <s v="SUR-ENE"/>
    <s v="Metropolitana Sur"/>
  </r>
  <r>
    <s v="23601716"/>
    <s v="ENERES"/>
    <s v="NUEVO"/>
    <s v="ENEDOM"/>
    <s v="27/11/2025 14:56:46"/>
    <s v="2025-11-27 14:56:46"/>
    <n v="1128441898"/>
    <s v="JUAN ESTEBAN VILLEGAS ECHEVERRI"/>
    <s v="SIN DATOS"/>
    <s v="3052946996"/>
    <s v="CL 56 A CR 25 BB -76 (INTERIOR 158 )"/>
    <x v="2"/>
    <s v="055216105220760158"/>
    <s v="Medellín"/>
    <x v="0"/>
    <s v="Habilitación Viviendas Metrosur"/>
    <x v="1"/>
    <n v="5"/>
    <s v="2025-12-04 14:56:46"/>
    <s v="2 días 14:56"/>
    <s v="3 días 14:56"/>
    <x v="0"/>
    <s v="SIN DATO"/>
    <s v="SIN DATO"/>
    <s v="SIN DATO"/>
    <s v="ABIERTO"/>
    <n v="-75.544512999999995"/>
    <n v="6.2473419999999997"/>
    <s v="SUR-ENE"/>
    <s v="Metropolitana Sur"/>
  </r>
  <r>
    <s v="23601719"/>
    <s v="ENECNX"/>
    <s v="NUEVO"/>
    <s v="ENECNX"/>
    <s v="27/11/2025 14:57:57"/>
    <s v="2025-11-27 14:57:57"/>
    <n v="42996221"/>
    <s v="CONSUELO ARGELIA CALDERON LOPEZ"/>
    <s v="2211840"/>
    <s v="3127397973"/>
    <s v="CL 55 CR 16 -15 (INTERIOR 201 )"/>
    <x v="2"/>
    <s v="055115006000150201"/>
    <s v="Medellín"/>
    <x v="3"/>
    <s v="Revisor Puntos de Conexión Metrosur"/>
    <x v="1"/>
    <n v="4"/>
    <s v="2025-12-03 14:57:57"/>
    <s v="2 días 14:57"/>
    <s v="2 días 14:57"/>
    <x v="1"/>
    <s v="SIN DATO"/>
    <s v="SIN DATO"/>
    <s v="SIN DATO"/>
    <s v="ABIERTO"/>
    <n v="-75.539876000000007"/>
    <n v="6.2376909999999999"/>
    <s v="SUR-ENE"/>
    <s v="Metropolitana Sur"/>
  </r>
  <r>
    <s v="23601724"/>
    <s v="ENERES"/>
    <s v="NUEVO"/>
    <s v="ENEDOM"/>
    <s v="27/11/2025 15:01:00"/>
    <s v="2025-11-27 15:01:00"/>
    <n v="93292926"/>
    <s v="FERNANDO AUGUSTO SIERRA CAMARGO"/>
    <s v="SIN DATOS"/>
    <s v="3167308842"/>
    <s v="CL 46 E CR 59 C -81 (INTERIOR 302 )"/>
    <x v="1"/>
    <s v="074516509300810302"/>
    <s v="Itaguí"/>
    <x v="0"/>
    <s v="Habilitación Viviendas Metrosur"/>
    <x v="1"/>
    <n v="5"/>
    <s v="2025-12-04 15:01:00"/>
    <s v="2 días 15:01"/>
    <s v="3 días 15:01"/>
    <x v="0"/>
    <s v="SIN DATO"/>
    <s v="SIN DATO"/>
    <s v="SIN DATO"/>
    <s v="ABIERTO"/>
    <n v="-75.613966910000002"/>
    <n v="6.1803749100000003"/>
    <s v="SUR-ENE"/>
    <s v="Metropolitana Sur"/>
  </r>
  <r>
    <s v="23601725"/>
    <s v="ENERES"/>
    <s v="NUEVO"/>
    <s v="ENERES"/>
    <s v="27/11/2025 15:01:05"/>
    <s v="2025-11-27 15:01:05"/>
    <n v="71652284"/>
    <s v="CARLOS MARIO OSPINA ARIAS"/>
    <s v="3307151"/>
    <s v="3007841473"/>
    <s v="CR 50 A CL 73 A -23 (INTERIOR 301 )"/>
    <x v="1"/>
    <s v="077520103100230301"/>
    <s v="Itaguí"/>
    <x v="2"/>
    <s v="METROSUR Vin. Leg. Ref. Concentrada"/>
    <x v="1"/>
    <n v="7"/>
    <s v="2025-12-09 15:01:05"/>
    <s v="2 días 15:01"/>
    <s v="5 días 15:01"/>
    <x v="0"/>
    <s v="SIN DATO"/>
    <s v="SIN DATO"/>
    <s v="SIN DATO"/>
    <s v="ABIERTO"/>
    <n v="-75.596306940000005"/>
    <n v="6.1837927400000003"/>
    <s v="SUR-ENE"/>
    <s v="Metropolitana Sur"/>
  </r>
  <r>
    <s v="23601726"/>
    <s v="ENERES"/>
    <s v="NUEVO"/>
    <s v="ENERES"/>
    <s v="27/11/2025 15:01:46"/>
    <s v="2025-11-27 15:01:46"/>
    <n v="70066000"/>
    <s v="MARCOS FIDEL SUAREZ HIGUITA"/>
    <s v="SIN DATOS"/>
    <s v="3152557547"/>
    <s v="CR 52 CL 53 -30 (INTERIOR 408 )"/>
    <x v="2"/>
    <s v="055522003000300408"/>
    <s v="Medellín"/>
    <x v="2"/>
    <s v="Revisor Instal. Regadas Metrosur"/>
    <x v="1"/>
    <n v="7"/>
    <s v="2025-12-09 15:01:46"/>
    <s v="2 días 15:01"/>
    <s v="5 días 15:01"/>
    <x v="0"/>
    <s v="SIN DATO"/>
    <s v="SIN DATO"/>
    <s v="SIN DATO"/>
    <s v="ABIERTO"/>
    <n v="-75.568318000000005"/>
    <n v="6.2530229999999998"/>
    <s v="SUR-ENE"/>
    <s v="Metropolitana Sur"/>
  </r>
  <r>
    <s v="23601738"/>
    <s v="ENERES"/>
    <s v="NUEVO"/>
    <s v="ENERES"/>
    <s v="27/11/2025 15:07:18"/>
    <s v="2025-11-27 15:07:18"/>
    <n v="43263200"/>
    <s v="BLANCA MIRIAM ROJAS LOAIZA"/>
    <s v="SIN DATOS"/>
    <s v="3113817324"/>
    <s v="CR 27 CL 58 -45"/>
    <x v="2"/>
    <s v="055227008000450000"/>
    <s v="Medellín"/>
    <x v="2"/>
    <s v="METROSUR Vin. Leg. Ref. Concentrada"/>
    <x v="1"/>
    <n v="7"/>
    <s v="2025-12-09 15:07:18"/>
    <s v="2 días 15:07"/>
    <s v="5 días 15:07"/>
    <x v="0"/>
    <s v="SIN DATO"/>
    <s v="SIN DATO"/>
    <s v="SIN DATO"/>
    <s v="ABIERTO"/>
    <n v="-75.547747200000003"/>
    <n v="6.2494575299999999"/>
    <s v="SUR-ENE"/>
    <s v="Metropolitana Sur"/>
  </r>
  <r>
    <s v="23601739"/>
    <s v="ENECNX"/>
    <s v="NUEVO"/>
    <s v="ENECNX"/>
    <s v="27/11/2025 15:07:19"/>
    <s v="2025-11-27 15:07:19"/>
    <n v="986610121"/>
    <s v="CARLOS ANDRES GRISALES HENAO"/>
    <s v="2050095"/>
    <s v="3206784745"/>
    <s v="RURAL_159084350000000120_CL 100 SR 49 95 IN 120"/>
    <x v="0"/>
    <s v="159084350000000120"/>
    <s v="La Estrella"/>
    <x v="3"/>
    <s v="Revisor Puntos de Conexión Metrosur"/>
    <x v="0"/>
    <n v="4"/>
    <s v="2025-12-03 15:07:19"/>
    <s v="2 días 15:07"/>
    <s v="2 días 15:07"/>
    <x v="1"/>
    <s v="SIN DATO"/>
    <s v="SIN DATO"/>
    <s v="SIN DATO"/>
    <s v="ABIERTO"/>
    <n v="-75.633331999999996"/>
    <n v="6.1198249999999996"/>
    <s v="SUR-ENE"/>
    <s v="Metropolitana Sur"/>
  </r>
  <r>
    <s v="23601741"/>
    <s v="ENERES"/>
    <s v="NUEVO"/>
    <s v="ENERES"/>
    <s v="27/11/2025 15:08:20"/>
    <s v="2025-11-27 15:08:20"/>
    <n v="71652284"/>
    <s v="CARLOS MARIO OSPINA ARIAS"/>
    <s v="3307151"/>
    <s v="3103920461"/>
    <s v="CR 50 A CL 73 A -23 (INTERIOR 401 )"/>
    <x v="1"/>
    <s v="077520103100230401"/>
    <s v="Itaguí"/>
    <x v="2"/>
    <s v="METROSUR Vin. Leg. Ref. Concentrada"/>
    <x v="1"/>
    <n v="7"/>
    <s v="2025-12-09 15:08:20"/>
    <s v="2 días 15:08"/>
    <s v="5 días 15:08"/>
    <x v="0"/>
    <s v="SIN DATO"/>
    <s v="SIN DATO"/>
    <s v="SIN DATO"/>
    <s v="ABIERTO"/>
    <n v="-75.596306940000005"/>
    <n v="6.1837927400000003"/>
    <s v="SUR-ENE"/>
    <s v="Metropolitana Sur"/>
  </r>
  <r>
    <s v="23601746"/>
    <s v="ENERES"/>
    <s v="NUEVO"/>
    <s v="ENEDOM"/>
    <s v="27/11/2025 15:12:54"/>
    <s v="2025-11-27 15:12:54"/>
    <n v="43054761"/>
    <s v="OLGA LUCIA FERNANDEZ GAVIRIA"/>
    <s v="SIN DATOS"/>
    <s v="3016291051"/>
    <s v="CR 37 CL 66 D -65 (INTERIOR 302 )"/>
    <x v="2"/>
    <s v="056327006400650302"/>
    <s v="Medellín"/>
    <x v="0"/>
    <s v="Habilitación Viviendas Metrosur"/>
    <x v="1"/>
    <n v="5"/>
    <s v="2025-12-04 15:12:54"/>
    <s v="2 días 15:12"/>
    <s v="3 días 15:12"/>
    <x v="0"/>
    <s v="SIN DATO"/>
    <s v="SIN DATO"/>
    <s v="SIN DATO"/>
    <s v="ABIERTO"/>
    <n v="-75.548970850000003"/>
    <n v="6.2591328099999997"/>
    <s v="SUR-ENE"/>
    <s v="Metropolitana Sur"/>
  </r>
  <r>
    <s v="23601759"/>
    <s v="ENEPRE"/>
    <s v="NUEVO"/>
    <s v="ENEPRE"/>
    <s v="27/11/2025 15:23:11"/>
    <s v="2025-11-27 15:23:11"/>
    <n v="1152701653"/>
    <s v="JESUS DAVID HERNANDEZ SANCHEZ"/>
    <s v="SIN DATOS"/>
    <s v="3045790687"/>
    <s v="CR 120 F CL 54 -173 (INTERIOR 2279 )"/>
    <x v="2"/>
    <s v="085220604001732279"/>
    <s v="Medellín"/>
    <x v="6"/>
    <s v="Energía Prepago Metrosur"/>
    <x v="1"/>
    <n v="11"/>
    <s v="2025-12-15 15:23:11"/>
    <s v="2 días 15:23"/>
    <s v="9 días 15:23"/>
    <x v="0"/>
    <s v="SIN DATO"/>
    <s v="SIN DATO"/>
    <s v="SIN DATO"/>
    <s v="ABIERTO"/>
    <n v="-75.627324999999999"/>
    <n v="6.2718420000000004"/>
    <s v="SUR-ENE"/>
    <s v="Metropolitana Sur"/>
  </r>
  <r>
    <s v="23601761"/>
    <s v="ENEPRE"/>
    <s v="NUEVO"/>
    <s v="ENEPRE"/>
    <s v="27/11/2025 15:23:46"/>
    <s v="2025-11-27 15:23:46"/>
    <n v="42886026"/>
    <s v="ROSALBA UPEGUI BEDOYA"/>
    <s v="3372375"/>
    <s v="3203979022"/>
    <s v="RURAL_163020130000000000_VDA OLIVARES"/>
    <x v="1"/>
    <s v="163020130000000000"/>
    <s v="Itaguí"/>
    <x v="6"/>
    <s v="Energía Prepago Metrosur"/>
    <x v="0"/>
    <n v="11"/>
    <s v="2025-12-15 15:23:46"/>
    <s v="2 días 15:23"/>
    <s v="9 días 15:23"/>
    <x v="0"/>
    <s v="SIN DATO"/>
    <s v="SIN DATO"/>
    <s v="SIN DATO"/>
    <s v="ABIERTO"/>
    <n v="-75.621187680000006"/>
    <n v="6.1746380099999998"/>
    <s v="SUR-ENE"/>
    <s v="Metropolitana Sur"/>
  </r>
  <r>
    <s v="23601769"/>
    <s v="ENERES"/>
    <s v="NUEVO"/>
    <s v="ENERES"/>
    <s v="27/11/2025 15:29:32"/>
    <s v="2025-11-27 15:29:32"/>
    <n v="43263200"/>
    <s v="BLANCA MIRIAM ROJAS LOAIZA"/>
    <s v="SIN DATOS"/>
    <s v="3113817324"/>
    <s v="CR 27 CL 58 -45 (INTERIOR 201 )"/>
    <x v="2"/>
    <s v="055227008000450201"/>
    <s v="Medellín"/>
    <x v="2"/>
    <s v="METROSUR Vin. Leg. Ref. Concentrada"/>
    <x v="1"/>
    <n v="7"/>
    <s v="2025-12-09 15:29:32"/>
    <s v="2 días 15:29"/>
    <s v="5 días 15:29"/>
    <x v="0"/>
    <s v="SIN DATO"/>
    <s v="SIN DATO"/>
    <s v="SIN DATO"/>
    <s v="ABIERTO"/>
    <n v="-75.547798099999994"/>
    <n v="6.2496190900000004"/>
    <s v="SUR-ENE"/>
    <s v="Metropolitana Sur"/>
  </r>
  <r>
    <s v="23601770"/>
    <s v="ENEPRE"/>
    <s v="NUEVO"/>
    <s v="ENEPRE"/>
    <s v="27/11/2025 15:29:59"/>
    <s v="2025-11-27 15:29:59"/>
    <n v="43279281"/>
    <s v="LUZ MERY FLOREZ FLOREZ"/>
    <s v="SIN DATOS"/>
    <s v="3147107471"/>
    <s v="RURAL_116005536000000301_116005536000000301"/>
    <x v="2"/>
    <s v="116005536000000301"/>
    <s v="Medellín"/>
    <x v="6"/>
    <s v="Energía Prepago Metrosur"/>
    <x v="0"/>
    <n v="11"/>
    <s v="2025-12-15 15:29:59"/>
    <s v="2 días 15:29"/>
    <s v="9 días 15:29"/>
    <x v="0"/>
    <s v="SIN DATO"/>
    <s v="SIN DATO"/>
    <s v="SIN DATO"/>
    <s v="ABIERTO"/>
    <n v="-75.631108249999997"/>
    <n v="6.2330460199999997"/>
    <s v="SUR-ENE"/>
    <s v="Metropolitana Sur"/>
  </r>
  <r>
    <s v="23601776"/>
    <s v="ENEMRT"/>
    <s v="NUEVO"/>
    <s v="ENEMVI"/>
    <s v="27/11/2025 15:32:11"/>
    <s v="2025-11-27 15:32:11"/>
    <n v="900062516"/>
    <s v="COLORETTO S.A. EN REORGANIZACION"/>
    <s v="3011542"/>
    <s v="3155900115"/>
    <s v="CR 49 CL 81 SUR -90"/>
    <x v="4"/>
    <s v="018429001000900000"/>
    <s v="Sabaneta"/>
    <x v="11"/>
    <s v="Mov Red Trans Dairo Gil"/>
    <x v="1"/>
    <n v="9"/>
    <s v="2025-12-11 15:32:11"/>
    <s v="2 días 15:32"/>
    <s v="7 días 15:32"/>
    <x v="0"/>
    <s v="SIN DATO"/>
    <s v="SIN DATO"/>
    <s v="SIN DATO"/>
    <s v="ABIERTO"/>
    <n v="-75.630262999999999"/>
    <n v="6.1513739999999997"/>
    <s v="SUR-ENE"/>
    <s v="Metropolitana Sur"/>
  </r>
  <r>
    <s v="23601780"/>
    <s v="ENERES"/>
    <s v="NUEVO"/>
    <s v="ENEDOM"/>
    <s v="27/11/2025 15:32:53"/>
    <s v="2025-11-27 15:32:53"/>
    <n v="1001686641"/>
    <s v="YAISIRI ALEJANDRA SANCHEZ MORENO"/>
    <s v="SIN DATOS"/>
    <s v="3013173294"/>
    <s v="RURAL_163004535000000201"/>
    <x v="1"/>
    <s v="163004535000000201"/>
    <s v="Itaguí"/>
    <x v="0"/>
    <s v="Habilitación Viviendas Metrosur"/>
    <x v="0"/>
    <n v="8"/>
    <s v="2025-12-10 15:32:53"/>
    <s v="2 días 15:32"/>
    <s v="6 días 15:32"/>
    <x v="0"/>
    <s v="SIN DATO"/>
    <s v="SIN DATO"/>
    <s v="SIN DATO"/>
    <s v="ABIERTO"/>
    <n v="-75.602477809999996"/>
    <n v="6.1947347400000004"/>
    <s v="SUR-ENE"/>
    <s v="Metropolitana Sur"/>
  </r>
  <r>
    <s v="23601786"/>
    <s v="ENERES"/>
    <s v="NUEVO"/>
    <s v="ENEDOM"/>
    <s v="27/11/2025 15:34:10"/>
    <s v="2025-11-27 15:34:10"/>
    <n v="21527287"/>
    <s v="NATALIA  SERNA BARRERA"/>
    <s v="SIN DATOS"/>
    <s v="3004674312"/>
    <s v="RURAL_122003570000000101_122003570000000101"/>
    <x v="2"/>
    <s v="122003570000000101"/>
    <s v="Medellín"/>
    <x v="0"/>
    <s v="Habilitación Viviendas Metrosur"/>
    <x v="0"/>
    <n v="8"/>
    <s v="2025-12-10 15:34:10"/>
    <s v="2 días 15:34"/>
    <s v="6 días 15:34"/>
    <x v="0"/>
    <s v="SIN DATO"/>
    <s v="SIN DATO"/>
    <s v="SIN DATO"/>
    <s v="ABIERTO"/>
    <n v="-75.521016000000003"/>
    <n v="6.2325590000000002"/>
    <s v="SUR-ENE"/>
    <s v="Metropolitana Sur"/>
  </r>
  <r>
    <s v="23601801"/>
    <s v="ENERES"/>
    <s v="NUEVO"/>
    <s v="ENEDOM"/>
    <s v="27/11/2025 15:36:57"/>
    <s v="2025-11-27 15:36:57"/>
    <n v="11708339"/>
    <s v="JOSE IVAN CORDOBA MARTINEZ"/>
    <s v="SIN DATOS"/>
    <s v="3175299323"/>
    <s v="CR 17 B CL 56 EE -38 (INTERIOR 173 )"/>
    <x v="2"/>
    <s v="055127206550380173"/>
    <s v="Medellín"/>
    <x v="0"/>
    <s v="Habilitación Viviendas Metrosur"/>
    <x v="1"/>
    <n v="5"/>
    <s v="2025-12-04 15:36:57"/>
    <s v="2 días 15:36"/>
    <s v="3 días 15:36"/>
    <x v="0"/>
    <s v="SIN DATO"/>
    <s v="SIN DATO"/>
    <s v="SIN DATO"/>
    <s v="ABIERTO"/>
    <n v="-75.539901880000002"/>
    <n v="6.2430092100000003"/>
    <s v="SUR-ENE"/>
    <s v="Metropolitana Sur"/>
  </r>
  <r>
    <s v="23601820"/>
    <s v="ENERES"/>
    <s v="NUEVO"/>
    <s v="ENEDOM"/>
    <s v="27/11/2025 15:43:02"/>
    <s v="2025-11-27 15:43:02"/>
    <n v="21736844"/>
    <s v="MARIA EDILMA OSORIO ROJAS"/>
    <s v="6120570"/>
    <s v="3103798536"/>
    <s v="CL 128 SUR CR 40 -191 (INTERIOR 101 )"/>
    <x v="3"/>
    <s v="002418000001910101"/>
    <s v="Caldas"/>
    <x v="0"/>
    <s v="MET Rev-Inst-Concentra E_CR014"/>
    <x v="1"/>
    <n v="5"/>
    <s v="2025-12-04 15:43:02"/>
    <s v="2 días 15:43"/>
    <s v="3 días 15:43"/>
    <x v="0"/>
    <s v="SIN DATO"/>
    <s v="SIN DATO"/>
    <s v="SIN DATO"/>
    <s v="ABIERTO"/>
    <n v="-75.628078439999996"/>
    <n v="6.0938708500000001"/>
    <s v="SUR-ENE"/>
    <s v="Metropolitana Sur"/>
  </r>
  <r>
    <s v="23601839"/>
    <s v="ENERES"/>
    <s v="NUEVO"/>
    <s v="ENERES"/>
    <s v="27/11/2025 15:51:53"/>
    <s v="2025-11-27 15:51:53"/>
    <n v="1037524765"/>
    <s v="NELSON ARLEY HERRERA SANCHEZ"/>
    <s v="SIN DATOS"/>
    <s v="3146603220"/>
    <s v="CL 43 CR 36 A -24 (INTERIOR 420 )"/>
    <x v="2"/>
    <s v="054313006100240420"/>
    <s v="Medellín"/>
    <x v="2"/>
    <s v="Revisor Instal. Regadas Metrosur"/>
    <x v="1"/>
    <n v="7"/>
    <s v="2025-12-09 15:51:53"/>
    <s v="2 días 15:51"/>
    <s v="5 días 15:51"/>
    <x v="0"/>
    <s v="SIN DATO"/>
    <s v="SIN DATO"/>
    <s v="SIN DATO"/>
    <s v="ABIERTO"/>
    <n v="-75.559983000000003"/>
    <n v="6.2407899999999996"/>
    <s v="SUR-ENE"/>
    <s v="Metropolitana Sur"/>
  </r>
  <r>
    <s v="23601840"/>
    <s v="ENEPRE"/>
    <s v="NUEVO"/>
    <s v="ENEPRE"/>
    <s v="27/11/2025 15:53:09"/>
    <s v="2025-11-27 15:53:09"/>
    <n v="98451496"/>
    <s v="OSCAR DE JESUS AGUDELO ARAQUE"/>
    <s v="5580282"/>
    <s v="3135395979"/>
    <s v="CL 69 CR 121 -250 (INTERIOR 185 )"/>
    <x v="2"/>
    <s v="086219001002500185"/>
    <s v="Medellín"/>
    <x v="6"/>
    <s v="Energía Prepago Metrosur"/>
    <x v="1"/>
    <n v="11"/>
    <s v="2025-12-15 15:53:09"/>
    <s v="2 días 15:53"/>
    <s v="9 días 15:53"/>
    <x v="0"/>
    <s v="SIN DATO"/>
    <s v="SIN DATO"/>
    <s v="SIN DATO"/>
    <s v="ABIERTO"/>
    <n v="-75.62805582"/>
    <n v="6.2874740600000001"/>
    <s v="SUR-ENE"/>
    <s v="Metropolitana Sur"/>
  </r>
  <r>
    <s v="23601857"/>
    <s v="ENERES"/>
    <s v="NUEVO"/>
    <s v="ENERES"/>
    <s v="27/11/2025 15:56:28"/>
    <s v="2025-11-27 15:56:28"/>
    <n v="1036656591"/>
    <s v="DAYANA ANDREA MARIN FERRARO"/>
    <s v="SIN DATOS"/>
    <s v="3205400051"/>
    <s v="CL 29 A CR 50 D -21 (INTERIOR 201 )"/>
    <x v="1"/>
    <s v="072519100400210201"/>
    <s v="Itaguí"/>
    <x v="2"/>
    <s v="Revisor Instal. Regadas Metrosur"/>
    <x v="1"/>
    <n v="7"/>
    <s v="2025-12-09 15:56:28"/>
    <s v="2 días 15:56"/>
    <s v="5 días 15:56"/>
    <x v="0"/>
    <s v="SIN DATO"/>
    <s v="SIN DATO"/>
    <s v="SIN DATO"/>
    <s v="ABIERTO"/>
    <n v="-75.625167959999999"/>
    <n v="6.1625159099999998"/>
    <s v="SUR-ENE"/>
    <s v="Metropolitana Sur"/>
  </r>
  <r>
    <s v="23601863"/>
    <s v="ENERES"/>
    <s v="NUEVO"/>
    <s v="ENEDOM"/>
    <s v="27/11/2025 15:57:50"/>
    <s v="2025-11-27 15:57:50"/>
    <n v="1000189349"/>
    <s v="LUIS CARLOS VILLA PEREZ"/>
    <s v="SIN DATOS"/>
    <s v="3127098683"/>
    <s v="CL 58 AA SUR CR 63 -31 (INTERIOR 112 )"/>
    <x v="2"/>
    <s v="045618113000310112"/>
    <s v="Medellín"/>
    <x v="0"/>
    <s v="Habilitación Viviendas Metrosur"/>
    <x v="1"/>
    <n v="5"/>
    <s v="2025-12-04 15:57:50"/>
    <s v="2 días 15:57"/>
    <s v="3 días 15:57"/>
    <x v="0"/>
    <s v="SIN DATO"/>
    <s v="SIN DATO"/>
    <s v="SIN DATO"/>
    <s v="ABIERTO"/>
    <n v="-75.644689189999994"/>
    <n v="6.1720873699999999"/>
    <s v="SUR-ENE"/>
    <s v="Metropolitana Sur"/>
  </r>
  <r>
    <s v="23601864"/>
    <s v="ENERES"/>
    <s v="NUEVO"/>
    <s v="ENEDOM"/>
    <s v="27/11/2025 15:57:53"/>
    <s v="2025-11-27 15:57:53"/>
    <n v="21527287"/>
    <s v="NATALIA  SERNA BARRERA"/>
    <s v="SIN DATOS"/>
    <s v="3004674312"/>
    <s v="RURAL_122003570000000103"/>
    <x v="2"/>
    <s v="122003570000000103"/>
    <s v="Medellín"/>
    <x v="0"/>
    <s v="Habilitación Viviendas Metrosur"/>
    <x v="0"/>
    <n v="8"/>
    <s v="2025-12-10 15:57:53"/>
    <s v="2 días 15:57"/>
    <s v="6 días 15:57"/>
    <x v="0"/>
    <s v="SIN DATO"/>
    <s v="SIN DATO"/>
    <s v="SIN DATO"/>
    <s v="ABIERTO"/>
    <n v="-75.521034470000004"/>
    <n v="6.2325751199999999"/>
    <s v="SUR-ENE"/>
    <s v="Metropolitana Sur"/>
  </r>
  <r>
    <s v="23601865"/>
    <s v="ENERES"/>
    <s v="NUEVO"/>
    <s v="ENERES"/>
    <s v="27/11/2025 15:58:05"/>
    <s v="2025-11-27 15:58:05"/>
    <n v="93340767"/>
    <s v="ALBERTO ELIAS AREIZA MONSALVE"/>
    <s v="SIN DATOS"/>
    <s v="3005642520"/>
    <s v="CL 39 CR 38 -179 (INTERIOR 401 )"/>
    <x v="2"/>
    <s v="053319008001790401"/>
    <s v="Medellín"/>
    <x v="2"/>
    <s v="Revisor Instal. Regadas Metrosur"/>
    <x v="1"/>
    <n v="7"/>
    <s v="2025-12-09 15:58:05"/>
    <s v="2 días 15:58"/>
    <s v="5 días 15:58"/>
    <x v="0"/>
    <s v="SIN DATO"/>
    <s v="SIN DATO"/>
    <s v="SIN DATO"/>
    <s v="ABIERTO"/>
    <n v="-75.562966919999994"/>
    <n v="6.2385030800000001"/>
    <s v="SUR-ENE"/>
    <s v="Metropolitana Sur"/>
  </r>
  <r>
    <s v="23601867"/>
    <s v="ENERES"/>
    <s v="NUEVO"/>
    <s v="ENERES"/>
    <s v="27/11/2025 15:58:31"/>
    <s v="2025-11-27 15:58:31"/>
    <n v="1036339571"/>
    <s v="SANTIAGO AGUDELO GIRALDO"/>
    <s v="SIN DATOS"/>
    <s v="3116298157"/>
    <s v="RURAL_103014880059000000_103014880059000000"/>
    <x v="2"/>
    <s v="103014880059000000"/>
    <s v="Medellín"/>
    <x v="2"/>
    <s v="METROSUR Vin. Leg. Ref. Concentrada"/>
    <x v="0"/>
    <n v="10"/>
    <s v="2025-12-12 15:58:31"/>
    <s v="2 días 15:58"/>
    <s v="8 días 15:58"/>
    <x v="0"/>
    <s v="SIN DATO"/>
    <s v="SIN DATO"/>
    <s v="SIN DATO"/>
    <s v="ABIERTO"/>
    <n v="-75.640190000000004"/>
    <n v="6.1900979999999999"/>
    <s v="SUR-ENE"/>
    <s v="Metropolitana Sur"/>
  </r>
  <r>
    <s v="23601868"/>
    <s v="ENERES"/>
    <s v="NUEVO"/>
    <s v="ENEDOM"/>
    <s v="27/11/2025 15:59:07"/>
    <s v="2025-11-27 15:59:07"/>
    <n v="11708339"/>
    <s v="JOSE IVAN CORDOBA MARTINEZ"/>
    <s v="SIN DATOS"/>
    <s v="3005698008"/>
    <s v="CR 17 B CL 56 EE -38 (INTERIOR 274 )"/>
    <x v="2"/>
    <s v="055127206550380274"/>
    <s v="Medellín"/>
    <x v="0"/>
    <s v="Habilitación Viviendas Metrosur"/>
    <x v="1"/>
    <n v="5"/>
    <s v="2025-12-04 15:59:07"/>
    <s v="2 días 15:59"/>
    <s v="3 días 15:59"/>
    <x v="0"/>
    <s v="SIN DATO"/>
    <s v="SIN DATO"/>
    <s v="SIN DATO"/>
    <s v="ABIERTO"/>
    <n v="-75.539901880000002"/>
    <n v="6.2430092100000003"/>
    <s v="SUR-ENE"/>
    <s v="Metropolitana Sur"/>
  </r>
  <r>
    <s v="23601878"/>
    <s v="ENERES"/>
    <s v="NUEVO"/>
    <s v="ENEDOM"/>
    <s v="27/11/2025 16:05:16"/>
    <s v="2025-11-27 16:05:16"/>
    <n v="43200811"/>
    <s v="IDA LUZ TORO MARTINEZ"/>
    <s v="SIN DATOS"/>
    <s v="3147134997"/>
    <s v="CL 58 AB CR 97 AA -19 (INTERIOR 223 )"/>
    <x v="2"/>
    <s v="055918127110190223"/>
    <s v="Medellín"/>
    <x v="0"/>
    <s v="Habilitación Viviendas Metrosur"/>
    <x v="1"/>
    <n v="5"/>
    <s v="2025-12-04 16:05:16"/>
    <s v="2 días 16:05"/>
    <s v="3 días 16:05"/>
    <x v="0"/>
    <s v="SIN DATO"/>
    <s v="SIN DATO"/>
    <s v="SIN DATO"/>
    <s v="ABIERTO"/>
    <n v="-75.606429000000006"/>
    <n v="6.274267"/>
    <s v="SUR-ENE"/>
    <s v="Metropolitana Sur"/>
  </r>
  <r>
    <s v="23601880"/>
    <s v="ENERES"/>
    <s v="NUEVO"/>
    <s v="ENEDOM"/>
    <s v="27/11/2025 16:05:57"/>
    <s v="2025-11-27 16:05:57"/>
    <n v="11708339"/>
    <s v="JOSE IVAN CORDOBA MARTINEZ"/>
    <s v="SIN DATOS"/>
    <s v="3005698008"/>
    <s v="CR 17 B CL 56 EE -38 (INTERIOR 273 )"/>
    <x v="2"/>
    <s v="055127206550380273"/>
    <s v="Medellín"/>
    <x v="0"/>
    <s v="Habilitación Viviendas Metrosur"/>
    <x v="1"/>
    <n v="5"/>
    <s v="2025-12-04 16:05:57"/>
    <s v="2 días 16:05"/>
    <s v="3 días 16:05"/>
    <x v="0"/>
    <s v="SIN DATO"/>
    <s v="SIN DATO"/>
    <s v="SIN DATO"/>
    <s v="ABIERTO"/>
    <n v="-75.539901880000002"/>
    <n v="6.2430092100000003"/>
    <s v="SUR-ENE"/>
    <s v="Metropolitana Sur"/>
  </r>
  <r>
    <s v="23601883"/>
    <s v="ENERES"/>
    <s v="CAMBI"/>
    <s v="ENERES"/>
    <s v="27/11/2025 16:07:30"/>
    <s v="2025-11-27 16:07:30"/>
    <n v="43625213"/>
    <s v="SILVIA ESTRELLA HERNANDEZ MARTINEZ"/>
    <s v="7051227"/>
    <s v="3107051227"/>
    <s v="CL 59 CR 37 -33"/>
    <x v="2"/>
    <s v="055319007000330000"/>
    <s v="Medellín"/>
    <x v="5"/>
    <s v="METROSUR Vin. Leg. Ref. Concentrada"/>
    <x v="1"/>
    <n v="7"/>
    <s v="2025-12-09 16:07:30"/>
    <s v="2 días 16:07"/>
    <s v="5 días 16:07"/>
    <x v="0"/>
    <s v="SIN DATO"/>
    <s v="SIN DATO"/>
    <s v="SIN DATO"/>
    <s v="ABIERTO"/>
    <n v="-75.555711340000002"/>
    <n v="6.2506089899999999"/>
    <s v="SUR-ENE"/>
    <s v="Metropolitana Sur"/>
  </r>
  <r>
    <s v="23601888"/>
    <s v="ENERES"/>
    <s v="NUEVO"/>
    <s v="ENERES"/>
    <s v="27/11/2025 16:10:42"/>
    <s v="2025-11-27 16:10:42"/>
    <n v="1036339571"/>
    <s v="SANTIAGO AGUDELO GIRALDO"/>
    <s v="SIN DATOS"/>
    <s v="3116298157"/>
    <s v="RURAL_103014880059009801_103014880059009801"/>
    <x v="2"/>
    <s v="103014880059009801"/>
    <s v="Medellín"/>
    <x v="2"/>
    <s v="METROSUR Vin. Leg. Ref. Concentrada"/>
    <x v="0"/>
    <n v="10"/>
    <s v="2025-12-12 16:10:42"/>
    <s v="2 días 16:10"/>
    <s v="8 días 16:10"/>
    <x v="0"/>
    <s v="SIN DATO"/>
    <s v="SIN DATO"/>
    <s v="SIN DATO"/>
    <s v="ABIERTO"/>
    <n v="-75.640190000000004"/>
    <n v="6.1900979999999999"/>
    <s v="SUR-ENE"/>
    <s v="Metropolitana Sur"/>
  </r>
  <r>
    <s v="23601889"/>
    <s v="ENERES"/>
    <s v="NUEVO"/>
    <s v="ENEDOM"/>
    <s v="27/11/2025 16:10:44"/>
    <s v="2025-11-27 16:10:44"/>
    <n v="43418510"/>
    <s v="MARIA MADELEINE DAVID CARDONA"/>
    <s v="2924348"/>
    <s v="3243679789"/>
    <s v="CR 17 A CL 56 H -8 (INTERIOR 2098 )"/>
    <x v="2"/>
    <s v="055127106800082098"/>
    <s v="Medellín"/>
    <x v="0"/>
    <s v="Habilitación Viviendas Metrosur"/>
    <x v="1"/>
    <n v="5"/>
    <s v="2025-12-04 16:10:44"/>
    <s v="2 días 16:10"/>
    <s v="3 días 16:10"/>
    <x v="0"/>
    <s v="SIN DATO"/>
    <s v="SIN DATO"/>
    <s v="SIN DATO"/>
    <s v="ABIERTO"/>
    <n v="-75.537912009999999"/>
    <n v="6.2490987899999997"/>
    <s v="SUR-ENE"/>
    <s v="Metropolitana Sur"/>
  </r>
  <r>
    <s v="23601892"/>
    <s v="ENERES"/>
    <s v="NUEVO"/>
    <s v="ENERES"/>
    <s v="27/11/2025 16:11:45"/>
    <s v="2025-11-27 16:11:45"/>
    <n v="21447921"/>
    <s v="NUBIA ROSA MOLINA ARROYAVE"/>
    <s v="SIN DATOS"/>
    <s v="3127615107"/>
    <s v="CR 90 C CL 15 -91 (INTERIOR 201 )"/>
    <x v="2"/>
    <s v="051920305000910201"/>
    <s v="Medellín"/>
    <x v="2"/>
    <s v="Revisor Instal. Regadas Metrosur"/>
    <x v="1"/>
    <n v="7"/>
    <s v="2025-12-09 16:11:45"/>
    <s v="2 días 16:11"/>
    <s v="5 días 16:11"/>
    <x v="0"/>
    <s v="SIN DATO"/>
    <s v="SIN DATO"/>
    <s v="SIN DATO"/>
    <s v="ABIERTO"/>
    <n v="-75.614739880000002"/>
    <n v="6.2211827700000004"/>
    <s v="SUR-ENE"/>
    <s v="Metropolitana Sur"/>
  </r>
  <r>
    <s v="23601894"/>
    <s v="ENERES"/>
    <s v="NUEVO"/>
    <s v="ENERES"/>
    <s v="27/11/2025 16:12:12"/>
    <s v="2025-11-27 16:12:12"/>
    <n v="1037525086"/>
    <s v="ANDRES FELIPE HERRERA SANCHEZ"/>
    <s v="SIN DATOS"/>
    <s v="3148054421"/>
    <s v="CL 43 CR 36 A -24 (INTERIOR 320 )"/>
    <x v="2"/>
    <s v="054313006100240320"/>
    <s v="Medellín"/>
    <x v="2"/>
    <s v="Revisor Instal. Regadas Metrosur"/>
    <x v="1"/>
    <n v="7"/>
    <s v="2025-12-09 16:12:12"/>
    <s v="2 días 16:12"/>
    <s v="5 días 16:12"/>
    <x v="0"/>
    <s v="SIN DATO"/>
    <s v="SIN DATO"/>
    <s v="SIN DATO"/>
    <s v="ABIERTO"/>
    <n v="-75.559983000000003"/>
    <n v="6.2407899999999996"/>
    <s v="SUR-ENE"/>
    <s v="Metropolitana Sur"/>
  </r>
  <r>
    <s v="23601900"/>
    <s v="ENENOR"/>
    <s v="NUEVO"/>
    <s v="ENENOR"/>
    <s v="27/11/2025 16:17:04"/>
    <s v="2025-11-27 16:17:04"/>
    <n v="21803728"/>
    <s v="MARIA FLORELIA VALDES DE LOPEZ"/>
    <s v="SIN DATOS"/>
    <s v="3002462563"/>
    <s v="CR 55 CL 25 -21 (INTERIOR 201 )"/>
    <x v="2"/>
    <s v="052525005000210201"/>
    <s v="Medellín"/>
    <x v="4"/>
    <s v="METROSUR Vin. Leg. Ref. Concentrada"/>
    <x v="1"/>
    <n v="7"/>
    <s v="2025-12-09 16:17:04"/>
    <s v="2 días 16:17"/>
    <s v="5 días 16:17"/>
    <x v="0"/>
    <s v="SIN DATO"/>
    <s v="SIN DATO"/>
    <s v="SIN DATO"/>
    <s v="ABIERTO"/>
    <n v="-75.580830120000002"/>
    <n v="6.2270874100000002"/>
    <s v="SUR-ENE"/>
    <s v="Metropolitana Sur"/>
  </r>
  <r>
    <s v="23601901"/>
    <s v="ENEPRE"/>
    <s v="NUEVO"/>
    <s v="ENEPRE"/>
    <s v="27/11/2025 16:17:29"/>
    <s v="2025-11-27 16:17:29"/>
    <n v="43156142"/>
    <s v="MARIBEL MORALES ARIAS"/>
    <s v="SIN DATOS"/>
    <s v="3113084899"/>
    <s v="RURAL_159056925000000000_159056925000000000"/>
    <x v="0"/>
    <s v="159056925000000000"/>
    <s v="La Estrella"/>
    <x v="6"/>
    <s v="Energía Prepago Metrosur"/>
    <x v="0"/>
    <n v="11"/>
    <s v="2025-12-15 16:17:29"/>
    <s v="2 días 16:17"/>
    <s v="9 días 16:17"/>
    <x v="0"/>
    <s v="SIN DATO"/>
    <s v="SIN DATO"/>
    <s v="SIN DATO"/>
    <s v="ABIERTO"/>
    <n v="-75.636919000000006"/>
    <n v="6.1369499999999997"/>
    <s v="SUR-ENE"/>
    <s v="Metropolitana Sur"/>
  </r>
  <r>
    <s v="23601914"/>
    <s v="ENERES"/>
    <s v="NUEVO"/>
    <s v="ENERES"/>
    <s v="27/11/2025 16:22:55"/>
    <s v="2025-11-27 16:22:55"/>
    <n v="1036339571"/>
    <s v="SANTIAGO AGUDELO GIRALDO"/>
    <s v="SIN DATOS"/>
    <s v="3116298157"/>
    <s v="RURAL_103014880059009901_103014880059009901"/>
    <x v="2"/>
    <s v="103014880059009901"/>
    <s v="Medellín"/>
    <x v="2"/>
    <s v="METROSUR Vin. Leg. Ref. Concentrada"/>
    <x v="0"/>
    <n v="10"/>
    <s v="2025-12-12 16:22:55"/>
    <s v="2 días 16:22"/>
    <s v="8 días 16:22"/>
    <x v="0"/>
    <s v="SIN DATO"/>
    <s v="SIN DATO"/>
    <s v="SIN DATO"/>
    <s v="ABIERTO"/>
    <n v="-75.640190000000004"/>
    <n v="6.1900979999999999"/>
    <s v="SUR-ENE"/>
    <s v="Metropolitana Sur"/>
  </r>
  <r>
    <s v="23601922"/>
    <s v="ENEPRE"/>
    <s v="NUEVO"/>
    <s v="ENEPRE"/>
    <s v="27/11/2025 16:25:46"/>
    <s v="2025-11-27 16:25:46"/>
    <n v="1025649918"/>
    <s v="WESLLY DAIANA LOAIZA ZULUAGA"/>
    <s v="SIN DATOS"/>
    <s v="3005121823"/>
    <s v="CL 18 D CR 89 -11 (INTERIOR 375 )"/>
    <x v="2"/>
    <s v="051818409000110375"/>
    <s v="Medellín"/>
    <x v="6"/>
    <s v="Energía Prepago Metrosur"/>
    <x v="1"/>
    <n v="11"/>
    <s v="2025-12-15 16:25:46"/>
    <s v="2 días 16:25"/>
    <s v="9 días 16:25"/>
    <x v="0"/>
    <s v="SIN DATO"/>
    <s v="SIN DATO"/>
    <s v="SIN DATO"/>
    <s v="ABIERTO"/>
    <n v="-75.611386850000002"/>
    <n v="6.22266692"/>
    <s v="SUR-ENE"/>
    <s v="Metropolitana Sur"/>
  </r>
  <r>
    <s v="23601924"/>
    <s v="ENERES"/>
    <s v="NUEVO"/>
    <s v="ENERES"/>
    <s v="27/11/2025 16:26:44"/>
    <s v="2025-11-27 16:26:44"/>
    <n v="1036339571"/>
    <s v="SANTIAGO AGUDELO GIRALDO"/>
    <s v="SIN DATOS"/>
    <s v="3116298157"/>
    <s v="RURAL_103014880059009902_103014880059009902"/>
    <x v="2"/>
    <s v="103014880059009902"/>
    <s v="Medellín"/>
    <x v="2"/>
    <s v="METROSUR Vin. Leg. Ref. Concentrada"/>
    <x v="0"/>
    <n v="10"/>
    <s v="2025-12-12 16:26:44"/>
    <s v="2 días 16:26"/>
    <s v="8 días 16:26"/>
    <x v="0"/>
    <s v="SIN DATO"/>
    <s v="SIN DATO"/>
    <s v="SIN DATO"/>
    <s v="ABIERTO"/>
    <n v="-75.640190000000004"/>
    <n v="6.1900979999999999"/>
    <s v="SUR-ENE"/>
    <s v="Metropolitana Sur"/>
  </r>
  <r>
    <s v="23601926"/>
    <s v="ENERES"/>
    <s v="NUEVO"/>
    <s v="ENERES"/>
    <s v="27/11/2025 16:27:48"/>
    <s v="2025-11-27 16:27:48"/>
    <n v="43001425"/>
    <s v="BEATRIZ ELENA MORENO VARGAS"/>
    <s v="SIN DATOS"/>
    <s v="3006514363"/>
    <s v="RURAL_125004461130000102"/>
    <x v="5"/>
    <s v="125004461130000102"/>
    <s v="Envigado"/>
    <x v="2"/>
    <s v="Revisor Instal. Regadas Metrosur"/>
    <x v="0"/>
    <n v="10"/>
    <s v="2025-12-12 16:27:48"/>
    <s v="2 días 16:27"/>
    <s v="8 días 16:27"/>
    <x v="0"/>
    <s v="SIN DATO"/>
    <s v="SIN DATO"/>
    <s v="SIN DATO"/>
    <s v="ABIERTO"/>
    <n v="-75.505374149999994"/>
    <n v="6.1637516300000001"/>
    <s v="SUR-ENE"/>
    <s v="Metropolitana Sur"/>
  </r>
  <r>
    <s v="23601930"/>
    <s v="ENECNX"/>
    <s v="NUEVO"/>
    <s v="ENECNX"/>
    <s v="27/11/2025 16:30:24"/>
    <s v="2025-11-27 16:30:24"/>
    <n v="35890958"/>
    <s v="YASSIRIS MENA RENTERIA"/>
    <s v="4850956"/>
    <s v="3174875763"/>
    <s v="CIRC 3 AVDA 73 -23"/>
    <x v="2"/>
    <s v="053759003000230000"/>
    <s v="Medellín"/>
    <x v="3"/>
    <s v="Revisor Puntos de Conexión Metrosur"/>
    <x v="1"/>
    <n v="4"/>
    <s v="2025-12-03 16:30:24"/>
    <s v="2 días 16:30"/>
    <s v="2 días 16:30"/>
    <x v="1"/>
    <s v="SIN DATO"/>
    <s v="SIN DATO"/>
    <s v="SIN DATO"/>
    <s v="ABIERTO"/>
    <n v="-75.592278969999995"/>
    <n v="6.2446130399999999"/>
    <s v="SUR-ENE"/>
    <s v="Metropolitana Sur"/>
  </r>
  <r>
    <s v="23601934"/>
    <s v="ENENOR"/>
    <s v="NUEVO"/>
    <s v="ENENOR"/>
    <s v="27/11/2025 16:38:53"/>
    <s v="2025-11-27 16:38:53"/>
    <n v="43323068"/>
    <s v="ROSA MARIA ROJAS OCHOA"/>
    <s v="SIN DATOS"/>
    <s v="3127590977"/>
    <s v="CL 36 C CR 112 B -25 (INTERIOR 333 )"/>
    <x v="2"/>
    <s v="083116302200250333"/>
    <s v="Medellín"/>
    <x v="4"/>
    <s v="Revisor Instal. Regadas Metrosur"/>
    <x v="1"/>
    <n v="7"/>
    <s v="2025-12-09 16:38:53"/>
    <s v="2 días 16:38"/>
    <s v="5 días 16:38"/>
    <x v="0"/>
    <s v="SIN DATO"/>
    <s v="SIN DATO"/>
    <s v="SIN DATO"/>
    <s v="ABIERTO"/>
    <n v="-75.624591519999996"/>
    <n v="6.2490328499999999"/>
    <s v="SUR-ENE"/>
    <s v="Metropolitana Sur"/>
  </r>
  <r>
    <s v="23601935"/>
    <s v="ENENOR"/>
    <s v="NUEVO"/>
    <s v="ENENOR"/>
    <s v="27/11/2025 16:39:05"/>
    <s v="2025-11-27 16:39:05"/>
    <n v="21920985"/>
    <s v="MAGNOLIA PARRA ZAPATA"/>
    <s v="5891566"/>
    <s v="3004688399"/>
    <s v="CL 7 CR 52 -30 (INTERIOR 101 )"/>
    <x v="2"/>
    <s v="050517002000300101"/>
    <s v="Medellín"/>
    <x v="4"/>
    <s v="Revisor Instal. Regadas Metrosur"/>
    <x v="1"/>
    <n v="7"/>
    <s v="2025-12-09 16:39:05"/>
    <s v="2 días 16:39"/>
    <s v="5 días 16:39"/>
    <x v="0"/>
    <s v="SIN DATO"/>
    <s v="SIN DATO"/>
    <s v="SIN DATO"/>
    <s v="ABIERTO"/>
    <n v="-75.583517139999998"/>
    <n v="6.2128285300000003"/>
    <s v="SUR-ENE"/>
    <s v="Metropolitana Sur"/>
  </r>
  <r>
    <s v="23601941"/>
    <s v="ENERES"/>
    <s v="NUEVO"/>
    <s v="ENERES"/>
    <s v="27/11/2025 16:42:21"/>
    <s v="2025-11-27 16:42:21"/>
    <n v="21920985"/>
    <s v="MAGNOLIA PARRA ZAPATA"/>
    <s v="5891566"/>
    <s v="3004688399"/>
    <s v="CL 7 CR 52 -30 (INTERIOR 301 )"/>
    <x v="2"/>
    <s v="050517002000300301"/>
    <s v="Medellín"/>
    <x v="2"/>
    <s v="Revisor Instal. Regadas Metrosur"/>
    <x v="1"/>
    <n v="7"/>
    <s v="2025-12-09 16:42:21"/>
    <s v="2 días 16:42"/>
    <s v="5 días 16:42"/>
    <x v="0"/>
    <s v="SIN DATO"/>
    <s v="SIN DATO"/>
    <s v="SIN DATO"/>
    <s v="ABIERTO"/>
    <n v="-75.583517139999998"/>
    <n v="6.2128285300000003"/>
    <s v="SUR-ENE"/>
    <s v="Metropolitana Sur"/>
  </r>
  <r>
    <s v="23601942"/>
    <s v="ENECNX"/>
    <s v="NUEVO"/>
    <s v="ENECNX"/>
    <s v="27/11/2025 16:42:44"/>
    <s v="2025-11-27 16:42:44"/>
    <n v="5672540"/>
    <s v="LENKA LOPEZ VELEZ"/>
    <s v="SIN DATOS"/>
    <s v="3113651861"/>
    <s v="CL 6 CR 43 E -41 (INTERIOR 401 )"/>
    <x v="2"/>
    <s v="050416003500410401"/>
    <s v="Medellín"/>
    <x v="3"/>
    <s v="Revisor Puntos de Conexión Metrosur"/>
    <x v="1"/>
    <n v="4"/>
    <s v="2025-12-03 16:42:44"/>
    <s v="2 días 16:42"/>
    <s v="2 días 16:42"/>
    <x v="1"/>
    <s v="SIN DATO"/>
    <s v="SIN DATO"/>
    <s v="SIN DATO"/>
    <s v="ABIERTO"/>
    <n v="-75.574241090000001"/>
    <n v="6.2076159899999999"/>
    <s v="SUR-ENE"/>
    <s v="Metropolitana Sur"/>
  </r>
  <r>
    <s v="23601948"/>
    <s v="ENEMRT"/>
    <s v="NUEVO"/>
    <s v="ENEMVI"/>
    <s v="27/11/2025 16:48:54"/>
    <s v="2025-11-27 16:48:54"/>
    <n v="71716332"/>
    <s v="JULIO HECTOR ASPRILLA RIVAS"/>
    <s v="SIN DATOS"/>
    <s v="3159495800"/>
    <s v="CL 39 E CR 115 A -113"/>
    <x v="2"/>
    <s v="083119505101130000"/>
    <s v="Medellín"/>
    <x v="11"/>
    <s v="METR Mov Red Trans Anderson Castaño"/>
    <x v="1"/>
    <n v="9"/>
    <s v="2025-12-11 16:48:54"/>
    <s v="2 días 16:48"/>
    <s v="7 días 16:48"/>
    <x v="0"/>
    <s v="SIN DATO"/>
    <s v="SIN DATO"/>
    <s v="SIN DATO"/>
    <s v="ABIERTO"/>
    <n v="-75.626833939999997"/>
    <n v="6.2546611299999997"/>
    <s v="SUR-ENE"/>
    <s v="Metropolitana Sur"/>
  </r>
  <r>
    <s v="23601965"/>
    <s v="ENERES"/>
    <s v="NUEVO"/>
    <s v="ENERES"/>
    <s v="27/11/2025 16:59:24"/>
    <s v="2025-11-27 16:59:24"/>
    <n v="98531300"/>
    <s v="JAIME ERNESTO HENAO ARROYAVE"/>
    <s v="4260177"/>
    <s v="3156436650"/>
    <s v="CR 93 CL 62 B -14 (INTERIOR 201 )"/>
    <x v="2"/>
    <s v="056923002200140201"/>
    <s v="Medellín"/>
    <x v="2"/>
    <s v="Revisor Instal. Regadas Metrosur"/>
    <x v="1"/>
    <n v="7"/>
    <s v="2025-12-09 16:59:24"/>
    <s v="2 días 16:59"/>
    <s v="5 días 16:59"/>
    <x v="0"/>
    <s v="SIN DATO"/>
    <s v="SIN DATO"/>
    <s v="SIN DATO"/>
    <s v="ABIERTO"/>
    <n v="-75.604962130000004"/>
    <n v="6.2777585199999999"/>
    <s v="SUR-ENE"/>
    <s v="Metropolitana Sur"/>
  </r>
  <r>
    <s v="23601966"/>
    <s v="ENERES"/>
    <s v="NUEVO"/>
    <s v="ENERES"/>
    <s v="27/11/2025 16:59:55"/>
    <s v="2025-11-27 16:59:55"/>
    <n v="43099664"/>
    <s v="MARIA ALPIDIA HIGUITA MONTOYA"/>
    <s v="2262673"/>
    <s v="3106230705"/>
    <s v="CR 24 CL 53 -120 (INTERIOR 262 )"/>
    <x v="2"/>
    <s v="055224003001200262"/>
    <s v="Medellín"/>
    <x v="2"/>
    <s v="Revisor Instal. Regadas Metrosur"/>
    <x v="1"/>
    <n v="7"/>
    <s v="2025-12-09 16:59:55"/>
    <s v="2 días 16:59"/>
    <s v="5 días 16:59"/>
    <x v="0"/>
    <s v="SIN DATO"/>
    <s v="SIN DATO"/>
    <s v="SIN DATO"/>
    <s v="ABIERTO"/>
    <n v="-75.544535999999994"/>
    <n v="6.2419789999999997"/>
    <s v="SUR-ENE"/>
    <s v="Metropolitana Sur"/>
  </r>
  <r>
    <s v="23601982"/>
    <s v="ENERES"/>
    <s v="NUEVO"/>
    <s v="ENEDOM"/>
    <s v="27/11/2025 17:35:53"/>
    <s v="2025-11-27 17:35:53"/>
    <n v="98567899"/>
    <s v="RUBEN JAIME PIEDRAHITA OCAMPO"/>
    <s v="5819249"/>
    <s v="3137276847"/>
    <s v="CR 82 C CL 19 -34 (INTERIOR 202 )"/>
    <x v="2"/>
    <s v="051822309000340202"/>
    <s v="Medellín"/>
    <x v="0"/>
    <s v="MET Rev-Inst-Concentra E_CR014"/>
    <x v="1"/>
    <n v="5"/>
    <s v="2025-12-04 17:35:53"/>
    <s v="2 días 17:35"/>
    <s v="3 días 17:35"/>
    <x v="0"/>
    <s v="SIN DATO"/>
    <s v="SIN DATO"/>
    <s v="SIN DATO"/>
    <s v="ABIERTO"/>
    <n v="-75.605092540000001"/>
    <n v="6.2245183600000002"/>
    <s v="SUR-ENE"/>
    <s v="Metropolitana Sur"/>
  </r>
  <r>
    <s v="23601985"/>
    <s v="ENENOR"/>
    <s v="NUEVO"/>
    <s v="ENENOR"/>
    <s v="27/11/2025 17:49:21"/>
    <s v="2025-11-27 17:49:21"/>
    <n v="890904996"/>
    <s v="EMPRESAS PUBLICAS DE MEDELLIN E.S.P."/>
    <s v="3808080"/>
    <s v="3006085217"/>
    <s v="CR 55 CL 64 -84"/>
    <x v="2"/>
    <s v="056525004000840000"/>
    <s v="Medellín"/>
    <x v="4"/>
    <s v="Revisor Instal. Regadas Metrosur"/>
    <x v="1"/>
    <n v="7"/>
    <s v="2025-12-09 17:49:21"/>
    <s v="2 días 17:49"/>
    <s v="5 días 17:49"/>
    <x v="0"/>
    <s v="SIN DATO"/>
    <s v="SIN DATO"/>
    <s v="SIN DATO"/>
    <s v="ABIERTO"/>
    <n v="-75.567805000000007"/>
    <n v="6.2628919999999999"/>
    <s v="SUR-ENE"/>
    <s v="Metropolitana Sur"/>
  </r>
  <r>
    <s v="23601994"/>
    <s v="ENEMRT"/>
    <s v="NUEVO"/>
    <s v="ENEMVI"/>
    <s v="27/11/2025 19:54:56"/>
    <s v="2025-11-27 19:54:56"/>
    <n v="1040511677"/>
    <s v="YERMAN ANDRES PALACIOS MOSQUERA"/>
    <s v="2847580"/>
    <s v="3218527147"/>
    <s v="CL 57 EE CR 22 B -52"/>
    <x v="2"/>
    <s v="055217552200520000"/>
    <s v="Medellín"/>
    <x v="11"/>
    <s v="METR Mov Red Trans Anderson Castaño"/>
    <x v="1"/>
    <n v="9"/>
    <s v="2025-12-11 19:54:56"/>
    <s v="2 días 19:54"/>
    <s v="7 días 19:54"/>
    <x v="0"/>
    <s v="SIN DATO"/>
    <s v="SIN DATO"/>
    <s v="SIN DATO"/>
    <s v="ABIERTO"/>
    <n v="-75.544192379999998"/>
    <n v="6.2513477599999998"/>
    <s v="SUR-ENE"/>
    <s v="Metropolitana Sur"/>
  </r>
  <r>
    <s v="23602012"/>
    <s v="ENECNX"/>
    <s v="NUEVO"/>
    <s v="ENECNX"/>
    <s v="28/11/2025 06:15:19"/>
    <s v="2025-11-28 06:15:19"/>
    <n v="1088349987"/>
    <s v="FABIAN FLOREZ"/>
    <s v="SIN DATOS"/>
    <s v="3043517525"/>
    <s v="RURAL_159035000000000000_PUEBLO VIEJO"/>
    <x v="0"/>
    <s v="159035000000000000"/>
    <s v="La Estrella"/>
    <x v="3"/>
    <s v="Revisor Puntos de Conexión Metrosur"/>
    <x v="0"/>
    <n v="4"/>
    <s v="2025-12-04 06:15:19"/>
    <s v="1 días 06:15"/>
    <s v="3 días 06:15"/>
    <x v="0"/>
    <s v="SIN DATO"/>
    <s v="SIN DATO"/>
    <s v="SIN DATO"/>
    <s v="ABIERTO"/>
    <n v="-75.644047220000004"/>
    <n v="6.1393627100000003"/>
    <s v="SUR-ENE"/>
    <s v="Metropolitana Sur"/>
  </r>
  <r>
    <s v="23602014"/>
    <s v="ENERES"/>
    <s v="NUEVO"/>
    <s v="ENERES"/>
    <s v="28/11/2025 06:20:19"/>
    <s v="2025-11-28 06:20:19"/>
    <n v="800093117"/>
    <s v="ARQUITECTURA Y CONCRETO S.A.S"/>
    <s v="3123618"/>
    <s v="3209339296"/>
    <s v="CR 44 CL 17 -120 (INTERIOR 1605 )"/>
    <x v="2"/>
    <s v="051424007001201605"/>
    <s v="Medellín"/>
    <x v="2"/>
    <s v="Revisor Inst. Particulares Metrosur"/>
    <x v="1"/>
    <n v="7"/>
    <s v="2025-12-10 06:20:19"/>
    <s v="1 días 06:20"/>
    <s v="6 días 06:20"/>
    <x v="0"/>
    <s v="SIN DATO"/>
    <s v="SIN DATO"/>
    <s v="SIN DATO"/>
    <s v="ABIERTO"/>
    <n v="-75.574616899999995"/>
    <n v="6.2194061100000004"/>
    <s v="SUR-ENE"/>
    <s v="Metropolitana Sur"/>
  </r>
  <r>
    <s v="23602015"/>
    <s v="ENERES"/>
    <s v="NUEVO"/>
    <s v="ENERES"/>
    <s v="28/11/2025 06:20:19"/>
    <s v="2025-11-28 06:20:19"/>
    <n v="800093117"/>
    <s v="ARQUITECTURA Y CONCRETO S.A.S"/>
    <s v="3123618"/>
    <s v="3209339296"/>
    <s v="CR 44 CL 17 -120 (INTERIOR 503 )"/>
    <x v="2"/>
    <s v="051424007001200503"/>
    <s v="Medellín"/>
    <x v="2"/>
    <s v="Revisor Inst. Particulares Metrosur"/>
    <x v="1"/>
    <n v="7"/>
    <s v="2025-12-10 06:20:19"/>
    <s v="1 días 06:20"/>
    <s v="6 días 06:20"/>
    <x v="0"/>
    <s v="SIN DATO"/>
    <s v="SIN DATO"/>
    <s v="SIN DATO"/>
    <s v="ABIERTO"/>
    <n v="-75.574616899999995"/>
    <n v="6.2194061100000004"/>
    <s v="SUR-ENE"/>
    <s v="Metropolitana Sur"/>
  </r>
  <r>
    <s v="23602016"/>
    <s v="ENERES"/>
    <s v="NUEVO"/>
    <s v="ENERES"/>
    <s v="28/11/2025 06:20:20"/>
    <s v="2025-11-28 06:20:20"/>
    <n v="800093117"/>
    <s v="ARQUITECTURA Y CONCRETO S.A.S"/>
    <s v="3123618"/>
    <s v="3209339296"/>
    <s v="CR 44 CL 17 -120 (INTERIOR 1204 )"/>
    <x v="2"/>
    <s v="051424007001201204"/>
    <s v="Medellín"/>
    <x v="2"/>
    <s v="Revisor Inst. Particulares Metrosur"/>
    <x v="1"/>
    <n v="7"/>
    <s v="2025-12-10 06:20:20"/>
    <s v="1 días 06:20"/>
    <s v="6 días 06:20"/>
    <x v="0"/>
    <s v="SIN DATO"/>
    <s v="SIN DATO"/>
    <s v="SIN DATO"/>
    <s v="ABIERTO"/>
    <n v="-75.574616899999995"/>
    <n v="6.2194061100000004"/>
    <s v="SUR-ENE"/>
    <s v="Metropolitana Sur"/>
  </r>
  <r>
    <s v="23602017"/>
    <s v="ENERES"/>
    <s v="NUEVO"/>
    <s v="ENERES"/>
    <s v="28/11/2025 06:20:26"/>
    <s v="2025-11-28 06:20:26"/>
    <n v="800093117"/>
    <s v="ARQUITECTURA Y CONCRETO S.A.S"/>
    <s v="3123618"/>
    <s v="3209339296"/>
    <s v="CR 44 CL 17 -120 (INTERIOR 1205 )"/>
    <x v="2"/>
    <s v="051424007001201205"/>
    <s v="Medellín"/>
    <x v="2"/>
    <s v="Revisor Inst. Particulares Metrosur"/>
    <x v="1"/>
    <n v="7"/>
    <s v="2025-12-10 06:20:26"/>
    <s v="1 días 06:20"/>
    <s v="6 días 06:20"/>
    <x v="0"/>
    <s v="SIN DATO"/>
    <s v="SIN DATO"/>
    <s v="SIN DATO"/>
    <s v="ABIERTO"/>
    <n v="-75.574616899999995"/>
    <n v="6.2194061100000004"/>
    <s v="SUR-ENE"/>
    <s v="Metropolitana Sur"/>
  </r>
  <r>
    <s v="23602018"/>
    <s v="ENERES"/>
    <s v="NUEVO"/>
    <s v="ENERES"/>
    <s v="28/11/2025 06:20:44"/>
    <s v="2025-11-28 06:20:44"/>
    <n v="800093117"/>
    <s v="ARQUITECTURA Y CONCRETO S.A.S"/>
    <s v="3123618"/>
    <s v="3209339296"/>
    <s v="CR 44 CL 17 -120 (INTERIOR 2501 )"/>
    <x v="2"/>
    <s v="051424007001202501"/>
    <s v="Medellín"/>
    <x v="2"/>
    <s v="Revisor Inst. Particulares Metrosur"/>
    <x v="1"/>
    <n v="7"/>
    <s v="2025-12-10 06:20:44"/>
    <s v="1 días 06:20"/>
    <s v="6 días 06:20"/>
    <x v="0"/>
    <s v="SIN DATO"/>
    <s v="SIN DATO"/>
    <s v="SIN DATO"/>
    <s v="ABIERTO"/>
    <n v="-75.574616899999995"/>
    <n v="6.2194061100000004"/>
    <s v="SUR-ENE"/>
    <s v="Metropolitana Sur"/>
  </r>
  <r>
    <s v="23602020"/>
    <s v="ENERES"/>
    <s v="NUEVO"/>
    <s v="ENERES"/>
    <s v="28/11/2025 06:21:08"/>
    <s v="2025-11-28 06:21:08"/>
    <n v="800093117"/>
    <s v="ARQUITECTURA Y CONCRETO S.A.S"/>
    <s v="3123618"/>
    <s v="3209339296"/>
    <s v="CR 44 CL 17 -120 (INTERIOR 2503 )"/>
    <x v="2"/>
    <s v="051424007001202503"/>
    <s v="Medellín"/>
    <x v="2"/>
    <s v="Revisor Inst. Particulares Metrosur"/>
    <x v="1"/>
    <n v="7"/>
    <s v="2025-12-10 06:21:08"/>
    <s v="1 días 06:21"/>
    <s v="6 días 06:21"/>
    <x v="0"/>
    <s v="SIN DATO"/>
    <s v="SIN DATO"/>
    <s v="SIN DATO"/>
    <s v="ABIERTO"/>
    <n v="-75.574616899999995"/>
    <n v="6.2194061100000004"/>
    <s v="SUR-ENE"/>
    <s v="Metropolitana Sur"/>
  </r>
  <r>
    <s v="23602021"/>
    <s v="ENERES"/>
    <s v="NUEVO"/>
    <s v="ENERES"/>
    <s v="28/11/2025 06:22:07"/>
    <s v="2025-11-28 06:22:07"/>
    <n v="800093117"/>
    <s v="ARQUITECTURA Y CONCRETO S.A.S"/>
    <s v="3123618"/>
    <s v="3209339296"/>
    <s v="CR 44 CL 17 -120 (INTERIOR 2504 )"/>
    <x v="2"/>
    <s v="051424007001202504"/>
    <s v="Medellín"/>
    <x v="2"/>
    <s v="Revisor Inst. Particulares Metrosur"/>
    <x v="1"/>
    <n v="7"/>
    <s v="2025-12-10 06:22:07"/>
    <s v="1 días 06:22"/>
    <s v="6 días 06:22"/>
    <x v="0"/>
    <s v="SIN DATO"/>
    <s v="SIN DATO"/>
    <s v="SIN DATO"/>
    <s v="ABIERTO"/>
    <n v="-75.574616899999995"/>
    <n v="6.2194061100000004"/>
    <s v="SUR-ENE"/>
    <s v="Metropolitana Sur"/>
  </r>
  <r>
    <s v="23602022"/>
    <s v="ENERES"/>
    <s v="NUEVO"/>
    <s v="ENERES"/>
    <s v="28/11/2025 06:22:30"/>
    <s v="2025-11-28 06:22:30"/>
    <n v="800093117"/>
    <s v="ARQUITECTURA Y CONCRETO S.A.S"/>
    <s v="3123618"/>
    <s v="3209339296"/>
    <s v="CR 44 CL 17 -120 (INTERIOR 2902 )"/>
    <x v="2"/>
    <s v="051424007001202902"/>
    <s v="Medellín"/>
    <x v="2"/>
    <s v="Revisor Inst. Particulares Metrosur"/>
    <x v="1"/>
    <n v="7"/>
    <s v="2025-12-10 06:22:30"/>
    <s v="1 días 06:22"/>
    <s v="6 días 06:22"/>
    <x v="0"/>
    <s v="SIN DATO"/>
    <s v="SIN DATO"/>
    <s v="SIN DATO"/>
    <s v="ABIERTO"/>
    <n v="-75.574616899999995"/>
    <n v="6.2194061100000004"/>
    <s v="SUR-ENE"/>
    <s v="Metropolitana Sur"/>
  </r>
  <r>
    <s v="23602023"/>
    <s v="ENERES"/>
    <s v="NUEVO"/>
    <s v="ENERES"/>
    <s v="28/11/2025 06:22:35"/>
    <s v="2025-11-28 06:22:35"/>
    <n v="800093117"/>
    <s v="ARQUITECTURA Y CONCRETO S.A.S"/>
    <s v="3123618"/>
    <s v="3209339296"/>
    <s v="CR 44 CL 17 -120 (INTERIOR 3006 )"/>
    <x v="2"/>
    <s v="051424007001203006"/>
    <s v="Medellín"/>
    <x v="2"/>
    <s v="Revisor Inst. Particulares Metrosur"/>
    <x v="1"/>
    <n v="7"/>
    <s v="2025-12-10 06:22:35"/>
    <s v="1 días 06:22"/>
    <s v="6 días 06:22"/>
    <x v="0"/>
    <s v="SIN DATO"/>
    <s v="SIN DATO"/>
    <s v="SIN DATO"/>
    <s v="ABIERTO"/>
    <n v="-75.574616899999995"/>
    <n v="6.2194061100000004"/>
    <s v="SUR-ENE"/>
    <s v="Metropolitana Sur"/>
  </r>
  <r>
    <s v="23602024"/>
    <s v="ENERES"/>
    <s v="NUEVO"/>
    <s v="ENERES"/>
    <s v="28/11/2025 06:22:37"/>
    <s v="2025-11-28 06:22:37"/>
    <n v="800093117"/>
    <s v="ARQUITECTURA Y CONCRETO S.A.S"/>
    <s v="3123618"/>
    <s v="3209339296"/>
    <s v="CR 44 CL 17 -120 (INTERIOR 2703 )"/>
    <x v="2"/>
    <s v="051424007001202703"/>
    <s v="Medellín"/>
    <x v="2"/>
    <s v="Revisor Inst. Particulares Metrosur"/>
    <x v="1"/>
    <n v="7"/>
    <s v="2025-12-10 06:22:37"/>
    <s v="1 días 06:22"/>
    <s v="6 días 06:22"/>
    <x v="0"/>
    <s v="SIN DATO"/>
    <s v="SIN DATO"/>
    <s v="SIN DATO"/>
    <s v="ABIERTO"/>
    <n v="-75.574616899999995"/>
    <n v="6.2194061100000004"/>
    <s v="SUR-ENE"/>
    <s v="Metropolitana Sur"/>
  </r>
  <r>
    <s v="23602025"/>
    <s v="ENERES"/>
    <s v="NUEVO"/>
    <s v="ENERES"/>
    <s v="28/11/2025 06:23:13"/>
    <s v="2025-11-28 06:23:13"/>
    <n v="800093117"/>
    <s v="ARQUITECTURA Y CONCRETO S.A.S"/>
    <s v="3123618"/>
    <s v="3209339296"/>
    <s v="CR 44 CL 17 -120 (INTERIOR 3004 )"/>
    <x v="2"/>
    <s v="051424007001203004"/>
    <s v="Medellín"/>
    <x v="2"/>
    <s v="Revisor Inst. Particulares Metrosur"/>
    <x v="1"/>
    <n v="7"/>
    <s v="2025-12-10 06:23:13"/>
    <s v="1 días 06:23"/>
    <s v="6 días 06:23"/>
    <x v="0"/>
    <s v="SIN DATO"/>
    <s v="SIN DATO"/>
    <s v="SIN DATO"/>
    <s v="ABIERTO"/>
    <n v="-75.574616899999995"/>
    <n v="6.2194061100000004"/>
    <s v="SUR-ENE"/>
    <s v="Metropolitana Sur"/>
  </r>
  <r>
    <s v="23602026"/>
    <s v="ENERES"/>
    <s v="NUEVO"/>
    <s v="ENERES"/>
    <s v="28/11/2025 06:23:28"/>
    <s v="2025-11-28 06:23:28"/>
    <n v="800093117"/>
    <s v="ARQUITECTURA Y CONCRETO S.A.S"/>
    <s v="3123618"/>
    <s v="3209339296"/>
    <s v="CR 44 CL 17 -120 (INTERIOR 1901 )"/>
    <x v="2"/>
    <s v="051424007001201901"/>
    <s v="Medellín"/>
    <x v="2"/>
    <s v="Revisor Inst. Particulares Metrosur"/>
    <x v="1"/>
    <n v="7"/>
    <s v="2025-12-10 06:23:28"/>
    <s v="1 días 06:23"/>
    <s v="6 días 06:23"/>
    <x v="0"/>
    <s v="SIN DATO"/>
    <s v="SIN DATO"/>
    <s v="SIN DATO"/>
    <s v="ABIERTO"/>
    <n v="-75.574616899999995"/>
    <n v="6.2194061100000004"/>
    <s v="SUR-ENE"/>
    <s v="Metropolitana Sur"/>
  </r>
  <r>
    <s v="23602027"/>
    <s v="ENERES"/>
    <s v="NUEVO"/>
    <s v="ENERES"/>
    <s v="28/11/2025 06:23:34"/>
    <s v="2025-11-28 06:23:34"/>
    <n v="800093117"/>
    <s v="ARQUITECTURA Y CONCRETO S.A.S"/>
    <s v="3123618"/>
    <s v="3209339296"/>
    <s v="CR 44 CL 17 -120 (INTERIOR 2203 )"/>
    <x v="2"/>
    <s v="051424007001202203"/>
    <s v="Medellín"/>
    <x v="2"/>
    <s v="Revisor Inst. Particulares Metrosur"/>
    <x v="1"/>
    <n v="7"/>
    <s v="2025-12-10 06:23:34"/>
    <s v="1 días 06:23"/>
    <s v="6 días 06:23"/>
    <x v="0"/>
    <s v="SIN DATO"/>
    <s v="SIN DATO"/>
    <s v="SIN DATO"/>
    <s v="ABIERTO"/>
    <n v="-75.574616899999995"/>
    <n v="6.2194061100000004"/>
    <s v="SUR-ENE"/>
    <s v="Metropolitana Sur"/>
  </r>
  <r>
    <s v="23602028"/>
    <s v="ENERES"/>
    <s v="NUEVO"/>
    <s v="ENERES"/>
    <s v="28/11/2025 06:23:58"/>
    <s v="2025-11-28 06:23:58"/>
    <n v="800093117"/>
    <s v="ARQUITECTURA Y CONCRETO S.A.S"/>
    <s v="3123618"/>
    <s v="3209339296"/>
    <s v="CR 44 CL 17 -120 (INTERIOR 805 )"/>
    <x v="2"/>
    <s v="051424007001200805"/>
    <s v="Medellín"/>
    <x v="2"/>
    <s v="Revisor Inst. Particulares Metrosur"/>
    <x v="1"/>
    <n v="7"/>
    <s v="2025-12-10 06:23:58"/>
    <s v="1 días 06:23"/>
    <s v="6 días 06:23"/>
    <x v="0"/>
    <s v="SIN DATO"/>
    <s v="SIN DATO"/>
    <s v="SIN DATO"/>
    <s v="ABIERTO"/>
    <n v="-75.574616899999995"/>
    <n v="6.2194061100000004"/>
    <s v="SUR-ENE"/>
    <s v="Metropolitana Sur"/>
  </r>
  <r>
    <s v="23602029"/>
    <s v="ENERES"/>
    <s v="NUEVO"/>
    <s v="ENERES"/>
    <s v="28/11/2025 06:25:02"/>
    <s v="2025-11-28 06:25:02"/>
    <n v="800093117"/>
    <s v="ARQUITECTURA Y CONCRETO S.A.S"/>
    <s v="3123618"/>
    <s v="3209339296"/>
    <s v="CR 44 CL 17 -120 (INTERIOR 705 )"/>
    <x v="2"/>
    <s v="051424007001200705"/>
    <s v="Medellín"/>
    <x v="2"/>
    <s v="Revisor Inst. Particulares Metrosur"/>
    <x v="1"/>
    <n v="7"/>
    <s v="2025-12-10 06:25:02"/>
    <s v="1 días 06:25"/>
    <s v="6 días 06:25"/>
    <x v="0"/>
    <s v="SIN DATO"/>
    <s v="SIN DATO"/>
    <s v="SIN DATO"/>
    <s v="ABIERTO"/>
    <n v="-75.574616899999995"/>
    <n v="6.2194061100000004"/>
    <s v="SUR-ENE"/>
    <s v="Metropolitana Sur"/>
  </r>
  <r>
    <s v="23602030"/>
    <s v="ENERES"/>
    <s v="NUEVO"/>
    <s v="ENERES"/>
    <s v="28/11/2025 06:25:05"/>
    <s v="2025-11-28 06:25:05"/>
    <n v="800093117"/>
    <s v="ARQUITECTURA Y CONCRETO S.A.S"/>
    <s v="3123618"/>
    <s v="3209339296"/>
    <s v="CR 44 CL 17 -120 (INTERIOR 504 )"/>
    <x v="2"/>
    <s v="051424007001200504"/>
    <s v="Medellín"/>
    <x v="2"/>
    <s v="Revisor Inst. Particulares Metrosur"/>
    <x v="1"/>
    <n v="7"/>
    <s v="2025-12-10 06:25:05"/>
    <s v="1 días 06:25"/>
    <s v="6 días 06:25"/>
    <x v="0"/>
    <s v="SIN DATO"/>
    <s v="SIN DATO"/>
    <s v="SIN DATO"/>
    <s v="ABIERTO"/>
    <n v="-75.574616899999995"/>
    <n v="6.2194061100000004"/>
    <s v="SUR-ENE"/>
    <s v="Metropolitana Sur"/>
  </r>
  <r>
    <s v="23602031"/>
    <s v="ENERES"/>
    <s v="NUEVO"/>
    <s v="ENERES"/>
    <s v="28/11/2025 06:25:10"/>
    <s v="2025-11-28 06:25:10"/>
    <n v="800093117"/>
    <s v="ARQUITECTURA Y CONCRETO S.A.S"/>
    <s v="3123618"/>
    <s v="3209339296"/>
    <s v="CR 44 CL 17 -120 (INTERIOR 802 )"/>
    <x v="2"/>
    <s v="051424007001200802"/>
    <s v="Medellín"/>
    <x v="2"/>
    <s v="Revisor Inst. Particulares Metrosur"/>
    <x v="1"/>
    <n v="7"/>
    <s v="2025-12-10 06:25:10"/>
    <s v="1 días 06:25"/>
    <s v="6 días 06:25"/>
    <x v="0"/>
    <s v="SIN DATO"/>
    <s v="SIN DATO"/>
    <s v="SIN DATO"/>
    <s v="ABIERTO"/>
    <n v="-75.574616899999995"/>
    <n v="6.2194061100000004"/>
    <s v="SUR-ENE"/>
    <s v="Metropolitana Sur"/>
  </r>
  <r>
    <s v="23602033"/>
    <s v="ENERES"/>
    <s v="NUEVO"/>
    <s v="ENERES"/>
    <s v="28/11/2025 06:25:24"/>
    <s v="2025-11-28 06:25:24"/>
    <n v="800093117"/>
    <s v="ARQUITECTURA Y CONCRETO S.A.S"/>
    <s v="3123618"/>
    <s v="3209339296"/>
    <s v="CR 44 CL 17 -120 (INTERIOR 904 )"/>
    <x v="2"/>
    <s v="051424007001200904"/>
    <s v="Medellín"/>
    <x v="2"/>
    <s v="Revisor Inst. Particulares Metrosur"/>
    <x v="1"/>
    <n v="7"/>
    <s v="2025-12-10 06:25:24"/>
    <s v="1 días 06:25"/>
    <s v="6 días 06:25"/>
    <x v="0"/>
    <s v="SIN DATO"/>
    <s v="SIN DATO"/>
    <s v="SIN DATO"/>
    <s v="ABIERTO"/>
    <n v="-75.574616899999995"/>
    <n v="6.2194061100000004"/>
    <s v="SUR-ENE"/>
    <s v="Metropolitana Sur"/>
  </r>
  <r>
    <s v="23602034"/>
    <s v="ENERES"/>
    <s v="NUEVO"/>
    <s v="ENERES"/>
    <s v="28/11/2025 06:25:47"/>
    <s v="2025-11-28 06:25:47"/>
    <n v="800093117"/>
    <s v="ARQUITECTURA Y CONCRETO S.A.S"/>
    <s v="3123618"/>
    <s v="3209339296"/>
    <s v="CR 44 CL 17 -120 (INTERIOR 903 )"/>
    <x v="2"/>
    <s v="051424007001200903"/>
    <s v="Medellín"/>
    <x v="2"/>
    <s v="Revisor Inst. Particulares Metrosur"/>
    <x v="1"/>
    <n v="7"/>
    <s v="2025-12-10 06:25:47"/>
    <s v="1 días 06:25"/>
    <s v="6 días 06:25"/>
    <x v="0"/>
    <s v="SIN DATO"/>
    <s v="SIN DATO"/>
    <s v="SIN DATO"/>
    <s v="ABIERTO"/>
    <n v="-75.574616899999995"/>
    <n v="6.2194061100000004"/>
    <s v="SUR-ENE"/>
    <s v="Metropolitana Sur"/>
  </r>
  <r>
    <s v="23602035"/>
    <s v="ENERES"/>
    <s v="NUEVO"/>
    <s v="ENERES"/>
    <s v="28/11/2025 06:25:58"/>
    <s v="2025-11-28 06:25:58"/>
    <n v="800093117"/>
    <s v="ARQUITECTURA Y CONCRETO S.A.S"/>
    <s v="3123618"/>
    <s v="3209339296"/>
    <s v="CR 44 CL 17 -120 (INTERIOR 1505 )"/>
    <x v="2"/>
    <s v="051424007001201505"/>
    <s v="Medellín"/>
    <x v="2"/>
    <s v="Revisor Inst. Particulares Metrosur"/>
    <x v="1"/>
    <n v="7"/>
    <s v="2025-12-10 06:25:58"/>
    <s v="1 días 06:25"/>
    <s v="6 días 06:25"/>
    <x v="0"/>
    <s v="SIN DATO"/>
    <s v="SIN DATO"/>
    <s v="SIN DATO"/>
    <s v="ABIERTO"/>
    <n v="-75.574616899999995"/>
    <n v="6.2194061100000004"/>
    <s v="SUR-ENE"/>
    <s v="Metropolitana Sur"/>
  </r>
  <r>
    <s v="23602036"/>
    <s v="ENERES"/>
    <s v="NUEVO"/>
    <s v="ENERES"/>
    <s v="28/11/2025 06:26:24"/>
    <s v="2025-11-28 06:26:24"/>
    <n v="800093117"/>
    <s v="ARQUITECTURA Y CONCRETO S.A.S"/>
    <s v="3123618"/>
    <s v="3209339296"/>
    <s v="CR 44 CL 17 -120 (INTERIOR 2001 )"/>
    <x v="2"/>
    <s v="051424007001202001"/>
    <s v="Medellín"/>
    <x v="2"/>
    <s v="Revisor Inst. Particulares Metrosur"/>
    <x v="1"/>
    <n v="7"/>
    <s v="2025-12-10 06:26:24"/>
    <s v="1 días 06:26"/>
    <s v="6 días 06:26"/>
    <x v="0"/>
    <s v="SIN DATO"/>
    <s v="SIN DATO"/>
    <s v="SIN DATO"/>
    <s v="ABIERTO"/>
    <n v="-75.574616899999995"/>
    <n v="6.2194061100000004"/>
    <s v="SUR-ENE"/>
    <s v="Metropolitana Sur"/>
  </r>
  <r>
    <s v="23602037"/>
    <s v="ENERES"/>
    <s v="NUEVO"/>
    <s v="ENERES"/>
    <s v="28/11/2025 06:26:47"/>
    <s v="2025-11-28 06:26:47"/>
    <n v="800093117"/>
    <s v="ARQUITECTURA Y CONCRETO S.A.S"/>
    <s v="3123618"/>
    <s v="3209339296"/>
    <s v="CR 44 CL 17 -120 (INTERIOR 1703 )"/>
    <x v="2"/>
    <s v="051424007001201703"/>
    <s v="Medellín"/>
    <x v="2"/>
    <s v="Revisor Inst. Particulares Metrosur"/>
    <x v="1"/>
    <n v="7"/>
    <s v="2025-12-10 06:26:47"/>
    <s v="1 días 06:26"/>
    <s v="6 días 06:26"/>
    <x v="0"/>
    <s v="SIN DATO"/>
    <s v="SIN DATO"/>
    <s v="SIN DATO"/>
    <s v="ABIERTO"/>
    <n v="-75.574616899999995"/>
    <n v="6.2194061100000004"/>
    <s v="SUR-ENE"/>
    <s v="Metropolitana Sur"/>
  </r>
  <r>
    <s v="23602038"/>
    <s v="ENERES"/>
    <s v="NUEVO"/>
    <s v="ENERES"/>
    <s v="28/11/2025 06:27:05"/>
    <s v="2025-11-28 06:27:05"/>
    <n v="800093117"/>
    <s v="ARQUITECTURA Y CONCRETO S.A.S"/>
    <s v="3123618"/>
    <s v="3209339296"/>
    <s v="CR 44 CL 17 -120 (INTERIOR 2201 )"/>
    <x v="2"/>
    <s v="051424007001202201"/>
    <s v="Medellín"/>
    <x v="2"/>
    <s v="Revisor Inst. Particulares Metrosur"/>
    <x v="1"/>
    <n v="7"/>
    <s v="2025-12-10 06:27:05"/>
    <s v="1 días 06:27"/>
    <s v="6 días 06:27"/>
    <x v="0"/>
    <s v="SIN DATO"/>
    <s v="SIN DATO"/>
    <s v="SIN DATO"/>
    <s v="ABIERTO"/>
    <n v="-75.574616899999995"/>
    <n v="6.2194061100000004"/>
    <s v="SUR-ENE"/>
    <s v="Metropolitana Sur"/>
  </r>
  <r>
    <s v="23602039"/>
    <s v="ENERES"/>
    <s v="NUEVO"/>
    <s v="ENERES"/>
    <s v="28/11/2025 06:27:16"/>
    <s v="2025-11-28 06:27:16"/>
    <n v="800093117"/>
    <s v="ARQUITECTURA Y CONCRETO S.A.S"/>
    <s v="3123618"/>
    <s v="3209339296"/>
    <s v="CR 44 CL 17 -120 (INTERIOR 1801 )"/>
    <x v="2"/>
    <s v="051424007001201801"/>
    <s v="Medellín"/>
    <x v="2"/>
    <s v="Revisor Inst. Particulares Metrosur"/>
    <x v="1"/>
    <n v="7"/>
    <s v="2025-12-10 06:27:16"/>
    <s v="1 días 06:27"/>
    <s v="6 días 06:27"/>
    <x v="0"/>
    <s v="SIN DATO"/>
    <s v="SIN DATO"/>
    <s v="SIN DATO"/>
    <s v="ABIERTO"/>
    <n v="-75.574616899999995"/>
    <n v="6.2194061100000004"/>
    <s v="SUR-ENE"/>
    <s v="Metropolitana Sur"/>
  </r>
  <r>
    <s v="23602042"/>
    <s v="ENERES"/>
    <s v="NUEVO"/>
    <s v="ENERES"/>
    <s v="28/11/2025 06:37:53"/>
    <s v="2025-11-28 06:37:53"/>
    <n v="800093117"/>
    <s v="ARQUITECTURA Y CONCRETO S.A.S"/>
    <s v="3123618"/>
    <s v="3209339296"/>
    <s v="CR 44 CL 17 -120 (INTERIOR 2301 )"/>
    <x v="2"/>
    <s v="051424007001202301"/>
    <s v="Medellín"/>
    <x v="2"/>
    <s v="Revisor Inst. Particulares Metrosur"/>
    <x v="1"/>
    <n v="7"/>
    <s v="2025-12-10 06:37:53"/>
    <s v="1 días 06:37"/>
    <s v="6 días 06:37"/>
    <x v="0"/>
    <s v="SIN DATO"/>
    <s v="SIN DATO"/>
    <s v="SIN DATO"/>
    <s v="ABIERTO"/>
    <n v="-75.574616899999995"/>
    <n v="6.2194061100000004"/>
    <s v="SUR-ENE"/>
    <s v="Metropolitana Sur"/>
  </r>
  <r>
    <s v="23602043"/>
    <s v="ENERES"/>
    <s v="NUEVO"/>
    <s v="ENERES"/>
    <s v="28/11/2025 06:38:09"/>
    <s v="2025-11-28 06:38:09"/>
    <n v="800093117"/>
    <s v="ARQUITECTURA Y CONCRETO S.A.S"/>
    <s v="3123618"/>
    <s v="3209339296"/>
    <s v="CR 44 CL 17 -120 (INTERIOR 2905 )"/>
    <x v="2"/>
    <s v="051424007001202905"/>
    <s v="Medellín"/>
    <x v="2"/>
    <s v="Revisor Inst. Particulares Metrosur"/>
    <x v="1"/>
    <n v="7"/>
    <s v="2025-12-10 06:38:09"/>
    <s v="1 días 06:38"/>
    <s v="6 días 06:38"/>
    <x v="0"/>
    <s v="SIN DATO"/>
    <s v="SIN DATO"/>
    <s v="SIN DATO"/>
    <s v="ABIERTO"/>
    <n v="-75.574616899999995"/>
    <n v="6.2194061100000004"/>
    <s v="SUR-ENE"/>
    <s v="Metropolitana Sur"/>
  </r>
  <r>
    <s v="23602044"/>
    <s v="ENERES"/>
    <s v="NUEVO"/>
    <s v="ENERES"/>
    <s v="28/11/2025 06:38:16"/>
    <s v="2025-11-28 06:38:16"/>
    <n v="800093117"/>
    <s v="ARQUITECTURA Y CONCRETO S.A.S"/>
    <s v="3123618"/>
    <s v="3209339296"/>
    <s v="CR 44 CL 17 -120 (INTERIOR 2904 )"/>
    <x v="2"/>
    <s v="051424007001202904"/>
    <s v="Medellín"/>
    <x v="2"/>
    <s v="Revisor Inst. Particulares Metrosur"/>
    <x v="1"/>
    <n v="7"/>
    <s v="2025-12-10 06:38:16"/>
    <s v="1 días 06:38"/>
    <s v="6 días 06:38"/>
    <x v="0"/>
    <s v="SIN DATO"/>
    <s v="SIN DATO"/>
    <s v="SIN DATO"/>
    <s v="ABIERTO"/>
    <n v="-75.574616899999995"/>
    <n v="6.2194061100000004"/>
    <s v="SUR-ENE"/>
    <s v="Metropolitana Sur"/>
  </r>
  <r>
    <s v="23602045"/>
    <s v="ENERES"/>
    <s v="NUEVO"/>
    <s v="ENERES"/>
    <s v="28/11/2025 06:38:29"/>
    <s v="2025-11-28 06:38:29"/>
    <n v="800093117"/>
    <s v="ARQUITECTURA Y CONCRETO S.A.S"/>
    <s v="3123618"/>
    <s v="3209339296"/>
    <s v="CR 44 CL 17 -120 (INTERIOR 2403 )"/>
    <x v="2"/>
    <s v="051424007001202403"/>
    <s v="Medellín"/>
    <x v="2"/>
    <s v="Revisor Inst. Particulares Metrosur"/>
    <x v="1"/>
    <n v="7"/>
    <s v="2025-12-10 06:38:29"/>
    <s v="1 días 06:38"/>
    <s v="6 días 06:38"/>
    <x v="0"/>
    <s v="SIN DATO"/>
    <s v="SIN DATO"/>
    <s v="SIN DATO"/>
    <s v="ABIERTO"/>
    <n v="-75.574616899999995"/>
    <n v="6.2194061100000004"/>
    <s v="SUR-ENE"/>
    <s v="Metropolitana Sur"/>
  </r>
  <r>
    <s v="23602046"/>
    <s v="ENERES"/>
    <s v="NUEVO"/>
    <s v="ENERES"/>
    <s v="28/11/2025 06:38:37"/>
    <s v="2025-11-28 06:38:37"/>
    <n v="800093117"/>
    <s v="ARQUITECTURA Y CONCRETO S.A.S"/>
    <s v="3123618"/>
    <s v="3209339296"/>
    <s v="CR 44 CL 17 -120 (INTERIOR 2402 )"/>
    <x v="2"/>
    <s v="051424007001202402"/>
    <s v="Medellín"/>
    <x v="2"/>
    <s v="Revisor Inst. Particulares Metrosur"/>
    <x v="1"/>
    <n v="7"/>
    <s v="2025-12-10 06:38:37"/>
    <s v="1 días 06:38"/>
    <s v="6 días 06:38"/>
    <x v="0"/>
    <s v="SIN DATO"/>
    <s v="SIN DATO"/>
    <s v="SIN DATO"/>
    <s v="ABIERTO"/>
    <n v="-75.574616899999995"/>
    <n v="6.2194061100000004"/>
    <s v="SUR-ENE"/>
    <s v="Metropolitana Sur"/>
  </r>
  <r>
    <s v="23602047"/>
    <s v="ENERES"/>
    <s v="NUEVO"/>
    <s v="ENERES"/>
    <s v="28/11/2025 06:38:50"/>
    <s v="2025-11-28 06:38:50"/>
    <n v="800093117"/>
    <s v="ARQUITECTURA Y CONCRETO S.A.S"/>
    <s v="3123618"/>
    <s v="3209339296"/>
    <s v="CR 44 CL 17 -120 (INTERIOR 2305 )"/>
    <x v="2"/>
    <s v="051424007001202305"/>
    <s v="Medellín"/>
    <x v="2"/>
    <s v="Revisor Inst. Particulares Metrosur"/>
    <x v="1"/>
    <n v="7"/>
    <s v="2025-12-10 06:38:50"/>
    <s v="1 días 06:38"/>
    <s v="6 días 06:38"/>
    <x v="0"/>
    <s v="SIN DATO"/>
    <s v="SIN DATO"/>
    <s v="SIN DATO"/>
    <s v="ABIERTO"/>
    <n v="-75.574616899999995"/>
    <n v="6.2194061100000004"/>
    <s v="SUR-ENE"/>
    <s v="Metropolitana Sur"/>
  </r>
  <r>
    <s v="23602048"/>
    <s v="ENERES"/>
    <s v="NUEVO"/>
    <s v="ENERES"/>
    <s v="28/11/2025 06:39:19"/>
    <s v="2025-11-28 06:39:19"/>
    <n v="800093117"/>
    <s v="ARQUITECTURA Y CONCRETO S.A.S"/>
    <s v="3123618"/>
    <s v="3209339296"/>
    <s v="CR 44 CL 17 -120 (INTERIOR 2302 )"/>
    <x v="2"/>
    <s v="051424007001202302"/>
    <s v="Medellín"/>
    <x v="2"/>
    <s v="Revisor Inst. Particulares Metrosur"/>
    <x v="1"/>
    <n v="7"/>
    <s v="2025-12-10 06:39:19"/>
    <s v="1 días 06:39"/>
    <s v="6 días 06:39"/>
    <x v="0"/>
    <s v="SIN DATO"/>
    <s v="SIN DATO"/>
    <s v="SIN DATO"/>
    <s v="ABIERTO"/>
    <n v="-75.574616899999995"/>
    <n v="6.2194061100000004"/>
    <s v="SUR-ENE"/>
    <s v="Metropolitana Sur"/>
  </r>
  <r>
    <s v="23602051"/>
    <s v="ENERES"/>
    <s v="NUEVO"/>
    <s v="ENERES"/>
    <s v="28/11/2025 06:56:02"/>
    <s v="2025-11-28 06:56:02"/>
    <n v="800093117"/>
    <s v="ARQUITECTURA Y CONCRETO S.A.S"/>
    <s v="3123618"/>
    <s v="3209339296"/>
    <s v="CR 44 CL 17 -120 (INTERIOR 3001 )"/>
    <x v="2"/>
    <s v="051424007001203001"/>
    <s v="Medellín"/>
    <x v="2"/>
    <s v="Revisor Inst. Particulares Metrosur"/>
    <x v="1"/>
    <n v="7"/>
    <s v="2025-12-10 06:56:02"/>
    <s v="1 días 06:56"/>
    <s v="6 días 06:56"/>
    <x v="0"/>
    <s v="SIN DATO"/>
    <s v="SIN DATO"/>
    <s v="SIN DATO"/>
    <s v="ABIERTO"/>
    <n v="-75.574616899999995"/>
    <n v="6.2194061100000004"/>
    <s v="SUR-ENE"/>
    <s v="Metropolitana Sur"/>
  </r>
  <r>
    <s v="23602052"/>
    <s v="ENERES"/>
    <s v="NUEVO"/>
    <s v="ENERES"/>
    <s v="28/11/2025 06:56:08"/>
    <s v="2025-11-28 06:56:08"/>
    <n v="800093117"/>
    <s v="ARQUITECTURA Y CONCRETO S.A.S"/>
    <s v="3123618"/>
    <s v="3209339296"/>
    <s v="CR 44 CL 17 -120 (INTERIOR 3002 )"/>
    <x v="2"/>
    <s v="051424007001203002"/>
    <s v="Medellín"/>
    <x v="2"/>
    <s v="Revisor Inst. Particulares Metrosur"/>
    <x v="1"/>
    <n v="7"/>
    <s v="2025-12-10 06:56:08"/>
    <s v="1 días 06:56"/>
    <s v="6 días 06:56"/>
    <x v="0"/>
    <s v="SIN DATO"/>
    <s v="SIN DATO"/>
    <s v="SIN DATO"/>
    <s v="ABIERTO"/>
    <n v="-75.574616899999995"/>
    <n v="6.2194061100000004"/>
    <s v="SUR-ENE"/>
    <s v="Metropolitana Sur"/>
  </r>
  <r>
    <s v="23602053"/>
    <s v="ENERES"/>
    <s v="NUEVO"/>
    <s v="ENERES"/>
    <s v="28/11/2025 06:56:29"/>
    <s v="2025-11-28 06:56:29"/>
    <n v="800093117"/>
    <s v="ARQUITECTURA Y CONCRETO S.A.S"/>
    <s v="3123618"/>
    <s v="3209339296"/>
    <s v="CR 44 CL 17 -120 (INTERIOR 2603 )"/>
    <x v="2"/>
    <s v="051424007001202603"/>
    <s v="Medellín"/>
    <x v="2"/>
    <s v="Revisor Inst. Particulares Metrosur"/>
    <x v="1"/>
    <n v="7"/>
    <s v="2025-12-10 06:56:29"/>
    <s v="1 días 06:56"/>
    <s v="6 días 06:56"/>
    <x v="0"/>
    <s v="SIN DATO"/>
    <s v="SIN DATO"/>
    <s v="SIN DATO"/>
    <s v="ABIERTO"/>
    <n v="-75.574616899999995"/>
    <n v="6.2194061100000004"/>
    <s v="SUR-ENE"/>
    <s v="Metropolitana Sur"/>
  </r>
  <r>
    <s v="23602054"/>
    <s v="ENERES"/>
    <s v="NUEVO"/>
    <s v="ENERES"/>
    <s v="28/11/2025 06:56:33"/>
    <s v="2025-11-28 06:56:33"/>
    <n v="800093117"/>
    <s v="ARQUITECTURA Y CONCRETO S.A.S"/>
    <s v="3123618"/>
    <s v="3209339296"/>
    <s v="CR 44 CL 17 -120 (INTERIOR 3005 )"/>
    <x v="2"/>
    <s v="051424007001203005"/>
    <s v="Medellín"/>
    <x v="2"/>
    <s v="Revisor Inst. Particulares Metrosur"/>
    <x v="1"/>
    <n v="7"/>
    <s v="2025-12-10 06:56:33"/>
    <s v="1 días 06:56"/>
    <s v="6 días 06:56"/>
    <x v="0"/>
    <s v="SIN DATO"/>
    <s v="SIN DATO"/>
    <s v="SIN DATO"/>
    <s v="ABIERTO"/>
    <n v="-75.574616899999995"/>
    <n v="6.2194061100000004"/>
    <s v="SUR-ENE"/>
    <s v="Metropolitana Sur"/>
  </r>
  <r>
    <s v="23602055"/>
    <s v="ENERES"/>
    <s v="NUEVO"/>
    <s v="ENERES"/>
    <s v="28/11/2025 06:57:02"/>
    <s v="2025-11-28 06:57:02"/>
    <n v="800093117"/>
    <s v="ARQUITECTURA Y CONCRETO S.A.S"/>
    <s v="3123618"/>
    <s v="3209339296"/>
    <s v="CR 44 CL 17 -120 (INTERIOR 2505 )"/>
    <x v="2"/>
    <s v="051424007001202505"/>
    <s v="Medellín"/>
    <x v="2"/>
    <s v="Revisor Inst. Particulares Metrosur"/>
    <x v="1"/>
    <n v="7"/>
    <s v="2025-12-10 06:57:02"/>
    <s v="1 días 06:57"/>
    <s v="6 días 06:57"/>
    <x v="0"/>
    <s v="SIN DATO"/>
    <s v="SIN DATO"/>
    <s v="SIN DATO"/>
    <s v="ABIERTO"/>
    <n v="-75.574616899999995"/>
    <n v="6.2194061100000004"/>
    <s v="SUR-ENE"/>
    <s v="Metropolitana Sur"/>
  </r>
  <r>
    <s v="23602056"/>
    <s v="ENERES"/>
    <s v="NUEVO"/>
    <s v="ENERES"/>
    <s v="28/11/2025 06:57:15"/>
    <s v="2025-11-28 06:57:15"/>
    <n v="800093117"/>
    <s v="ARQUITECTURA Y CONCRETO S.A.S"/>
    <s v="3123618"/>
    <s v="3209339296"/>
    <s v="CR 44 CL 17 -120 (INTERIOR 2701 )"/>
    <x v="2"/>
    <s v="051424007001202701"/>
    <s v="Medellín"/>
    <x v="2"/>
    <s v="Revisor Inst. Particulares Metrosur"/>
    <x v="1"/>
    <n v="7"/>
    <s v="2025-12-10 06:57:15"/>
    <s v="1 días 06:57"/>
    <s v="6 días 06:57"/>
    <x v="0"/>
    <s v="SIN DATO"/>
    <s v="SIN DATO"/>
    <s v="SIN DATO"/>
    <s v="ABIERTO"/>
    <n v="-75.574616899999995"/>
    <n v="6.2194061100000004"/>
    <s v="SUR-ENE"/>
    <s v="Metropolitana Sur"/>
  </r>
  <r>
    <s v="23602057"/>
    <s v="ENERES"/>
    <s v="NUEVO"/>
    <s v="ENERES"/>
    <s v="28/11/2025 06:57:55"/>
    <s v="2025-11-28 06:57:55"/>
    <n v="800093117"/>
    <s v="ARQUITECTURA Y CONCRETO S.A.S"/>
    <s v="3123618"/>
    <s v="3209339296"/>
    <s v="CR 44 CL 17 -120 (INTERIOR 2605 )"/>
    <x v="2"/>
    <s v="051424007001202605"/>
    <s v="Medellín"/>
    <x v="2"/>
    <s v="Revisor Inst. Particulares Metrosur"/>
    <x v="1"/>
    <n v="7"/>
    <s v="2025-12-10 06:57:55"/>
    <s v="1 días 06:57"/>
    <s v="6 días 06:57"/>
    <x v="0"/>
    <s v="SIN DATO"/>
    <s v="SIN DATO"/>
    <s v="SIN DATO"/>
    <s v="ABIERTO"/>
    <n v="-75.574616899999995"/>
    <n v="6.2194061100000004"/>
    <s v="SUR-ENE"/>
    <s v="Metropolitana Sur"/>
  </r>
  <r>
    <s v="23602058"/>
    <s v="ENERES"/>
    <s v="NUEVO"/>
    <s v="ENERES"/>
    <s v="28/11/2025 06:57:59"/>
    <s v="2025-11-28 06:57:59"/>
    <n v="800093117"/>
    <s v="ARQUITECTURA Y CONCRETO S.A.S"/>
    <s v="3123618"/>
    <s v="3209339296"/>
    <s v="CR 44 CL 17 -120 (INTERIOR 2204 )"/>
    <x v="2"/>
    <s v="051424007001202204"/>
    <s v="Medellín"/>
    <x v="2"/>
    <s v="Revisor Inst. Particulares Metrosur"/>
    <x v="1"/>
    <n v="7"/>
    <s v="2025-12-10 06:57:59"/>
    <s v="1 días 06:57"/>
    <s v="6 días 06:57"/>
    <x v="0"/>
    <s v="SIN DATO"/>
    <s v="SIN DATO"/>
    <s v="SIN DATO"/>
    <s v="ABIERTO"/>
    <n v="-75.574616899999995"/>
    <n v="6.2194061100000004"/>
    <s v="SUR-ENE"/>
    <s v="Metropolitana Sur"/>
  </r>
  <r>
    <s v="23602059"/>
    <s v="ENERES"/>
    <s v="NUEVO"/>
    <s v="ENERES"/>
    <s v="28/11/2025 06:58:10"/>
    <s v="2025-11-28 06:58:10"/>
    <n v="800093117"/>
    <s v="ARQUITECTURA Y CONCRETO S.A.S"/>
    <s v="3123618"/>
    <s v="3209339296"/>
    <s v="CR 44 CL 17 -120 (INTERIOR 2202 )"/>
    <x v="2"/>
    <s v="051424007001202202"/>
    <s v="Medellín"/>
    <x v="2"/>
    <s v="Revisor Inst. Particulares Metrosur"/>
    <x v="1"/>
    <n v="7"/>
    <s v="2025-12-10 06:58:10"/>
    <s v="1 días 06:58"/>
    <s v="6 días 06:58"/>
    <x v="0"/>
    <s v="SIN DATO"/>
    <s v="SIN DATO"/>
    <s v="SIN DATO"/>
    <s v="ABIERTO"/>
    <n v="-75.574616899999995"/>
    <n v="6.2194061100000004"/>
    <s v="SUR-ENE"/>
    <s v="Metropolitana Sur"/>
  </r>
  <r>
    <s v="23602060"/>
    <s v="ENERES"/>
    <s v="NUEVO"/>
    <s v="ENERES"/>
    <s v="28/11/2025 06:58:39"/>
    <s v="2025-11-28 06:58:39"/>
    <n v="800093117"/>
    <s v="ARQUITECTURA Y CONCRETO S.A.S"/>
    <s v="3123618"/>
    <s v="3209339296"/>
    <s v="CR 44 CL 17 -120 (INTERIOR 1805 )"/>
    <x v="2"/>
    <s v="051424007001201805"/>
    <s v="Medellín"/>
    <x v="2"/>
    <s v="Revisor Inst. Particulares Metrosur"/>
    <x v="1"/>
    <n v="7"/>
    <s v="2025-12-10 06:58:39"/>
    <s v="1 días 06:58"/>
    <s v="6 días 06:58"/>
    <x v="0"/>
    <s v="SIN DATO"/>
    <s v="SIN DATO"/>
    <s v="SIN DATO"/>
    <s v="ABIERTO"/>
    <n v="-75.574616899999995"/>
    <n v="6.2194061100000004"/>
    <s v="SUR-ENE"/>
    <s v="Metropolitana Sur"/>
  </r>
  <r>
    <s v="23602061"/>
    <s v="ENERES"/>
    <s v="NUEVO"/>
    <s v="ENERES"/>
    <s v="28/11/2025 06:58:56"/>
    <s v="2025-11-28 06:58:56"/>
    <n v="800093117"/>
    <s v="ARQUITECTURA Y CONCRETO S.A.S"/>
    <s v="3123618"/>
    <s v="3209339296"/>
    <s v="CR 44 CL 17 -120 (INTERIOR 1501 )"/>
    <x v="2"/>
    <s v="051424007001201501"/>
    <s v="Medellín"/>
    <x v="2"/>
    <s v="Revisor Inst. Particulares Metrosur"/>
    <x v="1"/>
    <n v="7"/>
    <s v="2025-12-10 06:58:56"/>
    <s v="1 días 06:58"/>
    <s v="6 días 06:58"/>
    <x v="0"/>
    <s v="SIN DATO"/>
    <s v="SIN DATO"/>
    <s v="SIN DATO"/>
    <s v="ABIERTO"/>
    <n v="-75.574616899999995"/>
    <n v="6.2194061100000004"/>
    <s v="SUR-ENE"/>
    <s v="Metropolitana Sur"/>
  </r>
  <r>
    <s v="23602062"/>
    <s v="ENERES"/>
    <s v="NUEVO"/>
    <s v="ENERES"/>
    <s v="28/11/2025 06:58:56"/>
    <s v="2025-11-28 06:58:56"/>
    <n v="800093117"/>
    <s v="ARQUITECTURA Y CONCRETO S.A.S"/>
    <s v="3123618"/>
    <s v="3209339296"/>
    <s v="CR 44 CL 17 -120 (INTERIOR 1902 )"/>
    <x v="2"/>
    <s v="051424007001201902"/>
    <s v="Medellín"/>
    <x v="2"/>
    <s v="Revisor Inst. Particulares Metrosur"/>
    <x v="1"/>
    <n v="7"/>
    <s v="2025-12-10 06:58:56"/>
    <s v="1 días 06:58"/>
    <s v="6 días 06:58"/>
    <x v="0"/>
    <s v="SIN DATO"/>
    <s v="SIN DATO"/>
    <s v="SIN DATO"/>
    <s v="ABIERTO"/>
    <n v="-75.574616899999995"/>
    <n v="6.2194061100000004"/>
    <s v="SUR-ENE"/>
    <s v="Metropolitana Sur"/>
  </r>
  <r>
    <s v="23602063"/>
    <s v="ENERES"/>
    <s v="NUEVO"/>
    <s v="ENERES"/>
    <s v="28/11/2025 06:58:56"/>
    <s v="2025-11-28 06:58:56"/>
    <n v="800093117"/>
    <s v="ARQUITECTURA Y CONCRETO S.A.S"/>
    <s v="3123618"/>
    <s v="3209339296"/>
    <s v="CR 44 CL 17 -120 (INTERIOR 1905 )"/>
    <x v="2"/>
    <s v="051424007001201905"/>
    <s v="Medellín"/>
    <x v="2"/>
    <s v="Revisor Inst. Particulares Metrosur"/>
    <x v="1"/>
    <n v="7"/>
    <s v="2025-12-10 06:58:56"/>
    <s v="1 días 06:58"/>
    <s v="6 días 06:58"/>
    <x v="0"/>
    <s v="SIN DATO"/>
    <s v="SIN DATO"/>
    <s v="SIN DATO"/>
    <s v="ABIERTO"/>
    <n v="-75.574616899999995"/>
    <n v="6.2194061100000004"/>
    <s v="SUR-ENE"/>
    <s v="Metropolitana Sur"/>
  </r>
  <r>
    <s v="23602064"/>
    <s v="ENERES"/>
    <s v="NUEVO"/>
    <s v="ENERES"/>
    <s v="28/11/2025 06:59:29"/>
    <s v="2025-11-28 06:59:29"/>
    <n v="800093117"/>
    <s v="ARQUITECTURA Y CONCRETO S.A.S"/>
    <s v="3123618"/>
    <s v="3209339296"/>
    <s v="CR 44 CL 17 -120 (INTERIOR 1001 )"/>
    <x v="2"/>
    <s v="051424007001201001"/>
    <s v="Medellín"/>
    <x v="2"/>
    <s v="Revisor Inst. Particulares Metrosur"/>
    <x v="1"/>
    <n v="7"/>
    <s v="2025-12-10 06:59:29"/>
    <s v="1 días 06:59"/>
    <s v="6 días 06:59"/>
    <x v="0"/>
    <s v="SIN DATO"/>
    <s v="SIN DATO"/>
    <s v="SIN DATO"/>
    <s v="ABIERTO"/>
    <n v="-75.574616899999995"/>
    <n v="6.2194061100000004"/>
    <s v="SUR-ENE"/>
    <s v="Metropolitana Sur"/>
  </r>
  <r>
    <s v="23602065"/>
    <s v="ENERES"/>
    <s v="NUEVO"/>
    <s v="ENERES"/>
    <s v="28/11/2025 06:59:39"/>
    <s v="2025-11-28 06:59:39"/>
    <n v="800093117"/>
    <s v="ARQUITECTURA Y CONCRETO S.A.S"/>
    <s v="3123618"/>
    <s v="3209339296"/>
    <s v="CR 44 CL 17 -120 (INTERIOR 1402 )"/>
    <x v="2"/>
    <s v="051424007001201402"/>
    <s v="Medellín"/>
    <x v="2"/>
    <s v="Revisor Inst. Particulares Metrosur"/>
    <x v="1"/>
    <n v="7"/>
    <s v="2025-12-10 06:59:39"/>
    <s v="1 días 06:59"/>
    <s v="6 días 06:59"/>
    <x v="0"/>
    <s v="SIN DATO"/>
    <s v="SIN DATO"/>
    <s v="SIN DATO"/>
    <s v="ABIERTO"/>
    <n v="-75.574616899999995"/>
    <n v="6.2194061100000004"/>
    <s v="SUR-ENE"/>
    <s v="Metropolitana Sur"/>
  </r>
  <r>
    <s v="23602066"/>
    <s v="ENERES"/>
    <s v="NUEVO"/>
    <s v="ENERES"/>
    <s v="28/11/2025 06:59:44"/>
    <s v="2025-11-28 06:59:44"/>
    <n v="800093117"/>
    <s v="ARQUITECTURA Y CONCRETO S.A.S"/>
    <s v="3123618"/>
    <s v="3209339296"/>
    <s v="CR 44 CL 17 -120 (INTERIOR 1004 )"/>
    <x v="2"/>
    <s v="051424007001201004"/>
    <s v="Medellín"/>
    <x v="2"/>
    <s v="Revisor Inst. Particulares Metrosur"/>
    <x v="1"/>
    <n v="7"/>
    <s v="2025-12-10 06:59:44"/>
    <s v="1 días 06:59"/>
    <s v="6 días 06:59"/>
    <x v="0"/>
    <s v="SIN DATO"/>
    <s v="SIN DATO"/>
    <s v="SIN DATO"/>
    <s v="ABIERTO"/>
    <n v="-75.574616899999995"/>
    <n v="6.2194061100000004"/>
    <s v="SUR-ENE"/>
    <s v="Metropolitana Sur"/>
  </r>
  <r>
    <s v="23602067"/>
    <s v="ENERES"/>
    <s v="NUEVO"/>
    <s v="ENEDOM"/>
    <s v="28/11/2025 07:00:00"/>
    <s v="2025-11-28 07:00:00"/>
    <n v="1128441898"/>
    <s v="JUAN ESTEBAN VILLEGAS ECHEVERRI"/>
    <s v="SIN DATOS"/>
    <s v="3052946996"/>
    <s v="CL 56 A CR 25 BB -76 (INTERIOR 258 )"/>
    <x v="2"/>
    <s v="055216105220760258"/>
    <s v="Medellín"/>
    <x v="0"/>
    <s v="Habilitación Viviendas Metrosur"/>
    <x v="1"/>
    <n v="5"/>
    <s v="2025-12-05 07:00:00"/>
    <s v="1 días 07:00"/>
    <s v="4 días 07:00"/>
    <x v="0"/>
    <s v="SIN DATO"/>
    <s v="SIN DATO"/>
    <s v="SIN DATO"/>
    <s v="ABIERTO"/>
    <n v="-75.544512999999995"/>
    <n v="6.2473419999999997"/>
    <s v="SUR-ENE"/>
    <s v="Metropolitana Sur"/>
  </r>
  <r>
    <s v="23602068"/>
    <s v="ENERES"/>
    <s v="NUEVO"/>
    <s v="ENERES"/>
    <s v="28/11/2025 07:00:07"/>
    <s v="2025-11-28 07:00:07"/>
    <n v="800093117"/>
    <s v="ARQUITECTURA Y CONCRETO S.A.S"/>
    <s v="3123618"/>
    <s v="3209339296"/>
    <s v="CR 44 CL 17 -120 (INTERIOR 803 )"/>
    <x v="2"/>
    <s v="051424007001200803"/>
    <s v="Medellín"/>
    <x v="2"/>
    <s v="Revisor Inst. Particulares Metrosur"/>
    <x v="1"/>
    <n v="7"/>
    <s v="2025-12-10 07:00:07"/>
    <s v="1 días 07:00"/>
    <s v="6 días 07:00"/>
    <x v="0"/>
    <s v="SIN DATO"/>
    <s v="SIN DATO"/>
    <s v="SIN DATO"/>
    <s v="ABIERTO"/>
    <n v="-75.574616899999995"/>
    <n v="6.2194061100000004"/>
    <s v="SUR-ENE"/>
    <s v="Metropolitana Sur"/>
  </r>
  <r>
    <s v="23602069"/>
    <s v="ENERES"/>
    <s v="NUEVO"/>
    <s v="ENERES"/>
    <s v="28/11/2025 07:00:23"/>
    <s v="2025-11-28 07:00:23"/>
    <n v="800093117"/>
    <s v="ARQUITECTURA Y CONCRETO S.A.S"/>
    <s v="3123618"/>
    <s v="3209339296"/>
    <s v="CR 44 CL 17 -120 (INTERIOR 602 )"/>
    <x v="2"/>
    <s v="051424007001200602"/>
    <s v="Medellín"/>
    <x v="2"/>
    <s v="Revisor Inst. Particulares Metrosur"/>
    <x v="1"/>
    <n v="7"/>
    <s v="2025-12-10 07:00:23"/>
    <s v="1 días 07:00"/>
    <s v="6 días 07:00"/>
    <x v="0"/>
    <s v="SIN DATO"/>
    <s v="SIN DATO"/>
    <s v="SIN DATO"/>
    <s v="ABIERTO"/>
    <n v="-75.574616899999995"/>
    <n v="6.2194061100000004"/>
    <s v="SUR-ENE"/>
    <s v="Metropolitana Sur"/>
  </r>
  <r>
    <s v="23602070"/>
    <s v="ENERES"/>
    <s v="NUEVO"/>
    <s v="ENEDOM"/>
    <s v="28/11/2025 07:03:23"/>
    <s v="2025-11-28 07:03:23"/>
    <n v="11937438"/>
    <s v="PEDRO ESCILDO MENA MOSQUERA"/>
    <s v="2220863"/>
    <s v="3117128280"/>
    <s v="CL 56 A CR 25 BB -76 (INTERIOR 225 )"/>
    <x v="2"/>
    <s v="055216105220760225"/>
    <s v="Medellín"/>
    <x v="0"/>
    <s v="Habilitación Viviendas Metrosur"/>
    <x v="1"/>
    <n v="5"/>
    <s v="2025-12-05 07:03:23"/>
    <s v="1 días 07:03"/>
    <s v="4 días 07:03"/>
    <x v="0"/>
    <s v="SIN DATO"/>
    <s v="SIN DATO"/>
    <s v="SIN DATO"/>
    <s v="ABIERTO"/>
    <n v="-75.544512999999995"/>
    <n v="6.2473419999999997"/>
    <s v="SUR-ENE"/>
    <s v="Metropolitana Sur"/>
  </r>
  <r>
    <s v="23602071"/>
    <s v="ENEPRE"/>
    <s v="NUEVO"/>
    <s v="ENEPRE"/>
    <s v="28/11/2025 07:05:21"/>
    <s v="2025-11-28 07:05:21"/>
    <n v="1035441440"/>
    <s v="DANIELA ANDREA QUINTERO RAMIREZ"/>
    <s v="SIN DATOS"/>
    <s v="3214368400"/>
    <s v="CL 18 D CR 89 -11 (INTERIOR 1193 )"/>
    <x v="2"/>
    <s v="051818409000111193"/>
    <s v="Medellín"/>
    <x v="6"/>
    <s v="Energía Prepago Metrosur"/>
    <x v="1"/>
    <n v="11"/>
    <s v="2025-12-16 07:05:21"/>
    <s v="1 días 07:05"/>
    <s v="10 días 07:05"/>
    <x v="0"/>
    <s v="SIN DATO"/>
    <s v="SIN DATO"/>
    <s v="SIN DATO"/>
    <s v="ABIERTO"/>
    <n v="-75.611386850000002"/>
    <n v="6.22266692"/>
    <s v="SUR-ENE"/>
    <s v="Metropolitana Sur"/>
  </r>
  <r>
    <s v="23602072"/>
    <s v="ENERES"/>
    <s v="NUEVO"/>
    <s v="ENEDOM"/>
    <s v="28/11/2025 07:08:17"/>
    <s v="2025-11-28 07:08:17"/>
    <n v="1128441898"/>
    <s v="JUAN ESTEBAN VILLEGAS ECHEVERRI"/>
    <s v="SIN DATOS"/>
    <s v="3052946996"/>
    <s v="CL 56 A CR 25 BB -76 (INTERIOR 259 )"/>
    <x v="2"/>
    <s v="055216105220760259"/>
    <s v="Medellín"/>
    <x v="0"/>
    <s v="Habilitación Viviendas Metrosur"/>
    <x v="1"/>
    <n v="5"/>
    <s v="2025-12-05 07:08:17"/>
    <s v="1 días 07:08"/>
    <s v="4 días 07:08"/>
    <x v="0"/>
    <s v="SIN DATO"/>
    <s v="SIN DATO"/>
    <s v="SIN DATO"/>
    <s v="ABIERTO"/>
    <n v="-75.544512999999995"/>
    <n v="6.2473419999999997"/>
    <s v="SUR-ENE"/>
    <s v="Metropolitana Sur"/>
  </r>
  <r>
    <s v="23602076"/>
    <s v="ENERES"/>
    <s v="NUEVO"/>
    <s v="ENERES"/>
    <s v="28/11/2025 07:19:39"/>
    <s v="2025-11-28 07:19:39"/>
    <n v="800093117"/>
    <s v="ARQUITECTURA Y CONCRETO S.A.S"/>
    <s v="3123618"/>
    <s v="3209339296"/>
    <s v="CR 44 CL 17 -120 (INTERIOR 2903 )"/>
    <x v="2"/>
    <s v="051424007001202903"/>
    <s v="Medellín"/>
    <x v="2"/>
    <s v="Revisor Inst. Particulares Metrosur"/>
    <x v="1"/>
    <n v="7"/>
    <s v="2025-12-10 07:19:39"/>
    <s v="1 días 07:19"/>
    <s v="6 días 07:19"/>
    <x v="0"/>
    <s v="SIN DATO"/>
    <s v="SIN DATO"/>
    <s v="SIN DATO"/>
    <s v="ABIERTO"/>
    <n v="-75.574616899999995"/>
    <n v="6.2194061100000004"/>
    <s v="SUR-ENE"/>
    <s v="Metropolitana Sur"/>
  </r>
  <r>
    <s v="23602077"/>
    <s v="ENERES"/>
    <s v="NUEVO"/>
    <s v="ENERES"/>
    <s v="28/11/2025 07:19:40"/>
    <s v="2025-11-28 07:19:40"/>
    <n v="800093117"/>
    <s v="ARQUITECTURA Y CONCRETO S.A.S"/>
    <s v="3123618"/>
    <s v="3209339296"/>
    <s v="CR 44 CL 17 -120 (INTERIOR 2906 )"/>
    <x v="2"/>
    <s v="051424007001202906"/>
    <s v="Medellín"/>
    <x v="2"/>
    <s v="Revisor Inst. Particulares Metrosur"/>
    <x v="1"/>
    <n v="7"/>
    <s v="2025-12-10 07:19:40"/>
    <s v="1 días 07:19"/>
    <s v="6 días 07:19"/>
    <x v="0"/>
    <s v="SIN DATO"/>
    <s v="SIN DATO"/>
    <s v="SIN DATO"/>
    <s v="ABIERTO"/>
    <n v="-75.574616899999995"/>
    <n v="6.2194061100000004"/>
    <s v="SUR-ENE"/>
    <s v="Metropolitana Sur"/>
  </r>
  <r>
    <s v="23602078"/>
    <s v="ENERES"/>
    <s v="NUEVO"/>
    <s v="ENERES"/>
    <s v="28/11/2025 07:19:47"/>
    <s v="2025-11-28 07:19:47"/>
    <n v="800093117"/>
    <s v="ARQUITECTURA Y CONCRETO S.A.S"/>
    <s v="3123618"/>
    <s v="3209339296"/>
    <s v="CR 44 CL 17 -120 (INTERIOR 3003 )"/>
    <x v="2"/>
    <s v="051424007001203003"/>
    <s v="Medellín"/>
    <x v="2"/>
    <s v="Revisor Inst. Particulares Metrosur"/>
    <x v="1"/>
    <n v="7"/>
    <s v="2025-12-10 07:19:47"/>
    <s v="1 días 07:19"/>
    <s v="6 días 07:19"/>
    <x v="0"/>
    <s v="SIN DATO"/>
    <s v="SIN DATO"/>
    <s v="SIN DATO"/>
    <s v="ABIERTO"/>
    <n v="-75.574616899999995"/>
    <n v="6.2194061100000004"/>
    <s v="SUR-ENE"/>
    <s v="Metropolitana Sur"/>
  </r>
  <r>
    <s v="23602079"/>
    <s v="ENERES"/>
    <s v="NUEVO"/>
    <s v="ENERES"/>
    <s v="28/11/2025 07:19:49"/>
    <s v="2025-11-28 07:19:49"/>
    <n v="800093117"/>
    <s v="ARQUITECTURA Y CONCRETO S.A.S"/>
    <s v="3123618"/>
    <s v="3209339296"/>
    <s v="CR 44 CL 17 -120 (INTERIOR 2506 )"/>
    <x v="2"/>
    <s v="051424007001202506"/>
    <s v="Medellín"/>
    <x v="2"/>
    <s v="Revisor Inst. Particulares Metrosur"/>
    <x v="1"/>
    <n v="7"/>
    <s v="2025-12-10 07:19:49"/>
    <s v="1 días 07:19"/>
    <s v="6 días 07:19"/>
    <x v="0"/>
    <s v="SIN DATO"/>
    <s v="SIN DATO"/>
    <s v="SIN DATO"/>
    <s v="ABIERTO"/>
    <n v="-75.574616899999995"/>
    <n v="6.2194061100000004"/>
    <s v="SUR-ENE"/>
    <s v="Metropolitana Sur"/>
  </r>
  <r>
    <s v="23602080"/>
    <s v="ENERES"/>
    <s v="NUEVO"/>
    <s v="ENERES"/>
    <s v="28/11/2025 07:20:05"/>
    <s v="2025-11-28 07:20:05"/>
    <n v="800093117"/>
    <s v="ARQUITECTURA Y CONCRETO S.A.S"/>
    <s v="3123618"/>
    <s v="3209339296"/>
    <s v="CR 44 CL 17 -120 (INTERIOR 2206 )"/>
    <x v="2"/>
    <s v="051424007001202206"/>
    <s v="Medellín"/>
    <x v="2"/>
    <s v="Revisor Inst. Particulares Metrosur"/>
    <x v="1"/>
    <n v="7"/>
    <s v="2025-12-10 07:20:05"/>
    <s v="1 días 07:20"/>
    <s v="6 días 07:20"/>
    <x v="0"/>
    <s v="SIN DATO"/>
    <s v="SIN DATO"/>
    <s v="SIN DATO"/>
    <s v="ABIERTO"/>
    <n v="-75.574616899999995"/>
    <n v="6.2194061100000004"/>
    <s v="SUR-ENE"/>
    <s v="Metropolitana Sur"/>
  </r>
  <r>
    <s v="23602081"/>
    <s v="ENERES"/>
    <s v="NUEVO"/>
    <s v="ENERES"/>
    <s v="28/11/2025 07:20:18"/>
    <s v="2025-11-28 07:20:18"/>
    <n v="800093117"/>
    <s v="ARQUITECTURA Y CONCRETO S.A.S"/>
    <s v="3123618"/>
    <s v="3209339296"/>
    <s v="CR 44 CL 17 -120 (INTERIOR 2604 )"/>
    <x v="2"/>
    <s v="051424007001202604"/>
    <s v="Medellín"/>
    <x v="2"/>
    <s v="Revisor Inst. Particulares Metrosur"/>
    <x v="1"/>
    <n v="7"/>
    <s v="2025-12-10 07:20:18"/>
    <s v="1 días 07:20"/>
    <s v="6 días 07:20"/>
    <x v="0"/>
    <s v="SIN DATO"/>
    <s v="SIN DATO"/>
    <s v="SIN DATO"/>
    <s v="ABIERTO"/>
    <n v="-75.574616899999995"/>
    <n v="6.2194061100000004"/>
    <s v="SUR-ENE"/>
    <s v="Metropolitana Sur"/>
  </r>
  <r>
    <s v="23602082"/>
    <s v="ENERES"/>
    <s v="NUEVO"/>
    <s v="ENERES"/>
    <s v="28/11/2025 07:20:30"/>
    <s v="2025-11-28 07:20:30"/>
    <n v="800093117"/>
    <s v="ARQUITECTURA Y CONCRETO S.A.S"/>
    <s v="3123618"/>
    <s v="3209339296"/>
    <s v="CR 44 CL 17 -120 (INTERIOR 2805 )"/>
    <x v="2"/>
    <s v="051424007001202805"/>
    <s v="Medellín"/>
    <x v="2"/>
    <s v="Revisor Inst. Particulares Metrosur"/>
    <x v="1"/>
    <n v="7"/>
    <s v="2025-12-10 07:20:30"/>
    <s v="1 días 07:20"/>
    <s v="6 días 07:20"/>
    <x v="0"/>
    <s v="SIN DATO"/>
    <s v="SIN DATO"/>
    <s v="SIN DATO"/>
    <s v="ABIERTO"/>
    <n v="-75.574616899999995"/>
    <n v="6.2194061100000004"/>
    <s v="SUR-ENE"/>
    <s v="Metropolitana Sur"/>
  </r>
  <r>
    <s v="23602084"/>
    <s v="ENECNX"/>
    <s v="NUEVO"/>
    <s v="ENECNX"/>
    <s v="28/11/2025 07:24:58"/>
    <s v="2025-11-28 07:24:58"/>
    <n v="71272507"/>
    <s v="CARLOS MAURICIO ARIZA DAVID"/>
    <s v="SIN DATOS"/>
    <s v="3104504262"/>
    <s v="CR 52 CL 67 A -35"/>
    <x v="2"/>
    <s v="056522007100350000"/>
    <s v="Medellín"/>
    <x v="3"/>
    <s v="Revisor Puntos de Conexión Metrosur"/>
    <x v="1"/>
    <n v="4"/>
    <s v="2025-12-04 07:24:58"/>
    <s v="1 días 07:24"/>
    <s v="3 días 07:24"/>
    <x v="0"/>
    <s v="SIN DATO"/>
    <s v="SIN DATO"/>
    <s v="SIN DATO"/>
    <s v="ABIERTO"/>
    <n v="-75.566342390000003"/>
    <n v="6.2653123600000002"/>
    <s v="SUR-ENE"/>
    <s v="Metropolitana Sur"/>
  </r>
  <r>
    <s v="23602086"/>
    <s v="ENERES"/>
    <s v="NUEVO"/>
    <s v="ENERES"/>
    <s v="28/11/2025 07:30:17"/>
    <s v="2025-11-28 07:30:17"/>
    <n v="800093117"/>
    <s v="ARQUITECTURA Y CONCRETO S.A.S"/>
    <s v="3123618"/>
    <s v="3209339296"/>
    <s v="CR 44 CL 17 -120 (INTERIOR 2401 )"/>
    <x v="2"/>
    <s v="051424007001202401"/>
    <s v="Medellín"/>
    <x v="2"/>
    <s v="Revisor Inst. Particulares Metrosur"/>
    <x v="1"/>
    <n v="7"/>
    <s v="2025-12-10 07:30:17"/>
    <s v="1 días 07:30"/>
    <s v="6 días 07:30"/>
    <x v="0"/>
    <s v="SIN DATO"/>
    <s v="SIN DATO"/>
    <s v="SIN DATO"/>
    <s v="ABIERTO"/>
    <n v="-75.574616899999995"/>
    <n v="6.2194061100000004"/>
    <s v="SUR-ENE"/>
    <s v="Metropolitana Sur"/>
  </r>
  <r>
    <s v="23602087"/>
    <s v="ENERES"/>
    <s v="NUEVO"/>
    <s v="ENERES"/>
    <s v="28/11/2025 07:30:35"/>
    <s v="2025-11-28 07:30:35"/>
    <n v="800093117"/>
    <s v="ARQUITECTURA Y CONCRETO S.A.S"/>
    <s v="3123618"/>
    <s v="3209339296"/>
    <s v="CR 44 CL 17 -120 (INTERIOR 2502 )"/>
    <x v="2"/>
    <s v="051424007001202502"/>
    <s v="Medellín"/>
    <x v="2"/>
    <s v="Revisor Inst. Particulares Metrosur"/>
    <x v="1"/>
    <n v="7"/>
    <s v="2025-12-10 07:30:35"/>
    <s v="1 días 07:30"/>
    <s v="6 días 07:30"/>
    <x v="0"/>
    <s v="SIN DATO"/>
    <s v="SIN DATO"/>
    <s v="SIN DATO"/>
    <s v="ABIERTO"/>
    <n v="-75.574616899999995"/>
    <n v="6.2194061100000004"/>
    <s v="SUR-ENE"/>
    <s v="Metropolitana Sur"/>
  </r>
  <r>
    <s v="23602088"/>
    <s v="ENERES"/>
    <s v="NUEVO"/>
    <s v="ENERES"/>
    <s v="28/11/2025 07:30:46"/>
    <s v="2025-11-28 07:30:46"/>
    <n v="800093117"/>
    <s v="ARQUITECTURA Y CONCRETO S.A.S"/>
    <s v="3123618"/>
    <s v="3209339296"/>
    <s v="CR 44 CL 17 -120 (INTERIOR 2705 )"/>
    <x v="2"/>
    <s v="051424007001202705"/>
    <s v="Medellín"/>
    <x v="2"/>
    <s v="Revisor Inst. Particulares Metrosur"/>
    <x v="1"/>
    <n v="7"/>
    <s v="2025-12-10 07:30:46"/>
    <s v="1 días 07:30"/>
    <s v="6 días 07:30"/>
    <x v="0"/>
    <s v="SIN DATO"/>
    <s v="SIN DATO"/>
    <s v="SIN DATO"/>
    <s v="ABIERTO"/>
    <n v="-75.574616899999995"/>
    <n v="6.2194061100000004"/>
    <s v="SUR-ENE"/>
    <s v="Metropolitana Sur"/>
  </r>
  <r>
    <s v="23602089"/>
    <s v="ENERES"/>
    <s v="NUEVO"/>
    <s v="ENERES"/>
    <s v="28/11/2025 07:31:05"/>
    <s v="2025-11-28 07:31:05"/>
    <n v="800093117"/>
    <s v="ARQUITECTURA Y CONCRETO S.A.S"/>
    <s v="3123618"/>
    <s v="3209339296"/>
    <s v="CR 44 CL 17 -120 (INTERIOR 2205 )"/>
    <x v="2"/>
    <s v="051424007001202205"/>
    <s v="Medellín"/>
    <x v="2"/>
    <s v="Revisor Inst. Particulares Metrosur"/>
    <x v="1"/>
    <n v="7"/>
    <s v="2025-12-10 07:31:05"/>
    <s v="1 días 07:31"/>
    <s v="6 días 07:31"/>
    <x v="0"/>
    <s v="SIN DATO"/>
    <s v="SIN DATO"/>
    <s v="SIN DATO"/>
    <s v="ABIERTO"/>
    <n v="-75.574616899999995"/>
    <n v="6.2194061100000004"/>
    <s v="SUR-ENE"/>
    <s v="Metropolitana Sur"/>
  </r>
  <r>
    <s v="23602092"/>
    <s v="ENENOR"/>
    <s v="CAMBI"/>
    <s v="ENENOR"/>
    <s v="28/11/2025 07:37:23"/>
    <s v="2025-11-28 07:37:23"/>
    <n v="71753694"/>
    <s v="GUILLERMO LOPEZ"/>
    <s v="SIN DATOS"/>
    <s v="3005873610"/>
    <s v="CL 16 CR 43 B -4 (INTERIOR 202 )"/>
    <x v="2"/>
    <s v="051416003200040202"/>
    <s v="Medellín"/>
    <x v="1"/>
    <s v="METROSUR Vin. Leg. Ref. Concentrada"/>
    <x v="1"/>
    <n v="7"/>
    <s v="2025-12-10 07:37:23"/>
    <s v="1 días 07:37"/>
    <s v="6 días 07:37"/>
    <x v="0"/>
    <s v="SIN DATO"/>
    <s v="SIN DATO"/>
    <s v="SIN DATO"/>
    <s v="ABIERTO"/>
    <n v="-75.571001249999995"/>
    <n v="6.2170441800000003"/>
    <s v="SUR-ENE"/>
    <s v="Metropolitana Sur"/>
  </r>
  <r>
    <s v="23602093"/>
    <s v="ENEPRE"/>
    <s v="NUEVO"/>
    <s v="ENEPRE"/>
    <s v="28/11/2025 07:39:32"/>
    <s v="2025-11-28 07:39:32"/>
    <n v="44007525"/>
    <s v="NANCY JOHANA BUILES RUA"/>
    <s v="SIN DATOS"/>
    <s v="3045283877"/>
    <s v="CR 22 B CL 56 BB -12 (INTERIOR 206 )"/>
    <x v="2"/>
    <s v="055222206220120206"/>
    <s v="Medellín"/>
    <x v="6"/>
    <s v="Energía Prepago Metrosur"/>
    <x v="1"/>
    <n v="11"/>
    <s v="2025-12-16 07:39:32"/>
    <s v="1 días 07:39"/>
    <s v="10 días 07:39"/>
    <x v="0"/>
    <s v="SIN DATO"/>
    <s v="SIN DATO"/>
    <s v="SIN DATO"/>
    <s v="ABIERTO"/>
    <n v="-75.543317930000001"/>
    <n v="6.2427225699999997"/>
    <s v="SUR-ENE"/>
    <s v="Metropolitana Sur"/>
  </r>
  <r>
    <s v="23602100"/>
    <s v="ENERES"/>
    <s v="NUEVO"/>
    <s v="ENERES"/>
    <s v="28/11/2025 07:41:24"/>
    <s v="2025-11-28 07:41:24"/>
    <n v="800093117"/>
    <s v="ARQUITECTURA Y CONCRETO S.A.S"/>
    <s v="3123618"/>
    <s v="3209339296"/>
    <s v="CR 44 CL 17 -120 (INTERIOR 1802 )"/>
    <x v="2"/>
    <s v="051424007001201802"/>
    <s v="Medellín"/>
    <x v="2"/>
    <s v="Revisor Inst. Particulares Metrosur"/>
    <x v="1"/>
    <n v="7"/>
    <s v="2025-12-10 07:41:24"/>
    <s v="1 días 07:41"/>
    <s v="6 días 07:41"/>
    <x v="0"/>
    <s v="SIN DATO"/>
    <s v="SIN DATO"/>
    <s v="SIN DATO"/>
    <s v="ABIERTO"/>
    <n v="-75.574616899999995"/>
    <n v="6.2194061100000004"/>
    <s v="SUR-ENE"/>
    <s v="Metropolitana Sur"/>
  </r>
  <r>
    <s v="23602103"/>
    <s v="ENERES"/>
    <s v="NUEVO"/>
    <s v="ENERES"/>
    <s v="28/11/2025 07:42:10"/>
    <s v="2025-11-28 07:42:10"/>
    <n v="800093117"/>
    <s v="ARQUITECTURA Y CONCRETO S.A.S"/>
    <s v="3123618"/>
    <s v="3209339296"/>
    <s v="CR 44 CL 17 -120 (INTERIOR 1706 )"/>
    <x v="2"/>
    <s v="051424007001201706"/>
    <s v="Medellín"/>
    <x v="2"/>
    <s v="Revisor Inst. Particulares Metrosur"/>
    <x v="1"/>
    <n v="7"/>
    <s v="2025-12-10 07:42:10"/>
    <s v="1 días 07:42"/>
    <s v="6 días 07:42"/>
    <x v="0"/>
    <s v="SIN DATO"/>
    <s v="SIN DATO"/>
    <s v="SIN DATO"/>
    <s v="ABIERTO"/>
    <n v="-75.574616899999995"/>
    <n v="6.2194061100000004"/>
    <s v="SUR-ENE"/>
    <s v="Metropolitana Sur"/>
  </r>
  <r>
    <s v="23602104"/>
    <s v="ENERES"/>
    <s v="NUEVO"/>
    <s v="ENERES"/>
    <s v="28/11/2025 07:42:27"/>
    <s v="2025-11-28 07:42:27"/>
    <n v="800093117"/>
    <s v="ARQUITECTURA Y CONCRETO S.A.S"/>
    <s v="3123618"/>
    <s v="3209339296"/>
    <s v="CR 44 CL 17 -120 (INTERIOR 1704 )"/>
    <x v="2"/>
    <s v="051424007001201704"/>
    <s v="Medellín"/>
    <x v="2"/>
    <s v="Revisor Inst. Particulares Metrosur"/>
    <x v="1"/>
    <n v="7"/>
    <s v="2025-12-10 07:42:27"/>
    <s v="1 días 07:42"/>
    <s v="6 días 07:42"/>
    <x v="0"/>
    <s v="SIN DATO"/>
    <s v="SIN DATO"/>
    <s v="SIN DATO"/>
    <s v="ABIERTO"/>
    <n v="-75.574616899999995"/>
    <n v="6.2194061100000004"/>
    <s v="SUR-ENE"/>
    <s v="Metropolitana Sur"/>
  </r>
  <r>
    <s v="23602105"/>
    <s v="ENERES"/>
    <s v="NUEVO"/>
    <s v="ENERES"/>
    <s v="28/11/2025 07:42:33"/>
    <s v="2025-11-28 07:42:33"/>
    <n v="800093117"/>
    <s v="ARQUITECTURA Y CONCRETO S.A.S"/>
    <s v="3123618"/>
    <s v="3209339296"/>
    <s v="CR 44 CL 17 -120 (INTERIOR 2105 )"/>
    <x v="2"/>
    <s v="051424007001202105"/>
    <s v="Medellín"/>
    <x v="2"/>
    <s v="Revisor Inst. Particulares Metrosur"/>
    <x v="1"/>
    <n v="7"/>
    <s v="2025-12-10 07:42:33"/>
    <s v="1 días 07:42"/>
    <s v="6 días 07:42"/>
    <x v="0"/>
    <s v="SIN DATO"/>
    <s v="SIN DATO"/>
    <s v="SIN DATO"/>
    <s v="ABIERTO"/>
    <n v="-75.574616899999995"/>
    <n v="6.2194061100000004"/>
    <s v="SUR-ENE"/>
    <s v="Metropolitana Sur"/>
  </r>
  <r>
    <s v="23602106"/>
    <s v="ENERES"/>
    <s v="NUEVO"/>
    <s v="ENERES"/>
    <s v="28/11/2025 07:42:42"/>
    <s v="2025-11-28 07:42:42"/>
    <n v="800093117"/>
    <s v="ARQUITECTURA Y CONCRETO S.A.S"/>
    <s v="3123618"/>
    <s v="3209339296"/>
    <s v="CR 44 CL 17 -120 (INTERIOR 1803 )"/>
    <x v="2"/>
    <s v="051424007001201803"/>
    <s v="Medellín"/>
    <x v="2"/>
    <s v="Revisor Inst. Particulares Metrosur"/>
    <x v="1"/>
    <n v="7"/>
    <s v="2025-12-10 07:42:42"/>
    <s v="1 días 07:42"/>
    <s v="6 días 07:42"/>
    <x v="0"/>
    <s v="SIN DATO"/>
    <s v="SIN DATO"/>
    <s v="SIN DATO"/>
    <s v="ABIERTO"/>
    <n v="-75.574616899999995"/>
    <n v="6.2194061100000004"/>
    <s v="SUR-ENE"/>
    <s v="Metropolitana Sur"/>
  </r>
  <r>
    <s v="23602107"/>
    <s v="ENERES"/>
    <s v="NUEVO"/>
    <s v="ENERES"/>
    <s v="28/11/2025 07:43:05"/>
    <s v="2025-11-28 07:43:05"/>
    <n v="800093117"/>
    <s v="ARQUITECTURA Y CONCRETO S.A.S"/>
    <s v="3123618"/>
    <s v="3209339296"/>
    <s v="CR 44 CL 17 -120 (INTERIOR 1705 )"/>
    <x v="2"/>
    <s v="051424007001201705"/>
    <s v="Medellín"/>
    <x v="2"/>
    <s v="Revisor Inst. Particulares Metrosur"/>
    <x v="1"/>
    <n v="7"/>
    <s v="2025-12-10 07:43:05"/>
    <s v="1 días 07:43"/>
    <s v="6 días 07:43"/>
    <x v="0"/>
    <s v="SIN DATO"/>
    <s v="SIN DATO"/>
    <s v="SIN DATO"/>
    <s v="ABIERTO"/>
    <n v="-75.574616899999995"/>
    <n v="6.2194061100000004"/>
    <s v="SUR-ENE"/>
    <s v="Metropolitana Sur"/>
  </r>
  <r>
    <s v="23602108"/>
    <s v="ENERES"/>
    <s v="NUEVO"/>
    <s v="ENERES"/>
    <s v="28/11/2025 07:43:18"/>
    <s v="2025-11-28 07:43:18"/>
    <n v="800093117"/>
    <s v="ARQUITECTURA Y CONCRETO S.A.S"/>
    <s v="3123618"/>
    <s v="3209339296"/>
    <s v="CR 44 CL 17 -120 (INTERIOR 1906 )"/>
    <x v="2"/>
    <s v="051424007001201906"/>
    <s v="Medellín"/>
    <x v="2"/>
    <s v="Revisor Inst. Particulares Metrosur"/>
    <x v="1"/>
    <n v="7"/>
    <s v="2025-12-10 07:43:18"/>
    <s v="1 días 07:43"/>
    <s v="6 días 07:43"/>
    <x v="0"/>
    <s v="SIN DATO"/>
    <s v="SIN DATO"/>
    <s v="SIN DATO"/>
    <s v="ABIERTO"/>
    <n v="-75.574616899999995"/>
    <n v="6.2194061100000004"/>
    <s v="SUR-ENE"/>
    <s v="Metropolitana Sur"/>
  </r>
  <r>
    <s v="23602112"/>
    <s v="ENEPRE"/>
    <s v="NUEVO"/>
    <s v="ENEPRE"/>
    <s v="28/11/2025 07:47:47"/>
    <s v="2025-11-28 07:47:47"/>
    <n v="43149344"/>
    <s v="LUZ ENEIDA MEDINA CAÑOLA"/>
    <s v="SIN DATOS"/>
    <s v="3103875027"/>
    <s v="RURAL_116005519350000000_116005519350000000"/>
    <x v="2"/>
    <s v="116005519350000000"/>
    <s v="Medellín"/>
    <x v="6"/>
    <s v="Energía Prepago Metrosur"/>
    <x v="0"/>
    <n v="11"/>
    <s v="2025-12-16 07:47:47"/>
    <s v="1 días 07:47"/>
    <s v="10 días 07:47"/>
    <x v="0"/>
    <s v="SIN DATO"/>
    <s v="SIN DATO"/>
    <s v="SIN DATO"/>
    <s v="ABIERTO"/>
    <n v="-75.630878999999993"/>
    <n v="6.2333930000000004"/>
    <s v="SUR-ENE"/>
    <s v="Metropolitana Sur"/>
  </r>
  <r>
    <s v="23602119"/>
    <s v="ENERES"/>
    <s v="NUEVO"/>
    <s v="ENEDOM"/>
    <s v="28/11/2025 07:50:14"/>
    <s v="2025-11-28 07:50:14"/>
    <n v="11937438"/>
    <s v="PEDRO ESCILDO MENA MOSQUERA"/>
    <s v="2220863"/>
    <s v="3117128280"/>
    <s v="CL 56 A CR 25 BB -76 (INTERIOR 325 )"/>
    <x v="2"/>
    <s v="055216105220760325"/>
    <s v="Medellín"/>
    <x v="0"/>
    <s v="Habilitación Viviendas Metrosur"/>
    <x v="1"/>
    <n v="5"/>
    <s v="2025-12-05 07:50:14"/>
    <s v="1 días 07:50"/>
    <s v="4 días 07:50"/>
    <x v="0"/>
    <s v="SIN DATO"/>
    <s v="SIN DATO"/>
    <s v="SIN DATO"/>
    <s v="ABIERTO"/>
    <n v="-75.544512999999995"/>
    <n v="6.2473419999999997"/>
    <s v="SUR-ENE"/>
    <s v="Metropolitana Sur"/>
  </r>
  <r>
    <s v="23602124"/>
    <s v="ENERES"/>
    <s v="NUEVO"/>
    <s v="ENEDOM"/>
    <s v="28/11/2025 07:57:07"/>
    <s v="2025-11-28 07:57:07"/>
    <n v="3380245"/>
    <s v="GABRIEL ANTONIO FRANCO RESTREPO"/>
    <s v="SIN DATOS"/>
    <s v="3015109734"/>
    <s v="CL 63 CR 144 -226 (INTERIOR 301 )"/>
    <x v="2"/>
    <s v="086413004002260301"/>
    <s v="Medellín"/>
    <x v="0"/>
    <s v="Habilitación Viviendas Metrosur"/>
    <x v="1"/>
    <n v="5"/>
    <s v="2025-12-05 07:57:07"/>
    <s v="1 días 07:57"/>
    <s v="4 días 07:57"/>
    <x v="0"/>
    <s v="SIN DATO"/>
    <s v="SIN DATO"/>
    <s v="SIN DATO"/>
    <s v="ABIERTO"/>
    <n v="-75.644019319999998"/>
    <n v="6.2803322899999996"/>
    <s v="SUR-ENE"/>
    <s v="Metropolitana Sur"/>
  </r>
  <r>
    <s v="23602132"/>
    <s v="ENERES"/>
    <s v="NUEVO"/>
    <s v="ENERES"/>
    <s v="28/11/2025 08:03:23"/>
    <s v="2025-11-28 08:03:23"/>
    <n v="800093117"/>
    <s v="ARQUITECTURA Y CONCRETO S.A.S"/>
    <s v="3123618"/>
    <s v="3209339296"/>
    <s v="CR 44 CL 17 -120 (INTERIOR 1405 )"/>
    <x v="2"/>
    <s v="051424007001201405"/>
    <s v="Medellín"/>
    <x v="2"/>
    <s v="Revisor Inst. Particulares Metrosur"/>
    <x v="1"/>
    <n v="7"/>
    <s v="2025-12-10 08:03:23"/>
    <s v="1 días 08:03"/>
    <s v="6 días 08:03"/>
    <x v="0"/>
    <s v="SIN DATO"/>
    <s v="SIN DATO"/>
    <s v="SIN DATO"/>
    <s v="ABIERTO"/>
    <n v="-75.574616899999995"/>
    <n v="6.2194061100000004"/>
    <s v="SUR-ENE"/>
    <s v="Metropolitana Sur"/>
  </r>
  <r>
    <s v="23602133"/>
    <s v="ENERES"/>
    <s v="NUEVO"/>
    <s v="ENERES"/>
    <s v="28/11/2025 08:03:47"/>
    <s v="2025-11-28 08:03:47"/>
    <n v="800093117"/>
    <s v="ARQUITECTURA Y CONCRETO S.A.S"/>
    <s v="3123618"/>
    <s v="3209339296"/>
    <s v="CR 44 CL 17 -120 (INTERIOR 1306 )"/>
    <x v="2"/>
    <s v="051424007001201306"/>
    <s v="Medellín"/>
    <x v="2"/>
    <s v="Revisor Inst. Particulares Metrosur"/>
    <x v="1"/>
    <n v="7"/>
    <s v="2025-12-10 08:03:47"/>
    <s v="1 días 08:03"/>
    <s v="6 días 08:03"/>
    <x v="0"/>
    <s v="SIN DATO"/>
    <s v="SIN DATO"/>
    <s v="SIN DATO"/>
    <s v="ABIERTO"/>
    <n v="-75.574616899999995"/>
    <n v="6.2194061100000004"/>
    <s v="SUR-ENE"/>
    <s v="Metropolitana Sur"/>
  </r>
  <r>
    <s v="23602134"/>
    <s v="ENERES"/>
    <s v="NUEVO"/>
    <s v="ENERES"/>
    <s v="28/11/2025 08:04:16"/>
    <s v="2025-11-28 08:04:16"/>
    <n v="800093117"/>
    <s v="ARQUITECTURA Y CONCRETO S.A.S"/>
    <s v="3123618"/>
    <s v="3209339296"/>
    <s v="CR 44 CL 17 -120 (INTERIOR 1401 )"/>
    <x v="2"/>
    <s v="051424007001201401"/>
    <s v="Medellín"/>
    <x v="2"/>
    <s v="Revisor Inst. Particulares Metrosur"/>
    <x v="1"/>
    <n v="7"/>
    <s v="2025-12-10 08:04:16"/>
    <s v="1 días 08:04"/>
    <s v="6 días 08:04"/>
    <x v="0"/>
    <s v="SIN DATO"/>
    <s v="SIN DATO"/>
    <s v="SIN DATO"/>
    <s v="ABIERTO"/>
    <n v="-75.574616899999995"/>
    <n v="6.2194061100000004"/>
    <s v="SUR-ENE"/>
    <s v="Metropolitana Sur"/>
  </r>
  <r>
    <s v="23602135"/>
    <s v="ENERES"/>
    <s v="NUEVO"/>
    <s v="ENERES"/>
    <s v="28/11/2025 08:04:36"/>
    <s v="2025-11-28 08:04:36"/>
    <n v="800093117"/>
    <s v="ARQUITECTURA Y CONCRETO S.A.S"/>
    <s v="3123618"/>
    <s v="3209339296"/>
    <s v="CR 44 CL 17 -120 (INTERIOR 1305 )"/>
    <x v="2"/>
    <s v="051424007001201305"/>
    <s v="Medellín"/>
    <x v="2"/>
    <s v="Revisor Inst. Particulares Metrosur"/>
    <x v="1"/>
    <n v="7"/>
    <s v="2025-12-10 08:04:36"/>
    <s v="1 días 08:04"/>
    <s v="6 días 08:04"/>
    <x v="0"/>
    <s v="SIN DATO"/>
    <s v="SIN DATO"/>
    <s v="SIN DATO"/>
    <s v="ABIERTO"/>
    <n v="-75.610884501000001"/>
    <n v="6.2574398200000596"/>
    <s v="SUR-ENE"/>
    <s v="Metropolitana Sur"/>
  </r>
  <r>
    <s v="23602136"/>
    <s v="ENERES"/>
    <s v="NUEVO"/>
    <s v="ENERES"/>
    <s v="28/11/2025 08:04:39"/>
    <s v="2025-11-28 08:04:39"/>
    <n v="800093117"/>
    <s v="ARQUITECTURA Y CONCRETO S.A.S"/>
    <s v="3123618"/>
    <s v="3209339296"/>
    <s v="CR 44 CL 17 -120 (INTERIOR 1201 )"/>
    <x v="2"/>
    <s v="051424007001201201"/>
    <s v="Medellín"/>
    <x v="2"/>
    <s v="Revisor Inst. Particulares Metrosur"/>
    <x v="1"/>
    <n v="7"/>
    <s v="2025-12-10 08:04:39"/>
    <s v="1 días 08:04"/>
    <s v="6 días 08:04"/>
    <x v="0"/>
    <s v="SIN DATO"/>
    <s v="SIN DATO"/>
    <s v="SIN DATO"/>
    <s v="ABIERTO"/>
    <n v="-75.574616899999995"/>
    <n v="6.2194061100000004"/>
    <s v="SUR-ENE"/>
    <s v="Metropolitana Sur"/>
  </r>
  <r>
    <s v="23602140"/>
    <s v="ENERES"/>
    <s v="NUEVO"/>
    <s v="ENERES"/>
    <s v="28/11/2025 08:05:14"/>
    <s v="2025-11-28 08:05:14"/>
    <n v="800093117"/>
    <s v="ARQUITECTURA Y CONCRETO S.A.S"/>
    <s v="3123618"/>
    <s v="3209339296"/>
    <s v="CR 44 CL 17 -120 (INTERIOR 1303 )"/>
    <x v="2"/>
    <s v="051424007001201303"/>
    <s v="Medellín"/>
    <x v="2"/>
    <s v="Revisor Inst. Particulares Metrosur"/>
    <x v="1"/>
    <n v="7"/>
    <s v="2025-12-10 08:05:14"/>
    <s v="1 días 08:05"/>
    <s v="6 días 08:05"/>
    <x v="0"/>
    <s v="SIN DATO"/>
    <s v="SIN DATO"/>
    <s v="SIN DATO"/>
    <s v="ABIERTO"/>
    <n v="-75.574616899999995"/>
    <n v="6.2194061100000004"/>
    <s v="SUR-ENE"/>
    <s v="Metropolitana Sur"/>
  </r>
  <r>
    <s v="23602141"/>
    <s v="ENERES"/>
    <s v="NUEVO"/>
    <s v="ENERES"/>
    <s v="28/11/2025 08:05:19"/>
    <s v="2025-11-28 08:05:19"/>
    <n v="800093117"/>
    <s v="ARQUITECTURA Y CONCRETO S.A.S"/>
    <s v="3123618"/>
    <s v="3209339296"/>
    <s v="CR 44 CL 17 -120 (INTERIOR 1304 )"/>
    <x v="2"/>
    <s v="051424007001201304"/>
    <s v="Medellín"/>
    <x v="2"/>
    <s v="Revisor Inst. Particulares Metrosur"/>
    <x v="1"/>
    <n v="7"/>
    <s v="2025-12-10 08:05:19"/>
    <s v="1 días 08:05"/>
    <s v="6 días 08:05"/>
    <x v="0"/>
    <s v="SIN DATO"/>
    <s v="SIN DATO"/>
    <s v="SIN DATO"/>
    <s v="ABIERTO"/>
    <n v="-75.574616899999995"/>
    <n v="6.2194061100000004"/>
    <s v="SUR-ENE"/>
    <s v="Metropolitana Sur"/>
  </r>
  <r>
    <s v="23602143"/>
    <s v="ENERES"/>
    <s v="NUEVO"/>
    <s v="ENERES"/>
    <s v="28/11/2025 08:05:32"/>
    <s v="2025-11-28 08:05:32"/>
    <n v="800093117"/>
    <s v="ARQUITECTURA Y CONCRETO S.A.S"/>
    <s v="3123618"/>
    <s v="3209339296"/>
    <s v="CR 44 CL 17 -120 (INTERIOR 2802 )"/>
    <x v="2"/>
    <s v="051424007001202802"/>
    <s v="Medellín"/>
    <x v="2"/>
    <s v="Revisor Inst. Particulares Metrosur"/>
    <x v="1"/>
    <n v="7"/>
    <s v="2025-12-10 08:05:32"/>
    <s v="1 días 08:05"/>
    <s v="6 días 08:05"/>
    <x v="0"/>
    <s v="SIN DATO"/>
    <s v="SIN DATO"/>
    <s v="SIN DATO"/>
    <s v="ABIERTO"/>
    <n v="-75.574616899999995"/>
    <n v="6.2194061100000004"/>
    <s v="SUR-ENE"/>
    <s v="Metropolitana Sur"/>
  </r>
  <r>
    <s v="23602157"/>
    <s v="ENERES"/>
    <s v="NUEVO"/>
    <s v="ENERES"/>
    <s v="28/11/2025 08:08:12"/>
    <s v="2025-11-28 08:08:12"/>
    <n v="800093117"/>
    <s v="ARQUITECTURA Y CONCRETO S.A.S"/>
    <s v="3123618"/>
    <s v="3209339296"/>
    <s v="CR 44 CL 17 -120 (INTERIOR 2901 )"/>
    <x v="2"/>
    <s v="051424007001202901"/>
    <s v="Medellín"/>
    <x v="2"/>
    <s v="Revisor Inst. Particulares Metrosur"/>
    <x v="1"/>
    <n v="7"/>
    <s v="2025-12-10 08:08:12"/>
    <s v="1 días 08:08"/>
    <s v="6 días 08:08"/>
    <x v="0"/>
    <s v="SIN DATO"/>
    <s v="SIN DATO"/>
    <s v="SIN DATO"/>
    <s v="ABIERTO"/>
    <n v="-75.574616899999995"/>
    <n v="6.2194061100000004"/>
    <s v="SUR-ENE"/>
    <s v="Metropolitana Sur"/>
  </r>
  <r>
    <s v="23602161"/>
    <s v="ENERES"/>
    <s v="NUEVO"/>
    <s v="ENERES"/>
    <s v="28/11/2025 08:08:24"/>
    <s v="2025-11-28 08:08:24"/>
    <n v="800093117"/>
    <s v="ARQUITECTURA Y CONCRETO S.A.S"/>
    <s v="3123618"/>
    <s v="3209339296"/>
    <s v="CR 44 CL 17 -120 (INTERIOR 2806 )"/>
    <x v="2"/>
    <s v="051424007001202806"/>
    <s v="Medellín"/>
    <x v="2"/>
    <s v="Revisor Inst. Particulares Metrosur"/>
    <x v="1"/>
    <n v="7"/>
    <s v="2025-12-10 08:08:24"/>
    <s v="1 días 08:08"/>
    <s v="6 días 08:08"/>
    <x v="0"/>
    <s v="SIN DATO"/>
    <s v="SIN DATO"/>
    <s v="SIN DATO"/>
    <s v="ABIERTO"/>
    <n v="-75.574616899999995"/>
    <n v="6.2194061100000004"/>
    <s v="SUR-ENE"/>
    <s v="Metropolitana Sur"/>
  </r>
  <r>
    <s v="23602162"/>
    <s v="ENERES"/>
    <s v="NUEVO"/>
    <s v="ENERES"/>
    <s v="28/11/2025 08:08:48"/>
    <s v="2025-11-28 08:08:48"/>
    <n v="800093117"/>
    <s v="ARQUITECTURA Y CONCRETO S.A.S"/>
    <s v="3123618"/>
    <s v="3209339296"/>
    <s v="CR 44 CL 17 -120 (INTERIOR 2804 )"/>
    <x v="2"/>
    <s v="051424007001202804"/>
    <s v="Medellín"/>
    <x v="2"/>
    <s v="Revisor Inst. Particulares Metrosur"/>
    <x v="1"/>
    <n v="7"/>
    <s v="2025-12-10 08:08:48"/>
    <s v="1 días 08:08"/>
    <s v="6 días 08:08"/>
    <x v="0"/>
    <s v="SIN DATO"/>
    <s v="SIN DATO"/>
    <s v="SIN DATO"/>
    <s v="ABIERTO"/>
    <n v="-75.574616899999995"/>
    <n v="6.2194061100000004"/>
    <s v="SUR-ENE"/>
    <s v="Metropolitana Sur"/>
  </r>
  <r>
    <s v="23602168"/>
    <s v="ENERES"/>
    <s v="NUEVO"/>
    <s v="ENERES"/>
    <s v="28/11/2025 08:10:24"/>
    <s v="2025-11-28 08:10:24"/>
    <n v="800093117"/>
    <s v="ARQUITECTURA Y CONCRETO S.A.S"/>
    <s v="3123618"/>
    <s v="3209339296"/>
    <s v="CR 44 CL 17 -120 (INTERIOR 1301 )"/>
    <x v="2"/>
    <s v="051424007001201301"/>
    <s v="Medellín"/>
    <x v="2"/>
    <s v="Revisor Inst. Particulares Metrosur"/>
    <x v="1"/>
    <n v="7"/>
    <s v="2025-12-10 08:10:24"/>
    <s v="1 días 08:10"/>
    <s v="6 días 08:10"/>
    <x v="0"/>
    <s v="SIN DATO"/>
    <s v="SIN DATO"/>
    <s v="SIN DATO"/>
    <s v="ABIERTO"/>
    <n v="-75.574616899999995"/>
    <n v="6.2194061100000004"/>
    <s v="SUR-ENE"/>
    <s v="Metropolitana Sur"/>
  </r>
  <r>
    <s v="23602169"/>
    <s v="ENERES"/>
    <s v="NUEVO"/>
    <s v="ENERES"/>
    <s v="28/11/2025 08:11:15"/>
    <s v="2025-11-28 08:11:15"/>
    <n v="800093117"/>
    <s v="ARQUITECTURA Y CONCRETO S.A.S"/>
    <s v="3123618"/>
    <s v="3209339296"/>
    <s v="CR 44 CL 17 -120 (INTERIOR 2406 )"/>
    <x v="2"/>
    <s v="051424007001202406"/>
    <s v="Medellín"/>
    <x v="2"/>
    <s v="Revisor Inst. Particulares Metrosur"/>
    <x v="1"/>
    <n v="7"/>
    <s v="2025-12-10 08:11:15"/>
    <s v="1 días 08:11"/>
    <s v="6 días 08:11"/>
    <x v="0"/>
    <s v="SIN DATO"/>
    <s v="SIN DATO"/>
    <s v="SIN DATO"/>
    <s v="ABIERTO"/>
    <n v="-75.574616899999995"/>
    <n v="6.2194061100000004"/>
    <s v="SUR-ENE"/>
    <s v="Metropolitana Sur"/>
  </r>
  <r>
    <s v="23602172"/>
    <s v="ENERES"/>
    <s v="NUEVO"/>
    <s v="ENERES"/>
    <s v="28/11/2025 08:11:34"/>
    <s v="2025-11-28 08:11:34"/>
    <n v="800093117"/>
    <s v="ARQUITECTURA Y CONCRETO S.A.S"/>
    <s v="3123618"/>
    <s v="3209339296"/>
    <s v="CR 44 CL 17 -120 (INTERIOR 2404 )"/>
    <x v="2"/>
    <s v="051424007001202404"/>
    <s v="Medellín"/>
    <x v="2"/>
    <s v="Revisor Inst. Particulares Metrosur"/>
    <x v="1"/>
    <n v="7"/>
    <s v="2025-12-10 08:11:34"/>
    <s v="1 días 08:11"/>
    <s v="6 días 08:11"/>
    <x v="0"/>
    <s v="SIN DATO"/>
    <s v="SIN DATO"/>
    <s v="SIN DATO"/>
    <s v="ABIERTO"/>
    <n v="-75.574616899999995"/>
    <n v="6.2194061100000004"/>
    <s v="SUR-ENE"/>
    <s v="Metropolitana Sur"/>
  </r>
  <r>
    <s v="23602178"/>
    <s v="ENERES"/>
    <s v="NUEVO"/>
    <s v="ENERES"/>
    <s v="28/11/2025 08:11:58"/>
    <s v="2025-11-28 08:11:58"/>
    <n v="800093117"/>
    <s v="ARQUITECTURA Y CONCRETO S.A.S"/>
    <s v="3123618"/>
    <s v="3209339296"/>
    <s v="CR 44 CL 17 -120 (INTERIOR 2706 )"/>
    <x v="2"/>
    <s v="051424007001202706"/>
    <s v="Medellín"/>
    <x v="2"/>
    <s v="Revisor Inst. Particulares Metrosur"/>
    <x v="1"/>
    <n v="7"/>
    <s v="2025-12-10 08:11:58"/>
    <s v="1 días 08:11"/>
    <s v="6 días 08:11"/>
    <x v="0"/>
    <s v="SIN DATO"/>
    <s v="SIN DATO"/>
    <s v="SIN DATO"/>
    <s v="ABIERTO"/>
    <n v="-75.574616899999995"/>
    <n v="6.2194061100000004"/>
    <s v="SUR-ENE"/>
    <s v="Metropolitana Sur"/>
  </r>
  <r>
    <s v="23602180"/>
    <s v="ENERES"/>
    <s v="NUEVO"/>
    <s v="ENERES"/>
    <s v="28/11/2025 08:12:05"/>
    <s v="2025-11-28 08:12:05"/>
    <n v="800093117"/>
    <s v="ARQUITECTURA Y CONCRETO S.A.S"/>
    <s v="3123618"/>
    <s v="3209339296"/>
    <s v="CR 44 CL 17 -120 (INTERIOR 1804 )"/>
    <x v="2"/>
    <s v="051424007001201804"/>
    <s v="Medellín"/>
    <x v="2"/>
    <s v="Revisor Inst. Particulares Metrosur"/>
    <x v="1"/>
    <n v="7"/>
    <s v="2025-12-10 08:12:05"/>
    <s v="1 días 08:12"/>
    <s v="6 días 08:12"/>
    <x v="0"/>
    <s v="SIN DATO"/>
    <s v="SIN DATO"/>
    <s v="SIN DATO"/>
    <s v="ABIERTO"/>
    <n v="-75.574616899999995"/>
    <n v="6.2194061100000004"/>
    <s v="SUR-ENE"/>
    <s v="Metropolitana Sur"/>
  </r>
  <r>
    <s v="23602181"/>
    <s v="ENERES"/>
    <s v="NUEVO"/>
    <s v="ENERES"/>
    <s v="28/11/2025 08:12:07"/>
    <s v="2025-11-28 08:12:07"/>
    <n v="800093117"/>
    <s v="ARQUITECTURA Y CONCRETO S.A.S"/>
    <s v="3123618"/>
    <s v="3209339296"/>
    <s v="CR 44 CL 17 -120 (INTERIOR 2002 )"/>
    <x v="2"/>
    <s v="051424007001202002"/>
    <s v="Medellín"/>
    <x v="2"/>
    <s v="Revisor Inst. Particulares Metrosur"/>
    <x v="1"/>
    <n v="7"/>
    <s v="2025-12-10 08:12:07"/>
    <s v="1 días 08:12"/>
    <s v="6 días 08:12"/>
    <x v="0"/>
    <s v="SIN DATO"/>
    <s v="SIN DATO"/>
    <s v="SIN DATO"/>
    <s v="ABIERTO"/>
    <n v="-75.574616899999995"/>
    <n v="6.2194061100000004"/>
    <s v="SUR-ENE"/>
    <s v="Metropolitana Sur"/>
  </r>
  <r>
    <s v="23602182"/>
    <s v="ENERES"/>
    <s v="NUEVO"/>
    <s v="ENERES"/>
    <s v="28/11/2025 08:12:06"/>
    <s v="2025-11-28 08:12:06"/>
    <n v="800093117"/>
    <s v="ARQUITECTURA Y CONCRETO S.A.S"/>
    <s v="3123618"/>
    <s v="3209339296"/>
    <s v="CR 44 CL 17 -120 (INTERIOR 1904 )"/>
    <x v="2"/>
    <s v="051424007001201904"/>
    <s v="Medellín"/>
    <x v="2"/>
    <s v="Revisor Inst. Particulares Metrosur"/>
    <x v="1"/>
    <n v="7"/>
    <s v="2025-12-10 08:12:06"/>
    <s v="1 días 08:12"/>
    <s v="6 días 08:12"/>
    <x v="0"/>
    <s v="SIN DATO"/>
    <s v="SIN DATO"/>
    <s v="SIN DATO"/>
    <s v="ABIERTO"/>
    <n v="-75.574616899999995"/>
    <n v="6.2194061100000004"/>
    <s v="SUR-ENE"/>
    <s v="Metropolitana Sur"/>
  </r>
  <r>
    <s v="23602183"/>
    <s v="ENERES"/>
    <s v="NUEVO"/>
    <s v="ENERES"/>
    <s v="28/11/2025 08:12:09"/>
    <s v="2025-11-28 08:12:09"/>
    <n v="800093117"/>
    <s v="ARQUITECTURA Y CONCRETO S.A.S"/>
    <s v="3123618"/>
    <s v="3209339296"/>
    <s v="CR 44 CL 17 -120 (INTERIOR 2801 )"/>
    <x v="2"/>
    <s v="051424007001202801"/>
    <s v="Medellín"/>
    <x v="2"/>
    <s v="Revisor Inst. Particulares Metrosur"/>
    <x v="1"/>
    <n v="7"/>
    <s v="2025-12-10 08:12:09"/>
    <s v="1 días 08:12"/>
    <s v="6 días 08:12"/>
    <x v="0"/>
    <s v="SIN DATO"/>
    <s v="SIN DATO"/>
    <s v="SIN DATO"/>
    <s v="ABIERTO"/>
    <n v="-75.574616899999995"/>
    <n v="6.2194061100000004"/>
    <s v="SUR-ENE"/>
    <s v="Metropolitana Sur"/>
  </r>
  <r>
    <s v="23602184"/>
    <s v="ENERES"/>
    <s v="NUEVO"/>
    <s v="ENERES"/>
    <s v="28/11/2025 08:12:19"/>
    <s v="2025-11-28 08:12:19"/>
    <n v="800093117"/>
    <s v="ARQUITECTURA Y CONCRETO S.A.S"/>
    <s v="3123618"/>
    <s v="3209339296"/>
    <s v="CR 44 CL 17 -120 (INTERIOR 1006 )"/>
    <x v="2"/>
    <s v="051424007001201006"/>
    <s v="Medellín"/>
    <x v="2"/>
    <s v="Revisor Inst. Particulares Metrosur"/>
    <x v="1"/>
    <n v="7"/>
    <s v="2025-12-10 08:12:19"/>
    <s v="1 días 08:12"/>
    <s v="6 días 08:12"/>
    <x v="0"/>
    <s v="SIN DATO"/>
    <s v="SIN DATO"/>
    <s v="SIN DATO"/>
    <s v="ABIERTO"/>
    <n v="-75.574616899999995"/>
    <n v="6.2194061100000004"/>
    <s v="SUR-ENE"/>
    <s v="Metropolitana Sur"/>
  </r>
  <r>
    <s v="23602190"/>
    <s v="ENERES"/>
    <s v="NUEVO"/>
    <s v="ENEDOM"/>
    <s v="28/11/2025 08:13:01"/>
    <s v="2025-11-28 08:13:01"/>
    <n v="42888916"/>
    <s v="ALBA MERY BERRIO MONTOYA"/>
    <s v="3875365"/>
    <s v="3158190474"/>
    <s v="RURAL_159116911500000202_TRABLAZA LA ESTRELLA"/>
    <x v="0"/>
    <s v="159116911500000202"/>
    <s v="La Estrella"/>
    <x v="0"/>
    <s v="MET Rev-Inst-Concentra E_CR014"/>
    <x v="0"/>
    <n v="8"/>
    <s v="2025-12-11 08:13:01"/>
    <s v="1 días 08:13"/>
    <s v="7 días 08:13"/>
    <x v="0"/>
    <s v="SIN DATO"/>
    <s v="SIN DATO"/>
    <s v="SIN DATO"/>
    <s v="ABIERTO"/>
    <n v="-75.631430480000006"/>
    <n v="6.1170333100000001"/>
    <s v="SUR-ENE"/>
    <s v="Metropolitana Sur"/>
  </r>
  <r>
    <s v="23602193"/>
    <s v="ENERES"/>
    <s v="NUEVO"/>
    <s v="ENERES"/>
    <s v="28/11/2025 08:13:15"/>
    <s v="2025-11-28 08:13:15"/>
    <n v="800093117"/>
    <s v="ARQUITECTURA Y CONCRETO S.A.S"/>
    <s v="3123618"/>
    <s v="3209339296"/>
    <s v="CR 44 CL 17 -120 (INTERIOR 804 )"/>
    <x v="2"/>
    <s v="051424007001200804"/>
    <s v="Medellín"/>
    <x v="2"/>
    <s v="Revisor Inst. Particulares Metrosur"/>
    <x v="1"/>
    <n v="7"/>
    <s v="2025-12-10 08:13:15"/>
    <s v="1 días 08:13"/>
    <s v="6 días 08:13"/>
    <x v="0"/>
    <s v="SIN DATO"/>
    <s v="SIN DATO"/>
    <s v="SIN DATO"/>
    <s v="ABIERTO"/>
    <n v="-75.574616899999995"/>
    <n v="6.2194061100000004"/>
    <s v="SUR-ENE"/>
    <s v="Metropolitana Sur"/>
  </r>
  <r>
    <s v="23602196"/>
    <s v="ENERES"/>
    <s v="NUEVO"/>
    <s v="ENERES"/>
    <s v="28/11/2025 08:13:24"/>
    <s v="2025-11-28 08:13:24"/>
    <n v="800093117"/>
    <s v="ARQUITECTURA Y CONCRETO S.A.S"/>
    <s v="3123618"/>
    <s v="3209339296"/>
    <s v="CR 44 CL 17 -120 (INTERIOR 2303 )"/>
    <x v="2"/>
    <s v="051424007001202303"/>
    <s v="Medellín"/>
    <x v="2"/>
    <s v="Revisor Inst. Particulares Metrosur"/>
    <x v="1"/>
    <n v="7"/>
    <s v="2025-12-10 08:13:24"/>
    <s v="1 días 08:13"/>
    <s v="6 días 08:13"/>
    <x v="0"/>
    <s v="SIN DATO"/>
    <s v="SIN DATO"/>
    <s v="SIN DATO"/>
    <s v="ABIERTO"/>
    <n v="-75.574616899999995"/>
    <n v="6.2194061100000004"/>
    <s v="SUR-ENE"/>
    <s v="Metropolitana Sur"/>
  </r>
  <r>
    <s v="23602197"/>
    <s v="ENERES"/>
    <s v="NUEVO"/>
    <s v="ENERES"/>
    <s v="28/11/2025 08:13:27"/>
    <s v="2025-11-28 08:13:27"/>
    <n v="800093117"/>
    <s v="ARQUITECTURA Y CONCRETO S.A.S"/>
    <s v="3123618"/>
    <s v="3209339296"/>
    <s v="CR 44 CL 17 -120 (INTERIOR 702 )"/>
    <x v="2"/>
    <s v="051424007001200702"/>
    <s v="Medellín"/>
    <x v="2"/>
    <s v="Revisor Inst. Particulares Metrosur"/>
    <x v="1"/>
    <n v="7"/>
    <s v="2025-12-10 08:13:27"/>
    <s v="1 días 08:13"/>
    <s v="6 días 08:13"/>
    <x v="0"/>
    <s v="SIN DATO"/>
    <s v="SIN DATO"/>
    <s v="SIN DATO"/>
    <s v="ABIERTO"/>
    <n v="-75.574616899999995"/>
    <n v="6.2194061100000004"/>
    <s v="SUR-ENE"/>
    <s v="Metropolitana Sur"/>
  </r>
  <r>
    <s v="23602198"/>
    <s v="ENERES"/>
    <s v="NUEVO"/>
    <s v="ENERES"/>
    <s v="28/11/2025 08:13:32"/>
    <s v="2025-11-28 08:13:32"/>
    <n v="800093117"/>
    <s v="ARQUITECTURA Y CONCRETO S.A.S"/>
    <s v="3123618"/>
    <s v="3209339296"/>
    <s v="CR 44 CL 17 -120 (INTERIOR 2006 )"/>
    <x v="2"/>
    <s v="051424007001202006"/>
    <s v="Medellín"/>
    <x v="2"/>
    <s v="Revisor Inst. Particulares Metrosur"/>
    <x v="1"/>
    <n v="7"/>
    <s v="2025-12-10 08:13:32"/>
    <s v="1 días 08:13"/>
    <s v="6 días 08:13"/>
    <x v="0"/>
    <s v="SIN DATO"/>
    <s v="SIN DATO"/>
    <s v="SIN DATO"/>
    <s v="ABIERTO"/>
    <n v="-75.574616899999995"/>
    <n v="6.2194061100000004"/>
    <s v="SUR-ENE"/>
    <s v="Metropolitana Sur"/>
  </r>
  <r>
    <s v="23602201"/>
    <s v="ENERES"/>
    <s v="NUEVO"/>
    <s v="ENERES"/>
    <s v="28/11/2025 08:13:41"/>
    <s v="2025-11-28 08:13:41"/>
    <n v="800093117"/>
    <s v="ARQUITECTURA Y CONCRETO S.A.S"/>
    <s v="3123618"/>
    <s v="3209339296"/>
    <s v="CR 44 CL 17 -120 (INTERIOR 2005 )"/>
    <x v="2"/>
    <s v="051424007001202005"/>
    <s v="Medellín"/>
    <x v="2"/>
    <s v="Revisor Inst. Particulares Metrosur"/>
    <x v="1"/>
    <n v="7"/>
    <s v="2025-12-10 08:13:41"/>
    <s v="1 días 08:13"/>
    <s v="6 días 08:13"/>
    <x v="0"/>
    <s v="SIN DATO"/>
    <s v="SIN DATO"/>
    <s v="SIN DATO"/>
    <s v="ABIERTO"/>
    <n v="-75.574616899999995"/>
    <n v="6.2194061100000004"/>
    <s v="SUR-ENE"/>
    <s v="Metropolitana Sur"/>
  </r>
  <r>
    <s v="23602203"/>
    <s v="ENERES"/>
    <s v="NUEVO"/>
    <s v="ENERES"/>
    <s v="28/11/2025 08:13:47"/>
    <s v="2025-11-28 08:13:47"/>
    <n v="800093117"/>
    <s v="ARQUITECTURA Y CONCRETO S.A.S"/>
    <s v="3123618"/>
    <s v="3209339296"/>
    <s v="CR 44 CL 17 -120 (INTERIOR 604 )"/>
    <x v="2"/>
    <s v="051424007001200604"/>
    <s v="Medellín"/>
    <x v="2"/>
    <s v="Revisor Inst. Particulares Metrosur"/>
    <x v="1"/>
    <n v="7"/>
    <s v="2025-12-10 08:13:47"/>
    <s v="1 días 08:13"/>
    <s v="6 días 08:13"/>
    <x v="0"/>
    <s v="SIN DATO"/>
    <s v="SIN DATO"/>
    <s v="SIN DATO"/>
    <s v="ABIERTO"/>
    <n v="-75.574616899999995"/>
    <n v="6.2194061100000004"/>
    <s v="SUR-ENE"/>
    <s v="Metropolitana Sur"/>
  </r>
  <r>
    <s v="23602212"/>
    <s v="ENERES"/>
    <s v="NUEVO"/>
    <s v="ENERES"/>
    <s v="28/11/2025 08:20:50"/>
    <s v="2025-11-28 08:20:50"/>
    <n v="800093117"/>
    <s v="ARQUITECTURA Y CONCRETO S.A.S"/>
    <s v="3123618"/>
    <s v="3209339296"/>
    <s v="CR 44 CL 17 -120 (INTERIOR 2601 )"/>
    <x v="2"/>
    <s v="051424007001202601"/>
    <s v="Medellín"/>
    <x v="2"/>
    <s v="Revisor Inst. Particulares Metrosur"/>
    <x v="1"/>
    <n v="7"/>
    <s v="2025-12-10 08:20:50"/>
    <s v="1 días 08:20"/>
    <s v="6 días 08:20"/>
    <x v="0"/>
    <s v="SIN DATO"/>
    <s v="SIN DATO"/>
    <s v="SIN DATO"/>
    <s v="ABIERTO"/>
    <n v="-75.574616899999995"/>
    <n v="6.2194061100000004"/>
    <s v="SUR-ENE"/>
    <s v="Metropolitana Sur"/>
  </r>
  <r>
    <s v="23602213"/>
    <s v="ENERES"/>
    <s v="NUEVO"/>
    <s v="ENERES"/>
    <s v="28/11/2025 08:20:57"/>
    <s v="2025-11-28 08:20:57"/>
    <n v="800093117"/>
    <s v="ARQUITECTURA Y CONCRETO S.A.S"/>
    <s v="3123618"/>
    <s v="3209339296"/>
    <s v="CR 44 CL 17 -120 (INTERIOR 2702 )"/>
    <x v="2"/>
    <s v="051424007001202702"/>
    <s v="Medellín"/>
    <x v="2"/>
    <s v="Revisor Inst. Particulares Metrosur"/>
    <x v="1"/>
    <n v="7"/>
    <s v="2025-12-10 08:20:57"/>
    <s v="1 días 08:20"/>
    <s v="6 días 08:20"/>
    <x v="0"/>
    <s v="SIN DATO"/>
    <s v="SIN DATO"/>
    <s v="SIN DATO"/>
    <s v="ABIERTO"/>
    <n v="-75.574616899999995"/>
    <n v="6.2194061100000004"/>
    <s v="SUR-ENE"/>
    <s v="Metropolitana Sur"/>
  </r>
  <r>
    <s v="23602214"/>
    <s v="ENERES"/>
    <s v="NUEVO"/>
    <s v="ENERES"/>
    <s v="28/11/2025 08:21:11"/>
    <s v="2025-11-28 08:21:11"/>
    <n v="800093117"/>
    <s v="ARQUITECTURA Y CONCRETO S.A.S"/>
    <s v="3123618"/>
    <s v="3209339296"/>
    <s v="CR 44 CL 17 -120 (INTERIOR 2306 )"/>
    <x v="2"/>
    <s v="051424007001202306"/>
    <s v="Medellín"/>
    <x v="2"/>
    <s v="Revisor Inst. Particulares Metrosur"/>
    <x v="1"/>
    <n v="7"/>
    <s v="2025-12-10 08:21:11"/>
    <s v="1 días 08:21"/>
    <s v="6 días 08:21"/>
    <x v="0"/>
    <s v="SIN DATO"/>
    <s v="SIN DATO"/>
    <s v="SIN DATO"/>
    <s v="ABIERTO"/>
    <n v="-75.574616899999995"/>
    <n v="6.2194061100000004"/>
    <s v="SUR-ENE"/>
    <s v="Metropolitana Sur"/>
  </r>
  <r>
    <s v="23602232"/>
    <s v="ENERES"/>
    <s v="NUEVO"/>
    <s v="ENEDOM"/>
    <s v="28/11/2025 08:35:11"/>
    <s v="2025-11-28 08:35:11"/>
    <n v="11804828"/>
    <s v="FLORENTINO PIZARRO PALACIOS"/>
    <s v="SIN DATOS"/>
    <s v="3206666608"/>
    <s v="CL 56 A CR 25 BB -72 (INTERIOR 120 )"/>
    <x v="2"/>
    <s v="055216105220720120"/>
    <s v="Medellín"/>
    <x v="0"/>
    <s v="Habilitación Viviendas Metrosur"/>
    <x v="1"/>
    <n v="5"/>
    <s v="2025-12-05 08:35:11"/>
    <s v="1 días 08:35"/>
    <s v="4 días 08:35"/>
    <x v="0"/>
    <s v="SIN DATO"/>
    <s v="SIN DATO"/>
    <s v="SIN DATO"/>
    <s v="ABIERTO"/>
    <n v="-75.544686999999996"/>
    <n v="6.2469159999999997"/>
    <s v="SUR-ENE"/>
    <s v="Metropolitana Sur"/>
  </r>
  <r>
    <s v="23602238"/>
    <s v="ENERES"/>
    <s v="NUEVO"/>
    <s v="ENEDOM"/>
    <s v="28/11/2025 08:40:23"/>
    <s v="2025-11-28 08:40:23"/>
    <n v="43260080"/>
    <s v="ADRIANA PATRICIA ACEVEDO RAMIREZ"/>
    <s v="SIN DATOS"/>
    <s v="3013070899"/>
    <s v="CL 56 A CR 25 BB -76 (INTERIOR 121 )"/>
    <x v="2"/>
    <s v="055216105220760121"/>
    <s v="Medellín"/>
    <x v="0"/>
    <s v="Habilitación Viviendas Metrosur"/>
    <x v="1"/>
    <n v="5"/>
    <s v="2025-12-05 08:40:23"/>
    <s v="1 días 08:40"/>
    <s v="4 días 08:40"/>
    <x v="0"/>
    <s v="SIN DATO"/>
    <s v="SIN DATO"/>
    <s v="SIN DATO"/>
    <s v="ABIERTO"/>
    <n v="-75.544512999999995"/>
    <n v="6.2473419999999997"/>
    <s v="SUR-ENE"/>
    <s v="Metropolitana Sur"/>
  </r>
  <r>
    <s v="23602240"/>
    <s v="ENERES"/>
    <s v="NUEVO"/>
    <s v="ENERES"/>
    <s v="28/11/2025 08:40:53"/>
    <s v="2025-11-28 08:40:53"/>
    <n v="800093117"/>
    <s v="ARQUITECTURA Y CONCRETO S.A.S"/>
    <s v="3123618"/>
    <s v="3209339296"/>
    <s v="CR 44 CL 17 -120 (INTERIOR 2803 )"/>
    <x v="2"/>
    <s v="051424007001202803"/>
    <s v="Medellín"/>
    <x v="2"/>
    <s v="Revisor Inst. Particulares Metrosur"/>
    <x v="1"/>
    <n v="7"/>
    <s v="2025-12-10 08:40:53"/>
    <s v="1 días 08:40"/>
    <s v="6 días 08:40"/>
    <x v="0"/>
    <s v="SIN DATO"/>
    <s v="SIN DATO"/>
    <s v="SIN DATO"/>
    <s v="ABIERTO"/>
    <n v="-75.574616899999995"/>
    <n v="6.2194061100000004"/>
    <s v="SUR-ENE"/>
    <s v="Metropolitana Sur"/>
  </r>
  <r>
    <s v="23602241"/>
    <s v="ENERES"/>
    <s v="NUEVO"/>
    <s v="ENERES"/>
    <s v="28/11/2025 08:41:12"/>
    <s v="2025-11-28 08:41:12"/>
    <n v="800093117"/>
    <s v="ARQUITECTURA Y CONCRETO S.A.S"/>
    <s v="3123618"/>
    <s v="3209339296"/>
    <s v="CR 44 CL 17 -120 (INTERIOR 2704 )"/>
    <x v="2"/>
    <s v="051424007001202704"/>
    <s v="Medellín"/>
    <x v="2"/>
    <s v="Revisor Inst. Particulares Metrosur"/>
    <x v="1"/>
    <n v="7"/>
    <s v="2025-12-10 08:41:12"/>
    <s v="1 días 08:41"/>
    <s v="6 días 08:41"/>
    <x v="0"/>
    <s v="SIN DATO"/>
    <s v="SIN DATO"/>
    <s v="SIN DATO"/>
    <s v="ABIERTO"/>
    <n v="-75.574616899999995"/>
    <n v="6.2194061100000004"/>
    <s v="SUR-ENE"/>
    <s v="Metropolitana Sur"/>
  </r>
  <r>
    <s v="23602245"/>
    <s v="ENERES"/>
    <s v="NUEVO"/>
    <s v="ENERES"/>
    <s v="28/11/2025 08:41:23"/>
    <s v="2025-11-28 08:41:23"/>
    <n v="800093117"/>
    <s v="ARQUITECTURA Y CONCRETO S.A.S"/>
    <s v="3123618"/>
    <s v="3209339296"/>
    <s v="CR 44 CL 17 -120 (INTERIOR 2405 )"/>
    <x v="2"/>
    <s v="051424007001202405"/>
    <s v="Medellín"/>
    <x v="2"/>
    <s v="Revisor Inst. Particulares Metrosur"/>
    <x v="1"/>
    <n v="7"/>
    <s v="2025-12-10 08:41:23"/>
    <s v="1 días 08:41"/>
    <s v="6 días 08:41"/>
    <x v="0"/>
    <s v="SIN DATO"/>
    <s v="SIN DATO"/>
    <s v="SIN DATO"/>
    <s v="ABIERTO"/>
    <n v="-75.574616899999995"/>
    <n v="6.2194061100000004"/>
    <s v="SUR-ENE"/>
    <s v="Metropolitana Sur"/>
  </r>
  <r>
    <s v="23602246"/>
    <s v="ENERES"/>
    <s v="NUEVO"/>
    <s v="ENERES"/>
    <s v="28/11/2025 08:42:38"/>
    <s v="2025-11-28 08:42:38"/>
    <n v="800093117"/>
    <s v="ARQUITECTURA Y CONCRETO S.A.S"/>
    <s v="3123618"/>
    <s v="3209339296"/>
    <s v="CR 44 CL 17 -120 (INTERIOR 2106 )"/>
    <x v="2"/>
    <s v="051424007001202106"/>
    <s v="Medellín"/>
    <x v="2"/>
    <s v="Revisor Inst. Particulares Metrosur"/>
    <x v="1"/>
    <n v="7"/>
    <s v="2025-12-10 08:42:38"/>
    <s v="1 días 08:42"/>
    <s v="6 días 08:42"/>
    <x v="0"/>
    <s v="SIN DATO"/>
    <s v="SIN DATO"/>
    <s v="SIN DATO"/>
    <s v="ABIERTO"/>
    <n v="-75.574616899999995"/>
    <n v="6.2194061100000004"/>
    <s v="SUR-ENE"/>
    <s v="Metropolitana Sur"/>
  </r>
  <r>
    <s v="23602247"/>
    <s v="ENERES"/>
    <s v="NUEVO"/>
    <s v="ENERES"/>
    <s v="28/11/2025 08:42:43"/>
    <s v="2025-11-28 08:42:43"/>
    <n v="800093117"/>
    <s v="ARQUITECTURA Y CONCRETO S.A.S"/>
    <s v="3123618"/>
    <s v="3209339296"/>
    <s v="CR 44 CL 17 -120 (INTERIOR 2101 )"/>
    <x v="2"/>
    <s v="051424007001202101"/>
    <s v="Medellín"/>
    <x v="2"/>
    <s v="Revisor Inst. Particulares Metrosur"/>
    <x v="1"/>
    <n v="7"/>
    <s v="2025-12-10 08:42:43"/>
    <s v="1 días 08:42"/>
    <s v="6 días 08:42"/>
    <x v="0"/>
    <s v="SIN DATO"/>
    <s v="SIN DATO"/>
    <s v="SIN DATO"/>
    <s v="ABIERTO"/>
    <n v="-75.574616899999995"/>
    <n v="6.2194061100000004"/>
    <s v="SUR-ENE"/>
    <s v="Metropolitana Sur"/>
  </r>
  <r>
    <s v="23602248"/>
    <s v="ENERES"/>
    <s v="NUEVO"/>
    <s v="ENERES"/>
    <s v="28/11/2025 08:42:56"/>
    <s v="2025-11-28 08:42:56"/>
    <n v="800093117"/>
    <s v="ARQUITECTURA Y CONCRETO S.A.S"/>
    <s v="3123618"/>
    <s v="3209339296"/>
    <s v="CR 44 CL 17 -120 (INTERIOR 2104 )"/>
    <x v="2"/>
    <s v="051424007001202104"/>
    <s v="Medellín"/>
    <x v="2"/>
    <s v="Revisor Inst. Particulares Metrosur"/>
    <x v="1"/>
    <n v="7"/>
    <s v="2025-12-10 08:42:56"/>
    <s v="1 días 08:42"/>
    <s v="6 días 08:42"/>
    <x v="0"/>
    <s v="SIN DATO"/>
    <s v="SIN DATO"/>
    <s v="SIN DATO"/>
    <s v="ABIERTO"/>
    <n v="-75.574616899999995"/>
    <n v="6.2194061100000004"/>
    <s v="SUR-ENE"/>
    <s v="Metropolitana Sur"/>
  </r>
  <r>
    <s v="23602249"/>
    <s v="ENERES"/>
    <s v="NUEVO"/>
    <s v="ENERES"/>
    <s v="28/11/2025 08:43:11"/>
    <s v="2025-11-28 08:43:11"/>
    <n v="800093117"/>
    <s v="ARQUITECTURA Y CONCRETO S.A.S"/>
    <s v="3123618"/>
    <s v="3209339296"/>
    <s v="CR 44 CL 17 -120 (INTERIOR 1404 )"/>
    <x v="2"/>
    <s v="051424007001201404"/>
    <s v="Medellín"/>
    <x v="2"/>
    <s v="Revisor Inst. Particulares Metrosur"/>
    <x v="1"/>
    <n v="7"/>
    <s v="2025-12-10 08:43:11"/>
    <s v="1 días 08:43"/>
    <s v="6 días 08:43"/>
    <x v="0"/>
    <s v="SIN DATO"/>
    <s v="SIN DATO"/>
    <s v="SIN DATO"/>
    <s v="ABIERTO"/>
    <n v="-75.574616899999995"/>
    <n v="6.2194061100000004"/>
    <s v="SUR-ENE"/>
    <s v="Metropolitana Sur"/>
  </r>
  <r>
    <s v="23602283"/>
    <s v="ENERES"/>
    <s v="NUEVO"/>
    <s v="ENERES"/>
    <s v="28/11/2025 09:18:06"/>
    <s v="2025-11-28 09:18:06"/>
    <n v="800093117"/>
    <s v="ARQUITECTURA Y CONCRETO S.A.S"/>
    <s v="3123618"/>
    <s v="3209339296"/>
    <s v="CR 44 CL 17 -120 (INTERIOR 1701 )"/>
    <x v="2"/>
    <s v="051424007001201701"/>
    <s v="Medellín"/>
    <x v="2"/>
    <s v="Revisor Inst. Particulares Metrosur"/>
    <x v="1"/>
    <n v="7"/>
    <s v="2025-12-10 09:18:06"/>
    <s v="1 días 09:18"/>
    <s v="6 días 09:18"/>
    <x v="0"/>
    <s v="SIN DATO"/>
    <s v="SIN DATO"/>
    <s v="SIN DATO"/>
    <s v="ABIERTO"/>
    <n v="-75.574616899999995"/>
    <n v="6.2194061100000004"/>
    <s v="SUR-ENE"/>
    <s v="Metropolitana Sur"/>
  </r>
  <r>
    <s v="23602284"/>
    <s v="ENERES"/>
    <s v="NUEVO"/>
    <s v="ENERES"/>
    <s v="28/11/2025 09:18:18"/>
    <s v="2025-11-28 09:18:18"/>
    <n v="800093117"/>
    <s v="ARQUITECTURA Y CONCRETO S.A.S"/>
    <s v="3123618"/>
    <s v="3209339296"/>
    <s v="CR 44 CL 17 -120 (INTERIOR 2103 )"/>
    <x v="2"/>
    <s v="051424007001202103"/>
    <s v="Medellín"/>
    <x v="2"/>
    <s v="Revisor Inst. Particulares Metrosur"/>
    <x v="1"/>
    <n v="7"/>
    <s v="2025-12-10 09:18:18"/>
    <s v="1 días 09:18"/>
    <s v="6 días 09:18"/>
    <x v="0"/>
    <s v="SIN DATO"/>
    <s v="SIN DATO"/>
    <s v="SIN DATO"/>
    <s v="ABIERTO"/>
    <n v="-75.574616899999995"/>
    <n v="6.2194061100000004"/>
    <s v="SUR-ENE"/>
    <s v="Metropolitana Sur"/>
  </r>
  <r>
    <s v="23602287"/>
    <s v="ENERES"/>
    <s v="NUEVO"/>
    <s v="ENERES"/>
    <s v="28/11/2025 09:18:58"/>
    <s v="2025-11-28 09:18:58"/>
    <n v="800093117"/>
    <s v="ARQUITECTURA Y CONCRETO S.A.S"/>
    <s v="3123618"/>
    <s v="3209339296"/>
    <s v="CR 44 CL 17 -120 (INTERIOR 1603 )"/>
    <x v="2"/>
    <s v="051424007001201603"/>
    <s v="Medellín"/>
    <x v="2"/>
    <s v="Revisor Inst. Particulares Metrosur"/>
    <x v="1"/>
    <n v="7"/>
    <s v="2025-12-10 09:18:58"/>
    <s v="1 días 09:18"/>
    <s v="6 días 09:18"/>
    <x v="0"/>
    <s v="SIN DATO"/>
    <s v="SIN DATO"/>
    <s v="SIN DATO"/>
    <s v="ABIERTO"/>
    <n v="-75.574616899999995"/>
    <n v="6.2194061100000004"/>
    <s v="SUR-ENE"/>
    <s v="Metropolitana Sur"/>
  </r>
  <r>
    <s v="23602289"/>
    <s v="ENERES"/>
    <s v="NUEVO"/>
    <s v="ENERES"/>
    <s v="28/11/2025 09:19:47"/>
    <s v="2025-11-28 09:19:47"/>
    <n v="800093117"/>
    <s v="ARQUITECTURA Y CONCRETO S.A.S"/>
    <s v="3123618"/>
    <s v="3209339296"/>
    <s v="CR 44 CL 17 -120 (INTERIOR 1103 )"/>
    <x v="2"/>
    <s v="051424007001201103"/>
    <s v="Medellín"/>
    <x v="2"/>
    <s v="Revisor Inst. Particulares Metrosur"/>
    <x v="1"/>
    <n v="7"/>
    <s v="2025-12-10 09:19:47"/>
    <s v="1 días 09:19"/>
    <s v="6 días 09:19"/>
    <x v="0"/>
    <s v="SIN DATO"/>
    <s v="SIN DATO"/>
    <s v="SIN DATO"/>
    <s v="ABIERTO"/>
    <n v="-75.574616899999995"/>
    <n v="6.2194061100000004"/>
    <s v="SUR-ENE"/>
    <s v="Metropolitana Sur"/>
  </r>
  <r>
    <s v="23602291"/>
    <s v="ENERES"/>
    <s v="NUEVO"/>
    <s v="ENERES"/>
    <s v="28/11/2025 09:19:59"/>
    <s v="2025-11-28 09:19:59"/>
    <n v="800093117"/>
    <s v="ARQUITECTURA Y CONCRETO S.A.S"/>
    <s v="3123618"/>
    <s v="3209339296"/>
    <s v="CR 44 CL 17 -120 (INTERIOR 1106 )"/>
    <x v="2"/>
    <s v="051424007001201106"/>
    <s v="Medellín"/>
    <x v="2"/>
    <s v="Revisor Inst. Particulares Metrosur"/>
    <x v="1"/>
    <n v="7"/>
    <s v="2025-12-10 09:19:59"/>
    <s v="1 días 09:19"/>
    <s v="6 días 09:19"/>
    <x v="0"/>
    <s v="SIN DATO"/>
    <s v="SIN DATO"/>
    <s v="SIN DATO"/>
    <s v="ABIERTO"/>
    <n v="-75.574616899999995"/>
    <n v="6.2194061100000004"/>
    <s v="SUR-ENE"/>
    <s v="Metropolitana Sur"/>
  </r>
  <r>
    <s v="23602292"/>
    <s v="ENERES"/>
    <s v="NUEVO"/>
    <s v="ENERES"/>
    <s v="28/11/2025 09:20:11"/>
    <s v="2025-11-28 09:20:11"/>
    <n v="800093117"/>
    <s v="ARQUITECTURA Y CONCRETO S.A.S"/>
    <s v="3123618"/>
    <s v="3209339296"/>
    <s v="CR 44 CL 17 -120 (INTERIOR 1202 )"/>
    <x v="2"/>
    <s v="051424007001201202"/>
    <s v="Medellín"/>
    <x v="2"/>
    <s v="Revisor Inst. Particulares Metrosur"/>
    <x v="1"/>
    <n v="7"/>
    <s v="2025-12-10 09:20:11"/>
    <s v="1 días 09:20"/>
    <s v="6 días 09:20"/>
    <x v="0"/>
    <s v="SIN DATO"/>
    <s v="SIN DATO"/>
    <s v="SIN DATO"/>
    <s v="ABIERTO"/>
    <n v="-75.574616899999995"/>
    <n v="6.2194061100000004"/>
    <s v="SUR-ENE"/>
    <s v="Metropolitana Sur"/>
  </r>
  <r>
    <s v="23602294"/>
    <s v="ENERES"/>
    <s v="NUEVO"/>
    <s v="ENERES"/>
    <s v="28/11/2025 09:20:30"/>
    <s v="2025-11-28 09:20:30"/>
    <n v="800093117"/>
    <s v="ARQUITECTURA Y CONCRETO S.A.S"/>
    <s v="3123618"/>
    <s v="3209339296"/>
    <s v="CR 44 CL 17 -120 (INTERIOR 1206 )"/>
    <x v="2"/>
    <s v="051424007001201206"/>
    <s v="Medellín"/>
    <x v="2"/>
    <s v="Revisor Inst. Particulares Metrosur"/>
    <x v="1"/>
    <n v="7"/>
    <s v="2025-12-10 09:20:30"/>
    <s v="1 días 09:20"/>
    <s v="6 días 09:20"/>
    <x v="0"/>
    <s v="SIN DATO"/>
    <s v="SIN DATO"/>
    <s v="SIN DATO"/>
    <s v="ABIERTO"/>
    <n v="-75.574616899999995"/>
    <n v="6.2194061100000004"/>
    <s v="SUR-ENE"/>
    <s v="Metropolitana Sur"/>
  </r>
  <r>
    <s v="23602295"/>
    <s v="ENERES"/>
    <s v="NUEVO"/>
    <s v="ENERES"/>
    <s v="28/11/2025 09:20:42"/>
    <s v="2025-11-28 09:20:42"/>
    <n v="800093117"/>
    <s v="ARQUITECTURA Y CONCRETO S.A.S"/>
    <s v="3123618"/>
    <s v="3209339296"/>
    <s v="CR 44 CL 17 -120 (INTERIOR 801 )"/>
    <x v="2"/>
    <s v="051424007001200801"/>
    <s v="Medellín"/>
    <x v="2"/>
    <s v="Revisor Inst. Particulares Metrosur"/>
    <x v="1"/>
    <n v="7"/>
    <s v="2025-12-10 09:20:42"/>
    <s v="1 días 09:20"/>
    <s v="6 días 09:20"/>
    <x v="0"/>
    <s v="SIN DATO"/>
    <s v="SIN DATO"/>
    <s v="SIN DATO"/>
    <s v="ABIERTO"/>
    <n v="-75.574616899999995"/>
    <n v="6.2194061100000004"/>
    <s v="SUR-ENE"/>
    <s v="Metropolitana Sur"/>
  </r>
  <r>
    <s v="23602296"/>
    <s v="ENERES"/>
    <s v="NUEVO"/>
    <s v="ENERES"/>
    <s v="28/11/2025 09:21:31"/>
    <s v="2025-11-28 09:21:31"/>
    <n v="800093117"/>
    <s v="ARQUITECTURA Y CONCRETO S.A.S"/>
    <s v="3123618"/>
    <s v="3209339296"/>
    <s v="CR 44 CL 17 -120 (INTERIOR 2304 )"/>
    <x v="2"/>
    <s v="051424007001202304"/>
    <s v="Medellín"/>
    <x v="2"/>
    <s v="Revisor Inst. Particulares Metrosur"/>
    <x v="1"/>
    <n v="7"/>
    <s v="2025-12-10 09:21:31"/>
    <s v="1 días 09:21"/>
    <s v="6 días 09:21"/>
    <x v="0"/>
    <s v="SIN DATO"/>
    <s v="SIN DATO"/>
    <s v="SIN DATO"/>
    <s v="ABIERTO"/>
    <n v="-75.574616899999995"/>
    <n v="6.2194061100000004"/>
    <s v="SUR-ENE"/>
    <s v="Metropolitana Sur"/>
  </r>
  <r>
    <s v="23602298"/>
    <s v="ENERES"/>
    <s v="NUEVO"/>
    <s v="ENERES"/>
    <s v="28/11/2025 09:21:50"/>
    <s v="2025-11-28 09:21:50"/>
    <n v="800093117"/>
    <s v="ARQUITECTURA Y CONCRETO S.A.S"/>
    <s v="3123618"/>
    <s v="3209339296"/>
    <s v="CR 44 CL 17 -120 (INTERIOR 2606 )"/>
    <x v="2"/>
    <s v="051424007001202606"/>
    <s v="Medellín"/>
    <x v="2"/>
    <s v="Revisor Inst. Particulares Metrosur"/>
    <x v="1"/>
    <n v="7"/>
    <s v="2025-12-10 09:21:50"/>
    <s v="1 días 09:21"/>
    <s v="6 días 09:21"/>
    <x v="0"/>
    <s v="SIN DATO"/>
    <s v="SIN DATO"/>
    <s v="SIN DATO"/>
    <s v="ABIERTO"/>
    <n v="-75.574616899999995"/>
    <n v="6.2194061100000004"/>
    <s v="SUR-ENE"/>
    <s v="Metropolitana Sur"/>
  </r>
  <r>
    <s v="23602299"/>
    <s v="ENERES"/>
    <s v="NUEVO"/>
    <s v="ENERES"/>
    <s v="28/11/2025 09:22:13"/>
    <s v="2025-11-28 09:22:13"/>
    <n v="800093117"/>
    <s v="ARQUITECTURA Y CONCRETO S.A.S"/>
    <s v="3123618"/>
    <s v="3209339296"/>
    <s v="CR 44 CL 17 -120 (INTERIOR 2602 )"/>
    <x v="2"/>
    <s v="051424007001202602"/>
    <s v="Medellín"/>
    <x v="2"/>
    <s v="Revisor Inst. Particulares Metrosur"/>
    <x v="1"/>
    <n v="7"/>
    <s v="2025-12-10 09:22:13"/>
    <s v="1 días 09:22"/>
    <s v="6 días 09:22"/>
    <x v="0"/>
    <s v="SIN DATO"/>
    <s v="SIN DATO"/>
    <s v="SIN DATO"/>
    <s v="ABIERTO"/>
    <n v="-75.574616899999995"/>
    <n v="6.2194061100000004"/>
    <s v="SUR-ENE"/>
    <s v="Metropolitana Sur"/>
  </r>
  <r>
    <s v="23602312"/>
    <s v="ENERES"/>
    <s v="NUEVO"/>
    <s v="ENERES"/>
    <s v="28/11/2025 09:26:37"/>
    <s v="2025-11-28 09:26:37"/>
    <n v="1036674008"/>
    <s v="ALEJANDRA MILENA RESTREPO GIRALDO"/>
    <s v="SIN DATOS"/>
    <s v="3042182152"/>
    <s v="CL 32 CR 67 -5"/>
    <x v="1"/>
    <s v="073612007000050000"/>
    <s v="Itaguí"/>
    <x v="2"/>
    <s v="Revisor Instal. Regadas Metrosur"/>
    <x v="1"/>
    <n v="7"/>
    <s v="2025-12-10 09:26:37"/>
    <s v="1 días 09:26"/>
    <s v="6 días 09:26"/>
    <x v="0"/>
    <s v="SIN DATO"/>
    <s v="SIN DATO"/>
    <s v="SIN DATO"/>
    <s v="ABIERTO"/>
    <n v="-75.636459099999996"/>
    <n v="6.1716654200000001"/>
    <s v="SUR-ENE"/>
    <s v="Metropolitana Sur"/>
  </r>
  <r>
    <s v="23602318"/>
    <s v="ENERES"/>
    <s v="NUEVO"/>
    <s v="ENERES"/>
    <s v="28/11/2025 09:30:19"/>
    <s v="2025-11-28 09:30:19"/>
    <n v="70103344"/>
    <s v="JOSE MAURICIO POSADA GUTIERREZ"/>
    <s v="SIN DATOS"/>
    <s v="3108411178"/>
    <s v="RURAL_161078600000000001_PROV.VIA ALTO DE MINAS CE"/>
    <x v="3"/>
    <s v="161078600000000001"/>
    <s v="Caldas"/>
    <x v="2"/>
    <s v="Revisor Instal. Regadas Metrosur"/>
    <x v="0"/>
    <n v="10"/>
    <s v="2025-12-15 09:30:19"/>
    <s v="1 días 09:30"/>
    <s v="9 días 09:30"/>
    <x v="0"/>
    <s v="SIN DATO"/>
    <s v="SIN DATO"/>
    <s v="SIN DATO"/>
    <s v="ABIERTO"/>
    <n v="-75.630610599999997"/>
    <n v="6.0470989700000004"/>
    <s v="SUR-ENE"/>
    <s v="Metropolitana Sur"/>
  </r>
  <r>
    <s v="23602319"/>
    <s v="ENEPRE"/>
    <s v="NUEVO"/>
    <s v="ENEPRE"/>
    <s v="28/11/2025 09:30:26"/>
    <s v="2025-11-28 09:30:26"/>
    <n v="43733189"/>
    <s v="LUZ YANED ALVAREZ PEÑA"/>
    <s v="SIN DATOS"/>
    <s v="3128217209"/>
    <s v="CL 58 CR 120 G -89"/>
    <x v="2"/>
    <s v="085218000700890000"/>
    <s v="Medellín"/>
    <x v="6"/>
    <s v="Energía Prepago Metrosur"/>
    <x v="1"/>
    <n v="11"/>
    <s v="2025-12-16 09:30:26"/>
    <s v="1 días 09:30"/>
    <s v="10 días 09:30"/>
    <x v="0"/>
    <s v="SIN DATO"/>
    <s v="SIN DATO"/>
    <s v="SIN DATO"/>
    <s v="ABIERTO"/>
    <n v="-75.626637000000002"/>
    <n v="6.2742269999999998"/>
    <s v="SUR-ENE"/>
    <s v="Metropolitana Sur"/>
  </r>
  <r>
    <s v="23602347"/>
    <s v="ENECNX"/>
    <s v="NUEVO"/>
    <s v="ENECNX"/>
    <s v="28/11/2025 09:55:09"/>
    <s v="2025-11-28 09:55:09"/>
    <n v="8102764"/>
    <s v="FELIPE GOMEZ ARDILA"/>
    <s v="3810025"/>
    <s v="3155031186"/>
    <s v="RURAL_125002630000001012_LAS PALMAS ENVIGADO"/>
    <x v="5"/>
    <s v="125002630000001012"/>
    <s v="Envigado"/>
    <x v="3"/>
    <s v="Revisor Puntos de Conexión Metrosur"/>
    <x v="0"/>
    <n v="4"/>
    <s v="2025-12-04 09:55:09"/>
    <s v="1 días 09:55"/>
    <s v="3 días 09:55"/>
    <x v="0"/>
    <s v="SIN DATO"/>
    <s v="SIN DATO"/>
    <s v="SIN DATO"/>
    <s v="ABIERTO"/>
    <n v="-75.530072820000001"/>
    <n v="6.1678201399999999"/>
    <s v="SUR-ENE"/>
    <s v="Metropolitana Sur"/>
  </r>
  <r>
    <s v="23602364"/>
    <s v="ENERES"/>
    <s v="NUEVO"/>
    <s v="ENERES"/>
    <s v="28/11/2025 10:08:56"/>
    <s v="2025-11-28 10:08:56"/>
    <n v="800093117"/>
    <s v="ARQUITECTURA Y CONCRETO S.A.S"/>
    <s v="3123618"/>
    <s v="3209339296"/>
    <s v="CR 44 CL 17 -120 (INTERIOR 1506 )"/>
    <x v="2"/>
    <s v="051424007001201506"/>
    <s v="Medellín"/>
    <x v="2"/>
    <s v="Revisor Inst. Particulares Metrosur"/>
    <x v="1"/>
    <n v="7"/>
    <s v="2025-12-10 10:08:56"/>
    <s v="1 días 10:08"/>
    <s v="6 días 10:08"/>
    <x v="0"/>
    <s v="SIN DATO"/>
    <s v="SIN DATO"/>
    <s v="SIN DATO"/>
    <s v="ABIERTO"/>
    <n v="-75.574616899999995"/>
    <n v="6.2194061100000004"/>
    <s v="SUR-ENE"/>
    <s v="Metropolitana Sur"/>
  </r>
  <r>
    <s v="23602365"/>
    <s v="ENERES"/>
    <s v="NUEVO"/>
    <s v="ENERES"/>
    <s v="28/11/2025 10:09:07"/>
    <s v="2025-11-28 10:09:07"/>
    <n v="800093117"/>
    <s v="ARQUITECTURA Y CONCRETO S.A.S"/>
    <s v="3123618"/>
    <s v="3209339296"/>
    <s v="CR 44 CL 17 -120 (INTERIOR 1503 )"/>
    <x v="2"/>
    <s v="051424007001201503"/>
    <s v="Medellín"/>
    <x v="2"/>
    <s v="Revisor Inst. Particulares Metrosur"/>
    <x v="1"/>
    <n v="7"/>
    <s v="2025-12-10 10:09:07"/>
    <s v="1 días 10:09"/>
    <s v="6 días 10:09"/>
    <x v="0"/>
    <s v="SIN DATO"/>
    <s v="SIN DATO"/>
    <s v="SIN DATO"/>
    <s v="ABIERTO"/>
    <n v="-75.574616899999995"/>
    <n v="6.2194061100000004"/>
    <s v="SUR-ENE"/>
    <s v="Metropolitana Sur"/>
  </r>
  <r>
    <s v="23602366"/>
    <s v="ENERES"/>
    <s v="NUEVO"/>
    <s v="ENERES"/>
    <s v="28/11/2025 10:09:17"/>
    <s v="2025-11-28 10:09:17"/>
    <n v="800093117"/>
    <s v="ARQUITECTURA Y CONCRETO S.A.S"/>
    <s v="3123618"/>
    <s v="3209339296"/>
    <s v="CR 44 CL 17 -120 (INTERIOR 1406 )"/>
    <x v="2"/>
    <s v="051424007001201406"/>
    <s v="Medellín"/>
    <x v="2"/>
    <s v="Revisor Inst. Particulares Metrosur"/>
    <x v="1"/>
    <n v="7"/>
    <s v="2025-12-10 10:09:17"/>
    <s v="1 días 10:09"/>
    <s v="6 días 10:09"/>
    <x v="0"/>
    <s v="SIN DATO"/>
    <s v="SIN DATO"/>
    <s v="SIN DATO"/>
    <s v="ABIERTO"/>
    <n v="-75.574616899999995"/>
    <n v="6.2194061100000004"/>
    <s v="SUR-ENE"/>
    <s v="Metropolitana Sur"/>
  </r>
  <r>
    <s v="23602369"/>
    <s v="ENERES"/>
    <s v="NUEVO"/>
    <s v="ENERES"/>
    <s v="28/11/2025 10:10:28"/>
    <s v="2025-11-28 10:10:28"/>
    <n v="800093117"/>
    <s v="ARQUITECTURA Y CONCRETO S.A.S"/>
    <s v="3123618"/>
    <s v="3209339296"/>
    <s v="CR 44 CL 17 -120 (INTERIOR 701 )"/>
    <x v="2"/>
    <s v="051424007001200701"/>
    <s v="Medellín"/>
    <x v="2"/>
    <s v="Revisor Inst. Particulares Metrosur"/>
    <x v="1"/>
    <n v="7"/>
    <s v="2025-12-10 10:10:28"/>
    <s v="1 días 10:10"/>
    <s v="6 días 10:10"/>
    <x v="0"/>
    <s v="SIN DATO"/>
    <s v="SIN DATO"/>
    <s v="SIN DATO"/>
    <s v="ABIERTO"/>
    <n v="-75.574616899999995"/>
    <n v="6.2194061100000004"/>
    <s v="SUR-ENE"/>
    <s v="Metropolitana Sur"/>
  </r>
  <r>
    <s v="23602371"/>
    <s v="ENERES"/>
    <s v="NUEVO"/>
    <s v="ENERES"/>
    <s v="28/11/2025 10:10:46"/>
    <s v="2025-11-28 10:10:46"/>
    <n v="800093117"/>
    <s v="ARQUITECTURA Y CONCRETO S.A.S"/>
    <s v="3123618"/>
    <s v="3209339296"/>
    <s v="CR 44 CL 17 -120 (INTERIOR 1102 )"/>
    <x v="2"/>
    <s v="051424007001201102"/>
    <s v="Medellín"/>
    <x v="2"/>
    <s v="Revisor Inst. Particulares Metrosur"/>
    <x v="1"/>
    <n v="7"/>
    <s v="2025-12-10 10:10:46"/>
    <s v="1 días 10:10"/>
    <s v="6 días 10:10"/>
    <x v="0"/>
    <s v="SIN DATO"/>
    <s v="SIN DATO"/>
    <s v="SIN DATO"/>
    <s v="ABIERTO"/>
    <n v="-75.574616899999995"/>
    <n v="6.2194061100000004"/>
    <s v="SUR-ENE"/>
    <s v="Metropolitana Sur"/>
  </r>
  <r>
    <s v="23602373"/>
    <s v="ENERES"/>
    <s v="NUEVO"/>
    <s v="ENERES"/>
    <s v="28/11/2025 10:10:58"/>
    <s v="2025-11-28 10:10:58"/>
    <n v="800093117"/>
    <s v="ARQUITECTURA Y CONCRETO S.A.S"/>
    <s v="3123618"/>
    <s v="3209339296"/>
    <s v="CR 44 CL 17 -120 (INTERIOR 1302 )"/>
    <x v="2"/>
    <s v="051424007001201302"/>
    <s v="Medellín"/>
    <x v="2"/>
    <s v="Revisor Inst. Particulares Metrosur"/>
    <x v="1"/>
    <n v="7"/>
    <s v="2025-12-10 10:10:58"/>
    <s v="1 días 10:10"/>
    <s v="6 días 10:10"/>
    <x v="0"/>
    <s v="SIN DATO"/>
    <s v="SIN DATO"/>
    <s v="SIN DATO"/>
    <s v="ABIERTO"/>
    <n v="-75.574616899999995"/>
    <n v="6.2194061100000004"/>
    <s v="SUR-ENE"/>
    <s v="Metropolitana Sur"/>
  </r>
  <r>
    <s v="23602375"/>
    <s v="ENERES"/>
    <s v="NUEVO"/>
    <s v="ENERES"/>
    <s v="28/11/2025 10:11:16"/>
    <s v="2025-11-28 10:11:16"/>
    <n v="800093117"/>
    <s v="ARQUITECTURA Y CONCRETO S.A.S"/>
    <s v="3123618"/>
    <s v="3209339296"/>
    <s v="CR 44 CL 17 -120 (INTERIOR 1105 )"/>
    <x v="2"/>
    <s v="051424007001201105"/>
    <s v="Medellín"/>
    <x v="2"/>
    <s v="Revisor Inst. Particulares Metrosur"/>
    <x v="1"/>
    <n v="7"/>
    <s v="2025-12-10 10:11:16"/>
    <s v="1 días 10:11"/>
    <s v="6 días 10:11"/>
    <x v="0"/>
    <s v="SIN DATO"/>
    <s v="SIN DATO"/>
    <s v="SIN DATO"/>
    <s v="ABIERTO"/>
    <n v="-75.574616899999995"/>
    <n v="6.2194061100000004"/>
    <s v="SUR-ENE"/>
    <s v="Metropolitana Sur"/>
  </r>
  <r>
    <s v="23602376"/>
    <s v="ENERES"/>
    <s v="NUEVO"/>
    <s v="ENERES"/>
    <s v="28/11/2025 10:11:35"/>
    <s v="2025-11-28 10:11:35"/>
    <n v="800093117"/>
    <s v="ARQUITECTURA Y CONCRETO S.A.S"/>
    <s v="3123618"/>
    <s v="3209339296"/>
    <s v="CR 44 CL 17 -120 (INTERIOR 606 )"/>
    <x v="2"/>
    <s v="051424007001200606"/>
    <s v="Medellín"/>
    <x v="2"/>
    <s v="Revisor Inst. Particulares Metrosur"/>
    <x v="1"/>
    <n v="7"/>
    <s v="2025-12-10 10:11:35"/>
    <s v="1 días 10:11"/>
    <s v="6 días 10:11"/>
    <x v="0"/>
    <s v="SIN DATO"/>
    <s v="SIN DATO"/>
    <s v="SIN DATO"/>
    <s v="ABIERTO"/>
    <n v="-75.574616899999995"/>
    <n v="6.2194061100000004"/>
    <s v="SUR-ENE"/>
    <s v="Metropolitana Sur"/>
  </r>
  <r>
    <s v="23602377"/>
    <s v="ENERES"/>
    <s v="NUEVO"/>
    <s v="ENERES"/>
    <s v="28/11/2025 10:11:37"/>
    <s v="2025-11-28 10:11:37"/>
    <n v="800093117"/>
    <s v="ARQUITECTURA Y CONCRETO S.A.S"/>
    <s v="3123618"/>
    <s v="3209339296"/>
    <s v="CR 44 CL 17 -120 (INTERIOR 1104 )"/>
    <x v="2"/>
    <s v="051424007001201104"/>
    <s v="Medellín"/>
    <x v="2"/>
    <s v="Revisor Inst. Particulares Metrosur"/>
    <x v="1"/>
    <n v="7"/>
    <s v="2025-12-10 10:11:37"/>
    <s v="1 días 10:11"/>
    <s v="6 días 10:11"/>
    <x v="0"/>
    <s v="SIN DATO"/>
    <s v="SIN DATO"/>
    <s v="SIN DATO"/>
    <s v="ABIERTO"/>
    <n v="-75.574616899999995"/>
    <n v="6.2194061100000004"/>
    <s v="SUR-ENE"/>
    <s v="Metropolitana Sur"/>
  </r>
  <r>
    <s v="23602379"/>
    <s v="ENEPRE"/>
    <s v="NUEVO"/>
    <s v="ENEPRE"/>
    <s v="28/11/2025 10:13:17"/>
    <s v="2025-11-28 10:13:17"/>
    <n v="1036640032"/>
    <s v="JUAN PABLO FLOREZ SANCHEZ"/>
    <s v="SIN DATOS"/>
    <s v="3026178412"/>
    <s v="CL 81 CR 50 A -14 (INTERIOR 305 )"/>
    <x v="1"/>
    <s v="078511000100140305"/>
    <s v="Itaguí"/>
    <x v="6"/>
    <s v="Energía Prepago Metrosur"/>
    <x v="1"/>
    <n v="11"/>
    <s v="2025-12-16 10:13:17"/>
    <s v="1 días 10:13"/>
    <s v="10 días 10:13"/>
    <x v="0"/>
    <s v="SIN DATO"/>
    <s v="SIN DATO"/>
    <s v="SIN DATO"/>
    <s v="ABIERTO"/>
    <n v="-75.592793819999997"/>
    <n v="6.18839615"/>
    <s v="SUR-ENE"/>
    <s v="Metropolitana Sur"/>
  </r>
  <r>
    <s v="23602384"/>
    <s v="ENEPRE"/>
    <s v="RETIR"/>
    <s v="ENEPRE"/>
    <s v="28/11/2025 10:15:29"/>
    <s v="2025-11-28 10:15:29"/>
    <n v="43522411"/>
    <s v="DIANA MARCELA JIMENEZ GIRALDO"/>
    <s v="SIN DATOS"/>
    <s v="3136563837"/>
    <s v="CL 45 CR 77 -68"/>
    <x v="2"/>
    <s v="054715007000680000-ENEPRE"/>
    <s v="Medellín"/>
    <x v="8"/>
    <s v="Energía Prepago Metrosur"/>
    <x v="1"/>
    <n v="11"/>
    <s v="2025-12-16 10:15:29"/>
    <s v="1 días 10:15"/>
    <s v="10 días 10:15"/>
    <x v="0"/>
    <s v="SIN DATO"/>
    <s v="SIN DATO"/>
    <s v="SIN DATO"/>
    <s v="ABIERTO"/>
    <n v="-75.596436909999994"/>
    <n v="6.2513020600000004"/>
    <s v="SUR-ENE"/>
    <s v="Metropolitana Sur"/>
  </r>
  <r>
    <s v="23602390"/>
    <s v="ENEMRT"/>
    <s v="NUEVO"/>
    <s v="ENEMVI"/>
    <s v="28/11/2025 10:20:51"/>
    <s v="2025-11-28 10:20:51"/>
    <n v="8161089"/>
    <s v="CAMILO ANGEL MACHADO"/>
    <s v="2669168"/>
    <s v="3166908498"/>
    <s v="PAJARITO 170050100160991"/>
    <x v="2"/>
    <s v="000000000000000000"/>
    <s v="Medellín"/>
    <x v="11"/>
    <s v="METR Mov Red Trans Anderson Castaño"/>
    <x v="1"/>
    <n v="9"/>
    <s v="2025-12-12 10:20:51"/>
    <s v="1 días 10:20"/>
    <s v="8 días 10:20"/>
    <x v="0"/>
    <s v="SIN DATO"/>
    <s v="SIN DATO"/>
    <s v="SIN DATO"/>
    <s v="ABIERTO"/>
    <n v="-75.610884501000001"/>
    <n v="6.2574398200000596"/>
    <s v="SUR-ENE"/>
    <s v="Metropolitana Sur"/>
  </r>
  <r>
    <s v="23602405"/>
    <s v="ENERES"/>
    <s v="NUEVO"/>
    <s v="ENERES"/>
    <s v="28/11/2025 10:32:10"/>
    <s v="2025-11-28 10:32:10"/>
    <n v="800093117"/>
    <s v="ARQUITECTURA Y CONCRETO S.A.S"/>
    <s v="3123618"/>
    <s v="3209339296"/>
    <s v="CR 44 CL 17 -120 (INTERIOR 1601 )"/>
    <x v="2"/>
    <s v="051424007001201601"/>
    <s v="Medellín"/>
    <x v="2"/>
    <s v="Revisor Inst. Particulares Metrosur"/>
    <x v="1"/>
    <n v="7"/>
    <s v="2025-12-10 10:32:10"/>
    <s v="1 días 10:32"/>
    <s v="6 días 10:32"/>
    <x v="0"/>
    <s v="SIN DATO"/>
    <s v="SIN DATO"/>
    <s v="SIN DATO"/>
    <s v="ABIERTO"/>
    <n v="-75.574616899999995"/>
    <n v="6.2194061100000004"/>
    <s v="SUR-ENE"/>
    <s v="Metropolitana Sur"/>
  </r>
  <r>
    <s v="23602406"/>
    <s v="ENERES"/>
    <s v="NUEVO"/>
    <s v="ENERES"/>
    <s v="28/11/2025 10:32:35"/>
    <s v="2025-11-28 10:32:35"/>
    <n v="800093117"/>
    <s v="ARQUITECTURA Y CONCRETO S.A.S"/>
    <s v="3123618"/>
    <s v="3209339296"/>
    <s v="CR 44 CL 17 -120 (INTERIOR 1606 )"/>
    <x v="2"/>
    <s v="051424007001201606"/>
    <s v="Medellín"/>
    <x v="2"/>
    <s v="Revisor Inst. Particulares Metrosur"/>
    <x v="1"/>
    <n v="7"/>
    <s v="2025-12-10 10:32:35"/>
    <s v="1 días 10:32"/>
    <s v="6 días 10:32"/>
    <x v="0"/>
    <s v="SIN DATO"/>
    <s v="SIN DATO"/>
    <s v="SIN DATO"/>
    <s v="ABIERTO"/>
    <n v="-75.574616899999995"/>
    <n v="6.2194061100000004"/>
    <s v="SUR-ENE"/>
    <s v="Metropolitana Sur"/>
  </r>
  <r>
    <s v="23602409"/>
    <s v="ENERES"/>
    <s v="NUEVO"/>
    <s v="ENERES"/>
    <s v="28/11/2025 10:33:21"/>
    <s v="2025-11-28 10:33:21"/>
    <n v="800093117"/>
    <s v="ARQUITECTURA Y CONCRETO S.A.S"/>
    <s v="3123618"/>
    <s v="3209339296"/>
    <s v="CR 44 CL 17 -120 (INTERIOR 1101 )"/>
    <x v="2"/>
    <s v="051424007001201101"/>
    <s v="Medellín"/>
    <x v="2"/>
    <s v="Revisor Inst. Particulares Metrosur"/>
    <x v="1"/>
    <n v="7"/>
    <s v="2025-12-10 10:33:21"/>
    <s v="1 días 10:33"/>
    <s v="6 días 10:33"/>
    <x v="0"/>
    <s v="SIN DATO"/>
    <s v="SIN DATO"/>
    <s v="SIN DATO"/>
    <s v="ABIERTO"/>
    <n v="-75.574616899999995"/>
    <n v="6.2194061100000004"/>
    <s v="SUR-ENE"/>
    <s v="Metropolitana Sur"/>
  </r>
  <r>
    <s v="23602410"/>
    <s v="ENERES"/>
    <s v="NUEVO"/>
    <s v="ENERES"/>
    <s v="28/11/2025 10:33:30"/>
    <s v="2025-11-28 10:33:30"/>
    <n v="800093117"/>
    <s v="ARQUITECTURA Y CONCRETO S.A.S"/>
    <s v="3123618"/>
    <s v="3209339296"/>
    <s v="CR 44 CL 17 -120 (INTERIOR 1005 )"/>
    <x v="2"/>
    <s v="051424007001201005"/>
    <s v="Medellín"/>
    <x v="2"/>
    <s v="Revisor Inst. Particulares Metrosur"/>
    <x v="1"/>
    <n v="7"/>
    <s v="2025-12-10 10:33:30"/>
    <s v="1 días 10:33"/>
    <s v="6 días 10:33"/>
    <x v="0"/>
    <s v="SIN DATO"/>
    <s v="SIN DATO"/>
    <s v="SIN DATO"/>
    <s v="ABIERTO"/>
    <n v="-75.574616899999995"/>
    <n v="6.2194061100000004"/>
    <s v="SUR-ENE"/>
    <s v="Metropolitana Sur"/>
  </r>
  <r>
    <s v="23602411"/>
    <s v="ENERES"/>
    <s v="NUEVO"/>
    <s v="ENERES"/>
    <s v="28/11/2025 10:33:45"/>
    <s v="2025-11-28 10:33:45"/>
    <n v="800093117"/>
    <s v="ARQUITECTURA Y CONCRETO S.A.S"/>
    <s v="3123618"/>
    <s v="3209339296"/>
    <s v="CR 44 CL 17 -120 (INTERIOR 703 )"/>
    <x v="2"/>
    <s v="051424007001200703"/>
    <s v="Medellín"/>
    <x v="2"/>
    <s v="Revisor Inst. Particulares Metrosur"/>
    <x v="1"/>
    <n v="7"/>
    <s v="2025-12-10 10:33:45"/>
    <s v="1 días 10:33"/>
    <s v="6 días 10:33"/>
    <x v="0"/>
    <s v="SIN DATO"/>
    <s v="SIN DATO"/>
    <s v="SIN DATO"/>
    <s v="ABIERTO"/>
    <n v="-75.574616899999995"/>
    <n v="6.2194061100000004"/>
    <s v="SUR-ENE"/>
    <s v="Metropolitana Sur"/>
  </r>
  <r>
    <s v="23602412"/>
    <s v="ENERES"/>
    <s v="NUEVO"/>
    <s v="ENERES"/>
    <s v="28/11/2025 10:33:58"/>
    <s v="2025-11-28 10:33:58"/>
    <n v="800093117"/>
    <s v="ARQUITECTURA Y CONCRETO S.A.S"/>
    <s v="3123618"/>
    <s v="3209339296"/>
    <s v="CR 44 CL 17 -120 (INTERIOR 603 )"/>
    <x v="2"/>
    <s v="051424007001200603"/>
    <s v="Medellín"/>
    <x v="2"/>
    <s v="Revisor Inst. Particulares Metrosur"/>
    <x v="1"/>
    <n v="7"/>
    <s v="2025-12-10 10:33:58"/>
    <s v="1 días 10:33"/>
    <s v="6 días 10:33"/>
    <x v="0"/>
    <s v="SIN DATO"/>
    <s v="SIN DATO"/>
    <s v="SIN DATO"/>
    <s v="ABIERTO"/>
    <n v="-75.574616899999995"/>
    <n v="6.2194061100000004"/>
    <s v="SUR-ENE"/>
    <s v="Metropolitana Sur"/>
  </r>
  <r>
    <s v="23602428"/>
    <s v="ENECNX"/>
    <s v="NUEVO"/>
    <s v="ENECNX"/>
    <s v="28/11/2025 10:38:28"/>
    <s v="2025-11-28 10:38:28"/>
    <n v="98628403"/>
    <s v="JAINER ALEXANDER GIRALDO"/>
    <s v="SIN DATOS"/>
    <s v="3173387521"/>
    <s v="CR 85 CL 32 -30"/>
    <x v="2"/>
    <s v="053825002000300000"/>
    <s v="Medellín"/>
    <x v="3"/>
    <s v="Revisor Puntos de Conexión Metrosur"/>
    <x v="1"/>
    <n v="4"/>
    <s v="2025-12-04 10:38:28"/>
    <s v="1 días 10:38"/>
    <s v="3 días 10:38"/>
    <x v="0"/>
    <s v="SIN DATO"/>
    <s v="SIN DATO"/>
    <s v="SIN DATO"/>
    <s v="ABIERTO"/>
    <n v="-75.608080270000002"/>
    <n v="6.2346810599999998"/>
    <s v="SUR-ENE"/>
    <s v="Metropolitana Sur"/>
  </r>
  <r>
    <s v="23602430"/>
    <s v="ENECNX"/>
    <s v="NUEVO"/>
    <s v="ENECNX"/>
    <s v="28/11/2025 10:39:35"/>
    <s v="2025-11-28 10:39:35"/>
    <n v="16486382"/>
    <s v="JOSE ALBEIRO RAMIREZ GIRALDO"/>
    <s v="2931456"/>
    <s v="3137005660"/>
    <s v="TRAN 31 SUR DIAG 32 D -53"/>
    <x v="5"/>
    <s v="023391002400530000"/>
    <s v="Envigado"/>
    <x v="3"/>
    <s v="Revisor Puntos de Conexión Metrosur"/>
    <x v="1"/>
    <n v="4"/>
    <s v="2025-12-04 10:39:35"/>
    <s v="1 días 10:39"/>
    <s v="3 días 10:39"/>
    <x v="0"/>
    <s v="SIN DATO"/>
    <s v="SIN DATO"/>
    <s v="SIN DATO"/>
    <s v="ABIERTO"/>
    <n v="-75.584828999999999"/>
    <n v="6.1764032799999997"/>
    <s v="SUR-ENE"/>
    <s v="Metropolitana Sur"/>
  </r>
  <r>
    <s v="23602438"/>
    <s v="ENECNX"/>
    <s v="NUEVO"/>
    <s v="ENECNX"/>
    <s v="28/11/2025 10:43:49"/>
    <s v="2025-11-28 10:43:49"/>
    <n v="71276006"/>
    <s v="ALEXIS NARANJO CEBALLOS"/>
    <s v="2981540"/>
    <s v="3215173615"/>
    <s v="CL 18 B CR 88 A -50"/>
    <x v="2"/>
    <s v="051818208100500000"/>
    <s v="Medellín"/>
    <x v="3"/>
    <s v="Revisor Puntos de Conexión Metrosur"/>
    <x v="1"/>
    <n v="4"/>
    <s v="2025-12-04 10:43:49"/>
    <s v="1 días 10:43"/>
    <s v="3 días 10:43"/>
    <x v="0"/>
    <s v="SIN DATO"/>
    <s v="SIN DATO"/>
    <s v="SIN DATO"/>
    <s v="ABIERTO"/>
    <n v="-75.610864919999997"/>
    <n v="6.22217194"/>
    <s v="SUR-ENE"/>
    <s v="Metropolitana Sur"/>
  </r>
  <r>
    <s v="23602439"/>
    <s v="ENERES"/>
    <s v="NUEVO"/>
    <s v="ENERES"/>
    <s v="28/11/2025 10:44:16"/>
    <s v="2025-11-28 10:44:16"/>
    <n v="43405065"/>
    <s v="ALBA YANETH PALACIO SANCHEZ"/>
    <s v="SIN DATOS"/>
    <s v="3148155927"/>
    <s v="RURAL_163014829600000001_EL PEDREGAL"/>
    <x v="1"/>
    <s v="163014829600000001"/>
    <s v="Itaguí"/>
    <x v="2"/>
    <s v="Revisor Instal. Regadas Metrosur"/>
    <x v="0"/>
    <n v="10"/>
    <s v="2025-12-15 10:44:16"/>
    <s v="1 días 10:44"/>
    <s v="9 días 10:44"/>
    <x v="0"/>
    <s v="SIN DATO"/>
    <s v="SIN DATO"/>
    <s v="SIN DATO"/>
    <s v="ABIERTO"/>
    <n v="-75.619076329999999"/>
    <n v="6.1887325799999999"/>
    <s v="SUR-ENE"/>
    <s v="Metropolitana Sur"/>
  </r>
  <r>
    <s v="23602440"/>
    <s v="ENERES"/>
    <s v="NUEVO"/>
    <s v="ENERES"/>
    <s v="28/11/2025 10:44:35"/>
    <s v="2025-11-28 10:44:35"/>
    <n v="901335234"/>
    <s v="TERRAH SAS"/>
    <s v="3118500"/>
    <s v="3213935325"/>
    <s v="CL 77 SUR CR 34 -82 (BQ 2 )"/>
    <x v="4"/>
    <s v="017317004000820002"/>
    <s v="Sabaneta"/>
    <x v="2"/>
    <s v="Revisor Inst. Particulares Metrosur"/>
    <x v="1"/>
    <n v="7"/>
    <s v="2025-12-10 10:44:35"/>
    <s v="1 días 10:44"/>
    <s v="6 días 10:44"/>
    <x v="0"/>
    <s v="SIN DATO"/>
    <s v="SIN DATO"/>
    <s v="SIN DATO"/>
    <s v="ABIERTO"/>
    <n v="-75.617241000000007"/>
    <n v="6.1404480000000001"/>
    <s v="SUR-ENE"/>
    <s v="Metropolitana Sur"/>
  </r>
  <r>
    <s v="23602467"/>
    <s v="ENECNX"/>
    <s v="NUEVO"/>
    <s v="ENECNX"/>
    <s v="28/11/2025 10:48:26"/>
    <s v="2025-11-28 10:48:26"/>
    <n v="890910110"/>
    <s v="LADRILLERA EL DIAMANTE S.A"/>
    <s v="2004308"/>
    <s v="3116323117"/>
    <s v="CL 31 F CR 100 -10"/>
    <x v="2"/>
    <s v="083011600000100000"/>
    <s v="Medellín"/>
    <x v="3"/>
    <s v="Revisor Puntos de Conexión Metrosur"/>
    <x v="1"/>
    <n v="4"/>
    <s v="2025-12-04 10:48:26"/>
    <s v="1 días 10:48"/>
    <s v="3 días 10:48"/>
    <x v="0"/>
    <s v="SIN DATO"/>
    <s v="SIN DATO"/>
    <s v="SIN DATO"/>
    <s v="ABIERTO"/>
    <n v="-75.622090999999998"/>
    <n v="6.2368920000000001"/>
    <s v="SUR-ENE"/>
    <s v="Metropolitana Sur"/>
  </r>
  <r>
    <s v="23602509"/>
    <s v="ENERES"/>
    <s v="NUEVO"/>
    <s v="ENERES"/>
    <s v="28/11/2025 10:51:35"/>
    <s v="2025-11-28 10:51:35"/>
    <n v="3576247"/>
    <s v="OTONIEL CEBALLOS NARANJO"/>
    <s v="5889147"/>
    <s v="3136138250"/>
    <s v="CR 136 C CL 66 -417 (INTERIOR 223 )"/>
    <x v="2"/>
    <s v="086326306004170223"/>
    <s v="Medellín"/>
    <x v="2"/>
    <s v="Revisor Instal. Regadas Metrosur"/>
    <x v="1"/>
    <n v="7"/>
    <s v="2025-12-10 10:51:35"/>
    <s v="1 días 10:51"/>
    <s v="6 días 10:51"/>
    <x v="0"/>
    <s v="SIN DATO"/>
    <s v="SIN DATO"/>
    <s v="SIN DATO"/>
    <s v="ABIERTO"/>
    <n v="-75.641998000000001"/>
    <n v="6.2842630000000002"/>
    <s v="SUR-ENE"/>
    <s v="Metropolitana Sur"/>
  </r>
  <r>
    <s v="23602543"/>
    <s v="ENENOR"/>
    <s v="CAMBI"/>
    <s v="ENENOR"/>
    <s v="28/11/2025 10:55:26"/>
    <s v="2025-11-28 10:55:26"/>
    <n v="900739796"/>
    <s v="INVERSIONES EML S.A.S."/>
    <s v="5638974"/>
    <s v="3148226825"/>
    <s v="CR 73 CL 29 -5"/>
    <x v="2"/>
    <s v="052723009000050000"/>
    <s v="Medellín"/>
    <x v="1"/>
    <s v="METROSUR Vin. Leg. Ref. Concentrada"/>
    <x v="1"/>
    <n v="7"/>
    <s v="2025-12-10 10:55:26"/>
    <s v="1 días 10:55"/>
    <s v="6 días 10:55"/>
    <x v="0"/>
    <s v="SIN DATO"/>
    <s v="SIN DATO"/>
    <s v="SIN DATO"/>
    <s v="ABIERTO"/>
    <n v="-75.593690730000006"/>
    <n v="6.2305970999999998"/>
    <s v="SUR-ENE"/>
    <s v="Metropolitana Sur"/>
  </r>
  <r>
    <s v="23602600"/>
    <s v="ENENOR"/>
    <s v="NUEVO"/>
    <s v="ENENOR"/>
    <s v="28/11/2025 11:01:12"/>
    <s v="2025-11-28 11:01:12"/>
    <n v="1037613400"/>
    <s v="DANIEL BETANCUR BERNAL"/>
    <s v="SIN DATOS"/>
    <s v="3188858580"/>
    <s v="RURAL_147049990000000115_PROV.VEREDA TRAVESIAS"/>
    <x v="2"/>
    <s v="147049990000000115"/>
    <s v="Medellín"/>
    <x v="4"/>
    <s v="Revisor Instal. Regadas Metrosur"/>
    <x v="0"/>
    <n v="10"/>
    <s v="2025-12-15 11:01:12"/>
    <s v="1 días 11:01"/>
    <s v="9 días 11:01"/>
    <x v="0"/>
    <s v="SIN DATO"/>
    <s v="SIN DATO"/>
    <s v="SIN DATO"/>
    <s v="ABIERTO"/>
    <n v="-75.646251000000007"/>
    <n v="6.2882899999999999"/>
    <s v="SUR-ENE"/>
    <s v="Metropolitana Sur"/>
  </r>
  <r>
    <s v="23602601"/>
    <s v="ENERES"/>
    <s v="NUEVO"/>
    <s v="ENEDOM"/>
    <s v="28/11/2025 11:02:04"/>
    <s v="2025-11-28 11:02:04"/>
    <n v="32544675"/>
    <s v="LUZ CELINA PEREZ VELEZ"/>
    <s v="SIN DATOS"/>
    <s v="3125943796"/>
    <s v="CL 51 B CR 1 ESTE -125 (INTERIOR 103 )"/>
    <x v="2"/>
    <s v="705011201001250103"/>
    <s v="Medellín"/>
    <x v="0"/>
    <s v="Habilitación Viviendas Metrosur"/>
    <x v="1"/>
    <n v="5"/>
    <s v="2025-12-05 11:02:04"/>
    <s v="1 días 11:02"/>
    <s v="4 días 11:02"/>
    <x v="0"/>
    <s v="SIN DATO"/>
    <s v="SIN DATO"/>
    <s v="SIN DATO"/>
    <s v="ABIERTO"/>
    <n v="-75.527640000000005"/>
    <n v="6.2312440000000002"/>
    <s v="SUR-ENE"/>
    <s v="Metropolitana Sur"/>
  </r>
  <r>
    <s v="23602603"/>
    <s v="ENERES"/>
    <s v="NUEVO"/>
    <s v="ENERES"/>
    <s v="28/11/2025 11:03:13"/>
    <s v="2025-11-28 11:03:13"/>
    <n v="800093117"/>
    <s v="ARQUITECTURA Y CONCRETO S.A.S"/>
    <s v="3123618"/>
    <s v="3209339296"/>
    <s v="CR 44 CL 17 -120 (INTERIOR 1502 )"/>
    <x v="2"/>
    <s v="051424007001201502"/>
    <s v="Medellín"/>
    <x v="2"/>
    <s v="Revisor Inst. Particulares Metrosur"/>
    <x v="1"/>
    <n v="7"/>
    <s v="2025-12-10 11:03:13"/>
    <s v="1 días 11:03"/>
    <s v="6 días 11:03"/>
    <x v="0"/>
    <s v="SIN DATO"/>
    <s v="SIN DATO"/>
    <s v="SIN DATO"/>
    <s v="ABIERTO"/>
    <n v="-75.574616899999995"/>
    <n v="6.2194061100000004"/>
    <s v="SUR-ENE"/>
    <s v="Metropolitana Sur"/>
  </r>
  <r>
    <s v="23602604"/>
    <s v="ENERES"/>
    <s v="NUEVO"/>
    <s v="ENERES"/>
    <s v="28/11/2025 11:03:19"/>
    <s v="2025-11-28 11:03:20"/>
    <n v="800093117"/>
    <s v="ARQUITECTURA Y CONCRETO S.A.S"/>
    <s v="3123618"/>
    <s v="3209339296"/>
    <s v="CR 44 CL 17 -120 (INTERIOR 1604 )"/>
    <x v="2"/>
    <s v="051424007001201604"/>
    <s v="Medellín"/>
    <x v="2"/>
    <s v="Revisor Inst. Particulares Metrosur"/>
    <x v="1"/>
    <n v="7"/>
    <s v="2025-12-10 11:03:20"/>
    <s v="1 días 11:03"/>
    <s v="6 días 11:03"/>
    <x v="0"/>
    <s v="SIN DATO"/>
    <s v="SIN DATO"/>
    <s v="SIN DATO"/>
    <s v="ABIERTO"/>
    <n v="-75.574616899999995"/>
    <n v="6.2194061100000004"/>
    <s v="SUR-ENE"/>
    <s v="Metropolitana Sur"/>
  </r>
  <r>
    <s v="23602605"/>
    <s v="ENERES"/>
    <s v="NUEVO"/>
    <s v="ENERES"/>
    <s v="28/11/2025 11:03:41"/>
    <s v="2025-11-28 11:03:41"/>
    <n v="71279126"/>
    <s v="ADRIAN  RUA CALLE"/>
    <s v="3775224"/>
    <s v="3213503456"/>
    <s v="RURAL_163012191800000000_163012191800000000"/>
    <x v="1"/>
    <s v="163012191800000000"/>
    <s v="Itaguí"/>
    <x v="2"/>
    <s v="Revisor Instal. Regadas Metrosur"/>
    <x v="0"/>
    <n v="10"/>
    <s v="2025-12-15 11:03:41"/>
    <s v="1 días 11:03"/>
    <s v="9 días 11:03"/>
    <x v="0"/>
    <s v="SIN DATO"/>
    <s v="SIN DATO"/>
    <s v="SIN DATO"/>
    <s v="ABIERTO"/>
    <n v="-75.615972020000001"/>
    <n v="6.1882319700000004"/>
    <s v="SUR-ENE"/>
    <s v="Metropolitana Sur"/>
  </r>
  <r>
    <s v="23602606"/>
    <s v="ENERES"/>
    <s v="NUEVO"/>
    <s v="ENERES"/>
    <s v="28/11/2025 11:03:45"/>
    <s v="2025-11-28 11:03:45"/>
    <n v="43382213"/>
    <s v="NUBELLY DEL CARMEN DAVILA ROJAS"/>
    <s v="SIN DATOS"/>
    <s v="3146914065"/>
    <s v="CR 20 A CL 56 A -19 (INTERIOR 301 )"/>
    <x v="2"/>
    <s v="055220106100190301"/>
    <s v="Medellín"/>
    <x v="2"/>
    <s v="Revisor Instal. Regadas Metrosur"/>
    <x v="1"/>
    <n v="7"/>
    <s v="2025-12-10 11:03:45"/>
    <s v="1 días 11:03"/>
    <s v="6 días 11:03"/>
    <x v="0"/>
    <s v="SIN DATO"/>
    <s v="SIN DATO"/>
    <s v="SIN DATO"/>
    <s v="ABIERTO"/>
    <n v="-75.542624000000004"/>
    <n v="6.2403510000000004"/>
    <s v="SUR-ENE"/>
    <s v="Metropolitana Sur"/>
  </r>
  <r>
    <s v="23602607"/>
    <s v="ENERES"/>
    <s v="NUEVO"/>
    <s v="ENERES"/>
    <s v="28/11/2025 11:03:55"/>
    <s v="2025-11-28 11:03:55"/>
    <n v="800093117"/>
    <s v="ARQUITECTURA Y CONCRETO S.A.S"/>
    <s v="3123618"/>
    <s v="3209339296"/>
    <s v="CR 44 CL 17 -120 (INTERIOR 1903 )"/>
    <x v="2"/>
    <s v="051424007001201903"/>
    <s v="Medellín"/>
    <x v="2"/>
    <s v="Revisor Inst. Particulares Metrosur"/>
    <x v="1"/>
    <n v="7"/>
    <s v="2025-12-10 11:03:55"/>
    <s v="1 días 11:03"/>
    <s v="6 días 11:03"/>
    <x v="0"/>
    <s v="SIN DATO"/>
    <s v="SIN DATO"/>
    <s v="SIN DATO"/>
    <s v="ABIERTO"/>
    <n v="-75.574616899999995"/>
    <n v="6.2194061100000004"/>
    <s v="SUR-ENE"/>
    <s v="Metropolitana Sur"/>
  </r>
  <r>
    <s v="23602608"/>
    <s v="ENERES"/>
    <s v="NUEVO"/>
    <s v="ENERES"/>
    <s v="28/11/2025 11:04:01"/>
    <s v="2025-11-28 11:04:01"/>
    <n v="800093117"/>
    <s v="ARQUITECTURA Y CONCRETO S.A.S"/>
    <s v="3123618"/>
    <s v="3209339296"/>
    <s v="CR 44 CL 17 -120 (INTERIOR 1702 )"/>
    <x v="2"/>
    <s v="051424007001201702"/>
    <s v="Medellín"/>
    <x v="2"/>
    <s v="Revisor Inst. Particulares Metrosur"/>
    <x v="1"/>
    <n v="7"/>
    <s v="2025-12-10 11:04:01"/>
    <s v="1 días 11:04"/>
    <s v="6 días 11:04"/>
    <x v="0"/>
    <s v="SIN DATO"/>
    <s v="SIN DATO"/>
    <s v="SIN DATO"/>
    <s v="ABIERTO"/>
    <n v="-75.574616899999995"/>
    <n v="6.2194061100000004"/>
    <s v="SUR-ENE"/>
    <s v="Metropolitana Sur"/>
  </r>
  <r>
    <s v="23602609"/>
    <s v="ENERES"/>
    <s v="NUEVO"/>
    <s v="ENERES"/>
    <s v="28/11/2025 11:04:19"/>
    <s v="2025-11-28 11:04:19"/>
    <n v="800093117"/>
    <s v="ARQUITECTURA Y CONCRETO S.A.S"/>
    <s v="3123618"/>
    <s v="3209339296"/>
    <s v="CR 44 CL 17 -120 (INTERIOR 2003 )"/>
    <x v="2"/>
    <s v="051424007001202003"/>
    <s v="Medellín"/>
    <x v="2"/>
    <s v="Revisor Inst. Particulares Metrosur"/>
    <x v="1"/>
    <n v="7"/>
    <s v="2025-12-10 11:04:19"/>
    <s v="1 días 11:04"/>
    <s v="6 días 11:04"/>
    <x v="0"/>
    <s v="SIN DATO"/>
    <s v="SIN DATO"/>
    <s v="SIN DATO"/>
    <s v="ABIERTO"/>
    <n v="-75.574616899999995"/>
    <n v="6.2194061100000004"/>
    <s v="SUR-ENE"/>
    <s v="Metropolitana Sur"/>
  </r>
  <r>
    <s v="23602610"/>
    <s v="ENERES"/>
    <s v="NUEVO"/>
    <s v="ENERES"/>
    <s v="28/11/2025 11:05:00"/>
    <s v="2025-11-28 11:05:00"/>
    <n v="800093117"/>
    <s v="ARQUITECTURA Y CONCRETO S.A.S"/>
    <s v="3123618"/>
    <s v="3209339296"/>
    <s v="CR 44 CL 17 -120 (INTERIOR 601 )"/>
    <x v="2"/>
    <s v="051424007001200601"/>
    <s v="Medellín"/>
    <x v="2"/>
    <s v="Revisor Inst. Particulares Metrosur"/>
    <x v="1"/>
    <n v="7"/>
    <s v="2025-12-10 11:05:00"/>
    <s v="1 días 11:05"/>
    <s v="6 días 11:05"/>
    <x v="0"/>
    <s v="SIN DATO"/>
    <s v="SIN DATO"/>
    <s v="SIN DATO"/>
    <s v="ABIERTO"/>
    <n v="-75.574616899999995"/>
    <n v="6.2194061100000004"/>
    <s v="SUR-ENE"/>
    <s v="Metropolitana Sur"/>
  </r>
  <r>
    <s v="23602614"/>
    <s v="ENERES"/>
    <s v="NUEVO"/>
    <s v="ENERES"/>
    <s v="28/11/2025 11:05:49"/>
    <s v="2025-11-28 11:05:49"/>
    <n v="800093117"/>
    <s v="ARQUITECTURA Y CONCRETO S.A.S"/>
    <s v="3123618"/>
    <s v="3209339296"/>
    <s v="CR 44 CL 17 -120 (INTERIOR 906 )"/>
    <x v="2"/>
    <s v="051424007001200906"/>
    <s v="Medellín"/>
    <x v="2"/>
    <s v="Revisor Inst. Particulares Metrosur"/>
    <x v="1"/>
    <n v="7"/>
    <s v="2025-12-10 11:05:49"/>
    <s v="1 días 11:05"/>
    <s v="6 días 11:05"/>
    <x v="0"/>
    <s v="SIN DATO"/>
    <s v="SIN DATO"/>
    <s v="SIN DATO"/>
    <s v="ABIERTO"/>
    <n v="-75.574616899999995"/>
    <n v="6.2194061100000004"/>
    <s v="SUR-ENE"/>
    <s v="Metropolitana Sur"/>
  </r>
  <r>
    <s v="23602615"/>
    <s v="ENERES"/>
    <s v="NUEVO"/>
    <s v="ENERES"/>
    <s v="28/11/2025 11:06:10"/>
    <s v="2025-11-28 11:06:10"/>
    <n v="800093117"/>
    <s v="ARQUITECTURA Y CONCRETO S.A.S"/>
    <s v="3123618"/>
    <s v="3209339296"/>
    <s v="CR 44 CL 17 -120 (INTERIOR 706 )"/>
    <x v="2"/>
    <s v="051424007001200706"/>
    <s v="Medellín"/>
    <x v="2"/>
    <s v="Revisor Inst. Particulares Metrosur"/>
    <x v="1"/>
    <n v="7"/>
    <s v="2025-12-10 11:06:10"/>
    <s v="1 días 11:06"/>
    <s v="6 días 11:06"/>
    <x v="0"/>
    <s v="SIN DATO"/>
    <s v="SIN DATO"/>
    <s v="SIN DATO"/>
    <s v="ABIERTO"/>
    <n v="-75.574616899999995"/>
    <n v="6.2194061100000004"/>
    <s v="SUR-ENE"/>
    <s v="Metropolitana Sur"/>
  </r>
  <r>
    <s v="23602616"/>
    <s v="ENERES"/>
    <s v="NUEVO"/>
    <s v="ENERES"/>
    <s v="28/11/2025 11:07:43"/>
    <s v="2025-11-28 11:07:43"/>
    <n v="43405065"/>
    <s v="ALBA YANETH PALACIO SANCHEZ"/>
    <s v="SIN DATOS"/>
    <s v="3148155927"/>
    <s v="RURAL_163014829600000002_EL PEDREGAL"/>
    <x v="1"/>
    <s v="163014829600000002"/>
    <s v="Itaguí"/>
    <x v="2"/>
    <s v="Revisor Instal. Regadas Metrosur"/>
    <x v="0"/>
    <n v="10"/>
    <s v="2025-12-15 11:07:43"/>
    <s v="1 días 11:07"/>
    <s v="9 días 11:07"/>
    <x v="0"/>
    <s v="SIN DATO"/>
    <s v="SIN DATO"/>
    <s v="SIN DATO"/>
    <s v="ABIERTO"/>
    <n v="-75.619076329999999"/>
    <n v="6.1887325799999999"/>
    <s v="SUR-ENE"/>
    <s v="Metropolitana Sur"/>
  </r>
  <r>
    <s v="23602621"/>
    <s v="ENERES"/>
    <s v="NUEVO"/>
    <s v="ENERES"/>
    <s v="28/11/2025 11:09:23"/>
    <s v="2025-11-28 11:09:23"/>
    <n v="43382213"/>
    <s v="NUBELLY DEL CARMEN DAVILA ROJAS"/>
    <s v="SIN DATOS"/>
    <s v="3146914065"/>
    <s v="CR 20 A CL 56 A -19 (INTERIOR 302 )"/>
    <x v="2"/>
    <s v="055220106100190302"/>
    <s v="Medellín"/>
    <x v="2"/>
    <s v="Revisor Instal. Regadas Metrosur"/>
    <x v="1"/>
    <n v="7"/>
    <s v="2025-12-10 11:09:23"/>
    <s v="1 días 11:09"/>
    <s v="6 días 11:09"/>
    <x v="0"/>
    <s v="SIN DATO"/>
    <s v="SIN DATO"/>
    <s v="SIN DATO"/>
    <s v="ABIERTO"/>
    <n v="-75.542624000000004"/>
    <n v="6.2403510000000004"/>
    <s v="SUR-ENE"/>
    <s v="Metropolitana Sur"/>
  </r>
  <r>
    <s v="23602643"/>
    <s v="ENERES"/>
    <s v="NUEVO"/>
    <s v="ENERES"/>
    <s v="28/11/2025 11:13:02"/>
    <s v="2025-11-28 11:13:02"/>
    <n v="16639051"/>
    <s v="HENRY MUÑOZ CRUZ"/>
    <s v="6042204"/>
    <s v="3122308073"/>
    <s v="RURAL_125004760700000050_PARCELACION CORRIENTES"/>
    <x v="5"/>
    <s v="125004760700000050"/>
    <s v="Envigado"/>
    <x v="2"/>
    <s v="Revisor Instal. Regadas Metrosur"/>
    <x v="0"/>
    <n v="10"/>
    <s v="2025-12-15 11:13:02"/>
    <s v="1 días 11:13"/>
    <s v="9 días 11:13"/>
    <x v="0"/>
    <s v="SIN DATO"/>
    <s v="SIN DATO"/>
    <s v="SIN DATO"/>
    <s v="ABIERTO"/>
    <n v="-75.492757510000004"/>
    <n v="6.1715968400000003"/>
    <s v="SUR-ENE"/>
    <s v="Metropolitana Sur"/>
  </r>
  <r>
    <s v="23602651"/>
    <s v="ENENOR"/>
    <s v="NUEVO"/>
    <s v="ENENOR"/>
    <s v="28/11/2025 11:17:43"/>
    <s v="2025-11-28 11:17:43"/>
    <n v="71676178"/>
    <s v="MANUEL IVAN ARANGO LONDOÑO"/>
    <s v="SIN DATOS"/>
    <s v="3008391840"/>
    <s v="CL 63 CR 98 B -87"/>
    <x v="2"/>
    <s v="056913008200870000"/>
    <s v="Medellín"/>
    <x v="4"/>
    <s v="METROSUR Vin. Leg. Ref. Concentrada"/>
    <x v="1"/>
    <n v="7"/>
    <s v="2025-12-10 11:17:43"/>
    <s v="1 días 11:17"/>
    <s v="6 días 11:17"/>
    <x v="0"/>
    <s v="SIN DATO"/>
    <s v="SIN DATO"/>
    <s v="SIN DATO"/>
    <s v="ABIERTO"/>
    <n v="-75.609815999999995"/>
    <n v="6.2783340000000001"/>
    <s v="SUR-ENE"/>
    <s v="Metropolitana Sur"/>
  </r>
  <r>
    <s v="23602653"/>
    <s v="ENERES"/>
    <s v="NUEVO"/>
    <s v="ENEDOM"/>
    <s v="28/11/2025 11:18:30"/>
    <s v="2025-11-28 11:18:30"/>
    <n v="1046904458"/>
    <s v="MARIA ALEJANDRA GONZALEZ VELASQUEZ"/>
    <s v="SIN DATOS"/>
    <s v="3107201606"/>
    <s v="CR 113 CL 39 A -66 (INTERIOR 234 )"/>
    <x v="2"/>
    <s v="083123009100660234"/>
    <s v="Medellín"/>
    <x v="0"/>
    <s v="Habilitación Viviendas Metrosur"/>
    <x v="1"/>
    <n v="5"/>
    <s v="2025-12-05 11:18:30"/>
    <s v="1 días 11:18"/>
    <s v="4 días 11:18"/>
    <x v="0"/>
    <s v="SIN DATO"/>
    <s v="SIN DATO"/>
    <s v="SIN DATO"/>
    <s v="ABIERTO"/>
    <n v="-75.62485341"/>
    <n v="6.2504956900000002"/>
    <s v="SUR-ENE"/>
    <s v="Metropolitana Sur"/>
  </r>
  <r>
    <s v="23602657"/>
    <s v="ENENOR"/>
    <s v="NUEVO"/>
    <s v="ENENOR"/>
    <s v="28/11/2025 11:23:36"/>
    <s v="2025-11-28 11:23:36"/>
    <n v="71676178"/>
    <s v="MANUEL IVAN ARANGO LONDOÑO"/>
    <s v="SIN DATOS"/>
    <s v="3008391840"/>
    <s v="CL 63 CR 98 B -91"/>
    <x v="2"/>
    <s v="056913008200910000"/>
    <s v="Medellín"/>
    <x v="4"/>
    <s v="Revisor Instal. Regadas Metrosur"/>
    <x v="1"/>
    <n v="7"/>
    <s v="2025-12-10 11:23:36"/>
    <s v="1 días 11:23"/>
    <s v="6 días 11:23"/>
    <x v="0"/>
    <s v="SIN DATO"/>
    <s v="SIN DATO"/>
    <s v="SIN DATO"/>
    <s v="ABIERTO"/>
    <n v="-75.609815999999995"/>
    <n v="6.2783340000000001"/>
    <s v="SUR-ENE"/>
    <s v="Metropolitana Sur"/>
  </r>
  <r>
    <s v="23602658"/>
    <s v="ENECNX"/>
    <s v="NUEVO"/>
    <s v="ENECNX"/>
    <s v="28/11/2025 11:25:45"/>
    <s v="2025-11-28 11:25:45"/>
    <n v="75088219"/>
    <s v="JESUS MARIA LOPEZ LEZAMA"/>
    <s v="SIN DATOS"/>
    <s v="3188748600"/>
    <s v="CL 33 AA CR 80 C -3"/>
    <x v="2"/>
    <s v="053813110300030000"/>
    <s v="Medellín"/>
    <x v="3"/>
    <s v="Revisor Puntos de Conexión Metrosur"/>
    <x v="1"/>
    <n v="4"/>
    <s v="2025-12-04 11:25:45"/>
    <s v="1 días 11:25"/>
    <s v="3 días 11:25"/>
    <x v="0"/>
    <s v="SIN DATO"/>
    <s v="SIN DATO"/>
    <s v="SIN DATO"/>
    <s v="ABIERTO"/>
    <n v="-75.602476879999998"/>
    <n v="6.2401743400000003"/>
    <s v="SUR-ENE"/>
    <s v="Metropolitana Sur"/>
  </r>
  <r>
    <s v="23602660"/>
    <s v="ENERES"/>
    <s v="NUEVO"/>
    <s v="ENEDOM"/>
    <s v="28/11/2025 11:26:30"/>
    <s v="2025-11-28 11:26:30"/>
    <n v="1026134931"/>
    <s v="ELIANA JANET CARDONA PEREZ"/>
    <s v="SIN DATOS"/>
    <s v="3013177609"/>
    <s v="RURAL_161127500000000302_PROV.161127500000000301"/>
    <x v="3"/>
    <s v="161127500000000302"/>
    <s v="Caldas"/>
    <x v="0"/>
    <s v="MET Rev-Inst-Concentra E_CR014"/>
    <x v="0"/>
    <n v="8"/>
    <s v="2025-12-11 11:26:30"/>
    <s v="1 días 11:26"/>
    <s v="7 días 11:26"/>
    <x v="0"/>
    <s v="SIN DATO"/>
    <s v="SIN DATO"/>
    <s v="SIN DATO"/>
    <s v="ABIERTO"/>
    <n v="-75.612425000000002"/>
    <n v="6.0941599999999996"/>
    <s v="SUR-ENE"/>
    <s v="Metropolitana Sur"/>
  </r>
  <r>
    <s v="23602665"/>
    <s v="ENERES"/>
    <s v="NUEVO"/>
    <s v="ENERES"/>
    <s v="28/11/2025 11:28:27"/>
    <s v="2025-11-28 11:28:27"/>
    <n v="71315257"/>
    <s v="HENRY ZULETA PIEDRAHITA"/>
    <s v="2130684"/>
    <s v="3135690765"/>
    <s v="RURAL_147024610000000102_EL UVITO CL 70 CR 152 A -"/>
    <x v="2"/>
    <s v="147024610000000102"/>
    <s v="Medellín"/>
    <x v="2"/>
    <s v="Revisor Instal. Regadas Metrosur"/>
    <x v="0"/>
    <n v="10"/>
    <s v="2025-12-15 11:28:27"/>
    <s v="1 días 11:28"/>
    <s v="9 días 11:28"/>
    <x v="0"/>
    <s v="SIN DATO"/>
    <s v="SIN DATO"/>
    <s v="SIN DATO"/>
    <s v="ABIERTO"/>
    <n v="-75.649908010000004"/>
    <n v="6.29018707"/>
    <s v="SUR-ENE"/>
    <s v="Metropolitana Sur"/>
  </r>
  <r>
    <s v="23602667"/>
    <s v="ENEPRE"/>
    <s v="NUEVO"/>
    <s v="ENEPRE"/>
    <s v="28/11/2025 11:30:09"/>
    <s v="2025-11-28 16:07:57"/>
    <n v="1037575846"/>
    <s v="GILBERTO ATEHORTUA RAMIREZ"/>
    <s v="SIN DATOS"/>
    <s v="3007554469"/>
    <s v="CR 17 B CL 56 EE -38 (INTERIOR 1171 )"/>
    <x v="2"/>
    <s v="055127206550381171"/>
    <s v="Medellín"/>
    <x v="0"/>
    <s v="Habilitación Viviendas Metrosur"/>
    <x v="1"/>
    <n v="5"/>
    <s v="2025-12-05 16:07:57"/>
    <s v="1 días 16:07"/>
    <s v="4 días 16:07"/>
    <x v="0"/>
    <s v="SIN DATO"/>
    <s v="SIN DATO"/>
    <s v="SIN DATO"/>
    <s v="ABIERTO"/>
    <n v="-75.539901880000002"/>
    <n v="6.2430092100000003"/>
    <s v="SUR-ENE"/>
    <s v="Metropolitana Sur"/>
  </r>
  <r>
    <s v="23602677"/>
    <s v="ENERES"/>
    <s v="NUEVO"/>
    <s v="ENERES"/>
    <s v="28/11/2025 11:39:19"/>
    <s v="2025-11-28 11:39:19"/>
    <n v="1128275829"/>
    <s v="JOHN ALEXANDER SOTO POSADA"/>
    <s v="SIN DATOS"/>
    <s v="3136557544"/>
    <s v="RURAL_114004479040100103_114004479040100103"/>
    <x v="2"/>
    <s v="114004479040100103"/>
    <s v="Medellín"/>
    <x v="2"/>
    <s v="Revisor Instal. Regadas Metrosur"/>
    <x v="0"/>
    <n v="10"/>
    <s v="2025-12-15 11:39:19"/>
    <s v="1 días 11:39"/>
    <s v="9 días 11:39"/>
    <x v="0"/>
    <s v="SIN DATO"/>
    <s v="SIN DATO"/>
    <s v="SIN DATO"/>
    <s v="ABIERTO"/>
    <n v="-75.631592780000005"/>
    <n v="6.2033640600000002"/>
    <s v="SUR-ENE"/>
    <s v="Metropolitana Sur"/>
  </r>
  <r>
    <s v="23602678"/>
    <s v="ENENOR"/>
    <s v="NUEVO"/>
    <s v="ENENOR"/>
    <s v="28/11/2025 11:39:52"/>
    <s v="2025-11-28 11:39:52"/>
    <n v="890904996"/>
    <s v="EMPRESAS PUBLICAS DE MEDELLIN E.S.P."/>
    <s v="3808080"/>
    <s v="3006085217"/>
    <s v="CR 27 CL 41 -37 (INTERIOR 1 )"/>
    <x v="2"/>
    <s v="054227001000370001"/>
    <s v="Medellín"/>
    <x v="4"/>
    <s v="Revisor Instal. Regadas Metrosur"/>
    <x v="1"/>
    <n v="7"/>
    <s v="2025-12-10 11:39:52"/>
    <s v="1 días 11:39"/>
    <s v="6 días 11:39"/>
    <x v="0"/>
    <s v="SIN DATO"/>
    <s v="SIN DATO"/>
    <s v="SIN DATO"/>
    <s v="ABIERTO"/>
    <n v="-75.553408050000002"/>
    <n v="6.2345561500000004"/>
    <s v="SUR-ENE"/>
    <s v="Metropolitana Sur"/>
  </r>
  <r>
    <s v="23602679"/>
    <s v="ENERES"/>
    <s v="NUEVO"/>
    <s v="ENERES"/>
    <s v="28/11/2025 11:39:57"/>
    <s v="2025-11-28 11:39:57"/>
    <n v="71526288"/>
    <s v="JESUS ALBEIRO ALVAREZ ARENAS"/>
    <s v="SIN DATOS"/>
    <s v="3246499416"/>
    <s v="CL 2 B CR 81 B -217 (INTERIOR 174 )"/>
    <x v="2"/>
    <s v="050812201202170174"/>
    <s v="Medellín"/>
    <x v="2"/>
    <s v="Revisor Instal. Regadas Metrosur"/>
    <x v="1"/>
    <n v="7"/>
    <s v="2025-12-10 11:39:57"/>
    <s v="1 días 11:39"/>
    <s v="6 días 11:39"/>
    <x v="0"/>
    <s v="SIN DATO"/>
    <s v="SIN DATO"/>
    <s v="SIN DATO"/>
    <s v="ABIERTO"/>
    <n v="-75.606078539999999"/>
    <n v="6.2103835299999997"/>
    <s v="SUR-ENE"/>
    <s v="Metropolitana Sur"/>
  </r>
  <r>
    <s v="23602689"/>
    <s v="ENERES"/>
    <s v="NUEVO"/>
    <s v="ENEDOM"/>
    <s v="28/11/2025 11:49:09"/>
    <s v="2025-11-28 11:49:09"/>
    <n v="1148697358"/>
    <s v="YOREIDY ARIAS PALACIOS"/>
    <s v="SIN DATOS"/>
    <s v="3103763721"/>
    <s v="CR 90 D CL 13 -23 (INTERIOR 201 )"/>
    <x v="2"/>
    <s v="051920403000230201"/>
    <s v="Medellín"/>
    <x v="0"/>
    <s v="Habilitación Viviendas Metrosur"/>
    <x v="1"/>
    <n v="5"/>
    <s v="2025-12-05 11:49:09"/>
    <s v="1 días 11:49"/>
    <s v="4 días 11:49"/>
    <x v="0"/>
    <s v="SIN DATO"/>
    <s v="SIN DATO"/>
    <s v="SIN DATO"/>
    <s v="ABIERTO"/>
    <n v="-75.614959999999996"/>
    <n v="6.2192730000000003"/>
    <s v="SUR-ENE"/>
    <s v="Metropolitana Sur"/>
  </r>
  <r>
    <s v="23602704"/>
    <s v="ENENOR"/>
    <s v="NUEVO"/>
    <s v="ENENOR"/>
    <s v="28/11/2025 11:58:04"/>
    <s v="2025-11-28 11:58:04"/>
    <n v="8160444"/>
    <s v="LUIS ALFONSO BUSTAMANTE CUARTAS"/>
    <s v="2350050"/>
    <s v="3134765095"/>
    <s v="CR 65 D CL 25 -65 (INTERIOR 201 )"/>
    <x v="2"/>
    <s v="052625405000650201"/>
    <s v="Medellín"/>
    <x v="4"/>
    <s v="Revisor Instal. Regadas Metrosur"/>
    <x v="1"/>
    <n v="7"/>
    <s v="2025-12-10 11:58:04"/>
    <s v="1 días 11:58"/>
    <s v="6 días 11:58"/>
    <x v="0"/>
    <s v="SIN DATO"/>
    <s v="SIN DATO"/>
    <s v="SIN DATO"/>
    <s v="ABIERTO"/>
    <n v="-75.585954529999995"/>
    <n v="6.2266579999999996"/>
    <s v="SUR-ENE"/>
    <s v="Metropolitana Sur"/>
  </r>
  <r>
    <s v="23602713"/>
    <s v="ENEPRE"/>
    <s v="NUEVO"/>
    <s v="ENEPRE"/>
    <s v="28/11/2025 12:04:16"/>
    <s v="2025-11-28 16:07:54"/>
    <n v="1104256375"/>
    <s v="BERNARDA PATRICIA DIAZ ALVAREZ"/>
    <s v="SIN DATOS"/>
    <s v="3107174993"/>
    <s v="CR 17 B CL 56 EE -38 (INTERIOR 2171 )"/>
    <x v="2"/>
    <s v="055127206550382171"/>
    <s v="Medellín"/>
    <x v="0"/>
    <s v="Habilitación Viviendas Metrosur"/>
    <x v="1"/>
    <n v="5"/>
    <s v="2025-12-05 16:07:54"/>
    <s v="1 días 16:07"/>
    <s v="4 días 16:07"/>
    <x v="0"/>
    <s v="SIN DATO"/>
    <s v="SIN DATO"/>
    <s v="SIN DATO"/>
    <s v="ABIERTO"/>
    <n v="-75.539901880000002"/>
    <n v="6.2430092100000003"/>
    <s v="SUR-ENE"/>
    <s v="Metropolitana Sur"/>
  </r>
  <r>
    <s v="23602714"/>
    <s v="ENERES"/>
    <s v="NUEVO"/>
    <s v="ENEDOM"/>
    <s v="28/11/2025 12:04:39"/>
    <s v="2025-11-28 12:04:39"/>
    <n v="1040181898"/>
    <s v="YULIANA CRISTIANA SANCHEZ"/>
    <s v="SIN DATOS"/>
    <s v="3000000000"/>
    <s v="RURAL_147047152000000023_EL LLANO"/>
    <x v="2"/>
    <s v="147047152000000023"/>
    <s v="Medellín"/>
    <x v="0"/>
    <s v="Habilitación Viviendas Metrosur"/>
    <x v="0"/>
    <n v="8"/>
    <s v="2025-12-11 12:04:39"/>
    <s v="1 días 12:04"/>
    <s v="7 días 12:04"/>
    <x v="0"/>
    <s v="SIN DATO"/>
    <s v="SIN DATO"/>
    <s v="SIN DATO"/>
    <s v="ABIERTO"/>
    <n v="-75.647311000000002"/>
    <n v="6.2965859999999996"/>
    <s v="SUR-ENE"/>
    <s v="Metropolitana Sur"/>
  </r>
  <r>
    <s v="23602717"/>
    <s v="ENERES"/>
    <s v="NUEVO"/>
    <s v="ENERES"/>
    <s v="28/11/2025 12:10:06"/>
    <s v="2025-11-28 12:10:06"/>
    <n v="1107055119"/>
    <s v="JOHAN SNEIDER VALCERDE PALACIOS"/>
    <s v="SIN DATOS"/>
    <s v="3146511038"/>
    <s v="CL 56 A CR 25 BB -29 (INTERIOR 222 )"/>
    <x v="2"/>
    <s v="055216105220290222"/>
    <s v="Medellín"/>
    <x v="2"/>
    <s v="METROSUR Vin. Leg. Ref. Concentrada"/>
    <x v="1"/>
    <n v="7"/>
    <s v="2025-12-10 12:10:06"/>
    <s v="1 días 12:10"/>
    <s v="6 días 12:10"/>
    <x v="0"/>
    <s v="SIN DATO"/>
    <s v="SIN DATO"/>
    <s v="SIN DATO"/>
    <s v="ABIERTO"/>
    <n v="-75.545724160000006"/>
    <n v="6.2459517399999998"/>
    <s v="SUR-ENE"/>
    <s v="Metropolitana Sur"/>
  </r>
  <r>
    <s v="23602736"/>
    <s v="ENERES"/>
    <s v="NUEVO"/>
    <s v="ENERES"/>
    <s v="28/11/2025 12:45:41"/>
    <s v="2025-11-28 12:45:41"/>
    <n v="1107055119"/>
    <s v="JOHAN SNEIDER VALCERDE PALACIOS"/>
    <s v="SIN DATOS"/>
    <s v="3146511038"/>
    <s v="CL 56 A CR 25 BB -29"/>
    <x v="2"/>
    <s v="055216105220290000"/>
    <s v="Medellín"/>
    <x v="2"/>
    <s v="METROSUR Vin. Leg. Ref. Concentrada"/>
    <x v="1"/>
    <n v="7"/>
    <s v="2025-12-10 12:45:41"/>
    <s v="1 días 12:45"/>
    <s v="6 días 12:45"/>
    <x v="0"/>
    <s v="SIN DATO"/>
    <s v="SIN DATO"/>
    <s v="SIN DATO"/>
    <s v="ABIERTO"/>
    <n v="-75.545724160000006"/>
    <n v="6.2459517399999998"/>
    <s v="SUR-ENE"/>
    <s v="Metropolitana Sur"/>
  </r>
  <r>
    <s v="23602741"/>
    <s v="ENERES"/>
    <s v="NUEVO"/>
    <s v="ENERES"/>
    <s v="28/11/2025 13:03:06"/>
    <s v="2025-11-28 13:03:06"/>
    <n v="43052717"/>
    <s v="SANTA LUZ MARY TORRES RIVAS"/>
    <s v="SIN DATOS"/>
    <s v="3128907932"/>
    <s v="CL 54 CR 2 -16 (INTERIOR 101 )"/>
    <x v="2"/>
    <s v="055014002000160101"/>
    <s v="Medellín"/>
    <x v="2"/>
    <s v="Revisor Instal. Regadas Metrosur"/>
    <x v="1"/>
    <n v="7"/>
    <s v="2025-12-10 13:03:06"/>
    <s v="1 días 13:03"/>
    <s v="6 días 13:03"/>
    <x v="0"/>
    <s v="SIN DATO"/>
    <s v="SIN DATO"/>
    <s v="SIN DATO"/>
    <s v="ABIERTO"/>
    <n v="-75.530088000000006"/>
    <n v="6.2324799999999998"/>
    <s v="SUR-ENE"/>
    <s v="Metropolitana Sur"/>
  </r>
  <r>
    <s v="23602742"/>
    <s v="ENERES"/>
    <s v="NUEVO"/>
    <s v="ENEDOM"/>
    <s v="28/11/2025 13:05:12"/>
    <s v="2025-11-28 13:05:12"/>
    <n v="43155414"/>
    <s v="LUZ DARY VELASQUEZ VALENCIA"/>
    <s v="SIN DATOS"/>
    <s v="3146194348"/>
    <s v="CR 25 BB CL 56 -65 (INTERIOR 147 )"/>
    <x v="2"/>
    <s v="055225226000650147"/>
    <s v="Medellín"/>
    <x v="0"/>
    <s v="Habilitación Viviendas Metrosur"/>
    <x v="1"/>
    <n v="5"/>
    <s v="2025-12-05 13:05:12"/>
    <s v="1 días 13:05"/>
    <s v="4 días 13:05"/>
    <x v="0"/>
    <s v="SIN DATO"/>
    <s v="SIN DATO"/>
    <s v="SIN DATO"/>
    <s v="ABIERTO"/>
    <n v="-75.546323999999998"/>
    <n v="6.2452680000000003"/>
    <s v="SUR-ENE"/>
    <s v="Metropolitana Sur"/>
  </r>
  <r>
    <s v="23602745"/>
    <s v="ENERES"/>
    <s v="NUEVO"/>
    <s v="ENEDOM"/>
    <s v="28/11/2025 13:06:11"/>
    <s v="2025-11-28 13:06:11"/>
    <n v="31237540"/>
    <s v="MARTHA ELENA VARGAS MORENO"/>
    <s v="SIN DATOS"/>
    <s v="3043849668"/>
    <s v="CL 57 C CR 19 -9 (INTERIOR 202 )"/>
    <x v="2"/>
    <s v="055117309000090202"/>
    <s v="Medellín"/>
    <x v="0"/>
    <s v="Habilitación Viviendas Metrosur"/>
    <x v="1"/>
    <n v="5"/>
    <s v="2025-12-05 13:06:11"/>
    <s v="1 días 13:06"/>
    <s v="4 días 13:06"/>
    <x v="0"/>
    <s v="SIN DATO"/>
    <s v="SIN DATO"/>
    <s v="SIN DATO"/>
    <s v="ABIERTO"/>
    <n v="-75.541918210000006"/>
    <n v="6.2511473400000002"/>
    <s v="SUR-ENE"/>
    <s v="Metropolitana Sur"/>
  </r>
  <r>
    <s v="23602746"/>
    <s v="ENERES"/>
    <s v="NUEVO"/>
    <s v="ENERES"/>
    <s v="28/11/2025 13:09:00"/>
    <s v="2025-11-28 13:09:00"/>
    <n v="43052717"/>
    <s v="SANTA LUZ MARY TORRES RIVAS"/>
    <s v="SIN DATOS"/>
    <s v="3128907932"/>
    <s v="CL 54 CR 2 -16 (INTERIOR 301 )"/>
    <x v="2"/>
    <s v="055014002000160301"/>
    <s v="Medellín"/>
    <x v="2"/>
    <s v="Revisor Instal. Regadas Metrosur"/>
    <x v="1"/>
    <n v="7"/>
    <s v="2025-12-10 13:09:00"/>
    <s v="1 días 13:09"/>
    <s v="6 días 13:09"/>
    <x v="0"/>
    <s v="SIN DATO"/>
    <s v="SIN DATO"/>
    <s v="SIN DATO"/>
    <s v="ABIERTO"/>
    <n v="-75.530088000000006"/>
    <n v="6.2324799999999998"/>
    <s v="SUR-ENE"/>
    <s v="Metropolitana Sur"/>
  </r>
  <r>
    <s v="23602751"/>
    <s v="ENERES"/>
    <s v="NUEVO"/>
    <s v="ENEDOM"/>
    <s v="28/11/2025 13:14:51"/>
    <s v="2025-11-28 13:14:51"/>
    <n v="71701312"/>
    <s v="LUIS ELIECER ESCOBAR ESCOBAR"/>
    <s v="SIN DATOS"/>
    <s v="3117043529"/>
    <s v="CR 140 CL 66 -84 (INTERIOR 203 )"/>
    <x v="2"/>
    <s v="086420006000840203"/>
    <s v="Medellín"/>
    <x v="0"/>
    <s v="Habilitación Viviendas Metrosur"/>
    <x v="1"/>
    <n v="5"/>
    <s v="2025-12-05 13:14:51"/>
    <s v="1 días 13:14"/>
    <s v="4 días 13:14"/>
    <x v="0"/>
    <s v="SIN DATO"/>
    <s v="SIN DATO"/>
    <s v="SIN DATO"/>
    <s v="ABIERTO"/>
    <n v="-75.640202900000006"/>
    <n v="6.2828533200000001"/>
    <s v="SUR-ENE"/>
    <s v="Metropolitana Sur"/>
  </r>
  <r>
    <s v="23602752"/>
    <s v="ENECNX"/>
    <s v="NUEVO"/>
    <s v="ENECNX"/>
    <s v="28/11/2025 13:14:57"/>
    <s v="2025-11-28 13:14:57"/>
    <n v="811037405"/>
    <s v="CENTRO SUR S.A.S"/>
    <s v="4480648"/>
    <s v="3213935325"/>
    <s v="CR 46 C CL 80 SUR -160"/>
    <x v="4"/>
    <s v="018426300001600000"/>
    <s v="Sabaneta"/>
    <x v="3"/>
    <s v="Revisor Puntos de Conexión Metrosur"/>
    <x v="1"/>
    <n v="4"/>
    <s v="2025-12-04 13:14:57"/>
    <s v="1 días 13:14"/>
    <s v="3 días 13:14"/>
    <x v="0"/>
    <s v="SIN DATO"/>
    <s v="SIN DATO"/>
    <s v="SIN DATO"/>
    <s v="ABIERTO"/>
    <n v="-75.627354999999994"/>
    <n v="6.1459549999999998"/>
    <s v="SUR-ENE"/>
    <s v="Metropolitana Sur"/>
  </r>
  <r>
    <s v="23602756"/>
    <s v="ENERES"/>
    <s v="NUEVO"/>
    <s v="ENERES"/>
    <s v="28/11/2025 13:17:36"/>
    <s v="2025-11-28 13:17:36"/>
    <n v="8345348"/>
    <s v="OLIVERIO DE JESUS ARANGO PEREZ"/>
    <s v="4332124"/>
    <s v="3006100403"/>
    <s v="CL 37 SUR CR 41 -42 (INTERIOR 101 )"/>
    <x v="5"/>
    <s v="023417001000420101"/>
    <s v="Envigado"/>
    <x v="2"/>
    <s v="METROSUR Vin. Leg. Ref. Concentrada"/>
    <x v="1"/>
    <n v="7"/>
    <s v="2025-12-10 13:17:36"/>
    <s v="1 días 13:17"/>
    <s v="6 días 13:17"/>
    <x v="0"/>
    <s v="SIN DATO"/>
    <s v="SIN DATO"/>
    <s v="SIN DATO"/>
    <s v="ABIERTO"/>
    <n v="-75.586495479999996"/>
    <n v="6.1701203700000002"/>
    <s v="SUR-ENE"/>
    <s v="Metropolitana Sur"/>
  </r>
  <r>
    <s v="23602757"/>
    <s v="ENECNX"/>
    <s v="NUEVO"/>
    <s v="ENECNX"/>
    <s v="28/11/2025 13:21:33"/>
    <s v="2025-11-28 13:21:33"/>
    <n v="1037236075"/>
    <s v="ROBINSON ANDRES GARCIA CARDONA"/>
    <s v="SIN DATOS"/>
    <s v="3122363262"/>
    <s v="RURAL_125004460500000001_ LAS PALMAS ENVIGADO"/>
    <x v="5"/>
    <s v="125004460500000001"/>
    <s v="Envigado"/>
    <x v="3"/>
    <s v="Revisor Puntos de Conexión Metrosur"/>
    <x v="0"/>
    <n v="4"/>
    <s v="2025-12-04 13:21:33"/>
    <s v="1 días 13:21"/>
    <s v="3 días 13:21"/>
    <x v="0"/>
    <s v="SIN DATO"/>
    <s v="SIN DATO"/>
    <s v="SIN DATO"/>
    <s v="ABIERTO"/>
    <n v="-75.504217980000007"/>
    <n v="6.1697033000000001"/>
    <s v="SUR-ENE"/>
    <s v="Metropolitana Sur"/>
  </r>
  <r>
    <s v="23602761"/>
    <s v="ENECNX"/>
    <s v="NUEVO"/>
    <s v="ENECNX"/>
    <s v="28/11/2025 13:26:39"/>
    <s v="2025-11-28 13:26:39"/>
    <n v="43591938"/>
    <s v="CLAUDIA HELENA VALLEJO ORTIZ"/>
    <s v="SIN DATOS"/>
    <s v="3113737370"/>
    <s v="TRAN 49 D CR 59 -95"/>
    <x v="2"/>
    <s v="054519409000950000"/>
    <s v="Medellín"/>
    <x v="3"/>
    <s v="Revisor Puntos de Conexión Metrosur"/>
    <x v="1"/>
    <n v="4"/>
    <s v="2025-12-04 13:26:39"/>
    <s v="1 días 13:26"/>
    <s v="3 días 13:26"/>
    <x v="0"/>
    <s v="SIN DATO"/>
    <s v="SIN DATO"/>
    <s v="SIN DATO"/>
    <s v="ABIERTO"/>
    <n v="-75.576525050000001"/>
    <n v="6.2530680800000003"/>
    <s v="SUR-ENE"/>
    <s v="Metropolitana Sur"/>
  </r>
  <r>
    <s v="23602762"/>
    <s v="ENERES"/>
    <s v="NUEVO"/>
    <s v="ENERES"/>
    <s v="28/11/2025 13:26:50"/>
    <s v="2025-11-28 13:26:50"/>
    <n v="800093117"/>
    <s v="ARQUITECTURA Y CONCRETO S.A.S"/>
    <s v="3123618"/>
    <s v="3209339296"/>
    <s v="CR 44 CL 17 -120 (INTERIOR 1504 )"/>
    <x v="2"/>
    <s v="051424007001201504"/>
    <s v="Medellín"/>
    <x v="2"/>
    <s v="Revisor Inst. Particulares Metrosur"/>
    <x v="1"/>
    <n v="7"/>
    <s v="2025-12-10 13:26:50"/>
    <s v="1 días 13:26"/>
    <s v="6 días 13:26"/>
    <x v="0"/>
    <s v="SIN DATO"/>
    <s v="SIN DATO"/>
    <s v="SIN DATO"/>
    <s v="ABIERTO"/>
    <n v="-75.574616899999995"/>
    <n v="6.2194061100000004"/>
    <s v="SUR-ENE"/>
    <s v="Metropolitana Sur"/>
  </r>
  <r>
    <s v="23602763"/>
    <s v="ENERES"/>
    <s v="NUEVO"/>
    <s v="ENERES"/>
    <s v="28/11/2025 13:26:58"/>
    <s v="2025-11-28 13:26:58"/>
    <n v="800093117"/>
    <s v="ARQUITECTURA Y CONCRETO S.A.S"/>
    <s v="3123618"/>
    <s v="3209339296"/>
    <s v="CR 44 CL 17 -120 (INTERIOR 1403 )"/>
    <x v="2"/>
    <s v="051424007001201403"/>
    <s v="Medellín"/>
    <x v="2"/>
    <s v="Revisor Inst. Particulares Metrosur"/>
    <x v="1"/>
    <n v="7"/>
    <s v="2025-12-10 13:26:58"/>
    <s v="1 días 13:26"/>
    <s v="6 días 13:26"/>
    <x v="0"/>
    <s v="SIN DATO"/>
    <s v="SIN DATO"/>
    <s v="SIN DATO"/>
    <s v="ABIERTO"/>
    <n v="-75.574616899999995"/>
    <n v="6.2194061100000004"/>
    <s v="SUR-ENE"/>
    <s v="Metropolitana Sur"/>
  </r>
  <r>
    <s v="23602765"/>
    <s v="ENERES"/>
    <s v="NUEVO"/>
    <s v="ENERES"/>
    <s v="28/11/2025 13:27:31"/>
    <s v="2025-11-28 13:27:31"/>
    <n v="800093117"/>
    <s v="ARQUITECTURA Y CONCRETO S.A.S"/>
    <s v="3123618"/>
    <s v="3209339296"/>
    <s v="CR 44 CL 17 -120 (INTERIOR 2102 )"/>
    <x v="2"/>
    <s v="051424007001202102"/>
    <s v="Medellín"/>
    <x v="2"/>
    <s v="Revisor Inst. Particulares Metrosur"/>
    <x v="1"/>
    <n v="7"/>
    <s v="2025-12-10 13:27:31"/>
    <s v="1 días 13:27"/>
    <s v="6 días 13:27"/>
    <x v="0"/>
    <s v="SIN DATO"/>
    <s v="SIN DATO"/>
    <s v="SIN DATO"/>
    <s v="ABIERTO"/>
    <n v="-75.574616899999995"/>
    <n v="6.2194061100000004"/>
    <s v="SUR-ENE"/>
    <s v="Metropolitana Sur"/>
  </r>
  <r>
    <s v="23602766"/>
    <s v="ENERES"/>
    <s v="NUEVO"/>
    <s v="ENERES"/>
    <s v="28/11/2025 13:27:55"/>
    <s v="2025-11-28 13:27:55"/>
    <n v="800093117"/>
    <s v="ARQUITECTURA Y CONCRETO S.A.S"/>
    <s v="3123618"/>
    <s v="3209339296"/>
    <s v="CR 44 CL 17 -120 (INTERIOR 1602 )"/>
    <x v="2"/>
    <s v="051424007001201602"/>
    <s v="Medellín"/>
    <x v="2"/>
    <s v="Revisor Inst. Particulares Metrosur"/>
    <x v="1"/>
    <n v="7"/>
    <s v="2025-12-10 13:27:55"/>
    <s v="1 días 13:27"/>
    <s v="6 días 13:27"/>
    <x v="0"/>
    <s v="SIN DATO"/>
    <s v="SIN DATO"/>
    <s v="SIN DATO"/>
    <s v="ABIERTO"/>
    <n v="-75.574616899999995"/>
    <n v="6.2194061100000004"/>
    <s v="SUR-ENE"/>
    <s v="Metropolitana Sur"/>
  </r>
  <r>
    <s v="23602774"/>
    <s v="ENERES"/>
    <s v="NUEVO"/>
    <s v="ENEDOM"/>
    <s v="28/11/2025 13:33:35"/>
    <s v="2025-11-28 13:33:35"/>
    <n v="31237540"/>
    <s v="MARTHA ELENA VARGAS MORENO"/>
    <s v="SIN DATOS"/>
    <s v="3043849668"/>
    <s v="CL 57 C CR 19 -9 (INTERIOR 301 )"/>
    <x v="2"/>
    <s v="055117309000090301"/>
    <s v="Medellín"/>
    <x v="0"/>
    <s v="Habilitación Viviendas Metrosur"/>
    <x v="1"/>
    <n v="5"/>
    <s v="2025-12-05 13:33:35"/>
    <s v="1 días 13:33"/>
    <s v="4 días 13:33"/>
    <x v="0"/>
    <s v="SIN DATO"/>
    <s v="SIN DATO"/>
    <s v="SIN DATO"/>
    <s v="ABIERTO"/>
    <n v="-75.541918210000006"/>
    <n v="6.2511473400000002"/>
    <s v="SUR-ENE"/>
    <s v="Metropolitana Sur"/>
  </r>
  <r>
    <s v="23602776"/>
    <s v="ENERES"/>
    <s v="NUEVO"/>
    <s v="ENEDOM"/>
    <s v="28/11/2025 13:35:32"/>
    <s v="2025-11-28 13:35:32"/>
    <n v="1036680029"/>
    <s v="JOHAN SEBASTIAN ACOSTA PRESIGA"/>
    <s v="SIN DATOS"/>
    <s v="3167564646"/>
    <s v="RURAL_163017038604500010_LOMADELOSZULETA"/>
    <x v="1"/>
    <s v="163017038604500010"/>
    <s v="Itaguí"/>
    <x v="0"/>
    <s v="Habilitación Viviendas Metrosur"/>
    <x v="0"/>
    <n v="8"/>
    <s v="2025-12-11 13:35:32"/>
    <s v="1 días 13:35"/>
    <s v="7 días 13:35"/>
    <x v="0"/>
    <s v="SIN DATO"/>
    <s v="SIN DATO"/>
    <s v="SIN DATO"/>
    <s v="ABIERTO"/>
    <n v="-75.614260000000002"/>
    <n v="6.1770949999999996"/>
    <s v="SUR-ENE"/>
    <s v="Metropolitana Sur"/>
  </r>
  <r>
    <s v="23602777"/>
    <s v="ENECNX"/>
    <s v="NUEVO"/>
    <s v="ENECNX"/>
    <s v="28/11/2025 13:36:16"/>
    <s v="2025-11-28 13:36:16"/>
    <n v="43640494"/>
    <s v="MARIA CECILIA JARAMILLO"/>
    <s v="SIN DATOS"/>
    <s v="3503765427"/>
    <s v="CR 68 A CL 45 -15 (INTERIOR 101 )"/>
    <x v="2"/>
    <s v="054628105000150101"/>
    <s v="Medellín"/>
    <x v="3"/>
    <s v="Revisor Puntos de Conexión Metrosur"/>
    <x v="1"/>
    <n v="4"/>
    <s v="2025-12-04 13:36:16"/>
    <s v="1 días 13:36"/>
    <s v="3 días 13:36"/>
    <x v="0"/>
    <s v="SIN DATO"/>
    <s v="SIN DATO"/>
    <s v="SIN DATO"/>
    <s v="ABIERTO"/>
    <n v="-75.586710030000006"/>
    <n v="6.25086809"/>
    <s v="SUR-ENE"/>
    <s v="Metropolitana Sur"/>
  </r>
  <r>
    <s v="23602778"/>
    <s v="ENERES"/>
    <s v="NUEVO"/>
    <s v="ENERES"/>
    <s v="28/11/2025 13:36:38"/>
    <s v="2025-11-28 13:36:38"/>
    <n v="8345348"/>
    <s v="OLIVERIO DE JESUS ARANGO PEREZ"/>
    <s v="4332124"/>
    <s v="3006100403"/>
    <s v="CL 37 SUR CR 41 -42 (INTERIOR 102 )"/>
    <x v="5"/>
    <s v="023417001000420102"/>
    <s v="Envigado"/>
    <x v="2"/>
    <s v="METROSUR Vin. Leg. Ref. Concentrada"/>
    <x v="1"/>
    <n v="7"/>
    <s v="2025-12-10 13:36:38"/>
    <s v="1 días 13:36"/>
    <s v="6 días 13:36"/>
    <x v="0"/>
    <s v="SIN DATO"/>
    <s v="SIN DATO"/>
    <s v="SIN DATO"/>
    <s v="ABIERTO"/>
    <n v="-75.586495479999996"/>
    <n v="6.1701203700000002"/>
    <s v="SUR-ENE"/>
    <s v="Metropolitana Sur"/>
  </r>
  <r>
    <s v="23602779"/>
    <s v="ENERES"/>
    <s v="NUEVO"/>
    <s v="ENERES"/>
    <s v="28/11/2025 13:37:14"/>
    <s v="2025-11-28 13:37:14"/>
    <n v="800093117"/>
    <s v="ARQUITECTURA Y CONCRETO S.A.S"/>
    <s v="3123618"/>
    <s v="3209339296"/>
    <s v="CR 44 CL 17 -120 (INTERIOR 806 )"/>
    <x v="2"/>
    <s v="051424007001200806"/>
    <s v="Medellín"/>
    <x v="2"/>
    <s v="Revisor Inst. Particulares Metrosur"/>
    <x v="1"/>
    <n v="7"/>
    <s v="2025-12-10 13:37:14"/>
    <s v="1 días 13:37"/>
    <s v="6 días 13:37"/>
    <x v="0"/>
    <s v="SIN DATO"/>
    <s v="SIN DATO"/>
    <s v="SIN DATO"/>
    <s v="ABIERTO"/>
    <n v="-75.574616899999995"/>
    <n v="6.2194061100000004"/>
    <s v="SUR-ENE"/>
    <s v="Metropolitana Sur"/>
  </r>
  <r>
    <s v="23602780"/>
    <s v="ENERES"/>
    <s v="NUEVO"/>
    <s v="ENERES"/>
    <s v="28/11/2025 13:37:20"/>
    <s v="2025-11-28 13:37:20"/>
    <n v="800093117"/>
    <s v="ARQUITECTURA Y CONCRETO S.A.S"/>
    <s v="3123618"/>
    <s v="3209339296"/>
    <s v="CR 44 CL 17 -120 (INTERIOR 704 )"/>
    <x v="2"/>
    <s v="051424007001200704"/>
    <s v="Medellín"/>
    <x v="2"/>
    <s v="Revisor Inst. Particulares Metrosur"/>
    <x v="1"/>
    <n v="7"/>
    <s v="2025-12-10 13:37:20"/>
    <s v="1 días 13:37"/>
    <s v="6 días 13:37"/>
    <x v="0"/>
    <s v="SIN DATO"/>
    <s v="SIN DATO"/>
    <s v="SIN DATO"/>
    <s v="ABIERTO"/>
    <n v="-75.574616899999995"/>
    <n v="6.2194061100000004"/>
    <s v="SUR-ENE"/>
    <s v="Metropolitana Sur"/>
  </r>
  <r>
    <s v="23602781"/>
    <s v="ENERES"/>
    <s v="NUEVO"/>
    <s v="ENERES"/>
    <s v="28/11/2025 13:37:27"/>
    <s v="2025-11-28 13:37:27"/>
    <n v="800093117"/>
    <s v="ARQUITECTURA Y CONCRETO S.A.S"/>
    <s v="3123618"/>
    <s v="3209339296"/>
    <s v="CR 44 CL 17 -120 (INTERIOR 902 )"/>
    <x v="2"/>
    <s v="051424007001200902"/>
    <s v="Medellín"/>
    <x v="2"/>
    <s v="Revisor Inst. Particulares Metrosur"/>
    <x v="1"/>
    <n v="7"/>
    <s v="2025-12-10 13:37:27"/>
    <s v="1 días 13:37"/>
    <s v="6 días 13:37"/>
    <x v="0"/>
    <s v="SIN DATO"/>
    <s v="SIN DATO"/>
    <s v="SIN DATO"/>
    <s v="ABIERTO"/>
    <n v="-75.574616899999995"/>
    <n v="6.2194061100000004"/>
    <s v="SUR-ENE"/>
    <s v="Metropolitana Sur"/>
  </r>
  <r>
    <s v="23602783"/>
    <s v="ENERES"/>
    <s v="NUEVO"/>
    <s v="ENERES"/>
    <s v="28/11/2025 13:37:59"/>
    <s v="2025-11-28 13:37:59"/>
    <n v="800093117"/>
    <s v="ARQUITECTURA Y CONCRETO S.A.S"/>
    <s v="3123618"/>
    <s v="3209339296"/>
    <s v="CR 44 CL 17 -120 (INTERIOR 1806 )"/>
    <x v="2"/>
    <s v="051424007001201806"/>
    <s v="Medellín"/>
    <x v="2"/>
    <s v="Revisor Inst. Particulares Metrosur"/>
    <x v="1"/>
    <n v="7"/>
    <s v="2025-12-10 13:37:59"/>
    <s v="1 días 13:37"/>
    <s v="6 días 13:37"/>
    <x v="0"/>
    <s v="SIN DATO"/>
    <s v="SIN DATO"/>
    <s v="SIN DATO"/>
    <s v="ABIERTO"/>
    <n v="-75.574616899999995"/>
    <n v="6.2194061100000004"/>
    <s v="SUR-ENE"/>
    <s v="Metropolitana Sur"/>
  </r>
  <r>
    <s v="23602784"/>
    <s v="ENERES"/>
    <s v="NUEVO"/>
    <s v="ENERES"/>
    <s v="28/11/2025 13:38:13"/>
    <s v="2025-11-28 13:38:13"/>
    <n v="800093117"/>
    <s v="ARQUITECTURA Y CONCRETO S.A.S"/>
    <s v="3123618"/>
    <s v="3209339296"/>
    <s v="CR 44 CL 17 -120 (INTERIOR 2004 )"/>
    <x v="2"/>
    <s v="051424007001202004"/>
    <s v="Medellín"/>
    <x v="2"/>
    <s v="Revisor Inst. Particulares Metrosur"/>
    <x v="1"/>
    <n v="7"/>
    <s v="2025-12-10 13:38:13"/>
    <s v="1 días 13:38"/>
    <s v="6 días 13:38"/>
    <x v="0"/>
    <s v="SIN DATO"/>
    <s v="SIN DATO"/>
    <s v="SIN DATO"/>
    <s v="ABIERTO"/>
    <n v="-75.574616899999995"/>
    <n v="6.2194061100000004"/>
    <s v="SUR-ENE"/>
    <s v="Metropolitana Sur"/>
  </r>
  <r>
    <s v="23602785"/>
    <s v="ENERES"/>
    <s v="NUEVO"/>
    <s v="ENERES"/>
    <s v="28/11/2025 13:38:38"/>
    <s v="2025-11-28 13:38:38"/>
    <n v="800093117"/>
    <s v="ARQUITECTURA Y CONCRETO S.A.S"/>
    <s v="3123618"/>
    <s v="3209339296"/>
    <s v="CR 44 CL 17 -120 (INTERIOR 1203 )"/>
    <x v="2"/>
    <s v="051424007001201203"/>
    <s v="Medellín"/>
    <x v="2"/>
    <s v="Revisor Inst. Particulares Metrosur"/>
    <x v="1"/>
    <n v="7"/>
    <s v="2025-12-10 13:38:38"/>
    <s v="1 días 13:38"/>
    <s v="6 días 13:38"/>
    <x v="0"/>
    <s v="SIN DATO"/>
    <s v="SIN DATO"/>
    <s v="SIN DATO"/>
    <s v="ABIERTO"/>
    <n v="-75.574616899999995"/>
    <n v="6.2194061100000004"/>
    <s v="SUR-ENE"/>
    <s v="Metropolitana Sur"/>
  </r>
  <r>
    <s v="23602789"/>
    <s v="ENERES"/>
    <s v="NUEVO"/>
    <s v="ENEDOM"/>
    <s v="28/11/2025 13:42:17"/>
    <s v="2025-11-28 13:42:17"/>
    <n v="1216717859"/>
    <s v="DANIELA RODRIGUEZ ROJAS"/>
    <s v="SIN DATOS"/>
    <s v="3107116524"/>
    <s v="CR 19 A CL 57 C -3 (INTERIOR 201 )"/>
    <x v="2"/>
    <s v="055129107300030201"/>
    <s v="Medellín"/>
    <x v="0"/>
    <s v="Habilitación Viviendas Metrosur"/>
    <x v="1"/>
    <n v="5"/>
    <s v="2025-12-05 13:42:17"/>
    <s v="1 días 13:42"/>
    <s v="4 días 13:42"/>
    <x v="0"/>
    <s v="SIN DATO"/>
    <s v="SIN DATO"/>
    <s v="SIN DATO"/>
    <s v="ABIERTO"/>
    <n v="-75.542439000000002"/>
    <n v="6.250928"/>
    <s v="SUR-ENE"/>
    <s v="Metropolitana Sur"/>
  </r>
  <r>
    <s v="23602799"/>
    <s v="ENERES"/>
    <s v="NUEVO"/>
    <s v="ENEDOM"/>
    <s v="28/11/2025 13:46:36"/>
    <s v="2025-11-28 13:46:36"/>
    <n v="1036680029"/>
    <s v="JOHAN SEBASTIAN ACOSTA PRESIGA"/>
    <s v="SIN DATOS"/>
    <s v="3167564646"/>
    <s v="RURAL_163017038604500011_LOMADELOSZULETA"/>
    <x v="1"/>
    <s v="163017038604500011"/>
    <s v="Itaguí"/>
    <x v="0"/>
    <s v="Habilitación Viviendas Metrosur"/>
    <x v="0"/>
    <n v="8"/>
    <s v="2025-12-11 13:46:36"/>
    <s v="1 días 13:46"/>
    <s v="7 días 13:46"/>
    <x v="0"/>
    <s v="SIN DATO"/>
    <s v="SIN DATO"/>
    <s v="SIN DATO"/>
    <s v="ABIERTO"/>
    <n v="-75.614260000000002"/>
    <n v="6.1770949999999996"/>
    <s v="SUR-ENE"/>
    <s v="Metropolitana Sur"/>
  </r>
  <r>
    <s v="23602805"/>
    <s v="ENEMRT"/>
    <s v="NUEVO"/>
    <s v="ENEMVI"/>
    <s v="28/11/2025 13:50:29"/>
    <s v="2025-11-28 13:50:29"/>
    <n v="1020412249"/>
    <s v="LINA MARCELA LOPERA PULGARIN"/>
    <s v="SIN DATOS"/>
    <s v="3012584149"/>
    <s v="CR 53 CL 61 A -47"/>
    <x v="2"/>
    <s v="056523001100470000"/>
    <s v="Medellín"/>
    <x v="11"/>
    <s v="METR Mov Red Trans Anderson Castaño"/>
    <x v="1"/>
    <n v="9"/>
    <s v="2025-12-12 13:50:29"/>
    <s v="1 días 13:50"/>
    <s v="8 días 13:50"/>
    <x v="0"/>
    <s v="SIN DATO"/>
    <s v="SIN DATO"/>
    <s v="SIN DATO"/>
    <s v="ABIERTO"/>
    <n v="-75.5680981"/>
    <n v="6.26102764"/>
    <s v="SUR-ENE"/>
    <s v="Metropolitana Sur"/>
  </r>
  <r>
    <s v="23602824"/>
    <s v="ENERES"/>
    <s v="CAMBI"/>
    <s v="ENERES"/>
    <s v="28/11/2025 14:04:59"/>
    <s v="2025-11-28 14:05:00"/>
    <n v="43726673"/>
    <s v="KAREN SIEGERT FRANCO"/>
    <s v="SIN DATOS"/>
    <s v="3137381408"/>
    <s v="RURAL_125004452900000005_CL 24 SR 6 - 50 (IN 05)"/>
    <x v="5"/>
    <s v="125004452900000005"/>
    <s v="Envigado"/>
    <x v="5"/>
    <s v="METROSUR Vin. Leg. Ref. Concentrada"/>
    <x v="0"/>
    <n v="10"/>
    <s v="2025-12-15 14:05:00"/>
    <s v="1 días 14:05"/>
    <s v="9 días 14:05"/>
    <x v="0"/>
    <s v="SIN DATO"/>
    <s v="SIN DATO"/>
    <s v="SIN DATO"/>
    <s v="ABIERTO"/>
    <n v="-75.522569000000004"/>
    <n v="6.1608179999999999"/>
    <s v="SUR-ENE"/>
    <s v="Metropolitana Sur"/>
  </r>
  <r>
    <s v="23602826"/>
    <s v="ENEMRT"/>
    <s v="NUEVO"/>
    <s v="ENEMVI"/>
    <s v="28/11/2025 14:06:53"/>
    <s v="2025-11-28 14:06:53"/>
    <n v="1017194638"/>
    <s v="LINA MARIA MARTINEZ QUINTERO"/>
    <s v="SIN DATOS"/>
    <s v="3226267656"/>
    <s v="CL 52 CR 5 -27"/>
    <x v="2"/>
    <s v="055012005000270000"/>
    <s v="Medellín"/>
    <x v="11"/>
    <s v="METR Mov Red Trans Anderson Castaño"/>
    <x v="1"/>
    <n v="9"/>
    <s v="2025-12-12 14:06:53"/>
    <s v="1 días 14:06"/>
    <s v="8 días 14:06"/>
    <x v="0"/>
    <s v="SIN DATO"/>
    <s v="SIN DATO"/>
    <s v="SIN DATO"/>
    <s v="ABIERTO"/>
    <n v="-75.534241179999995"/>
    <n v="6.2324531500000004"/>
    <s v="SUR-ENE"/>
    <s v="Metropolitana Sur"/>
  </r>
  <r>
    <s v="23602833"/>
    <s v="ENENOR"/>
    <s v="CAMBI"/>
    <s v="ENENOR"/>
    <s v="28/11/2025 14:10:11"/>
    <s v="2025-11-28 14:10:11"/>
    <n v="98619873"/>
    <s v="WILMER MARIO URIBE SALAZAR"/>
    <s v="SIN DATOS"/>
    <s v="3155455910"/>
    <s v="CL 48 CR 99 -117"/>
    <x v="2"/>
    <s v="054918009001170000"/>
    <s v="Medellín"/>
    <x v="1"/>
    <s v="Revisor Inst. Particulares Metrosur"/>
    <x v="1"/>
    <n v="7"/>
    <s v="2025-12-10 14:10:11"/>
    <s v="1 días 14:10"/>
    <s v="6 días 14:10"/>
    <x v="0"/>
    <s v="SIN DATO"/>
    <s v="SIN DATO"/>
    <s v="SIN DATO"/>
    <s v="ABIERTO"/>
    <n v="-75.614793000000006"/>
    <n v="6.2592119999999998"/>
    <s v="SUR-ENE"/>
    <s v="Metropolitana Sur"/>
  </r>
  <r>
    <s v="23602836"/>
    <s v="ENECNX"/>
    <s v="NUEVO"/>
    <s v="ENECNX"/>
    <s v="28/11/2025 14:10:42"/>
    <s v="2025-11-28 14:10:42"/>
    <n v="11810114"/>
    <s v="LUIS EDUARD CORREA VELASQUEZ"/>
    <s v="SIN DATOS"/>
    <s v="3205741752"/>
    <s v="RURAL_122002980000000000_122002980000000000"/>
    <x v="2"/>
    <s v="122002980000000000"/>
    <s v="Medellín"/>
    <x v="3"/>
    <s v="Revisor Puntos de Conexión Metrosur"/>
    <x v="0"/>
    <n v="4"/>
    <s v="2025-12-04 14:10:42"/>
    <s v="1 días 14:10"/>
    <s v="3 días 14:10"/>
    <x v="0"/>
    <s v="SIN DATO"/>
    <s v="SIN DATO"/>
    <s v="SIN DATO"/>
    <s v="ABIERTO"/>
    <n v="-75.513987979999996"/>
    <n v="6.23001702"/>
    <s v="SUR-ENE"/>
    <s v="Metropolitana Sur"/>
  </r>
  <r>
    <s v="23602844"/>
    <s v="ENECNX"/>
    <s v="NUEVO"/>
    <s v="ENECNX"/>
    <s v="28/11/2025 14:13:30"/>
    <s v="2025-11-28 14:13:30"/>
    <n v="1001394341"/>
    <s v="JHERALDIN LUJAN"/>
    <s v="1310261"/>
    <s v="3002068765"/>
    <s v="CR 49 CL 56 -44"/>
    <x v="2"/>
    <s v="055429006000440000"/>
    <s v="Medellín"/>
    <x v="3"/>
    <s v="Revisor Puntos de Conexión Metrosur"/>
    <x v="1"/>
    <n v="4"/>
    <s v="2025-12-04 14:13:30"/>
    <s v="1 días 14:13"/>
    <s v="3 días 14:13"/>
    <x v="0"/>
    <s v="SIN DATO"/>
    <s v="SIN DATO"/>
    <s v="SIN DATO"/>
    <s v="ABIERTO"/>
    <n v="-75.563795999999996"/>
    <n v="6.2542410000000004"/>
    <s v="SUR-ENE"/>
    <s v="Metropolitana Sur"/>
  </r>
  <r>
    <s v="23602845"/>
    <s v="ENECNX"/>
    <s v="NUEVO"/>
    <s v="ENECNX"/>
    <s v="28/11/2025 14:13:31"/>
    <s v="2025-11-28 14:13:31"/>
    <n v="15256947"/>
    <s v="DIEGO DE JESUS GALLEGO CASTAÑEDA"/>
    <s v="SIN DATOS"/>
    <s v="3132720721"/>
    <s v="RURAL_161105312000000001_PROV.BR LA CORRALA"/>
    <x v="3"/>
    <s v="161105312000000001"/>
    <s v="Caldas"/>
    <x v="3"/>
    <s v="Revisor Puntos de Conexión Metrosur"/>
    <x v="0"/>
    <n v="4"/>
    <s v="2025-12-04 14:13:31"/>
    <s v="1 días 14:13"/>
    <s v="3 días 14:13"/>
    <x v="0"/>
    <s v="SIN DATO"/>
    <s v="SIN DATO"/>
    <s v="SIN DATO"/>
    <s v="ABIERTO"/>
    <n v="-75.626208869999999"/>
    <n v="6.0859002699999998"/>
    <s v="SUR-ENE"/>
    <s v="Metropolitana Sur"/>
  </r>
  <r>
    <s v="23602851"/>
    <s v="ENERES"/>
    <s v="NUEVO"/>
    <s v="ENEDOM"/>
    <s v="28/11/2025 14:15:08"/>
    <s v="2025-11-28 14:15:08"/>
    <n v="70470389"/>
    <s v="LUIS GUILLERMO VARGAS MORENO"/>
    <s v="SIN DATOS"/>
    <s v="3146364537"/>
    <s v="CR 19 A CL 57 C -3 (INTERIOR 301 )"/>
    <x v="2"/>
    <s v="055129107300030301"/>
    <s v="Medellín"/>
    <x v="0"/>
    <s v="Habilitación Viviendas Metrosur"/>
    <x v="1"/>
    <n v="5"/>
    <s v="2025-12-05 14:15:08"/>
    <s v="1 días 14:15"/>
    <s v="4 días 14:15"/>
    <x v="0"/>
    <s v="SIN DATO"/>
    <s v="SIN DATO"/>
    <s v="SIN DATO"/>
    <s v="ABIERTO"/>
    <n v="-75.542439000000002"/>
    <n v="6.250928"/>
    <s v="SUR-ENE"/>
    <s v="Metropolitana Sur"/>
  </r>
  <r>
    <s v="23602872"/>
    <s v="ENERES"/>
    <s v="NUEVO"/>
    <s v="ENERES"/>
    <s v="28/11/2025 14:24:19"/>
    <s v="2025-11-28 14:24:19"/>
    <n v="800093117"/>
    <s v="ARQUITECTURA Y CONCRETO S.A.S"/>
    <s v="3123618"/>
    <s v="3209339296"/>
    <s v="CR 44 CL 17 -120 (INTERIOR 1002 )"/>
    <x v="2"/>
    <s v="051424007001201002"/>
    <s v="Medellín"/>
    <x v="2"/>
    <s v="Revisor Inst. Particulares Metrosur"/>
    <x v="1"/>
    <n v="7"/>
    <s v="2025-12-10 14:24:19"/>
    <s v="1 días 14:24"/>
    <s v="6 días 14:24"/>
    <x v="0"/>
    <s v="SIN DATO"/>
    <s v="SIN DATO"/>
    <s v="SIN DATO"/>
    <s v="ABIERTO"/>
    <n v="-75.574616899999995"/>
    <n v="6.2194061100000004"/>
    <s v="SUR-ENE"/>
    <s v="Metropolitana Sur"/>
  </r>
  <r>
    <s v="23602873"/>
    <s v="ENENOR"/>
    <s v="CAMBI"/>
    <s v="ENENOR"/>
    <s v="28/11/2025 14:24:36"/>
    <s v="2025-11-28 14:24:36"/>
    <n v="98619873"/>
    <s v="WILMER MARIO URIBE SALAZAR"/>
    <s v="SIN DATOS"/>
    <s v="3155455910"/>
    <s v="CL 48 CR 99 -119"/>
    <x v="2"/>
    <s v="054918009001190000"/>
    <s v="Medellín"/>
    <x v="1"/>
    <s v="Revisor Inst. Particulares Metrosur"/>
    <x v="1"/>
    <n v="7"/>
    <s v="2025-12-10 14:24:36"/>
    <s v="1 días 14:24"/>
    <s v="6 días 14:24"/>
    <x v="0"/>
    <s v="SIN DATO"/>
    <s v="SIN DATO"/>
    <s v="SIN DATO"/>
    <s v="ABIERTO"/>
    <n v="-75.614877000000007"/>
    <n v="6.2592230000000004"/>
    <s v="SUR-ENE"/>
    <s v="Metropolitana Sur"/>
  </r>
  <r>
    <s v="23602874"/>
    <s v="ENERES"/>
    <s v="NUEVO"/>
    <s v="ENERES"/>
    <s v="28/11/2025 14:24:42"/>
    <s v="2025-11-28 14:24:42"/>
    <n v="800093117"/>
    <s v="ARQUITECTURA Y CONCRETO S.A.S"/>
    <s v="3123618"/>
    <s v="3209339296"/>
    <s v="CR 44 CL 17 -120 (INTERIOR 905 )"/>
    <x v="2"/>
    <s v="051424007001200905"/>
    <s v="Medellín"/>
    <x v="2"/>
    <s v="Revisor Inst. Particulares Metrosur"/>
    <x v="1"/>
    <n v="7"/>
    <s v="2025-12-10 14:24:42"/>
    <s v="1 días 14:24"/>
    <s v="6 días 14:24"/>
    <x v="0"/>
    <s v="SIN DATO"/>
    <s v="SIN DATO"/>
    <s v="SIN DATO"/>
    <s v="ABIERTO"/>
    <n v="-75.574616899999995"/>
    <n v="6.2194061100000004"/>
    <s v="SUR-ENE"/>
    <s v="Metropolitana Sur"/>
  </r>
  <r>
    <s v="23602876"/>
    <s v="ENERES"/>
    <s v="NUEVO"/>
    <s v="ENERES"/>
    <s v="28/11/2025 14:24:53"/>
    <s v="2025-11-28 14:24:53"/>
    <n v="800093117"/>
    <s v="ARQUITECTURA Y CONCRETO S.A.S"/>
    <s v="3123618"/>
    <s v="3209339296"/>
    <s v="CR 44 CL 17 -120 (INTERIOR 901 )"/>
    <x v="2"/>
    <s v="051424007001200901"/>
    <s v="Medellín"/>
    <x v="2"/>
    <s v="Revisor Inst. Particulares Metrosur"/>
    <x v="1"/>
    <n v="7"/>
    <s v="2025-12-10 14:24:53"/>
    <s v="1 días 14:24"/>
    <s v="6 días 14:24"/>
    <x v="0"/>
    <s v="SIN DATO"/>
    <s v="SIN DATO"/>
    <s v="SIN DATO"/>
    <s v="ABIERTO"/>
    <n v="-75.574616899999995"/>
    <n v="6.2194061100000004"/>
    <s v="SUR-ENE"/>
    <s v="Metropolitana Sur"/>
  </r>
  <r>
    <s v="23602878"/>
    <s v="ENERES"/>
    <s v="NUEVO"/>
    <s v="ENERES"/>
    <s v="28/11/2025 14:25:08"/>
    <s v="2025-11-28 14:25:08"/>
    <n v="800093117"/>
    <s v="ARQUITECTURA Y CONCRETO S.A.S"/>
    <s v="3123618"/>
    <s v="3209339296"/>
    <s v="CR 44 CL 17 -120 (INTERIOR 1003 )"/>
    <x v="2"/>
    <s v="051424007001201003"/>
    <s v="Medellín"/>
    <x v="2"/>
    <s v="Revisor Inst. Particulares Metrosur"/>
    <x v="1"/>
    <n v="7"/>
    <s v="2025-12-10 14:25:08"/>
    <s v="1 días 14:25"/>
    <s v="6 días 14:25"/>
    <x v="0"/>
    <s v="SIN DATO"/>
    <s v="SIN DATO"/>
    <s v="SIN DATO"/>
    <s v="ABIERTO"/>
    <n v="-75.574616899999995"/>
    <n v="6.2194061100000004"/>
    <s v="SUR-ENE"/>
    <s v="Metropolitana Sur"/>
  </r>
  <r>
    <s v="23602888"/>
    <s v="ENEMRT"/>
    <s v="NUEVO"/>
    <s v="ENEMVI"/>
    <s v="28/11/2025 14:33:28"/>
    <s v="2025-11-28 14:33:28"/>
    <n v="43582384"/>
    <s v="SANDRA JANETH FLOREZ VELEZ"/>
    <s v="SIN DATOS"/>
    <s v="3127811408"/>
    <s v="CR 14 A CL 49 -20 (INTERIOR 301 )"/>
    <x v="2"/>
    <s v="054124109000200301"/>
    <s v="Medellín"/>
    <x v="11"/>
    <s v="METR Mov Red Trans Anderson Castaño"/>
    <x v="1"/>
    <n v="9"/>
    <s v="2025-12-12 14:33:28"/>
    <s v="1 días 14:33"/>
    <s v="8 días 14:33"/>
    <x v="0"/>
    <s v="SIN DATO"/>
    <s v="SIN DATO"/>
    <s v="SIN DATO"/>
    <s v="ABIERTO"/>
    <n v="-75.541471479999998"/>
    <n v="6.2331074199999996"/>
    <s v="SUR-ENE"/>
    <s v="Metropolitana Sur"/>
  </r>
  <r>
    <s v="23602900"/>
    <s v="ENECNX"/>
    <s v="NUEVO"/>
    <s v="ENECNX"/>
    <s v="28/11/2025 14:44:21"/>
    <s v="2025-11-28 14:44:21"/>
    <n v="70900761"/>
    <s v="JESUS DAVID CASTAÑO HOYOS"/>
    <s v="SIN DATOS"/>
    <s v="3225509608"/>
    <s v="CR 51 CL 83 -6 (INTERIOR 101 )"/>
    <x v="1"/>
    <s v="078521003000060101"/>
    <s v="Itaguí"/>
    <x v="3"/>
    <s v="Revisor Puntos de Conexión Metrosur"/>
    <x v="1"/>
    <n v="4"/>
    <s v="2025-12-04 14:44:21"/>
    <s v="1 días 14:44"/>
    <s v="3 días 14:44"/>
    <x v="0"/>
    <s v="SIN DATO"/>
    <s v="SIN DATO"/>
    <s v="SIN DATO"/>
    <s v="ABIERTO"/>
    <n v="-75.592496359999998"/>
    <n v="6.1897947999999996"/>
    <s v="SUR-ENE"/>
    <s v="Metropolitana Sur"/>
  </r>
  <r>
    <s v="23602905"/>
    <s v="ENEMRT"/>
    <s v="NUEVO"/>
    <s v="ENEMVI"/>
    <s v="28/11/2025 14:48:32"/>
    <s v="2025-11-28 14:48:32"/>
    <n v="1000538762"/>
    <s v="LAURA NATALLY MUÑOZ GUARIN"/>
    <s v="SIN DATOS"/>
    <s v="3133324621"/>
    <s v="CR 98 A CL 62 -106 (INTERIOR 1001 )"/>
    <x v="2"/>
    <s v="056928102001061001"/>
    <s v="Medellín"/>
    <x v="11"/>
    <s v="METR Mov Red Trans Anderson Castaño"/>
    <x v="1"/>
    <n v="9"/>
    <s v="2025-12-12 14:48:32"/>
    <s v="1 días 14:48"/>
    <s v="8 días 14:48"/>
    <x v="0"/>
    <s v="SIN DATO"/>
    <s v="SIN DATO"/>
    <s v="SIN DATO"/>
    <s v="ABIERTO"/>
    <n v="-75.608658640000002"/>
    <n v="6.2776701700000004"/>
    <s v="SUR-ENE"/>
    <s v="Metropolitana Sur"/>
  </r>
  <r>
    <s v="23602963"/>
    <s v="ENERES"/>
    <s v="NUEVO"/>
    <s v="ENERES"/>
    <s v="28/11/2025 15:18:27"/>
    <s v="2025-11-28 15:18:27"/>
    <n v="71743067"/>
    <s v="LUIS DAVID CARREÑO HENAO"/>
    <s v="2553537"/>
    <s v="3054050959"/>
    <s v="CL 4 CR 54 -113 (INTERIOR 401 )"/>
    <x v="2"/>
    <s v="050514004001130401"/>
    <s v="Medellín"/>
    <x v="2"/>
    <s v="Revisor Instal. Regadas Metrosur"/>
    <x v="1"/>
    <n v="7"/>
    <s v="2025-12-10 15:18:27"/>
    <s v="1 días 15:18"/>
    <s v="6 días 15:18"/>
    <x v="0"/>
    <s v="SIN DATO"/>
    <s v="SIN DATO"/>
    <s v="SIN DATO"/>
    <s v="ABIERTO"/>
    <n v="-75.586100000000002"/>
    <n v="6.2111850000000004"/>
    <s v="SUR-ENE"/>
    <s v="Metropolitana Sur"/>
  </r>
  <r>
    <s v="23602965"/>
    <s v="ENERES"/>
    <s v="NUEVO"/>
    <s v="ENERES"/>
    <s v="28/11/2025 15:19:42"/>
    <s v="2025-11-28 15:19:42"/>
    <n v="43321714"/>
    <s v="OLGA LUCIA CASTRILLON AGUDELO"/>
    <s v="SIN DATOS"/>
    <s v="3147853317"/>
    <s v="CL 53 A CR 48 -34 (INTERIOR 301 )"/>
    <x v="1"/>
    <s v="075413108000340301"/>
    <s v="Itaguí"/>
    <x v="2"/>
    <s v="Revisor Instal. Regadas Metrosur"/>
    <x v="1"/>
    <n v="7"/>
    <s v="2025-12-10 15:19:42"/>
    <s v="1 días 15:19"/>
    <s v="6 días 15:19"/>
    <x v="0"/>
    <s v="SIN DATO"/>
    <s v="SIN DATO"/>
    <s v="SIN DATO"/>
    <s v="ABIERTO"/>
    <n v="-75.606299930000006"/>
    <n v="6.1719567499999997"/>
    <s v="SUR-ENE"/>
    <s v="Metropolitana Sur"/>
  </r>
  <r>
    <s v="23602967"/>
    <s v="ENERES"/>
    <s v="NUEVO"/>
    <s v="ENERES"/>
    <s v="28/11/2025 15:21:57"/>
    <s v="2025-11-28 15:21:57"/>
    <n v="71743067"/>
    <s v="LUIS DAVID CARREÑO HENAO"/>
    <s v="2553537"/>
    <s v="3054050959"/>
    <s v="CL 4 CR 54 -113 (INTERIOR 301 )"/>
    <x v="2"/>
    <s v="050514004001130301"/>
    <s v="Medellín"/>
    <x v="2"/>
    <s v="Revisor Instal. Regadas Metrosur"/>
    <x v="1"/>
    <n v="7"/>
    <s v="2025-12-10 15:21:57"/>
    <s v="1 días 15:21"/>
    <s v="6 días 15:21"/>
    <x v="0"/>
    <s v="SIN DATO"/>
    <s v="SIN DATO"/>
    <s v="SIN DATO"/>
    <s v="ABIERTO"/>
    <n v="-75.586100000000002"/>
    <n v="6.2111850000000004"/>
    <s v="SUR-ENE"/>
    <s v="Metropolitana Sur"/>
  </r>
  <r>
    <s v="23602975"/>
    <s v="ENERES"/>
    <s v="NUEVO"/>
    <s v="ENEDOM"/>
    <s v="28/11/2025 15:24:30"/>
    <s v="2025-11-28 15:24:30"/>
    <n v="1036608150"/>
    <s v="YUDI ESTELA MORENO CARVAJAL"/>
    <s v="SIN DATOS"/>
    <s v="3148174031"/>
    <s v="RURAL_163001036500000201"/>
    <x v="1"/>
    <s v="163001036500000201"/>
    <s v="Itaguí"/>
    <x v="0"/>
    <s v="Habilitación Viviendas Metrosur"/>
    <x v="0"/>
    <n v="8"/>
    <s v="2025-12-11 15:24:30"/>
    <s v="1 días 15:24"/>
    <s v="7 días 15:24"/>
    <x v="0"/>
    <s v="SIN DATO"/>
    <s v="SIN DATO"/>
    <s v="SIN DATO"/>
    <s v="ABIERTO"/>
    <n v="-75.598241340000001"/>
    <n v="6.1971229499999998"/>
    <s v="SUR-ENE"/>
    <s v="Metropolitana Sur"/>
  </r>
  <r>
    <s v="23602982"/>
    <s v="ENERES"/>
    <s v="NUEVO"/>
    <s v="ENERES"/>
    <s v="28/11/2025 15:31:59"/>
    <s v="2025-11-28 15:31:59"/>
    <n v="43556097"/>
    <s v="ROSALBA DEL ROCIO FLOREZ RODRIGUEZ"/>
    <s v="3798342"/>
    <s v="3042182152"/>
    <s v="CR 57 CL 44 -31 (INTERIOR 306 )"/>
    <x v="1"/>
    <s v="074527004000310306"/>
    <s v="Itaguí"/>
    <x v="2"/>
    <s v="Revisor Instal. Regadas Metrosur"/>
    <x v="1"/>
    <n v="7"/>
    <s v="2025-12-10 15:31:59"/>
    <s v="1 días 15:31"/>
    <s v="6 días 15:31"/>
    <x v="0"/>
    <s v="SIN DATO"/>
    <s v="SIN DATO"/>
    <s v="SIN DATO"/>
    <s v="ABIERTO"/>
    <n v="-75.616532000000007"/>
    <n v="6.1752890000000003"/>
    <s v="SUR-ENE"/>
    <s v="Metropolitana Sur"/>
  </r>
  <r>
    <s v="23602984"/>
    <s v="ENERES"/>
    <s v="NUEVO"/>
    <s v="ENERES"/>
    <s v="28/11/2025 15:33:06"/>
    <s v="2025-11-28 15:33:06"/>
    <n v="1037571560"/>
    <s v="MARIA KATERINE MOLINA CARDONA"/>
    <s v="SIN DATOS"/>
    <s v="3107454957"/>
    <s v="CL 39 A SUR CR 46 A -39 (INTERIOR 301 )"/>
    <x v="5"/>
    <s v="023419106100390301"/>
    <s v="Envigado"/>
    <x v="2"/>
    <s v="Revisor Instal. Regadas Metrosur"/>
    <x v="1"/>
    <n v="7"/>
    <s v="2025-12-10 15:33:06"/>
    <s v="1 días 15:33"/>
    <s v="6 días 15:33"/>
    <x v="0"/>
    <s v="SIN DATO"/>
    <s v="SIN DATO"/>
    <s v="SIN DATO"/>
    <s v="ABIERTO"/>
    <n v="-75.593678229999995"/>
    <n v="6.1700770299999999"/>
    <s v="SUR-ENE"/>
    <s v="Metropolitana Sur"/>
  </r>
  <r>
    <s v="23602995"/>
    <s v="ENERES"/>
    <s v="NUEVO"/>
    <s v="ENEDOM"/>
    <s v="28/11/2025 15:46:50"/>
    <s v="2025-11-28 15:46:50"/>
    <n v="43507285"/>
    <s v="LUZ  MARINA OQUENDO ALVAREZ"/>
    <s v="SIN DATOS"/>
    <s v="3122689743"/>
    <s v="CL 38 D CR 27 A -11 (INTERIOR 205 )"/>
    <x v="2"/>
    <s v="053218407100110205"/>
    <s v="Medellín"/>
    <x v="0"/>
    <s v="Habilitación Viviendas Metrosur"/>
    <x v="1"/>
    <n v="5"/>
    <s v="2025-12-05 15:46:50"/>
    <s v="1 días 15:46"/>
    <s v="4 días 15:46"/>
    <x v="0"/>
    <s v="SIN DATO"/>
    <s v="SIN DATO"/>
    <s v="SIN DATO"/>
    <s v="ABIERTO"/>
    <n v="-75.556861589999997"/>
    <n v="6.2320537299999996"/>
    <s v="SUR-ENE"/>
    <s v="Metropolitana Sur"/>
  </r>
  <r>
    <s v="23602996"/>
    <s v="ENERES"/>
    <s v="NUEVO"/>
    <s v="ENERES"/>
    <s v="28/11/2025 15:47:16"/>
    <s v="2025-11-28 15:47:16"/>
    <n v="1037571560"/>
    <s v="MARIA KATERINE MOLINA CARDONA"/>
    <s v="SIN DATOS"/>
    <s v="3107454957"/>
    <s v="CL 39 A SUR CR 46 A -39 (INTERIOR 201 )"/>
    <x v="5"/>
    <s v="023419106100390201"/>
    <s v="Envigado"/>
    <x v="2"/>
    <s v="METROSUR Vin. Leg. Ref. Concentrada"/>
    <x v="1"/>
    <n v="7"/>
    <s v="2025-12-10 15:47:16"/>
    <s v="1 días 15:47"/>
    <s v="6 días 15:47"/>
    <x v="0"/>
    <s v="SIN DATO"/>
    <s v="SIN DATO"/>
    <s v="SIN DATO"/>
    <s v="ABIERTO"/>
    <n v="-75.593678229999995"/>
    <n v="6.1700770299999999"/>
    <s v="SUR-ENE"/>
    <s v="Metropolitana Sur"/>
  </r>
  <r>
    <s v="23603002"/>
    <s v="ENEPRE"/>
    <s v="NUEVO"/>
    <s v="ENEPRE"/>
    <s v="28/11/2025 15:51:36"/>
    <s v="2025-11-28 15:51:36"/>
    <n v="1022146985"/>
    <s v="JUAN DAVID MUÑOZ GONZALEZ"/>
    <s v="4782690"/>
    <s v="3214782690"/>
    <s v="RURAL_116005351680000000_116005351680000000"/>
    <x v="2"/>
    <s v="116005351680000000"/>
    <s v="Medellín"/>
    <x v="6"/>
    <s v="Energía Prepago Metrosur"/>
    <x v="0"/>
    <n v="11"/>
    <s v="2025-12-16 15:51:36"/>
    <s v="1 días 15:51"/>
    <s v="10 días 15:51"/>
    <x v="0"/>
    <s v="SIN DATO"/>
    <s v="SIN DATO"/>
    <s v="SIN DATO"/>
    <s v="ABIERTO"/>
    <n v="-75.633280450000001"/>
    <n v="6.2343363800000002"/>
    <s v="SUR-ENE"/>
    <s v="Metropolitana Sur"/>
  </r>
  <r>
    <s v="23603020"/>
    <s v="ENERES"/>
    <s v="NUEVO"/>
    <s v="ENERES"/>
    <s v="28/11/2025 16:03:33"/>
    <s v="2025-11-28 16:03:33"/>
    <n v="1037571560"/>
    <s v="MARIA KATERINE MOLINA CARDONA"/>
    <s v="SIN DATOS"/>
    <s v="3107454957"/>
    <s v="CL 39 A SUR CR 46 A -39 (INTERIOR 102 )"/>
    <x v="5"/>
    <s v="023419106100390102"/>
    <s v="Envigado"/>
    <x v="2"/>
    <s v="Revisor Instal. Regadas Metrosur"/>
    <x v="1"/>
    <n v="7"/>
    <s v="2025-12-10 16:03:33"/>
    <s v="1 días 16:03"/>
    <s v="6 días 16:03"/>
    <x v="0"/>
    <s v="SIN DATO"/>
    <s v="SIN DATO"/>
    <s v="SIN DATO"/>
    <s v="ABIERTO"/>
    <n v="-75.593678229999995"/>
    <n v="6.1700770299999999"/>
    <s v="SUR-ENE"/>
    <s v="Metropolitana Sur"/>
  </r>
  <r>
    <s v="23603024"/>
    <s v="ENENOR"/>
    <s v="NUEVO"/>
    <s v="ENENOR"/>
    <s v="28/11/2025 16:06:52"/>
    <s v="2025-11-28 16:06:52"/>
    <n v="8273101"/>
    <s v="JOSE IGNACIO ACOSTA BETANCUR"/>
    <s v="SIN DATOS"/>
    <s v="3114399404"/>
    <s v="CL 40 SUR CR 74 A -5"/>
    <x v="2"/>
    <s v="044710004100050000"/>
    <s v="Medellín"/>
    <x v="4"/>
    <s v="Revisor Instal. Regadas Metrosur"/>
    <x v="1"/>
    <n v="7"/>
    <s v="2025-12-10 16:06:52"/>
    <s v="1 días 16:06"/>
    <s v="6 días 16:06"/>
    <x v="0"/>
    <s v="SIN DATO"/>
    <s v="SIN DATO"/>
    <s v="SIN DATO"/>
    <s v="ABIERTO"/>
    <n v="-75.652731380000006"/>
    <n v="6.1857651799999998"/>
    <s v="SUR-ENE"/>
    <s v="Metropolitana Sur"/>
  </r>
  <r>
    <s v="23603027"/>
    <s v="ENECNX"/>
    <s v="NUEVO"/>
    <s v="ENECNX"/>
    <s v="28/11/2025 16:08:35"/>
    <s v="2025-11-28 16:08:35"/>
    <n v="890093117"/>
    <s v="ARQUITECTURA Y CONCRETO S A"/>
    <s v="2468622"/>
    <s v="3128948263"/>
    <s v="CR 49 CL 29 SUR -140 (INTERIOR 7 )"/>
    <x v="5"/>
    <s v="022429009001400007"/>
    <s v="Envigado"/>
    <x v="3"/>
    <s v="Revisor Puntos de Conexión Metrosur"/>
    <x v="1"/>
    <n v="4"/>
    <s v="2025-12-04 16:08:35"/>
    <s v="1 días 16:08"/>
    <s v="3 días 16:08"/>
    <x v="0"/>
    <s v="SIN DATO"/>
    <s v="SIN DATO"/>
    <s v="SIN DATO"/>
    <s v="ABIERTO"/>
    <n v="-75.588930000000005"/>
    <n v="6.1806099999999997"/>
    <s v="SUR-ENE"/>
    <s v="Metropolitana Sur"/>
  </r>
  <r>
    <s v="23603029"/>
    <s v="ENEMRT"/>
    <s v="NUEVO"/>
    <s v="ENEMVI"/>
    <s v="28/11/2025 16:09:16"/>
    <s v="2025-11-28 16:09:16"/>
    <n v="43871057"/>
    <s v="DIANA PATRICIA SALAZAR PANESSO"/>
    <s v="4216976"/>
    <s v="SIN DATOS"/>
    <s v="CR 87 CL 58 CC -90"/>
    <x v="2"/>
    <s v="055827008330900000"/>
    <s v="Medellín"/>
    <x v="11"/>
    <s v="METR Mov Red Trans Anderson Castaño"/>
    <x v="1"/>
    <n v="9"/>
    <s v="2025-12-12 16:09:16"/>
    <s v="1 días 16:09"/>
    <s v="8 días 16:09"/>
    <x v="0"/>
    <s v="SIN DATO"/>
    <s v="SIN DATO"/>
    <s v="SIN DATO"/>
    <s v="ABIERTO"/>
    <n v="-75.599261459999994"/>
    <n v="6.27421366"/>
    <s v="SUR-ENE"/>
    <s v="Metropolitana Sur"/>
  </r>
  <r>
    <s v="23603030"/>
    <s v="ENERES"/>
    <s v="NUEVO"/>
    <s v="ENERES"/>
    <s v="28/11/2025 16:10:37"/>
    <s v="2025-11-28 16:10:37"/>
    <n v="800093117"/>
    <s v="ARQUITECTURA Y CONCRETO S.A.S"/>
    <s v="3123618"/>
    <s v="3209339296"/>
    <s v="CR 44 CL 17 -120 (INTERIOR 605 )"/>
    <x v="2"/>
    <s v="051424007001200605"/>
    <s v="Medellín"/>
    <x v="2"/>
    <s v="Revisor Inst. Particulares Metrosur"/>
    <x v="1"/>
    <n v="7"/>
    <s v="2025-12-10 16:10:37"/>
    <s v="1 días 16:10"/>
    <s v="6 días 16:10"/>
    <x v="0"/>
    <s v="SIN DATO"/>
    <s v="SIN DATO"/>
    <s v="SIN DATO"/>
    <s v="ABIERTO"/>
    <n v="-75.574616899999995"/>
    <n v="6.2194061100000004"/>
    <s v="SUR-ENE"/>
    <s v="Metropolitana Sur"/>
  </r>
  <r>
    <s v="23603043"/>
    <s v="ENEPRE"/>
    <s v="NUEVO"/>
    <s v="ENEPRE"/>
    <s v="28/11/2025 16:21:08"/>
    <s v="2025-11-28 16:21:08"/>
    <n v="1128472883"/>
    <s v="DORIS PATRICIA RINCON ARANGO"/>
    <s v="SIN DATOS"/>
    <s v="3216079225"/>
    <s v="CR 107 CL 35 -110 (INTERIOR 102 )"/>
    <x v="2"/>
    <s v="083027005001100102"/>
    <s v="Medellín"/>
    <x v="6"/>
    <s v="Energía Prepago Metrosur"/>
    <x v="1"/>
    <n v="11"/>
    <s v="2025-12-16 16:21:08"/>
    <s v="1 días 16:21"/>
    <s v="10 días 16:21"/>
    <x v="0"/>
    <s v="SIN DATO"/>
    <s v="SIN DATO"/>
    <s v="SIN DATO"/>
    <s v="ABIERTO"/>
    <n v="-75.619470000000007"/>
    <n v="6.2483129999999996"/>
    <s v="SUR-ENE"/>
    <s v="Metropolitana Sur"/>
  </r>
  <r>
    <s v="23603044"/>
    <s v="ENERES"/>
    <s v="NUEVO"/>
    <s v="ENERES"/>
    <s v="28/11/2025 16:21:30"/>
    <s v="2025-11-28 16:21:30"/>
    <n v="1037571560"/>
    <s v="MARIA KATERINE MOLINA CARDONA"/>
    <s v="SIN DATOS"/>
    <s v="3107454957"/>
    <s v="CL 39 A SUR CR 46 A -39 (INTERIOR 101 )"/>
    <x v="5"/>
    <s v="023419106100390101"/>
    <s v="Envigado"/>
    <x v="2"/>
    <s v="METROSUR Vin. Leg. Ref. Concentrada"/>
    <x v="1"/>
    <n v="7"/>
    <s v="2025-12-10 16:21:30"/>
    <s v="1 días 16:21"/>
    <s v="6 días 16:21"/>
    <x v="0"/>
    <s v="SIN DATO"/>
    <s v="SIN DATO"/>
    <s v="SIN DATO"/>
    <s v="ABIERTO"/>
    <n v="-75.593678229999995"/>
    <n v="6.1700770299999999"/>
    <s v="SUR-ENE"/>
    <s v="Metropolitana Sur"/>
  </r>
  <r>
    <s v="23603058"/>
    <s v="ENERES"/>
    <s v="NUEVO"/>
    <s v="ENERES"/>
    <s v="28/11/2025 16:33:57"/>
    <s v="2025-11-28 16:33:57"/>
    <n v="1128272191"/>
    <s v="MARIA ALEJANDRA HOYOS SIERRA"/>
    <s v="SIN DATOS"/>
    <s v="3104509421"/>
    <s v="RURAL_140004950000000024_PROV.VOLTA HOUSING CR 3A"/>
    <x v="5"/>
    <s v="140004950000000024"/>
    <s v="Envigado"/>
    <x v="2"/>
    <s v="Revisor Instal. Regadas Metrosur"/>
    <x v="0"/>
    <n v="10"/>
    <s v="2025-12-15 16:33:57"/>
    <s v="1 días 16:33"/>
    <s v="9 días 16:33"/>
    <x v="0"/>
    <s v="SIN DATO"/>
    <s v="SIN DATO"/>
    <s v="SIN DATO"/>
    <s v="ABIERTO"/>
    <n v="-75.528009159999996"/>
    <n v="6.1373332500000002"/>
    <s v="SUR-ENE"/>
    <s v="Metropolitana Sur"/>
  </r>
  <r>
    <s v="23603062"/>
    <s v="ENERES"/>
    <s v="NUEVO"/>
    <s v="ENERES"/>
    <s v="28/11/2025 16:37:01"/>
    <s v="2025-11-28 16:37:01"/>
    <n v="21573810"/>
    <s v="GILMA DEL SOCORRO AGUDELO ARIAS"/>
    <s v="SIN DATOS"/>
    <s v="3175089663"/>
    <s v="CR 44 CL 64 B SUR -27 (INTERIOR 201 )"/>
    <x v="4"/>
    <s v="016424004200270201"/>
    <s v="Sabaneta"/>
    <x v="2"/>
    <s v="Revisor Instal. Regadas Metrosur"/>
    <x v="1"/>
    <n v="7"/>
    <s v="2025-12-10 16:37:01"/>
    <s v="1 días 16:37"/>
    <s v="6 días 16:37"/>
    <x v="0"/>
    <s v="SIN DATO"/>
    <s v="SIN DATO"/>
    <s v="SIN DATO"/>
    <s v="ABIERTO"/>
    <n v="-75.612622860000002"/>
    <n v="6.1537111299999996"/>
    <s v="SUR-ENE"/>
    <s v="Metropolitana Sur"/>
  </r>
  <r>
    <s v="23603063"/>
    <s v="ENERES"/>
    <s v="NUEVO"/>
    <s v="ENERES"/>
    <s v="28/11/2025 16:38:23"/>
    <s v="2025-11-28 16:38:23"/>
    <n v="1037571560"/>
    <s v="MARIA KATERINE MOLINA CARDONA"/>
    <s v="SIN DATOS"/>
    <s v="3107454957"/>
    <s v="CL 39 A SUR CR 46 A -41 (INTERIOR 301 )"/>
    <x v="5"/>
    <s v="023419106100410301"/>
    <s v="Envigado"/>
    <x v="2"/>
    <s v="Revisor Instal. Regadas Metrosur"/>
    <x v="1"/>
    <n v="7"/>
    <s v="2025-12-10 16:38:23"/>
    <s v="1 días 16:38"/>
    <s v="6 días 16:38"/>
    <x v="0"/>
    <s v="SIN DATO"/>
    <s v="SIN DATO"/>
    <s v="SIN DATO"/>
    <s v="ABIERTO"/>
    <n v="-75.593678229999995"/>
    <n v="6.1700770299999999"/>
    <s v="SUR-ENE"/>
    <s v="Metropolitana Sur"/>
  </r>
  <r>
    <s v="23603077"/>
    <s v="ENERES"/>
    <s v="NUEVO"/>
    <s v="ENEDOM"/>
    <s v="28/11/2025 16:59:34"/>
    <s v="2025-11-28 16:59:34"/>
    <n v="1193458046"/>
    <s v="WBER RRONY VALENCIA AMPUDIA"/>
    <s v="SIN DATOS"/>
    <s v="3135860063"/>
    <s v="CL 13 CR 111 -74 (INTERIOR 202 )"/>
    <x v="2"/>
    <s v="081113001000740202"/>
    <s v="Medellín"/>
    <x v="0"/>
    <s v="Habilitación Viviendas Metrosur"/>
    <x v="1"/>
    <n v="5"/>
    <s v="2025-12-05 16:59:34"/>
    <s v="1 días 16:59"/>
    <s v="4 días 16:59"/>
    <x v="0"/>
    <s v="SIN DATO"/>
    <s v="SIN DATO"/>
    <s v="SIN DATO"/>
    <s v="ABIERTO"/>
    <n v="-75.634218000000004"/>
    <n v="6.2198909999999996"/>
    <s v="SUR-ENE"/>
    <s v="Metropolitana Sur"/>
  </r>
  <r>
    <s v="23603080"/>
    <s v="ENECNX"/>
    <s v="NUEVO"/>
    <s v="ENECNX"/>
    <s v="28/11/2025 17:00:47"/>
    <s v="2025-11-28 17:00:47"/>
    <n v="98530416"/>
    <s v="JULIO CESAR GARCIA VASQUEZ"/>
    <s v="3474644"/>
    <s v="3175097039"/>
    <s v="CL 59 CR 52 -26"/>
    <x v="2"/>
    <s v="055519002000260000"/>
    <s v="Medellín"/>
    <x v="3"/>
    <s v="Revisor Puntos de Conexión Metrosur"/>
    <x v="1"/>
    <n v="4"/>
    <s v="2025-12-04 17:00:47"/>
    <s v="1 días 17:00"/>
    <s v="3 días 17:00"/>
    <x v="0"/>
    <s v="SIN DATO"/>
    <s v="SIN DATO"/>
    <s v="SIN DATO"/>
    <s v="ABIERTO"/>
    <n v="-75.567816149999999"/>
    <n v="6.2581631700000004"/>
    <s v="SUR-ENE"/>
    <s v="Metropolitana Sur"/>
  </r>
  <r>
    <s v="23603093"/>
    <s v="ENEMRT"/>
    <s v="NUEVO"/>
    <s v="ENEMVI"/>
    <s v="28/11/2025 17:19:12"/>
    <s v="2025-11-28 17:19:12"/>
    <n v="3428437"/>
    <s v="JOSE RAMIRO GOMEZ ARANGO"/>
    <s v="5047939"/>
    <s v="3138259843"/>
    <s v="CL 49 CR 99 -49"/>
    <x v="2"/>
    <s v="054919009000490000"/>
    <s v="Medellín"/>
    <x v="11"/>
    <s v="METR Mov Red Trans Anderson Castaño"/>
    <x v="1"/>
    <n v="9"/>
    <s v="2025-12-12 17:19:12"/>
    <s v="1 días 17:19"/>
    <s v="8 días 17:19"/>
    <x v="0"/>
    <s v="SIN DATO"/>
    <s v="SIN DATO"/>
    <s v="SIN DATO"/>
    <s v="ABIERTO"/>
    <n v="-75.612684639999998"/>
    <n v="6.2633181699999998"/>
    <s v="SUR-ENE"/>
    <s v="Metropolitana Sur"/>
  </r>
  <r>
    <s v="23603098"/>
    <s v="ENEPRE"/>
    <s v="NUEVO"/>
    <s v="ENEPRE"/>
    <s v="28/11/2025 17:38:23"/>
    <s v="2025-11-28 17:38:23"/>
    <n v="1128466499"/>
    <s v="ANGELA MARIA MARTINEZ SILVA"/>
    <s v="2117595"/>
    <s v="3122117595"/>
    <s v="CR 121 CL 57 -173 (INTERIOR 127 )"/>
    <x v="2"/>
    <s v="085221007001730127"/>
    <s v="Medellín"/>
    <x v="6"/>
    <s v="Energía Prepago Metrosur"/>
    <x v="1"/>
    <n v="11"/>
    <s v="2025-12-16 17:38:23"/>
    <s v="1 días 17:38"/>
    <s v="10 días 17:38"/>
    <x v="0"/>
    <s v="SIN DATO"/>
    <s v="SIN DATO"/>
    <s v="SIN DATO"/>
    <s v="ABIERTO"/>
    <n v="-75.627537419999996"/>
    <n v="6.2743808300000001"/>
    <s v="SUR-ENE"/>
    <s v="Metropolitana Sur"/>
  </r>
  <r>
    <s v="23603109"/>
    <s v="ENECNX"/>
    <s v="NUEVO"/>
    <s v="ENECNX"/>
    <s v="28/11/2025 20:05:43"/>
    <s v="2025-11-28 20:05:43"/>
    <n v="70565662"/>
    <s v="VICTOR HUGO PARRA VALENCIA"/>
    <s v="SIN DATOS"/>
    <s v="3016002852"/>
    <s v="RURAL_122002980000000000_122002980000000000"/>
    <x v="2"/>
    <s v="122002980000000000"/>
    <s v="Medellín"/>
    <x v="3"/>
    <s v="Revisor Puntos de Conexión Metrosur"/>
    <x v="0"/>
    <n v="4"/>
    <s v="2025-12-04 20:05:43"/>
    <s v="1 días 20:05"/>
    <s v="3 días 20:05"/>
    <x v="0"/>
    <s v="SIN DATO"/>
    <s v="SIN DATO"/>
    <s v="SIN DATO"/>
    <s v="ABIERTO"/>
    <n v="-75.513987979999996"/>
    <n v="6.23001702"/>
    <s v="SUR-ENE"/>
    <s v="Metropolitana Sur"/>
  </r>
  <r>
    <s v="23603111"/>
    <s v="ENECNX"/>
    <s v="NUEVO"/>
    <s v="ENECNX"/>
    <s v="28/11/2025 22:03:32"/>
    <s v="2025-11-28 22:03:32"/>
    <n v="4355134"/>
    <s v="GILDARDO MARTINEZ GOMEZ"/>
    <s v="SIN DATOS"/>
    <s v="3193290909"/>
    <s v="CL 34 A CR 54 A -54"/>
    <x v="1"/>
    <s v="073514104100540000"/>
    <s v="Itaguí"/>
    <x v="3"/>
    <s v="Revisor Puntos de Conexión Metrosur"/>
    <x v="1"/>
    <n v="4"/>
    <s v="2025-12-04 22:03:32"/>
    <s v="1 días 22:03"/>
    <s v="3 días 22:03"/>
    <x v="0"/>
    <s v="SIN DATO"/>
    <s v="SIN DATO"/>
    <s v="SIN DATO"/>
    <s v="ABIERTO"/>
    <n v="-75.624429109999994"/>
    <n v="6.1679825800000003"/>
    <s v="SUR-ENE"/>
    <s v="Metropolitana Sur"/>
  </r>
  <r>
    <s v="23603298"/>
    <s v="ENEPRE"/>
    <s v="NUEVO"/>
    <s v="ENEPRE"/>
    <s v="29/11/2025 06:50:05"/>
    <s v="2025-11-29 06:50:05"/>
    <n v="1152462429"/>
    <s v="ANGGIE VANESA BERMUDEZ CANO"/>
    <s v="SIN DATOS"/>
    <s v="3148235694"/>
    <s v="CL 19 CR 105 -40 (INTERIOR 203 )"/>
    <x v="2"/>
    <s v="081019005000400203"/>
    <s v="Medellín"/>
    <x v="6"/>
    <s v="Energía Prepago Metrosur"/>
    <x v="1"/>
    <n v="11"/>
    <s v="2025-12-16 06:50:05"/>
    <s v="1 días 06:50"/>
    <s v="10 días 06:50"/>
    <x v="0"/>
    <s v="SIN DATO"/>
    <s v="SIN DATO"/>
    <s v="SIN DATO"/>
    <s v="ABIERTO"/>
    <n v="-75.627278000000004"/>
    <n v="6.2249410000000003"/>
    <s v="SUR-ENE"/>
    <s v="Metropolitana Sur"/>
  </r>
  <r>
    <s v="23603303"/>
    <s v="ENEPRE"/>
    <s v="NUEVO"/>
    <s v="ENEPRE"/>
    <s v="29/11/2025 06:58:42"/>
    <s v="2025-11-29 06:58:42"/>
    <n v="43511827"/>
    <s v="MARIA NOHELIA CANO QUINCHIA"/>
    <s v="5374315"/>
    <s v="3106671137"/>
    <s v="CL 19 CR 105 -40 (INTERIOR 2203 )"/>
    <x v="2"/>
    <s v="081019005000402203"/>
    <s v="Medellín"/>
    <x v="6"/>
    <s v="Energía Prepago Metrosur"/>
    <x v="1"/>
    <n v="11"/>
    <s v="2025-12-16 06:58:42"/>
    <s v="1 días 06:58"/>
    <s v="10 días 06:58"/>
    <x v="0"/>
    <s v="SIN DATO"/>
    <s v="SIN DATO"/>
    <s v="SIN DATO"/>
    <s v="ABIERTO"/>
    <n v="-75.627278000000004"/>
    <n v="6.2249410000000003"/>
    <s v="SUR-ENE"/>
    <s v="Metropolitana Sur"/>
  </r>
  <r>
    <s v="23603305"/>
    <s v="ENERES"/>
    <s v="NUEVO"/>
    <s v="ENERES"/>
    <s v="29/11/2025 07:00:46"/>
    <s v="2025-11-29 07:00:46"/>
    <n v="1128420997"/>
    <s v="ALEXANDER SIERRA VARGAS"/>
    <s v="SIN DATOS"/>
    <s v="3014298465"/>
    <s v="CL 81 SUR CR 69 -99"/>
    <x v="0"/>
    <s v="038611009000990000"/>
    <s v="La Estrella"/>
    <x v="2"/>
    <s v="Revisor Instal. Regadas Metrosur"/>
    <x v="1"/>
    <n v="7"/>
    <s v="2025-12-10 07:00:46"/>
    <s v="1 días 07:00"/>
    <s v="6 días 07:00"/>
    <x v="0"/>
    <s v="SIN DATO"/>
    <s v="SIN DATO"/>
    <s v="SIN DATO"/>
    <s v="ABIERTO"/>
    <n v="-75.649831634999899"/>
    <n v="6.1379125160000303"/>
    <s v="SUR-ENE"/>
    <s v="Metropolitana Sur"/>
  </r>
  <r>
    <s v="23603310"/>
    <s v="ENEPRE"/>
    <s v="NUEVO"/>
    <s v="ENEPRE"/>
    <s v="29/11/2025 07:24:33"/>
    <s v="2025-11-29 07:24:33"/>
    <n v="71336495"/>
    <s v="SERGIO ANDRES MIRA RIOS"/>
    <s v="5864400"/>
    <s v="3006111493"/>
    <s v="CR 52 C CL 77 -55 (INTERIOR 402 )"/>
    <x v="1"/>
    <s v="077522307000550402"/>
    <s v="Itaguí"/>
    <x v="6"/>
    <s v="Energía Prepago Metrosur"/>
    <x v="1"/>
    <n v="11"/>
    <s v="2025-12-16 07:24:33"/>
    <s v="1 días 07:24"/>
    <s v="10 días 07:24"/>
    <x v="0"/>
    <s v="SIN DATO"/>
    <s v="SIN DATO"/>
    <s v="SIN DATO"/>
    <s v="ABIERTO"/>
    <n v="-75.596157000000005"/>
    <n v="6.1878840000000004"/>
    <s v="SUR-ENE"/>
    <s v="Metropolitana Sur"/>
  </r>
  <r>
    <s v="23603319"/>
    <s v="ENEPRE"/>
    <s v="NUEVO"/>
    <s v="ENEPRE"/>
    <s v="29/11/2025 08:14:36"/>
    <s v="2025-11-29 08:14:36"/>
    <n v="71336495"/>
    <s v="SERGIO ANDRES MIRA RIOS"/>
    <s v="5864400"/>
    <s v="3006111493"/>
    <s v="CR 52 C CL 77 -55 (INTERIOR 302 )"/>
    <x v="1"/>
    <s v="077522307000550302"/>
    <s v="Itaguí"/>
    <x v="6"/>
    <s v="Energía Prepago Metrosur"/>
    <x v="1"/>
    <n v="11"/>
    <s v="2025-12-16 08:14:36"/>
    <s v="1 días 08:14"/>
    <s v="10 días 08:14"/>
    <x v="0"/>
    <s v="SIN DATO"/>
    <s v="SIN DATO"/>
    <s v="SIN DATO"/>
    <s v="ABIERTO"/>
    <n v="-75.596157000000005"/>
    <n v="6.1878840000000004"/>
    <s v="SUR-ENE"/>
    <s v="Metropolitana Sur"/>
  </r>
  <r>
    <s v="23603397"/>
    <s v="ENERES"/>
    <s v="NUEVO"/>
    <s v="ENERES"/>
    <s v="29/11/2025 09:38:56"/>
    <s v="2025-11-29 09:38:56"/>
    <n v="1017156364"/>
    <s v="MARIA PAULINA LONDOÑO GIRALDO"/>
    <s v="SIN DATOS"/>
    <s v="3006657831"/>
    <s v="CL 1 CR 65 A -38 (INTERIOR 301 )"/>
    <x v="2"/>
    <s v="050611005100380301"/>
    <s v="Medellín"/>
    <x v="2"/>
    <s v="METROSUR Vin. Leg. Ref. Concentrada"/>
    <x v="1"/>
    <n v="7"/>
    <s v="2025-12-10 09:38:56"/>
    <s v="1 días 09:38"/>
    <s v="6 días 09:38"/>
    <x v="0"/>
    <s v="SIN DATO"/>
    <s v="SIN DATO"/>
    <s v="SIN DATO"/>
    <s v="ABIERTO"/>
    <n v="-75.589552389999994"/>
    <n v="6.2090949999999996"/>
    <s v="SUR-ENE"/>
    <s v="Metropolitana Sur"/>
  </r>
  <r>
    <s v="23603402"/>
    <s v="ENECNX"/>
    <s v="NUEVO"/>
    <s v="ENECNX"/>
    <s v="29/11/2025 09:44:57"/>
    <s v="2025-11-29 09:44:57"/>
    <n v="71691445"/>
    <s v="JUAN CARLOS MORENO CASAFUS"/>
    <s v="6043053"/>
    <s v="3146810049"/>
    <s v="CR 27 CL 23 SUR -101 (INTERIOR 101 )"/>
    <x v="5"/>
    <s v="022227003001010101"/>
    <s v="Envigado"/>
    <x v="3"/>
    <s v="Revisor Puntos de Conexión Metrosur"/>
    <x v="1"/>
    <n v="4"/>
    <s v="2025-12-04 09:44:57"/>
    <s v="1 días 09:44"/>
    <s v="3 días 09:44"/>
    <x v="0"/>
    <s v="SIN DATO"/>
    <s v="SIN DATO"/>
    <s v="SIN DATO"/>
    <s v="ABIERTO"/>
    <n v="-75.567070290000004"/>
    <n v="6.17555079"/>
    <s v="SUR-ENE"/>
    <s v="Metropolitana Sur"/>
  </r>
  <r>
    <s v="23603418"/>
    <s v="ENECNX"/>
    <s v="NUEVO"/>
    <s v="ENECNX"/>
    <s v="29/11/2025 10:09:56"/>
    <s v="2025-11-29 10:09:56"/>
    <n v="811012208"/>
    <s v="ENVIASEO E.S.P."/>
    <s v="5930421"/>
    <s v="3136803626"/>
    <s v="CL 36 D SUR CR 23 -104 (INTERIOR 101 )"/>
    <x v="5"/>
    <s v="023216403001040101"/>
    <s v="Envigado"/>
    <x v="3"/>
    <s v="Revisor Puntos de Conexión Metrosur"/>
    <x v="1"/>
    <n v="4"/>
    <s v="2025-12-04 10:09:56"/>
    <s v="1 días 10:09"/>
    <s v="3 días 10:09"/>
    <x v="0"/>
    <s v="SIN DATO"/>
    <s v="SIN DATO"/>
    <s v="SIN DATO"/>
    <s v="ABIERTO"/>
    <n v="-75.565104000000005"/>
    <n v="6.1545139999999998"/>
    <s v="SUR-ENE"/>
    <s v="Metropolitana Sur"/>
  </r>
  <r>
    <s v="23603419"/>
    <s v="ENECNX"/>
    <s v="NUEVO"/>
    <s v="ENECNX"/>
    <s v="29/11/2025 10:13:49"/>
    <s v="2025-11-29 10:13:49"/>
    <n v="811012208"/>
    <s v="ENVIASEO E.S.P."/>
    <s v="5930421"/>
    <s v="3136803626"/>
    <s v="CL 36 D SUR CR 23 -73"/>
    <x v="5"/>
    <s v="023216403000730000"/>
    <s v="Envigado"/>
    <x v="3"/>
    <s v="Revisor Puntos de Conexión Metrosur"/>
    <x v="1"/>
    <n v="4"/>
    <s v="2025-12-04 10:13:49"/>
    <s v="1 días 10:13"/>
    <s v="3 días 10:13"/>
    <x v="0"/>
    <s v="SIN DATO"/>
    <s v="SIN DATO"/>
    <s v="SIN DATO"/>
    <s v="ABIERTO"/>
    <n v="-75.565512999999996"/>
    <n v="6.1537069999999998"/>
    <s v="SUR-ENE"/>
    <s v="Metropolitana Sur"/>
  </r>
  <r>
    <s v="23603421"/>
    <s v="ENECNX"/>
    <s v="NUEVO"/>
    <s v="ENECNX"/>
    <s v="29/11/2025 10:16:02"/>
    <s v="2025-11-29 10:16:02"/>
    <n v="811012208"/>
    <s v="ENVIASEO E.S.P."/>
    <s v="5930421"/>
    <s v="3136803626"/>
    <s v="CL 36 D SUR CR 23 -60"/>
    <x v="5"/>
    <s v="023216403000600000"/>
    <s v="Envigado"/>
    <x v="3"/>
    <s v="Revisor Puntos de Conexión Metrosur"/>
    <x v="1"/>
    <n v="4"/>
    <s v="2025-12-04 10:16:02"/>
    <s v="1 días 10:16"/>
    <s v="3 días 10:16"/>
    <x v="0"/>
    <s v="SIN DATO"/>
    <s v="SIN DATO"/>
    <s v="SIN DATO"/>
    <s v="ABIERTO"/>
    <n v="-75.564983999999995"/>
    <n v="6.1536160000000004"/>
    <s v="SUR-ENE"/>
    <s v="Metropolitana Sur"/>
  </r>
  <r>
    <s v="23603424"/>
    <s v="ENECNX"/>
    <s v="NUEVO"/>
    <s v="ENECNX"/>
    <s v="29/11/2025 10:18:06"/>
    <s v="2025-11-29 10:18:06"/>
    <n v="811012208"/>
    <s v="ENVIASEO E.S.P."/>
    <s v="5930421"/>
    <s v="3136803626"/>
    <s v="CL 36 D SUR CR 23 -55"/>
    <x v="5"/>
    <s v="023216403000550000"/>
    <s v="Envigado"/>
    <x v="3"/>
    <s v="Revisor Puntos de Conexión Metrosur"/>
    <x v="1"/>
    <n v="4"/>
    <s v="2025-12-04 10:18:06"/>
    <s v="1 días 10:18"/>
    <s v="3 días 10:18"/>
    <x v="0"/>
    <s v="SIN DATO"/>
    <s v="SIN DATO"/>
    <s v="SIN DATO"/>
    <s v="ABIERTO"/>
    <n v="-75.565010999999998"/>
    <n v="6.1533179999999996"/>
    <s v="SUR-ENE"/>
    <s v="Metropolitana Sur"/>
  </r>
  <r>
    <s v="23603427"/>
    <s v="ENECNX"/>
    <s v="NUEVO"/>
    <s v="ENECNX"/>
    <s v="29/11/2025 10:21:27"/>
    <s v="2025-11-29 10:21:27"/>
    <n v="811012208"/>
    <s v="ENVIASEO E.S.P."/>
    <s v="5930421"/>
    <s v="3136803626"/>
    <s v="CL 36 D SUR CR 23 -7"/>
    <x v="5"/>
    <s v="023216403000070000"/>
    <s v="Envigado"/>
    <x v="3"/>
    <s v="Revisor Puntos de Conexión Metrosur"/>
    <x v="1"/>
    <n v="4"/>
    <s v="2025-12-04 10:21:27"/>
    <s v="1 días 10:21"/>
    <s v="3 días 10:21"/>
    <x v="0"/>
    <s v="SIN DATO"/>
    <s v="SIN DATO"/>
    <s v="SIN DATO"/>
    <s v="ABIERTO"/>
    <n v="-75.564215000000004"/>
    <n v="6.1527969999999996"/>
    <s v="SUR-ENE"/>
    <s v="Metropolitana Sur"/>
  </r>
  <r>
    <s v="23603428"/>
    <s v="ENERES"/>
    <s v="NUEVO"/>
    <s v="ENERES"/>
    <s v="29/11/2025 10:21:38"/>
    <s v="2025-11-29 10:21:38"/>
    <n v="1152437950"/>
    <s v="NATALIA LONDOÑO GIRALDO"/>
    <s v="SIN DATOS"/>
    <s v="3005476657"/>
    <s v="CL 1 CR 65 A -38 (INTERIOR 402 )"/>
    <x v="2"/>
    <s v="050611005100380402"/>
    <s v="Medellín"/>
    <x v="2"/>
    <s v="METROSUR Vin. Leg. Ref. Concentrada"/>
    <x v="1"/>
    <n v="7"/>
    <s v="2025-12-10 10:21:38"/>
    <s v="1 días 10:21"/>
    <s v="6 días 10:21"/>
    <x v="0"/>
    <s v="SIN DATO"/>
    <s v="SIN DATO"/>
    <s v="SIN DATO"/>
    <s v="ABIERTO"/>
    <n v="-75.589552389999994"/>
    <n v="6.2090949999999996"/>
    <s v="SUR-ENE"/>
    <s v="Metropolitana Sur"/>
  </r>
  <r>
    <s v="23603435"/>
    <s v="ENECNX"/>
    <s v="NUEVO"/>
    <s v="ENECNX"/>
    <s v="29/11/2025 10:36:43"/>
    <s v="2025-11-29 10:36:43"/>
    <n v="901369280"/>
    <s v="INMOBILIARIA HABITAD URBANO S"/>
    <s v="5930421"/>
    <s v="3136803626"/>
    <s v="CR 79 CL 35 -79"/>
    <x v="2"/>
    <s v="053729005000790000"/>
    <s v="Medellín"/>
    <x v="3"/>
    <s v="Revisor Puntos de Conexión Metrosur"/>
    <x v="1"/>
    <n v="4"/>
    <s v="2025-12-04 10:36:43"/>
    <s v="1 días 10:36"/>
    <s v="3 días 10:36"/>
    <x v="0"/>
    <s v="SIN DATO"/>
    <s v="SIN DATO"/>
    <s v="SIN DATO"/>
    <s v="ABIERTO"/>
    <n v="-75.59961629"/>
    <n v="6.2435659000000001"/>
    <s v="SUR-ENE"/>
    <s v="Metropolitana Sur"/>
  </r>
  <r>
    <s v="23603436"/>
    <s v="ENERES"/>
    <s v="NUEVO"/>
    <s v="ENEDOM"/>
    <s v="29/11/2025 10:38:05"/>
    <s v="2025-11-29 10:38:05"/>
    <n v="1192816161"/>
    <s v="YURIS YARIDIS GASPAR QUINTERO"/>
    <s v="SIN DATOS"/>
    <s v="3232421590"/>
    <s v="CL 62 CR 96 A -157 (INTERIOR 181 )"/>
    <x v="2"/>
    <s v="056912006101570181"/>
    <s v="Medellín"/>
    <x v="0"/>
    <s v="Habilitación Viviendas Metrosur"/>
    <x v="1"/>
    <n v="5"/>
    <s v="2025-12-05 10:38:05"/>
    <s v="1 días 10:38"/>
    <s v="4 días 10:38"/>
    <x v="0"/>
    <s v="SIN DATO"/>
    <s v="SIN DATO"/>
    <s v="SIN DATO"/>
    <s v="ABIERTO"/>
    <n v="-75.607009000000005"/>
    <n v="6.2786229999999996"/>
    <s v="SUR-ENE"/>
    <s v="Metropolitana Sur"/>
  </r>
  <r>
    <s v="23603441"/>
    <s v="ENECNX"/>
    <s v="NUEVO"/>
    <s v="ENECNX"/>
    <s v="29/11/2025 10:50:50"/>
    <s v="2025-11-29 10:50:50"/>
    <n v="901725637"/>
    <s v="ROBLES LAURELES S.A.S."/>
    <s v="5930421"/>
    <s v="3136803626"/>
    <s v="CL 34 CR 76 -26"/>
    <x v="2"/>
    <s v="053714006000260000"/>
    <s v="Medellín"/>
    <x v="3"/>
    <s v="Revisor Puntos de Conexión Metrosur"/>
    <x v="1"/>
    <n v="4"/>
    <s v="2025-12-04 10:50:50"/>
    <s v="1 días 10:50"/>
    <s v="3 días 10:50"/>
    <x v="0"/>
    <s v="SIN DATO"/>
    <s v="SIN DATO"/>
    <s v="SIN DATO"/>
    <s v="ABIERTO"/>
    <n v="-75.597257999999997"/>
    <n v="6.2407320000000004"/>
    <s v="SUR-ENE"/>
    <s v="Metropolitana Sur"/>
  </r>
  <r>
    <s v="23603446"/>
    <s v="ENECNX"/>
    <s v="NUEVO"/>
    <s v="ENECNX"/>
    <s v="29/11/2025 10:58:23"/>
    <s v="2025-11-29 10:58:23"/>
    <n v="98676739"/>
    <s v="LEOPOLDO RAMOS CASTAÑO"/>
    <s v="5283151"/>
    <s v="3222843042"/>
    <s v="CL 63 CR 47 -23"/>
    <x v="2"/>
    <s v="056413007000230000"/>
    <s v="Medellín"/>
    <x v="3"/>
    <s v="Revisor Puntos de Conexión Metrosur"/>
    <x v="1"/>
    <n v="4"/>
    <s v="2025-12-04 10:58:23"/>
    <s v="1 días 10:58"/>
    <s v="3 días 10:58"/>
    <x v="0"/>
    <s v="SIN DATO"/>
    <s v="SIN DATO"/>
    <s v="SIN DATO"/>
    <s v="ABIERTO"/>
    <n v="-75.560148620000007"/>
    <n v="6.2584204699999999"/>
    <s v="SUR-ENE"/>
    <s v="Metropolitana Sur"/>
  </r>
  <r>
    <s v="23603448"/>
    <s v="ENENOR"/>
    <s v="NUEVO"/>
    <s v="ENENOR"/>
    <s v="29/11/2025 11:06:10"/>
    <s v="2025-11-29 11:06:10"/>
    <n v="21803728"/>
    <s v="MARIA FLORELIA VALDES DE LOPEZ"/>
    <s v="SIN DATOS"/>
    <s v="3002462563"/>
    <s v="CR 55 CL 25 -21 (BG 301 )"/>
    <x v="2"/>
    <s v="052525005000210301"/>
    <s v="Medellín"/>
    <x v="4"/>
    <s v="Revisor Instal. Regadas Metrosur"/>
    <x v="1"/>
    <n v="7"/>
    <s v="2025-12-10 11:06:10"/>
    <s v="1 días 11:06"/>
    <s v="6 días 11:06"/>
    <x v="0"/>
    <s v="SIN DATO"/>
    <s v="SIN DATO"/>
    <s v="SIN DATO"/>
    <s v="ABIERTO"/>
    <n v="-75.580830120000002"/>
    <n v="6.2270874100000002"/>
    <s v="SUR-ENE"/>
    <s v="Metropolitana Sur"/>
  </r>
  <r>
    <s v="23603454"/>
    <s v="ENEMRT"/>
    <s v="NUEVO"/>
    <s v="ENEMVI"/>
    <s v="29/11/2025 11:11:16"/>
    <s v="2025-11-29 11:11:16"/>
    <n v="43988710"/>
    <s v="DIANA PATRICIA TILANO CASTAÑEDA"/>
    <s v="2868126"/>
    <s v="3186206816"/>
    <s v="CL 54 SUR CR 62 D -11"/>
    <x v="2"/>
    <s v="045614002400110000"/>
    <s v="Medellín"/>
    <x v="11"/>
    <s v="Mov Red Trans Dairo Gil"/>
    <x v="1"/>
    <n v="9"/>
    <s v="2025-12-12 11:11:16"/>
    <s v="1 días 11:11"/>
    <s v="8 días 11:11"/>
    <x v="0"/>
    <s v="SIN DATO"/>
    <s v="SIN DATO"/>
    <s v="SIN DATO"/>
    <s v="ABIERTO"/>
    <n v="-75.644425560000002"/>
    <n v="6.1748343600000002"/>
    <s v="SUR-ENE"/>
    <s v="Metropolitana Sur"/>
  </r>
  <r>
    <s v="23603467"/>
    <s v="ENECNX"/>
    <s v="NUEVO"/>
    <s v="ENECNX"/>
    <s v="29/11/2025 11:30:32"/>
    <s v="2025-11-29 11:30:32"/>
    <n v="70568790"/>
    <s v="MARTIN ALONSO GAVIRIA MUÑOZ"/>
    <s v="4509395"/>
    <s v="3165375562"/>
    <s v="TRAN 34 D SUR DIAG 29 -38 (INTERIOR 206 )"/>
    <x v="5"/>
    <s v="023294409000380206"/>
    <s v="Envigado"/>
    <x v="3"/>
    <s v="Revisor Puntos de Conexión Metrosur"/>
    <x v="1"/>
    <n v="4"/>
    <s v="2025-12-04 11:30:32"/>
    <s v="1 días 11:30"/>
    <s v="3 días 11:30"/>
    <x v="0"/>
    <s v="SIN DATO"/>
    <s v="SIN DATO"/>
    <s v="SIN DATO"/>
    <s v="ABIERTO"/>
    <n v="-75.577827360000001"/>
    <n v="6.1717325399999998"/>
    <s v="SUR-ENE"/>
    <s v="Metropolitana Sur"/>
  </r>
  <r>
    <s v="23603476"/>
    <s v="ENERES"/>
    <s v="NUEVO"/>
    <s v="ENEDOM"/>
    <s v="29/11/2025 11:33:00"/>
    <s v="2025-11-29 11:33:00"/>
    <n v="1042709249"/>
    <s v="NEYSA TATIANA HIGUITA MANCO"/>
    <s v="SIN DATOS"/>
    <s v="3112295823"/>
    <s v="CL 59 CR 120 F -9 (INTERIOR 203 )"/>
    <x v="2"/>
    <s v="085219000600090203"/>
    <s v="Medellín"/>
    <x v="0"/>
    <s v="Habilitación Viviendas Metrosur"/>
    <x v="1"/>
    <n v="5"/>
    <s v="2025-12-05 11:33:00"/>
    <s v="1 días 11:33"/>
    <s v="4 días 11:33"/>
    <x v="0"/>
    <s v="SIN DATO"/>
    <s v="SIN DATO"/>
    <s v="SIN DATO"/>
    <s v="ABIERTO"/>
    <n v="-75.625476000000006"/>
    <n v="6.2733109999999996"/>
    <s v="SUR-ENE"/>
    <s v="Metropolitana Sur"/>
  </r>
  <r>
    <s v="23603550"/>
    <s v="ENERES"/>
    <s v="NUEVO"/>
    <s v="ENERES"/>
    <s v="29/11/2025 13:49:26"/>
    <s v="2025-11-29 13:49:26"/>
    <n v="1152437950"/>
    <s v="NATALIA LONDOÑO GIRALDO"/>
    <s v="SIN DATOS"/>
    <s v="3005476657"/>
    <s v="CL 1 CR 65 A -38 (INTERIOR 101 )"/>
    <x v="2"/>
    <s v="050611005100380101"/>
    <s v="Medellín"/>
    <x v="2"/>
    <s v="METROSUR Vin. Leg. Ref. Concentrada"/>
    <x v="1"/>
    <n v="7"/>
    <s v="2025-12-10 13:49:26"/>
    <s v="1 días 13:49"/>
    <s v="6 días 13:49"/>
    <x v="0"/>
    <s v="SIN DATO"/>
    <s v="SIN DATO"/>
    <s v="SIN DATO"/>
    <s v="ABIERTO"/>
    <n v="-75.589552389999994"/>
    <n v="6.2090949999999996"/>
    <s v="SUR-ENE"/>
    <s v="Metropolitana Sur"/>
  </r>
  <r>
    <s v="23603559"/>
    <s v="ENENOR"/>
    <s v="CAMBI"/>
    <s v="ENENOR"/>
    <s v="29/11/2025 13:59:22"/>
    <s v="2025-11-29 13:59:23"/>
    <n v="8354717"/>
    <s v="ARMANDO LEON JARAMILLO SANCHEZ"/>
    <s v="3128185"/>
    <s v="3146629497"/>
    <s v="CR 49 CL 45 -35 (INTERIOR 101 )"/>
    <x v="1"/>
    <s v="074429005000350101"/>
    <s v="Itaguí"/>
    <x v="1"/>
    <s v="METROSUR Vin. Leg. Ref. Concentrada"/>
    <x v="1"/>
    <n v="7"/>
    <s v="2025-12-10 13:59:23"/>
    <s v="1 días 13:59"/>
    <s v="6 días 13:59"/>
    <x v="0"/>
    <s v="SIN DATO"/>
    <s v="SIN DATO"/>
    <s v="SIN DATO"/>
    <s v="ABIERTO"/>
    <n v="-75.612609860000006"/>
    <n v="6.1695542300000001"/>
    <s v="SUR-ENE"/>
    <s v="Metropolitana Sur"/>
  </r>
  <r>
    <s v="23603565"/>
    <s v="ENERES"/>
    <s v="NUEVO"/>
    <s v="ENEDOM"/>
    <s v="29/11/2025 14:10:23"/>
    <s v="2025-11-29 14:10:23"/>
    <n v="1128421225"/>
    <s v="JULIAN ALVAREZ"/>
    <s v="SIN DATOS"/>
    <s v="3216092689"/>
    <s v="CL 48 CC CR 103 A -7 (INTERIOR 200 )"/>
    <x v="2"/>
    <s v="084018333100070200"/>
    <s v="Medellín"/>
    <x v="0"/>
    <s v="Habilitación Viviendas Metrosur"/>
    <x v="1"/>
    <n v="5"/>
    <s v="2025-12-05 14:10:23"/>
    <s v="1 días 14:10"/>
    <s v="4 días 14:10"/>
    <x v="0"/>
    <s v="SIN DATO"/>
    <s v="SIN DATO"/>
    <s v="SIN DATO"/>
    <s v="ABIERTO"/>
    <n v="-75.619372150000004"/>
    <n v="6.2615239300000001"/>
    <s v="SUR-ENE"/>
    <s v="Metropolitana Sur"/>
  </r>
  <r>
    <s v="23603573"/>
    <s v="ENERES"/>
    <s v="NUEVO"/>
    <s v="ENEDOM"/>
    <s v="29/11/2025 14:17:51"/>
    <s v="2025-11-29 14:17:51"/>
    <n v="1128421225"/>
    <s v="JULIAN ALVAREZ"/>
    <s v="SIN DATOS"/>
    <s v="3216092689"/>
    <s v="CL 48 CC CR 103 A -7 (INTERIOR 221 )"/>
    <x v="2"/>
    <s v="084018333100070221"/>
    <s v="Medellín"/>
    <x v="0"/>
    <s v="Habilitación Viviendas Metrosur"/>
    <x v="1"/>
    <n v="5"/>
    <s v="2025-12-05 14:17:51"/>
    <s v="1 días 14:17"/>
    <s v="4 días 14:17"/>
    <x v="0"/>
    <s v="SIN DATO"/>
    <s v="SIN DATO"/>
    <s v="SIN DATO"/>
    <s v="ABIERTO"/>
    <n v="-75.619372150000004"/>
    <n v="6.2615239300000001"/>
    <s v="SUR-ENE"/>
    <s v="Metropolitana Sur"/>
  </r>
  <r>
    <s v="23603581"/>
    <s v="ENERES"/>
    <s v="NUEVO"/>
    <s v="ENERES"/>
    <s v="29/11/2025 14:43:38"/>
    <s v="2025-11-29 14:43:38"/>
    <n v="1036609476"/>
    <s v="FREDDY ALBERTO LONDOÑO ESTRADA"/>
    <s v="SIN DATOS"/>
    <s v="3002049670"/>
    <s v="CL 41 SUR CR 83 -70 (INTERIOR 131 )"/>
    <x v="2"/>
    <s v="044811003000700131"/>
    <s v="Medellín"/>
    <x v="2"/>
    <s v="METROSUR Vin. Leg. Ref. Concentrada"/>
    <x v="1"/>
    <n v="7"/>
    <s v="2025-12-10 14:43:38"/>
    <s v="1 días 14:43"/>
    <s v="6 días 14:43"/>
    <x v="0"/>
    <s v="SIN DATO"/>
    <s v="SIN DATO"/>
    <s v="SIN DATO"/>
    <s v="ABIERTO"/>
    <n v="-75.660196470000002"/>
    <n v="6.1859411199999998"/>
    <s v="SUR-ENE"/>
    <s v="Metropolitana Sur"/>
  </r>
  <r>
    <s v="23603582"/>
    <s v="ENECNX"/>
    <s v="NUEVO"/>
    <s v="ENECNX"/>
    <s v="29/11/2025 14:46:04"/>
    <s v="2025-11-29 14:46:04"/>
    <n v="901543313"/>
    <s v="ENERBIT S.A. E.S.P"/>
    <s v="SIN DATOS"/>
    <s v="3208046619"/>
    <s v="CR 30 CL 10 -335"/>
    <x v="2"/>
    <s v="051320000003350000"/>
    <s v="Medellín"/>
    <x v="3"/>
    <s v="Revisor Puntos de Conexión Metrosur"/>
    <x v="1"/>
    <n v="4"/>
    <s v="2025-12-04 14:46:04"/>
    <s v="1 días 14:46"/>
    <s v="3 días 14:46"/>
    <x v="0"/>
    <s v="SIN DATO"/>
    <s v="SIN DATO"/>
    <s v="SIN DATO"/>
    <s v="ABIERTO"/>
    <n v="-75.559248519999997"/>
    <n v="6.2116356399999999"/>
    <s v="SUR-ENE"/>
    <s v="Metropolitana Sur"/>
  </r>
  <r>
    <s v="23603583"/>
    <s v="ENERES"/>
    <s v="NUEVO"/>
    <s v="ENERES"/>
    <s v="29/11/2025 14:47:01"/>
    <s v="2025-11-29 14:47:01"/>
    <n v="1036609476"/>
    <s v="FREDDY ALBERTO LONDOÑO ESTRADA"/>
    <s v="SIN DATOS"/>
    <s v="3002049670"/>
    <s v="CL 41 SUR CR 83 -70 (INTERIOR 6631 )"/>
    <x v="2"/>
    <s v="044811003000706631"/>
    <s v="Medellín"/>
    <x v="2"/>
    <s v="METROSUR Vin. Leg. Ref. Concentrada"/>
    <x v="1"/>
    <n v="7"/>
    <s v="2025-12-10 14:47:01"/>
    <s v="1 días 14:47"/>
    <s v="6 días 14:47"/>
    <x v="0"/>
    <s v="SIN DATO"/>
    <s v="SIN DATO"/>
    <s v="SIN DATO"/>
    <s v="ABIERTO"/>
    <n v="-75.660196470000002"/>
    <n v="6.1859411199999998"/>
    <s v="SUR-ENE"/>
    <s v="Metropolitana Sur"/>
  </r>
  <r>
    <s v="23603584"/>
    <s v="ENERES"/>
    <s v="NUEVO"/>
    <s v="ENERES"/>
    <s v="29/11/2025 14:47:24"/>
    <s v="2025-11-29 14:47:24"/>
    <n v="1036609476"/>
    <s v="FREDDY ALBERTO LONDOÑO ESTRADA"/>
    <s v="SIN DATOS"/>
    <s v="3002049670"/>
    <s v="CL 41 SUR CR 83 -70 (INTERIOR 1131 )"/>
    <x v="2"/>
    <s v="044811003000701131"/>
    <s v="Medellín"/>
    <x v="2"/>
    <s v="METROSUR Vin. Leg. Ref. Concentrada"/>
    <x v="1"/>
    <n v="7"/>
    <s v="2025-12-10 14:47:24"/>
    <s v="1 días 14:47"/>
    <s v="6 días 14:47"/>
    <x v="0"/>
    <s v="SIN DATO"/>
    <s v="SIN DATO"/>
    <s v="SIN DATO"/>
    <s v="ABIERTO"/>
    <n v="-75.660196470000002"/>
    <n v="6.1859411199999998"/>
    <s v="SUR-ENE"/>
    <s v="Metropolitana Sur"/>
  </r>
  <r>
    <s v="23603585"/>
    <s v="ENERES"/>
    <s v="NUEVO"/>
    <s v="ENERES"/>
    <s v="29/11/2025 14:47:44"/>
    <s v="2025-11-29 14:47:44"/>
    <n v="1036609476"/>
    <s v="FREDDY ALBERTO LONDOÑO ESTRADA"/>
    <s v="SIN DATOS"/>
    <s v="3002049670"/>
    <s v="CL 41 SUR CR 83 -70 (INTERIOR 3331 )"/>
    <x v="2"/>
    <s v="044811003000703331"/>
    <s v="Medellín"/>
    <x v="2"/>
    <s v="METROSUR Vin. Leg. Ref. Concentrada"/>
    <x v="1"/>
    <n v="7"/>
    <s v="2025-12-10 14:47:44"/>
    <s v="1 días 14:47"/>
    <s v="6 días 14:47"/>
    <x v="0"/>
    <s v="SIN DATO"/>
    <s v="SIN DATO"/>
    <s v="SIN DATO"/>
    <s v="ABIERTO"/>
    <n v="-75.660196470000002"/>
    <n v="6.1859411199999998"/>
    <s v="SUR-ENE"/>
    <s v="Metropolitana Sur"/>
  </r>
  <r>
    <s v="23603586"/>
    <s v="ENERES"/>
    <s v="NUEVO"/>
    <s v="ENERES"/>
    <s v="29/11/2025 14:47:44"/>
    <s v="2025-11-29 14:47:44"/>
    <n v="1036609476"/>
    <s v="FREDDY ALBERTO LONDOÑO ESTRADA"/>
    <s v="SIN DATOS"/>
    <s v="3002049670"/>
    <s v="CL 41 SUR CR 83 -70 (INTERIOR 5531 )"/>
    <x v="2"/>
    <s v="044811003000705531"/>
    <s v="Medellín"/>
    <x v="2"/>
    <s v="METROSUR Vin. Leg. Ref. Concentrada"/>
    <x v="1"/>
    <n v="7"/>
    <s v="2025-12-10 14:47:44"/>
    <s v="1 días 14:47"/>
    <s v="6 días 14:47"/>
    <x v="0"/>
    <s v="SIN DATO"/>
    <s v="SIN DATO"/>
    <s v="SIN DATO"/>
    <s v="ABIERTO"/>
    <n v="-75.660196470000002"/>
    <n v="6.1859411199999998"/>
    <s v="SUR-ENE"/>
    <s v="Metropolitana Sur"/>
  </r>
  <r>
    <s v="23603587"/>
    <s v="ENERES"/>
    <s v="NUEVO"/>
    <s v="ENERES"/>
    <s v="29/11/2025 14:48:05"/>
    <s v="2025-11-29 14:48:05"/>
    <n v="1036609476"/>
    <s v="FREDDY ALBERTO LONDOÑO ESTRADA"/>
    <s v="SIN DATOS"/>
    <s v="3002049670"/>
    <s v="CL 41 SUR CR 83 -70 (INTERIOR 4431 )"/>
    <x v="2"/>
    <s v="044811003000704431"/>
    <s v="Medellín"/>
    <x v="2"/>
    <s v="METROSUR Vin. Leg. Ref. Concentrada"/>
    <x v="1"/>
    <n v="7"/>
    <s v="2025-12-10 14:48:05"/>
    <s v="1 días 14:48"/>
    <s v="6 días 14:48"/>
    <x v="0"/>
    <s v="SIN DATO"/>
    <s v="SIN DATO"/>
    <s v="SIN DATO"/>
    <s v="ABIERTO"/>
    <n v="-75.660196470000002"/>
    <n v="6.1859411199999998"/>
    <s v="SUR-ENE"/>
    <s v="Metropolitana Sur"/>
  </r>
  <r>
    <s v="23603589"/>
    <s v="ENERES"/>
    <s v="NUEVO"/>
    <s v="ENERES"/>
    <s v="29/11/2025 14:51:57"/>
    <s v="2025-11-29 14:51:57"/>
    <n v="1036609476"/>
    <s v="FREDDY ALBERTO LONDOÑO ESTRADA"/>
    <s v="SIN DATOS"/>
    <s v="3002049670"/>
    <s v="CL 41 SUR CR 83 -70 (INTERIOR 231 )"/>
    <x v="2"/>
    <s v="044811003000700231"/>
    <s v="Medellín"/>
    <x v="2"/>
    <s v="METROSUR Vin. Leg. Ref. Concentrada"/>
    <x v="1"/>
    <n v="7"/>
    <s v="2025-12-10 14:51:57"/>
    <s v="1 días 14:51"/>
    <s v="6 días 14:51"/>
    <x v="0"/>
    <s v="SIN DATO"/>
    <s v="SIN DATO"/>
    <s v="SIN DATO"/>
    <s v="ABIERTO"/>
    <n v="-75.660196470000002"/>
    <n v="6.1859411199999998"/>
    <s v="SUR-ENE"/>
    <s v="Metropolitana Sur"/>
  </r>
  <r>
    <s v="23603590"/>
    <s v="ENERES"/>
    <s v="NUEVO"/>
    <s v="ENERES"/>
    <s v="29/11/2025 14:52:47"/>
    <s v="2025-11-29 14:52:47"/>
    <n v="1036609476"/>
    <s v="FREDDY ALBERTO LONDOÑO ESTRADA"/>
    <s v="SIN DATOS"/>
    <s v="3002049670"/>
    <s v="CL 41 SUR CR 83 -70 (INTERIOR 631 )"/>
    <x v="2"/>
    <s v="044811003000700631"/>
    <s v="Medellín"/>
    <x v="2"/>
    <s v="METROSUR Vin. Leg. Ref. Concentrada"/>
    <x v="1"/>
    <n v="7"/>
    <s v="2025-12-10 14:52:47"/>
    <s v="1 días 14:52"/>
    <s v="6 días 14:52"/>
    <x v="0"/>
    <s v="SIN DATO"/>
    <s v="SIN DATO"/>
    <s v="SIN DATO"/>
    <s v="ABIERTO"/>
    <n v="-75.660196470000002"/>
    <n v="6.1859411199999998"/>
    <s v="SUR-ENE"/>
    <s v="Metropolitana Sur"/>
  </r>
  <r>
    <s v="23603594"/>
    <s v="ENERES"/>
    <s v="NUEVO"/>
    <s v="ENERES"/>
    <s v="29/11/2025 14:56:47"/>
    <s v="2025-11-29 14:56:47"/>
    <n v="1036609476"/>
    <s v="FREDDY ALBERTO LONDOÑO ESTRADA"/>
    <s v="SIN DATOS"/>
    <s v="3002049670"/>
    <s v="CL 41 SUR CR 83 -70 (INTERIOR 331 )"/>
    <x v="2"/>
    <s v="044811003000700331"/>
    <s v="Medellín"/>
    <x v="2"/>
    <s v="METROSUR Vin. Leg. Ref. Concentrada"/>
    <x v="1"/>
    <n v="7"/>
    <s v="2025-12-10 14:56:47"/>
    <s v="1 días 14:56"/>
    <s v="6 días 14:56"/>
    <x v="0"/>
    <s v="SIN DATO"/>
    <s v="SIN DATO"/>
    <s v="SIN DATO"/>
    <s v="ABIERTO"/>
    <n v="-75.660196470000002"/>
    <n v="6.1859411199999998"/>
    <s v="SUR-ENE"/>
    <s v="Metropolitana Sur"/>
  </r>
  <r>
    <s v="23603595"/>
    <s v="ENERES"/>
    <s v="NUEVO"/>
    <s v="ENERES"/>
    <s v="29/11/2025 14:57:05"/>
    <s v="2025-11-29 14:57:05"/>
    <n v="1036609476"/>
    <s v="FREDDY ALBERTO LONDOÑO ESTRADA"/>
    <s v="SIN DATOS"/>
    <s v="3002049670"/>
    <s v="CL 41 SUR CR 83 -70 (INTERIOR 431 )"/>
    <x v="2"/>
    <s v="044811003000700431"/>
    <s v="Medellín"/>
    <x v="2"/>
    <s v="METROSUR Vin. Leg. Ref. Concentrada"/>
    <x v="1"/>
    <n v="7"/>
    <s v="2025-12-10 14:57:05"/>
    <s v="1 días 14:57"/>
    <s v="6 días 14:57"/>
    <x v="0"/>
    <s v="SIN DATO"/>
    <s v="SIN DATO"/>
    <s v="SIN DATO"/>
    <s v="ABIERTO"/>
    <n v="-75.660196470000002"/>
    <n v="6.1859411199999998"/>
    <s v="SUR-ENE"/>
    <s v="Metropolitana Sur"/>
  </r>
  <r>
    <s v="23603597"/>
    <s v="ENERES"/>
    <s v="NUEVO"/>
    <s v="ENERES"/>
    <s v="29/11/2025 15:05:04"/>
    <s v="2025-11-29 15:05:04"/>
    <n v="1036609476"/>
    <s v="FREDDY ALBERTO LONDOÑO ESTRADA"/>
    <s v="SIN DATOS"/>
    <s v="3002049670"/>
    <s v="CL 41 SUR CR 83 -70 (INTERIOR 2231 )"/>
    <x v="2"/>
    <s v="044811003000702231"/>
    <s v="Medellín"/>
    <x v="2"/>
    <s v="METROSUR Vin. Leg. Ref. Concentrada"/>
    <x v="1"/>
    <n v="7"/>
    <s v="2025-12-10 15:05:04"/>
    <s v="1 días 15:05"/>
    <s v="6 días 15:05"/>
    <x v="0"/>
    <s v="SIN DATO"/>
    <s v="SIN DATO"/>
    <s v="SIN DATO"/>
    <s v="ABIERTO"/>
    <n v="-75.660196470000002"/>
    <n v="6.1859411199999998"/>
    <s v="SUR-ENE"/>
    <s v="Metropolitana Sur"/>
  </r>
  <r>
    <s v="23603599"/>
    <s v="ENERES"/>
    <s v="NUEVO"/>
    <s v="ENERES"/>
    <s v="29/11/2025 15:07:16"/>
    <s v="2025-11-29 15:07:16"/>
    <n v="1036609476"/>
    <s v="FREDDY ALBERTO LONDOÑO ESTRADA"/>
    <s v="SIN DATOS"/>
    <s v="3002049670"/>
    <s v="CL 41 SUR CR 83 -70 (INTERIOR 531 )"/>
    <x v="2"/>
    <s v="044811003000700531"/>
    <s v="Medellín"/>
    <x v="2"/>
    <s v="METROSUR Vin. Leg. Ref. Concentrada"/>
    <x v="1"/>
    <n v="7"/>
    <s v="2025-12-10 15:07:16"/>
    <s v="1 días 15:07"/>
    <s v="6 días 15:07"/>
    <x v="0"/>
    <s v="SIN DATO"/>
    <s v="SIN DATO"/>
    <s v="SIN DATO"/>
    <s v="ABIERTO"/>
    <n v="-75.660196470000002"/>
    <n v="6.1859411199999998"/>
    <s v="SUR-ENE"/>
    <s v="Metropolitana Sur"/>
  </r>
  <r>
    <s v="23603635"/>
    <s v="ENEMRT"/>
    <s v="NUEVO"/>
    <s v="ENEMVI"/>
    <s v="29/11/2025 22:12:07"/>
    <s v="2025-11-29 22:12:07"/>
    <n v="43603268"/>
    <s v="ANA AYDE CHAVERRA CORDOBA"/>
    <s v="SIN DATOS"/>
    <s v="3235620711"/>
    <s v="CR 103 B CL 60 C -43"/>
    <x v="2"/>
    <s v="086023200300430000"/>
    <s v="Medellín"/>
    <x v="11"/>
    <s v="METR Mov Red Trans Anderson Castaño"/>
    <x v="1"/>
    <n v="9"/>
    <s v="2025-12-12 22:12:07"/>
    <s v="1 días 22:12"/>
    <s v="8 días 22:12"/>
    <x v="0"/>
    <s v="SIN DATO"/>
    <s v="SIN DATO"/>
    <s v="SIN DATO"/>
    <s v="ABIERTO"/>
    <n v="-75.612374200000005"/>
    <n v="6.2753656099999997"/>
    <s v="SUR-ENE"/>
    <s v="Metropolitana Sur"/>
  </r>
  <r>
    <s v="23603744"/>
    <s v="ENEPRE"/>
    <s v="REUBI"/>
    <s v="ENEPRE"/>
    <s v="30/11/2025 11:31:46"/>
    <s v="2025-11-30 11:31:46"/>
    <n v="43757246"/>
    <s v="EURELIS GONZALEZ"/>
    <s v="SIN DATOS"/>
    <s v="3042738291"/>
    <s v="CR 17 B CL 56 EE -50 (INTERIOR 165 )"/>
    <x v="2"/>
    <s v="055127206550500165"/>
    <s v="Medellín"/>
    <x v="9"/>
    <s v="Energía Prepago Metrosur"/>
    <x v="1"/>
    <n v="11"/>
    <s v="2025-12-16 11:31:46"/>
    <s v="0 días 11:31"/>
    <s v="10 días 11:31"/>
    <x v="0"/>
    <s v="SIN DATO"/>
    <s v="SIN DATO"/>
    <s v="SIN DATO"/>
    <s v="ABIERTO"/>
    <n v="-75.539898179999994"/>
    <n v="6.2430250300000001"/>
    <s v="SUR-ENE"/>
    <s v="Metropolitana Sur"/>
  </r>
  <r>
    <s v="23603758"/>
    <s v="ENEMRT"/>
    <s v="NUEVO"/>
    <s v="ENEMVI"/>
    <s v="30/11/2025 13:56:46"/>
    <s v="2025-11-30 13:56:46"/>
    <n v="15255091"/>
    <s v="LUIS FERNANDO CORREA FLOREZ"/>
    <s v="SIN DATOS"/>
    <s v="3207371319"/>
    <s v="CL 36 B SUR CR 79 -17"/>
    <x v="2"/>
    <s v="043716209000170000"/>
    <s v="Medellín"/>
    <x v="11"/>
    <s v="Mov Red Trans Dairo Gil"/>
    <x v="1"/>
    <n v="9"/>
    <s v="2025-12-12 13:56:46"/>
    <s v="0 días 13:56"/>
    <s v="8 días 13:56"/>
    <x v="0"/>
    <s v="SIN DATO"/>
    <s v="SIN DATO"/>
    <s v="SIN DATO"/>
    <s v="ABIERTO"/>
    <n v="-75.655931649999999"/>
    <n v="6.1876859199999998"/>
    <s v="SUR-ENE"/>
    <s v="Metropolitana Sur"/>
  </r>
  <r>
    <s v="23603764"/>
    <s v="ENEMRT"/>
    <s v="NUEVO"/>
    <s v="ENEMVI"/>
    <s v="30/11/2025 16:48:06"/>
    <s v="2025-11-30 16:48:06"/>
    <n v="34970253"/>
    <s v="ELIDA DEL CARMEN RESTAM CUITIVA"/>
    <s v="3576111"/>
    <s v="3225619389"/>
    <s v="CR 103 B CL 60 C -37"/>
    <x v="2"/>
    <s v="086023200300370000"/>
    <s v="Medellín"/>
    <x v="11"/>
    <s v="METR Mov Red Trans Anderson Castaño"/>
    <x v="1"/>
    <n v="9"/>
    <s v="2025-12-12 16:48:06"/>
    <s v="0 días 16:48"/>
    <s v="8 días 16:48"/>
    <x v="0"/>
    <s v="SIN DATO"/>
    <s v="SIN DATO"/>
    <s v="SIN DATO"/>
    <s v="ABIERTO"/>
    <n v="-75.612359690000005"/>
    <n v="6.2753276099999997"/>
    <s v="SUR-ENE"/>
    <s v="Metropolitana Su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TablaDinámica2" cacheId="2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E3:F9" firstHeaderRow="1" firstDataRow="1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9">
        <item x="3"/>
        <item x="5"/>
        <item h="1" m="1" x="7"/>
        <item x="1"/>
        <item x="0"/>
        <item x="2"/>
        <item x="4"/>
        <item h="1" m="1" x="6"/>
        <item t="default"/>
      </items>
    </pivotField>
    <pivotField showAll="0"/>
    <pivotField showAll="0"/>
    <pivotField showAll="0">
      <items count="14">
        <item x="1"/>
        <item x="3"/>
        <item x="7"/>
        <item x="5"/>
        <item x="2"/>
        <item x="4"/>
        <item x="11"/>
        <item x="10"/>
        <item x="0"/>
        <item x="8"/>
        <item x="6"/>
        <item x="9"/>
        <item m="1" x="12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axis="axisRow" dataField="1" showAll="0">
      <items count="7">
        <item x="0"/>
        <item x="1"/>
        <item x="2"/>
        <item h="1" m="1" x="5"/>
        <item x="4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1"/>
  </rowFields>
  <rowItems count="6">
    <i>
      <x/>
    </i>
    <i>
      <x v="1"/>
    </i>
    <i>
      <x v="2"/>
    </i>
    <i>
      <x v="4"/>
    </i>
    <i>
      <x v="5"/>
    </i>
    <i t="grand">
      <x/>
    </i>
  </rowItems>
  <colItems count="1">
    <i/>
  </colItems>
  <dataFields count="1">
    <dataField name="Cuenta de ESTADO" fld="21" subtotal="count" showDataAs="percentOfTotal" baseField="21" baseItem="0" numFmtId="10"/>
  </dataFields>
  <chartFormats count="15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7" format="2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7" format="3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9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9" format="10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9" format="11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9" format="12">
      <pivotArea type="data" outline="0" fieldPosition="0">
        <references count="2">
          <reference field="4294967294" count="1" selected="0">
            <x v="0"/>
          </reference>
          <reference field="21" count="1" selected="0">
            <x v="3"/>
          </reference>
        </references>
      </pivotArea>
    </chartFormat>
    <chartFormat chart="9" format="13">
      <pivotArea type="data" outline="0" fieldPosition="0">
        <references count="2">
          <reference field="4294967294" count="1" selected="0">
            <x v="0"/>
          </reference>
          <reference field="21" count="1" selected="0">
            <x v="4"/>
          </reference>
        </references>
      </pivotArea>
    </chartFormat>
    <chartFormat chart="9" format="14">
      <pivotArea type="data" outline="0" fieldPosition="0">
        <references count="2">
          <reference field="4294967294" count="1" selected="0">
            <x v="0"/>
          </reference>
          <reference field="2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16FCF2-53A5-44F5-B52D-7F508000DE9D}" name="TablaDinámica5" cacheId="2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D16:D23" firstHeaderRow="1" firstDataRow="1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9">
        <item x="3"/>
        <item x="5"/>
        <item h="1" m="1" x="7"/>
        <item x="1"/>
        <item x="0"/>
        <item x="2"/>
        <item x="4"/>
        <item h="1"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1"/>
  </rowFields>
  <rowItems count="7">
    <i>
      <x/>
    </i>
    <i>
      <x v="1"/>
    </i>
    <i>
      <x v="3"/>
    </i>
    <i>
      <x v="4"/>
    </i>
    <i>
      <x v="5"/>
    </i>
    <i>
      <x v="6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Dinámica3" cacheId="2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3:I6" firstHeaderRow="1" firstDataRow="1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9">
        <item x="3"/>
        <item x="5"/>
        <item h="1" m="1" x="7"/>
        <item x="1"/>
        <item x="0"/>
        <item x="2"/>
        <item x="4"/>
        <item h="1" m="1" x="6"/>
        <item t="default"/>
      </items>
    </pivotField>
    <pivotField showAll="0"/>
    <pivotField showAll="0"/>
    <pivotField showAll="0">
      <items count="14">
        <item x="1"/>
        <item x="3"/>
        <item x="7"/>
        <item x="5"/>
        <item x="2"/>
        <item x="4"/>
        <item x="11"/>
        <item x="10"/>
        <item x="0"/>
        <item x="8"/>
        <item x="6"/>
        <item x="9"/>
        <item m="1" x="12"/>
        <item t="default"/>
      </items>
    </pivotField>
    <pivotField showAll="0"/>
    <pivotField axis="axisRow" dataField="1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6"/>
  </rowFields>
  <rowItems count="3">
    <i>
      <x/>
    </i>
    <i>
      <x v="1"/>
    </i>
    <i t="grand">
      <x/>
    </i>
  </rowItems>
  <colItems count="1">
    <i/>
  </colItems>
  <dataFields count="1">
    <dataField name="Cuenta de TIPO_DIRECCION" fld="16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TablaDinámica4" cacheId="2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6:B29" firstHeaderRow="1" firstDataRow="1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9">
        <item x="3"/>
        <item x="5"/>
        <item h="1" m="1" x="7"/>
        <item x="1"/>
        <item x="0"/>
        <item x="2"/>
        <item x="4"/>
        <item h="1" m="1" x="6"/>
        <item t="default"/>
      </items>
    </pivotField>
    <pivotField showAll="0"/>
    <pivotField showAll="0"/>
    <pivotField axis="axisRow" dataField="1" showAll="0">
      <items count="14">
        <item x="1"/>
        <item x="3"/>
        <item x="7"/>
        <item x="2"/>
        <item x="4"/>
        <item x="11"/>
        <item x="0"/>
        <item x="8"/>
        <item x="6"/>
        <item x="9"/>
        <item m="1" x="12"/>
        <item x="5"/>
        <item x="10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 t="grand">
      <x/>
    </i>
  </rowItems>
  <colItems count="1">
    <i/>
  </colItems>
  <dataFields count="1">
    <dataField name="Cuenta de ACTIVIDAD" fld="14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ablaDinámica1" cacheId="2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A3:B9" firstHeaderRow="1" firstDataRow="1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9">
        <item x="3"/>
        <item x="5"/>
        <item h="1" m="1" x="7"/>
        <item x="1"/>
        <item x="0"/>
        <item x="2"/>
        <item x="4"/>
        <item h="1" m="1" x="6"/>
        <item t="default"/>
      </items>
    </pivotField>
    <pivotField showAll="0"/>
    <pivotField showAll="0"/>
    <pivotField showAll="0">
      <items count="14">
        <item x="1"/>
        <item x="3"/>
        <item x="7"/>
        <item x="5"/>
        <item x="2"/>
        <item x="4"/>
        <item x="11"/>
        <item x="10"/>
        <item x="0"/>
        <item x="8"/>
        <item x="6"/>
        <item x="9"/>
        <item m="1" x="12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axis="axisRow" dataField="1" showAll="0">
      <items count="7">
        <item x="0"/>
        <item x="1"/>
        <item x="2"/>
        <item m="1" x="5"/>
        <item x="4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1"/>
  </rowFields>
  <rowItems count="6">
    <i>
      <x/>
    </i>
    <i>
      <x v="1"/>
    </i>
    <i>
      <x v="2"/>
    </i>
    <i>
      <x v="4"/>
    </i>
    <i>
      <x v="5"/>
    </i>
    <i t="grand">
      <x/>
    </i>
  </rowItems>
  <colItems count="1">
    <i/>
  </colItems>
  <dataFields count="1">
    <dataField name="Cuenta de ESTADO" fld="21" subtotal="count" baseField="0" baseItem="0"/>
  </dataFields>
  <chartFormats count="13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7" format="2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7" format="3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1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9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10" format="10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10" format="11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10" format="12">
      <pivotArea type="data" outline="0" fieldPosition="0">
        <references count="2">
          <reference field="4294967294" count="1" selected="0">
            <x v="0"/>
          </reference>
          <reference field="2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IRECCION1" xr10:uid="{B6676FBA-871E-4359-B4A0-08ED1747EDFD}" sourceName="TIPO_DIRECCION">
  <pivotTables>
    <pivotTable tabId="4" name="TablaDinámica3"/>
    <pivotTable tabId="4" name="TablaDinámica1"/>
    <pivotTable tabId="4" name="TablaDinámica2"/>
    <pivotTable tabId="4" name="TablaDinámica4"/>
  </pivotTables>
  <data>
    <tabular pivotCacheId="451245355">
      <items count="3">
        <i x="0" s="1"/>
        <i x="1" s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CTIVIDAD1" xr10:uid="{F27ED186-200A-46D9-9B17-1FCDE3E36CA1}" sourceName="ACTIVIDAD">
  <pivotTables>
    <pivotTable tabId="4" name="TablaDinámica4"/>
    <pivotTable tabId="4" name="TablaDinámica1"/>
    <pivotTable tabId="4" name="TablaDinámica2"/>
    <pivotTable tabId="4" name="TablaDinámica3"/>
  </pivotTables>
  <data>
    <tabular pivotCacheId="451245355">
      <items count="13">
        <i x="1" s="1"/>
        <i x="3" s="1"/>
        <i x="7" s="1"/>
        <i x="5" s="1"/>
        <i x="2" s="1"/>
        <i x="4" s="1"/>
        <i x="11" s="1"/>
        <i x="10" s="1"/>
        <i x="0" s="1"/>
        <i x="8" s="1"/>
        <i x="6" s="1"/>
        <i x="9" s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UNICIPIO" xr10:uid="{5E3406F7-2BF7-4966-9D6A-26D378FD8257}" sourceName="MUNICIPIO">
  <pivotTables>
    <pivotTable tabId="4" name="TablaDinámica5"/>
    <pivotTable tabId="4" name="TablaDinámica1"/>
    <pivotTable tabId="4" name="TablaDinámica2"/>
    <pivotTable tabId="4" name="TablaDinámica3"/>
    <pivotTable tabId="4" name="TablaDinámica4"/>
  </pivotTables>
  <data>
    <tabular pivotCacheId="451245355">
      <items count="8">
        <i x="3" s="1"/>
        <i x="5" s="1"/>
        <i x="1" s="1"/>
        <i x="0" s="1"/>
        <i x="2" s="1"/>
        <i x="4" s="1"/>
        <i x="7" nd="1"/>
        <i x="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23155965-F9AD-4852-9785-7FA312542B66}" sourceName="ESTADO">
  <extLst>
    <x:ext xmlns:x15="http://schemas.microsoft.com/office/spreadsheetml/2010/11/main" uri="{2F2917AC-EB37-4324-AD4E-5DD8C200BD13}">
      <x15:tableSlicerCache tableId="3" column="9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CTIVIDAD2" xr10:uid="{03550C5A-7FCC-42C5-880D-CA28B7DDBA06}" sourceName="ACTIVIDAD">
  <extLst>
    <x:ext xmlns:x15="http://schemas.microsoft.com/office/spreadsheetml/2010/11/main" uri="{2F2917AC-EB37-4324-AD4E-5DD8C200BD13}">
      <x15:tableSlicerCache tableId="3" column="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_DIRECCION" xr10:uid="{6C34D278-1506-47B9-BA3B-6AB16A5D58FD}" cache="SegmentaciónDeDatos_TIPO_DIRECCION1" caption="TIPO_DIRECCION" style="SlicerStyleOther1" rowHeight="257175"/>
  <slicer name="ACTIVIDAD" xr10:uid="{91BAC2B1-F130-4B61-8BAA-6E628DE82E16}" cache="SegmentaciónDeDatos_ACTIVIDAD1" caption="ACTIVIDAD" columnCount="2" style="SlicerStyleOther1" rowHeight="257175"/>
  <slicer name="MUNICIPIO" xr10:uid="{201E3820-0E7A-4710-BBCC-432899FA9E5A}" cache="SegmentaciónDeDatos_MUNICIPIO" caption="MUNICIPIO" columnCount="2" style="SlicerStyleOther1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2D79F66C-9BFF-466D-B840-D3C841D9C649}" cache="SegmentaciónDeDatos_ESTADO" caption="ESTADO" columnCount="6" style="SlicerStyleOther1" rowHeight="257175"/>
  <slicer name="ACTIVIDAD 1" xr10:uid="{9B927ECF-2A0F-40D6-B4BD-E9330AC64434}" cache="SegmentaciónDeDatos_ACTIVIDAD2" caption="ACTIVIDAD" startItem="5" columnCount="5" style="SlicerStyleOther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ENIX_ANS_TABLA" displayName="FENIX_ANS_TABLA" ref="A1:AD1302" headerRowDxfId="61" headerRowBorderDxfId="60">
  <tableColumns count="30">
    <tableColumn id="1" xr3:uid="{00000000-0010-0000-0000-000001000000}" name="PEDIDO"/>
    <tableColumn id="2" xr3:uid="{00000000-0010-0000-0000-000002000000}" name="PRODUCTO_ID"/>
    <tableColumn id="3" xr3:uid="{00000000-0010-0000-0000-000003000000}" name="TIPO_TRABAJO"/>
    <tableColumn id="4" xr3:uid="{00000000-0010-0000-0000-000004000000}" name="TIPO_ELEMENTO_ID"/>
    <tableColumn id="5" xr3:uid="{00000000-0010-0000-0000-000005000000}" name="FECHA_RECIBO"/>
    <tableColumn id="6" xr3:uid="{00000000-0010-0000-0000-000006000000}" name="FECHA_INICIO_ANS"/>
    <tableColumn id="7" xr3:uid="{00000000-0010-0000-0000-000007000000}" name="CLIENTEID"/>
    <tableColumn id="8" xr3:uid="{00000000-0010-0000-0000-000008000000}" name="NOMBRE_CLIENTE"/>
    <tableColumn id="9" xr3:uid="{00000000-0010-0000-0000-000009000000}" name="TELEFONO_CONTACTO" dataDxfId="59"/>
    <tableColumn id="10" xr3:uid="{00000000-0010-0000-0000-00000A000000}" name="CELULAR_CONTACTO" dataDxfId="58"/>
    <tableColumn id="11" xr3:uid="{00000000-0010-0000-0000-00000B000000}" name="DIRECCION"/>
    <tableColumn id="12" xr3:uid="{00000000-0010-0000-0000-00000C000000}" name="MUNICIPIO"/>
    <tableColumn id="13" xr3:uid="{00000000-0010-0000-0000-00000D000000}" name="INSTALACION"/>
    <tableColumn id="14" xr3:uid="{00000000-0010-0000-0000-00000E000000}" name="AREA_TRABAJO"/>
    <tableColumn id="15" xr3:uid="{00000000-0010-0000-0000-00000F000000}" name="ACTIVIDAD"/>
    <tableColumn id="16" xr3:uid="{00000000-0010-0000-0000-000010000000}" name="NOMBRE"/>
    <tableColumn id="17" xr3:uid="{00000000-0010-0000-0000-000011000000}" name="TIPO_DIRECCION"/>
    <tableColumn id="18" xr3:uid="{00000000-0010-0000-0000-000012000000}" name="DIAS_PACTADOS"/>
    <tableColumn id="19" xr3:uid="{00000000-0010-0000-0000-000013000000}" name="FECHA_LIMITE_ANS"/>
    <tableColumn id="20" xr3:uid="{00000000-0010-0000-0000-000014000000}" name="DIAS_TRANSCURRIDOS"/>
    <tableColumn id="21" xr3:uid="{00000000-0010-0000-0000-000015000000}" name="DIAS_RESTANTES"/>
    <tableColumn id="22" xr3:uid="{00000000-0010-0000-0000-000016000000}" name="ESTADO"/>
    <tableColumn id="23" xr3:uid="{00000000-0010-0000-0000-000017000000}" name="REPORTE_TECNICO"/>
    <tableColumn id="24" xr3:uid="{00000000-0010-0000-0000-000018000000}" name="TECNICO_EJECUTA"/>
    <tableColumn id="25" xr3:uid="{00000000-0010-0000-0000-000019000000}" name="OBSERVACION" dataDxfId="57"/>
    <tableColumn id="26" xr3:uid="{19912D2A-7EAA-4613-BFE6-9B829F564078}" name="ESTADO_FENIX" dataDxfId="56"/>
    <tableColumn id="27" xr3:uid="{4D8C3716-955D-4CAD-AE41-F55FE0002145}" name="COORDENADAX"/>
    <tableColumn id="28" xr3:uid="{A2A40A87-705F-4DC7-B65F-15F43DC86A66}" name="COORDENADAY"/>
    <tableColumn id="29" xr3:uid="{2C7FF450-324D-4716-9AC5-78CE7FD62C56}" name="AREA_OPERATIVA"/>
    <tableColumn id="30" xr3:uid="{3B5FEA28-301F-4CC5-B343-BCDCAFE73967}" name="SUBZONA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10661B5-B736-4377-AD9E-67310E97CA00}" name="tbl_ANS" displayName="tbl_ANS" ref="C26:K1419" totalsRowShown="0" headerRowDxfId="55" dataDxfId="53" headerRowBorderDxfId="54" tableBorderDxfId="52">
  <autoFilter ref="C26:K1419" xr:uid="{110661B5-B736-4377-AD9E-67310E97CA00}"/>
  <tableColumns count="9">
    <tableColumn id="1" xr3:uid="{9DC868A8-3555-4688-9D2C-44335146E65C}" name="PEDIDO" dataDxfId="51"/>
    <tableColumn id="2" xr3:uid="{3D9BAE77-4DEB-4908-A495-0A6AB733440A}" name="FECHA_INICIO_ANS" dataDxfId="50"/>
    <tableColumn id="3" xr3:uid="{AF66CD3C-87F5-4E48-B91B-D216E1D7DA81}" name="MUNICIPIO" dataDxfId="49"/>
    <tableColumn id="4" xr3:uid="{6FEFAB39-0118-48A3-858D-5DEC72D0CF5C}" name="AREA_TRABAJO" dataDxfId="48"/>
    <tableColumn id="5" xr3:uid="{92C491F7-29DB-45EC-B9AF-E22855D802A0}" name="ACTIVIDAD" dataDxfId="47"/>
    <tableColumn id="6" xr3:uid="{8239EFB7-19DA-46EC-ACBB-2C20CFF37CEA}" name="TIPO_DIRECCION" dataDxfId="46"/>
    <tableColumn id="7" xr3:uid="{8D998DDF-415D-433F-92F9-C198620017CE}" name="FECHA_LIMITE_ANS" dataDxfId="45"/>
    <tableColumn id="8" xr3:uid="{8BD8FED4-732F-4B68-8564-1DBCF1089557}" name="DIAS_RESTANTES" dataDxfId="44"/>
    <tableColumn id="9" xr3:uid="{E8F384A7-B725-440F-B6D0-AA8E5D115330}" name="ESTADO" dataDxfId="4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4" Type="http://schemas.microsoft.com/office/2007/relationships/slicer" Target="../slicers/slicer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rgb="FFFFC000"/>
  </sheetPr>
  <dimension ref="A1:AD1302"/>
  <sheetViews>
    <sheetView showGridLines="0" tabSelected="1" workbookViewId="0"/>
  </sheetViews>
  <sheetFormatPr baseColWidth="10" defaultRowHeight="15" x14ac:dyDescent="0.25"/>
  <cols>
    <col min="1" max="1" width="12.28515625" bestFit="1" customWidth="1"/>
    <col min="2" max="2" width="18.42578125" bestFit="1" customWidth="1"/>
    <col min="3" max="3" width="18.7109375" bestFit="1" customWidth="1"/>
    <col min="4" max="4" width="23.28515625" bestFit="1" customWidth="1"/>
    <col min="5" max="5" width="18.7109375" bestFit="1" customWidth="1"/>
    <col min="6" max="6" width="22.85546875" bestFit="1" customWidth="1"/>
    <col min="7" max="7" width="14.42578125" bestFit="1" customWidth="1"/>
    <col min="8" max="8" width="64.5703125" bestFit="1" customWidth="1"/>
    <col min="9" max="9" width="25.85546875" bestFit="1" customWidth="1"/>
    <col min="10" max="10" width="24.28515625" bestFit="1" customWidth="1"/>
    <col min="11" max="11" width="54.140625" bestFit="1" customWidth="1"/>
    <col min="12" max="12" width="15.7109375" bestFit="1" customWidth="1"/>
    <col min="13" max="13" width="26.85546875" bestFit="1" customWidth="1"/>
    <col min="14" max="14" width="19.28515625" bestFit="1" customWidth="1"/>
    <col min="15" max="15" width="15.28515625" bestFit="1" customWidth="1"/>
    <col min="16" max="16" width="36" bestFit="1" customWidth="1"/>
    <col min="17" max="17" width="20.42578125" bestFit="1" customWidth="1"/>
    <col min="18" max="18" width="20.28515625" bestFit="1" customWidth="1"/>
    <col min="19" max="19" width="23" bestFit="1" customWidth="1"/>
    <col min="20" max="20" width="26" bestFit="1" customWidth="1"/>
    <col min="21" max="21" width="20.7109375" bestFit="1" customWidth="1"/>
    <col min="22" max="22" width="13.5703125" bestFit="1" customWidth="1"/>
    <col min="23" max="23" width="17.7109375" bestFit="1" customWidth="1"/>
    <col min="24" max="24" width="17.42578125" bestFit="1" customWidth="1"/>
    <col min="25" max="25" width="13.85546875" bestFit="1" customWidth="1"/>
    <col min="26" max="26" width="14.140625" bestFit="1" customWidth="1"/>
    <col min="27" max="27" width="20.7109375" customWidth="1"/>
    <col min="28" max="28" width="22.85546875" customWidth="1"/>
    <col min="29" max="29" width="17" bestFit="1" customWidth="1"/>
    <col min="30" max="30" width="16.85546875" bestFit="1" customWidth="1"/>
  </cols>
  <sheetData>
    <row r="1" spans="1:30" x14ac:dyDescent="0.25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9" t="s">
        <v>8</v>
      </c>
      <c r="J1" s="19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8" t="s">
        <v>14</v>
      </c>
      <c r="P1" s="18" t="s">
        <v>15</v>
      </c>
      <c r="Q1" s="18" t="s">
        <v>16</v>
      </c>
      <c r="R1" s="18" t="s">
        <v>17</v>
      </c>
      <c r="S1" s="18" t="s">
        <v>18</v>
      </c>
      <c r="T1" s="18" t="s">
        <v>19</v>
      </c>
      <c r="U1" s="18" t="s">
        <v>20</v>
      </c>
      <c r="V1" s="18" t="s">
        <v>21</v>
      </c>
      <c r="W1" s="18" t="s">
        <v>22</v>
      </c>
      <c r="X1" s="18" t="s">
        <v>23</v>
      </c>
      <c r="Y1" s="18" t="s">
        <v>1425</v>
      </c>
      <c r="Z1" s="18" t="s">
        <v>24</v>
      </c>
      <c r="AA1" s="18" t="s">
        <v>145</v>
      </c>
      <c r="AB1" s="18" t="s">
        <v>146</v>
      </c>
      <c r="AC1" s="18" t="s">
        <v>147</v>
      </c>
      <c r="AD1" s="18" t="s">
        <v>148</v>
      </c>
    </row>
    <row r="2" spans="1:30" x14ac:dyDescent="0.25">
      <c r="A2" t="s">
        <v>10324</v>
      </c>
      <c r="B2" t="s">
        <v>25</v>
      </c>
      <c r="C2" t="s">
        <v>26</v>
      </c>
      <c r="D2" t="s">
        <v>39</v>
      </c>
      <c r="E2" t="s">
        <v>10325</v>
      </c>
      <c r="F2" t="s">
        <v>10326</v>
      </c>
      <c r="G2">
        <v>42892506</v>
      </c>
      <c r="H2" t="s">
        <v>10327</v>
      </c>
      <c r="I2" s="4" t="s">
        <v>10328</v>
      </c>
      <c r="J2" s="4" t="s">
        <v>10329</v>
      </c>
      <c r="K2" t="s">
        <v>10330</v>
      </c>
      <c r="L2" t="s">
        <v>55</v>
      </c>
      <c r="M2" t="s">
        <v>10331</v>
      </c>
      <c r="N2" t="s">
        <v>56</v>
      </c>
      <c r="O2" t="s">
        <v>40</v>
      </c>
      <c r="P2" t="s">
        <v>36</v>
      </c>
      <c r="Q2" t="s">
        <v>38</v>
      </c>
      <c r="R2">
        <v>8</v>
      </c>
      <c r="S2" t="s">
        <v>10332</v>
      </c>
      <c r="T2" t="s">
        <v>2584</v>
      </c>
      <c r="U2" t="s">
        <v>10333</v>
      </c>
      <c r="V2" t="s">
        <v>32</v>
      </c>
      <c r="W2" t="s">
        <v>33</v>
      </c>
      <c r="X2" t="s">
        <v>33</v>
      </c>
      <c r="Y2" t="s">
        <v>33</v>
      </c>
      <c r="Z2" s="16" t="s">
        <v>34</v>
      </c>
      <c r="AA2">
        <v>-75.649831634999899</v>
      </c>
      <c r="AB2">
        <v>6.1379125160000303</v>
      </c>
      <c r="AC2" t="s">
        <v>135</v>
      </c>
      <c r="AD2" t="s">
        <v>136</v>
      </c>
    </row>
    <row r="3" spans="1:30" x14ac:dyDescent="0.25">
      <c r="A3" t="s">
        <v>9877</v>
      </c>
      <c r="B3" t="s">
        <v>50</v>
      </c>
      <c r="C3" t="s">
        <v>26</v>
      </c>
      <c r="D3" t="s">
        <v>50</v>
      </c>
      <c r="E3" t="s">
        <v>6120</v>
      </c>
      <c r="F3" t="s">
        <v>6121</v>
      </c>
      <c r="G3">
        <v>42798753</v>
      </c>
      <c r="H3" t="s">
        <v>6122</v>
      </c>
      <c r="I3" s="4" t="s">
        <v>6123</v>
      </c>
      <c r="J3" s="4" t="s">
        <v>6124</v>
      </c>
      <c r="K3" t="s">
        <v>6125</v>
      </c>
      <c r="L3" t="s">
        <v>44</v>
      </c>
      <c r="M3" t="s">
        <v>6125</v>
      </c>
      <c r="N3" t="s">
        <v>45</v>
      </c>
      <c r="O3" t="s">
        <v>40</v>
      </c>
      <c r="P3" t="s">
        <v>52</v>
      </c>
      <c r="Q3" t="s">
        <v>31</v>
      </c>
      <c r="R3">
        <v>5</v>
      </c>
      <c r="S3" t="s">
        <v>6126</v>
      </c>
      <c r="T3" t="s">
        <v>6127</v>
      </c>
      <c r="U3" t="s">
        <v>6128</v>
      </c>
      <c r="V3" t="s">
        <v>32</v>
      </c>
      <c r="W3" t="s">
        <v>33</v>
      </c>
      <c r="X3" t="s">
        <v>33</v>
      </c>
      <c r="Y3" t="s">
        <v>33</v>
      </c>
      <c r="Z3" s="16" t="s">
        <v>34</v>
      </c>
      <c r="AA3">
        <v>-75.609656939999994</v>
      </c>
      <c r="AB3">
        <v>6.1956974200000001</v>
      </c>
      <c r="AC3" t="s">
        <v>135</v>
      </c>
      <c r="AD3" t="s">
        <v>136</v>
      </c>
    </row>
    <row r="4" spans="1:30" x14ac:dyDescent="0.25">
      <c r="A4" t="s">
        <v>1427</v>
      </c>
      <c r="B4" t="s">
        <v>42</v>
      </c>
      <c r="C4" t="s">
        <v>75</v>
      </c>
      <c r="D4" t="s">
        <v>42</v>
      </c>
      <c r="E4" t="s">
        <v>1428</v>
      </c>
      <c r="F4" t="s">
        <v>1429</v>
      </c>
      <c r="G4">
        <v>1087547709</v>
      </c>
      <c r="H4" t="s">
        <v>1430</v>
      </c>
      <c r="I4" s="4" t="s">
        <v>35</v>
      </c>
      <c r="J4" s="4" t="s">
        <v>1431</v>
      </c>
      <c r="K4" t="s">
        <v>1432</v>
      </c>
      <c r="L4" t="s">
        <v>27</v>
      </c>
      <c r="M4" t="s">
        <v>1433</v>
      </c>
      <c r="N4" t="s">
        <v>28</v>
      </c>
      <c r="O4" t="s">
        <v>76</v>
      </c>
      <c r="P4" t="s">
        <v>30</v>
      </c>
      <c r="Q4" t="s">
        <v>31</v>
      </c>
      <c r="R4">
        <v>7</v>
      </c>
      <c r="S4" t="s">
        <v>1434</v>
      </c>
      <c r="T4" t="s">
        <v>6129</v>
      </c>
      <c r="U4" t="s">
        <v>889</v>
      </c>
      <c r="V4" t="s">
        <v>49</v>
      </c>
      <c r="W4" t="s">
        <v>33</v>
      </c>
      <c r="X4" t="s">
        <v>33</v>
      </c>
      <c r="Y4" t="s">
        <v>33</v>
      </c>
      <c r="Z4" s="16" t="s">
        <v>34</v>
      </c>
      <c r="AA4">
        <v>-75.614163169999998</v>
      </c>
      <c r="AB4">
        <v>6.2313810700000003</v>
      </c>
      <c r="AC4" t="s">
        <v>135</v>
      </c>
      <c r="AD4" t="s">
        <v>136</v>
      </c>
    </row>
    <row r="5" spans="1:30" x14ac:dyDescent="0.25">
      <c r="A5" t="s">
        <v>1436</v>
      </c>
      <c r="B5" t="s">
        <v>25</v>
      </c>
      <c r="C5" t="s">
        <v>26</v>
      </c>
      <c r="D5" t="s">
        <v>39</v>
      </c>
      <c r="E5" t="s">
        <v>1437</v>
      </c>
      <c r="F5" t="s">
        <v>1438</v>
      </c>
      <c r="G5">
        <v>22796894</v>
      </c>
      <c r="H5" t="s">
        <v>1439</v>
      </c>
      <c r="I5" s="4" t="s">
        <v>1440</v>
      </c>
      <c r="J5" s="4" t="s">
        <v>1441</v>
      </c>
      <c r="K5" t="s">
        <v>1442</v>
      </c>
      <c r="L5" t="s">
        <v>44</v>
      </c>
      <c r="M5" t="s">
        <v>1443</v>
      </c>
      <c r="N5" t="s">
        <v>45</v>
      </c>
      <c r="O5" t="s">
        <v>40</v>
      </c>
      <c r="P5" t="s">
        <v>41</v>
      </c>
      <c r="Q5" t="s">
        <v>31</v>
      </c>
      <c r="R5">
        <v>5</v>
      </c>
      <c r="S5" t="s">
        <v>1444</v>
      </c>
      <c r="T5" t="s">
        <v>6130</v>
      </c>
      <c r="U5" t="s">
        <v>6131</v>
      </c>
      <c r="V5" t="s">
        <v>32</v>
      </c>
      <c r="W5" t="s">
        <v>33</v>
      </c>
      <c r="X5" t="s">
        <v>33</v>
      </c>
      <c r="Y5" t="s">
        <v>33</v>
      </c>
      <c r="Z5" s="16" t="s">
        <v>34</v>
      </c>
      <c r="AA5">
        <v>-75.615575879999994</v>
      </c>
      <c r="AB5">
        <v>6.1780693500000003</v>
      </c>
      <c r="AC5" t="s">
        <v>135</v>
      </c>
      <c r="AD5" t="s">
        <v>136</v>
      </c>
    </row>
    <row r="6" spans="1:30" x14ac:dyDescent="0.25">
      <c r="A6" t="s">
        <v>9878</v>
      </c>
      <c r="B6" t="s">
        <v>25</v>
      </c>
      <c r="C6" t="s">
        <v>26</v>
      </c>
      <c r="D6" t="s">
        <v>39</v>
      </c>
      <c r="E6" t="s">
        <v>6132</v>
      </c>
      <c r="F6" t="s">
        <v>6133</v>
      </c>
      <c r="G6">
        <v>8323358</v>
      </c>
      <c r="H6" t="s">
        <v>6134</v>
      </c>
      <c r="I6" s="4" t="s">
        <v>6135</v>
      </c>
      <c r="J6" s="4" t="s">
        <v>6136</v>
      </c>
      <c r="K6" t="s">
        <v>6137</v>
      </c>
      <c r="L6" t="s">
        <v>27</v>
      </c>
      <c r="M6" t="s">
        <v>6138</v>
      </c>
      <c r="N6" t="s">
        <v>28</v>
      </c>
      <c r="O6" t="s">
        <v>40</v>
      </c>
      <c r="P6" t="s">
        <v>41</v>
      </c>
      <c r="Q6" t="s">
        <v>31</v>
      </c>
      <c r="R6">
        <v>5</v>
      </c>
      <c r="S6" t="s">
        <v>6139</v>
      </c>
      <c r="T6" t="s">
        <v>6140</v>
      </c>
      <c r="U6" t="s">
        <v>6141</v>
      </c>
      <c r="V6" t="s">
        <v>32</v>
      </c>
      <c r="W6" t="s">
        <v>33</v>
      </c>
      <c r="X6" t="s">
        <v>33</v>
      </c>
      <c r="Y6" t="s">
        <v>33</v>
      </c>
      <c r="Z6" s="16" t="s">
        <v>34</v>
      </c>
      <c r="AA6">
        <v>-75.630061670000003</v>
      </c>
      <c r="AB6">
        <v>6.23489833</v>
      </c>
      <c r="AC6" t="s">
        <v>135</v>
      </c>
      <c r="AD6" t="s">
        <v>136</v>
      </c>
    </row>
    <row r="7" spans="1:30" x14ac:dyDescent="0.25">
      <c r="A7" t="s">
        <v>1446</v>
      </c>
      <c r="B7" t="s">
        <v>25</v>
      </c>
      <c r="C7" t="s">
        <v>26</v>
      </c>
      <c r="D7" t="s">
        <v>25</v>
      </c>
      <c r="E7" t="s">
        <v>1447</v>
      </c>
      <c r="F7" t="s">
        <v>1448</v>
      </c>
      <c r="G7">
        <v>1152441868</v>
      </c>
      <c r="H7" t="s">
        <v>1449</v>
      </c>
      <c r="I7" s="4" t="s">
        <v>1450</v>
      </c>
      <c r="J7" s="4" t="s">
        <v>1451</v>
      </c>
      <c r="K7" t="s">
        <v>1452</v>
      </c>
      <c r="L7" t="s">
        <v>27</v>
      </c>
      <c r="M7" t="s">
        <v>1453</v>
      </c>
      <c r="N7" t="s">
        <v>28</v>
      </c>
      <c r="O7" t="s">
        <v>29</v>
      </c>
      <c r="P7" t="s">
        <v>54</v>
      </c>
      <c r="Q7" t="s">
        <v>31</v>
      </c>
      <c r="R7">
        <v>7</v>
      </c>
      <c r="S7" t="s">
        <v>1454</v>
      </c>
      <c r="T7" t="s">
        <v>1462</v>
      </c>
      <c r="U7" t="s">
        <v>6142</v>
      </c>
      <c r="V7" t="s">
        <v>49</v>
      </c>
      <c r="W7" t="s">
        <v>33</v>
      </c>
      <c r="X7" t="s">
        <v>33</v>
      </c>
      <c r="Y7" t="s">
        <v>33</v>
      </c>
      <c r="Z7" s="16" t="s">
        <v>34</v>
      </c>
      <c r="AA7">
        <v>-75.608566749999994</v>
      </c>
      <c r="AB7">
        <v>6.2534277999999999</v>
      </c>
      <c r="AC7" t="s">
        <v>135</v>
      </c>
      <c r="AD7" t="s">
        <v>136</v>
      </c>
    </row>
    <row r="8" spans="1:30" x14ac:dyDescent="0.25">
      <c r="A8" t="s">
        <v>1455</v>
      </c>
      <c r="B8" t="s">
        <v>61</v>
      </c>
      <c r="C8" t="s">
        <v>26</v>
      </c>
      <c r="D8" t="s">
        <v>61</v>
      </c>
      <c r="E8" t="s">
        <v>1456</v>
      </c>
      <c r="F8" t="s">
        <v>1457</v>
      </c>
      <c r="G8">
        <v>900599091</v>
      </c>
      <c r="H8" t="s">
        <v>1458</v>
      </c>
      <c r="I8" s="4" t="s">
        <v>35</v>
      </c>
      <c r="J8" s="4" t="s">
        <v>100</v>
      </c>
      <c r="K8" t="s">
        <v>1459</v>
      </c>
      <c r="L8" t="s">
        <v>27</v>
      </c>
      <c r="M8" t="s">
        <v>1460</v>
      </c>
      <c r="N8" t="s">
        <v>28</v>
      </c>
      <c r="O8" t="s">
        <v>62</v>
      </c>
      <c r="P8" t="s">
        <v>63</v>
      </c>
      <c r="Q8" t="s">
        <v>31</v>
      </c>
      <c r="R8">
        <v>4</v>
      </c>
      <c r="S8" t="s">
        <v>1461</v>
      </c>
      <c r="T8" t="s">
        <v>527</v>
      </c>
      <c r="U8" t="s">
        <v>6143</v>
      </c>
      <c r="V8" t="s">
        <v>49</v>
      </c>
      <c r="W8" t="s">
        <v>33</v>
      </c>
      <c r="X8" t="s">
        <v>33</v>
      </c>
      <c r="Y8" t="s">
        <v>33</v>
      </c>
      <c r="Z8" s="16" t="s">
        <v>34</v>
      </c>
      <c r="AA8">
        <v>-75.566350549999996</v>
      </c>
      <c r="AB8">
        <v>6.20810671</v>
      </c>
      <c r="AC8" t="s">
        <v>135</v>
      </c>
      <c r="AD8" t="s">
        <v>136</v>
      </c>
    </row>
    <row r="9" spans="1:30" x14ac:dyDescent="0.25">
      <c r="A9" t="s">
        <v>9879</v>
      </c>
      <c r="B9" t="s">
        <v>61</v>
      </c>
      <c r="C9" t="s">
        <v>26</v>
      </c>
      <c r="D9" t="s">
        <v>61</v>
      </c>
      <c r="E9" t="s">
        <v>6144</v>
      </c>
      <c r="F9" t="s">
        <v>6145</v>
      </c>
      <c r="G9">
        <v>98496847</v>
      </c>
      <c r="H9" t="s">
        <v>6146</v>
      </c>
      <c r="I9" s="4" t="s">
        <v>35</v>
      </c>
      <c r="J9" s="4" t="s">
        <v>6147</v>
      </c>
      <c r="K9" t="s">
        <v>6148</v>
      </c>
      <c r="L9" t="s">
        <v>27</v>
      </c>
      <c r="M9" t="s">
        <v>6149</v>
      </c>
      <c r="N9" t="s">
        <v>28</v>
      </c>
      <c r="O9" t="s">
        <v>62</v>
      </c>
      <c r="P9" t="s">
        <v>63</v>
      </c>
      <c r="Q9" t="s">
        <v>31</v>
      </c>
      <c r="R9">
        <v>4</v>
      </c>
      <c r="S9" t="s">
        <v>6150</v>
      </c>
      <c r="T9" t="s">
        <v>6151</v>
      </c>
      <c r="U9" t="s">
        <v>6151</v>
      </c>
      <c r="V9" t="s">
        <v>49</v>
      </c>
      <c r="W9" t="s">
        <v>33</v>
      </c>
      <c r="X9" t="s">
        <v>33</v>
      </c>
      <c r="Y9" t="s">
        <v>33</v>
      </c>
      <c r="Z9" s="16" t="s">
        <v>34</v>
      </c>
      <c r="AA9">
        <v>-75.617607000000007</v>
      </c>
      <c r="AB9">
        <v>6.2070850000000002</v>
      </c>
      <c r="AC9" t="s">
        <v>135</v>
      </c>
      <c r="AD9" t="s">
        <v>136</v>
      </c>
    </row>
    <row r="10" spans="1:30" x14ac:dyDescent="0.25">
      <c r="A10" t="s">
        <v>1463</v>
      </c>
      <c r="B10" t="s">
        <v>25</v>
      </c>
      <c r="C10" t="s">
        <v>26</v>
      </c>
      <c r="D10" t="s">
        <v>25</v>
      </c>
      <c r="E10" t="s">
        <v>1464</v>
      </c>
      <c r="F10" t="s">
        <v>1465</v>
      </c>
      <c r="G10">
        <v>900082107</v>
      </c>
      <c r="H10" t="s">
        <v>1466</v>
      </c>
      <c r="I10" s="4" t="s">
        <v>1467</v>
      </c>
      <c r="J10" s="4" t="s">
        <v>1468</v>
      </c>
      <c r="K10" t="s">
        <v>1469</v>
      </c>
      <c r="L10" t="s">
        <v>57</v>
      </c>
      <c r="M10" t="s">
        <v>1470</v>
      </c>
      <c r="N10" t="s">
        <v>58</v>
      </c>
      <c r="O10" t="s">
        <v>29</v>
      </c>
      <c r="P10" t="s">
        <v>54</v>
      </c>
      <c r="Q10" t="s">
        <v>31</v>
      </c>
      <c r="R10">
        <v>7</v>
      </c>
      <c r="S10" t="s">
        <v>1471</v>
      </c>
      <c r="T10" t="s">
        <v>6152</v>
      </c>
      <c r="U10" t="s">
        <v>6153</v>
      </c>
      <c r="V10" t="s">
        <v>32</v>
      </c>
      <c r="W10" t="s">
        <v>33</v>
      </c>
      <c r="X10" t="s">
        <v>33</v>
      </c>
      <c r="Y10" t="s">
        <v>33</v>
      </c>
      <c r="Z10" s="16" t="s">
        <v>34</v>
      </c>
      <c r="AA10">
        <v>-75.637040999999996</v>
      </c>
      <c r="AB10">
        <v>6.0752300000000004</v>
      </c>
      <c r="AC10" t="s">
        <v>135</v>
      </c>
      <c r="AD10" t="s">
        <v>136</v>
      </c>
    </row>
    <row r="11" spans="1:30" x14ac:dyDescent="0.25">
      <c r="A11" t="s">
        <v>1473</v>
      </c>
      <c r="B11" t="s">
        <v>25</v>
      </c>
      <c r="C11" t="s">
        <v>26</v>
      </c>
      <c r="D11" t="s">
        <v>25</v>
      </c>
      <c r="E11" t="s">
        <v>1474</v>
      </c>
      <c r="F11" t="s">
        <v>1475</v>
      </c>
      <c r="G11">
        <v>1039451358</v>
      </c>
      <c r="H11" t="s">
        <v>1476</v>
      </c>
      <c r="I11" s="4" t="s">
        <v>35</v>
      </c>
      <c r="J11" s="4" t="s">
        <v>1477</v>
      </c>
      <c r="K11" t="s">
        <v>1478</v>
      </c>
      <c r="L11" t="s">
        <v>59</v>
      </c>
      <c r="M11" t="s">
        <v>1479</v>
      </c>
      <c r="N11" t="s">
        <v>60</v>
      </c>
      <c r="O11" t="s">
        <v>29</v>
      </c>
      <c r="P11" t="s">
        <v>30</v>
      </c>
      <c r="Q11" t="s">
        <v>31</v>
      </c>
      <c r="R11">
        <v>7</v>
      </c>
      <c r="S11" t="s">
        <v>1480</v>
      </c>
      <c r="T11" t="s">
        <v>1482</v>
      </c>
      <c r="U11" t="s">
        <v>1481</v>
      </c>
      <c r="V11" t="s">
        <v>32</v>
      </c>
      <c r="W11" t="s">
        <v>33</v>
      </c>
      <c r="X11" t="s">
        <v>33</v>
      </c>
      <c r="Y11" t="s">
        <v>33</v>
      </c>
      <c r="Z11" s="16" t="s">
        <v>34</v>
      </c>
      <c r="AA11">
        <v>-75.614618989999997</v>
      </c>
      <c r="AB11">
        <v>6.1514716600000003</v>
      </c>
      <c r="AC11" t="s">
        <v>135</v>
      </c>
      <c r="AD11" t="s">
        <v>136</v>
      </c>
    </row>
    <row r="12" spans="1:30" x14ac:dyDescent="0.25">
      <c r="A12" t="s">
        <v>1483</v>
      </c>
      <c r="B12" t="s">
        <v>25</v>
      </c>
      <c r="C12" t="s">
        <v>26</v>
      </c>
      <c r="D12" t="s">
        <v>39</v>
      </c>
      <c r="E12" t="s">
        <v>1484</v>
      </c>
      <c r="F12" t="s">
        <v>1485</v>
      </c>
      <c r="G12">
        <v>22175131</v>
      </c>
      <c r="H12" t="s">
        <v>1486</v>
      </c>
      <c r="I12" s="4" t="s">
        <v>1487</v>
      </c>
      <c r="J12" s="4" t="s">
        <v>1488</v>
      </c>
      <c r="K12" t="s">
        <v>1489</v>
      </c>
      <c r="L12" t="s">
        <v>27</v>
      </c>
      <c r="M12" t="s">
        <v>1490</v>
      </c>
      <c r="N12" t="s">
        <v>28</v>
      </c>
      <c r="O12" t="s">
        <v>40</v>
      </c>
      <c r="P12" t="s">
        <v>41</v>
      </c>
      <c r="Q12" t="s">
        <v>31</v>
      </c>
      <c r="R12">
        <v>5</v>
      </c>
      <c r="S12" t="s">
        <v>1491</v>
      </c>
      <c r="T12" t="s">
        <v>3520</v>
      </c>
      <c r="U12" t="s">
        <v>6154</v>
      </c>
      <c r="V12" t="s">
        <v>49</v>
      </c>
      <c r="W12" t="s">
        <v>33</v>
      </c>
      <c r="X12" t="s">
        <v>33</v>
      </c>
      <c r="Y12" t="s">
        <v>33</v>
      </c>
      <c r="Z12" s="16" t="s">
        <v>34</v>
      </c>
      <c r="AA12">
        <v>-75.627763999999999</v>
      </c>
      <c r="AB12">
        <v>6.2676660000000002</v>
      </c>
      <c r="AC12" t="s">
        <v>135</v>
      </c>
      <c r="AD12" t="s">
        <v>136</v>
      </c>
    </row>
    <row r="13" spans="1:30" x14ac:dyDescent="0.25">
      <c r="A13" t="s">
        <v>1494</v>
      </c>
      <c r="B13" t="s">
        <v>25</v>
      </c>
      <c r="C13" t="s">
        <v>26</v>
      </c>
      <c r="D13" t="s">
        <v>39</v>
      </c>
      <c r="E13" t="s">
        <v>1495</v>
      </c>
      <c r="F13" t="s">
        <v>1496</v>
      </c>
      <c r="G13">
        <v>71580572</v>
      </c>
      <c r="H13" t="s">
        <v>1497</v>
      </c>
      <c r="I13" s="4" t="s">
        <v>1498</v>
      </c>
      <c r="J13" s="4" t="s">
        <v>1499</v>
      </c>
      <c r="K13" t="s">
        <v>1500</v>
      </c>
      <c r="L13" t="s">
        <v>27</v>
      </c>
      <c r="M13" t="s">
        <v>1501</v>
      </c>
      <c r="N13" t="s">
        <v>28</v>
      </c>
      <c r="O13" t="s">
        <v>40</v>
      </c>
      <c r="P13" t="s">
        <v>41</v>
      </c>
      <c r="Q13" t="s">
        <v>31</v>
      </c>
      <c r="R13">
        <v>5</v>
      </c>
      <c r="S13" t="s">
        <v>1502</v>
      </c>
      <c r="T13" t="s">
        <v>1754</v>
      </c>
      <c r="U13" t="s">
        <v>1571</v>
      </c>
      <c r="V13" t="s">
        <v>32</v>
      </c>
      <c r="W13" t="s">
        <v>33</v>
      </c>
      <c r="X13" t="s">
        <v>33</v>
      </c>
      <c r="Y13" t="s">
        <v>33</v>
      </c>
      <c r="Z13" s="16" t="s">
        <v>34</v>
      </c>
      <c r="AA13">
        <v>-75.546165999999999</v>
      </c>
      <c r="AB13">
        <v>6.2363099999999996</v>
      </c>
      <c r="AC13" t="s">
        <v>135</v>
      </c>
      <c r="AD13" t="s">
        <v>136</v>
      </c>
    </row>
    <row r="14" spans="1:30" x14ac:dyDescent="0.25">
      <c r="A14" t="s">
        <v>1507</v>
      </c>
      <c r="B14" t="s">
        <v>42</v>
      </c>
      <c r="C14" t="s">
        <v>26</v>
      </c>
      <c r="D14" t="s">
        <v>42</v>
      </c>
      <c r="E14" t="s">
        <v>1508</v>
      </c>
      <c r="F14" t="s">
        <v>1509</v>
      </c>
      <c r="G14">
        <v>71614503</v>
      </c>
      <c r="H14" t="s">
        <v>1510</v>
      </c>
      <c r="I14" s="4" t="s">
        <v>1511</v>
      </c>
      <c r="J14" s="4" t="s">
        <v>1512</v>
      </c>
      <c r="K14" t="s">
        <v>1513</v>
      </c>
      <c r="L14" t="s">
        <v>27</v>
      </c>
      <c r="M14" t="s">
        <v>1514</v>
      </c>
      <c r="N14" t="s">
        <v>28</v>
      </c>
      <c r="O14" t="s">
        <v>43</v>
      </c>
      <c r="P14" t="s">
        <v>37</v>
      </c>
      <c r="Q14" t="s">
        <v>31</v>
      </c>
      <c r="R14">
        <v>7</v>
      </c>
      <c r="S14" t="s">
        <v>1515</v>
      </c>
      <c r="T14" t="s">
        <v>1516</v>
      </c>
      <c r="U14" t="s">
        <v>720</v>
      </c>
      <c r="V14" t="s">
        <v>32</v>
      </c>
      <c r="W14" t="s">
        <v>33</v>
      </c>
      <c r="X14" t="s">
        <v>33</v>
      </c>
      <c r="Y14" t="s">
        <v>33</v>
      </c>
      <c r="Z14" s="16" t="s">
        <v>34</v>
      </c>
      <c r="AA14">
        <v>-75.585895570000005</v>
      </c>
      <c r="AB14">
        <v>6.2260384699999998</v>
      </c>
      <c r="AC14" t="s">
        <v>135</v>
      </c>
      <c r="AD14" t="s">
        <v>136</v>
      </c>
    </row>
    <row r="15" spans="1:30" x14ac:dyDescent="0.25">
      <c r="A15" t="s">
        <v>155</v>
      </c>
      <c r="B15" t="s">
        <v>25</v>
      </c>
      <c r="C15" t="s">
        <v>75</v>
      </c>
      <c r="D15" t="s">
        <v>25</v>
      </c>
      <c r="E15" t="s">
        <v>156</v>
      </c>
      <c r="F15" t="s">
        <v>157</v>
      </c>
      <c r="G15">
        <v>250390</v>
      </c>
      <c r="H15" t="s">
        <v>158</v>
      </c>
      <c r="I15" s="4" t="s">
        <v>35</v>
      </c>
      <c r="J15" s="4" t="s">
        <v>159</v>
      </c>
      <c r="K15" t="s">
        <v>160</v>
      </c>
      <c r="L15" t="s">
        <v>27</v>
      </c>
      <c r="M15" t="s">
        <v>161</v>
      </c>
      <c r="N15" t="s">
        <v>28</v>
      </c>
      <c r="O15" t="s">
        <v>137</v>
      </c>
      <c r="P15" t="s">
        <v>36</v>
      </c>
      <c r="Q15" t="s">
        <v>31</v>
      </c>
      <c r="R15">
        <v>7</v>
      </c>
      <c r="S15" t="s">
        <v>162</v>
      </c>
      <c r="T15" t="s">
        <v>6155</v>
      </c>
      <c r="U15" t="s">
        <v>47</v>
      </c>
      <c r="V15" t="s">
        <v>47</v>
      </c>
      <c r="W15" t="s">
        <v>33</v>
      </c>
      <c r="X15" t="s">
        <v>33</v>
      </c>
      <c r="Y15" t="s">
        <v>33</v>
      </c>
      <c r="Z15" s="16" t="s">
        <v>34</v>
      </c>
      <c r="AA15">
        <v>-75.591133040000003</v>
      </c>
      <c r="AB15">
        <v>6.2507997399999997</v>
      </c>
      <c r="AC15" t="s">
        <v>135</v>
      </c>
      <c r="AD15" t="s">
        <v>136</v>
      </c>
    </row>
    <row r="16" spans="1:30" x14ac:dyDescent="0.25">
      <c r="A16" t="s">
        <v>163</v>
      </c>
      <c r="B16" t="s">
        <v>25</v>
      </c>
      <c r="C16" t="s">
        <v>75</v>
      </c>
      <c r="D16" t="s">
        <v>25</v>
      </c>
      <c r="E16" t="s">
        <v>164</v>
      </c>
      <c r="F16" t="s">
        <v>165</v>
      </c>
      <c r="G16">
        <v>250390</v>
      </c>
      <c r="H16" t="s">
        <v>158</v>
      </c>
      <c r="I16" s="4" t="s">
        <v>35</v>
      </c>
      <c r="J16" s="4" t="s">
        <v>159</v>
      </c>
      <c r="K16" t="s">
        <v>166</v>
      </c>
      <c r="L16" t="s">
        <v>27</v>
      </c>
      <c r="M16" t="s">
        <v>167</v>
      </c>
      <c r="N16" t="s">
        <v>28</v>
      </c>
      <c r="O16" t="s">
        <v>137</v>
      </c>
      <c r="P16" t="s">
        <v>36</v>
      </c>
      <c r="Q16" t="s">
        <v>31</v>
      </c>
      <c r="R16">
        <v>7</v>
      </c>
      <c r="S16" t="s">
        <v>168</v>
      </c>
      <c r="T16" t="s">
        <v>6155</v>
      </c>
      <c r="U16" t="s">
        <v>47</v>
      </c>
      <c r="V16" t="s">
        <v>47</v>
      </c>
      <c r="W16" t="s">
        <v>33</v>
      </c>
      <c r="X16" t="s">
        <v>33</v>
      </c>
      <c r="Y16" t="s">
        <v>33</v>
      </c>
      <c r="Z16" s="16" t="s">
        <v>34</v>
      </c>
      <c r="AA16">
        <v>-75.591133040000003</v>
      </c>
      <c r="AB16">
        <v>6.2507997399999997</v>
      </c>
      <c r="AC16" t="s">
        <v>135</v>
      </c>
      <c r="AD16" t="s">
        <v>136</v>
      </c>
    </row>
    <row r="17" spans="1:30" x14ac:dyDescent="0.25">
      <c r="A17" t="s">
        <v>169</v>
      </c>
      <c r="B17" t="s">
        <v>25</v>
      </c>
      <c r="C17" t="s">
        <v>75</v>
      </c>
      <c r="D17" t="s">
        <v>25</v>
      </c>
      <c r="E17" t="s">
        <v>170</v>
      </c>
      <c r="F17" t="s">
        <v>171</v>
      </c>
      <c r="G17">
        <v>250390</v>
      </c>
      <c r="H17" t="s">
        <v>158</v>
      </c>
      <c r="I17" s="4" t="s">
        <v>35</v>
      </c>
      <c r="J17" s="4" t="s">
        <v>159</v>
      </c>
      <c r="K17" t="s">
        <v>172</v>
      </c>
      <c r="L17" t="s">
        <v>27</v>
      </c>
      <c r="M17" t="s">
        <v>173</v>
      </c>
      <c r="N17" t="s">
        <v>28</v>
      </c>
      <c r="O17" t="s">
        <v>137</v>
      </c>
      <c r="P17" t="s">
        <v>36</v>
      </c>
      <c r="Q17" t="s">
        <v>31</v>
      </c>
      <c r="R17">
        <v>7</v>
      </c>
      <c r="S17" t="s">
        <v>174</v>
      </c>
      <c r="T17" t="s">
        <v>6156</v>
      </c>
      <c r="U17" t="s">
        <v>47</v>
      </c>
      <c r="V17" t="s">
        <v>47</v>
      </c>
      <c r="W17" t="s">
        <v>33</v>
      </c>
      <c r="X17" t="s">
        <v>33</v>
      </c>
      <c r="Y17" t="s">
        <v>33</v>
      </c>
      <c r="Z17" s="16" t="s">
        <v>34</v>
      </c>
      <c r="AA17">
        <v>-75.591152780000002</v>
      </c>
      <c r="AB17">
        <v>6.2507429800000001</v>
      </c>
      <c r="AC17" t="s">
        <v>135</v>
      </c>
      <c r="AD17" t="s">
        <v>136</v>
      </c>
    </row>
    <row r="18" spans="1:30" x14ac:dyDescent="0.25">
      <c r="A18" t="s">
        <v>1517</v>
      </c>
      <c r="B18" t="s">
        <v>61</v>
      </c>
      <c r="C18" t="s">
        <v>26</v>
      </c>
      <c r="D18" t="s">
        <v>61</v>
      </c>
      <c r="E18" t="s">
        <v>1518</v>
      </c>
      <c r="F18" t="s">
        <v>1519</v>
      </c>
      <c r="G18">
        <v>1152435931</v>
      </c>
      <c r="H18" t="s">
        <v>1520</v>
      </c>
      <c r="I18" s="4" t="s">
        <v>35</v>
      </c>
      <c r="J18" s="4" t="s">
        <v>1521</v>
      </c>
      <c r="K18" t="s">
        <v>1522</v>
      </c>
      <c r="L18" t="s">
        <v>27</v>
      </c>
      <c r="M18" t="s">
        <v>1523</v>
      </c>
      <c r="N18" t="s">
        <v>28</v>
      </c>
      <c r="O18" t="s">
        <v>62</v>
      </c>
      <c r="P18" t="s">
        <v>63</v>
      </c>
      <c r="Q18" t="s">
        <v>31</v>
      </c>
      <c r="R18">
        <v>4</v>
      </c>
      <c r="S18" t="s">
        <v>1524</v>
      </c>
      <c r="T18" t="s">
        <v>6157</v>
      </c>
      <c r="U18" t="s">
        <v>6158</v>
      </c>
      <c r="V18" t="s">
        <v>131</v>
      </c>
      <c r="W18" t="s">
        <v>33</v>
      </c>
      <c r="X18" t="s">
        <v>33</v>
      </c>
      <c r="Y18" t="s">
        <v>33</v>
      </c>
      <c r="Z18" s="16" t="s">
        <v>34</v>
      </c>
      <c r="AA18">
        <v>-75.589862429999997</v>
      </c>
      <c r="AB18">
        <v>6.2478126400000003</v>
      </c>
      <c r="AC18" t="s">
        <v>135</v>
      </c>
      <c r="AD18" t="s">
        <v>136</v>
      </c>
    </row>
    <row r="19" spans="1:30" x14ac:dyDescent="0.25">
      <c r="A19" t="s">
        <v>1525</v>
      </c>
      <c r="B19" t="s">
        <v>25</v>
      </c>
      <c r="C19" t="s">
        <v>26</v>
      </c>
      <c r="D19" t="s">
        <v>25</v>
      </c>
      <c r="E19" t="s">
        <v>1526</v>
      </c>
      <c r="F19" t="s">
        <v>1527</v>
      </c>
      <c r="G19">
        <v>43588429</v>
      </c>
      <c r="H19" t="s">
        <v>1528</v>
      </c>
      <c r="I19" s="4" t="s">
        <v>35</v>
      </c>
      <c r="J19" s="4" t="s">
        <v>1529</v>
      </c>
      <c r="K19" t="s">
        <v>1530</v>
      </c>
      <c r="L19" t="s">
        <v>27</v>
      </c>
      <c r="M19" t="s">
        <v>1531</v>
      </c>
      <c r="N19" t="s">
        <v>28</v>
      </c>
      <c r="O19" t="s">
        <v>29</v>
      </c>
      <c r="P19" t="s">
        <v>37</v>
      </c>
      <c r="Q19" t="s">
        <v>31</v>
      </c>
      <c r="R19">
        <v>7</v>
      </c>
      <c r="S19" t="s">
        <v>1532</v>
      </c>
      <c r="T19" t="s">
        <v>6159</v>
      </c>
      <c r="U19" t="s">
        <v>6160</v>
      </c>
      <c r="V19" t="s">
        <v>32</v>
      </c>
      <c r="W19" t="s">
        <v>33</v>
      </c>
      <c r="X19" t="s">
        <v>33</v>
      </c>
      <c r="Y19" t="s">
        <v>33</v>
      </c>
      <c r="Z19" s="16" t="s">
        <v>34</v>
      </c>
      <c r="AA19">
        <v>-75.643484999999998</v>
      </c>
      <c r="AB19">
        <v>6.2875490000000003</v>
      </c>
      <c r="AC19" t="s">
        <v>135</v>
      </c>
      <c r="AD19" t="s">
        <v>136</v>
      </c>
    </row>
    <row r="20" spans="1:30" x14ac:dyDescent="0.25">
      <c r="A20" t="s">
        <v>9880</v>
      </c>
      <c r="B20" t="s">
        <v>25</v>
      </c>
      <c r="C20" t="s">
        <v>26</v>
      </c>
      <c r="D20" t="s">
        <v>39</v>
      </c>
      <c r="E20" t="s">
        <v>6161</v>
      </c>
      <c r="F20" t="s">
        <v>6162</v>
      </c>
      <c r="G20">
        <v>15362898</v>
      </c>
      <c r="H20" t="s">
        <v>6163</v>
      </c>
      <c r="I20" s="4" t="s">
        <v>35</v>
      </c>
      <c r="J20" s="4" t="s">
        <v>6164</v>
      </c>
      <c r="K20" t="s">
        <v>6165</v>
      </c>
      <c r="L20" t="s">
        <v>27</v>
      </c>
      <c r="M20" t="s">
        <v>6166</v>
      </c>
      <c r="N20" t="s">
        <v>28</v>
      </c>
      <c r="O20" t="s">
        <v>40</v>
      </c>
      <c r="P20" t="s">
        <v>41</v>
      </c>
      <c r="Q20" t="s">
        <v>31</v>
      </c>
      <c r="R20">
        <v>5</v>
      </c>
      <c r="S20" t="s">
        <v>6167</v>
      </c>
      <c r="T20" t="s">
        <v>6168</v>
      </c>
      <c r="U20" t="s">
        <v>1503</v>
      </c>
      <c r="V20" t="s">
        <v>32</v>
      </c>
      <c r="W20" t="s">
        <v>33</v>
      </c>
      <c r="X20" t="s">
        <v>33</v>
      </c>
      <c r="Y20" t="s">
        <v>33</v>
      </c>
      <c r="Z20" s="16" t="s">
        <v>34</v>
      </c>
      <c r="AA20">
        <v>-75.604960140000003</v>
      </c>
      <c r="AB20">
        <v>6.21044895</v>
      </c>
      <c r="AC20" t="s">
        <v>135</v>
      </c>
      <c r="AD20" t="s">
        <v>136</v>
      </c>
    </row>
    <row r="21" spans="1:30" x14ac:dyDescent="0.25">
      <c r="A21" t="s">
        <v>1534</v>
      </c>
      <c r="B21" t="s">
        <v>25</v>
      </c>
      <c r="C21" t="s">
        <v>26</v>
      </c>
      <c r="D21" t="s">
        <v>39</v>
      </c>
      <c r="E21" t="s">
        <v>1535</v>
      </c>
      <c r="F21" t="s">
        <v>1536</v>
      </c>
      <c r="G21">
        <v>43988687</v>
      </c>
      <c r="H21" t="s">
        <v>1537</v>
      </c>
      <c r="I21" s="4" t="s">
        <v>1538</v>
      </c>
      <c r="J21" s="4" t="s">
        <v>1539</v>
      </c>
      <c r="K21" t="s">
        <v>1540</v>
      </c>
      <c r="L21" t="s">
        <v>27</v>
      </c>
      <c r="M21" t="s">
        <v>1541</v>
      </c>
      <c r="N21" t="s">
        <v>28</v>
      </c>
      <c r="O21" t="s">
        <v>40</v>
      </c>
      <c r="P21" t="s">
        <v>41</v>
      </c>
      <c r="Q21" t="s">
        <v>31</v>
      </c>
      <c r="R21">
        <v>5</v>
      </c>
      <c r="S21" t="s">
        <v>1542</v>
      </c>
      <c r="T21" t="s">
        <v>5108</v>
      </c>
      <c r="U21" t="s">
        <v>2168</v>
      </c>
      <c r="V21" t="s">
        <v>32</v>
      </c>
      <c r="W21" t="s">
        <v>33</v>
      </c>
      <c r="X21" t="s">
        <v>33</v>
      </c>
      <c r="Y21" t="s">
        <v>33</v>
      </c>
      <c r="Z21" s="16" t="s">
        <v>34</v>
      </c>
      <c r="AA21">
        <v>-75.542232139999996</v>
      </c>
      <c r="AB21">
        <v>6.2419253299999999</v>
      </c>
      <c r="AC21" t="s">
        <v>135</v>
      </c>
      <c r="AD21" t="s">
        <v>136</v>
      </c>
    </row>
    <row r="22" spans="1:30" x14ac:dyDescent="0.25">
      <c r="A22" t="s">
        <v>1543</v>
      </c>
      <c r="B22" t="s">
        <v>25</v>
      </c>
      <c r="C22" t="s">
        <v>26</v>
      </c>
      <c r="D22" t="s">
        <v>25</v>
      </c>
      <c r="E22" t="s">
        <v>1544</v>
      </c>
      <c r="F22" t="s">
        <v>1545</v>
      </c>
      <c r="G22">
        <v>32536625</v>
      </c>
      <c r="H22" t="s">
        <v>1546</v>
      </c>
      <c r="I22" s="4" t="s">
        <v>1547</v>
      </c>
      <c r="J22" s="4" t="s">
        <v>1548</v>
      </c>
      <c r="K22" t="s">
        <v>1549</v>
      </c>
      <c r="L22" t="s">
        <v>27</v>
      </c>
      <c r="M22" t="s">
        <v>1550</v>
      </c>
      <c r="N22" t="s">
        <v>28</v>
      </c>
      <c r="O22" t="s">
        <v>29</v>
      </c>
      <c r="P22" t="s">
        <v>37</v>
      </c>
      <c r="Q22" t="s">
        <v>31</v>
      </c>
      <c r="R22">
        <v>7</v>
      </c>
      <c r="S22" t="s">
        <v>1551</v>
      </c>
      <c r="T22" t="s">
        <v>6169</v>
      </c>
      <c r="U22" t="s">
        <v>6170</v>
      </c>
      <c r="V22" t="s">
        <v>32</v>
      </c>
      <c r="W22" t="s">
        <v>33</v>
      </c>
      <c r="X22" t="s">
        <v>33</v>
      </c>
      <c r="Y22" t="s">
        <v>33</v>
      </c>
      <c r="Z22" s="16" t="s">
        <v>34</v>
      </c>
      <c r="AA22">
        <v>-75.617800009999996</v>
      </c>
      <c r="AB22">
        <v>6.2565242999999997</v>
      </c>
      <c r="AC22" t="s">
        <v>135</v>
      </c>
      <c r="AD22" t="s">
        <v>136</v>
      </c>
    </row>
    <row r="23" spans="1:30" x14ac:dyDescent="0.25">
      <c r="A23" t="s">
        <v>1554</v>
      </c>
      <c r="B23" t="s">
        <v>25</v>
      </c>
      <c r="C23" t="s">
        <v>26</v>
      </c>
      <c r="D23" t="s">
        <v>25</v>
      </c>
      <c r="E23" t="s">
        <v>1555</v>
      </c>
      <c r="F23" t="s">
        <v>1556</v>
      </c>
      <c r="G23">
        <v>71393880</v>
      </c>
      <c r="H23" t="s">
        <v>1557</v>
      </c>
      <c r="I23" s="4" t="s">
        <v>35</v>
      </c>
      <c r="J23" s="4" t="s">
        <v>1558</v>
      </c>
      <c r="K23" t="s">
        <v>1559</v>
      </c>
      <c r="L23" t="s">
        <v>55</v>
      </c>
      <c r="M23" t="s">
        <v>1560</v>
      </c>
      <c r="N23" t="s">
        <v>56</v>
      </c>
      <c r="O23" t="s">
        <v>29</v>
      </c>
      <c r="P23" t="s">
        <v>36</v>
      </c>
      <c r="Q23" t="s">
        <v>38</v>
      </c>
      <c r="R23">
        <v>10</v>
      </c>
      <c r="S23" t="s">
        <v>1561</v>
      </c>
      <c r="T23" t="s">
        <v>6171</v>
      </c>
      <c r="U23" t="s">
        <v>6172</v>
      </c>
      <c r="V23" t="s">
        <v>32</v>
      </c>
      <c r="W23" t="s">
        <v>33</v>
      </c>
      <c r="X23" t="s">
        <v>33</v>
      </c>
      <c r="Y23" t="s">
        <v>33</v>
      </c>
      <c r="Z23" s="16" t="s">
        <v>34</v>
      </c>
      <c r="AA23">
        <v>-75.640644789999996</v>
      </c>
      <c r="AB23">
        <v>6.1383689500000003</v>
      </c>
      <c r="AC23" t="s">
        <v>135</v>
      </c>
      <c r="AD23" t="s">
        <v>136</v>
      </c>
    </row>
    <row r="24" spans="1:30" x14ac:dyDescent="0.25">
      <c r="A24" t="s">
        <v>9881</v>
      </c>
      <c r="B24" t="s">
        <v>25</v>
      </c>
      <c r="C24" t="s">
        <v>26</v>
      </c>
      <c r="D24" t="s">
        <v>25</v>
      </c>
      <c r="E24" t="s">
        <v>6173</v>
      </c>
      <c r="F24" t="s">
        <v>6174</v>
      </c>
      <c r="G24">
        <v>43380686</v>
      </c>
      <c r="H24" t="s">
        <v>6175</v>
      </c>
      <c r="I24" s="4" t="s">
        <v>35</v>
      </c>
      <c r="J24" s="4" t="s">
        <v>6176</v>
      </c>
      <c r="K24" t="s">
        <v>6177</v>
      </c>
      <c r="L24" t="s">
        <v>44</v>
      </c>
      <c r="M24" t="s">
        <v>6178</v>
      </c>
      <c r="N24" t="s">
        <v>45</v>
      </c>
      <c r="O24" t="s">
        <v>29</v>
      </c>
      <c r="P24" t="s">
        <v>37</v>
      </c>
      <c r="Q24" t="s">
        <v>31</v>
      </c>
      <c r="R24">
        <v>7</v>
      </c>
      <c r="S24" t="s">
        <v>6179</v>
      </c>
      <c r="T24" t="s">
        <v>1124</v>
      </c>
      <c r="U24" t="s">
        <v>6180</v>
      </c>
      <c r="V24" t="s">
        <v>32</v>
      </c>
      <c r="W24" t="s">
        <v>33</v>
      </c>
      <c r="X24" t="s">
        <v>33</v>
      </c>
      <c r="Y24" t="s">
        <v>33</v>
      </c>
      <c r="Z24" s="16" t="s">
        <v>34</v>
      </c>
      <c r="AA24">
        <v>-75.638953229999998</v>
      </c>
      <c r="AB24">
        <v>6.1704784200000002</v>
      </c>
      <c r="AC24" t="s">
        <v>135</v>
      </c>
      <c r="AD24" t="s">
        <v>136</v>
      </c>
    </row>
    <row r="25" spans="1:30" x14ac:dyDescent="0.25">
      <c r="A25" t="s">
        <v>9882</v>
      </c>
      <c r="B25" t="s">
        <v>25</v>
      </c>
      <c r="C25" t="s">
        <v>26</v>
      </c>
      <c r="D25" t="s">
        <v>25</v>
      </c>
      <c r="E25" t="s">
        <v>6181</v>
      </c>
      <c r="F25" t="s">
        <v>6182</v>
      </c>
      <c r="G25">
        <v>15259431</v>
      </c>
      <c r="H25" t="s">
        <v>6183</v>
      </c>
      <c r="I25" s="4" t="s">
        <v>35</v>
      </c>
      <c r="J25" s="4" t="s">
        <v>6184</v>
      </c>
      <c r="K25" t="s">
        <v>6185</v>
      </c>
      <c r="L25" t="s">
        <v>55</v>
      </c>
      <c r="M25" t="s">
        <v>6186</v>
      </c>
      <c r="N25" t="s">
        <v>56</v>
      </c>
      <c r="O25" t="s">
        <v>29</v>
      </c>
      <c r="P25" t="s">
        <v>30</v>
      </c>
      <c r="Q25" t="s">
        <v>38</v>
      </c>
      <c r="R25">
        <v>10</v>
      </c>
      <c r="S25" t="s">
        <v>6187</v>
      </c>
      <c r="T25" t="s">
        <v>6188</v>
      </c>
      <c r="U25" t="s">
        <v>6189</v>
      </c>
      <c r="V25" t="s">
        <v>32</v>
      </c>
      <c r="W25" t="s">
        <v>33</v>
      </c>
      <c r="X25" t="s">
        <v>33</v>
      </c>
      <c r="Y25" t="s">
        <v>33</v>
      </c>
      <c r="Z25" s="16" t="s">
        <v>34</v>
      </c>
      <c r="AA25">
        <v>-75.635930729999998</v>
      </c>
      <c r="AB25">
        <v>6.1180920700000003</v>
      </c>
      <c r="AC25" t="s">
        <v>135</v>
      </c>
      <c r="AD25" t="s">
        <v>136</v>
      </c>
    </row>
    <row r="26" spans="1:30" x14ac:dyDescent="0.25">
      <c r="A26" t="s">
        <v>9883</v>
      </c>
      <c r="B26" t="s">
        <v>25</v>
      </c>
      <c r="C26" t="s">
        <v>26</v>
      </c>
      <c r="D26" t="s">
        <v>25</v>
      </c>
      <c r="E26" t="s">
        <v>6190</v>
      </c>
      <c r="F26" t="s">
        <v>6191</v>
      </c>
      <c r="G26">
        <v>15259431</v>
      </c>
      <c r="H26" t="s">
        <v>6183</v>
      </c>
      <c r="I26" s="4" t="s">
        <v>35</v>
      </c>
      <c r="J26" s="4" t="s">
        <v>6184</v>
      </c>
      <c r="K26" t="s">
        <v>6192</v>
      </c>
      <c r="L26" t="s">
        <v>55</v>
      </c>
      <c r="M26" t="s">
        <v>6193</v>
      </c>
      <c r="N26" t="s">
        <v>56</v>
      </c>
      <c r="O26" t="s">
        <v>29</v>
      </c>
      <c r="P26" t="s">
        <v>30</v>
      </c>
      <c r="Q26" t="s">
        <v>38</v>
      </c>
      <c r="R26">
        <v>10</v>
      </c>
      <c r="S26" t="s">
        <v>6194</v>
      </c>
      <c r="T26" t="s">
        <v>6195</v>
      </c>
      <c r="U26" t="s">
        <v>6196</v>
      </c>
      <c r="V26" t="s">
        <v>32</v>
      </c>
      <c r="W26" t="s">
        <v>33</v>
      </c>
      <c r="X26" t="s">
        <v>33</v>
      </c>
      <c r="Y26" t="s">
        <v>33</v>
      </c>
      <c r="Z26" s="16" t="s">
        <v>34</v>
      </c>
      <c r="AA26">
        <v>-75.635930729999998</v>
      </c>
      <c r="AB26">
        <v>6.1180920700000003</v>
      </c>
      <c r="AC26" t="s">
        <v>135</v>
      </c>
      <c r="AD26" t="s">
        <v>136</v>
      </c>
    </row>
    <row r="27" spans="1:30" x14ac:dyDescent="0.25">
      <c r="A27" t="s">
        <v>9884</v>
      </c>
      <c r="B27" t="s">
        <v>50</v>
      </c>
      <c r="C27" t="s">
        <v>26</v>
      </c>
      <c r="D27" t="s">
        <v>50</v>
      </c>
      <c r="E27" t="s">
        <v>6197</v>
      </c>
      <c r="F27" t="s">
        <v>6198</v>
      </c>
      <c r="G27">
        <v>70301891</v>
      </c>
      <c r="H27" t="s">
        <v>6199</v>
      </c>
      <c r="I27" s="4" t="s">
        <v>35</v>
      </c>
      <c r="J27" s="4" t="s">
        <v>6200</v>
      </c>
      <c r="K27" t="s">
        <v>6201</v>
      </c>
      <c r="L27" t="s">
        <v>27</v>
      </c>
      <c r="M27" t="s">
        <v>6202</v>
      </c>
      <c r="N27" t="s">
        <v>28</v>
      </c>
      <c r="O27" t="s">
        <v>51</v>
      </c>
      <c r="P27" t="s">
        <v>52</v>
      </c>
      <c r="Q27" t="s">
        <v>31</v>
      </c>
      <c r="R27">
        <v>11</v>
      </c>
      <c r="S27" t="s">
        <v>6203</v>
      </c>
      <c r="T27" t="s">
        <v>6204</v>
      </c>
      <c r="U27" t="s">
        <v>6205</v>
      </c>
      <c r="V27" t="s">
        <v>32</v>
      </c>
      <c r="W27" t="s">
        <v>33</v>
      </c>
      <c r="X27" t="s">
        <v>33</v>
      </c>
      <c r="Y27" t="s">
        <v>33</v>
      </c>
      <c r="Z27" s="16" t="s">
        <v>34</v>
      </c>
      <c r="AA27">
        <v>-75.537633</v>
      </c>
      <c r="AB27">
        <v>6.249117</v>
      </c>
      <c r="AC27" t="s">
        <v>135</v>
      </c>
      <c r="AD27" t="s">
        <v>136</v>
      </c>
    </row>
    <row r="28" spans="1:30" x14ac:dyDescent="0.25">
      <c r="A28" t="s">
        <v>9884</v>
      </c>
      <c r="B28" t="s">
        <v>50</v>
      </c>
      <c r="C28" t="s">
        <v>26</v>
      </c>
      <c r="D28" t="s">
        <v>50</v>
      </c>
      <c r="E28" t="s">
        <v>6197</v>
      </c>
      <c r="F28" t="s">
        <v>6198</v>
      </c>
      <c r="G28">
        <v>70301891</v>
      </c>
      <c r="H28" t="s">
        <v>6199</v>
      </c>
      <c r="I28" s="4" t="s">
        <v>35</v>
      </c>
      <c r="J28" s="4" t="s">
        <v>6200</v>
      </c>
      <c r="K28" t="s">
        <v>6201</v>
      </c>
      <c r="L28" t="s">
        <v>27</v>
      </c>
      <c r="M28" t="s">
        <v>6202</v>
      </c>
      <c r="N28" t="s">
        <v>28</v>
      </c>
      <c r="O28" t="s">
        <v>51</v>
      </c>
      <c r="P28" t="s">
        <v>52</v>
      </c>
      <c r="Q28" t="s">
        <v>31</v>
      </c>
      <c r="R28">
        <v>11</v>
      </c>
      <c r="S28" t="s">
        <v>6203</v>
      </c>
      <c r="T28" t="s">
        <v>6204</v>
      </c>
      <c r="U28" t="s">
        <v>6205</v>
      </c>
      <c r="V28" t="s">
        <v>32</v>
      </c>
      <c r="W28" t="s">
        <v>33</v>
      </c>
      <c r="X28" t="s">
        <v>33</v>
      </c>
      <c r="Y28" t="s">
        <v>33</v>
      </c>
      <c r="Z28" s="16" t="s">
        <v>34</v>
      </c>
      <c r="AA28">
        <v>-75.537633</v>
      </c>
      <c r="AB28">
        <v>6.249117</v>
      </c>
      <c r="AC28" t="s">
        <v>135</v>
      </c>
      <c r="AD28" t="s">
        <v>136</v>
      </c>
    </row>
    <row r="29" spans="1:30" x14ac:dyDescent="0.25">
      <c r="A29" t="s">
        <v>1562</v>
      </c>
      <c r="B29" t="s">
        <v>42</v>
      </c>
      <c r="C29" t="s">
        <v>26</v>
      </c>
      <c r="D29" t="s">
        <v>42</v>
      </c>
      <c r="E29" t="s">
        <v>1563</v>
      </c>
      <c r="F29" t="s">
        <v>1564</v>
      </c>
      <c r="G29">
        <v>71261831</v>
      </c>
      <c r="H29" t="s">
        <v>1565</v>
      </c>
      <c r="I29" s="4" t="s">
        <v>1566</v>
      </c>
      <c r="J29" s="4" t="s">
        <v>1567</v>
      </c>
      <c r="K29" t="s">
        <v>1568</v>
      </c>
      <c r="L29" t="s">
        <v>48</v>
      </c>
      <c r="M29" t="s">
        <v>1569</v>
      </c>
      <c r="N29" t="s">
        <v>64</v>
      </c>
      <c r="O29" t="s">
        <v>43</v>
      </c>
      <c r="P29" t="s">
        <v>37</v>
      </c>
      <c r="Q29" t="s">
        <v>38</v>
      </c>
      <c r="R29">
        <v>10</v>
      </c>
      <c r="S29" t="s">
        <v>1570</v>
      </c>
      <c r="T29" t="s">
        <v>1503</v>
      </c>
      <c r="U29" t="s">
        <v>1893</v>
      </c>
      <c r="V29" t="s">
        <v>32</v>
      </c>
      <c r="W29" t="s">
        <v>33</v>
      </c>
      <c r="X29" t="s">
        <v>33</v>
      </c>
      <c r="Y29" t="s">
        <v>33</v>
      </c>
      <c r="Z29" s="16" t="s">
        <v>34</v>
      </c>
      <c r="AA29">
        <v>-75.480254880000004</v>
      </c>
      <c r="AB29">
        <v>6.1705531999999996</v>
      </c>
      <c r="AC29" t="s">
        <v>135</v>
      </c>
      <c r="AD29" t="s">
        <v>136</v>
      </c>
    </row>
    <row r="30" spans="1:30" x14ac:dyDescent="0.25">
      <c r="A30" t="s">
        <v>756</v>
      </c>
      <c r="B30" t="s">
        <v>25</v>
      </c>
      <c r="C30" t="s">
        <v>26</v>
      </c>
      <c r="D30" t="s">
        <v>25</v>
      </c>
      <c r="E30" t="s">
        <v>757</v>
      </c>
      <c r="F30" t="s">
        <v>758</v>
      </c>
      <c r="G30">
        <v>43271228</v>
      </c>
      <c r="H30" t="s">
        <v>759</v>
      </c>
      <c r="I30" s="4" t="s">
        <v>35</v>
      </c>
      <c r="J30" s="4" t="s">
        <v>760</v>
      </c>
      <c r="K30" t="s">
        <v>761</v>
      </c>
      <c r="L30" t="s">
        <v>27</v>
      </c>
      <c r="M30" t="s">
        <v>762</v>
      </c>
      <c r="N30" t="s">
        <v>28</v>
      </c>
      <c r="O30" t="s">
        <v>29</v>
      </c>
      <c r="P30" t="s">
        <v>30</v>
      </c>
      <c r="Q30" t="s">
        <v>31</v>
      </c>
      <c r="R30">
        <v>7</v>
      </c>
      <c r="S30" t="s">
        <v>763</v>
      </c>
      <c r="T30" t="s">
        <v>6206</v>
      </c>
      <c r="U30" t="s">
        <v>47</v>
      </c>
      <c r="V30" t="s">
        <v>47</v>
      </c>
      <c r="W30" t="s">
        <v>33</v>
      </c>
      <c r="X30" t="s">
        <v>33</v>
      </c>
      <c r="Y30" t="s">
        <v>33</v>
      </c>
      <c r="Z30" s="16" t="s">
        <v>34</v>
      </c>
      <c r="AA30">
        <v>-75.542099359999995</v>
      </c>
      <c r="AB30">
        <v>6.2327710600000001</v>
      </c>
      <c r="AC30" t="s">
        <v>135</v>
      </c>
      <c r="AD30" t="s">
        <v>136</v>
      </c>
    </row>
    <row r="31" spans="1:30" x14ac:dyDescent="0.25">
      <c r="A31" t="s">
        <v>1573</v>
      </c>
      <c r="B31" t="s">
        <v>25</v>
      </c>
      <c r="C31" t="s">
        <v>26</v>
      </c>
      <c r="D31" t="s">
        <v>25</v>
      </c>
      <c r="E31" t="s">
        <v>1574</v>
      </c>
      <c r="F31" t="s">
        <v>1575</v>
      </c>
      <c r="G31">
        <v>70900761</v>
      </c>
      <c r="H31" t="s">
        <v>1576</v>
      </c>
      <c r="I31" s="4" t="s">
        <v>35</v>
      </c>
      <c r="J31" s="4" t="s">
        <v>1577</v>
      </c>
      <c r="K31" t="s">
        <v>1578</v>
      </c>
      <c r="L31" t="s">
        <v>44</v>
      </c>
      <c r="M31" t="s">
        <v>1579</v>
      </c>
      <c r="N31" t="s">
        <v>45</v>
      </c>
      <c r="O31" t="s">
        <v>29</v>
      </c>
      <c r="P31" t="s">
        <v>37</v>
      </c>
      <c r="Q31" t="s">
        <v>31</v>
      </c>
      <c r="R31">
        <v>7</v>
      </c>
      <c r="S31" t="s">
        <v>1580</v>
      </c>
      <c r="T31" t="s">
        <v>6208</v>
      </c>
      <c r="U31" t="s">
        <v>6209</v>
      </c>
      <c r="V31" t="s">
        <v>32</v>
      </c>
      <c r="W31" t="s">
        <v>33</v>
      </c>
      <c r="X31" t="s">
        <v>33</v>
      </c>
      <c r="Y31" t="s">
        <v>33</v>
      </c>
      <c r="Z31" s="16" t="s">
        <v>34</v>
      </c>
      <c r="AA31">
        <v>-75.610941999999994</v>
      </c>
      <c r="AB31">
        <v>6.1729500000000002</v>
      </c>
      <c r="AC31" t="s">
        <v>135</v>
      </c>
      <c r="AD31" t="s">
        <v>136</v>
      </c>
    </row>
    <row r="32" spans="1:30" x14ac:dyDescent="0.25">
      <c r="A32" t="s">
        <v>954</v>
      </c>
      <c r="B32" t="s">
        <v>25</v>
      </c>
      <c r="C32" t="s">
        <v>26</v>
      </c>
      <c r="D32" t="s">
        <v>39</v>
      </c>
      <c r="E32" t="s">
        <v>955</v>
      </c>
      <c r="F32" t="s">
        <v>1581</v>
      </c>
      <c r="G32">
        <v>32419380</v>
      </c>
      <c r="H32" t="s">
        <v>956</v>
      </c>
      <c r="I32" s="4" t="s">
        <v>957</v>
      </c>
      <c r="J32" s="4" t="s">
        <v>958</v>
      </c>
      <c r="K32" t="s">
        <v>959</v>
      </c>
      <c r="L32" t="s">
        <v>27</v>
      </c>
      <c r="M32" t="s">
        <v>960</v>
      </c>
      <c r="N32" t="s">
        <v>28</v>
      </c>
      <c r="O32" t="s">
        <v>40</v>
      </c>
      <c r="P32" t="s">
        <v>41</v>
      </c>
      <c r="Q32" t="s">
        <v>31</v>
      </c>
      <c r="R32">
        <v>5</v>
      </c>
      <c r="S32" t="s">
        <v>1582</v>
      </c>
      <c r="T32" t="s">
        <v>1583</v>
      </c>
      <c r="U32" t="s">
        <v>592</v>
      </c>
      <c r="V32" t="s">
        <v>49</v>
      </c>
      <c r="W32" t="s">
        <v>33</v>
      </c>
      <c r="X32" t="s">
        <v>33</v>
      </c>
      <c r="Y32" t="s">
        <v>33</v>
      </c>
      <c r="Z32" s="16" t="s">
        <v>34</v>
      </c>
      <c r="AA32">
        <v>-75.528789360000005</v>
      </c>
      <c r="AB32">
        <v>6.2353311500000004</v>
      </c>
      <c r="AC32" t="s">
        <v>135</v>
      </c>
      <c r="AD32" t="s">
        <v>136</v>
      </c>
    </row>
    <row r="33" spans="1:30" x14ac:dyDescent="0.25">
      <c r="A33" t="s">
        <v>1584</v>
      </c>
      <c r="B33" t="s">
        <v>25</v>
      </c>
      <c r="C33" t="s">
        <v>26</v>
      </c>
      <c r="D33" t="s">
        <v>39</v>
      </c>
      <c r="E33" t="s">
        <v>1585</v>
      </c>
      <c r="F33" t="s">
        <v>1586</v>
      </c>
      <c r="G33">
        <v>71050729</v>
      </c>
      <c r="H33" t="s">
        <v>1587</v>
      </c>
      <c r="I33" s="4" t="s">
        <v>35</v>
      </c>
      <c r="J33" s="4" t="s">
        <v>1588</v>
      </c>
      <c r="K33" t="s">
        <v>1589</v>
      </c>
      <c r="L33" t="s">
        <v>27</v>
      </c>
      <c r="M33" t="s">
        <v>1590</v>
      </c>
      <c r="N33" t="s">
        <v>28</v>
      </c>
      <c r="O33" t="s">
        <v>40</v>
      </c>
      <c r="P33" t="s">
        <v>41</v>
      </c>
      <c r="Q33" t="s">
        <v>31</v>
      </c>
      <c r="R33">
        <v>5</v>
      </c>
      <c r="S33" t="s">
        <v>1591</v>
      </c>
      <c r="T33" t="s">
        <v>618</v>
      </c>
      <c r="U33" t="s">
        <v>891</v>
      </c>
      <c r="V33" t="s">
        <v>49</v>
      </c>
      <c r="W33" t="s">
        <v>33</v>
      </c>
      <c r="X33" t="s">
        <v>33</v>
      </c>
      <c r="Y33" t="s">
        <v>33</v>
      </c>
      <c r="Z33" s="16" t="s">
        <v>34</v>
      </c>
      <c r="AA33">
        <v>-75.526194050000001</v>
      </c>
      <c r="AB33">
        <v>6.2355122700000001</v>
      </c>
      <c r="AC33" t="s">
        <v>135</v>
      </c>
      <c r="AD33" t="s">
        <v>136</v>
      </c>
    </row>
    <row r="34" spans="1:30" x14ac:dyDescent="0.25">
      <c r="A34" t="s">
        <v>1592</v>
      </c>
      <c r="B34" t="s">
        <v>25</v>
      </c>
      <c r="C34" t="s">
        <v>26</v>
      </c>
      <c r="D34" t="s">
        <v>39</v>
      </c>
      <c r="E34" t="s">
        <v>1593</v>
      </c>
      <c r="F34" t="s">
        <v>1594</v>
      </c>
      <c r="G34">
        <v>42799221</v>
      </c>
      <c r="H34" t="s">
        <v>1595</v>
      </c>
      <c r="I34" s="4" t="s">
        <v>35</v>
      </c>
      <c r="J34" s="4" t="s">
        <v>1596</v>
      </c>
      <c r="K34" t="s">
        <v>1597</v>
      </c>
      <c r="L34" t="s">
        <v>55</v>
      </c>
      <c r="M34" t="s">
        <v>1598</v>
      </c>
      <c r="N34" t="s">
        <v>56</v>
      </c>
      <c r="O34" t="s">
        <v>40</v>
      </c>
      <c r="P34" t="s">
        <v>36</v>
      </c>
      <c r="Q34" t="s">
        <v>38</v>
      </c>
      <c r="R34">
        <v>8</v>
      </c>
      <c r="S34" t="s">
        <v>1599</v>
      </c>
      <c r="T34" t="s">
        <v>6210</v>
      </c>
      <c r="U34" t="s">
        <v>2711</v>
      </c>
      <c r="V34" t="s">
        <v>49</v>
      </c>
      <c r="W34" t="s">
        <v>33</v>
      </c>
      <c r="X34" t="s">
        <v>33</v>
      </c>
      <c r="Y34" t="s">
        <v>33</v>
      </c>
      <c r="Z34" s="16" t="s">
        <v>34</v>
      </c>
      <c r="AA34">
        <v>-75.629416120000002</v>
      </c>
      <c r="AB34">
        <v>6.1161046900000002</v>
      </c>
      <c r="AC34" t="s">
        <v>135</v>
      </c>
      <c r="AD34" t="s">
        <v>136</v>
      </c>
    </row>
    <row r="35" spans="1:30" x14ac:dyDescent="0.25">
      <c r="A35" t="s">
        <v>1601</v>
      </c>
      <c r="B35" t="s">
        <v>25</v>
      </c>
      <c r="C35" t="s">
        <v>26</v>
      </c>
      <c r="D35" t="s">
        <v>39</v>
      </c>
      <c r="E35" t="s">
        <v>1602</v>
      </c>
      <c r="F35" t="s">
        <v>1603</v>
      </c>
      <c r="G35">
        <v>1040755753</v>
      </c>
      <c r="H35" t="s">
        <v>1604</v>
      </c>
      <c r="I35" s="4" t="s">
        <v>35</v>
      </c>
      <c r="J35" s="4" t="s">
        <v>1605</v>
      </c>
      <c r="K35" t="s">
        <v>1606</v>
      </c>
      <c r="L35" t="s">
        <v>55</v>
      </c>
      <c r="M35" t="s">
        <v>1607</v>
      </c>
      <c r="N35" t="s">
        <v>56</v>
      </c>
      <c r="O35" t="s">
        <v>40</v>
      </c>
      <c r="P35" t="s">
        <v>36</v>
      </c>
      <c r="Q35" t="s">
        <v>38</v>
      </c>
      <c r="R35">
        <v>8</v>
      </c>
      <c r="S35" t="s">
        <v>1608</v>
      </c>
      <c r="T35" t="s">
        <v>6211</v>
      </c>
      <c r="U35" t="s">
        <v>6212</v>
      </c>
      <c r="V35" t="s">
        <v>49</v>
      </c>
      <c r="W35" t="s">
        <v>33</v>
      </c>
      <c r="X35" t="s">
        <v>33</v>
      </c>
      <c r="Y35" t="s">
        <v>33</v>
      </c>
      <c r="Z35" s="16" t="s">
        <v>34</v>
      </c>
      <c r="AA35">
        <v>-75.629416120000002</v>
      </c>
      <c r="AB35">
        <v>6.1161046900000002</v>
      </c>
      <c r="AC35" t="s">
        <v>135</v>
      </c>
      <c r="AD35" t="s">
        <v>136</v>
      </c>
    </row>
    <row r="36" spans="1:30" x14ac:dyDescent="0.25">
      <c r="A36" t="s">
        <v>1610</v>
      </c>
      <c r="B36" t="s">
        <v>42</v>
      </c>
      <c r="C36" t="s">
        <v>26</v>
      </c>
      <c r="D36" t="s">
        <v>42</v>
      </c>
      <c r="E36" t="s">
        <v>1611</v>
      </c>
      <c r="F36" t="s">
        <v>1612</v>
      </c>
      <c r="G36">
        <v>71273380</v>
      </c>
      <c r="H36" t="s">
        <v>1613</v>
      </c>
      <c r="I36" s="4" t="s">
        <v>1614</v>
      </c>
      <c r="J36" s="4" t="s">
        <v>1615</v>
      </c>
      <c r="K36" t="s">
        <v>1616</v>
      </c>
      <c r="L36" t="s">
        <v>44</v>
      </c>
      <c r="M36" t="s">
        <v>1617</v>
      </c>
      <c r="N36" t="s">
        <v>45</v>
      </c>
      <c r="O36" t="s">
        <v>43</v>
      </c>
      <c r="P36" t="s">
        <v>54</v>
      </c>
      <c r="Q36" t="s">
        <v>31</v>
      </c>
      <c r="R36">
        <v>7</v>
      </c>
      <c r="S36" t="s">
        <v>1618</v>
      </c>
      <c r="T36" t="s">
        <v>1620</v>
      </c>
      <c r="U36" t="s">
        <v>1619</v>
      </c>
      <c r="V36" t="s">
        <v>32</v>
      </c>
      <c r="W36" t="s">
        <v>33</v>
      </c>
      <c r="X36" t="s">
        <v>33</v>
      </c>
      <c r="Y36" t="s">
        <v>33</v>
      </c>
      <c r="Z36" s="16" t="s">
        <v>34</v>
      </c>
      <c r="AA36">
        <v>-75.617996219999995</v>
      </c>
      <c r="AB36">
        <v>6.1734976799999997</v>
      </c>
      <c r="AC36" t="s">
        <v>135</v>
      </c>
      <c r="AD36" t="s">
        <v>136</v>
      </c>
    </row>
    <row r="37" spans="1:30" x14ac:dyDescent="0.25">
      <c r="A37" t="s">
        <v>1621</v>
      </c>
      <c r="B37" t="s">
        <v>25</v>
      </c>
      <c r="C37" t="s">
        <v>26</v>
      </c>
      <c r="D37" t="s">
        <v>39</v>
      </c>
      <c r="E37" t="s">
        <v>1622</v>
      </c>
      <c r="F37" t="s">
        <v>1623</v>
      </c>
      <c r="G37">
        <v>21818225</v>
      </c>
      <c r="H37" t="s">
        <v>1624</v>
      </c>
      <c r="I37" s="4" t="s">
        <v>35</v>
      </c>
      <c r="J37" s="4" t="s">
        <v>1625</v>
      </c>
      <c r="K37" t="s">
        <v>1626</v>
      </c>
      <c r="L37" t="s">
        <v>27</v>
      </c>
      <c r="M37" t="s">
        <v>1627</v>
      </c>
      <c r="N37" t="s">
        <v>28</v>
      </c>
      <c r="O37" t="s">
        <v>46</v>
      </c>
      <c r="P37" t="s">
        <v>41</v>
      </c>
      <c r="Q37" t="s">
        <v>31</v>
      </c>
      <c r="R37">
        <v>5</v>
      </c>
      <c r="S37" t="s">
        <v>1628</v>
      </c>
      <c r="T37" t="s">
        <v>6213</v>
      </c>
      <c r="U37" t="s">
        <v>6214</v>
      </c>
      <c r="V37" t="s">
        <v>32</v>
      </c>
      <c r="W37" t="s">
        <v>33</v>
      </c>
      <c r="X37" t="s">
        <v>33</v>
      </c>
      <c r="Y37" t="s">
        <v>33</v>
      </c>
      <c r="Z37" s="16" t="s">
        <v>34</v>
      </c>
      <c r="AA37">
        <v>-75.538740000000004</v>
      </c>
      <c r="AB37">
        <v>6.2417290000000003</v>
      </c>
      <c r="AC37" t="s">
        <v>135</v>
      </c>
      <c r="AD37" t="s">
        <v>136</v>
      </c>
    </row>
    <row r="38" spans="1:30" x14ac:dyDescent="0.25">
      <c r="A38" t="s">
        <v>9885</v>
      </c>
      <c r="B38" t="s">
        <v>25</v>
      </c>
      <c r="C38" t="s">
        <v>26</v>
      </c>
      <c r="D38" t="s">
        <v>39</v>
      </c>
      <c r="E38" t="s">
        <v>6215</v>
      </c>
      <c r="F38" t="s">
        <v>6216</v>
      </c>
      <c r="G38">
        <v>1026133067</v>
      </c>
      <c r="H38" t="s">
        <v>6217</v>
      </c>
      <c r="I38" s="4" t="s">
        <v>35</v>
      </c>
      <c r="J38" s="4" t="s">
        <v>115</v>
      </c>
      <c r="K38" t="s">
        <v>6218</v>
      </c>
      <c r="L38" t="s">
        <v>57</v>
      </c>
      <c r="M38" t="s">
        <v>6219</v>
      </c>
      <c r="N38" t="s">
        <v>58</v>
      </c>
      <c r="O38" t="s">
        <v>40</v>
      </c>
      <c r="P38" t="s">
        <v>36</v>
      </c>
      <c r="Q38" t="s">
        <v>31</v>
      </c>
      <c r="R38">
        <v>5</v>
      </c>
      <c r="S38" t="s">
        <v>6220</v>
      </c>
      <c r="T38" t="s">
        <v>6221</v>
      </c>
      <c r="U38" t="s">
        <v>6222</v>
      </c>
      <c r="V38" t="s">
        <v>131</v>
      </c>
      <c r="W38" t="s">
        <v>33</v>
      </c>
      <c r="X38" t="s">
        <v>33</v>
      </c>
      <c r="Y38" t="s">
        <v>33</v>
      </c>
      <c r="Z38" s="16" t="s">
        <v>34</v>
      </c>
      <c r="AA38">
        <v>-75.634807350000003</v>
      </c>
      <c r="AB38">
        <v>6.0763302000000001</v>
      </c>
      <c r="AC38" t="s">
        <v>135</v>
      </c>
      <c r="AD38" t="s">
        <v>136</v>
      </c>
    </row>
    <row r="39" spans="1:30" x14ac:dyDescent="0.25">
      <c r="A39" t="s">
        <v>177</v>
      </c>
      <c r="B39" t="s">
        <v>25</v>
      </c>
      <c r="C39" t="s">
        <v>26</v>
      </c>
      <c r="D39" t="s">
        <v>25</v>
      </c>
      <c r="E39" t="s">
        <v>178</v>
      </c>
      <c r="F39" t="s">
        <v>179</v>
      </c>
      <c r="G39">
        <v>1128461918</v>
      </c>
      <c r="H39" t="s">
        <v>180</v>
      </c>
      <c r="I39" s="4" t="s">
        <v>35</v>
      </c>
      <c r="J39" s="4" t="s">
        <v>181</v>
      </c>
      <c r="K39" t="s">
        <v>182</v>
      </c>
      <c r="L39" t="s">
        <v>57</v>
      </c>
      <c r="M39" t="s">
        <v>183</v>
      </c>
      <c r="N39" t="s">
        <v>58</v>
      </c>
      <c r="O39" t="s">
        <v>29</v>
      </c>
      <c r="P39" t="s">
        <v>36</v>
      </c>
      <c r="Q39" t="s">
        <v>38</v>
      </c>
      <c r="R39">
        <v>10</v>
      </c>
      <c r="S39" t="s">
        <v>184</v>
      </c>
      <c r="T39" t="s">
        <v>6223</v>
      </c>
      <c r="U39" t="s">
        <v>47</v>
      </c>
      <c r="V39" t="s">
        <v>47</v>
      </c>
      <c r="W39" t="s">
        <v>33</v>
      </c>
      <c r="X39" t="s">
        <v>33</v>
      </c>
      <c r="Y39" t="s">
        <v>33</v>
      </c>
      <c r="Z39" s="16" t="s">
        <v>34</v>
      </c>
      <c r="AA39">
        <v>-75.635639749999996</v>
      </c>
      <c r="AB39">
        <v>6.0736636800000001</v>
      </c>
      <c r="AC39" t="s">
        <v>135</v>
      </c>
      <c r="AD39" t="s">
        <v>136</v>
      </c>
    </row>
    <row r="40" spans="1:30" x14ac:dyDescent="0.25">
      <c r="A40" t="s">
        <v>185</v>
      </c>
      <c r="B40" t="s">
        <v>25</v>
      </c>
      <c r="C40" t="s">
        <v>26</v>
      </c>
      <c r="D40" t="s">
        <v>25</v>
      </c>
      <c r="E40" t="s">
        <v>186</v>
      </c>
      <c r="F40" t="s">
        <v>187</v>
      </c>
      <c r="G40">
        <v>1128461918</v>
      </c>
      <c r="H40" t="s">
        <v>180</v>
      </c>
      <c r="I40" s="4" t="s">
        <v>35</v>
      </c>
      <c r="J40" s="4" t="s">
        <v>181</v>
      </c>
      <c r="K40" t="s">
        <v>188</v>
      </c>
      <c r="L40" t="s">
        <v>27</v>
      </c>
      <c r="M40" t="s">
        <v>189</v>
      </c>
      <c r="N40" t="s">
        <v>28</v>
      </c>
      <c r="O40" t="s">
        <v>29</v>
      </c>
      <c r="P40" t="s">
        <v>36</v>
      </c>
      <c r="Q40" t="s">
        <v>38</v>
      </c>
      <c r="R40">
        <v>10</v>
      </c>
      <c r="S40" t="s">
        <v>190</v>
      </c>
      <c r="T40" t="s">
        <v>6223</v>
      </c>
      <c r="U40" t="s">
        <v>47</v>
      </c>
      <c r="V40" t="s">
        <v>47</v>
      </c>
      <c r="W40" t="s">
        <v>33</v>
      </c>
      <c r="X40" t="s">
        <v>33</v>
      </c>
      <c r="Y40" t="s">
        <v>33</v>
      </c>
      <c r="Z40" s="16" t="s">
        <v>34</v>
      </c>
      <c r="AA40">
        <v>-75.610884501000001</v>
      </c>
      <c r="AB40">
        <v>6.2574398200000596</v>
      </c>
      <c r="AC40" t="s">
        <v>135</v>
      </c>
      <c r="AD40" t="s">
        <v>136</v>
      </c>
    </row>
    <row r="41" spans="1:30" x14ac:dyDescent="0.25">
      <c r="A41" t="s">
        <v>191</v>
      </c>
      <c r="B41" t="s">
        <v>25</v>
      </c>
      <c r="C41" t="s">
        <v>26</v>
      </c>
      <c r="D41" t="s">
        <v>25</v>
      </c>
      <c r="E41" t="s">
        <v>192</v>
      </c>
      <c r="F41" t="s">
        <v>193</v>
      </c>
      <c r="G41">
        <v>1128461918</v>
      </c>
      <c r="H41" t="s">
        <v>180</v>
      </c>
      <c r="I41" s="4" t="s">
        <v>35</v>
      </c>
      <c r="J41" s="4" t="s">
        <v>181</v>
      </c>
      <c r="K41" t="s">
        <v>194</v>
      </c>
      <c r="L41" t="s">
        <v>57</v>
      </c>
      <c r="M41" t="s">
        <v>195</v>
      </c>
      <c r="N41" t="s">
        <v>58</v>
      </c>
      <c r="O41" t="s">
        <v>29</v>
      </c>
      <c r="P41" t="s">
        <v>36</v>
      </c>
      <c r="Q41" t="s">
        <v>38</v>
      </c>
      <c r="R41">
        <v>10</v>
      </c>
      <c r="S41" t="s">
        <v>196</v>
      </c>
      <c r="T41" t="s">
        <v>6224</v>
      </c>
      <c r="U41" t="s">
        <v>47</v>
      </c>
      <c r="V41" t="s">
        <v>47</v>
      </c>
      <c r="W41" t="s">
        <v>33</v>
      </c>
      <c r="X41" t="s">
        <v>33</v>
      </c>
      <c r="Y41" t="s">
        <v>33</v>
      </c>
      <c r="Z41" s="16" t="s">
        <v>34</v>
      </c>
      <c r="AA41">
        <v>-75.635639749999996</v>
      </c>
      <c r="AB41">
        <v>6.0736636800000001</v>
      </c>
      <c r="AC41" t="s">
        <v>135</v>
      </c>
      <c r="AD41" t="s">
        <v>136</v>
      </c>
    </row>
    <row r="42" spans="1:30" x14ac:dyDescent="0.25">
      <c r="A42" t="s">
        <v>1629</v>
      </c>
      <c r="B42" t="s">
        <v>25</v>
      </c>
      <c r="C42" t="s">
        <v>26</v>
      </c>
      <c r="D42" t="s">
        <v>25</v>
      </c>
      <c r="E42" t="s">
        <v>1630</v>
      </c>
      <c r="F42" t="s">
        <v>1631</v>
      </c>
      <c r="G42">
        <v>43062462</v>
      </c>
      <c r="H42" t="s">
        <v>1632</v>
      </c>
      <c r="I42" s="4" t="s">
        <v>35</v>
      </c>
      <c r="J42" s="4" t="s">
        <v>1633</v>
      </c>
      <c r="K42" t="s">
        <v>1634</v>
      </c>
      <c r="L42" t="s">
        <v>27</v>
      </c>
      <c r="M42" t="s">
        <v>1635</v>
      </c>
      <c r="N42" t="s">
        <v>28</v>
      </c>
      <c r="O42" t="s">
        <v>29</v>
      </c>
      <c r="P42" t="s">
        <v>36</v>
      </c>
      <c r="Q42" t="s">
        <v>31</v>
      </c>
      <c r="R42">
        <v>7</v>
      </c>
      <c r="S42" t="s">
        <v>1636</v>
      </c>
      <c r="T42" t="s">
        <v>1141</v>
      </c>
      <c r="U42" t="s">
        <v>1140</v>
      </c>
      <c r="V42" t="s">
        <v>49</v>
      </c>
      <c r="W42" t="s">
        <v>33</v>
      </c>
      <c r="X42" t="s">
        <v>33</v>
      </c>
      <c r="Y42" t="s">
        <v>33</v>
      </c>
      <c r="Z42" s="16" t="s">
        <v>34</v>
      </c>
      <c r="AA42">
        <v>-75.585179999999994</v>
      </c>
      <c r="AB42">
        <v>6.2283119999999998</v>
      </c>
      <c r="AC42" t="s">
        <v>135</v>
      </c>
      <c r="AD42" t="s">
        <v>136</v>
      </c>
    </row>
    <row r="43" spans="1:30" x14ac:dyDescent="0.25">
      <c r="A43" t="s">
        <v>1640</v>
      </c>
      <c r="B43" t="s">
        <v>25</v>
      </c>
      <c r="C43" t="s">
        <v>26</v>
      </c>
      <c r="D43" t="s">
        <v>39</v>
      </c>
      <c r="E43" t="s">
        <v>1641</v>
      </c>
      <c r="F43" t="s">
        <v>1642</v>
      </c>
      <c r="G43">
        <v>43532055</v>
      </c>
      <c r="H43" t="s">
        <v>1643</v>
      </c>
      <c r="I43" s="4" t="s">
        <v>35</v>
      </c>
      <c r="J43" s="4" t="s">
        <v>1644</v>
      </c>
      <c r="K43" t="s">
        <v>1645</v>
      </c>
      <c r="L43" t="s">
        <v>55</v>
      </c>
      <c r="M43" t="s">
        <v>1645</v>
      </c>
      <c r="N43" t="s">
        <v>56</v>
      </c>
      <c r="O43" t="s">
        <v>40</v>
      </c>
      <c r="P43" t="s">
        <v>36</v>
      </c>
      <c r="Q43" t="s">
        <v>38</v>
      </c>
      <c r="R43">
        <v>8</v>
      </c>
      <c r="S43" t="s">
        <v>1646</v>
      </c>
      <c r="T43" t="s">
        <v>6225</v>
      </c>
      <c r="U43" t="s">
        <v>1814</v>
      </c>
      <c r="V43" t="s">
        <v>49</v>
      </c>
      <c r="W43" t="s">
        <v>33</v>
      </c>
      <c r="X43" t="s">
        <v>33</v>
      </c>
      <c r="Y43" t="s">
        <v>33</v>
      </c>
      <c r="Z43" s="16" t="s">
        <v>34</v>
      </c>
      <c r="AA43">
        <v>-75.649831634999899</v>
      </c>
      <c r="AB43">
        <v>6.1379125160000303</v>
      </c>
      <c r="AC43" t="s">
        <v>135</v>
      </c>
      <c r="AD43" t="s">
        <v>136</v>
      </c>
    </row>
    <row r="44" spans="1:30" x14ac:dyDescent="0.25">
      <c r="A44" t="s">
        <v>9886</v>
      </c>
      <c r="B44" t="s">
        <v>42</v>
      </c>
      <c r="C44" t="s">
        <v>26</v>
      </c>
      <c r="D44" t="s">
        <v>42</v>
      </c>
      <c r="E44" t="s">
        <v>6226</v>
      </c>
      <c r="F44" t="s">
        <v>6227</v>
      </c>
      <c r="G44">
        <v>42891263</v>
      </c>
      <c r="H44" t="s">
        <v>6228</v>
      </c>
      <c r="I44" s="4" t="s">
        <v>35</v>
      </c>
      <c r="J44" s="4" t="s">
        <v>6229</v>
      </c>
      <c r="K44" t="s">
        <v>6230</v>
      </c>
      <c r="L44" t="s">
        <v>27</v>
      </c>
      <c r="M44" t="s">
        <v>6231</v>
      </c>
      <c r="N44" t="s">
        <v>28</v>
      </c>
      <c r="O44" t="s">
        <v>43</v>
      </c>
      <c r="P44" t="s">
        <v>30</v>
      </c>
      <c r="Q44" t="s">
        <v>31</v>
      </c>
      <c r="R44">
        <v>7</v>
      </c>
      <c r="S44" t="s">
        <v>6232</v>
      </c>
      <c r="T44" t="s">
        <v>6233</v>
      </c>
      <c r="U44" t="s">
        <v>6234</v>
      </c>
      <c r="V44" t="s">
        <v>32</v>
      </c>
      <c r="W44" t="s">
        <v>33</v>
      </c>
      <c r="X44" t="s">
        <v>33</v>
      </c>
      <c r="Y44" t="s">
        <v>33</v>
      </c>
      <c r="Z44" s="16" t="s">
        <v>34</v>
      </c>
      <c r="AA44">
        <v>-75.58494116</v>
      </c>
      <c r="AB44">
        <v>6.2564985599999998</v>
      </c>
      <c r="AC44" t="s">
        <v>135</v>
      </c>
      <c r="AD44" t="s">
        <v>136</v>
      </c>
    </row>
    <row r="45" spans="1:30" x14ac:dyDescent="0.25">
      <c r="A45" t="s">
        <v>1647</v>
      </c>
      <c r="B45" t="s">
        <v>61</v>
      </c>
      <c r="C45" t="s">
        <v>26</v>
      </c>
      <c r="D45" t="s">
        <v>61</v>
      </c>
      <c r="E45" t="s">
        <v>1648</v>
      </c>
      <c r="F45" t="s">
        <v>1649</v>
      </c>
      <c r="G45">
        <v>900929864</v>
      </c>
      <c r="H45" t="s">
        <v>1650</v>
      </c>
      <c r="I45" s="4" t="s">
        <v>35</v>
      </c>
      <c r="J45" s="4" t="s">
        <v>1651</v>
      </c>
      <c r="K45" t="s">
        <v>1652</v>
      </c>
      <c r="L45" t="s">
        <v>27</v>
      </c>
      <c r="M45" t="s">
        <v>1653</v>
      </c>
      <c r="N45" t="s">
        <v>28</v>
      </c>
      <c r="O45" t="s">
        <v>62</v>
      </c>
      <c r="P45" t="s">
        <v>63</v>
      </c>
      <c r="Q45" t="s">
        <v>31</v>
      </c>
      <c r="R45">
        <v>4</v>
      </c>
      <c r="S45" t="s">
        <v>1654</v>
      </c>
      <c r="T45" t="s">
        <v>6235</v>
      </c>
      <c r="U45" t="s">
        <v>6235</v>
      </c>
      <c r="V45" t="s">
        <v>49</v>
      </c>
      <c r="W45" t="s">
        <v>33</v>
      </c>
      <c r="X45" t="s">
        <v>33</v>
      </c>
      <c r="Y45" t="s">
        <v>33</v>
      </c>
      <c r="Z45" s="16" t="s">
        <v>34</v>
      </c>
      <c r="AA45">
        <v>-75.559436000000005</v>
      </c>
      <c r="AB45">
        <v>6.180904</v>
      </c>
      <c r="AC45" t="s">
        <v>135</v>
      </c>
      <c r="AD45" t="s">
        <v>136</v>
      </c>
    </row>
    <row r="46" spans="1:30" x14ac:dyDescent="0.25">
      <c r="A46" t="s">
        <v>9887</v>
      </c>
      <c r="B46" t="s">
        <v>25</v>
      </c>
      <c r="C46" t="s">
        <v>26</v>
      </c>
      <c r="D46" t="s">
        <v>25</v>
      </c>
      <c r="E46" t="s">
        <v>6236</v>
      </c>
      <c r="F46" t="s">
        <v>6237</v>
      </c>
      <c r="G46">
        <v>24348308</v>
      </c>
      <c r="H46" t="s">
        <v>6238</v>
      </c>
      <c r="I46" s="4" t="s">
        <v>6239</v>
      </c>
      <c r="J46" s="4" t="s">
        <v>6240</v>
      </c>
      <c r="K46" t="s">
        <v>6241</v>
      </c>
      <c r="L46" t="s">
        <v>27</v>
      </c>
      <c r="M46" t="s">
        <v>6242</v>
      </c>
      <c r="N46" t="s">
        <v>28</v>
      </c>
      <c r="O46" t="s">
        <v>29</v>
      </c>
      <c r="P46" t="s">
        <v>37</v>
      </c>
      <c r="Q46" t="s">
        <v>31</v>
      </c>
      <c r="R46">
        <v>7</v>
      </c>
      <c r="S46" t="s">
        <v>6243</v>
      </c>
      <c r="T46" t="s">
        <v>6244</v>
      </c>
      <c r="U46" t="s">
        <v>6245</v>
      </c>
      <c r="V46" t="s">
        <v>32</v>
      </c>
      <c r="W46" t="s">
        <v>33</v>
      </c>
      <c r="X46" t="s">
        <v>33</v>
      </c>
      <c r="Y46" t="s">
        <v>33</v>
      </c>
      <c r="Z46" s="16" t="s">
        <v>34</v>
      </c>
      <c r="AA46">
        <v>-75.596076969999999</v>
      </c>
      <c r="AB46">
        <v>6.2506194099999997</v>
      </c>
      <c r="AC46" t="s">
        <v>135</v>
      </c>
      <c r="AD46" t="s">
        <v>136</v>
      </c>
    </row>
    <row r="47" spans="1:30" x14ac:dyDescent="0.25">
      <c r="A47" t="s">
        <v>864</v>
      </c>
      <c r="B47" t="s">
        <v>25</v>
      </c>
      <c r="C47" t="s">
        <v>26</v>
      </c>
      <c r="D47" t="s">
        <v>39</v>
      </c>
      <c r="E47" t="s">
        <v>1655</v>
      </c>
      <c r="F47" t="s">
        <v>1656</v>
      </c>
      <c r="G47">
        <v>32544367</v>
      </c>
      <c r="H47" t="s">
        <v>865</v>
      </c>
      <c r="I47" s="4" t="s">
        <v>866</v>
      </c>
      <c r="J47" s="4" t="s">
        <v>867</v>
      </c>
      <c r="K47" t="s">
        <v>868</v>
      </c>
      <c r="L47" t="s">
        <v>44</v>
      </c>
      <c r="M47" t="s">
        <v>869</v>
      </c>
      <c r="N47" t="s">
        <v>45</v>
      </c>
      <c r="O47" t="s">
        <v>46</v>
      </c>
      <c r="P47" t="s">
        <v>41</v>
      </c>
      <c r="Q47" t="s">
        <v>31</v>
      </c>
      <c r="R47">
        <v>5</v>
      </c>
      <c r="S47" t="s">
        <v>1657</v>
      </c>
      <c r="T47" t="s">
        <v>1658</v>
      </c>
      <c r="U47" t="s">
        <v>888</v>
      </c>
      <c r="V47" t="s">
        <v>49</v>
      </c>
      <c r="W47" t="s">
        <v>33</v>
      </c>
      <c r="X47" t="s">
        <v>33</v>
      </c>
      <c r="Y47" t="s">
        <v>33</v>
      </c>
      <c r="Z47" s="16" t="s">
        <v>34</v>
      </c>
      <c r="AA47">
        <v>-75.616200390000003</v>
      </c>
      <c r="AB47">
        <v>6.1669234800000003</v>
      </c>
      <c r="AC47" t="s">
        <v>135</v>
      </c>
      <c r="AD47" t="s">
        <v>136</v>
      </c>
    </row>
    <row r="48" spans="1:30" x14ac:dyDescent="0.25">
      <c r="A48" t="s">
        <v>1659</v>
      </c>
      <c r="B48" t="s">
        <v>25</v>
      </c>
      <c r="C48" t="s">
        <v>26</v>
      </c>
      <c r="D48" t="s">
        <v>25</v>
      </c>
      <c r="E48" t="s">
        <v>1660</v>
      </c>
      <c r="F48" t="s">
        <v>1661</v>
      </c>
      <c r="G48">
        <v>1026142876</v>
      </c>
      <c r="H48" t="s">
        <v>1662</v>
      </c>
      <c r="I48" s="4" t="s">
        <v>35</v>
      </c>
      <c r="J48" s="4" t="s">
        <v>1663</v>
      </c>
      <c r="K48" t="s">
        <v>1664</v>
      </c>
      <c r="L48" t="s">
        <v>57</v>
      </c>
      <c r="M48" t="s">
        <v>1665</v>
      </c>
      <c r="N48" t="s">
        <v>58</v>
      </c>
      <c r="O48" t="s">
        <v>29</v>
      </c>
      <c r="P48" t="s">
        <v>30</v>
      </c>
      <c r="Q48" t="s">
        <v>38</v>
      </c>
      <c r="R48">
        <v>10</v>
      </c>
      <c r="S48" t="s">
        <v>1666</v>
      </c>
      <c r="T48" t="s">
        <v>1110</v>
      </c>
      <c r="U48" t="s">
        <v>1109</v>
      </c>
      <c r="V48" t="s">
        <v>32</v>
      </c>
      <c r="W48" t="s">
        <v>33</v>
      </c>
      <c r="X48" t="s">
        <v>33</v>
      </c>
      <c r="Y48" t="s">
        <v>33</v>
      </c>
      <c r="Z48" s="16" t="s">
        <v>34</v>
      </c>
      <c r="AA48">
        <v>-75.619954000000007</v>
      </c>
      <c r="AB48">
        <v>6.0885730000000002</v>
      </c>
      <c r="AC48" t="s">
        <v>135</v>
      </c>
      <c r="AD48" t="s">
        <v>136</v>
      </c>
    </row>
    <row r="49" spans="1:30" x14ac:dyDescent="0.25">
      <c r="A49" t="s">
        <v>149</v>
      </c>
      <c r="B49" t="s">
        <v>25</v>
      </c>
      <c r="C49" t="s">
        <v>26</v>
      </c>
      <c r="D49" t="s">
        <v>25</v>
      </c>
      <c r="E49" t="s">
        <v>150</v>
      </c>
      <c r="F49" t="s">
        <v>1667</v>
      </c>
      <c r="G49">
        <v>71379184</v>
      </c>
      <c r="H49" t="s">
        <v>151</v>
      </c>
      <c r="I49" s="4" t="s">
        <v>53</v>
      </c>
      <c r="J49" s="4" t="s">
        <v>152</v>
      </c>
      <c r="K49" t="s">
        <v>153</v>
      </c>
      <c r="L49" t="s">
        <v>27</v>
      </c>
      <c r="M49" t="s">
        <v>154</v>
      </c>
      <c r="N49" t="s">
        <v>28</v>
      </c>
      <c r="O49" t="s">
        <v>29</v>
      </c>
      <c r="P49" t="s">
        <v>36</v>
      </c>
      <c r="Q49" t="s">
        <v>31</v>
      </c>
      <c r="R49">
        <v>7</v>
      </c>
      <c r="S49" t="s">
        <v>1668</v>
      </c>
      <c r="T49" t="s">
        <v>892</v>
      </c>
      <c r="U49" t="s">
        <v>6246</v>
      </c>
      <c r="V49" t="s">
        <v>32</v>
      </c>
      <c r="W49" t="s">
        <v>33</v>
      </c>
      <c r="X49" t="s">
        <v>33</v>
      </c>
      <c r="Y49" t="s">
        <v>33</v>
      </c>
      <c r="Z49" s="16" t="s">
        <v>34</v>
      </c>
      <c r="AA49">
        <v>-75.601681060000004</v>
      </c>
      <c r="AB49">
        <v>6.2539904699999997</v>
      </c>
      <c r="AC49" t="s">
        <v>135</v>
      </c>
      <c r="AD49" t="s">
        <v>136</v>
      </c>
    </row>
    <row r="50" spans="1:30" x14ac:dyDescent="0.25">
      <c r="A50" t="s">
        <v>1669</v>
      </c>
      <c r="B50" t="s">
        <v>25</v>
      </c>
      <c r="C50" t="s">
        <v>26</v>
      </c>
      <c r="D50" t="s">
        <v>39</v>
      </c>
      <c r="E50" t="s">
        <v>1670</v>
      </c>
      <c r="F50" t="s">
        <v>1671</v>
      </c>
      <c r="G50">
        <v>43729979</v>
      </c>
      <c r="H50" t="s">
        <v>1672</v>
      </c>
      <c r="I50" s="4" t="s">
        <v>35</v>
      </c>
      <c r="J50" s="4" t="s">
        <v>1673</v>
      </c>
      <c r="K50" t="s">
        <v>1674</v>
      </c>
      <c r="L50" t="s">
        <v>55</v>
      </c>
      <c r="M50" t="s">
        <v>1675</v>
      </c>
      <c r="N50" t="s">
        <v>56</v>
      </c>
      <c r="O50" t="s">
        <v>40</v>
      </c>
      <c r="P50" t="s">
        <v>1676</v>
      </c>
      <c r="Q50" t="s">
        <v>38</v>
      </c>
      <c r="R50">
        <v>8</v>
      </c>
      <c r="S50" t="s">
        <v>1677</v>
      </c>
      <c r="T50" t="s">
        <v>6247</v>
      </c>
      <c r="U50" t="s">
        <v>6248</v>
      </c>
      <c r="V50" t="s">
        <v>49</v>
      </c>
      <c r="W50" t="s">
        <v>33</v>
      </c>
      <c r="X50" t="s">
        <v>33</v>
      </c>
      <c r="Y50" t="s">
        <v>33</v>
      </c>
      <c r="Z50" s="16" t="s">
        <v>34</v>
      </c>
      <c r="AA50">
        <v>-75.639820630000003</v>
      </c>
      <c r="AB50">
        <v>6.1136927999999999</v>
      </c>
      <c r="AC50" t="s">
        <v>135</v>
      </c>
      <c r="AD50" t="s">
        <v>136</v>
      </c>
    </row>
    <row r="51" spans="1:30" x14ac:dyDescent="0.25">
      <c r="A51" t="s">
        <v>1678</v>
      </c>
      <c r="B51" t="s">
        <v>25</v>
      </c>
      <c r="C51" t="s">
        <v>26</v>
      </c>
      <c r="D51" t="s">
        <v>39</v>
      </c>
      <c r="E51" t="s">
        <v>1679</v>
      </c>
      <c r="F51" t="s">
        <v>1680</v>
      </c>
      <c r="G51">
        <v>1036631015</v>
      </c>
      <c r="H51" t="s">
        <v>1681</v>
      </c>
      <c r="I51" s="4" t="s">
        <v>1682</v>
      </c>
      <c r="J51" s="4" t="s">
        <v>1683</v>
      </c>
      <c r="K51" t="s">
        <v>1684</v>
      </c>
      <c r="L51" t="s">
        <v>44</v>
      </c>
      <c r="M51" t="s">
        <v>1685</v>
      </c>
      <c r="N51" t="s">
        <v>45</v>
      </c>
      <c r="O51" t="s">
        <v>40</v>
      </c>
      <c r="P51" t="s">
        <v>41</v>
      </c>
      <c r="Q51" t="s">
        <v>31</v>
      </c>
      <c r="R51">
        <v>5</v>
      </c>
      <c r="S51" t="s">
        <v>1686</v>
      </c>
      <c r="T51" t="s">
        <v>6249</v>
      </c>
      <c r="U51" t="s">
        <v>6250</v>
      </c>
      <c r="V51" t="s">
        <v>49</v>
      </c>
      <c r="W51" t="s">
        <v>33</v>
      </c>
      <c r="X51" t="s">
        <v>33</v>
      </c>
      <c r="Y51" t="s">
        <v>33</v>
      </c>
      <c r="Z51" s="16" t="s">
        <v>34</v>
      </c>
      <c r="AA51">
        <v>-75.628653999999997</v>
      </c>
      <c r="AB51">
        <v>6.1742790000000003</v>
      </c>
      <c r="AC51" t="s">
        <v>135</v>
      </c>
      <c r="AD51" t="s">
        <v>136</v>
      </c>
    </row>
    <row r="52" spans="1:30" x14ac:dyDescent="0.25">
      <c r="A52" t="s">
        <v>9888</v>
      </c>
      <c r="B52" t="s">
        <v>25</v>
      </c>
      <c r="C52" t="s">
        <v>26</v>
      </c>
      <c r="D52" t="s">
        <v>39</v>
      </c>
      <c r="E52" t="s">
        <v>6255</v>
      </c>
      <c r="F52" t="s">
        <v>6256</v>
      </c>
      <c r="G52">
        <v>1148698057</v>
      </c>
      <c r="H52" t="s">
        <v>6257</v>
      </c>
      <c r="I52" s="4" t="s">
        <v>35</v>
      </c>
      <c r="J52" s="4" t="s">
        <v>6258</v>
      </c>
      <c r="K52" t="s">
        <v>6259</v>
      </c>
      <c r="L52" t="s">
        <v>27</v>
      </c>
      <c r="M52" t="s">
        <v>6260</v>
      </c>
      <c r="N52" t="s">
        <v>28</v>
      </c>
      <c r="O52" t="s">
        <v>40</v>
      </c>
      <c r="P52" t="s">
        <v>41</v>
      </c>
      <c r="Q52" t="s">
        <v>31</v>
      </c>
      <c r="R52">
        <v>5</v>
      </c>
      <c r="S52" t="s">
        <v>6261</v>
      </c>
      <c r="T52" t="s">
        <v>6262</v>
      </c>
      <c r="U52" t="s">
        <v>6263</v>
      </c>
      <c r="V52" t="s">
        <v>32</v>
      </c>
      <c r="W52" t="s">
        <v>33</v>
      </c>
      <c r="X52" t="s">
        <v>33</v>
      </c>
      <c r="Y52" t="s">
        <v>33</v>
      </c>
      <c r="Z52" s="16" t="s">
        <v>34</v>
      </c>
      <c r="AA52">
        <v>-75.531628569999995</v>
      </c>
      <c r="AB52">
        <v>6.2320648299999997</v>
      </c>
      <c r="AC52" t="s">
        <v>135</v>
      </c>
      <c r="AD52" t="s">
        <v>136</v>
      </c>
    </row>
    <row r="53" spans="1:30" x14ac:dyDescent="0.25">
      <c r="A53" t="s">
        <v>9889</v>
      </c>
      <c r="B53" t="s">
        <v>42</v>
      </c>
      <c r="C53" t="s">
        <v>26</v>
      </c>
      <c r="D53" t="s">
        <v>42</v>
      </c>
      <c r="E53" t="s">
        <v>6264</v>
      </c>
      <c r="F53" t="s">
        <v>6265</v>
      </c>
      <c r="G53">
        <v>32444974</v>
      </c>
      <c r="H53" t="s">
        <v>6266</v>
      </c>
      <c r="I53" s="4" t="s">
        <v>6267</v>
      </c>
      <c r="J53" s="4" t="s">
        <v>1385</v>
      </c>
      <c r="K53" t="s">
        <v>6268</v>
      </c>
      <c r="L53" t="s">
        <v>27</v>
      </c>
      <c r="M53" t="s">
        <v>6269</v>
      </c>
      <c r="N53" t="s">
        <v>28</v>
      </c>
      <c r="O53" t="s">
        <v>43</v>
      </c>
      <c r="P53" t="s">
        <v>30</v>
      </c>
      <c r="Q53" t="s">
        <v>31</v>
      </c>
      <c r="R53">
        <v>7</v>
      </c>
      <c r="S53" t="s">
        <v>6270</v>
      </c>
      <c r="T53" t="s">
        <v>6271</v>
      </c>
      <c r="U53" t="s">
        <v>6272</v>
      </c>
      <c r="V53" t="s">
        <v>32</v>
      </c>
      <c r="W53" t="s">
        <v>33</v>
      </c>
      <c r="X53" t="s">
        <v>33</v>
      </c>
      <c r="Y53" t="s">
        <v>33</v>
      </c>
      <c r="Z53" s="16" t="s">
        <v>34</v>
      </c>
      <c r="AA53">
        <v>-75.56075147</v>
      </c>
      <c r="AB53">
        <v>6.25274369</v>
      </c>
      <c r="AC53" t="s">
        <v>135</v>
      </c>
      <c r="AD53" t="s">
        <v>136</v>
      </c>
    </row>
    <row r="54" spans="1:30" x14ac:dyDescent="0.25">
      <c r="A54" t="s">
        <v>198</v>
      </c>
      <c r="B54" t="s">
        <v>25</v>
      </c>
      <c r="C54" t="s">
        <v>26</v>
      </c>
      <c r="D54" t="s">
        <v>25</v>
      </c>
      <c r="E54" t="s">
        <v>199</v>
      </c>
      <c r="F54" t="s">
        <v>200</v>
      </c>
      <c r="G54">
        <v>1026147160</v>
      </c>
      <c r="H54" t="s">
        <v>201</v>
      </c>
      <c r="I54" s="4" t="s">
        <v>35</v>
      </c>
      <c r="J54" s="4" t="s">
        <v>202</v>
      </c>
      <c r="K54" t="s">
        <v>203</v>
      </c>
      <c r="L54" t="s">
        <v>57</v>
      </c>
      <c r="M54" t="s">
        <v>204</v>
      </c>
      <c r="N54" t="s">
        <v>58</v>
      </c>
      <c r="O54" t="s">
        <v>29</v>
      </c>
      <c r="P54" t="s">
        <v>36</v>
      </c>
      <c r="Q54" t="s">
        <v>38</v>
      </c>
      <c r="R54">
        <v>10</v>
      </c>
      <c r="S54" t="s">
        <v>205</v>
      </c>
      <c r="T54" t="s">
        <v>6224</v>
      </c>
      <c r="U54" t="s">
        <v>47</v>
      </c>
      <c r="V54" t="s">
        <v>47</v>
      </c>
      <c r="W54" t="s">
        <v>33</v>
      </c>
      <c r="X54" t="s">
        <v>33</v>
      </c>
      <c r="Y54" t="s">
        <v>33</v>
      </c>
      <c r="Z54" s="16" t="s">
        <v>34</v>
      </c>
      <c r="AA54">
        <v>-75.626904001</v>
      </c>
      <c r="AB54">
        <v>6.0546154810000399</v>
      </c>
      <c r="AC54" t="s">
        <v>135</v>
      </c>
      <c r="AD54" t="s">
        <v>136</v>
      </c>
    </row>
    <row r="55" spans="1:30" x14ac:dyDescent="0.25">
      <c r="A55" t="s">
        <v>1687</v>
      </c>
      <c r="B55" t="s">
        <v>25</v>
      </c>
      <c r="C55" t="s">
        <v>26</v>
      </c>
      <c r="D55" t="s">
        <v>39</v>
      </c>
      <c r="E55" t="s">
        <v>1688</v>
      </c>
      <c r="F55" t="s">
        <v>1689</v>
      </c>
      <c r="G55">
        <v>71398480</v>
      </c>
      <c r="H55" t="s">
        <v>1690</v>
      </c>
      <c r="I55" s="4" t="s">
        <v>35</v>
      </c>
      <c r="J55" s="4" t="s">
        <v>1691</v>
      </c>
      <c r="K55" t="s">
        <v>1692</v>
      </c>
      <c r="L55" t="s">
        <v>55</v>
      </c>
      <c r="M55" t="s">
        <v>1693</v>
      </c>
      <c r="N55" t="s">
        <v>56</v>
      </c>
      <c r="O55" t="s">
        <v>40</v>
      </c>
      <c r="P55" t="s">
        <v>36</v>
      </c>
      <c r="Q55" t="s">
        <v>38</v>
      </c>
      <c r="R55">
        <v>8</v>
      </c>
      <c r="S55" t="s">
        <v>1694</v>
      </c>
      <c r="T55" t="s">
        <v>6273</v>
      </c>
      <c r="U55" t="s">
        <v>6274</v>
      </c>
      <c r="V55" t="s">
        <v>49</v>
      </c>
      <c r="W55" t="s">
        <v>33</v>
      </c>
      <c r="X55" t="s">
        <v>33</v>
      </c>
      <c r="Y55" t="s">
        <v>33</v>
      </c>
      <c r="Z55" s="16" t="s">
        <v>34</v>
      </c>
      <c r="AA55">
        <v>-75.641568789999994</v>
      </c>
      <c r="AB55">
        <v>6.1125257299999998</v>
      </c>
      <c r="AC55" t="s">
        <v>135</v>
      </c>
      <c r="AD55" t="s">
        <v>136</v>
      </c>
    </row>
    <row r="56" spans="1:30" x14ac:dyDescent="0.25">
      <c r="A56" t="s">
        <v>9890</v>
      </c>
      <c r="B56" t="s">
        <v>25</v>
      </c>
      <c r="C56" t="s">
        <v>26</v>
      </c>
      <c r="D56" t="s">
        <v>25</v>
      </c>
      <c r="E56" t="s">
        <v>6275</v>
      </c>
      <c r="F56" t="s">
        <v>6276</v>
      </c>
      <c r="G56">
        <v>32317879</v>
      </c>
      <c r="H56" t="s">
        <v>6277</v>
      </c>
      <c r="I56" s="4" t="s">
        <v>35</v>
      </c>
      <c r="J56" s="4" t="s">
        <v>6278</v>
      </c>
      <c r="K56" t="s">
        <v>6279</v>
      </c>
      <c r="L56" t="s">
        <v>55</v>
      </c>
      <c r="M56" t="s">
        <v>6280</v>
      </c>
      <c r="N56" t="s">
        <v>56</v>
      </c>
      <c r="O56" t="s">
        <v>29</v>
      </c>
      <c r="P56" t="s">
        <v>36</v>
      </c>
      <c r="Q56" t="s">
        <v>31</v>
      </c>
      <c r="R56">
        <v>7</v>
      </c>
      <c r="S56" t="s">
        <v>6281</v>
      </c>
      <c r="T56" t="s">
        <v>6282</v>
      </c>
      <c r="U56" t="s">
        <v>6283</v>
      </c>
      <c r="V56" t="s">
        <v>32</v>
      </c>
      <c r="W56" t="s">
        <v>33</v>
      </c>
      <c r="X56" t="s">
        <v>33</v>
      </c>
      <c r="Y56" t="s">
        <v>33</v>
      </c>
      <c r="Z56" s="16" t="s">
        <v>34</v>
      </c>
      <c r="AA56">
        <v>-75.639223900000005</v>
      </c>
      <c r="AB56">
        <v>6.1534893000000004</v>
      </c>
      <c r="AC56" t="s">
        <v>135</v>
      </c>
      <c r="AD56" t="s">
        <v>136</v>
      </c>
    </row>
    <row r="57" spans="1:30" x14ac:dyDescent="0.25">
      <c r="A57" t="s">
        <v>9891</v>
      </c>
      <c r="B57" t="s">
        <v>25</v>
      </c>
      <c r="C57" t="s">
        <v>26</v>
      </c>
      <c r="D57" t="s">
        <v>39</v>
      </c>
      <c r="E57" t="s">
        <v>6284</v>
      </c>
      <c r="F57" t="s">
        <v>6285</v>
      </c>
      <c r="G57">
        <v>1041351052</v>
      </c>
      <c r="H57" t="s">
        <v>6286</v>
      </c>
      <c r="I57" s="4" t="s">
        <v>35</v>
      </c>
      <c r="J57" s="4" t="s">
        <v>6287</v>
      </c>
      <c r="K57" t="s">
        <v>10334</v>
      </c>
      <c r="L57" t="s">
        <v>57</v>
      </c>
      <c r="M57" t="s">
        <v>6288</v>
      </c>
      <c r="N57" t="s">
        <v>58</v>
      </c>
      <c r="O57" t="s">
        <v>46</v>
      </c>
      <c r="P57" t="s">
        <v>36</v>
      </c>
      <c r="Q57" t="s">
        <v>38</v>
      </c>
      <c r="R57">
        <v>8</v>
      </c>
      <c r="S57" t="s">
        <v>6289</v>
      </c>
      <c r="T57" t="s">
        <v>6290</v>
      </c>
      <c r="U57" t="s">
        <v>6291</v>
      </c>
      <c r="V57" t="s">
        <v>32</v>
      </c>
      <c r="W57" t="s">
        <v>33</v>
      </c>
      <c r="X57" t="s">
        <v>33</v>
      </c>
      <c r="Y57" t="s">
        <v>33</v>
      </c>
      <c r="Z57" s="16" t="s">
        <v>34</v>
      </c>
      <c r="AA57">
        <v>-75.639686170000004</v>
      </c>
      <c r="AB57">
        <v>6.0816494499999996</v>
      </c>
      <c r="AC57" t="s">
        <v>135</v>
      </c>
      <c r="AD57" t="s">
        <v>136</v>
      </c>
    </row>
    <row r="58" spans="1:30" x14ac:dyDescent="0.25">
      <c r="A58" t="s">
        <v>206</v>
      </c>
      <c r="B58" t="s">
        <v>25</v>
      </c>
      <c r="C58" t="s">
        <v>26</v>
      </c>
      <c r="D58" t="s">
        <v>39</v>
      </c>
      <c r="E58" t="s">
        <v>207</v>
      </c>
      <c r="F58" t="s">
        <v>208</v>
      </c>
      <c r="G58">
        <v>1037666442</v>
      </c>
      <c r="H58" t="s">
        <v>209</v>
      </c>
      <c r="I58" s="4" t="s">
        <v>35</v>
      </c>
      <c r="J58" s="4" t="s">
        <v>210</v>
      </c>
      <c r="K58" t="s">
        <v>211</v>
      </c>
      <c r="L58" t="s">
        <v>57</v>
      </c>
      <c r="M58" t="s">
        <v>212</v>
      </c>
      <c r="N58" t="s">
        <v>58</v>
      </c>
      <c r="O58" t="s">
        <v>40</v>
      </c>
      <c r="P58" t="s">
        <v>36</v>
      </c>
      <c r="Q58" t="s">
        <v>38</v>
      </c>
      <c r="R58">
        <v>8</v>
      </c>
      <c r="S58" t="s">
        <v>213</v>
      </c>
      <c r="T58" t="s">
        <v>6224</v>
      </c>
      <c r="U58" t="s">
        <v>47</v>
      </c>
      <c r="V58" t="s">
        <v>47</v>
      </c>
      <c r="W58" t="s">
        <v>33</v>
      </c>
      <c r="X58" t="s">
        <v>33</v>
      </c>
      <c r="Y58" t="s">
        <v>33</v>
      </c>
      <c r="Z58" s="16" t="s">
        <v>34</v>
      </c>
      <c r="AA58">
        <v>-75.613804130000005</v>
      </c>
      <c r="AB58">
        <v>6.0969629300000001</v>
      </c>
      <c r="AC58" t="s">
        <v>135</v>
      </c>
      <c r="AD58" t="s">
        <v>136</v>
      </c>
    </row>
    <row r="59" spans="1:30" x14ac:dyDescent="0.25">
      <c r="A59" t="s">
        <v>764</v>
      </c>
      <c r="B59" t="s">
        <v>25</v>
      </c>
      <c r="C59" t="s">
        <v>75</v>
      </c>
      <c r="D59" t="s">
        <v>25</v>
      </c>
      <c r="E59" t="s">
        <v>765</v>
      </c>
      <c r="F59" t="s">
        <v>766</v>
      </c>
      <c r="G59">
        <v>71790117</v>
      </c>
      <c r="H59" t="s">
        <v>767</v>
      </c>
      <c r="I59" s="4" t="s">
        <v>768</v>
      </c>
      <c r="J59" s="4" t="s">
        <v>769</v>
      </c>
      <c r="K59" t="s">
        <v>770</v>
      </c>
      <c r="L59" t="s">
        <v>48</v>
      </c>
      <c r="M59" t="s">
        <v>771</v>
      </c>
      <c r="N59" t="s">
        <v>64</v>
      </c>
      <c r="O59" t="s">
        <v>137</v>
      </c>
      <c r="P59" t="s">
        <v>30</v>
      </c>
      <c r="Q59" t="s">
        <v>38</v>
      </c>
      <c r="R59">
        <v>10</v>
      </c>
      <c r="S59" t="s">
        <v>772</v>
      </c>
      <c r="T59" t="s">
        <v>6292</v>
      </c>
      <c r="U59" t="s">
        <v>6293</v>
      </c>
      <c r="V59" t="s">
        <v>49</v>
      </c>
      <c r="W59" t="s">
        <v>33</v>
      </c>
      <c r="X59" t="s">
        <v>33</v>
      </c>
      <c r="Y59" t="s">
        <v>33</v>
      </c>
      <c r="Z59" s="16" t="s">
        <v>34</v>
      </c>
      <c r="AA59">
        <v>-75.532007160000006</v>
      </c>
      <c r="AB59">
        <v>6.1637369</v>
      </c>
      <c r="AC59" t="s">
        <v>135</v>
      </c>
      <c r="AD59" t="s">
        <v>136</v>
      </c>
    </row>
    <row r="60" spans="1:30" x14ac:dyDescent="0.25">
      <c r="A60" t="s">
        <v>1313</v>
      </c>
      <c r="B60" t="s">
        <v>61</v>
      </c>
      <c r="C60" t="s">
        <v>26</v>
      </c>
      <c r="D60" t="s">
        <v>61</v>
      </c>
      <c r="E60" t="s">
        <v>1314</v>
      </c>
      <c r="F60" t="s">
        <v>1315</v>
      </c>
      <c r="G60">
        <v>830045722</v>
      </c>
      <c r="H60" t="s">
        <v>1316</v>
      </c>
      <c r="I60" s="4" t="s">
        <v>35</v>
      </c>
      <c r="J60" s="4" t="s">
        <v>1317</v>
      </c>
      <c r="K60" t="s">
        <v>1318</v>
      </c>
      <c r="L60" t="s">
        <v>27</v>
      </c>
      <c r="M60" t="s">
        <v>1319</v>
      </c>
      <c r="N60" t="s">
        <v>28</v>
      </c>
      <c r="O60" t="s">
        <v>62</v>
      </c>
      <c r="P60" t="s">
        <v>63</v>
      </c>
      <c r="Q60" t="s">
        <v>38</v>
      </c>
      <c r="R60">
        <v>4</v>
      </c>
      <c r="S60" t="s">
        <v>1320</v>
      </c>
      <c r="T60" t="s">
        <v>1281</v>
      </c>
      <c r="U60" t="s">
        <v>47</v>
      </c>
      <c r="V60" t="s">
        <v>47</v>
      </c>
      <c r="W60" t="s">
        <v>33</v>
      </c>
      <c r="X60" t="s">
        <v>33</v>
      </c>
      <c r="Y60" t="s">
        <v>33</v>
      </c>
      <c r="Z60" s="16" t="s">
        <v>34</v>
      </c>
      <c r="AA60">
        <v>-75.687497780000001</v>
      </c>
      <c r="AB60">
        <v>6.2789320499999999</v>
      </c>
      <c r="AC60" t="s">
        <v>135</v>
      </c>
      <c r="AD60" t="s">
        <v>136</v>
      </c>
    </row>
    <row r="61" spans="1:30" x14ac:dyDescent="0.25">
      <c r="A61" t="s">
        <v>773</v>
      </c>
      <c r="B61" t="s">
        <v>25</v>
      </c>
      <c r="C61" t="s">
        <v>26</v>
      </c>
      <c r="D61" t="s">
        <v>25</v>
      </c>
      <c r="E61" t="s">
        <v>774</v>
      </c>
      <c r="F61" t="s">
        <v>775</v>
      </c>
      <c r="G61">
        <v>43154304</v>
      </c>
      <c r="H61" t="s">
        <v>776</v>
      </c>
      <c r="I61" s="4" t="s">
        <v>777</v>
      </c>
      <c r="J61" s="4" t="s">
        <v>778</v>
      </c>
      <c r="K61" t="s">
        <v>779</v>
      </c>
      <c r="L61" t="s">
        <v>27</v>
      </c>
      <c r="M61" t="s">
        <v>780</v>
      </c>
      <c r="N61" t="s">
        <v>28</v>
      </c>
      <c r="O61" t="s">
        <v>29</v>
      </c>
      <c r="P61" t="s">
        <v>36</v>
      </c>
      <c r="Q61" t="s">
        <v>31</v>
      </c>
      <c r="R61">
        <v>7</v>
      </c>
      <c r="S61" t="s">
        <v>781</v>
      </c>
      <c r="T61" t="s">
        <v>6294</v>
      </c>
      <c r="U61" t="s">
        <v>47</v>
      </c>
      <c r="V61" t="s">
        <v>47</v>
      </c>
      <c r="W61" t="s">
        <v>33</v>
      </c>
      <c r="X61" t="s">
        <v>33</v>
      </c>
      <c r="Y61" t="s">
        <v>33</v>
      </c>
      <c r="Z61" s="16" t="s">
        <v>34</v>
      </c>
      <c r="AA61">
        <v>-75.614635190000001</v>
      </c>
      <c r="AB61">
        <v>6.2473113800000002</v>
      </c>
      <c r="AC61" t="s">
        <v>135</v>
      </c>
      <c r="AD61" t="s">
        <v>136</v>
      </c>
    </row>
    <row r="62" spans="1:30" x14ac:dyDescent="0.25">
      <c r="A62" t="s">
        <v>1696</v>
      </c>
      <c r="B62" t="s">
        <v>42</v>
      </c>
      <c r="C62" t="s">
        <v>26</v>
      </c>
      <c r="D62" t="s">
        <v>42</v>
      </c>
      <c r="E62" t="s">
        <v>1697</v>
      </c>
      <c r="F62" t="s">
        <v>1698</v>
      </c>
      <c r="G62">
        <v>32295376</v>
      </c>
      <c r="H62" t="s">
        <v>1699</v>
      </c>
      <c r="I62" s="4" t="s">
        <v>35</v>
      </c>
      <c r="J62" s="4" t="s">
        <v>1042</v>
      </c>
      <c r="K62" t="s">
        <v>1700</v>
      </c>
      <c r="L62" t="s">
        <v>27</v>
      </c>
      <c r="M62" t="s">
        <v>1701</v>
      </c>
      <c r="N62" t="s">
        <v>28</v>
      </c>
      <c r="O62" t="s">
        <v>43</v>
      </c>
      <c r="P62" t="s">
        <v>37</v>
      </c>
      <c r="Q62" t="s">
        <v>38</v>
      </c>
      <c r="R62">
        <v>10</v>
      </c>
      <c r="S62" t="s">
        <v>1702</v>
      </c>
      <c r="T62" t="s">
        <v>6295</v>
      </c>
      <c r="U62" t="s">
        <v>6296</v>
      </c>
      <c r="V62" t="s">
        <v>32</v>
      </c>
      <c r="W62" t="s">
        <v>33</v>
      </c>
      <c r="X62" t="s">
        <v>33</v>
      </c>
      <c r="Y62" t="s">
        <v>33</v>
      </c>
      <c r="Z62" s="16" t="s">
        <v>34</v>
      </c>
      <c r="AA62">
        <v>-75.632897909999997</v>
      </c>
      <c r="AB62">
        <v>6.2321876300000003</v>
      </c>
      <c r="AC62" t="s">
        <v>135</v>
      </c>
      <c r="AD62" t="s">
        <v>136</v>
      </c>
    </row>
    <row r="63" spans="1:30" x14ac:dyDescent="0.25">
      <c r="A63" t="s">
        <v>214</v>
      </c>
      <c r="B63" t="s">
        <v>25</v>
      </c>
      <c r="C63" t="s">
        <v>26</v>
      </c>
      <c r="D63" t="s">
        <v>25</v>
      </c>
      <c r="E63" t="s">
        <v>215</v>
      </c>
      <c r="F63" t="s">
        <v>216</v>
      </c>
      <c r="G63">
        <v>43818997</v>
      </c>
      <c r="H63" t="s">
        <v>217</v>
      </c>
      <c r="I63" s="4" t="s">
        <v>35</v>
      </c>
      <c r="J63" s="4" t="s">
        <v>218</v>
      </c>
      <c r="K63" t="s">
        <v>219</v>
      </c>
      <c r="L63" t="s">
        <v>27</v>
      </c>
      <c r="M63" t="s">
        <v>220</v>
      </c>
      <c r="N63" t="s">
        <v>28</v>
      </c>
      <c r="O63" t="s">
        <v>29</v>
      </c>
      <c r="P63" t="s">
        <v>36</v>
      </c>
      <c r="Q63" t="s">
        <v>31</v>
      </c>
      <c r="R63">
        <v>7</v>
      </c>
      <c r="S63" t="s">
        <v>221</v>
      </c>
      <c r="T63" t="s">
        <v>6297</v>
      </c>
      <c r="U63" t="s">
        <v>47</v>
      </c>
      <c r="V63" t="s">
        <v>47</v>
      </c>
      <c r="W63" t="s">
        <v>33</v>
      </c>
      <c r="X63" t="s">
        <v>33</v>
      </c>
      <c r="Y63" t="s">
        <v>33</v>
      </c>
      <c r="Z63" s="16" t="s">
        <v>34</v>
      </c>
      <c r="AA63">
        <v>-75.553940999999995</v>
      </c>
      <c r="AB63">
        <v>6.238378</v>
      </c>
      <c r="AC63" t="s">
        <v>135</v>
      </c>
      <c r="AD63" t="s">
        <v>136</v>
      </c>
    </row>
    <row r="64" spans="1:30" x14ac:dyDescent="0.25">
      <c r="A64" t="s">
        <v>566</v>
      </c>
      <c r="B64" t="s">
        <v>42</v>
      </c>
      <c r="C64" t="s">
        <v>26</v>
      </c>
      <c r="D64" t="s">
        <v>42</v>
      </c>
      <c r="E64" t="s">
        <v>567</v>
      </c>
      <c r="F64" t="s">
        <v>568</v>
      </c>
      <c r="G64">
        <v>43985561</v>
      </c>
      <c r="H64" t="s">
        <v>569</v>
      </c>
      <c r="I64" s="4" t="s">
        <v>570</v>
      </c>
      <c r="J64" s="4" t="s">
        <v>571</v>
      </c>
      <c r="K64" t="s">
        <v>572</v>
      </c>
      <c r="L64" t="s">
        <v>27</v>
      </c>
      <c r="M64" t="s">
        <v>573</v>
      </c>
      <c r="N64" t="s">
        <v>28</v>
      </c>
      <c r="O64" t="s">
        <v>43</v>
      </c>
      <c r="P64" t="s">
        <v>36</v>
      </c>
      <c r="Q64" t="s">
        <v>31</v>
      </c>
      <c r="R64">
        <v>7</v>
      </c>
      <c r="S64" t="s">
        <v>574</v>
      </c>
      <c r="T64" t="s">
        <v>6298</v>
      </c>
      <c r="U64" t="s">
        <v>47</v>
      </c>
      <c r="V64" t="s">
        <v>47</v>
      </c>
      <c r="W64" t="s">
        <v>33</v>
      </c>
      <c r="X64" t="s">
        <v>33</v>
      </c>
      <c r="Y64" t="s">
        <v>33</v>
      </c>
      <c r="Z64" s="16" t="s">
        <v>34</v>
      </c>
      <c r="AA64">
        <v>-75.607306429999994</v>
      </c>
      <c r="AB64">
        <v>6.2495971199999998</v>
      </c>
      <c r="AC64" t="s">
        <v>135</v>
      </c>
      <c r="AD64" t="s">
        <v>136</v>
      </c>
    </row>
    <row r="65" spans="1:30" x14ac:dyDescent="0.25">
      <c r="A65" t="s">
        <v>1704</v>
      </c>
      <c r="B65" t="s">
        <v>25</v>
      </c>
      <c r="C65" t="s">
        <v>26</v>
      </c>
      <c r="D65" t="s">
        <v>25</v>
      </c>
      <c r="E65" t="s">
        <v>1705</v>
      </c>
      <c r="F65" t="s">
        <v>1706</v>
      </c>
      <c r="G65">
        <v>527471</v>
      </c>
      <c r="H65" t="s">
        <v>1707</v>
      </c>
      <c r="I65" s="4" t="s">
        <v>1708</v>
      </c>
      <c r="J65" s="4" t="s">
        <v>1709</v>
      </c>
      <c r="K65" t="s">
        <v>1710</v>
      </c>
      <c r="L65" t="s">
        <v>48</v>
      </c>
      <c r="M65" t="s">
        <v>1711</v>
      </c>
      <c r="N65" t="s">
        <v>64</v>
      </c>
      <c r="O65" t="s">
        <v>29</v>
      </c>
      <c r="P65" t="s">
        <v>37</v>
      </c>
      <c r="Q65" t="s">
        <v>31</v>
      </c>
      <c r="R65">
        <v>7</v>
      </c>
      <c r="S65" t="s">
        <v>1712</v>
      </c>
      <c r="T65" t="s">
        <v>6299</v>
      </c>
      <c r="U65" t="s">
        <v>6300</v>
      </c>
      <c r="V65" t="s">
        <v>49</v>
      </c>
      <c r="W65" t="s">
        <v>33</v>
      </c>
      <c r="X65" t="s">
        <v>33</v>
      </c>
      <c r="Y65" t="s">
        <v>33</v>
      </c>
      <c r="Z65" s="16" t="s">
        <v>34</v>
      </c>
      <c r="AA65">
        <v>-75.563266999999996</v>
      </c>
      <c r="AB65">
        <v>6.1705810000000003</v>
      </c>
      <c r="AC65" t="s">
        <v>135</v>
      </c>
      <c r="AD65" t="s">
        <v>136</v>
      </c>
    </row>
    <row r="66" spans="1:30" x14ac:dyDescent="0.25">
      <c r="A66" t="s">
        <v>1713</v>
      </c>
      <c r="B66" t="s">
        <v>42</v>
      </c>
      <c r="C66" t="s">
        <v>75</v>
      </c>
      <c r="D66" t="s">
        <v>42</v>
      </c>
      <c r="E66" t="s">
        <v>1714</v>
      </c>
      <c r="F66" t="s">
        <v>1715</v>
      </c>
      <c r="G66">
        <v>890905211</v>
      </c>
      <c r="H66" t="s">
        <v>1716</v>
      </c>
      <c r="I66" s="4" t="s">
        <v>1717</v>
      </c>
      <c r="J66" s="4" t="s">
        <v>1718</v>
      </c>
      <c r="K66" t="s">
        <v>1719</v>
      </c>
      <c r="L66" t="s">
        <v>27</v>
      </c>
      <c r="M66" t="s">
        <v>1720</v>
      </c>
      <c r="N66" t="s">
        <v>28</v>
      </c>
      <c r="O66" t="s">
        <v>76</v>
      </c>
      <c r="P66" t="s">
        <v>30</v>
      </c>
      <c r="Q66" t="s">
        <v>31</v>
      </c>
      <c r="R66">
        <v>7</v>
      </c>
      <c r="S66" t="s">
        <v>1721</v>
      </c>
      <c r="T66" t="s">
        <v>6301</v>
      </c>
      <c r="U66" t="s">
        <v>6302</v>
      </c>
      <c r="V66" t="s">
        <v>32</v>
      </c>
      <c r="W66" t="s">
        <v>33</v>
      </c>
      <c r="X66" t="s">
        <v>33</v>
      </c>
      <c r="Y66" t="s">
        <v>33</v>
      </c>
      <c r="Z66" s="16" t="s">
        <v>34</v>
      </c>
      <c r="AA66">
        <v>-75.629232000000002</v>
      </c>
      <c r="AB66">
        <v>6.2234100000000003</v>
      </c>
      <c r="AC66" t="s">
        <v>135</v>
      </c>
      <c r="AD66" t="s">
        <v>136</v>
      </c>
    </row>
    <row r="67" spans="1:30" x14ac:dyDescent="0.25">
      <c r="A67" t="s">
        <v>1321</v>
      </c>
      <c r="B67" t="s">
        <v>25</v>
      </c>
      <c r="C67" t="s">
        <v>26</v>
      </c>
      <c r="D67" t="s">
        <v>39</v>
      </c>
      <c r="E67" t="s">
        <v>1322</v>
      </c>
      <c r="F67" t="s">
        <v>1323</v>
      </c>
      <c r="G67">
        <v>1098806826</v>
      </c>
      <c r="H67" t="s">
        <v>1324</v>
      </c>
      <c r="I67" s="4" t="s">
        <v>35</v>
      </c>
      <c r="J67" s="4" t="s">
        <v>1325</v>
      </c>
      <c r="K67" t="s">
        <v>1326</v>
      </c>
      <c r="L67" t="s">
        <v>57</v>
      </c>
      <c r="M67" t="s">
        <v>1327</v>
      </c>
      <c r="N67" t="s">
        <v>58</v>
      </c>
      <c r="O67" t="s">
        <v>46</v>
      </c>
      <c r="P67" t="s">
        <v>41</v>
      </c>
      <c r="Q67" t="s">
        <v>38</v>
      </c>
      <c r="R67">
        <v>8</v>
      </c>
      <c r="S67" t="s">
        <v>1328</v>
      </c>
      <c r="T67" t="s">
        <v>6225</v>
      </c>
      <c r="U67" t="s">
        <v>1814</v>
      </c>
      <c r="V67" t="s">
        <v>49</v>
      </c>
      <c r="W67" t="s">
        <v>33</v>
      </c>
      <c r="X67" t="s">
        <v>33</v>
      </c>
      <c r="Y67" t="s">
        <v>33</v>
      </c>
      <c r="Z67" s="16" t="s">
        <v>34</v>
      </c>
      <c r="AA67">
        <v>-75.626904001</v>
      </c>
      <c r="AB67">
        <v>6.0546154810000399</v>
      </c>
      <c r="AC67" t="s">
        <v>135</v>
      </c>
      <c r="AD67" t="s">
        <v>136</v>
      </c>
    </row>
    <row r="68" spans="1:30" x14ac:dyDescent="0.25">
      <c r="A68" t="s">
        <v>550</v>
      </c>
      <c r="B68" t="s">
        <v>25</v>
      </c>
      <c r="C68" t="s">
        <v>26</v>
      </c>
      <c r="D68" t="s">
        <v>25</v>
      </c>
      <c r="E68" t="s">
        <v>551</v>
      </c>
      <c r="F68" t="s">
        <v>552</v>
      </c>
      <c r="G68">
        <v>8434330</v>
      </c>
      <c r="H68" t="s">
        <v>553</v>
      </c>
      <c r="I68" s="4" t="s">
        <v>554</v>
      </c>
      <c r="J68" s="4" t="s">
        <v>555</v>
      </c>
      <c r="K68" t="s">
        <v>556</v>
      </c>
      <c r="L68" t="s">
        <v>44</v>
      </c>
      <c r="M68" t="s">
        <v>557</v>
      </c>
      <c r="N68" t="s">
        <v>45</v>
      </c>
      <c r="O68" t="s">
        <v>29</v>
      </c>
      <c r="P68" t="s">
        <v>36</v>
      </c>
      <c r="Q68" t="s">
        <v>31</v>
      </c>
      <c r="R68">
        <v>7</v>
      </c>
      <c r="S68" t="s">
        <v>558</v>
      </c>
      <c r="T68" t="s">
        <v>6303</v>
      </c>
      <c r="U68" t="s">
        <v>47</v>
      </c>
      <c r="V68" t="s">
        <v>47</v>
      </c>
      <c r="W68" t="s">
        <v>33</v>
      </c>
      <c r="X68" t="s">
        <v>33</v>
      </c>
      <c r="Y68" t="s">
        <v>33</v>
      </c>
      <c r="Z68" s="16" t="s">
        <v>34</v>
      </c>
      <c r="AA68">
        <v>-75.635305529999997</v>
      </c>
      <c r="AB68">
        <v>6.1712143700000004</v>
      </c>
      <c r="AC68" t="s">
        <v>135</v>
      </c>
      <c r="AD68" t="s">
        <v>136</v>
      </c>
    </row>
    <row r="69" spans="1:30" x14ac:dyDescent="0.25">
      <c r="A69" t="s">
        <v>9892</v>
      </c>
      <c r="B69" t="s">
        <v>25</v>
      </c>
      <c r="C69" t="s">
        <v>26</v>
      </c>
      <c r="D69" t="s">
        <v>39</v>
      </c>
      <c r="E69" t="s">
        <v>6304</v>
      </c>
      <c r="F69" t="s">
        <v>6305</v>
      </c>
      <c r="G69">
        <v>44008118</v>
      </c>
      <c r="H69" t="s">
        <v>6306</v>
      </c>
      <c r="I69" s="4" t="s">
        <v>35</v>
      </c>
      <c r="J69" s="4" t="s">
        <v>6307</v>
      </c>
      <c r="K69" t="s">
        <v>6308</v>
      </c>
      <c r="L69" t="s">
        <v>27</v>
      </c>
      <c r="M69" t="s">
        <v>6309</v>
      </c>
      <c r="N69" t="s">
        <v>28</v>
      </c>
      <c r="O69" t="s">
        <v>40</v>
      </c>
      <c r="P69" t="s">
        <v>41</v>
      </c>
      <c r="Q69" t="s">
        <v>31</v>
      </c>
      <c r="R69">
        <v>5</v>
      </c>
      <c r="S69" t="s">
        <v>6310</v>
      </c>
      <c r="T69" t="s">
        <v>6311</v>
      </c>
      <c r="U69" t="s">
        <v>6312</v>
      </c>
      <c r="V69" t="s">
        <v>32</v>
      </c>
      <c r="W69" t="s">
        <v>33</v>
      </c>
      <c r="X69" t="s">
        <v>33</v>
      </c>
      <c r="Y69" t="s">
        <v>33</v>
      </c>
      <c r="Z69" s="16" t="s">
        <v>34</v>
      </c>
      <c r="AA69">
        <v>-75.529520000000005</v>
      </c>
      <c r="AB69">
        <v>6.2338480000000001</v>
      </c>
      <c r="AC69" t="s">
        <v>135</v>
      </c>
      <c r="AD69" t="s">
        <v>136</v>
      </c>
    </row>
    <row r="70" spans="1:30" x14ac:dyDescent="0.25">
      <c r="A70" t="s">
        <v>9893</v>
      </c>
      <c r="B70" t="s">
        <v>50</v>
      </c>
      <c r="C70" t="s">
        <v>71</v>
      </c>
      <c r="D70" t="s">
        <v>50</v>
      </c>
      <c r="E70" t="s">
        <v>6313</v>
      </c>
      <c r="F70" t="s">
        <v>6314</v>
      </c>
      <c r="G70">
        <v>14253910</v>
      </c>
      <c r="H70" t="s">
        <v>6315</v>
      </c>
      <c r="I70" s="4" t="s">
        <v>35</v>
      </c>
      <c r="J70" s="4" t="s">
        <v>6316</v>
      </c>
      <c r="K70" t="s">
        <v>6317</v>
      </c>
      <c r="L70" t="s">
        <v>27</v>
      </c>
      <c r="M70" t="s">
        <v>6318</v>
      </c>
      <c r="N70" t="s">
        <v>28</v>
      </c>
      <c r="O70" t="s">
        <v>72</v>
      </c>
      <c r="P70" t="s">
        <v>52</v>
      </c>
      <c r="Q70" t="s">
        <v>31</v>
      </c>
      <c r="R70">
        <v>11</v>
      </c>
      <c r="S70" t="s">
        <v>6319</v>
      </c>
      <c r="T70" t="s">
        <v>1552</v>
      </c>
      <c r="U70" t="s">
        <v>6320</v>
      </c>
      <c r="V70" t="s">
        <v>32</v>
      </c>
      <c r="W70" t="s">
        <v>33</v>
      </c>
      <c r="X70" t="s">
        <v>33</v>
      </c>
      <c r="Y70" t="s">
        <v>33</v>
      </c>
      <c r="Z70" s="16" t="s">
        <v>34</v>
      </c>
      <c r="AA70">
        <v>-75.571463730000005</v>
      </c>
      <c r="AB70">
        <v>6.2433336199999996</v>
      </c>
      <c r="AC70" t="s">
        <v>135</v>
      </c>
      <c r="AD70" t="s">
        <v>136</v>
      </c>
    </row>
    <row r="71" spans="1:30" x14ac:dyDescent="0.25">
      <c r="A71" t="s">
        <v>870</v>
      </c>
      <c r="B71" t="s">
        <v>25</v>
      </c>
      <c r="C71" t="s">
        <v>26</v>
      </c>
      <c r="D71" t="s">
        <v>25</v>
      </c>
      <c r="E71" t="s">
        <v>871</v>
      </c>
      <c r="F71" t="s">
        <v>872</v>
      </c>
      <c r="G71">
        <v>42996563</v>
      </c>
      <c r="H71" t="s">
        <v>873</v>
      </c>
      <c r="I71" s="4" t="s">
        <v>874</v>
      </c>
      <c r="J71" s="4" t="s">
        <v>875</v>
      </c>
      <c r="K71" t="s">
        <v>876</v>
      </c>
      <c r="L71" t="s">
        <v>27</v>
      </c>
      <c r="M71" t="s">
        <v>877</v>
      </c>
      <c r="N71" t="s">
        <v>28</v>
      </c>
      <c r="O71" t="s">
        <v>29</v>
      </c>
      <c r="P71" t="s">
        <v>36</v>
      </c>
      <c r="Q71" t="s">
        <v>31</v>
      </c>
      <c r="R71">
        <v>7</v>
      </c>
      <c r="S71" t="s">
        <v>878</v>
      </c>
      <c r="T71" t="s">
        <v>6321</v>
      </c>
      <c r="U71" t="s">
        <v>47</v>
      </c>
      <c r="V71" t="s">
        <v>47</v>
      </c>
      <c r="W71" t="s">
        <v>33</v>
      </c>
      <c r="X71" t="s">
        <v>33</v>
      </c>
      <c r="Y71" t="s">
        <v>33</v>
      </c>
      <c r="Z71" s="16" t="s">
        <v>34</v>
      </c>
      <c r="AA71">
        <v>-75.589658009999994</v>
      </c>
      <c r="AB71">
        <v>6.2109658699999999</v>
      </c>
      <c r="AC71" t="s">
        <v>135</v>
      </c>
      <c r="AD71" t="s">
        <v>136</v>
      </c>
    </row>
    <row r="72" spans="1:30" x14ac:dyDescent="0.25">
      <c r="A72" t="s">
        <v>879</v>
      </c>
      <c r="B72" t="s">
        <v>25</v>
      </c>
      <c r="C72" t="s">
        <v>26</v>
      </c>
      <c r="D72" t="s">
        <v>25</v>
      </c>
      <c r="E72" t="s">
        <v>880</v>
      </c>
      <c r="F72" t="s">
        <v>881</v>
      </c>
      <c r="G72">
        <v>42996563</v>
      </c>
      <c r="H72" t="s">
        <v>873</v>
      </c>
      <c r="I72" s="4" t="s">
        <v>874</v>
      </c>
      <c r="J72" s="4" t="s">
        <v>875</v>
      </c>
      <c r="K72" t="s">
        <v>882</v>
      </c>
      <c r="L72" t="s">
        <v>27</v>
      </c>
      <c r="M72" t="s">
        <v>883</v>
      </c>
      <c r="N72" t="s">
        <v>28</v>
      </c>
      <c r="O72" t="s">
        <v>29</v>
      </c>
      <c r="P72" t="s">
        <v>36</v>
      </c>
      <c r="Q72" t="s">
        <v>31</v>
      </c>
      <c r="R72">
        <v>7</v>
      </c>
      <c r="S72" t="s">
        <v>884</v>
      </c>
      <c r="T72" t="s">
        <v>6322</v>
      </c>
      <c r="U72" t="s">
        <v>47</v>
      </c>
      <c r="V72" t="s">
        <v>47</v>
      </c>
      <c r="W72" t="s">
        <v>33</v>
      </c>
      <c r="X72" t="s">
        <v>33</v>
      </c>
      <c r="Y72" t="s">
        <v>33</v>
      </c>
      <c r="Z72" s="16" t="s">
        <v>34</v>
      </c>
      <c r="AA72">
        <v>-75.589658009999994</v>
      </c>
      <c r="AB72">
        <v>6.2109658699999999</v>
      </c>
      <c r="AC72" t="s">
        <v>135</v>
      </c>
      <c r="AD72" t="s">
        <v>136</v>
      </c>
    </row>
    <row r="73" spans="1:30" x14ac:dyDescent="0.25">
      <c r="A73" t="s">
        <v>9894</v>
      </c>
      <c r="B73" t="s">
        <v>25</v>
      </c>
      <c r="C73" t="s">
        <v>26</v>
      </c>
      <c r="D73" t="s">
        <v>25</v>
      </c>
      <c r="E73" t="s">
        <v>6323</v>
      </c>
      <c r="F73" t="s">
        <v>6324</v>
      </c>
      <c r="G73">
        <v>42883669</v>
      </c>
      <c r="H73" t="s">
        <v>6325</v>
      </c>
      <c r="I73" s="4" t="s">
        <v>35</v>
      </c>
      <c r="J73" s="4" t="s">
        <v>6326</v>
      </c>
      <c r="K73" t="s">
        <v>6327</v>
      </c>
      <c r="L73" t="s">
        <v>48</v>
      </c>
      <c r="M73" t="s">
        <v>6328</v>
      </c>
      <c r="N73" t="s">
        <v>64</v>
      </c>
      <c r="O73" t="s">
        <v>29</v>
      </c>
      <c r="P73" t="s">
        <v>37</v>
      </c>
      <c r="Q73" t="s">
        <v>31</v>
      </c>
      <c r="R73">
        <v>7</v>
      </c>
      <c r="S73" t="s">
        <v>6329</v>
      </c>
      <c r="T73" t="s">
        <v>6330</v>
      </c>
      <c r="U73" t="s">
        <v>6331</v>
      </c>
      <c r="V73" t="s">
        <v>32</v>
      </c>
      <c r="W73" t="s">
        <v>33</v>
      </c>
      <c r="X73" t="s">
        <v>33</v>
      </c>
      <c r="Y73" t="s">
        <v>33</v>
      </c>
      <c r="Z73" s="16" t="s">
        <v>34</v>
      </c>
      <c r="AA73">
        <v>-75.580210710000003</v>
      </c>
      <c r="AB73">
        <v>6.1552209400000004</v>
      </c>
      <c r="AC73" t="s">
        <v>135</v>
      </c>
      <c r="AD73" t="s">
        <v>136</v>
      </c>
    </row>
    <row r="74" spans="1:30" x14ac:dyDescent="0.25">
      <c r="A74" t="s">
        <v>1722</v>
      </c>
      <c r="B74" t="s">
        <v>25</v>
      </c>
      <c r="C74" t="s">
        <v>26</v>
      </c>
      <c r="D74" t="s">
        <v>25</v>
      </c>
      <c r="E74" t="s">
        <v>1723</v>
      </c>
      <c r="F74" t="s">
        <v>1724</v>
      </c>
      <c r="G74">
        <v>21553775</v>
      </c>
      <c r="H74" t="s">
        <v>1725</v>
      </c>
      <c r="I74" s="4" t="s">
        <v>35</v>
      </c>
      <c r="J74" s="4" t="s">
        <v>1726</v>
      </c>
      <c r="K74" t="s">
        <v>1727</v>
      </c>
      <c r="L74" t="s">
        <v>27</v>
      </c>
      <c r="M74" t="s">
        <v>1728</v>
      </c>
      <c r="N74" t="s">
        <v>28</v>
      </c>
      <c r="O74" t="s">
        <v>29</v>
      </c>
      <c r="P74" t="s">
        <v>30</v>
      </c>
      <c r="Q74" t="s">
        <v>31</v>
      </c>
      <c r="R74">
        <v>7</v>
      </c>
      <c r="S74" t="s">
        <v>1729</v>
      </c>
      <c r="T74" t="s">
        <v>886</v>
      </c>
      <c r="U74" t="s">
        <v>885</v>
      </c>
      <c r="V74" t="s">
        <v>32</v>
      </c>
      <c r="W74" t="s">
        <v>33</v>
      </c>
      <c r="X74" t="s">
        <v>33</v>
      </c>
      <c r="Y74" t="s">
        <v>33</v>
      </c>
      <c r="Z74" s="16" t="s">
        <v>34</v>
      </c>
      <c r="AA74">
        <v>-75.606078539999999</v>
      </c>
      <c r="AB74">
        <v>6.2103835299999997</v>
      </c>
      <c r="AC74" t="s">
        <v>135</v>
      </c>
      <c r="AD74" t="s">
        <v>136</v>
      </c>
    </row>
    <row r="75" spans="1:30" x14ac:dyDescent="0.25">
      <c r="A75" t="s">
        <v>9895</v>
      </c>
      <c r="B75" t="s">
        <v>25</v>
      </c>
      <c r="C75" t="s">
        <v>26</v>
      </c>
      <c r="D75" t="s">
        <v>25</v>
      </c>
      <c r="E75" t="s">
        <v>6332</v>
      </c>
      <c r="F75" t="s">
        <v>6333</v>
      </c>
      <c r="G75">
        <v>42883669</v>
      </c>
      <c r="H75" t="s">
        <v>6325</v>
      </c>
      <c r="I75" s="4" t="s">
        <v>35</v>
      </c>
      <c r="J75" s="4" t="s">
        <v>6326</v>
      </c>
      <c r="K75" t="s">
        <v>6334</v>
      </c>
      <c r="L75" t="s">
        <v>48</v>
      </c>
      <c r="M75" t="s">
        <v>6335</v>
      </c>
      <c r="N75" t="s">
        <v>64</v>
      </c>
      <c r="O75" t="s">
        <v>29</v>
      </c>
      <c r="P75" t="s">
        <v>37</v>
      </c>
      <c r="Q75" t="s">
        <v>31</v>
      </c>
      <c r="R75">
        <v>7</v>
      </c>
      <c r="S75" t="s">
        <v>6336</v>
      </c>
      <c r="T75" t="s">
        <v>3465</v>
      </c>
      <c r="U75" t="s">
        <v>902</v>
      </c>
      <c r="V75" t="s">
        <v>32</v>
      </c>
      <c r="W75" t="s">
        <v>33</v>
      </c>
      <c r="X75" t="s">
        <v>33</v>
      </c>
      <c r="Y75" t="s">
        <v>33</v>
      </c>
      <c r="Z75" s="16" t="s">
        <v>34</v>
      </c>
      <c r="AA75">
        <v>-75.580198069999994</v>
      </c>
      <c r="AB75">
        <v>6.1551497199999998</v>
      </c>
      <c r="AC75" t="s">
        <v>135</v>
      </c>
      <c r="AD75" t="s">
        <v>136</v>
      </c>
    </row>
    <row r="76" spans="1:30" x14ac:dyDescent="0.25">
      <c r="A76" t="s">
        <v>1730</v>
      </c>
      <c r="B76" t="s">
        <v>25</v>
      </c>
      <c r="C76" t="s">
        <v>26</v>
      </c>
      <c r="D76" t="s">
        <v>39</v>
      </c>
      <c r="E76" t="s">
        <v>1731</v>
      </c>
      <c r="F76" t="s">
        <v>1732</v>
      </c>
      <c r="G76">
        <v>32312831</v>
      </c>
      <c r="H76" t="s">
        <v>1733</v>
      </c>
      <c r="I76" s="4" t="s">
        <v>35</v>
      </c>
      <c r="J76" s="4" t="s">
        <v>1734</v>
      </c>
      <c r="K76" t="s">
        <v>1735</v>
      </c>
      <c r="L76" t="s">
        <v>27</v>
      </c>
      <c r="M76" t="s">
        <v>1736</v>
      </c>
      <c r="N76" t="s">
        <v>28</v>
      </c>
      <c r="O76" t="s">
        <v>46</v>
      </c>
      <c r="P76" t="s">
        <v>41</v>
      </c>
      <c r="Q76" t="s">
        <v>38</v>
      </c>
      <c r="R76">
        <v>8</v>
      </c>
      <c r="S76" t="s">
        <v>1737</v>
      </c>
      <c r="T76" t="s">
        <v>6337</v>
      </c>
      <c r="U76" t="s">
        <v>6338</v>
      </c>
      <c r="V76" t="s">
        <v>32</v>
      </c>
      <c r="W76" t="s">
        <v>33</v>
      </c>
      <c r="X76" t="s">
        <v>33</v>
      </c>
      <c r="Y76" t="s">
        <v>33</v>
      </c>
      <c r="Z76" s="16" t="s">
        <v>34</v>
      </c>
      <c r="AA76">
        <v>-75.707118449999996</v>
      </c>
      <c r="AB76">
        <v>6.3659890099999998</v>
      </c>
      <c r="AC76" t="s">
        <v>135</v>
      </c>
      <c r="AD76" t="s">
        <v>136</v>
      </c>
    </row>
    <row r="77" spans="1:30" x14ac:dyDescent="0.25">
      <c r="A77" t="s">
        <v>1738</v>
      </c>
      <c r="B77" t="s">
        <v>25</v>
      </c>
      <c r="C77" t="s">
        <v>26</v>
      </c>
      <c r="D77" t="s">
        <v>25</v>
      </c>
      <c r="E77" t="s">
        <v>1739</v>
      </c>
      <c r="F77" t="s">
        <v>1740</v>
      </c>
      <c r="G77">
        <v>8128828</v>
      </c>
      <c r="H77" t="s">
        <v>1741</v>
      </c>
      <c r="I77" s="4" t="s">
        <v>35</v>
      </c>
      <c r="J77" s="4" t="s">
        <v>1742</v>
      </c>
      <c r="K77" t="s">
        <v>1743</v>
      </c>
      <c r="L77" t="s">
        <v>27</v>
      </c>
      <c r="M77" t="s">
        <v>1744</v>
      </c>
      <c r="N77" t="s">
        <v>28</v>
      </c>
      <c r="O77" t="s">
        <v>29</v>
      </c>
      <c r="P77" t="s">
        <v>37</v>
      </c>
      <c r="Q77" t="s">
        <v>31</v>
      </c>
      <c r="R77">
        <v>7</v>
      </c>
      <c r="S77" t="s">
        <v>1745</v>
      </c>
      <c r="T77" t="s">
        <v>6339</v>
      </c>
      <c r="U77" t="s">
        <v>6340</v>
      </c>
      <c r="V77" t="s">
        <v>49</v>
      </c>
      <c r="W77" t="s">
        <v>33</v>
      </c>
      <c r="X77" t="s">
        <v>33</v>
      </c>
      <c r="Y77" t="s">
        <v>33</v>
      </c>
      <c r="Z77" s="16" t="s">
        <v>34</v>
      </c>
      <c r="AA77">
        <v>-75.647742879999996</v>
      </c>
      <c r="AB77">
        <v>6.1830394599999998</v>
      </c>
      <c r="AC77" t="s">
        <v>135</v>
      </c>
      <c r="AD77" t="s">
        <v>136</v>
      </c>
    </row>
    <row r="78" spans="1:30" x14ac:dyDescent="0.25">
      <c r="A78" t="s">
        <v>9896</v>
      </c>
      <c r="B78" t="s">
        <v>25</v>
      </c>
      <c r="C78" t="s">
        <v>26</v>
      </c>
      <c r="D78" t="s">
        <v>25</v>
      </c>
      <c r="E78" t="s">
        <v>6341</v>
      </c>
      <c r="F78" t="s">
        <v>6342</v>
      </c>
      <c r="G78">
        <v>43029293</v>
      </c>
      <c r="H78" t="s">
        <v>6343</v>
      </c>
      <c r="I78" s="4" t="s">
        <v>35</v>
      </c>
      <c r="J78" s="4" t="s">
        <v>6344</v>
      </c>
      <c r="K78" t="s">
        <v>6345</v>
      </c>
      <c r="L78" t="s">
        <v>27</v>
      </c>
      <c r="M78" t="s">
        <v>6346</v>
      </c>
      <c r="N78" t="s">
        <v>28</v>
      </c>
      <c r="O78" t="s">
        <v>29</v>
      </c>
      <c r="P78" t="s">
        <v>36</v>
      </c>
      <c r="Q78" t="s">
        <v>31</v>
      </c>
      <c r="R78">
        <v>7</v>
      </c>
      <c r="S78" t="s">
        <v>6347</v>
      </c>
      <c r="T78" t="s">
        <v>6348</v>
      </c>
      <c r="U78" t="s">
        <v>6349</v>
      </c>
      <c r="V78" t="s">
        <v>32</v>
      </c>
      <c r="W78" t="s">
        <v>33</v>
      </c>
      <c r="X78" t="s">
        <v>33</v>
      </c>
      <c r="Y78" t="s">
        <v>33</v>
      </c>
      <c r="Z78" s="16" t="s">
        <v>34</v>
      </c>
      <c r="AA78">
        <v>-75.606602629999998</v>
      </c>
      <c r="AB78">
        <v>6.2538589800000004</v>
      </c>
      <c r="AC78" t="s">
        <v>135</v>
      </c>
      <c r="AD78" t="s">
        <v>136</v>
      </c>
    </row>
    <row r="79" spans="1:30" x14ac:dyDescent="0.25">
      <c r="A79" t="s">
        <v>1157</v>
      </c>
      <c r="B79" t="s">
        <v>25</v>
      </c>
      <c r="C79" t="s">
        <v>26</v>
      </c>
      <c r="D79" t="s">
        <v>25</v>
      </c>
      <c r="E79" t="s">
        <v>1158</v>
      </c>
      <c r="F79" t="s">
        <v>1159</v>
      </c>
      <c r="G79">
        <v>71722829</v>
      </c>
      <c r="H79" t="s">
        <v>1160</v>
      </c>
      <c r="I79" s="4" t="s">
        <v>35</v>
      </c>
      <c r="J79" s="4" t="s">
        <v>1161</v>
      </c>
      <c r="K79" t="s">
        <v>1162</v>
      </c>
      <c r="L79" t="s">
        <v>27</v>
      </c>
      <c r="M79" t="s">
        <v>1163</v>
      </c>
      <c r="N79" t="s">
        <v>28</v>
      </c>
      <c r="O79" t="s">
        <v>29</v>
      </c>
      <c r="P79" t="s">
        <v>36</v>
      </c>
      <c r="Q79" t="s">
        <v>31</v>
      </c>
      <c r="R79">
        <v>7</v>
      </c>
      <c r="S79" t="s">
        <v>1164</v>
      </c>
      <c r="T79" t="s">
        <v>6350</v>
      </c>
      <c r="U79" t="s">
        <v>6351</v>
      </c>
      <c r="V79" t="s">
        <v>131</v>
      </c>
      <c r="W79" t="s">
        <v>33</v>
      </c>
      <c r="X79" t="s">
        <v>33</v>
      </c>
      <c r="Y79" t="s">
        <v>33</v>
      </c>
      <c r="Z79" s="16" t="s">
        <v>34</v>
      </c>
      <c r="AA79">
        <v>-75.612865839999998</v>
      </c>
      <c r="AB79">
        <v>6.2336444799999997</v>
      </c>
      <c r="AC79" t="s">
        <v>135</v>
      </c>
      <c r="AD79" t="s">
        <v>136</v>
      </c>
    </row>
    <row r="80" spans="1:30" x14ac:dyDescent="0.25">
      <c r="A80" t="s">
        <v>1746</v>
      </c>
      <c r="B80" t="s">
        <v>50</v>
      </c>
      <c r="C80" t="s">
        <v>26</v>
      </c>
      <c r="D80" t="s">
        <v>50</v>
      </c>
      <c r="E80" t="s">
        <v>1747</v>
      </c>
      <c r="F80" t="s">
        <v>1748</v>
      </c>
      <c r="G80">
        <v>70876152</v>
      </c>
      <c r="H80" t="s">
        <v>1749</v>
      </c>
      <c r="I80" s="4" t="s">
        <v>35</v>
      </c>
      <c r="J80" s="4" t="s">
        <v>1750</v>
      </c>
      <c r="K80" t="s">
        <v>1751</v>
      </c>
      <c r="L80" t="s">
        <v>55</v>
      </c>
      <c r="M80" t="s">
        <v>1752</v>
      </c>
      <c r="N80" t="s">
        <v>56</v>
      </c>
      <c r="O80" t="s">
        <v>40</v>
      </c>
      <c r="P80" t="s">
        <v>36</v>
      </c>
      <c r="Q80" t="s">
        <v>31</v>
      </c>
      <c r="R80">
        <v>5</v>
      </c>
      <c r="S80" t="s">
        <v>1753</v>
      </c>
      <c r="T80" t="s">
        <v>1503</v>
      </c>
      <c r="U80" t="s">
        <v>6168</v>
      </c>
      <c r="V80" t="s">
        <v>49</v>
      </c>
      <c r="W80" t="s">
        <v>33</v>
      </c>
      <c r="X80" t="s">
        <v>33</v>
      </c>
      <c r="Y80" t="s">
        <v>33</v>
      </c>
      <c r="Z80" s="16" t="s">
        <v>34</v>
      </c>
      <c r="AA80">
        <v>-75.646382290000005</v>
      </c>
      <c r="AB80">
        <v>6.1591179900000004</v>
      </c>
      <c r="AC80" t="s">
        <v>135</v>
      </c>
      <c r="AD80" t="s">
        <v>136</v>
      </c>
    </row>
    <row r="81" spans="1:30" x14ac:dyDescent="0.25">
      <c r="A81" t="s">
        <v>1755</v>
      </c>
      <c r="B81" t="s">
        <v>25</v>
      </c>
      <c r="C81" t="s">
        <v>26</v>
      </c>
      <c r="D81" t="s">
        <v>25</v>
      </c>
      <c r="E81" t="s">
        <v>1756</v>
      </c>
      <c r="F81" t="s">
        <v>1757</v>
      </c>
      <c r="G81">
        <v>32402829</v>
      </c>
      <c r="H81" t="s">
        <v>1758</v>
      </c>
      <c r="I81" s="4" t="s">
        <v>1759</v>
      </c>
      <c r="J81" s="4" t="s">
        <v>1760</v>
      </c>
      <c r="K81" t="s">
        <v>1761</v>
      </c>
      <c r="L81" t="s">
        <v>27</v>
      </c>
      <c r="M81" t="s">
        <v>1762</v>
      </c>
      <c r="N81" t="s">
        <v>28</v>
      </c>
      <c r="O81" t="s">
        <v>29</v>
      </c>
      <c r="P81" t="s">
        <v>37</v>
      </c>
      <c r="Q81" t="s">
        <v>31</v>
      </c>
      <c r="R81">
        <v>7</v>
      </c>
      <c r="S81" t="s">
        <v>1763</v>
      </c>
      <c r="T81" t="s">
        <v>2049</v>
      </c>
      <c r="U81" t="s">
        <v>6352</v>
      </c>
      <c r="V81" t="s">
        <v>32</v>
      </c>
      <c r="W81" t="s">
        <v>33</v>
      </c>
      <c r="X81" t="s">
        <v>33</v>
      </c>
      <c r="Y81" t="s">
        <v>33</v>
      </c>
      <c r="Z81" s="16" t="s">
        <v>34</v>
      </c>
      <c r="AA81">
        <v>-75.556740000000005</v>
      </c>
      <c r="AB81">
        <v>6.2386150000000002</v>
      </c>
      <c r="AC81" t="s">
        <v>135</v>
      </c>
      <c r="AD81" t="s">
        <v>136</v>
      </c>
    </row>
    <row r="82" spans="1:30" x14ac:dyDescent="0.25">
      <c r="A82" t="s">
        <v>9897</v>
      </c>
      <c r="B82" t="s">
        <v>25</v>
      </c>
      <c r="C82" t="s">
        <v>26</v>
      </c>
      <c r="D82" t="s">
        <v>39</v>
      </c>
      <c r="E82" t="s">
        <v>6353</v>
      </c>
      <c r="F82" t="s">
        <v>6354</v>
      </c>
      <c r="G82">
        <v>43151376</v>
      </c>
      <c r="H82" t="s">
        <v>6355</v>
      </c>
      <c r="I82" s="4" t="s">
        <v>6356</v>
      </c>
      <c r="J82" s="4" t="s">
        <v>6357</v>
      </c>
      <c r="K82" t="s">
        <v>6358</v>
      </c>
      <c r="L82" t="s">
        <v>27</v>
      </c>
      <c r="M82" t="s">
        <v>6359</v>
      </c>
      <c r="N82" t="s">
        <v>28</v>
      </c>
      <c r="O82" t="s">
        <v>46</v>
      </c>
      <c r="P82" t="s">
        <v>41</v>
      </c>
      <c r="Q82" t="s">
        <v>31</v>
      </c>
      <c r="R82">
        <v>5</v>
      </c>
      <c r="S82" t="s">
        <v>6360</v>
      </c>
      <c r="T82" t="s">
        <v>6361</v>
      </c>
      <c r="U82" t="s">
        <v>3636</v>
      </c>
      <c r="V82" t="s">
        <v>32</v>
      </c>
      <c r="W82" t="s">
        <v>33</v>
      </c>
      <c r="X82" t="s">
        <v>33</v>
      </c>
      <c r="Y82" t="s">
        <v>33</v>
      </c>
      <c r="Z82" s="16" t="s">
        <v>34</v>
      </c>
      <c r="AA82">
        <v>-75.610884501000001</v>
      </c>
      <c r="AB82">
        <v>6.2574398200000596</v>
      </c>
      <c r="AC82" t="s">
        <v>135</v>
      </c>
      <c r="AD82" t="s">
        <v>136</v>
      </c>
    </row>
    <row r="83" spans="1:30" x14ac:dyDescent="0.25">
      <c r="A83" t="s">
        <v>9898</v>
      </c>
      <c r="B83" t="s">
        <v>25</v>
      </c>
      <c r="C83" t="s">
        <v>26</v>
      </c>
      <c r="D83" t="s">
        <v>39</v>
      </c>
      <c r="E83" t="s">
        <v>6362</v>
      </c>
      <c r="F83" t="s">
        <v>6363</v>
      </c>
      <c r="G83">
        <v>1000898616</v>
      </c>
      <c r="H83" t="s">
        <v>6364</v>
      </c>
      <c r="I83" s="4" t="s">
        <v>35</v>
      </c>
      <c r="J83" s="4" t="s">
        <v>6365</v>
      </c>
      <c r="K83" t="s">
        <v>6366</v>
      </c>
      <c r="L83" t="s">
        <v>27</v>
      </c>
      <c r="M83" t="s">
        <v>6367</v>
      </c>
      <c r="N83" t="s">
        <v>28</v>
      </c>
      <c r="O83" t="s">
        <v>40</v>
      </c>
      <c r="P83" t="s">
        <v>41</v>
      </c>
      <c r="Q83" t="s">
        <v>31</v>
      </c>
      <c r="R83">
        <v>5</v>
      </c>
      <c r="S83" t="s">
        <v>6368</v>
      </c>
      <c r="T83" t="s">
        <v>6188</v>
      </c>
      <c r="U83" t="s">
        <v>6369</v>
      </c>
      <c r="V83" t="s">
        <v>32</v>
      </c>
      <c r="W83" t="s">
        <v>33</v>
      </c>
      <c r="X83" t="s">
        <v>33</v>
      </c>
      <c r="Y83" t="s">
        <v>33</v>
      </c>
      <c r="Z83" s="16" t="s">
        <v>34</v>
      </c>
      <c r="AA83">
        <v>-75.639285790000002</v>
      </c>
      <c r="AB83">
        <v>6.2785502800000001</v>
      </c>
      <c r="AC83" t="s">
        <v>135</v>
      </c>
      <c r="AD83" t="s">
        <v>136</v>
      </c>
    </row>
    <row r="84" spans="1:30" x14ac:dyDescent="0.25">
      <c r="A84" t="s">
        <v>9899</v>
      </c>
      <c r="B84" t="s">
        <v>25</v>
      </c>
      <c r="C84" t="s">
        <v>26</v>
      </c>
      <c r="D84" t="s">
        <v>39</v>
      </c>
      <c r="E84" t="s">
        <v>6370</v>
      </c>
      <c r="F84" t="s">
        <v>6371</v>
      </c>
      <c r="G84">
        <v>1216725824</v>
      </c>
      <c r="H84" t="s">
        <v>6372</v>
      </c>
      <c r="I84" s="4" t="s">
        <v>35</v>
      </c>
      <c r="J84" s="4" t="s">
        <v>6373</v>
      </c>
      <c r="K84" t="s">
        <v>6374</v>
      </c>
      <c r="L84" t="s">
        <v>27</v>
      </c>
      <c r="M84" t="s">
        <v>6375</v>
      </c>
      <c r="N84" t="s">
        <v>28</v>
      </c>
      <c r="O84" t="s">
        <v>40</v>
      </c>
      <c r="P84" t="s">
        <v>41</v>
      </c>
      <c r="Q84" t="s">
        <v>31</v>
      </c>
      <c r="R84">
        <v>5</v>
      </c>
      <c r="S84" t="s">
        <v>6376</v>
      </c>
      <c r="T84" t="s">
        <v>6188</v>
      </c>
      <c r="U84" t="s">
        <v>6369</v>
      </c>
      <c r="V84" t="s">
        <v>32</v>
      </c>
      <c r="W84" t="s">
        <v>33</v>
      </c>
      <c r="X84" t="s">
        <v>33</v>
      </c>
      <c r="Y84" t="s">
        <v>33</v>
      </c>
      <c r="Z84" s="16" t="s">
        <v>34</v>
      </c>
      <c r="AA84">
        <v>-75.639277840000005</v>
      </c>
      <c r="AB84">
        <v>6.2785703499999999</v>
      </c>
      <c r="AC84" t="s">
        <v>135</v>
      </c>
      <c r="AD84" t="s">
        <v>136</v>
      </c>
    </row>
    <row r="85" spans="1:30" x14ac:dyDescent="0.25">
      <c r="A85" t="s">
        <v>1165</v>
      </c>
      <c r="B85" t="s">
        <v>25</v>
      </c>
      <c r="C85" t="s">
        <v>26</v>
      </c>
      <c r="D85" t="s">
        <v>25</v>
      </c>
      <c r="E85" t="s">
        <v>1166</v>
      </c>
      <c r="F85" t="s">
        <v>1167</v>
      </c>
      <c r="G85">
        <v>8036062</v>
      </c>
      <c r="H85" t="s">
        <v>1168</v>
      </c>
      <c r="I85" s="4" t="s">
        <v>35</v>
      </c>
      <c r="J85" s="4" t="s">
        <v>1169</v>
      </c>
      <c r="K85" t="s">
        <v>1170</v>
      </c>
      <c r="L85" t="s">
        <v>55</v>
      </c>
      <c r="M85" t="s">
        <v>1171</v>
      </c>
      <c r="N85" t="s">
        <v>56</v>
      </c>
      <c r="O85" t="s">
        <v>29</v>
      </c>
      <c r="P85" t="s">
        <v>36</v>
      </c>
      <c r="Q85" t="s">
        <v>38</v>
      </c>
      <c r="R85">
        <v>10</v>
      </c>
      <c r="S85" t="s">
        <v>1172</v>
      </c>
      <c r="T85" t="s">
        <v>6273</v>
      </c>
      <c r="U85" t="s">
        <v>6377</v>
      </c>
      <c r="V85" t="s">
        <v>32</v>
      </c>
      <c r="W85" t="s">
        <v>33</v>
      </c>
      <c r="X85" t="s">
        <v>33</v>
      </c>
      <c r="Y85" t="s">
        <v>33</v>
      </c>
      <c r="Z85" s="16" t="s">
        <v>34</v>
      </c>
      <c r="AA85">
        <v>-75.647189999999995</v>
      </c>
      <c r="AB85">
        <v>6.1162409999999996</v>
      </c>
      <c r="AC85" t="s">
        <v>135</v>
      </c>
      <c r="AD85" t="s">
        <v>136</v>
      </c>
    </row>
    <row r="86" spans="1:30" x14ac:dyDescent="0.25">
      <c r="A86" t="s">
        <v>1764</v>
      </c>
      <c r="B86" t="s">
        <v>25</v>
      </c>
      <c r="C86" t="s">
        <v>26</v>
      </c>
      <c r="D86" t="s">
        <v>25</v>
      </c>
      <c r="E86" t="s">
        <v>1765</v>
      </c>
      <c r="F86" t="s">
        <v>1766</v>
      </c>
      <c r="G86">
        <v>43081514</v>
      </c>
      <c r="H86" t="s">
        <v>1767</v>
      </c>
      <c r="I86" s="4" t="s">
        <v>35</v>
      </c>
      <c r="J86" s="4" t="s">
        <v>1768</v>
      </c>
      <c r="K86" t="s">
        <v>1769</v>
      </c>
      <c r="L86" t="s">
        <v>27</v>
      </c>
      <c r="M86" t="s">
        <v>1770</v>
      </c>
      <c r="N86" t="s">
        <v>28</v>
      </c>
      <c r="O86" t="s">
        <v>29</v>
      </c>
      <c r="P86" t="s">
        <v>37</v>
      </c>
      <c r="Q86" t="s">
        <v>31</v>
      </c>
      <c r="R86">
        <v>7</v>
      </c>
      <c r="S86" t="s">
        <v>1771</v>
      </c>
      <c r="T86" t="s">
        <v>6339</v>
      </c>
      <c r="U86" t="s">
        <v>6340</v>
      </c>
      <c r="V86" t="s">
        <v>49</v>
      </c>
      <c r="W86" t="s">
        <v>33</v>
      </c>
      <c r="X86" t="s">
        <v>33</v>
      </c>
      <c r="Y86" t="s">
        <v>33</v>
      </c>
      <c r="Z86" s="16" t="s">
        <v>34</v>
      </c>
      <c r="AA86">
        <v>-75.558314999999993</v>
      </c>
      <c r="AB86">
        <v>6.2342110000000002</v>
      </c>
      <c r="AC86" t="s">
        <v>135</v>
      </c>
      <c r="AD86" t="s">
        <v>136</v>
      </c>
    </row>
    <row r="87" spans="1:30" x14ac:dyDescent="0.25">
      <c r="A87" t="s">
        <v>1772</v>
      </c>
      <c r="B87" t="s">
        <v>25</v>
      </c>
      <c r="C87" t="s">
        <v>26</v>
      </c>
      <c r="D87" t="s">
        <v>39</v>
      </c>
      <c r="E87" t="s">
        <v>1773</v>
      </c>
      <c r="F87" t="s">
        <v>1774</v>
      </c>
      <c r="G87">
        <v>15254482</v>
      </c>
      <c r="H87" t="s">
        <v>1775</v>
      </c>
      <c r="I87" s="4" t="s">
        <v>35</v>
      </c>
      <c r="J87" s="4" t="s">
        <v>1776</v>
      </c>
      <c r="K87" t="s">
        <v>1777</v>
      </c>
      <c r="L87" t="s">
        <v>55</v>
      </c>
      <c r="M87" t="s">
        <v>1778</v>
      </c>
      <c r="N87" t="s">
        <v>56</v>
      </c>
      <c r="O87" t="s">
        <v>40</v>
      </c>
      <c r="P87" t="s">
        <v>36</v>
      </c>
      <c r="Q87" t="s">
        <v>38</v>
      </c>
      <c r="R87">
        <v>8</v>
      </c>
      <c r="S87" t="s">
        <v>1779</v>
      </c>
      <c r="T87" t="s">
        <v>6273</v>
      </c>
      <c r="U87" t="s">
        <v>6274</v>
      </c>
      <c r="V87" t="s">
        <v>49</v>
      </c>
      <c r="W87" t="s">
        <v>33</v>
      </c>
      <c r="X87" t="s">
        <v>33</v>
      </c>
      <c r="Y87" t="s">
        <v>33</v>
      </c>
      <c r="Z87" s="16" t="s">
        <v>34</v>
      </c>
      <c r="AA87">
        <v>-75.635412130000006</v>
      </c>
      <c r="AB87">
        <v>6.1188385900000002</v>
      </c>
      <c r="AC87" t="s">
        <v>135</v>
      </c>
      <c r="AD87" t="s">
        <v>136</v>
      </c>
    </row>
    <row r="88" spans="1:30" x14ac:dyDescent="0.25">
      <c r="A88" t="s">
        <v>9900</v>
      </c>
      <c r="B88" t="s">
        <v>25</v>
      </c>
      <c r="C88" t="s">
        <v>26</v>
      </c>
      <c r="D88" t="s">
        <v>39</v>
      </c>
      <c r="E88" t="s">
        <v>6378</v>
      </c>
      <c r="F88" t="s">
        <v>6379</v>
      </c>
      <c r="G88">
        <v>32292074</v>
      </c>
      <c r="H88" t="s">
        <v>6380</v>
      </c>
      <c r="I88" s="4" t="s">
        <v>35</v>
      </c>
      <c r="J88" s="4" t="s">
        <v>6381</v>
      </c>
      <c r="K88" t="s">
        <v>6382</v>
      </c>
      <c r="L88" t="s">
        <v>27</v>
      </c>
      <c r="M88" t="s">
        <v>6383</v>
      </c>
      <c r="N88" t="s">
        <v>28</v>
      </c>
      <c r="O88" t="s">
        <v>40</v>
      </c>
      <c r="P88" t="s">
        <v>41</v>
      </c>
      <c r="Q88" t="s">
        <v>31</v>
      </c>
      <c r="R88">
        <v>5</v>
      </c>
      <c r="S88" t="s">
        <v>6384</v>
      </c>
      <c r="T88" t="s">
        <v>6385</v>
      </c>
      <c r="U88" t="s">
        <v>6386</v>
      </c>
      <c r="V88" t="s">
        <v>32</v>
      </c>
      <c r="W88" t="s">
        <v>33</v>
      </c>
      <c r="X88" t="s">
        <v>33</v>
      </c>
      <c r="Y88" t="s">
        <v>33</v>
      </c>
      <c r="Z88" s="16" t="s">
        <v>34</v>
      </c>
      <c r="AA88">
        <v>-75.612482</v>
      </c>
      <c r="AB88">
        <v>6.271528</v>
      </c>
      <c r="AC88" t="s">
        <v>135</v>
      </c>
      <c r="AD88" t="s">
        <v>136</v>
      </c>
    </row>
    <row r="89" spans="1:30" x14ac:dyDescent="0.25">
      <c r="A89" t="s">
        <v>1780</v>
      </c>
      <c r="B89" t="s">
        <v>25</v>
      </c>
      <c r="C89" t="s">
        <v>26</v>
      </c>
      <c r="D89" t="s">
        <v>25</v>
      </c>
      <c r="E89" t="s">
        <v>1781</v>
      </c>
      <c r="F89" t="s">
        <v>1782</v>
      </c>
      <c r="G89">
        <v>8433185</v>
      </c>
      <c r="H89" t="s">
        <v>1783</v>
      </c>
      <c r="I89" s="4" t="s">
        <v>1145</v>
      </c>
      <c r="J89" s="4" t="s">
        <v>1784</v>
      </c>
      <c r="K89" t="s">
        <v>1785</v>
      </c>
      <c r="L89" t="s">
        <v>44</v>
      </c>
      <c r="M89" t="s">
        <v>1786</v>
      </c>
      <c r="N89" t="s">
        <v>45</v>
      </c>
      <c r="O89" t="s">
        <v>29</v>
      </c>
      <c r="P89" t="s">
        <v>36</v>
      </c>
      <c r="Q89" t="s">
        <v>31</v>
      </c>
      <c r="R89">
        <v>7</v>
      </c>
      <c r="S89" t="s">
        <v>1787</v>
      </c>
      <c r="T89" t="s">
        <v>6387</v>
      </c>
      <c r="U89" t="s">
        <v>6388</v>
      </c>
      <c r="V89" t="s">
        <v>49</v>
      </c>
      <c r="W89" t="s">
        <v>33</v>
      </c>
      <c r="X89" t="s">
        <v>33</v>
      </c>
      <c r="Y89" t="s">
        <v>33</v>
      </c>
      <c r="Z89" s="16" t="s">
        <v>34</v>
      </c>
      <c r="AA89">
        <v>-75.638063889999998</v>
      </c>
      <c r="AB89">
        <v>6.1702879900000003</v>
      </c>
      <c r="AC89" t="s">
        <v>135</v>
      </c>
      <c r="AD89" t="s">
        <v>136</v>
      </c>
    </row>
    <row r="90" spans="1:30" x14ac:dyDescent="0.25">
      <c r="A90" t="s">
        <v>223</v>
      </c>
      <c r="B90" t="s">
        <v>25</v>
      </c>
      <c r="C90" t="s">
        <v>26</v>
      </c>
      <c r="D90" t="s">
        <v>25</v>
      </c>
      <c r="E90" t="s">
        <v>224</v>
      </c>
      <c r="F90" t="s">
        <v>225</v>
      </c>
      <c r="G90">
        <v>43681923</v>
      </c>
      <c r="H90" t="s">
        <v>226</v>
      </c>
      <c r="I90" s="4" t="s">
        <v>35</v>
      </c>
      <c r="J90" s="4" t="s">
        <v>227</v>
      </c>
      <c r="K90" t="s">
        <v>228</v>
      </c>
      <c r="L90" t="s">
        <v>57</v>
      </c>
      <c r="M90" t="s">
        <v>229</v>
      </c>
      <c r="N90" t="s">
        <v>58</v>
      </c>
      <c r="O90" t="s">
        <v>29</v>
      </c>
      <c r="P90" t="s">
        <v>36</v>
      </c>
      <c r="Q90" t="s">
        <v>38</v>
      </c>
      <c r="R90">
        <v>10</v>
      </c>
      <c r="S90" t="s">
        <v>230</v>
      </c>
      <c r="T90" t="s">
        <v>6389</v>
      </c>
      <c r="U90" t="s">
        <v>47</v>
      </c>
      <c r="V90" t="s">
        <v>47</v>
      </c>
      <c r="W90" t="s">
        <v>33</v>
      </c>
      <c r="X90" t="s">
        <v>33</v>
      </c>
      <c r="Y90" t="s">
        <v>33</v>
      </c>
      <c r="Z90" s="16" t="s">
        <v>34</v>
      </c>
      <c r="AA90">
        <v>-75.622718340000006</v>
      </c>
      <c r="AB90">
        <v>6.1024570499999999</v>
      </c>
      <c r="AC90" t="s">
        <v>135</v>
      </c>
      <c r="AD90" t="s">
        <v>136</v>
      </c>
    </row>
    <row r="91" spans="1:30" x14ac:dyDescent="0.25">
      <c r="A91" t="s">
        <v>1788</v>
      </c>
      <c r="B91" t="s">
        <v>25</v>
      </c>
      <c r="C91" t="s">
        <v>26</v>
      </c>
      <c r="D91" t="s">
        <v>25</v>
      </c>
      <c r="E91" t="s">
        <v>1789</v>
      </c>
      <c r="F91" t="s">
        <v>1790</v>
      </c>
      <c r="G91">
        <v>42870318</v>
      </c>
      <c r="H91" t="s">
        <v>1791</v>
      </c>
      <c r="I91" s="4" t="s">
        <v>1792</v>
      </c>
      <c r="J91" s="4" t="s">
        <v>1793</v>
      </c>
      <c r="K91" t="s">
        <v>1794</v>
      </c>
      <c r="L91" t="s">
        <v>27</v>
      </c>
      <c r="M91" t="s">
        <v>1795</v>
      </c>
      <c r="N91" t="s">
        <v>28</v>
      </c>
      <c r="O91" t="s">
        <v>29</v>
      </c>
      <c r="P91" t="s">
        <v>37</v>
      </c>
      <c r="Q91" t="s">
        <v>31</v>
      </c>
      <c r="R91">
        <v>7</v>
      </c>
      <c r="S91" t="s">
        <v>1796</v>
      </c>
      <c r="T91" t="s">
        <v>6390</v>
      </c>
      <c r="U91" t="s">
        <v>6391</v>
      </c>
      <c r="V91" t="s">
        <v>32</v>
      </c>
      <c r="W91" t="s">
        <v>1639</v>
      </c>
      <c r="X91" t="s">
        <v>1533</v>
      </c>
      <c r="Y91" t="s">
        <v>6392</v>
      </c>
      <c r="Z91" s="16" t="s">
        <v>34</v>
      </c>
      <c r="AA91">
        <v>-75.595949000000005</v>
      </c>
      <c r="AB91">
        <v>6.201816</v>
      </c>
      <c r="AC91" t="s">
        <v>135</v>
      </c>
      <c r="AD91" t="s">
        <v>136</v>
      </c>
    </row>
    <row r="92" spans="1:30" x14ac:dyDescent="0.25">
      <c r="A92" t="s">
        <v>9901</v>
      </c>
      <c r="B92" t="s">
        <v>25</v>
      </c>
      <c r="C92" t="s">
        <v>26</v>
      </c>
      <c r="D92" t="s">
        <v>25</v>
      </c>
      <c r="E92" t="s">
        <v>6393</v>
      </c>
      <c r="F92" t="s">
        <v>6394</v>
      </c>
      <c r="G92">
        <v>43978558</v>
      </c>
      <c r="H92" t="s">
        <v>6395</v>
      </c>
      <c r="I92" s="4" t="s">
        <v>35</v>
      </c>
      <c r="J92" s="4" t="s">
        <v>6396</v>
      </c>
      <c r="K92" t="s">
        <v>6397</v>
      </c>
      <c r="L92" t="s">
        <v>48</v>
      </c>
      <c r="M92" t="s">
        <v>6398</v>
      </c>
      <c r="N92" t="s">
        <v>64</v>
      </c>
      <c r="O92" t="s">
        <v>29</v>
      </c>
      <c r="P92" t="s">
        <v>37</v>
      </c>
      <c r="Q92" t="s">
        <v>31</v>
      </c>
      <c r="R92">
        <v>7</v>
      </c>
      <c r="S92" t="s">
        <v>6399</v>
      </c>
      <c r="T92" t="s">
        <v>1834</v>
      </c>
      <c r="U92" t="s">
        <v>1833</v>
      </c>
      <c r="V92" t="s">
        <v>32</v>
      </c>
      <c r="W92" t="s">
        <v>33</v>
      </c>
      <c r="X92" t="s">
        <v>33</v>
      </c>
      <c r="Y92" t="s">
        <v>33</v>
      </c>
      <c r="Z92" s="16" t="s">
        <v>34</v>
      </c>
      <c r="AA92">
        <v>-75.556946440000004</v>
      </c>
      <c r="AB92">
        <v>6.1667514900000002</v>
      </c>
      <c r="AC92" t="s">
        <v>135</v>
      </c>
      <c r="AD92" t="s">
        <v>136</v>
      </c>
    </row>
    <row r="93" spans="1:30" x14ac:dyDescent="0.25">
      <c r="A93" t="s">
        <v>9902</v>
      </c>
      <c r="B93" t="s">
        <v>25</v>
      </c>
      <c r="C93" t="s">
        <v>26</v>
      </c>
      <c r="D93" t="s">
        <v>25</v>
      </c>
      <c r="E93" t="s">
        <v>6400</v>
      </c>
      <c r="F93" t="s">
        <v>6401</v>
      </c>
      <c r="G93">
        <v>98639586</v>
      </c>
      <c r="H93" t="s">
        <v>6402</v>
      </c>
      <c r="I93" s="4" t="s">
        <v>6403</v>
      </c>
      <c r="J93" s="4" t="s">
        <v>6404</v>
      </c>
      <c r="K93" t="s">
        <v>6405</v>
      </c>
      <c r="L93" t="s">
        <v>27</v>
      </c>
      <c r="M93" t="s">
        <v>6406</v>
      </c>
      <c r="N93" t="s">
        <v>28</v>
      </c>
      <c r="O93" t="s">
        <v>29</v>
      </c>
      <c r="P93" t="s">
        <v>37</v>
      </c>
      <c r="Q93" t="s">
        <v>31</v>
      </c>
      <c r="R93">
        <v>7</v>
      </c>
      <c r="S93" t="s">
        <v>6407</v>
      </c>
      <c r="T93" t="s">
        <v>1834</v>
      </c>
      <c r="U93" t="s">
        <v>1833</v>
      </c>
      <c r="V93" t="s">
        <v>32</v>
      </c>
      <c r="W93" t="s">
        <v>33</v>
      </c>
      <c r="X93" t="s">
        <v>33</v>
      </c>
      <c r="Y93" t="s">
        <v>33</v>
      </c>
      <c r="Z93" s="16" t="s">
        <v>34</v>
      </c>
      <c r="AA93">
        <v>-75.545385010000004</v>
      </c>
      <c r="AB93">
        <v>6.2406586099999997</v>
      </c>
      <c r="AC93" t="s">
        <v>135</v>
      </c>
      <c r="AD93" t="s">
        <v>136</v>
      </c>
    </row>
    <row r="94" spans="1:30" x14ac:dyDescent="0.25">
      <c r="A94" t="s">
        <v>782</v>
      </c>
      <c r="B94" t="s">
        <v>25</v>
      </c>
      <c r="C94" t="s">
        <v>26</v>
      </c>
      <c r="D94" t="s">
        <v>25</v>
      </c>
      <c r="E94" t="s">
        <v>783</v>
      </c>
      <c r="F94" t="s">
        <v>784</v>
      </c>
      <c r="G94">
        <v>43154304</v>
      </c>
      <c r="H94" t="s">
        <v>776</v>
      </c>
      <c r="I94" s="4" t="s">
        <v>777</v>
      </c>
      <c r="J94" s="4" t="s">
        <v>785</v>
      </c>
      <c r="K94" t="s">
        <v>786</v>
      </c>
      <c r="L94" t="s">
        <v>27</v>
      </c>
      <c r="M94" t="s">
        <v>787</v>
      </c>
      <c r="N94" t="s">
        <v>28</v>
      </c>
      <c r="O94" t="s">
        <v>29</v>
      </c>
      <c r="P94" t="s">
        <v>36</v>
      </c>
      <c r="Q94" t="s">
        <v>31</v>
      </c>
      <c r="R94">
        <v>7</v>
      </c>
      <c r="S94" t="s">
        <v>788</v>
      </c>
      <c r="T94" t="s">
        <v>6408</v>
      </c>
      <c r="U94" t="s">
        <v>47</v>
      </c>
      <c r="V94" t="s">
        <v>47</v>
      </c>
      <c r="W94" t="s">
        <v>33</v>
      </c>
      <c r="X94" t="s">
        <v>33</v>
      </c>
      <c r="Y94" t="s">
        <v>33</v>
      </c>
      <c r="Z94" s="16" t="s">
        <v>34</v>
      </c>
      <c r="AA94">
        <v>-75.614635190000001</v>
      </c>
      <c r="AB94">
        <v>6.2473113800000002</v>
      </c>
      <c r="AC94" t="s">
        <v>135</v>
      </c>
      <c r="AD94" t="s">
        <v>136</v>
      </c>
    </row>
    <row r="95" spans="1:30" x14ac:dyDescent="0.25">
      <c r="A95" t="s">
        <v>1329</v>
      </c>
      <c r="B95" t="s">
        <v>1330</v>
      </c>
      <c r="C95" t="s">
        <v>75</v>
      </c>
      <c r="D95" t="s">
        <v>1330</v>
      </c>
      <c r="E95" t="s">
        <v>1331</v>
      </c>
      <c r="F95" t="s">
        <v>1332</v>
      </c>
      <c r="G95">
        <v>900548173</v>
      </c>
      <c r="H95" t="s">
        <v>1333</v>
      </c>
      <c r="I95" s="4" t="s">
        <v>35</v>
      </c>
      <c r="J95" s="4" t="s">
        <v>1334</v>
      </c>
      <c r="K95" t="s">
        <v>1335</v>
      </c>
      <c r="L95" t="s">
        <v>27</v>
      </c>
      <c r="M95" t="s">
        <v>1336</v>
      </c>
      <c r="N95" t="s">
        <v>28</v>
      </c>
      <c r="O95" t="s">
        <v>29</v>
      </c>
      <c r="P95" t="s">
        <v>1337</v>
      </c>
      <c r="Q95" t="s">
        <v>31</v>
      </c>
      <c r="R95">
        <v>7</v>
      </c>
      <c r="S95" t="s">
        <v>1338</v>
      </c>
      <c r="T95" t="s">
        <v>6409</v>
      </c>
      <c r="U95" t="s">
        <v>6410</v>
      </c>
      <c r="V95" t="s">
        <v>49</v>
      </c>
      <c r="W95" t="s">
        <v>33</v>
      </c>
      <c r="X95" t="s">
        <v>33</v>
      </c>
      <c r="Y95" t="s">
        <v>33</v>
      </c>
      <c r="Z95" s="16" t="s">
        <v>34</v>
      </c>
      <c r="AA95">
        <v>-75.589029120000006</v>
      </c>
      <c r="AB95">
        <v>6.2157494299999998</v>
      </c>
      <c r="AC95" t="s">
        <v>135</v>
      </c>
      <c r="AD95" t="s">
        <v>136</v>
      </c>
    </row>
    <row r="96" spans="1:30" x14ac:dyDescent="0.25">
      <c r="A96" t="s">
        <v>1797</v>
      </c>
      <c r="B96" t="s">
        <v>25</v>
      </c>
      <c r="C96" t="s">
        <v>26</v>
      </c>
      <c r="D96" t="s">
        <v>39</v>
      </c>
      <c r="E96" t="s">
        <v>1798</v>
      </c>
      <c r="F96" t="s">
        <v>1799</v>
      </c>
      <c r="G96">
        <v>6789185</v>
      </c>
      <c r="H96" t="s">
        <v>1800</v>
      </c>
      <c r="I96" s="4" t="s">
        <v>35</v>
      </c>
      <c r="J96" s="4" t="s">
        <v>1801</v>
      </c>
      <c r="K96" t="s">
        <v>1802</v>
      </c>
      <c r="L96" t="s">
        <v>27</v>
      </c>
      <c r="M96" t="s">
        <v>1803</v>
      </c>
      <c r="N96" t="s">
        <v>28</v>
      </c>
      <c r="O96" t="s">
        <v>40</v>
      </c>
      <c r="P96" t="s">
        <v>41</v>
      </c>
      <c r="Q96" t="s">
        <v>31</v>
      </c>
      <c r="R96">
        <v>5</v>
      </c>
      <c r="S96" t="s">
        <v>1804</v>
      </c>
      <c r="T96" t="s">
        <v>6411</v>
      </c>
      <c r="U96" t="s">
        <v>6412</v>
      </c>
      <c r="V96" t="s">
        <v>49</v>
      </c>
      <c r="W96" t="s">
        <v>33</v>
      </c>
      <c r="X96" t="s">
        <v>33</v>
      </c>
      <c r="Y96" t="s">
        <v>33</v>
      </c>
      <c r="Z96" s="16" t="s">
        <v>34</v>
      </c>
      <c r="AA96">
        <v>-75.624357669999995</v>
      </c>
      <c r="AB96">
        <v>6.2498781599999997</v>
      </c>
      <c r="AC96" t="s">
        <v>135</v>
      </c>
      <c r="AD96" t="s">
        <v>136</v>
      </c>
    </row>
    <row r="97" spans="1:30" x14ac:dyDescent="0.25">
      <c r="A97" t="s">
        <v>1805</v>
      </c>
      <c r="B97" t="s">
        <v>50</v>
      </c>
      <c r="C97" t="s">
        <v>26</v>
      </c>
      <c r="D97" t="s">
        <v>50</v>
      </c>
      <c r="E97" t="s">
        <v>1806</v>
      </c>
      <c r="F97" t="s">
        <v>1807</v>
      </c>
      <c r="G97">
        <v>98569867</v>
      </c>
      <c r="H97" t="s">
        <v>1808</v>
      </c>
      <c r="I97" s="4" t="s">
        <v>1809</v>
      </c>
      <c r="J97" s="4" t="s">
        <v>1810</v>
      </c>
      <c r="K97" t="s">
        <v>1811</v>
      </c>
      <c r="L97" t="s">
        <v>27</v>
      </c>
      <c r="M97" t="s">
        <v>1812</v>
      </c>
      <c r="N97" t="s">
        <v>28</v>
      </c>
      <c r="O97" t="s">
        <v>40</v>
      </c>
      <c r="P97" t="s">
        <v>52</v>
      </c>
      <c r="Q97" t="s">
        <v>31</v>
      </c>
      <c r="R97">
        <v>5</v>
      </c>
      <c r="S97" t="s">
        <v>1813</v>
      </c>
      <c r="T97" t="s">
        <v>886</v>
      </c>
      <c r="U97" t="s">
        <v>6413</v>
      </c>
      <c r="V97" t="s">
        <v>49</v>
      </c>
      <c r="W97" t="s">
        <v>33</v>
      </c>
      <c r="X97" t="s">
        <v>33</v>
      </c>
      <c r="Y97" t="s">
        <v>33</v>
      </c>
      <c r="Z97" s="16" t="s">
        <v>34</v>
      </c>
      <c r="AA97">
        <v>-75.619748099999995</v>
      </c>
      <c r="AB97">
        <v>6.2555037200000001</v>
      </c>
      <c r="AC97" t="s">
        <v>135</v>
      </c>
      <c r="AD97" t="s">
        <v>136</v>
      </c>
    </row>
    <row r="98" spans="1:30" x14ac:dyDescent="0.25">
      <c r="A98" t="s">
        <v>9903</v>
      </c>
      <c r="B98" t="s">
        <v>25</v>
      </c>
      <c r="C98" t="s">
        <v>26</v>
      </c>
      <c r="D98" t="s">
        <v>25</v>
      </c>
      <c r="E98" t="s">
        <v>6414</v>
      </c>
      <c r="F98" t="s">
        <v>6415</v>
      </c>
      <c r="G98">
        <v>43057046</v>
      </c>
      <c r="H98" t="s">
        <v>6416</v>
      </c>
      <c r="I98" s="4" t="s">
        <v>35</v>
      </c>
      <c r="J98" s="4" t="s">
        <v>6417</v>
      </c>
      <c r="K98" t="s">
        <v>6418</v>
      </c>
      <c r="L98" t="s">
        <v>55</v>
      </c>
      <c r="M98" t="s">
        <v>6419</v>
      </c>
      <c r="N98" t="s">
        <v>56</v>
      </c>
      <c r="O98" t="s">
        <v>29</v>
      </c>
      <c r="P98" t="s">
        <v>36</v>
      </c>
      <c r="Q98" t="s">
        <v>38</v>
      </c>
      <c r="R98">
        <v>10</v>
      </c>
      <c r="S98" t="s">
        <v>6420</v>
      </c>
      <c r="T98" t="s">
        <v>6421</v>
      </c>
      <c r="U98" t="s">
        <v>6422</v>
      </c>
      <c r="V98" t="s">
        <v>32</v>
      </c>
      <c r="W98" t="s">
        <v>33</v>
      </c>
      <c r="X98" t="s">
        <v>33</v>
      </c>
      <c r="Y98" t="s">
        <v>33</v>
      </c>
      <c r="Z98" s="16" t="s">
        <v>34</v>
      </c>
      <c r="AA98">
        <v>-75.634586330000005</v>
      </c>
      <c r="AB98">
        <v>6.1472644900000004</v>
      </c>
      <c r="AC98" t="s">
        <v>135</v>
      </c>
      <c r="AD98" t="s">
        <v>136</v>
      </c>
    </row>
    <row r="99" spans="1:30" x14ac:dyDescent="0.25">
      <c r="A99" t="s">
        <v>9904</v>
      </c>
      <c r="B99" t="s">
        <v>25</v>
      </c>
      <c r="C99" t="s">
        <v>26</v>
      </c>
      <c r="D99" t="s">
        <v>25</v>
      </c>
      <c r="E99" t="s">
        <v>6423</v>
      </c>
      <c r="F99" t="s">
        <v>6424</v>
      </c>
      <c r="G99">
        <v>42935746</v>
      </c>
      <c r="H99" t="s">
        <v>6425</v>
      </c>
      <c r="I99" s="4" t="s">
        <v>6426</v>
      </c>
      <c r="J99" s="4" t="s">
        <v>6427</v>
      </c>
      <c r="K99" t="s">
        <v>6428</v>
      </c>
      <c r="L99" t="s">
        <v>27</v>
      </c>
      <c r="M99" t="s">
        <v>6429</v>
      </c>
      <c r="N99" t="s">
        <v>28</v>
      </c>
      <c r="O99" t="s">
        <v>29</v>
      </c>
      <c r="P99" t="s">
        <v>37</v>
      </c>
      <c r="Q99" t="s">
        <v>31</v>
      </c>
      <c r="R99">
        <v>7</v>
      </c>
      <c r="S99" t="s">
        <v>6430</v>
      </c>
      <c r="T99" t="s">
        <v>6431</v>
      </c>
      <c r="U99" t="s">
        <v>6432</v>
      </c>
      <c r="V99" t="s">
        <v>32</v>
      </c>
      <c r="W99" t="s">
        <v>33</v>
      </c>
      <c r="X99" t="s">
        <v>33</v>
      </c>
      <c r="Y99" t="s">
        <v>33</v>
      </c>
      <c r="Z99" s="16" t="s">
        <v>34</v>
      </c>
      <c r="AA99">
        <v>-75.593886560000001</v>
      </c>
      <c r="AB99">
        <v>6.2221089599999999</v>
      </c>
      <c r="AC99" t="s">
        <v>135</v>
      </c>
      <c r="AD99" t="s">
        <v>136</v>
      </c>
    </row>
    <row r="100" spans="1:30" x14ac:dyDescent="0.25">
      <c r="A100" t="s">
        <v>9905</v>
      </c>
      <c r="B100" t="s">
        <v>42</v>
      </c>
      <c r="C100" t="s">
        <v>26</v>
      </c>
      <c r="D100" t="s">
        <v>42</v>
      </c>
      <c r="E100" t="s">
        <v>6433</v>
      </c>
      <c r="F100" t="s">
        <v>6434</v>
      </c>
      <c r="G100">
        <v>45498998</v>
      </c>
      <c r="H100" t="s">
        <v>6435</v>
      </c>
      <c r="I100" s="4" t="s">
        <v>6436</v>
      </c>
      <c r="J100" s="4" t="s">
        <v>6437</v>
      </c>
      <c r="K100" t="s">
        <v>6438</v>
      </c>
      <c r="L100" t="s">
        <v>27</v>
      </c>
      <c r="M100" t="s">
        <v>6439</v>
      </c>
      <c r="N100" t="s">
        <v>28</v>
      </c>
      <c r="O100" t="s">
        <v>43</v>
      </c>
      <c r="P100" t="s">
        <v>36</v>
      </c>
      <c r="Q100" t="s">
        <v>31</v>
      </c>
      <c r="R100">
        <v>7</v>
      </c>
      <c r="S100" t="s">
        <v>6440</v>
      </c>
      <c r="T100" t="s">
        <v>6441</v>
      </c>
      <c r="U100" t="s">
        <v>6442</v>
      </c>
      <c r="V100" t="s">
        <v>32</v>
      </c>
      <c r="W100" t="s">
        <v>33</v>
      </c>
      <c r="X100" t="s">
        <v>33</v>
      </c>
      <c r="Y100" t="s">
        <v>33</v>
      </c>
      <c r="Z100" s="16" t="s">
        <v>34</v>
      </c>
      <c r="AA100">
        <v>-75.590048379999999</v>
      </c>
      <c r="AB100">
        <v>6.2470219299999998</v>
      </c>
      <c r="AC100" t="s">
        <v>135</v>
      </c>
      <c r="AD100" t="s">
        <v>136</v>
      </c>
    </row>
    <row r="101" spans="1:30" x14ac:dyDescent="0.25">
      <c r="A101" t="s">
        <v>1815</v>
      </c>
      <c r="B101" t="s">
        <v>1330</v>
      </c>
      <c r="C101" t="s">
        <v>26</v>
      </c>
      <c r="D101" t="s">
        <v>1330</v>
      </c>
      <c r="E101" t="s">
        <v>1816</v>
      </c>
      <c r="F101" t="s">
        <v>1817</v>
      </c>
      <c r="G101">
        <v>901110203</v>
      </c>
      <c r="H101" t="s">
        <v>1818</v>
      </c>
      <c r="I101" s="4" t="s">
        <v>35</v>
      </c>
      <c r="J101" s="4" t="s">
        <v>1819</v>
      </c>
      <c r="K101" t="s">
        <v>1820</v>
      </c>
      <c r="L101" t="s">
        <v>59</v>
      </c>
      <c r="M101" t="s">
        <v>1821</v>
      </c>
      <c r="N101" t="s">
        <v>60</v>
      </c>
      <c r="O101" t="s">
        <v>29</v>
      </c>
      <c r="P101" t="s">
        <v>1337</v>
      </c>
      <c r="Q101" t="s">
        <v>31</v>
      </c>
      <c r="R101">
        <v>7</v>
      </c>
      <c r="S101" t="s">
        <v>1822</v>
      </c>
      <c r="T101" t="s">
        <v>6443</v>
      </c>
      <c r="U101" t="s">
        <v>47</v>
      </c>
      <c r="V101" t="s">
        <v>47</v>
      </c>
      <c r="W101" t="s">
        <v>33</v>
      </c>
      <c r="X101" t="s">
        <v>33</v>
      </c>
      <c r="Y101" t="s">
        <v>33</v>
      </c>
      <c r="Z101" s="16" t="s">
        <v>34</v>
      </c>
      <c r="AA101">
        <v>-75.615030009999998</v>
      </c>
      <c r="AB101">
        <v>6.1494669999999996</v>
      </c>
      <c r="AC101" t="s">
        <v>135</v>
      </c>
      <c r="AD101" t="s">
        <v>136</v>
      </c>
    </row>
    <row r="102" spans="1:30" x14ac:dyDescent="0.25">
      <c r="A102" t="s">
        <v>1173</v>
      </c>
      <c r="B102" t="s">
        <v>25</v>
      </c>
      <c r="C102" t="s">
        <v>26</v>
      </c>
      <c r="D102" t="s">
        <v>25</v>
      </c>
      <c r="E102" t="s">
        <v>1174</v>
      </c>
      <c r="F102" t="s">
        <v>1175</v>
      </c>
      <c r="G102">
        <v>70783398</v>
      </c>
      <c r="H102" t="s">
        <v>1176</v>
      </c>
      <c r="I102" s="4" t="s">
        <v>35</v>
      </c>
      <c r="J102" s="4" t="s">
        <v>538</v>
      </c>
      <c r="K102" t="s">
        <v>1177</v>
      </c>
      <c r="L102" t="s">
        <v>27</v>
      </c>
      <c r="M102" t="s">
        <v>1178</v>
      </c>
      <c r="N102" t="s">
        <v>28</v>
      </c>
      <c r="O102" t="s">
        <v>29</v>
      </c>
      <c r="P102" t="s">
        <v>37</v>
      </c>
      <c r="Q102" t="s">
        <v>31</v>
      </c>
      <c r="R102">
        <v>7</v>
      </c>
      <c r="S102" t="s">
        <v>1179</v>
      </c>
      <c r="T102" t="s">
        <v>6225</v>
      </c>
      <c r="U102" t="s">
        <v>6444</v>
      </c>
      <c r="V102" t="s">
        <v>131</v>
      </c>
      <c r="W102" t="s">
        <v>33</v>
      </c>
      <c r="X102" t="s">
        <v>33</v>
      </c>
      <c r="Y102" t="s">
        <v>33</v>
      </c>
      <c r="Z102" s="16" t="s">
        <v>34</v>
      </c>
      <c r="AA102">
        <v>-75.549368999999999</v>
      </c>
      <c r="AB102">
        <v>6.2430250000000003</v>
      </c>
      <c r="AC102" t="s">
        <v>135</v>
      </c>
      <c r="AD102" t="s">
        <v>136</v>
      </c>
    </row>
    <row r="103" spans="1:30" x14ac:dyDescent="0.25">
      <c r="A103" t="s">
        <v>9906</v>
      </c>
      <c r="B103" t="s">
        <v>25</v>
      </c>
      <c r="C103" t="s">
        <v>26</v>
      </c>
      <c r="D103" t="s">
        <v>39</v>
      </c>
      <c r="E103" t="s">
        <v>6445</v>
      </c>
      <c r="F103" t="s">
        <v>6446</v>
      </c>
      <c r="G103">
        <v>1012357139</v>
      </c>
      <c r="H103" t="s">
        <v>6447</v>
      </c>
      <c r="I103" s="4" t="s">
        <v>6448</v>
      </c>
      <c r="J103" s="4" t="s">
        <v>6449</v>
      </c>
      <c r="K103" t="s">
        <v>6450</v>
      </c>
      <c r="L103" t="s">
        <v>57</v>
      </c>
      <c r="M103" t="s">
        <v>6451</v>
      </c>
      <c r="N103" t="s">
        <v>58</v>
      </c>
      <c r="O103" t="s">
        <v>40</v>
      </c>
      <c r="P103" t="s">
        <v>36</v>
      </c>
      <c r="Q103" t="s">
        <v>38</v>
      </c>
      <c r="R103">
        <v>8</v>
      </c>
      <c r="S103" t="s">
        <v>6452</v>
      </c>
      <c r="T103" t="s">
        <v>1482</v>
      </c>
      <c r="U103" t="s">
        <v>1482</v>
      </c>
      <c r="V103" t="s">
        <v>32</v>
      </c>
      <c r="W103" t="s">
        <v>33</v>
      </c>
      <c r="X103" t="s">
        <v>33</v>
      </c>
      <c r="Y103" t="s">
        <v>33</v>
      </c>
      <c r="Z103" s="16" t="s">
        <v>34</v>
      </c>
      <c r="AA103">
        <v>-75.627263150000005</v>
      </c>
      <c r="AB103">
        <v>6.1008441500000004</v>
      </c>
      <c r="AC103" t="s">
        <v>135</v>
      </c>
      <c r="AD103" t="s">
        <v>136</v>
      </c>
    </row>
    <row r="104" spans="1:30" x14ac:dyDescent="0.25">
      <c r="A104" t="s">
        <v>9907</v>
      </c>
      <c r="B104" t="s">
        <v>25</v>
      </c>
      <c r="C104" t="s">
        <v>26</v>
      </c>
      <c r="D104" t="s">
        <v>25</v>
      </c>
      <c r="E104" t="s">
        <v>6453</v>
      </c>
      <c r="F104" t="s">
        <v>6454</v>
      </c>
      <c r="G104">
        <v>70384257</v>
      </c>
      <c r="H104" t="s">
        <v>6455</v>
      </c>
      <c r="I104" s="4" t="s">
        <v>35</v>
      </c>
      <c r="J104" s="4" t="s">
        <v>6456</v>
      </c>
      <c r="K104" t="s">
        <v>6457</v>
      </c>
      <c r="L104" t="s">
        <v>27</v>
      </c>
      <c r="M104" t="s">
        <v>6458</v>
      </c>
      <c r="N104" t="s">
        <v>28</v>
      </c>
      <c r="O104" t="s">
        <v>29</v>
      </c>
      <c r="P104" t="s">
        <v>30</v>
      </c>
      <c r="Q104" t="s">
        <v>31</v>
      </c>
      <c r="R104">
        <v>7</v>
      </c>
      <c r="S104" t="s">
        <v>6459</v>
      </c>
      <c r="T104" t="s">
        <v>1108</v>
      </c>
      <c r="U104" t="s">
        <v>6460</v>
      </c>
      <c r="V104" t="s">
        <v>32</v>
      </c>
      <c r="W104" t="s">
        <v>33</v>
      </c>
      <c r="X104" t="s">
        <v>33</v>
      </c>
      <c r="Y104" t="s">
        <v>33</v>
      </c>
      <c r="Z104" s="16" t="s">
        <v>34</v>
      </c>
      <c r="AA104">
        <v>-75.627685</v>
      </c>
      <c r="AB104">
        <v>6.2497980000000002</v>
      </c>
      <c r="AC104" t="s">
        <v>135</v>
      </c>
      <c r="AD104" t="s">
        <v>136</v>
      </c>
    </row>
    <row r="105" spans="1:30" x14ac:dyDescent="0.25">
      <c r="A105" t="s">
        <v>9908</v>
      </c>
      <c r="B105" t="s">
        <v>25</v>
      </c>
      <c r="C105" t="s">
        <v>26</v>
      </c>
      <c r="D105" t="s">
        <v>25</v>
      </c>
      <c r="E105" t="s">
        <v>6461</v>
      </c>
      <c r="F105" t="s">
        <v>6462</v>
      </c>
      <c r="G105">
        <v>70384257</v>
      </c>
      <c r="H105" t="s">
        <v>6455</v>
      </c>
      <c r="I105" s="4" t="s">
        <v>35</v>
      </c>
      <c r="J105" s="4" t="s">
        <v>6456</v>
      </c>
      <c r="K105" t="s">
        <v>6463</v>
      </c>
      <c r="L105" t="s">
        <v>27</v>
      </c>
      <c r="M105" t="s">
        <v>6464</v>
      </c>
      <c r="N105" t="s">
        <v>28</v>
      </c>
      <c r="O105" t="s">
        <v>29</v>
      </c>
      <c r="P105" t="s">
        <v>30</v>
      </c>
      <c r="Q105" t="s">
        <v>31</v>
      </c>
      <c r="R105">
        <v>7</v>
      </c>
      <c r="S105" t="s">
        <v>6465</v>
      </c>
      <c r="T105" t="s">
        <v>1108</v>
      </c>
      <c r="U105" t="s">
        <v>6460</v>
      </c>
      <c r="V105" t="s">
        <v>32</v>
      </c>
      <c r="W105" t="s">
        <v>33</v>
      </c>
      <c r="X105" t="s">
        <v>33</v>
      </c>
      <c r="Y105" t="s">
        <v>33</v>
      </c>
      <c r="Z105" s="16" t="s">
        <v>34</v>
      </c>
      <c r="AA105">
        <v>-75.627685</v>
      </c>
      <c r="AB105">
        <v>6.2497980000000002</v>
      </c>
      <c r="AC105" t="s">
        <v>135</v>
      </c>
      <c r="AD105" t="s">
        <v>136</v>
      </c>
    </row>
    <row r="106" spans="1:30" x14ac:dyDescent="0.25">
      <c r="A106" t="s">
        <v>1180</v>
      </c>
      <c r="B106" t="s">
        <v>25</v>
      </c>
      <c r="C106" t="s">
        <v>26</v>
      </c>
      <c r="D106" t="s">
        <v>25</v>
      </c>
      <c r="E106" t="s">
        <v>1181</v>
      </c>
      <c r="F106" t="s">
        <v>1182</v>
      </c>
      <c r="G106">
        <v>43455146</v>
      </c>
      <c r="H106" t="s">
        <v>1183</v>
      </c>
      <c r="I106" s="4" t="s">
        <v>35</v>
      </c>
      <c r="J106" s="4" t="s">
        <v>1184</v>
      </c>
      <c r="K106" t="s">
        <v>1185</v>
      </c>
      <c r="L106" t="s">
        <v>27</v>
      </c>
      <c r="M106" t="s">
        <v>1186</v>
      </c>
      <c r="N106" t="s">
        <v>28</v>
      </c>
      <c r="O106" t="s">
        <v>29</v>
      </c>
      <c r="P106" t="s">
        <v>37</v>
      </c>
      <c r="Q106" t="s">
        <v>31</v>
      </c>
      <c r="R106">
        <v>7</v>
      </c>
      <c r="S106" t="s">
        <v>1187</v>
      </c>
      <c r="T106" t="s">
        <v>6225</v>
      </c>
      <c r="U106" t="s">
        <v>6444</v>
      </c>
      <c r="V106" t="s">
        <v>131</v>
      </c>
      <c r="W106" t="s">
        <v>33</v>
      </c>
      <c r="X106" t="s">
        <v>33</v>
      </c>
      <c r="Y106" t="s">
        <v>33</v>
      </c>
      <c r="Z106" s="16" t="s">
        <v>34</v>
      </c>
      <c r="AA106">
        <v>-75.542180000000002</v>
      </c>
      <c r="AB106">
        <v>6.2385890000000002</v>
      </c>
      <c r="AC106" t="s">
        <v>135</v>
      </c>
      <c r="AD106" t="s">
        <v>136</v>
      </c>
    </row>
    <row r="107" spans="1:30" x14ac:dyDescent="0.25">
      <c r="A107" t="s">
        <v>231</v>
      </c>
      <c r="B107" t="s">
        <v>25</v>
      </c>
      <c r="C107" t="s">
        <v>26</v>
      </c>
      <c r="D107" t="s">
        <v>25</v>
      </c>
      <c r="E107" t="s">
        <v>232</v>
      </c>
      <c r="F107" t="s">
        <v>233</v>
      </c>
      <c r="G107">
        <v>98531846</v>
      </c>
      <c r="H107" t="s">
        <v>234</v>
      </c>
      <c r="I107" s="4" t="s">
        <v>235</v>
      </c>
      <c r="J107" s="4" t="s">
        <v>236</v>
      </c>
      <c r="K107" t="s">
        <v>237</v>
      </c>
      <c r="L107" t="s">
        <v>27</v>
      </c>
      <c r="M107" t="s">
        <v>238</v>
      </c>
      <c r="N107" t="s">
        <v>28</v>
      </c>
      <c r="O107" t="s">
        <v>29</v>
      </c>
      <c r="P107" t="s">
        <v>36</v>
      </c>
      <c r="Q107" t="s">
        <v>31</v>
      </c>
      <c r="R107">
        <v>7</v>
      </c>
      <c r="S107" t="s">
        <v>239</v>
      </c>
      <c r="T107" t="s">
        <v>6297</v>
      </c>
      <c r="U107" t="s">
        <v>47</v>
      </c>
      <c r="V107" t="s">
        <v>47</v>
      </c>
      <c r="W107" t="s">
        <v>33</v>
      </c>
      <c r="X107" t="s">
        <v>33</v>
      </c>
      <c r="Y107" t="s">
        <v>33</v>
      </c>
      <c r="Z107" s="16" t="s">
        <v>34</v>
      </c>
      <c r="AA107">
        <v>-75.541352000000003</v>
      </c>
      <c r="AB107">
        <v>6.2326050000000004</v>
      </c>
      <c r="AC107" t="s">
        <v>135</v>
      </c>
      <c r="AD107" t="s">
        <v>136</v>
      </c>
    </row>
    <row r="108" spans="1:30" x14ac:dyDescent="0.25">
      <c r="A108" t="s">
        <v>240</v>
      </c>
      <c r="B108" t="s">
        <v>42</v>
      </c>
      <c r="C108" t="s">
        <v>75</v>
      </c>
      <c r="D108" t="s">
        <v>42</v>
      </c>
      <c r="E108" t="s">
        <v>241</v>
      </c>
      <c r="F108" t="s">
        <v>242</v>
      </c>
      <c r="G108">
        <v>678262</v>
      </c>
      <c r="H108" t="s">
        <v>243</v>
      </c>
      <c r="I108" s="4" t="s">
        <v>35</v>
      </c>
      <c r="J108" s="4" t="s">
        <v>244</v>
      </c>
      <c r="K108" t="s">
        <v>245</v>
      </c>
      <c r="L108" t="s">
        <v>27</v>
      </c>
      <c r="M108" t="s">
        <v>246</v>
      </c>
      <c r="N108" t="s">
        <v>28</v>
      </c>
      <c r="O108" t="s">
        <v>76</v>
      </c>
      <c r="P108" t="s">
        <v>36</v>
      </c>
      <c r="Q108" t="s">
        <v>31</v>
      </c>
      <c r="R108">
        <v>7</v>
      </c>
      <c r="S108" t="s">
        <v>247</v>
      </c>
      <c r="T108" t="s">
        <v>6466</v>
      </c>
      <c r="U108" t="s">
        <v>47</v>
      </c>
      <c r="V108" t="s">
        <v>47</v>
      </c>
      <c r="W108" t="s">
        <v>33</v>
      </c>
      <c r="X108" t="s">
        <v>33</v>
      </c>
      <c r="Y108" t="s">
        <v>33</v>
      </c>
      <c r="Z108" s="16" t="s">
        <v>34</v>
      </c>
      <c r="AA108">
        <v>-75.560830760000002</v>
      </c>
      <c r="AB108">
        <v>6.2583005500000004</v>
      </c>
      <c r="AC108" t="s">
        <v>135</v>
      </c>
      <c r="AD108" t="s">
        <v>136</v>
      </c>
    </row>
    <row r="109" spans="1:30" x14ac:dyDescent="0.25">
      <c r="A109" t="s">
        <v>575</v>
      </c>
      <c r="B109" t="s">
        <v>42</v>
      </c>
      <c r="C109" t="s">
        <v>26</v>
      </c>
      <c r="D109" t="s">
        <v>42</v>
      </c>
      <c r="E109" t="s">
        <v>576</v>
      </c>
      <c r="F109" t="s">
        <v>577</v>
      </c>
      <c r="G109">
        <v>10274994</v>
      </c>
      <c r="H109" t="s">
        <v>578</v>
      </c>
      <c r="I109" s="4" t="s">
        <v>579</v>
      </c>
      <c r="J109" s="4" t="s">
        <v>580</v>
      </c>
      <c r="K109" t="s">
        <v>581</v>
      </c>
      <c r="L109" t="s">
        <v>27</v>
      </c>
      <c r="M109" t="s">
        <v>582</v>
      </c>
      <c r="N109" t="s">
        <v>28</v>
      </c>
      <c r="O109" t="s">
        <v>43</v>
      </c>
      <c r="P109" t="s">
        <v>36</v>
      </c>
      <c r="Q109" t="s">
        <v>31</v>
      </c>
      <c r="R109">
        <v>7</v>
      </c>
      <c r="S109" t="s">
        <v>583</v>
      </c>
      <c r="T109" t="s">
        <v>6467</v>
      </c>
      <c r="U109" t="s">
        <v>47</v>
      </c>
      <c r="V109" t="s">
        <v>47</v>
      </c>
      <c r="W109" t="s">
        <v>33</v>
      </c>
      <c r="X109" t="s">
        <v>33</v>
      </c>
      <c r="Y109" t="s">
        <v>33</v>
      </c>
      <c r="Z109" s="16" t="s">
        <v>34</v>
      </c>
      <c r="AA109">
        <v>-75.56814996</v>
      </c>
      <c r="AB109">
        <v>6.2470900199999999</v>
      </c>
      <c r="AC109" t="s">
        <v>135</v>
      </c>
      <c r="AD109" t="s">
        <v>136</v>
      </c>
    </row>
    <row r="110" spans="1:30" x14ac:dyDescent="0.25">
      <c r="A110" t="s">
        <v>248</v>
      </c>
      <c r="B110" t="s">
        <v>25</v>
      </c>
      <c r="C110" t="s">
        <v>26</v>
      </c>
      <c r="D110" t="s">
        <v>25</v>
      </c>
      <c r="E110" t="s">
        <v>249</v>
      </c>
      <c r="F110" t="s">
        <v>250</v>
      </c>
      <c r="G110">
        <v>43049491</v>
      </c>
      <c r="H110" t="s">
        <v>251</v>
      </c>
      <c r="I110" s="4" t="s">
        <v>35</v>
      </c>
      <c r="J110" s="4" t="s">
        <v>252</v>
      </c>
      <c r="K110" t="s">
        <v>253</v>
      </c>
      <c r="L110" t="s">
        <v>57</v>
      </c>
      <c r="M110" t="s">
        <v>254</v>
      </c>
      <c r="N110" t="s">
        <v>58</v>
      </c>
      <c r="O110" t="s">
        <v>29</v>
      </c>
      <c r="P110" t="s">
        <v>36</v>
      </c>
      <c r="Q110" t="s">
        <v>38</v>
      </c>
      <c r="R110">
        <v>10</v>
      </c>
      <c r="S110" t="s">
        <v>255</v>
      </c>
      <c r="T110" t="s">
        <v>6389</v>
      </c>
      <c r="U110" t="s">
        <v>47</v>
      </c>
      <c r="V110" t="s">
        <v>47</v>
      </c>
      <c r="W110" t="s">
        <v>33</v>
      </c>
      <c r="X110" t="s">
        <v>33</v>
      </c>
      <c r="Y110" t="s">
        <v>33</v>
      </c>
      <c r="Z110" s="16" t="s">
        <v>34</v>
      </c>
      <c r="AA110">
        <v>-75.627960000000002</v>
      </c>
      <c r="AB110">
        <v>6.0895797600000003</v>
      </c>
      <c r="AC110" t="s">
        <v>135</v>
      </c>
      <c r="AD110" t="s">
        <v>136</v>
      </c>
    </row>
    <row r="111" spans="1:30" x14ac:dyDescent="0.25">
      <c r="A111" t="s">
        <v>256</v>
      </c>
      <c r="B111" t="s">
        <v>25</v>
      </c>
      <c r="C111" t="s">
        <v>26</v>
      </c>
      <c r="D111" t="s">
        <v>25</v>
      </c>
      <c r="E111" t="s">
        <v>257</v>
      </c>
      <c r="F111" t="s">
        <v>258</v>
      </c>
      <c r="G111">
        <v>71600193</v>
      </c>
      <c r="H111" t="s">
        <v>259</v>
      </c>
      <c r="I111" s="4" t="s">
        <v>260</v>
      </c>
      <c r="J111" s="4" t="s">
        <v>261</v>
      </c>
      <c r="K111" t="s">
        <v>262</v>
      </c>
      <c r="L111" t="s">
        <v>55</v>
      </c>
      <c r="M111" t="s">
        <v>263</v>
      </c>
      <c r="N111" t="s">
        <v>56</v>
      </c>
      <c r="O111" t="s">
        <v>29</v>
      </c>
      <c r="P111" t="s">
        <v>36</v>
      </c>
      <c r="Q111" t="s">
        <v>38</v>
      </c>
      <c r="R111">
        <v>10</v>
      </c>
      <c r="S111" t="s">
        <v>264</v>
      </c>
      <c r="T111" t="s">
        <v>6468</v>
      </c>
      <c r="U111" t="s">
        <v>47</v>
      </c>
      <c r="V111" t="s">
        <v>47</v>
      </c>
      <c r="W111" t="s">
        <v>33</v>
      </c>
      <c r="X111" t="s">
        <v>33</v>
      </c>
      <c r="Y111" t="s">
        <v>33</v>
      </c>
      <c r="Z111" s="16" t="s">
        <v>34</v>
      </c>
      <c r="AA111">
        <v>-75.640242150000006</v>
      </c>
      <c r="AB111">
        <v>6.1400813799999998</v>
      </c>
      <c r="AC111" t="s">
        <v>135</v>
      </c>
      <c r="AD111" t="s">
        <v>136</v>
      </c>
    </row>
    <row r="112" spans="1:30" x14ac:dyDescent="0.25">
      <c r="A112" t="s">
        <v>789</v>
      </c>
      <c r="B112" t="s">
        <v>25</v>
      </c>
      <c r="C112" t="s">
        <v>26</v>
      </c>
      <c r="D112" t="s">
        <v>25</v>
      </c>
      <c r="E112" t="s">
        <v>790</v>
      </c>
      <c r="F112" t="s">
        <v>791</v>
      </c>
      <c r="G112">
        <v>32352420</v>
      </c>
      <c r="H112" t="s">
        <v>792</v>
      </c>
      <c r="I112" s="4" t="s">
        <v>35</v>
      </c>
      <c r="J112" s="4" t="s">
        <v>793</v>
      </c>
      <c r="K112" t="s">
        <v>794</v>
      </c>
      <c r="L112" t="s">
        <v>27</v>
      </c>
      <c r="M112" t="s">
        <v>795</v>
      </c>
      <c r="N112" t="s">
        <v>28</v>
      </c>
      <c r="O112" t="s">
        <v>29</v>
      </c>
      <c r="P112" t="s">
        <v>36</v>
      </c>
      <c r="Q112" t="s">
        <v>31</v>
      </c>
      <c r="R112">
        <v>7</v>
      </c>
      <c r="S112" t="s">
        <v>796</v>
      </c>
      <c r="T112" t="s">
        <v>6469</v>
      </c>
      <c r="U112" t="s">
        <v>47</v>
      </c>
      <c r="V112" t="s">
        <v>47</v>
      </c>
      <c r="W112" t="s">
        <v>33</v>
      </c>
      <c r="X112" t="s">
        <v>33</v>
      </c>
      <c r="Y112" t="s">
        <v>33</v>
      </c>
      <c r="Z112" s="16" t="s">
        <v>34</v>
      </c>
      <c r="AA112">
        <v>-75.624371999999994</v>
      </c>
      <c r="AB112">
        <v>6.2627889999999997</v>
      </c>
      <c r="AC112" t="s">
        <v>135</v>
      </c>
      <c r="AD112" t="s">
        <v>136</v>
      </c>
    </row>
    <row r="113" spans="1:30" x14ac:dyDescent="0.25">
      <c r="A113" t="s">
        <v>9909</v>
      </c>
      <c r="B113" t="s">
        <v>25</v>
      </c>
      <c r="C113" t="s">
        <v>26</v>
      </c>
      <c r="D113" t="s">
        <v>25</v>
      </c>
      <c r="E113" t="s">
        <v>6470</v>
      </c>
      <c r="F113" t="s">
        <v>6471</v>
      </c>
      <c r="G113">
        <v>70003788</v>
      </c>
      <c r="H113" t="s">
        <v>6472</v>
      </c>
      <c r="I113" s="4" t="s">
        <v>6473</v>
      </c>
      <c r="J113" s="4" t="s">
        <v>6474</v>
      </c>
      <c r="K113" t="s">
        <v>6475</v>
      </c>
      <c r="L113" t="s">
        <v>55</v>
      </c>
      <c r="M113" t="s">
        <v>6476</v>
      </c>
      <c r="N113" t="s">
        <v>56</v>
      </c>
      <c r="O113" t="s">
        <v>29</v>
      </c>
      <c r="P113" t="s">
        <v>36</v>
      </c>
      <c r="Q113" t="s">
        <v>38</v>
      </c>
      <c r="R113">
        <v>10</v>
      </c>
      <c r="S113" t="s">
        <v>6477</v>
      </c>
      <c r="T113" t="s">
        <v>6478</v>
      </c>
      <c r="U113" t="s">
        <v>6479</v>
      </c>
      <c r="V113" t="s">
        <v>32</v>
      </c>
      <c r="W113" t="s">
        <v>33</v>
      </c>
      <c r="X113" t="s">
        <v>33</v>
      </c>
      <c r="Y113" t="s">
        <v>33</v>
      </c>
      <c r="Z113" s="16" t="s">
        <v>34</v>
      </c>
      <c r="AA113">
        <v>-75.643317319999994</v>
      </c>
      <c r="AB113">
        <v>6.1384746200000002</v>
      </c>
      <c r="AC113" t="s">
        <v>135</v>
      </c>
      <c r="AD113" t="s">
        <v>136</v>
      </c>
    </row>
    <row r="114" spans="1:30" x14ac:dyDescent="0.25">
      <c r="A114" t="s">
        <v>266</v>
      </c>
      <c r="B114" t="s">
        <v>25</v>
      </c>
      <c r="C114" t="s">
        <v>26</v>
      </c>
      <c r="D114" t="s">
        <v>25</v>
      </c>
      <c r="E114" t="s">
        <v>267</v>
      </c>
      <c r="F114" t="s">
        <v>268</v>
      </c>
      <c r="G114">
        <v>1036657898</v>
      </c>
      <c r="H114" t="s">
        <v>269</v>
      </c>
      <c r="I114" s="4" t="s">
        <v>35</v>
      </c>
      <c r="J114" s="4" t="s">
        <v>270</v>
      </c>
      <c r="K114" t="s">
        <v>271</v>
      </c>
      <c r="L114" t="s">
        <v>55</v>
      </c>
      <c r="M114" t="s">
        <v>272</v>
      </c>
      <c r="N114" t="s">
        <v>56</v>
      </c>
      <c r="O114" t="s">
        <v>29</v>
      </c>
      <c r="P114" t="s">
        <v>36</v>
      </c>
      <c r="Q114" t="s">
        <v>38</v>
      </c>
      <c r="R114">
        <v>10</v>
      </c>
      <c r="S114" t="s">
        <v>273</v>
      </c>
      <c r="T114" t="s">
        <v>6480</v>
      </c>
      <c r="U114" t="s">
        <v>47</v>
      </c>
      <c r="V114" t="s">
        <v>47</v>
      </c>
      <c r="W114" t="s">
        <v>33</v>
      </c>
      <c r="X114" t="s">
        <v>33</v>
      </c>
      <c r="Y114" t="s">
        <v>33</v>
      </c>
      <c r="Z114" s="16" t="s">
        <v>34</v>
      </c>
      <c r="AA114">
        <v>-75.631007210000007</v>
      </c>
      <c r="AB114">
        <v>6.1170650599999998</v>
      </c>
      <c r="AC114" t="s">
        <v>135</v>
      </c>
      <c r="AD114" t="s">
        <v>136</v>
      </c>
    </row>
    <row r="115" spans="1:30" x14ac:dyDescent="0.25">
      <c r="A115" t="s">
        <v>1824</v>
      </c>
      <c r="B115" t="s">
        <v>25</v>
      </c>
      <c r="C115" t="s">
        <v>26</v>
      </c>
      <c r="D115" t="s">
        <v>25</v>
      </c>
      <c r="E115" t="s">
        <v>1825</v>
      </c>
      <c r="F115" t="s">
        <v>1826</v>
      </c>
      <c r="G115">
        <v>21945118</v>
      </c>
      <c r="H115" t="s">
        <v>1827</v>
      </c>
      <c r="I115" s="4" t="s">
        <v>1828</v>
      </c>
      <c r="J115" s="4" t="s">
        <v>1829</v>
      </c>
      <c r="K115" t="s">
        <v>1830</v>
      </c>
      <c r="L115" t="s">
        <v>27</v>
      </c>
      <c r="M115" t="s">
        <v>1831</v>
      </c>
      <c r="N115" t="s">
        <v>28</v>
      </c>
      <c r="O115" t="s">
        <v>29</v>
      </c>
      <c r="P115" t="s">
        <v>36</v>
      </c>
      <c r="Q115" t="s">
        <v>31</v>
      </c>
      <c r="R115">
        <v>7</v>
      </c>
      <c r="S115" t="s">
        <v>1832</v>
      </c>
      <c r="T115" t="s">
        <v>6481</v>
      </c>
      <c r="U115" t="s">
        <v>6482</v>
      </c>
      <c r="V115" t="s">
        <v>49</v>
      </c>
      <c r="W115" t="s">
        <v>33</v>
      </c>
      <c r="X115" t="s">
        <v>33</v>
      </c>
      <c r="Y115" t="s">
        <v>33</v>
      </c>
      <c r="Z115" s="16" t="s">
        <v>34</v>
      </c>
      <c r="AA115">
        <v>-75.584629000000007</v>
      </c>
      <c r="AB115">
        <v>6.2202200100000002</v>
      </c>
      <c r="AC115" t="s">
        <v>135</v>
      </c>
      <c r="AD115" t="s">
        <v>136</v>
      </c>
    </row>
    <row r="116" spans="1:30" x14ac:dyDescent="0.25">
      <c r="A116" t="s">
        <v>1188</v>
      </c>
      <c r="B116" t="s">
        <v>42</v>
      </c>
      <c r="C116" t="s">
        <v>26</v>
      </c>
      <c r="D116" t="s">
        <v>42</v>
      </c>
      <c r="E116" t="s">
        <v>1189</v>
      </c>
      <c r="F116" t="s">
        <v>1835</v>
      </c>
      <c r="G116">
        <v>3556792</v>
      </c>
      <c r="H116" t="s">
        <v>1190</v>
      </c>
      <c r="I116" s="4" t="s">
        <v>35</v>
      </c>
      <c r="J116" s="4" t="s">
        <v>1191</v>
      </c>
      <c r="K116" t="s">
        <v>1192</v>
      </c>
      <c r="L116" t="s">
        <v>27</v>
      </c>
      <c r="M116" t="s">
        <v>1193</v>
      </c>
      <c r="N116" t="s">
        <v>28</v>
      </c>
      <c r="O116" t="s">
        <v>43</v>
      </c>
      <c r="P116" t="s">
        <v>30</v>
      </c>
      <c r="Q116" t="s">
        <v>31</v>
      </c>
      <c r="R116">
        <v>7</v>
      </c>
      <c r="S116" t="s">
        <v>1836</v>
      </c>
      <c r="T116" t="s">
        <v>1638</v>
      </c>
      <c r="U116" t="s">
        <v>1637</v>
      </c>
      <c r="V116" t="s">
        <v>32</v>
      </c>
      <c r="W116" t="s">
        <v>33</v>
      </c>
      <c r="X116" t="s">
        <v>33</v>
      </c>
      <c r="Y116" t="s">
        <v>33</v>
      </c>
      <c r="Z116" t="s">
        <v>134</v>
      </c>
      <c r="AA116">
        <v>-75.570068359999993</v>
      </c>
      <c r="AB116">
        <v>6.2148957300000003</v>
      </c>
      <c r="AC116" t="s">
        <v>135</v>
      </c>
      <c r="AD116" t="s">
        <v>136</v>
      </c>
    </row>
    <row r="117" spans="1:30" x14ac:dyDescent="0.25">
      <c r="A117" t="s">
        <v>1194</v>
      </c>
      <c r="B117" t="s">
        <v>42</v>
      </c>
      <c r="C117" t="s">
        <v>26</v>
      </c>
      <c r="D117" t="s">
        <v>42</v>
      </c>
      <c r="E117" t="s">
        <v>1195</v>
      </c>
      <c r="F117" t="s">
        <v>1196</v>
      </c>
      <c r="G117">
        <v>43667274</v>
      </c>
      <c r="H117" t="s">
        <v>1197</v>
      </c>
      <c r="I117" s="4" t="s">
        <v>1198</v>
      </c>
      <c r="J117" s="4" t="s">
        <v>1199</v>
      </c>
      <c r="K117" t="s">
        <v>1200</v>
      </c>
      <c r="L117" t="s">
        <v>48</v>
      </c>
      <c r="M117" t="s">
        <v>1201</v>
      </c>
      <c r="N117" t="s">
        <v>64</v>
      </c>
      <c r="O117" t="s">
        <v>43</v>
      </c>
      <c r="P117" t="s">
        <v>37</v>
      </c>
      <c r="Q117" t="s">
        <v>31</v>
      </c>
      <c r="R117">
        <v>7</v>
      </c>
      <c r="S117" t="s">
        <v>1202</v>
      </c>
      <c r="T117" t="s">
        <v>6483</v>
      </c>
      <c r="U117" t="s">
        <v>6484</v>
      </c>
      <c r="V117" t="s">
        <v>131</v>
      </c>
      <c r="W117" t="s">
        <v>33</v>
      </c>
      <c r="X117" t="s">
        <v>33</v>
      </c>
      <c r="Y117" t="s">
        <v>33</v>
      </c>
      <c r="Z117" s="16" t="s">
        <v>34</v>
      </c>
      <c r="AA117">
        <v>-75.594663999999995</v>
      </c>
      <c r="AB117">
        <v>6.1526959999999997</v>
      </c>
      <c r="AC117" t="s">
        <v>135</v>
      </c>
      <c r="AD117" t="s">
        <v>136</v>
      </c>
    </row>
    <row r="118" spans="1:30" x14ac:dyDescent="0.25">
      <c r="A118" t="s">
        <v>9910</v>
      </c>
      <c r="B118" t="s">
        <v>25</v>
      </c>
      <c r="C118" t="s">
        <v>26</v>
      </c>
      <c r="D118" t="s">
        <v>25</v>
      </c>
      <c r="E118" t="s">
        <v>6485</v>
      </c>
      <c r="F118" t="s">
        <v>6486</v>
      </c>
      <c r="G118">
        <v>43911165</v>
      </c>
      <c r="H118" t="s">
        <v>6487</v>
      </c>
      <c r="I118" s="4" t="s">
        <v>6488</v>
      </c>
      <c r="J118" s="4" t="s">
        <v>6489</v>
      </c>
      <c r="K118" t="s">
        <v>6490</v>
      </c>
      <c r="L118" t="s">
        <v>44</v>
      </c>
      <c r="M118" t="s">
        <v>6491</v>
      </c>
      <c r="N118" t="s">
        <v>45</v>
      </c>
      <c r="O118" t="s">
        <v>29</v>
      </c>
      <c r="P118" t="s">
        <v>37</v>
      </c>
      <c r="Q118" t="s">
        <v>31</v>
      </c>
      <c r="R118">
        <v>7</v>
      </c>
      <c r="S118" t="s">
        <v>6492</v>
      </c>
      <c r="T118" t="s">
        <v>6493</v>
      </c>
      <c r="U118" t="s">
        <v>6494</v>
      </c>
      <c r="V118" t="s">
        <v>32</v>
      </c>
      <c r="W118" t="s">
        <v>33</v>
      </c>
      <c r="X118" t="s">
        <v>33</v>
      </c>
      <c r="Y118" t="s">
        <v>33</v>
      </c>
      <c r="Z118" s="16" t="s">
        <v>34</v>
      </c>
      <c r="AA118">
        <v>-75.616451889999993</v>
      </c>
      <c r="AB118">
        <v>6.1888940899999998</v>
      </c>
      <c r="AC118" t="s">
        <v>135</v>
      </c>
      <c r="AD118" t="s">
        <v>136</v>
      </c>
    </row>
    <row r="119" spans="1:30" x14ac:dyDescent="0.25">
      <c r="A119" t="s">
        <v>1837</v>
      </c>
      <c r="B119" t="s">
        <v>25</v>
      </c>
      <c r="C119" t="s">
        <v>26</v>
      </c>
      <c r="D119" t="s">
        <v>39</v>
      </c>
      <c r="E119" t="s">
        <v>1838</v>
      </c>
      <c r="F119" t="s">
        <v>1839</v>
      </c>
      <c r="G119">
        <v>1032401002</v>
      </c>
      <c r="H119" t="s">
        <v>1840</v>
      </c>
      <c r="I119" s="4" t="s">
        <v>35</v>
      </c>
      <c r="J119" s="4" t="s">
        <v>1841</v>
      </c>
      <c r="K119" t="s">
        <v>1842</v>
      </c>
      <c r="L119" t="s">
        <v>55</v>
      </c>
      <c r="M119" t="s">
        <v>1843</v>
      </c>
      <c r="N119" t="s">
        <v>56</v>
      </c>
      <c r="O119" t="s">
        <v>40</v>
      </c>
      <c r="P119" t="s">
        <v>36</v>
      </c>
      <c r="Q119" t="s">
        <v>38</v>
      </c>
      <c r="R119">
        <v>8</v>
      </c>
      <c r="S119" t="s">
        <v>1844</v>
      </c>
      <c r="T119" t="s">
        <v>6495</v>
      </c>
      <c r="U119" t="s">
        <v>4713</v>
      </c>
      <c r="V119" t="s">
        <v>49</v>
      </c>
      <c r="W119" t="s">
        <v>33</v>
      </c>
      <c r="X119" t="s">
        <v>33</v>
      </c>
      <c r="Y119" t="s">
        <v>33</v>
      </c>
      <c r="Z119" s="16" t="s">
        <v>34</v>
      </c>
      <c r="AA119">
        <v>-75.656292620000002</v>
      </c>
      <c r="AB119">
        <v>6.1509925599999997</v>
      </c>
      <c r="AC119" t="s">
        <v>135</v>
      </c>
      <c r="AD119" t="s">
        <v>136</v>
      </c>
    </row>
    <row r="120" spans="1:30" x14ac:dyDescent="0.25">
      <c r="A120" t="s">
        <v>1847</v>
      </c>
      <c r="B120" t="s">
        <v>50</v>
      </c>
      <c r="C120" t="s">
        <v>26</v>
      </c>
      <c r="D120" t="s">
        <v>50</v>
      </c>
      <c r="E120" t="s">
        <v>1848</v>
      </c>
      <c r="F120" t="s">
        <v>1849</v>
      </c>
      <c r="G120">
        <v>71273466</v>
      </c>
      <c r="H120" t="s">
        <v>1850</v>
      </c>
      <c r="I120" s="4" t="s">
        <v>1851</v>
      </c>
      <c r="J120" s="4" t="s">
        <v>1852</v>
      </c>
      <c r="K120" t="s">
        <v>1853</v>
      </c>
      <c r="L120" t="s">
        <v>44</v>
      </c>
      <c r="M120" t="s">
        <v>1854</v>
      </c>
      <c r="N120" t="s">
        <v>45</v>
      </c>
      <c r="O120" t="s">
        <v>51</v>
      </c>
      <c r="P120" t="s">
        <v>52</v>
      </c>
      <c r="Q120" t="s">
        <v>31</v>
      </c>
      <c r="R120">
        <v>11</v>
      </c>
      <c r="S120" t="s">
        <v>1855</v>
      </c>
      <c r="T120" t="s">
        <v>6496</v>
      </c>
      <c r="U120" t="s">
        <v>6497</v>
      </c>
      <c r="V120" t="s">
        <v>32</v>
      </c>
      <c r="W120" t="s">
        <v>33</v>
      </c>
      <c r="X120" t="s">
        <v>33</v>
      </c>
      <c r="Y120" t="s">
        <v>33</v>
      </c>
      <c r="Z120" s="16" t="s">
        <v>34</v>
      </c>
      <c r="AA120">
        <v>-75.61130756</v>
      </c>
      <c r="AB120">
        <v>6.1734083200000001</v>
      </c>
      <c r="AC120" t="s">
        <v>135</v>
      </c>
      <c r="AD120" t="s">
        <v>136</v>
      </c>
    </row>
    <row r="121" spans="1:30" x14ac:dyDescent="0.25">
      <c r="A121" t="s">
        <v>274</v>
      </c>
      <c r="B121" t="s">
        <v>25</v>
      </c>
      <c r="C121" t="s">
        <v>26</v>
      </c>
      <c r="D121" t="s">
        <v>39</v>
      </c>
      <c r="E121" t="s">
        <v>275</v>
      </c>
      <c r="F121" t="s">
        <v>276</v>
      </c>
      <c r="G121">
        <v>43922481</v>
      </c>
      <c r="H121" t="s">
        <v>277</v>
      </c>
      <c r="I121" s="4" t="s">
        <v>35</v>
      </c>
      <c r="J121" s="4" t="s">
        <v>278</v>
      </c>
      <c r="K121" t="s">
        <v>279</v>
      </c>
      <c r="L121" t="s">
        <v>55</v>
      </c>
      <c r="M121" t="s">
        <v>280</v>
      </c>
      <c r="N121" t="s">
        <v>56</v>
      </c>
      <c r="O121" t="s">
        <v>40</v>
      </c>
      <c r="P121" t="s">
        <v>36</v>
      </c>
      <c r="Q121" t="s">
        <v>31</v>
      </c>
      <c r="R121">
        <v>5</v>
      </c>
      <c r="S121" t="s">
        <v>281</v>
      </c>
      <c r="T121" t="s">
        <v>6498</v>
      </c>
      <c r="U121" t="s">
        <v>47</v>
      </c>
      <c r="V121" t="s">
        <v>47</v>
      </c>
      <c r="W121" t="s">
        <v>33</v>
      </c>
      <c r="X121" t="s">
        <v>33</v>
      </c>
      <c r="Y121" t="s">
        <v>33</v>
      </c>
      <c r="Z121" s="16" t="s">
        <v>34</v>
      </c>
      <c r="AA121">
        <v>-75.632193000000001</v>
      </c>
      <c r="AB121">
        <v>6.1541759999999996</v>
      </c>
      <c r="AC121" t="s">
        <v>135</v>
      </c>
      <c r="AD121" t="s">
        <v>136</v>
      </c>
    </row>
    <row r="122" spans="1:30" x14ac:dyDescent="0.25">
      <c r="A122" t="s">
        <v>1856</v>
      </c>
      <c r="B122" t="s">
        <v>25</v>
      </c>
      <c r="C122" t="s">
        <v>26</v>
      </c>
      <c r="D122" t="s">
        <v>25</v>
      </c>
      <c r="E122" t="s">
        <v>1857</v>
      </c>
      <c r="F122" t="s">
        <v>1858</v>
      </c>
      <c r="G122">
        <v>1128271507</v>
      </c>
      <c r="H122" t="s">
        <v>1859</v>
      </c>
      <c r="I122" s="4" t="s">
        <v>35</v>
      </c>
      <c r="J122" s="4" t="s">
        <v>1860</v>
      </c>
      <c r="K122" t="s">
        <v>1861</v>
      </c>
      <c r="L122" t="s">
        <v>27</v>
      </c>
      <c r="M122" t="s">
        <v>1862</v>
      </c>
      <c r="N122" t="s">
        <v>28</v>
      </c>
      <c r="O122" t="s">
        <v>29</v>
      </c>
      <c r="P122" t="s">
        <v>36</v>
      </c>
      <c r="Q122" t="s">
        <v>31</v>
      </c>
      <c r="R122">
        <v>7</v>
      </c>
      <c r="S122" t="s">
        <v>1863</v>
      </c>
      <c r="T122" t="s">
        <v>6499</v>
      </c>
      <c r="U122" t="s">
        <v>5284</v>
      </c>
      <c r="V122" t="s">
        <v>49</v>
      </c>
      <c r="W122" t="s">
        <v>33</v>
      </c>
      <c r="X122" t="s">
        <v>33</v>
      </c>
      <c r="Y122" t="s">
        <v>33</v>
      </c>
      <c r="Z122" s="16" t="s">
        <v>34</v>
      </c>
      <c r="AA122">
        <v>-75.583991690000005</v>
      </c>
      <c r="AB122">
        <v>6.2276057600000003</v>
      </c>
      <c r="AC122" t="s">
        <v>135</v>
      </c>
      <c r="AD122" t="s">
        <v>136</v>
      </c>
    </row>
    <row r="123" spans="1:30" x14ac:dyDescent="0.25">
      <c r="A123" t="s">
        <v>1865</v>
      </c>
      <c r="B123" t="s">
        <v>25</v>
      </c>
      <c r="C123" t="s">
        <v>26</v>
      </c>
      <c r="D123" t="s">
        <v>25</v>
      </c>
      <c r="E123" t="s">
        <v>1866</v>
      </c>
      <c r="F123" t="s">
        <v>1867</v>
      </c>
      <c r="G123">
        <v>1128271507</v>
      </c>
      <c r="H123" t="s">
        <v>1859</v>
      </c>
      <c r="I123" s="4" t="s">
        <v>35</v>
      </c>
      <c r="J123" s="4" t="s">
        <v>1860</v>
      </c>
      <c r="K123" t="s">
        <v>1868</v>
      </c>
      <c r="L123" t="s">
        <v>27</v>
      </c>
      <c r="M123" t="s">
        <v>1869</v>
      </c>
      <c r="N123" t="s">
        <v>28</v>
      </c>
      <c r="O123" t="s">
        <v>29</v>
      </c>
      <c r="P123" t="s">
        <v>36</v>
      </c>
      <c r="Q123" t="s">
        <v>31</v>
      </c>
      <c r="R123">
        <v>7</v>
      </c>
      <c r="S123" t="s">
        <v>1870</v>
      </c>
      <c r="T123" t="s">
        <v>6500</v>
      </c>
      <c r="U123" t="s">
        <v>6501</v>
      </c>
      <c r="V123" t="s">
        <v>49</v>
      </c>
      <c r="W123" t="s">
        <v>33</v>
      </c>
      <c r="X123" t="s">
        <v>33</v>
      </c>
      <c r="Y123" t="s">
        <v>33</v>
      </c>
      <c r="Z123" s="16" t="s">
        <v>34</v>
      </c>
      <c r="AA123">
        <v>-75.583991690000005</v>
      </c>
      <c r="AB123">
        <v>6.2276057600000003</v>
      </c>
      <c r="AC123" t="s">
        <v>135</v>
      </c>
      <c r="AD123" t="s">
        <v>136</v>
      </c>
    </row>
    <row r="124" spans="1:30" x14ac:dyDescent="0.25">
      <c r="A124" t="s">
        <v>1871</v>
      </c>
      <c r="B124" t="s">
        <v>42</v>
      </c>
      <c r="C124" t="s">
        <v>75</v>
      </c>
      <c r="D124" t="s">
        <v>42</v>
      </c>
      <c r="E124" t="s">
        <v>1872</v>
      </c>
      <c r="F124" t="s">
        <v>1873</v>
      </c>
      <c r="G124">
        <v>1128271507</v>
      </c>
      <c r="H124" t="s">
        <v>1859</v>
      </c>
      <c r="I124" s="4" t="s">
        <v>35</v>
      </c>
      <c r="J124" s="4" t="s">
        <v>1860</v>
      </c>
      <c r="K124" t="s">
        <v>1874</v>
      </c>
      <c r="L124" t="s">
        <v>27</v>
      </c>
      <c r="M124" t="s">
        <v>1875</v>
      </c>
      <c r="N124" t="s">
        <v>28</v>
      </c>
      <c r="O124" t="s">
        <v>76</v>
      </c>
      <c r="P124" t="s">
        <v>36</v>
      </c>
      <c r="Q124" t="s">
        <v>31</v>
      </c>
      <c r="R124">
        <v>7</v>
      </c>
      <c r="S124" t="s">
        <v>1876</v>
      </c>
      <c r="T124" t="s">
        <v>2575</v>
      </c>
      <c r="U124" t="s">
        <v>2574</v>
      </c>
      <c r="V124" t="s">
        <v>49</v>
      </c>
      <c r="W124" t="s">
        <v>33</v>
      </c>
      <c r="X124" t="s">
        <v>33</v>
      </c>
      <c r="Y124" t="s">
        <v>33</v>
      </c>
      <c r="Z124" s="16" t="s">
        <v>34</v>
      </c>
      <c r="AA124">
        <v>-75.583991690000005</v>
      </c>
      <c r="AB124">
        <v>6.2276057600000003</v>
      </c>
      <c r="AC124" t="s">
        <v>135</v>
      </c>
      <c r="AD124" t="s">
        <v>136</v>
      </c>
    </row>
    <row r="125" spans="1:30" x14ac:dyDescent="0.25">
      <c r="A125" t="s">
        <v>9911</v>
      </c>
      <c r="B125" t="s">
        <v>25</v>
      </c>
      <c r="C125" t="s">
        <v>26</v>
      </c>
      <c r="D125" t="s">
        <v>25</v>
      </c>
      <c r="E125" t="s">
        <v>6502</v>
      </c>
      <c r="F125" t="s">
        <v>6503</v>
      </c>
      <c r="G125">
        <v>21792152</v>
      </c>
      <c r="H125" t="s">
        <v>6504</v>
      </c>
      <c r="I125" s="4" t="s">
        <v>35</v>
      </c>
      <c r="J125" s="4" t="s">
        <v>6505</v>
      </c>
      <c r="K125" t="s">
        <v>6506</v>
      </c>
      <c r="L125" t="s">
        <v>27</v>
      </c>
      <c r="M125" t="s">
        <v>6507</v>
      </c>
      <c r="N125" t="s">
        <v>28</v>
      </c>
      <c r="O125" t="s">
        <v>29</v>
      </c>
      <c r="P125" t="s">
        <v>37</v>
      </c>
      <c r="Q125" t="s">
        <v>31</v>
      </c>
      <c r="R125">
        <v>7</v>
      </c>
      <c r="S125" t="s">
        <v>6508</v>
      </c>
      <c r="T125" t="s">
        <v>1108</v>
      </c>
      <c r="U125" t="s">
        <v>6460</v>
      </c>
      <c r="V125" t="s">
        <v>32</v>
      </c>
      <c r="W125" t="s">
        <v>33</v>
      </c>
      <c r="X125" t="s">
        <v>33</v>
      </c>
      <c r="Y125" t="s">
        <v>33</v>
      </c>
      <c r="Z125" s="16" t="s">
        <v>34</v>
      </c>
      <c r="AA125">
        <v>-75.628726880000002</v>
      </c>
      <c r="AB125">
        <v>6.25090228</v>
      </c>
      <c r="AC125" t="s">
        <v>135</v>
      </c>
      <c r="AD125" t="s">
        <v>136</v>
      </c>
    </row>
    <row r="126" spans="1:30" x14ac:dyDescent="0.25">
      <c r="A126" t="s">
        <v>1877</v>
      </c>
      <c r="B126" t="s">
        <v>25</v>
      </c>
      <c r="C126" t="s">
        <v>26</v>
      </c>
      <c r="D126" t="s">
        <v>39</v>
      </c>
      <c r="E126" t="s">
        <v>1878</v>
      </c>
      <c r="F126" t="s">
        <v>1879</v>
      </c>
      <c r="G126">
        <v>21991377</v>
      </c>
      <c r="H126" t="s">
        <v>383</v>
      </c>
      <c r="I126" s="4" t="s">
        <v>1880</v>
      </c>
      <c r="J126" s="4" t="s">
        <v>1881</v>
      </c>
      <c r="K126" t="s">
        <v>1882</v>
      </c>
      <c r="L126" t="s">
        <v>57</v>
      </c>
      <c r="M126" t="s">
        <v>1883</v>
      </c>
      <c r="N126" t="s">
        <v>58</v>
      </c>
      <c r="O126" t="s">
        <v>40</v>
      </c>
      <c r="P126" t="s">
        <v>36</v>
      </c>
      <c r="Q126" t="s">
        <v>38</v>
      </c>
      <c r="R126">
        <v>8</v>
      </c>
      <c r="S126" t="s">
        <v>1884</v>
      </c>
      <c r="T126" t="s">
        <v>1885</v>
      </c>
      <c r="U126" t="s">
        <v>6509</v>
      </c>
      <c r="V126" t="s">
        <v>49</v>
      </c>
      <c r="W126" t="s">
        <v>33</v>
      </c>
      <c r="X126" t="s">
        <v>33</v>
      </c>
      <c r="Y126" t="s">
        <v>33</v>
      </c>
      <c r="Z126" s="16" t="s">
        <v>34</v>
      </c>
      <c r="AA126">
        <v>-75.638615000000001</v>
      </c>
      <c r="AB126">
        <v>6.0836579999999998</v>
      </c>
      <c r="AC126" t="s">
        <v>135</v>
      </c>
      <c r="AD126" t="s">
        <v>136</v>
      </c>
    </row>
    <row r="127" spans="1:30" x14ac:dyDescent="0.25">
      <c r="A127" t="s">
        <v>961</v>
      </c>
      <c r="B127" t="s">
        <v>25</v>
      </c>
      <c r="C127" t="s">
        <v>26</v>
      </c>
      <c r="D127" t="s">
        <v>25</v>
      </c>
      <c r="E127" t="s">
        <v>962</v>
      </c>
      <c r="F127" t="s">
        <v>963</v>
      </c>
      <c r="G127">
        <v>44004142</v>
      </c>
      <c r="H127" t="s">
        <v>964</v>
      </c>
      <c r="I127" s="4" t="s">
        <v>35</v>
      </c>
      <c r="J127" s="4" t="s">
        <v>965</v>
      </c>
      <c r="K127" t="s">
        <v>966</v>
      </c>
      <c r="L127" t="s">
        <v>27</v>
      </c>
      <c r="M127" t="s">
        <v>967</v>
      </c>
      <c r="N127" t="s">
        <v>28</v>
      </c>
      <c r="O127" t="s">
        <v>29</v>
      </c>
      <c r="P127" t="s">
        <v>37</v>
      </c>
      <c r="Q127" t="s">
        <v>31</v>
      </c>
      <c r="R127">
        <v>7</v>
      </c>
      <c r="S127" t="s">
        <v>968</v>
      </c>
      <c r="T127" t="s">
        <v>6510</v>
      </c>
      <c r="U127" t="s">
        <v>47</v>
      </c>
      <c r="V127" t="s">
        <v>47</v>
      </c>
      <c r="W127" t="s">
        <v>33</v>
      </c>
      <c r="X127" t="s">
        <v>33</v>
      </c>
      <c r="Y127" t="s">
        <v>33</v>
      </c>
      <c r="Z127" s="16" t="s">
        <v>34</v>
      </c>
      <c r="AA127">
        <v>-75.530877050000001</v>
      </c>
      <c r="AB127">
        <v>6.2286028900000003</v>
      </c>
      <c r="AC127" t="s">
        <v>135</v>
      </c>
      <c r="AD127" t="s">
        <v>136</v>
      </c>
    </row>
    <row r="128" spans="1:30" x14ac:dyDescent="0.25">
      <c r="A128" t="s">
        <v>1886</v>
      </c>
      <c r="B128" t="s">
        <v>25</v>
      </c>
      <c r="C128" t="s">
        <v>26</v>
      </c>
      <c r="D128" t="s">
        <v>25</v>
      </c>
      <c r="E128" t="s">
        <v>1887</v>
      </c>
      <c r="F128" t="s">
        <v>1888</v>
      </c>
      <c r="G128">
        <v>70900761</v>
      </c>
      <c r="H128" t="s">
        <v>1576</v>
      </c>
      <c r="I128" s="4" t="s">
        <v>35</v>
      </c>
      <c r="J128" s="4" t="s">
        <v>1889</v>
      </c>
      <c r="K128" t="s">
        <v>1890</v>
      </c>
      <c r="L128" t="s">
        <v>44</v>
      </c>
      <c r="M128" t="s">
        <v>1891</v>
      </c>
      <c r="N128" t="s">
        <v>45</v>
      </c>
      <c r="O128" t="s">
        <v>29</v>
      </c>
      <c r="P128" t="s">
        <v>37</v>
      </c>
      <c r="Q128" t="s">
        <v>31</v>
      </c>
      <c r="R128">
        <v>7</v>
      </c>
      <c r="S128" t="s">
        <v>1892</v>
      </c>
      <c r="T128" t="s">
        <v>1754</v>
      </c>
      <c r="U128" t="s">
        <v>2599</v>
      </c>
      <c r="V128" t="s">
        <v>32</v>
      </c>
      <c r="W128" t="s">
        <v>33</v>
      </c>
      <c r="X128" t="s">
        <v>33</v>
      </c>
      <c r="Y128" t="s">
        <v>33</v>
      </c>
      <c r="Z128" s="16" t="s">
        <v>34</v>
      </c>
      <c r="AA128">
        <v>-75.611007310000005</v>
      </c>
      <c r="AB128">
        <v>6.1728941099999997</v>
      </c>
      <c r="AC128" t="s">
        <v>135</v>
      </c>
      <c r="AD128" t="s">
        <v>136</v>
      </c>
    </row>
    <row r="129" spans="1:30" x14ac:dyDescent="0.25">
      <c r="A129" t="s">
        <v>1894</v>
      </c>
      <c r="B129" t="s">
        <v>25</v>
      </c>
      <c r="C129" t="s">
        <v>26</v>
      </c>
      <c r="D129" t="s">
        <v>25</v>
      </c>
      <c r="E129" t="s">
        <v>1895</v>
      </c>
      <c r="F129" t="s">
        <v>1896</v>
      </c>
      <c r="G129">
        <v>1001164958</v>
      </c>
      <c r="H129" t="s">
        <v>1897</v>
      </c>
      <c r="I129" s="4" t="s">
        <v>35</v>
      </c>
      <c r="J129" s="4" t="s">
        <v>1898</v>
      </c>
      <c r="K129" t="s">
        <v>1899</v>
      </c>
      <c r="L129" t="s">
        <v>27</v>
      </c>
      <c r="M129" t="s">
        <v>1900</v>
      </c>
      <c r="N129" t="s">
        <v>28</v>
      </c>
      <c r="O129" t="s">
        <v>29</v>
      </c>
      <c r="P129" t="s">
        <v>37</v>
      </c>
      <c r="Q129" t="s">
        <v>31</v>
      </c>
      <c r="R129">
        <v>7</v>
      </c>
      <c r="S129" t="s">
        <v>1901</v>
      </c>
      <c r="T129" t="s">
        <v>1482</v>
      </c>
      <c r="U129" t="s">
        <v>1481</v>
      </c>
      <c r="V129" t="s">
        <v>32</v>
      </c>
      <c r="W129" t="s">
        <v>33</v>
      </c>
      <c r="X129" t="s">
        <v>33</v>
      </c>
      <c r="Y129" t="s">
        <v>33</v>
      </c>
      <c r="Z129" s="16" t="s">
        <v>34</v>
      </c>
      <c r="AA129">
        <v>-75.532370599999993</v>
      </c>
      <c r="AB129">
        <v>6.2294986699999999</v>
      </c>
      <c r="AC129" t="s">
        <v>135</v>
      </c>
      <c r="AD129" t="s">
        <v>136</v>
      </c>
    </row>
    <row r="130" spans="1:30" x14ac:dyDescent="0.25">
      <c r="A130" t="s">
        <v>1902</v>
      </c>
      <c r="B130" t="s">
        <v>25</v>
      </c>
      <c r="C130" t="s">
        <v>26</v>
      </c>
      <c r="D130" t="s">
        <v>25</v>
      </c>
      <c r="E130" t="s">
        <v>1903</v>
      </c>
      <c r="F130" t="s">
        <v>1904</v>
      </c>
      <c r="G130">
        <v>70416827</v>
      </c>
      <c r="H130" t="s">
        <v>1905</v>
      </c>
      <c r="I130" s="4" t="s">
        <v>35</v>
      </c>
      <c r="J130" s="4" t="s">
        <v>1906</v>
      </c>
      <c r="K130" t="s">
        <v>1907</v>
      </c>
      <c r="L130" t="s">
        <v>27</v>
      </c>
      <c r="M130" t="s">
        <v>1908</v>
      </c>
      <c r="N130" t="s">
        <v>28</v>
      </c>
      <c r="O130" t="s">
        <v>29</v>
      </c>
      <c r="P130" t="s">
        <v>30</v>
      </c>
      <c r="Q130" t="s">
        <v>31</v>
      </c>
      <c r="R130">
        <v>7</v>
      </c>
      <c r="S130" t="s">
        <v>1909</v>
      </c>
      <c r="T130" t="s">
        <v>6511</v>
      </c>
      <c r="U130" t="s">
        <v>6512</v>
      </c>
      <c r="V130" t="s">
        <v>49</v>
      </c>
      <c r="W130" t="s">
        <v>33</v>
      </c>
      <c r="X130" t="s">
        <v>33</v>
      </c>
      <c r="Y130" t="s">
        <v>33</v>
      </c>
      <c r="Z130" s="16" t="s">
        <v>34</v>
      </c>
      <c r="AA130">
        <v>-75.526249000000007</v>
      </c>
      <c r="AB130">
        <v>6.2308339999999998</v>
      </c>
      <c r="AC130" t="s">
        <v>135</v>
      </c>
      <c r="AD130" t="s">
        <v>136</v>
      </c>
    </row>
    <row r="131" spans="1:30" x14ac:dyDescent="0.25">
      <c r="A131" t="s">
        <v>282</v>
      </c>
      <c r="B131" t="s">
        <v>25</v>
      </c>
      <c r="C131" t="s">
        <v>26</v>
      </c>
      <c r="D131" t="s">
        <v>25</v>
      </c>
      <c r="E131" t="s">
        <v>283</v>
      </c>
      <c r="F131" t="s">
        <v>284</v>
      </c>
      <c r="G131">
        <v>1026149467</v>
      </c>
      <c r="H131" t="s">
        <v>285</v>
      </c>
      <c r="I131" s="4" t="s">
        <v>35</v>
      </c>
      <c r="J131" s="4" t="s">
        <v>175</v>
      </c>
      <c r="K131" t="s">
        <v>286</v>
      </c>
      <c r="L131" t="s">
        <v>57</v>
      </c>
      <c r="M131" t="s">
        <v>287</v>
      </c>
      <c r="N131" t="s">
        <v>58</v>
      </c>
      <c r="O131" t="s">
        <v>29</v>
      </c>
      <c r="P131" t="s">
        <v>36</v>
      </c>
      <c r="Q131" t="s">
        <v>38</v>
      </c>
      <c r="R131">
        <v>10</v>
      </c>
      <c r="S131" t="s">
        <v>288</v>
      </c>
      <c r="T131" t="s">
        <v>6467</v>
      </c>
      <c r="U131" t="s">
        <v>47</v>
      </c>
      <c r="V131" t="s">
        <v>47</v>
      </c>
      <c r="W131" t="s">
        <v>33</v>
      </c>
      <c r="X131" t="s">
        <v>33</v>
      </c>
      <c r="Y131" t="s">
        <v>33</v>
      </c>
      <c r="Z131" s="16" t="s">
        <v>34</v>
      </c>
      <c r="AA131">
        <v>-75.625281909999998</v>
      </c>
      <c r="AB131">
        <v>6.05262601</v>
      </c>
      <c r="AC131" t="s">
        <v>135</v>
      </c>
      <c r="AD131" t="s">
        <v>136</v>
      </c>
    </row>
    <row r="132" spans="1:30" x14ac:dyDescent="0.25">
      <c r="A132" t="s">
        <v>1910</v>
      </c>
      <c r="B132" t="s">
        <v>25</v>
      </c>
      <c r="C132" t="s">
        <v>26</v>
      </c>
      <c r="D132" t="s">
        <v>39</v>
      </c>
      <c r="E132" t="s">
        <v>1911</v>
      </c>
      <c r="F132" t="s">
        <v>1912</v>
      </c>
      <c r="G132">
        <v>1000314254</v>
      </c>
      <c r="H132" t="s">
        <v>1913</v>
      </c>
      <c r="I132" s="4" t="s">
        <v>1914</v>
      </c>
      <c r="J132" s="4" t="s">
        <v>1915</v>
      </c>
      <c r="K132" t="s">
        <v>1916</v>
      </c>
      <c r="L132" t="s">
        <v>55</v>
      </c>
      <c r="M132" t="s">
        <v>1917</v>
      </c>
      <c r="N132" t="s">
        <v>56</v>
      </c>
      <c r="O132" t="s">
        <v>40</v>
      </c>
      <c r="P132" t="s">
        <v>36</v>
      </c>
      <c r="Q132" t="s">
        <v>38</v>
      </c>
      <c r="R132">
        <v>8</v>
      </c>
      <c r="S132" t="s">
        <v>1918</v>
      </c>
      <c r="T132" t="s">
        <v>6273</v>
      </c>
      <c r="U132" t="s">
        <v>6274</v>
      </c>
      <c r="V132" t="s">
        <v>49</v>
      </c>
      <c r="W132" t="s">
        <v>33</v>
      </c>
      <c r="X132" t="s">
        <v>33</v>
      </c>
      <c r="Y132" t="s">
        <v>33</v>
      </c>
      <c r="Z132" s="16" t="s">
        <v>34</v>
      </c>
      <c r="AA132">
        <v>-75.639198410000006</v>
      </c>
      <c r="AB132">
        <v>6.1212905700000002</v>
      </c>
      <c r="AC132" t="s">
        <v>135</v>
      </c>
      <c r="AD132" t="s">
        <v>136</v>
      </c>
    </row>
    <row r="133" spans="1:30" x14ac:dyDescent="0.25">
      <c r="A133" t="s">
        <v>289</v>
      </c>
      <c r="B133" t="s">
        <v>25</v>
      </c>
      <c r="C133" t="s">
        <v>26</v>
      </c>
      <c r="D133" t="s">
        <v>25</v>
      </c>
      <c r="E133" t="s">
        <v>290</v>
      </c>
      <c r="F133" t="s">
        <v>291</v>
      </c>
      <c r="G133">
        <v>1028005363</v>
      </c>
      <c r="H133" t="s">
        <v>292</v>
      </c>
      <c r="I133" s="4" t="s">
        <v>35</v>
      </c>
      <c r="J133" s="4" t="s">
        <v>293</v>
      </c>
      <c r="K133" t="s">
        <v>294</v>
      </c>
      <c r="L133" t="s">
        <v>57</v>
      </c>
      <c r="M133" t="s">
        <v>295</v>
      </c>
      <c r="N133" t="s">
        <v>58</v>
      </c>
      <c r="O133" t="s">
        <v>29</v>
      </c>
      <c r="P133" t="s">
        <v>36</v>
      </c>
      <c r="Q133" t="s">
        <v>38</v>
      </c>
      <c r="R133">
        <v>10</v>
      </c>
      <c r="S133" t="s">
        <v>296</v>
      </c>
      <c r="T133" t="s">
        <v>6467</v>
      </c>
      <c r="U133" t="s">
        <v>47</v>
      </c>
      <c r="V133" t="s">
        <v>47</v>
      </c>
      <c r="W133" t="s">
        <v>33</v>
      </c>
      <c r="X133" t="s">
        <v>33</v>
      </c>
      <c r="Y133" t="s">
        <v>33</v>
      </c>
      <c r="Z133" s="16" t="s">
        <v>34</v>
      </c>
      <c r="AA133">
        <v>-75.626788329999997</v>
      </c>
      <c r="AB133">
        <v>6.0543135399999999</v>
      </c>
      <c r="AC133" t="s">
        <v>135</v>
      </c>
      <c r="AD133" t="s">
        <v>136</v>
      </c>
    </row>
    <row r="134" spans="1:30" x14ac:dyDescent="0.25">
      <c r="A134" t="s">
        <v>1204</v>
      </c>
      <c r="B134" t="s">
        <v>25</v>
      </c>
      <c r="C134" t="s">
        <v>26</v>
      </c>
      <c r="D134" t="s">
        <v>25</v>
      </c>
      <c r="E134" t="s">
        <v>1205</v>
      </c>
      <c r="F134" t="s">
        <v>1206</v>
      </c>
      <c r="G134">
        <v>15511037</v>
      </c>
      <c r="H134" t="s">
        <v>1203</v>
      </c>
      <c r="I134" s="4" t="s">
        <v>35</v>
      </c>
      <c r="J134" s="4" t="s">
        <v>244</v>
      </c>
      <c r="K134" t="s">
        <v>1207</v>
      </c>
      <c r="L134" t="s">
        <v>27</v>
      </c>
      <c r="M134" t="s">
        <v>1208</v>
      </c>
      <c r="N134" t="s">
        <v>28</v>
      </c>
      <c r="O134" t="s">
        <v>29</v>
      </c>
      <c r="P134" t="s">
        <v>36</v>
      </c>
      <c r="Q134" t="s">
        <v>31</v>
      </c>
      <c r="R134">
        <v>7</v>
      </c>
      <c r="S134" t="s">
        <v>1209</v>
      </c>
      <c r="T134" t="s">
        <v>6350</v>
      </c>
      <c r="U134" t="s">
        <v>6351</v>
      </c>
      <c r="V134" t="s">
        <v>131</v>
      </c>
      <c r="W134" t="s">
        <v>33</v>
      </c>
      <c r="X134" t="s">
        <v>33</v>
      </c>
      <c r="Y134" t="s">
        <v>33</v>
      </c>
      <c r="Z134" s="16" t="s">
        <v>34</v>
      </c>
      <c r="AA134">
        <v>-75.606615820000002</v>
      </c>
      <c r="AB134">
        <v>6.2408473100000004</v>
      </c>
      <c r="AC134" t="s">
        <v>135</v>
      </c>
      <c r="AD134" t="s">
        <v>136</v>
      </c>
    </row>
    <row r="135" spans="1:30" x14ac:dyDescent="0.25">
      <c r="A135" t="s">
        <v>1210</v>
      </c>
      <c r="B135" t="s">
        <v>25</v>
      </c>
      <c r="C135" t="s">
        <v>26</v>
      </c>
      <c r="D135" t="s">
        <v>25</v>
      </c>
      <c r="E135" t="s">
        <v>1211</v>
      </c>
      <c r="F135" t="s">
        <v>1212</v>
      </c>
      <c r="G135">
        <v>15511037</v>
      </c>
      <c r="H135" t="s">
        <v>1203</v>
      </c>
      <c r="I135" s="4" t="s">
        <v>35</v>
      </c>
      <c r="J135" s="4" t="s">
        <v>244</v>
      </c>
      <c r="K135" t="s">
        <v>1213</v>
      </c>
      <c r="L135" t="s">
        <v>27</v>
      </c>
      <c r="M135" t="s">
        <v>1214</v>
      </c>
      <c r="N135" t="s">
        <v>28</v>
      </c>
      <c r="O135" t="s">
        <v>29</v>
      </c>
      <c r="P135" t="s">
        <v>36</v>
      </c>
      <c r="Q135" t="s">
        <v>31</v>
      </c>
      <c r="R135">
        <v>7</v>
      </c>
      <c r="S135" t="s">
        <v>1215</v>
      </c>
      <c r="T135" t="s">
        <v>6350</v>
      </c>
      <c r="U135" t="s">
        <v>6351</v>
      </c>
      <c r="V135" t="s">
        <v>131</v>
      </c>
      <c r="W135" t="s">
        <v>33</v>
      </c>
      <c r="X135" t="s">
        <v>33</v>
      </c>
      <c r="Y135" t="s">
        <v>33</v>
      </c>
      <c r="Z135" s="16" t="s">
        <v>34</v>
      </c>
      <c r="AA135">
        <v>-75.606615820000002</v>
      </c>
      <c r="AB135">
        <v>6.2408473100000004</v>
      </c>
      <c r="AC135" t="s">
        <v>135</v>
      </c>
      <c r="AD135" t="s">
        <v>136</v>
      </c>
    </row>
    <row r="136" spans="1:30" x14ac:dyDescent="0.25">
      <c r="A136" t="s">
        <v>9912</v>
      </c>
      <c r="B136" t="s">
        <v>42</v>
      </c>
      <c r="C136" t="s">
        <v>26</v>
      </c>
      <c r="D136" t="s">
        <v>42</v>
      </c>
      <c r="E136" t="s">
        <v>6513</v>
      </c>
      <c r="F136" t="s">
        <v>6514</v>
      </c>
      <c r="G136">
        <v>71722285</v>
      </c>
      <c r="H136" t="s">
        <v>6515</v>
      </c>
      <c r="I136" s="4" t="s">
        <v>6516</v>
      </c>
      <c r="J136" s="4" t="s">
        <v>2791</v>
      </c>
      <c r="K136" t="s">
        <v>6517</v>
      </c>
      <c r="L136" t="s">
        <v>27</v>
      </c>
      <c r="M136" t="s">
        <v>6518</v>
      </c>
      <c r="N136" t="s">
        <v>28</v>
      </c>
      <c r="O136" t="s">
        <v>43</v>
      </c>
      <c r="P136" t="s">
        <v>37</v>
      </c>
      <c r="Q136" t="s">
        <v>31</v>
      </c>
      <c r="R136">
        <v>7</v>
      </c>
      <c r="S136" t="s">
        <v>6519</v>
      </c>
      <c r="T136" t="s">
        <v>1108</v>
      </c>
      <c r="U136" t="s">
        <v>6460</v>
      </c>
      <c r="V136" t="s">
        <v>32</v>
      </c>
      <c r="W136" t="s">
        <v>33</v>
      </c>
      <c r="X136" t="s">
        <v>33</v>
      </c>
      <c r="Y136" t="s">
        <v>33</v>
      </c>
      <c r="Z136" s="16" t="s">
        <v>34</v>
      </c>
      <c r="AA136">
        <v>-75.568988000000004</v>
      </c>
      <c r="AB136">
        <v>6.2571529999999997</v>
      </c>
      <c r="AC136" t="s">
        <v>135</v>
      </c>
      <c r="AD136" t="s">
        <v>136</v>
      </c>
    </row>
    <row r="137" spans="1:30" x14ac:dyDescent="0.25">
      <c r="A137" t="s">
        <v>297</v>
      </c>
      <c r="B137" t="s">
        <v>42</v>
      </c>
      <c r="C137" t="s">
        <v>26</v>
      </c>
      <c r="D137" t="s">
        <v>42</v>
      </c>
      <c r="E137" t="s">
        <v>298</v>
      </c>
      <c r="F137" t="s">
        <v>299</v>
      </c>
      <c r="G137">
        <v>71393065</v>
      </c>
      <c r="H137" t="s">
        <v>300</v>
      </c>
      <c r="I137" s="4" t="s">
        <v>301</v>
      </c>
      <c r="J137" s="4" t="s">
        <v>302</v>
      </c>
      <c r="K137" t="s">
        <v>303</v>
      </c>
      <c r="L137" t="s">
        <v>57</v>
      </c>
      <c r="M137" t="s">
        <v>304</v>
      </c>
      <c r="N137" t="s">
        <v>58</v>
      </c>
      <c r="O137" t="s">
        <v>43</v>
      </c>
      <c r="P137" t="s">
        <v>36</v>
      </c>
      <c r="Q137" t="s">
        <v>31</v>
      </c>
      <c r="R137">
        <v>7</v>
      </c>
      <c r="S137" t="s">
        <v>305</v>
      </c>
      <c r="T137" t="s">
        <v>6520</v>
      </c>
      <c r="U137" t="s">
        <v>47</v>
      </c>
      <c r="V137" t="s">
        <v>47</v>
      </c>
      <c r="W137" t="s">
        <v>33</v>
      </c>
      <c r="X137" t="s">
        <v>33</v>
      </c>
      <c r="Y137" t="s">
        <v>33</v>
      </c>
      <c r="Z137" s="16" t="s">
        <v>34</v>
      </c>
      <c r="AA137">
        <v>-75.636893520000001</v>
      </c>
      <c r="AB137">
        <v>6.0916210099999999</v>
      </c>
      <c r="AC137" t="s">
        <v>135</v>
      </c>
      <c r="AD137" t="s">
        <v>136</v>
      </c>
    </row>
    <row r="138" spans="1:30" x14ac:dyDescent="0.25">
      <c r="A138" t="s">
        <v>1919</v>
      </c>
      <c r="B138" t="s">
        <v>25</v>
      </c>
      <c r="C138" t="s">
        <v>26</v>
      </c>
      <c r="D138" t="s">
        <v>39</v>
      </c>
      <c r="E138" t="s">
        <v>1920</v>
      </c>
      <c r="F138" t="s">
        <v>1921</v>
      </c>
      <c r="G138">
        <v>1017271970</v>
      </c>
      <c r="H138" t="s">
        <v>1922</v>
      </c>
      <c r="I138" s="4" t="s">
        <v>35</v>
      </c>
      <c r="J138" s="4" t="s">
        <v>1923</v>
      </c>
      <c r="K138" t="s">
        <v>1924</v>
      </c>
      <c r="L138" t="s">
        <v>27</v>
      </c>
      <c r="M138" t="s">
        <v>1925</v>
      </c>
      <c r="N138" t="s">
        <v>28</v>
      </c>
      <c r="O138" t="s">
        <v>40</v>
      </c>
      <c r="P138" t="s">
        <v>41</v>
      </c>
      <c r="Q138" t="s">
        <v>31</v>
      </c>
      <c r="R138">
        <v>5</v>
      </c>
      <c r="S138" t="s">
        <v>1926</v>
      </c>
      <c r="T138" t="s">
        <v>6521</v>
      </c>
      <c r="U138" t="s">
        <v>6522</v>
      </c>
      <c r="V138" t="s">
        <v>32</v>
      </c>
      <c r="W138" t="s">
        <v>33</v>
      </c>
      <c r="X138" t="s">
        <v>33</v>
      </c>
      <c r="Y138" t="s">
        <v>33</v>
      </c>
      <c r="Z138" s="16" t="s">
        <v>34</v>
      </c>
      <c r="AA138">
        <v>-75.615707999999998</v>
      </c>
      <c r="AB138">
        <v>6.2713380000000001</v>
      </c>
      <c r="AC138" t="s">
        <v>135</v>
      </c>
      <c r="AD138" t="s">
        <v>136</v>
      </c>
    </row>
    <row r="139" spans="1:30" x14ac:dyDescent="0.25">
      <c r="A139" t="s">
        <v>1216</v>
      </c>
      <c r="B139" t="s">
        <v>25</v>
      </c>
      <c r="C139" t="s">
        <v>26</v>
      </c>
      <c r="D139" t="s">
        <v>25</v>
      </c>
      <c r="E139" t="s">
        <v>1217</v>
      </c>
      <c r="F139" t="s">
        <v>1218</v>
      </c>
      <c r="G139">
        <v>43688434</v>
      </c>
      <c r="H139" t="s">
        <v>1219</v>
      </c>
      <c r="I139" s="4" t="s">
        <v>35</v>
      </c>
      <c r="J139" s="4" t="s">
        <v>1220</v>
      </c>
      <c r="K139" t="s">
        <v>1221</v>
      </c>
      <c r="L139" t="s">
        <v>55</v>
      </c>
      <c r="M139" t="s">
        <v>1222</v>
      </c>
      <c r="N139" t="s">
        <v>56</v>
      </c>
      <c r="O139" t="s">
        <v>29</v>
      </c>
      <c r="P139" t="s">
        <v>36</v>
      </c>
      <c r="Q139" t="s">
        <v>38</v>
      </c>
      <c r="R139">
        <v>10</v>
      </c>
      <c r="S139" t="s">
        <v>1223</v>
      </c>
      <c r="T139" t="s">
        <v>6273</v>
      </c>
      <c r="U139" t="s">
        <v>6377</v>
      </c>
      <c r="V139" t="s">
        <v>32</v>
      </c>
      <c r="W139" t="s">
        <v>33</v>
      </c>
      <c r="X139" t="s">
        <v>33</v>
      </c>
      <c r="Y139" t="s">
        <v>33</v>
      </c>
      <c r="Z139" s="16" t="s">
        <v>34</v>
      </c>
      <c r="AA139">
        <v>-75.638875369999994</v>
      </c>
      <c r="AB139">
        <v>6.1188010999999998</v>
      </c>
      <c r="AC139" t="s">
        <v>135</v>
      </c>
      <c r="AD139" t="s">
        <v>136</v>
      </c>
    </row>
    <row r="140" spans="1:30" x14ac:dyDescent="0.25">
      <c r="A140" t="s">
        <v>306</v>
      </c>
      <c r="B140" t="s">
        <v>25</v>
      </c>
      <c r="C140" t="s">
        <v>26</v>
      </c>
      <c r="D140" t="s">
        <v>39</v>
      </c>
      <c r="E140" t="s">
        <v>307</v>
      </c>
      <c r="F140" t="s">
        <v>308</v>
      </c>
      <c r="G140">
        <v>71391065</v>
      </c>
      <c r="H140" t="s">
        <v>309</v>
      </c>
      <c r="I140" s="4" t="s">
        <v>35</v>
      </c>
      <c r="J140" s="4" t="s">
        <v>310</v>
      </c>
      <c r="K140" t="s">
        <v>311</v>
      </c>
      <c r="L140" t="s">
        <v>57</v>
      </c>
      <c r="M140" t="s">
        <v>312</v>
      </c>
      <c r="N140" t="s">
        <v>58</v>
      </c>
      <c r="O140" t="s">
        <v>40</v>
      </c>
      <c r="P140" t="s">
        <v>36</v>
      </c>
      <c r="Q140" t="s">
        <v>38</v>
      </c>
      <c r="R140">
        <v>8</v>
      </c>
      <c r="S140" t="s">
        <v>313</v>
      </c>
      <c r="T140" t="s">
        <v>6389</v>
      </c>
      <c r="U140" t="s">
        <v>47</v>
      </c>
      <c r="V140" t="s">
        <v>47</v>
      </c>
      <c r="W140" t="s">
        <v>33</v>
      </c>
      <c r="X140" t="s">
        <v>33</v>
      </c>
      <c r="Y140" t="s">
        <v>33</v>
      </c>
      <c r="Z140" s="16" t="s">
        <v>34</v>
      </c>
      <c r="AA140">
        <v>-75.635639749999996</v>
      </c>
      <c r="AB140">
        <v>6.0736636800000001</v>
      </c>
      <c r="AC140" t="s">
        <v>135</v>
      </c>
      <c r="AD140" t="s">
        <v>136</v>
      </c>
    </row>
    <row r="141" spans="1:30" x14ac:dyDescent="0.25">
      <c r="A141" t="s">
        <v>1224</v>
      </c>
      <c r="B141" t="s">
        <v>25</v>
      </c>
      <c r="C141" t="s">
        <v>26</v>
      </c>
      <c r="D141" t="s">
        <v>25</v>
      </c>
      <c r="E141" t="s">
        <v>1225</v>
      </c>
      <c r="F141" t="s">
        <v>1226</v>
      </c>
      <c r="G141">
        <v>15511037</v>
      </c>
      <c r="H141" t="s">
        <v>1203</v>
      </c>
      <c r="I141" s="4" t="s">
        <v>35</v>
      </c>
      <c r="J141" s="4" t="s">
        <v>244</v>
      </c>
      <c r="K141" t="s">
        <v>1227</v>
      </c>
      <c r="L141" t="s">
        <v>27</v>
      </c>
      <c r="M141" t="s">
        <v>1228</v>
      </c>
      <c r="N141" t="s">
        <v>28</v>
      </c>
      <c r="O141" t="s">
        <v>29</v>
      </c>
      <c r="P141" t="s">
        <v>36</v>
      </c>
      <c r="Q141" t="s">
        <v>31</v>
      </c>
      <c r="R141">
        <v>7</v>
      </c>
      <c r="S141" t="s">
        <v>1229</v>
      </c>
      <c r="T141" t="s">
        <v>6350</v>
      </c>
      <c r="U141" t="s">
        <v>6351</v>
      </c>
      <c r="V141" t="s">
        <v>131</v>
      </c>
      <c r="W141" t="s">
        <v>33</v>
      </c>
      <c r="X141" t="s">
        <v>33</v>
      </c>
      <c r="Y141" t="s">
        <v>33</v>
      </c>
      <c r="Z141" s="16" t="s">
        <v>34</v>
      </c>
      <c r="AA141">
        <v>-75.606615820000002</v>
      </c>
      <c r="AB141">
        <v>6.2408473100000004</v>
      </c>
      <c r="AC141" t="s">
        <v>135</v>
      </c>
      <c r="AD141" t="s">
        <v>136</v>
      </c>
    </row>
    <row r="142" spans="1:30" x14ac:dyDescent="0.25">
      <c r="A142" t="s">
        <v>1230</v>
      </c>
      <c r="B142" t="s">
        <v>25</v>
      </c>
      <c r="C142" t="s">
        <v>26</v>
      </c>
      <c r="D142" t="s">
        <v>25</v>
      </c>
      <c r="E142" t="s">
        <v>1231</v>
      </c>
      <c r="F142" t="s">
        <v>1232</v>
      </c>
      <c r="G142">
        <v>15511037</v>
      </c>
      <c r="H142" t="s">
        <v>1203</v>
      </c>
      <c r="I142" s="4" t="s">
        <v>35</v>
      </c>
      <c r="J142" s="4" t="s">
        <v>244</v>
      </c>
      <c r="K142" t="s">
        <v>1233</v>
      </c>
      <c r="L142" t="s">
        <v>27</v>
      </c>
      <c r="M142" t="s">
        <v>1234</v>
      </c>
      <c r="N142" t="s">
        <v>28</v>
      </c>
      <c r="O142" t="s">
        <v>29</v>
      </c>
      <c r="P142" t="s">
        <v>36</v>
      </c>
      <c r="Q142" t="s">
        <v>31</v>
      </c>
      <c r="R142">
        <v>7</v>
      </c>
      <c r="S142" t="s">
        <v>1235</v>
      </c>
      <c r="T142" t="s">
        <v>6350</v>
      </c>
      <c r="U142" t="s">
        <v>6351</v>
      </c>
      <c r="V142" t="s">
        <v>131</v>
      </c>
      <c r="W142" t="s">
        <v>33</v>
      </c>
      <c r="X142" t="s">
        <v>33</v>
      </c>
      <c r="Y142" t="s">
        <v>33</v>
      </c>
      <c r="Z142" s="16" t="s">
        <v>34</v>
      </c>
      <c r="AA142">
        <v>-75.606615820000002</v>
      </c>
      <c r="AB142">
        <v>6.2408473100000004</v>
      </c>
      <c r="AC142" t="s">
        <v>135</v>
      </c>
      <c r="AD142" t="s">
        <v>136</v>
      </c>
    </row>
    <row r="143" spans="1:30" x14ac:dyDescent="0.25">
      <c r="A143" t="s">
        <v>584</v>
      </c>
      <c r="B143" t="s">
        <v>25</v>
      </c>
      <c r="C143" t="s">
        <v>26</v>
      </c>
      <c r="D143" t="s">
        <v>39</v>
      </c>
      <c r="E143" t="s">
        <v>585</v>
      </c>
      <c r="F143" t="s">
        <v>586</v>
      </c>
      <c r="G143">
        <v>43752510</v>
      </c>
      <c r="H143" t="s">
        <v>587</v>
      </c>
      <c r="I143" s="4" t="s">
        <v>35</v>
      </c>
      <c r="J143" s="4" t="s">
        <v>588</v>
      </c>
      <c r="K143" t="s">
        <v>589</v>
      </c>
      <c r="L143" t="s">
        <v>57</v>
      </c>
      <c r="M143" t="s">
        <v>590</v>
      </c>
      <c r="N143" t="s">
        <v>58</v>
      </c>
      <c r="O143" t="s">
        <v>40</v>
      </c>
      <c r="P143" t="s">
        <v>36</v>
      </c>
      <c r="Q143" t="s">
        <v>38</v>
      </c>
      <c r="R143">
        <v>8</v>
      </c>
      <c r="S143" t="s">
        <v>591</v>
      </c>
      <c r="T143" t="s">
        <v>6523</v>
      </c>
      <c r="U143" t="s">
        <v>47</v>
      </c>
      <c r="V143" t="s">
        <v>47</v>
      </c>
      <c r="W143" t="s">
        <v>33</v>
      </c>
      <c r="X143" t="s">
        <v>33</v>
      </c>
      <c r="Y143" t="s">
        <v>33</v>
      </c>
      <c r="Z143" s="16" t="s">
        <v>34</v>
      </c>
      <c r="AA143">
        <v>-75.621536890000002</v>
      </c>
      <c r="AB143">
        <v>6.0882243899999997</v>
      </c>
      <c r="AC143" t="s">
        <v>135</v>
      </c>
      <c r="AD143" t="s">
        <v>136</v>
      </c>
    </row>
    <row r="144" spans="1:30" x14ac:dyDescent="0.25">
      <c r="A144" t="s">
        <v>314</v>
      </c>
      <c r="B144" t="s">
        <v>42</v>
      </c>
      <c r="C144" t="s">
        <v>26</v>
      </c>
      <c r="D144" t="s">
        <v>42</v>
      </c>
      <c r="E144" t="s">
        <v>315</v>
      </c>
      <c r="F144" t="s">
        <v>316</v>
      </c>
      <c r="G144">
        <v>890923668</v>
      </c>
      <c r="H144" t="s">
        <v>317</v>
      </c>
      <c r="I144" s="4" t="s">
        <v>318</v>
      </c>
      <c r="J144" s="4" t="s">
        <v>319</v>
      </c>
      <c r="K144" t="s">
        <v>320</v>
      </c>
      <c r="L144" t="s">
        <v>48</v>
      </c>
      <c r="M144" t="s">
        <v>321</v>
      </c>
      <c r="N144" t="s">
        <v>64</v>
      </c>
      <c r="O144" t="s">
        <v>43</v>
      </c>
      <c r="P144" t="s">
        <v>36</v>
      </c>
      <c r="Q144" t="s">
        <v>31</v>
      </c>
      <c r="R144">
        <v>7</v>
      </c>
      <c r="S144" t="s">
        <v>322</v>
      </c>
      <c r="T144" t="s">
        <v>6524</v>
      </c>
      <c r="U144" t="s">
        <v>47</v>
      </c>
      <c r="V144" t="s">
        <v>47</v>
      </c>
      <c r="W144" t="s">
        <v>33</v>
      </c>
      <c r="X144" t="s">
        <v>33</v>
      </c>
      <c r="Y144" t="s">
        <v>33</v>
      </c>
      <c r="Z144" s="16" t="s">
        <v>34</v>
      </c>
      <c r="AA144">
        <v>-75.596101000000004</v>
      </c>
      <c r="AB144">
        <v>6.1743085000000004</v>
      </c>
      <c r="AC144" t="s">
        <v>135</v>
      </c>
      <c r="AD144" t="s">
        <v>136</v>
      </c>
    </row>
    <row r="145" spans="1:30" x14ac:dyDescent="0.25">
      <c r="A145" t="s">
        <v>722</v>
      </c>
      <c r="B145" t="s">
        <v>42</v>
      </c>
      <c r="C145" t="s">
        <v>26</v>
      </c>
      <c r="D145" t="s">
        <v>42</v>
      </c>
      <c r="E145" t="s">
        <v>723</v>
      </c>
      <c r="F145" t="s">
        <v>724</v>
      </c>
      <c r="G145">
        <v>811012208</v>
      </c>
      <c r="H145" t="s">
        <v>725</v>
      </c>
      <c r="I145" s="4" t="s">
        <v>726</v>
      </c>
      <c r="J145" s="4" t="s">
        <v>727</v>
      </c>
      <c r="K145" t="s">
        <v>728</v>
      </c>
      <c r="L145" t="s">
        <v>48</v>
      </c>
      <c r="M145" t="s">
        <v>729</v>
      </c>
      <c r="N145" t="s">
        <v>64</v>
      </c>
      <c r="O145" t="s">
        <v>43</v>
      </c>
      <c r="P145" t="s">
        <v>37</v>
      </c>
      <c r="Q145" t="s">
        <v>38</v>
      </c>
      <c r="R145">
        <v>10</v>
      </c>
      <c r="S145" t="s">
        <v>730</v>
      </c>
      <c r="T145" t="s">
        <v>6526</v>
      </c>
      <c r="U145" t="s">
        <v>6527</v>
      </c>
      <c r="V145" t="s">
        <v>49</v>
      </c>
      <c r="W145" t="s">
        <v>33</v>
      </c>
      <c r="X145" t="s">
        <v>33</v>
      </c>
      <c r="Y145" t="s">
        <v>33</v>
      </c>
      <c r="Z145" s="16" t="s">
        <v>34</v>
      </c>
      <c r="AA145">
        <v>-75.579853110000002</v>
      </c>
      <c r="AB145">
        <v>6.1357671299999996</v>
      </c>
      <c r="AC145" t="s">
        <v>135</v>
      </c>
      <c r="AD145" t="s">
        <v>136</v>
      </c>
    </row>
    <row r="146" spans="1:30" x14ac:dyDescent="0.25">
      <c r="A146" t="s">
        <v>323</v>
      </c>
      <c r="B146" t="s">
        <v>25</v>
      </c>
      <c r="C146" t="s">
        <v>26</v>
      </c>
      <c r="D146" t="s">
        <v>39</v>
      </c>
      <c r="E146" t="s">
        <v>324</v>
      </c>
      <c r="F146" t="s">
        <v>325</v>
      </c>
      <c r="G146">
        <v>15257247</v>
      </c>
      <c r="H146" t="s">
        <v>326</v>
      </c>
      <c r="I146" s="4" t="s">
        <v>35</v>
      </c>
      <c r="J146" s="4" t="s">
        <v>327</v>
      </c>
      <c r="K146" t="s">
        <v>328</v>
      </c>
      <c r="L146" t="s">
        <v>57</v>
      </c>
      <c r="M146" t="s">
        <v>329</v>
      </c>
      <c r="N146" t="s">
        <v>58</v>
      </c>
      <c r="O146" t="s">
        <v>40</v>
      </c>
      <c r="P146" t="s">
        <v>36</v>
      </c>
      <c r="Q146" t="s">
        <v>38</v>
      </c>
      <c r="R146">
        <v>8</v>
      </c>
      <c r="S146" t="s">
        <v>330</v>
      </c>
      <c r="T146" t="s">
        <v>6389</v>
      </c>
      <c r="U146" t="s">
        <v>47</v>
      </c>
      <c r="V146" t="s">
        <v>47</v>
      </c>
      <c r="W146" t="s">
        <v>33</v>
      </c>
      <c r="X146" t="s">
        <v>33</v>
      </c>
      <c r="Y146" t="s">
        <v>33</v>
      </c>
      <c r="Z146" s="16" t="s">
        <v>34</v>
      </c>
      <c r="AA146">
        <v>-75.644391999999996</v>
      </c>
      <c r="AB146">
        <v>6.1033770000000001</v>
      </c>
      <c r="AC146" t="s">
        <v>135</v>
      </c>
      <c r="AD146" t="s">
        <v>136</v>
      </c>
    </row>
    <row r="147" spans="1:30" x14ac:dyDescent="0.25">
      <c r="A147" t="s">
        <v>1927</v>
      </c>
      <c r="B147" t="s">
        <v>25</v>
      </c>
      <c r="C147" t="s">
        <v>26</v>
      </c>
      <c r="D147" t="s">
        <v>39</v>
      </c>
      <c r="E147" t="s">
        <v>1928</v>
      </c>
      <c r="F147" t="s">
        <v>1929</v>
      </c>
      <c r="G147">
        <v>43686397</v>
      </c>
      <c r="H147" t="s">
        <v>1930</v>
      </c>
      <c r="I147" s="4" t="s">
        <v>35</v>
      </c>
      <c r="J147" s="4" t="s">
        <v>1931</v>
      </c>
      <c r="K147" t="s">
        <v>1932</v>
      </c>
      <c r="L147" t="s">
        <v>55</v>
      </c>
      <c r="M147" t="s">
        <v>1933</v>
      </c>
      <c r="N147" t="s">
        <v>56</v>
      </c>
      <c r="O147" t="s">
        <v>40</v>
      </c>
      <c r="P147" t="s">
        <v>36</v>
      </c>
      <c r="Q147" t="s">
        <v>38</v>
      </c>
      <c r="R147">
        <v>8</v>
      </c>
      <c r="S147" t="s">
        <v>1934</v>
      </c>
      <c r="T147" t="s">
        <v>6273</v>
      </c>
      <c r="U147" t="s">
        <v>6274</v>
      </c>
      <c r="V147" t="s">
        <v>49</v>
      </c>
      <c r="W147" t="s">
        <v>33</v>
      </c>
      <c r="X147" t="s">
        <v>33</v>
      </c>
      <c r="Y147" t="s">
        <v>33</v>
      </c>
      <c r="Z147" s="16" t="s">
        <v>34</v>
      </c>
      <c r="AA147">
        <v>-75.639914860000005</v>
      </c>
      <c r="AB147">
        <v>6.1137030699999997</v>
      </c>
      <c r="AC147" t="s">
        <v>135</v>
      </c>
      <c r="AD147" t="s">
        <v>136</v>
      </c>
    </row>
    <row r="148" spans="1:30" x14ac:dyDescent="0.25">
      <c r="A148" t="s">
        <v>1935</v>
      </c>
      <c r="B148" t="s">
        <v>25</v>
      </c>
      <c r="C148" t="s">
        <v>26</v>
      </c>
      <c r="D148" t="s">
        <v>39</v>
      </c>
      <c r="E148" t="s">
        <v>1936</v>
      </c>
      <c r="F148" t="s">
        <v>1937</v>
      </c>
      <c r="G148">
        <v>1026151370</v>
      </c>
      <c r="H148" t="s">
        <v>1938</v>
      </c>
      <c r="I148" s="4" t="s">
        <v>35</v>
      </c>
      <c r="J148" s="4" t="s">
        <v>1939</v>
      </c>
      <c r="K148" t="s">
        <v>1940</v>
      </c>
      <c r="L148" t="s">
        <v>55</v>
      </c>
      <c r="M148" t="s">
        <v>1941</v>
      </c>
      <c r="N148" t="s">
        <v>56</v>
      </c>
      <c r="O148" t="s">
        <v>40</v>
      </c>
      <c r="P148" t="s">
        <v>36</v>
      </c>
      <c r="Q148" t="s">
        <v>38</v>
      </c>
      <c r="R148">
        <v>8</v>
      </c>
      <c r="S148" t="s">
        <v>1942</v>
      </c>
      <c r="T148" t="s">
        <v>6273</v>
      </c>
      <c r="U148" t="s">
        <v>6274</v>
      </c>
      <c r="V148" t="s">
        <v>49</v>
      </c>
      <c r="W148" t="s">
        <v>33</v>
      </c>
      <c r="X148" t="s">
        <v>33</v>
      </c>
      <c r="Y148" t="s">
        <v>33</v>
      </c>
      <c r="Z148" s="16" t="s">
        <v>34</v>
      </c>
      <c r="AA148">
        <v>-75.630068219999998</v>
      </c>
      <c r="AB148">
        <v>6.1183878800000002</v>
      </c>
      <c r="AC148" t="s">
        <v>135</v>
      </c>
      <c r="AD148" t="s">
        <v>136</v>
      </c>
    </row>
    <row r="149" spans="1:30" x14ac:dyDescent="0.25">
      <c r="A149" t="s">
        <v>9913</v>
      </c>
      <c r="B149" t="s">
        <v>25</v>
      </c>
      <c r="C149" t="s">
        <v>26</v>
      </c>
      <c r="D149" t="s">
        <v>25</v>
      </c>
      <c r="E149" t="s">
        <v>6528</v>
      </c>
      <c r="F149" t="s">
        <v>6529</v>
      </c>
      <c r="G149">
        <v>42753469</v>
      </c>
      <c r="H149" t="s">
        <v>2162</v>
      </c>
      <c r="I149" s="4" t="s">
        <v>2163</v>
      </c>
      <c r="J149" s="4" t="s">
        <v>2164</v>
      </c>
      <c r="K149" t="s">
        <v>2165</v>
      </c>
      <c r="L149" t="s">
        <v>27</v>
      </c>
      <c r="M149" t="s">
        <v>2166</v>
      </c>
      <c r="N149" t="s">
        <v>28</v>
      </c>
      <c r="O149" t="s">
        <v>29</v>
      </c>
      <c r="P149" t="s">
        <v>36</v>
      </c>
      <c r="Q149" t="s">
        <v>31</v>
      </c>
      <c r="R149">
        <v>7</v>
      </c>
      <c r="S149" t="s">
        <v>6530</v>
      </c>
      <c r="T149" t="s">
        <v>6531</v>
      </c>
      <c r="U149" t="s">
        <v>6532</v>
      </c>
      <c r="V149" t="s">
        <v>32</v>
      </c>
      <c r="W149" t="s">
        <v>33</v>
      </c>
      <c r="X149" t="s">
        <v>33</v>
      </c>
      <c r="Y149" t="s">
        <v>33</v>
      </c>
      <c r="Z149" s="16" t="s">
        <v>34</v>
      </c>
      <c r="AA149">
        <v>-75.582297420000003</v>
      </c>
      <c r="AB149">
        <v>6.2217058099999996</v>
      </c>
      <c r="AC149" t="s">
        <v>135</v>
      </c>
      <c r="AD149" t="s">
        <v>136</v>
      </c>
    </row>
    <row r="150" spans="1:30" x14ac:dyDescent="0.25">
      <c r="A150" t="s">
        <v>1943</v>
      </c>
      <c r="B150" t="s">
        <v>25</v>
      </c>
      <c r="C150" t="s">
        <v>26</v>
      </c>
      <c r="D150" t="s">
        <v>25</v>
      </c>
      <c r="E150" t="s">
        <v>1944</v>
      </c>
      <c r="F150" t="s">
        <v>1945</v>
      </c>
      <c r="G150">
        <v>8347622</v>
      </c>
      <c r="H150" t="s">
        <v>1946</v>
      </c>
      <c r="I150" s="4" t="s">
        <v>1947</v>
      </c>
      <c r="J150" s="4" t="s">
        <v>1948</v>
      </c>
      <c r="K150" t="s">
        <v>1949</v>
      </c>
      <c r="L150" t="s">
        <v>55</v>
      </c>
      <c r="M150" t="s">
        <v>1950</v>
      </c>
      <c r="N150" t="s">
        <v>56</v>
      </c>
      <c r="O150" t="s">
        <v>29</v>
      </c>
      <c r="P150" t="s">
        <v>36</v>
      </c>
      <c r="Q150" t="s">
        <v>38</v>
      </c>
      <c r="R150">
        <v>10</v>
      </c>
      <c r="S150" t="s">
        <v>1951</v>
      </c>
      <c r="T150" t="s">
        <v>6533</v>
      </c>
      <c r="U150" t="s">
        <v>6534</v>
      </c>
      <c r="V150" t="s">
        <v>32</v>
      </c>
      <c r="W150" t="s">
        <v>33</v>
      </c>
      <c r="X150" t="s">
        <v>33</v>
      </c>
      <c r="Y150" t="s">
        <v>33</v>
      </c>
      <c r="Z150" s="16" t="s">
        <v>34</v>
      </c>
      <c r="AA150">
        <v>-75.627596339999997</v>
      </c>
      <c r="AB150">
        <v>6.1270621199999997</v>
      </c>
      <c r="AC150" t="s">
        <v>135</v>
      </c>
      <c r="AD150" t="s">
        <v>136</v>
      </c>
    </row>
    <row r="151" spans="1:30" x14ac:dyDescent="0.25">
      <c r="A151" t="s">
        <v>9914</v>
      </c>
      <c r="B151" t="s">
        <v>25</v>
      </c>
      <c r="C151" t="s">
        <v>26</v>
      </c>
      <c r="D151" t="s">
        <v>25</v>
      </c>
      <c r="E151" t="s">
        <v>6535</v>
      </c>
      <c r="F151" t="s">
        <v>6536</v>
      </c>
      <c r="G151">
        <v>43977311</v>
      </c>
      <c r="H151" t="s">
        <v>6537</v>
      </c>
      <c r="I151" s="4" t="s">
        <v>6538</v>
      </c>
      <c r="J151" s="4" t="s">
        <v>6539</v>
      </c>
      <c r="K151" t="s">
        <v>6540</v>
      </c>
      <c r="L151" t="s">
        <v>27</v>
      </c>
      <c r="M151" t="s">
        <v>6541</v>
      </c>
      <c r="N151" t="s">
        <v>28</v>
      </c>
      <c r="O151" t="s">
        <v>29</v>
      </c>
      <c r="P151" t="s">
        <v>37</v>
      </c>
      <c r="Q151" t="s">
        <v>31</v>
      </c>
      <c r="R151">
        <v>7</v>
      </c>
      <c r="S151" t="s">
        <v>6542</v>
      </c>
      <c r="T151" t="s">
        <v>6543</v>
      </c>
      <c r="U151" t="s">
        <v>6544</v>
      </c>
      <c r="V151" t="s">
        <v>32</v>
      </c>
      <c r="W151" t="s">
        <v>33</v>
      </c>
      <c r="X151" t="s">
        <v>33</v>
      </c>
      <c r="Y151" t="s">
        <v>33</v>
      </c>
      <c r="Z151" s="16" t="s">
        <v>34</v>
      </c>
      <c r="AA151">
        <v>-75.615449999999996</v>
      </c>
      <c r="AB151">
        <v>6.2603099999999996</v>
      </c>
      <c r="AC151" t="s">
        <v>135</v>
      </c>
      <c r="AD151" t="s">
        <v>136</v>
      </c>
    </row>
    <row r="152" spans="1:30" x14ac:dyDescent="0.25">
      <c r="A152" t="s">
        <v>9915</v>
      </c>
      <c r="B152" t="s">
        <v>25</v>
      </c>
      <c r="C152" t="s">
        <v>26</v>
      </c>
      <c r="D152" t="s">
        <v>25</v>
      </c>
      <c r="E152" t="s">
        <v>6545</v>
      </c>
      <c r="F152" t="s">
        <v>6546</v>
      </c>
      <c r="G152">
        <v>39162756</v>
      </c>
      <c r="H152" t="s">
        <v>6547</v>
      </c>
      <c r="I152" s="4" t="s">
        <v>6548</v>
      </c>
      <c r="J152" s="4" t="s">
        <v>6549</v>
      </c>
      <c r="K152" t="s">
        <v>6550</v>
      </c>
      <c r="L152" t="s">
        <v>57</v>
      </c>
      <c r="M152" t="s">
        <v>6551</v>
      </c>
      <c r="N152" t="s">
        <v>58</v>
      </c>
      <c r="O152" t="s">
        <v>29</v>
      </c>
      <c r="P152" t="s">
        <v>37</v>
      </c>
      <c r="Q152" t="s">
        <v>38</v>
      </c>
      <c r="R152">
        <v>10</v>
      </c>
      <c r="S152" t="s">
        <v>6552</v>
      </c>
      <c r="T152" t="s">
        <v>6553</v>
      </c>
      <c r="U152" t="s">
        <v>6554</v>
      </c>
      <c r="V152" t="s">
        <v>32</v>
      </c>
      <c r="W152" t="s">
        <v>33</v>
      </c>
      <c r="X152" t="s">
        <v>33</v>
      </c>
      <c r="Y152" t="s">
        <v>33</v>
      </c>
      <c r="Z152" s="16" t="s">
        <v>34</v>
      </c>
      <c r="AA152">
        <v>-75.648542280000001</v>
      </c>
      <c r="AB152">
        <v>6.0595225700000004</v>
      </c>
      <c r="AC152" t="s">
        <v>135</v>
      </c>
      <c r="AD152" t="s">
        <v>136</v>
      </c>
    </row>
    <row r="153" spans="1:30" x14ac:dyDescent="0.25">
      <c r="A153" t="s">
        <v>9916</v>
      </c>
      <c r="B153" t="s">
        <v>25</v>
      </c>
      <c r="C153" t="s">
        <v>26</v>
      </c>
      <c r="D153" t="s">
        <v>25</v>
      </c>
      <c r="E153" t="s">
        <v>6555</v>
      </c>
      <c r="F153" t="s">
        <v>6556</v>
      </c>
      <c r="G153">
        <v>1128474117</v>
      </c>
      <c r="H153" t="s">
        <v>6557</v>
      </c>
      <c r="I153" s="4" t="s">
        <v>35</v>
      </c>
      <c r="J153" s="4" t="s">
        <v>6558</v>
      </c>
      <c r="K153" t="s">
        <v>6559</v>
      </c>
      <c r="L153" t="s">
        <v>27</v>
      </c>
      <c r="M153" t="s">
        <v>6560</v>
      </c>
      <c r="N153" t="s">
        <v>28</v>
      </c>
      <c r="O153" t="s">
        <v>29</v>
      </c>
      <c r="P153" t="s">
        <v>37</v>
      </c>
      <c r="Q153" t="s">
        <v>38</v>
      </c>
      <c r="R153">
        <v>10</v>
      </c>
      <c r="S153" t="s">
        <v>6561</v>
      </c>
      <c r="T153" t="s">
        <v>6562</v>
      </c>
      <c r="U153" t="s">
        <v>6563</v>
      </c>
      <c r="V153" t="s">
        <v>32</v>
      </c>
      <c r="W153" t="s">
        <v>33</v>
      </c>
      <c r="X153" t="s">
        <v>33</v>
      </c>
      <c r="Y153" t="s">
        <v>33</v>
      </c>
      <c r="Z153" s="16" t="s">
        <v>34</v>
      </c>
      <c r="AA153">
        <v>-75.647079340000005</v>
      </c>
      <c r="AB153">
        <v>6.2985959899999999</v>
      </c>
      <c r="AC153" t="s">
        <v>135</v>
      </c>
      <c r="AD153" t="s">
        <v>136</v>
      </c>
    </row>
    <row r="154" spans="1:30" x14ac:dyDescent="0.25">
      <c r="A154" t="s">
        <v>331</v>
      </c>
      <c r="B154" t="s">
        <v>25</v>
      </c>
      <c r="C154" t="s">
        <v>26</v>
      </c>
      <c r="D154" t="s">
        <v>25</v>
      </c>
      <c r="E154" t="s">
        <v>332</v>
      </c>
      <c r="F154" t="s">
        <v>333</v>
      </c>
      <c r="G154">
        <v>70757270</v>
      </c>
      <c r="H154" t="s">
        <v>334</v>
      </c>
      <c r="I154" s="4" t="s">
        <v>35</v>
      </c>
      <c r="J154" s="4" t="s">
        <v>335</v>
      </c>
      <c r="K154" t="s">
        <v>336</v>
      </c>
      <c r="L154" t="s">
        <v>57</v>
      </c>
      <c r="M154" t="s">
        <v>337</v>
      </c>
      <c r="N154" t="s">
        <v>58</v>
      </c>
      <c r="O154" t="s">
        <v>29</v>
      </c>
      <c r="P154" t="s">
        <v>36</v>
      </c>
      <c r="Q154" t="s">
        <v>38</v>
      </c>
      <c r="R154">
        <v>10</v>
      </c>
      <c r="S154" t="s">
        <v>338</v>
      </c>
      <c r="T154" t="s">
        <v>6389</v>
      </c>
      <c r="U154" t="s">
        <v>47</v>
      </c>
      <c r="V154" t="s">
        <v>47</v>
      </c>
      <c r="W154" t="s">
        <v>33</v>
      </c>
      <c r="X154" t="s">
        <v>33</v>
      </c>
      <c r="Y154" t="s">
        <v>33</v>
      </c>
      <c r="Z154" s="16" t="s">
        <v>34</v>
      </c>
      <c r="AA154">
        <v>-75.625926419999999</v>
      </c>
      <c r="AB154">
        <v>6.0252134000000002</v>
      </c>
      <c r="AC154" t="s">
        <v>135</v>
      </c>
      <c r="AD154" t="s">
        <v>136</v>
      </c>
    </row>
    <row r="155" spans="1:30" x14ac:dyDescent="0.25">
      <c r="A155" t="s">
        <v>1952</v>
      </c>
      <c r="B155" t="s">
        <v>25</v>
      </c>
      <c r="C155" t="s">
        <v>26</v>
      </c>
      <c r="D155" t="s">
        <v>25</v>
      </c>
      <c r="E155" t="s">
        <v>1953</v>
      </c>
      <c r="F155" t="s">
        <v>591</v>
      </c>
      <c r="G155">
        <v>1039451358</v>
      </c>
      <c r="H155" t="s">
        <v>1476</v>
      </c>
      <c r="I155" s="4" t="s">
        <v>35</v>
      </c>
      <c r="J155" s="4" t="s">
        <v>1477</v>
      </c>
      <c r="K155" t="s">
        <v>1954</v>
      </c>
      <c r="L155" t="s">
        <v>59</v>
      </c>
      <c r="M155" t="s">
        <v>1955</v>
      </c>
      <c r="N155" t="s">
        <v>60</v>
      </c>
      <c r="O155" t="s">
        <v>29</v>
      </c>
      <c r="P155" t="s">
        <v>30</v>
      </c>
      <c r="Q155" t="s">
        <v>31</v>
      </c>
      <c r="R155">
        <v>7</v>
      </c>
      <c r="S155" t="s">
        <v>1956</v>
      </c>
      <c r="T155" t="s">
        <v>1482</v>
      </c>
      <c r="U155" t="s">
        <v>1481</v>
      </c>
      <c r="V155" t="s">
        <v>32</v>
      </c>
      <c r="W155" t="s">
        <v>33</v>
      </c>
      <c r="X155" t="s">
        <v>33</v>
      </c>
      <c r="Y155" t="s">
        <v>33</v>
      </c>
      <c r="Z155" s="16" t="s">
        <v>34</v>
      </c>
      <c r="AA155">
        <v>-75.614618989999997</v>
      </c>
      <c r="AB155">
        <v>6.1514716600000003</v>
      </c>
      <c r="AC155" t="s">
        <v>135</v>
      </c>
      <c r="AD155" t="s">
        <v>136</v>
      </c>
    </row>
    <row r="156" spans="1:30" x14ac:dyDescent="0.25">
      <c r="A156" t="s">
        <v>1957</v>
      </c>
      <c r="B156" t="s">
        <v>25</v>
      </c>
      <c r="C156" t="s">
        <v>26</v>
      </c>
      <c r="D156" t="s">
        <v>39</v>
      </c>
      <c r="E156" t="s">
        <v>1958</v>
      </c>
      <c r="F156" t="s">
        <v>1959</v>
      </c>
      <c r="G156">
        <v>70035811</v>
      </c>
      <c r="H156" t="s">
        <v>1960</v>
      </c>
      <c r="I156" s="4" t="s">
        <v>35</v>
      </c>
      <c r="J156" s="4" t="s">
        <v>1961</v>
      </c>
      <c r="K156" t="s">
        <v>1962</v>
      </c>
      <c r="L156" t="s">
        <v>55</v>
      </c>
      <c r="M156" t="s">
        <v>1963</v>
      </c>
      <c r="N156" t="s">
        <v>56</v>
      </c>
      <c r="O156" t="s">
        <v>40</v>
      </c>
      <c r="P156" t="s">
        <v>36</v>
      </c>
      <c r="Q156" t="s">
        <v>38</v>
      </c>
      <c r="R156">
        <v>8</v>
      </c>
      <c r="S156" t="s">
        <v>1964</v>
      </c>
      <c r="T156" t="s">
        <v>6564</v>
      </c>
      <c r="U156" t="s">
        <v>6565</v>
      </c>
      <c r="V156" t="s">
        <v>49</v>
      </c>
      <c r="W156" t="s">
        <v>33</v>
      </c>
      <c r="X156" t="s">
        <v>33</v>
      </c>
      <c r="Y156" t="s">
        <v>33</v>
      </c>
      <c r="Z156" s="16" t="s">
        <v>34</v>
      </c>
      <c r="AA156">
        <v>-75.637119299999995</v>
      </c>
      <c r="AB156">
        <v>6.1370273199999996</v>
      </c>
      <c r="AC156" t="s">
        <v>135</v>
      </c>
      <c r="AD156" t="s">
        <v>136</v>
      </c>
    </row>
    <row r="157" spans="1:30" x14ac:dyDescent="0.25">
      <c r="A157" t="s">
        <v>1966</v>
      </c>
      <c r="B157" t="s">
        <v>25</v>
      </c>
      <c r="C157" t="s">
        <v>26</v>
      </c>
      <c r="D157" t="s">
        <v>39</v>
      </c>
      <c r="E157" t="s">
        <v>1967</v>
      </c>
      <c r="F157" t="s">
        <v>1968</v>
      </c>
      <c r="G157">
        <v>70035811</v>
      </c>
      <c r="H157" t="s">
        <v>1960</v>
      </c>
      <c r="I157" s="4" t="s">
        <v>35</v>
      </c>
      <c r="J157" s="4" t="s">
        <v>1961</v>
      </c>
      <c r="K157" t="s">
        <v>1969</v>
      </c>
      <c r="L157" t="s">
        <v>55</v>
      </c>
      <c r="M157" t="s">
        <v>1970</v>
      </c>
      <c r="N157" t="s">
        <v>56</v>
      </c>
      <c r="O157" t="s">
        <v>40</v>
      </c>
      <c r="P157" t="s">
        <v>36</v>
      </c>
      <c r="Q157" t="s">
        <v>38</v>
      </c>
      <c r="R157">
        <v>8</v>
      </c>
      <c r="S157" t="s">
        <v>1971</v>
      </c>
      <c r="T157" t="s">
        <v>6566</v>
      </c>
      <c r="U157" t="s">
        <v>6567</v>
      </c>
      <c r="V157" t="s">
        <v>49</v>
      </c>
      <c r="W157" t="s">
        <v>33</v>
      </c>
      <c r="X157" t="s">
        <v>33</v>
      </c>
      <c r="Y157" t="s">
        <v>33</v>
      </c>
      <c r="Z157" s="16" t="s">
        <v>34</v>
      </c>
      <c r="AA157">
        <v>-75.637119299999995</v>
      </c>
      <c r="AB157">
        <v>6.1370273199999996</v>
      </c>
      <c r="AC157" t="s">
        <v>135</v>
      </c>
      <c r="AD157" t="s">
        <v>136</v>
      </c>
    </row>
    <row r="158" spans="1:30" x14ac:dyDescent="0.25">
      <c r="A158" t="s">
        <v>1972</v>
      </c>
      <c r="B158" t="s">
        <v>42</v>
      </c>
      <c r="C158" t="s">
        <v>26</v>
      </c>
      <c r="D158" t="s">
        <v>42</v>
      </c>
      <c r="E158" t="s">
        <v>1973</v>
      </c>
      <c r="F158" t="s">
        <v>1974</v>
      </c>
      <c r="G158">
        <v>43598079</v>
      </c>
      <c r="H158" t="s">
        <v>1975</v>
      </c>
      <c r="I158" s="4" t="s">
        <v>35</v>
      </c>
      <c r="J158" s="4" t="s">
        <v>1976</v>
      </c>
      <c r="K158" t="s">
        <v>1977</v>
      </c>
      <c r="L158" t="s">
        <v>27</v>
      </c>
      <c r="M158" t="s">
        <v>1978</v>
      </c>
      <c r="N158" t="s">
        <v>28</v>
      </c>
      <c r="O158" t="s">
        <v>43</v>
      </c>
      <c r="P158" t="s">
        <v>36</v>
      </c>
      <c r="Q158" t="s">
        <v>31</v>
      </c>
      <c r="R158">
        <v>7</v>
      </c>
      <c r="S158" t="s">
        <v>1979</v>
      </c>
      <c r="T158" t="s">
        <v>1339</v>
      </c>
      <c r="U158" t="s">
        <v>1106</v>
      </c>
      <c r="V158" t="s">
        <v>32</v>
      </c>
      <c r="W158" t="s">
        <v>33</v>
      </c>
      <c r="X158" t="s">
        <v>33</v>
      </c>
      <c r="Y158" t="s">
        <v>33</v>
      </c>
      <c r="Z158" s="16" t="s">
        <v>34</v>
      </c>
      <c r="AA158">
        <v>-75.586954109999994</v>
      </c>
      <c r="AB158">
        <v>6.2259489500000003</v>
      </c>
      <c r="AC158" t="s">
        <v>135</v>
      </c>
      <c r="AD158" t="s">
        <v>136</v>
      </c>
    </row>
    <row r="159" spans="1:30" x14ac:dyDescent="0.25">
      <c r="A159" t="s">
        <v>1980</v>
      </c>
      <c r="B159" t="s">
        <v>25</v>
      </c>
      <c r="C159" t="s">
        <v>26</v>
      </c>
      <c r="D159" t="s">
        <v>39</v>
      </c>
      <c r="E159" t="s">
        <v>1981</v>
      </c>
      <c r="F159" t="s">
        <v>1982</v>
      </c>
      <c r="G159">
        <v>70035811</v>
      </c>
      <c r="H159" t="s">
        <v>1960</v>
      </c>
      <c r="I159" s="4" t="s">
        <v>35</v>
      </c>
      <c r="J159" s="4" t="s">
        <v>1961</v>
      </c>
      <c r="K159" t="s">
        <v>1983</v>
      </c>
      <c r="L159" t="s">
        <v>55</v>
      </c>
      <c r="M159" t="s">
        <v>1984</v>
      </c>
      <c r="N159" t="s">
        <v>56</v>
      </c>
      <c r="O159" t="s">
        <v>40</v>
      </c>
      <c r="P159" t="s">
        <v>36</v>
      </c>
      <c r="Q159" t="s">
        <v>38</v>
      </c>
      <c r="R159">
        <v>8</v>
      </c>
      <c r="S159" t="s">
        <v>1985</v>
      </c>
      <c r="T159" t="s">
        <v>6568</v>
      </c>
      <c r="U159" t="s">
        <v>6569</v>
      </c>
      <c r="V159" t="s">
        <v>49</v>
      </c>
      <c r="W159" t="s">
        <v>33</v>
      </c>
      <c r="X159" t="s">
        <v>33</v>
      </c>
      <c r="Y159" t="s">
        <v>33</v>
      </c>
      <c r="Z159" s="16" t="s">
        <v>34</v>
      </c>
      <c r="AA159">
        <v>-75.637119299999995</v>
      </c>
      <c r="AB159">
        <v>6.1370273199999996</v>
      </c>
      <c r="AC159" t="s">
        <v>135</v>
      </c>
      <c r="AD159" t="s">
        <v>136</v>
      </c>
    </row>
    <row r="160" spans="1:30" x14ac:dyDescent="0.25">
      <c r="A160" t="s">
        <v>1987</v>
      </c>
      <c r="B160" t="s">
        <v>25</v>
      </c>
      <c r="C160" t="s">
        <v>26</v>
      </c>
      <c r="D160" t="s">
        <v>39</v>
      </c>
      <c r="E160" t="s">
        <v>1988</v>
      </c>
      <c r="F160" t="s">
        <v>1989</v>
      </c>
      <c r="G160">
        <v>43684550</v>
      </c>
      <c r="H160" t="s">
        <v>1990</v>
      </c>
      <c r="I160" s="4" t="s">
        <v>1991</v>
      </c>
      <c r="J160" s="4" t="s">
        <v>1992</v>
      </c>
      <c r="K160" t="s">
        <v>1993</v>
      </c>
      <c r="L160" t="s">
        <v>55</v>
      </c>
      <c r="M160" t="s">
        <v>1994</v>
      </c>
      <c r="N160" t="s">
        <v>56</v>
      </c>
      <c r="O160" t="s">
        <v>40</v>
      </c>
      <c r="P160" t="s">
        <v>36</v>
      </c>
      <c r="Q160" t="s">
        <v>31</v>
      </c>
      <c r="R160">
        <v>5</v>
      </c>
      <c r="S160" t="s">
        <v>1995</v>
      </c>
      <c r="T160" t="s">
        <v>6273</v>
      </c>
      <c r="U160" t="s">
        <v>47</v>
      </c>
      <c r="V160" t="s">
        <v>47</v>
      </c>
      <c r="W160" t="s">
        <v>33</v>
      </c>
      <c r="X160" t="s">
        <v>33</v>
      </c>
      <c r="Y160" t="s">
        <v>33</v>
      </c>
      <c r="Z160" s="16" t="s">
        <v>34</v>
      </c>
      <c r="AA160">
        <v>-75.63930225</v>
      </c>
      <c r="AB160">
        <v>6.1213880100000004</v>
      </c>
      <c r="AC160" t="s">
        <v>135</v>
      </c>
      <c r="AD160" t="s">
        <v>136</v>
      </c>
    </row>
    <row r="161" spans="1:30" x14ac:dyDescent="0.25">
      <c r="A161" t="s">
        <v>1996</v>
      </c>
      <c r="B161" t="s">
        <v>25</v>
      </c>
      <c r="C161" t="s">
        <v>26</v>
      </c>
      <c r="D161" t="s">
        <v>25</v>
      </c>
      <c r="E161" t="s">
        <v>1997</v>
      </c>
      <c r="F161" t="s">
        <v>1998</v>
      </c>
      <c r="G161">
        <v>71371058</v>
      </c>
      <c r="H161" t="s">
        <v>1999</v>
      </c>
      <c r="I161" s="4" t="s">
        <v>35</v>
      </c>
      <c r="J161" s="4" t="s">
        <v>2000</v>
      </c>
      <c r="K161" t="s">
        <v>2001</v>
      </c>
      <c r="L161" t="s">
        <v>27</v>
      </c>
      <c r="M161" t="s">
        <v>2002</v>
      </c>
      <c r="N161" t="s">
        <v>28</v>
      </c>
      <c r="O161" t="s">
        <v>29</v>
      </c>
      <c r="P161" t="s">
        <v>37</v>
      </c>
      <c r="Q161" t="s">
        <v>31</v>
      </c>
      <c r="R161">
        <v>7</v>
      </c>
      <c r="S161" t="s">
        <v>2003</v>
      </c>
      <c r="T161" t="s">
        <v>6570</v>
      </c>
      <c r="U161" t="s">
        <v>6571</v>
      </c>
      <c r="V161" t="s">
        <v>49</v>
      </c>
      <c r="W161" t="s">
        <v>33</v>
      </c>
      <c r="X161" t="s">
        <v>33</v>
      </c>
      <c r="Y161" t="s">
        <v>33</v>
      </c>
      <c r="Z161" s="16" t="s">
        <v>34</v>
      </c>
      <c r="AA161">
        <v>-75.601465000000005</v>
      </c>
      <c r="AB161">
        <v>6.2542580000000001</v>
      </c>
      <c r="AC161" t="s">
        <v>135</v>
      </c>
      <c r="AD161" t="s">
        <v>136</v>
      </c>
    </row>
    <row r="162" spans="1:30" x14ac:dyDescent="0.25">
      <c r="A162" t="s">
        <v>9917</v>
      </c>
      <c r="B162" t="s">
        <v>42</v>
      </c>
      <c r="C162" t="s">
        <v>26</v>
      </c>
      <c r="D162" t="s">
        <v>42</v>
      </c>
      <c r="E162" t="s">
        <v>6572</v>
      </c>
      <c r="F162" t="s">
        <v>6573</v>
      </c>
      <c r="G162">
        <v>98707797</v>
      </c>
      <c r="H162" t="s">
        <v>6574</v>
      </c>
      <c r="I162" s="4" t="s">
        <v>35</v>
      </c>
      <c r="J162" s="4" t="s">
        <v>797</v>
      </c>
      <c r="K162" t="s">
        <v>6575</v>
      </c>
      <c r="L162" t="s">
        <v>27</v>
      </c>
      <c r="M162" t="s">
        <v>6576</v>
      </c>
      <c r="N162" t="s">
        <v>28</v>
      </c>
      <c r="O162" t="s">
        <v>43</v>
      </c>
      <c r="P162" t="s">
        <v>37</v>
      </c>
      <c r="Q162" t="s">
        <v>31</v>
      </c>
      <c r="R162">
        <v>7</v>
      </c>
      <c r="S162" t="s">
        <v>6577</v>
      </c>
      <c r="T162" t="s">
        <v>6578</v>
      </c>
      <c r="U162" t="s">
        <v>6579</v>
      </c>
      <c r="V162" t="s">
        <v>32</v>
      </c>
      <c r="W162" t="s">
        <v>1639</v>
      </c>
      <c r="X162" t="s">
        <v>1533</v>
      </c>
      <c r="Y162" t="s">
        <v>6580</v>
      </c>
      <c r="Z162" s="16" t="s">
        <v>34</v>
      </c>
      <c r="AA162">
        <v>-75.58909955</v>
      </c>
      <c r="AB162">
        <v>6.2668565599999999</v>
      </c>
      <c r="AC162" t="s">
        <v>135</v>
      </c>
      <c r="AD162" t="s">
        <v>136</v>
      </c>
    </row>
    <row r="163" spans="1:30" x14ac:dyDescent="0.25">
      <c r="A163" t="s">
        <v>731</v>
      </c>
      <c r="B163" t="s">
        <v>25</v>
      </c>
      <c r="C163" t="s">
        <v>26</v>
      </c>
      <c r="D163" t="s">
        <v>25</v>
      </c>
      <c r="E163" t="s">
        <v>732</v>
      </c>
      <c r="F163" t="s">
        <v>733</v>
      </c>
      <c r="G163">
        <v>1152198552</v>
      </c>
      <c r="H163" t="s">
        <v>734</v>
      </c>
      <c r="I163" s="4" t="s">
        <v>35</v>
      </c>
      <c r="J163" s="4" t="s">
        <v>735</v>
      </c>
      <c r="K163" t="s">
        <v>736</v>
      </c>
      <c r="L163" t="s">
        <v>27</v>
      </c>
      <c r="M163" t="s">
        <v>737</v>
      </c>
      <c r="N163" t="s">
        <v>28</v>
      </c>
      <c r="O163" t="s">
        <v>29</v>
      </c>
      <c r="P163" t="s">
        <v>36</v>
      </c>
      <c r="Q163" t="s">
        <v>31</v>
      </c>
      <c r="R163">
        <v>7</v>
      </c>
      <c r="S163" t="s">
        <v>738</v>
      </c>
      <c r="T163" t="s">
        <v>6581</v>
      </c>
      <c r="U163" t="s">
        <v>47</v>
      </c>
      <c r="V163" t="s">
        <v>47</v>
      </c>
      <c r="W163" t="s">
        <v>33</v>
      </c>
      <c r="X163" t="s">
        <v>33</v>
      </c>
      <c r="Y163" t="s">
        <v>33</v>
      </c>
      <c r="Z163" s="16" t="s">
        <v>34</v>
      </c>
      <c r="AA163">
        <v>-75.59235674</v>
      </c>
      <c r="AB163">
        <v>6.2504042399999999</v>
      </c>
      <c r="AC163" t="s">
        <v>135</v>
      </c>
      <c r="AD163" t="s">
        <v>136</v>
      </c>
    </row>
    <row r="164" spans="1:30" x14ac:dyDescent="0.25">
      <c r="A164" t="s">
        <v>9918</v>
      </c>
      <c r="B164" t="s">
        <v>25</v>
      </c>
      <c r="C164" t="s">
        <v>26</v>
      </c>
      <c r="D164" t="s">
        <v>39</v>
      </c>
      <c r="E164" t="s">
        <v>6582</v>
      </c>
      <c r="F164" t="s">
        <v>6583</v>
      </c>
      <c r="G164">
        <v>96194689</v>
      </c>
      <c r="H164" t="s">
        <v>6584</v>
      </c>
      <c r="I164" s="4" t="s">
        <v>6585</v>
      </c>
      <c r="J164" s="4" t="s">
        <v>6586</v>
      </c>
      <c r="K164" t="s">
        <v>6587</v>
      </c>
      <c r="L164" t="s">
        <v>27</v>
      </c>
      <c r="M164" t="s">
        <v>6588</v>
      </c>
      <c r="N164" t="s">
        <v>28</v>
      </c>
      <c r="O164" t="s">
        <v>40</v>
      </c>
      <c r="P164" t="s">
        <v>41</v>
      </c>
      <c r="Q164" t="s">
        <v>38</v>
      </c>
      <c r="R164">
        <v>8</v>
      </c>
      <c r="S164" t="s">
        <v>6589</v>
      </c>
      <c r="T164" t="s">
        <v>6140</v>
      </c>
      <c r="U164" t="s">
        <v>6590</v>
      </c>
      <c r="V164" t="s">
        <v>32</v>
      </c>
      <c r="W164" t="s">
        <v>33</v>
      </c>
      <c r="X164" t="s">
        <v>33</v>
      </c>
      <c r="Y164" t="s">
        <v>33</v>
      </c>
      <c r="Z164" s="16" t="s">
        <v>34</v>
      </c>
      <c r="AA164">
        <v>-75.630061670000003</v>
      </c>
      <c r="AB164">
        <v>6.23489833</v>
      </c>
      <c r="AC164" t="s">
        <v>135</v>
      </c>
      <c r="AD164" t="s">
        <v>136</v>
      </c>
    </row>
    <row r="165" spans="1:30" x14ac:dyDescent="0.25">
      <c r="A165" t="s">
        <v>2004</v>
      </c>
      <c r="B165" t="s">
        <v>25</v>
      </c>
      <c r="C165" t="s">
        <v>26</v>
      </c>
      <c r="D165" t="s">
        <v>39</v>
      </c>
      <c r="E165" t="s">
        <v>2005</v>
      </c>
      <c r="F165" t="s">
        <v>2006</v>
      </c>
      <c r="G165">
        <v>1026157614</v>
      </c>
      <c r="H165" t="s">
        <v>2007</v>
      </c>
      <c r="I165" s="4" t="s">
        <v>35</v>
      </c>
      <c r="J165" s="4" t="s">
        <v>2008</v>
      </c>
      <c r="K165" t="s">
        <v>2009</v>
      </c>
      <c r="L165" t="s">
        <v>55</v>
      </c>
      <c r="M165" t="s">
        <v>2010</v>
      </c>
      <c r="N165" t="s">
        <v>56</v>
      </c>
      <c r="O165" t="s">
        <v>40</v>
      </c>
      <c r="P165" t="s">
        <v>36</v>
      </c>
      <c r="Q165" t="s">
        <v>38</v>
      </c>
      <c r="R165">
        <v>8</v>
      </c>
      <c r="S165" t="s">
        <v>2011</v>
      </c>
      <c r="T165" t="s">
        <v>6273</v>
      </c>
      <c r="U165" t="s">
        <v>6274</v>
      </c>
      <c r="V165" t="s">
        <v>49</v>
      </c>
      <c r="W165" t="s">
        <v>33</v>
      </c>
      <c r="X165" t="s">
        <v>33</v>
      </c>
      <c r="Y165" t="s">
        <v>33</v>
      </c>
      <c r="Z165" s="16" t="s">
        <v>34</v>
      </c>
      <c r="AA165">
        <v>-75.624669229999995</v>
      </c>
      <c r="AB165">
        <v>6.1179366499999999</v>
      </c>
      <c r="AC165" t="s">
        <v>135</v>
      </c>
      <c r="AD165" t="s">
        <v>136</v>
      </c>
    </row>
    <row r="166" spans="1:30" x14ac:dyDescent="0.25">
      <c r="A166" t="s">
        <v>2012</v>
      </c>
      <c r="B166" t="s">
        <v>25</v>
      </c>
      <c r="C166" t="s">
        <v>26</v>
      </c>
      <c r="D166" t="s">
        <v>39</v>
      </c>
      <c r="E166" t="s">
        <v>2013</v>
      </c>
      <c r="F166" t="s">
        <v>2014</v>
      </c>
      <c r="G166">
        <v>1045076057</v>
      </c>
      <c r="H166" t="s">
        <v>2015</v>
      </c>
      <c r="I166" s="4" t="s">
        <v>35</v>
      </c>
      <c r="J166" s="4" t="s">
        <v>2016</v>
      </c>
      <c r="K166" t="s">
        <v>2017</v>
      </c>
      <c r="L166" t="s">
        <v>55</v>
      </c>
      <c r="M166" t="s">
        <v>2018</v>
      </c>
      <c r="N166" t="s">
        <v>56</v>
      </c>
      <c r="O166" t="s">
        <v>40</v>
      </c>
      <c r="P166" t="s">
        <v>36</v>
      </c>
      <c r="Q166" t="s">
        <v>38</v>
      </c>
      <c r="R166">
        <v>8</v>
      </c>
      <c r="S166" t="s">
        <v>2019</v>
      </c>
      <c r="T166" t="s">
        <v>1885</v>
      </c>
      <c r="U166" t="s">
        <v>6509</v>
      </c>
      <c r="V166" t="s">
        <v>49</v>
      </c>
      <c r="W166" t="s">
        <v>33</v>
      </c>
      <c r="X166" t="s">
        <v>33</v>
      </c>
      <c r="Y166" t="s">
        <v>33</v>
      </c>
      <c r="Z166" s="16" t="s">
        <v>34</v>
      </c>
      <c r="AA166">
        <v>-75.636323469999994</v>
      </c>
      <c r="AB166">
        <v>6.13745326</v>
      </c>
      <c r="AC166" t="s">
        <v>135</v>
      </c>
      <c r="AD166" t="s">
        <v>136</v>
      </c>
    </row>
    <row r="167" spans="1:30" x14ac:dyDescent="0.25">
      <c r="A167" t="s">
        <v>2020</v>
      </c>
      <c r="B167" t="s">
        <v>25</v>
      </c>
      <c r="C167" t="s">
        <v>26</v>
      </c>
      <c r="D167" t="s">
        <v>25</v>
      </c>
      <c r="E167" t="s">
        <v>2021</v>
      </c>
      <c r="F167" t="s">
        <v>2022</v>
      </c>
      <c r="G167">
        <v>70556198</v>
      </c>
      <c r="H167" t="s">
        <v>2023</v>
      </c>
      <c r="I167" s="4" t="s">
        <v>35</v>
      </c>
      <c r="J167" s="4" t="s">
        <v>2024</v>
      </c>
      <c r="K167" t="s">
        <v>2025</v>
      </c>
      <c r="L167" t="s">
        <v>48</v>
      </c>
      <c r="M167" t="s">
        <v>2026</v>
      </c>
      <c r="N167" t="s">
        <v>64</v>
      </c>
      <c r="O167" t="s">
        <v>29</v>
      </c>
      <c r="P167" t="s">
        <v>37</v>
      </c>
      <c r="Q167" t="s">
        <v>38</v>
      </c>
      <c r="R167">
        <v>10</v>
      </c>
      <c r="S167" t="s">
        <v>2027</v>
      </c>
      <c r="T167" t="s">
        <v>6570</v>
      </c>
      <c r="U167" t="s">
        <v>6591</v>
      </c>
      <c r="V167" t="s">
        <v>32</v>
      </c>
      <c r="W167" t="s">
        <v>33</v>
      </c>
      <c r="X167" t="s">
        <v>33</v>
      </c>
      <c r="Y167" t="s">
        <v>33</v>
      </c>
      <c r="Z167" s="16" t="s">
        <v>34</v>
      </c>
      <c r="AA167">
        <v>-75.571868429999995</v>
      </c>
      <c r="AB167">
        <v>6.1331045900000003</v>
      </c>
      <c r="AC167" t="s">
        <v>135</v>
      </c>
      <c r="AD167" t="s">
        <v>136</v>
      </c>
    </row>
    <row r="168" spans="1:30" x14ac:dyDescent="0.25">
      <c r="A168" t="s">
        <v>9919</v>
      </c>
      <c r="B168" t="s">
        <v>25</v>
      </c>
      <c r="C168" t="s">
        <v>26</v>
      </c>
      <c r="D168" t="s">
        <v>39</v>
      </c>
      <c r="E168" t="s">
        <v>6592</v>
      </c>
      <c r="F168" t="s">
        <v>6593</v>
      </c>
      <c r="G168">
        <v>1017145643</v>
      </c>
      <c r="H168" t="s">
        <v>6594</v>
      </c>
      <c r="I168" s="4" t="s">
        <v>35</v>
      </c>
      <c r="J168" s="4" t="s">
        <v>6595</v>
      </c>
      <c r="K168" t="s">
        <v>6596</v>
      </c>
      <c r="L168" t="s">
        <v>55</v>
      </c>
      <c r="M168" t="s">
        <v>6597</v>
      </c>
      <c r="N168" t="s">
        <v>56</v>
      </c>
      <c r="O168" t="s">
        <v>40</v>
      </c>
      <c r="P168" t="s">
        <v>36</v>
      </c>
      <c r="Q168" t="s">
        <v>38</v>
      </c>
      <c r="R168">
        <v>8</v>
      </c>
      <c r="S168" t="s">
        <v>6598</v>
      </c>
      <c r="T168" t="s">
        <v>6599</v>
      </c>
      <c r="U168" t="s">
        <v>6600</v>
      </c>
      <c r="V168" t="s">
        <v>32</v>
      </c>
      <c r="W168" t="s">
        <v>33</v>
      </c>
      <c r="X168" t="s">
        <v>33</v>
      </c>
      <c r="Y168" t="s">
        <v>33</v>
      </c>
      <c r="Z168" s="16" t="s">
        <v>34</v>
      </c>
      <c r="AA168">
        <v>-75.641842780000005</v>
      </c>
      <c r="AB168">
        <v>6.1135202099999999</v>
      </c>
      <c r="AC168" t="s">
        <v>135</v>
      </c>
      <c r="AD168" t="s">
        <v>136</v>
      </c>
    </row>
    <row r="169" spans="1:30" x14ac:dyDescent="0.25">
      <c r="A169" t="s">
        <v>9920</v>
      </c>
      <c r="B169" t="s">
        <v>25</v>
      </c>
      <c r="C169" t="s">
        <v>26</v>
      </c>
      <c r="D169" t="s">
        <v>25</v>
      </c>
      <c r="E169" t="s">
        <v>6601</v>
      </c>
      <c r="F169" t="s">
        <v>6602</v>
      </c>
      <c r="G169">
        <v>43727919</v>
      </c>
      <c r="H169" t="s">
        <v>6603</v>
      </c>
      <c r="I169" s="4" t="s">
        <v>35</v>
      </c>
      <c r="J169" s="4" t="s">
        <v>6604</v>
      </c>
      <c r="K169" t="s">
        <v>6605</v>
      </c>
      <c r="L169" t="s">
        <v>27</v>
      </c>
      <c r="M169" t="s">
        <v>6606</v>
      </c>
      <c r="N169" t="s">
        <v>28</v>
      </c>
      <c r="O169" t="s">
        <v>29</v>
      </c>
      <c r="P169" t="s">
        <v>37</v>
      </c>
      <c r="Q169" t="s">
        <v>31</v>
      </c>
      <c r="R169">
        <v>7</v>
      </c>
      <c r="S169" t="s">
        <v>6607</v>
      </c>
      <c r="T169" t="s">
        <v>6127</v>
      </c>
      <c r="U169" t="s">
        <v>6608</v>
      </c>
      <c r="V169" t="s">
        <v>32</v>
      </c>
      <c r="W169" t="s">
        <v>33</v>
      </c>
      <c r="X169" t="s">
        <v>33</v>
      </c>
      <c r="Y169" t="s">
        <v>33</v>
      </c>
      <c r="Z169" s="16" t="s">
        <v>34</v>
      </c>
      <c r="AA169">
        <v>-75.602481999999995</v>
      </c>
      <c r="AB169">
        <v>6.2711139999999999</v>
      </c>
      <c r="AC169" t="s">
        <v>135</v>
      </c>
      <c r="AD169" t="s">
        <v>136</v>
      </c>
    </row>
    <row r="170" spans="1:30" x14ac:dyDescent="0.25">
      <c r="A170" t="s">
        <v>9921</v>
      </c>
      <c r="B170" t="s">
        <v>25</v>
      </c>
      <c r="C170" t="s">
        <v>26</v>
      </c>
      <c r="D170" t="s">
        <v>25</v>
      </c>
      <c r="E170" t="s">
        <v>6609</v>
      </c>
      <c r="F170" t="s">
        <v>6610</v>
      </c>
      <c r="G170">
        <v>1152700621</v>
      </c>
      <c r="H170" t="s">
        <v>6611</v>
      </c>
      <c r="I170" s="4" t="s">
        <v>35</v>
      </c>
      <c r="J170" s="4" t="s">
        <v>6612</v>
      </c>
      <c r="K170" t="s">
        <v>6613</v>
      </c>
      <c r="L170" t="s">
        <v>27</v>
      </c>
      <c r="M170" t="s">
        <v>6614</v>
      </c>
      <c r="N170" t="s">
        <v>28</v>
      </c>
      <c r="O170" t="s">
        <v>29</v>
      </c>
      <c r="P170" t="s">
        <v>37</v>
      </c>
      <c r="Q170" t="s">
        <v>31</v>
      </c>
      <c r="R170">
        <v>7</v>
      </c>
      <c r="S170" t="s">
        <v>6615</v>
      </c>
      <c r="T170" t="s">
        <v>6127</v>
      </c>
      <c r="U170" t="s">
        <v>6608</v>
      </c>
      <c r="V170" t="s">
        <v>32</v>
      </c>
      <c r="W170" t="s">
        <v>33</v>
      </c>
      <c r="X170" t="s">
        <v>33</v>
      </c>
      <c r="Y170" t="s">
        <v>33</v>
      </c>
      <c r="Z170" s="16" t="s">
        <v>34</v>
      </c>
      <c r="AA170">
        <v>-75.624073999999993</v>
      </c>
      <c r="AB170">
        <v>6.262753</v>
      </c>
      <c r="AC170" t="s">
        <v>135</v>
      </c>
      <c r="AD170" t="s">
        <v>136</v>
      </c>
    </row>
    <row r="171" spans="1:30" x14ac:dyDescent="0.25">
      <c r="A171" t="s">
        <v>2028</v>
      </c>
      <c r="B171" t="s">
        <v>25</v>
      </c>
      <c r="C171" t="s">
        <v>26</v>
      </c>
      <c r="D171" t="s">
        <v>39</v>
      </c>
      <c r="E171" t="s">
        <v>2029</v>
      </c>
      <c r="F171" t="s">
        <v>2030</v>
      </c>
      <c r="G171">
        <v>1214730812</v>
      </c>
      <c r="H171" t="s">
        <v>2031</v>
      </c>
      <c r="I171" s="4" t="s">
        <v>2032</v>
      </c>
      <c r="J171" s="4" t="s">
        <v>2033</v>
      </c>
      <c r="K171" t="s">
        <v>2034</v>
      </c>
      <c r="L171" t="s">
        <v>27</v>
      </c>
      <c r="M171" t="s">
        <v>2035</v>
      </c>
      <c r="N171" t="s">
        <v>28</v>
      </c>
      <c r="O171" t="s">
        <v>40</v>
      </c>
      <c r="P171" t="s">
        <v>41</v>
      </c>
      <c r="Q171" t="s">
        <v>31</v>
      </c>
      <c r="R171">
        <v>5</v>
      </c>
      <c r="S171" t="s">
        <v>2036</v>
      </c>
      <c r="T171" t="s">
        <v>2227</v>
      </c>
      <c r="U171" t="s">
        <v>6616</v>
      </c>
      <c r="V171" t="s">
        <v>32</v>
      </c>
      <c r="W171" t="s">
        <v>33</v>
      </c>
      <c r="X171" t="s">
        <v>33</v>
      </c>
      <c r="Y171" t="s">
        <v>33</v>
      </c>
      <c r="Z171" s="16" t="s">
        <v>34</v>
      </c>
      <c r="AA171">
        <v>-75.540640460000006</v>
      </c>
      <c r="AB171">
        <v>6.2509716099999997</v>
      </c>
      <c r="AC171" t="s">
        <v>135</v>
      </c>
      <c r="AD171" t="s">
        <v>136</v>
      </c>
    </row>
    <row r="172" spans="1:30" x14ac:dyDescent="0.25">
      <c r="A172" t="s">
        <v>1236</v>
      </c>
      <c r="B172" t="s">
        <v>25</v>
      </c>
      <c r="C172" t="s">
        <v>26</v>
      </c>
      <c r="D172" t="s">
        <v>25</v>
      </c>
      <c r="E172" t="s">
        <v>1237</v>
      </c>
      <c r="F172" t="s">
        <v>1238</v>
      </c>
      <c r="G172">
        <v>71800196</v>
      </c>
      <c r="H172" t="s">
        <v>1239</v>
      </c>
      <c r="I172" s="4" t="s">
        <v>35</v>
      </c>
      <c r="J172" s="4" t="s">
        <v>1240</v>
      </c>
      <c r="K172" t="s">
        <v>1241</v>
      </c>
      <c r="L172" t="s">
        <v>27</v>
      </c>
      <c r="M172" t="s">
        <v>1242</v>
      </c>
      <c r="N172" t="s">
        <v>28</v>
      </c>
      <c r="O172" t="s">
        <v>29</v>
      </c>
      <c r="P172" t="s">
        <v>37</v>
      </c>
      <c r="Q172" t="s">
        <v>31</v>
      </c>
      <c r="R172">
        <v>7</v>
      </c>
      <c r="S172" t="s">
        <v>1243</v>
      </c>
      <c r="T172" t="s">
        <v>2593</v>
      </c>
      <c r="U172" t="s">
        <v>6617</v>
      </c>
      <c r="V172" t="s">
        <v>131</v>
      </c>
      <c r="W172" t="s">
        <v>33</v>
      </c>
      <c r="X172" t="s">
        <v>33</v>
      </c>
      <c r="Y172" t="s">
        <v>33</v>
      </c>
      <c r="Z172" s="16" t="s">
        <v>34</v>
      </c>
      <c r="AA172">
        <v>-75.543281370000003</v>
      </c>
      <c r="AB172">
        <v>6.2507798000000001</v>
      </c>
      <c r="AC172" t="s">
        <v>135</v>
      </c>
      <c r="AD172" t="s">
        <v>136</v>
      </c>
    </row>
    <row r="173" spans="1:30" x14ac:dyDescent="0.25">
      <c r="A173" t="s">
        <v>1340</v>
      </c>
      <c r="B173" t="s">
        <v>25</v>
      </c>
      <c r="C173" t="s">
        <v>26</v>
      </c>
      <c r="D173" t="s">
        <v>39</v>
      </c>
      <c r="E173" t="s">
        <v>2037</v>
      </c>
      <c r="F173" t="s">
        <v>2038</v>
      </c>
      <c r="G173">
        <v>4931691</v>
      </c>
      <c r="H173" t="s">
        <v>1341</v>
      </c>
      <c r="I173" s="4" t="s">
        <v>35</v>
      </c>
      <c r="J173" s="4" t="s">
        <v>1342</v>
      </c>
      <c r="K173" t="s">
        <v>1343</v>
      </c>
      <c r="L173" t="s">
        <v>44</v>
      </c>
      <c r="M173" t="s">
        <v>1344</v>
      </c>
      <c r="N173" t="s">
        <v>45</v>
      </c>
      <c r="O173" t="s">
        <v>46</v>
      </c>
      <c r="P173" t="s">
        <v>41</v>
      </c>
      <c r="Q173" t="s">
        <v>38</v>
      </c>
      <c r="R173">
        <v>8</v>
      </c>
      <c r="S173" t="s">
        <v>2039</v>
      </c>
      <c r="T173" t="s">
        <v>6618</v>
      </c>
      <c r="U173" t="s">
        <v>6619</v>
      </c>
      <c r="V173" t="s">
        <v>32</v>
      </c>
      <c r="W173" t="s">
        <v>33</v>
      </c>
      <c r="X173" t="s">
        <v>33</v>
      </c>
      <c r="Y173" t="s">
        <v>33</v>
      </c>
      <c r="Z173" s="16" t="s">
        <v>34</v>
      </c>
      <c r="AA173">
        <v>-75.606993849999995</v>
      </c>
      <c r="AB173">
        <v>6.1954807599999997</v>
      </c>
      <c r="AC173" t="s">
        <v>135</v>
      </c>
      <c r="AD173" t="s">
        <v>136</v>
      </c>
    </row>
    <row r="174" spans="1:30" x14ac:dyDescent="0.25">
      <c r="A174" t="s">
        <v>969</v>
      </c>
      <c r="B174" t="s">
        <v>25</v>
      </c>
      <c r="C174" t="s">
        <v>26</v>
      </c>
      <c r="D174" t="s">
        <v>25</v>
      </c>
      <c r="E174" t="s">
        <v>970</v>
      </c>
      <c r="F174" t="s">
        <v>971</v>
      </c>
      <c r="G174">
        <v>21399132</v>
      </c>
      <c r="H174" t="s">
        <v>972</v>
      </c>
      <c r="I174" s="4" t="s">
        <v>973</v>
      </c>
      <c r="J174" s="4" t="s">
        <v>974</v>
      </c>
      <c r="K174" t="s">
        <v>975</v>
      </c>
      <c r="L174" t="s">
        <v>27</v>
      </c>
      <c r="M174" t="s">
        <v>976</v>
      </c>
      <c r="N174" t="s">
        <v>28</v>
      </c>
      <c r="O174" t="s">
        <v>29</v>
      </c>
      <c r="P174" t="s">
        <v>36</v>
      </c>
      <c r="Q174" t="s">
        <v>31</v>
      </c>
      <c r="R174">
        <v>7</v>
      </c>
      <c r="S174" t="s">
        <v>977</v>
      </c>
      <c r="T174" t="s">
        <v>6620</v>
      </c>
      <c r="U174" t="s">
        <v>47</v>
      </c>
      <c r="V174" t="s">
        <v>47</v>
      </c>
      <c r="W174" t="s">
        <v>33</v>
      </c>
      <c r="X174" t="s">
        <v>33</v>
      </c>
      <c r="Y174" t="s">
        <v>33</v>
      </c>
      <c r="Z174" s="16" t="s">
        <v>34</v>
      </c>
      <c r="AA174">
        <v>-75.588422679999994</v>
      </c>
      <c r="AB174">
        <v>6.2511689400000003</v>
      </c>
      <c r="AC174" t="s">
        <v>135</v>
      </c>
      <c r="AD174" t="s">
        <v>136</v>
      </c>
    </row>
    <row r="175" spans="1:30" x14ac:dyDescent="0.25">
      <c r="A175" t="s">
        <v>978</v>
      </c>
      <c r="B175" t="s">
        <v>25</v>
      </c>
      <c r="C175" t="s">
        <v>26</v>
      </c>
      <c r="D175" t="s">
        <v>25</v>
      </c>
      <c r="E175" t="s">
        <v>970</v>
      </c>
      <c r="F175" t="s">
        <v>979</v>
      </c>
      <c r="G175">
        <v>21399132</v>
      </c>
      <c r="H175" t="s">
        <v>972</v>
      </c>
      <c r="I175" s="4" t="s">
        <v>973</v>
      </c>
      <c r="J175" s="4" t="s">
        <v>974</v>
      </c>
      <c r="K175" t="s">
        <v>980</v>
      </c>
      <c r="L175" t="s">
        <v>27</v>
      </c>
      <c r="M175" t="s">
        <v>981</v>
      </c>
      <c r="N175" t="s">
        <v>28</v>
      </c>
      <c r="O175" t="s">
        <v>29</v>
      </c>
      <c r="P175" t="s">
        <v>36</v>
      </c>
      <c r="Q175" t="s">
        <v>31</v>
      </c>
      <c r="R175">
        <v>7</v>
      </c>
      <c r="S175" t="s">
        <v>982</v>
      </c>
      <c r="T175" t="s">
        <v>6621</v>
      </c>
      <c r="U175" t="s">
        <v>47</v>
      </c>
      <c r="V175" t="s">
        <v>47</v>
      </c>
      <c r="W175" t="s">
        <v>33</v>
      </c>
      <c r="X175" t="s">
        <v>33</v>
      </c>
      <c r="Y175" t="s">
        <v>33</v>
      </c>
      <c r="Z175" s="16" t="s">
        <v>34</v>
      </c>
      <c r="AA175">
        <v>-75.588422679999994</v>
      </c>
      <c r="AB175">
        <v>6.2511689400000003</v>
      </c>
      <c r="AC175" t="s">
        <v>135</v>
      </c>
      <c r="AD175" t="s">
        <v>136</v>
      </c>
    </row>
    <row r="176" spans="1:30" x14ac:dyDescent="0.25">
      <c r="A176" t="s">
        <v>983</v>
      </c>
      <c r="B176" t="s">
        <v>25</v>
      </c>
      <c r="C176" t="s">
        <v>26</v>
      </c>
      <c r="D176" t="s">
        <v>25</v>
      </c>
      <c r="E176" t="s">
        <v>984</v>
      </c>
      <c r="F176" t="s">
        <v>985</v>
      </c>
      <c r="G176">
        <v>21399132</v>
      </c>
      <c r="H176" t="s">
        <v>972</v>
      </c>
      <c r="I176" s="4" t="s">
        <v>973</v>
      </c>
      <c r="J176" s="4" t="s">
        <v>974</v>
      </c>
      <c r="K176" t="s">
        <v>986</v>
      </c>
      <c r="L176" t="s">
        <v>27</v>
      </c>
      <c r="M176" t="s">
        <v>987</v>
      </c>
      <c r="N176" t="s">
        <v>28</v>
      </c>
      <c r="O176" t="s">
        <v>29</v>
      </c>
      <c r="P176" t="s">
        <v>36</v>
      </c>
      <c r="Q176" t="s">
        <v>31</v>
      </c>
      <c r="R176">
        <v>7</v>
      </c>
      <c r="S176" t="s">
        <v>988</v>
      </c>
      <c r="T176" t="s">
        <v>6622</v>
      </c>
      <c r="U176" t="s">
        <v>47</v>
      </c>
      <c r="V176" t="s">
        <v>47</v>
      </c>
      <c r="W176" t="s">
        <v>33</v>
      </c>
      <c r="X176" t="s">
        <v>33</v>
      </c>
      <c r="Y176" t="s">
        <v>33</v>
      </c>
      <c r="Z176" s="16" t="s">
        <v>34</v>
      </c>
      <c r="AA176">
        <v>-75.588422679999994</v>
      </c>
      <c r="AB176">
        <v>6.2511689400000003</v>
      </c>
      <c r="AC176" t="s">
        <v>135</v>
      </c>
      <c r="AD176" t="s">
        <v>136</v>
      </c>
    </row>
    <row r="177" spans="1:30" x14ac:dyDescent="0.25">
      <c r="A177" t="s">
        <v>1245</v>
      </c>
      <c r="B177" t="s">
        <v>42</v>
      </c>
      <c r="C177" t="s">
        <v>26</v>
      </c>
      <c r="D177" t="s">
        <v>42</v>
      </c>
      <c r="E177" t="s">
        <v>1246</v>
      </c>
      <c r="F177" t="s">
        <v>1247</v>
      </c>
      <c r="G177">
        <v>21399132</v>
      </c>
      <c r="H177" t="s">
        <v>972</v>
      </c>
      <c r="I177" s="4" t="s">
        <v>973</v>
      </c>
      <c r="J177" s="4" t="s">
        <v>974</v>
      </c>
      <c r="K177" t="s">
        <v>1248</v>
      </c>
      <c r="L177" t="s">
        <v>27</v>
      </c>
      <c r="M177" t="s">
        <v>1249</v>
      </c>
      <c r="N177" t="s">
        <v>28</v>
      </c>
      <c r="O177" t="s">
        <v>43</v>
      </c>
      <c r="P177" t="s">
        <v>36</v>
      </c>
      <c r="Q177" t="s">
        <v>31</v>
      </c>
      <c r="R177">
        <v>7</v>
      </c>
      <c r="S177" t="s">
        <v>1250</v>
      </c>
      <c r="T177" t="s">
        <v>6623</v>
      </c>
      <c r="U177" t="s">
        <v>47</v>
      </c>
      <c r="V177" t="s">
        <v>47</v>
      </c>
      <c r="W177" t="s">
        <v>33</v>
      </c>
      <c r="X177" t="s">
        <v>33</v>
      </c>
      <c r="Y177" t="s">
        <v>33</v>
      </c>
      <c r="Z177" s="16" t="s">
        <v>34</v>
      </c>
      <c r="AA177">
        <v>-75.588422679999994</v>
      </c>
      <c r="AB177">
        <v>6.2511689400000003</v>
      </c>
      <c r="AC177" t="s">
        <v>135</v>
      </c>
      <c r="AD177" t="s">
        <v>136</v>
      </c>
    </row>
    <row r="178" spans="1:30" x14ac:dyDescent="0.25">
      <c r="A178" t="s">
        <v>989</v>
      </c>
      <c r="B178" t="s">
        <v>25</v>
      </c>
      <c r="C178" t="s">
        <v>26</v>
      </c>
      <c r="D178" t="s">
        <v>25</v>
      </c>
      <c r="E178" t="s">
        <v>990</v>
      </c>
      <c r="F178" t="s">
        <v>991</v>
      </c>
      <c r="G178">
        <v>21399132</v>
      </c>
      <c r="H178" t="s">
        <v>972</v>
      </c>
      <c r="I178" s="4" t="s">
        <v>973</v>
      </c>
      <c r="J178" s="4" t="s">
        <v>974</v>
      </c>
      <c r="K178" t="s">
        <v>992</v>
      </c>
      <c r="L178" t="s">
        <v>27</v>
      </c>
      <c r="M178" t="s">
        <v>993</v>
      </c>
      <c r="N178" t="s">
        <v>28</v>
      </c>
      <c r="O178" t="s">
        <v>29</v>
      </c>
      <c r="P178" t="s">
        <v>36</v>
      </c>
      <c r="Q178" t="s">
        <v>31</v>
      </c>
      <c r="R178">
        <v>7</v>
      </c>
      <c r="S178" t="s">
        <v>994</v>
      </c>
      <c r="T178" t="s">
        <v>6624</v>
      </c>
      <c r="U178" t="s">
        <v>47</v>
      </c>
      <c r="V178" t="s">
        <v>47</v>
      </c>
      <c r="W178" t="s">
        <v>33</v>
      </c>
      <c r="X178" t="s">
        <v>33</v>
      </c>
      <c r="Y178" t="s">
        <v>33</v>
      </c>
      <c r="Z178" s="16" t="s">
        <v>34</v>
      </c>
      <c r="AA178">
        <v>-75.588422679999994</v>
      </c>
      <c r="AB178">
        <v>6.2511689400000003</v>
      </c>
      <c r="AC178" t="s">
        <v>135</v>
      </c>
      <c r="AD178" t="s">
        <v>136</v>
      </c>
    </row>
    <row r="179" spans="1:30" x14ac:dyDescent="0.25">
      <c r="A179" t="s">
        <v>2041</v>
      </c>
      <c r="B179" t="s">
        <v>25</v>
      </c>
      <c r="C179" t="s">
        <v>26</v>
      </c>
      <c r="D179" t="s">
        <v>25</v>
      </c>
      <c r="E179" t="s">
        <v>2042</v>
      </c>
      <c r="F179" t="s">
        <v>2043</v>
      </c>
      <c r="G179">
        <v>1077467177</v>
      </c>
      <c r="H179" t="s">
        <v>2044</v>
      </c>
      <c r="I179" s="4" t="s">
        <v>35</v>
      </c>
      <c r="J179" s="4" t="s">
        <v>2045</v>
      </c>
      <c r="K179" t="s">
        <v>2046</v>
      </c>
      <c r="L179" t="s">
        <v>27</v>
      </c>
      <c r="M179" t="s">
        <v>2047</v>
      </c>
      <c r="N179" t="s">
        <v>28</v>
      </c>
      <c r="O179" t="s">
        <v>29</v>
      </c>
      <c r="P179" t="s">
        <v>37</v>
      </c>
      <c r="Q179" t="s">
        <v>38</v>
      </c>
      <c r="R179">
        <v>10</v>
      </c>
      <c r="S179" t="s">
        <v>2048</v>
      </c>
      <c r="T179" t="s">
        <v>6352</v>
      </c>
      <c r="U179" t="s">
        <v>6625</v>
      </c>
      <c r="V179" t="s">
        <v>32</v>
      </c>
      <c r="W179" t="s">
        <v>33</v>
      </c>
      <c r="X179" t="s">
        <v>33</v>
      </c>
      <c r="Y179" t="s">
        <v>33</v>
      </c>
      <c r="Z179" s="16" t="s">
        <v>34</v>
      </c>
      <c r="AA179">
        <v>-75.643936999999994</v>
      </c>
      <c r="AB179">
        <v>6.2901629999999997</v>
      </c>
      <c r="AC179" t="s">
        <v>135</v>
      </c>
      <c r="AD179" t="s">
        <v>136</v>
      </c>
    </row>
    <row r="180" spans="1:30" x14ac:dyDescent="0.25">
      <c r="A180" t="s">
        <v>2050</v>
      </c>
      <c r="B180" t="s">
        <v>25</v>
      </c>
      <c r="C180" t="s">
        <v>26</v>
      </c>
      <c r="D180" t="s">
        <v>39</v>
      </c>
      <c r="E180" t="s">
        <v>2051</v>
      </c>
      <c r="F180" t="s">
        <v>2006</v>
      </c>
      <c r="G180">
        <v>1026145331</v>
      </c>
      <c r="H180" t="s">
        <v>2052</v>
      </c>
      <c r="I180" s="4" t="s">
        <v>35</v>
      </c>
      <c r="J180" s="4" t="s">
        <v>2053</v>
      </c>
      <c r="K180" t="s">
        <v>2054</v>
      </c>
      <c r="L180" t="s">
        <v>55</v>
      </c>
      <c r="M180" t="s">
        <v>2055</v>
      </c>
      <c r="N180" t="s">
        <v>56</v>
      </c>
      <c r="O180" t="s">
        <v>40</v>
      </c>
      <c r="P180" t="s">
        <v>36</v>
      </c>
      <c r="Q180" t="s">
        <v>38</v>
      </c>
      <c r="R180">
        <v>8</v>
      </c>
      <c r="S180" t="s">
        <v>2011</v>
      </c>
      <c r="T180" t="s">
        <v>6273</v>
      </c>
      <c r="U180" t="s">
        <v>6274</v>
      </c>
      <c r="V180" t="s">
        <v>49</v>
      </c>
      <c r="W180" t="s">
        <v>33</v>
      </c>
      <c r="X180" t="s">
        <v>33</v>
      </c>
      <c r="Y180" t="s">
        <v>33</v>
      </c>
      <c r="Z180" s="16" t="s">
        <v>34</v>
      </c>
      <c r="AA180">
        <v>-75.632413339999999</v>
      </c>
      <c r="AB180">
        <v>6.1165099999999999</v>
      </c>
      <c r="AC180" t="s">
        <v>135</v>
      </c>
      <c r="AD180" t="s">
        <v>136</v>
      </c>
    </row>
    <row r="181" spans="1:30" x14ac:dyDescent="0.25">
      <c r="A181" t="s">
        <v>9922</v>
      </c>
      <c r="B181" t="s">
        <v>50</v>
      </c>
      <c r="C181" t="s">
        <v>26</v>
      </c>
      <c r="D181" t="s">
        <v>50</v>
      </c>
      <c r="E181" t="s">
        <v>6626</v>
      </c>
      <c r="F181" t="s">
        <v>6627</v>
      </c>
      <c r="G181">
        <v>1001762934</v>
      </c>
      <c r="H181" t="s">
        <v>6628</v>
      </c>
      <c r="I181" s="4" t="s">
        <v>35</v>
      </c>
      <c r="J181" s="4" t="s">
        <v>6629</v>
      </c>
      <c r="K181" t="s">
        <v>6630</v>
      </c>
      <c r="L181" t="s">
        <v>27</v>
      </c>
      <c r="M181" t="s">
        <v>6631</v>
      </c>
      <c r="N181" t="s">
        <v>28</v>
      </c>
      <c r="O181" t="s">
        <v>40</v>
      </c>
      <c r="P181" t="s">
        <v>52</v>
      </c>
      <c r="Q181" t="s">
        <v>38</v>
      </c>
      <c r="R181">
        <v>8</v>
      </c>
      <c r="S181" t="s">
        <v>6632</v>
      </c>
      <c r="T181" t="s">
        <v>6140</v>
      </c>
      <c r="U181" t="s">
        <v>6590</v>
      </c>
      <c r="V181" t="s">
        <v>32</v>
      </c>
      <c r="W181" t="s">
        <v>33</v>
      </c>
      <c r="X181" t="s">
        <v>33</v>
      </c>
      <c r="Y181" t="s">
        <v>33</v>
      </c>
      <c r="Z181" s="16" t="s">
        <v>34</v>
      </c>
      <c r="AA181">
        <v>-75.6100371</v>
      </c>
      <c r="AB181">
        <v>6.27526501</v>
      </c>
      <c r="AC181" t="s">
        <v>135</v>
      </c>
      <c r="AD181" t="s">
        <v>136</v>
      </c>
    </row>
    <row r="182" spans="1:30" x14ac:dyDescent="0.25">
      <c r="A182" t="s">
        <v>9923</v>
      </c>
      <c r="B182" t="s">
        <v>50</v>
      </c>
      <c r="C182" t="s">
        <v>26</v>
      </c>
      <c r="D182" t="s">
        <v>50</v>
      </c>
      <c r="E182" t="s">
        <v>6633</v>
      </c>
      <c r="F182" t="s">
        <v>6634</v>
      </c>
      <c r="G182">
        <v>1001762934</v>
      </c>
      <c r="H182" t="s">
        <v>6628</v>
      </c>
      <c r="I182" s="4" t="s">
        <v>35</v>
      </c>
      <c r="J182" s="4" t="s">
        <v>6629</v>
      </c>
      <c r="K182" t="s">
        <v>6635</v>
      </c>
      <c r="L182" t="s">
        <v>27</v>
      </c>
      <c r="M182" t="s">
        <v>6636</v>
      </c>
      <c r="N182" t="s">
        <v>28</v>
      </c>
      <c r="O182" t="s">
        <v>40</v>
      </c>
      <c r="P182" t="s">
        <v>52</v>
      </c>
      <c r="Q182" t="s">
        <v>38</v>
      </c>
      <c r="R182">
        <v>8</v>
      </c>
      <c r="S182" t="s">
        <v>6637</v>
      </c>
      <c r="T182" t="s">
        <v>6140</v>
      </c>
      <c r="U182" t="s">
        <v>6590</v>
      </c>
      <c r="V182" t="s">
        <v>32</v>
      </c>
      <c r="W182" t="s">
        <v>33</v>
      </c>
      <c r="X182" t="s">
        <v>33</v>
      </c>
      <c r="Y182" t="s">
        <v>33</v>
      </c>
      <c r="Z182" s="16" t="s">
        <v>34</v>
      </c>
      <c r="AA182">
        <v>-75.6100371</v>
      </c>
      <c r="AB182">
        <v>6.27526501</v>
      </c>
      <c r="AC182" t="s">
        <v>135</v>
      </c>
      <c r="AD182" t="s">
        <v>136</v>
      </c>
    </row>
    <row r="183" spans="1:30" x14ac:dyDescent="0.25">
      <c r="A183" t="s">
        <v>2056</v>
      </c>
      <c r="B183" t="s">
        <v>25</v>
      </c>
      <c r="C183" t="s">
        <v>26</v>
      </c>
      <c r="D183" t="s">
        <v>39</v>
      </c>
      <c r="E183" t="s">
        <v>2057</v>
      </c>
      <c r="F183" t="s">
        <v>2058</v>
      </c>
      <c r="G183">
        <v>43782316</v>
      </c>
      <c r="H183" t="s">
        <v>2059</v>
      </c>
      <c r="I183" s="4" t="s">
        <v>35</v>
      </c>
      <c r="J183" s="4" t="s">
        <v>2060</v>
      </c>
      <c r="K183" t="s">
        <v>2061</v>
      </c>
      <c r="L183" t="s">
        <v>27</v>
      </c>
      <c r="M183" t="s">
        <v>2062</v>
      </c>
      <c r="N183" t="s">
        <v>28</v>
      </c>
      <c r="O183" t="s">
        <v>40</v>
      </c>
      <c r="P183" t="s">
        <v>41</v>
      </c>
      <c r="Q183" t="s">
        <v>31</v>
      </c>
      <c r="R183">
        <v>5</v>
      </c>
      <c r="S183" t="s">
        <v>2063</v>
      </c>
      <c r="T183" t="s">
        <v>6638</v>
      </c>
      <c r="U183" t="s">
        <v>6639</v>
      </c>
      <c r="V183" t="s">
        <v>49</v>
      </c>
      <c r="W183" t="s">
        <v>33</v>
      </c>
      <c r="X183" t="s">
        <v>33</v>
      </c>
      <c r="Y183" t="s">
        <v>33</v>
      </c>
      <c r="Z183" s="16" t="s">
        <v>34</v>
      </c>
      <c r="AA183">
        <v>-75.541467999999995</v>
      </c>
      <c r="AB183">
        <v>6.2432780000000001</v>
      </c>
      <c r="AC183" t="s">
        <v>135</v>
      </c>
      <c r="AD183" t="s">
        <v>136</v>
      </c>
    </row>
    <row r="184" spans="1:30" x14ac:dyDescent="0.25">
      <c r="A184" t="s">
        <v>2064</v>
      </c>
      <c r="B184" t="s">
        <v>25</v>
      </c>
      <c r="C184" t="s">
        <v>26</v>
      </c>
      <c r="D184" t="s">
        <v>39</v>
      </c>
      <c r="E184" t="s">
        <v>2065</v>
      </c>
      <c r="F184" t="s">
        <v>2066</v>
      </c>
      <c r="G184">
        <v>1017162066</v>
      </c>
      <c r="H184" t="s">
        <v>2067</v>
      </c>
      <c r="I184" s="4" t="s">
        <v>2068</v>
      </c>
      <c r="J184" s="4" t="s">
        <v>2069</v>
      </c>
      <c r="K184" t="s">
        <v>2070</v>
      </c>
      <c r="L184" t="s">
        <v>27</v>
      </c>
      <c r="M184" t="s">
        <v>2071</v>
      </c>
      <c r="N184" t="s">
        <v>28</v>
      </c>
      <c r="O184" t="s">
        <v>40</v>
      </c>
      <c r="P184" t="s">
        <v>41</v>
      </c>
      <c r="Q184" t="s">
        <v>31</v>
      </c>
      <c r="R184">
        <v>5</v>
      </c>
      <c r="S184" t="s">
        <v>2072</v>
      </c>
      <c r="T184" t="s">
        <v>6640</v>
      </c>
      <c r="U184" t="s">
        <v>47</v>
      </c>
      <c r="V184" t="s">
        <v>47</v>
      </c>
      <c r="W184" t="s">
        <v>33</v>
      </c>
      <c r="X184" t="s">
        <v>33</v>
      </c>
      <c r="Y184" t="s">
        <v>33</v>
      </c>
      <c r="Z184" s="16" t="s">
        <v>34</v>
      </c>
      <c r="AA184">
        <v>-75.528749000000005</v>
      </c>
      <c r="AB184">
        <v>6.2354020400000003</v>
      </c>
      <c r="AC184" t="s">
        <v>135</v>
      </c>
      <c r="AD184" t="s">
        <v>136</v>
      </c>
    </row>
    <row r="185" spans="1:30" x14ac:dyDescent="0.25">
      <c r="A185" t="s">
        <v>9924</v>
      </c>
      <c r="B185" t="s">
        <v>25</v>
      </c>
      <c r="C185" t="s">
        <v>26</v>
      </c>
      <c r="D185" t="s">
        <v>25</v>
      </c>
      <c r="E185" t="s">
        <v>6641</v>
      </c>
      <c r="F185" t="s">
        <v>6642</v>
      </c>
      <c r="G185">
        <v>71760189</v>
      </c>
      <c r="H185" t="s">
        <v>6643</v>
      </c>
      <c r="I185" s="4" t="s">
        <v>6644</v>
      </c>
      <c r="J185" s="4" t="s">
        <v>6645</v>
      </c>
      <c r="K185" t="s">
        <v>6646</v>
      </c>
      <c r="L185" t="s">
        <v>27</v>
      </c>
      <c r="M185" t="s">
        <v>6647</v>
      </c>
      <c r="N185" t="s">
        <v>28</v>
      </c>
      <c r="O185" t="s">
        <v>29</v>
      </c>
      <c r="P185" t="s">
        <v>36</v>
      </c>
      <c r="Q185" t="s">
        <v>31</v>
      </c>
      <c r="R185">
        <v>7</v>
      </c>
      <c r="S185" t="s">
        <v>6648</v>
      </c>
      <c r="T185" t="s">
        <v>6195</v>
      </c>
      <c r="U185" t="s">
        <v>6649</v>
      </c>
      <c r="V185" t="s">
        <v>32</v>
      </c>
      <c r="W185" t="s">
        <v>33</v>
      </c>
      <c r="X185" t="s">
        <v>33</v>
      </c>
      <c r="Y185" t="s">
        <v>33</v>
      </c>
      <c r="Z185" s="16" t="s">
        <v>34</v>
      </c>
      <c r="AA185">
        <v>-75.592968999999997</v>
      </c>
      <c r="AB185">
        <v>6.2577579999999999</v>
      </c>
      <c r="AC185" t="s">
        <v>135</v>
      </c>
      <c r="AD185" t="s">
        <v>136</v>
      </c>
    </row>
    <row r="186" spans="1:30" x14ac:dyDescent="0.25">
      <c r="A186" t="s">
        <v>9925</v>
      </c>
      <c r="B186" t="s">
        <v>25</v>
      </c>
      <c r="C186" t="s">
        <v>26</v>
      </c>
      <c r="D186" t="s">
        <v>39</v>
      </c>
      <c r="E186" t="s">
        <v>6650</v>
      </c>
      <c r="F186" t="s">
        <v>6651</v>
      </c>
      <c r="G186">
        <v>22240921</v>
      </c>
      <c r="H186" t="s">
        <v>6652</v>
      </c>
      <c r="I186" s="4" t="s">
        <v>35</v>
      </c>
      <c r="J186" s="4" t="s">
        <v>6653</v>
      </c>
      <c r="K186" t="s">
        <v>6654</v>
      </c>
      <c r="L186" t="s">
        <v>27</v>
      </c>
      <c r="M186" t="s">
        <v>6655</v>
      </c>
      <c r="N186" t="s">
        <v>28</v>
      </c>
      <c r="O186" t="s">
        <v>40</v>
      </c>
      <c r="P186" t="s">
        <v>41</v>
      </c>
      <c r="Q186" t="s">
        <v>38</v>
      </c>
      <c r="R186">
        <v>8</v>
      </c>
      <c r="S186" t="s">
        <v>6656</v>
      </c>
      <c r="T186" t="s">
        <v>6140</v>
      </c>
      <c r="U186" t="s">
        <v>6590</v>
      </c>
      <c r="V186" t="s">
        <v>32</v>
      </c>
      <c r="W186" t="s">
        <v>33</v>
      </c>
      <c r="X186" t="s">
        <v>33</v>
      </c>
      <c r="Y186" t="s">
        <v>33</v>
      </c>
      <c r="Z186" s="16" t="s">
        <v>34</v>
      </c>
      <c r="AA186">
        <v>-75.629273310000002</v>
      </c>
      <c r="AB186">
        <v>6.2352416599999998</v>
      </c>
      <c r="AC186" t="s">
        <v>135</v>
      </c>
      <c r="AD186" t="s">
        <v>136</v>
      </c>
    </row>
    <row r="187" spans="1:30" x14ac:dyDescent="0.25">
      <c r="A187" t="s">
        <v>9926</v>
      </c>
      <c r="B187" t="s">
        <v>25</v>
      </c>
      <c r="C187" t="s">
        <v>26</v>
      </c>
      <c r="D187" t="s">
        <v>39</v>
      </c>
      <c r="E187" t="s">
        <v>6657</v>
      </c>
      <c r="F187" t="s">
        <v>6658</v>
      </c>
      <c r="G187">
        <v>1152465882</v>
      </c>
      <c r="H187" t="s">
        <v>6659</v>
      </c>
      <c r="I187" s="4" t="s">
        <v>6660</v>
      </c>
      <c r="J187" s="4" t="s">
        <v>6661</v>
      </c>
      <c r="K187" t="s">
        <v>6662</v>
      </c>
      <c r="L187" t="s">
        <v>27</v>
      </c>
      <c r="M187" t="s">
        <v>6663</v>
      </c>
      <c r="N187" t="s">
        <v>28</v>
      </c>
      <c r="O187" t="s">
        <v>40</v>
      </c>
      <c r="P187" t="s">
        <v>41</v>
      </c>
      <c r="Q187" t="s">
        <v>38</v>
      </c>
      <c r="R187">
        <v>8</v>
      </c>
      <c r="S187" t="s">
        <v>6664</v>
      </c>
      <c r="T187" t="s">
        <v>6140</v>
      </c>
      <c r="U187" t="s">
        <v>6590</v>
      </c>
      <c r="V187" t="s">
        <v>32</v>
      </c>
      <c r="W187" t="s">
        <v>33</v>
      </c>
      <c r="X187" t="s">
        <v>33</v>
      </c>
      <c r="Y187" t="s">
        <v>33</v>
      </c>
      <c r="Z187" s="16" t="s">
        <v>34</v>
      </c>
      <c r="AA187">
        <v>-75.629273310000002</v>
      </c>
      <c r="AB187">
        <v>6.2352416599999998</v>
      </c>
      <c r="AC187" t="s">
        <v>135</v>
      </c>
      <c r="AD187" t="s">
        <v>136</v>
      </c>
    </row>
    <row r="188" spans="1:30" x14ac:dyDescent="0.25">
      <c r="A188" t="s">
        <v>9927</v>
      </c>
      <c r="B188" t="s">
        <v>25</v>
      </c>
      <c r="C188" t="s">
        <v>26</v>
      </c>
      <c r="D188" t="s">
        <v>39</v>
      </c>
      <c r="E188" t="s">
        <v>6665</v>
      </c>
      <c r="F188" t="s">
        <v>6666</v>
      </c>
      <c r="G188">
        <v>1152465882</v>
      </c>
      <c r="H188" t="s">
        <v>6659</v>
      </c>
      <c r="I188" s="4" t="s">
        <v>6660</v>
      </c>
      <c r="J188" s="4" t="s">
        <v>6661</v>
      </c>
      <c r="K188" t="s">
        <v>6667</v>
      </c>
      <c r="L188" t="s">
        <v>27</v>
      </c>
      <c r="M188" t="s">
        <v>6668</v>
      </c>
      <c r="N188" t="s">
        <v>28</v>
      </c>
      <c r="O188" t="s">
        <v>40</v>
      </c>
      <c r="P188" t="s">
        <v>41</v>
      </c>
      <c r="Q188" t="s">
        <v>38</v>
      </c>
      <c r="R188">
        <v>8</v>
      </c>
      <c r="S188" t="s">
        <v>6669</v>
      </c>
      <c r="T188" t="s">
        <v>6140</v>
      </c>
      <c r="U188" t="s">
        <v>6590</v>
      </c>
      <c r="V188" t="s">
        <v>32</v>
      </c>
      <c r="W188" t="s">
        <v>33</v>
      </c>
      <c r="X188" t="s">
        <v>33</v>
      </c>
      <c r="Y188" t="s">
        <v>33</v>
      </c>
      <c r="Z188" s="16" t="s">
        <v>34</v>
      </c>
      <c r="AA188">
        <v>-75.629273310000002</v>
      </c>
      <c r="AB188">
        <v>6.2352416599999998</v>
      </c>
      <c r="AC188" t="s">
        <v>135</v>
      </c>
      <c r="AD188" t="s">
        <v>136</v>
      </c>
    </row>
    <row r="189" spans="1:30" x14ac:dyDescent="0.25">
      <c r="A189" t="s">
        <v>9928</v>
      </c>
      <c r="B189" t="s">
        <v>25</v>
      </c>
      <c r="C189" t="s">
        <v>26</v>
      </c>
      <c r="D189" t="s">
        <v>39</v>
      </c>
      <c r="E189" t="s">
        <v>6670</v>
      </c>
      <c r="F189" t="s">
        <v>6671</v>
      </c>
      <c r="G189">
        <v>1004027595</v>
      </c>
      <c r="H189" t="s">
        <v>6672</v>
      </c>
      <c r="I189" s="4" t="s">
        <v>35</v>
      </c>
      <c r="J189" s="4" t="s">
        <v>6673</v>
      </c>
      <c r="K189" t="s">
        <v>6674</v>
      </c>
      <c r="L189" t="s">
        <v>27</v>
      </c>
      <c r="M189" t="s">
        <v>6675</v>
      </c>
      <c r="N189" t="s">
        <v>28</v>
      </c>
      <c r="O189" t="s">
        <v>40</v>
      </c>
      <c r="P189" t="s">
        <v>41</v>
      </c>
      <c r="Q189" t="s">
        <v>31</v>
      </c>
      <c r="R189">
        <v>5</v>
      </c>
      <c r="S189" t="s">
        <v>6676</v>
      </c>
      <c r="T189" t="s">
        <v>6127</v>
      </c>
      <c r="U189" t="s">
        <v>6128</v>
      </c>
      <c r="V189" t="s">
        <v>32</v>
      </c>
      <c r="W189" t="s">
        <v>33</v>
      </c>
      <c r="X189" t="s">
        <v>33</v>
      </c>
      <c r="Y189" t="s">
        <v>33</v>
      </c>
      <c r="Z189" s="16" t="s">
        <v>34</v>
      </c>
      <c r="AA189">
        <v>-75.537087999999997</v>
      </c>
      <c r="AB189">
        <v>6.256869</v>
      </c>
      <c r="AC189" t="s">
        <v>135</v>
      </c>
      <c r="AD189" t="s">
        <v>136</v>
      </c>
    </row>
    <row r="190" spans="1:30" x14ac:dyDescent="0.25">
      <c r="A190" t="s">
        <v>9929</v>
      </c>
      <c r="B190" t="s">
        <v>25</v>
      </c>
      <c r="C190" t="s">
        <v>26</v>
      </c>
      <c r="D190" t="s">
        <v>39</v>
      </c>
      <c r="E190" t="s">
        <v>6677</v>
      </c>
      <c r="F190" t="s">
        <v>6678</v>
      </c>
      <c r="G190">
        <v>34971253</v>
      </c>
      <c r="H190" t="s">
        <v>6679</v>
      </c>
      <c r="I190" s="4" t="s">
        <v>6680</v>
      </c>
      <c r="J190" s="4" t="s">
        <v>6681</v>
      </c>
      <c r="K190" t="s">
        <v>6682</v>
      </c>
      <c r="L190" t="s">
        <v>27</v>
      </c>
      <c r="M190" t="s">
        <v>6683</v>
      </c>
      <c r="N190" t="s">
        <v>28</v>
      </c>
      <c r="O190" t="s">
        <v>40</v>
      </c>
      <c r="P190" t="s">
        <v>41</v>
      </c>
      <c r="Q190" t="s">
        <v>38</v>
      </c>
      <c r="R190">
        <v>8</v>
      </c>
      <c r="S190" t="s">
        <v>6684</v>
      </c>
      <c r="T190" t="s">
        <v>6140</v>
      </c>
      <c r="U190" t="s">
        <v>6590</v>
      </c>
      <c r="V190" t="s">
        <v>32</v>
      </c>
      <c r="W190" t="s">
        <v>33</v>
      </c>
      <c r="X190" t="s">
        <v>33</v>
      </c>
      <c r="Y190" t="s">
        <v>33</v>
      </c>
      <c r="Z190" s="16" t="s">
        <v>34</v>
      </c>
      <c r="AA190">
        <v>-75.629273310000002</v>
      </c>
      <c r="AB190">
        <v>6.2352416599999998</v>
      </c>
      <c r="AC190" t="s">
        <v>135</v>
      </c>
      <c r="AD190" t="s">
        <v>136</v>
      </c>
    </row>
    <row r="191" spans="1:30" x14ac:dyDescent="0.25">
      <c r="A191" t="s">
        <v>9930</v>
      </c>
      <c r="B191" t="s">
        <v>25</v>
      </c>
      <c r="C191" t="s">
        <v>26</v>
      </c>
      <c r="D191" t="s">
        <v>39</v>
      </c>
      <c r="E191" t="s">
        <v>6685</v>
      </c>
      <c r="F191" t="s">
        <v>6686</v>
      </c>
      <c r="G191">
        <v>1017271382</v>
      </c>
      <c r="H191" t="s">
        <v>6687</v>
      </c>
      <c r="I191" s="4" t="s">
        <v>35</v>
      </c>
      <c r="J191" s="4" t="s">
        <v>6688</v>
      </c>
      <c r="K191" t="s">
        <v>6689</v>
      </c>
      <c r="L191" t="s">
        <v>27</v>
      </c>
      <c r="M191" t="s">
        <v>6690</v>
      </c>
      <c r="N191" t="s">
        <v>28</v>
      </c>
      <c r="O191" t="s">
        <v>40</v>
      </c>
      <c r="P191" t="s">
        <v>41</v>
      </c>
      <c r="Q191" t="s">
        <v>38</v>
      </c>
      <c r="R191">
        <v>8</v>
      </c>
      <c r="S191" t="s">
        <v>6691</v>
      </c>
      <c r="T191" t="s">
        <v>6140</v>
      </c>
      <c r="U191" t="s">
        <v>6590</v>
      </c>
      <c r="V191" t="s">
        <v>32</v>
      </c>
      <c r="W191" t="s">
        <v>33</v>
      </c>
      <c r="X191" t="s">
        <v>33</v>
      </c>
      <c r="Y191" t="s">
        <v>33</v>
      </c>
      <c r="Z191" s="16" t="s">
        <v>34</v>
      </c>
      <c r="AA191">
        <v>-75.630233570000001</v>
      </c>
      <c r="AB191">
        <v>6.2334557999999998</v>
      </c>
      <c r="AC191" t="s">
        <v>135</v>
      </c>
      <c r="AD191" t="s">
        <v>136</v>
      </c>
    </row>
    <row r="192" spans="1:30" x14ac:dyDescent="0.25">
      <c r="A192" t="s">
        <v>9931</v>
      </c>
      <c r="B192" t="s">
        <v>25</v>
      </c>
      <c r="C192" t="s">
        <v>26</v>
      </c>
      <c r="D192" t="s">
        <v>25</v>
      </c>
      <c r="E192" t="s">
        <v>6692</v>
      </c>
      <c r="F192" t="s">
        <v>6693</v>
      </c>
      <c r="G192">
        <v>43048766</v>
      </c>
      <c r="H192" t="s">
        <v>6694</v>
      </c>
      <c r="I192" s="4" t="s">
        <v>35</v>
      </c>
      <c r="J192" s="4" t="s">
        <v>6695</v>
      </c>
      <c r="K192" t="s">
        <v>6696</v>
      </c>
      <c r="L192" t="s">
        <v>27</v>
      </c>
      <c r="M192" t="s">
        <v>6697</v>
      </c>
      <c r="N192" t="s">
        <v>28</v>
      </c>
      <c r="O192" t="s">
        <v>29</v>
      </c>
      <c r="P192" t="s">
        <v>37</v>
      </c>
      <c r="Q192" t="s">
        <v>31</v>
      </c>
      <c r="R192">
        <v>7</v>
      </c>
      <c r="S192" t="s">
        <v>6698</v>
      </c>
      <c r="T192" t="s">
        <v>6699</v>
      </c>
      <c r="U192" t="s">
        <v>6590</v>
      </c>
      <c r="V192" t="s">
        <v>32</v>
      </c>
      <c r="W192" t="s">
        <v>33</v>
      </c>
      <c r="X192" t="s">
        <v>33</v>
      </c>
      <c r="Y192" t="s">
        <v>33</v>
      </c>
      <c r="Z192" s="16" t="s">
        <v>34</v>
      </c>
      <c r="AA192">
        <v>-75.555959990000005</v>
      </c>
      <c r="AB192">
        <v>6.2389200100000002</v>
      </c>
      <c r="AC192" t="s">
        <v>135</v>
      </c>
      <c r="AD192" t="s">
        <v>136</v>
      </c>
    </row>
    <row r="193" spans="1:30" x14ac:dyDescent="0.25">
      <c r="A193" t="s">
        <v>9932</v>
      </c>
      <c r="B193" t="s">
        <v>25</v>
      </c>
      <c r="C193" t="s">
        <v>26</v>
      </c>
      <c r="D193" t="s">
        <v>39</v>
      </c>
      <c r="E193" t="s">
        <v>6700</v>
      </c>
      <c r="F193" t="s">
        <v>6701</v>
      </c>
      <c r="G193">
        <v>1214747991</v>
      </c>
      <c r="H193" t="s">
        <v>6702</v>
      </c>
      <c r="I193" s="4" t="s">
        <v>35</v>
      </c>
      <c r="J193" s="4" t="s">
        <v>6703</v>
      </c>
      <c r="K193" t="s">
        <v>6704</v>
      </c>
      <c r="L193" t="s">
        <v>27</v>
      </c>
      <c r="M193" t="s">
        <v>6705</v>
      </c>
      <c r="N193" t="s">
        <v>28</v>
      </c>
      <c r="O193" t="s">
        <v>40</v>
      </c>
      <c r="P193" t="s">
        <v>41</v>
      </c>
      <c r="Q193" t="s">
        <v>38</v>
      </c>
      <c r="R193">
        <v>8</v>
      </c>
      <c r="S193" t="s">
        <v>6706</v>
      </c>
      <c r="T193" t="s">
        <v>6140</v>
      </c>
      <c r="U193" t="s">
        <v>6590</v>
      </c>
      <c r="V193" t="s">
        <v>32</v>
      </c>
      <c r="W193" t="s">
        <v>33</v>
      </c>
      <c r="X193" t="s">
        <v>33</v>
      </c>
      <c r="Y193" t="s">
        <v>33</v>
      </c>
      <c r="Z193" s="16" t="s">
        <v>34</v>
      </c>
      <c r="AA193">
        <v>-75.630061670000003</v>
      </c>
      <c r="AB193">
        <v>6.23489833</v>
      </c>
      <c r="AC193" t="s">
        <v>135</v>
      </c>
      <c r="AD193" t="s">
        <v>136</v>
      </c>
    </row>
    <row r="194" spans="1:30" x14ac:dyDescent="0.25">
      <c r="A194" t="s">
        <v>9933</v>
      </c>
      <c r="B194" t="s">
        <v>25</v>
      </c>
      <c r="C194" t="s">
        <v>26</v>
      </c>
      <c r="D194" t="s">
        <v>39</v>
      </c>
      <c r="E194" t="s">
        <v>6707</v>
      </c>
      <c r="F194" t="s">
        <v>6708</v>
      </c>
      <c r="G194">
        <v>32812514</v>
      </c>
      <c r="H194" t="s">
        <v>6709</v>
      </c>
      <c r="I194" s="4" t="s">
        <v>6710</v>
      </c>
      <c r="J194" s="4" t="s">
        <v>6711</v>
      </c>
      <c r="K194" t="s">
        <v>6712</v>
      </c>
      <c r="L194" t="s">
        <v>27</v>
      </c>
      <c r="M194" t="s">
        <v>6713</v>
      </c>
      <c r="N194" t="s">
        <v>28</v>
      </c>
      <c r="O194" t="s">
        <v>40</v>
      </c>
      <c r="P194" t="s">
        <v>41</v>
      </c>
      <c r="Q194" t="s">
        <v>38</v>
      </c>
      <c r="R194">
        <v>8</v>
      </c>
      <c r="S194" t="s">
        <v>6714</v>
      </c>
      <c r="T194" t="s">
        <v>6140</v>
      </c>
      <c r="U194" t="s">
        <v>6590</v>
      </c>
      <c r="V194" t="s">
        <v>32</v>
      </c>
      <c r="W194" t="s">
        <v>33</v>
      </c>
      <c r="X194" t="s">
        <v>33</v>
      </c>
      <c r="Y194" t="s">
        <v>33</v>
      </c>
      <c r="Z194" s="16" t="s">
        <v>34</v>
      </c>
      <c r="AA194">
        <v>-75.629721000000004</v>
      </c>
      <c r="AB194">
        <v>6.2345170000000003</v>
      </c>
      <c r="AC194" t="s">
        <v>135</v>
      </c>
      <c r="AD194" t="s">
        <v>136</v>
      </c>
    </row>
    <row r="195" spans="1:30" x14ac:dyDescent="0.25">
      <c r="A195" t="s">
        <v>9934</v>
      </c>
      <c r="B195" t="s">
        <v>25</v>
      </c>
      <c r="C195" t="s">
        <v>26</v>
      </c>
      <c r="D195" t="s">
        <v>39</v>
      </c>
      <c r="E195" t="s">
        <v>6715</v>
      </c>
      <c r="F195" t="s">
        <v>6716</v>
      </c>
      <c r="G195">
        <v>30079806</v>
      </c>
      <c r="H195" t="s">
        <v>6717</v>
      </c>
      <c r="I195" s="4" t="s">
        <v>35</v>
      </c>
      <c r="J195" s="4" t="s">
        <v>6718</v>
      </c>
      <c r="K195" t="s">
        <v>6719</v>
      </c>
      <c r="L195" t="s">
        <v>27</v>
      </c>
      <c r="M195" t="s">
        <v>6720</v>
      </c>
      <c r="N195" t="s">
        <v>28</v>
      </c>
      <c r="O195" t="s">
        <v>40</v>
      </c>
      <c r="P195" t="s">
        <v>41</v>
      </c>
      <c r="Q195" t="s">
        <v>38</v>
      </c>
      <c r="R195">
        <v>8</v>
      </c>
      <c r="S195" t="s">
        <v>6721</v>
      </c>
      <c r="T195" t="s">
        <v>6140</v>
      </c>
      <c r="U195" t="s">
        <v>6590</v>
      </c>
      <c r="V195" t="s">
        <v>32</v>
      </c>
      <c r="W195" t="s">
        <v>33</v>
      </c>
      <c r="X195" t="s">
        <v>33</v>
      </c>
      <c r="Y195" t="s">
        <v>33</v>
      </c>
      <c r="Z195" s="16" t="s">
        <v>34</v>
      </c>
      <c r="AA195">
        <v>-75.630061670000003</v>
      </c>
      <c r="AB195">
        <v>6.23489833</v>
      </c>
      <c r="AC195" t="s">
        <v>135</v>
      </c>
      <c r="AD195" t="s">
        <v>136</v>
      </c>
    </row>
    <row r="196" spans="1:30" x14ac:dyDescent="0.25">
      <c r="A196" t="s">
        <v>9935</v>
      </c>
      <c r="B196" t="s">
        <v>25</v>
      </c>
      <c r="C196" t="s">
        <v>26</v>
      </c>
      <c r="D196" t="s">
        <v>39</v>
      </c>
      <c r="E196" t="s">
        <v>6722</v>
      </c>
      <c r="F196" t="s">
        <v>6723</v>
      </c>
      <c r="G196">
        <v>1128471237</v>
      </c>
      <c r="H196" t="s">
        <v>6724</v>
      </c>
      <c r="I196" s="4" t="s">
        <v>6725</v>
      </c>
      <c r="J196" s="4" t="s">
        <v>6726</v>
      </c>
      <c r="K196" t="s">
        <v>6727</v>
      </c>
      <c r="L196" t="s">
        <v>27</v>
      </c>
      <c r="M196" t="s">
        <v>6728</v>
      </c>
      <c r="N196" t="s">
        <v>28</v>
      </c>
      <c r="O196" t="s">
        <v>40</v>
      </c>
      <c r="P196" t="s">
        <v>41</v>
      </c>
      <c r="Q196" t="s">
        <v>31</v>
      </c>
      <c r="R196">
        <v>5</v>
      </c>
      <c r="S196" t="s">
        <v>6729</v>
      </c>
      <c r="T196" t="s">
        <v>6188</v>
      </c>
      <c r="U196" t="s">
        <v>6369</v>
      </c>
      <c r="V196" t="s">
        <v>32</v>
      </c>
      <c r="W196" t="s">
        <v>33</v>
      </c>
      <c r="X196" t="s">
        <v>33</v>
      </c>
      <c r="Y196" t="s">
        <v>33</v>
      </c>
      <c r="Z196" s="16" t="s">
        <v>34</v>
      </c>
      <c r="AA196">
        <v>-75.554452019999999</v>
      </c>
      <c r="AB196">
        <v>6.2318557300000004</v>
      </c>
      <c r="AC196" t="s">
        <v>135</v>
      </c>
      <c r="AD196" t="s">
        <v>136</v>
      </c>
    </row>
    <row r="197" spans="1:30" x14ac:dyDescent="0.25">
      <c r="A197" t="s">
        <v>9936</v>
      </c>
      <c r="B197" t="s">
        <v>25</v>
      </c>
      <c r="C197" t="s">
        <v>26</v>
      </c>
      <c r="D197" t="s">
        <v>25</v>
      </c>
      <c r="E197" t="s">
        <v>6730</v>
      </c>
      <c r="F197" t="s">
        <v>6731</v>
      </c>
      <c r="G197">
        <v>1152435734</v>
      </c>
      <c r="H197" t="s">
        <v>6732</v>
      </c>
      <c r="I197" s="4" t="s">
        <v>35</v>
      </c>
      <c r="J197" s="4" t="s">
        <v>6733</v>
      </c>
      <c r="K197" t="s">
        <v>6734</v>
      </c>
      <c r="L197" t="s">
        <v>27</v>
      </c>
      <c r="M197" t="s">
        <v>6735</v>
      </c>
      <c r="N197" t="s">
        <v>28</v>
      </c>
      <c r="O197" t="s">
        <v>29</v>
      </c>
      <c r="P197" t="s">
        <v>30</v>
      </c>
      <c r="Q197" t="s">
        <v>31</v>
      </c>
      <c r="R197">
        <v>7</v>
      </c>
      <c r="S197" t="s">
        <v>6736</v>
      </c>
      <c r="T197" t="s">
        <v>6188</v>
      </c>
      <c r="U197" t="s">
        <v>6737</v>
      </c>
      <c r="V197" t="s">
        <v>32</v>
      </c>
      <c r="W197" t="s">
        <v>33</v>
      </c>
      <c r="X197" t="s">
        <v>33</v>
      </c>
      <c r="Y197" t="s">
        <v>33</v>
      </c>
      <c r="Z197" s="16" t="s">
        <v>34</v>
      </c>
      <c r="AA197">
        <v>-75.611549999999994</v>
      </c>
      <c r="AB197">
        <v>6.2218999999999998</v>
      </c>
      <c r="AC197" t="s">
        <v>135</v>
      </c>
      <c r="AD197" t="s">
        <v>136</v>
      </c>
    </row>
    <row r="198" spans="1:30" x14ac:dyDescent="0.25">
      <c r="A198" t="s">
        <v>9937</v>
      </c>
      <c r="B198" t="s">
        <v>25</v>
      </c>
      <c r="C198" t="s">
        <v>26</v>
      </c>
      <c r="D198" t="s">
        <v>25</v>
      </c>
      <c r="E198" t="s">
        <v>6738</v>
      </c>
      <c r="F198" t="s">
        <v>6739</v>
      </c>
      <c r="G198">
        <v>71795455</v>
      </c>
      <c r="H198" t="s">
        <v>6740</v>
      </c>
      <c r="I198" s="4" t="s">
        <v>35</v>
      </c>
      <c r="J198" s="4" t="s">
        <v>6741</v>
      </c>
      <c r="K198" t="s">
        <v>6742</v>
      </c>
      <c r="L198" t="s">
        <v>27</v>
      </c>
      <c r="M198" t="s">
        <v>6743</v>
      </c>
      <c r="N198" t="s">
        <v>28</v>
      </c>
      <c r="O198" t="s">
        <v>29</v>
      </c>
      <c r="P198" t="s">
        <v>30</v>
      </c>
      <c r="Q198" t="s">
        <v>31</v>
      </c>
      <c r="R198">
        <v>7</v>
      </c>
      <c r="S198" t="s">
        <v>6744</v>
      </c>
      <c r="T198" t="s">
        <v>6699</v>
      </c>
      <c r="U198" t="s">
        <v>6590</v>
      </c>
      <c r="V198" t="s">
        <v>32</v>
      </c>
      <c r="W198" t="s">
        <v>33</v>
      </c>
      <c r="X198" t="s">
        <v>33</v>
      </c>
      <c r="Y198" t="s">
        <v>33</v>
      </c>
      <c r="Z198" s="16" t="s">
        <v>34</v>
      </c>
      <c r="AA198">
        <v>-75.611457569999999</v>
      </c>
      <c r="AB198">
        <v>6.2226487800000001</v>
      </c>
      <c r="AC198" t="s">
        <v>135</v>
      </c>
      <c r="AD198" t="s">
        <v>136</v>
      </c>
    </row>
    <row r="199" spans="1:30" x14ac:dyDescent="0.25">
      <c r="A199" t="s">
        <v>9938</v>
      </c>
      <c r="B199" t="s">
        <v>25</v>
      </c>
      <c r="C199" t="s">
        <v>26</v>
      </c>
      <c r="D199" t="s">
        <v>25</v>
      </c>
      <c r="E199" t="s">
        <v>6745</v>
      </c>
      <c r="F199" t="s">
        <v>6746</v>
      </c>
      <c r="G199">
        <v>71795455</v>
      </c>
      <c r="H199" t="s">
        <v>6740</v>
      </c>
      <c r="I199" s="4" t="s">
        <v>35</v>
      </c>
      <c r="J199" s="4" t="s">
        <v>6741</v>
      </c>
      <c r="K199" t="s">
        <v>6747</v>
      </c>
      <c r="L199" t="s">
        <v>27</v>
      </c>
      <c r="M199" t="s">
        <v>6748</v>
      </c>
      <c r="N199" t="s">
        <v>28</v>
      </c>
      <c r="O199" t="s">
        <v>29</v>
      </c>
      <c r="P199" t="s">
        <v>37</v>
      </c>
      <c r="Q199" t="s">
        <v>31</v>
      </c>
      <c r="R199">
        <v>7</v>
      </c>
      <c r="S199" t="s">
        <v>6706</v>
      </c>
      <c r="T199" t="s">
        <v>6699</v>
      </c>
      <c r="U199" t="s">
        <v>6590</v>
      </c>
      <c r="V199" t="s">
        <v>32</v>
      </c>
      <c r="W199" t="s">
        <v>33</v>
      </c>
      <c r="X199" t="s">
        <v>33</v>
      </c>
      <c r="Y199" t="s">
        <v>33</v>
      </c>
      <c r="Z199" s="16" t="s">
        <v>34</v>
      </c>
      <c r="AA199">
        <v>-75.611573000000007</v>
      </c>
      <c r="AB199">
        <v>6.2219239999999996</v>
      </c>
      <c r="AC199" t="s">
        <v>135</v>
      </c>
      <c r="AD199" t="s">
        <v>136</v>
      </c>
    </row>
    <row r="200" spans="1:30" x14ac:dyDescent="0.25">
      <c r="A200" t="s">
        <v>996</v>
      </c>
      <c r="B200" t="s">
        <v>25</v>
      </c>
      <c r="C200" t="s">
        <v>26</v>
      </c>
      <c r="D200" t="s">
        <v>25</v>
      </c>
      <c r="E200" t="s">
        <v>997</v>
      </c>
      <c r="F200" t="s">
        <v>998</v>
      </c>
      <c r="G200">
        <v>1102837513</v>
      </c>
      <c r="H200" t="s">
        <v>999</v>
      </c>
      <c r="I200" s="4" t="s">
        <v>35</v>
      </c>
      <c r="J200" s="4" t="s">
        <v>1000</v>
      </c>
      <c r="K200" t="s">
        <v>1001</v>
      </c>
      <c r="L200" t="s">
        <v>27</v>
      </c>
      <c r="M200" t="s">
        <v>1002</v>
      </c>
      <c r="N200" t="s">
        <v>28</v>
      </c>
      <c r="O200" t="s">
        <v>29</v>
      </c>
      <c r="P200" t="s">
        <v>36</v>
      </c>
      <c r="Q200" t="s">
        <v>31</v>
      </c>
      <c r="R200">
        <v>7</v>
      </c>
      <c r="S200" t="s">
        <v>1003</v>
      </c>
      <c r="T200" t="s">
        <v>6749</v>
      </c>
      <c r="U200" t="s">
        <v>47</v>
      </c>
      <c r="V200" t="s">
        <v>47</v>
      </c>
      <c r="W200" t="s">
        <v>33</v>
      </c>
      <c r="X200" t="s">
        <v>33</v>
      </c>
      <c r="Y200" t="s">
        <v>33</v>
      </c>
      <c r="Z200" s="16" t="s">
        <v>34</v>
      </c>
      <c r="AA200">
        <v>-75.593856540000004</v>
      </c>
      <c r="AB200">
        <v>6.2509838599999998</v>
      </c>
      <c r="AC200" t="s">
        <v>135</v>
      </c>
      <c r="AD200" t="s">
        <v>136</v>
      </c>
    </row>
    <row r="201" spans="1:30" x14ac:dyDescent="0.25">
      <c r="A201" t="s">
        <v>9939</v>
      </c>
      <c r="B201" t="s">
        <v>25</v>
      </c>
      <c r="C201" t="s">
        <v>26</v>
      </c>
      <c r="D201" t="s">
        <v>39</v>
      </c>
      <c r="E201" t="s">
        <v>6750</v>
      </c>
      <c r="F201" t="s">
        <v>6751</v>
      </c>
      <c r="G201">
        <v>15346064</v>
      </c>
      <c r="H201" t="s">
        <v>6752</v>
      </c>
      <c r="I201" s="4" t="s">
        <v>35</v>
      </c>
      <c r="J201" s="4" t="s">
        <v>6753</v>
      </c>
      <c r="K201" t="s">
        <v>6754</v>
      </c>
      <c r="L201" t="s">
        <v>27</v>
      </c>
      <c r="M201" t="s">
        <v>6755</v>
      </c>
      <c r="N201" t="s">
        <v>28</v>
      </c>
      <c r="O201" t="s">
        <v>40</v>
      </c>
      <c r="P201" t="s">
        <v>41</v>
      </c>
      <c r="Q201" t="s">
        <v>38</v>
      </c>
      <c r="R201">
        <v>8</v>
      </c>
      <c r="S201" t="s">
        <v>6756</v>
      </c>
      <c r="T201" t="s">
        <v>6562</v>
      </c>
      <c r="U201" t="s">
        <v>6737</v>
      </c>
      <c r="V201" t="s">
        <v>32</v>
      </c>
      <c r="W201" t="s">
        <v>33</v>
      </c>
      <c r="X201" t="s">
        <v>33</v>
      </c>
      <c r="Y201" t="s">
        <v>33</v>
      </c>
      <c r="Z201" s="16" t="s">
        <v>34</v>
      </c>
      <c r="AA201">
        <v>-75.630061670000003</v>
      </c>
      <c r="AB201">
        <v>6.23489833</v>
      </c>
      <c r="AC201" t="s">
        <v>135</v>
      </c>
      <c r="AD201" t="s">
        <v>136</v>
      </c>
    </row>
    <row r="202" spans="1:30" x14ac:dyDescent="0.25">
      <c r="A202" t="s">
        <v>1004</v>
      </c>
      <c r="B202" t="s">
        <v>25</v>
      </c>
      <c r="C202" t="s">
        <v>26</v>
      </c>
      <c r="D202" t="s">
        <v>25</v>
      </c>
      <c r="E202" t="s">
        <v>1005</v>
      </c>
      <c r="F202" t="s">
        <v>1006</v>
      </c>
      <c r="G202">
        <v>79470052</v>
      </c>
      <c r="H202" t="s">
        <v>1007</v>
      </c>
      <c r="I202" s="4" t="s">
        <v>1008</v>
      </c>
      <c r="J202" s="4" t="s">
        <v>1000</v>
      </c>
      <c r="K202" t="s">
        <v>1009</v>
      </c>
      <c r="L202" t="s">
        <v>27</v>
      </c>
      <c r="M202" t="s">
        <v>1010</v>
      </c>
      <c r="N202" t="s">
        <v>28</v>
      </c>
      <c r="O202" t="s">
        <v>29</v>
      </c>
      <c r="P202" t="s">
        <v>36</v>
      </c>
      <c r="Q202" t="s">
        <v>31</v>
      </c>
      <c r="R202">
        <v>7</v>
      </c>
      <c r="S202" t="s">
        <v>1011</v>
      </c>
      <c r="T202" t="s">
        <v>6757</v>
      </c>
      <c r="U202" t="s">
        <v>47</v>
      </c>
      <c r="V202" t="s">
        <v>47</v>
      </c>
      <c r="W202" t="s">
        <v>33</v>
      </c>
      <c r="X202" t="s">
        <v>33</v>
      </c>
      <c r="Y202" t="s">
        <v>33</v>
      </c>
      <c r="Z202" s="16" t="s">
        <v>34</v>
      </c>
      <c r="AA202">
        <v>-75.593856540000004</v>
      </c>
      <c r="AB202">
        <v>6.2509838599999998</v>
      </c>
      <c r="AC202" t="s">
        <v>135</v>
      </c>
      <c r="AD202" t="s">
        <v>136</v>
      </c>
    </row>
    <row r="203" spans="1:30" x14ac:dyDescent="0.25">
      <c r="A203" t="s">
        <v>9940</v>
      </c>
      <c r="B203" t="s">
        <v>25</v>
      </c>
      <c r="C203" t="s">
        <v>26</v>
      </c>
      <c r="D203" t="s">
        <v>39</v>
      </c>
      <c r="E203" t="s">
        <v>6758</v>
      </c>
      <c r="F203" t="s">
        <v>6759</v>
      </c>
      <c r="G203">
        <v>98534250</v>
      </c>
      <c r="H203" t="s">
        <v>6760</v>
      </c>
      <c r="I203" s="4" t="s">
        <v>6761</v>
      </c>
      <c r="J203" s="4" t="s">
        <v>6762</v>
      </c>
      <c r="K203" t="s">
        <v>6763</v>
      </c>
      <c r="L203" t="s">
        <v>44</v>
      </c>
      <c r="M203" t="s">
        <v>6764</v>
      </c>
      <c r="N203" t="s">
        <v>45</v>
      </c>
      <c r="O203" t="s">
        <v>40</v>
      </c>
      <c r="P203" t="s">
        <v>41</v>
      </c>
      <c r="Q203" t="s">
        <v>38</v>
      </c>
      <c r="R203">
        <v>8</v>
      </c>
      <c r="S203" t="s">
        <v>6765</v>
      </c>
      <c r="T203" t="s">
        <v>6562</v>
      </c>
      <c r="U203" t="s">
        <v>6737</v>
      </c>
      <c r="V203" t="s">
        <v>32</v>
      </c>
      <c r="W203" t="s">
        <v>33</v>
      </c>
      <c r="X203" t="s">
        <v>33</v>
      </c>
      <c r="Y203" t="s">
        <v>33</v>
      </c>
      <c r="Z203" s="16" t="s">
        <v>34</v>
      </c>
      <c r="AA203">
        <v>-75.616186999999996</v>
      </c>
      <c r="AB203">
        <v>6.1873360000000002</v>
      </c>
      <c r="AC203" t="s">
        <v>135</v>
      </c>
      <c r="AD203" t="s">
        <v>136</v>
      </c>
    </row>
    <row r="204" spans="1:30" x14ac:dyDescent="0.25">
      <c r="A204" t="s">
        <v>9941</v>
      </c>
      <c r="B204" t="s">
        <v>25</v>
      </c>
      <c r="C204" t="s">
        <v>26</v>
      </c>
      <c r="D204" t="s">
        <v>39</v>
      </c>
      <c r="E204" t="s">
        <v>6766</v>
      </c>
      <c r="F204" t="s">
        <v>6767</v>
      </c>
      <c r="G204">
        <v>43524677</v>
      </c>
      <c r="H204" t="s">
        <v>6768</v>
      </c>
      <c r="I204" s="4" t="s">
        <v>35</v>
      </c>
      <c r="J204" s="4" t="s">
        <v>6769</v>
      </c>
      <c r="K204" t="s">
        <v>6770</v>
      </c>
      <c r="L204" t="s">
        <v>27</v>
      </c>
      <c r="M204" t="s">
        <v>6771</v>
      </c>
      <c r="N204" t="s">
        <v>28</v>
      </c>
      <c r="O204" t="s">
        <v>40</v>
      </c>
      <c r="P204" t="s">
        <v>41</v>
      </c>
      <c r="Q204" t="s">
        <v>31</v>
      </c>
      <c r="R204">
        <v>5</v>
      </c>
      <c r="S204" t="s">
        <v>6772</v>
      </c>
      <c r="T204" t="s">
        <v>6127</v>
      </c>
      <c r="U204" t="s">
        <v>6128</v>
      </c>
      <c r="V204" t="s">
        <v>32</v>
      </c>
      <c r="W204" t="s">
        <v>33</v>
      </c>
      <c r="X204" t="s">
        <v>33</v>
      </c>
      <c r="Y204" t="s">
        <v>33</v>
      </c>
      <c r="Z204" s="16" t="s">
        <v>34</v>
      </c>
      <c r="AA204">
        <v>-75.627324999999999</v>
      </c>
      <c r="AB204">
        <v>6.2458910000000003</v>
      </c>
      <c r="AC204" t="s">
        <v>135</v>
      </c>
      <c r="AD204" t="s">
        <v>136</v>
      </c>
    </row>
    <row r="205" spans="1:30" x14ac:dyDescent="0.25">
      <c r="A205" t="s">
        <v>9942</v>
      </c>
      <c r="B205" t="s">
        <v>25</v>
      </c>
      <c r="C205" t="s">
        <v>26</v>
      </c>
      <c r="D205" t="s">
        <v>25</v>
      </c>
      <c r="E205" t="s">
        <v>6773</v>
      </c>
      <c r="F205" t="s">
        <v>6774</v>
      </c>
      <c r="G205">
        <v>98657648</v>
      </c>
      <c r="H205" t="s">
        <v>6775</v>
      </c>
      <c r="I205" s="4" t="s">
        <v>6776</v>
      </c>
      <c r="J205" s="4" t="s">
        <v>6777</v>
      </c>
      <c r="K205" t="s">
        <v>6778</v>
      </c>
      <c r="L205" t="s">
        <v>48</v>
      </c>
      <c r="M205" t="s">
        <v>6779</v>
      </c>
      <c r="N205" t="s">
        <v>64</v>
      </c>
      <c r="O205" t="s">
        <v>29</v>
      </c>
      <c r="P205" t="s">
        <v>37</v>
      </c>
      <c r="Q205" t="s">
        <v>31</v>
      </c>
      <c r="R205">
        <v>7</v>
      </c>
      <c r="S205" t="s">
        <v>6780</v>
      </c>
      <c r="T205" t="s">
        <v>6699</v>
      </c>
      <c r="U205" t="s">
        <v>6590</v>
      </c>
      <c r="V205" t="s">
        <v>32</v>
      </c>
      <c r="W205" t="s">
        <v>33</v>
      </c>
      <c r="X205" t="s">
        <v>33</v>
      </c>
      <c r="Y205" t="s">
        <v>33</v>
      </c>
      <c r="Z205" s="16" t="s">
        <v>34</v>
      </c>
      <c r="AA205">
        <v>-75.577908829999998</v>
      </c>
      <c r="AB205">
        <v>6.1494648300000003</v>
      </c>
      <c r="AC205" t="s">
        <v>135</v>
      </c>
      <c r="AD205" t="s">
        <v>136</v>
      </c>
    </row>
    <row r="206" spans="1:30" x14ac:dyDescent="0.25">
      <c r="A206" t="s">
        <v>9943</v>
      </c>
      <c r="B206" t="s">
        <v>25</v>
      </c>
      <c r="C206" t="s">
        <v>26</v>
      </c>
      <c r="D206" t="s">
        <v>39</v>
      </c>
      <c r="E206" t="s">
        <v>6781</v>
      </c>
      <c r="F206" t="s">
        <v>6782</v>
      </c>
      <c r="G206">
        <v>66992784</v>
      </c>
      <c r="H206" t="s">
        <v>6783</v>
      </c>
      <c r="I206" s="4" t="s">
        <v>35</v>
      </c>
      <c r="J206" s="4" t="s">
        <v>6784</v>
      </c>
      <c r="K206" t="s">
        <v>6785</v>
      </c>
      <c r="L206" t="s">
        <v>44</v>
      </c>
      <c r="M206" t="s">
        <v>6786</v>
      </c>
      <c r="N206" t="s">
        <v>45</v>
      </c>
      <c r="O206" t="s">
        <v>40</v>
      </c>
      <c r="P206" t="s">
        <v>41</v>
      </c>
      <c r="Q206" t="s">
        <v>31</v>
      </c>
      <c r="R206">
        <v>5</v>
      </c>
      <c r="S206" t="s">
        <v>6787</v>
      </c>
      <c r="T206" t="s">
        <v>6127</v>
      </c>
      <c r="U206" t="s">
        <v>6128</v>
      </c>
      <c r="V206" t="s">
        <v>32</v>
      </c>
      <c r="W206" t="s">
        <v>33</v>
      </c>
      <c r="X206" t="s">
        <v>33</v>
      </c>
      <c r="Y206" t="s">
        <v>33</v>
      </c>
      <c r="Z206" s="16" t="s">
        <v>34</v>
      </c>
      <c r="AA206">
        <v>-75.611615439999994</v>
      </c>
      <c r="AB206">
        <v>6.1789861000000004</v>
      </c>
      <c r="AC206" t="s">
        <v>135</v>
      </c>
      <c r="AD206" t="s">
        <v>136</v>
      </c>
    </row>
    <row r="207" spans="1:30" x14ac:dyDescent="0.25">
      <c r="A207" t="s">
        <v>2076</v>
      </c>
      <c r="B207" t="s">
        <v>25</v>
      </c>
      <c r="C207" t="s">
        <v>26</v>
      </c>
      <c r="D207" t="s">
        <v>25</v>
      </c>
      <c r="E207" t="s">
        <v>2077</v>
      </c>
      <c r="F207" t="s">
        <v>2078</v>
      </c>
      <c r="G207">
        <v>43036427</v>
      </c>
      <c r="H207" t="s">
        <v>2079</v>
      </c>
      <c r="I207" s="4" t="s">
        <v>35</v>
      </c>
      <c r="J207" s="4" t="s">
        <v>2080</v>
      </c>
      <c r="K207" t="s">
        <v>2081</v>
      </c>
      <c r="L207" t="s">
        <v>27</v>
      </c>
      <c r="M207" t="s">
        <v>2082</v>
      </c>
      <c r="N207" t="s">
        <v>28</v>
      </c>
      <c r="O207" t="s">
        <v>29</v>
      </c>
      <c r="P207" t="s">
        <v>37</v>
      </c>
      <c r="Q207" t="s">
        <v>31</v>
      </c>
      <c r="R207">
        <v>7</v>
      </c>
      <c r="S207" t="s">
        <v>2083</v>
      </c>
      <c r="T207" t="s">
        <v>6788</v>
      </c>
      <c r="U207" t="s">
        <v>6789</v>
      </c>
      <c r="V207" t="s">
        <v>49</v>
      </c>
      <c r="W207" t="s">
        <v>33</v>
      </c>
      <c r="X207" t="s">
        <v>33</v>
      </c>
      <c r="Y207" t="s">
        <v>33</v>
      </c>
      <c r="Z207" s="16" t="s">
        <v>34</v>
      </c>
      <c r="AA207">
        <v>-75.560003280000004</v>
      </c>
      <c r="AB207">
        <v>6.2218848500000004</v>
      </c>
      <c r="AC207" t="s">
        <v>135</v>
      </c>
      <c r="AD207" t="s">
        <v>136</v>
      </c>
    </row>
    <row r="208" spans="1:30" x14ac:dyDescent="0.25">
      <c r="A208" t="s">
        <v>9944</v>
      </c>
      <c r="B208" t="s">
        <v>25</v>
      </c>
      <c r="C208" t="s">
        <v>26</v>
      </c>
      <c r="D208" t="s">
        <v>39</v>
      </c>
      <c r="E208" t="s">
        <v>6790</v>
      </c>
      <c r="F208" t="s">
        <v>6791</v>
      </c>
      <c r="G208">
        <v>1100399704</v>
      </c>
      <c r="H208" t="s">
        <v>6792</v>
      </c>
      <c r="I208" s="4" t="s">
        <v>35</v>
      </c>
      <c r="J208" s="4" t="s">
        <v>6793</v>
      </c>
      <c r="K208" t="s">
        <v>6794</v>
      </c>
      <c r="L208" t="s">
        <v>27</v>
      </c>
      <c r="M208" t="s">
        <v>6795</v>
      </c>
      <c r="N208" t="s">
        <v>28</v>
      </c>
      <c r="O208" t="s">
        <v>40</v>
      </c>
      <c r="P208" t="s">
        <v>41</v>
      </c>
      <c r="Q208" t="s">
        <v>31</v>
      </c>
      <c r="R208">
        <v>5</v>
      </c>
      <c r="S208" t="s">
        <v>6796</v>
      </c>
      <c r="T208" t="s">
        <v>6127</v>
      </c>
      <c r="U208" t="s">
        <v>6128</v>
      </c>
      <c r="V208" t="s">
        <v>32</v>
      </c>
      <c r="W208" t="s">
        <v>33</v>
      </c>
      <c r="X208" t="s">
        <v>33</v>
      </c>
      <c r="Y208" t="s">
        <v>33</v>
      </c>
      <c r="Z208" s="16" t="s">
        <v>34</v>
      </c>
      <c r="AA208">
        <v>-75.527796820000006</v>
      </c>
      <c r="AB208">
        <v>6.2292002599999998</v>
      </c>
      <c r="AC208" t="s">
        <v>135</v>
      </c>
      <c r="AD208" t="s">
        <v>136</v>
      </c>
    </row>
    <row r="209" spans="1:30" x14ac:dyDescent="0.25">
      <c r="A209" t="s">
        <v>9945</v>
      </c>
      <c r="B209" t="s">
        <v>25</v>
      </c>
      <c r="C209" t="s">
        <v>26</v>
      </c>
      <c r="D209" t="s">
        <v>39</v>
      </c>
      <c r="E209" t="s">
        <v>6797</v>
      </c>
      <c r="F209" t="s">
        <v>6798</v>
      </c>
      <c r="G209">
        <v>1002206004</v>
      </c>
      <c r="H209" t="s">
        <v>6799</v>
      </c>
      <c r="I209" s="4" t="s">
        <v>35</v>
      </c>
      <c r="J209" s="4" t="s">
        <v>6800</v>
      </c>
      <c r="K209" t="s">
        <v>6801</v>
      </c>
      <c r="L209" t="s">
        <v>27</v>
      </c>
      <c r="M209" t="s">
        <v>6802</v>
      </c>
      <c r="N209" t="s">
        <v>28</v>
      </c>
      <c r="O209" t="s">
        <v>40</v>
      </c>
      <c r="P209" t="s">
        <v>41</v>
      </c>
      <c r="Q209" t="s">
        <v>31</v>
      </c>
      <c r="R209">
        <v>5</v>
      </c>
      <c r="S209" t="s">
        <v>6803</v>
      </c>
      <c r="T209" t="s">
        <v>6188</v>
      </c>
      <c r="U209" t="s">
        <v>6369</v>
      </c>
      <c r="V209" t="s">
        <v>32</v>
      </c>
      <c r="W209" t="s">
        <v>33</v>
      </c>
      <c r="X209" t="s">
        <v>33</v>
      </c>
      <c r="Y209" t="s">
        <v>33</v>
      </c>
      <c r="Z209" s="16" t="s">
        <v>34</v>
      </c>
      <c r="AA209">
        <v>-75.527796820000006</v>
      </c>
      <c r="AB209">
        <v>6.2292002599999998</v>
      </c>
      <c r="AC209" t="s">
        <v>135</v>
      </c>
      <c r="AD209" t="s">
        <v>136</v>
      </c>
    </row>
    <row r="210" spans="1:30" x14ac:dyDescent="0.25">
      <c r="A210" t="s">
        <v>9946</v>
      </c>
      <c r="B210" t="s">
        <v>25</v>
      </c>
      <c r="C210" t="s">
        <v>26</v>
      </c>
      <c r="D210" t="s">
        <v>39</v>
      </c>
      <c r="E210" t="s">
        <v>6804</v>
      </c>
      <c r="F210" t="s">
        <v>6805</v>
      </c>
      <c r="G210">
        <v>1376624</v>
      </c>
      <c r="H210" t="s">
        <v>6806</v>
      </c>
      <c r="I210" s="4" t="s">
        <v>35</v>
      </c>
      <c r="J210" s="4" t="s">
        <v>6807</v>
      </c>
      <c r="K210" t="s">
        <v>6808</v>
      </c>
      <c r="L210" t="s">
        <v>27</v>
      </c>
      <c r="M210" t="s">
        <v>6809</v>
      </c>
      <c r="N210" t="s">
        <v>28</v>
      </c>
      <c r="O210" t="s">
        <v>40</v>
      </c>
      <c r="P210" t="s">
        <v>41</v>
      </c>
      <c r="Q210" t="s">
        <v>31</v>
      </c>
      <c r="R210">
        <v>5</v>
      </c>
      <c r="S210" t="s">
        <v>6810</v>
      </c>
      <c r="T210" t="s">
        <v>6127</v>
      </c>
      <c r="U210" t="s">
        <v>6128</v>
      </c>
      <c r="V210" t="s">
        <v>32</v>
      </c>
      <c r="W210" t="s">
        <v>33</v>
      </c>
      <c r="X210" t="s">
        <v>33</v>
      </c>
      <c r="Y210" t="s">
        <v>33</v>
      </c>
      <c r="Z210" s="16" t="s">
        <v>34</v>
      </c>
      <c r="AA210">
        <v>-75.540728000000001</v>
      </c>
      <c r="AB210">
        <v>6.2564599999999997</v>
      </c>
      <c r="AC210" t="s">
        <v>135</v>
      </c>
      <c r="AD210" t="s">
        <v>136</v>
      </c>
    </row>
    <row r="211" spans="1:30" x14ac:dyDescent="0.25">
      <c r="A211" t="s">
        <v>9947</v>
      </c>
      <c r="B211" t="s">
        <v>25</v>
      </c>
      <c r="C211" t="s">
        <v>26</v>
      </c>
      <c r="D211" t="s">
        <v>39</v>
      </c>
      <c r="E211" t="s">
        <v>6811</v>
      </c>
      <c r="F211" t="s">
        <v>6812</v>
      </c>
      <c r="G211">
        <v>1063175548</v>
      </c>
      <c r="H211" t="s">
        <v>6813</v>
      </c>
      <c r="I211" s="4" t="s">
        <v>35</v>
      </c>
      <c r="J211" s="4" t="s">
        <v>6814</v>
      </c>
      <c r="K211" t="s">
        <v>6815</v>
      </c>
      <c r="L211" t="s">
        <v>44</v>
      </c>
      <c r="M211" t="s">
        <v>6816</v>
      </c>
      <c r="N211" t="s">
        <v>45</v>
      </c>
      <c r="O211" t="s">
        <v>40</v>
      </c>
      <c r="P211" t="s">
        <v>41</v>
      </c>
      <c r="Q211" t="s">
        <v>38</v>
      </c>
      <c r="R211">
        <v>8</v>
      </c>
      <c r="S211" t="s">
        <v>6817</v>
      </c>
      <c r="T211" t="s">
        <v>6562</v>
      </c>
      <c r="U211" t="s">
        <v>6737</v>
      </c>
      <c r="V211" t="s">
        <v>32</v>
      </c>
      <c r="W211" t="s">
        <v>33</v>
      </c>
      <c r="X211" t="s">
        <v>33</v>
      </c>
      <c r="Y211" t="s">
        <v>33</v>
      </c>
      <c r="Z211" s="16" t="s">
        <v>34</v>
      </c>
      <c r="AA211">
        <v>-75.608369999999994</v>
      </c>
      <c r="AB211">
        <v>6.19414</v>
      </c>
      <c r="AC211" t="s">
        <v>135</v>
      </c>
      <c r="AD211" t="s">
        <v>136</v>
      </c>
    </row>
    <row r="212" spans="1:30" x14ac:dyDescent="0.25">
      <c r="A212" t="s">
        <v>9948</v>
      </c>
      <c r="B212" t="s">
        <v>25</v>
      </c>
      <c r="C212" t="s">
        <v>26</v>
      </c>
      <c r="D212" t="s">
        <v>39</v>
      </c>
      <c r="E212" t="s">
        <v>6818</v>
      </c>
      <c r="F212" t="s">
        <v>6819</v>
      </c>
      <c r="G212">
        <v>1038416085</v>
      </c>
      <c r="H212" t="s">
        <v>6820</v>
      </c>
      <c r="I212" s="4" t="s">
        <v>6821</v>
      </c>
      <c r="J212" s="4" t="s">
        <v>6822</v>
      </c>
      <c r="K212" t="s">
        <v>6823</v>
      </c>
      <c r="L212" t="s">
        <v>27</v>
      </c>
      <c r="M212" t="s">
        <v>6824</v>
      </c>
      <c r="N212" t="s">
        <v>28</v>
      </c>
      <c r="O212" t="s">
        <v>40</v>
      </c>
      <c r="P212" t="s">
        <v>41</v>
      </c>
      <c r="Q212" t="s">
        <v>38</v>
      </c>
      <c r="R212">
        <v>8</v>
      </c>
      <c r="S212" t="s">
        <v>6825</v>
      </c>
      <c r="T212" t="s">
        <v>6188</v>
      </c>
      <c r="U212" t="s">
        <v>6826</v>
      </c>
      <c r="V212" t="s">
        <v>32</v>
      </c>
      <c r="W212" t="s">
        <v>33</v>
      </c>
      <c r="X212" t="s">
        <v>33</v>
      </c>
      <c r="Y212" t="s">
        <v>33</v>
      </c>
      <c r="Z212" s="16" t="s">
        <v>34</v>
      </c>
      <c r="AA212">
        <v>-75.703687000000002</v>
      </c>
      <c r="AB212">
        <v>6.3443120000000004</v>
      </c>
      <c r="AC212" t="s">
        <v>135</v>
      </c>
      <c r="AD212" t="s">
        <v>136</v>
      </c>
    </row>
    <row r="213" spans="1:30" x14ac:dyDescent="0.25">
      <c r="A213" t="s">
        <v>339</v>
      </c>
      <c r="B213" t="s">
        <v>25</v>
      </c>
      <c r="C213" t="s">
        <v>26</v>
      </c>
      <c r="D213" t="s">
        <v>39</v>
      </c>
      <c r="E213" t="s">
        <v>340</v>
      </c>
      <c r="F213" t="s">
        <v>341</v>
      </c>
      <c r="G213">
        <v>98518808</v>
      </c>
      <c r="H213" t="s">
        <v>342</v>
      </c>
      <c r="I213" s="4" t="s">
        <v>343</v>
      </c>
      <c r="J213" s="4" t="s">
        <v>115</v>
      </c>
      <c r="K213" t="s">
        <v>344</v>
      </c>
      <c r="L213" t="s">
        <v>57</v>
      </c>
      <c r="M213" t="s">
        <v>345</v>
      </c>
      <c r="N213" t="s">
        <v>58</v>
      </c>
      <c r="O213" t="s">
        <v>40</v>
      </c>
      <c r="P213" t="s">
        <v>36</v>
      </c>
      <c r="Q213" t="s">
        <v>38</v>
      </c>
      <c r="R213">
        <v>8</v>
      </c>
      <c r="S213" t="s">
        <v>346</v>
      </c>
      <c r="T213" t="s">
        <v>6827</v>
      </c>
      <c r="U213" t="s">
        <v>47</v>
      </c>
      <c r="V213" t="s">
        <v>47</v>
      </c>
      <c r="W213" t="s">
        <v>33</v>
      </c>
      <c r="X213" t="s">
        <v>33</v>
      </c>
      <c r="Y213" t="s">
        <v>33</v>
      </c>
      <c r="Z213" s="16" t="s">
        <v>34</v>
      </c>
      <c r="AA213">
        <v>-75.645488029999996</v>
      </c>
      <c r="AB213">
        <v>6.08697394</v>
      </c>
      <c r="AC213" t="s">
        <v>135</v>
      </c>
      <c r="AD213" t="s">
        <v>136</v>
      </c>
    </row>
    <row r="214" spans="1:30" x14ac:dyDescent="0.25">
      <c r="A214" t="s">
        <v>2084</v>
      </c>
      <c r="B214" t="s">
        <v>25</v>
      </c>
      <c r="C214" t="s">
        <v>75</v>
      </c>
      <c r="D214" t="s">
        <v>25</v>
      </c>
      <c r="E214" t="s">
        <v>2085</v>
      </c>
      <c r="F214" t="s">
        <v>2086</v>
      </c>
      <c r="G214">
        <v>94393750</v>
      </c>
      <c r="H214" t="s">
        <v>2087</v>
      </c>
      <c r="I214" s="4" t="s">
        <v>35</v>
      </c>
      <c r="J214" s="4" t="s">
        <v>2088</v>
      </c>
      <c r="K214" t="s">
        <v>2089</v>
      </c>
      <c r="L214" t="s">
        <v>48</v>
      </c>
      <c r="M214" t="s">
        <v>2090</v>
      </c>
      <c r="N214" t="s">
        <v>64</v>
      </c>
      <c r="O214" t="s">
        <v>137</v>
      </c>
      <c r="P214" t="s">
        <v>54</v>
      </c>
      <c r="Q214" t="s">
        <v>38</v>
      </c>
      <c r="R214">
        <v>10</v>
      </c>
      <c r="S214" t="s">
        <v>2091</v>
      </c>
      <c r="T214" t="s">
        <v>6828</v>
      </c>
      <c r="U214" t="s">
        <v>6829</v>
      </c>
      <c r="V214" t="s">
        <v>32</v>
      </c>
      <c r="W214" t="s">
        <v>33</v>
      </c>
      <c r="X214" t="s">
        <v>33</v>
      </c>
      <c r="Y214" t="s">
        <v>33</v>
      </c>
      <c r="Z214" s="16" t="s">
        <v>34</v>
      </c>
      <c r="AA214">
        <v>-75.524680880000005</v>
      </c>
      <c r="AB214">
        <v>6.1614959100000002</v>
      </c>
      <c r="AC214" t="s">
        <v>135</v>
      </c>
      <c r="AD214" t="s">
        <v>136</v>
      </c>
    </row>
    <row r="215" spans="1:30" x14ac:dyDescent="0.25">
      <c r="A215" t="s">
        <v>9949</v>
      </c>
      <c r="B215" t="s">
        <v>25</v>
      </c>
      <c r="C215" t="s">
        <v>26</v>
      </c>
      <c r="D215" t="s">
        <v>25</v>
      </c>
      <c r="E215" t="s">
        <v>6830</v>
      </c>
      <c r="F215" t="s">
        <v>6831</v>
      </c>
      <c r="G215">
        <v>86007707</v>
      </c>
      <c r="H215" t="s">
        <v>6832</v>
      </c>
      <c r="I215" s="4" t="s">
        <v>6833</v>
      </c>
      <c r="J215" s="4" t="s">
        <v>6834</v>
      </c>
      <c r="K215" t="s">
        <v>6835</v>
      </c>
      <c r="L215" t="s">
        <v>27</v>
      </c>
      <c r="M215" t="s">
        <v>6836</v>
      </c>
      <c r="N215" t="s">
        <v>28</v>
      </c>
      <c r="O215" t="s">
        <v>29</v>
      </c>
      <c r="P215" t="s">
        <v>30</v>
      </c>
      <c r="Q215" t="s">
        <v>38</v>
      </c>
      <c r="R215">
        <v>10</v>
      </c>
      <c r="S215" t="s">
        <v>6837</v>
      </c>
      <c r="T215" t="s">
        <v>6493</v>
      </c>
      <c r="U215" t="s">
        <v>6838</v>
      </c>
      <c r="V215" t="s">
        <v>32</v>
      </c>
      <c r="W215" t="s">
        <v>33</v>
      </c>
      <c r="X215" t="s">
        <v>33</v>
      </c>
      <c r="Y215" t="s">
        <v>33</v>
      </c>
      <c r="Z215" s="16" t="s">
        <v>34</v>
      </c>
      <c r="AA215">
        <v>-75.632182</v>
      </c>
      <c r="AB215">
        <v>6.2337290000000003</v>
      </c>
      <c r="AC215" t="s">
        <v>135</v>
      </c>
      <c r="AD215" t="s">
        <v>136</v>
      </c>
    </row>
    <row r="216" spans="1:30" x14ac:dyDescent="0.25">
      <c r="A216" t="s">
        <v>2092</v>
      </c>
      <c r="B216" t="s">
        <v>50</v>
      </c>
      <c r="C216" t="s">
        <v>26</v>
      </c>
      <c r="D216" t="s">
        <v>50</v>
      </c>
      <c r="E216" t="s">
        <v>2093</v>
      </c>
      <c r="F216" t="s">
        <v>2094</v>
      </c>
      <c r="G216">
        <v>1017209389</v>
      </c>
      <c r="H216" t="s">
        <v>2095</v>
      </c>
      <c r="I216" s="4" t="s">
        <v>35</v>
      </c>
      <c r="J216" s="4" t="s">
        <v>2096</v>
      </c>
      <c r="K216" t="s">
        <v>2097</v>
      </c>
      <c r="L216" t="s">
        <v>27</v>
      </c>
      <c r="M216" t="s">
        <v>2098</v>
      </c>
      <c r="N216" t="s">
        <v>28</v>
      </c>
      <c r="O216" t="s">
        <v>40</v>
      </c>
      <c r="P216" t="s">
        <v>52</v>
      </c>
      <c r="Q216" t="s">
        <v>31</v>
      </c>
      <c r="R216">
        <v>5</v>
      </c>
      <c r="S216" t="s">
        <v>2099</v>
      </c>
      <c r="T216" t="s">
        <v>6839</v>
      </c>
      <c r="U216" t="s">
        <v>6840</v>
      </c>
      <c r="V216" t="s">
        <v>49</v>
      </c>
      <c r="W216" t="s">
        <v>33</v>
      </c>
      <c r="X216" t="s">
        <v>33</v>
      </c>
      <c r="Y216" t="s">
        <v>33</v>
      </c>
      <c r="Z216" s="16" t="s">
        <v>34</v>
      </c>
      <c r="AA216">
        <v>-75.615814</v>
      </c>
      <c r="AB216">
        <v>6.2628440000000003</v>
      </c>
      <c r="AC216" t="s">
        <v>135</v>
      </c>
      <c r="AD216" t="s">
        <v>136</v>
      </c>
    </row>
    <row r="217" spans="1:30" x14ac:dyDescent="0.25">
      <c r="A217" t="s">
        <v>347</v>
      </c>
      <c r="B217" t="s">
        <v>25</v>
      </c>
      <c r="C217" t="s">
        <v>26</v>
      </c>
      <c r="D217" t="s">
        <v>39</v>
      </c>
      <c r="E217" t="s">
        <v>348</v>
      </c>
      <c r="F217" t="s">
        <v>349</v>
      </c>
      <c r="G217">
        <v>1000919208</v>
      </c>
      <c r="H217" t="s">
        <v>350</v>
      </c>
      <c r="I217" s="4" t="s">
        <v>35</v>
      </c>
      <c r="J217" s="4" t="s">
        <v>351</v>
      </c>
      <c r="K217" t="s">
        <v>352</v>
      </c>
      <c r="L217" t="s">
        <v>57</v>
      </c>
      <c r="M217" t="s">
        <v>353</v>
      </c>
      <c r="N217" t="s">
        <v>58</v>
      </c>
      <c r="O217" t="s">
        <v>40</v>
      </c>
      <c r="P217" t="s">
        <v>36</v>
      </c>
      <c r="Q217" t="s">
        <v>38</v>
      </c>
      <c r="R217">
        <v>8</v>
      </c>
      <c r="S217" t="s">
        <v>354</v>
      </c>
      <c r="T217" t="s">
        <v>6827</v>
      </c>
      <c r="U217" t="s">
        <v>47</v>
      </c>
      <c r="V217" t="s">
        <v>47</v>
      </c>
      <c r="W217" t="s">
        <v>33</v>
      </c>
      <c r="X217" t="s">
        <v>33</v>
      </c>
      <c r="Y217" t="s">
        <v>33</v>
      </c>
      <c r="Z217" s="16" t="s">
        <v>34</v>
      </c>
      <c r="AA217">
        <v>-75.64584533</v>
      </c>
      <c r="AB217">
        <v>6.0906396599999999</v>
      </c>
      <c r="AC217" t="s">
        <v>135</v>
      </c>
      <c r="AD217" t="s">
        <v>136</v>
      </c>
    </row>
    <row r="218" spans="1:30" x14ac:dyDescent="0.25">
      <c r="A218" t="s">
        <v>2100</v>
      </c>
      <c r="B218" t="s">
        <v>25</v>
      </c>
      <c r="C218" t="s">
        <v>26</v>
      </c>
      <c r="D218" t="s">
        <v>25</v>
      </c>
      <c r="E218" t="s">
        <v>2101</v>
      </c>
      <c r="F218" t="s">
        <v>2102</v>
      </c>
      <c r="G218">
        <v>15348470</v>
      </c>
      <c r="H218" t="s">
        <v>2103</v>
      </c>
      <c r="I218" s="4" t="s">
        <v>35</v>
      </c>
      <c r="J218" s="4" t="s">
        <v>2104</v>
      </c>
      <c r="K218" t="s">
        <v>2105</v>
      </c>
      <c r="L218" t="s">
        <v>55</v>
      </c>
      <c r="M218" t="s">
        <v>2106</v>
      </c>
      <c r="N218" t="s">
        <v>56</v>
      </c>
      <c r="O218" t="s">
        <v>29</v>
      </c>
      <c r="P218" t="s">
        <v>36</v>
      </c>
      <c r="Q218" t="s">
        <v>31</v>
      </c>
      <c r="R218">
        <v>7</v>
      </c>
      <c r="S218" t="s">
        <v>2107</v>
      </c>
      <c r="T218" t="s">
        <v>1353</v>
      </c>
      <c r="U218" t="s">
        <v>1121</v>
      </c>
      <c r="V218" t="s">
        <v>32</v>
      </c>
      <c r="W218" t="s">
        <v>33</v>
      </c>
      <c r="X218" t="s">
        <v>33</v>
      </c>
      <c r="Y218" t="s">
        <v>33</v>
      </c>
      <c r="Z218" s="16" t="s">
        <v>34</v>
      </c>
      <c r="AA218">
        <v>-75.649831634999899</v>
      </c>
      <c r="AB218">
        <v>6.1379125160000303</v>
      </c>
      <c r="AC218" t="s">
        <v>135</v>
      </c>
      <c r="AD218" t="s">
        <v>136</v>
      </c>
    </row>
    <row r="219" spans="1:30" x14ac:dyDescent="0.25">
      <c r="A219" t="s">
        <v>1253</v>
      </c>
      <c r="B219" t="s">
        <v>25</v>
      </c>
      <c r="C219" t="s">
        <v>26</v>
      </c>
      <c r="D219" t="s">
        <v>25</v>
      </c>
      <c r="E219" t="s">
        <v>1254</v>
      </c>
      <c r="F219" t="s">
        <v>1251</v>
      </c>
      <c r="G219">
        <v>15338612</v>
      </c>
      <c r="H219" t="s">
        <v>1255</v>
      </c>
      <c r="I219" s="4" t="s">
        <v>35</v>
      </c>
      <c r="J219" s="4" t="s">
        <v>1256</v>
      </c>
      <c r="K219" t="s">
        <v>1257</v>
      </c>
      <c r="L219" t="s">
        <v>55</v>
      </c>
      <c r="M219" t="s">
        <v>1258</v>
      </c>
      <c r="N219" t="s">
        <v>56</v>
      </c>
      <c r="O219" t="s">
        <v>29</v>
      </c>
      <c r="P219" t="s">
        <v>36</v>
      </c>
      <c r="Q219" t="s">
        <v>38</v>
      </c>
      <c r="R219">
        <v>10</v>
      </c>
      <c r="S219" t="s">
        <v>1252</v>
      </c>
      <c r="T219" t="s">
        <v>6841</v>
      </c>
      <c r="U219" t="s">
        <v>6842</v>
      </c>
      <c r="V219" t="s">
        <v>32</v>
      </c>
      <c r="W219" t="s">
        <v>33</v>
      </c>
      <c r="X219" t="s">
        <v>33</v>
      </c>
      <c r="Y219" t="s">
        <v>33</v>
      </c>
      <c r="Z219" s="16" t="s">
        <v>34</v>
      </c>
      <c r="AA219">
        <v>-75.629652820000004</v>
      </c>
      <c r="AB219">
        <v>6.1181262600000004</v>
      </c>
      <c r="AC219" t="s">
        <v>135</v>
      </c>
      <c r="AD219" t="s">
        <v>136</v>
      </c>
    </row>
    <row r="220" spans="1:30" x14ac:dyDescent="0.25">
      <c r="A220" t="s">
        <v>2108</v>
      </c>
      <c r="B220" t="s">
        <v>25</v>
      </c>
      <c r="C220" t="s">
        <v>26</v>
      </c>
      <c r="D220" t="s">
        <v>39</v>
      </c>
      <c r="E220" t="s">
        <v>2109</v>
      </c>
      <c r="F220" t="s">
        <v>2110</v>
      </c>
      <c r="G220">
        <v>1018348655</v>
      </c>
      <c r="H220" t="s">
        <v>2111</v>
      </c>
      <c r="I220" s="4" t="s">
        <v>35</v>
      </c>
      <c r="J220" s="4" t="s">
        <v>2112</v>
      </c>
      <c r="K220" t="s">
        <v>2113</v>
      </c>
      <c r="L220" t="s">
        <v>27</v>
      </c>
      <c r="M220" t="s">
        <v>2114</v>
      </c>
      <c r="N220" t="s">
        <v>28</v>
      </c>
      <c r="O220" t="s">
        <v>40</v>
      </c>
      <c r="P220" t="s">
        <v>41</v>
      </c>
      <c r="Q220" t="s">
        <v>31</v>
      </c>
      <c r="R220">
        <v>5</v>
      </c>
      <c r="S220" t="s">
        <v>2115</v>
      </c>
      <c r="T220" t="s">
        <v>6843</v>
      </c>
      <c r="U220" t="s">
        <v>3731</v>
      </c>
      <c r="V220" t="s">
        <v>32</v>
      </c>
      <c r="W220" t="s">
        <v>33</v>
      </c>
      <c r="X220" t="s">
        <v>33</v>
      </c>
      <c r="Y220" t="s">
        <v>33</v>
      </c>
      <c r="Z220" s="16" t="s">
        <v>34</v>
      </c>
      <c r="AA220">
        <v>-75.541528009999993</v>
      </c>
      <c r="AB220">
        <v>6.2357822699999996</v>
      </c>
      <c r="AC220" t="s">
        <v>135</v>
      </c>
      <c r="AD220" t="s">
        <v>136</v>
      </c>
    </row>
    <row r="221" spans="1:30" x14ac:dyDescent="0.25">
      <c r="A221" t="s">
        <v>355</v>
      </c>
      <c r="B221" t="s">
        <v>25</v>
      </c>
      <c r="C221" t="s">
        <v>26</v>
      </c>
      <c r="D221" t="s">
        <v>39</v>
      </c>
      <c r="E221" t="s">
        <v>356</v>
      </c>
      <c r="F221" t="s">
        <v>357</v>
      </c>
      <c r="G221">
        <v>21493698</v>
      </c>
      <c r="H221" t="s">
        <v>358</v>
      </c>
      <c r="I221" s="4" t="s">
        <v>35</v>
      </c>
      <c r="J221" s="4" t="s">
        <v>359</v>
      </c>
      <c r="K221" t="s">
        <v>360</v>
      </c>
      <c r="L221" t="s">
        <v>57</v>
      </c>
      <c r="M221" t="s">
        <v>361</v>
      </c>
      <c r="N221" t="s">
        <v>58</v>
      </c>
      <c r="O221" t="s">
        <v>40</v>
      </c>
      <c r="P221" t="s">
        <v>36</v>
      </c>
      <c r="Q221" t="s">
        <v>38</v>
      </c>
      <c r="R221">
        <v>8</v>
      </c>
      <c r="S221" t="s">
        <v>362</v>
      </c>
      <c r="T221" t="s">
        <v>6827</v>
      </c>
      <c r="U221" t="s">
        <v>47</v>
      </c>
      <c r="V221" t="s">
        <v>47</v>
      </c>
      <c r="W221" t="s">
        <v>33</v>
      </c>
      <c r="X221" t="s">
        <v>33</v>
      </c>
      <c r="Y221" t="s">
        <v>33</v>
      </c>
      <c r="Z221" s="16" t="s">
        <v>34</v>
      </c>
      <c r="AA221">
        <v>-75.63509578</v>
      </c>
      <c r="AB221">
        <v>6.07050891</v>
      </c>
      <c r="AC221" t="s">
        <v>135</v>
      </c>
      <c r="AD221" t="s">
        <v>136</v>
      </c>
    </row>
    <row r="222" spans="1:30" x14ac:dyDescent="0.25">
      <c r="A222" t="s">
        <v>363</v>
      </c>
      <c r="B222" t="s">
        <v>25</v>
      </c>
      <c r="C222" t="s">
        <v>26</v>
      </c>
      <c r="D222" t="s">
        <v>39</v>
      </c>
      <c r="E222" t="s">
        <v>364</v>
      </c>
      <c r="F222" t="s">
        <v>365</v>
      </c>
      <c r="G222">
        <v>71395395</v>
      </c>
      <c r="H222" t="s">
        <v>366</v>
      </c>
      <c r="I222" s="4" t="s">
        <v>35</v>
      </c>
      <c r="J222" s="4" t="s">
        <v>367</v>
      </c>
      <c r="K222" t="s">
        <v>368</v>
      </c>
      <c r="L222" t="s">
        <v>57</v>
      </c>
      <c r="M222" t="s">
        <v>369</v>
      </c>
      <c r="N222" t="s">
        <v>58</v>
      </c>
      <c r="O222" t="s">
        <v>40</v>
      </c>
      <c r="P222" t="s">
        <v>36</v>
      </c>
      <c r="Q222" t="s">
        <v>38</v>
      </c>
      <c r="R222">
        <v>8</v>
      </c>
      <c r="S222" t="s">
        <v>370</v>
      </c>
      <c r="T222" t="s">
        <v>6827</v>
      </c>
      <c r="U222" t="s">
        <v>47</v>
      </c>
      <c r="V222" t="s">
        <v>47</v>
      </c>
      <c r="W222" t="s">
        <v>33</v>
      </c>
      <c r="X222" t="s">
        <v>33</v>
      </c>
      <c r="Y222" t="s">
        <v>33</v>
      </c>
      <c r="Z222" s="16" t="s">
        <v>34</v>
      </c>
      <c r="AA222">
        <v>-75.635050000000007</v>
      </c>
      <c r="AB222">
        <v>6.070354</v>
      </c>
      <c r="AC222" t="s">
        <v>135</v>
      </c>
      <c r="AD222" t="s">
        <v>136</v>
      </c>
    </row>
    <row r="223" spans="1:30" x14ac:dyDescent="0.25">
      <c r="A223" t="s">
        <v>371</v>
      </c>
      <c r="B223" t="s">
        <v>25</v>
      </c>
      <c r="C223" t="s">
        <v>26</v>
      </c>
      <c r="D223" t="s">
        <v>39</v>
      </c>
      <c r="E223" t="s">
        <v>372</v>
      </c>
      <c r="F223" t="s">
        <v>373</v>
      </c>
      <c r="G223">
        <v>1026159445</v>
      </c>
      <c r="H223" t="s">
        <v>374</v>
      </c>
      <c r="I223" s="4" t="s">
        <v>375</v>
      </c>
      <c r="J223" s="4" t="s">
        <v>376</v>
      </c>
      <c r="K223" t="s">
        <v>377</v>
      </c>
      <c r="L223" t="s">
        <v>57</v>
      </c>
      <c r="M223" t="s">
        <v>378</v>
      </c>
      <c r="N223" t="s">
        <v>58</v>
      </c>
      <c r="O223" t="s">
        <v>40</v>
      </c>
      <c r="P223" t="s">
        <v>36</v>
      </c>
      <c r="Q223" t="s">
        <v>38</v>
      </c>
      <c r="R223">
        <v>8</v>
      </c>
      <c r="S223" t="s">
        <v>379</v>
      </c>
      <c r="T223" t="s">
        <v>6827</v>
      </c>
      <c r="U223" t="s">
        <v>47</v>
      </c>
      <c r="V223" t="s">
        <v>47</v>
      </c>
      <c r="W223" t="s">
        <v>33</v>
      </c>
      <c r="X223" t="s">
        <v>33</v>
      </c>
      <c r="Y223" t="s">
        <v>33</v>
      </c>
      <c r="Z223" s="16" t="s">
        <v>34</v>
      </c>
      <c r="AA223">
        <v>-75.645960160000001</v>
      </c>
      <c r="AB223">
        <v>6.0904045299999998</v>
      </c>
      <c r="AC223" t="s">
        <v>135</v>
      </c>
      <c r="AD223" t="s">
        <v>136</v>
      </c>
    </row>
    <row r="224" spans="1:30" x14ac:dyDescent="0.25">
      <c r="A224" t="s">
        <v>2116</v>
      </c>
      <c r="B224" t="s">
        <v>25</v>
      </c>
      <c r="C224" t="s">
        <v>26</v>
      </c>
      <c r="D224" t="s">
        <v>25</v>
      </c>
      <c r="E224" t="s">
        <v>2117</v>
      </c>
      <c r="F224" t="s">
        <v>2118</v>
      </c>
      <c r="G224">
        <v>15373148</v>
      </c>
      <c r="H224" t="s">
        <v>2119</v>
      </c>
      <c r="I224" s="4" t="s">
        <v>2120</v>
      </c>
      <c r="J224" s="4" t="s">
        <v>2121</v>
      </c>
      <c r="K224" t="s">
        <v>2122</v>
      </c>
      <c r="L224" t="s">
        <v>57</v>
      </c>
      <c r="M224" t="s">
        <v>2123</v>
      </c>
      <c r="N224" t="s">
        <v>58</v>
      </c>
      <c r="O224" t="s">
        <v>29</v>
      </c>
      <c r="P224" t="s">
        <v>36</v>
      </c>
      <c r="Q224" t="s">
        <v>31</v>
      </c>
      <c r="R224">
        <v>7</v>
      </c>
      <c r="S224" t="s">
        <v>2124</v>
      </c>
      <c r="T224" t="s">
        <v>6844</v>
      </c>
      <c r="U224" t="s">
        <v>6845</v>
      </c>
      <c r="V224" t="s">
        <v>32</v>
      </c>
      <c r="W224" t="s">
        <v>33</v>
      </c>
      <c r="X224" t="s">
        <v>33</v>
      </c>
      <c r="Y224" t="s">
        <v>33</v>
      </c>
      <c r="Z224" s="16" t="s">
        <v>34</v>
      </c>
      <c r="AA224">
        <v>-75.625359709999998</v>
      </c>
      <c r="AB224">
        <v>6.0976809799999998</v>
      </c>
      <c r="AC224" t="s">
        <v>135</v>
      </c>
      <c r="AD224" t="s">
        <v>136</v>
      </c>
    </row>
    <row r="225" spans="1:30" x14ac:dyDescent="0.25">
      <c r="A225" t="s">
        <v>798</v>
      </c>
      <c r="B225" t="s">
        <v>25</v>
      </c>
      <c r="C225" t="s">
        <v>26</v>
      </c>
      <c r="D225" t="s">
        <v>25</v>
      </c>
      <c r="E225" t="s">
        <v>799</v>
      </c>
      <c r="F225" t="s">
        <v>800</v>
      </c>
      <c r="G225">
        <v>32296024</v>
      </c>
      <c r="H225" t="s">
        <v>801</v>
      </c>
      <c r="I225" s="4" t="s">
        <v>35</v>
      </c>
      <c r="J225" s="4" t="s">
        <v>802</v>
      </c>
      <c r="K225" t="s">
        <v>803</v>
      </c>
      <c r="L225" t="s">
        <v>59</v>
      </c>
      <c r="M225" t="s">
        <v>804</v>
      </c>
      <c r="N225" t="s">
        <v>60</v>
      </c>
      <c r="O225" t="s">
        <v>29</v>
      </c>
      <c r="P225" t="s">
        <v>37</v>
      </c>
      <c r="Q225" t="s">
        <v>31</v>
      </c>
      <c r="R225">
        <v>7</v>
      </c>
      <c r="S225" t="s">
        <v>805</v>
      </c>
      <c r="T225" t="s">
        <v>3764</v>
      </c>
      <c r="U225" t="s">
        <v>47</v>
      </c>
      <c r="V225" t="s">
        <v>47</v>
      </c>
      <c r="W225" t="s">
        <v>33</v>
      </c>
      <c r="X225" t="s">
        <v>33</v>
      </c>
      <c r="Y225" t="s">
        <v>33</v>
      </c>
      <c r="Z225" s="16" t="s">
        <v>34</v>
      </c>
      <c r="AA225">
        <v>-75.599127749999994</v>
      </c>
      <c r="AB225">
        <v>6.1502203599999996</v>
      </c>
      <c r="AC225" t="s">
        <v>135</v>
      </c>
      <c r="AD225" t="s">
        <v>136</v>
      </c>
    </row>
    <row r="226" spans="1:30" x14ac:dyDescent="0.25">
      <c r="A226" t="s">
        <v>2127</v>
      </c>
      <c r="B226" t="s">
        <v>42</v>
      </c>
      <c r="C226" t="s">
        <v>26</v>
      </c>
      <c r="D226" t="s">
        <v>42</v>
      </c>
      <c r="E226" t="s">
        <v>2128</v>
      </c>
      <c r="F226" t="s">
        <v>2129</v>
      </c>
      <c r="G226">
        <v>84095152</v>
      </c>
      <c r="H226" t="s">
        <v>2130</v>
      </c>
      <c r="I226" s="4" t="s">
        <v>35</v>
      </c>
      <c r="J226" s="4" t="s">
        <v>2131</v>
      </c>
      <c r="K226" t="s">
        <v>2132</v>
      </c>
      <c r="L226" t="s">
        <v>27</v>
      </c>
      <c r="M226" t="s">
        <v>2133</v>
      </c>
      <c r="N226" t="s">
        <v>28</v>
      </c>
      <c r="O226" t="s">
        <v>43</v>
      </c>
      <c r="P226" t="s">
        <v>37</v>
      </c>
      <c r="Q226" t="s">
        <v>31</v>
      </c>
      <c r="R226">
        <v>7</v>
      </c>
      <c r="S226" t="s">
        <v>2134</v>
      </c>
      <c r="T226" t="s">
        <v>6846</v>
      </c>
      <c r="U226" t="s">
        <v>6639</v>
      </c>
      <c r="V226" t="s">
        <v>49</v>
      </c>
      <c r="W226" t="s">
        <v>33</v>
      </c>
      <c r="X226" t="s">
        <v>33</v>
      </c>
      <c r="Y226" t="s">
        <v>33</v>
      </c>
      <c r="Z226" s="16" t="s">
        <v>34</v>
      </c>
      <c r="AA226">
        <v>-75.609983999999997</v>
      </c>
      <c r="AB226">
        <v>6.2348470000000002</v>
      </c>
      <c r="AC226" t="s">
        <v>135</v>
      </c>
      <c r="AD226" t="s">
        <v>136</v>
      </c>
    </row>
    <row r="227" spans="1:30" x14ac:dyDescent="0.25">
      <c r="A227" t="s">
        <v>380</v>
      </c>
      <c r="B227" t="s">
        <v>25</v>
      </c>
      <c r="C227" t="s">
        <v>26</v>
      </c>
      <c r="D227" t="s">
        <v>39</v>
      </c>
      <c r="E227" t="s">
        <v>381</v>
      </c>
      <c r="F227" t="s">
        <v>382</v>
      </c>
      <c r="G227">
        <v>21991377</v>
      </c>
      <c r="H227" t="s">
        <v>383</v>
      </c>
      <c r="I227" s="4" t="s">
        <v>35</v>
      </c>
      <c r="J227" s="4" t="s">
        <v>384</v>
      </c>
      <c r="K227" t="s">
        <v>385</v>
      </c>
      <c r="L227" t="s">
        <v>57</v>
      </c>
      <c r="M227" t="s">
        <v>386</v>
      </c>
      <c r="N227" t="s">
        <v>58</v>
      </c>
      <c r="O227" t="s">
        <v>40</v>
      </c>
      <c r="P227" t="s">
        <v>36</v>
      </c>
      <c r="Q227" t="s">
        <v>38</v>
      </c>
      <c r="R227">
        <v>8</v>
      </c>
      <c r="S227" t="s">
        <v>387</v>
      </c>
      <c r="T227" t="s">
        <v>6827</v>
      </c>
      <c r="U227" t="s">
        <v>47</v>
      </c>
      <c r="V227" t="s">
        <v>47</v>
      </c>
      <c r="W227" t="s">
        <v>33</v>
      </c>
      <c r="X227" t="s">
        <v>33</v>
      </c>
      <c r="Y227" t="s">
        <v>33</v>
      </c>
      <c r="Z227" s="16" t="s">
        <v>34</v>
      </c>
      <c r="AA227">
        <v>-75.638880999999998</v>
      </c>
      <c r="AB227">
        <v>6.0835499999999998</v>
      </c>
      <c r="AC227" t="s">
        <v>135</v>
      </c>
      <c r="AD227" t="s">
        <v>136</v>
      </c>
    </row>
    <row r="228" spans="1:30" x14ac:dyDescent="0.25">
      <c r="A228" t="s">
        <v>388</v>
      </c>
      <c r="B228" t="s">
        <v>25</v>
      </c>
      <c r="C228" t="s">
        <v>26</v>
      </c>
      <c r="D228" t="s">
        <v>39</v>
      </c>
      <c r="E228" t="s">
        <v>389</v>
      </c>
      <c r="F228" t="s">
        <v>390</v>
      </c>
      <c r="G228">
        <v>43000605</v>
      </c>
      <c r="H228" t="s">
        <v>391</v>
      </c>
      <c r="I228" s="4" t="s">
        <v>35</v>
      </c>
      <c r="J228" s="4" t="s">
        <v>392</v>
      </c>
      <c r="K228" t="s">
        <v>393</v>
      </c>
      <c r="L228" t="s">
        <v>57</v>
      </c>
      <c r="M228" t="s">
        <v>394</v>
      </c>
      <c r="N228" t="s">
        <v>58</v>
      </c>
      <c r="O228" t="s">
        <v>40</v>
      </c>
      <c r="P228" t="s">
        <v>36</v>
      </c>
      <c r="Q228" t="s">
        <v>38</v>
      </c>
      <c r="R228">
        <v>8</v>
      </c>
      <c r="S228" t="s">
        <v>395</v>
      </c>
      <c r="T228" t="s">
        <v>6827</v>
      </c>
      <c r="U228" t="s">
        <v>47</v>
      </c>
      <c r="V228" t="s">
        <v>47</v>
      </c>
      <c r="W228" t="s">
        <v>33</v>
      </c>
      <c r="X228" t="s">
        <v>33</v>
      </c>
      <c r="Y228" t="s">
        <v>33</v>
      </c>
      <c r="Z228" s="16" t="s">
        <v>34</v>
      </c>
      <c r="AA228">
        <v>-75.627865850000006</v>
      </c>
      <c r="AB228">
        <v>6.0573459300000003</v>
      </c>
      <c r="AC228" t="s">
        <v>135</v>
      </c>
      <c r="AD228" t="s">
        <v>136</v>
      </c>
    </row>
    <row r="229" spans="1:30" x14ac:dyDescent="0.25">
      <c r="A229" t="s">
        <v>396</v>
      </c>
      <c r="B229" t="s">
        <v>25</v>
      </c>
      <c r="C229" t="s">
        <v>26</v>
      </c>
      <c r="D229" t="s">
        <v>25</v>
      </c>
      <c r="E229" t="s">
        <v>397</v>
      </c>
      <c r="F229" t="s">
        <v>398</v>
      </c>
      <c r="G229">
        <v>98518408</v>
      </c>
      <c r="H229" t="s">
        <v>399</v>
      </c>
      <c r="I229" s="4" t="s">
        <v>35</v>
      </c>
      <c r="J229" s="4" t="s">
        <v>400</v>
      </c>
      <c r="K229" t="s">
        <v>401</v>
      </c>
      <c r="L229" t="s">
        <v>55</v>
      </c>
      <c r="M229" t="s">
        <v>402</v>
      </c>
      <c r="N229" t="s">
        <v>56</v>
      </c>
      <c r="O229" t="s">
        <v>29</v>
      </c>
      <c r="P229" t="s">
        <v>36</v>
      </c>
      <c r="Q229" t="s">
        <v>38</v>
      </c>
      <c r="R229">
        <v>10</v>
      </c>
      <c r="S229" t="s">
        <v>403</v>
      </c>
      <c r="T229" t="s">
        <v>6847</v>
      </c>
      <c r="U229" t="s">
        <v>47</v>
      </c>
      <c r="V229" t="s">
        <v>47</v>
      </c>
      <c r="W229" t="s">
        <v>33</v>
      </c>
      <c r="X229" t="s">
        <v>33</v>
      </c>
      <c r="Y229" t="s">
        <v>33</v>
      </c>
      <c r="Z229" s="16" t="s">
        <v>34</v>
      </c>
      <c r="AA229">
        <v>-75.635803039999999</v>
      </c>
      <c r="AB229">
        <v>6.1372650899999996</v>
      </c>
      <c r="AC229" t="s">
        <v>135</v>
      </c>
      <c r="AD229" t="s">
        <v>136</v>
      </c>
    </row>
    <row r="230" spans="1:30" x14ac:dyDescent="0.25">
      <c r="A230" t="s">
        <v>404</v>
      </c>
      <c r="B230" t="s">
        <v>25</v>
      </c>
      <c r="C230" t="s">
        <v>26</v>
      </c>
      <c r="D230" t="s">
        <v>39</v>
      </c>
      <c r="E230" t="s">
        <v>405</v>
      </c>
      <c r="F230" t="s">
        <v>406</v>
      </c>
      <c r="G230">
        <v>21533978</v>
      </c>
      <c r="H230" t="s">
        <v>407</v>
      </c>
      <c r="I230" s="4" t="s">
        <v>35</v>
      </c>
      <c r="J230" s="4" t="s">
        <v>408</v>
      </c>
      <c r="K230" t="s">
        <v>409</v>
      </c>
      <c r="L230" t="s">
        <v>57</v>
      </c>
      <c r="M230" t="s">
        <v>410</v>
      </c>
      <c r="N230" t="s">
        <v>58</v>
      </c>
      <c r="O230" t="s">
        <v>40</v>
      </c>
      <c r="P230" t="s">
        <v>36</v>
      </c>
      <c r="Q230" t="s">
        <v>38</v>
      </c>
      <c r="R230">
        <v>8</v>
      </c>
      <c r="S230" t="s">
        <v>411</v>
      </c>
      <c r="T230" t="s">
        <v>6827</v>
      </c>
      <c r="U230" t="s">
        <v>47</v>
      </c>
      <c r="V230" t="s">
        <v>47</v>
      </c>
      <c r="W230" t="s">
        <v>33</v>
      </c>
      <c r="X230" t="s">
        <v>33</v>
      </c>
      <c r="Y230" t="s">
        <v>33</v>
      </c>
      <c r="Z230" s="16" t="s">
        <v>34</v>
      </c>
      <c r="AA230">
        <v>-75.618030540000007</v>
      </c>
      <c r="AB230">
        <v>6.0968372799999999</v>
      </c>
      <c r="AC230" t="s">
        <v>135</v>
      </c>
      <c r="AD230" t="s">
        <v>136</v>
      </c>
    </row>
    <row r="231" spans="1:30" x14ac:dyDescent="0.25">
      <c r="A231" t="s">
        <v>2135</v>
      </c>
      <c r="B231" t="s">
        <v>25</v>
      </c>
      <c r="C231" t="s">
        <v>26</v>
      </c>
      <c r="D231" t="s">
        <v>39</v>
      </c>
      <c r="E231" t="s">
        <v>2136</v>
      </c>
      <c r="F231" t="s">
        <v>2137</v>
      </c>
      <c r="G231">
        <v>32470676</v>
      </c>
      <c r="H231" t="s">
        <v>2138</v>
      </c>
      <c r="I231" s="4" t="s">
        <v>35</v>
      </c>
      <c r="J231" s="4" t="s">
        <v>2139</v>
      </c>
      <c r="K231" t="s">
        <v>2140</v>
      </c>
      <c r="L231" t="s">
        <v>27</v>
      </c>
      <c r="M231" t="s">
        <v>2141</v>
      </c>
      <c r="N231" t="s">
        <v>28</v>
      </c>
      <c r="O231" t="s">
        <v>46</v>
      </c>
      <c r="P231" t="s">
        <v>41</v>
      </c>
      <c r="Q231" t="s">
        <v>38</v>
      </c>
      <c r="R231">
        <v>8</v>
      </c>
      <c r="S231" t="s">
        <v>2142</v>
      </c>
      <c r="T231" t="s">
        <v>6848</v>
      </c>
      <c r="U231" t="s">
        <v>6849</v>
      </c>
      <c r="V231" t="s">
        <v>32</v>
      </c>
      <c r="W231" t="s">
        <v>33</v>
      </c>
      <c r="X231" t="s">
        <v>33</v>
      </c>
      <c r="Y231" t="s">
        <v>33</v>
      </c>
      <c r="Z231" s="16" t="s">
        <v>34</v>
      </c>
      <c r="AA231">
        <v>-75.635156100000003</v>
      </c>
      <c r="AB231">
        <v>6.2476077999999999</v>
      </c>
      <c r="AC231" t="s">
        <v>135</v>
      </c>
      <c r="AD231" t="s">
        <v>136</v>
      </c>
    </row>
    <row r="232" spans="1:30" x14ac:dyDescent="0.25">
      <c r="A232" t="s">
        <v>2143</v>
      </c>
      <c r="B232" t="s">
        <v>25</v>
      </c>
      <c r="C232" t="s">
        <v>26</v>
      </c>
      <c r="D232" t="s">
        <v>39</v>
      </c>
      <c r="E232" t="s">
        <v>2144</v>
      </c>
      <c r="F232" t="s">
        <v>2145</v>
      </c>
      <c r="G232">
        <v>71141792</v>
      </c>
      <c r="H232" t="s">
        <v>2146</v>
      </c>
      <c r="I232" s="4" t="s">
        <v>35</v>
      </c>
      <c r="J232" s="4" t="s">
        <v>2147</v>
      </c>
      <c r="K232" t="s">
        <v>2148</v>
      </c>
      <c r="L232" t="s">
        <v>44</v>
      </c>
      <c r="M232" t="s">
        <v>2149</v>
      </c>
      <c r="N232" t="s">
        <v>45</v>
      </c>
      <c r="O232" t="s">
        <v>46</v>
      </c>
      <c r="P232" t="s">
        <v>41</v>
      </c>
      <c r="Q232" t="s">
        <v>38</v>
      </c>
      <c r="R232">
        <v>8</v>
      </c>
      <c r="S232" t="s">
        <v>2150</v>
      </c>
      <c r="T232" t="s">
        <v>6850</v>
      </c>
      <c r="U232" t="s">
        <v>6851</v>
      </c>
      <c r="V232" t="s">
        <v>32</v>
      </c>
      <c r="W232" t="s">
        <v>33</v>
      </c>
      <c r="X232" t="s">
        <v>33</v>
      </c>
      <c r="Y232" t="s">
        <v>33</v>
      </c>
      <c r="Z232" s="16" t="s">
        <v>34</v>
      </c>
      <c r="AA232">
        <v>-75.608706459999993</v>
      </c>
      <c r="AB232">
        <v>6.19487977</v>
      </c>
      <c r="AC232" t="s">
        <v>135</v>
      </c>
      <c r="AD232" t="s">
        <v>136</v>
      </c>
    </row>
    <row r="233" spans="1:30" x14ac:dyDescent="0.25">
      <c r="A233" t="s">
        <v>412</v>
      </c>
      <c r="B233" t="s">
        <v>25</v>
      </c>
      <c r="C233" t="s">
        <v>26</v>
      </c>
      <c r="D233" t="s">
        <v>39</v>
      </c>
      <c r="E233" t="s">
        <v>413</v>
      </c>
      <c r="F233" t="s">
        <v>414</v>
      </c>
      <c r="G233">
        <v>70567716</v>
      </c>
      <c r="H233" t="s">
        <v>415</v>
      </c>
      <c r="I233" s="4" t="s">
        <v>416</v>
      </c>
      <c r="J233" s="4" t="s">
        <v>417</v>
      </c>
      <c r="K233" t="s">
        <v>418</v>
      </c>
      <c r="L233" t="s">
        <v>57</v>
      </c>
      <c r="M233" t="s">
        <v>419</v>
      </c>
      <c r="N233" t="s">
        <v>58</v>
      </c>
      <c r="O233" t="s">
        <v>40</v>
      </c>
      <c r="P233" t="s">
        <v>36</v>
      </c>
      <c r="Q233" t="s">
        <v>38</v>
      </c>
      <c r="R233">
        <v>8</v>
      </c>
      <c r="S233" t="s">
        <v>420</v>
      </c>
      <c r="T233" t="s">
        <v>6827</v>
      </c>
      <c r="U233" t="s">
        <v>47</v>
      </c>
      <c r="V233" t="s">
        <v>47</v>
      </c>
      <c r="W233" t="s">
        <v>33</v>
      </c>
      <c r="X233" t="s">
        <v>33</v>
      </c>
      <c r="Y233" t="s">
        <v>33</v>
      </c>
      <c r="Z233" s="16" t="s">
        <v>34</v>
      </c>
      <c r="AA233">
        <v>-75.638816480000003</v>
      </c>
      <c r="AB233">
        <v>6.0835469399999997</v>
      </c>
      <c r="AC233" t="s">
        <v>135</v>
      </c>
      <c r="AD233" t="s">
        <v>136</v>
      </c>
    </row>
    <row r="234" spans="1:30" x14ac:dyDescent="0.25">
      <c r="A234" t="s">
        <v>2151</v>
      </c>
      <c r="B234" t="s">
        <v>25</v>
      </c>
      <c r="C234" t="s">
        <v>26</v>
      </c>
      <c r="D234" t="s">
        <v>25</v>
      </c>
      <c r="E234" t="s">
        <v>2152</v>
      </c>
      <c r="F234" t="s">
        <v>2153</v>
      </c>
      <c r="G234">
        <v>39325938</v>
      </c>
      <c r="H234" t="s">
        <v>2154</v>
      </c>
      <c r="I234" s="4" t="s">
        <v>35</v>
      </c>
      <c r="J234" s="4" t="s">
        <v>2155</v>
      </c>
      <c r="K234" t="s">
        <v>2156</v>
      </c>
      <c r="L234" t="s">
        <v>48</v>
      </c>
      <c r="M234" t="s">
        <v>2157</v>
      </c>
      <c r="N234" t="s">
        <v>64</v>
      </c>
      <c r="O234" t="s">
        <v>29</v>
      </c>
      <c r="P234" t="s">
        <v>37</v>
      </c>
      <c r="Q234" t="s">
        <v>31</v>
      </c>
      <c r="R234">
        <v>7</v>
      </c>
      <c r="S234" t="s">
        <v>2158</v>
      </c>
      <c r="T234" t="s">
        <v>6852</v>
      </c>
      <c r="U234" t="s">
        <v>6853</v>
      </c>
      <c r="V234" t="s">
        <v>32</v>
      </c>
      <c r="W234" t="s">
        <v>33</v>
      </c>
      <c r="X234" t="s">
        <v>33</v>
      </c>
      <c r="Y234" t="s">
        <v>33</v>
      </c>
      <c r="Z234" s="16" t="s">
        <v>34</v>
      </c>
      <c r="AA234">
        <v>-75.590875960000005</v>
      </c>
      <c r="AB234">
        <v>6.1630446900000004</v>
      </c>
      <c r="AC234" t="s">
        <v>135</v>
      </c>
      <c r="AD234" t="s">
        <v>136</v>
      </c>
    </row>
    <row r="235" spans="1:30" x14ac:dyDescent="0.25">
      <c r="A235" t="s">
        <v>421</v>
      </c>
      <c r="B235" t="s">
        <v>25</v>
      </c>
      <c r="C235" t="s">
        <v>26</v>
      </c>
      <c r="D235" t="s">
        <v>39</v>
      </c>
      <c r="E235" t="s">
        <v>422</v>
      </c>
      <c r="F235" t="s">
        <v>423</v>
      </c>
      <c r="G235">
        <v>21620236</v>
      </c>
      <c r="H235" t="s">
        <v>424</v>
      </c>
      <c r="I235" s="4" t="s">
        <v>35</v>
      </c>
      <c r="J235" s="4" t="s">
        <v>425</v>
      </c>
      <c r="K235" t="s">
        <v>426</v>
      </c>
      <c r="L235" t="s">
        <v>57</v>
      </c>
      <c r="M235" t="s">
        <v>427</v>
      </c>
      <c r="N235" t="s">
        <v>58</v>
      </c>
      <c r="O235" t="s">
        <v>40</v>
      </c>
      <c r="P235" t="s">
        <v>36</v>
      </c>
      <c r="Q235" t="s">
        <v>38</v>
      </c>
      <c r="R235">
        <v>8</v>
      </c>
      <c r="S235" t="s">
        <v>428</v>
      </c>
      <c r="T235" t="s">
        <v>6827</v>
      </c>
      <c r="U235" t="s">
        <v>47</v>
      </c>
      <c r="V235" t="s">
        <v>47</v>
      </c>
      <c r="W235" t="s">
        <v>33</v>
      </c>
      <c r="X235" t="s">
        <v>33</v>
      </c>
      <c r="Y235" t="s">
        <v>33</v>
      </c>
      <c r="Z235" s="16" t="s">
        <v>34</v>
      </c>
      <c r="AA235">
        <v>-75.618901129999998</v>
      </c>
      <c r="AB235">
        <v>6.0442584400000001</v>
      </c>
      <c r="AC235" t="s">
        <v>135</v>
      </c>
      <c r="AD235" t="s">
        <v>136</v>
      </c>
    </row>
    <row r="236" spans="1:30" x14ac:dyDescent="0.25">
      <c r="A236" t="s">
        <v>2159</v>
      </c>
      <c r="B236" t="s">
        <v>25</v>
      </c>
      <c r="C236" t="s">
        <v>26</v>
      </c>
      <c r="D236" t="s">
        <v>25</v>
      </c>
      <c r="E236" t="s">
        <v>2160</v>
      </c>
      <c r="F236" t="s">
        <v>2161</v>
      </c>
      <c r="G236">
        <v>42753469</v>
      </c>
      <c r="H236" t="s">
        <v>2162</v>
      </c>
      <c r="I236" s="4" t="s">
        <v>2163</v>
      </c>
      <c r="J236" s="4" t="s">
        <v>2164</v>
      </c>
      <c r="K236" t="s">
        <v>2165</v>
      </c>
      <c r="L236" t="s">
        <v>27</v>
      </c>
      <c r="M236" t="s">
        <v>2166</v>
      </c>
      <c r="N236" t="s">
        <v>28</v>
      </c>
      <c r="O236" t="s">
        <v>29</v>
      </c>
      <c r="P236" t="s">
        <v>36</v>
      </c>
      <c r="Q236" t="s">
        <v>31</v>
      </c>
      <c r="R236">
        <v>7</v>
      </c>
      <c r="S236" t="s">
        <v>2167</v>
      </c>
      <c r="T236" t="s">
        <v>6854</v>
      </c>
      <c r="U236" t="s">
        <v>5108</v>
      </c>
      <c r="V236" t="s">
        <v>49</v>
      </c>
      <c r="W236" t="s">
        <v>33</v>
      </c>
      <c r="X236" t="s">
        <v>33</v>
      </c>
      <c r="Y236" t="s">
        <v>33</v>
      </c>
      <c r="Z236" s="16" t="s">
        <v>34</v>
      </c>
      <c r="AA236">
        <v>-75.582297420000003</v>
      </c>
      <c r="AB236">
        <v>6.2217058099999996</v>
      </c>
      <c r="AC236" t="s">
        <v>135</v>
      </c>
      <c r="AD236" t="s">
        <v>136</v>
      </c>
    </row>
    <row r="237" spans="1:30" x14ac:dyDescent="0.25">
      <c r="A237" t="s">
        <v>429</v>
      </c>
      <c r="B237" t="s">
        <v>25</v>
      </c>
      <c r="C237" t="s">
        <v>26</v>
      </c>
      <c r="D237" t="s">
        <v>39</v>
      </c>
      <c r="E237" t="s">
        <v>430</v>
      </c>
      <c r="F237" t="s">
        <v>431</v>
      </c>
      <c r="G237">
        <v>43681705</v>
      </c>
      <c r="H237" t="s">
        <v>432</v>
      </c>
      <c r="I237" s="4" t="s">
        <v>433</v>
      </c>
      <c r="J237" s="4" t="s">
        <v>434</v>
      </c>
      <c r="K237" t="s">
        <v>435</v>
      </c>
      <c r="L237" t="s">
        <v>55</v>
      </c>
      <c r="M237" t="s">
        <v>436</v>
      </c>
      <c r="N237" t="s">
        <v>56</v>
      </c>
      <c r="O237" t="s">
        <v>40</v>
      </c>
      <c r="P237" t="s">
        <v>36</v>
      </c>
      <c r="Q237" t="s">
        <v>38</v>
      </c>
      <c r="R237">
        <v>8</v>
      </c>
      <c r="S237" t="s">
        <v>437</v>
      </c>
      <c r="T237" t="s">
        <v>6855</v>
      </c>
      <c r="U237" t="s">
        <v>47</v>
      </c>
      <c r="V237" t="s">
        <v>47</v>
      </c>
      <c r="W237" t="s">
        <v>33</v>
      </c>
      <c r="X237" t="s">
        <v>33</v>
      </c>
      <c r="Y237" t="s">
        <v>33</v>
      </c>
      <c r="Z237" s="16" t="s">
        <v>34</v>
      </c>
      <c r="AA237">
        <v>-75.632054659999994</v>
      </c>
      <c r="AB237">
        <v>6.1164638199999999</v>
      </c>
      <c r="AC237" t="s">
        <v>135</v>
      </c>
      <c r="AD237" t="s">
        <v>136</v>
      </c>
    </row>
    <row r="238" spans="1:30" x14ac:dyDescent="0.25">
      <c r="A238" t="s">
        <v>2169</v>
      </c>
      <c r="B238" t="s">
        <v>25</v>
      </c>
      <c r="C238" t="s">
        <v>26</v>
      </c>
      <c r="D238" t="s">
        <v>39</v>
      </c>
      <c r="E238" t="s">
        <v>2170</v>
      </c>
      <c r="F238" t="s">
        <v>2171</v>
      </c>
      <c r="G238">
        <v>1040745975</v>
      </c>
      <c r="H238" t="s">
        <v>2172</v>
      </c>
      <c r="I238" s="4" t="s">
        <v>35</v>
      </c>
      <c r="J238" s="4" t="s">
        <v>2173</v>
      </c>
      <c r="K238" t="s">
        <v>2174</v>
      </c>
      <c r="L238" t="s">
        <v>55</v>
      </c>
      <c r="M238" t="s">
        <v>2175</v>
      </c>
      <c r="N238" t="s">
        <v>56</v>
      </c>
      <c r="O238" t="s">
        <v>40</v>
      </c>
      <c r="P238" t="s">
        <v>36</v>
      </c>
      <c r="Q238" t="s">
        <v>38</v>
      </c>
      <c r="R238">
        <v>8</v>
      </c>
      <c r="S238" t="s">
        <v>2176</v>
      </c>
      <c r="T238" t="s">
        <v>6841</v>
      </c>
      <c r="U238" t="s">
        <v>6856</v>
      </c>
      <c r="V238" t="s">
        <v>49</v>
      </c>
      <c r="W238" t="s">
        <v>33</v>
      </c>
      <c r="X238" t="s">
        <v>33</v>
      </c>
      <c r="Y238" t="s">
        <v>33</v>
      </c>
      <c r="Z238" s="16" t="s">
        <v>34</v>
      </c>
      <c r="AA238">
        <v>-75.622964229999994</v>
      </c>
      <c r="AB238">
        <v>6.1176419199999996</v>
      </c>
      <c r="AC238" t="s">
        <v>135</v>
      </c>
      <c r="AD238" t="s">
        <v>136</v>
      </c>
    </row>
    <row r="239" spans="1:30" x14ac:dyDescent="0.25">
      <c r="A239" t="s">
        <v>2178</v>
      </c>
      <c r="B239" t="s">
        <v>25</v>
      </c>
      <c r="C239" t="s">
        <v>26</v>
      </c>
      <c r="D239" t="s">
        <v>39</v>
      </c>
      <c r="E239" t="s">
        <v>2179</v>
      </c>
      <c r="F239" t="s">
        <v>2180</v>
      </c>
      <c r="G239">
        <v>1045430047</v>
      </c>
      <c r="H239" t="s">
        <v>2181</v>
      </c>
      <c r="I239" s="4" t="s">
        <v>35</v>
      </c>
      <c r="J239" s="4" t="s">
        <v>2182</v>
      </c>
      <c r="K239" t="s">
        <v>2183</v>
      </c>
      <c r="L239" t="s">
        <v>27</v>
      </c>
      <c r="M239" t="s">
        <v>2184</v>
      </c>
      <c r="N239" t="s">
        <v>28</v>
      </c>
      <c r="O239" t="s">
        <v>46</v>
      </c>
      <c r="P239" t="s">
        <v>41</v>
      </c>
      <c r="Q239" t="s">
        <v>31</v>
      </c>
      <c r="R239">
        <v>5</v>
      </c>
      <c r="S239" t="s">
        <v>2185</v>
      </c>
      <c r="T239" t="s">
        <v>6857</v>
      </c>
      <c r="U239" t="s">
        <v>47</v>
      </c>
      <c r="V239" t="s">
        <v>47</v>
      </c>
      <c r="W239" t="s">
        <v>33</v>
      </c>
      <c r="X239" t="s">
        <v>33</v>
      </c>
      <c r="Y239" t="s">
        <v>33</v>
      </c>
      <c r="Z239" s="16" t="s">
        <v>34</v>
      </c>
      <c r="AA239">
        <v>-75.630716000000007</v>
      </c>
      <c r="AB239">
        <v>6.2694549999999998</v>
      </c>
      <c r="AC239" t="s">
        <v>135</v>
      </c>
      <c r="AD239" t="s">
        <v>136</v>
      </c>
    </row>
    <row r="240" spans="1:30" x14ac:dyDescent="0.25">
      <c r="A240" t="s">
        <v>593</v>
      </c>
      <c r="B240" t="s">
        <v>25</v>
      </c>
      <c r="C240" t="s">
        <v>26</v>
      </c>
      <c r="D240" t="s">
        <v>39</v>
      </c>
      <c r="E240" t="s">
        <v>594</v>
      </c>
      <c r="F240" t="s">
        <v>595</v>
      </c>
      <c r="G240">
        <v>70471888</v>
      </c>
      <c r="H240" t="s">
        <v>596</v>
      </c>
      <c r="I240" s="4" t="s">
        <v>35</v>
      </c>
      <c r="J240" s="4" t="s">
        <v>597</v>
      </c>
      <c r="K240" t="s">
        <v>598</v>
      </c>
      <c r="L240" t="s">
        <v>55</v>
      </c>
      <c r="M240" t="s">
        <v>599</v>
      </c>
      <c r="N240" t="s">
        <v>56</v>
      </c>
      <c r="O240" t="s">
        <v>40</v>
      </c>
      <c r="P240" t="s">
        <v>36</v>
      </c>
      <c r="Q240" t="s">
        <v>31</v>
      </c>
      <c r="R240">
        <v>5</v>
      </c>
      <c r="S240" t="s">
        <v>600</v>
      </c>
      <c r="T240" t="s">
        <v>6858</v>
      </c>
      <c r="U240" t="s">
        <v>47</v>
      </c>
      <c r="V240" t="s">
        <v>47</v>
      </c>
      <c r="W240" t="s">
        <v>33</v>
      </c>
      <c r="X240" t="s">
        <v>33</v>
      </c>
      <c r="Y240" t="s">
        <v>33</v>
      </c>
      <c r="Z240" s="16" t="s">
        <v>34</v>
      </c>
      <c r="AA240">
        <v>-75.628871270000005</v>
      </c>
      <c r="AB240">
        <v>6.1542556599999996</v>
      </c>
      <c r="AC240" t="s">
        <v>135</v>
      </c>
      <c r="AD240" t="s">
        <v>136</v>
      </c>
    </row>
    <row r="241" spans="1:30" x14ac:dyDescent="0.25">
      <c r="A241" t="s">
        <v>438</v>
      </c>
      <c r="B241" t="s">
        <v>25</v>
      </c>
      <c r="C241" t="s">
        <v>26</v>
      </c>
      <c r="D241" t="s">
        <v>39</v>
      </c>
      <c r="E241" t="s">
        <v>439</v>
      </c>
      <c r="F241" t="s">
        <v>440</v>
      </c>
      <c r="G241">
        <v>70567716</v>
      </c>
      <c r="H241" t="s">
        <v>415</v>
      </c>
      <c r="I241" s="4" t="s">
        <v>416</v>
      </c>
      <c r="J241" s="4" t="s">
        <v>417</v>
      </c>
      <c r="K241" t="s">
        <v>441</v>
      </c>
      <c r="L241" t="s">
        <v>57</v>
      </c>
      <c r="M241" t="s">
        <v>442</v>
      </c>
      <c r="N241" t="s">
        <v>58</v>
      </c>
      <c r="O241" t="s">
        <v>40</v>
      </c>
      <c r="P241" t="s">
        <v>36</v>
      </c>
      <c r="Q241" t="s">
        <v>38</v>
      </c>
      <c r="R241">
        <v>8</v>
      </c>
      <c r="S241" t="s">
        <v>443</v>
      </c>
      <c r="T241" t="s">
        <v>6827</v>
      </c>
      <c r="U241" t="s">
        <v>47</v>
      </c>
      <c r="V241" t="s">
        <v>47</v>
      </c>
      <c r="W241" t="s">
        <v>33</v>
      </c>
      <c r="X241" t="s">
        <v>33</v>
      </c>
      <c r="Y241" t="s">
        <v>33</v>
      </c>
      <c r="Z241" s="16" t="s">
        <v>34</v>
      </c>
      <c r="AA241">
        <v>-75.638816480000003</v>
      </c>
      <c r="AB241">
        <v>6.0835469399999997</v>
      </c>
      <c r="AC241" t="s">
        <v>135</v>
      </c>
      <c r="AD241" t="s">
        <v>136</v>
      </c>
    </row>
    <row r="242" spans="1:30" x14ac:dyDescent="0.25">
      <c r="A242" t="s">
        <v>2186</v>
      </c>
      <c r="B242" t="s">
        <v>50</v>
      </c>
      <c r="C242" t="s">
        <v>26</v>
      </c>
      <c r="D242" t="s">
        <v>50</v>
      </c>
      <c r="E242" t="s">
        <v>2187</v>
      </c>
      <c r="F242" t="s">
        <v>2188</v>
      </c>
      <c r="G242">
        <v>1013456275</v>
      </c>
      <c r="H242" t="s">
        <v>2189</v>
      </c>
      <c r="I242" s="4" t="s">
        <v>35</v>
      </c>
      <c r="J242" s="4" t="s">
        <v>2190</v>
      </c>
      <c r="K242" t="s">
        <v>2191</v>
      </c>
      <c r="L242" t="s">
        <v>27</v>
      </c>
      <c r="M242" t="s">
        <v>2192</v>
      </c>
      <c r="N242" t="s">
        <v>28</v>
      </c>
      <c r="O242" t="s">
        <v>51</v>
      </c>
      <c r="P242" t="s">
        <v>52</v>
      </c>
      <c r="Q242" t="s">
        <v>38</v>
      </c>
      <c r="R242">
        <v>11</v>
      </c>
      <c r="S242" t="s">
        <v>2193</v>
      </c>
      <c r="T242" t="s">
        <v>6859</v>
      </c>
      <c r="U242" t="s">
        <v>6860</v>
      </c>
      <c r="V242" t="s">
        <v>32</v>
      </c>
      <c r="W242" t="s">
        <v>33</v>
      </c>
      <c r="X242" t="s">
        <v>33</v>
      </c>
      <c r="Y242" t="s">
        <v>33</v>
      </c>
      <c r="Z242" s="16" t="s">
        <v>34</v>
      </c>
      <c r="AA242">
        <v>-75.614178999999993</v>
      </c>
      <c r="AB242">
        <v>6.2727870000000001</v>
      </c>
      <c r="AC242" t="s">
        <v>135</v>
      </c>
      <c r="AD242" t="s">
        <v>136</v>
      </c>
    </row>
    <row r="243" spans="1:30" x14ac:dyDescent="0.25">
      <c r="A243" t="s">
        <v>444</v>
      </c>
      <c r="B243" t="s">
        <v>25</v>
      </c>
      <c r="C243" t="s">
        <v>26</v>
      </c>
      <c r="D243" t="s">
        <v>39</v>
      </c>
      <c r="E243" t="s">
        <v>445</v>
      </c>
      <c r="F243" t="s">
        <v>446</v>
      </c>
      <c r="G243">
        <v>43534700</v>
      </c>
      <c r="H243" t="s">
        <v>447</v>
      </c>
      <c r="I243" s="4" t="s">
        <v>35</v>
      </c>
      <c r="J243" s="4" t="s">
        <v>448</v>
      </c>
      <c r="K243" t="s">
        <v>449</v>
      </c>
      <c r="L243" t="s">
        <v>57</v>
      </c>
      <c r="M243" t="s">
        <v>450</v>
      </c>
      <c r="N243" t="s">
        <v>58</v>
      </c>
      <c r="O243" t="s">
        <v>40</v>
      </c>
      <c r="P243" t="s">
        <v>36</v>
      </c>
      <c r="Q243" t="s">
        <v>38</v>
      </c>
      <c r="R243">
        <v>8</v>
      </c>
      <c r="S243" t="s">
        <v>451</v>
      </c>
      <c r="T243" t="s">
        <v>6827</v>
      </c>
      <c r="U243" t="s">
        <v>47</v>
      </c>
      <c r="V243" t="s">
        <v>47</v>
      </c>
      <c r="W243" t="s">
        <v>33</v>
      </c>
      <c r="X243" t="s">
        <v>33</v>
      </c>
      <c r="Y243" t="s">
        <v>33</v>
      </c>
      <c r="Z243" s="16" t="s">
        <v>34</v>
      </c>
      <c r="AA243">
        <v>-75.623941919999993</v>
      </c>
      <c r="AB243">
        <v>6.1008311099999997</v>
      </c>
      <c r="AC243" t="s">
        <v>135</v>
      </c>
      <c r="AD243" t="s">
        <v>136</v>
      </c>
    </row>
    <row r="244" spans="1:30" x14ac:dyDescent="0.25">
      <c r="A244" t="s">
        <v>452</v>
      </c>
      <c r="B244" t="s">
        <v>25</v>
      </c>
      <c r="C244" t="s">
        <v>26</v>
      </c>
      <c r="D244" t="s">
        <v>39</v>
      </c>
      <c r="E244" t="s">
        <v>453</v>
      </c>
      <c r="F244" t="s">
        <v>454</v>
      </c>
      <c r="G244">
        <v>1026159625</v>
      </c>
      <c r="H244" t="s">
        <v>455</v>
      </c>
      <c r="I244" s="4" t="s">
        <v>35</v>
      </c>
      <c r="J244" s="4" t="s">
        <v>456</v>
      </c>
      <c r="K244" t="s">
        <v>457</v>
      </c>
      <c r="L244" t="s">
        <v>57</v>
      </c>
      <c r="M244" t="s">
        <v>458</v>
      </c>
      <c r="N244" t="s">
        <v>58</v>
      </c>
      <c r="O244" t="s">
        <v>40</v>
      </c>
      <c r="P244" t="s">
        <v>36</v>
      </c>
      <c r="Q244" t="s">
        <v>38</v>
      </c>
      <c r="R244">
        <v>8</v>
      </c>
      <c r="S244" t="s">
        <v>459</v>
      </c>
      <c r="T244" t="s">
        <v>6827</v>
      </c>
      <c r="U244" t="s">
        <v>47</v>
      </c>
      <c r="V244" t="s">
        <v>47</v>
      </c>
      <c r="W244" t="s">
        <v>33</v>
      </c>
      <c r="X244" t="s">
        <v>33</v>
      </c>
      <c r="Y244" t="s">
        <v>33</v>
      </c>
      <c r="Z244" s="16" t="s">
        <v>34</v>
      </c>
      <c r="AA244">
        <v>-75.619720560000005</v>
      </c>
      <c r="AB244">
        <v>6.0500862199999998</v>
      </c>
      <c r="AC244" t="s">
        <v>135</v>
      </c>
      <c r="AD244" t="s">
        <v>136</v>
      </c>
    </row>
    <row r="245" spans="1:30" x14ac:dyDescent="0.25">
      <c r="A245" t="s">
        <v>460</v>
      </c>
      <c r="B245" t="s">
        <v>25</v>
      </c>
      <c r="C245" t="s">
        <v>26</v>
      </c>
      <c r="D245" t="s">
        <v>39</v>
      </c>
      <c r="E245" t="s">
        <v>461</v>
      </c>
      <c r="F245" t="s">
        <v>462</v>
      </c>
      <c r="G245">
        <v>32151011</v>
      </c>
      <c r="H245" t="s">
        <v>463</v>
      </c>
      <c r="I245" s="4" t="s">
        <v>35</v>
      </c>
      <c r="J245" s="4" t="s">
        <v>464</v>
      </c>
      <c r="K245" t="s">
        <v>465</v>
      </c>
      <c r="L245" t="s">
        <v>57</v>
      </c>
      <c r="M245" t="s">
        <v>466</v>
      </c>
      <c r="N245" t="s">
        <v>58</v>
      </c>
      <c r="O245" t="s">
        <v>40</v>
      </c>
      <c r="P245" t="s">
        <v>36</v>
      </c>
      <c r="Q245" t="s">
        <v>38</v>
      </c>
      <c r="R245">
        <v>8</v>
      </c>
      <c r="S245" t="s">
        <v>467</v>
      </c>
      <c r="T245" t="s">
        <v>6827</v>
      </c>
      <c r="U245" t="s">
        <v>47</v>
      </c>
      <c r="V245" t="s">
        <v>47</v>
      </c>
      <c r="W245" t="s">
        <v>33</v>
      </c>
      <c r="X245" t="s">
        <v>33</v>
      </c>
      <c r="Y245" t="s">
        <v>33</v>
      </c>
      <c r="Z245" s="16" t="s">
        <v>34</v>
      </c>
      <c r="AA245">
        <v>-75.619245280000001</v>
      </c>
      <c r="AB245">
        <v>6.0495144500000002</v>
      </c>
      <c r="AC245" t="s">
        <v>135</v>
      </c>
      <c r="AD245" t="s">
        <v>136</v>
      </c>
    </row>
    <row r="246" spans="1:30" x14ac:dyDescent="0.25">
      <c r="A246" t="s">
        <v>2196</v>
      </c>
      <c r="B246" t="s">
        <v>25</v>
      </c>
      <c r="C246" t="s">
        <v>26</v>
      </c>
      <c r="D246" t="s">
        <v>39</v>
      </c>
      <c r="E246" t="s">
        <v>2197</v>
      </c>
      <c r="F246" t="s">
        <v>2198</v>
      </c>
      <c r="G246">
        <v>98478931</v>
      </c>
      <c r="H246" t="s">
        <v>2199</v>
      </c>
      <c r="I246" s="4" t="s">
        <v>35</v>
      </c>
      <c r="J246" s="4" t="s">
        <v>2200</v>
      </c>
      <c r="K246" t="s">
        <v>2201</v>
      </c>
      <c r="L246" t="s">
        <v>48</v>
      </c>
      <c r="M246" t="s">
        <v>2202</v>
      </c>
      <c r="N246" t="s">
        <v>64</v>
      </c>
      <c r="O246" t="s">
        <v>40</v>
      </c>
      <c r="P246" t="s">
        <v>36</v>
      </c>
      <c r="Q246" t="s">
        <v>31</v>
      </c>
      <c r="R246">
        <v>5</v>
      </c>
      <c r="S246" t="s">
        <v>2203</v>
      </c>
      <c r="T246" t="s">
        <v>6861</v>
      </c>
      <c r="U246" t="s">
        <v>6862</v>
      </c>
      <c r="V246" t="s">
        <v>131</v>
      </c>
      <c r="W246" t="s">
        <v>33</v>
      </c>
      <c r="X246" t="s">
        <v>33</v>
      </c>
      <c r="Y246" t="s">
        <v>33</v>
      </c>
      <c r="Z246" s="16" t="s">
        <v>34</v>
      </c>
      <c r="AA246">
        <v>-75.603468090000007</v>
      </c>
      <c r="AB246">
        <v>6.1591616</v>
      </c>
      <c r="AC246" t="s">
        <v>135</v>
      </c>
      <c r="AD246" t="s">
        <v>136</v>
      </c>
    </row>
    <row r="247" spans="1:30" x14ac:dyDescent="0.25">
      <c r="A247" t="s">
        <v>2204</v>
      </c>
      <c r="B247" t="s">
        <v>25</v>
      </c>
      <c r="C247" t="s">
        <v>26</v>
      </c>
      <c r="D247" t="s">
        <v>25</v>
      </c>
      <c r="E247" t="s">
        <v>2205</v>
      </c>
      <c r="F247" t="s">
        <v>2206</v>
      </c>
      <c r="G247">
        <v>42753469</v>
      </c>
      <c r="H247" t="s">
        <v>2162</v>
      </c>
      <c r="I247" s="4" t="s">
        <v>2163</v>
      </c>
      <c r="J247" s="4" t="s">
        <v>2164</v>
      </c>
      <c r="K247" t="s">
        <v>2207</v>
      </c>
      <c r="L247" t="s">
        <v>27</v>
      </c>
      <c r="M247" t="s">
        <v>2208</v>
      </c>
      <c r="N247" t="s">
        <v>28</v>
      </c>
      <c r="O247" t="s">
        <v>29</v>
      </c>
      <c r="P247" t="s">
        <v>36</v>
      </c>
      <c r="Q247" t="s">
        <v>31</v>
      </c>
      <c r="R247">
        <v>7</v>
      </c>
      <c r="S247" t="s">
        <v>2209</v>
      </c>
      <c r="T247" t="s">
        <v>1130</v>
      </c>
      <c r="U247" t="s">
        <v>2654</v>
      </c>
      <c r="V247" t="s">
        <v>49</v>
      </c>
      <c r="W247" t="s">
        <v>33</v>
      </c>
      <c r="X247" t="s">
        <v>33</v>
      </c>
      <c r="Y247" t="s">
        <v>33</v>
      </c>
      <c r="Z247" s="16" t="s">
        <v>34</v>
      </c>
      <c r="AA247">
        <v>-75.582297420000003</v>
      </c>
      <c r="AB247">
        <v>6.2217058099999996</v>
      </c>
      <c r="AC247" t="s">
        <v>135</v>
      </c>
      <c r="AD247" t="s">
        <v>136</v>
      </c>
    </row>
    <row r="248" spans="1:30" x14ac:dyDescent="0.25">
      <c r="A248" t="s">
        <v>2210</v>
      </c>
      <c r="B248" t="s">
        <v>25</v>
      </c>
      <c r="C248" t="s">
        <v>26</v>
      </c>
      <c r="D248" t="s">
        <v>39</v>
      </c>
      <c r="E248" t="s">
        <v>2211</v>
      </c>
      <c r="F248" t="s">
        <v>2212</v>
      </c>
      <c r="G248">
        <v>1000396539</v>
      </c>
      <c r="H248" t="s">
        <v>2213</v>
      </c>
      <c r="I248" s="4" t="s">
        <v>35</v>
      </c>
      <c r="J248" s="4" t="s">
        <v>2214</v>
      </c>
      <c r="K248" t="s">
        <v>2215</v>
      </c>
      <c r="L248" t="s">
        <v>27</v>
      </c>
      <c r="M248" t="s">
        <v>2216</v>
      </c>
      <c r="N248" t="s">
        <v>28</v>
      </c>
      <c r="O248" t="s">
        <v>46</v>
      </c>
      <c r="P248" t="s">
        <v>41</v>
      </c>
      <c r="Q248" t="s">
        <v>38</v>
      </c>
      <c r="R248">
        <v>8</v>
      </c>
      <c r="S248" t="s">
        <v>2217</v>
      </c>
      <c r="T248" t="s">
        <v>6152</v>
      </c>
      <c r="U248" t="s">
        <v>1472</v>
      </c>
      <c r="V248" t="s">
        <v>32</v>
      </c>
      <c r="W248" t="s">
        <v>33</v>
      </c>
      <c r="X248" t="s">
        <v>33</v>
      </c>
      <c r="Y248" t="s">
        <v>33</v>
      </c>
      <c r="Z248" s="16" t="s">
        <v>34</v>
      </c>
      <c r="AA248">
        <v>-75.634240680000005</v>
      </c>
      <c r="AB248">
        <v>6.2477107900000002</v>
      </c>
      <c r="AC248" t="s">
        <v>135</v>
      </c>
      <c r="AD248" t="s">
        <v>136</v>
      </c>
    </row>
    <row r="249" spans="1:30" x14ac:dyDescent="0.25">
      <c r="A249" t="s">
        <v>1012</v>
      </c>
      <c r="B249" t="s">
        <v>50</v>
      </c>
      <c r="C249" t="s">
        <v>79</v>
      </c>
      <c r="D249" t="s">
        <v>50</v>
      </c>
      <c r="E249" t="s">
        <v>1013</v>
      </c>
      <c r="F249" t="s">
        <v>1014</v>
      </c>
      <c r="G249">
        <v>1083883398</v>
      </c>
      <c r="H249" t="s">
        <v>1015</v>
      </c>
      <c r="I249" s="4" t="s">
        <v>35</v>
      </c>
      <c r="J249" s="4" t="s">
        <v>1016</v>
      </c>
      <c r="K249" t="s">
        <v>1017</v>
      </c>
      <c r="L249" t="s">
        <v>27</v>
      </c>
      <c r="M249" t="s">
        <v>1018</v>
      </c>
      <c r="N249" t="s">
        <v>28</v>
      </c>
      <c r="O249" t="s">
        <v>80</v>
      </c>
      <c r="P249" t="s">
        <v>52</v>
      </c>
      <c r="Q249" t="s">
        <v>31</v>
      </c>
      <c r="R249">
        <v>11</v>
      </c>
      <c r="S249" t="s">
        <v>1019</v>
      </c>
      <c r="T249" t="s">
        <v>6863</v>
      </c>
      <c r="U249" t="s">
        <v>6864</v>
      </c>
      <c r="V249" t="s">
        <v>32</v>
      </c>
      <c r="W249" t="s">
        <v>33</v>
      </c>
      <c r="X249" t="s">
        <v>33</v>
      </c>
      <c r="Y249" t="s">
        <v>33</v>
      </c>
      <c r="Z249" s="16" t="s">
        <v>34</v>
      </c>
      <c r="AA249">
        <v>-75.606734000000003</v>
      </c>
      <c r="AB249">
        <v>6.2758279999999997</v>
      </c>
      <c r="AC249" t="s">
        <v>135</v>
      </c>
      <c r="AD249" t="s">
        <v>136</v>
      </c>
    </row>
    <row r="250" spans="1:30" x14ac:dyDescent="0.25">
      <c r="A250" t="s">
        <v>2219</v>
      </c>
      <c r="B250" t="s">
        <v>42</v>
      </c>
      <c r="C250" t="s">
        <v>75</v>
      </c>
      <c r="D250" t="s">
        <v>42</v>
      </c>
      <c r="E250" t="s">
        <v>2220</v>
      </c>
      <c r="F250" t="s">
        <v>2221</v>
      </c>
      <c r="G250">
        <v>14450692</v>
      </c>
      <c r="H250" t="s">
        <v>2222</v>
      </c>
      <c r="I250" s="4" t="s">
        <v>35</v>
      </c>
      <c r="J250" s="4" t="s">
        <v>2223</v>
      </c>
      <c r="K250" t="s">
        <v>2224</v>
      </c>
      <c r="L250" t="s">
        <v>27</v>
      </c>
      <c r="M250" t="s">
        <v>2225</v>
      </c>
      <c r="N250" t="s">
        <v>28</v>
      </c>
      <c r="O250" t="s">
        <v>76</v>
      </c>
      <c r="P250" t="s">
        <v>30</v>
      </c>
      <c r="Q250" t="s">
        <v>31</v>
      </c>
      <c r="R250">
        <v>7</v>
      </c>
      <c r="S250" t="s">
        <v>2226</v>
      </c>
      <c r="T250" t="s">
        <v>6865</v>
      </c>
      <c r="U250" t="s">
        <v>6866</v>
      </c>
      <c r="V250" t="s">
        <v>49</v>
      </c>
      <c r="W250" t="s">
        <v>33</v>
      </c>
      <c r="X250" t="s">
        <v>33</v>
      </c>
      <c r="Y250" t="s">
        <v>33</v>
      </c>
      <c r="Z250" s="16" t="s">
        <v>34</v>
      </c>
      <c r="AA250">
        <v>-75.596536599999993</v>
      </c>
      <c r="AB250">
        <v>6.23771437</v>
      </c>
      <c r="AC250" t="s">
        <v>135</v>
      </c>
      <c r="AD250" t="s">
        <v>136</v>
      </c>
    </row>
    <row r="251" spans="1:30" x14ac:dyDescent="0.25">
      <c r="A251" t="s">
        <v>9950</v>
      </c>
      <c r="B251" t="s">
        <v>25</v>
      </c>
      <c r="C251" t="s">
        <v>26</v>
      </c>
      <c r="D251" t="s">
        <v>39</v>
      </c>
      <c r="E251" t="s">
        <v>6867</v>
      </c>
      <c r="F251" t="s">
        <v>6868</v>
      </c>
      <c r="G251">
        <v>1216722467</v>
      </c>
      <c r="H251" t="s">
        <v>6869</v>
      </c>
      <c r="I251" s="4" t="s">
        <v>35</v>
      </c>
      <c r="J251" s="4" t="s">
        <v>6870</v>
      </c>
      <c r="K251" t="s">
        <v>6871</v>
      </c>
      <c r="L251" t="s">
        <v>27</v>
      </c>
      <c r="M251" t="s">
        <v>6872</v>
      </c>
      <c r="N251" t="s">
        <v>28</v>
      </c>
      <c r="O251" t="s">
        <v>40</v>
      </c>
      <c r="P251" t="s">
        <v>41</v>
      </c>
      <c r="Q251" t="s">
        <v>38</v>
      </c>
      <c r="R251">
        <v>8</v>
      </c>
      <c r="S251" t="s">
        <v>6873</v>
      </c>
      <c r="T251" t="s">
        <v>6874</v>
      </c>
      <c r="U251" t="s">
        <v>6875</v>
      </c>
      <c r="V251" t="s">
        <v>32</v>
      </c>
      <c r="W251" t="s">
        <v>33</v>
      </c>
      <c r="X251" t="s">
        <v>33</v>
      </c>
      <c r="Y251" t="s">
        <v>33</v>
      </c>
      <c r="Z251" s="16" t="s">
        <v>34</v>
      </c>
      <c r="AA251">
        <v>-75.611364519999995</v>
      </c>
      <c r="AB251">
        <v>6.2732668499999997</v>
      </c>
      <c r="AC251" t="s">
        <v>135</v>
      </c>
      <c r="AD251" t="s">
        <v>136</v>
      </c>
    </row>
    <row r="252" spans="1:30" x14ac:dyDescent="0.25">
      <c r="A252" t="s">
        <v>9951</v>
      </c>
      <c r="B252" t="s">
        <v>25</v>
      </c>
      <c r="C252" t="s">
        <v>26</v>
      </c>
      <c r="D252" t="s">
        <v>39</v>
      </c>
      <c r="E252" t="s">
        <v>6876</v>
      </c>
      <c r="F252" t="s">
        <v>6877</v>
      </c>
      <c r="G252">
        <v>1020451138</v>
      </c>
      <c r="H252" t="s">
        <v>6878</v>
      </c>
      <c r="I252" s="4" t="s">
        <v>6879</v>
      </c>
      <c r="J252" s="4" t="s">
        <v>6880</v>
      </c>
      <c r="K252" t="s">
        <v>6881</v>
      </c>
      <c r="L252" t="s">
        <v>27</v>
      </c>
      <c r="M252" t="s">
        <v>6882</v>
      </c>
      <c r="N252" t="s">
        <v>28</v>
      </c>
      <c r="O252" t="s">
        <v>46</v>
      </c>
      <c r="P252" t="s">
        <v>41</v>
      </c>
      <c r="Q252" t="s">
        <v>31</v>
      </c>
      <c r="R252">
        <v>5</v>
      </c>
      <c r="S252" t="s">
        <v>6883</v>
      </c>
      <c r="T252" t="s">
        <v>6884</v>
      </c>
      <c r="U252" t="s">
        <v>1126</v>
      </c>
      <c r="V252" t="s">
        <v>32</v>
      </c>
      <c r="W252" t="s">
        <v>33</v>
      </c>
      <c r="X252" t="s">
        <v>33</v>
      </c>
      <c r="Y252" t="s">
        <v>33</v>
      </c>
      <c r="Z252" s="16" t="s">
        <v>34</v>
      </c>
      <c r="AA252">
        <v>-75.529843</v>
      </c>
      <c r="AB252">
        <v>6.2295749999999996</v>
      </c>
      <c r="AC252" t="s">
        <v>135</v>
      </c>
      <c r="AD252" t="s">
        <v>136</v>
      </c>
    </row>
    <row r="253" spans="1:30" x14ac:dyDescent="0.25">
      <c r="A253" t="s">
        <v>138</v>
      </c>
      <c r="B253" t="s">
        <v>25</v>
      </c>
      <c r="C253" t="s">
        <v>26</v>
      </c>
      <c r="D253" t="s">
        <v>25</v>
      </c>
      <c r="E253" t="s">
        <v>81</v>
      </c>
      <c r="F253" t="s">
        <v>2228</v>
      </c>
      <c r="G253">
        <v>1026134673</v>
      </c>
      <c r="H253" t="s">
        <v>82</v>
      </c>
      <c r="I253" s="4" t="s">
        <v>35</v>
      </c>
      <c r="J253" s="4" t="s">
        <v>83</v>
      </c>
      <c r="K253" t="s">
        <v>84</v>
      </c>
      <c r="L253" t="s">
        <v>57</v>
      </c>
      <c r="M253" t="s">
        <v>85</v>
      </c>
      <c r="N253" t="s">
        <v>58</v>
      </c>
      <c r="O253" t="s">
        <v>29</v>
      </c>
      <c r="P253" t="s">
        <v>36</v>
      </c>
      <c r="Q253" t="s">
        <v>31</v>
      </c>
      <c r="R253">
        <v>7</v>
      </c>
      <c r="S253" t="s">
        <v>2229</v>
      </c>
      <c r="T253" t="s">
        <v>3377</v>
      </c>
      <c r="U253" t="s">
        <v>1128</v>
      </c>
      <c r="V253" t="s">
        <v>32</v>
      </c>
      <c r="W253" t="s">
        <v>33</v>
      </c>
      <c r="X253" t="s">
        <v>33</v>
      </c>
      <c r="Y253" t="s">
        <v>33</v>
      </c>
      <c r="Z253" s="16" t="s">
        <v>34</v>
      </c>
      <c r="AA253">
        <v>-75.636188500000003</v>
      </c>
      <c r="AB253">
        <v>6.0810917</v>
      </c>
      <c r="AC253" t="s">
        <v>135</v>
      </c>
      <c r="AD253" t="s">
        <v>136</v>
      </c>
    </row>
    <row r="254" spans="1:30" x14ac:dyDescent="0.25">
      <c r="A254" t="s">
        <v>139</v>
      </c>
      <c r="B254" t="s">
        <v>25</v>
      </c>
      <c r="C254" t="s">
        <v>26</v>
      </c>
      <c r="D254" t="s">
        <v>25</v>
      </c>
      <c r="E254" t="s">
        <v>86</v>
      </c>
      <c r="F254" t="s">
        <v>2232</v>
      </c>
      <c r="G254">
        <v>1026152158</v>
      </c>
      <c r="H254" t="s">
        <v>87</v>
      </c>
      <c r="I254" s="4" t="s">
        <v>35</v>
      </c>
      <c r="J254" s="4" t="s">
        <v>88</v>
      </c>
      <c r="K254" t="s">
        <v>89</v>
      </c>
      <c r="L254" t="s">
        <v>57</v>
      </c>
      <c r="M254" t="s">
        <v>90</v>
      </c>
      <c r="N254" t="s">
        <v>58</v>
      </c>
      <c r="O254" t="s">
        <v>29</v>
      </c>
      <c r="P254" t="s">
        <v>36</v>
      </c>
      <c r="Q254" t="s">
        <v>31</v>
      </c>
      <c r="R254">
        <v>7</v>
      </c>
      <c r="S254" t="s">
        <v>2233</v>
      </c>
      <c r="T254" t="s">
        <v>2073</v>
      </c>
      <c r="U254" t="s">
        <v>6885</v>
      </c>
      <c r="V254" t="s">
        <v>32</v>
      </c>
      <c r="W254" t="s">
        <v>33</v>
      </c>
      <c r="X254" t="s">
        <v>33</v>
      </c>
      <c r="Y254" t="s">
        <v>33</v>
      </c>
      <c r="Z254" s="16" t="s">
        <v>34</v>
      </c>
      <c r="AA254">
        <v>-75.636188500000003</v>
      </c>
      <c r="AB254">
        <v>6.0810917</v>
      </c>
      <c r="AC254" t="s">
        <v>135</v>
      </c>
      <c r="AD254" t="s">
        <v>136</v>
      </c>
    </row>
    <row r="255" spans="1:30" x14ac:dyDescent="0.25">
      <c r="A255" t="s">
        <v>2234</v>
      </c>
      <c r="B255" t="s">
        <v>50</v>
      </c>
      <c r="C255" t="s">
        <v>26</v>
      </c>
      <c r="D255" t="s">
        <v>50</v>
      </c>
      <c r="E255" t="s">
        <v>2235</v>
      </c>
      <c r="F255" t="s">
        <v>2236</v>
      </c>
      <c r="G255">
        <v>1053809306</v>
      </c>
      <c r="H255" t="s">
        <v>2237</v>
      </c>
      <c r="I255" s="4" t="s">
        <v>35</v>
      </c>
      <c r="J255" s="4" t="s">
        <v>2238</v>
      </c>
      <c r="K255" t="s">
        <v>2239</v>
      </c>
      <c r="L255" t="s">
        <v>27</v>
      </c>
      <c r="M255" t="s">
        <v>2240</v>
      </c>
      <c r="N255" t="s">
        <v>28</v>
      </c>
      <c r="O255" t="s">
        <v>51</v>
      </c>
      <c r="P255" t="s">
        <v>52</v>
      </c>
      <c r="Q255" t="s">
        <v>31</v>
      </c>
      <c r="R255">
        <v>11</v>
      </c>
      <c r="S255" t="s">
        <v>2241</v>
      </c>
      <c r="T255" t="s">
        <v>6886</v>
      </c>
      <c r="U255" t="s">
        <v>6887</v>
      </c>
      <c r="V255" t="s">
        <v>32</v>
      </c>
      <c r="W255" t="s">
        <v>33</v>
      </c>
      <c r="X255" t="s">
        <v>33</v>
      </c>
      <c r="Y255" t="s">
        <v>33</v>
      </c>
      <c r="Z255" s="16" t="s">
        <v>34</v>
      </c>
      <c r="AA255">
        <v>-75.539640250000005</v>
      </c>
      <c r="AB255">
        <v>6.2475234500000001</v>
      </c>
      <c r="AC255" t="s">
        <v>135</v>
      </c>
      <c r="AD255" t="s">
        <v>136</v>
      </c>
    </row>
    <row r="256" spans="1:30" x14ac:dyDescent="0.25">
      <c r="A256" t="s">
        <v>469</v>
      </c>
      <c r="B256" t="s">
        <v>50</v>
      </c>
      <c r="C256" t="s">
        <v>26</v>
      </c>
      <c r="D256" t="s">
        <v>50</v>
      </c>
      <c r="E256" t="s">
        <v>470</v>
      </c>
      <c r="F256" t="s">
        <v>471</v>
      </c>
      <c r="G256">
        <v>1128407195</v>
      </c>
      <c r="H256" t="s">
        <v>472</v>
      </c>
      <c r="I256" s="4" t="s">
        <v>35</v>
      </c>
      <c r="J256" s="4" t="s">
        <v>473</v>
      </c>
      <c r="K256" t="s">
        <v>474</v>
      </c>
      <c r="L256" t="s">
        <v>27</v>
      </c>
      <c r="M256" t="s">
        <v>475</v>
      </c>
      <c r="N256" t="s">
        <v>28</v>
      </c>
      <c r="O256" t="s">
        <v>476</v>
      </c>
      <c r="P256" t="s">
        <v>37</v>
      </c>
      <c r="Q256" t="s">
        <v>31</v>
      </c>
      <c r="R256">
        <v>0</v>
      </c>
      <c r="T256" t="s">
        <v>6889</v>
      </c>
      <c r="V256" t="s">
        <v>132</v>
      </c>
      <c r="W256" t="s">
        <v>33</v>
      </c>
      <c r="X256" t="s">
        <v>33</v>
      </c>
      <c r="Y256" t="s">
        <v>33</v>
      </c>
      <c r="Z256" t="s">
        <v>134</v>
      </c>
      <c r="AA256">
        <v>-75.630776999999995</v>
      </c>
      <c r="AB256">
        <v>6.2531040000000004</v>
      </c>
      <c r="AC256" t="s">
        <v>135</v>
      </c>
      <c r="AD256" t="s">
        <v>136</v>
      </c>
    </row>
    <row r="257" spans="1:30" x14ac:dyDescent="0.25">
      <c r="A257" t="s">
        <v>9952</v>
      </c>
      <c r="B257" t="s">
        <v>25</v>
      </c>
      <c r="C257" t="s">
        <v>26</v>
      </c>
      <c r="D257" t="s">
        <v>25</v>
      </c>
      <c r="E257" t="s">
        <v>6890</v>
      </c>
      <c r="F257" t="s">
        <v>6891</v>
      </c>
      <c r="G257">
        <v>70567451</v>
      </c>
      <c r="H257" t="s">
        <v>6892</v>
      </c>
      <c r="I257" s="4" t="s">
        <v>35</v>
      </c>
      <c r="J257" s="4" t="s">
        <v>6893</v>
      </c>
      <c r="K257" t="s">
        <v>6894</v>
      </c>
      <c r="L257" t="s">
        <v>48</v>
      </c>
      <c r="M257" t="s">
        <v>6895</v>
      </c>
      <c r="N257" t="s">
        <v>64</v>
      </c>
      <c r="O257" t="s">
        <v>29</v>
      </c>
      <c r="P257" t="s">
        <v>30</v>
      </c>
      <c r="Q257" t="s">
        <v>31</v>
      </c>
      <c r="R257">
        <v>7</v>
      </c>
      <c r="S257" t="s">
        <v>6896</v>
      </c>
      <c r="T257" t="s">
        <v>6897</v>
      </c>
      <c r="U257" t="s">
        <v>6898</v>
      </c>
      <c r="V257" t="s">
        <v>32</v>
      </c>
      <c r="W257" t="s">
        <v>33</v>
      </c>
      <c r="X257" t="s">
        <v>33</v>
      </c>
      <c r="Y257" t="s">
        <v>33</v>
      </c>
      <c r="Z257" s="16" t="s">
        <v>34</v>
      </c>
      <c r="AA257">
        <v>-75.599654000000001</v>
      </c>
      <c r="AB257">
        <v>6.1585140000000003</v>
      </c>
      <c r="AC257" t="s">
        <v>135</v>
      </c>
      <c r="AD257" t="s">
        <v>136</v>
      </c>
    </row>
    <row r="258" spans="1:30" x14ac:dyDescent="0.25">
      <c r="A258" t="s">
        <v>1259</v>
      </c>
      <c r="B258" t="s">
        <v>65</v>
      </c>
      <c r="C258" t="s">
        <v>26</v>
      </c>
      <c r="D258" t="s">
        <v>66</v>
      </c>
      <c r="E258" t="s">
        <v>1260</v>
      </c>
      <c r="F258" t="s">
        <v>1261</v>
      </c>
      <c r="G258">
        <v>162285721</v>
      </c>
      <c r="H258" t="s">
        <v>1262</v>
      </c>
      <c r="I258" s="4" t="s">
        <v>35</v>
      </c>
      <c r="J258" s="4" t="s">
        <v>1263</v>
      </c>
      <c r="K258" t="s">
        <v>754</v>
      </c>
      <c r="L258" t="s">
        <v>27</v>
      </c>
      <c r="M258" t="s">
        <v>755</v>
      </c>
      <c r="N258" t="s">
        <v>28</v>
      </c>
      <c r="O258" t="s">
        <v>68</v>
      </c>
      <c r="P258" t="s">
        <v>74</v>
      </c>
      <c r="Q258" t="s">
        <v>38</v>
      </c>
      <c r="R258">
        <v>14</v>
      </c>
      <c r="S258" t="s">
        <v>1264</v>
      </c>
      <c r="T258" t="s">
        <v>6899</v>
      </c>
      <c r="U258" t="s">
        <v>47</v>
      </c>
      <c r="V258" t="s">
        <v>47</v>
      </c>
      <c r="W258" t="s">
        <v>33</v>
      </c>
      <c r="X258" t="s">
        <v>33</v>
      </c>
      <c r="Y258" t="s">
        <v>33</v>
      </c>
      <c r="Z258" t="s">
        <v>134</v>
      </c>
      <c r="AA258">
        <v>-75.676379449999999</v>
      </c>
      <c r="AB258">
        <v>6.1945998900000001</v>
      </c>
      <c r="AC258" t="s">
        <v>135</v>
      </c>
      <c r="AD258" t="s">
        <v>136</v>
      </c>
    </row>
    <row r="259" spans="1:30" x14ac:dyDescent="0.25">
      <c r="A259" t="s">
        <v>2243</v>
      </c>
      <c r="B259" t="s">
        <v>25</v>
      </c>
      <c r="C259" t="s">
        <v>26</v>
      </c>
      <c r="D259" t="s">
        <v>25</v>
      </c>
      <c r="E259" t="s">
        <v>2244</v>
      </c>
      <c r="F259" t="s">
        <v>2245</v>
      </c>
      <c r="G259">
        <v>1152198866</v>
      </c>
      <c r="H259" t="s">
        <v>2246</v>
      </c>
      <c r="I259" s="4" t="s">
        <v>35</v>
      </c>
      <c r="J259" s="4" t="s">
        <v>2247</v>
      </c>
      <c r="K259" t="s">
        <v>2248</v>
      </c>
      <c r="L259" t="s">
        <v>27</v>
      </c>
      <c r="M259" t="s">
        <v>2249</v>
      </c>
      <c r="N259" t="s">
        <v>28</v>
      </c>
      <c r="O259" t="s">
        <v>29</v>
      </c>
      <c r="P259" t="s">
        <v>37</v>
      </c>
      <c r="Q259" t="s">
        <v>31</v>
      </c>
      <c r="R259">
        <v>7</v>
      </c>
      <c r="S259" t="s">
        <v>2250</v>
      </c>
      <c r="T259" t="s">
        <v>6900</v>
      </c>
      <c r="U259" t="s">
        <v>6901</v>
      </c>
      <c r="V259" t="s">
        <v>32</v>
      </c>
      <c r="W259" t="s">
        <v>33</v>
      </c>
      <c r="X259" t="s">
        <v>33</v>
      </c>
      <c r="Y259" t="s">
        <v>33</v>
      </c>
      <c r="Z259" s="16" t="s">
        <v>34</v>
      </c>
      <c r="AA259">
        <v>-75.592836939999998</v>
      </c>
      <c r="AB259">
        <v>6.25799021</v>
      </c>
      <c r="AC259" t="s">
        <v>135</v>
      </c>
      <c r="AD259" t="s">
        <v>136</v>
      </c>
    </row>
    <row r="260" spans="1:30" x14ac:dyDescent="0.25">
      <c r="A260" t="s">
        <v>2252</v>
      </c>
      <c r="B260" t="s">
        <v>61</v>
      </c>
      <c r="C260" t="s">
        <v>26</v>
      </c>
      <c r="D260" t="s">
        <v>61</v>
      </c>
      <c r="E260" t="s">
        <v>2253</v>
      </c>
      <c r="F260" t="s">
        <v>2254</v>
      </c>
      <c r="G260">
        <v>3474414</v>
      </c>
      <c r="H260" t="s">
        <v>2255</v>
      </c>
      <c r="I260" s="4" t="s">
        <v>2256</v>
      </c>
      <c r="J260" s="4" t="s">
        <v>2257</v>
      </c>
      <c r="K260" t="s">
        <v>2258</v>
      </c>
      <c r="L260" t="s">
        <v>27</v>
      </c>
      <c r="M260" t="s">
        <v>2259</v>
      </c>
      <c r="N260" t="s">
        <v>28</v>
      </c>
      <c r="O260" t="s">
        <v>62</v>
      </c>
      <c r="P260" t="s">
        <v>63</v>
      </c>
      <c r="Q260" t="s">
        <v>31</v>
      </c>
      <c r="R260">
        <v>4</v>
      </c>
      <c r="S260" t="s">
        <v>2260</v>
      </c>
      <c r="T260" t="s">
        <v>5055</v>
      </c>
      <c r="U260" t="s">
        <v>47</v>
      </c>
      <c r="V260" t="s">
        <v>47</v>
      </c>
      <c r="W260" t="s">
        <v>33</v>
      </c>
      <c r="X260" t="s">
        <v>33</v>
      </c>
      <c r="Y260" t="s">
        <v>33</v>
      </c>
      <c r="Z260" t="s">
        <v>134</v>
      </c>
      <c r="AA260">
        <v>-75.576749000000007</v>
      </c>
      <c r="AB260">
        <v>6.2293329999999996</v>
      </c>
      <c r="AC260" t="s">
        <v>135</v>
      </c>
      <c r="AD260" t="s">
        <v>136</v>
      </c>
    </row>
    <row r="261" spans="1:30" x14ac:dyDescent="0.25">
      <c r="A261" t="s">
        <v>9953</v>
      </c>
      <c r="B261" t="s">
        <v>25</v>
      </c>
      <c r="C261" t="s">
        <v>26</v>
      </c>
      <c r="D261" t="s">
        <v>25</v>
      </c>
      <c r="E261" t="s">
        <v>6902</v>
      </c>
      <c r="F261" t="s">
        <v>6903</v>
      </c>
      <c r="G261">
        <v>1042767845</v>
      </c>
      <c r="H261" t="s">
        <v>6904</v>
      </c>
      <c r="I261" s="4" t="s">
        <v>35</v>
      </c>
      <c r="J261" s="4" t="s">
        <v>6905</v>
      </c>
      <c r="K261" t="s">
        <v>6906</v>
      </c>
      <c r="L261" t="s">
        <v>27</v>
      </c>
      <c r="M261" t="s">
        <v>6907</v>
      </c>
      <c r="N261" t="s">
        <v>28</v>
      </c>
      <c r="O261" t="s">
        <v>29</v>
      </c>
      <c r="P261" t="s">
        <v>37</v>
      </c>
      <c r="Q261" t="s">
        <v>31</v>
      </c>
      <c r="R261">
        <v>7</v>
      </c>
      <c r="S261" t="s">
        <v>6908</v>
      </c>
      <c r="T261" t="s">
        <v>6909</v>
      </c>
      <c r="U261" t="s">
        <v>6625</v>
      </c>
      <c r="V261" t="s">
        <v>32</v>
      </c>
      <c r="W261" t="s">
        <v>33</v>
      </c>
      <c r="X261" t="s">
        <v>33</v>
      </c>
      <c r="Y261" t="s">
        <v>33</v>
      </c>
      <c r="Z261" s="16" t="s">
        <v>34</v>
      </c>
      <c r="AA261">
        <v>-75.54234726</v>
      </c>
      <c r="AB261">
        <v>6.2455663899999996</v>
      </c>
      <c r="AC261" t="s">
        <v>135</v>
      </c>
      <c r="AD261" t="s">
        <v>136</v>
      </c>
    </row>
    <row r="262" spans="1:30" x14ac:dyDescent="0.25">
      <c r="A262" t="s">
        <v>2261</v>
      </c>
      <c r="B262" t="s">
        <v>61</v>
      </c>
      <c r="C262" t="s">
        <v>26</v>
      </c>
      <c r="D262" t="s">
        <v>61</v>
      </c>
      <c r="E262" t="s">
        <v>2262</v>
      </c>
      <c r="F262" t="s">
        <v>2263</v>
      </c>
      <c r="G262">
        <v>43619603</v>
      </c>
      <c r="H262" t="s">
        <v>2264</v>
      </c>
      <c r="I262" s="4" t="s">
        <v>35</v>
      </c>
      <c r="J262" s="4" t="s">
        <v>2265</v>
      </c>
      <c r="K262" t="s">
        <v>2266</v>
      </c>
      <c r="L262" t="s">
        <v>27</v>
      </c>
      <c r="M262" t="s">
        <v>2267</v>
      </c>
      <c r="N262" t="s">
        <v>28</v>
      </c>
      <c r="O262" t="s">
        <v>62</v>
      </c>
      <c r="P262" t="s">
        <v>63</v>
      </c>
      <c r="Q262" t="s">
        <v>31</v>
      </c>
      <c r="R262">
        <v>4</v>
      </c>
      <c r="S262" t="s">
        <v>2268</v>
      </c>
      <c r="T262" t="s">
        <v>6910</v>
      </c>
      <c r="U262" t="s">
        <v>6911</v>
      </c>
      <c r="V262" t="s">
        <v>49</v>
      </c>
      <c r="W262" t="s">
        <v>33</v>
      </c>
      <c r="X262" t="s">
        <v>33</v>
      </c>
      <c r="Y262" t="s">
        <v>33</v>
      </c>
      <c r="Z262" t="s">
        <v>134</v>
      </c>
      <c r="AA262">
        <v>-75.607884999999996</v>
      </c>
      <c r="AB262">
        <v>6.2091620000000001</v>
      </c>
      <c r="AC262" t="s">
        <v>135</v>
      </c>
      <c r="AD262" t="s">
        <v>136</v>
      </c>
    </row>
    <row r="263" spans="1:30" x14ac:dyDescent="0.25">
      <c r="A263" t="s">
        <v>2269</v>
      </c>
      <c r="B263" t="s">
        <v>25</v>
      </c>
      <c r="C263" t="s">
        <v>26</v>
      </c>
      <c r="D263" t="s">
        <v>25</v>
      </c>
      <c r="E263" t="s">
        <v>2270</v>
      </c>
      <c r="F263" t="s">
        <v>2271</v>
      </c>
      <c r="G263">
        <v>1152188266</v>
      </c>
      <c r="H263" t="s">
        <v>2272</v>
      </c>
      <c r="I263" s="4" t="s">
        <v>35</v>
      </c>
      <c r="J263" s="4" t="s">
        <v>2273</v>
      </c>
      <c r="K263" t="s">
        <v>2274</v>
      </c>
      <c r="L263" t="s">
        <v>27</v>
      </c>
      <c r="M263" t="s">
        <v>2275</v>
      </c>
      <c r="N263" t="s">
        <v>28</v>
      </c>
      <c r="O263" t="s">
        <v>29</v>
      </c>
      <c r="P263" t="s">
        <v>37</v>
      </c>
      <c r="Q263" t="s">
        <v>31</v>
      </c>
      <c r="R263">
        <v>7</v>
      </c>
      <c r="S263" t="s">
        <v>2276</v>
      </c>
      <c r="T263" t="s">
        <v>6912</v>
      </c>
      <c r="U263" t="s">
        <v>6913</v>
      </c>
      <c r="V263" t="s">
        <v>32</v>
      </c>
      <c r="W263" t="s">
        <v>33</v>
      </c>
      <c r="X263" t="s">
        <v>33</v>
      </c>
      <c r="Y263" t="s">
        <v>33</v>
      </c>
      <c r="Z263" s="16" t="s">
        <v>34</v>
      </c>
      <c r="AA263">
        <v>-75.636521999999999</v>
      </c>
      <c r="AB263">
        <v>6.2501740000000003</v>
      </c>
      <c r="AC263" t="s">
        <v>135</v>
      </c>
      <c r="AD263" t="s">
        <v>136</v>
      </c>
    </row>
    <row r="264" spans="1:30" x14ac:dyDescent="0.25">
      <c r="A264" t="s">
        <v>9954</v>
      </c>
      <c r="B264" t="s">
        <v>25</v>
      </c>
      <c r="C264" t="s">
        <v>26</v>
      </c>
      <c r="D264" t="s">
        <v>39</v>
      </c>
      <c r="E264" t="s">
        <v>6914</v>
      </c>
      <c r="F264" t="s">
        <v>6915</v>
      </c>
      <c r="G264">
        <v>43535004</v>
      </c>
      <c r="H264" t="s">
        <v>6916</v>
      </c>
      <c r="I264" s="4" t="s">
        <v>35</v>
      </c>
      <c r="J264" s="4" t="s">
        <v>6917</v>
      </c>
      <c r="K264" t="s">
        <v>6918</v>
      </c>
      <c r="L264" t="s">
        <v>27</v>
      </c>
      <c r="M264" t="s">
        <v>6919</v>
      </c>
      <c r="N264" t="s">
        <v>28</v>
      </c>
      <c r="O264" t="s">
        <v>40</v>
      </c>
      <c r="P264" t="s">
        <v>41</v>
      </c>
      <c r="Q264" t="s">
        <v>31</v>
      </c>
      <c r="R264">
        <v>5</v>
      </c>
      <c r="S264" t="s">
        <v>6920</v>
      </c>
      <c r="T264" t="s">
        <v>1493</v>
      </c>
      <c r="U264" t="s">
        <v>1492</v>
      </c>
      <c r="V264" t="s">
        <v>32</v>
      </c>
      <c r="W264" t="s">
        <v>33</v>
      </c>
      <c r="X264" t="s">
        <v>33</v>
      </c>
      <c r="Y264" t="s">
        <v>33</v>
      </c>
      <c r="Z264" s="16" t="s">
        <v>34</v>
      </c>
      <c r="AA264">
        <v>-75.561195429999998</v>
      </c>
      <c r="AB264">
        <v>6.2287495000000002</v>
      </c>
      <c r="AC264" t="s">
        <v>135</v>
      </c>
      <c r="AD264" t="s">
        <v>136</v>
      </c>
    </row>
    <row r="265" spans="1:30" x14ac:dyDescent="0.25">
      <c r="A265" t="s">
        <v>2277</v>
      </c>
      <c r="B265" t="s">
        <v>25</v>
      </c>
      <c r="C265" t="s">
        <v>26</v>
      </c>
      <c r="D265" t="s">
        <v>25</v>
      </c>
      <c r="E265" t="s">
        <v>2278</v>
      </c>
      <c r="F265" t="s">
        <v>2279</v>
      </c>
      <c r="G265">
        <v>1038335048</v>
      </c>
      <c r="H265" t="s">
        <v>2280</v>
      </c>
      <c r="I265" s="4" t="s">
        <v>2281</v>
      </c>
      <c r="J265" s="4" t="s">
        <v>2282</v>
      </c>
      <c r="K265" t="s">
        <v>2283</v>
      </c>
      <c r="L265" t="s">
        <v>27</v>
      </c>
      <c r="M265" t="s">
        <v>2284</v>
      </c>
      <c r="N265" t="s">
        <v>28</v>
      </c>
      <c r="O265" t="s">
        <v>29</v>
      </c>
      <c r="P265" t="s">
        <v>37</v>
      </c>
      <c r="Q265" t="s">
        <v>31</v>
      </c>
      <c r="R265">
        <v>7</v>
      </c>
      <c r="S265" t="s">
        <v>2285</v>
      </c>
      <c r="T265" t="s">
        <v>6921</v>
      </c>
      <c r="U265" t="s">
        <v>6922</v>
      </c>
      <c r="V265" t="s">
        <v>32</v>
      </c>
      <c r="W265" t="s">
        <v>33</v>
      </c>
      <c r="X265" t="s">
        <v>33</v>
      </c>
      <c r="Y265" t="s">
        <v>33</v>
      </c>
      <c r="Z265" s="16" t="s">
        <v>34</v>
      </c>
      <c r="AA265">
        <v>-75.636516999999998</v>
      </c>
      <c r="AB265">
        <v>6.2757909999999999</v>
      </c>
      <c r="AC265" t="s">
        <v>135</v>
      </c>
      <c r="AD265" t="s">
        <v>136</v>
      </c>
    </row>
    <row r="266" spans="1:30" x14ac:dyDescent="0.25">
      <c r="A266" t="s">
        <v>9955</v>
      </c>
      <c r="B266" t="s">
        <v>25</v>
      </c>
      <c r="C266" t="s">
        <v>26</v>
      </c>
      <c r="D266" t="s">
        <v>39</v>
      </c>
      <c r="E266" t="s">
        <v>6923</v>
      </c>
      <c r="F266" t="s">
        <v>6924</v>
      </c>
      <c r="G266">
        <v>1037071418</v>
      </c>
      <c r="H266" t="s">
        <v>6925</v>
      </c>
      <c r="I266" s="4" t="s">
        <v>35</v>
      </c>
      <c r="J266" s="4" t="s">
        <v>6926</v>
      </c>
      <c r="K266" t="s">
        <v>6927</v>
      </c>
      <c r="L266" t="s">
        <v>27</v>
      </c>
      <c r="M266" t="s">
        <v>6928</v>
      </c>
      <c r="N266" t="s">
        <v>28</v>
      </c>
      <c r="O266" t="s">
        <v>40</v>
      </c>
      <c r="P266" t="s">
        <v>41</v>
      </c>
      <c r="Q266" t="s">
        <v>38</v>
      </c>
      <c r="R266">
        <v>8</v>
      </c>
      <c r="S266" t="s">
        <v>6929</v>
      </c>
      <c r="T266" t="s">
        <v>6930</v>
      </c>
      <c r="U266" t="s">
        <v>6931</v>
      </c>
      <c r="V266" t="s">
        <v>32</v>
      </c>
      <c r="W266" t="s">
        <v>33</v>
      </c>
      <c r="X266" t="s">
        <v>33</v>
      </c>
      <c r="Y266" t="s">
        <v>33</v>
      </c>
      <c r="Z266" s="16" t="s">
        <v>34</v>
      </c>
      <c r="AA266">
        <v>-75.650955999999994</v>
      </c>
      <c r="AB266">
        <v>6.2895289999999999</v>
      </c>
      <c r="AC266" t="s">
        <v>135</v>
      </c>
      <c r="AD266" t="s">
        <v>136</v>
      </c>
    </row>
    <row r="267" spans="1:30" x14ac:dyDescent="0.25">
      <c r="A267" t="s">
        <v>2286</v>
      </c>
      <c r="B267" t="s">
        <v>25</v>
      </c>
      <c r="C267" t="s">
        <v>26</v>
      </c>
      <c r="D267" t="s">
        <v>25</v>
      </c>
      <c r="E267" t="s">
        <v>2287</v>
      </c>
      <c r="F267" t="s">
        <v>2288</v>
      </c>
      <c r="G267">
        <v>70056686</v>
      </c>
      <c r="H267" t="s">
        <v>2289</v>
      </c>
      <c r="I267" s="4" t="s">
        <v>35</v>
      </c>
      <c r="J267" s="4" t="s">
        <v>2290</v>
      </c>
      <c r="K267" t="s">
        <v>2291</v>
      </c>
      <c r="L267" t="s">
        <v>44</v>
      </c>
      <c r="M267" t="s">
        <v>2292</v>
      </c>
      <c r="N267" t="s">
        <v>45</v>
      </c>
      <c r="O267" t="s">
        <v>29</v>
      </c>
      <c r="P267" t="s">
        <v>36</v>
      </c>
      <c r="Q267" t="s">
        <v>31</v>
      </c>
      <c r="R267">
        <v>7</v>
      </c>
      <c r="S267" t="s">
        <v>2293</v>
      </c>
      <c r="T267" t="s">
        <v>2295</v>
      </c>
      <c r="U267" t="s">
        <v>2294</v>
      </c>
      <c r="V267" t="s">
        <v>32</v>
      </c>
      <c r="W267" t="s">
        <v>33</v>
      </c>
      <c r="X267" t="s">
        <v>33</v>
      </c>
      <c r="Y267" t="s">
        <v>33</v>
      </c>
      <c r="Z267" s="16" t="s">
        <v>34</v>
      </c>
      <c r="AA267">
        <v>-75.641402420000006</v>
      </c>
      <c r="AB267">
        <v>6.1712472299999996</v>
      </c>
      <c r="AC267" t="s">
        <v>135</v>
      </c>
      <c r="AD267" t="s">
        <v>136</v>
      </c>
    </row>
    <row r="268" spans="1:30" x14ac:dyDescent="0.25">
      <c r="A268" t="s">
        <v>2296</v>
      </c>
      <c r="B268" t="s">
        <v>25</v>
      </c>
      <c r="C268" t="s">
        <v>26</v>
      </c>
      <c r="D268" t="s">
        <v>25</v>
      </c>
      <c r="E268" t="s">
        <v>2297</v>
      </c>
      <c r="F268" t="s">
        <v>2298</v>
      </c>
      <c r="G268">
        <v>70056686</v>
      </c>
      <c r="H268" t="s">
        <v>2289</v>
      </c>
      <c r="I268" s="4" t="s">
        <v>35</v>
      </c>
      <c r="J268" s="4" t="s">
        <v>2299</v>
      </c>
      <c r="K268" t="s">
        <v>2300</v>
      </c>
      <c r="L268" t="s">
        <v>44</v>
      </c>
      <c r="M268" t="s">
        <v>2301</v>
      </c>
      <c r="N268" t="s">
        <v>45</v>
      </c>
      <c r="O268" t="s">
        <v>29</v>
      </c>
      <c r="P268" t="s">
        <v>36</v>
      </c>
      <c r="Q268" t="s">
        <v>31</v>
      </c>
      <c r="R268">
        <v>7</v>
      </c>
      <c r="S268" t="s">
        <v>2302</v>
      </c>
      <c r="T268" t="s">
        <v>1114</v>
      </c>
      <c r="U268" t="s">
        <v>1113</v>
      </c>
      <c r="V268" t="s">
        <v>32</v>
      </c>
      <c r="W268" t="s">
        <v>33</v>
      </c>
      <c r="X268" t="s">
        <v>33</v>
      </c>
      <c r="Y268" t="s">
        <v>33</v>
      </c>
      <c r="Z268" s="16" t="s">
        <v>34</v>
      </c>
      <c r="AA268">
        <v>-75.641402420000006</v>
      </c>
      <c r="AB268">
        <v>6.1712472299999996</v>
      </c>
      <c r="AC268" t="s">
        <v>135</v>
      </c>
      <c r="AD268" t="s">
        <v>136</v>
      </c>
    </row>
    <row r="269" spans="1:30" x14ac:dyDescent="0.25">
      <c r="A269" t="s">
        <v>142</v>
      </c>
      <c r="B269" t="s">
        <v>25</v>
      </c>
      <c r="C269" t="s">
        <v>26</v>
      </c>
      <c r="D269" t="s">
        <v>25</v>
      </c>
      <c r="E269" t="s">
        <v>95</v>
      </c>
      <c r="F269" t="s">
        <v>2303</v>
      </c>
      <c r="G269">
        <v>70500061</v>
      </c>
      <c r="H269" t="s">
        <v>96</v>
      </c>
      <c r="I269" s="4" t="s">
        <v>35</v>
      </c>
      <c r="J269" s="4" t="s">
        <v>97</v>
      </c>
      <c r="K269" t="s">
        <v>98</v>
      </c>
      <c r="L269" t="s">
        <v>27</v>
      </c>
      <c r="M269" t="s">
        <v>99</v>
      </c>
      <c r="N269" t="s">
        <v>28</v>
      </c>
      <c r="O269" t="s">
        <v>29</v>
      </c>
      <c r="P269" t="s">
        <v>36</v>
      </c>
      <c r="Q269" t="s">
        <v>31</v>
      </c>
      <c r="R269">
        <v>7</v>
      </c>
      <c r="S269" t="s">
        <v>2304</v>
      </c>
      <c r="T269" t="s">
        <v>6932</v>
      </c>
      <c r="U269" t="s">
        <v>6933</v>
      </c>
      <c r="V269" t="s">
        <v>32</v>
      </c>
      <c r="W269" t="s">
        <v>33</v>
      </c>
      <c r="X269" t="s">
        <v>33</v>
      </c>
      <c r="Y269" t="s">
        <v>33</v>
      </c>
      <c r="Z269" s="16" t="s">
        <v>34</v>
      </c>
      <c r="AA269">
        <v>-75.581468569999998</v>
      </c>
      <c r="AB269">
        <v>6.2194975699999997</v>
      </c>
      <c r="AC269" t="s">
        <v>135</v>
      </c>
      <c r="AD269" t="s">
        <v>136</v>
      </c>
    </row>
    <row r="270" spans="1:30" x14ac:dyDescent="0.25">
      <c r="A270" t="s">
        <v>9956</v>
      </c>
      <c r="B270" t="s">
        <v>25</v>
      </c>
      <c r="C270" t="s">
        <v>26</v>
      </c>
      <c r="D270" t="s">
        <v>25</v>
      </c>
      <c r="E270" t="s">
        <v>6934</v>
      </c>
      <c r="F270" t="s">
        <v>6935</v>
      </c>
      <c r="G270">
        <v>71617831</v>
      </c>
      <c r="H270" t="s">
        <v>6936</v>
      </c>
      <c r="I270" s="4" t="s">
        <v>35</v>
      </c>
      <c r="J270" s="4" t="s">
        <v>6937</v>
      </c>
      <c r="K270" t="s">
        <v>6938</v>
      </c>
      <c r="L270" t="s">
        <v>27</v>
      </c>
      <c r="M270" t="s">
        <v>6939</v>
      </c>
      <c r="N270" t="s">
        <v>28</v>
      </c>
      <c r="O270" t="s">
        <v>29</v>
      </c>
      <c r="P270" t="s">
        <v>37</v>
      </c>
      <c r="Q270" t="s">
        <v>38</v>
      </c>
      <c r="R270">
        <v>10</v>
      </c>
      <c r="S270" t="s">
        <v>6940</v>
      </c>
      <c r="T270" t="s">
        <v>2177</v>
      </c>
      <c r="U270" t="s">
        <v>6941</v>
      </c>
      <c r="V270" t="s">
        <v>32</v>
      </c>
      <c r="W270" t="s">
        <v>33</v>
      </c>
      <c r="X270" t="s">
        <v>33</v>
      </c>
      <c r="Y270" t="s">
        <v>33</v>
      </c>
      <c r="Z270" s="16" t="s">
        <v>34</v>
      </c>
      <c r="AA270">
        <v>-75.621608350000002</v>
      </c>
      <c r="AB270">
        <v>6.2019699499999996</v>
      </c>
      <c r="AC270" t="s">
        <v>135</v>
      </c>
      <c r="AD270" t="s">
        <v>136</v>
      </c>
    </row>
    <row r="271" spans="1:30" x14ac:dyDescent="0.25">
      <c r="A271" t="s">
        <v>9957</v>
      </c>
      <c r="B271" t="s">
        <v>25</v>
      </c>
      <c r="C271" t="s">
        <v>26</v>
      </c>
      <c r="D271" t="s">
        <v>39</v>
      </c>
      <c r="E271" t="s">
        <v>6942</v>
      </c>
      <c r="F271" t="s">
        <v>6943</v>
      </c>
      <c r="G271">
        <v>98520547</v>
      </c>
      <c r="H271" t="s">
        <v>6944</v>
      </c>
      <c r="I271" s="4" t="s">
        <v>6945</v>
      </c>
      <c r="J271" s="4" t="s">
        <v>6946</v>
      </c>
      <c r="K271" t="s">
        <v>6947</v>
      </c>
      <c r="L271" t="s">
        <v>27</v>
      </c>
      <c r="M271" t="s">
        <v>6948</v>
      </c>
      <c r="N271" t="s">
        <v>28</v>
      </c>
      <c r="O271" t="s">
        <v>46</v>
      </c>
      <c r="P271" t="s">
        <v>41</v>
      </c>
      <c r="Q271" t="s">
        <v>31</v>
      </c>
      <c r="R271">
        <v>5</v>
      </c>
      <c r="S271" t="s">
        <v>6949</v>
      </c>
      <c r="T271" t="s">
        <v>6950</v>
      </c>
      <c r="U271" t="s">
        <v>6951</v>
      </c>
      <c r="V271" t="s">
        <v>32</v>
      </c>
      <c r="W271" t="s">
        <v>33</v>
      </c>
      <c r="X271" t="s">
        <v>33</v>
      </c>
      <c r="Y271" t="s">
        <v>33</v>
      </c>
      <c r="Z271" s="16" t="s">
        <v>34</v>
      </c>
      <c r="AA271">
        <v>-75.612572119999996</v>
      </c>
      <c r="AB271">
        <v>6.2721151300000004</v>
      </c>
      <c r="AC271" t="s">
        <v>135</v>
      </c>
      <c r="AD271" t="s">
        <v>136</v>
      </c>
    </row>
    <row r="272" spans="1:30" x14ac:dyDescent="0.25">
      <c r="A272" t="s">
        <v>2305</v>
      </c>
      <c r="B272" t="s">
        <v>50</v>
      </c>
      <c r="C272" t="s">
        <v>26</v>
      </c>
      <c r="D272" t="s">
        <v>50</v>
      </c>
      <c r="E272" t="s">
        <v>2306</v>
      </c>
      <c r="F272" t="s">
        <v>2307</v>
      </c>
      <c r="G272">
        <v>39410293</v>
      </c>
      <c r="H272" t="s">
        <v>2308</v>
      </c>
      <c r="I272" s="4" t="s">
        <v>35</v>
      </c>
      <c r="J272" s="4" t="s">
        <v>2309</v>
      </c>
      <c r="K272" t="s">
        <v>2310</v>
      </c>
      <c r="L272" t="s">
        <v>27</v>
      </c>
      <c r="M272" t="s">
        <v>2311</v>
      </c>
      <c r="N272" t="s">
        <v>28</v>
      </c>
      <c r="O272" t="s">
        <v>51</v>
      </c>
      <c r="P272" t="s">
        <v>52</v>
      </c>
      <c r="Q272" t="s">
        <v>31</v>
      </c>
      <c r="R272">
        <v>11</v>
      </c>
      <c r="S272" t="s">
        <v>2312</v>
      </c>
      <c r="T272" t="s">
        <v>6952</v>
      </c>
      <c r="U272" t="s">
        <v>6953</v>
      </c>
      <c r="V272" t="s">
        <v>32</v>
      </c>
      <c r="W272" t="s">
        <v>33</v>
      </c>
      <c r="X272" t="s">
        <v>33</v>
      </c>
      <c r="Y272" t="s">
        <v>33</v>
      </c>
      <c r="Z272" s="16" t="s">
        <v>34</v>
      </c>
      <c r="AA272">
        <v>-75.540646050000007</v>
      </c>
      <c r="AB272">
        <v>6.2406160699999997</v>
      </c>
      <c r="AC272" t="s">
        <v>135</v>
      </c>
      <c r="AD272" t="s">
        <v>136</v>
      </c>
    </row>
    <row r="273" spans="1:30" x14ac:dyDescent="0.25">
      <c r="A273" t="s">
        <v>2314</v>
      </c>
      <c r="B273" t="s">
        <v>25</v>
      </c>
      <c r="C273" t="s">
        <v>26</v>
      </c>
      <c r="D273" t="s">
        <v>39</v>
      </c>
      <c r="E273" t="s">
        <v>2315</v>
      </c>
      <c r="F273" t="s">
        <v>2316</v>
      </c>
      <c r="G273">
        <v>1151437279</v>
      </c>
      <c r="H273" t="s">
        <v>2317</v>
      </c>
      <c r="I273" s="4" t="s">
        <v>35</v>
      </c>
      <c r="J273" s="4" t="s">
        <v>2318</v>
      </c>
      <c r="K273" t="s">
        <v>2319</v>
      </c>
      <c r="L273" t="s">
        <v>27</v>
      </c>
      <c r="M273" t="s">
        <v>2320</v>
      </c>
      <c r="N273" t="s">
        <v>28</v>
      </c>
      <c r="O273" t="s">
        <v>46</v>
      </c>
      <c r="P273" t="s">
        <v>41</v>
      </c>
      <c r="Q273" t="s">
        <v>31</v>
      </c>
      <c r="R273">
        <v>5</v>
      </c>
      <c r="S273" t="s">
        <v>2321</v>
      </c>
      <c r="T273" t="s">
        <v>2323</v>
      </c>
      <c r="U273" t="s">
        <v>2322</v>
      </c>
      <c r="V273" t="s">
        <v>49</v>
      </c>
      <c r="W273" t="s">
        <v>33</v>
      </c>
      <c r="X273" t="s">
        <v>33</v>
      </c>
      <c r="Y273" t="s">
        <v>33</v>
      </c>
      <c r="Z273" s="16" t="s">
        <v>34</v>
      </c>
      <c r="AA273">
        <v>-75.537805000000006</v>
      </c>
      <c r="AB273">
        <v>6.2544630000000003</v>
      </c>
      <c r="AC273" t="s">
        <v>135</v>
      </c>
      <c r="AD273" t="s">
        <v>136</v>
      </c>
    </row>
    <row r="274" spans="1:30" x14ac:dyDescent="0.25">
      <c r="A274" t="s">
        <v>1345</v>
      </c>
      <c r="B274" t="s">
        <v>25</v>
      </c>
      <c r="C274" t="s">
        <v>26</v>
      </c>
      <c r="D274" t="s">
        <v>39</v>
      </c>
      <c r="E274" t="s">
        <v>1346</v>
      </c>
      <c r="F274" t="s">
        <v>1347</v>
      </c>
      <c r="G274">
        <v>43538535</v>
      </c>
      <c r="H274" t="s">
        <v>1348</v>
      </c>
      <c r="I274" s="4" t="s">
        <v>35</v>
      </c>
      <c r="J274" s="4" t="s">
        <v>1349</v>
      </c>
      <c r="K274" t="s">
        <v>1350</v>
      </c>
      <c r="L274" t="s">
        <v>27</v>
      </c>
      <c r="M274" t="s">
        <v>1351</v>
      </c>
      <c r="N274" t="s">
        <v>28</v>
      </c>
      <c r="O274" t="s">
        <v>46</v>
      </c>
      <c r="P274" t="s">
        <v>41</v>
      </c>
      <c r="Q274" t="s">
        <v>38</v>
      </c>
      <c r="R274">
        <v>8</v>
      </c>
      <c r="S274" t="s">
        <v>1352</v>
      </c>
      <c r="T274" t="s">
        <v>6954</v>
      </c>
      <c r="U274" t="s">
        <v>6955</v>
      </c>
      <c r="V274" t="s">
        <v>49</v>
      </c>
      <c r="W274" t="s">
        <v>33</v>
      </c>
      <c r="X274" t="s">
        <v>33</v>
      </c>
      <c r="Y274" t="s">
        <v>33</v>
      </c>
      <c r="Z274" s="16" t="s">
        <v>34</v>
      </c>
      <c r="AA274">
        <v>-75.638014799999993</v>
      </c>
      <c r="AB274">
        <v>6.3048486700000002</v>
      </c>
      <c r="AC274" t="s">
        <v>135</v>
      </c>
      <c r="AD274" t="s">
        <v>136</v>
      </c>
    </row>
    <row r="275" spans="1:30" x14ac:dyDescent="0.25">
      <c r="A275" t="s">
        <v>2325</v>
      </c>
      <c r="B275" t="s">
        <v>25</v>
      </c>
      <c r="C275" t="s">
        <v>26</v>
      </c>
      <c r="D275" t="s">
        <v>25</v>
      </c>
      <c r="E275" t="s">
        <v>2326</v>
      </c>
      <c r="F275" t="s">
        <v>2327</v>
      </c>
      <c r="G275">
        <v>15259452</v>
      </c>
      <c r="H275" t="s">
        <v>2328</v>
      </c>
      <c r="I275" s="4" t="s">
        <v>35</v>
      </c>
      <c r="J275" s="4" t="s">
        <v>2329</v>
      </c>
      <c r="K275" t="s">
        <v>2330</v>
      </c>
      <c r="L275" t="s">
        <v>57</v>
      </c>
      <c r="M275" t="s">
        <v>2331</v>
      </c>
      <c r="N275" t="s">
        <v>58</v>
      </c>
      <c r="O275" t="s">
        <v>29</v>
      </c>
      <c r="P275" t="s">
        <v>54</v>
      </c>
      <c r="Q275" t="s">
        <v>31</v>
      </c>
      <c r="R275">
        <v>7</v>
      </c>
      <c r="S275" t="s">
        <v>2332</v>
      </c>
      <c r="T275" t="s">
        <v>6956</v>
      </c>
      <c r="U275" t="s">
        <v>6957</v>
      </c>
      <c r="V275" t="s">
        <v>49</v>
      </c>
      <c r="W275" t="s">
        <v>33</v>
      </c>
      <c r="X275" t="s">
        <v>33</v>
      </c>
      <c r="Y275" t="s">
        <v>33</v>
      </c>
      <c r="Z275" s="16" t="s">
        <v>34</v>
      </c>
      <c r="AA275">
        <v>-75.640385359999996</v>
      </c>
      <c r="AB275">
        <v>6.0910183499999997</v>
      </c>
      <c r="AC275" t="s">
        <v>135</v>
      </c>
      <c r="AD275" t="s">
        <v>136</v>
      </c>
    </row>
    <row r="276" spans="1:30" x14ac:dyDescent="0.25">
      <c r="A276" t="s">
        <v>2333</v>
      </c>
      <c r="B276" t="s">
        <v>61</v>
      </c>
      <c r="C276" t="s">
        <v>26</v>
      </c>
      <c r="D276" t="s">
        <v>61</v>
      </c>
      <c r="E276" t="s">
        <v>2334</v>
      </c>
      <c r="F276" t="s">
        <v>2335</v>
      </c>
      <c r="G276">
        <v>70561899</v>
      </c>
      <c r="H276" t="s">
        <v>2336</v>
      </c>
      <c r="I276" s="4" t="s">
        <v>2337</v>
      </c>
      <c r="J276" s="4" t="s">
        <v>2338</v>
      </c>
      <c r="K276" t="s">
        <v>2339</v>
      </c>
      <c r="L276" t="s">
        <v>59</v>
      </c>
      <c r="M276" t="s">
        <v>2340</v>
      </c>
      <c r="N276" t="s">
        <v>60</v>
      </c>
      <c r="O276" t="s">
        <v>62</v>
      </c>
      <c r="P276" t="s">
        <v>63</v>
      </c>
      <c r="Q276" t="s">
        <v>31</v>
      </c>
      <c r="R276">
        <v>4</v>
      </c>
      <c r="S276" t="s">
        <v>2341</v>
      </c>
      <c r="T276" t="s">
        <v>6958</v>
      </c>
      <c r="U276" t="s">
        <v>6959</v>
      </c>
      <c r="V276" t="s">
        <v>49</v>
      </c>
      <c r="W276" t="s">
        <v>33</v>
      </c>
      <c r="X276" t="s">
        <v>33</v>
      </c>
      <c r="Y276" t="s">
        <v>33</v>
      </c>
      <c r="Z276" t="s">
        <v>134</v>
      </c>
      <c r="AA276">
        <v>-75.615600099999995</v>
      </c>
      <c r="AB276">
        <v>6.1571709999999999</v>
      </c>
      <c r="AC276" t="s">
        <v>135</v>
      </c>
      <c r="AD276" t="s">
        <v>136</v>
      </c>
    </row>
    <row r="277" spans="1:30" x14ac:dyDescent="0.25">
      <c r="A277" t="s">
        <v>2342</v>
      </c>
      <c r="B277" t="s">
        <v>50</v>
      </c>
      <c r="C277" t="s">
        <v>26</v>
      </c>
      <c r="D277" t="s">
        <v>50</v>
      </c>
      <c r="E277" t="s">
        <v>2343</v>
      </c>
      <c r="F277" t="s">
        <v>2344</v>
      </c>
      <c r="G277">
        <v>1007476595</v>
      </c>
      <c r="H277" t="s">
        <v>2345</v>
      </c>
      <c r="I277" s="4" t="s">
        <v>35</v>
      </c>
      <c r="J277" s="4" t="s">
        <v>2346</v>
      </c>
      <c r="K277" t="s">
        <v>2347</v>
      </c>
      <c r="L277" t="s">
        <v>27</v>
      </c>
      <c r="M277" t="s">
        <v>2348</v>
      </c>
      <c r="N277" t="s">
        <v>28</v>
      </c>
      <c r="O277" t="s">
        <v>51</v>
      </c>
      <c r="P277" t="s">
        <v>52</v>
      </c>
      <c r="Q277" t="s">
        <v>31</v>
      </c>
      <c r="R277">
        <v>11</v>
      </c>
      <c r="S277" t="s">
        <v>2349</v>
      </c>
      <c r="T277" t="s">
        <v>6960</v>
      </c>
      <c r="U277" t="s">
        <v>6961</v>
      </c>
      <c r="V277" t="s">
        <v>32</v>
      </c>
      <c r="W277" t="s">
        <v>33</v>
      </c>
      <c r="X277" t="s">
        <v>33</v>
      </c>
      <c r="Y277" t="s">
        <v>33</v>
      </c>
      <c r="Z277" s="16" t="s">
        <v>34</v>
      </c>
      <c r="AA277">
        <v>-75.539713000000006</v>
      </c>
      <c r="AB277">
        <v>6.2533760000000003</v>
      </c>
      <c r="AC277" t="s">
        <v>135</v>
      </c>
      <c r="AD277" t="s">
        <v>136</v>
      </c>
    </row>
    <row r="278" spans="1:30" x14ac:dyDescent="0.25">
      <c r="A278" t="s">
        <v>1020</v>
      </c>
      <c r="B278" t="s">
        <v>50</v>
      </c>
      <c r="C278" t="s">
        <v>79</v>
      </c>
      <c r="D278" t="s">
        <v>50</v>
      </c>
      <c r="E278" t="s">
        <v>1021</v>
      </c>
      <c r="F278" t="s">
        <v>1022</v>
      </c>
      <c r="G278">
        <v>43672289</v>
      </c>
      <c r="H278" t="s">
        <v>1023</v>
      </c>
      <c r="I278" s="4" t="s">
        <v>35</v>
      </c>
      <c r="J278" s="4" t="s">
        <v>1024</v>
      </c>
      <c r="K278" t="s">
        <v>1025</v>
      </c>
      <c r="L278" t="s">
        <v>27</v>
      </c>
      <c r="M278" t="s">
        <v>1026</v>
      </c>
      <c r="N278" t="s">
        <v>28</v>
      </c>
      <c r="O278" t="s">
        <v>80</v>
      </c>
      <c r="P278" t="s">
        <v>52</v>
      </c>
      <c r="Q278" t="s">
        <v>31</v>
      </c>
      <c r="R278">
        <v>11</v>
      </c>
      <c r="S278" t="s">
        <v>1027</v>
      </c>
      <c r="T278" t="s">
        <v>6962</v>
      </c>
      <c r="U278" t="s">
        <v>6963</v>
      </c>
      <c r="V278" t="s">
        <v>32</v>
      </c>
      <c r="W278" t="s">
        <v>33</v>
      </c>
      <c r="X278" t="s">
        <v>33</v>
      </c>
      <c r="Y278" t="s">
        <v>33</v>
      </c>
      <c r="Z278" s="16" t="s">
        <v>34</v>
      </c>
      <c r="AA278">
        <v>-75.605506210000001</v>
      </c>
      <c r="AB278">
        <v>6.2629534800000002</v>
      </c>
      <c r="AC278" t="s">
        <v>135</v>
      </c>
      <c r="AD278" t="s">
        <v>136</v>
      </c>
    </row>
    <row r="279" spans="1:30" x14ac:dyDescent="0.25">
      <c r="A279" t="s">
        <v>2350</v>
      </c>
      <c r="B279" t="s">
        <v>25</v>
      </c>
      <c r="C279" t="s">
        <v>26</v>
      </c>
      <c r="D279" t="s">
        <v>39</v>
      </c>
      <c r="E279" t="s">
        <v>2351</v>
      </c>
      <c r="F279" t="s">
        <v>2352</v>
      </c>
      <c r="G279">
        <v>43843651</v>
      </c>
      <c r="H279" t="s">
        <v>2353</v>
      </c>
      <c r="I279" s="4" t="s">
        <v>35</v>
      </c>
      <c r="J279" s="4" t="s">
        <v>2354</v>
      </c>
      <c r="K279" t="s">
        <v>2355</v>
      </c>
      <c r="L279" t="s">
        <v>27</v>
      </c>
      <c r="M279" t="s">
        <v>2356</v>
      </c>
      <c r="N279" t="s">
        <v>28</v>
      </c>
      <c r="O279" t="s">
        <v>46</v>
      </c>
      <c r="P279" t="s">
        <v>41</v>
      </c>
      <c r="Q279" t="s">
        <v>31</v>
      </c>
      <c r="R279">
        <v>5</v>
      </c>
      <c r="S279" t="s">
        <v>2357</v>
      </c>
      <c r="T279" t="s">
        <v>116</v>
      </c>
      <c r="U279" t="s">
        <v>2358</v>
      </c>
      <c r="V279" t="s">
        <v>49</v>
      </c>
      <c r="W279" t="s">
        <v>33</v>
      </c>
      <c r="X279" t="s">
        <v>33</v>
      </c>
      <c r="Y279" t="s">
        <v>33</v>
      </c>
      <c r="Z279" s="16" t="s">
        <v>34</v>
      </c>
      <c r="AA279">
        <v>-75.614800099999997</v>
      </c>
      <c r="AB279">
        <v>6.2681170000000002</v>
      </c>
      <c r="AC279" t="s">
        <v>135</v>
      </c>
      <c r="AD279" t="s">
        <v>136</v>
      </c>
    </row>
    <row r="280" spans="1:30" x14ac:dyDescent="0.25">
      <c r="A280" t="s">
        <v>10335</v>
      </c>
      <c r="B280" t="s">
        <v>42</v>
      </c>
      <c r="C280" t="s">
        <v>75</v>
      </c>
      <c r="D280" t="s">
        <v>42</v>
      </c>
      <c r="E280" t="s">
        <v>10336</v>
      </c>
      <c r="F280" t="s">
        <v>10337</v>
      </c>
      <c r="G280">
        <v>70043759</v>
      </c>
      <c r="H280" t="s">
        <v>10338</v>
      </c>
      <c r="I280" s="4" t="s">
        <v>35</v>
      </c>
      <c r="J280" s="4" t="s">
        <v>10339</v>
      </c>
      <c r="K280" t="s">
        <v>10340</v>
      </c>
      <c r="L280" t="s">
        <v>44</v>
      </c>
      <c r="M280" t="s">
        <v>10341</v>
      </c>
      <c r="N280" t="s">
        <v>45</v>
      </c>
      <c r="O280" t="s">
        <v>76</v>
      </c>
      <c r="P280" t="s">
        <v>54</v>
      </c>
      <c r="Q280" t="s">
        <v>31</v>
      </c>
      <c r="R280">
        <v>7</v>
      </c>
      <c r="S280" t="s">
        <v>10342</v>
      </c>
      <c r="T280" t="s">
        <v>10343</v>
      </c>
      <c r="U280" t="s">
        <v>10344</v>
      </c>
      <c r="V280" t="s">
        <v>32</v>
      </c>
      <c r="W280" t="s">
        <v>33</v>
      </c>
      <c r="X280" t="s">
        <v>33</v>
      </c>
      <c r="Y280" t="s">
        <v>33</v>
      </c>
      <c r="Z280" s="16" t="s">
        <v>34</v>
      </c>
      <c r="AA280">
        <v>-75.591346119999997</v>
      </c>
      <c r="AB280">
        <v>6.19028285</v>
      </c>
      <c r="AC280" t="s">
        <v>135</v>
      </c>
      <c r="AD280" t="s">
        <v>136</v>
      </c>
    </row>
    <row r="281" spans="1:30" x14ac:dyDescent="0.25">
      <c r="A281" t="s">
        <v>10345</v>
      </c>
      <c r="B281" t="s">
        <v>61</v>
      </c>
      <c r="C281" t="s">
        <v>26</v>
      </c>
      <c r="D281" t="s">
        <v>61</v>
      </c>
      <c r="E281" t="s">
        <v>10346</v>
      </c>
      <c r="F281" t="s">
        <v>10347</v>
      </c>
      <c r="G281">
        <v>15272029</v>
      </c>
      <c r="H281" t="s">
        <v>10348</v>
      </c>
      <c r="I281" s="4" t="s">
        <v>35</v>
      </c>
      <c r="J281" s="4" t="s">
        <v>10349</v>
      </c>
      <c r="K281" t="s">
        <v>10350</v>
      </c>
      <c r="L281" t="s">
        <v>27</v>
      </c>
      <c r="M281" t="s">
        <v>10351</v>
      </c>
      <c r="N281" t="s">
        <v>28</v>
      </c>
      <c r="O281" t="s">
        <v>62</v>
      </c>
      <c r="P281" t="s">
        <v>63</v>
      </c>
      <c r="Q281" t="s">
        <v>31</v>
      </c>
      <c r="R281">
        <v>4</v>
      </c>
      <c r="S281" t="s">
        <v>10352</v>
      </c>
      <c r="T281" t="s">
        <v>10353</v>
      </c>
      <c r="U281" t="s">
        <v>10354</v>
      </c>
      <c r="V281" t="s">
        <v>32</v>
      </c>
      <c r="W281" t="s">
        <v>33</v>
      </c>
      <c r="X281" t="s">
        <v>33</v>
      </c>
      <c r="Y281" t="s">
        <v>33</v>
      </c>
      <c r="Z281" s="16" t="s">
        <v>34</v>
      </c>
      <c r="AA281">
        <v>-75.572607579999996</v>
      </c>
      <c r="AB281">
        <v>6.2540204299999997</v>
      </c>
      <c r="AC281" t="s">
        <v>135</v>
      </c>
      <c r="AD281" t="s">
        <v>136</v>
      </c>
    </row>
    <row r="282" spans="1:30" x14ac:dyDescent="0.25">
      <c r="A282" t="s">
        <v>2359</v>
      </c>
      <c r="B282" t="s">
        <v>25</v>
      </c>
      <c r="C282" t="s">
        <v>26</v>
      </c>
      <c r="D282" t="s">
        <v>39</v>
      </c>
      <c r="E282" t="s">
        <v>2360</v>
      </c>
      <c r="F282" t="s">
        <v>2361</v>
      </c>
      <c r="G282">
        <v>42879459</v>
      </c>
      <c r="H282" t="s">
        <v>2362</v>
      </c>
      <c r="I282" s="4" t="s">
        <v>35</v>
      </c>
      <c r="J282" s="4" t="s">
        <v>2363</v>
      </c>
      <c r="K282" t="s">
        <v>2364</v>
      </c>
      <c r="L282" t="s">
        <v>59</v>
      </c>
      <c r="M282" t="s">
        <v>2365</v>
      </c>
      <c r="N282" t="s">
        <v>60</v>
      </c>
      <c r="O282" t="s">
        <v>40</v>
      </c>
      <c r="P282" t="s">
        <v>41</v>
      </c>
      <c r="Q282" t="s">
        <v>38</v>
      </c>
      <c r="R282">
        <v>8</v>
      </c>
      <c r="S282" t="s">
        <v>2366</v>
      </c>
      <c r="T282" t="s">
        <v>6964</v>
      </c>
      <c r="U282" t="s">
        <v>6965</v>
      </c>
      <c r="V282" t="s">
        <v>32</v>
      </c>
      <c r="W282" t="s">
        <v>33</v>
      </c>
      <c r="X282" t="s">
        <v>33</v>
      </c>
      <c r="Y282" t="s">
        <v>33</v>
      </c>
      <c r="Z282" s="16" t="s">
        <v>34</v>
      </c>
      <c r="AA282">
        <v>-75.630287710000005</v>
      </c>
      <c r="AB282">
        <v>6.1388069500000002</v>
      </c>
      <c r="AC282" t="s">
        <v>135</v>
      </c>
      <c r="AD282" t="s">
        <v>136</v>
      </c>
    </row>
    <row r="283" spans="1:30" x14ac:dyDescent="0.25">
      <c r="A283" t="s">
        <v>9958</v>
      </c>
      <c r="B283" t="s">
        <v>61</v>
      </c>
      <c r="C283" t="s">
        <v>26</v>
      </c>
      <c r="D283" t="s">
        <v>61</v>
      </c>
      <c r="E283" t="s">
        <v>6966</v>
      </c>
      <c r="F283" t="s">
        <v>6967</v>
      </c>
      <c r="G283">
        <v>8235388</v>
      </c>
      <c r="H283" t="s">
        <v>6968</v>
      </c>
      <c r="I283" s="4" t="s">
        <v>6969</v>
      </c>
      <c r="J283" s="4" t="s">
        <v>6970</v>
      </c>
      <c r="K283" t="s">
        <v>6971</v>
      </c>
      <c r="L283" t="s">
        <v>44</v>
      </c>
      <c r="M283" t="s">
        <v>6972</v>
      </c>
      <c r="N283" t="s">
        <v>45</v>
      </c>
      <c r="O283" t="s">
        <v>62</v>
      </c>
      <c r="P283" t="s">
        <v>63</v>
      </c>
      <c r="Q283" t="s">
        <v>31</v>
      </c>
      <c r="R283">
        <v>4</v>
      </c>
      <c r="S283" t="s">
        <v>6973</v>
      </c>
      <c r="T283" t="s">
        <v>6974</v>
      </c>
      <c r="U283" t="s">
        <v>6975</v>
      </c>
      <c r="V283" t="s">
        <v>32</v>
      </c>
      <c r="W283" t="s">
        <v>33</v>
      </c>
      <c r="X283" t="s">
        <v>33</v>
      </c>
      <c r="Y283" t="s">
        <v>33</v>
      </c>
      <c r="Z283" t="s">
        <v>134</v>
      </c>
      <c r="AA283">
        <v>-75.607604859999995</v>
      </c>
      <c r="AB283">
        <v>6.1648899000000004</v>
      </c>
      <c r="AC283" t="s">
        <v>135</v>
      </c>
      <c r="AD283" t="s">
        <v>136</v>
      </c>
    </row>
    <row r="284" spans="1:30" x14ac:dyDescent="0.25">
      <c r="A284" t="s">
        <v>9959</v>
      </c>
      <c r="B284" t="s">
        <v>25</v>
      </c>
      <c r="C284" t="s">
        <v>26</v>
      </c>
      <c r="D284" t="s">
        <v>39</v>
      </c>
      <c r="E284" t="s">
        <v>6976</v>
      </c>
      <c r="F284" t="s">
        <v>6977</v>
      </c>
      <c r="G284">
        <v>1026150666</v>
      </c>
      <c r="H284" t="s">
        <v>6978</v>
      </c>
      <c r="I284" s="4" t="s">
        <v>6979</v>
      </c>
      <c r="J284" s="4" t="s">
        <v>6980</v>
      </c>
      <c r="K284" t="s">
        <v>6981</v>
      </c>
      <c r="L284" t="s">
        <v>57</v>
      </c>
      <c r="M284" t="s">
        <v>6982</v>
      </c>
      <c r="N284" t="s">
        <v>58</v>
      </c>
      <c r="O284" t="s">
        <v>40</v>
      </c>
      <c r="P284" t="s">
        <v>36</v>
      </c>
      <c r="Q284" t="s">
        <v>38</v>
      </c>
      <c r="R284">
        <v>8</v>
      </c>
      <c r="S284" t="s">
        <v>6983</v>
      </c>
      <c r="T284" t="s">
        <v>6984</v>
      </c>
      <c r="U284" t="s">
        <v>6985</v>
      </c>
      <c r="V284" t="s">
        <v>32</v>
      </c>
      <c r="W284" t="s">
        <v>33</v>
      </c>
      <c r="X284" t="s">
        <v>33</v>
      </c>
      <c r="Y284" t="s">
        <v>33</v>
      </c>
      <c r="Z284" s="16" t="s">
        <v>34</v>
      </c>
      <c r="AA284">
        <v>-75.624387049999996</v>
      </c>
      <c r="AB284">
        <v>6.0470949799999998</v>
      </c>
      <c r="AC284" t="s">
        <v>135</v>
      </c>
      <c r="AD284" t="s">
        <v>136</v>
      </c>
    </row>
    <row r="285" spans="1:30" x14ac:dyDescent="0.25">
      <c r="A285" t="s">
        <v>2367</v>
      </c>
      <c r="B285" t="s">
        <v>25</v>
      </c>
      <c r="C285" t="s">
        <v>26</v>
      </c>
      <c r="D285" t="s">
        <v>25</v>
      </c>
      <c r="E285" t="s">
        <v>2368</v>
      </c>
      <c r="F285" t="s">
        <v>2369</v>
      </c>
      <c r="G285">
        <v>1130626454</v>
      </c>
      <c r="H285" t="s">
        <v>2370</v>
      </c>
      <c r="I285" s="4" t="s">
        <v>35</v>
      </c>
      <c r="J285" s="4" t="s">
        <v>2371</v>
      </c>
      <c r="K285" t="s">
        <v>2372</v>
      </c>
      <c r="L285" t="s">
        <v>48</v>
      </c>
      <c r="M285" t="s">
        <v>2373</v>
      </c>
      <c r="N285" t="s">
        <v>64</v>
      </c>
      <c r="O285" t="s">
        <v>29</v>
      </c>
      <c r="P285" t="s">
        <v>54</v>
      </c>
      <c r="Q285" t="s">
        <v>38</v>
      </c>
      <c r="R285">
        <v>10</v>
      </c>
      <c r="S285" t="s">
        <v>2374</v>
      </c>
      <c r="T285" t="s">
        <v>6986</v>
      </c>
      <c r="U285" t="s">
        <v>6987</v>
      </c>
      <c r="V285" t="s">
        <v>32</v>
      </c>
      <c r="W285" t="s">
        <v>33</v>
      </c>
      <c r="X285" t="s">
        <v>33</v>
      </c>
      <c r="Y285" t="s">
        <v>33</v>
      </c>
      <c r="Z285" s="16" t="s">
        <v>34</v>
      </c>
      <c r="AA285">
        <v>-75.524680880000005</v>
      </c>
      <c r="AB285">
        <v>6.1614959100000002</v>
      </c>
      <c r="AC285" t="s">
        <v>135</v>
      </c>
      <c r="AD285" t="s">
        <v>136</v>
      </c>
    </row>
    <row r="286" spans="1:30" x14ac:dyDescent="0.25">
      <c r="A286" t="s">
        <v>2375</v>
      </c>
      <c r="B286" t="s">
        <v>42</v>
      </c>
      <c r="C286" t="s">
        <v>26</v>
      </c>
      <c r="D286" t="s">
        <v>42</v>
      </c>
      <c r="E286" t="s">
        <v>2376</v>
      </c>
      <c r="F286" t="s">
        <v>2377</v>
      </c>
      <c r="G286">
        <v>890980331</v>
      </c>
      <c r="H286" t="s">
        <v>2378</v>
      </c>
      <c r="I286" s="4" t="s">
        <v>2379</v>
      </c>
      <c r="J286" s="4" t="s">
        <v>2380</v>
      </c>
      <c r="K286" t="s">
        <v>2381</v>
      </c>
      <c r="L286" t="s">
        <v>59</v>
      </c>
      <c r="M286" t="s">
        <v>2382</v>
      </c>
      <c r="N286" t="s">
        <v>60</v>
      </c>
      <c r="O286" t="s">
        <v>43</v>
      </c>
      <c r="P286" t="s">
        <v>37</v>
      </c>
      <c r="Q286" t="s">
        <v>31</v>
      </c>
      <c r="R286">
        <v>7</v>
      </c>
      <c r="S286" t="s">
        <v>2383</v>
      </c>
      <c r="T286" t="s">
        <v>2385</v>
      </c>
      <c r="U286" t="s">
        <v>2384</v>
      </c>
      <c r="V286" t="s">
        <v>32</v>
      </c>
      <c r="W286" t="s">
        <v>33</v>
      </c>
      <c r="X286" t="s">
        <v>33</v>
      </c>
      <c r="Y286" t="s">
        <v>33</v>
      </c>
      <c r="Z286" s="16" t="s">
        <v>34</v>
      </c>
      <c r="AA286">
        <v>-75.616439</v>
      </c>
      <c r="AB286">
        <v>6.1512349999999998</v>
      </c>
      <c r="AC286" t="s">
        <v>135</v>
      </c>
      <c r="AD286" t="s">
        <v>136</v>
      </c>
    </row>
    <row r="287" spans="1:30" x14ac:dyDescent="0.25">
      <c r="A287" t="s">
        <v>2386</v>
      </c>
      <c r="B287" t="s">
        <v>25</v>
      </c>
      <c r="C287" t="s">
        <v>26</v>
      </c>
      <c r="D287" t="s">
        <v>39</v>
      </c>
      <c r="E287" t="s">
        <v>2387</v>
      </c>
      <c r="F287" t="s">
        <v>2388</v>
      </c>
      <c r="G287">
        <v>1148697421</v>
      </c>
      <c r="H287" t="s">
        <v>2389</v>
      </c>
      <c r="I287" s="4" t="s">
        <v>2390</v>
      </c>
      <c r="J287" s="4" t="s">
        <v>2391</v>
      </c>
      <c r="K287" t="s">
        <v>2392</v>
      </c>
      <c r="L287" t="s">
        <v>27</v>
      </c>
      <c r="M287" t="s">
        <v>2393</v>
      </c>
      <c r="N287" t="s">
        <v>28</v>
      </c>
      <c r="O287" t="s">
        <v>46</v>
      </c>
      <c r="P287" t="s">
        <v>41</v>
      </c>
      <c r="Q287" t="s">
        <v>31</v>
      </c>
      <c r="R287">
        <v>5</v>
      </c>
      <c r="S287" t="s">
        <v>2394</v>
      </c>
      <c r="T287" t="s">
        <v>1142</v>
      </c>
      <c r="U287" t="s">
        <v>3841</v>
      </c>
      <c r="V287" t="s">
        <v>32</v>
      </c>
      <c r="W287" t="s">
        <v>33</v>
      </c>
      <c r="X287" t="s">
        <v>33</v>
      </c>
      <c r="Y287" t="s">
        <v>33</v>
      </c>
      <c r="Z287" s="16" t="s">
        <v>34</v>
      </c>
      <c r="AA287">
        <v>-75.625602000000001</v>
      </c>
      <c r="AB287">
        <v>6.2342940000000002</v>
      </c>
      <c r="AC287" t="s">
        <v>135</v>
      </c>
      <c r="AD287" t="s">
        <v>136</v>
      </c>
    </row>
    <row r="288" spans="1:30" x14ac:dyDescent="0.25">
      <c r="A288" t="s">
        <v>2396</v>
      </c>
      <c r="B288" t="s">
        <v>25</v>
      </c>
      <c r="C288" t="s">
        <v>26</v>
      </c>
      <c r="D288" t="s">
        <v>39</v>
      </c>
      <c r="E288" t="s">
        <v>2397</v>
      </c>
      <c r="F288" t="s">
        <v>2398</v>
      </c>
      <c r="G288">
        <v>43867006</v>
      </c>
      <c r="H288" t="s">
        <v>2399</v>
      </c>
      <c r="I288" s="4" t="s">
        <v>2400</v>
      </c>
      <c r="J288" s="4" t="s">
        <v>2401</v>
      </c>
      <c r="K288" t="s">
        <v>2402</v>
      </c>
      <c r="L288" t="s">
        <v>27</v>
      </c>
      <c r="M288" t="s">
        <v>2403</v>
      </c>
      <c r="N288" t="s">
        <v>28</v>
      </c>
      <c r="O288" t="s">
        <v>46</v>
      </c>
      <c r="P288" t="s">
        <v>41</v>
      </c>
      <c r="Q288" t="s">
        <v>31</v>
      </c>
      <c r="R288">
        <v>5</v>
      </c>
      <c r="S288" t="s">
        <v>2404</v>
      </c>
      <c r="T288" t="s">
        <v>2528</v>
      </c>
      <c r="U288" t="s">
        <v>3500</v>
      </c>
      <c r="V288" t="s">
        <v>131</v>
      </c>
      <c r="W288" t="s">
        <v>33</v>
      </c>
      <c r="X288" t="s">
        <v>33</v>
      </c>
      <c r="Y288" t="s">
        <v>33</v>
      </c>
      <c r="Z288" s="16" t="s">
        <v>34</v>
      </c>
      <c r="AA288">
        <v>-75.621040500000007</v>
      </c>
      <c r="AB288">
        <v>6.2454973999999996</v>
      </c>
      <c r="AC288" t="s">
        <v>135</v>
      </c>
      <c r="AD288" t="s">
        <v>136</v>
      </c>
    </row>
    <row r="289" spans="1:30" x14ac:dyDescent="0.25">
      <c r="A289" t="s">
        <v>143</v>
      </c>
      <c r="B289" t="s">
        <v>42</v>
      </c>
      <c r="C289" t="s">
        <v>26</v>
      </c>
      <c r="D289" t="s">
        <v>42</v>
      </c>
      <c r="E289" t="s">
        <v>104</v>
      </c>
      <c r="F289" t="s">
        <v>2405</v>
      </c>
      <c r="G289">
        <v>43681489</v>
      </c>
      <c r="H289" t="s">
        <v>105</v>
      </c>
      <c r="I289" s="4" t="s">
        <v>35</v>
      </c>
      <c r="J289" s="4" t="s">
        <v>106</v>
      </c>
      <c r="K289" t="s">
        <v>107</v>
      </c>
      <c r="L289" t="s">
        <v>27</v>
      </c>
      <c r="M289" t="s">
        <v>108</v>
      </c>
      <c r="N289" t="s">
        <v>28</v>
      </c>
      <c r="O289" t="s">
        <v>43</v>
      </c>
      <c r="P289" t="s">
        <v>36</v>
      </c>
      <c r="Q289" t="s">
        <v>31</v>
      </c>
      <c r="R289">
        <v>7</v>
      </c>
      <c r="S289" t="s">
        <v>2406</v>
      </c>
      <c r="T289" t="s">
        <v>2528</v>
      </c>
      <c r="U289" t="s">
        <v>2527</v>
      </c>
      <c r="V289" t="s">
        <v>49</v>
      </c>
      <c r="W289" t="s">
        <v>33</v>
      </c>
      <c r="X289" t="s">
        <v>33</v>
      </c>
      <c r="Y289" t="s">
        <v>33</v>
      </c>
      <c r="Z289" s="16" t="s">
        <v>34</v>
      </c>
      <c r="AA289">
        <v>-75.569931690000004</v>
      </c>
      <c r="AB289">
        <v>6.2107174499999998</v>
      </c>
      <c r="AC289" t="s">
        <v>135</v>
      </c>
      <c r="AD289" t="s">
        <v>136</v>
      </c>
    </row>
    <row r="290" spans="1:30" x14ac:dyDescent="0.25">
      <c r="A290" t="s">
        <v>144</v>
      </c>
      <c r="B290" t="s">
        <v>42</v>
      </c>
      <c r="C290" t="s">
        <v>26</v>
      </c>
      <c r="D290" t="s">
        <v>42</v>
      </c>
      <c r="E290" t="s">
        <v>109</v>
      </c>
      <c r="F290" t="s">
        <v>2408</v>
      </c>
      <c r="G290">
        <v>1152467812</v>
      </c>
      <c r="H290" t="s">
        <v>110</v>
      </c>
      <c r="I290" s="4" t="s">
        <v>111</v>
      </c>
      <c r="J290" s="4" t="s">
        <v>112</v>
      </c>
      <c r="K290" t="s">
        <v>113</v>
      </c>
      <c r="L290" t="s">
        <v>27</v>
      </c>
      <c r="M290" t="s">
        <v>114</v>
      </c>
      <c r="N290" t="s">
        <v>28</v>
      </c>
      <c r="O290" t="s">
        <v>43</v>
      </c>
      <c r="P290" t="s">
        <v>36</v>
      </c>
      <c r="Q290" t="s">
        <v>31</v>
      </c>
      <c r="R290">
        <v>7</v>
      </c>
      <c r="S290" t="s">
        <v>2409</v>
      </c>
      <c r="T290" t="s">
        <v>6988</v>
      </c>
      <c r="U290" t="s">
        <v>6989</v>
      </c>
      <c r="V290" t="s">
        <v>49</v>
      </c>
      <c r="W290" t="s">
        <v>33</v>
      </c>
      <c r="X290" t="s">
        <v>33</v>
      </c>
      <c r="Y290" t="s">
        <v>33</v>
      </c>
      <c r="Z290" s="16" t="s">
        <v>34</v>
      </c>
      <c r="AA290">
        <v>-75.569931690000004</v>
      </c>
      <c r="AB290">
        <v>6.2107174499999998</v>
      </c>
      <c r="AC290" t="s">
        <v>135</v>
      </c>
      <c r="AD290" t="s">
        <v>136</v>
      </c>
    </row>
    <row r="291" spans="1:30" x14ac:dyDescent="0.25">
      <c r="A291" t="s">
        <v>2410</v>
      </c>
      <c r="B291" t="s">
        <v>42</v>
      </c>
      <c r="C291" t="s">
        <v>26</v>
      </c>
      <c r="D291" t="s">
        <v>42</v>
      </c>
      <c r="E291" t="s">
        <v>2411</v>
      </c>
      <c r="F291" t="s">
        <v>2412</v>
      </c>
      <c r="G291">
        <v>42748272</v>
      </c>
      <c r="H291" t="s">
        <v>2413</v>
      </c>
      <c r="I291" s="4" t="s">
        <v>2414</v>
      </c>
      <c r="J291" s="4" t="s">
        <v>2415</v>
      </c>
      <c r="K291" t="s">
        <v>2416</v>
      </c>
      <c r="L291" t="s">
        <v>44</v>
      </c>
      <c r="M291" t="s">
        <v>2417</v>
      </c>
      <c r="N291" t="s">
        <v>45</v>
      </c>
      <c r="O291" t="s">
        <v>43</v>
      </c>
      <c r="P291" t="s">
        <v>37</v>
      </c>
      <c r="Q291" t="s">
        <v>31</v>
      </c>
      <c r="R291">
        <v>7</v>
      </c>
      <c r="S291" t="s">
        <v>2418</v>
      </c>
      <c r="T291" t="s">
        <v>6990</v>
      </c>
      <c r="U291" t="s">
        <v>6991</v>
      </c>
      <c r="V291" t="s">
        <v>49</v>
      </c>
      <c r="W291" t="s">
        <v>33</v>
      </c>
      <c r="X291" t="s">
        <v>33</v>
      </c>
      <c r="Y291" t="s">
        <v>33</v>
      </c>
      <c r="Z291" s="16" t="s">
        <v>34</v>
      </c>
      <c r="AA291">
        <v>-75.62669434</v>
      </c>
      <c r="AB291">
        <v>6.1643108</v>
      </c>
      <c r="AC291" t="s">
        <v>135</v>
      </c>
      <c r="AD291" t="s">
        <v>136</v>
      </c>
    </row>
    <row r="292" spans="1:30" x14ac:dyDescent="0.25">
      <c r="A292" t="s">
        <v>9960</v>
      </c>
      <c r="B292" t="s">
        <v>25</v>
      </c>
      <c r="C292" t="s">
        <v>26</v>
      </c>
      <c r="D292" t="s">
        <v>39</v>
      </c>
      <c r="E292" t="s">
        <v>6992</v>
      </c>
      <c r="F292" t="s">
        <v>6993</v>
      </c>
      <c r="G292">
        <v>43686177</v>
      </c>
      <c r="H292" t="s">
        <v>6994</v>
      </c>
      <c r="I292" s="4" t="s">
        <v>35</v>
      </c>
      <c r="J292" s="4" t="s">
        <v>115</v>
      </c>
      <c r="K292" t="s">
        <v>6995</v>
      </c>
      <c r="L292" t="s">
        <v>57</v>
      </c>
      <c r="M292" t="s">
        <v>6996</v>
      </c>
      <c r="N292" t="s">
        <v>58</v>
      </c>
      <c r="O292" t="s">
        <v>40</v>
      </c>
      <c r="P292" t="s">
        <v>36</v>
      </c>
      <c r="Q292" t="s">
        <v>31</v>
      </c>
      <c r="R292">
        <v>5</v>
      </c>
      <c r="S292" t="s">
        <v>6997</v>
      </c>
      <c r="T292" t="s">
        <v>6998</v>
      </c>
      <c r="U292" t="s">
        <v>6999</v>
      </c>
      <c r="V292" t="s">
        <v>32</v>
      </c>
      <c r="W292" t="s">
        <v>33</v>
      </c>
      <c r="X292" t="s">
        <v>33</v>
      </c>
      <c r="Y292" t="s">
        <v>33</v>
      </c>
      <c r="Z292" s="16" t="s">
        <v>34</v>
      </c>
      <c r="AA292">
        <v>-75.640576999999993</v>
      </c>
      <c r="AB292">
        <v>6.1065620000000003</v>
      </c>
      <c r="AC292" t="s">
        <v>135</v>
      </c>
      <c r="AD292" t="s">
        <v>136</v>
      </c>
    </row>
    <row r="293" spans="1:30" x14ac:dyDescent="0.25">
      <c r="A293" t="s">
        <v>9961</v>
      </c>
      <c r="B293" t="s">
        <v>25</v>
      </c>
      <c r="C293" t="s">
        <v>26</v>
      </c>
      <c r="D293" t="s">
        <v>39</v>
      </c>
      <c r="E293" t="s">
        <v>7000</v>
      </c>
      <c r="F293" t="s">
        <v>7001</v>
      </c>
      <c r="G293">
        <v>43686177</v>
      </c>
      <c r="H293" t="s">
        <v>6994</v>
      </c>
      <c r="I293" s="4" t="s">
        <v>35</v>
      </c>
      <c r="J293" s="4" t="s">
        <v>115</v>
      </c>
      <c r="K293" t="s">
        <v>7002</v>
      </c>
      <c r="L293" t="s">
        <v>57</v>
      </c>
      <c r="M293" t="s">
        <v>7003</v>
      </c>
      <c r="N293" t="s">
        <v>58</v>
      </c>
      <c r="O293" t="s">
        <v>40</v>
      </c>
      <c r="P293" t="s">
        <v>36</v>
      </c>
      <c r="Q293" t="s">
        <v>31</v>
      </c>
      <c r="R293">
        <v>5</v>
      </c>
      <c r="S293" t="s">
        <v>7004</v>
      </c>
      <c r="T293" t="s">
        <v>7005</v>
      </c>
      <c r="U293" t="s">
        <v>7006</v>
      </c>
      <c r="V293" t="s">
        <v>32</v>
      </c>
      <c r="W293" t="s">
        <v>33</v>
      </c>
      <c r="X293" t="s">
        <v>33</v>
      </c>
      <c r="Y293" t="s">
        <v>33</v>
      </c>
      <c r="Z293" s="16" t="s">
        <v>34</v>
      </c>
      <c r="AA293">
        <v>-75.640576999999993</v>
      </c>
      <c r="AB293">
        <v>6.1065620000000003</v>
      </c>
      <c r="AC293" t="s">
        <v>135</v>
      </c>
      <c r="AD293" t="s">
        <v>136</v>
      </c>
    </row>
    <row r="294" spans="1:30" x14ac:dyDescent="0.25">
      <c r="A294" t="s">
        <v>9962</v>
      </c>
      <c r="B294" t="s">
        <v>25</v>
      </c>
      <c r="C294" t="s">
        <v>26</v>
      </c>
      <c r="D294" t="s">
        <v>39</v>
      </c>
      <c r="E294" t="s">
        <v>7007</v>
      </c>
      <c r="F294" t="s">
        <v>7008</v>
      </c>
      <c r="G294">
        <v>43758836</v>
      </c>
      <c r="H294" t="s">
        <v>7009</v>
      </c>
      <c r="I294" s="4" t="s">
        <v>35</v>
      </c>
      <c r="J294" s="4" t="s">
        <v>115</v>
      </c>
      <c r="K294" t="s">
        <v>7010</v>
      </c>
      <c r="L294" t="s">
        <v>57</v>
      </c>
      <c r="M294" t="s">
        <v>7011</v>
      </c>
      <c r="N294" t="s">
        <v>58</v>
      </c>
      <c r="O294" t="s">
        <v>40</v>
      </c>
      <c r="P294" t="s">
        <v>36</v>
      </c>
      <c r="Q294" t="s">
        <v>31</v>
      </c>
      <c r="R294">
        <v>5</v>
      </c>
      <c r="S294" t="s">
        <v>7012</v>
      </c>
      <c r="T294" t="s">
        <v>7013</v>
      </c>
      <c r="U294" t="s">
        <v>7014</v>
      </c>
      <c r="V294" t="s">
        <v>32</v>
      </c>
      <c r="W294" t="s">
        <v>33</v>
      </c>
      <c r="X294" t="s">
        <v>33</v>
      </c>
      <c r="Y294" t="s">
        <v>33</v>
      </c>
      <c r="Z294" s="16" t="s">
        <v>34</v>
      </c>
      <c r="AA294">
        <v>-75.641244060000005</v>
      </c>
      <c r="AB294">
        <v>6.1107932099999998</v>
      </c>
      <c r="AC294" t="s">
        <v>135</v>
      </c>
      <c r="AD294" t="s">
        <v>136</v>
      </c>
    </row>
    <row r="295" spans="1:30" x14ac:dyDescent="0.25">
      <c r="A295" t="s">
        <v>930</v>
      </c>
      <c r="B295" t="s">
        <v>25</v>
      </c>
      <c r="C295" t="s">
        <v>26</v>
      </c>
      <c r="D295" t="s">
        <v>39</v>
      </c>
      <c r="E295" t="s">
        <v>931</v>
      </c>
      <c r="F295" t="s">
        <v>932</v>
      </c>
      <c r="G295">
        <v>21659760</v>
      </c>
      <c r="H295" t="s">
        <v>933</v>
      </c>
      <c r="I295" s="4" t="s">
        <v>934</v>
      </c>
      <c r="J295" s="4" t="s">
        <v>935</v>
      </c>
      <c r="K295" t="s">
        <v>936</v>
      </c>
      <c r="L295" t="s">
        <v>27</v>
      </c>
      <c r="M295" t="s">
        <v>937</v>
      </c>
      <c r="N295" t="s">
        <v>28</v>
      </c>
      <c r="O295" t="s">
        <v>46</v>
      </c>
      <c r="P295" t="s">
        <v>41</v>
      </c>
      <c r="Q295" t="s">
        <v>31</v>
      </c>
      <c r="R295">
        <v>5</v>
      </c>
      <c r="S295" t="s">
        <v>938</v>
      </c>
      <c r="T295" t="s">
        <v>7015</v>
      </c>
      <c r="U295" t="s">
        <v>47</v>
      </c>
      <c r="V295" t="s">
        <v>47</v>
      </c>
      <c r="W295" t="s">
        <v>33</v>
      </c>
      <c r="X295" t="s">
        <v>33</v>
      </c>
      <c r="Y295" t="s">
        <v>33</v>
      </c>
      <c r="Z295" t="s">
        <v>134</v>
      </c>
      <c r="AA295">
        <v>-75.626542999999998</v>
      </c>
      <c r="AB295">
        <v>6.2692240000000004</v>
      </c>
      <c r="AC295" t="s">
        <v>135</v>
      </c>
      <c r="AD295" t="s">
        <v>136</v>
      </c>
    </row>
    <row r="296" spans="1:30" x14ac:dyDescent="0.25">
      <c r="A296" t="s">
        <v>2420</v>
      </c>
      <c r="B296" t="s">
        <v>65</v>
      </c>
      <c r="C296" t="s">
        <v>26</v>
      </c>
      <c r="D296" t="s">
        <v>66</v>
      </c>
      <c r="E296" t="s">
        <v>2421</v>
      </c>
      <c r="F296" t="s">
        <v>2422</v>
      </c>
      <c r="G296">
        <v>1053867076</v>
      </c>
      <c r="H296" t="s">
        <v>2423</v>
      </c>
      <c r="I296" s="4" t="s">
        <v>35</v>
      </c>
      <c r="J296" s="4" t="s">
        <v>2424</v>
      </c>
      <c r="K296" t="s">
        <v>2425</v>
      </c>
      <c r="L296" t="s">
        <v>44</v>
      </c>
      <c r="M296" t="s">
        <v>2426</v>
      </c>
      <c r="N296" t="s">
        <v>45</v>
      </c>
      <c r="O296" t="s">
        <v>68</v>
      </c>
      <c r="P296" t="s">
        <v>74</v>
      </c>
      <c r="Q296" t="s">
        <v>31</v>
      </c>
      <c r="R296">
        <v>9</v>
      </c>
      <c r="S296" t="s">
        <v>2427</v>
      </c>
      <c r="T296" t="s">
        <v>7016</v>
      </c>
      <c r="U296" t="s">
        <v>47</v>
      </c>
      <c r="V296" t="s">
        <v>47</v>
      </c>
      <c r="W296" t="s">
        <v>33</v>
      </c>
      <c r="X296" t="s">
        <v>33</v>
      </c>
      <c r="Y296" t="s">
        <v>33</v>
      </c>
      <c r="Z296" t="s">
        <v>134</v>
      </c>
      <c r="AA296">
        <v>-75.608930740000005</v>
      </c>
      <c r="AB296">
        <v>6.1662684499999996</v>
      </c>
      <c r="AC296" t="s">
        <v>135</v>
      </c>
      <c r="AD296" t="s">
        <v>136</v>
      </c>
    </row>
    <row r="297" spans="1:30" x14ac:dyDescent="0.25">
      <c r="A297" t="s">
        <v>2428</v>
      </c>
      <c r="B297" t="s">
        <v>42</v>
      </c>
      <c r="C297" t="s">
        <v>26</v>
      </c>
      <c r="D297" t="s">
        <v>42</v>
      </c>
      <c r="E297" t="s">
        <v>2429</v>
      </c>
      <c r="F297" t="s">
        <v>2430</v>
      </c>
      <c r="G297">
        <v>15327603</v>
      </c>
      <c r="H297" t="s">
        <v>2431</v>
      </c>
      <c r="I297" s="4" t="s">
        <v>2432</v>
      </c>
      <c r="J297" s="4" t="s">
        <v>477</v>
      </c>
      <c r="K297" t="s">
        <v>2433</v>
      </c>
      <c r="L297" t="s">
        <v>27</v>
      </c>
      <c r="M297" t="s">
        <v>2434</v>
      </c>
      <c r="N297" t="s">
        <v>28</v>
      </c>
      <c r="O297" t="s">
        <v>43</v>
      </c>
      <c r="P297" t="s">
        <v>37</v>
      </c>
      <c r="Q297" t="s">
        <v>31</v>
      </c>
      <c r="R297">
        <v>7</v>
      </c>
      <c r="S297" t="s">
        <v>2435</v>
      </c>
      <c r="T297" t="s">
        <v>2437</v>
      </c>
      <c r="U297" t="s">
        <v>2436</v>
      </c>
      <c r="V297" t="s">
        <v>32</v>
      </c>
      <c r="W297" t="s">
        <v>33</v>
      </c>
      <c r="X297" t="s">
        <v>33</v>
      </c>
      <c r="Y297" t="s">
        <v>33</v>
      </c>
      <c r="Z297" s="16" t="s">
        <v>34</v>
      </c>
      <c r="AA297">
        <v>-75.583842000000004</v>
      </c>
      <c r="AB297">
        <v>6.2280009999999999</v>
      </c>
      <c r="AC297" t="s">
        <v>135</v>
      </c>
      <c r="AD297" t="s">
        <v>136</v>
      </c>
    </row>
    <row r="298" spans="1:30" x14ac:dyDescent="0.25">
      <c r="A298" t="s">
        <v>2439</v>
      </c>
      <c r="B298" t="s">
        <v>25</v>
      </c>
      <c r="C298" t="s">
        <v>26</v>
      </c>
      <c r="D298" t="s">
        <v>25</v>
      </c>
      <c r="E298" t="s">
        <v>2440</v>
      </c>
      <c r="F298" t="s">
        <v>2441</v>
      </c>
      <c r="G298">
        <v>3348734</v>
      </c>
      <c r="H298" t="s">
        <v>2442</v>
      </c>
      <c r="I298" s="4" t="s">
        <v>35</v>
      </c>
      <c r="J298" s="4" t="s">
        <v>1146</v>
      </c>
      <c r="K298" t="s">
        <v>2443</v>
      </c>
      <c r="L298" t="s">
        <v>27</v>
      </c>
      <c r="M298" t="s">
        <v>2444</v>
      </c>
      <c r="N298" t="s">
        <v>28</v>
      </c>
      <c r="O298" t="s">
        <v>29</v>
      </c>
      <c r="P298" t="s">
        <v>37</v>
      </c>
      <c r="Q298" t="s">
        <v>31</v>
      </c>
      <c r="R298">
        <v>7</v>
      </c>
      <c r="S298" t="s">
        <v>2445</v>
      </c>
      <c r="T298" t="s">
        <v>7018</v>
      </c>
      <c r="U298" t="s">
        <v>7019</v>
      </c>
      <c r="V298" t="s">
        <v>32</v>
      </c>
      <c r="W298" t="s">
        <v>1639</v>
      </c>
      <c r="X298" t="s">
        <v>1533</v>
      </c>
      <c r="Y298" t="s">
        <v>10355</v>
      </c>
      <c r="Z298" s="16" t="s">
        <v>34</v>
      </c>
      <c r="AA298">
        <v>-75.595450119999995</v>
      </c>
      <c r="AB298">
        <v>6.2244734499999996</v>
      </c>
      <c r="AC298" t="s">
        <v>135</v>
      </c>
      <c r="AD298" t="s">
        <v>136</v>
      </c>
    </row>
    <row r="299" spans="1:30" x14ac:dyDescent="0.25">
      <c r="A299" t="s">
        <v>2446</v>
      </c>
      <c r="B299" t="s">
        <v>25</v>
      </c>
      <c r="C299" t="s">
        <v>26</v>
      </c>
      <c r="D299" t="s">
        <v>39</v>
      </c>
      <c r="E299" t="s">
        <v>2447</v>
      </c>
      <c r="F299" t="s">
        <v>2448</v>
      </c>
      <c r="G299">
        <v>1152210535</v>
      </c>
      <c r="H299" t="s">
        <v>2449</v>
      </c>
      <c r="I299" s="4" t="s">
        <v>35</v>
      </c>
      <c r="J299" s="4" t="s">
        <v>2450</v>
      </c>
      <c r="K299" t="s">
        <v>2451</v>
      </c>
      <c r="L299" t="s">
        <v>27</v>
      </c>
      <c r="M299" t="s">
        <v>2452</v>
      </c>
      <c r="N299" t="s">
        <v>28</v>
      </c>
      <c r="O299" t="s">
        <v>46</v>
      </c>
      <c r="P299" t="s">
        <v>41</v>
      </c>
      <c r="Q299" t="s">
        <v>31</v>
      </c>
      <c r="R299">
        <v>5</v>
      </c>
      <c r="S299" t="s">
        <v>2453</v>
      </c>
      <c r="T299" t="s">
        <v>7020</v>
      </c>
      <c r="U299" t="s">
        <v>7021</v>
      </c>
      <c r="V299" t="s">
        <v>131</v>
      </c>
      <c r="W299" t="s">
        <v>33</v>
      </c>
      <c r="X299" t="s">
        <v>33</v>
      </c>
      <c r="Y299" t="s">
        <v>33</v>
      </c>
      <c r="Z299" s="16" t="s">
        <v>34</v>
      </c>
      <c r="AA299">
        <v>-75.603185999999994</v>
      </c>
      <c r="AB299">
        <v>6.273917</v>
      </c>
      <c r="AC299" t="s">
        <v>135</v>
      </c>
      <c r="AD299" t="s">
        <v>136</v>
      </c>
    </row>
    <row r="300" spans="1:30" x14ac:dyDescent="0.25">
      <c r="A300" t="s">
        <v>9963</v>
      </c>
      <c r="B300" t="s">
        <v>25</v>
      </c>
      <c r="C300" t="s">
        <v>26</v>
      </c>
      <c r="D300" t="s">
        <v>39</v>
      </c>
      <c r="E300" t="s">
        <v>7022</v>
      </c>
      <c r="F300" t="s">
        <v>7023</v>
      </c>
      <c r="G300">
        <v>8303770</v>
      </c>
      <c r="H300" t="s">
        <v>7024</v>
      </c>
      <c r="I300" s="4" t="s">
        <v>7025</v>
      </c>
      <c r="J300" s="4" t="s">
        <v>7026</v>
      </c>
      <c r="K300" t="s">
        <v>7027</v>
      </c>
      <c r="L300" t="s">
        <v>27</v>
      </c>
      <c r="M300" t="s">
        <v>7028</v>
      </c>
      <c r="N300" t="s">
        <v>28</v>
      </c>
      <c r="O300" t="s">
        <v>40</v>
      </c>
      <c r="P300" t="s">
        <v>41</v>
      </c>
      <c r="Q300" t="s">
        <v>31</v>
      </c>
      <c r="R300">
        <v>5</v>
      </c>
      <c r="S300" t="s">
        <v>7029</v>
      </c>
      <c r="T300" t="s">
        <v>7030</v>
      </c>
      <c r="U300" t="s">
        <v>7031</v>
      </c>
      <c r="V300" t="s">
        <v>32</v>
      </c>
      <c r="W300" t="s">
        <v>33</v>
      </c>
      <c r="X300" t="s">
        <v>33</v>
      </c>
      <c r="Y300" t="s">
        <v>33</v>
      </c>
      <c r="Z300" s="16" t="s">
        <v>34</v>
      </c>
      <c r="AA300">
        <v>-75.620059999999995</v>
      </c>
      <c r="AB300">
        <v>6.2235250000000004</v>
      </c>
      <c r="AC300" t="s">
        <v>135</v>
      </c>
      <c r="AD300" t="s">
        <v>136</v>
      </c>
    </row>
    <row r="301" spans="1:30" x14ac:dyDescent="0.25">
      <c r="A301" t="s">
        <v>478</v>
      </c>
      <c r="B301" t="s">
        <v>25</v>
      </c>
      <c r="C301" t="s">
        <v>26</v>
      </c>
      <c r="D301" t="s">
        <v>39</v>
      </c>
      <c r="E301" t="s">
        <v>479</v>
      </c>
      <c r="F301" t="s">
        <v>480</v>
      </c>
      <c r="G301">
        <v>43022546</v>
      </c>
      <c r="H301" t="s">
        <v>481</v>
      </c>
      <c r="I301" s="4" t="s">
        <v>35</v>
      </c>
      <c r="J301" s="4" t="s">
        <v>482</v>
      </c>
      <c r="K301" t="s">
        <v>483</v>
      </c>
      <c r="L301" t="s">
        <v>57</v>
      </c>
      <c r="M301" t="s">
        <v>484</v>
      </c>
      <c r="N301" t="s">
        <v>58</v>
      </c>
      <c r="O301" t="s">
        <v>40</v>
      </c>
      <c r="P301" t="s">
        <v>36</v>
      </c>
      <c r="Q301" t="s">
        <v>38</v>
      </c>
      <c r="R301">
        <v>8</v>
      </c>
      <c r="S301" t="s">
        <v>485</v>
      </c>
      <c r="T301" t="s">
        <v>6466</v>
      </c>
      <c r="U301" t="s">
        <v>47</v>
      </c>
      <c r="V301" t="s">
        <v>47</v>
      </c>
      <c r="W301" t="s">
        <v>33</v>
      </c>
      <c r="X301" t="s">
        <v>33</v>
      </c>
      <c r="Y301" t="s">
        <v>33</v>
      </c>
      <c r="Z301" s="16" t="s">
        <v>34</v>
      </c>
      <c r="AA301">
        <v>-75.622352800000002</v>
      </c>
      <c r="AB301">
        <v>6.0841204800000002</v>
      </c>
      <c r="AC301" t="s">
        <v>135</v>
      </c>
      <c r="AD301" t="s">
        <v>136</v>
      </c>
    </row>
    <row r="302" spans="1:30" x14ac:dyDescent="0.25">
      <c r="A302" t="s">
        <v>2455</v>
      </c>
      <c r="B302" t="s">
        <v>25</v>
      </c>
      <c r="C302" t="s">
        <v>26</v>
      </c>
      <c r="D302" t="s">
        <v>39</v>
      </c>
      <c r="E302" t="s">
        <v>2456</v>
      </c>
      <c r="F302" t="s">
        <v>2457</v>
      </c>
      <c r="G302">
        <v>1037668843</v>
      </c>
      <c r="H302" t="s">
        <v>2458</v>
      </c>
      <c r="I302" s="4" t="s">
        <v>35</v>
      </c>
      <c r="J302" s="4" t="s">
        <v>2459</v>
      </c>
      <c r="K302" t="s">
        <v>2460</v>
      </c>
      <c r="L302" t="s">
        <v>27</v>
      </c>
      <c r="M302" t="s">
        <v>2461</v>
      </c>
      <c r="N302" t="s">
        <v>28</v>
      </c>
      <c r="O302" t="s">
        <v>40</v>
      </c>
      <c r="P302" t="s">
        <v>41</v>
      </c>
      <c r="Q302" t="s">
        <v>31</v>
      </c>
      <c r="R302">
        <v>5</v>
      </c>
      <c r="S302" t="s">
        <v>2462</v>
      </c>
      <c r="T302" t="s">
        <v>2464</v>
      </c>
      <c r="U302" t="s">
        <v>2463</v>
      </c>
      <c r="V302" t="s">
        <v>49</v>
      </c>
      <c r="W302" t="s">
        <v>33</v>
      </c>
      <c r="X302" t="s">
        <v>33</v>
      </c>
      <c r="Y302" t="s">
        <v>33</v>
      </c>
      <c r="Z302" s="16" t="s">
        <v>34</v>
      </c>
      <c r="AA302">
        <v>-75.625735000000006</v>
      </c>
      <c r="AB302">
        <v>6.2253930000000004</v>
      </c>
      <c r="AC302" t="s">
        <v>135</v>
      </c>
      <c r="AD302" t="s">
        <v>136</v>
      </c>
    </row>
    <row r="303" spans="1:30" x14ac:dyDescent="0.25">
      <c r="A303" t="s">
        <v>10356</v>
      </c>
      <c r="B303" t="s">
        <v>10357</v>
      </c>
      <c r="C303" t="s">
        <v>26</v>
      </c>
      <c r="D303" t="s">
        <v>10357</v>
      </c>
      <c r="E303" t="s">
        <v>10358</v>
      </c>
      <c r="F303" t="s">
        <v>10359</v>
      </c>
      <c r="G303">
        <v>71296208</v>
      </c>
      <c r="H303" t="s">
        <v>10360</v>
      </c>
      <c r="I303" s="4" t="s">
        <v>35</v>
      </c>
      <c r="J303" s="4" t="s">
        <v>10361</v>
      </c>
      <c r="K303" t="s">
        <v>10362</v>
      </c>
      <c r="L303" t="s">
        <v>59</v>
      </c>
      <c r="M303" t="s">
        <v>10363</v>
      </c>
      <c r="N303" t="s">
        <v>60</v>
      </c>
      <c r="O303" t="s">
        <v>29</v>
      </c>
      <c r="P303" t="s">
        <v>10364</v>
      </c>
      <c r="Q303" t="s">
        <v>31</v>
      </c>
      <c r="R303">
        <v>7</v>
      </c>
      <c r="S303" t="s">
        <v>10365</v>
      </c>
      <c r="T303" t="s">
        <v>10366</v>
      </c>
      <c r="U303" t="s">
        <v>10367</v>
      </c>
      <c r="V303" t="s">
        <v>32</v>
      </c>
      <c r="W303" t="s">
        <v>33</v>
      </c>
      <c r="X303" t="s">
        <v>33</v>
      </c>
      <c r="Y303" t="s">
        <v>33</v>
      </c>
      <c r="Z303" s="16" t="s">
        <v>34</v>
      </c>
      <c r="AA303">
        <v>-75.620727000000002</v>
      </c>
      <c r="AB303">
        <v>6.1504149999999997</v>
      </c>
      <c r="AC303" t="s">
        <v>135</v>
      </c>
      <c r="AD303" t="s">
        <v>136</v>
      </c>
    </row>
    <row r="304" spans="1:30" x14ac:dyDescent="0.25">
      <c r="A304" t="s">
        <v>9964</v>
      </c>
      <c r="B304" t="s">
        <v>25</v>
      </c>
      <c r="C304" t="s">
        <v>26</v>
      </c>
      <c r="D304" t="s">
        <v>25</v>
      </c>
      <c r="E304" t="s">
        <v>7032</v>
      </c>
      <c r="F304" t="s">
        <v>7033</v>
      </c>
      <c r="G304">
        <v>43836858</v>
      </c>
      <c r="H304" t="s">
        <v>7034</v>
      </c>
      <c r="I304" s="4" t="s">
        <v>35</v>
      </c>
      <c r="J304" s="4" t="s">
        <v>7035</v>
      </c>
      <c r="K304" t="s">
        <v>7036</v>
      </c>
      <c r="L304" t="s">
        <v>44</v>
      </c>
      <c r="M304" t="s">
        <v>7037</v>
      </c>
      <c r="N304" t="s">
        <v>45</v>
      </c>
      <c r="O304" t="s">
        <v>29</v>
      </c>
      <c r="P304" t="s">
        <v>37</v>
      </c>
      <c r="Q304" t="s">
        <v>31</v>
      </c>
      <c r="R304">
        <v>7</v>
      </c>
      <c r="S304" t="s">
        <v>7038</v>
      </c>
      <c r="T304" t="s">
        <v>7039</v>
      </c>
      <c r="U304" t="s">
        <v>7040</v>
      </c>
      <c r="V304" t="s">
        <v>32</v>
      </c>
      <c r="W304" t="s">
        <v>33</v>
      </c>
      <c r="X304" t="s">
        <v>33</v>
      </c>
      <c r="Y304" t="s">
        <v>33</v>
      </c>
      <c r="Z304" s="16" t="s">
        <v>34</v>
      </c>
      <c r="AA304">
        <v>-75.639408489999994</v>
      </c>
      <c r="AB304">
        <v>6.1709468000000003</v>
      </c>
      <c r="AC304" t="s">
        <v>135</v>
      </c>
      <c r="AD304" t="s">
        <v>136</v>
      </c>
    </row>
    <row r="305" spans="1:30" x14ac:dyDescent="0.25">
      <c r="A305" t="s">
        <v>2465</v>
      </c>
      <c r="B305" t="s">
        <v>42</v>
      </c>
      <c r="C305" t="s">
        <v>75</v>
      </c>
      <c r="D305" t="s">
        <v>42</v>
      </c>
      <c r="E305" t="s">
        <v>2466</v>
      </c>
      <c r="F305" t="s">
        <v>2467</v>
      </c>
      <c r="G305">
        <v>1039450593</v>
      </c>
      <c r="H305" t="s">
        <v>2468</v>
      </c>
      <c r="I305" s="4" t="s">
        <v>35</v>
      </c>
      <c r="J305" s="4" t="s">
        <v>2469</v>
      </c>
      <c r="K305" t="s">
        <v>2470</v>
      </c>
      <c r="L305" t="s">
        <v>48</v>
      </c>
      <c r="M305" t="s">
        <v>2471</v>
      </c>
      <c r="N305" t="s">
        <v>64</v>
      </c>
      <c r="O305" t="s">
        <v>76</v>
      </c>
      <c r="P305" t="s">
        <v>30</v>
      </c>
      <c r="Q305" t="s">
        <v>31</v>
      </c>
      <c r="R305">
        <v>7</v>
      </c>
      <c r="S305" t="s">
        <v>2472</v>
      </c>
      <c r="T305" t="s">
        <v>7041</v>
      </c>
      <c r="U305" t="s">
        <v>7042</v>
      </c>
      <c r="V305" t="s">
        <v>32</v>
      </c>
      <c r="W305" t="s">
        <v>33</v>
      </c>
      <c r="X305" t="s">
        <v>33</v>
      </c>
      <c r="Y305" t="s">
        <v>33</v>
      </c>
      <c r="Z305" s="16" t="s">
        <v>34</v>
      </c>
      <c r="AA305">
        <v>-75.575063</v>
      </c>
      <c r="AB305">
        <v>6.1427149999999999</v>
      </c>
      <c r="AC305" t="s">
        <v>135</v>
      </c>
      <c r="AD305" t="s">
        <v>136</v>
      </c>
    </row>
    <row r="306" spans="1:30" x14ac:dyDescent="0.25">
      <c r="A306" t="s">
        <v>486</v>
      </c>
      <c r="B306" t="s">
        <v>25</v>
      </c>
      <c r="C306" t="s">
        <v>26</v>
      </c>
      <c r="D306" t="s">
        <v>25</v>
      </c>
      <c r="E306" t="s">
        <v>487</v>
      </c>
      <c r="F306" t="s">
        <v>488</v>
      </c>
      <c r="G306">
        <v>3518362</v>
      </c>
      <c r="H306" t="s">
        <v>489</v>
      </c>
      <c r="I306" s="4" t="s">
        <v>35</v>
      </c>
      <c r="J306" s="4" t="s">
        <v>490</v>
      </c>
      <c r="K306" t="s">
        <v>491</v>
      </c>
      <c r="L306" t="s">
        <v>55</v>
      </c>
      <c r="M306" t="s">
        <v>492</v>
      </c>
      <c r="N306" t="s">
        <v>56</v>
      </c>
      <c r="O306" t="s">
        <v>29</v>
      </c>
      <c r="P306" t="s">
        <v>36</v>
      </c>
      <c r="Q306" t="s">
        <v>31</v>
      </c>
      <c r="R306">
        <v>7</v>
      </c>
      <c r="S306" t="s">
        <v>493</v>
      </c>
      <c r="T306" t="s">
        <v>7043</v>
      </c>
      <c r="U306" t="s">
        <v>47</v>
      </c>
      <c r="V306" t="s">
        <v>47</v>
      </c>
      <c r="W306" t="s">
        <v>33</v>
      </c>
      <c r="X306" t="s">
        <v>33</v>
      </c>
      <c r="Y306" t="s">
        <v>33</v>
      </c>
      <c r="Z306" s="16" t="s">
        <v>34</v>
      </c>
      <c r="AA306">
        <v>-75.647666060000006</v>
      </c>
      <c r="AB306">
        <v>6.1529794799999999</v>
      </c>
      <c r="AC306" t="s">
        <v>135</v>
      </c>
      <c r="AD306" t="s">
        <v>136</v>
      </c>
    </row>
    <row r="307" spans="1:30" x14ac:dyDescent="0.25">
      <c r="A307" t="s">
        <v>9965</v>
      </c>
      <c r="B307" t="s">
        <v>25</v>
      </c>
      <c r="C307" t="s">
        <v>26</v>
      </c>
      <c r="D307" t="s">
        <v>39</v>
      </c>
      <c r="E307" t="s">
        <v>7044</v>
      </c>
      <c r="F307" t="s">
        <v>7045</v>
      </c>
      <c r="G307">
        <v>1216725837</v>
      </c>
      <c r="H307" t="s">
        <v>7046</v>
      </c>
      <c r="I307" s="4" t="s">
        <v>35</v>
      </c>
      <c r="J307" s="4" t="s">
        <v>7047</v>
      </c>
      <c r="K307" t="s">
        <v>7048</v>
      </c>
      <c r="L307" t="s">
        <v>27</v>
      </c>
      <c r="M307" t="s">
        <v>7049</v>
      </c>
      <c r="N307" t="s">
        <v>28</v>
      </c>
      <c r="O307" t="s">
        <v>46</v>
      </c>
      <c r="P307" t="s">
        <v>41</v>
      </c>
      <c r="Q307" t="s">
        <v>31</v>
      </c>
      <c r="R307">
        <v>5</v>
      </c>
      <c r="S307" t="s">
        <v>7050</v>
      </c>
      <c r="T307" t="s">
        <v>7051</v>
      </c>
      <c r="U307" t="s">
        <v>2785</v>
      </c>
      <c r="V307" t="s">
        <v>32</v>
      </c>
      <c r="W307" t="s">
        <v>33</v>
      </c>
      <c r="X307" t="s">
        <v>33</v>
      </c>
      <c r="Y307" t="s">
        <v>33</v>
      </c>
      <c r="Z307" s="16" t="s">
        <v>34</v>
      </c>
      <c r="AA307">
        <v>-75.531360000000006</v>
      </c>
      <c r="AB307">
        <v>6.2361519999999997</v>
      </c>
      <c r="AC307" t="s">
        <v>135</v>
      </c>
      <c r="AD307" t="s">
        <v>136</v>
      </c>
    </row>
    <row r="308" spans="1:30" x14ac:dyDescent="0.25">
      <c r="A308" t="s">
        <v>9966</v>
      </c>
      <c r="B308" t="s">
        <v>25</v>
      </c>
      <c r="C308" t="s">
        <v>26</v>
      </c>
      <c r="D308" t="s">
        <v>39</v>
      </c>
      <c r="E308" t="s">
        <v>7052</v>
      </c>
      <c r="F308" t="s">
        <v>7053</v>
      </c>
      <c r="G308">
        <v>1216725837</v>
      </c>
      <c r="H308" t="s">
        <v>7046</v>
      </c>
      <c r="I308" s="4" t="s">
        <v>35</v>
      </c>
      <c r="J308" s="4" t="s">
        <v>7047</v>
      </c>
      <c r="K308" t="s">
        <v>7054</v>
      </c>
      <c r="L308" t="s">
        <v>27</v>
      </c>
      <c r="M308" t="s">
        <v>7055</v>
      </c>
      <c r="N308" t="s">
        <v>28</v>
      </c>
      <c r="O308" t="s">
        <v>46</v>
      </c>
      <c r="P308" t="s">
        <v>41</v>
      </c>
      <c r="Q308" t="s">
        <v>31</v>
      </c>
      <c r="R308">
        <v>5</v>
      </c>
      <c r="S308" t="s">
        <v>7056</v>
      </c>
      <c r="T308" t="s">
        <v>7057</v>
      </c>
      <c r="U308" t="s">
        <v>7058</v>
      </c>
      <c r="V308" t="s">
        <v>32</v>
      </c>
      <c r="W308" t="s">
        <v>33</v>
      </c>
      <c r="X308" t="s">
        <v>33</v>
      </c>
      <c r="Y308" t="s">
        <v>33</v>
      </c>
      <c r="Z308" s="16" t="s">
        <v>34</v>
      </c>
      <c r="AA308">
        <v>-75.531360000000006</v>
      </c>
      <c r="AB308">
        <v>6.2361519999999997</v>
      </c>
      <c r="AC308" t="s">
        <v>135</v>
      </c>
      <c r="AD308" t="s">
        <v>136</v>
      </c>
    </row>
    <row r="309" spans="1:30" x14ac:dyDescent="0.25">
      <c r="A309" t="s">
        <v>2473</v>
      </c>
      <c r="B309" t="s">
        <v>65</v>
      </c>
      <c r="C309" t="s">
        <v>26</v>
      </c>
      <c r="D309" t="s">
        <v>66</v>
      </c>
      <c r="E309" t="s">
        <v>2474</v>
      </c>
      <c r="F309" t="s">
        <v>2475</v>
      </c>
      <c r="G309">
        <v>1143158261</v>
      </c>
      <c r="H309" t="s">
        <v>2476</v>
      </c>
      <c r="I309" s="4" t="s">
        <v>35</v>
      </c>
      <c r="J309" s="4" t="s">
        <v>2477</v>
      </c>
      <c r="K309" t="s">
        <v>2478</v>
      </c>
      <c r="L309" t="s">
        <v>27</v>
      </c>
      <c r="M309" t="s">
        <v>2479</v>
      </c>
      <c r="N309" t="s">
        <v>28</v>
      </c>
      <c r="O309" t="s">
        <v>68</v>
      </c>
      <c r="P309" t="s">
        <v>70</v>
      </c>
      <c r="Q309" t="s">
        <v>31</v>
      </c>
      <c r="R309">
        <v>9</v>
      </c>
      <c r="S309" t="s">
        <v>2480</v>
      </c>
      <c r="T309" t="s">
        <v>7059</v>
      </c>
      <c r="U309" t="s">
        <v>7060</v>
      </c>
      <c r="V309" t="s">
        <v>32</v>
      </c>
      <c r="W309" t="s">
        <v>33</v>
      </c>
      <c r="X309" t="s">
        <v>33</v>
      </c>
      <c r="Y309" t="s">
        <v>33</v>
      </c>
      <c r="Z309" s="16" t="s">
        <v>34</v>
      </c>
      <c r="AA309">
        <v>-75.602720070000004</v>
      </c>
      <c r="AB309">
        <v>6.2666976200000004</v>
      </c>
      <c r="AC309" t="s">
        <v>135</v>
      </c>
      <c r="AD309" t="s">
        <v>136</v>
      </c>
    </row>
    <row r="310" spans="1:30" x14ac:dyDescent="0.25">
      <c r="A310" t="s">
        <v>494</v>
      </c>
      <c r="B310" t="s">
        <v>25</v>
      </c>
      <c r="C310" t="s">
        <v>26</v>
      </c>
      <c r="D310" t="s">
        <v>39</v>
      </c>
      <c r="E310" t="s">
        <v>495</v>
      </c>
      <c r="F310" t="s">
        <v>496</v>
      </c>
      <c r="G310">
        <v>1037665983</v>
      </c>
      <c r="H310" t="s">
        <v>497</v>
      </c>
      <c r="I310" s="4" t="s">
        <v>35</v>
      </c>
      <c r="J310" s="4" t="s">
        <v>498</v>
      </c>
      <c r="K310" t="s">
        <v>499</v>
      </c>
      <c r="L310" t="s">
        <v>55</v>
      </c>
      <c r="M310" t="s">
        <v>500</v>
      </c>
      <c r="N310" t="s">
        <v>56</v>
      </c>
      <c r="O310" t="s">
        <v>40</v>
      </c>
      <c r="P310" t="s">
        <v>36</v>
      </c>
      <c r="Q310" t="s">
        <v>38</v>
      </c>
      <c r="R310">
        <v>8</v>
      </c>
      <c r="S310" t="s">
        <v>501</v>
      </c>
      <c r="T310" t="s">
        <v>7061</v>
      </c>
      <c r="U310" t="s">
        <v>47</v>
      </c>
      <c r="V310" t="s">
        <v>47</v>
      </c>
      <c r="W310" t="s">
        <v>33</v>
      </c>
      <c r="X310" t="s">
        <v>33</v>
      </c>
      <c r="Y310" t="s">
        <v>33</v>
      </c>
      <c r="Z310" s="16" t="s">
        <v>34</v>
      </c>
      <c r="AA310">
        <v>-75.649729030000003</v>
      </c>
      <c r="AB310">
        <v>6.13705224</v>
      </c>
      <c r="AC310" t="s">
        <v>135</v>
      </c>
      <c r="AD310" t="s">
        <v>136</v>
      </c>
    </row>
    <row r="311" spans="1:30" x14ac:dyDescent="0.25">
      <c r="A311" t="s">
        <v>502</v>
      </c>
      <c r="B311" t="s">
        <v>25</v>
      </c>
      <c r="C311" t="s">
        <v>26</v>
      </c>
      <c r="D311" t="s">
        <v>39</v>
      </c>
      <c r="E311" t="s">
        <v>503</v>
      </c>
      <c r="F311" t="s">
        <v>504</v>
      </c>
      <c r="G311">
        <v>8070239</v>
      </c>
      <c r="H311" t="s">
        <v>505</v>
      </c>
      <c r="I311" s="4" t="s">
        <v>35</v>
      </c>
      <c r="J311" s="4" t="s">
        <v>506</v>
      </c>
      <c r="K311" t="s">
        <v>507</v>
      </c>
      <c r="L311" t="s">
        <v>55</v>
      </c>
      <c r="M311" t="s">
        <v>508</v>
      </c>
      <c r="N311" t="s">
        <v>56</v>
      </c>
      <c r="O311" t="s">
        <v>40</v>
      </c>
      <c r="P311" t="s">
        <v>36</v>
      </c>
      <c r="Q311" t="s">
        <v>38</v>
      </c>
      <c r="R311">
        <v>8</v>
      </c>
      <c r="S311" t="s">
        <v>509</v>
      </c>
      <c r="T311" t="s">
        <v>7062</v>
      </c>
      <c r="U311" t="s">
        <v>47</v>
      </c>
      <c r="V311" t="s">
        <v>47</v>
      </c>
      <c r="W311" t="s">
        <v>33</v>
      </c>
      <c r="X311" t="s">
        <v>33</v>
      </c>
      <c r="Y311" t="s">
        <v>33</v>
      </c>
      <c r="Z311" s="16" t="s">
        <v>34</v>
      </c>
      <c r="AA311">
        <v>-75.640313000000006</v>
      </c>
      <c r="AB311">
        <v>6.1219950000000001</v>
      </c>
      <c r="AC311" t="s">
        <v>135</v>
      </c>
      <c r="AD311" t="s">
        <v>136</v>
      </c>
    </row>
    <row r="312" spans="1:30" x14ac:dyDescent="0.25">
      <c r="A312" t="s">
        <v>2482</v>
      </c>
      <c r="B312" t="s">
        <v>25</v>
      </c>
      <c r="C312" t="s">
        <v>26</v>
      </c>
      <c r="D312" t="s">
        <v>39</v>
      </c>
      <c r="E312" t="s">
        <v>2483</v>
      </c>
      <c r="F312" t="s">
        <v>2484</v>
      </c>
      <c r="G312">
        <v>43017238</v>
      </c>
      <c r="H312" t="s">
        <v>2485</v>
      </c>
      <c r="I312" s="4" t="s">
        <v>2486</v>
      </c>
      <c r="J312" s="4" t="s">
        <v>2487</v>
      </c>
      <c r="K312" t="s">
        <v>2488</v>
      </c>
      <c r="L312" t="s">
        <v>27</v>
      </c>
      <c r="M312" t="s">
        <v>2489</v>
      </c>
      <c r="N312" t="s">
        <v>28</v>
      </c>
      <c r="O312" t="s">
        <v>40</v>
      </c>
      <c r="P312" t="s">
        <v>41</v>
      </c>
      <c r="Q312" t="s">
        <v>38</v>
      </c>
      <c r="R312">
        <v>8</v>
      </c>
      <c r="S312" t="s">
        <v>2490</v>
      </c>
      <c r="T312" t="s">
        <v>7063</v>
      </c>
      <c r="U312" t="s">
        <v>7064</v>
      </c>
      <c r="V312" t="s">
        <v>32</v>
      </c>
      <c r="W312" t="s">
        <v>33</v>
      </c>
      <c r="X312" t="s">
        <v>33</v>
      </c>
      <c r="Y312" t="s">
        <v>33</v>
      </c>
      <c r="Z312" s="16" t="s">
        <v>34</v>
      </c>
      <c r="AA312">
        <v>-75.611720969999993</v>
      </c>
      <c r="AB312">
        <v>6.27213786</v>
      </c>
      <c r="AC312" t="s">
        <v>135</v>
      </c>
      <c r="AD312" t="s">
        <v>136</v>
      </c>
    </row>
    <row r="313" spans="1:30" x14ac:dyDescent="0.25">
      <c r="A313" t="s">
        <v>2491</v>
      </c>
      <c r="B313" t="s">
        <v>61</v>
      </c>
      <c r="C313" t="s">
        <v>26</v>
      </c>
      <c r="D313" t="s">
        <v>61</v>
      </c>
      <c r="E313" t="s">
        <v>2492</v>
      </c>
      <c r="F313" t="s">
        <v>2493</v>
      </c>
      <c r="G313">
        <v>3408360</v>
      </c>
      <c r="H313" t="s">
        <v>2494</v>
      </c>
      <c r="I313" s="4" t="s">
        <v>35</v>
      </c>
      <c r="J313" s="4" t="s">
        <v>2495</v>
      </c>
      <c r="K313" t="s">
        <v>2496</v>
      </c>
      <c r="L313" t="s">
        <v>27</v>
      </c>
      <c r="M313" t="s">
        <v>2497</v>
      </c>
      <c r="N313" t="s">
        <v>28</v>
      </c>
      <c r="O313" t="s">
        <v>62</v>
      </c>
      <c r="P313" t="s">
        <v>63</v>
      </c>
      <c r="Q313" t="s">
        <v>31</v>
      </c>
      <c r="R313">
        <v>4</v>
      </c>
      <c r="S313" t="s">
        <v>2498</v>
      </c>
      <c r="T313" t="s">
        <v>1609</v>
      </c>
      <c r="U313" t="s">
        <v>47</v>
      </c>
      <c r="V313" t="s">
        <v>47</v>
      </c>
      <c r="W313" t="s">
        <v>33</v>
      </c>
      <c r="X313" t="s">
        <v>33</v>
      </c>
      <c r="Y313" t="s">
        <v>33</v>
      </c>
      <c r="Z313" t="s">
        <v>134</v>
      </c>
      <c r="AA313">
        <v>-75.565169940000004</v>
      </c>
      <c r="AB313">
        <v>6.2072927099999999</v>
      </c>
      <c r="AC313" t="s">
        <v>135</v>
      </c>
      <c r="AD313" t="s">
        <v>136</v>
      </c>
    </row>
    <row r="314" spans="1:30" x14ac:dyDescent="0.25">
      <c r="A314" t="s">
        <v>2499</v>
      </c>
      <c r="B314" t="s">
        <v>25</v>
      </c>
      <c r="C314" t="s">
        <v>26</v>
      </c>
      <c r="D314" t="s">
        <v>39</v>
      </c>
      <c r="E314" t="s">
        <v>2500</v>
      </c>
      <c r="F314" t="s">
        <v>2501</v>
      </c>
      <c r="G314">
        <v>1017164470</v>
      </c>
      <c r="H314" t="s">
        <v>2502</v>
      </c>
      <c r="I314" s="4" t="s">
        <v>2503</v>
      </c>
      <c r="J314" s="4" t="s">
        <v>2504</v>
      </c>
      <c r="K314" t="s">
        <v>2505</v>
      </c>
      <c r="L314" t="s">
        <v>27</v>
      </c>
      <c r="M314" t="s">
        <v>2506</v>
      </c>
      <c r="N314" t="s">
        <v>28</v>
      </c>
      <c r="O314" t="s">
        <v>40</v>
      </c>
      <c r="P314" t="s">
        <v>41</v>
      </c>
      <c r="Q314" t="s">
        <v>31</v>
      </c>
      <c r="R314">
        <v>5</v>
      </c>
      <c r="S314" t="s">
        <v>2507</v>
      </c>
      <c r="T314" t="s">
        <v>2509</v>
      </c>
      <c r="U314" t="s">
        <v>2508</v>
      </c>
      <c r="V314" t="s">
        <v>49</v>
      </c>
      <c r="W314" t="s">
        <v>33</v>
      </c>
      <c r="X314" t="s">
        <v>33</v>
      </c>
      <c r="Y314" t="s">
        <v>33</v>
      </c>
      <c r="Z314" s="16" t="s">
        <v>34</v>
      </c>
      <c r="AA314">
        <v>-75.612960240000007</v>
      </c>
      <c r="AB314">
        <v>6.2676801299999996</v>
      </c>
      <c r="AC314" t="s">
        <v>135</v>
      </c>
      <c r="AD314" t="s">
        <v>136</v>
      </c>
    </row>
    <row r="315" spans="1:30" x14ac:dyDescent="0.25">
      <c r="A315" t="s">
        <v>9967</v>
      </c>
      <c r="B315" t="s">
        <v>25</v>
      </c>
      <c r="C315" t="s">
        <v>26</v>
      </c>
      <c r="D315" t="s">
        <v>25</v>
      </c>
      <c r="E315" t="s">
        <v>7065</v>
      </c>
      <c r="F315" t="s">
        <v>7066</v>
      </c>
      <c r="G315">
        <v>1017210412</v>
      </c>
      <c r="H315" t="s">
        <v>7067</v>
      </c>
      <c r="I315" s="4" t="s">
        <v>35</v>
      </c>
      <c r="J315" s="4" t="s">
        <v>7068</v>
      </c>
      <c r="K315" t="s">
        <v>7069</v>
      </c>
      <c r="L315" t="s">
        <v>27</v>
      </c>
      <c r="M315" t="s">
        <v>7070</v>
      </c>
      <c r="N315" t="s">
        <v>28</v>
      </c>
      <c r="O315" t="s">
        <v>29</v>
      </c>
      <c r="P315" t="s">
        <v>37</v>
      </c>
      <c r="Q315" t="s">
        <v>31</v>
      </c>
      <c r="R315">
        <v>7</v>
      </c>
      <c r="S315" t="s">
        <v>7071</v>
      </c>
      <c r="T315" t="s">
        <v>7072</v>
      </c>
      <c r="U315" t="s">
        <v>7073</v>
      </c>
      <c r="V315" t="s">
        <v>32</v>
      </c>
      <c r="W315" t="s">
        <v>33</v>
      </c>
      <c r="X315" t="s">
        <v>33</v>
      </c>
      <c r="Y315" t="s">
        <v>33</v>
      </c>
      <c r="Z315" s="16" t="s">
        <v>34</v>
      </c>
      <c r="AA315">
        <v>-75.529291000000001</v>
      </c>
      <c r="AB315">
        <v>6.2278250000000002</v>
      </c>
      <c r="AC315" t="s">
        <v>135</v>
      </c>
      <c r="AD315" t="s">
        <v>136</v>
      </c>
    </row>
    <row r="316" spans="1:30" x14ac:dyDescent="0.25">
      <c r="A316" t="s">
        <v>9968</v>
      </c>
      <c r="B316" t="s">
        <v>25</v>
      </c>
      <c r="C316" t="s">
        <v>26</v>
      </c>
      <c r="D316" t="s">
        <v>25</v>
      </c>
      <c r="E316" t="s">
        <v>7074</v>
      </c>
      <c r="F316" t="s">
        <v>7075</v>
      </c>
      <c r="G316">
        <v>1017210412</v>
      </c>
      <c r="H316" t="s">
        <v>7067</v>
      </c>
      <c r="I316" s="4" t="s">
        <v>35</v>
      </c>
      <c r="J316" s="4" t="s">
        <v>7068</v>
      </c>
      <c r="K316" t="s">
        <v>7076</v>
      </c>
      <c r="L316" t="s">
        <v>27</v>
      </c>
      <c r="M316" t="s">
        <v>7077</v>
      </c>
      <c r="N316" t="s">
        <v>28</v>
      </c>
      <c r="O316" t="s">
        <v>29</v>
      </c>
      <c r="P316" t="s">
        <v>37</v>
      </c>
      <c r="Q316" t="s">
        <v>31</v>
      </c>
      <c r="R316">
        <v>7</v>
      </c>
      <c r="S316" t="s">
        <v>7078</v>
      </c>
      <c r="T316" t="s">
        <v>7079</v>
      </c>
      <c r="U316" t="s">
        <v>7080</v>
      </c>
      <c r="V316" t="s">
        <v>32</v>
      </c>
      <c r="W316" t="s">
        <v>33</v>
      </c>
      <c r="X316" t="s">
        <v>33</v>
      </c>
      <c r="Y316" t="s">
        <v>33</v>
      </c>
      <c r="Z316" s="16" t="s">
        <v>34</v>
      </c>
      <c r="AA316">
        <v>-75.529291000000001</v>
      </c>
      <c r="AB316">
        <v>6.2278250000000002</v>
      </c>
      <c r="AC316" t="s">
        <v>135</v>
      </c>
      <c r="AD316" t="s">
        <v>136</v>
      </c>
    </row>
    <row r="317" spans="1:30" x14ac:dyDescent="0.25">
      <c r="A317" t="s">
        <v>2510</v>
      </c>
      <c r="B317" t="s">
        <v>42</v>
      </c>
      <c r="C317" t="s">
        <v>26</v>
      </c>
      <c r="D317" t="s">
        <v>42</v>
      </c>
      <c r="E317" t="s">
        <v>2511</v>
      </c>
      <c r="F317" t="s">
        <v>2512</v>
      </c>
      <c r="G317">
        <v>71267285</v>
      </c>
      <c r="H317" t="s">
        <v>2513</v>
      </c>
      <c r="I317" s="4" t="s">
        <v>35</v>
      </c>
      <c r="J317" s="4" t="s">
        <v>2514</v>
      </c>
      <c r="K317" t="s">
        <v>2515</v>
      </c>
      <c r="L317" t="s">
        <v>27</v>
      </c>
      <c r="M317" t="s">
        <v>2516</v>
      </c>
      <c r="N317" t="s">
        <v>28</v>
      </c>
      <c r="O317" t="s">
        <v>43</v>
      </c>
      <c r="P317" t="s">
        <v>37</v>
      </c>
      <c r="Q317" t="s">
        <v>31</v>
      </c>
      <c r="R317">
        <v>7</v>
      </c>
      <c r="S317" t="s">
        <v>2517</v>
      </c>
      <c r="T317" t="s">
        <v>7081</v>
      </c>
      <c r="U317" t="s">
        <v>7082</v>
      </c>
      <c r="V317" t="s">
        <v>49</v>
      </c>
      <c r="W317" t="s">
        <v>33</v>
      </c>
      <c r="X317" t="s">
        <v>33</v>
      </c>
      <c r="Y317" t="s">
        <v>33</v>
      </c>
      <c r="Z317" s="16" t="s">
        <v>34</v>
      </c>
      <c r="AA317">
        <v>-75.540679999999995</v>
      </c>
      <c r="AB317">
        <v>6.2324339999999996</v>
      </c>
      <c r="AC317" t="s">
        <v>135</v>
      </c>
      <c r="AD317" t="s">
        <v>136</v>
      </c>
    </row>
    <row r="318" spans="1:30" x14ac:dyDescent="0.25">
      <c r="A318" t="s">
        <v>510</v>
      </c>
      <c r="B318" t="s">
        <v>25</v>
      </c>
      <c r="C318" t="s">
        <v>26</v>
      </c>
      <c r="D318" t="s">
        <v>39</v>
      </c>
      <c r="E318" t="s">
        <v>511</v>
      </c>
      <c r="F318" t="s">
        <v>512</v>
      </c>
      <c r="G318">
        <v>1040744579</v>
      </c>
      <c r="H318" t="s">
        <v>513</v>
      </c>
      <c r="I318" s="4" t="s">
        <v>35</v>
      </c>
      <c r="J318" s="4" t="s">
        <v>514</v>
      </c>
      <c r="K318" t="s">
        <v>515</v>
      </c>
      <c r="L318" t="s">
        <v>55</v>
      </c>
      <c r="M318" t="s">
        <v>516</v>
      </c>
      <c r="N318" t="s">
        <v>56</v>
      </c>
      <c r="O318" t="s">
        <v>40</v>
      </c>
      <c r="P318" t="s">
        <v>36</v>
      </c>
      <c r="Q318" t="s">
        <v>38</v>
      </c>
      <c r="R318">
        <v>8</v>
      </c>
      <c r="S318" t="s">
        <v>517</v>
      </c>
      <c r="T318" t="s">
        <v>7083</v>
      </c>
      <c r="U318" t="s">
        <v>47</v>
      </c>
      <c r="V318" t="s">
        <v>47</v>
      </c>
      <c r="W318" t="s">
        <v>33</v>
      </c>
      <c r="X318" t="s">
        <v>33</v>
      </c>
      <c r="Y318" t="s">
        <v>33</v>
      </c>
      <c r="Z318" s="16" t="s">
        <v>34</v>
      </c>
      <c r="AA318">
        <v>-75.636657999999997</v>
      </c>
      <c r="AB318">
        <v>6.1380397200000001</v>
      </c>
      <c r="AC318" t="s">
        <v>135</v>
      </c>
      <c r="AD318" t="s">
        <v>136</v>
      </c>
    </row>
    <row r="319" spans="1:30" x14ac:dyDescent="0.25">
      <c r="A319" t="s">
        <v>518</v>
      </c>
      <c r="B319" t="s">
        <v>25</v>
      </c>
      <c r="C319" t="s">
        <v>26</v>
      </c>
      <c r="D319" t="s">
        <v>39</v>
      </c>
      <c r="E319" t="s">
        <v>519</v>
      </c>
      <c r="F319" t="s">
        <v>520</v>
      </c>
      <c r="G319">
        <v>1040742729</v>
      </c>
      <c r="H319" t="s">
        <v>521</v>
      </c>
      <c r="I319" s="4" t="s">
        <v>522</v>
      </c>
      <c r="J319" s="4" t="s">
        <v>523</v>
      </c>
      <c r="K319" t="s">
        <v>524</v>
      </c>
      <c r="L319" t="s">
        <v>55</v>
      </c>
      <c r="M319" t="s">
        <v>525</v>
      </c>
      <c r="N319" t="s">
        <v>56</v>
      </c>
      <c r="O319" t="s">
        <v>40</v>
      </c>
      <c r="P319" t="s">
        <v>36</v>
      </c>
      <c r="Q319" t="s">
        <v>38</v>
      </c>
      <c r="R319">
        <v>8</v>
      </c>
      <c r="S319" t="s">
        <v>526</v>
      </c>
      <c r="T319" t="s">
        <v>7084</v>
      </c>
      <c r="U319" t="s">
        <v>47</v>
      </c>
      <c r="V319" t="s">
        <v>47</v>
      </c>
      <c r="W319" t="s">
        <v>33</v>
      </c>
      <c r="X319" t="s">
        <v>33</v>
      </c>
      <c r="Y319" t="s">
        <v>33</v>
      </c>
      <c r="Z319" s="16" t="s">
        <v>34</v>
      </c>
      <c r="AA319">
        <v>-75.645811730000005</v>
      </c>
      <c r="AB319">
        <v>6.1193518300000003</v>
      </c>
      <c r="AC319" t="s">
        <v>135</v>
      </c>
      <c r="AD319" t="s">
        <v>136</v>
      </c>
    </row>
    <row r="320" spans="1:30" x14ac:dyDescent="0.25">
      <c r="A320" t="s">
        <v>9969</v>
      </c>
      <c r="B320" t="s">
        <v>61</v>
      </c>
      <c r="C320" t="s">
        <v>26</v>
      </c>
      <c r="D320" t="s">
        <v>61</v>
      </c>
      <c r="E320" t="s">
        <v>7085</v>
      </c>
      <c r="F320" t="s">
        <v>7086</v>
      </c>
      <c r="G320">
        <v>70070329</v>
      </c>
      <c r="H320" t="s">
        <v>7087</v>
      </c>
      <c r="I320" s="4" t="s">
        <v>35</v>
      </c>
      <c r="J320" s="4" t="s">
        <v>7088</v>
      </c>
      <c r="K320" t="s">
        <v>7089</v>
      </c>
      <c r="L320" t="s">
        <v>59</v>
      </c>
      <c r="M320" t="s">
        <v>7090</v>
      </c>
      <c r="N320" t="s">
        <v>60</v>
      </c>
      <c r="O320" t="s">
        <v>62</v>
      </c>
      <c r="P320" t="s">
        <v>63</v>
      </c>
      <c r="Q320" t="s">
        <v>31</v>
      </c>
      <c r="R320">
        <v>4</v>
      </c>
      <c r="S320" t="s">
        <v>7091</v>
      </c>
      <c r="T320" t="s">
        <v>7092</v>
      </c>
      <c r="U320" t="s">
        <v>7041</v>
      </c>
      <c r="V320" t="s">
        <v>32</v>
      </c>
      <c r="W320" t="s">
        <v>33</v>
      </c>
      <c r="X320" t="s">
        <v>33</v>
      </c>
      <c r="Y320" t="s">
        <v>33</v>
      </c>
      <c r="Z320" t="s">
        <v>134</v>
      </c>
      <c r="AA320">
        <v>-75.627846000000005</v>
      </c>
      <c r="AB320">
        <v>6.1483949999999998</v>
      </c>
      <c r="AC320" t="s">
        <v>135</v>
      </c>
      <c r="AD320" t="s">
        <v>136</v>
      </c>
    </row>
    <row r="321" spans="1:30" x14ac:dyDescent="0.25">
      <c r="A321" t="s">
        <v>2518</v>
      </c>
      <c r="B321" t="s">
        <v>61</v>
      </c>
      <c r="C321" t="s">
        <v>26</v>
      </c>
      <c r="D321" t="s">
        <v>61</v>
      </c>
      <c r="E321" t="s">
        <v>2519</v>
      </c>
      <c r="F321" t="s">
        <v>2520</v>
      </c>
      <c r="G321">
        <v>1007099897</v>
      </c>
      <c r="H321" t="s">
        <v>2521</v>
      </c>
      <c r="I321" s="4" t="s">
        <v>2522</v>
      </c>
      <c r="J321" s="4" t="s">
        <v>2523</v>
      </c>
      <c r="K321" t="s">
        <v>2524</v>
      </c>
      <c r="L321" t="s">
        <v>27</v>
      </c>
      <c r="M321" t="s">
        <v>2525</v>
      </c>
      <c r="N321" t="s">
        <v>28</v>
      </c>
      <c r="O321" t="s">
        <v>62</v>
      </c>
      <c r="P321" t="s">
        <v>63</v>
      </c>
      <c r="Q321" t="s">
        <v>31</v>
      </c>
      <c r="R321">
        <v>4</v>
      </c>
      <c r="S321" t="s">
        <v>2526</v>
      </c>
      <c r="T321" t="s">
        <v>7093</v>
      </c>
      <c r="U321" t="s">
        <v>7094</v>
      </c>
      <c r="V321" t="s">
        <v>49</v>
      </c>
      <c r="W321" t="s">
        <v>33</v>
      </c>
      <c r="X321" t="s">
        <v>33</v>
      </c>
      <c r="Y321" t="s">
        <v>33</v>
      </c>
      <c r="Z321" t="s">
        <v>134</v>
      </c>
      <c r="AA321">
        <v>-75.568188989999996</v>
      </c>
      <c r="AB321">
        <v>6.2085586399999997</v>
      </c>
      <c r="AC321" t="s">
        <v>135</v>
      </c>
      <c r="AD321" t="s">
        <v>136</v>
      </c>
    </row>
    <row r="322" spans="1:30" x14ac:dyDescent="0.25">
      <c r="A322" t="s">
        <v>2529</v>
      </c>
      <c r="B322" t="s">
        <v>25</v>
      </c>
      <c r="C322" t="s">
        <v>26</v>
      </c>
      <c r="D322" t="s">
        <v>25</v>
      </c>
      <c r="E322" t="s">
        <v>2530</v>
      </c>
      <c r="F322" t="s">
        <v>2531</v>
      </c>
      <c r="G322">
        <v>7545401</v>
      </c>
      <c r="H322" t="s">
        <v>2532</v>
      </c>
      <c r="I322" s="4" t="s">
        <v>2533</v>
      </c>
      <c r="J322" s="4" t="s">
        <v>2534</v>
      </c>
      <c r="K322" t="s">
        <v>2535</v>
      </c>
      <c r="L322" t="s">
        <v>27</v>
      </c>
      <c r="M322" t="s">
        <v>2536</v>
      </c>
      <c r="N322" t="s">
        <v>28</v>
      </c>
      <c r="O322" t="s">
        <v>29</v>
      </c>
      <c r="P322" t="s">
        <v>37</v>
      </c>
      <c r="Q322" t="s">
        <v>31</v>
      </c>
      <c r="R322">
        <v>7</v>
      </c>
      <c r="S322" t="s">
        <v>2537</v>
      </c>
      <c r="T322" t="s">
        <v>6209</v>
      </c>
      <c r="U322" t="s">
        <v>6208</v>
      </c>
      <c r="V322" t="s">
        <v>49</v>
      </c>
      <c r="W322" t="s">
        <v>33</v>
      </c>
      <c r="X322" t="s">
        <v>33</v>
      </c>
      <c r="Y322" t="s">
        <v>33</v>
      </c>
      <c r="Z322" s="16" t="s">
        <v>34</v>
      </c>
      <c r="AA322">
        <v>-75.557467299999999</v>
      </c>
      <c r="AB322">
        <v>6.2419914500000004</v>
      </c>
      <c r="AC322" t="s">
        <v>135</v>
      </c>
      <c r="AD322" t="s">
        <v>136</v>
      </c>
    </row>
    <row r="323" spans="1:30" x14ac:dyDescent="0.25">
      <c r="A323" t="s">
        <v>2538</v>
      </c>
      <c r="B323" t="s">
        <v>25</v>
      </c>
      <c r="C323" t="s">
        <v>26</v>
      </c>
      <c r="D323" t="s">
        <v>39</v>
      </c>
      <c r="E323" t="s">
        <v>2539</v>
      </c>
      <c r="F323" t="s">
        <v>2540</v>
      </c>
      <c r="G323">
        <v>33990278</v>
      </c>
      <c r="H323" t="s">
        <v>2541</v>
      </c>
      <c r="I323" s="4" t="s">
        <v>2542</v>
      </c>
      <c r="J323" s="4" t="s">
        <v>2543</v>
      </c>
      <c r="K323" t="s">
        <v>2544</v>
      </c>
      <c r="L323" t="s">
        <v>27</v>
      </c>
      <c r="M323" t="s">
        <v>2545</v>
      </c>
      <c r="N323" t="s">
        <v>28</v>
      </c>
      <c r="O323" t="s">
        <v>46</v>
      </c>
      <c r="P323" t="s">
        <v>41</v>
      </c>
      <c r="Q323" t="s">
        <v>38</v>
      </c>
      <c r="R323">
        <v>8</v>
      </c>
      <c r="S323" t="s">
        <v>2546</v>
      </c>
      <c r="T323" t="s">
        <v>644</v>
      </c>
      <c r="U323" t="s">
        <v>4653</v>
      </c>
      <c r="V323" t="s">
        <v>32</v>
      </c>
      <c r="W323" t="s">
        <v>33</v>
      </c>
      <c r="X323" t="s">
        <v>33</v>
      </c>
      <c r="Y323" t="s">
        <v>33</v>
      </c>
      <c r="Z323" s="16" t="s">
        <v>34</v>
      </c>
      <c r="AA323">
        <v>-75.690994160000002</v>
      </c>
      <c r="AB323">
        <v>6.2146807700000002</v>
      </c>
      <c r="AC323" t="s">
        <v>135</v>
      </c>
      <c r="AD323" t="s">
        <v>136</v>
      </c>
    </row>
    <row r="324" spans="1:30" x14ac:dyDescent="0.25">
      <c r="A324" t="s">
        <v>602</v>
      </c>
      <c r="B324" t="s">
        <v>25</v>
      </c>
      <c r="C324" t="s">
        <v>26</v>
      </c>
      <c r="D324" t="s">
        <v>39</v>
      </c>
      <c r="E324" t="s">
        <v>603</v>
      </c>
      <c r="F324" t="s">
        <v>604</v>
      </c>
      <c r="G324">
        <v>1040757377</v>
      </c>
      <c r="H324" t="s">
        <v>605</v>
      </c>
      <c r="I324" s="4" t="s">
        <v>35</v>
      </c>
      <c r="J324" s="4" t="s">
        <v>606</v>
      </c>
      <c r="K324" t="s">
        <v>607</v>
      </c>
      <c r="L324" t="s">
        <v>55</v>
      </c>
      <c r="M324" t="s">
        <v>608</v>
      </c>
      <c r="N324" t="s">
        <v>56</v>
      </c>
      <c r="O324" t="s">
        <v>40</v>
      </c>
      <c r="P324" t="s">
        <v>36</v>
      </c>
      <c r="Q324" t="s">
        <v>38</v>
      </c>
      <c r="R324">
        <v>8</v>
      </c>
      <c r="S324" t="s">
        <v>609</v>
      </c>
      <c r="T324" t="s">
        <v>7095</v>
      </c>
      <c r="U324" t="s">
        <v>47</v>
      </c>
      <c r="V324" t="s">
        <v>47</v>
      </c>
      <c r="W324" t="s">
        <v>33</v>
      </c>
      <c r="X324" t="s">
        <v>33</v>
      </c>
      <c r="Y324" t="s">
        <v>33</v>
      </c>
      <c r="Z324" s="16" t="s">
        <v>34</v>
      </c>
      <c r="AA324">
        <v>-75.661205170000002</v>
      </c>
      <c r="AB324">
        <v>6.1687347199999998</v>
      </c>
      <c r="AC324" t="s">
        <v>135</v>
      </c>
      <c r="AD324" t="s">
        <v>136</v>
      </c>
    </row>
    <row r="325" spans="1:30" x14ac:dyDescent="0.25">
      <c r="A325" t="s">
        <v>610</v>
      </c>
      <c r="B325" t="s">
        <v>25</v>
      </c>
      <c r="C325" t="s">
        <v>26</v>
      </c>
      <c r="D325" t="s">
        <v>39</v>
      </c>
      <c r="E325" t="s">
        <v>611</v>
      </c>
      <c r="F325" t="s">
        <v>612</v>
      </c>
      <c r="G325">
        <v>1128420997</v>
      </c>
      <c r="H325" t="s">
        <v>613</v>
      </c>
      <c r="I325" s="4" t="s">
        <v>35</v>
      </c>
      <c r="J325" s="4" t="s">
        <v>614</v>
      </c>
      <c r="K325" t="s">
        <v>615</v>
      </c>
      <c r="L325" t="s">
        <v>55</v>
      </c>
      <c r="M325" t="s">
        <v>616</v>
      </c>
      <c r="N325" t="s">
        <v>56</v>
      </c>
      <c r="O325" t="s">
        <v>40</v>
      </c>
      <c r="P325" t="s">
        <v>36</v>
      </c>
      <c r="Q325" t="s">
        <v>31</v>
      </c>
      <c r="R325">
        <v>5</v>
      </c>
      <c r="S325" t="s">
        <v>617</v>
      </c>
      <c r="T325" t="s">
        <v>7096</v>
      </c>
      <c r="U325" t="s">
        <v>47</v>
      </c>
      <c r="V325" t="s">
        <v>47</v>
      </c>
      <c r="W325" t="s">
        <v>33</v>
      </c>
      <c r="X325" t="s">
        <v>33</v>
      </c>
      <c r="Y325" t="s">
        <v>33</v>
      </c>
      <c r="Z325" s="16" t="s">
        <v>34</v>
      </c>
      <c r="AA325">
        <v>-75.649831634999899</v>
      </c>
      <c r="AB325">
        <v>6.1379125160000303</v>
      </c>
      <c r="AC325" t="s">
        <v>135</v>
      </c>
      <c r="AD325" t="s">
        <v>136</v>
      </c>
    </row>
    <row r="326" spans="1:30" x14ac:dyDescent="0.25">
      <c r="A326" t="s">
        <v>1028</v>
      </c>
      <c r="B326" t="s">
        <v>25</v>
      </c>
      <c r="C326" t="s">
        <v>26</v>
      </c>
      <c r="D326" t="s">
        <v>39</v>
      </c>
      <c r="E326" t="s">
        <v>2547</v>
      </c>
      <c r="F326" t="s">
        <v>2548</v>
      </c>
      <c r="G326">
        <v>71318308</v>
      </c>
      <c r="H326" t="s">
        <v>1029</v>
      </c>
      <c r="I326" s="4" t="s">
        <v>35</v>
      </c>
      <c r="J326" s="4" t="s">
        <v>1030</v>
      </c>
      <c r="K326" t="s">
        <v>1031</v>
      </c>
      <c r="L326" t="s">
        <v>27</v>
      </c>
      <c r="M326" t="s">
        <v>1032</v>
      </c>
      <c r="N326" t="s">
        <v>28</v>
      </c>
      <c r="O326" t="s">
        <v>46</v>
      </c>
      <c r="P326" t="s">
        <v>41</v>
      </c>
      <c r="Q326" t="s">
        <v>31</v>
      </c>
      <c r="R326">
        <v>5</v>
      </c>
      <c r="S326" t="s">
        <v>2549</v>
      </c>
      <c r="T326" t="s">
        <v>2075</v>
      </c>
      <c r="U326" t="s">
        <v>2074</v>
      </c>
      <c r="V326" t="s">
        <v>49</v>
      </c>
      <c r="W326" t="s">
        <v>33</v>
      </c>
      <c r="X326" t="s">
        <v>33</v>
      </c>
      <c r="Y326" t="s">
        <v>33</v>
      </c>
      <c r="Z326" s="16" t="s">
        <v>34</v>
      </c>
      <c r="AA326">
        <v>-75.625248999999997</v>
      </c>
      <c r="AB326">
        <v>6.2651510000000004</v>
      </c>
      <c r="AC326" t="s">
        <v>135</v>
      </c>
      <c r="AD326" t="s">
        <v>136</v>
      </c>
    </row>
    <row r="327" spans="1:30" x14ac:dyDescent="0.25">
      <c r="A327" t="s">
        <v>619</v>
      </c>
      <c r="B327" t="s">
        <v>25</v>
      </c>
      <c r="C327" t="s">
        <v>26</v>
      </c>
      <c r="D327" t="s">
        <v>39</v>
      </c>
      <c r="E327" t="s">
        <v>620</v>
      </c>
      <c r="F327" t="s">
        <v>621</v>
      </c>
      <c r="G327">
        <v>42788720</v>
      </c>
      <c r="H327" t="s">
        <v>622</v>
      </c>
      <c r="I327" s="4" t="s">
        <v>623</v>
      </c>
      <c r="J327" s="4" t="s">
        <v>624</v>
      </c>
      <c r="K327" t="s">
        <v>625</v>
      </c>
      <c r="L327" t="s">
        <v>55</v>
      </c>
      <c r="M327" t="s">
        <v>626</v>
      </c>
      <c r="N327" t="s">
        <v>56</v>
      </c>
      <c r="O327" t="s">
        <v>40</v>
      </c>
      <c r="P327" t="s">
        <v>36</v>
      </c>
      <c r="Q327" t="s">
        <v>38</v>
      </c>
      <c r="R327">
        <v>8</v>
      </c>
      <c r="S327" t="s">
        <v>627</v>
      </c>
      <c r="T327" t="s">
        <v>7097</v>
      </c>
      <c r="U327" t="s">
        <v>47</v>
      </c>
      <c r="V327" t="s">
        <v>47</v>
      </c>
      <c r="W327" t="s">
        <v>33</v>
      </c>
      <c r="X327" t="s">
        <v>33</v>
      </c>
      <c r="Y327" t="s">
        <v>33</v>
      </c>
      <c r="Z327" s="16" t="s">
        <v>34</v>
      </c>
      <c r="AA327">
        <v>-75.637493000000006</v>
      </c>
      <c r="AB327">
        <v>6.136838</v>
      </c>
      <c r="AC327" t="s">
        <v>135</v>
      </c>
      <c r="AD327" t="s">
        <v>136</v>
      </c>
    </row>
    <row r="328" spans="1:30" x14ac:dyDescent="0.25">
      <c r="A328" t="s">
        <v>10368</v>
      </c>
      <c r="B328" t="s">
        <v>42</v>
      </c>
      <c r="C328" t="s">
        <v>26</v>
      </c>
      <c r="D328" t="s">
        <v>42</v>
      </c>
      <c r="E328" t="s">
        <v>10369</v>
      </c>
      <c r="F328" t="s">
        <v>10370</v>
      </c>
      <c r="G328">
        <v>811042483</v>
      </c>
      <c r="H328" t="s">
        <v>10371</v>
      </c>
      <c r="I328" s="4" t="s">
        <v>35</v>
      </c>
      <c r="J328" s="4" t="s">
        <v>10372</v>
      </c>
      <c r="K328" t="s">
        <v>10373</v>
      </c>
      <c r="L328" t="s">
        <v>59</v>
      </c>
      <c r="M328" t="s">
        <v>10374</v>
      </c>
      <c r="N328" t="s">
        <v>60</v>
      </c>
      <c r="O328" t="s">
        <v>43</v>
      </c>
      <c r="P328" t="s">
        <v>37</v>
      </c>
      <c r="Q328" t="s">
        <v>31</v>
      </c>
      <c r="R328">
        <v>7</v>
      </c>
      <c r="S328" t="s">
        <v>10375</v>
      </c>
      <c r="T328" t="s">
        <v>10376</v>
      </c>
      <c r="U328" t="s">
        <v>10377</v>
      </c>
      <c r="V328" t="s">
        <v>32</v>
      </c>
      <c r="W328" t="s">
        <v>33</v>
      </c>
      <c r="X328" t="s">
        <v>33</v>
      </c>
      <c r="Y328" t="s">
        <v>33</v>
      </c>
      <c r="Z328" s="16" t="s">
        <v>34</v>
      </c>
      <c r="AA328">
        <v>-75.616736689999996</v>
      </c>
      <c r="AB328">
        <v>6.1456651899999999</v>
      </c>
      <c r="AC328" t="s">
        <v>135</v>
      </c>
      <c r="AD328" t="s">
        <v>136</v>
      </c>
    </row>
    <row r="329" spans="1:30" x14ac:dyDescent="0.25">
      <c r="A329" t="s">
        <v>628</v>
      </c>
      <c r="B329" t="s">
        <v>25</v>
      </c>
      <c r="C329" t="s">
        <v>26</v>
      </c>
      <c r="D329" t="s">
        <v>39</v>
      </c>
      <c r="E329" t="s">
        <v>629</v>
      </c>
      <c r="F329" t="s">
        <v>630</v>
      </c>
      <c r="G329">
        <v>43078171</v>
      </c>
      <c r="H329" t="s">
        <v>91</v>
      </c>
      <c r="I329" s="4" t="s">
        <v>631</v>
      </c>
      <c r="J329" s="4" t="s">
        <v>632</v>
      </c>
      <c r="K329" t="s">
        <v>633</v>
      </c>
      <c r="L329" t="s">
        <v>57</v>
      </c>
      <c r="M329" t="s">
        <v>634</v>
      </c>
      <c r="N329" t="s">
        <v>58</v>
      </c>
      <c r="O329" t="s">
        <v>40</v>
      </c>
      <c r="P329" t="s">
        <v>36</v>
      </c>
      <c r="Q329" t="s">
        <v>38</v>
      </c>
      <c r="R329">
        <v>8</v>
      </c>
      <c r="S329" t="s">
        <v>635</v>
      </c>
      <c r="T329" t="s">
        <v>7098</v>
      </c>
      <c r="U329" t="s">
        <v>47</v>
      </c>
      <c r="V329" t="s">
        <v>47</v>
      </c>
      <c r="W329" t="s">
        <v>33</v>
      </c>
      <c r="X329" t="s">
        <v>33</v>
      </c>
      <c r="Y329" t="s">
        <v>33</v>
      </c>
      <c r="Z329" s="16" t="s">
        <v>34</v>
      </c>
      <c r="AA329">
        <v>-75.620955949999995</v>
      </c>
      <c r="AB329">
        <v>6.0886768</v>
      </c>
      <c r="AC329" t="s">
        <v>135</v>
      </c>
      <c r="AD329" t="s">
        <v>136</v>
      </c>
    </row>
    <row r="330" spans="1:30" x14ac:dyDescent="0.25">
      <c r="A330" t="s">
        <v>636</v>
      </c>
      <c r="B330" t="s">
        <v>25</v>
      </c>
      <c r="C330" t="s">
        <v>26</v>
      </c>
      <c r="D330" t="s">
        <v>39</v>
      </c>
      <c r="E330" t="s">
        <v>637</v>
      </c>
      <c r="F330" t="s">
        <v>638</v>
      </c>
      <c r="G330">
        <v>43837476</v>
      </c>
      <c r="H330" t="s">
        <v>639</v>
      </c>
      <c r="I330" s="4" t="s">
        <v>640</v>
      </c>
      <c r="J330" s="4" t="s">
        <v>176</v>
      </c>
      <c r="K330" t="s">
        <v>641</v>
      </c>
      <c r="L330" t="s">
        <v>55</v>
      </c>
      <c r="M330" t="s">
        <v>642</v>
      </c>
      <c r="N330" t="s">
        <v>56</v>
      </c>
      <c r="O330" t="s">
        <v>40</v>
      </c>
      <c r="P330" t="s">
        <v>36</v>
      </c>
      <c r="Q330" t="s">
        <v>38</v>
      </c>
      <c r="R330">
        <v>8</v>
      </c>
      <c r="S330" t="s">
        <v>643</v>
      </c>
      <c r="T330" t="s">
        <v>7099</v>
      </c>
      <c r="U330" t="s">
        <v>47</v>
      </c>
      <c r="V330" t="s">
        <v>47</v>
      </c>
      <c r="W330" t="s">
        <v>33</v>
      </c>
      <c r="X330" t="s">
        <v>33</v>
      </c>
      <c r="Y330" t="s">
        <v>33</v>
      </c>
      <c r="Z330" s="16" t="s">
        <v>34</v>
      </c>
      <c r="AA330">
        <v>-75.649894410000002</v>
      </c>
      <c r="AB330">
        <v>6.1336061700000002</v>
      </c>
      <c r="AC330" t="s">
        <v>135</v>
      </c>
      <c r="AD330" t="s">
        <v>136</v>
      </c>
    </row>
    <row r="331" spans="1:30" x14ac:dyDescent="0.25">
      <c r="A331" t="s">
        <v>533</v>
      </c>
      <c r="B331" t="s">
        <v>25</v>
      </c>
      <c r="C331" t="s">
        <v>26</v>
      </c>
      <c r="D331" t="s">
        <v>39</v>
      </c>
      <c r="E331" t="s">
        <v>2550</v>
      </c>
      <c r="F331" t="s">
        <v>2551</v>
      </c>
      <c r="G331">
        <v>1216727744</v>
      </c>
      <c r="H331" t="s">
        <v>534</v>
      </c>
      <c r="I331" s="4" t="s">
        <v>35</v>
      </c>
      <c r="J331" s="4" t="s">
        <v>535</v>
      </c>
      <c r="K331" t="s">
        <v>536</v>
      </c>
      <c r="L331" t="s">
        <v>27</v>
      </c>
      <c r="M331" t="s">
        <v>537</v>
      </c>
      <c r="N331" t="s">
        <v>28</v>
      </c>
      <c r="O331" t="s">
        <v>46</v>
      </c>
      <c r="P331" t="s">
        <v>41</v>
      </c>
      <c r="Q331" t="s">
        <v>38</v>
      </c>
      <c r="R331">
        <v>8</v>
      </c>
      <c r="S331" t="s">
        <v>2552</v>
      </c>
      <c r="T331" t="s">
        <v>2313</v>
      </c>
      <c r="U331" t="s">
        <v>7100</v>
      </c>
      <c r="V331" t="s">
        <v>32</v>
      </c>
      <c r="W331" t="s">
        <v>33</v>
      </c>
      <c r="X331" t="s">
        <v>33</v>
      </c>
      <c r="Y331" t="s">
        <v>33</v>
      </c>
      <c r="Z331" s="16" t="s">
        <v>34</v>
      </c>
      <c r="AA331">
        <v>-75.651903129999994</v>
      </c>
      <c r="AB331">
        <v>6.2703638799999997</v>
      </c>
      <c r="AC331" t="s">
        <v>135</v>
      </c>
      <c r="AD331" t="s">
        <v>136</v>
      </c>
    </row>
    <row r="332" spans="1:30" x14ac:dyDescent="0.25">
      <c r="A332" t="s">
        <v>2555</v>
      </c>
      <c r="B332" t="s">
        <v>25</v>
      </c>
      <c r="C332" t="s">
        <v>26</v>
      </c>
      <c r="D332" t="s">
        <v>25</v>
      </c>
      <c r="E332" t="s">
        <v>2556</v>
      </c>
      <c r="F332" t="s">
        <v>2557</v>
      </c>
      <c r="G332">
        <v>1017177972</v>
      </c>
      <c r="H332" t="s">
        <v>2558</v>
      </c>
      <c r="I332" s="4" t="s">
        <v>2559</v>
      </c>
      <c r="J332" s="4" t="s">
        <v>2560</v>
      </c>
      <c r="K332" t="s">
        <v>2561</v>
      </c>
      <c r="L332" t="s">
        <v>27</v>
      </c>
      <c r="M332" t="s">
        <v>2562</v>
      </c>
      <c r="N332" t="s">
        <v>28</v>
      </c>
      <c r="O332" t="s">
        <v>29</v>
      </c>
      <c r="P332" t="s">
        <v>37</v>
      </c>
      <c r="Q332" t="s">
        <v>31</v>
      </c>
      <c r="R332">
        <v>7</v>
      </c>
      <c r="S332" t="s">
        <v>2563</v>
      </c>
      <c r="T332" t="s">
        <v>7103</v>
      </c>
      <c r="U332" t="s">
        <v>7104</v>
      </c>
      <c r="V332" t="s">
        <v>32</v>
      </c>
      <c r="W332" t="s">
        <v>33</v>
      </c>
      <c r="X332" t="s">
        <v>33</v>
      </c>
      <c r="Y332" t="s">
        <v>33</v>
      </c>
      <c r="Z332" s="16" t="s">
        <v>34</v>
      </c>
      <c r="AA332">
        <v>-75.542151750000002</v>
      </c>
      <c r="AB332">
        <v>6.23797523</v>
      </c>
      <c r="AC332" t="s">
        <v>135</v>
      </c>
      <c r="AD332" t="s">
        <v>136</v>
      </c>
    </row>
    <row r="333" spans="1:30" x14ac:dyDescent="0.25">
      <c r="A333" t="s">
        <v>542</v>
      </c>
      <c r="B333" t="s">
        <v>50</v>
      </c>
      <c r="C333" t="s">
        <v>71</v>
      </c>
      <c r="D333" t="s">
        <v>50</v>
      </c>
      <c r="E333" t="s">
        <v>543</v>
      </c>
      <c r="F333" t="s">
        <v>544</v>
      </c>
      <c r="G333">
        <v>42781031</v>
      </c>
      <c r="H333" t="s">
        <v>545</v>
      </c>
      <c r="I333" s="4" t="s">
        <v>35</v>
      </c>
      <c r="J333" s="4" t="s">
        <v>546</v>
      </c>
      <c r="K333" t="s">
        <v>547</v>
      </c>
      <c r="L333" t="s">
        <v>44</v>
      </c>
      <c r="M333" t="s">
        <v>548</v>
      </c>
      <c r="N333" t="s">
        <v>45</v>
      </c>
      <c r="O333" t="s">
        <v>72</v>
      </c>
      <c r="P333" t="s">
        <v>52</v>
      </c>
      <c r="Q333" t="s">
        <v>31</v>
      </c>
      <c r="R333">
        <v>11</v>
      </c>
      <c r="S333" t="s">
        <v>549</v>
      </c>
      <c r="T333" t="s">
        <v>7105</v>
      </c>
      <c r="U333" t="s">
        <v>7106</v>
      </c>
      <c r="V333" t="s">
        <v>49</v>
      </c>
      <c r="W333" t="s">
        <v>33</v>
      </c>
      <c r="X333" t="s">
        <v>33</v>
      </c>
      <c r="Y333" t="s">
        <v>33</v>
      </c>
      <c r="Z333" s="16" t="s">
        <v>34</v>
      </c>
      <c r="AA333">
        <v>-75.595671519999996</v>
      </c>
      <c r="AB333">
        <v>6.1865448799999996</v>
      </c>
      <c r="AC333" t="s">
        <v>135</v>
      </c>
      <c r="AD333" t="s">
        <v>136</v>
      </c>
    </row>
    <row r="334" spans="1:30" x14ac:dyDescent="0.25">
      <c r="A334" t="s">
        <v>646</v>
      </c>
      <c r="B334" t="s">
        <v>25</v>
      </c>
      <c r="C334" t="s">
        <v>26</v>
      </c>
      <c r="D334" t="s">
        <v>39</v>
      </c>
      <c r="E334" t="s">
        <v>647</v>
      </c>
      <c r="F334" t="s">
        <v>648</v>
      </c>
      <c r="G334">
        <v>1026162432</v>
      </c>
      <c r="H334" t="s">
        <v>649</v>
      </c>
      <c r="I334" s="4" t="s">
        <v>35</v>
      </c>
      <c r="J334" s="4" t="s">
        <v>650</v>
      </c>
      <c r="K334" t="s">
        <v>651</v>
      </c>
      <c r="L334" t="s">
        <v>57</v>
      </c>
      <c r="M334" t="s">
        <v>652</v>
      </c>
      <c r="N334" t="s">
        <v>58</v>
      </c>
      <c r="O334" t="s">
        <v>40</v>
      </c>
      <c r="P334" t="s">
        <v>36</v>
      </c>
      <c r="Q334" t="s">
        <v>38</v>
      </c>
      <c r="R334">
        <v>8</v>
      </c>
      <c r="S334" t="s">
        <v>653</v>
      </c>
      <c r="T334" t="s">
        <v>7107</v>
      </c>
      <c r="U334" t="s">
        <v>47</v>
      </c>
      <c r="V334" t="s">
        <v>47</v>
      </c>
      <c r="W334" t="s">
        <v>33</v>
      </c>
      <c r="X334" t="s">
        <v>33</v>
      </c>
      <c r="Y334" t="s">
        <v>33</v>
      </c>
      <c r="Z334" s="16" t="s">
        <v>34</v>
      </c>
      <c r="AA334">
        <v>-75.636649239999997</v>
      </c>
      <c r="AB334">
        <v>6.05487398</v>
      </c>
      <c r="AC334" t="s">
        <v>135</v>
      </c>
      <c r="AD334" t="s">
        <v>136</v>
      </c>
    </row>
    <row r="335" spans="1:30" x14ac:dyDescent="0.25">
      <c r="A335" t="s">
        <v>1265</v>
      </c>
      <c r="B335" t="s">
        <v>65</v>
      </c>
      <c r="C335" t="s">
        <v>26</v>
      </c>
      <c r="D335" t="s">
        <v>66</v>
      </c>
      <c r="E335" t="s">
        <v>1266</v>
      </c>
      <c r="F335" t="s">
        <v>1267</v>
      </c>
      <c r="G335">
        <v>1127593111</v>
      </c>
      <c r="H335" t="s">
        <v>1268</v>
      </c>
      <c r="I335" s="4" t="s">
        <v>35</v>
      </c>
      <c r="J335" s="4" t="s">
        <v>1269</v>
      </c>
      <c r="K335" t="s">
        <v>1270</v>
      </c>
      <c r="L335" t="s">
        <v>44</v>
      </c>
      <c r="M335" t="s">
        <v>1271</v>
      </c>
      <c r="N335" t="s">
        <v>45</v>
      </c>
      <c r="O335" t="s">
        <v>68</v>
      </c>
      <c r="P335" t="s">
        <v>74</v>
      </c>
      <c r="Q335" t="s">
        <v>38</v>
      </c>
      <c r="R335">
        <v>14</v>
      </c>
      <c r="S335" t="s">
        <v>1272</v>
      </c>
      <c r="T335" t="s">
        <v>7108</v>
      </c>
      <c r="U335" t="s">
        <v>7108</v>
      </c>
      <c r="V335" t="s">
        <v>32</v>
      </c>
      <c r="W335" t="s">
        <v>33</v>
      </c>
      <c r="X335" t="s">
        <v>33</v>
      </c>
      <c r="Y335" t="s">
        <v>33</v>
      </c>
      <c r="Z335" s="16" t="s">
        <v>34</v>
      </c>
      <c r="AA335">
        <v>-75.614358710000005</v>
      </c>
      <c r="AB335">
        <v>6.1695976300000002</v>
      </c>
      <c r="AC335" t="s">
        <v>135</v>
      </c>
      <c r="AD335" t="s">
        <v>136</v>
      </c>
    </row>
    <row r="336" spans="1:30" x14ac:dyDescent="0.25">
      <c r="A336" t="s">
        <v>2566</v>
      </c>
      <c r="B336" t="s">
        <v>25</v>
      </c>
      <c r="C336" t="s">
        <v>26</v>
      </c>
      <c r="D336" t="s">
        <v>25</v>
      </c>
      <c r="E336" t="s">
        <v>2567</v>
      </c>
      <c r="F336" t="s">
        <v>2568</v>
      </c>
      <c r="G336">
        <v>71799202</v>
      </c>
      <c r="H336" t="s">
        <v>560</v>
      </c>
      <c r="I336" s="4" t="s">
        <v>35</v>
      </c>
      <c r="J336" s="4" t="s">
        <v>2569</v>
      </c>
      <c r="K336" t="s">
        <v>2570</v>
      </c>
      <c r="L336" t="s">
        <v>27</v>
      </c>
      <c r="M336" t="s">
        <v>2571</v>
      </c>
      <c r="N336" t="s">
        <v>28</v>
      </c>
      <c r="O336" t="s">
        <v>29</v>
      </c>
      <c r="P336" t="s">
        <v>36</v>
      </c>
      <c r="Q336" t="s">
        <v>31</v>
      </c>
      <c r="R336">
        <v>7</v>
      </c>
      <c r="S336" t="s">
        <v>2572</v>
      </c>
      <c r="T336" t="s">
        <v>1116</v>
      </c>
      <c r="U336" t="s">
        <v>2573</v>
      </c>
      <c r="V336" t="s">
        <v>32</v>
      </c>
      <c r="W336" t="s">
        <v>33</v>
      </c>
      <c r="X336" t="s">
        <v>33</v>
      </c>
      <c r="Y336" t="s">
        <v>33</v>
      </c>
      <c r="Z336" s="16" t="s">
        <v>34</v>
      </c>
      <c r="AA336">
        <v>-75.559316510000002</v>
      </c>
      <c r="AB336">
        <v>6.2588269600000004</v>
      </c>
      <c r="AC336" t="s">
        <v>135</v>
      </c>
      <c r="AD336" t="s">
        <v>136</v>
      </c>
    </row>
    <row r="337" spans="1:30" x14ac:dyDescent="0.25">
      <c r="A337" t="s">
        <v>561</v>
      </c>
      <c r="B337" t="s">
        <v>61</v>
      </c>
      <c r="C337" t="s">
        <v>26</v>
      </c>
      <c r="D337" t="s">
        <v>61</v>
      </c>
      <c r="E337" t="s">
        <v>2576</v>
      </c>
      <c r="F337" t="s">
        <v>2577</v>
      </c>
      <c r="G337">
        <v>1128408067</v>
      </c>
      <c r="H337" t="s">
        <v>562</v>
      </c>
      <c r="I337" s="4" t="s">
        <v>103</v>
      </c>
      <c r="J337" s="4" t="s">
        <v>563</v>
      </c>
      <c r="K337" t="s">
        <v>564</v>
      </c>
      <c r="L337" t="s">
        <v>44</v>
      </c>
      <c r="M337" t="s">
        <v>565</v>
      </c>
      <c r="N337" t="s">
        <v>45</v>
      </c>
      <c r="O337" t="s">
        <v>62</v>
      </c>
      <c r="P337" t="s">
        <v>63</v>
      </c>
      <c r="Q337" t="s">
        <v>31</v>
      </c>
      <c r="R337">
        <v>4</v>
      </c>
      <c r="S337" t="s">
        <v>2578</v>
      </c>
      <c r="T337" t="s">
        <v>4643</v>
      </c>
      <c r="U337" t="s">
        <v>7109</v>
      </c>
      <c r="V337" t="s">
        <v>49</v>
      </c>
      <c r="W337" t="s">
        <v>33</v>
      </c>
      <c r="X337" t="s">
        <v>33</v>
      </c>
      <c r="Y337" t="s">
        <v>33</v>
      </c>
      <c r="Z337" t="s">
        <v>134</v>
      </c>
      <c r="AA337">
        <v>-75.602134599999999</v>
      </c>
      <c r="AB337">
        <v>6.1890243800000002</v>
      </c>
      <c r="AC337" t="s">
        <v>135</v>
      </c>
      <c r="AD337" t="s">
        <v>136</v>
      </c>
    </row>
    <row r="338" spans="1:30" x14ac:dyDescent="0.25">
      <c r="A338" t="s">
        <v>656</v>
      </c>
      <c r="B338" t="s">
        <v>25</v>
      </c>
      <c r="C338" t="s">
        <v>26</v>
      </c>
      <c r="D338" t="s">
        <v>25</v>
      </c>
      <c r="E338" t="s">
        <v>657</v>
      </c>
      <c r="F338" t="s">
        <v>658</v>
      </c>
      <c r="G338">
        <v>15323810</v>
      </c>
      <c r="H338" t="s">
        <v>659</v>
      </c>
      <c r="I338" s="4" t="s">
        <v>35</v>
      </c>
      <c r="J338" s="4" t="s">
        <v>660</v>
      </c>
      <c r="K338" t="s">
        <v>661</v>
      </c>
      <c r="L338" t="s">
        <v>27</v>
      </c>
      <c r="M338" t="s">
        <v>662</v>
      </c>
      <c r="N338" t="s">
        <v>28</v>
      </c>
      <c r="O338" t="s">
        <v>29</v>
      </c>
      <c r="P338" t="s">
        <v>36</v>
      </c>
      <c r="Q338" t="s">
        <v>31</v>
      </c>
      <c r="R338">
        <v>7</v>
      </c>
      <c r="S338" t="s">
        <v>663</v>
      </c>
      <c r="T338" t="s">
        <v>7110</v>
      </c>
      <c r="U338" t="s">
        <v>47</v>
      </c>
      <c r="V338" t="s">
        <v>47</v>
      </c>
      <c r="W338" t="s">
        <v>33</v>
      </c>
      <c r="X338" t="s">
        <v>33</v>
      </c>
      <c r="Y338" t="s">
        <v>33</v>
      </c>
      <c r="Z338" s="16" t="s">
        <v>34</v>
      </c>
      <c r="AA338">
        <v>-75.555111740000001</v>
      </c>
      <c r="AB338">
        <v>6.2410049900000004</v>
      </c>
      <c r="AC338" t="s">
        <v>135</v>
      </c>
      <c r="AD338" t="s">
        <v>136</v>
      </c>
    </row>
    <row r="339" spans="1:30" x14ac:dyDescent="0.25">
      <c r="A339" t="s">
        <v>9970</v>
      </c>
      <c r="B339" t="s">
        <v>25</v>
      </c>
      <c r="C339" t="s">
        <v>26</v>
      </c>
      <c r="D339" t="s">
        <v>25</v>
      </c>
      <c r="E339" t="s">
        <v>7111</v>
      </c>
      <c r="F339" t="s">
        <v>7112</v>
      </c>
      <c r="G339">
        <v>70723802</v>
      </c>
      <c r="H339" t="s">
        <v>7113</v>
      </c>
      <c r="I339" s="4" t="s">
        <v>35</v>
      </c>
      <c r="J339" s="4" t="s">
        <v>7114</v>
      </c>
      <c r="K339" t="s">
        <v>7115</v>
      </c>
      <c r="L339" t="s">
        <v>27</v>
      </c>
      <c r="M339" t="s">
        <v>7116</v>
      </c>
      <c r="N339" t="s">
        <v>28</v>
      </c>
      <c r="O339" t="s">
        <v>29</v>
      </c>
      <c r="P339" t="s">
        <v>37</v>
      </c>
      <c r="Q339" t="s">
        <v>31</v>
      </c>
      <c r="R339">
        <v>7</v>
      </c>
      <c r="S339" t="s">
        <v>7117</v>
      </c>
      <c r="T339" t="s">
        <v>7118</v>
      </c>
      <c r="U339" t="s">
        <v>7119</v>
      </c>
      <c r="V339" t="s">
        <v>32</v>
      </c>
      <c r="W339" t="s">
        <v>33</v>
      </c>
      <c r="X339" t="s">
        <v>33</v>
      </c>
      <c r="Y339" t="s">
        <v>33</v>
      </c>
      <c r="Z339" s="16" t="s">
        <v>34</v>
      </c>
      <c r="AA339">
        <v>-75.586939299999997</v>
      </c>
      <c r="AB339">
        <v>6.2116381199999999</v>
      </c>
      <c r="AC339" t="s">
        <v>135</v>
      </c>
      <c r="AD339" t="s">
        <v>136</v>
      </c>
    </row>
    <row r="340" spans="1:30" x14ac:dyDescent="0.25">
      <c r="A340" t="s">
        <v>664</v>
      </c>
      <c r="B340" t="s">
        <v>25</v>
      </c>
      <c r="C340" t="s">
        <v>26</v>
      </c>
      <c r="D340" t="s">
        <v>39</v>
      </c>
      <c r="E340" t="s">
        <v>665</v>
      </c>
      <c r="F340" t="s">
        <v>666</v>
      </c>
      <c r="G340">
        <v>8037673</v>
      </c>
      <c r="H340" t="s">
        <v>667</v>
      </c>
      <c r="I340" s="4" t="s">
        <v>35</v>
      </c>
      <c r="J340" s="4" t="s">
        <v>668</v>
      </c>
      <c r="K340" t="s">
        <v>669</v>
      </c>
      <c r="L340" t="s">
        <v>57</v>
      </c>
      <c r="M340" t="s">
        <v>670</v>
      </c>
      <c r="N340" t="s">
        <v>58</v>
      </c>
      <c r="O340" t="s">
        <v>40</v>
      </c>
      <c r="P340" t="s">
        <v>36</v>
      </c>
      <c r="Q340" t="s">
        <v>38</v>
      </c>
      <c r="R340">
        <v>8</v>
      </c>
      <c r="S340" t="s">
        <v>671</v>
      </c>
      <c r="T340" t="s">
        <v>7120</v>
      </c>
      <c r="U340" t="s">
        <v>47</v>
      </c>
      <c r="V340" t="s">
        <v>47</v>
      </c>
      <c r="W340" t="s">
        <v>33</v>
      </c>
      <c r="X340" t="s">
        <v>33</v>
      </c>
      <c r="Y340" t="s">
        <v>33</v>
      </c>
      <c r="Z340" s="16" t="s">
        <v>34</v>
      </c>
      <c r="AA340">
        <v>-75.637011659999999</v>
      </c>
      <c r="AB340">
        <v>6.0556765800000001</v>
      </c>
      <c r="AC340" t="s">
        <v>135</v>
      </c>
      <c r="AD340" t="s">
        <v>136</v>
      </c>
    </row>
    <row r="341" spans="1:30" x14ac:dyDescent="0.25">
      <c r="A341" t="s">
        <v>672</v>
      </c>
      <c r="B341" t="s">
        <v>25</v>
      </c>
      <c r="C341" t="s">
        <v>26</v>
      </c>
      <c r="D341" t="s">
        <v>25</v>
      </c>
      <c r="E341" t="s">
        <v>673</v>
      </c>
      <c r="F341" t="s">
        <v>674</v>
      </c>
      <c r="G341">
        <v>15323810</v>
      </c>
      <c r="H341" t="s">
        <v>659</v>
      </c>
      <c r="I341" s="4" t="s">
        <v>35</v>
      </c>
      <c r="J341" s="4" t="s">
        <v>660</v>
      </c>
      <c r="K341" t="s">
        <v>675</v>
      </c>
      <c r="L341" t="s">
        <v>27</v>
      </c>
      <c r="M341" t="s">
        <v>676</v>
      </c>
      <c r="N341" t="s">
        <v>28</v>
      </c>
      <c r="O341" t="s">
        <v>29</v>
      </c>
      <c r="P341" t="s">
        <v>36</v>
      </c>
      <c r="Q341" t="s">
        <v>31</v>
      </c>
      <c r="R341">
        <v>7</v>
      </c>
      <c r="S341" t="s">
        <v>677</v>
      </c>
      <c r="T341" t="s">
        <v>7121</v>
      </c>
      <c r="U341" t="s">
        <v>47</v>
      </c>
      <c r="V341" t="s">
        <v>47</v>
      </c>
      <c r="W341" t="s">
        <v>33</v>
      </c>
      <c r="X341" t="s">
        <v>33</v>
      </c>
      <c r="Y341" t="s">
        <v>33</v>
      </c>
      <c r="Z341" s="16" t="s">
        <v>34</v>
      </c>
      <c r="AA341">
        <v>-75.555111740000001</v>
      </c>
      <c r="AB341">
        <v>6.2410049900000004</v>
      </c>
      <c r="AC341" t="s">
        <v>135</v>
      </c>
      <c r="AD341" t="s">
        <v>136</v>
      </c>
    </row>
    <row r="342" spans="1:30" x14ac:dyDescent="0.25">
      <c r="A342" t="s">
        <v>678</v>
      </c>
      <c r="B342" t="s">
        <v>25</v>
      </c>
      <c r="C342" t="s">
        <v>26</v>
      </c>
      <c r="D342" t="s">
        <v>25</v>
      </c>
      <c r="E342" t="s">
        <v>679</v>
      </c>
      <c r="F342" t="s">
        <v>680</v>
      </c>
      <c r="G342">
        <v>15323810</v>
      </c>
      <c r="H342" t="s">
        <v>659</v>
      </c>
      <c r="I342" s="4" t="s">
        <v>35</v>
      </c>
      <c r="J342" s="4" t="s">
        <v>660</v>
      </c>
      <c r="K342" t="s">
        <v>681</v>
      </c>
      <c r="L342" t="s">
        <v>27</v>
      </c>
      <c r="M342" t="s">
        <v>682</v>
      </c>
      <c r="N342" t="s">
        <v>28</v>
      </c>
      <c r="O342" t="s">
        <v>29</v>
      </c>
      <c r="P342" t="s">
        <v>36</v>
      </c>
      <c r="Q342" t="s">
        <v>31</v>
      </c>
      <c r="R342">
        <v>7</v>
      </c>
      <c r="S342" t="s">
        <v>683</v>
      </c>
      <c r="T342" t="s">
        <v>5722</v>
      </c>
      <c r="U342" t="s">
        <v>47</v>
      </c>
      <c r="V342" t="s">
        <v>47</v>
      </c>
      <c r="W342" t="s">
        <v>33</v>
      </c>
      <c r="X342" t="s">
        <v>33</v>
      </c>
      <c r="Y342" t="s">
        <v>33</v>
      </c>
      <c r="Z342" s="16" t="s">
        <v>34</v>
      </c>
      <c r="AA342">
        <v>-75.555111740000001</v>
      </c>
      <c r="AB342">
        <v>6.2410049900000004</v>
      </c>
      <c r="AC342" t="s">
        <v>135</v>
      </c>
      <c r="AD342" t="s">
        <v>136</v>
      </c>
    </row>
    <row r="343" spans="1:30" x14ac:dyDescent="0.25">
      <c r="A343" t="s">
        <v>684</v>
      </c>
      <c r="B343" t="s">
        <v>25</v>
      </c>
      <c r="C343" t="s">
        <v>26</v>
      </c>
      <c r="D343" t="s">
        <v>25</v>
      </c>
      <c r="E343" t="s">
        <v>685</v>
      </c>
      <c r="F343" t="s">
        <v>686</v>
      </c>
      <c r="G343">
        <v>15323810</v>
      </c>
      <c r="H343" t="s">
        <v>659</v>
      </c>
      <c r="I343" s="4" t="s">
        <v>35</v>
      </c>
      <c r="J343" s="4" t="s">
        <v>660</v>
      </c>
      <c r="K343" t="s">
        <v>687</v>
      </c>
      <c r="L343" t="s">
        <v>27</v>
      </c>
      <c r="M343" t="s">
        <v>688</v>
      </c>
      <c r="N343" t="s">
        <v>28</v>
      </c>
      <c r="O343" t="s">
        <v>29</v>
      </c>
      <c r="P343" t="s">
        <v>36</v>
      </c>
      <c r="Q343" t="s">
        <v>31</v>
      </c>
      <c r="R343">
        <v>7</v>
      </c>
      <c r="S343" t="s">
        <v>689</v>
      </c>
      <c r="T343" t="s">
        <v>7122</v>
      </c>
      <c r="U343" t="s">
        <v>47</v>
      </c>
      <c r="V343" t="s">
        <v>47</v>
      </c>
      <c r="W343" t="s">
        <v>33</v>
      </c>
      <c r="X343" t="s">
        <v>33</v>
      </c>
      <c r="Y343" t="s">
        <v>33</v>
      </c>
      <c r="Z343" s="16" t="s">
        <v>34</v>
      </c>
      <c r="AA343">
        <v>-75.555111740000001</v>
      </c>
      <c r="AB343">
        <v>6.2410049900000004</v>
      </c>
      <c r="AC343" t="s">
        <v>135</v>
      </c>
      <c r="AD343" t="s">
        <v>136</v>
      </c>
    </row>
    <row r="344" spans="1:30" x14ac:dyDescent="0.25">
      <c r="A344" t="s">
        <v>742</v>
      </c>
      <c r="B344" t="s">
        <v>25</v>
      </c>
      <c r="C344" t="s">
        <v>26</v>
      </c>
      <c r="D344" t="s">
        <v>25</v>
      </c>
      <c r="E344" t="s">
        <v>743</v>
      </c>
      <c r="F344" t="s">
        <v>744</v>
      </c>
      <c r="G344">
        <v>15323810</v>
      </c>
      <c r="H344" t="s">
        <v>659</v>
      </c>
      <c r="I344" s="4" t="s">
        <v>35</v>
      </c>
      <c r="J344" s="4" t="s">
        <v>660</v>
      </c>
      <c r="K344" t="s">
        <v>745</v>
      </c>
      <c r="L344" t="s">
        <v>27</v>
      </c>
      <c r="M344" t="s">
        <v>746</v>
      </c>
      <c r="N344" t="s">
        <v>28</v>
      </c>
      <c r="O344" t="s">
        <v>29</v>
      </c>
      <c r="P344" t="s">
        <v>36</v>
      </c>
      <c r="Q344" t="s">
        <v>31</v>
      </c>
      <c r="R344">
        <v>7</v>
      </c>
      <c r="S344" t="s">
        <v>747</v>
      </c>
      <c r="T344" t="s">
        <v>7123</v>
      </c>
      <c r="U344" t="s">
        <v>47</v>
      </c>
      <c r="V344" t="s">
        <v>47</v>
      </c>
      <c r="W344" t="s">
        <v>33</v>
      </c>
      <c r="X344" t="s">
        <v>33</v>
      </c>
      <c r="Y344" t="s">
        <v>33</v>
      </c>
      <c r="Z344" s="16" t="s">
        <v>34</v>
      </c>
      <c r="AA344">
        <v>-75.555111740000001</v>
      </c>
      <c r="AB344">
        <v>6.2410049900000004</v>
      </c>
      <c r="AC344" t="s">
        <v>135</v>
      </c>
      <c r="AD344" t="s">
        <v>136</v>
      </c>
    </row>
    <row r="345" spans="1:30" x14ac:dyDescent="0.25">
      <c r="A345" t="s">
        <v>690</v>
      </c>
      <c r="B345" t="s">
        <v>25</v>
      </c>
      <c r="C345" t="s">
        <v>26</v>
      </c>
      <c r="D345" t="s">
        <v>25</v>
      </c>
      <c r="E345" t="s">
        <v>691</v>
      </c>
      <c r="F345" t="s">
        <v>692</v>
      </c>
      <c r="G345">
        <v>15323810</v>
      </c>
      <c r="H345" t="s">
        <v>659</v>
      </c>
      <c r="I345" s="4" t="s">
        <v>35</v>
      </c>
      <c r="J345" s="4" t="s">
        <v>660</v>
      </c>
      <c r="K345" t="s">
        <v>693</v>
      </c>
      <c r="L345" t="s">
        <v>27</v>
      </c>
      <c r="M345" t="s">
        <v>694</v>
      </c>
      <c r="N345" t="s">
        <v>28</v>
      </c>
      <c r="O345" t="s">
        <v>29</v>
      </c>
      <c r="P345" t="s">
        <v>36</v>
      </c>
      <c r="Q345" t="s">
        <v>31</v>
      </c>
      <c r="R345">
        <v>7</v>
      </c>
      <c r="S345" t="s">
        <v>695</v>
      </c>
      <c r="T345" t="s">
        <v>7124</v>
      </c>
      <c r="U345" t="s">
        <v>47</v>
      </c>
      <c r="V345" t="s">
        <v>47</v>
      </c>
      <c r="W345" t="s">
        <v>33</v>
      </c>
      <c r="X345" t="s">
        <v>33</v>
      </c>
      <c r="Y345" t="s">
        <v>33</v>
      </c>
      <c r="Z345" s="16" t="s">
        <v>34</v>
      </c>
      <c r="AA345">
        <v>-75.555111740000001</v>
      </c>
      <c r="AB345">
        <v>6.2410049900000004</v>
      </c>
      <c r="AC345" t="s">
        <v>135</v>
      </c>
      <c r="AD345" t="s">
        <v>136</v>
      </c>
    </row>
    <row r="346" spans="1:30" x14ac:dyDescent="0.25">
      <c r="A346" t="s">
        <v>696</v>
      </c>
      <c r="B346" t="s">
        <v>25</v>
      </c>
      <c r="C346" t="s">
        <v>26</v>
      </c>
      <c r="D346" t="s">
        <v>25</v>
      </c>
      <c r="E346" t="s">
        <v>697</v>
      </c>
      <c r="F346" t="s">
        <v>698</v>
      </c>
      <c r="G346">
        <v>15323810</v>
      </c>
      <c r="H346" t="s">
        <v>659</v>
      </c>
      <c r="I346" s="4" t="s">
        <v>35</v>
      </c>
      <c r="J346" s="4" t="s">
        <v>660</v>
      </c>
      <c r="K346" t="s">
        <v>699</v>
      </c>
      <c r="L346" t="s">
        <v>27</v>
      </c>
      <c r="M346" t="s">
        <v>700</v>
      </c>
      <c r="N346" t="s">
        <v>28</v>
      </c>
      <c r="O346" t="s">
        <v>29</v>
      </c>
      <c r="P346" t="s">
        <v>36</v>
      </c>
      <c r="Q346" t="s">
        <v>31</v>
      </c>
      <c r="R346">
        <v>7</v>
      </c>
      <c r="S346" t="s">
        <v>701</v>
      </c>
      <c r="T346" t="s">
        <v>6479</v>
      </c>
      <c r="U346" t="s">
        <v>47</v>
      </c>
      <c r="V346" t="s">
        <v>47</v>
      </c>
      <c r="W346" t="s">
        <v>33</v>
      </c>
      <c r="X346" t="s">
        <v>33</v>
      </c>
      <c r="Y346" t="s">
        <v>33</v>
      </c>
      <c r="Z346" s="16" t="s">
        <v>34</v>
      </c>
      <c r="AA346">
        <v>-75.555111740000001</v>
      </c>
      <c r="AB346">
        <v>6.2410049900000004</v>
      </c>
      <c r="AC346" t="s">
        <v>135</v>
      </c>
      <c r="AD346" t="s">
        <v>136</v>
      </c>
    </row>
    <row r="347" spans="1:30" x14ac:dyDescent="0.25">
      <c r="A347" t="s">
        <v>702</v>
      </c>
      <c r="B347" t="s">
        <v>25</v>
      </c>
      <c r="C347" t="s">
        <v>26</v>
      </c>
      <c r="D347" t="s">
        <v>39</v>
      </c>
      <c r="E347" t="s">
        <v>703</v>
      </c>
      <c r="F347" t="s">
        <v>704</v>
      </c>
      <c r="G347">
        <v>1128419592</v>
      </c>
      <c r="H347" t="s">
        <v>705</v>
      </c>
      <c r="I347" s="4" t="s">
        <v>35</v>
      </c>
      <c r="J347" s="4" t="s">
        <v>706</v>
      </c>
      <c r="K347" t="s">
        <v>707</v>
      </c>
      <c r="L347" t="s">
        <v>57</v>
      </c>
      <c r="M347" t="s">
        <v>708</v>
      </c>
      <c r="N347" t="s">
        <v>58</v>
      </c>
      <c r="O347" t="s">
        <v>40</v>
      </c>
      <c r="P347" t="s">
        <v>36</v>
      </c>
      <c r="Q347" t="s">
        <v>38</v>
      </c>
      <c r="R347">
        <v>8</v>
      </c>
      <c r="S347" t="s">
        <v>709</v>
      </c>
      <c r="T347" t="s">
        <v>7125</v>
      </c>
      <c r="U347" t="s">
        <v>47</v>
      </c>
      <c r="V347" t="s">
        <v>47</v>
      </c>
      <c r="W347" t="s">
        <v>33</v>
      </c>
      <c r="X347" t="s">
        <v>33</v>
      </c>
      <c r="Y347" t="s">
        <v>33</v>
      </c>
      <c r="Z347" s="16" t="s">
        <v>34</v>
      </c>
      <c r="AA347">
        <v>-75.624374599999996</v>
      </c>
      <c r="AB347">
        <v>6.0867810100000002</v>
      </c>
      <c r="AC347" t="s">
        <v>135</v>
      </c>
      <c r="AD347" t="s">
        <v>136</v>
      </c>
    </row>
    <row r="348" spans="1:30" x14ac:dyDescent="0.25">
      <c r="A348" t="s">
        <v>711</v>
      </c>
      <c r="B348" t="s">
        <v>25</v>
      </c>
      <c r="C348" t="s">
        <v>26</v>
      </c>
      <c r="D348" t="s">
        <v>39</v>
      </c>
      <c r="E348" t="s">
        <v>712</v>
      </c>
      <c r="F348" t="s">
        <v>713</v>
      </c>
      <c r="G348">
        <v>70858227</v>
      </c>
      <c r="H348" t="s">
        <v>714</v>
      </c>
      <c r="I348" s="4" t="s">
        <v>35</v>
      </c>
      <c r="J348" s="4" t="s">
        <v>715</v>
      </c>
      <c r="K348" t="s">
        <v>716</v>
      </c>
      <c r="L348" t="s">
        <v>57</v>
      </c>
      <c r="M348" t="s">
        <v>717</v>
      </c>
      <c r="N348" t="s">
        <v>58</v>
      </c>
      <c r="O348" t="s">
        <v>40</v>
      </c>
      <c r="P348" t="s">
        <v>36</v>
      </c>
      <c r="Q348" t="s">
        <v>38</v>
      </c>
      <c r="R348">
        <v>8</v>
      </c>
      <c r="S348" t="s">
        <v>718</v>
      </c>
      <c r="T348" t="s">
        <v>2554</v>
      </c>
      <c r="U348" t="s">
        <v>47</v>
      </c>
      <c r="V348" t="s">
        <v>47</v>
      </c>
      <c r="W348" t="s">
        <v>33</v>
      </c>
      <c r="X348" t="s">
        <v>33</v>
      </c>
      <c r="Y348" t="s">
        <v>33</v>
      </c>
      <c r="Z348" s="16" t="s">
        <v>34</v>
      </c>
      <c r="AA348">
        <v>-75.624374599999996</v>
      </c>
      <c r="AB348">
        <v>6.0867810100000002</v>
      </c>
      <c r="AC348" t="s">
        <v>135</v>
      </c>
      <c r="AD348" t="s">
        <v>136</v>
      </c>
    </row>
    <row r="349" spans="1:30" x14ac:dyDescent="0.25">
      <c r="A349" t="s">
        <v>748</v>
      </c>
      <c r="B349" t="s">
        <v>25</v>
      </c>
      <c r="C349" t="s">
        <v>26</v>
      </c>
      <c r="D349" t="s">
        <v>25</v>
      </c>
      <c r="E349" t="s">
        <v>749</v>
      </c>
      <c r="F349" t="s">
        <v>2579</v>
      </c>
      <c r="G349">
        <v>98462618</v>
      </c>
      <c r="H349" t="s">
        <v>750</v>
      </c>
      <c r="I349" s="4" t="s">
        <v>35</v>
      </c>
      <c r="J349" s="4" t="s">
        <v>751</v>
      </c>
      <c r="K349" t="s">
        <v>752</v>
      </c>
      <c r="L349" t="s">
        <v>27</v>
      </c>
      <c r="M349" t="s">
        <v>753</v>
      </c>
      <c r="N349" t="s">
        <v>28</v>
      </c>
      <c r="O349" t="s">
        <v>29</v>
      </c>
      <c r="P349" t="s">
        <v>37</v>
      </c>
      <c r="Q349" t="s">
        <v>38</v>
      </c>
      <c r="R349">
        <v>10</v>
      </c>
      <c r="S349" t="s">
        <v>2580</v>
      </c>
      <c r="T349" t="s">
        <v>1435</v>
      </c>
      <c r="U349" t="s">
        <v>2242</v>
      </c>
      <c r="V349" t="s">
        <v>32</v>
      </c>
      <c r="W349" t="s">
        <v>33</v>
      </c>
      <c r="X349" t="s">
        <v>33</v>
      </c>
      <c r="Y349" t="s">
        <v>33</v>
      </c>
      <c r="Z349" s="16" t="s">
        <v>34</v>
      </c>
      <c r="AA349">
        <v>-75.522782520000007</v>
      </c>
      <c r="AB349">
        <v>6.2340416699999999</v>
      </c>
      <c r="AC349" t="s">
        <v>135</v>
      </c>
      <c r="AD349" t="s">
        <v>136</v>
      </c>
    </row>
    <row r="350" spans="1:30" x14ac:dyDescent="0.25">
      <c r="A350" t="s">
        <v>9971</v>
      </c>
      <c r="B350" t="s">
        <v>25</v>
      </c>
      <c r="C350" t="s">
        <v>26</v>
      </c>
      <c r="D350" t="s">
        <v>25</v>
      </c>
      <c r="E350" t="s">
        <v>7126</v>
      </c>
      <c r="F350" t="s">
        <v>7127</v>
      </c>
      <c r="G350">
        <v>21526067</v>
      </c>
      <c r="H350" t="s">
        <v>7128</v>
      </c>
      <c r="I350" s="4" t="s">
        <v>35</v>
      </c>
      <c r="J350" s="4" t="s">
        <v>7129</v>
      </c>
      <c r="K350" t="s">
        <v>7130</v>
      </c>
      <c r="L350" t="s">
        <v>48</v>
      </c>
      <c r="M350" t="s">
        <v>7131</v>
      </c>
      <c r="N350" t="s">
        <v>64</v>
      </c>
      <c r="O350" t="s">
        <v>29</v>
      </c>
      <c r="P350" t="s">
        <v>37</v>
      </c>
      <c r="Q350" t="s">
        <v>31</v>
      </c>
      <c r="R350">
        <v>7</v>
      </c>
      <c r="S350" t="s">
        <v>7132</v>
      </c>
      <c r="T350" t="s">
        <v>7133</v>
      </c>
      <c r="U350" t="s">
        <v>7134</v>
      </c>
      <c r="V350" t="s">
        <v>32</v>
      </c>
      <c r="W350" t="s">
        <v>33</v>
      </c>
      <c r="X350" t="s">
        <v>33</v>
      </c>
      <c r="Y350" t="s">
        <v>33</v>
      </c>
      <c r="Z350" s="16" t="s">
        <v>34</v>
      </c>
      <c r="AA350">
        <v>-75.564647519999994</v>
      </c>
      <c r="AB350">
        <v>6.1678856800000004</v>
      </c>
      <c r="AC350" t="s">
        <v>135</v>
      </c>
      <c r="AD350" t="s">
        <v>136</v>
      </c>
    </row>
    <row r="351" spans="1:30" x14ac:dyDescent="0.25">
      <c r="A351" t="s">
        <v>9972</v>
      </c>
      <c r="B351" t="s">
        <v>25</v>
      </c>
      <c r="C351" t="s">
        <v>26</v>
      </c>
      <c r="D351" t="s">
        <v>39</v>
      </c>
      <c r="E351" t="s">
        <v>7135</v>
      </c>
      <c r="F351" t="s">
        <v>7136</v>
      </c>
      <c r="G351">
        <v>1032180151</v>
      </c>
      <c r="H351" t="s">
        <v>7137</v>
      </c>
      <c r="I351" s="4" t="s">
        <v>35</v>
      </c>
      <c r="J351" s="4" t="s">
        <v>7138</v>
      </c>
      <c r="K351" t="s">
        <v>7139</v>
      </c>
      <c r="L351" t="s">
        <v>27</v>
      </c>
      <c r="M351" t="s">
        <v>7140</v>
      </c>
      <c r="N351" t="s">
        <v>28</v>
      </c>
      <c r="O351" t="s">
        <v>40</v>
      </c>
      <c r="P351" t="s">
        <v>41</v>
      </c>
      <c r="Q351" t="s">
        <v>31</v>
      </c>
      <c r="R351">
        <v>5</v>
      </c>
      <c r="S351" t="s">
        <v>7141</v>
      </c>
      <c r="T351" t="s">
        <v>7142</v>
      </c>
      <c r="U351" t="s">
        <v>7143</v>
      </c>
      <c r="V351" t="s">
        <v>32</v>
      </c>
      <c r="W351" t="s">
        <v>33</v>
      </c>
      <c r="X351" t="s">
        <v>33</v>
      </c>
      <c r="Y351" t="s">
        <v>33</v>
      </c>
      <c r="Z351" s="16" t="s">
        <v>34</v>
      </c>
      <c r="AA351">
        <v>-75.534552000000005</v>
      </c>
      <c r="AB351">
        <v>6.2368209999999999</v>
      </c>
      <c r="AC351" t="s">
        <v>135</v>
      </c>
      <c r="AD351" t="s">
        <v>136</v>
      </c>
    </row>
    <row r="352" spans="1:30" x14ac:dyDescent="0.25">
      <c r="A352" t="s">
        <v>807</v>
      </c>
      <c r="B352" t="s">
        <v>25</v>
      </c>
      <c r="C352" t="s">
        <v>26</v>
      </c>
      <c r="D352" t="s">
        <v>39</v>
      </c>
      <c r="E352" t="s">
        <v>808</v>
      </c>
      <c r="F352" t="s">
        <v>2581</v>
      </c>
      <c r="G352">
        <v>1128479008</v>
      </c>
      <c r="H352" t="s">
        <v>809</v>
      </c>
      <c r="I352" s="4" t="s">
        <v>35</v>
      </c>
      <c r="J352" s="4" t="s">
        <v>810</v>
      </c>
      <c r="K352" t="s">
        <v>811</v>
      </c>
      <c r="L352" t="s">
        <v>27</v>
      </c>
      <c r="M352" t="s">
        <v>812</v>
      </c>
      <c r="N352" t="s">
        <v>28</v>
      </c>
      <c r="O352" t="s">
        <v>40</v>
      </c>
      <c r="P352" t="s">
        <v>41</v>
      </c>
      <c r="Q352" t="s">
        <v>31</v>
      </c>
      <c r="R352">
        <v>5</v>
      </c>
      <c r="S352" t="s">
        <v>2582</v>
      </c>
      <c r="T352" t="s">
        <v>7144</v>
      </c>
      <c r="U352" t="s">
        <v>7145</v>
      </c>
      <c r="V352" t="s">
        <v>32</v>
      </c>
      <c r="W352" t="s">
        <v>33</v>
      </c>
      <c r="X352" t="s">
        <v>33</v>
      </c>
      <c r="Y352" t="s">
        <v>33</v>
      </c>
      <c r="Z352" s="16" t="s">
        <v>34</v>
      </c>
      <c r="AA352">
        <v>-75.627454999999998</v>
      </c>
      <c r="AB352">
        <v>6.2669280000000001</v>
      </c>
      <c r="AC352" t="s">
        <v>135</v>
      </c>
      <c r="AD352" t="s">
        <v>136</v>
      </c>
    </row>
    <row r="353" spans="1:30" x14ac:dyDescent="0.25">
      <c r="A353" t="s">
        <v>818</v>
      </c>
      <c r="B353" t="s">
        <v>25</v>
      </c>
      <c r="C353" t="s">
        <v>26</v>
      </c>
      <c r="D353" t="s">
        <v>25</v>
      </c>
      <c r="E353" t="s">
        <v>819</v>
      </c>
      <c r="F353" t="s">
        <v>820</v>
      </c>
      <c r="G353">
        <v>3369956</v>
      </c>
      <c r="H353" t="s">
        <v>69</v>
      </c>
      <c r="I353" s="4" t="s">
        <v>35</v>
      </c>
      <c r="J353" s="4" t="s">
        <v>222</v>
      </c>
      <c r="K353" t="s">
        <v>821</v>
      </c>
      <c r="L353" t="s">
        <v>27</v>
      </c>
      <c r="M353" t="s">
        <v>822</v>
      </c>
      <c r="N353" t="s">
        <v>28</v>
      </c>
      <c r="O353" t="s">
        <v>29</v>
      </c>
      <c r="P353" t="s">
        <v>37</v>
      </c>
      <c r="Q353" t="s">
        <v>38</v>
      </c>
      <c r="R353">
        <v>10</v>
      </c>
      <c r="S353" t="s">
        <v>823</v>
      </c>
      <c r="T353" t="s">
        <v>7146</v>
      </c>
      <c r="U353" t="s">
        <v>7147</v>
      </c>
      <c r="V353" t="s">
        <v>49</v>
      </c>
      <c r="W353" t="s">
        <v>33</v>
      </c>
      <c r="X353" t="s">
        <v>33</v>
      </c>
      <c r="Y353" t="s">
        <v>33</v>
      </c>
      <c r="Z353" s="16" t="s">
        <v>34</v>
      </c>
      <c r="AA353">
        <v>-75.609279000000001</v>
      </c>
      <c r="AB353">
        <v>6.2115840000000002</v>
      </c>
      <c r="AC353" t="s">
        <v>135</v>
      </c>
      <c r="AD353" t="s">
        <v>136</v>
      </c>
    </row>
    <row r="354" spans="1:30" x14ac:dyDescent="0.25">
      <c r="A354" t="s">
        <v>894</v>
      </c>
      <c r="B354" t="s">
        <v>25</v>
      </c>
      <c r="C354" t="s">
        <v>26</v>
      </c>
      <c r="D354" t="s">
        <v>39</v>
      </c>
      <c r="E354" t="s">
        <v>895</v>
      </c>
      <c r="F354" t="s">
        <v>896</v>
      </c>
      <c r="G354">
        <v>15523655</v>
      </c>
      <c r="H354" t="s">
        <v>897</v>
      </c>
      <c r="I354" s="4" t="s">
        <v>898</v>
      </c>
      <c r="J354" s="4" t="s">
        <v>35</v>
      </c>
      <c r="K354" t="s">
        <v>899</v>
      </c>
      <c r="L354" t="s">
        <v>57</v>
      </c>
      <c r="M354" t="s">
        <v>900</v>
      </c>
      <c r="N354" t="s">
        <v>58</v>
      </c>
      <c r="O354" t="s">
        <v>40</v>
      </c>
      <c r="P354" t="s">
        <v>36</v>
      </c>
      <c r="Q354" t="s">
        <v>38</v>
      </c>
      <c r="R354">
        <v>8</v>
      </c>
      <c r="S354" t="s">
        <v>901</v>
      </c>
      <c r="T354" t="s">
        <v>7148</v>
      </c>
      <c r="U354" t="s">
        <v>47</v>
      </c>
      <c r="V354" t="s">
        <v>47</v>
      </c>
      <c r="W354" t="s">
        <v>33</v>
      </c>
      <c r="X354" t="s">
        <v>33</v>
      </c>
      <c r="Y354" t="s">
        <v>33</v>
      </c>
      <c r="Z354" s="16" t="s">
        <v>34</v>
      </c>
      <c r="AA354">
        <v>-75.628093649999997</v>
      </c>
      <c r="AB354">
        <v>6.08757196</v>
      </c>
      <c r="AC354" t="s">
        <v>135</v>
      </c>
      <c r="AD354" t="s">
        <v>136</v>
      </c>
    </row>
    <row r="355" spans="1:30" x14ac:dyDescent="0.25">
      <c r="A355" t="s">
        <v>833</v>
      </c>
      <c r="B355" t="s">
        <v>25</v>
      </c>
      <c r="C355" t="s">
        <v>26</v>
      </c>
      <c r="D355" t="s">
        <v>39</v>
      </c>
      <c r="E355" t="s">
        <v>834</v>
      </c>
      <c r="F355" t="s">
        <v>835</v>
      </c>
      <c r="G355">
        <v>1152693844</v>
      </c>
      <c r="H355" t="s">
        <v>836</v>
      </c>
      <c r="I355" s="4" t="s">
        <v>35</v>
      </c>
      <c r="J355" s="4" t="s">
        <v>837</v>
      </c>
      <c r="K355" t="s">
        <v>838</v>
      </c>
      <c r="L355" t="s">
        <v>27</v>
      </c>
      <c r="M355" t="s">
        <v>839</v>
      </c>
      <c r="N355" t="s">
        <v>28</v>
      </c>
      <c r="O355" t="s">
        <v>40</v>
      </c>
      <c r="P355" t="s">
        <v>41</v>
      </c>
      <c r="Q355" t="s">
        <v>38</v>
      </c>
      <c r="R355">
        <v>8</v>
      </c>
      <c r="S355" t="s">
        <v>840</v>
      </c>
      <c r="T355" t="s">
        <v>7149</v>
      </c>
      <c r="U355" t="s">
        <v>7150</v>
      </c>
      <c r="V355" t="s">
        <v>131</v>
      </c>
      <c r="W355" t="s">
        <v>33</v>
      </c>
      <c r="X355" t="s">
        <v>33</v>
      </c>
      <c r="Y355" t="s">
        <v>33</v>
      </c>
      <c r="Z355" s="16" t="s">
        <v>34</v>
      </c>
      <c r="AA355">
        <v>-75.61283066</v>
      </c>
      <c r="AB355">
        <v>6.2054087300000003</v>
      </c>
      <c r="AC355" t="s">
        <v>135</v>
      </c>
      <c r="AD355" t="s">
        <v>136</v>
      </c>
    </row>
    <row r="356" spans="1:30" x14ac:dyDescent="0.25">
      <c r="A356" t="s">
        <v>841</v>
      </c>
      <c r="B356" t="s">
        <v>25</v>
      </c>
      <c r="C356" t="s">
        <v>26</v>
      </c>
      <c r="D356" t="s">
        <v>39</v>
      </c>
      <c r="E356" t="s">
        <v>842</v>
      </c>
      <c r="F356" t="s">
        <v>2585</v>
      </c>
      <c r="G356">
        <v>1152199162</v>
      </c>
      <c r="H356" t="s">
        <v>843</v>
      </c>
      <c r="I356" s="4" t="s">
        <v>35</v>
      </c>
      <c r="J356" s="4" t="s">
        <v>844</v>
      </c>
      <c r="K356" t="s">
        <v>845</v>
      </c>
      <c r="L356" t="s">
        <v>27</v>
      </c>
      <c r="M356" t="s">
        <v>846</v>
      </c>
      <c r="N356" t="s">
        <v>28</v>
      </c>
      <c r="O356" t="s">
        <v>40</v>
      </c>
      <c r="P356" t="s">
        <v>41</v>
      </c>
      <c r="Q356" t="s">
        <v>31</v>
      </c>
      <c r="R356">
        <v>5</v>
      </c>
      <c r="S356" t="s">
        <v>2586</v>
      </c>
      <c r="T356" t="s">
        <v>1846</v>
      </c>
      <c r="U356" t="s">
        <v>4712</v>
      </c>
      <c r="V356" t="s">
        <v>32</v>
      </c>
      <c r="W356" t="s">
        <v>33</v>
      </c>
      <c r="X356" t="s">
        <v>33</v>
      </c>
      <c r="Y356" t="s">
        <v>33</v>
      </c>
      <c r="Z356" s="16" t="s">
        <v>34</v>
      </c>
      <c r="AA356">
        <v>-75.543082420000005</v>
      </c>
      <c r="AB356">
        <v>6.2379671400000003</v>
      </c>
      <c r="AC356" t="s">
        <v>135</v>
      </c>
      <c r="AD356" t="s">
        <v>136</v>
      </c>
    </row>
    <row r="357" spans="1:30" x14ac:dyDescent="0.25">
      <c r="A357" t="s">
        <v>903</v>
      </c>
      <c r="B357" t="s">
        <v>25</v>
      </c>
      <c r="C357" t="s">
        <v>26</v>
      </c>
      <c r="D357" t="s">
        <v>39</v>
      </c>
      <c r="E357" t="s">
        <v>904</v>
      </c>
      <c r="F357" t="s">
        <v>905</v>
      </c>
      <c r="G357">
        <v>71393250</v>
      </c>
      <c r="H357" t="s">
        <v>906</v>
      </c>
      <c r="I357" s="4" t="s">
        <v>103</v>
      </c>
      <c r="J357" s="4" t="s">
        <v>907</v>
      </c>
      <c r="K357" t="s">
        <v>908</v>
      </c>
      <c r="L357" t="s">
        <v>57</v>
      </c>
      <c r="M357" t="s">
        <v>909</v>
      </c>
      <c r="N357" t="s">
        <v>58</v>
      </c>
      <c r="O357" t="s">
        <v>40</v>
      </c>
      <c r="P357" t="s">
        <v>36</v>
      </c>
      <c r="Q357" t="s">
        <v>38</v>
      </c>
      <c r="R357">
        <v>8</v>
      </c>
      <c r="S357" t="s">
        <v>910</v>
      </c>
      <c r="T357" t="s">
        <v>7151</v>
      </c>
      <c r="U357" t="s">
        <v>7152</v>
      </c>
      <c r="V357" t="s">
        <v>131</v>
      </c>
      <c r="W357" t="s">
        <v>33</v>
      </c>
      <c r="X357" t="s">
        <v>33</v>
      </c>
      <c r="Y357" t="s">
        <v>33</v>
      </c>
      <c r="Z357" s="16" t="s">
        <v>34</v>
      </c>
      <c r="AA357">
        <v>-75.645366620000004</v>
      </c>
      <c r="AB357">
        <v>6.0870563100000004</v>
      </c>
      <c r="AC357" t="s">
        <v>135</v>
      </c>
      <c r="AD357" t="s">
        <v>136</v>
      </c>
    </row>
    <row r="358" spans="1:30" x14ac:dyDescent="0.25">
      <c r="A358" t="s">
        <v>847</v>
      </c>
      <c r="B358" t="s">
        <v>50</v>
      </c>
      <c r="C358" t="s">
        <v>79</v>
      </c>
      <c r="D358" t="s">
        <v>50</v>
      </c>
      <c r="E358" t="s">
        <v>848</v>
      </c>
      <c r="F358" t="s">
        <v>849</v>
      </c>
      <c r="G358">
        <v>43503766</v>
      </c>
      <c r="H358" t="s">
        <v>850</v>
      </c>
      <c r="I358" s="4" t="s">
        <v>35</v>
      </c>
      <c r="J358" s="4" t="s">
        <v>851</v>
      </c>
      <c r="K358" t="s">
        <v>852</v>
      </c>
      <c r="L358" t="s">
        <v>27</v>
      </c>
      <c r="M358" t="s">
        <v>853</v>
      </c>
      <c r="N358" t="s">
        <v>28</v>
      </c>
      <c r="O358" t="s">
        <v>80</v>
      </c>
      <c r="P358" t="s">
        <v>52</v>
      </c>
      <c r="Q358" t="s">
        <v>31</v>
      </c>
      <c r="R358">
        <v>11</v>
      </c>
      <c r="S358" t="s">
        <v>854</v>
      </c>
      <c r="T358" t="s">
        <v>7153</v>
      </c>
      <c r="U358" t="s">
        <v>7154</v>
      </c>
      <c r="V358" t="s">
        <v>32</v>
      </c>
      <c r="W358" t="s">
        <v>33</v>
      </c>
      <c r="X358" t="s">
        <v>33</v>
      </c>
      <c r="Y358" t="s">
        <v>33</v>
      </c>
      <c r="Z358" s="16" t="s">
        <v>34</v>
      </c>
      <c r="AA358">
        <v>-75.598703920000005</v>
      </c>
      <c r="AB358">
        <v>6.2754780300000004</v>
      </c>
      <c r="AC358" t="s">
        <v>135</v>
      </c>
      <c r="AD358" t="s">
        <v>136</v>
      </c>
    </row>
    <row r="359" spans="1:30" x14ac:dyDescent="0.25">
      <c r="A359" t="s">
        <v>855</v>
      </c>
      <c r="B359" t="s">
        <v>25</v>
      </c>
      <c r="C359" t="s">
        <v>26</v>
      </c>
      <c r="D359" t="s">
        <v>39</v>
      </c>
      <c r="E359" t="s">
        <v>856</v>
      </c>
      <c r="F359" t="s">
        <v>857</v>
      </c>
      <c r="G359">
        <v>22186973</v>
      </c>
      <c r="H359" t="s">
        <v>858</v>
      </c>
      <c r="I359" s="4" t="s">
        <v>859</v>
      </c>
      <c r="J359" s="4" t="s">
        <v>860</v>
      </c>
      <c r="K359" t="s">
        <v>861</v>
      </c>
      <c r="L359" t="s">
        <v>44</v>
      </c>
      <c r="M359" t="s">
        <v>862</v>
      </c>
      <c r="N359" t="s">
        <v>45</v>
      </c>
      <c r="O359" t="s">
        <v>40</v>
      </c>
      <c r="P359" t="s">
        <v>41</v>
      </c>
      <c r="Q359" t="s">
        <v>38</v>
      </c>
      <c r="R359">
        <v>8</v>
      </c>
      <c r="S359" t="s">
        <v>863</v>
      </c>
      <c r="T359" t="s">
        <v>7155</v>
      </c>
      <c r="U359" t="s">
        <v>7156</v>
      </c>
      <c r="V359" t="s">
        <v>131</v>
      </c>
      <c r="W359" t="s">
        <v>33</v>
      </c>
      <c r="X359" t="s">
        <v>33</v>
      </c>
      <c r="Y359" t="s">
        <v>33</v>
      </c>
      <c r="Z359" s="16" t="s">
        <v>34</v>
      </c>
      <c r="AA359">
        <v>-75.619467560000004</v>
      </c>
      <c r="AB359">
        <v>6.1888718599999999</v>
      </c>
      <c r="AC359" t="s">
        <v>135</v>
      </c>
      <c r="AD359" t="s">
        <v>136</v>
      </c>
    </row>
    <row r="360" spans="1:30" x14ac:dyDescent="0.25">
      <c r="A360" t="s">
        <v>911</v>
      </c>
      <c r="B360" t="s">
        <v>25</v>
      </c>
      <c r="C360" t="s">
        <v>26</v>
      </c>
      <c r="D360" t="s">
        <v>39</v>
      </c>
      <c r="E360" t="s">
        <v>912</v>
      </c>
      <c r="F360" t="s">
        <v>913</v>
      </c>
      <c r="G360">
        <v>1026158765</v>
      </c>
      <c r="H360" t="s">
        <v>914</v>
      </c>
      <c r="I360" s="4" t="s">
        <v>35</v>
      </c>
      <c r="J360" s="4" t="s">
        <v>915</v>
      </c>
      <c r="K360" t="s">
        <v>916</v>
      </c>
      <c r="L360" t="s">
        <v>57</v>
      </c>
      <c r="M360" t="s">
        <v>917</v>
      </c>
      <c r="N360" t="s">
        <v>58</v>
      </c>
      <c r="O360" t="s">
        <v>40</v>
      </c>
      <c r="P360" t="s">
        <v>36</v>
      </c>
      <c r="Q360" t="s">
        <v>38</v>
      </c>
      <c r="R360">
        <v>8</v>
      </c>
      <c r="S360" t="s">
        <v>918</v>
      </c>
      <c r="T360" t="s">
        <v>7157</v>
      </c>
      <c r="U360" t="s">
        <v>7158</v>
      </c>
      <c r="V360" t="s">
        <v>131</v>
      </c>
      <c r="W360" t="s">
        <v>33</v>
      </c>
      <c r="X360" t="s">
        <v>33</v>
      </c>
      <c r="Y360" t="s">
        <v>33</v>
      </c>
      <c r="Z360" s="16" t="s">
        <v>34</v>
      </c>
      <c r="AA360">
        <v>-75.626033230000004</v>
      </c>
      <c r="AB360">
        <v>6.08803976</v>
      </c>
      <c r="AC360" t="s">
        <v>135</v>
      </c>
      <c r="AD360" t="s">
        <v>136</v>
      </c>
    </row>
    <row r="361" spans="1:30" x14ac:dyDescent="0.25">
      <c r="A361" t="s">
        <v>919</v>
      </c>
      <c r="B361" t="s">
        <v>25</v>
      </c>
      <c r="C361" t="s">
        <v>26</v>
      </c>
      <c r="D361" t="s">
        <v>25</v>
      </c>
      <c r="E361" t="s">
        <v>920</v>
      </c>
      <c r="F361" t="s">
        <v>921</v>
      </c>
      <c r="G361">
        <v>71799202</v>
      </c>
      <c r="H361" t="s">
        <v>560</v>
      </c>
      <c r="I361" s="4" t="s">
        <v>35</v>
      </c>
      <c r="J361" s="4" t="s">
        <v>922</v>
      </c>
      <c r="K361" t="s">
        <v>2591</v>
      </c>
      <c r="L361" t="s">
        <v>27</v>
      </c>
      <c r="M361" t="s">
        <v>2592</v>
      </c>
      <c r="N361" t="s">
        <v>28</v>
      </c>
      <c r="O361" t="s">
        <v>29</v>
      </c>
      <c r="P361" t="s">
        <v>36</v>
      </c>
      <c r="Q361" t="s">
        <v>31</v>
      </c>
      <c r="R361">
        <v>7</v>
      </c>
      <c r="S361" t="s">
        <v>923</v>
      </c>
      <c r="T361" t="s">
        <v>7159</v>
      </c>
      <c r="U361" t="s">
        <v>47</v>
      </c>
      <c r="V361" t="s">
        <v>47</v>
      </c>
      <c r="W361" t="s">
        <v>33</v>
      </c>
      <c r="X361" t="s">
        <v>33</v>
      </c>
      <c r="Y361" t="s">
        <v>33</v>
      </c>
      <c r="Z361" s="16" t="s">
        <v>34</v>
      </c>
      <c r="AA361">
        <v>-75.559316510000002</v>
      </c>
      <c r="AB361">
        <v>6.2588269600000004</v>
      </c>
      <c r="AC361" t="s">
        <v>135</v>
      </c>
      <c r="AD361" t="s">
        <v>136</v>
      </c>
    </row>
    <row r="362" spans="1:30" x14ac:dyDescent="0.25">
      <c r="A362" t="s">
        <v>939</v>
      </c>
      <c r="B362" t="s">
        <v>65</v>
      </c>
      <c r="C362" t="s">
        <v>26</v>
      </c>
      <c r="D362" t="s">
        <v>66</v>
      </c>
      <c r="E362" t="s">
        <v>940</v>
      </c>
      <c r="F362" t="s">
        <v>941</v>
      </c>
      <c r="G362">
        <v>1002065378</v>
      </c>
      <c r="H362" t="s">
        <v>528</v>
      </c>
      <c r="I362" s="4" t="s">
        <v>35</v>
      </c>
      <c r="J362" s="4" t="s">
        <v>529</v>
      </c>
      <c r="K362" t="s">
        <v>942</v>
      </c>
      <c r="L362" t="s">
        <v>27</v>
      </c>
      <c r="M362" t="s">
        <v>943</v>
      </c>
      <c r="N362" t="s">
        <v>28</v>
      </c>
      <c r="O362" t="s">
        <v>68</v>
      </c>
      <c r="P362" t="s">
        <v>74</v>
      </c>
      <c r="Q362" t="s">
        <v>31</v>
      </c>
      <c r="R362">
        <v>9</v>
      </c>
      <c r="S362" t="s">
        <v>944</v>
      </c>
      <c r="T362" t="s">
        <v>7160</v>
      </c>
      <c r="U362" t="s">
        <v>7161</v>
      </c>
      <c r="V362" t="s">
        <v>49</v>
      </c>
      <c r="W362" t="s">
        <v>33</v>
      </c>
      <c r="X362" t="s">
        <v>33</v>
      </c>
      <c r="Y362" t="s">
        <v>33</v>
      </c>
      <c r="Z362" s="16" t="s">
        <v>34</v>
      </c>
      <c r="AA362">
        <v>-75.605880400000004</v>
      </c>
      <c r="AB362">
        <v>6.2759845099999998</v>
      </c>
      <c r="AC362" t="s">
        <v>135</v>
      </c>
      <c r="AD362" t="s">
        <v>136</v>
      </c>
    </row>
    <row r="363" spans="1:30" x14ac:dyDescent="0.25">
      <c r="A363" t="s">
        <v>1033</v>
      </c>
      <c r="B363" t="s">
        <v>25</v>
      </c>
      <c r="C363" t="s">
        <v>26</v>
      </c>
      <c r="D363" t="s">
        <v>25</v>
      </c>
      <c r="E363" t="s">
        <v>1034</v>
      </c>
      <c r="F363" t="s">
        <v>1035</v>
      </c>
      <c r="G363">
        <v>43585521</v>
      </c>
      <c r="H363" t="s">
        <v>1036</v>
      </c>
      <c r="I363" s="4" t="s">
        <v>1037</v>
      </c>
      <c r="J363" s="4" t="s">
        <v>1038</v>
      </c>
      <c r="K363" t="s">
        <v>1039</v>
      </c>
      <c r="L363" t="s">
        <v>27</v>
      </c>
      <c r="M363" t="s">
        <v>1040</v>
      </c>
      <c r="N363" t="s">
        <v>28</v>
      </c>
      <c r="O363" t="s">
        <v>29</v>
      </c>
      <c r="P363" t="s">
        <v>37</v>
      </c>
      <c r="Q363" t="s">
        <v>31</v>
      </c>
      <c r="R363">
        <v>7</v>
      </c>
      <c r="S363" t="s">
        <v>1041</v>
      </c>
      <c r="T363" t="s">
        <v>7162</v>
      </c>
      <c r="U363" t="s">
        <v>47</v>
      </c>
      <c r="V363" t="s">
        <v>47</v>
      </c>
      <c r="W363" t="s">
        <v>33</v>
      </c>
      <c r="X363" t="s">
        <v>33</v>
      </c>
      <c r="Y363" t="s">
        <v>33</v>
      </c>
      <c r="Z363" s="16" t="s">
        <v>34</v>
      </c>
      <c r="AA363">
        <v>-75.553008770000005</v>
      </c>
      <c r="AB363">
        <v>6.2581888599999997</v>
      </c>
      <c r="AC363" t="s">
        <v>135</v>
      </c>
      <c r="AD363" t="s">
        <v>136</v>
      </c>
    </row>
    <row r="364" spans="1:30" x14ac:dyDescent="0.25">
      <c r="A364" t="s">
        <v>945</v>
      </c>
      <c r="B364" t="s">
        <v>65</v>
      </c>
      <c r="C364" t="s">
        <v>26</v>
      </c>
      <c r="D364" t="s">
        <v>66</v>
      </c>
      <c r="E364" t="s">
        <v>946</v>
      </c>
      <c r="F364" t="s">
        <v>947</v>
      </c>
      <c r="G364">
        <v>43180623</v>
      </c>
      <c r="H364" t="s">
        <v>948</v>
      </c>
      <c r="I364" s="4" t="s">
        <v>35</v>
      </c>
      <c r="J364" s="4" t="s">
        <v>949</v>
      </c>
      <c r="K364" t="s">
        <v>950</v>
      </c>
      <c r="L364" t="s">
        <v>27</v>
      </c>
      <c r="M364" t="s">
        <v>951</v>
      </c>
      <c r="N364" t="s">
        <v>28</v>
      </c>
      <c r="O364" t="s">
        <v>68</v>
      </c>
      <c r="P364" t="s">
        <v>70</v>
      </c>
      <c r="Q364" t="s">
        <v>38</v>
      </c>
      <c r="R364">
        <v>14</v>
      </c>
      <c r="S364" t="s">
        <v>952</v>
      </c>
      <c r="T364" t="s">
        <v>7163</v>
      </c>
      <c r="U364" t="s">
        <v>1244</v>
      </c>
      <c r="V364" t="s">
        <v>32</v>
      </c>
      <c r="W364" t="s">
        <v>33</v>
      </c>
      <c r="X364" t="s">
        <v>33</v>
      </c>
      <c r="Y364" t="s">
        <v>33</v>
      </c>
      <c r="Z364" s="16" t="s">
        <v>34</v>
      </c>
      <c r="AA364">
        <v>-75.647926999999996</v>
      </c>
      <c r="AB364">
        <v>6.2980210000000003</v>
      </c>
      <c r="AC364" t="s">
        <v>135</v>
      </c>
      <c r="AD364" t="s">
        <v>136</v>
      </c>
    </row>
    <row r="365" spans="1:30" x14ac:dyDescent="0.25">
      <c r="A365" t="s">
        <v>924</v>
      </c>
      <c r="B365" t="s">
        <v>25</v>
      </c>
      <c r="C365" t="s">
        <v>26</v>
      </c>
      <c r="D365" t="s">
        <v>39</v>
      </c>
      <c r="E365" t="s">
        <v>925</v>
      </c>
      <c r="F365" t="s">
        <v>2594</v>
      </c>
      <c r="G365">
        <v>1146434436</v>
      </c>
      <c r="H365" t="s">
        <v>926</v>
      </c>
      <c r="I365" s="4" t="s">
        <v>35</v>
      </c>
      <c r="J365" s="4" t="s">
        <v>927</v>
      </c>
      <c r="K365" t="s">
        <v>928</v>
      </c>
      <c r="L365" t="s">
        <v>27</v>
      </c>
      <c r="M365" t="s">
        <v>929</v>
      </c>
      <c r="N365" t="s">
        <v>28</v>
      </c>
      <c r="O365" t="s">
        <v>40</v>
      </c>
      <c r="P365" t="s">
        <v>41</v>
      </c>
      <c r="Q365" t="s">
        <v>31</v>
      </c>
      <c r="R365">
        <v>5</v>
      </c>
      <c r="S365" t="s">
        <v>2595</v>
      </c>
      <c r="T365" t="s">
        <v>7164</v>
      </c>
      <c r="U365" t="s">
        <v>3646</v>
      </c>
      <c r="V365" t="s">
        <v>49</v>
      </c>
      <c r="W365" t="s">
        <v>33</v>
      </c>
      <c r="X365" t="s">
        <v>33</v>
      </c>
      <c r="Y365" t="s">
        <v>33</v>
      </c>
      <c r="Z365" s="16" t="s">
        <v>34</v>
      </c>
      <c r="AA365">
        <v>-75.542572890000002</v>
      </c>
      <c r="AB365">
        <v>6.2437684500000001</v>
      </c>
      <c r="AC365" t="s">
        <v>135</v>
      </c>
      <c r="AD365" t="s">
        <v>136</v>
      </c>
    </row>
    <row r="366" spans="1:30" x14ac:dyDescent="0.25">
      <c r="A366" t="s">
        <v>1149</v>
      </c>
      <c r="B366" t="s">
        <v>25</v>
      </c>
      <c r="C366" t="s">
        <v>26</v>
      </c>
      <c r="D366" t="s">
        <v>25</v>
      </c>
      <c r="E366" t="s">
        <v>1150</v>
      </c>
      <c r="F366" t="s">
        <v>2597</v>
      </c>
      <c r="G366">
        <v>43205673</v>
      </c>
      <c r="H366" t="s">
        <v>1151</v>
      </c>
      <c r="I366" s="4" t="s">
        <v>35</v>
      </c>
      <c r="J366" s="4" t="s">
        <v>1152</v>
      </c>
      <c r="K366" t="s">
        <v>1153</v>
      </c>
      <c r="L366" t="s">
        <v>48</v>
      </c>
      <c r="M366" t="s">
        <v>1154</v>
      </c>
      <c r="N366" t="s">
        <v>64</v>
      </c>
      <c r="O366" t="s">
        <v>29</v>
      </c>
      <c r="P366" t="s">
        <v>37</v>
      </c>
      <c r="Q366" t="s">
        <v>38</v>
      </c>
      <c r="R366">
        <v>10</v>
      </c>
      <c r="S366" t="s">
        <v>2598</v>
      </c>
      <c r="T366" t="s">
        <v>7165</v>
      </c>
      <c r="U366" t="s">
        <v>7166</v>
      </c>
      <c r="V366" t="s">
        <v>32</v>
      </c>
      <c r="W366" t="s">
        <v>33</v>
      </c>
      <c r="X366" t="s">
        <v>33</v>
      </c>
      <c r="Y366" t="s">
        <v>33</v>
      </c>
      <c r="Z366" s="16" t="s">
        <v>34</v>
      </c>
      <c r="AA366">
        <v>-75.526851289999996</v>
      </c>
      <c r="AB366">
        <v>6.1940976499999998</v>
      </c>
      <c r="AC366" t="s">
        <v>135</v>
      </c>
      <c r="AD366" t="s">
        <v>136</v>
      </c>
    </row>
    <row r="367" spans="1:30" x14ac:dyDescent="0.25">
      <c r="A367" t="s">
        <v>1049</v>
      </c>
      <c r="B367" t="s">
        <v>50</v>
      </c>
      <c r="C367" t="s">
        <v>71</v>
      </c>
      <c r="D367" t="s">
        <v>50</v>
      </c>
      <c r="E367" t="s">
        <v>1050</v>
      </c>
      <c r="F367" t="s">
        <v>1051</v>
      </c>
      <c r="G367">
        <v>43835602</v>
      </c>
      <c r="H367" t="s">
        <v>1052</v>
      </c>
      <c r="I367" s="4" t="s">
        <v>35</v>
      </c>
      <c r="J367" s="4" t="s">
        <v>1053</v>
      </c>
      <c r="K367" t="s">
        <v>1054</v>
      </c>
      <c r="L367" t="s">
        <v>44</v>
      </c>
      <c r="M367" t="s">
        <v>1055</v>
      </c>
      <c r="N367" t="s">
        <v>45</v>
      </c>
      <c r="O367" t="s">
        <v>72</v>
      </c>
      <c r="P367" t="s">
        <v>52</v>
      </c>
      <c r="Q367" t="s">
        <v>31</v>
      </c>
      <c r="R367">
        <v>11</v>
      </c>
      <c r="S367" t="s">
        <v>1056</v>
      </c>
      <c r="T367" t="s">
        <v>2583</v>
      </c>
      <c r="U367" t="s">
        <v>7167</v>
      </c>
      <c r="V367" t="s">
        <v>32</v>
      </c>
      <c r="W367" t="s">
        <v>33</v>
      </c>
      <c r="X367" t="s">
        <v>33</v>
      </c>
      <c r="Y367" t="s">
        <v>33</v>
      </c>
      <c r="Z367" s="16" t="s">
        <v>34</v>
      </c>
      <c r="AA367">
        <v>-75.599817490000007</v>
      </c>
      <c r="AB367">
        <v>6.1861674300000002</v>
      </c>
      <c r="AC367" t="s">
        <v>135</v>
      </c>
      <c r="AD367" t="s">
        <v>136</v>
      </c>
    </row>
    <row r="368" spans="1:30" x14ac:dyDescent="0.25">
      <c r="A368" t="s">
        <v>1057</v>
      </c>
      <c r="B368" t="s">
        <v>50</v>
      </c>
      <c r="C368" t="s">
        <v>71</v>
      </c>
      <c r="D368" t="s">
        <v>50</v>
      </c>
      <c r="E368" t="s">
        <v>1058</v>
      </c>
      <c r="F368" t="s">
        <v>1059</v>
      </c>
      <c r="G368">
        <v>43620521</v>
      </c>
      <c r="H368" t="s">
        <v>1060</v>
      </c>
      <c r="I368" s="4" t="s">
        <v>1061</v>
      </c>
      <c r="J368" s="4" t="s">
        <v>1062</v>
      </c>
      <c r="K368" t="s">
        <v>1063</v>
      </c>
      <c r="L368" t="s">
        <v>27</v>
      </c>
      <c r="M368" t="s">
        <v>1064</v>
      </c>
      <c r="N368" t="s">
        <v>28</v>
      </c>
      <c r="O368" t="s">
        <v>72</v>
      </c>
      <c r="P368" t="s">
        <v>52</v>
      </c>
      <c r="Q368" t="s">
        <v>31</v>
      </c>
      <c r="R368">
        <v>11</v>
      </c>
      <c r="S368" t="s">
        <v>1065</v>
      </c>
      <c r="T368" t="s">
        <v>7168</v>
      </c>
      <c r="U368" t="s">
        <v>7169</v>
      </c>
      <c r="V368" t="s">
        <v>32</v>
      </c>
      <c r="W368" t="s">
        <v>33</v>
      </c>
      <c r="X368" t="s">
        <v>33</v>
      </c>
      <c r="Y368" t="s">
        <v>33</v>
      </c>
      <c r="Z368" s="16" t="s">
        <v>34</v>
      </c>
      <c r="AA368">
        <v>-75.607661140000005</v>
      </c>
      <c r="AB368">
        <v>6.2600248499999998</v>
      </c>
      <c r="AC368" t="s">
        <v>135</v>
      </c>
      <c r="AD368" t="s">
        <v>136</v>
      </c>
    </row>
    <row r="369" spans="1:30" x14ac:dyDescent="0.25">
      <c r="A369" t="s">
        <v>1066</v>
      </c>
      <c r="B369" t="s">
        <v>25</v>
      </c>
      <c r="C369" t="s">
        <v>26</v>
      </c>
      <c r="D369" t="s">
        <v>25</v>
      </c>
      <c r="E369" t="s">
        <v>1067</v>
      </c>
      <c r="F369" t="s">
        <v>1068</v>
      </c>
      <c r="G369">
        <v>42766573</v>
      </c>
      <c r="H369" t="s">
        <v>1069</v>
      </c>
      <c r="I369" s="4" t="s">
        <v>1070</v>
      </c>
      <c r="J369" s="4" t="s">
        <v>1071</v>
      </c>
      <c r="K369" t="s">
        <v>1072</v>
      </c>
      <c r="L369" t="s">
        <v>44</v>
      </c>
      <c r="M369" t="s">
        <v>1073</v>
      </c>
      <c r="N369" t="s">
        <v>45</v>
      </c>
      <c r="O369" t="s">
        <v>29</v>
      </c>
      <c r="P369" t="s">
        <v>37</v>
      </c>
      <c r="Q369" t="s">
        <v>31</v>
      </c>
      <c r="R369">
        <v>7</v>
      </c>
      <c r="S369" t="s">
        <v>1074</v>
      </c>
      <c r="T369" t="s">
        <v>7170</v>
      </c>
      <c r="U369" t="s">
        <v>47</v>
      </c>
      <c r="V369" t="s">
        <v>47</v>
      </c>
      <c r="W369" t="s">
        <v>33</v>
      </c>
      <c r="X369" t="s">
        <v>33</v>
      </c>
      <c r="Y369" t="s">
        <v>33</v>
      </c>
      <c r="Z369" s="16" t="s">
        <v>34</v>
      </c>
      <c r="AA369">
        <v>-75.59945673</v>
      </c>
      <c r="AB369">
        <v>6.1821824400000001</v>
      </c>
      <c r="AC369" t="s">
        <v>135</v>
      </c>
      <c r="AD369" t="s">
        <v>136</v>
      </c>
    </row>
    <row r="370" spans="1:30" x14ac:dyDescent="0.25">
      <c r="A370" t="s">
        <v>1273</v>
      </c>
      <c r="B370" t="s">
        <v>65</v>
      </c>
      <c r="C370" t="s">
        <v>26</v>
      </c>
      <c r="D370" t="s">
        <v>66</v>
      </c>
      <c r="E370" t="s">
        <v>1274</v>
      </c>
      <c r="F370" t="s">
        <v>1275</v>
      </c>
      <c r="G370">
        <v>71637652</v>
      </c>
      <c r="H370" t="s">
        <v>1276</v>
      </c>
      <c r="I370" s="4" t="s">
        <v>35</v>
      </c>
      <c r="J370" s="4" t="s">
        <v>1277</v>
      </c>
      <c r="K370" t="s">
        <v>1278</v>
      </c>
      <c r="L370" t="s">
        <v>27</v>
      </c>
      <c r="M370" t="s">
        <v>1279</v>
      </c>
      <c r="N370" t="s">
        <v>28</v>
      </c>
      <c r="O370" t="s">
        <v>68</v>
      </c>
      <c r="P370" t="s">
        <v>70</v>
      </c>
      <c r="Q370" t="s">
        <v>31</v>
      </c>
      <c r="R370">
        <v>9</v>
      </c>
      <c r="S370" t="s">
        <v>1280</v>
      </c>
      <c r="T370" t="s">
        <v>7171</v>
      </c>
      <c r="U370" t="s">
        <v>7172</v>
      </c>
      <c r="V370" t="s">
        <v>49</v>
      </c>
      <c r="W370" t="s">
        <v>33</v>
      </c>
      <c r="X370" t="s">
        <v>33</v>
      </c>
      <c r="Y370" t="s">
        <v>33</v>
      </c>
      <c r="Z370" s="16" t="s">
        <v>34</v>
      </c>
      <c r="AA370">
        <v>-75.604655080000001</v>
      </c>
      <c r="AB370">
        <v>6.2742202599999999</v>
      </c>
      <c r="AC370" t="s">
        <v>135</v>
      </c>
      <c r="AD370" t="s">
        <v>136</v>
      </c>
    </row>
    <row r="371" spans="1:30" x14ac:dyDescent="0.25">
      <c r="A371" t="s">
        <v>1075</v>
      </c>
      <c r="B371" t="s">
        <v>50</v>
      </c>
      <c r="C371" t="s">
        <v>26</v>
      </c>
      <c r="D371" t="s">
        <v>50</v>
      </c>
      <c r="E371" t="s">
        <v>1076</v>
      </c>
      <c r="F371" t="s">
        <v>1077</v>
      </c>
      <c r="G371">
        <v>22108273</v>
      </c>
      <c r="H371" t="s">
        <v>1078</v>
      </c>
      <c r="I371" s="4" t="s">
        <v>35</v>
      </c>
      <c r="J371" s="4" t="s">
        <v>1079</v>
      </c>
      <c r="K371" t="s">
        <v>1080</v>
      </c>
      <c r="L371" t="s">
        <v>27</v>
      </c>
      <c r="M371" t="s">
        <v>1081</v>
      </c>
      <c r="N371" t="s">
        <v>28</v>
      </c>
      <c r="O371" t="s">
        <v>51</v>
      </c>
      <c r="P371" t="s">
        <v>52</v>
      </c>
      <c r="Q371" t="s">
        <v>31</v>
      </c>
      <c r="R371">
        <v>11</v>
      </c>
      <c r="S371" t="s">
        <v>1082</v>
      </c>
      <c r="T371" t="s">
        <v>1572</v>
      </c>
      <c r="U371" t="s">
        <v>1503</v>
      </c>
      <c r="V371" t="s">
        <v>32</v>
      </c>
      <c r="W371" t="s">
        <v>33</v>
      </c>
      <c r="X371" t="s">
        <v>33</v>
      </c>
      <c r="Y371" t="s">
        <v>33</v>
      </c>
      <c r="Z371" s="16" t="s">
        <v>34</v>
      </c>
      <c r="AA371">
        <v>-75.540311869999996</v>
      </c>
      <c r="AB371">
        <v>6.2488550099999998</v>
      </c>
      <c r="AC371" t="s">
        <v>135</v>
      </c>
      <c r="AD371" t="s">
        <v>136</v>
      </c>
    </row>
    <row r="372" spans="1:30" x14ac:dyDescent="0.25">
      <c r="A372" t="s">
        <v>1083</v>
      </c>
      <c r="B372" t="s">
        <v>25</v>
      </c>
      <c r="C372" t="s">
        <v>26</v>
      </c>
      <c r="D372" t="s">
        <v>39</v>
      </c>
      <c r="E372" t="s">
        <v>1084</v>
      </c>
      <c r="F372" t="s">
        <v>2600</v>
      </c>
      <c r="G372">
        <v>71930087</v>
      </c>
      <c r="H372" t="s">
        <v>1085</v>
      </c>
      <c r="I372" s="4" t="s">
        <v>35</v>
      </c>
      <c r="J372" s="4" t="s">
        <v>1086</v>
      </c>
      <c r="K372" t="s">
        <v>1087</v>
      </c>
      <c r="L372" t="s">
        <v>27</v>
      </c>
      <c r="M372" t="s">
        <v>1088</v>
      </c>
      <c r="N372" t="s">
        <v>28</v>
      </c>
      <c r="O372" t="s">
        <v>40</v>
      </c>
      <c r="P372" t="s">
        <v>41</v>
      </c>
      <c r="Q372" t="s">
        <v>31</v>
      </c>
      <c r="R372">
        <v>5</v>
      </c>
      <c r="S372" t="s">
        <v>2601</v>
      </c>
      <c r="T372" t="s">
        <v>7173</v>
      </c>
      <c r="U372" t="s">
        <v>7174</v>
      </c>
      <c r="V372" t="s">
        <v>32</v>
      </c>
      <c r="W372" t="s">
        <v>33</v>
      </c>
      <c r="X372" t="s">
        <v>33</v>
      </c>
      <c r="Y372" t="s">
        <v>33</v>
      </c>
      <c r="Z372" s="16" t="s">
        <v>34</v>
      </c>
      <c r="AA372">
        <v>-75.626892999999995</v>
      </c>
      <c r="AB372">
        <v>6.2499580000000003</v>
      </c>
      <c r="AC372" t="s">
        <v>135</v>
      </c>
      <c r="AD372" t="s">
        <v>136</v>
      </c>
    </row>
    <row r="373" spans="1:30" x14ac:dyDescent="0.25">
      <c r="A373" t="s">
        <v>9973</v>
      </c>
      <c r="B373" t="s">
        <v>25</v>
      </c>
      <c r="C373" t="s">
        <v>26</v>
      </c>
      <c r="D373" t="s">
        <v>39</v>
      </c>
      <c r="E373" t="s">
        <v>7175</v>
      </c>
      <c r="F373" t="s">
        <v>7176</v>
      </c>
      <c r="G373">
        <v>70220020</v>
      </c>
      <c r="H373" t="s">
        <v>7177</v>
      </c>
      <c r="I373" s="4" t="s">
        <v>35</v>
      </c>
      <c r="J373" s="4" t="s">
        <v>7178</v>
      </c>
      <c r="K373" t="s">
        <v>7179</v>
      </c>
      <c r="L373" t="s">
        <v>59</v>
      </c>
      <c r="M373" t="s">
        <v>7180</v>
      </c>
      <c r="N373" t="s">
        <v>60</v>
      </c>
      <c r="O373" t="s">
        <v>46</v>
      </c>
      <c r="P373" t="s">
        <v>41</v>
      </c>
      <c r="Q373" t="s">
        <v>38</v>
      </c>
      <c r="R373">
        <v>8</v>
      </c>
      <c r="S373" t="s">
        <v>7181</v>
      </c>
      <c r="T373" t="s">
        <v>3646</v>
      </c>
      <c r="U373" t="s">
        <v>7182</v>
      </c>
      <c r="V373" t="s">
        <v>32</v>
      </c>
      <c r="W373" t="s">
        <v>33</v>
      </c>
      <c r="X373" t="s">
        <v>33</v>
      </c>
      <c r="Y373" t="s">
        <v>33</v>
      </c>
      <c r="Z373" s="16" t="s">
        <v>34</v>
      </c>
      <c r="AA373">
        <v>-75.63061218</v>
      </c>
      <c r="AB373">
        <v>6.1389063300000002</v>
      </c>
      <c r="AC373" t="s">
        <v>135</v>
      </c>
      <c r="AD373" t="s">
        <v>136</v>
      </c>
    </row>
    <row r="374" spans="1:30" x14ac:dyDescent="0.25">
      <c r="A374" t="s">
        <v>1282</v>
      </c>
      <c r="B374" t="s">
        <v>65</v>
      </c>
      <c r="C374" t="s">
        <v>26</v>
      </c>
      <c r="D374" t="s">
        <v>66</v>
      </c>
      <c r="E374" t="s">
        <v>1283</v>
      </c>
      <c r="F374" t="s">
        <v>1284</v>
      </c>
      <c r="G374">
        <v>3424884</v>
      </c>
      <c r="H374" t="s">
        <v>1285</v>
      </c>
      <c r="I374" s="4" t="s">
        <v>35</v>
      </c>
      <c r="J374" s="4" t="s">
        <v>1286</v>
      </c>
      <c r="K374" t="s">
        <v>1287</v>
      </c>
      <c r="L374" t="s">
        <v>27</v>
      </c>
      <c r="M374" t="s">
        <v>1288</v>
      </c>
      <c r="N374" t="s">
        <v>28</v>
      </c>
      <c r="O374" t="s">
        <v>68</v>
      </c>
      <c r="P374" t="s">
        <v>70</v>
      </c>
      <c r="Q374" t="s">
        <v>31</v>
      </c>
      <c r="R374">
        <v>9</v>
      </c>
      <c r="S374" t="s">
        <v>1289</v>
      </c>
      <c r="T374" t="s">
        <v>7183</v>
      </c>
      <c r="U374" t="s">
        <v>7184</v>
      </c>
      <c r="V374" t="s">
        <v>49</v>
      </c>
      <c r="W374" t="s">
        <v>33</v>
      </c>
      <c r="X374" t="s">
        <v>33</v>
      </c>
      <c r="Y374" t="s">
        <v>33</v>
      </c>
      <c r="Z374" s="16" t="s">
        <v>34</v>
      </c>
      <c r="AA374">
        <v>-75.607009210000001</v>
      </c>
      <c r="AB374">
        <v>6.2786223200000002</v>
      </c>
      <c r="AC374" t="s">
        <v>135</v>
      </c>
      <c r="AD374" t="s">
        <v>136</v>
      </c>
    </row>
    <row r="375" spans="1:30" x14ac:dyDescent="0.25">
      <c r="A375" t="s">
        <v>2604</v>
      </c>
      <c r="B375" t="s">
        <v>25</v>
      </c>
      <c r="C375" t="s">
        <v>26</v>
      </c>
      <c r="D375" t="s">
        <v>39</v>
      </c>
      <c r="E375" t="s">
        <v>2605</v>
      </c>
      <c r="F375" t="s">
        <v>2606</v>
      </c>
      <c r="G375">
        <v>1000922035</v>
      </c>
      <c r="H375" t="s">
        <v>2607</v>
      </c>
      <c r="I375" s="4" t="s">
        <v>35</v>
      </c>
      <c r="J375" s="4" t="s">
        <v>2608</v>
      </c>
      <c r="K375" t="s">
        <v>2609</v>
      </c>
      <c r="L375" t="s">
        <v>57</v>
      </c>
      <c r="M375" t="s">
        <v>2610</v>
      </c>
      <c r="N375" t="s">
        <v>58</v>
      </c>
      <c r="O375" t="s">
        <v>40</v>
      </c>
      <c r="P375" t="s">
        <v>36</v>
      </c>
      <c r="Q375" t="s">
        <v>38</v>
      </c>
      <c r="R375">
        <v>8</v>
      </c>
      <c r="S375" t="s">
        <v>2611</v>
      </c>
      <c r="T375" t="s">
        <v>5224</v>
      </c>
      <c r="U375" t="s">
        <v>7185</v>
      </c>
      <c r="V375" t="s">
        <v>49</v>
      </c>
      <c r="W375" t="s">
        <v>33</v>
      </c>
      <c r="X375" t="s">
        <v>33</v>
      </c>
      <c r="Y375" t="s">
        <v>33</v>
      </c>
      <c r="Z375" s="16" t="s">
        <v>34</v>
      </c>
      <c r="AA375">
        <v>-75.635582060000004</v>
      </c>
      <c r="AB375">
        <v>6.0689308899999999</v>
      </c>
      <c r="AC375" t="s">
        <v>135</v>
      </c>
      <c r="AD375" t="s">
        <v>136</v>
      </c>
    </row>
    <row r="376" spans="1:30" x14ac:dyDescent="0.25">
      <c r="A376" t="s">
        <v>1089</v>
      </c>
      <c r="B376" t="s">
        <v>61</v>
      </c>
      <c r="C376" t="s">
        <v>26</v>
      </c>
      <c r="D376" t="s">
        <v>61</v>
      </c>
      <c r="E376" t="s">
        <v>1090</v>
      </c>
      <c r="F376" t="s">
        <v>1091</v>
      </c>
      <c r="G376">
        <v>98709451</v>
      </c>
      <c r="H376" t="s">
        <v>1092</v>
      </c>
      <c r="I376" s="4" t="s">
        <v>1093</v>
      </c>
      <c r="J376" s="4" t="s">
        <v>1044</v>
      </c>
      <c r="K376" t="s">
        <v>1094</v>
      </c>
      <c r="L376" t="s">
        <v>27</v>
      </c>
      <c r="M376" t="s">
        <v>1095</v>
      </c>
      <c r="N376" t="s">
        <v>28</v>
      </c>
      <c r="O376" t="s">
        <v>62</v>
      </c>
      <c r="P376" t="s">
        <v>63</v>
      </c>
      <c r="Q376" t="s">
        <v>31</v>
      </c>
      <c r="R376">
        <v>4</v>
      </c>
      <c r="S376" t="s">
        <v>1096</v>
      </c>
      <c r="T376" t="s">
        <v>6863</v>
      </c>
      <c r="U376" t="s">
        <v>47</v>
      </c>
      <c r="V376" t="s">
        <v>47</v>
      </c>
      <c r="W376" t="s">
        <v>33</v>
      </c>
      <c r="X376" t="s">
        <v>33</v>
      </c>
      <c r="Y376" t="s">
        <v>33</v>
      </c>
      <c r="Z376" s="16" t="s">
        <v>34</v>
      </c>
      <c r="AA376">
        <v>-75.559600000000003</v>
      </c>
      <c r="AB376">
        <v>6.2481840000000002</v>
      </c>
      <c r="AC376" t="s">
        <v>135</v>
      </c>
      <c r="AD376" t="s">
        <v>136</v>
      </c>
    </row>
    <row r="377" spans="1:30" x14ac:dyDescent="0.25">
      <c r="A377" t="s">
        <v>1097</v>
      </c>
      <c r="B377" t="s">
        <v>25</v>
      </c>
      <c r="C377" t="s">
        <v>26</v>
      </c>
      <c r="D377" t="s">
        <v>25</v>
      </c>
      <c r="E377" t="s">
        <v>1098</v>
      </c>
      <c r="F377" t="s">
        <v>1099</v>
      </c>
      <c r="G377">
        <v>43781255</v>
      </c>
      <c r="H377" t="s">
        <v>1100</v>
      </c>
      <c r="I377" s="4" t="s">
        <v>35</v>
      </c>
      <c r="J377" s="4" t="s">
        <v>1101</v>
      </c>
      <c r="K377" t="s">
        <v>1102</v>
      </c>
      <c r="L377" t="s">
        <v>27</v>
      </c>
      <c r="M377" t="s">
        <v>1103</v>
      </c>
      <c r="N377" t="s">
        <v>28</v>
      </c>
      <c r="O377" t="s">
        <v>29</v>
      </c>
      <c r="P377" t="s">
        <v>37</v>
      </c>
      <c r="Q377" t="s">
        <v>31</v>
      </c>
      <c r="R377">
        <v>7</v>
      </c>
      <c r="S377" t="s">
        <v>1104</v>
      </c>
      <c r="T377" t="s">
        <v>7186</v>
      </c>
      <c r="U377" t="s">
        <v>7187</v>
      </c>
      <c r="V377" t="s">
        <v>131</v>
      </c>
      <c r="W377" t="s">
        <v>33</v>
      </c>
      <c r="X377" t="s">
        <v>33</v>
      </c>
      <c r="Y377" t="s">
        <v>33</v>
      </c>
      <c r="Z377" s="16" t="s">
        <v>34</v>
      </c>
      <c r="AA377">
        <v>-75.541076000000004</v>
      </c>
      <c r="AB377">
        <v>6.2545859999999998</v>
      </c>
      <c r="AC377" t="s">
        <v>135</v>
      </c>
      <c r="AD377" t="s">
        <v>136</v>
      </c>
    </row>
    <row r="378" spans="1:30" x14ac:dyDescent="0.25">
      <c r="A378" t="s">
        <v>1290</v>
      </c>
      <c r="B378" t="s">
        <v>65</v>
      </c>
      <c r="C378" t="s">
        <v>26</v>
      </c>
      <c r="D378" t="s">
        <v>66</v>
      </c>
      <c r="E378" t="s">
        <v>1291</v>
      </c>
      <c r="F378" t="s">
        <v>1292</v>
      </c>
      <c r="G378">
        <v>43036921</v>
      </c>
      <c r="H378" t="s">
        <v>1293</v>
      </c>
      <c r="I378" s="4" t="s">
        <v>35</v>
      </c>
      <c r="J378" s="4" t="s">
        <v>1294</v>
      </c>
      <c r="K378" t="s">
        <v>1295</v>
      </c>
      <c r="L378" t="s">
        <v>27</v>
      </c>
      <c r="M378" t="s">
        <v>1296</v>
      </c>
      <c r="N378" t="s">
        <v>28</v>
      </c>
      <c r="O378" t="s">
        <v>68</v>
      </c>
      <c r="P378" t="s">
        <v>70</v>
      </c>
      <c r="Q378" t="s">
        <v>38</v>
      </c>
      <c r="R378">
        <v>14</v>
      </c>
      <c r="S378" t="s">
        <v>1297</v>
      </c>
      <c r="T378" t="s">
        <v>7188</v>
      </c>
      <c r="U378" t="s">
        <v>7188</v>
      </c>
      <c r="V378" t="s">
        <v>32</v>
      </c>
      <c r="W378" t="s">
        <v>33</v>
      </c>
      <c r="X378" t="s">
        <v>33</v>
      </c>
      <c r="Y378" t="s">
        <v>33</v>
      </c>
      <c r="Z378" s="16" t="s">
        <v>34</v>
      </c>
      <c r="AA378">
        <v>-75.646938899999995</v>
      </c>
      <c r="AB378">
        <v>6.2852713400000004</v>
      </c>
      <c r="AC378" t="s">
        <v>135</v>
      </c>
      <c r="AD378" t="s">
        <v>136</v>
      </c>
    </row>
    <row r="379" spans="1:30" x14ac:dyDescent="0.25">
      <c r="A379" t="s">
        <v>1354</v>
      </c>
      <c r="B379" t="s">
        <v>50</v>
      </c>
      <c r="C379" t="s">
        <v>71</v>
      </c>
      <c r="D379" t="s">
        <v>50</v>
      </c>
      <c r="E379" t="s">
        <v>1355</v>
      </c>
      <c r="F379" t="s">
        <v>1356</v>
      </c>
      <c r="G379">
        <v>71616114</v>
      </c>
      <c r="H379" t="s">
        <v>1357</v>
      </c>
      <c r="I379" s="4" t="s">
        <v>35</v>
      </c>
      <c r="J379" s="4" t="s">
        <v>1358</v>
      </c>
      <c r="K379" t="s">
        <v>1359</v>
      </c>
      <c r="L379" t="s">
        <v>27</v>
      </c>
      <c r="M379" t="s">
        <v>1360</v>
      </c>
      <c r="N379" t="s">
        <v>28</v>
      </c>
      <c r="O379" t="s">
        <v>72</v>
      </c>
      <c r="P379" t="s">
        <v>52</v>
      </c>
      <c r="Q379" t="s">
        <v>31</v>
      </c>
      <c r="R379">
        <v>11</v>
      </c>
      <c r="S379" t="s">
        <v>1361</v>
      </c>
      <c r="T379" t="s">
        <v>7189</v>
      </c>
      <c r="U379" t="s">
        <v>7190</v>
      </c>
      <c r="V379" t="s">
        <v>32</v>
      </c>
      <c r="W379" t="s">
        <v>33</v>
      </c>
      <c r="X379" t="s">
        <v>33</v>
      </c>
      <c r="Y379" t="s">
        <v>33</v>
      </c>
      <c r="Z379" s="16" t="s">
        <v>34</v>
      </c>
      <c r="AA379">
        <v>-75.583165050000005</v>
      </c>
      <c r="AB379">
        <v>6.2198196599999998</v>
      </c>
      <c r="AC379" t="s">
        <v>135</v>
      </c>
      <c r="AD379" t="s">
        <v>136</v>
      </c>
    </row>
    <row r="380" spans="1:30" x14ac:dyDescent="0.25">
      <c r="A380" t="s">
        <v>1362</v>
      </c>
      <c r="B380" t="s">
        <v>50</v>
      </c>
      <c r="C380" t="s">
        <v>79</v>
      </c>
      <c r="D380" t="s">
        <v>50</v>
      </c>
      <c r="E380" t="s">
        <v>1363</v>
      </c>
      <c r="F380" t="s">
        <v>1364</v>
      </c>
      <c r="G380">
        <v>15482908</v>
      </c>
      <c r="H380" t="s">
        <v>1365</v>
      </c>
      <c r="I380" s="4" t="s">
        <v>35</v>
      </c>
      <c r="J380" s="4" t="s">
        <v>1366</v>
      </c>
      <c r="K380" t="s">
        <v>1367</v>
      </c>
      <c r="L380" t="s">
        <v>27</v>
      </c>
      <c r="M380" t="s">
        <v>1368</v>
      </c>
      <c r="N380" t="s">
        <v>28</v>
      </c>
      <c r="O380" t="s">
        <v>80</v>
      </c>
      <c r="P380" t="s">
        <v>52</v>
      </c>
      <c r="Q380" t="s">
        <v>31</v>
      </c>
      <c r="R380">
        <v>11</v>
      </c>
      <c r="S380" t="s">
        <v>1369</v>
      </c>
      <c r="T380" t="s">
        <v>7191</v>
      </c>
      <c r="U380" t="s">
        <v>7192</v>
      </c>
      <c r="V380" t="s">
        <v>32</v>
      </c>
      <c r="W380" t="s">
        <v>33</v>
      </c>
      <c r="X380" t="s">
        <v>33</v>
      </c>
      <c r="Y380" t="s">
        <v>33</v>
      </c>
      <c r="Z380" s="16" t="s">
        <v>34</v>
      </c>
      <c r="AA380">
        <v>-75.532750379999996</v>
      </c>
      <c r="AB380">
        <v>6.2380932600000003</v>
      </c>
      <c r="AC380" t="s">
        <v>135</v>
      </c>
      <c r="AD380" t="s">
        <v>136</v>
      </c>
    </row>
    <row r="381" spans="1:30" x14ac:dyDescent="0.25">
      <c r="A381" t="s">
        <v>1370</v>
      </c>
      <c r="B381" t="s">
        <v>50</v>
      </c>
      <c r="C381" t="s">
        <v>71</v>
      </c>
      <c r="D381" t="s">
        <v>50</v>
      </c>
      <c r="E381" t="s">
        <v>1371</v>
      </c>
      <c r="F381" t="s">
        <v>1372</v>
      </c>
      <c r="G381">
        <v>101716563528</v>
      </c>
      <c r="H381" t="s">
        <v>1373</v>
      </c>
      <c r="I381" s="4" t="s">
        <v>35</v>
      </c>
      <c r="J381" s="4" t="s">
        <v>797</v>
      </c>
      <c r="K381" t="s">
        <v>1374</v>
      </c>
      <c r="L381" t="s">
        <v>27</v>
      </c>
      <c r="M381" t="s">
        <v>1375</v>
      </c>
      <c r="N381" t="s">
        <v>28</v>
      </c>
      <c r="O381" t="s">
        <v>72</v>
      </c>
      <c r="P381" t="s">
        <v>52</v>
      </c>
      <c r="Q381" t="s">
        <v>31</v>
      </c>
      <c r="R381">
        <v>11</v>
      </c>
      <c r="S381" t="s">
        <v>1376</v>
      </c>
      <c r="T381" t="s">
        <v>7193</v>
      </c>
      <c r="U381" t="s">
        <v>3538</v>
      </c>
      <c r="V381" t="s">
        <v>32</v>
      </c>
      <c r="W381" t="s">
        <v>33</v>
      </c>
      <c r="X381" t="s">
        <v>33</v>
      </c>
      <c r="Y381" t="s">
        <v>33</v>
      </c>
      <c r="Z381" s="16" t="s">
        <v>34</v>
      </c>
      <c r="AA381">
        <v>-75.567284529999995</v>
      </c>
      <c r="AB381">
        <v>6.2392610299999998</v>
      </c>
      <c r="AC381" t="s">
        <v>135</v>
      </c>
      <c r="AD381" t="s">
        <v>136</v>
      </c>
    </row>
    <row r="382" spans="1:30" x14ac:dyDescent="0.25">
      <c r="A382" t="s">
        <v>1377</v>
      </c>
      <c r="B382" t="s">
        <v>25</v>
      </c>
      <c r="C382" t="s">
        <v>26</v>
      </c>
      <c r="D382" t="s">
        <v>39</v>
      </c>
      <c r="E382" t="s">
        <v>1378</v>
      </c>
      <c r="F382" t="s">
        <v>2615</v>
      </c>
      <c r="G382">
        <v>43452589</v>
      </c>
      <c r="H382" t="s">
        <v>1379</v>
      </c>
      <c r="I382" s="4" t="s">
        <v>1380</v>
      </c>
      <c r="J382" s="4" t="s">
        <v>1381</v>
      </c>
      <c r="K382" t="s">
        <v>1382</v>
      </c>
      <c r="L382" t="s">
        <v>27</v>
      </c>
      <c r="M382" t="s">
        <v>1383</v>
      </c>
      <c r="N382" t="s">
        <v>28</v>
      </c>
      <c r="O382" t="s">
        <v>40</v>
      </c>
      <c r="P382" t="s">
        <v>41</v>
      </c>
      <c r="Q382" t="s">
        <v>38</v>
      </c>
      <c r="R382">
        <v>8</v>
      </c>
      <c r="S382" t="s">
        <v>2616</v>
      </c>
      <c r="T382" t="s">
        <v>7194</v>
      </c>
      <c r="U382" t="s">
        <v>7194</v>
      </c>
      <c r="V382" t="s">
        <v>32</v>
      </c>
      <c r="W382" t="s">
        <v>33</v>
      </c>
      <c r="X382" t="s">
        <v>33</v>
      </c>
      <c r="Y382" t="s">
        <v>33</v>
      </c>
      <c r="Z382" s="16" t="s">
        <v>34</v>
      </c>
      <c r="AA382">
        <v>-75.661386460000003</v>
      </c>
      <c r="AB382">
        <v>6.3066020399999996</v>
      </c>
      <c r="AC382" t="s">
        <v>135</v>
      </c>
      <c r="AD382" t="s">
        <v>136</v>
      </c>
    </row>
    <row r="383" spans="1:30" x14ac:dyDescent="0.25">
      <c r="A383" t="s">
        <v>9974</v>
      </c>
      <c r="B383" t="s">
        <v>25</v>
      </c>
      <c r="C383" t="s">
        <v>26</v>
      </c>
      <c r="D383" t="s">
        <v>25</v>
      </c>
      <c r="E383" t="s">
        <v>7195</v>
      </c>
      <c r="F383" t="s">
        <v>7196</v>
      </c>
      <c r="G383">
        <v>70723802</v>
      </c>
      <c r="H383" t="s">
        <v>7113</v>
      </c>
      <c r="I383" s="4" t="s">
        <v>35</v>
      </c>
      <c r="J383" s="4" t="s">
        <v>7114</v>
      </c>
      <c r="K383" t="s">
        <v>7197</v>
      </c>
      <c r="L383" t="s">
        <v>27</v>
      </c>
      <c r="M383" t="s">
        <v>7198</v>
      </c>
      <c r="N383" t="s">
        <v>28</v>
      </c>
      <c r="O383" t="s">
        <v>29</v>
      </c>
      <c r="P383" t="s">
        <v>37</v>
      </c>
      <c r="Q383" t="s">
        <v>31</v>
      </c>
      <c r="R383">
        <v>7</v>
      </c>
      <c r="S383" t="s">
        <v>7199</v>
      </c>
      <c r="T383" t="s">
        <v>7200</v>
      </c>
      <c r="U383" t="s">
        <v>7201</v>
      </c>
      <c r="V383" t="s">
        <v>32</v>
      </c>
      <c r="W383" t="s">
        <v>33</v>
      </c>
      <c r="X383" t="s">
        <v>33</v>
      </c>
      <c r="Y383" t="s">
        <v>33</v>
      </c>
      <c r="Z383" s="16" t="s">
        <v>34</v>
      </c>
      <c r="AA383">
        <v>-75.586939299999997</v>
      </c>
      <c r="AB383">
        <v>6.2116381199999999</v>
      </c>
      <c r="AC383" t="s">
        <v>135</v>
      </c>
      <c r="AD383" t="s">
        <v>136</v>
      </c>
    </row>
    <row r="384" spans="1:30" x14ac:dyDescent="0.25">
      <c r="A384" t="s">
        <v>2617</v>
      </c>
      <c r="B384" t="s">
        <v>65</v>
      </c>
      <c r="C384" t="s">
        <v>26</v>
      </c>
      <c r="D384" t="s">
        <v>66</v>
      </c>
      <c r="E384" t="s">
        <v>2618</v>
      </c>
      <c r="F384" t="s">
        <v>2619</v>
      </c>
      <c r="G384">
        <v>71493800</v>
      </c>
      <c r="H384" t="s">
        <v>2620</v>
      </c>
      <c r="I384" s="4" t="s">
        <v>35</v>
      </c>
      <c r="J384" s="4" t="s">
        <v>2621</v>
      </c>
      <c r="K384" t="s">
        <v>2622</v>
      </c>
      <c r="L384" t="s">
        <v>44</v>
      </c>
      <c r="M384" t="s">
        <v>2623</v>
      </c>
      <c r="N384" t="s">
        <v>45</v>
      </c>
      <c r="O384" t="s">
        <v>68</v>
      </c>
      <c r="P384" t="s">
        <v>74</v>
      </c>
      <c r="Q384" t="s">
        <v>38</v>
      </c>
      <c r="R384">
        <v>14</v>
      </c>
      <c r="S384" t="s">
        <v>2624</v>
      </c>
      <c r="T384" t="s">
        <v>7202</v>
      </c>
      <c r="U384" t="s">
        <v>7203</v>
      </c>
      <c r="V384" t="s">
        <v>32</v>
      </c>
      <c r="W384" t="s">
        <v>33</v>
      </c>
      <c r="X384" t="s">
        <v>33</v>
      </c>
      <c r="Y384" t="s">
        <v>33</v>
      </c>
      <c r="Z384" s="16" t="s">
        <v>34</v>
      </c>
      <c r="AA384">
        <v>-75.610441170000001</v>
      </c>
      <c r="AB384">
        <v>6.1975118299999998</v>
      </c>
      <c r="AC384" t="s">
        <v>135</v>
      </c>
      <c r="AD384" t="s">
        <v>136</v>
      </c>
    </row>
    <row r="385" spans="1:30" x14ac:dyDescent="0.25">
      <c r="A385" t="s">
        <v>2625</v>
      </c>
      <c r="B385" t="s">
        <v>65</v>
      </c>
      <c r="C385" t="s">
        <v>26</v>
      </c>
      <c r="D385" t="s">
        <v>66</v>
      </c>
      <c r="E385" t="s">
        <v>2626</v>
      </c>
      <c r="F385" t="s">
        <v>2627</v>
      </c>
      <c r="G385">
        <v>98613876</v>
      </c>
      <c r="H385" t="s">
        <v>2628</v>
      </c>
      <c r="I385" s="4" t="s">
        <v>35</v>
      </c>
      <c r="J385" s="4" t="s">
        <v>2629</v>
      </c>
      <c r="K385" t="s">
        <v>2630</v>
      </c>
      <c r="L385" t="s">
        <v>27</v>
      </c>
      <c r="M385" t="s">
        <v>2631</v>
      </c>
      <c r="N385" t="s">
        <v>28</v>
      </c>
      <c r="O385" t="s">
        <v>68</v>
      </c>
      <c r="P385" t="s">
        <v>70</v>
      </c>
      <c r="Q385" t="s">
        <v>31</v>
      </c>
      <c r="R385">
        <v>9</v>
      </c>
      <c r="S385" t="s">
        <v>2632</v>
      </c>
      <c r="T385" t="s">
        <v>7204</v>
      </c>
      <c r="U385" t="s">
        <v>7205</v>
      </c>
      <c r="V385" t="s">
        <v>32</v>
      </c>
      <c r="W385" t="s">
        <v>33</v>
      </c>
      <c r="X385" t="s">
        <v>33</v>
      </c>
      <c r="Y385" t="s">
        <v>33</v>
      </c>
      <c r="Z385" s="16" t="s">
        <v>34</v>
      </c>
      <c r="AA385">
        <v>-75.540873000000005</v>
      </c>
      <c r="AB385">
        <v>6.254651</v>
      </c>
      <c r="AC385" t="s">
        <v>135</v>
      </c>
      <c r="AD385" t="s">
        <v>136</v>
      </c>
    </row>
    <row r="386" spans="1:30" x14ac:dyDescent="0.25">
      <c r="A386" t="s">
        <v>2633</v>
      </c>
      <c r="B386" t="s">
        <v>65</v>
      </c>
      <c r="C386" t="s">
        <v>26</v>
      </c>
      <c r="D386" t="s">
        <v>66</v>
      </c>
      <c r="E386" t="s">
        <v>2634</v>
      </c>
      <c r="F386" t="s">
        <v>2635</v>
      </c>
      <c r="G386">
        <v>3255011</v>
      </c>
      <c r="H386" t="s">
        <v>2636</v>
      </c>
      <c r="I386" s="4" t="s">
        <v>2637</v>
      </c>
      <c r="J386" s="4" t="s">
        <v>2638</v>
      </c>
      <c r="K386" t="s">
        <v>2639</v>
      </c>
      <c r="L386" t="s">
        <v>27</v>
      </c>
      <c r="M386" t="s">
        <v>2640</v>
      </c>
      <c r="N386" t="s">
        <v>28</v>
      </c>
      <c r="O386" t="s">
        <v>68</v>
      </c>
      <c r="P386" t="s">
        <v>70</v>
      </c>
      <c r="Q386" t="s">
        <v>31</v>
      </c>
      <c r="R386">
        <v>9</v>
      </c>
      <c r="S386" t="s">
        <v>2641</v>
      </c>
      <c r="T386" t="s">
        <v>7206</v>
      </c>
      <c r="U386" t="s">
        <v>7207</v>
      </c>
      <c r="V386" t="s">
        <v>32</v>
      </c>
      <c r="W386" t="s">
        <v>33</v>
      </c>
      <c r="X386" t="s">
        <v>33</v>
      </c>
      <c r="Y386" t="s">
        <v>33</v>
      </c>
      <c r="Z386" s="16" t="s">
        <v>34</v>
      </c>
      <c r="AA386">
        <v>-75.627469000000005</v>
      </c>
      <c r="AB386">
        <v>6.2696709999999998</v>
      </c>
      <c r="AC386" t="s">
        <v>135</v>
      </c>
      <c r="AD386" t="s">
        <v>136</v>
      </c>
    </row>
    <row r="387" spans="1:30" x14ac:dyDescent="0.25">
      <c r="A387" t="s">
        <v>2642</v>
      </c>
      <c r="B387" t="s">
        <v>25</v>
      </c>
      <c r="C387" t="s">
        <v>26</v>
      </c>
      <c r="D387" t="s">
        <v>39</v>
      </c>
      <c r="E387" t="s">
        <v>2643</v>
      </c>
      <c r="F387" t="s">
        <v>2644</v>
      </c>
      <c r="G387">
        <v>71141323</v>
      </c>
      <c r="H387" t="s">
        <v>2645</v>
      </c>
      <c r="I387" s="4" t="s">
        <v>2646</v>
      </c>
      <c r="J387" s="4" t="s">
        <v>2647</v>
      </c>
      <c r="K387" t="s">
        <v>2648</v>
      </c>
      <c r="L387" t="s">
        <v>57</v>
      </c>
      <c r="M387" t="s">
        <v>2649</v>
      </c>
      <c r="N387" t="s">
        <v>58</v>
      </c>
      <c r="O387" t="s">
        <v>40</v>
      </c>
      <c r="P387" t="s">
        <v>36</v>
      </c>
      <c r="Q387" t="s">
        <v>38</v>
      </c>
      <c r="R387">
        <v>8</v>
      </c>
      <c r="S387" t="s">
        <v>2650</v>
      </c>
      <c r="T387" t="s">
        <v>7208</v>
      </c>
      <c r="U387" t="s">
        <v>7209</v>
      </c>
      <c r="V387" t="s">
        <v>49</v>
      </c>
      <c r="W387" t="s">
        <v>33</v>
      </c>
      <c r="X387" t="s">
        <v>33</v>
      </c>
      <c r="Y387" t="s">
        <v>33</v>
      </c>
      <c r="Z387" s="16" t="s">
        <v>34</v>
      </c>
      <c r="AA387">
        <v>-75.649164999999996</v>
      </c>
      <c r="AB387">
        <v>6.0846790000000004</v>
      </c>
      <c r="AC387" t="s">
        <v>135</v>
      </c>
      <c r="AD387" t="s">
        <v>136</v>
      </c>
    </row>
    <row r="388" spans="1:30" x14ac:dyDescent="0.25">
      <c r="A388" t="s">
        <v>1386</v>
      </c>
      <c r="B388" t="s">
        <v>25</v>
      </c>
      <c r="C388" t="s">
        <v>26</v>
      </c>
      <c r="D388" t="s">
        <v>39</v>
      </c>
      <c r="E388" t="s">
        <v>2651</v>
      </c>
      <c r="F388" t="s">
        <v>2652</v>
      </c>
      <c r="G388">
        <v>9857101</v>
      </c>
      <c r="H388" t="s">
        <v>1387</v>
      </c>
      <c r="I388" s="4" t="s">
        <v>35</v>
      </c>
      <c r="J388" s="4" t="s">
        <v>1388</v>
      </c>
      <c r="K388" t="s">
        <v>1389</v>
      </c>
      <c r="L388" t="s">
        <v>27</v>
      </c>
      <c r="M388" t="s">
        <v>1390</v>
      </c>
      <c r="N388" t="s">
        <v>28</v>
      </c>
      <c r="O388" t="s">
        <v>46</v>
      </c>
      <c r="P388" t="s">
        <v>41</v>
      </c>
      <c r="Q388" t="s">
        <v>31</v>
      </c>
      <c r="R388">
        <v>5</v>
      </c>
      <c r="S388" t="s">
        <v>2653</v>
      </c>
      <c r="T388" t="s">
        <v>7210</v>
      </c>
      <c r="U388" t="s">
        <v>7211</v>
      </c>
      <c r="V388" t="s">
        <v>32</v>
      </c>
      <c r="W388" t="s">
        <v>33</v>
      </c>
      <c r="X388" t="s">
        <v>33</v>
      </c>
      <c r="Y388" t="s">
        <v>33</v>
      </c>
      <c r="Z388" s="16" t="s">
        <v>34</v>
      </c>
      <c r="AA388">
        <v>-75.621696999999998</v>
      </c>
      <c r="AB388">
        <v>6.2584850000000003</v>
      </c>
      <c r="AC388" t="s">
        <v>135</v>
      </c>
      <c r="AD388" t="s">
        <v>136</v>
      </c>
    </row>
    <row r="389" spans="1:30" x14ac:dyDescent="0.25">
      <c r="A389" t="s">
        <v>1298</v>
      </c>
      <c r="B389" t="s">
        <v>42</v>
      </c>
      <c r="C389" t="s">
        <v>75</v>
      </c>
      <c r="D389" t="s">
        <v>42</v>
      </c>
      <c r="E389" t="s">
        <v>1299</v>
      </c>
      <c r="F389" t="s">
        <v>1300</v>
      </c>
      <c r="G389">
        <v>1017123436</v>
      </c>
      <c r="H389" t="s">
        <v>1301</v>
      </c>
      <c r="I389" s="4" t="s">
        <v>35</v>
      </c>
      <c r="J389" s="4" t="s">
        <v>67</v>
      </c>
      <c r="K389" t="s">
        <v>1302</v>
      </c>
      <c r="L389" t="s">
        <v>27</v>
      </c>
      <c r="M389" t="s">
        <v>1303</v>
      </c>
      <c r="N389" t="s">
        <v>28</v>
      </c>
      <c r="O389" t="s">
        <v>76</v>
      </c>
      <c r="P389" t="s">
        <v>36</v>
      </c>
      <c r="Q389" t="s">
        <v>31</v>
      </c>
      <c r="R389">
        <v>7</v>
      </c>
      <c r="S389" t="s">
        <v>1304</v>
      </c>
      <c r="T389" t="s">
        <v>7212</v>
      </c>
      <c r="U389" t="s">
        <v>7213</v>
      </c>
      <c r="V389" t="s">
        <v>49</v>
      </c>
      <c r="W389" t="s">
        <v>33</v>
      </c>
      <c r="X389" t="s">
        <v>33</v>
      </c>
      <c r="Y389" t="s">
        <v>33</v>
      </c>
      <c r="Z389" s="16" t="s">
        <v>34</v>
      </c>
      <c r="AA389">
        <v>-75.567274999999995</v>
      </c>
      <c r="AB389">
        <v>6.2479990000000001</v>
      </c>
      <c r="AC389" t="s">
        <v>135</v>
      </c>
      <c r="AD389" t="s">
        <v>136</v>
      </c>
    </row>
    <row r="390" spans="1:30" x14ac:dyDescent="0.25">
      <c r="A390" t="s">
        <v>1305</v>
      </c>
      <c r="B390" t="s">
        <v>25</v>
      </c>
      <c r="C390" t="s">
        <v>26</v>
      </c>
      <c r="D390" t="s">
        <v>25</v>
      </c>
      <c r="E390" t="s">
        <v>1306</v>
      </c>
      <c r="F390" t="s">
        <v>1307</v>
      </c>
      <c r="G390">
        <v>1036642801</v>
      </c>
      <c r="H390" t="s">
        <v>1308</v>
      </c>
      <c r="I390" s="4" t="s">
        <v>35</v>
      </c>
      <c r="J390" s="4" t="s">
        <v>1309</v>
      </c>
      <c r="K390" t="s">
        <v>1310</v>
      </c>
      <c r="L390" t="s">
        <v>27</v>
      </c>
      <c r="M390" t="s">
        <v>1311</v>
      </c>
      <c r="N390" t="s">
        <v>28</v>
      </c>
      <c r="O390" t="s">
        <v>29</v>
      </c>
      <c r="P390" t="s">
        <v>37</v>
      </c>
      <c r="Q390" t="s">
        <v>31</v>
      </c>
      <c r="R390">
        <v>7</v>
      </c>
      <c r="S390" t="s">
        <v>1312</v>
      </c>
      <c r="T390" t="s">
        <v>7214</v>
      </c>
      <c r="U390" t="s">
        <v>7215</v>
      </c>
      <c r="V390" t="s">
        <v>49</v>
      </c>
      <c r="W390" t="s">
        <v>33</v>
      </c>
      <c r="X390" t="s">
        <v>33</v>
      </c>
      <c r="Y390" t="s">
        <v>33</v>
      </c>
      <c r="Z390" s="16" t="s">
        <v>34</v>
      </c>
      <c r="AA390">
        <v>-75.545776630000006</v>
      </c>
      <c r="AB390">
        <v>6.24923552</v>
      </c>
      <c r="AC390" t="s">
        <v>135</v>
      </c>
      <c r="AD390" t="s">
        <v>136</v>
      </c>
    </row>
    <row r="391" spans="1:30" x14ac:dyDescent="0.25">
      <c r="A391" t="s">
        <v>1391</v>
      </c>
      <c r="B391" t="s">
        <v>50</v>
      </c>
      <c r="C391" t="s">
        <v>79</v>
      </c>
      <c r="D391" t="s">
        <v>50</v>
      </c>
      <c r="E391" t="s">
        <v>1392</v>
      </c>
      <c r="F391" t="s">
        <v>1393</v>
      </c>
      <c r="G391">
        <v>98660010</v>
      </c>
      <c r="H391" t="s">
        <v>1394</v>
      </c>
      <c r="I391" s="4" t="s">
        <v>1395</v>
      </c>
      <c r="J391" s="4" t="s">
        <v>1396</v>
      </c>
      <c r="K391" t="s">
        <v>1397</v>
      </c>
      <c r="L391" t="s">
        <v>27</v>
      </c>
      <c r="M391" t="s">
        <v>1398</v>
      </c>
      <c r="N391" t="s">
        <v>28</v>
      </c>
      <c r="O391" t="s">
        <v>80</v>
      </c>
      <c r="P391" t="s">
        <v>52</v>
      </c>
      <c r="Q391" t="s">
        <v>31</v>
      </c>
      <c r="R391">
        <v>11</v>
      </c>
      <c r="S391" t="s">
        <v>1399</v>
      </c>
      <c r="T391" t="s">
        <v>2656</v>
      </c>
      <c r="U391" t="s">
        <v>2655</v>
      </c>
      <c r="V391" t="s">
        <v>32</v>
      </c>
      <c r="W391" t="s">
        <v>33</v>
      </c>
      <c r="X391" t="s">
        <v>33</v>
      </c>
      <c r="Y391" t="s">
        <v>33</v>
      </c>
      <c r="Z391" s="16" t="s">
        <v>34</v>
      </c>
      <c r="AA391">
        <v>-75.623810000000006</v>
      </c>
      <c r="AB391">
        <v>6.2353120000000004</v>
      </c>
      <c r="AC391" t="s">
        <v>135</v>
      </c>
      <c r="AD391" t="s">
        <v>136</v>
      </c>
    </row>
    <row r="392" spans="1:30" x14ac:dyDescent="0.25">
      <c r="A392" t="s">
        <v>1400</v>
      </c>
      <c r="B392" t="s">
        <v>50</v>
      </c>
      <c r="C392" t="s">
        <v>71</v>
      </c>
      <c r="D392" t="s">
        <v>50</v>
      </c>
      <c r="E392" t="s">
        <v>1401</v>
      </c>
      <c r="F392" t="s">
        <v>1402</v>
      </c>
      <c r="G392">
        <v>43263487</v>
      </c>
      <c r="H392" t="s">
        <v>1403</v>
      </c>
      <c r="I392" s="4" t="s">
        <v>35</v>
      </c>
      <c r="J392" s="4" t="s">
        <v>1404</v>
      </c>
      <c r="K392" t="s">
        <v>1405</v>
      </c>
      <c r="L392" t="s">
        <v>27</v>
      </c>
      <c r="M392" t="s">
        <v>1406</v>
      </c>
      <c r="N392" t="s">
        <v>28</v>
      </c>
      <c r="O392" t="s">
        <v>72</v>
      </c>
      <c r="P392" t="s">
        <v>52</v>
      </c>
      <c r="Q392" t="s">
        <v>31</v>
      </c>
      <c r="R392">
        <v>11</v>
      </c>
      <c r="S392" t="s">
        <v>1407</v>
      </c>
      <c r="T392" t="s">
        <v>2658</v>
      </c>
      <c r="U392" t="s">
        <v>2657</v>
      </c>
      <c r="V392" t="s">
        <v>32</v>
      </c>
      <c r="W392" t="s">
        <v>33</v>
      </c>
      <c r="X392" t="s">
        <v>33</v>
      </c>
      <c r="Y392" t="s">
        <v>33</v>
      </c>
      <c r="Z392" s="16" t="s">
        <v>34</v>
      </c>
      <c r="AA392">
        <v>-75.615689000000003</v>
      </c>
      <c r="AB392">
        <v>6.261361</v>
      </c>
      <c r="AC392" t="s">
        <v>135</v>
      </c>
      <c r="AD392" t="s">
        <v>136</v>
      </c>
    </row>
    <row r="393" spans="1:30" x14ac:dyDescent="0.25">
      <c r="A393" t="s">
        <v>2659</v>
      </c>
      <c r="B393" t="s">
        <v>65</v>
      </c>
      <c r="C393" t="s">
        <v>26</v>
      </c>
      <c r="D393" t="s">
        <v>66</v>
      </c>
      <c r="E393" t="s">
        <v>2660</v>
      </c>
      <c r="F393" t="s">
        <v>2661</v>
      </c>
      <c r="G393">
        <v>43668786</v>
      </c>
      <c r="H393" t="s">
        <v>2662</v>
      </c>
      <c r="I393" s="4" t="s">
        <v>35</v>
      </c>
      <c r="J393" s="4" t="s">
        <v>2663</v>
      </c>
      <c r="K393" t="s">
        <v>2664</v>
      </c>
      <c r="L393" t="s">
        <v>27</v>
      </c>
      <c r="M393" t="s">
        <v>2665</v>
      </c>
      <c r="N393" t="s">
        <v>28</v>
      </c>
      <c r="O393" t="s">
        <v>68</v>
      </c>
      <c r="P393" t="s">
        <v>70</v>
      </c>
      <c r="Q393" t="s">
        <v>31</v>
      </c>
      <c r="R393">
        <v>9</v>
      </c>
      <c r="S393" t="s">
        <v>2666</v>
      </c>
      <c r="T393" t="s">
        <v>7216</v>
      </c>
      <c r="U393" t="s">
        <v>7217</v>
      </c>
      <c r="V393" t="s">
        <v>32</v>
      </c>
      <c r="W393" t="s">
        <v>33</v>
      </c>
      <c r="X393" t="s">
        <v>33</v>
      </c>
      <c r="Y393" t="s">
        <v>33</v>
      </c>
      <c r="Z393" s="16" t="s">
        <v>34</v>
      </c>
      <c r="AA393">
        <v>-75.538639000000003</v>
      </c>
      <c r="AB393">
        <v>6.239128</v>
      </c>
      <c r="AC393" t="s">
        <v>135</v>
      </c>
      <c r="AD393" t="s">
        <v>136</v>
      </c>
    </row>
    <row r="394" spans="1:30" x14ac:dyDescent="0.25">
      <c r="A394" t="s">
        <v>2667</v>
      </c>
      <c r="B394" t="s">
        <v>65</v>
      </c>
      <c r="C394" t="s">
        <v>26</v>
      </c>
      <c r="D394" t="s">
        <v>66</v>
      </c>
      <c r="E394" t="s">
        <v>2668</v>
      </c>
      <c r="F394" t="s">
        <v>2669</v>
      </c>
      <c r="G394">
        <v>43001255</v>
      </c>
      <c r="H394" t="s">
        <v>2670</v>
      </c>
      <c r="I394" s="4" t="s">
        <v>35</v>
      </c>
      <c r="J394" s="4" t="s">
        <v>2671</v>
      </c>
      <c r="K394" t="s">
        <v>2672</v>
      </c>
      <c r="L394" t="s">
        <v>27</v>
      </c>
      <c r="M394" t="s">
        <v>2673</v>
      </c>
      <c r="N394" t="s">
        <v>28</v>
      </c>
      <c r="O394" t="s">
        <v>68</v>
      </c>
      <c r="P394" t="s">
        <v>70</v>
      </c>
      <c r="Q394" t="s">
        <v>31</v>
      </c>
      <c r="R394">
        <v>9</v>
      </c>
      <c r="S394" t="s">
        <v>2674</v>
      </c>
      <c r="T394" t="s">
        <v>7218</v>
      </c>
      <c r="U394" t="s">
        <v>7219</v>
      </c>
      <c r="V394" t="s">
        <v>32</v>
      </c>
      <c r="W394" t="s">
        <v>33</v>
      </c>
      <c r="X394" t="s">
        <v>33</v>
      </c>
      <c r="Y394" t="s">
        <v>33</v>
      </c>
      <c r="Z394" s="16" t="s">
        <v>34</v>
      </c>
      <c r="AA394">
        <v>-75.627688000000006</v>
      </c>
      <c r="AB394">
        <v>6.2488960000000002</v>
      </c>
      <c r="AC394" t="s">
        <v>135</v>
      </c>
      <c r="AD394" t="s">
        <v>136</v>
      </c>
    </row>
    <row r="395" spans="1:30" x14ac:dyDescent="0.25">
      <c r="A395" t="s">
        <v>1409</v>
      </c>
      <c r="B395" t="s">
        <v>50</v>
      </c>
      <c r="C395" t="s">
        <v>26</v>
      </c>
      <c r="D395" t="s">
        <v>50</v>
      </c>
      <c r="E395" t="s">
        <v>1410</v>
      </c>
      <c r="F395" t="s">
        <v>1411</v>
      </c>
      <c r="G395">
        <v>43095174</v>
      </c>
      <c r="H395" t="s">
        <v>1412</v>
      </c>
      <c r="I395" s="4" t="s">
        <v>35</v>
      </c>
      <c r="J395" s="4" t="s">
        <v>1413</v>
      </c>
      <c r="K395" t="s">
        <v>1414</v>
      </c>
      <c r="L395" t="s">
        <v>27</v>
      </c>
      <c r="M395" t="s">
        <v>1415</v>
      </c>
      <c r="N395" t="s">
        <v>28</v>
      </c>
      <c r="O395" t="s">
        <v>51</v>
      </c>
      <c r="P395" t="s">
        <v>52</v>
      </c>
      <c r="Q395" t="s">
        <v>38</v>
      </c>
      <c r="R395">
        <v>11</v>
      </c>
      <c r="S395" t="s">
        <v>1416</v>
      </c>
      <c r="T395" t="s">
        <v>2675</v>
      </c>
      <c r="U395" t="s">
        <v>1117</v>
      </c>
      <c r="V395" t="s">
        <v>32</v>
      </c>
      <c r="W395" t="s">
        <v>33</v>
      </c>
      <c r="X395" t="s">
        <v>33</v>
      </c>
      <c r="Y395" t="s">
        <v>33</v>
      </c>
      <c r="Z395" s="16" t="s">
        <v>34</v>
      </c>
      <c r="AA395">
        <v>-75.639167610000001</v>
      </c>
      <c r="AB395">
        <v>6.2399221699999998</v>
      </c>
      <c r="AC395" t="s">
        <v>135</v>
      </c>
      <c r="AD395" t="s">
        <v>136</v>
      </c>
    </row>
    <row r="396" spans="1:30" x14ac:dyDescent="0.25">
      <c r="A396" t="s">
        <v>2676</v>
      </c>
      <c r="B396" t="s">
        <v>65</v>
      </c>
      <c r="C396" t="s">
        <v>26</v>
      </c>
      <c r="D396" t="s">
        <v>66</v>
      </c>
      <c r="E396" t="s">
        <v>2677</v>
      </c>
      <c r="F396" t="s">
        <v>2678</v>
      </c>
      <c r="G396">
        <v>21581417</v>
      </c>
      <c r="H396" t="s">
        <v>2679</v>
      </c>
      <c r="I396" s="4" t="s">
        <v>35</v>
      </c>
      <c r="J396" s="4" t="s">
        <v>2680</v>
      </c>
      <c r="K396" t="s">
        <v>2681</v>
      </c>
      <c r="L396" t="s">
        <v>27</v>
      </c>
      <c r="M396" t="s">
        <v>2682</v>
      </c>
      <c r="N396" t="s">
        <v>28</v>
      </c>
      <c r="O396" t="s">
        <v>68</v>
      </c>
      <c r="P396" t="s">
        <v>70</v>
      </c>
      <c r="Q396" t="s">
        <v>31</v>
      </c>
      <c r="R396">
        <v>9</v>
      </c>
      <c r="S396" t="s">
        <v>2683</v>
      </c>
      <c r="T396" t="s">
        <v>7220</v>
      </c>
      <c r="U396" t="s">
        <v>4676</v>
      </c>
      <c r="V396" t="s">
        <v>32</v>
      </c>
      <c r="W396" t="s">
        <v>33</v>
      </c>
      <c r="X396" t="s">
        <v>33</v>
      </c>
      <c r="Y396" t="s">
        <v>33</v>
      </c>
      <c r="Z396" s="16" t="s">
        <v>34</v>
      </c>
      <c r="AA396">
        <v>-75.632484790000007</v>
      </c>
      <c r="AB396">
        <v>6.2847516900000002</v>
      </c>
      <c r="AC396" t="s">
        <v>135</v>
      </c>
      <c r="AD396" t="s">
        <v>136</v>
      </c>
    </row>
    <row r="397" spans="1:30" x14ac:dyDescent="0.25">
      <c r="A397" t="s">
        <v>1417</v>
      </c>
      <c r="B397" t="s">
        <v>50</v>
      </c>
      <c r="C397" t="s">
        <v>71</v>
      </c>
      <c r="D397" t="s">
        <v>50</v>
      </c>
      <c r="E397" t="s">
        <v>1418</v>
      </c>
      <c r="F397" t="s">
        <v>1419</v>
      </c>
      <c r="G397">
        <v>1073321596</v>
      </c>
      <c r="H397" t="s">
        <v>1420</v>
      </c>
      <c r="I397" s="4" t="s">
        <v>35</v>
      </c>
      <c r="J397" s="4" t="s">
        <v>1421</v>
      </c>
      <c r="K397" t="s">
        <v>1422</v>
      </c>
      <c r="L397" t="s">
        <v>55</v>
      </c>
      <c r="M397" t="s">
        <v>1423</v>
      </c>
      <c r="N397" t="s">
        <v>56</v>
      </c>
      <c r="O397" t="s">
        <v>72</v>
      </c>
      <c r="P397" t="s">
        <v>52</v>
      </c>
      <c r="Q397" t="s">
        <v>38</v>
      </c>
      <c r="R397">
        <v>11</v>
      </c>
      <c r="S397" t="s">
        <v>1424</v>
      </c>
      <c r="T397" t="s">
        <v>2686</v>
      </c>
      <c r="U397" t="s">
        <v>2685</v>
      </c>
      <c r="V397" t="s">
        <v>32</v>
      </c>
      <c r="W397" t="s">
        <v>33</v>
      </c>
      <c r="X397" t="s">
        <v>33</v>
      </c>
      <c r="Y397" t="s">
        <v>33</v>
      </c>
      <c r="Z397" s="16" t="s">
        <v>34</v>
      </c>
      <c r="AA397">
        <v>-75.634455520000003</v>
      </c>
      <c r="AB397">
        <v>6.1362958599999997</v>
      </c>
      <c r="AC397" t="s">
        <v>135</v>
      </c>
      <c r="AD397" t="s">
        <v>136</v>
      </c>
    </row>
    <row r="398" spans="1:30" x14ac:dyDescent="0.25">
      <c r="A398" t="s">
        <v>2687</v>
      </c>
      <c r="B398" t="s">
        <v>25</v>
      </c>
      <c r="C398" t="s">
        <v>75</v>
      </c>
      <c r="D398" t="s">
        <v>25</v>
      </c>
      <c r="E398" t="s">
        <v>2688</v>
      </c>
      <c r="F398" t="s">
        <v>2689</v>
      </c>
      <c r="G398">
        <v>901389507</v>
      </c>
      <c r="H398" t="s">
        <v>2690</v>
      </c>
      <c r="I398" s="4" t="s">
        <v>35</v>
      </c>
      <c r="J398" s="4" t="s">
        <v>2691</v>
      </c>
      <c r="K398" t="s">
        <v>2692</v>
      </c>
      <c r="L398" t="s">
        <v>44</v>
      </c>
      <c r="M398" t="s">
        <v>2693</v>
      </c>
      <c r="N398" t="s">
        <v>45</v>
      </c>
      <c r="O398" t="s">
        <v>137</v>
      </c>
      <c r="P398" t="s">
        <v>36</v>
      </c>
      <c r="Q398" t="s">
        <v>31</v>
      </c>
      <c r="R398">
        <v>7</v>
      </c>
      <c r="S398" t="s">
        <v>2694</v>
      </c>
      <c r="T398" t="s">
        <v>1845</v>
      </c>
      <c r="U398" t="s">
        <v>4713</v>
      </c>
      <c r="V398" t="s">
        <v>49</v>
      </c>
      <c r="W398" t="s">
        <v>33</v>
      </c>
      <c r="X398" t="s">
        <v>33</v>
      </c>
      <c r="Y398" t="s">
        <v>33</v>
      </c>
      <c r="Z398" s="16" t="s">
        <v>34</v>
      </c>
      <c r="AA398">
        <v>-75.610293999999996</v>
      </c>
      <c r="AB398">
        <v>6.1697410000000001</v>
      </c>
      <c r="AC398" t="s">
        <v>135</v>
      </c>
      <c r="AD398" t="s">
        <v>136</v>
      </c>
    </row>
    <row r="399" spans="1:30" x14ac:dyDescent="0.25">
      <c r="A399" t="s">
        <v>2695</v>
      </c>
      <c r="B399" t="s">
        <v>65</v>
      </c>
      <c r="C399" t="s">
        <v>26</v>
      </c>
      <c r="D399" t="s">
        <v>66</v>
      </c>
      <c r="E399" t="s">
        <v>2696</v>
      </c>
      <c r="F399" t="s">
        <v>2697</v>
      </c>
      <c r="G399">
        <v>71774136</v>
      </c>
      <c r="H399" t="s">
        <v>2698</v>
      </c>
      <c r="I399" s="4" t="s">
        <v>35</v>
      </c>
      <c r="J399" s="4" t="s">
        <v>2699</v>
      </c>
      <c r="K399" t="s">
        <v>2700</v>
      </c>
      <c r="L399" t="s">
        <v>27</v>
      </c>
      <c r="M399" t="s">
        <v>2701</v>
      </c>
      <c r="N399" t="s">
        <v>28</v>
      </c>
      <c r="O399" t="s">
        <v>68</v>
      </c>
      <c r="P399" t="s">
        <v>70</v>
      </c>
      <c r="Q399" t="s">
        <v>31</v>
      </c>
      <c r="R399">
        <v>9</v>
      </c>
      <c r="S399" t="s">
        <v>2702</v>
      </c>
      <c r="T399" t="s">
        <v>6210</v>
      </c>
      <c r="U399" t="s">
        <v>1600</v>
      </c>
      <c r="V399" t="s">
        <v>32</v>
      </c>
      <c r="W399" t="s">
        <v>33</v>
      </c>
      <c r="X399" t="s">
        <v>33</v>
      </c>
      <c r="Y399" t="s">
        <v>33</v>
      </c>
      <c r="Z399" s="16" t="s">
        <v>34</v>
      </c>
      <c r="AA399">
        <v>-75.594596699999997</v>
      </c>
      <c r="AB399">
        <v>6.2259718199999998</v>
      </c>
      <c r="AC399" t="s">
        <v>135</v>
      </c>
      <c r="AD399" t="s">
        <v>136</v>
      </c>
    </row>
    <row r="400" spans="1:30" x14ac:dyDescent="0.25">
      <c r="A400" t="s">
        <v>2703</v>
      </c>
      <c r="B400" t="s">
        <v>25</v>
      </c>
      <c r="C400" t="s">
        <v>26</v>
      </c>
      <c r="D400" t="s">
        <v>25</v>
      </c>
      <c r="E400" t="s">
        <v>2704</v>
      </c>
      <c r="F400" t="s">
        <v>2705</v>
      </c>
      <c r="G400">
        <v>1146443174</v>
      </c>
      <c r="H400" t="s">
        <v>2706</v>
      </c>
      <c r="I400" s="4" t="s">
        <v>35</v>
      </c>
      <c r="J400" s="4" t="s">
        <v>2707</v>
      </c>
      <c r="K400" t="s">
        <v>2708</v>
      </c>
      <c r="L400" t="s">
        <v>27</v>
      </c>
      <c r="M400" t="s">
        <v>2709</v>
      </c>
      <c r="N400" t="s">
        <v>28</v>
      </c>
      <c r="O400" t="s">
        <v>29</v>
      </c>
      <c r="P400" t="s">
        <v>37</v>
      </c>
      <c r="Q400" t="s">
        <v>31</v>
      </c>
      <c r="R400">
        <v>7</v>
      </c>
      <c r="S400" t="s">
        <v>2710</v>
      </c>
      <c r="T400" t="s">
        <v>6210</v>
      </c>
      <c r="U400" t="s">
        <v>7221</v>
      </c>
      <c r="V400" t="s">
        <v>49</v>
      </c>
      <c r="W400" t="s">
        <v>33</v>
      </c>
      <c r="X400" t="s">
        <v>33</v>
      </c>
      <c r="Y400" t="s">
        <v>33</v>
      </c>
      <c r="Z400" s="16" t="s">
        <v>34</v>
      </c>
      <c r="AA400">
        <v>-75.635024000000001</v>
      </c>
      <c r="AB400">
        <v>6.2203619999999997</v>
      </c>
      <c r="AC400" t="s">
        <v>135</v>
      </c>
      <c r="AD400" t="s">
        <v>136</v>
      </c>
    </row>
    <row r="401" spans="1:30" x14ac:dyDescent="0.25">
      <c r="A401" t="s">
        <v>2712</v>
      </c>
      <c r="B401" t="s">
        <v>65</v>
      </c>
      <c r="C401" t="s">
        <v>26</v>
      </c>
      <c r="D401" t="s">
        <v>66</v>
      </c>
      <c r="E401" t="s">
        <v>2713</v>
      </c>
      <c r="F401" t="s">
        <v>2714</v>
      </c>
      <c r="G401">
        <v>1128419135</v>
      </c>
      <c r="H401" t="s">
        <v>2715</v>
      </c>
      <c r="I401" s="4" t="s">
        <v>2716</v>
      </c>
      <c r="J401" s="4" t="s">
        <v>2717</v>
      </c>
      <c r="K401" t="s">
        <v>2718</v>
      </c>
      <c r="L401" t="s">
        <v>27</v>
      </c>
      <c r="M401" t="s">
        <v>2719</v>
      </c>
      <c r="N401" t="s">
        <v>28</v>
      </c>
      <c r="O401" t="s">
        <v>68</v>
      </c>
      <c r="P401" t="s">
        <v>70</v>
      </c>
      <c r="Q401" t="s">
        <v>31</v>
      </c>
      <c r="R401">
        <v>9</v>
      </c>
      <c r="S401" t="s">
        <v>2720</v>
      </c>
      <c r="T401" t="s">
        <v>7222</v>
      </c>
      <c r="U401" t="s">
        <v>7223</v>
      </c>
      <c r="V401" t="s">
        <v>32</v>
      </c>
      <c r="W401" t="s">
        <v>33</v>
      </c>
      <c r="X401" t="s">
        <v>33</v>
      </c>
      <c r="Y401" t="s">
        <v>33</v>
      </c>
      <c r="Z401" s="16" t="s">
        <v>34</v>
      </c>
      <c r="AA401">
        <v>-75.629478879999994</v>
      </c>
      <c r="AB401">
        <v>6.2489738099999999</v>
      </c>
      <c r="AC401" t="s">
        <v>135</v>
      </c>
      <c r="AD401" t="s">
        <v>136</v>
      </c>
    </row>
    <row r="402" spans="1:30" x14ac:dyDescent="0.25">
      <c r="A402" t="s">
        <v>2721</v>
      </c>
      <c r="B402" t="s">
        <v>25</v>
      </c>
      <c r="C402" t="s">
        <v>26</v>
      </c>
      <c r="D402" t="s">
        <v>25</v>
      </c>
      <c r="E402" t="s">
        <v>2722</v>
      </c>
      <c r="F402" t="s">
        <v>2723</v>
      </c>
      <c r="G402">
        <v>1146438259</v>
      </c>
      <c r="H402" t="s">
        <v>2724</v>
      </c>
      <c r="I402" s="4" t="s">
        <v>2725</v>
      </c>
      <c r="J402" s="4" t="s">
        <v>2726</v>
      </c>
      <c r="K402" t="s">
        <v>2727</v>
      </c>
      <c r="L402" t="s">
        <v>27</v>
      </c>
      <c r="M402" t="s">
        <v>2728</v>
      </c>
      <c r="N402" t="s">
        <v>28</v>
      </c>
      <c r="O402" t="s">
        <v>29</v>
      </c>
      <c r="P402" t="s">
        <v>37</v>
      </c>
      <c r="Q402" t="s">
        <v>31</v>
      </c>
      <c r="R402">
        <v>7</v>
      </c>
      <c r="S402" t="s">
        <v>2729</v>
      </c>
      <c r="T402" t="s">
        <v>7224</v>
      </c>
      <c r="U402" t="s">
        <v>7225</v>
      </c>
      <c r="V402" t="s">
        <v>49</v>
      </c>
      <c r="W402" t="s">
        <v>33</v>
      </c>
      <c r="X402" t="s">
        <v>33</v>
      </c>
      <c r="Y402" t="s">
        <v>33</v>
      </c>
      <c r="Z402" s="16" t="s">
        <v>34</v>
      </c>
      <c r="AA402">
        <v>-75.624080000000006</v>
      </c>
      <c r="AB402">
        <v>6.234858</v>
      </c>
      <c r="AC402" t="s">
        <v>135</v>
      </c>
      <c r="AD402" t="s">
        <v>136</v>
      </c>
    </row>
    <row r="403" spans="1:30" x14ac:dyDescent="0.25">
      <c r="A403" t="s">
        <v>2730</v>
      </c>
      <c r="B403" t="s">
        <v>25</v>
      </c>
      <c r="C403" t="s">
        <v>75</v>
      </c>
      <c r="D403" t="s">
        <v>25</v>
      </c>
      <c r="E403" t="s">
        <v>2731</v>
      </c>
      <c r="F403" t="s">
        <v>2732</v>
      </c>
      <c r="G403">
        <v>900911047</v>
      </c>
      <c r="H403" t="s">
        <v>2733</v>
      </c>
      <c r="I403" s="4" t="s">
        <v>35</v>
      </c>
      <c r="J403" s="4" t="s">
        <v>2734</v>
      </c>
      <c r="K403" t="s">
        <v>2735</v>
      </c>
      <c r="L403" t="s">
        <v>27</v>
      </c>
      <c r="M403" t="s">
        <v>2736</v>
      </c>
      <c r="N403" t="s">
        <v>28</v>
      </c>
      <c r="O403" t="s">
        <v>137</v>
      </c>
      <c r="P403" t="s">
        <v>36</v>
      </c>
      <c r="Q403" t="s">
        <v>31</v>
      </c>
      <c r="R403">
        <v>7</v>
      </c>
      <c r="S403" t="s">
        <v>2737</v>
      </c>
      <c r="T403" t="s">
        <v>7226</v>
      </c>
      <c r="U403" t="s">
        <v>4799</v>
      </c>
      <c r="V403" t="s">
        <v>49</v>
      </c>
      <c r="W403" t="s">
        <v>33</v>
      </c>
      <c r="X403" t="s">
        <v>33</v>
      </c>
      <c r="Y403" t="s">
        <v>33</v>
      </c>
      <c r="Z403" s="16" t="s">
        <v>34</v>
      </c>
      <c r="AA403">
        <v>-75.601458859999994</v>
      </c>
      <c r="AB403">
        <v>6.2319239199999998</v>
      </c>
      <c r="AC403" t="s">
        <v>135</v>
      </c>
      <c r="AD403" t="s">
        <v>136</v>
      </c>
    </row>
    <row r="404" spans="1:30" x14ac:dyDescent="0.25">
      <c r="A404" t="s">
        <v>2738</v>
      </c>
      <c r="B404" t="s">
        <v>65</v>
      </c>
      <c r="C404" t="s">
        <v>26</v>
      </c>
      <c r="D404" t="s">
        <v>66</v>
      </c>
      <c r="E404" t="s">
        <v>2739</v>
      </c>
      <c r="F404" t="s">
        <v>2740</v>
      </c>
      <c r="G404">
        <v>43107017</v>
      </c>
      <c r="H404" t="s">
        <v>1045</v>
      </c>
      <c r="I404" s="4" t="s">
        <v>35</v>
      </c>
      <c r="J404" s="4" t="s">
        <v>1046</v>
      </c>
      <c r="K404" t="s">
        <v>1047</v>
      </c>
      <c r="L404" t="s">
        <v>44</v>
      </c>
      <c r="M404" t="s">
        <v>1048</v>
      </c>
      <c r="N404" t="s">
        <v>45</v>
      </c>
      <c r="O404" t="s">
        <v>68</v>
      </c>
      <c r="P404" t="s">
        <v>74</v>
      </c>
      <c r="Q404" t="s">
        <v>31</v>
      </c>
      <c r="R404">
        <v>9</v>
      </c>
      <c r="S404" t="s">
        <v>2741</v>
      </c>
      <c r="T404" t="s">
        <v>2743</v>
      </c>
      <c r="U404" t="s">
        <v>2742</v>
      </c>
      <c r="V404" t="s">
        <v>32</v>
      </c>
      <c r="W404" t="s">
        <v>33</v>
      </c>
      <c r="X404" t="s">
        <v>33</v>
      </c>
      <c r="Y404" t="s">
        <v>33</v>
      </c>
      <c r="Z404" s="16" t="s">
        <v>34</v>
      </c>
      <c r="AA404">
        <v>-75.614312745000007</v>
      </c>
      <c r="AB404">
        <v>6.1789636690000398</v>
      </c>
      <c r="AC404" t="s">
        <v>135</v>
      </c>
      <c r="AD404" t="s">
        <v>136</v>
      </c>
    </row>
    <row r="405" spans="1:30" x14ac:dyDescent="0.25">
      <c r="A405" t="s">
        <v>2744</v>
      </c>
      <c r="B405" t="s">
        <v>50</v>
      </c>
      <c r="C405" t="s">
        <v>26</v>
      </c>
      <c r="D405" t="s">
        <v>50</v>
      </c>
      <c r="E405" t="s">
        <v>2745</v>
      </c>
      <c r="F405" t="s">
        <v>2746</v>
      </c>
      <c r="G405">
        <v>71241780</v>
      </c>
      <c r="H405" t="s">
        <v>2747</v>
      </c>
      <c r="I405" s="4" t="s">
        <v>35</v>
      </c>
      <c r="J405" s="4" t="s">
        <v>2748</v>
      </c>
      <c r="K405" t="s">
        <v>2749</v>
      </c>
      <c r="L405" t="s">
        <v>27</v>
      </c>
      <c r="M405" t="s">
        <v>2750</v>
      </c>
      <c r="N405" t="s">
        <v>28</v>
      </c>
      <c r="O405" t="s">
        <v>40</v>
      </c>
      <c r="P405" t="s">
        <v>52</v>
      </c>
      <c r="Q405" t="s">
        <v>31</v>
      </c>
      <c r="R405">
        <v>5</v>
      </c>
      <c r="S405" t="s">
        <v>2751</v>
      </c>
      <c r="T405" t="s">
        <v>7227</v>
      </c>
      <c r="U405" t="s">
        <v>7228</v>
      </c>
      <c r="V405" t="s">
        <v>131</v>
      </c>
      <c r="W405" t="s">
        <v>33</v>
      </c>
      <c r="X405" t="s">
        <v>33</v>
      </c>
      <c r="Y405" t="s">
        <v>33</v>
      </c>
      <c r="Z405" s="16" t="s">
        <v>34</v>
      </c>
      <c r="AA405">
        <v>-75.534627</v>
      </c>
      <c r="AB405">
        <v>6.2378309999999999</v>
      </c>
      <c r="AC405" t="s">
        <v>135</v>
      </c>
      <c r="AD405" t="s">
        <v>136</v>
      </c>
    </row>
    <row r="406" spans="1:30" x14ac:dyDescent="0.25">
      <c r="A406" t="s">
        <v>2753</v>
      </c>
      <c r="B406" t="s">
        <v>61</v>
      </c>
      <c r="C406" t="s">
        <v>26</v>
      </c>
      <c r="D406" t="s">
        <v>61</v>
      </c>
      <c r="E406" t="s">
        <v>2754</v>
      </c>
      <c r="F406" t="s">
        <v>2755</v>
      </c>
      <c r="G406">
        <v>43142344</v>
      </c>
      <c r="H406" t="s">
        <v>2756</v>
      </c>
      <c r="I406" s="4" t="s">
        <v>35</v>
      </c>
      <c r="J406" s="4" t="s">
        <v>2757</v>
      </c>
      <c r="K406" t="s">
        <v>2758</v>
      </c>
      <c r="L406" t="s">
        <v>27</v>
      </c>
      <c r="M406" t="s">
        <v>2759</v>
      </c>
      <c r="N406" t="s">
        <v>28</v>
      </c>
      <c r="O406" t="s">
        <v>62</v>
      </c>
      <c r="P406" t="s">
        <v>2760</v>
      </c>
      <c r="Q406" t="s">
        <v>38</v>
      </c>
      <c r="R406">
        <v>4</v>
      </c>
      <c r="S406" t="s">
        <v>2761</v>
      </c>
      <c r="T406" t="s">
        <v>7229</v>
      </c>
      <c r="U406" t="s">
        <v>47</v>
      </c>
      <c r="V406" t="s">
        <v>47</v>
      </c>
      <c r="W406" t="s">
        <v>33</v>
      </c>
      <c r="X406" t="s">
        <v>33</v>
      </c>
      <c r="Y406" t="s">
        <v>33</v>
      </c>
      <c r="Z406" s="16" t="s">
        <v>34</v>
      </c>
      <c r="AA406">
        <v>-75.493202400000001</v>
      </c>
      <c r="AB406">
        <v>6.2019366900000001</v>
      </c>
      <c r="AC406" t="s">
        <v>135</v>
      </c>
      <c r="AD406" t="s">
        <v>136</v>
      </c>
    </row>
    <row r="407" spans="1:30" x14ac:dyDescent="0.25">
      <c r="A407" t="s">
        <v>2762</v>
      </c>
      <c r="B407" t="s">
        <v>42</v>
      </c>
      <c r="C407" t="s">
        <v>26</v>
      </c>
      <c r="D407" t="s">
        <v>42</v>
      </c>
      <c r="E407" t="s">
        <v>2763</v>
      </c>
      <c r="F407" t="s">
        <v>2764</v>
      </c>
      <c r="G407">
        <v>900467839</v>
      </c>
      <c r="H407" t="s">
        <v>739</v>
      </c>
      <c r="I407" s="4" t="s">
        <v>740</v>
      </c>
      <c r="J407" s="4" t="s">
        <v>741</v>
      </c>
      <c r="K407" t="s">
        <v>2765</v>
      </c>
      <c r="L407" t="s">
        <v>27</v>
      </c>
      <c r="M407" t="s">
        <v>2766</v>
      </c>
      <c r="N407" t="s">
        <v>28</v>
      </c>
      <c r="O407" t="s">
        <v>43</v>
      </c>
      <c r="P407" t="s">
        <v>37</v>
      </c>
      <c r="Q407" t="s">
        <v>31</v>
      </c>
      <c r="R407">
        <v>7</v>
      </c>
      <c r="S407" t="s">
        <v>2767</v>
      </c>
      <c r="T407" t="s">
        <v>7230</v>
      </c>
      <c r="U407" t="s">
        <v>7231</v>
      </c>
      <c r="V407" t="s">
        <v>49</v>
      </c>
      <c r="W407" t="s">
        <v>33</v>
      </c>
      <c r="X407" t="s">
        <v>33</v>
      </c>
      <c r="Y407" t="s">
        <v>33</v>
      </c>
      <c r="Z407" s="16" t="s">
        <v>34</v>
      </c>
      <c r="AA407">
        <v>-75.56939697</v>
      </c>
      <c r="AB407">
        <v>6.2586927399999999</v>
      </c>
      <c r="AC407" t="s">
        <v>135</v>
      </c>
      <c r="AD407" t="s">
        <v>136</v>
      </c>
    </row>
    <row r="408" spans="1:30" x14ac:dyDescent="0.25">
      <c r="A408" t="s">
        <v>2768</v>
      </c>
      <c r="B408" t="s">
        <v>65</v>
      </c>
      <c r="C408" t="s">
        <v>26</v>
      </c>
      <c r="D408" t="s">
        <v>66</v>
      </c>
      <c r="E408" t="s">
        <v>2769</v>
      </c>
      <c r="F408" t="s">
        <v>2770</v>
      </c>
      <c r="G408">
        <v>1152462189</v>
      </c>
      <c r="H408" t="s">
        <v>2771</v>
      </c>
      <c r="I408" s="4" t="s">
        <v>35</v>
      </c>
      <c r="J408" s="4" t="s">
        <v>2772</v>
      </c>
      <c r="K408" t="s">
        <v>2773</v>
      </c>
      <c r="L408" t="s">
        <v>27</v>
      </c>
      <c r="M408" t="s">
        <v>2774</v>
      </c>
      <c r="N408" t="s">
        <v>28</v>
      </c>
      <c r="O408" t="s">
        <v>68</v>
      </c>
      <c r="P408" t="s">
        <v>70</v>
      </c>
      <c r="Q408" t="s">
        <v>31</v>
      </c>
      <c r="R408">
        <v>9</v>
      </c>
      <c r="S408" t="s">
        <v>2775</v>
      </c>
      <c r="T408" t="s">
        <v>2776</v>
      </c>
      <c r="U408" t="s">
        <v>1126</v>
      </c>
      <c r="V408" t="s">
        <v>32</v>
      </c>
      <c r="W408" t="s">
        <v>33</v>
      </c>
      <c r="X408" t="s">
        <v>33</v>
      </c>
      <c r="Y408" t="s">
        <v>33</v>
      </c>
      <c r="Z408" s="16" t="s">
        <v>34</v>
      </c>
      <c r="AA408">
        <v>-75.608904850000002</v>
      </c>
      <c r="AB408">
        <v>6.2275337500000001</v>
      </c>
      <c r="AC408" t="s">
        <v>135</v>
      </c>
      <c r="AD408" t="s">
        <v>136</v>
      </c>
    </row>
    <row r="409" spans="1:30" x14ac:dyDescent="0.25">
      <c r="A409" t="s">
        <v>2777</v>
      </c>
      <c r="B409" t="s">
        <v>65</v>
      </c>
      <c r="C409" t="s">
        <v>26</v>
      </c>
      <c r="D409" t="s">
        <v>66</v>
      </c>
      <c r="E409" t="s">
        <v>2778</v>
      </c>
      <c r="F409" t="s">
        <v>2779</v>
      </c>
      <c r="G409">
        <v>70567547</v>
      </c>
      <c r="H409" t="s">
        <v>2780</v>
      </c>
      <c r="I409" s="4" t="s">
        <v>35</v>
      </c>
      <c r="J409" s="4" t="s">
        <v>2781</v>
      </c>
      <c r="K409" t="s">
        <v>2782</v>
      </c>
      <c r="L409" t="s">
        <v>27</v>
      </c>
      <c r="M409" t="s">
        <v>2783</v>
      </c>
      <c r="N409" t="s">
        <v>28</v>
      </c>
      <c r="O409" t="s">
        <v>68</v>
      </c>
      <c r="P409" t="s">
        <v>70</v>
      </c>
      <c r="Q409" t="s">
        <v>31</v>
      </c>
      <c r="R409">
        <v>9</v>
      </c>
      <c r="S409" t="s">
        <v>2784</v>
      </c>
      <c r="T409" t="s">
        <v>2786</v>
      </c>
      <c r="U409" t="s">
        <v>2785</v>
      </c>
      <c r="V409" t="s">
        <v>32</v>
      </c>
      <c r="W409" t="s">
        <v>33</v>
      </c>
      <c r="X409" t="s">
        <v>33</v>
      </c>
      <c r="Y409" t="s">
        <v>33</v>
      </c>
      <c r="Z409" s="16" t="s">
        <v>34</v>
      </c>
      <c r="AA409">
        <v>-75.560669480000001</v>
      </c>
      <c r="AB409">
        <v>6.22803548</v>
      </c>
      <c r="AC409" t="s">
        <v>135</v>
      </c>
      <c r="AD409" t="s">
        <v>136</v>
      </c>
    </row>
    <row r="410" spans="1:30" x14ac:dyDescent="0.25">
      <c r="A410" t="s">
        <v>2787</v>
      </c>
      <c r="B410" t="s">
        <v>25</v>
      </c>
      <c r="C410" t="s">
        <v>26</v>
      </c>
      <c r="D410" t="s">
        <v>25</v>
      </c>
      <c r="E410" t="s">
        <v>2788</v>
      </c>
      <c r="F410" t="s">
        <v>2789</v>
      </c>
      <c r="G410">
        <v>1042771985</v>
      </c>
      <c r="H410" t="s">
        <v>2790</v>
      </c>
      <c r="I410" s="4" t="s">
        <v>35</v>
      </c>
      <c r="J410" s="4" t="s">
        <v>2791</v>
      </c>
      <c r="K410" t="s">
        <v>2792</v>
      </c>
      <c r="L410" t="s">
        <v>27</v>
      </c>
      <c r="M410" t="s">
        <v>2793</v>
      </c>
      <c r="N410" t="s">
        <v>28</v>
      </c>
      <c r="O410" t="s">
        <v>29</v>
      </c>
      <c r="P410" t="s">
        <v>37</v>
      </c>
      <c r="Q410" t="s">
        <v>38</v>
      </c>
      <c r="R410">
        <v>10</v>
      </c>
      <c r="S410" t="s">
        <v>2794</v>
      </c>
      <c r="T410" t="s">
        <v>7232</v>
      </c>
      <c r="U410" t="s">
        <v>7232</v>
      </c>
      <c r="V410" t="s">
        <v>32</v>
      </c>
      <c r="W410" t="s">
        <v>33</v>
      </c>
      <c r="X410" t="s">
        <v>33</v>
      </c>
      <c r="Y410" t="s">
        <v>33</v>
      </c>
      <c r="Z410" s="16" t="s">
        <v>34</v>
      </c>
      <c r="AA410">
        <v>-75.619883150000007</v>
      </c>
      <c r="AB410">
        <v>6.29025722</v>
      </c>
      <c r="AC410" t="s">
        <v>135</v>
      </c>
      <c r="AD410" t="s">
        <v>136</v>
      </c>
    </row>
    <row r="411" spans="1:30" x14ac:dyDescent="0.25">
      <c r="A411" t="s">
        <v>2795</v>
      </c>
      <c r="B411" t="s">
        <v>25</v>
      </c>
      <c r="C411" t="s">
        <v>26</v>
      </c>
      <c r="D411" t="s">
        <v>25</v>
      </c>
      <c r="E411" t="s">
        <v>2796</v>
      </c>
      <c r="F411" t="s">
        <v>2797</v>
      </c>
      <c r="G411">
        <v>98520025</v>
      </c>
      <c r="H411" t="s">
        <v>2798</v>
      </c>
      <c r="I411" s="4" t="s">
        <v>2799</v>
      </c>
      <c r="J411" s="4" t="s">
        <v>2800</v>
      </c>
      <c r="K411" t="s">
        <v>2801</v>
      </c>
      <c r="L411" t="s">
        <v>27</v>
      </c>
      <c r="M411" t="s">
        <v>2802</v>
      </c>
      <c r="N411" t="s">
        <v>28</v>
      </c>
      <c r="O411" t="s">
        <v>29</v>
      </c>
      <c r="P411" t="s">
        <v>37</v>
      </c>
      <c r="Q411" t="s">
        <v>31</v>
      </c>
      <c r="R411">
        <v>7</v>
      </c>
      <c r="S411" t="s">
        <v>2803</v>
      </c>
      <c r="T411" t="s">
        <v>7233</v>
      </c>
      <c r="U411" t="s">
        <v>1134</v>
      </c>
      <c r="V411" t="s">
        <v>49</v>
      </c>
      <c r="W411" t="s">
        <v>1505</v>
      </c>
      <c r="X411" t="s">
        <v>1533</v>
      </c>
      <c r="Y411" t="s">
        <v>1506</v>
      </c>
      <c r="Z411" s="20" t="s">
        <v>49</v>
      </c>
      <c r="AA411">
        <v>-75.593997999999999</v>
      </c>
      <c r="AB411">
        <v>6.2017090000000001</v>
      </c>
      <c r="AC411" t="s">
        <v>135</v>
      </c>
      <c r="AD411" t="s">
        <v>136</v>
      </c>
    </row>
    <row r="412" spans="1:30" x14ac:dyDescent="0.25">
      <c r="A412" t="s">
        <v>2804</v>
      </c>
      <c r="B412" t="s">
        <v>25</v>
      </c>
      <c r="C412" t="s">
        <v>26</v>
      </c>
      <c r="D412" t="s">
        <v>39</v>
      </c>
      <c r="E412" t="s">
        <v>2805</v>
      </c>
      <c r="F412" t="s">
        <v>2806</v>
      </c>
      <c r="G412">
        <v>1036639257</v>
      </c>
      <c r="H412" t="s">
        <v>2807</v>
      </c>
      <c r="I412" s="4" t="s">
        <v>35</v>
      </c>
      <c r="J412" s="4" t="s">
        <v>2808</v>
      </c>
      <c r="K412" t="s">
        <v>2809</v>
      </c>
      <c r="L412" t="s">
        <v>27</v>
      </c>
      <c r="M412" t="s">
        <v>2810</v>
      </c>
      <c r="N412" t="s">
        <v>28</v>
      </c>
      <c r="O412" t="s">
        <v>40</v>
      </c>
      <c r="P412" t="s">
        <v>41</v>
      </c>
      <c r="Q412" t="s">
        <v>31</v>
      </c>
      <c r="R412">
        <v>5</v>
      </c>
      <c r="S412" t="s">
        <v>2811</v>
      </c>
      <c r="T412" t="s">
        <v>7235</v>
      </c>
      <c r="U412" t="s">
        <v>47</v>
      </c>
      <c r="V412" t="s">
        <v>47</v>
      </c>
      <c r="W412" t="s">
        <v>33</v>
      </c>
      <c r="X412" t="s">
        <v>33</v>
      </c>
      <c r="Y412" t="s">
        <v>33</v>
      </c>
      <c r="Z412" s="16" t="s">
        <v>34</v>
      </c>
      <c r="AA412">
        <v>-75.657697529999993</v>
      </c>
      <c r="AB412">
        <v>6.1802313699999996</v>
      </c>
      <c r="AC412" t="s">
        <v>135</v>
      </c>
      <c r="AD412" t="s">
        <v>136</v>
      </c>
    </row>
    <row r="413" spans="1:30" x14ac:dyDescent="0.25">
      <c r="A413" t="s">
        <v>2812</v>
      </c>
      <c r="B413" t="s">
        <v>25</v>
      </c>
      <c r="C413" t="s">
        <v>26</v>
      </c>
      <c r="D413" t="s">
        <v>25</v>
      </c>
      <c r="E413" t="s">
        <v>2813</v>
      </c>
      <c r="F413" t="s">
        <v>2814</v>
      </c>
      <c r="G413">
        <v>900982391</v>
      </c>
      <c r="H413" t="s">
        <v>2815</v>
      </c>
      <c r="I413" s="4" t="s">
        <v>2816</v>
      </c>
      <c r="J413" s="4" t="s">
        <v>35</v>
      </c>
      <c r="K413" t="s">
        <v>2817</v>
      </c>
      <c r="L413" t="s">
        <v>55</v>
      </c>
      <c r="M413" t="s">
        <v>2818</v>
      </c>
      <c r="N413" t="s">
        <v>56</v>
      </c>
      <c r="O413" t="s">
        <v>29</v>
      </c>
      <c r="P413" t="s">
        <v>54</v>
      </c>
      <c r="Q413" t="s">
        <v>31</v>
      </c>
      <c r="R413">
        <v>7</v>
      </c>
      <c r="S413" t="s">
        <v>2819</v>
      </c>
      <c r="T413" t="s">
        <v>7236</v>
      </c>
      <c r="U413" t="s">
        <v>7237</v>
      </c>
      <c r="V413" t="s">
        <v>49</v>
      </c>
      <c r="W413" t="s">
        <v>33</v>
      </c>
      <c r="X413" t="s">
        <v>33</v>
      </c>
      <c r="Y413" t="s">
        <v>33</v>
      </c>
      <c r="Z413" s="16" t="s">
        <v>34</v>
      </c>
      <c r="AA413">
        <v>-75.649831634999899</v>
      </c>
      <c r="AB413">
        <v>6.1379125160000303</v>
      </c>
      <c r="AC413" t="s">
        <v>135</v>
      </c>
      <c r="AD413" t="s">
        <v>136</v>
      </c>
    </row>
    <row r="414" spans="1:30" x14ac:dyDescent="0.25">
      <c r="A414" t="s">
        <v>2820</v>
      </c>
      <c r="B414" t="s">
        <v>42</v>
      </c>
      <c r="C414" t="s">
        <v>75</v>
      </c>
      <c r="D414" t="s">
        <v>42</v>
      </c>
      <c r="E414" t="s">
        <v>2821</v>
      </c>
      <c r="F414" t="s">
        <v>2822</v>
      </c>
      <c r="G414">
        <v>43644678</v>
      </c>
      <c r="H414" t="s">
        <v>2823</v>
      </c>
      <c r="I414" s="4" t="s">
        <v>35</v>
      </c>
      <c r="J414" s="4" t="s">
        <v>2824</v>
      </c>
      <c r="K414" t="s">
        <v>2825</v>
      </c>
      <c r="L414" t="s">
        <v>27</v>
      </c>
      <c r="M414" t="s">
        <v>2826</v>
      </c>
      <c r="N414" t="s">
        <v>28</v>
      </c>
      <c r="O414" t="s">
        <v>76</v>
      </c>
      <c r="P414" t="s">
        <v>36</v>
      </c>
      <c r="Q414" t="s">
        <v>31</v>
      </c>
      <c r="R414">
        <v>7</v>
      </c>
      <c r="S414" t="s">
        <v>2827</v>
      </c>
      <c r="T414" t="s">
        <v>7238</v>
      </c>
      <c r="U414" t="s">
        <v>7239</v>
      </c>
      <c r="V414" t="s">
        <v>49</v>
      </c>
      <c r="W414" t="s">
        <v>33</v>
      </c>
      <c r="X414" t="s">
        <v>33</v>
      </c>
      <c r="Y414" t="s">
        <v>33</v>
      </c>
      <c r="Z414" s="16" t="s">
        <v>34</v>
      </c>
      <c r="AA414">
        <v>-75.584685840000006</v>
      </c>
      <c r="AB414">
        <v>6.24781852</v>
      </c>
      <c r="AC414" t="s">
        <v>135</v>
      </c>
      <c r="AD414" t="s">
        <v>136</v>
      </c>
    </row>
    <row r="415" spans="1:30" x14ac:dyDescent="0.25">
      <c r="A415" t="s">
        <v>2828</v>
      </c>
      <c r="B415" t="s">
        <v>25</v>
      </c>
      <c r="C415" t="s">
        <v>26</v>
      </c>
      <c r="D415" t="s">
        <v>25</v>
      </c>
      <c r="E415" t="s">
        <v>2829</v>
      </c>
      <c r="F415" t="s">
        <v>2830</v>
      </c>
      <c r="G415">
        <v>900982391</v>
      </c>
      <c r="H415" t="s">
        <v>2815</v>
      </c>
      <c r="I415" s="4" t="s">
        <v>2816</v>
      </c>
      <c r="J415" s="4" t="s">
        <v>35</v>
      </c>
      <c r="K415" t="s">
        <v>2831</v>
      </c>
      <c r="L415" t="s">
        <v>55</v>
      </c>
      <c r="M415" t="s">
        <v>2832</v>
      </c>
      <c r="N415" t="s">
        <v>56</v>
      </c>
      <c r="O415" t="s">
        <v>29</v>
      </c>
      <c r="P415" t="s">
        <v>54</v>
      </c>
      <c r="Q415" t="s">
        <v>31</v>
      </c>
      <c r="R415">
        <v>7</v>
      </c>
      <c r="S415" t="s">
        <v>2833</v>
      </c>
      <c r="T415" t="s">
        <v>7240</v>
      </c>
      <c r="U415" t="s">
        <v>7241</v>
      </c>
      <c r="V415" t="s">
        <v>49</v>
      </c>
      <c r="W415" t="s">
        <v>33</v>
      </c>
      <c r="X415" t="s">
        <v>33</v>
      </c>
      <c r="Y415" t="s">
        <v>33</v>
      </c>
      <c r="Z415" s="16" t="s">
        <v>34</v>
      </c>
      <c r="AA415">
        <v>-75.649831634999899</v>
      </c>
      <c r="AB415">
        <v>6.1379125160000303</v>
      </c>
      <c r="AC415" t="s">
        <v>135</v>
      </c>
      <c r="AD415" t="s">
        <v>136</v>
      </c>
    </row>
    <row r="416" spans="1:30" x14ac:dyDescent="0.25">
      <c r="A416" t="s">
        <v>2835</v>
      </c>
      <c r="B416" t="s">
        <v>25</v>
      </c>
      <c r="C416" t="s">
        <v>26</v>
      </c>
      <c r="D416" t="s">
        <v>25</v>
      </c>
      <c r="E416" t="s">
        <v>2836</v>
      </c>
      <c r="F416" t="s">
        <v>2837</v>
      </c>
      <c r="G416">
        <v>900982391</v>
      </c>
      <c r="H416" t="s">
        <v>2815</v>
      </c>
      <c r="I416" s="4" t="s">
        <v>2816</v>
      </c>
      <c r="J416" s="4" t="s">
        <v>35</v>
      </c>
      <c r="K416" t="s">
        <v>2838</v>
      </c>
      <c r="L416" t="s">
        <v>55</v>
      </c>
      <c r="M416" t="s">
        <v>2839</v>
      </c>
      <c r="N416" t="s">
        <v>56</v>
      </c>
      <c r="O416" t="s">
        <v>29</v>
      </c>
      <c r="P416" t="s">
        <v>54</v>
      </c>
      <c r="Q416" t="s">
        <v>31</v>
      </c>
      <c r="R416">
        <v>7</v>
      </c>
      <c r="S416" t="s">
        <v>2840</v>
      </c>
      <c r="T416" t="s">
        <v>7240</v>
      </c>
      <c r="U416" t="s">
        <v>7241</v>
      </c>
      <c r="V416" t="s">
        <v>49</v>
      </c>
      <c r="W416" t="s">
        <v>33</v>
      </c>
      <c r="X416" t="s">
        <v>33</v>
      </c>
      <c r="Y416" t="s">
        <v>33</v>
      </c>
      <c r="Z416" s="16" t="s">
        <v>34</v>
      </c>
      <c r="AA416">
        <v>-75.649831634999899</v>
      </c>
      <c r="AB416">
        <v>6.1379125160000303</v>
      </c>
      <c r="AC416" t="s">
        <v>135</v>
      </c>
      <c r="AD416" t="s">
        <v>136</v>
      </c>
    </row>
    <row r="417" spans="1:30" x14ac:dyDescent="0.25">
      <c r="A417" t="s">
        <v>2841</v>
      </c>
      <c r="B417" t="s">
        <v>25</v>
      </c>
      <c r="C417" t="s">
        <v>26</v>
      </c>
      <c r="D417" t="s">
        <v>25</v>
      </c>
      <c r="E417" t="s">
        <v>2842</v>
      </c>
      <c r="F417" t="s">
        <v>2843</v>
      </c>
      <c r="G417">
        <v>900982391</v>
      </c>
      <c r="H417" t="s">
        <v>2815</v>
      </c>
      <c r="I417" s="4" t="s">
        <v>2816</v>
      </c>
      <c r="J417" s="4" t="s">
        <v>35</v>
      </c>
      <c r="K417" t="s">
        <v>2844</v>
      </c>
      <c r="L417" t="s">
        <v>55</v>
      </c>
      <c r="M417" t="s">
        <v>2845</v>
      </c>
      <c r="N417" t="s">
        <v>56</v>
      </c>
      <c r="O417" t="s">
        <v>29</v>
      </c>
      <c r="P417" t="s">
        <v>54</v>
      </c>
      <c r="Q417" t="s">
        <v>31</v>
      </c>
      <c r="R417">
        <v>7</v>
      </c>
      <c r="S417" t="s">
        <v>2846</v>
      </c>
      <c r="T417" t="s">
        <v>7240</v>
      </c>
      <c r="U417" t="s">
        <v>7241</v>
      </c>
      <c r="V417" t="s">
        <v>49</v>
      </c>
      <c r="W417" t="s">
        <v>33</v>
      </c>
      <c r="X417" t="s">
        <v>33</v>
      </c>
      <c r="Y417" t="s">
        <v>33</v>
      </c>
      <c r="Z417" s="16" t="s">
        <v>34</v>
      </c>
      <c r="AA417">
        <v>-75.649831634999899</v>
      </c>
      <c r="AB417">
        <v>6.1379125160000303</v>
      </c>
      <c r="AC417" t="s">
        <v>135</v>
      </c>
      <c r="AD417" t="s">
        <v>136</v>
      </c>
    </row>
    <row r="418" spans="1:30" x14ac:dyDescent="0.25">
      <c r="A418" t="s">
        <v>2847</v>
      </c>
      <c r="B418" t="s">
        <v>25</v>
      </c>
      <c r="C418" t="s">
        <v>26</v>
      </c>
      <c r="D418" t="s">
        <v>25</v>
      </c>
      <c r="E418" t="s">
        <v>2848</v>
      </c>
      <c r="F418" t="s">
        <v>2849</v>
      </c>
      <c r="G418">
        <v>900982391</v>
      </c>
      <c r="H418" t="s">
        <v>2815</v>
      </c>
      <c r="I418" s="4" t="s">
        <v>2816</v>
      </c>
      <c r="J418" s="4" t="s">
        <v>35</v>
      </c>
      <c r="K418" t="s">
        <v>2850</v>
      </c>
      <c r="L418" t="s">
        <v>55</v>
      </c>
      <c r="M418" t="s">
        <v>2851</v>
      </c>
      <c r="N418" t="s">
        <v>56</v>
      </c>
      <c r="O418" t="s">
        <v>29</v>
      </c>
      <c r="P418" t="s">
        <v>54</v>
      </c>
      <c r="Q418" t="s">
        <v>31</v>
      </c>
      <c r="R418">
        <v>7</v>
      </c>
      <c r="S418" t="s">
        <v>2852</v>
      </c>
      <c r="T418" t="s">
        <v>7240</v>
      </c>
      <c r="U418" t="s">
        <v>7241</v>
      </c>
      <c r="V418" t="s">
        <v>49</v>
      </c>
      <c r="W418" t="s">
        <v>33</v>
      </c>
      <c r="X418" t="s">
        <v>33</v>
      </c>
      <c r="Y418" t="s">
        <v>33</v>
      </c>
      <c r="Z418" s="16" t="s">
        <v>34</v>
      </c>
      <c r="AA418">
        <v>-75.649831634999899</v>
      </c>
      <c r="AB418">
        <v>6.1379125160000303</v>
      </c>
      <c r="AC418" t="s">
        <v>135</v>
      </c>
      <c r="AD418" t="s">
        <v>136</v>
      </c>
    </row>
    <row r="419" spans="1:30" x14ac:dyDescent="0.25">
      <c r="A419" t="s">
        <v>2853</v>
      </c>
      <c r="B419" t="s">
        <v>25</v>
      </c>
      <c r="C419" t="s">
        <v>26</v>
      </c>
      <c r="D419" t="s">
        <v>25</v>
      </c>
      <c r="E419" t="s">
        <v>2848</v>
      </c>
      <c r="F419" t="s">
        <v>2849</v>
      </c>
      <c r="G419">
        <v>900982391</v>
      </c>
      <c r="H419" t="s">
        <v>2815</v>
      </c>
      <c r="I419" s="4" t="s">
        <v>2816</v>
      </c>
      <c r="J419" s="4" t="s">
        <v>35</v>
      </c>
      <c r="K419" t="s">
        <v>2854</v>
      </c>
      <c r="L419" t="s">
        <v>55</v>
      </c>
      <c r="M419" t="s">
        <v>2855</v>
      </c>
      <c r="N419" t="s">
        <v>56</v>
      </c>
      <c r="O419" t="s">
        <v>29</v>
      </c>
      <c r="P419" t="s">
        <v>54</v>
      </c>
      <c r="Q419" t="s">
        <v>31</v>
      </c>
      <c r="R419">
        <v>7</v>
      </c>
      <c r="S419" t="s">
        <v>2852</v>
      </c>
      <c r="T419" t="s">
        <v>7240</v>
      </c>
      <c r="U419" t="s">
        <v>7241</v>
      </c>
      <c r="V419" t="s">
        <v>49</v>
      </c>
      <c r="W419" t="s">
        <v>33</v>
      </c>
      <c r="X419" t="s">
        <v>33</v>
      </c>
      <c r="Y419" t="s">
        <v>33</v>
      </c>
      <c r="Z419" s="16" t="s">
        <v>34</v>
      </c>
      <c r="AA419">
        <v>-75.649831634999899</v>
      </c>
      <c r="AB419">
        <v>6.1379125160000303</v>
      </c>
      <c r="AC419" t="s">
        <v>135</v>
      </c>
      <c r="AD419" t="s">
        <v>136</v>
      </c>
    </row>
    <row r="420" spans="1:30" x14ac:dyDescent="0.25">
      <c r="A420" t="s">
        <v>2856</v>
      </c>
      <c r="B420" t="s">
        <v>25</v>
      </c>
      <c r="C420" t="s">
        <v>26</v>
      </c>
      <c r="D420" t="s">
        <v>25</v>
      </c>
      <c r="E420" t="s">
        <v>2857</v>
      </c>
      <c r="F420" t="s">
        <v>2858</v>
      </c>
      <c r="G420">
        <v>900982391</v>
      </c>
      <c r="H420" t="s">
        <v>2815</v>
      </c>
      <c r="I420" s="4" t="s">
        <v>2816</v>
      </c>
      <c r="J420" s="4" t="s">
        <v>35</v>
      </c>
      <c r="K420" t="s">
        <v>2859</v>
      </c>
      <c r="L420" t="s">
        <v>55</v>
      </c>
      <c r="M420" t="s">
        <v>2860</v>
      </c>
      <c r="N420" t="s">
        <v>56</v>
      </c>
      <c r="O420" t="s">
        <v>29</v>
      </c>
      <c r="P420" t="s">
        <v>54</v>
      </c>
      <c r="Q420" t="s">
        <v>31</v>
      </c>
      <c r="R420">
        <v>7</v>
      </c>
      <c r="S420" t="s">
        <v>2861</v>
      </c>
      <c r="T420" t="s">
        <v>7240</v>
      </c>
      <c r="U420" t="s">
        <v>7241</v>
      </c>
      <c r="V420" t="s">
        <v>49</v>
      </c>
      <c r="W420" t="s">
        <v>33</v>
      </c>
      <c r="X420" t="s">
        <v>33</v>
      </c>
      <c r="Y420" t="s">
        <v>33</v>
      </c>
      <c r="Z420" s="16" t="s">
        <v>34</v>
      </c>
      <c r="AA420">
        <v>-75.649831634999899</v>
      </c>
      <c r="AB420">
        <v>6.1379125160000303</v>
      </c>
      <c r="AC420" t="s">
        <v>135</v>
      </c>
      <c r="AD420" t="s">
        <v>136</v>
      </c>
    </row>
    <row r="421" spans="1:30" x14ac:dyDescent="0.25">
      <c r="A421" t="s">
        <v>2862</v>
      </c>
      <c r="B421" t="s">
        <v>25</v>
      </c>
      <c r="C421" t="s">
        <v>26</v>
      </c>
      <c r="D421" t="s">
        <v>25</v>
      </c>
      <c r="E421" t="s">
        <v>2857</v>
      </c>
      <c r="F421" t="s">
        <v>2858</v>
      </c>
      <c r="G421">
        <v>900982391</v>
      </c>
      <c r="H421" t="s">
        <v>2815</v>
      </c>
      <c r="I421" s="4" t="s">
        <v>2816</v>
      </c>
      <c r="J421" s="4" t="s">
        <v>35</v>
      </c>
      <c r="K421" t="s">
        <v>2863</v>
      </c>
      <c r="L421" t="s">
        <v>55</v>
      </c>
      <c r="M421" t="s">
        <v>2864</v>
      </c>
      <c r="N421" t="s">
        <v>56</v>
      </c>
      <c r="O421" t="s">
        <v>29</v>
      </c>
      <c r="P421" t="s">
        <v>54</v>
      </c>
      <c r="Q421" t="s">
        <v>31</v>
      </c>
      <c r="R421">
        <v>7</v>
      </c>
      <c r="S421" t="s">
        <v>2861</v>
      </c>
      <c r="T421" t="s">
        <v>7240</v>
      </c>
      <c r="U421" t="s">
        <v>7241</v>
      </c>
      <c r="V421" t="s">
        <v>49</v>
      </c>
      <c r="W421" t="s">
        <v>33</v>
      </c>
      <c r="X421" t="s">
        <v>33</v>
      </c>
      <c r="Y421" t="s">
        <v>33</v>
      </c>
      <c r="Z421" s="16" t="s">
        <v>34</v>
      </c>
      <c r="AA421">
        <v>-75.649831634999899</v>
      </c>
      <c r="AB421">
        <v>6.1379125160000303</v>
      </c>
      <c r="AC421" t="s">
        <v>135</v>
      </c>
      <c r="AD421" t="s">
        <v>136</v>
      </c>
    </row>
    <row r="422" spans="1:30" x14ac:dyDescent="0.25">
      <c r="A422" t="s">
        <v>2865</v>
      </c>
      <c r="B422" t="s">
        <v>25</v>
      </c>
      <c r="C422" t="s">
        <v>26</v>
      </c>
      <c r="D422" t="s">
        <v>25</v>
      </c>
      <c r="E422" t="s">
        <v>2866</v>
      </c>
      <c r="F422" t="s">
        <v>2867</v>
      </c>
      <c r="G422">
        <v>900982391</v>
      </c>
      <c r="H422" t="s">
        <v>2815</v>
      </c>
      <c r="I422" s="4" t="s">
        <v>2816</v>
      </c>
      <c r="J422" s="4" t="s">
        <v>35</v>
      </c>
      <c r="K422" t="s">
        <v>2868</v>
      </c>
      <c r="L422" t="s">
        <v>55</v>
      </c>
      <c r="M422" t="s">
        <v>2869</v>
      </c>
      <c r="N422" t="s">
        <v>56</v>
      </c>
      <c r="O422" t="s">
        <v>29</v>
      </c>
      <c r="P422" t="s">
        <v>54</v>
      </c>
      <c r="Q422" t="s">
        <v>31</v>
      </c>
      <c r="R422">
        <v>7</v>
      </c>
      <c r="S422" t="s">
        <v>2870</v>
      </c>
      <c r="T422" t="s">
        <v>7240</v>
      </c>
      <c r="U422" t="s">
        <v>7241</v>
      </c>
      <c r="V422" t="s">
        <v>49</v>
      </c>
      <c r="W422" t="s">
        <v>33</v>
      </c>
      <c r="X422" t="s">
        <v>33</v>
      </c>
      <c r="Y422" t="s">
        <v>33</v>
      </c>
      <c r="Z422" s="16" t="s">
        <v>34</v>
      </c>
      <c r="AA422">
        <v>-75.649831634999899</v>
      </c>
      <c r="AB422">
        <v>6.1379125160000303</v>
      </c>
      <c r="AC422" t="s">
        <v>135</v>
      </c>
      <c r="AD422" t="s">
        <v>136</v>
      </c>
    </row>
    <row r="423" spans="1:30" x14ac:dyDescent="0.25">
      <c r="A423" t="s">
        <v>2871</v>
      </c>
      <c r="B423" t="s">
        <v>25</v>
      </c>
      <c r="C423" t="s">
        <v>26</v>
      </c>
      <c r="D423" t="s">
        <v>25</v>
      </c>
      <c r="E423" t="s">
        <v>2866</v>
      </c>
      <c r="F423" t="s">
        <v>2867</v>
      </c>
      <c r="G423">
        <v>900982391</v>
      </c>
      <c r="H423" t="s">
        <v>2815</v>
      </c>
      <c r="I423" s="4" t="s">
        <v>2816</v>
      </c>
      <c r="J423" s="4" t="s">
        <v>35</v>
      </c>
      <c r="K423" t="s">
        <v>2872</v>
      </c>
      <c r="L423" t="s">
        <v>55</v>
      </c>
      <c r="M423" t="s">
        <v>2873</v>
      </c>
      <c r="N423" t="s">
        <v>56</v>
      </c>
      <c r="O423" t="s">
        <v>29</v>
      </c>
      <c r="P423" t="s">
        <v>54</v>
      </c>
      <c r="Q423" t="s">
        <v>31</v>
      </c>
      <c r="R423">
        <v>7</v>
      </c>
      <c r="S423" t="s">
        <v>2870</v>
      </c>
      <c r="T423" t="s">
        <v>7240</v>
      </c>
      <c r="U423" t="s">
        <v>7241</v>
      </c>
      <c r="V423" t="s">
        <v>49</v>
      </c>
      <c r="W423" t="s">
        <v>33</v>
      </c>
      <c r="X423" t="s">
        <v>33</v>
      </c>
      <c r="Y423" t="s">
        <v>33</v>
      </c>
      <c r="Z423" s="16" t="s">
        <v>34</v>
      </c>
      <c r="AA423">
        <v>-75.649831634999899</v>
      </c>
      <c r="AB423">
        <v>6.1379125160000303</v>
      </c>
      <c r="AC423" t="s">
        <v>135</v>
      </c>
      <c r="AD423" t="s">
        <v>136</v>
      </c>
    </row>
    <row r="424" spans="1:30" x14ac:dyDescent="0.25">
      <c r="A424" t="s">
        <v>2874</v>
      </c>
      <c r="B424" t="s">
        <v>25</v>
      </c>
      <c r="C424" t="s">
        <v>26</v>
      </c>
      <c r="D424" t="s">
        <v>25</v>
      </c>
      <c r="E424" t="s">
        <v>2875</v>
      </c>
      <c r="F424" t="s">
        <v>2876</v>
      </c>
      <c r="G424">
        <v>900982391</v>
      </c>
      <c r="H424" t="s">
        <v>2815</v>
      </c>
      <c r="I424" s="4" t="s">
        <v>2816</v>
      </c>
      <c r="J424" s="4" t="s">
        <v>35</v>
      </c>
      <c r="K424" t="s">
        <v>2877</v>
      </c>
      <c r="L424" t="s">
        <v>55</v>
      </c>
      <c r="M424" t="s">
        <v>2878</v>
      </c>
      <c r="N424" t="s">
        <v>56</v>
      </c>
      <c r="O424" t="s">
        <v>29</v>
      </c>
      <c r="P424" t="s">
        <v>54</v>
      </c>
      <c r="Q424" t="s">
        <v>31</v>
      </c>
      <c r="R424">
        <v>7</v>
      </c>
      <c r="S424" t="s">
        <v>2879</v>
      </c>
      <c r="T424" t="s">
        <v>7240</v>
      </c>
      <c r="U424" t="s">
        <v>7241</v>
      </c>
      <c r="V424" t="s">
        <v>49</v>
      </c>
      <c r="W424" t="s">
        <v>33</v>
      </c>
      <c r="X424" t="s">
        <v>33</v>
      </c>
      <c r="Y424" t="s">
        <v>33</v>
      </c>
      <c r="Z424" s="16" t="s">
        <v>34</v>
      </c>
      <c r="AA424">
        <v>-75.649831634999899</v>
      </c>
      <c r="AB424">
        <v>6.1379125160000303</v>
      </c>
      <c r="AC424" t="s">
        <v>135</v>
      </c>
      <c r="AD424" t="s">
        <v>136</v>
      </c>
    </row>
    <row r="425" spans="1:30" x14ac:dyDescent="0.25">
      <c r="A425" t="s">
        <v>2880</v>
      </c>
      <c r="B425" t="s">
        <v>25</v>
      </c>
      <c r="C425" t="s">
        <v>26</v>
      </c>
      <c r="D425" t="s">
        <v>25</v>
      </c>
      <c r="E425" t="s">
        <v>2881</v>
      </c>
      <c r="F425" t="s">
        <v>2882</v>
      </c>
      <c r="G425">
        <v>900982391</v>
      </c>
      <c r="H425" t="s">
        <v>2815</v>
      </c>
      <c r="I425" s="4" t="s">
        <v>2816</v>
      </c>
      <c r="J425" s="4" t="s">
        <v>35</v>
      </c>
      <c r="K425" t="s">
        <v>2883</v>
      </c>
      <c r="L425" t="s">
        <v>55</v>
      </c>
      <c r="M425" t="s">
        <v>2884</v>
      </c>
      <c r="N425" t="s">
        <v>56</v>
      </c>
      <c r="O425" t="s">
        <v>29</v>
      </c>
      <c r="P425" t="s">
        <v>54</v>
      </c>
      <c r="Q425" t="s">
        <v>31</v>
      </c>
      <c r="R425">
        <v>7</v>
      </c>
      <c r="S425" t="s">
        <v>2885</v>
      </c>
      <c r="T425" t="s">
        <v>7240</v>
      </c>
      <c r="U425" t="s">
        <v>7241</v>
      </c>
      <c r="V425" t="s">
        <v>49</v>
      </c>
      <c r="W425" t="s">
        <v>33</v>
      </c>
      <c r="X425" t="s">
        <v>33</v>
      </c>
      <c r="Y425" t="s">
        <v>33</v>
      </c>
      <c r="Z425" s="16" t="s">
        <v>34</v>
      </c>
      <c r="AA425">
        <v>-75.649831634999899</v>
      </c>
      <c r="AB425">
        <v>6.1379125160000303</v>
      </c>
      <c r="AC425" t="s">
        <v>135</v>
      </c>
      <c r="AD425" t="s">
        <v>136</v>
      </c>
    </row>
    <row r="426" spans="1:30" x14ac:dyDescent="0.25">
      <c r="A426" t="s">
        <v>2886</v>
      </c>
      <c r="B426" t="s">
        <v>25</v>
      </c>
      <c r="C426" t="s">
        <v>26</v>
      </c>
      <c r="D426" t="s">
        <v>25</v>
      </c>
      <c r="E426" t="s">
        <v>2887</v>
      </c>
      <c r="F426" t="s">
        <v>2888</v>
      </c>
      <c r="G426">
        <v>900982391</v>
      </c>
      <c r="H426" t="s">
        <v>2815</v>
      </c>
      <c r="I426" s="4" t="s">
        <v>2816</v>
      </c>
      <c r="J426" s="4" t="s">
        <v>35</v>
      </c>
      <c r="K426" t="s">
        <v>2889</v>
      </c>
      <c r="L426" t="s">
        <v>55</v>
      </c>
      <c r="M426" t="s">
        <v>2890</v>
      </c>
      <c r="N426" t="s">
        <v>56</v>
      </c>
      <c r="O426" t="s">
        <v>29</v>
      </c>
      <c r="P426" t="s">
        <v>54</v>
      </c>
      <c r="Q426" t="s">
        <v>31</v>
      </c>
      <c r="R426">
        <v>7</v>
      </c>
      <c r="S426" t="s">
        <v>2891</v>
      </c>
      <c r="T426" t="s">
        <v>7240</v>
      </c>
      <c r="U426" t="s">
        <v>7241</v>
      </c>
      <c r="V426" t="s">
        <v>49</v>
      </c>
      <c r="W426" t="s">
        <v>33</v>
      </c>
      <c r="X426" t="s">
        <v>33</v>
      </c>
      <c r="Y426" t="s">
        <v>33</v>
      </c>
      <c r="Z426" s="16" t="s">
        <v>34</v>
      </c>
      <c r="AA426">
        <v>-75.649831634999899</v>
      </c>
      <c r="AB426">
        <v>6.1379125160000303</v>
      </c>
      <c r="AC426" t="s">
        <v>135</v>
      </c>
      <c r="AD426" t="s">
        <v>136</v>
      </c>
    </row>
    <row r="427" spans="1:30" x14ac:dyDescent="0.25">
      <c r="A427" t="s">
        <v>2892</v>
      </c>
      <c r="B427" t="s">
        <v>25</v>
      </c>
      <c r="C427" t="s">
        <v>26</v>
      </c>
      <c r="D427" t="s">
        <v>25</v>
      </c>
      <c r="E427" t="s">
        <v>2887</v>
      </c>
      <c r="F427" t="s">
        <v>2888</v>
      </c>
      <c r="G427">
        <v>900982391</v>
      </c>
      <c r="H427" t="s">
        <v>2815</v>
      </c>
      <c r="I427" s="4" t="s">
        <v>2816</v>
      </c>
      <c r="J427" s="4" t="s">
        <v>35</v>
      </c>
      <c r="K427" t="s">
        <v>2893</v>
      </c>
      <c r="L427" t="s">
        <v>55</v>
      </c>
      <c r="M427" t="s">
        <v>2894</v>
      </c>
      <c r="N427" t="s">
        <v>56</v>
      </c>
      <c r="O427" t="s">
        <v>29</v>
      </c>
      <c r="P427" t="s">
        <v>54</v>
      </c>
      <c r="Q427" t="s">
        <v>31</v>
      </c>
      <c r="R427">
        <v>7</v>
      </c>
      <c r="S427" t="s">
        <v>2891</v>
      </c>
      <c r="T427" t="s">
        <v>7240</v>
      </c>
      <c r="U427" t="s">
        <v>7241</v>
      </c>
      <c r="V427" t="s">
        <v>49</v>
      </c>
      <c r="W427" t="s">
        <v>33</v>
      </c>
      <c r="X427" t="s">
        <v>33</v>
      </c>
      <c r="Y427" t="s">
        <v>33</v>
      </c>
      <c r="Z427" s="16" t="s">
        <v>34</v>
      </c>
      <c r="AA427">
        <v>-75.649831634999899</v>
      </c>
      <c r="AB427">
        <v>6.1379125160000303</v>
      </c>
      <c r="AC427" t="s">
        <v>135</v>
      </c>
      <c r="AD427" t="s">
        <v>136</v>
      </c>
    </row>
    <row r="428" spans="1:30" x14ac:dyDescent="0.25">
      <c r="A428" t="s">
        <v>2895</v>
      </c>
      <c r="B428" t="s">
        <v>25</v>
      </c>
      <c r="C428" t="s">
        <v>26</v>
      </c>
      <c r="D428" t="s">
        <v>25</v>
      </c>
      <c r="E428" t="s">
        <v>2887</v>
      </c>
      <c r="F428" t="s">
        <v>2888</v>
      </c>
      <c r="G428">
        <v>900982391</v>
      </c>
      <c r="H428" t="s">
        <v>2815</v>
      </c>
      <c r="I428" s="4" t="s">
        <v>2816</v>
      </c>
      <c r="J428" s="4" t="s">
        <v>35</v>
      </c>
      <c r="K428" t="s">
        <v>2896</v>
      </c>
      <c r="L428" t="s">
        <v>55</v>
      </c>
      <c r="M428" t="s">
        <v>2897</v>
      </c>
      <c r="N428" t="s">
        <v>56</v>
      </c>
      <c r="O428" t="s">
        <v>29</v>
      </c>
      <c r="P428" t="s">
        <v>54</v>
      </c>
      <c r="Q428" t="s">
        <v>31</v>
      </c>
      <c r="R428">
        <v>7</v>
      </c>
      <c r="S428" t="s">
        <v>2891</v>
      </c>
      <c r="T428" t="s">
        <v>7240</v>
      </c>
      <c r="U428" t="s">
        <v>7241</v>
      </c>
      <c r="V428" t="s">
        <v>49</v>
      </c>
      <c r="W428" t="s">
        <v>33</v>
      </c>
      <c r="X428" t="s">
        <v>33</v>
      </c>
      <c r="Y428" t="s">
        <v>33</v>
      </c>
      <c r="Z428" s="16" t="s">
        <v>34</v>
      </c>
      <c r="AA428">
        <v>-75.649831634999899</v>
      </c>
      <c r="AB428">
        <v>6.1379125160000303</v>
      </c>
      <c r="AC428" t="s">
        <v>135</v>
      </c>
      <c r="AD428" t="s">
        <v>136</v>
      </c>
    </row>
    <row r="429" spans="1:30" x14ac:dyDescent="0.25">
      <c r="A429" t="s">
        <v>2898</v>
      </c>
      <c r="B429" t="s">
        <v>25</v>
      </c>
      <c r="C429" t="s">
        <v>26</v>
      </c>
      <c r="D429" t="s">
        <v>25</v>
      </c>
      <c r="E429" t="s">
        <v>2899</v>
      </c>
      <c r="F429" t="s">
        <v>2900</v>
      </c>
      <c r="G429">
        <v>900982391</v>
      </c>
      <c r="H429" t="s">
        <v>2815</v>
      </c>
      <c r="I429" s="4" t="s">
        <v>2816</v>
      </c>
      <c r="J429" s="4" t="s">
        <v>35</v>
      </c>
      <c r="K429" t="s">
        <v>2901</v>
      </c>
      <c r="L429" t="s">
        <v>55</v>
      </c>
      <c r="M429" t="s">
        <v>2902</v>
      </c>
      <c r="N429" t="s">
        <v>56</v>
      </c>
      <c r="O429" t="s">
        <v>29</v>
      </c>
      <c r="P429" t="s">
        <v>54</v>
      </c>
      <c r="Q429" t="s">
        <v>31</v>
      </c>
      <c r="R429">
        <v>7</v>
      </c>
      <c r="S429" t="s">
        <v>2903</v>
      </c>
      <c r="T429" t="s">
        <v>7240</v>
      </c>
      <c r="U429" t="s">
        <v>7241</v>
      </c>
      <c r="V429" t="s">
        <v>49</v>
      </c>
      <c r="W429" t="s">
        <v>33</v>
      </c>
      <c r="X429" t="s">
        <v>33</v>
      </c>
      <c r="Y429" t="s">
        <v>33</v>
      </c>
      <c r="Z429" s="16" t="s">
        <v>34</v>
      </c>
      <c r="AA429">
        <v>-75.649831634999899</v>
      </c>
      <c r="AB429">
        <v>6.1379125160000303</v>
      </c>
      <c r="AC429" t="s">
        <v>135</v>
      </c>
      <c r="AD429" t="s">
        <v>136</v>
      </c>
    </row>
    <row r="430" spans="1:30" x14ac:dyDescent="0.25">
      <c r="A430" t="s">
        <v>2904</v>
      </c>
      <c r="B430" t="s">
        <v>25</v>
      </c>
      <c r="C430" t="s">
        <v>26</v>
      </c>
      <c r="D430" t="s">
        <v>25</v>
      </c>
      <c r="E430" t="s">
        <v>2899</v>
      </c>
      <c r="F430" t="s">
        <v>2900</v>
      </c>
      <c r="G430">
        <v>900982391</v>
      </c>
      <c r="H430" t="s">
        <v>2815</v>
      </c>
      <c r="I430" s="4" t="s">
        <v>2816</v>
      </c>
      <c r="J430" s="4" t="s">
        <v>35</v>
      </c>
      <c r="K430" t="s">
        <v>2905</v>
      </c>
      <c r="L430" t="s">
        <v>55</v>
      </c>
      <c r="M430" t="s">
        <v>2906</v>
      </c>
      <c r="N430" t="s">
        <v>56</v>
      </c>
      <c r="O430" t="s">
        <v>29</v>
      </c>
      <c r="P430" t="s">
        <v>54</v>
      </c>
      <c r="Q430" t="s">
        <v>31</v>
      </c>
      <c r="R430">
        <v>7</v>
      </c>
      <c r="S430" t="s">
        <v>2903</v>
      </c>
      <c r="T430" t="s">
        <v>7240</v>
      </c>
      <c r="U430" t="s">
        <v>7241</v>
      </c>
      <c r="V430" t="s">
        <v>49</v>
      </c>
      <c r="W430" t="s">
        <v>33</v>
      </c>
      <c r="X430" t="s">
        <v>33</v>
      </c>
      <c r="Y430" t="s">
        <v>33</v>
      </c>
      <c r="Z430" s="16" t="s">
        <v>34</v>
      </c>
      <c r="AA430">
        <v>-75.649831634999899</v>
      </c>
      <c r="AB430">
        <v>6.1379125160000303</v>
      </c>
      <c r="AC430" t="s">
        <v>135</v>
      </c>
      <c r="AD430" t="s">
        <v>136</v>
      </c>
    </row>
    <row r="431" spans="1:30" x14ac:dyDescent="0.25">
      <c r="A431" t="s">
        <v>2907</v>
      </c>
      <c r="B431" t="s">
        <v>25</v>
      </c>
      <c r="C431" t="s">
        <v>26</v>
      </c>
      <c r="D431" t="s">
        <v>25</v>
      </c>
      <c r="E431" t="s">
        <v>2899</v>
      </c>
      <c r="F431" t="s">
        <v>2900</v>
      </c>
      <c r="G431">
        <v>900982391</v>
      </c>
      <c r="H431" t="s">
        <v>2815</v>
      </c>
      <c r="I431" s="4" t="s">
        <v>2816</v>
      </c>
      <c r="J431" s="4" t="s">
        <v>35</v>
      </c>
      <c r="K431" t="s">
        <v>2908</v>
      </c>
      <c r="L431" t="s">
        <v>55</v>
      </c>
      <c r="M431" t="s">
        <v>2909</v>
      </c>
      <c r="N431" t="s">
        <v>56</v>
      </c>
      <c r="O431" t="s">
        <v>29</v>
      </c>
      <c r="P431" t="s">
        <v>54</v>
      </c>
      <c r="Q431" t="s">
        <v>31</v>
      </c>
      <c r="R431">
        <v>7</v>
      </c>
      <c r="S431" t="s">
        <v>2903</v>
      </c>
      <c r="T431" t="s">
        <v>7240</v>
      </c>
      <c r="U431" t="s">
        <v>7241</v>
      </c>
      <c r="V431" t="s">
        <v>49</v>
      </c>
      <c r="W431" t="s">
        <v>33</v>
      </c>
      <c r="X431" t="s">
        <v>33</v>
      </c>
      <c r="Y431" t="s">
        <v>33</v>
      </c>
      <c r="Z431" s="16" t="s">
        <v>34</v>
      </c>
      <c r="AA431">
        <v>-75.649831634999899</v>
      </c>
      <c r="AB431">
        <v>6.1379125160000303</v>
      </c>
      <c r="AC431" t="s">
        <v>135</v>
      </c>
      <c r="AD431" t="s">
        <v>136</v>
      </c>
    </row>
    <row r="432" spans="1:30" x14ac:dyDescent="0.25">
      <c r="A432" t="s">
        <v>2910</v>
      </c>
      <c r="B432" t="s">
        <v>25</v>
      </c>
      <c r="C432" t="s">
        <v>26</v>
      </c>
      <c r="D432" t="s">
        <v>25</v>
      </c>
      <c r="E432" t="s">
        <v>2911</v>
      </c>
      <c r="F432" t="s">
        <v>2912</v>
      </c>
      <c r="G432">
        <v>900982391</v>
      </c>
      <c r="H432" t="s">
        <v>2815</v>
      </c>
      <c r="I432" s="4" t="s">
        <v>2816</v>
      </c>
      <c r="J432" s="4" t="s">
        <v>35</v>
      </c>
      <c r="K432" t="s">
        <v>2913</v>
      </c>
      <c r="L432" t="s">
        <v>55</v>
      </c>
      <c r="M432" t="s">
        <v>2914</v>
      </c>
      <c r="N432" t="s">
        <v>56</v>
      </c>
      <c r="O432" t="s">
        <v>29</v>
      </c>
      <c r="P432" t="s">
        <v>54</v>
      </c>
      <c r="Q432" t="s">
        <v>31</v>
      </c>
      <c r="R432">
        <v>7</v>
      </c>
      <c r="S432" t="s">
        <v>2915</v>
      </c>
      <c r="T432" t="s">
        <v>7240</v>
      </c>
      <c r="U432" t="s">
        <v>7241</v>
      </c>
      <c r="V432" t="s">
        <v>49</v>
      </c>
      <c r="W432" t="s">
        <v>33</v>
      </c>
      <c r="X432" t="s">
        <v>33</v>
      </c>
      <c r="Y432" t="s">
        <v>33</v>
      </c>
      <c r="Z432" s="16" t="s">
        <v>34</v>
      </c>
      <c r="AA432">
        <v>-75.649831634999899</v>
      </c>
      <c r="AB432">
        <v>6.1379125160000303</v>
      </c>
      <c r="AC432" t="s">
        <v>135</v>
      </c>
      <c r="AD432" t="s">
        <v>136</v>
      </c>
    </row>
    <row r="433" spans="1:30" x14ac:dyDescent="0.25">
      <c r="A433" t="s">
        <v>2916</v>
      </c>
      <c r="B433" t="s">
        <v>25</v>
      </c>
      <c r="C433" t="s">
        <v>26</v>
      </c>
      <c r="D433" t="s">
        <v>25</v>
      </c>
      <c r="E433" t="s">
        <v>2911</v>
      </c>
      <c r="F433" t="s">
        <v>2912</v>
      </c>
      <c r="G433">
        <v>900982391</v>
      </c>
      <c r="H433" t="s">
        <v>2815</v>
      </c>
      <c r="I433" s="4" t="s">
        <v>2816</v>
      </c>
      <c r="J433" s="4" t="s">
        <v>35</v>
      </c>
      <c r="K433" t="s">
        <v>2917</v>
      </c>
      <c r="L433" t="s">
        <v>55</v>
      </c>
      <c r="M433" t="s">
        <v>2918</v>
      </c>
      <c r="N433" t="s">
        <v>56</v>
      </c>
      <c r="O433" t="s">
        <v>29</v>
      </c>
      <c r="P433" t="s">
        <v>54</v>
      </c>
      <c r="Q433" t="s">
        <v>31</v>
      </c>
      <c r="R433">
        <v>7</v>
      </c>
      <c r="S433" t="s">
        <v>2915</v>
      </c>
      <c r="T433" t="s">
        <v>7240</v>
      </c>
      <c r="U433" t="s">
        <v>7241</v>
      </c>
      <c r="V433" t="s">
        <v>49</v>
      </c>
      <c r="W433" t="s">
        <v>33</v>
      </c>
      <c r="X433" t="s">
        <v>33</v>
      </c>
      <c r="Y433" t="s">
        <v>33</v>
      </c>
      <c r="Z433" s="16" t="s">
        <v>34</v>
      </c>
      <c r="AA433">
        <v>-75.649831634999899</v>
      </c>
      <c r="AB433">
        <v>6.1379125160000303</v>
      </c>
      <c r="AC433" t="s">
        <v>135</v>
      </c>
      <c r="AD433" t="s">
        <v>136</v>
      </c>
    </row>
    <row r="434" spans="1:30" x14ac:dyDescent="0.25">
      <c r="A434" t="s">
        <v>2919</v>
      </c>
      <c r="B434" t="s">
        <v>25</v>
      </c>
      <c r="C434" t="s">
        <v>26</v>
      </c>
      <c r="D434" t="s">
        <v>25</v>
      </c>
      <c r="E434" t="s">
        <v>2920</v>
      </c>
      <c r="F434" t="s">
        <v>2921</v>
      </c>
      <c r="G434">
        <v>900982391</v>
      </c>
      <c r="H434" t="s">
        <v>2815</v>
      </c>
      <c r="I434" s="4" t="s">
        <v>2816</v>
      </c>
      <c r="J434" s="4" t="s">
        <v>35</v>
      </c>
      <c r="K434" t="s">
        <v>2922</v>
      </c>
      <c r="L434" t="s">
        <v>55</v>
      </c>
      <c r="M434" t="s">
        <v>2923</v>
      </c>
      <c r="N434" t="s">
        <v>56</v>
      </c>
      <c r="O434" t="s">
        <v>29</v>
      </c>
      <c r="P434" t="s">
        <v>54</v>
      </c>
      <c r="Q434" t="s">
        <v>31</v>
      </c>
      <c r="R434">
        <v>7</v>
      </c>
      <c r="S434" t="s">
        <v>2924</v>
      </c>
      <c r="T434" t="s">
        <v>7240</v>
      </c>
      <c r="U434" t="s">
        <v>7241</v>
      </c>
      <c r="V434" t="s">
        <v>49</v>
      </c>
      <c r="W434" t="s">
        <v>33</v>
      </c>
      <c r="X434" t="s">
        <v>33</v>
      </c>
      <c r="Y434" t="s">
        <v>33</v>
      </c>
      <c r="Z434" s="16" t="s">
        <v>34</v>
      </c>
      <c r="AA434">
        <v>-75.649831634999899</v>
      </c>
      <c r="AB434">
        <v>6.1379125160000303</v>
      </c>
      <c r="AC434" t="s">
        <v>135</v>
      </c>
      <c r="AD434" t="s">
        <v>136</v>
      </c>
    </row>
    <row r="435" spans="1:30" x14ac:dyDescent="0.25">
      <c r="A435" t="s">
        <v>2925</v>
      </c>
      <c r="B435" t="s">
        <v>25</v>
      </c>
      <c r="C435" t="s">
        <v>26</v>
      </c>
      <c r="D435" t="s">
        <v>25</v>
      </c>
      <c r="E435" t="s">
        <v>2926</v>
      </c>
      <c r="F435" t="s">
        <v>2927</v>
      </c>
      <c r="G435">
        <v>900982391</v>
      </c>
      <c r="H435" t="s">
        <v>2815</v>
      </c>
      <c r="I435" s="4" t="s">
        <v>2816</v>
      </c>
      <c r="J435" s="4" t="s">
        <v>35</v>
      </c>
      <c r="K435" t="s">
        <v>2928</v>
      </c>
      <c r="L435" t="s">
        <v>55</v>
      </c>
      <c r="M435" t="s">
        <v>2929</v>
      </c>
      <c r="N435" t="s">
        <v>56</v>
      </c>
      <c r="O435" t="s">
        <v>29</v>
      </c>
      <c r="P435" t="s">
        <v>54</v>
      </c>
      <c r="Q435" t="s">
        <v>31</v>
      </c>
      <c r="R435">
        <v>7</v>
      </c>
      <c r="S435" t="s">
        <v>2930</v>
      </c>
      <c r="T435" t="s">
        <v>7240</v>
      </c>
      <c r="U435" t="s">
        <v>7241</v>
      </c>
      <c r="V435" t="s">
        <v>49</v>
      </c>
      <c r="W435" t="s">
        <v>33</v>
      </c>
      <c r="X435" t="s">
        <v>33</v>
      </c>
      <c r="Y435" t="s">
        <v>33</v>
      </c>
      <c r="Z435" s="16" t="s">
        <v>34</v>
      </c>
      <c r="AA435">
        <v>-75.649831634999899</v>
      </c>
      <c r="AB435">
        <v>6.1379125160000303</v>
      </c>
      <c r="AC435" t="s">
        <v>135</v>
      </c>
      <c r="AD435" t="s">
        <v>136</v>
      </c>
    </row>
    <row r="436" spans="1:30" x14ac:dyDescent="0.25">
      <c r="A436" t="s">
        <v>2931</v>
      </c>
      <c r="B436" t="s">
        <v>25</v>
      </c>
      <c r="C436" t="s">
        <v>26</v>
      </c>
      <c r="D436" t="s">
        <v>25</v>
      </c>
      <c r="E436" t="s">
        <v>2920</v>
      </c>
      <c r="F436" t="s">
        <v>2921</v>
      </c>
      <c r="G436">
        <v>900982391</v>
      </c>
      <c r="H436" t="s">
        <v>2815</v>
      </c>
      <c r="I436" s="4" t="s">
        <v>2816</v>
      </c>
      <c r="J436" s="4" t="s">
        <v>35</v>
      </c>
      <c r="K436" t="s">
        <v>2932</v>
      </c>
      <c r="L436" t="s">
        <v>55</v>
      </c>
      <c r="M436" t="s">
        <v>2933</v>
      </c>
      <c r="N436" t="s">
        <v>56</v>
      </c>
      <c r="O436" t="s">
        <v>29</v>
      </c>
      <c r="P436" t="s">
        <v>54</v>
      </c>
      <c r="Q436" t="s">
        <v>31</v>
      </c>
      <c r="R436">
        <v>7</v>
      </c>
      <c r="S436" t="s">
        <v>2924</v>
      </c>
      <c r="T436" t="s">
        <v>7240</v>
      </c>
      <c r="U436" t="s">
        <v>7241</v>
      </c>
      <c r="V436" t="s">
        <v>49</v>
      </c>
      <c r="W436" t="s">
        <v>33</v>
      </c>
      <c r="X436" t="s">
        <v>33</v>
      </c>
      <c r="Y436" t="s">
        <v>33</v>
      </c>
      <c r="Z436" s="16" t="s">
        <v>34</v>
      </c>
      <c r="AA436">
        <v>-75.649831634999899</v>
      </c>
      <c r="AB436">
        <v>6.1379125160000303</v>
      </c>
      <c r="AC436" t="s">
        <v>135</v>
      </c>
      <c r="AD436" t="s">
        <v>136</v>
      </c>
    </row>
    <row r="437" spans="1:30" x14ac:dyDescent="0.25">
      <c r="A437" t="s">
        <v>2934</v>
      </c>
      <c r="B437" t="s">
        <v>25</v>
      </c>
      <c r="C437" t="s">
        <v>26</v>
      </c>
      <c r="D437" t="s">
        <v>25</v>
      </c>
      <c r="E437" t="s">
        <v>2920</v>
      </c>
      <c r="F437" t="s">
        <v>2921</v>
      </c>
      <c r="G437">
        <v>900982391</v>
      </c>
      <c r="H437" t="s">
        <v>2815</v>
      </c>
      <c r="I437" s="4" t="s">
        <v>2816</v>
      </c>
      <c r="J437" s="4" t="s">
        <v>35</v>
      </c>
      <c r="K437" t="s">
        <v>2935</v>
      </c>
      <c r="L437" t="s">
        <v>55</v>
      </c>
      <c r="M437" t="s">
        <v>2936</v>
      </c>
      <c r="N437" t="s">
        <v>56</v>
      </c>
      <c r="O437" t="s">
        <v>29</v>
      </c>
      <c r="P437" t="s">
        <v>54</v>
      </c>
      <c r="Q437" t="s">
        <v>31</v>
      </c>
      <c r="R437">
        <v>7</v>
      </c>
      <c r="S437" t="s">
        <v>2924</v>
      </c>
      <c r="T437" t="s">
        <v>7240</v>
      </c>
      <c r="U437" t="s">
        <v>7241</v>
      </c>
      <c r="V437" t="s">
        <v>49</v>
      </c>
      <c r="W437" t="s">
        <v>33</v>
      </c>
      <c r="X437" t="s">
        <v>33</v>
      </c>
      <c r="Y437" t="s">
        <v>33</v>
      </c>
      <c r="Z437" s="16" t="s">
        <v>34</v>
      </c>
      <c r="AA437">
        <v>-75.649831634999899</v>
      </c>
      <c r="AB437">
        <v>6.1379125160000303</v>
      </c>
      <c r="AC437" t="s">
        <v>135</v>
      </c>
      <c r="AD437" t="s">
        <v>136</v>
      </c>
    </row>
    <row r="438" spans="1:30" x14ac:dyDescent="0.25">
      <c r="A438" t="s">
        <v>2937</v>
      </c>
      <c r="B438" t="s">
        <v>25</v>
      </c>
      <c r="C438" t="s">
        <v>26</v>
      </c>
      <c r="D438" t="s">
        <v>25</v>
      </c>
      <c r="E438" t="s">
        <v>2938</v>
      </c>
      <c r="F438" t="s">
        <v>2939</v>
      </c>
      <c r="G438">
        <v>900982391</v>
      </c>
      <c r="H438" t="s">
        <v>2815</v>
      </c>
      <c r="I438" s="4" t="s">
        <v>2816</v>
      </c>
      <c r="J438" s="4" t="s">
        <v>35</v>
      </c>
      <c r="K438" t="s">
        <v>2940</v>
      </c>
      <c r="L438" t="s">
        <v>55</v>
      </c>
      <c r="M438" t="s">
        <v>2941</v>
      </c>
      <c r="N438" t="s">
        <v>56</v>
      </c>
      <c r="O438" t="s">
        <v>29</v>
      </c>
      <c r="P438" t="s">
        <v>54</v>
      </c>
      <c r="Q438" t="s">
        <v>31</v>
      </c>
      <c r="R438">
        <v>7</v>
      </c>
      <c r="S438" t="s">
        <v>2942</v>
      </c>
      <c r="T438" t="s">
        <v>7240</v>
      </c>
      <c r="U438" t="s">
        <v>7241</v>
      </c>
      <c r="V438" t="s">
        <v>49</v>
      </c>
      <c r="W438" t="s">
        <v>33</v>
      </c>
      <c r="X438" t="s">
        <v>33</v>
      </c>
      <c r="Y438" t="s">
        <v>33</v>
      </c>
      <c r="Z438" s="16" t="s">
        <v>34</v>
      </c>
      <c r="AA438">
        <v>-75.649831634999899</v>
      </c>
      <c r="AB438">
        <v>6.1379125160000303</v>
      </c>
      <c r="AC438" t="s">
        <v>135</v>
      </c>
      <c r="AD438" t="s">
        <v>136</v>
      </c>
    </row>
    <row r="439" spans="1:30" x14ac:dyDescent="0.25">
      <c r="A439" t="s">
        <v>2943</v>
      </c>
      <c r="B439" t="s">
        <v>25</v>
      </c>
      <c r="C439" t="s">
        <v>26</v>
      </c>
      <c r="D439" t="s">
        <v>25</v>
      </c>
      <c r="E439" t="s">
        <v>2944</v>
      </c>
      <c r="F439" t="s">
        <v>2945</v>
      </c>
      <c r="G439">
        <v>900982391</v>
      </c>
      <c r="H439" t="s">
        <v>2815</v>
      </c>
      <c r="I439" s="4" t="s">
        <v>2816</v>
      </c>
      <c r="J439" s="4" t="s">
        <v>35</v>
      </c>
      <c r="K439" t="s">
        <v>2946</v>
      </c>
      <c r="L439" t="s">
        <v>55</v>
      </c>
      <c r="M439" t="s">
        <v>2947</v>
      </c>
      <c r="N439" t="s">
        <v>56</v>
      </c>
      <c r="O439" t="s">
        <v>29</v>
      </c>
      <c r="P439" t="s">
        <v>54</v>
      </c>
      <c r="Q439" t="s">
        <v>31</v>
      </c>
      <c r="R439">
        <v>7</v>
      </c>
      <c r="S439" t="s">
        <v>2948</v>
      </c>
      <c r="T439" t="s">
        <v>7240</v>
      </c>
      <c r="U439" t="s">
        <v>7241</v>
      </c>
      <c r="V439" t="s">
        <v>49</v>
      </c>
      <c r="W439" t="s">
        <v>33</v>
      </c>
      <c r="X439" t="s">
        <v>33</v>
      </c>
      <c r="Y439" t="s">
        <v>33</v>
      </c>
      <c r="Z439" s="16" t="s">
        <v>34</v>
      </c>
      <c r="AA439">
        <v>-75.649831634999899</v>
      </c>
      <c r="AB439">
        <v>6.1379125160000303</v>
      </c>
      <c r="AC439" t="s">
        <v>135</v>
      </c>
      <c r="AD439" t="s">
        <v>136</v>
      </c>
    </row>
    <row r="440" spans="1:30" x14ac:dyDescent="0.25">
      <c r="A440" t="s">
        <v>2949</v>
      </c>
      <c r="B440" t="s">
        <v>25</v>
      </c>
      <c r="C440" t="s">
        <v>26</v>
      </c>
      <c r="D440" t="s">
        <v>25</v>
      </c>
      <c r="E440" t="s">
        <v>2944</v>
      </c>
      <c r="F440" t="s">
        <v>2945</v>
      </c>
      <c r="G440">
        <v>900982391</v>
      </c>
      <c r="H440" t="s">
        <v>2815</v>
      </c>
      <c r="I440" s="4" t="s">
        <v>2816</v>
      </c>
      <c r="J440" s="4" t="s">
        <v>35</v>
      </c>
      <c r="K440" t="s">
        <v>2950</v>
      </c>
      <c r="L440" t="s">
        <v>55</v>
      </c>
      <c r="M440" t="s">
        <v>2951</v>
      </c>
      <c r="N440" t="s">
        <v>56</v>
      </c>
      <c r="O440" t="s">
        <v>29</v>
      </c>
      <c r="P440" t="s">
        <v>54</v>
      </c>
      <c r="Q440" t="s">
        <v>31</v>
      </c>
      <c r="R440">
        <v>7</v>
      </c>
      <c r="S440" t="s">
        <v>2948</v>
      </c>
      <c r="T440" t="s">
        <v>7240</v>
      </c>
      <c r="U440" t="s">
        <v>7241</v>
      </c>
      <c r="V440" t="s">
        <v>49</v>
      </c>
      <c r="W440" t="s">
        <v>33</v>
      </c>
      <c r="X440" t="s">
        <v>33</v>
      </c>
      <c r="Y440" t="s">
        <v>33</v>
      </c>
      <c r="Z440" s="16" t="s">
        <v>34</v>
      </c>
      <c r="AA440">
        <v>-75.649831634999899</v>
      </c>
      <c r="AB440">
        <v>6.1379125160000303</v>
      </c>
      <c r="AC440" t="s">
        <v>135</v>
      </c>
      <c r="AD440" t="s">
        <v>136</v>
      </c>
    </row>
    <row r="441" spans="1:30" x14ac:dyDescent="0.25">
      <c r="A441" t="s">
        <v>2952</v>
      </c>
      <c r="B441" t="s">
        <v>25</v>
      </c>
      <c r="C441" t="s">
        <v>26</v>
      </c>
      <c r="D441" t="s">
        <v>25</v>
      </c>
      <c r="E441" t="s">
        <v>2953</v>
      </c>
      <c r="F441" t="s">
        <v>2954</v>
      </c>
      <c r="G441">
        <v>900982391</v>
      </c>
      <c r="H441" t="s">
        <v>2815</v>
      </c>
      <c r="I441" s="4" t="s">
        <v>2816</v>
      </c>
      <c r="J441" s="4" t="s">
        <v>35</v>
      </c>
      <c r="K441" t="s">
        <v>2955</v>
      </c>
      <c r="L441" t="s">
        <v>55</v>
      </c>
      <c r="M441" t="s">
        <v>2956</v>
      </c>
      <c r="N441" t="s">
        <v>56</v>
      </c>
      <c r="O441" t="s">
        <v>29</v>
      </c>
      <c r="P441" t="s">
        <v>54</v>
      </c>
      <c r="Q441" t="s">
        <v>31</v>
      </c>
      <c r="R441">
        <v>7</v>
      </c>
      <c r="S441" t="s">
        <v>2957</v>
      </c>
      <c r="T441" t="s">
        <v>7240</v>
      </c>
      <c r="U441" t="s">
        <v>7241</v>
      </c>
      <c r="V441" t="s">
        <v>49</v>
      </c>
      <c r="W441" t="s">
        <v>33</v>
      </c>
      <c r="X441" t="s">
        <v>33</v>
      </c>
      <c r="Y441" t="s">
        <v>33</v>
      </c>
      <c r="Z441" s="16" t="s">
        <v>34</v>
      </c>
      <c r="AA441">
        <v>-75.649831634999899</v>
      </c>
      <c r="AB441">
        <v>6.1379125160000303</v>
      </c>
      <c r="AC441" t="s">
        <v>135</v>
      </c>
      <c r="AD441" t="s">
        <v>136</v>
      </c>
    </row>
    <row r="442" spans="1:30" x14ac:dyDescent="0.25">
      <c r="A442" t="s">
        <v>2958</v>
      </c>
      <c r="B442" t="s">
        <v>25</v>
      </c>
      <c r="C442" t="s">
        <v>26</v>
      </c>
      <c r="D442" t="s">
        <v>25</v>
      </c>
      <c r="E442" t="s">
        <v>2959</v>
      </c>
      <c r="F442" t="s">
        <v>2960</v>
      </c>
      <c r="G442">
        <v>900982391</v>
      </c>
      <c r="H442" t="s">
        <v>2815</v>
      </c>
      <c r="I442" s="4" t="s">
        <v>2816</v>
      </c>
      <c r="J442" s="4" t="s">
        <v>35</v>
      </c>
      <c r="K442" t="s">
        <v>2961</v>
      </c>
      <c r="L442" t="s">
        <v>55</v>
      </c>
      <c r="M442" t="s">
        <v>2962</v>
      </c>
      <c r="N442" t="s">
        <v>56</v>
      </c>
      <c r="O442" t="s">
        <v>29</v>
      </c>
      <c r="P442" t="s">
        <v>54</v>
      </c>
      <c r="Q442" t="s">
        <v>31</v>
      </c>
      <c r="R442">
        <v>7</v>
      </c>
      <c r="S442" t="s">
        <v>2963</v>
      </c>
      <c r="T442" t="s">
        <v>7240</v>
      </c>
      <c r="U442" t="s">
        <v>7241</v>
      </c>
      <c r="V442" t="s">
        <v>49</v>
      </c>
      <c r="W442" t="s">
        <v>33</v>
      </c>
      <c r="X442" t="s">
        <v>33</v>
      </c>
      <c r="Y442" t="s">
        <v>33</v>
      </c>
      <c r="Z442" s="16" t="s">
        <v>34</v>
      </c>
      <c r="AA442">
        <v>-75.649831634999899</v>
      </c>
      <c r="AB442">
        <v>6.1379125160000303</v>
      </c>
      <c r="AC442" t="s">
        <v>135</v>
      </c>
      <c r="AD442" t="s">
        <v>136</v>
      </c>
    </row>
    <row r="443" spans="1:30" x14ac:dyDescent="0.25">
      <c r="A443" t="s">
        <v>2964</v>
      </c>
      <c r="B443" t="s">
        <v>25</v>
      </c>
      <c r="C443" t="s">
        <v>26</v>
      </c>
      <c r="D443" t="s">
        <v>25</v>
      </c>
      <c r="E443" t="s">
        <v>2965</v>
      </c>
      <c r="F443" t="s">
        <v>2966</v>
      </c>
      <c r="G443">
        <v>900982391</v>
      </c>
      <c r="H443" t="s">
        <v>2815</v>
      </c>
      <c r="I443" s="4" t="s">
        <v>2816</v>
      </c>
      <c r="J443" s="4" t="s">
        <v>35</v>
      </c>
      <c r="K443" t="s">
        <v>2967</v>
      </c>
      <c r="L443" t="s">
        <v>55</v>
      </c>
      <c r="M443" t="s">
        <v>2968</v>
      </c>
      <c r="N443" t="s">
        <v>56</v>
      </c>
      <c r="O443" t="s">
        <v>29</v>
      </c>
      <c r="P443" t="s">
        <v>54</v>
      </c>
      <c r="Q443" t="s">
        <v>31</v>
      </c>
      <c r="R443">
        <v>7</v>
      </c>
      <c r="S443" t="s">
        <v>829</v>
      </c>
      <c r="T443" t="s">
        <v>7240</v>
      </c>
      <c r="U443" t="s">
        <v>7241</v>
      </c>
      <c r="V443" t="s">
        <v>49</v>
      </c>
      <c r="W443" t="s">
        <v>33</v>
      </c>
      <c r="X443" t="s">
        <v>33</v>
      </c>
      <c r="Y443" t="s">
        <v>33</v>
      </c>
      <c r="Z443" s="16" t="s">
        <v>34</v>
      </c>
      <c r="AA443">
        <v>-75.649831634999899</v>
      </c>
      <c r="AB443">
        <v>6.1379125160000303</v>
      </c>
      <c r="AC443" t="s">
        <v>135</v>
      </c>
      <c r="AD443" t="s">
        <v>136</v>
      </c>
    </row>
    <row r="444" spans="1:30" x14ac:dyDescent="0.25">
      <c r="A444" t="s">
        <v>2969</v>
      </c>
      <c r="B444" t="s">
        <v>25</v>
      </c>
      <c r="C444" t="s">
        <v>26</v>
      </c>
      <c r="D444" t="s">
        <v>25</v>
      </c>
      <c r="E444" t="s">
        <v>2970</v>
      </c>
      <c r="F444" t="s">
        <v>2971</v>
      </c>
      <c r="G444">
        <v>900982391</v>
      </c>
      <c r="H444" t="s">
        <v>2815</v>
      </c>
      <c r="I444" s="4" t="s">
        <v>2816</v>
      </c>
      <c r="J444" s="4" t="s">
        <v>35</v>
      </c>
      <c r="K444" t="s">
        <v>2972</v>
      </c>
      <c r="L444" t="s">
        <v>55</v>
      </c>
      <c r="M444" t="s">
        <v>2973</v>
      </c>
      <c r="N444" t="s">
        <v>56</v>
      </c>
      <c r="O444" t="s">
        <v>29</v>
      </c>
      <c r="P444" t="s">
        <v>54</v>
      </c>
      <c r="Q444" t="s">
        <v>31</v>
      </c>
      <c r="R444">
        <v>7</v>
      </c>
      <c r="S444" t="s">
        <v>2974</v>
      </c>
      <c r="T444" t="s">
        <v>7240</v>
      </c>
      <c r="U444" t="s">
        <v>7241</v>
      </c>
      <c r="V444" t="s">
        <v>49</v>
      </c>
      <c r="W444" t="s">
        <v>33</v>
      </c>
      <c r="X444" t="s">
        <v>33</v>
      </c>
      <c r="Y444" t="s">
        <v>33</v>
      </c>
      <c r="Z444" s="16" t="s">
        <v>34</v>
      </c>
      <c r="AA444">
        <v>-75.649831634999899</v>
      </c>
      <c r="AB444">
        <v>6.1379125160000303</v>
      </c>
      <c r="AC444" t="s">
        <v>135</v>
      </c>
      <c r="AD444" t="s">
        <v>136</v>
      </c>
    </row>
    <row r="445" spans="1:30" x14ac:dyDescent="0.25">
      <c r="A445" t="s">
        <v>2975</v>
      </c>
      <c r="B445" t="s">
        <v>25</v>
      </c>
      <c r="C445" t="s">
        <v>26</v>
      </c>
      <c r="D445" t="s">
        <v>25</v>
      </c>
      <c r="E445" t="s">
        <v>2976</v>
      </c>
      <c r="F445" t="s">
        <v>2977</v>
      </c>
      <c r="G445">
        <v>900982391</v>
      </c>
      <c r="H445" t="s">
        <v>2815</v>
      </c>
      <c r="I445" s="4" t="s">
        <v>2816</v>
      </c>
      <c r="J445" s="4" t="s">
        <v>35</v>
      </c>
      <c r="K445" t="s">
        <v>2978</v>
      </c>
      <c r="L445" t="s">
        <v>55</v>
      </c>
      <c r="M445" t="s">
        <v>2979</v>
      </c>
      <c r="N445" t="s">
        <v>56</v>
      </c>
      <c r="O445" t="s">
        <v>29</v>
      </c>
      <c r="P445" t="s">
        <v>54</v>
      </c>
      <c r="Q445" t="s">
        <v>31</v>
      </c>
      <c r="R445">
        <v>7</v>
      </c>
      <c r="S445" t="s">
        <v>2980</v>
      </c>
      <c r="T445" t="s">
        <v>7240</v>
      </c>
      <c r="U445" t="s">
        <v>7241</v>
      </c>
      <c r="V445" t="s">
        <v>49</v>
      </c>
      <c r="W445" t="s">
        <v>33</v>
      </c>
      <c r="X445" t="s">
        <v>33</v>
      </c>
      <c r="Y445" t="s">
        <v>33</v>
      </c>
      <c r="Z445" s="16" t="s">
        <v>34</v>
      </c>
      <c r="AA445">
        <v>-75.649831634999899</v>
      </c>
      <c r="AB445">
        <v>6.1379125160000303</v>
      </c>
      <c r="AC445" t="s">
        <v>135</v>
      </c>
      <c r="AD445" t="s">
        <v>136</v>
      </c>
    </row>
    <row r="446" spans="1:30" x14ac:dyDescent="0.25">
      <c r="A446" t="s">
        <v>2981</v>
      </c>
      <c r="B446" t="s">
        <v>25</v>
      </c>
      <c r="C446" t="s">
        <v>26</v>
      </c>
      <c r="D446" t="s">
        <v>25</v>
      </c>
      <c r="E446" t="s">
        <v>2982</v>
      </c>
      <c r="F446" t="s">
        <v>2983</v>
      </c>
      <c r="G446">
        <v>900982391</v>
      </c>
      <c r="H446" t="s">
        <v>2815</v>
      </c>
      <c r="I446" s="4" t="s">
        <v>2816</v>
      </c>
      <c r="J446" s="4" t="s">
        <v>35</v>
      </c>
      <c r="K446" t="s">
        <v>2984</v>
      </c>
      <c r="L446" t="s">
        <v>55</v>
      </c>
      <c r="M446" t="s">
        <v>2985</v>
      </c>
      <c r="N446" t="s">
        <v>56</v>
      </c>
      <c r="O446" t="s">
        <v>29</v>
      </c>
      <c r="P446" t="s">
        <v>54</v>
      </c>
      <c r="Q446" t="s">
        <v>31</v>
      </c>
      <c r="R446">
        <v>7</v>
      </c>
      <c r="S446" t="s">
        <v>2986</v>
      </c>
      <c r="T446" t="s">
        <v>7240</v>
      </c>
      <c r="U446" t="s">
        <v>7241</v>
      </c>
      <c r="V446" t="s">
        <v>49</v>
      </c>
      <c r="W446" t="s">
        <v>33</v>
      </c>
      <c r="X446" t="s">
        <v>33</v>
      </c>
      <c r="Y446" t="s">
        <v>33</v>
      </c>
      <c r="Z446" s="16" t="s">
        <v>34</v>
      </c>
      <c r="AA446">
        <v>-75.649831634999899</v>
      </c>
      <c r="AB446">
        <v>6.1379125160000303</v>
      </c>
      <c r="AC446" t="s">
        <v>135</v>
      </c>
      <c r="AD446" t="s">
        <v>136</v>
      </c>
    </row>
    <row r="447" spans="1:30" x14ac:dyDescent="0.25">
      <c r="A447" t="s">
        <v>2987</v>
      </c>
      <c r="B447" t="s">
        <v>25</v>
      </c>
      <c r="C447" t="s">
        <v>26</v>
      </c>
      <c r="D447" t="s">
        <v>25</v>
      </c>
      <c r="E447" t="s">
        <v>2982</v>
      </c>
      <c r="F447" t="s">
        <v>2983</v>
      </c>
      <c r="G447">
        <v>900982391</v>
      </c>
      <c r="H447" t="s">
        <v>2815</v>
      </c>
      <c r="I447" s="4" t="s">
        <v>2816</v>
      </c>
      <c r="J447" s="4" t="s">
        <v>35</v>
      </c>
      <c r="K447" t="s">
        <v>2988</v>
      </c>
      <c r="L447" t="s">
        <v>55</v>
      </c>
      <c r="M447" t="s">
        <v>2989</v>
      </c>
      <c r="N447" t="s">
        <v>56</v>
      </c>
      <c r="O447" t="s">
        <v>29</v>
      </c>
      <c r="P447" t="s">
        <v>54</v>
      </c>
      <c r="Q447" t="s">
        <v>31</v>
      </c>
      <c r="R447">
        <v>7</v>
      </c>
      <c r="S447" t="s">
        <v>2986</v>
      </c>
      <c r="T447" t="s">
        <v>7240</v>
      </c>
      <c r="U447" t="s">
        <v>7241</v>
      </c>
      <c r="V447" t="s">
        <v>49</v>
      </c>
      <c r="W447" t="s">
        <v>33</v>
      </c>
      <c r="X447" t="s">
        <v>33</v>
      </c>
      <c r="Y447" t="s">
        <v>33</v>
      </c>
      <c r="Z447" s="16" t="s">
        <v>34</v>
      </c>
      <c r="AA447">
        <v>-75.649831634999899</v>
      </c>
      <c r="AB447">
        <v>6.1379125160000303</v>
      </c>
      <c r="AC447" t="s">
        <v>135</v>
      </c>
      <c r="AD447" t="s">
        <v>136</v>
      </c>
    </row>
    <row r="448" spans="1:30" x14ac:dyDescent="0.25">
      <c r="A448" t="s">
        <v>2990</v>
      </c>
      <c r="B448" t="s">
        <v>25</v>
      </c>
      <c r="C448" t="s">
        <v>26</v>
      </c>
      <c r="D448" t="s">
        <v>25</v>
      </c>
      <c r="E448" t="s">
        <v>2991</v>
      </c>
      <c r="F448" t="s">
        <v>2992</v>
      </c>
      <c r="G448">
        <v>900982391</v>
      </c>
      <c r="H448" t="s">
        <v>2815</v>
      </c>
      <c r="I448" s="4" t="s">
        <v>2816</v>
      </c>
      <c r="J448" s="4" t="s">
        <v>35</v>
      </c>
      <c r="K448" t="s">
        <v>2993</v>
      </c>
      <c r="L448" t="s">
        <v>55</v>
      </c>
      <c r="M448" t="s">
        <v>2994</v>
      </c>
      <c r="N448" t="s">
        <v>56</v>
      </c>
      <c r="O448" t="s">
        <v>29</v>
      </c>
      <c r="P448" t="s">
        <v>54</v>
      </c>
      <c r="Q448" t="s">
        <v>31</v>
      </c>
      <c r="R448">
        <v>7</v>
      </c>
      <c r="S448" t="s">
        <v>2995</v>
      </c>
      <c r="T448" t="s">
        <v>7240</v>
      </c>
      <c r="U448" t="s">
        <v>7241</v>
      </c>
      <c r="V448" t="s">
        <v>49</v>
      </c>
      <c r="W448" t="s">
        <v>33</v>
      </c>
      <c r="X448" t="s">
        <v>33</v>
      </c>
      <c r="Y448" t="s">
        <v>33</v>
      </c>
      <c r="Z448" s="16" t="s">
        <v>34</v>
      </c>
      <c r="AA448">
        <v>-75.649831634999899</v>
      </c>
      <c r="AB448">
        <v>6.1379125160000303</v>
      </c>
      <c r="AC448" t="s">
        <v>135</v>
      </c>
      <c r="AD448" t="s">
        <v>136</v>
      </c>
    </row>
    <row r="449" spans="1:30" x14ac:dyDescent="0.25">
      <c r="A449" t="s">
        <v>2996</v>
      </c>
      <c r="B449" t="s">
        <v>25</v>
      </c>
      <c r="C449" t="s">
        <v>26</v>
      </c>
      <c r="D449" t="s">
        <v>25</v>
      </c>
      <c r="E449" t="s">
        <v>2991</v>
      </c>
      <c r="F449" t="s">
        <v>2992</v>
      </c>
      <c r="G449">
        <v>900982391</v>
      </c>
      <c r="H449" t="s">
        <v>2815</v>
      </c>
      <c r="I449" s="4" t="s">
        <v>2816</v>
      </c>
      <c r="J449" s="4" t="s">
        <v>35</v>
      </c>
      <c r="K449" t="s">
        <v>2997</v>
      </c>
      <c r="L449" t="s">
        <v>55</v>
      </c>
      <c r="M449" t="s">
        <v>2998</v>
      </c>
      <c r="N449" t="s">
        <v>56</v>
      </c>
      <c r="O449" t="s">
        <v>29</v>
      </c>
      <c r="P449" t="s">
        <v>54</v>
      </c>
      <c r="Q449" t="s">
        <v>31</v>
      </c>
      <c r="R449">
        <v>7</v>
      </c>
      <c r="S449" t="s">
        <v>2995</v>
      </c>
      <c r="T449" t="s">
        <v>7240</v>
      </c>
      <c r="U449" t="s">
        <v>7241</v>
      </c>
      <c r="V449" t="s">
        <v>49</v>
      </c>
      <c r="W449" t="s">
        <v>33</v>
      </c>
      <c r="X449" t="s">
        <v>33</v>
      </c>
      <c r="Y449" t="s">
        <v>33</v>
      </c>
      <c r="Z449" s="16" t="s">
        <v>34</v>
      </c>
      <c r="AA449">
        <v>-75.649831634999899</v>
      </c>
      <c r="AB449">
        <v>6.1379125160000303</v>
      </c>
      <c r="AC449" t="s">
        <v>135</v>
      </c>
      <c r="AD449" t="s">
        <v>136</v>
      </c>
    </row>
    <row r="450" spans="1:30" x14ac:dyDescent="0.25">
      <c r="A450" t="s">
        <v>2999</v>
      </c>
      <c r="B450" t="s">
        <v>25</v>
      </c>
      <c r="C450" t="s">
        <v>26</v>
      </c>
      <c r="D450" t="s">
        <v>25</v>
      </c>
      <c r="E450" t="s">
        <v>3000</v>
      </c>
      <c r="F450" t="s">
        <v>3001</v>
      </c>
      <c r="G450">
        <v>900982391</v>
      </c>
      <c r="H450" t="s">
        <v>2815</v>
      </c>
      <c r="I450" s="4" t="s">
        <v>2816</v>
      </c>
      <c r="J450" s="4" t="s">
        <v>35</v>
      </c>
      <c r="K450" t="s">
        <v>3002</v>
      </c>
      <c r="L450" t="s">
        <v>55</v>
      </c>
      <c r="M450" t="s">
        <v>3003</v>
      </c>
      <c r="N450" t="s">
        <v>56</v>
      </c>
      <c r="O450" t="s">
        <v>29</v>
      </c>
      <c r="P450" t="s">
        <v>54</v>
      </c>
      <c r="Q450" t="s">
        <v>31</v>
      </c>
      <c r="R450">
        <v>7</v>
      </c>
      <c r="S450" t="s">
        <v>3004</v>
      </c>
      <c r="T450" t="s">
        <v>7240</v>
      </c>
      <c r="U450" t="s">
        <v>7241</v>
      </c>
      <c r="V450" t="s">
        <v>49</v>
      </c>
      <c r="W450" t="s">
        <v>33</v>
      </c>
      <c r="X450" t="s">
        <v>33</v>
      </c>
      <c r="Y450" t="s">
        <v>33</v>
      </c>
      <c r="Z450" s="16" t="s">
        <v>34</v>
      </c>
      <c r="AA450">
        <v>-75.649831634999899</v>
      </c>
      <c r="AB450">
        <v>6.1379125160000303</v>
      </c>
      <c r="AC450" t="s">
        <v>135</v>
      </c>
      <c r="AD450" t="s">
        <v>136</v>
      </c>
    </row>
    <row r="451" spans="1:30" x14ac:dyDescent="0.25">
      <c r="A451" t="s">
        <v>3005</v>
      </c>
      <c r="B451" t="s">
        <v>25</v>
      </c>
      <c r="C451" t="s">
        <v>26</v>
      </c>
      <c r="D451" t="s">
        <v>25</v>
      </c>
      <c r="E451" t="s">
        <v>3006</v>
      </c>
      <c r="F451" t="s">
        <v>3007</v>
      </c>
      <c r="G451">
        <v>900982391</v>
      </c>
      <c r="H451" t="s">
        <v>2815</v>
      </c>
      <c r="I451" s="4" t="s">
        <v>2816</v>
      </c>
      <c r="J451" s="4" t="s">
        <v>35</v>
      </c>
      <c r="K451" t="s">
        <v>3008</v>
      </c>
      <c r="L451" t="s">
        <v>55</v>
      </c>
      <c r="M451" t="s">
        <v>3009</v>
      </c>
      <c r="N451" t="s">
        <v>56</v>
      </c>
      <c r="O451" t="s">
        <v>29</v>
      </c>
      <c r="P451" t="s">
        <v>54</v>
      </c>
      <c r="Q451" t="s">
        <v>31</v>
      </c>
      <c r="R451">
        <v>7</v>
      </c>
      <c r="S451" t="s">
        <v>3010</v>
      </c>
      <c r="T451" t="s">
        <v>7240</v>
      </c>
      <c r="U451" t="s">
        <v>7241</v>
      </c>
      <c r="V451" t="s">
        <v>49</v>
      </c>
      <c r="W451" t="s">
        <v>33</v>
      </c>
      <c r="X451" t="s">
        <v>33</v>
      </c>
      <c r="Y451" t="s">
        <v>33</v>
      </c>
      <c r="Z451" s="16" t="s">
        <v>34</v>
      </c>
      <c r="AA451">
        <v>-75.649831634999899</v>
      </c>
      <c r="AB451">
        <v>6.1379125160000303</v>
      </c>
      <c r="AC451" t="s">
        <v>135</v>
      </c>
      <c r="AD451" t="s">
        <v>136</v>
      </c>
    </row>
    <row r="452" spans="1:30" x14ac:dyDescent="0.25">
      <c r="A452" t="s">
        <v>3011</v>
      </c>
      <c r="B452" t="s">
        <v>25</v>
      </c>
      <c r="C452" t="s">
        <v>26</v>
      </c>
      <c r="D452" t="s">
        <v>25</v>
      </c>
      <c r="E452" t="s">
        <v>3006</v>
      </c>
      <c r="F452" t="s">
        <v>3007</v>
      </c>
      <c r="G452">
        <v>900982391</v>
      </c>
      <c r="H452" t="s">
        <v>2815</v>
      </c>
      <c r="I452" s="4" t="s">
        <v>2816</v>
      </c>
      <c r="J452" s="4" t="s">
        <v>35</v>
      </c>
      <c r="K452" t="s">
        <v>3012</v>
      </c>
      <c r="L452" t="s">
        <v>55</v>
      </c>
      <c r="M452" t="s">
        <v>3013</v>
      </c>
      <c r="N452" t="s">
        <v>56</v>
      </c>
      <c r="O452" t="s">
        <v>29</v>
      </c>
      <c r="P452" t="s">
        <v>54</v>
      </c>
      <c r="Q452" t="s">
        <v>31</v>
      </c>
      <c r="R452">
        <v>7</v>
      </c>
      <c r="S452" t="s">
        <v>3010</v>
      </c>
      <c r="T452" t="s">
        <v>7240</v>
      </c>
      <c r="U452" t="s">
        <v>7241</v>
      </c>
      <c r="V452" t="s">
        <v>49</v>
      </c>
      <c r="W452" t="s">
        <v>33</v>
      </c>
      <c r="X452" t="s">
        <v>33</v>
      </c>
      <c r="Y452" t="s">
        <v>33</v>
      </c>
      <c r="Z452" s="16" t="s">
        <v>34</v>
      </c>
      <c r="AA452">
        <v>-75.649831634999899</v>
      </c>
      <c r="AB452">
        <v>6.1379125160000303</v>
      </c>
      <c r="AC452" t="s">
        <v>135</v>
      </c>
      <c r="AD452" t="s">
        <v>136</v>
      </c>
    </row>
    <row r="453" spans="1:30" x14ac:dyDescent="0.25">
      <c r="A453" t="s">
        <v>3014</v>
      </c>
      <c r="B453" t="s">
        <v>25</v>
      </c>
      <c r="C453" t="s">
        <v>26</v>
      </c>
      <c r="D453" t="s">
        <v>25</v>
      </c>
      <c r="E453" t="s">
        <v>3015</v>
      </c>
      <c r="F453" t="s">
        <v>3016</v>
      </c>
      <c r="G453">
        <v>900982391</v>
      </c>
      <c r="H453" t="s">
        <v>2815</v>
      </c>
      <c r="I453" s="4" t="s">
        <v>2816</v>
      </c>
      <c r="J453" s="4" t="s">
        <v>35</v>
      </c>
      <c r="K453" t="s">
        <v>3017</v>
      </c>
      <c r="L453" t="s">
        <v>55</v>
      </c>
      <c r="M453" t="s">
        <v>3018</v>
      </c>
      <c r="N453" t="s">
        <v>56</v>
      </c>
      <c r="O453" t="s">
        <v>29</v>
      </c>
      <c r="P453" t="s">
        <v>54</v>
      </c>
      <c r="Q453" t="s">
        <v>31</v>
      </c>
      <c r="R453">
        <v>7</v>
      </c>
      <c r="S453" t="s">
        <v>3019</v>
      </c>
      <c r="T453" t="s">
        <v>7240</v>
      </c>
      <c r="U453" t="s">
        <v>7241</v>
      </c>
      <c r="V453" t="s">
        <v>49</v>
      </c>
      <c r="W453" t="s">
        <v>33</v>
      </c>
      <c r="X453" t="s">
        <v>33</v>
      </c>
      <c r="Y453" t="s">
        <v>33</v>
      </c>
      <c r="Z453" s="16" t="s">
        <v>34</v>
      </c>
      <c r="AA453">
        <v>-75.649831634999899</v>
      </c>
      <c r="AB453">
        <v>6.1379125160000303</v>
      </c>
      <c r="AC453" t="s">
        <v>135</v>
      </c>
      <c r="AD453" t="s">
        <v>136</v>
      </c>
    </row>
    <row r="454" spans="1:30" x14ac:dyDescent="0.25">
      <c r="A454" t="s">
        <v>3020</v>
      </c>
      <c r="B454" t="s">
        <v>25</v>
      </c>
      <c r="C454" t="s">
        <v>26</v>
      </c>
      <c r="D454" t="s">
        <v>25</v>
      </c>
      <c r="E454" t="s">
        <v>3015</v>
      </c>
      <c r="F454" t="s">
        <v>3016</v>
      </c>
      <c r="G454">
        <v>900982391</v>
      </c>
      <c r="H454" t="s">
        <v>2815</v>
      </c>
      <c r="I454" s="4" t="s">
        <v>2816</v>
      </c>
      <c r="J454" s="4" t="s">
        <v>35</v>
      </c>
      <c r="K454" t="s">
        <v>3021</v>
      </c>
      <c r="L454" t="s">
        <v>55</v>
      </c>
      <c r="M454" t="s">
        <v>3022</v>
      </c>
      <c r="N454" t="s">
        <v>56</v>
      </c>
      <c r="O454" t="s">
        <v>29</v>
      </c>
      <c r="P454" t="s">
        <v>54</v>
      </c>
      <c r="Q454" t="s">
        <v>31</v>
      </c>
      <c r="R454">
        <v>7</v>
      </c>
      <c r="S454" t="s">
        <v>3019</v>
      </c>
      <c r="T454" t="s">
        <v>7240</v>
      </c>
      <c r="U454" t="s">
        <v>7241</v>
      </c>
      <c r="V454" t="s">
        <v>49</v>
      </c>
      <c r="W454" t="s">
        <v>33</v>
      </c>
      <c r="X454" t="s">
        <v>33</v>
      </c>
      <c r="Y454" t="s">
        <v>33</v>
      </c>
      <c r="Z454" s="16" t="s">
        <v>34</v>
      </c>
      <c r="AA454">
        <v>-75.649831634999899</v>
      </c>
      <c r="AB454">
        <v>6.1379125160000303</v>
      </c>
      <c r="AC454" t="s">
        <v>135</v>
      </c>
      <c r="AD454" t="s">
        <v>136</v>
      </c>
    </row>
    <row r="455" spans="1:30" x14ac:dyDescent="0.25">
      <c r="A455" t="s">
        <v>3023</v>
      </c>
      <c r="B455" t="s">
        <v>25</v>
      </c>
      <c r="C455" t="s">
        <v>26</v>
      </c>
      <c r="D455" t="s">
        <v>25</v>
      </c>
      <c r="E455" t="s">
        <v>3024</v>
      </c>
      <c r="F455" t="s">
        <v>3025</v>
      </c>
      <c r="G455">
        <v>900982391</v>
      </c>
      <c r="H455" t="s">
        <v>2815</v>
      </c>
      <c r="I455" s="4" t="s">
        <v>2816</v>
      </c>
      <c r="J455" s="4" t="s">
        <v>35</v>
      </c>
      <c r="K455" t="s">
        <v>3026</v>
      </c>
      <c r="L455" t="s">
        <v>55</v>
      </c>
      <c r="M455" t="s">
        <v>3027</v>
      </c>
      <c r="N455" t="s">
        <v>56</v>
      </c>
      <c r="O455" t="s">
        <v>29</v>
      </c>
      <c r="P455" t="s">
        <v>54</v>
      </c>
      <c r="Q455" t="s">
        <v>31</v>
      </c>
      <c r="R455">
        <v>7</v>
      </c>
      <c r="S455" t="s">
        <v>3028</v>
      </c>
      <c r="T455" t="s">
        <v>7240</v>
      </c>
      <c r="U455" t="s">
        <v>7241</v>
      </c>
      <c r="V455" t="s">
        <v>49</v>
      </c>
      <c r="W455" t="s">
        <v>33</v>
      </c>
      <c r="X455" t="s">
        <v>33</v>
      </c>
      <c r="Y455" t="s">
        <v>33</v>
      </c>
      <c r="Z455" s="16" t="s">
        <v>34</v>
      </c>
      <c r="AA455">
        <v>-75.649831634999899</v>
      </c>
      <c r="AB455">
        <v>6.1379125160000303</v>
      </c>
      <c r="AC455" t="s">
        <v>135</v>
      </c>
      <c r="AD455" t="s">
        <v>136</v>
      </c>
    </row>
    <row r="456" spans="1:30" x14ac:dyDescent="0.25">
      <c r="A456" t="s">
        <v>3029</v>
      </c>
      <c r="B456" t="s">
        <v>25</v>
      </c>
      <c r="C456" t="s">
        <v>26</v>
      </c>
      <c r="D456" t="s">
        <v>25</v>
      </c>
      <c r="E456" t="s">
        <v>3030</v>
      </c>
      <c r="F456" t="s">
        <v>3031</v>
      </c>
      <c r="G456">
        <v>900982391</v>
      </c>
      <c r="H456" t="s">
        <v>2815</v>
      </c>
      <c r="I456" s="4" t="s">
        <v>2816</v>
      </c>
      <c r="J456" s="4" t="s">
        <v>35</v>
      </c>
      <c r="K456" t="s">
        <v>3032</v>
      </c>
      <c r="L456" t="s">
        <v>55</v>
      </c>
      <c r="M456" t="s">
        <v>3033</v>
      </c>
      <c r="N456" t="s">
        <v>56</v>
      </c>
      <c r="O456" t="s">
        <v>29</v>
      </c>
      <c r="P456" t="s">
        <v>54</v>
      </c>
      <c r="Q456" t="s">
        <v>31</v>
      </c>
      <c r="R456">
        <v>7</v>
      </c>
      <c r="S456" t="s">
        <v>3034</v>
      </c>
      <c r="T456" t="s">
        <v>7240</v>
      </c>
      <c r="U456" t="s">
        <v>7241</v>
      </c>
      <c r="V456" t="s">
        <v>49</v>
      </c>
      <c r="W456" t="s">
        <v>33</v>
      </c>
      <c r="X456" t="s">
        <v>33</v>
      </c>
      <c r="Y456" t="s">
        <v>33</v>
      </c>
      <c r="Z456" s="16" t="s">
        <v>34</v>
      </c>
      <c r="AA456">
        <v>-75.649831634999899</v>
      </c>
      <c r="AB456">
        <v>6.1379125160000303</v>
      </c>
      <c r="AC456" t="s">
        <v>135</v>
      </c>
      <c r="AD456" t="s">
        <v>136</v>
      </c>
    </row>
    <row r="457" spans="1:30" x14ac:dyDescent="0.25">
      <c r="A457" t="s">
        <v>3035</v>
      </c>
      <c r="B457" t="s">
        <v>25</v>
      </c>
      <c r="C457" t="s">
        <v>26</v>
      </c>
      <c r="D457" t="s">
        <v>25</v>
      </c>
      <c r="E457" t="s">
        <v>3036</v>
      </c>
      <c r="F457" t="s">
        <v>3037</v>
      </c>
      <c r="G457">
        <v>900982391</v>
      </c>
      <c r="H457" t="s">
        <v>2815</v>
      </c>
      <c r="I457" s="4" t="s">
        <v>2816</v>
      </c>
      <c r="J457" s="4" t="s">
        <v>35</v>
      </c>
      <c r="K457" t="s">
        <v>3038</v>
      </c>
      <c r="L457" t="s">
        <v>55</v>
      </c>
      <c r="M457" t="s">
        <v>3039</v>
      </c>
      <c r="N457" t="s">
        <v>56</v>
      </c>
      <c r="O457" t="s">
        <v>29</v>
      </c>
      <c r="P457" t="s">
        <v>54</v>
      </c>
      <c r="Q457" t="s">
        <v>31</v>
      </c>
      <c r="R457">
        <v>7</v>
      </c>
      <c r="S457" t="s">
        <v>3040</v>
      </c>
      <c r="T457" t="s">
        <v>7240</v>
      </c>
      <c r="U457" t="s">
        <v>7241</v>
      </c>
      <c r="V457" t="s">
        <v>49</v>
      </c>
      <c r="W457" t="s">
        <v>33</v>
      </c>
      <c r="X457" t="s">
        <v>33</v>
      </c>
      <c r="Y457" t="s">
        <v>33</v>
      </c>
      <c r="Z457" s="16" t="s">
        <v>34</v>
      </c>
      <c r="AA457">
        <v>-75.649831634999899</v>
      </c>
      <c r="AB457">
        <v>6.1379125160000303</v>
      </c>
      <c r="AC457" t="s">
        <v>135</v>
      </c>
      <c r="AD457" t="s">
        <v>136</v>
      </c>
    </row>
    <row r="458" spans="1:30" x14ac:dyDescent="0.25">
      <c r="A458" t="s">
        <v>3041</v>
      </c>
      <c r="B458" t="s">
        <v>25</v>
      </c>
      <c r="C458" t="s">
        <v>26</v>
      </c>
      <c r="D458" t="s">
        <v>25</v>
      </c>
      <c r="E458" t="s">
        <v>3042</v>
      </c>
      <c r="F458" t="s">
        <v>3043</v>
      </c>
      <c r="G458">
        <v>900982391</v>
      </c>
      <c r="H458" t="s">
        <v>2815</v>
      </c>
      <c r="I458" s="4" t="s">
        <v>2816</v>
      </c>
      <c r="J458" s="4" t="s">
        <v>35</v>
      </c>
      <c r="K458" t="s">
        <v>3044</v>
      </c>
      <c r="L458" t="s">
        <v>55</v>
      </c>
      <c r="M458" t="s">
        <v>3045</v>
      </c>
      <c r="N458" t="s">
        <v>56</v>
      </c>
      <c r="O458" t="s">
        <v>29</v>
      </c>
      <c r="P458" t="s">
        <v>54</v>
      </c>
      <c r="Q458" t="s">
        <v>31</v>
      </c>
      <c r="R458">
        <v>7</v>
      </c>
      <c r="S458" t="s">
        <v>3046</v>
      </c>
      <c r="T458" t="s">
        <v>7242</v>
      </c>
      <c r="U458" t="s">
        <v>7243</v>
      </c>
      <c r="V458" t="s">
        <v>49</v>
      </c>
      <c r="W458" t="s">
        <v>33</v>
      </c>
      <c r="X458" t="s">
        <v>33</v>
      </c>
      <c r="Y458" t="s">
        <v>33</v>
      </c>
      <c r="Z458" s="16" t="s">
        <v>34</v>
      </c>
      <c r="AA458">
        <v>-75.649831634999899</v>
      </c>
      <c r="AB458">
        <v>6.1379125160000303</v>
      </c>
      <c r="AC458" t="s">
        <v>135</v>
      </c>
      <c r="AD458" t="s">
        <v>136</v>
      </c>
    </row>
    <row r="459" spans="1:30" x14ac:dyDescent="0.25">
      <c r="A459" t="s">
        <v>3047</v>
      </c>
      <c r="B459" t="s">
        <v>25</v>
      </c>
      <c r="C459" t="s">
        <v>26</v>
      </c>
      <c r="D459" t="s">
        <v>25</v>
      </c>
      <c r="E459" t="s">
        <v>3042</v>
      </c>
      <c r="F459" t="s">
        <v>3043</v>
      </c>
      <c r="G459">
        <v>900982391</v>
      </c>
      <c r="H459" t="s">
        <v>2815</v>
      </c>
      <c r="I459" s="4" t="s">
        <v>2816</v>
      </c>
      <c r="J459" s="4" t="s">
        <v>35</v>
      </c>
      <c r="K459" t="s">
        <v>3048</v>
      </c>
      <c r="L459" t="s">
        <v>55</v>
      </c>
      <c r="M459" t="s">
        <v>3049</v>
      </c>
      <c r="N459" t="s">
        <v>56</v>
      </c>
      <c r="O459" t="s">
        <v>29</v>
      </c>
      <c r="P459" t="s">
        <v>54</v>
      </c>
      <c r="Q459" t="s">
        <v>31</v>
      </c>
      <c r="R459">
        <v>7</v>
      </c>
      <c r="S459" t="s">
        <v>3046</v>
      </c>
      <c r="T459" t="s">
        <v>7242</v>
      </c>
      <c r="U459" t="s">
        <v>7243</v>
      </c>
      <c r="V459" t="s">
        <v>49</v>
      </c>
      <c r="W459" t="s">
        <v>33</v>
      </c>
      <c r="X459" t="s">
        <v>33</v>
      </c>
      <c r="Y459" t="s">
        <v>33</v>
      </c>
      <c r="Z459" s="16" t="s">
        <v>34</v>
      </c>
      <c r="AA459">
        <v>-75.649831634999899</v>
      </c>
      <c r="AB459">
        <v>6.1379125160000303</v>
      </c>
      <c r="AC459" t="s">
        <v>135</v>
      </c>
      <c r="AD459" t="s">
        <v>136</v>
      </c>
    </row>
    <row r="460" spans="1:30" x14ac:dyDescent="0.25">
      <c r="A460" t="s">
        <v>3050</v>
      </c>
      <c r="B460" t="s">
        <v>25</v>
      </c>
      <c r="C460" t="s">
        <v>26</v>
      </c>
      <c r="D460" t="s">
        <v>25</v>
      </c>
      <c r="E460" t="s">
        <v>3051</v>
      </c>
      <c r="F460" t="s">
        <v>3052</v>
      </c>
      <c r="G460">
        <v>900982391</v>
      </c>
      <c r="H460" t="s">
        <v>2815</v>
      </c>
      <c r="I460" s="4" t="s">
        <v>2816</v>
      </c>
      <c r="J460" s="4" t="s">
        <v>35</v>
      </c>
      <c r="K460" t="s">
        <v>3053</v>
      </c>
      <c r="L460" t="s">
        <v>55</v>
      </c>
      <c r="M460" t="s">
        <v>3054</v>
      </c>
      <c r="N460" t="s">
        <v>56</v>
      </c>
      <c r="O460" t="s">
        <v>29</v>
      </c>
      <c r="P460" t="s">
        <v>54</v>
      </c>
      <c r="Q460" t="s">
        <v>31</v>
      </c>
      <c r="R460">
        <v>7</v>
      </c>
      <c r="S460" t="s">
        <v>3055</v>
      </c>
      <c r="T460" t="s">
        <v>7242</v>
      </c>
      <c r="U460" t="s">
        <v>7243</v>
      </c>
      <c r="V460" t="s">
        <v>49</v>
      </c>
      <c r="W460" t="s">
        <v>33</v>
      </c>
      <c r="X460" t="s">
        <v>33</v>
      </c>
      <c r="Y460" t="s">
        <v>33</v>
      </c>
      <c r="Z460" s="16" t="s">
        <v>34</v>
      </c>
      <c r="AA460">
        <v>-75.649831634999899</v>
      </c>
      <c r="AB460">
        <v>6.1379125160000303</v>
      </c>
      <c r="AC460" t="s">
        <v>135</v>
      </c>
      <c r="AD460" t="s">
        <v>136</v>
      </c>
    </row>
    <row r="461" spans="1:30" x14ac:dyDescent="0.25">
      <c r="A461" t="s">
        <v>3056</v>
      </c>
      <c r="B461" t="s">
        <v>25</v>
      </c>
      <c r="C461" t="s">
        <v>26</v>
      </c>
      <c r="D461" t="s">
        <v>25</v>
      </c>
      <c r="E461" t="s">
        <v>3051</v>
      </c>
      <c r="F461" t="s">
        <v>3052</v>
      </c>
      <c r="G461">
        <v>900982391</v>
      </c>
      <c r="H461" t="s">
        <v>2815</v>
      </c>
      <c r="I461" s="4" t="s">
        <v>2816</v>
      </c>
      <c r="J461" s="4" t="s">
        <v>35</v>
      </c>
      <c r="K461" t="s">
        <v>3057</v>
      </c>
      <c r="L461" t="s">
        <v>55</v>
      </c>
      <c r="M461" t="s">
        <v>3058</v>
      </c>
      <c r="N461" t="s">
        <v>56</v>
      </c>
      <c r="O461" t="s">
        <v>29</v>
      </c>
      <c r="P461" t="s">
        <v>54</v>
      </c>
      <c r="Q461" t="s">
        <v>31</v>
      </c>
      <c r="R461">
        <v>7</v>
      </c>
      <c r="S461" t="s">
        <v>3055</v>
      </c>
      <c r="T461" t="s">
        <v>7242</v>
      </c>
      <c r="U461" t="s">
        <v>7243</v>
      </c>
      <c r="V461" t="s">
        <v>49</v>
      </c>
      <c r="W461" t="s">
        <v>33</v>
      </c>
      <c r="X461" t="s">
        <v>33</v>
      </c>
      <c r="Y461" t="s">
        <v>33</v>
      </c>
      <c r="Z461" s="16" t="s">
        <v>34</v>
      </c>
      <c r="AA461">
        <v>-75.649831634999899</v>
      </c>
      <c r="AB461">
        <v>6.1379125160000303</v>
      </c>
      <c r="AC461" t="s">
        <v>135</v>
      </c>
      <c r="AD461" t="s">
        <v>136</v>
      </c>
    </row>
    <row r="462" spans="1:30" x14ac:dyDescent="0.25">
      <c r="A462" t="s">
        <v>3059</v>
      </c>
      <c r="B462" t="s">
        <v>25</v>
      </c>
      <c r="C462" t="s">
        <v>26</v>
      </c>
      <c r="D462" t="s">
        <v>25</v>
      </c>
      <c r="E462" t="s">
        <v>3060</v>
      </c>
      <c r="F462" t="s">
        <v>3061</v>
      </c>
      <c r="G462">
        <v>900982391</v>
      </c>
      <c r="H462" t="s">
        <v>2815</v>
      </c>
      <c r="I462" s="4" t="s">
        <v>2816</v>
      </c>
      <c r="J462" s="4" t="s">
        <v>35</v>
      </c>
      <c r="K462" t="s">
        <v>3062</v>
      </c>
      <c r="L462" t="s">
        <v>55</v>
      </c>
      <c r="M462" t="s">
        <v>3063</v>
      </c>
      <c r="N462" t="s">
        <v>56</v>
      </c>
      <c r="O462" t="s">
        <v>29</v>
      </c>
      <c r="P462" t="s">
        <v>54</v>
      </c>
      <c r="Q462" t="s">
        <v>31</v>
      </c>
      <c r="R462">
        <v>7</v>
      </c>
      <c r="S462" t="s">
        <v>3064</v>
      </c>
      <c r="T462" t="s">
        <v>7242</v>
      </c>
      <c r="U462" t="s">
        <v>7243</v>
      </c>
      <c r="V462" t="s">
        <v>49</v>
      </c>
      <c r="W462" t="s">
        <v>33</v>
      </c>
      <c r="X462" t="s">
        <v>33</v>
      </c>
      <c r="Y462" t="s">
        <v>33</v>
      </c>
      <c r="Z462" s="16" t="s">
        <v>34</v>
      </c>
      <c r="AA462">
        <v>-75.649831634999899</v>
      </c>
      <c r="AB462">
        <v>6.1379125160000303</v>
      </c>
      <c r="AC462" t="s">
        <v>135</v>
      </c>
      <c r="AD462" t="s">
        <v>136</v>
      </c>
    </row>
    <row r="463" spans="1:30" x14ac:dyDescent="0.25">
      <c r="A463" t="s">
        <v>3065</v>
      </c>
      <c r="B463" t="s">
        <v>25</v>
      </c>
      <c r="C463" t="s">
        <v>26</v>
      </c>
      <c r="D463" t="s">
        <v>25</v>
      </c>
      <c r="E463" t="s">
        <v>3066</v>
      </c>
      <c r="F463" t="s">
        <v>3067</v>
      </c>
      <c r="G463">
        <v>900982391</v>
      </c>
      <c r="H463" t="s">
        <v>2815</v>
      </c>
      <c r="I463" s="4" t="s">
        <v>2816</v>
      </c>
      <c r="J463" s="4" t="s">
        <v>35</v>
      </c>
      <c r="K463" t="s">
        <v>3068</v>
      </c>
      <c r="L463" t="s">
        <v>55</v>
      </c>
      <c r="M463" t="s">
        <v>3069</v>
      </c>
      <c r="N463" t="s">
        <v>56</v>
      </c>
      <c r="O463" t="s">
        <v>29</v>
      </c>
      <c r="P463" t="s">
        <v>54</v>
      </c>
      <c r="Q463" t="s">
        <v>31</v>
      </c>
      <c r="R463">
        <v>7</v>
      </c>
      <c r="S463" t="s">
        <v>3070</v>
      </c>
      <c r="T463" t="s">
        <v>7242</v>
      </c>
      <c r="U463" t="s">
        <v>7243</v>
      </c>
      <c r="V463" t="s">
        <v>49</v>
      </c>
      <c r="W463" t="s">
        <v>33</v>
      </c>
      <c r="X463" t="s">
        <v>33</v>
      </c>
      <c r="Y463" t="s">
        <v>33</v>
      </c>
      <c r="Z463" s="16" t="s">
        <v>34</v>
      </c>
      <c r="AA463">
        <v>-75.649831634999899</v>
      </c>
      <c r="AB463">
        <v>6.1379125160000303</v>
      </c>
      <c r="AC463" t="s">
        <v>135</v>
      </c>
      <c r="AD463" t="s">
        <v>136</v>
      </c>
    </row>
    <row r="464" spans="1:30" x14ac:dyDescent="0.25">
      <c r="A464" t="s">
        <v>3071</v>
      </c>
      <c r="B464" t="s">
        <v>25</v>
      </c>
      <c r="C464" t="s">
        <v>26</v>
      </c>
      <c r="D464" t="s">
        <v>25</v>
      </c>
      <c r="E464" t="s">
        <v>3072</v>
      </c>
      <c r="F464" t="s">
        <v>3073</v>
      </c>
      <c r="G464">
        <v>900982391</v>
      </c>
      <c r="H464" t="s">
        <v>2815</v>
      </c>
      <c r="I464" s="4" t="s">
        <v>2816</v>
      </c>
      <c r="J464" s="4" t="s">
        <v>35</v>
      </c>
      <c r="K464" t="s">
        <v>3074</v>
      </c>
      <c r="L464" t="s">
        <v>55</v>
      </c>
      <c r="M464" t="s">
        <v>3075</v>
      </c>
      <c r="N464" t="s">
        <v>56</v>
      </c>
      <c r="O464" t="s">
        <v>29</v>
      </c>
      <c r="P464" t="s">
        <v>54</v>
      </c>
      <c r="Q464" t="s">
        <v>31</v>
      </c>
      <c r="R464">
        <v>7</v>
      </c>
      <c r="S464" t="s">
        <v>3076</v>
      </c>
      <c r="T464" t="s">
        <v>7242</v>
      </c>
      <c r="U464" t="s">
        <v>7243</v>
      </c>
      <c r="V464" t="s">
        <v>49</v>
      </c>
      <c r="W464" t="s">
        <v>33</v>
      </c>
      <c r="X464" t="s">
        <v>33</v>
      </c>
      <c r="Y464" t="s">
        <v>33</v>
      </c>
      <c r="Z464" s="16" t="s">
        <v>34</v>
      </c>
      <c r="AA464">
        <v>-75.649831634999899</v>
      </c>
      <c r="AB464">
        <v>6.1379125160000303</v>
      </c>
      <c r="AC464" t="s">
        <v>135</v>
      </c>
      <c r="AD464" t="s">
        <v>136</v>
      </c>
    </row>
    <row r="465" spans="1:30" x14ac:dyDescent="0.25">
      <c r="A465" t="s">
        <v>3077</v>
      </c>
      <c r="B465" t="s">
        <v>25</v>
      </c>
      <c r="C465" t="s">
        <v>26</v>
      </c>
      <c r="D465" t="s">
        <v>25</v>
      </c>
      <c r="E465" t="s">
        <v>3072</v>
      </c>
      <c r="F465" t="s">
        <v>3073</v>
      </c>
      <c r="G465">
        <v>900982391</v>
      </c>
      <c r="H465" t="s">
        <v>2815</v>
      </c>
      <c r="I465" s="4" t="s">
        <v>2816</v>
      </c>
      <c r="J465" s="4" t="s">
        <v>35</v>
      </c>
      <c r="K465" t="s">
        <v>3078</v>
      </c>
      <c r="L465" t="s">
        <v>55</v>
      </c>
      <c r="M465" t="s">
        <v>3079</v>
      </c>
      <c r="N465" t="s">
        <v>56</v>
      </c>
      <c r="O465" t="s">
        <v>29</v>
      </c>
      <c r="P465" t="s">
        <v>54</v>
      </c>
      <c r="Q465" t="s">
        <v>31</v>
      </c>
      <c r="R465">
        <v>7</v>
      </c>
      <c r="S465" t="s">
        <v>3076</v>
      </c>
      <c r="T465" t="s">
        <v>7242</v>
      </c>
      <c r="U465" t="s">
        <v>7243</v>
      </c>
      <c r="V465" t="s">
        <v>49</v>
      </c>
      <c r="W465" t="s">
        <v>33</v>
      </c>
      <c r="X465" t="s">
        <v>33</v>
      </c>
      <c r="Y465" t="s">
        <v>33</v>
      </c>
      <c r="Z465" s="16" t="s">
        <v>34</v>
      </c>
      <c r="AA465">
        <v>-75.649831634999899</v>
      </c>
      <c r="AB465">
        <v>6.1379125160000303</v>
      </c>
      <c r="AC465" t="s">
        <v>135</v>
      </c>
      <c r="AD465" t="s">
        <v>136</v>
      </c>
    </row>
    <row r="466" spans="1:30" x14ac:dyDescent="0.25">
      <c r="A466" t="s">
        <v>3080</v>
      </c>
      <c r="B466" t="s">
        <v>25</v>
      </c>
      <c r="C466" t="s">
        <v>26</v>
      </c>
      <c r="D466" t="s">
        <v>25</v>
      </c>
      <c r="E466" t="s">
        <v>3081</v>
      </c>
      <c r="F466" t="s">
        <v>3082</v>
      </c>
      <c r="G466">
        <v>900982391</v>
      </c>
      <c r="H466" t="s">
        <v>2815</v>
      </c>
      <c r="I466" s="4" t="s">
        <v>2816</v>
      </c>
      <c r="J466" s="4" t="s">
        <v>35</v>
      </c>
      <c r="K466" t="s">
        <v>3083</v>
      </c>
      <c r="L466" t="s">
        <v>55</v>
      </c>
      <c r="M466" t="s">
        <v>3084</v>
      </c>
      <c r="N466" t="s">
        <v>56</v>
      </c>
      <c r="O466" t="s">
        <v>29</v>
      </c>
      <c r="P466" t="s">
        <v>54</v>
      </c>
      <c r="Q466" t="s">
        <v>31</v>
      </c>
      <c r="R466">
        <v>7</v>
      </c>
      <c r="S466" t="s">
        <v>3085</v>
      </c>
      <c r="T466" t="s">
        <v>7242</v>
      </c>
      <c r="U466" t="s">
        <v>7243</v>
      </c>
      <c r="V466" t="s">
        <v>49</v>
      </c>
      <c r="W466" t="s">
        <v>33</v>
      </c>
      <c r="X466" t="s">
        <v>33</v>
      </c>
      <c r="Y466" t="s">
        <v>33</v>
      </c>
      <c r="Z466" s="16" t="s">
        <v>34</v>
      </c>
      <c r="AA466">
        <v>-75.649831634999899</v>
      </c>
      <c r="AB466">
        <v>6.1379125160000303</v>
      </c>
      <c r="AC466" t="s">
        <v>135</v>
      </c>
      <c r="AD466" t="s">
        <v>136</v>
      </c>
    </row>
    <row r="467" spans="1:30" x14ac:dyDescent="0.25">
      <c r="A467" t="s">
        <v>3086</v>
      </c>
      <c r="B467" t="s">
        <v>25</v>
      </c>
      <c r="C467" t="s">
        <v>26</v>
      </c>
      <c r="D467" t="s">
        <v>25</v>
      </c>
      <c r="E467" t="s">
        <v>3087</v>
      </c>
      <c r="F467" t="s">
        <v>3088</v>
      </c>
      <c r="G467">
        <v>900982391</v>
      </c>
      <c r="H467" t="s">
        <v>2815</v>
      </c>
      <c r="I467" s="4" t="s">
        <v>2816</v>
      </c>
      <c r="J467" s="4" t="s">
        <v>35</v>
      </c>
      <c r="K467" t="s">
        <v>3089</v>
      </c>
      <c r="L467" t="s">
        <v>55</v>
      </c>
      <c r="M467" t="s">
        <v>3090</v>
      </c>
      <c r="N467" t="s">
        <v>56</v>
      </c>
      <c r="O467" t="s">
        <v>29</v>
      </c>
      <c r="P467" t="s">
        <v>54</v>
      </c>
      <c r="Q467" t="s">
        <v>31</v>
      </c>
      <c r="R467">
        <v>7</v>
      </c>
      <c r="S467" t="s">
        <v>3091</v>
      </c>
      <c r="T467" t="s">
        <v>7242</v>
      </c>
      <c r="U467" t="s">
        <v>7243</v>
      </c>
      <c r="V467" t="s">
        <v>49</v>
      </c>
      <c r="W467" t="s">
        <v>33</v>
      </c>
      <c r="X467" t="s">
        <v>33</v>
      </c>
      <c r="Y467" t="s">
        <v>33</v>
      </c>
      <c r="Z467" s="16" t="s">
        <v>34</v>
      </c>
      <c r="AA467">
        <v>-75.649831634999899</v>
      </c>
      <c r="AB467">
        <v>6.1379125160000303</v>
      </c>
      <c r="AC467" t="s">
        <v>135</v>
      </c>
      <c r="AD467" t="s">
        <v>136</v>
      </c>
    </row>
    <row r="468" spans="1:30" x14ac:dyDescent="0.25">
      <c r="A468" t="s">
        <v>3092</v>
      </c>
      <c r="B468" t="s">
        <v>25</v>
      </c>
      <c r="C468" t="s">
        <v>26</v>
      </c>
      <c r="D468" t="s">
        <v>25</v>
      </c>
      <c r="E468" t="s">
        <v>3093</v>
      </c>
      <c r="F468" t="s">
        <v>3094</v>
      </c>
      <c r="G468">
        <v>900982391</v>
      </c>
      <c r="H468" t="s">
        <v>2815</v>
      </c>
      <c r="I468" s="4" t="s">
        <v>2816</v>
      </c>
      <c r="J468" s="4" t="s">
        <v>35</v>
      </c>
      <c r="K468" t="s">
        <v>3095</v>
      </c>
      <c r="L468" t="s">
        <v>55</v>
      </c>
      <c r="M468" t="s">
        <v>3096</v>
      </c>
      <c r="N468" t="s">
        <v>56</v>
      </c>
      <c r="O468" t="s">
        <v>29</v>
      </c>
      <c r="P468" t="s">
        <v>54</v>
      </c>
      <c r="Q468" t="s">
        <v>31</v>
      </c>
      <c r="R468">
        <v>7</v>
      </c>
      <c r="S468" t="s">
        <v>3097</v>
      </c>
      <c r="T468" t="s">
        <v>7242</v>
      </c>
      <c r="U468" t="s">
        <v>7243</v>
      </c>
      <c r="V468" t="s">
        <v>49</v>
      </c>
      <c r="W468" t="s">
        <v>33</v>
      </c>
      <c r="X468" t="s">
        <v>33</v>
      </c>
      <c r="Y468" t="s">
        <v>33</v>
      </c>
      <c r="Z468" s="16" t="s">
        <v>34</v>
      </c>
      <c r="AA468">
        <v>-75.649831634999899</v>
      </c>
      <c r="AB468">
        <v>6.1379125160000303</v>
      </c>
      <c r="AC468" t="s">
        <v>135</v>
      </c>
      <c r="AD468" t="s">
        <v>136</v>
      </c>
    </row>
    <row r="469" spans="1:30" x14ac:dyDescent="0.25">
      <c r="A469" t="s">
        <v>3098</v>
      </c>
      <c r="B469" t="s">
        <v>25</v>
      </c>
      <c r="C469" t="s">
        <v>26</v>
      </c>
      <c r="D469" t="s">
        <v>25</v>
      </c>
      <c r="E469" t="s">
        <v>3099</v>
      </c>
      <c r="F469" t="s">
        <v>3100</v>
      </c>
      <c r="G469">
        <v>900982391</v>
      </c>
      <c r="H469" t="s">
        <v>2815</v>
      </c>
      <c r="I469" s="4" t="s">
        <v>2816</v>
      </c>
      <c r="J469" s="4" t="s">
        <v>35</v>
      </c>
      <c r="K469" t="s">
        <v>3101</v>
      </c>
      <c r="L469" t="s">
        <v>55</v>
      </c>
      <c r="M469" t="s">
        <v>3102</v>
      </c>
      <c r="N469" t="s">
        <v>56</v>
      </c>
      <c r="O469" t="s">
        <v>29</v>
      </c>
      <c r="P469" t="s">
        <v>54</v>
      </c>
      <c r="Q469" t="s">
        <v>31</v>
      </c>
      <c r="R469">
        <v>7</v>
      </c>
      <c r="S469" t="s">
        <v>3103</v>
      </c>
      <c r="T469" t="s">
        <v>7242</v>
      </c>
      <c r="U469" t="s">
        <v>7243</v>
      </c>
      <c r="V469" t="s">
        <v>49</v>
      </c>
      <c r="W469" t="s">
        <v>33</v>
      </c>
      <c r="X469" t="s">
        <v>33</v>
      </c>
      <c r="Y469" t="s">
        <v>33</v>
      </c>
      <c r="Z469" s="16" t="s">
        <v>34</v>
      </c>
      <c r="AA469">
        <v>-75.649831634999899</v>
      </c>
      <c r="AB469">
        <v>6.1379125160000303</v>
      </c>
      <c r="AC469" t="s">
        <v>135</v>
      </c>
      <c r="AD469" t="s">
        <v>136</v>
      </c>
    </row>
    <row r="470" spans="1:30" x14ac:dyDescent="0.25">
      <c r="A470" t="s">
        <v>3104</v>
      </c>
      <c r="B470" t="s">
        <v>25</v>
      </c>
      <c r="C470" t="s">
        <v>26</v>
      </c>
      <c r="D470" t="s">
        <v>25</v>
      </c>
      <c r="E470" t="s">
        <v>3105</v>
      </c>
      <c r="F470" t="s">
        <v>3106</v>
      </c>
      <c r="G470">
        <v>900982391</v>
      </c>
      <c r="H470" t="s">
        <v>2815</v>
      </c>
      <c r="I470" s="4" t="s">
        <v>2816</v>
      </c>
      <c r="J470" s="4" t="s">
        <v>35</v>
      </c>
      <c r="K470" t="s">
        <v>3107</v>
      </c>
      <c r="L470" t="s">
        <v>55</v>
      </c>
      <c r="M470" t="s">
        <v>3108</v>
      </c>
      <c r="N470" t="s">
        <v>56</v>
      </c>
      <c r="O470" t="s">
        <v>29</v>
      </c>
      <c r="P470" t="s">
        <v>54</v>
      </c>
      <c r="Q470" t="s">
        <v>31</v>
      </c>
      <c r="R470">
        <v>7</v>
      </c>
      <c r="S470" t="s">
        <v>3109</v>
      </c>
      <c r="T470" t="s">
        <v>7242</v>
      </c>
      <c r="U470" t="s">
        <v>7243</v>
      </c>
      <c r="V470" t="s">
        <v>49</v>
      </c>
      <c r="W470" t="s">
        <v>33</v>
      </c>
      <c r="X470" t="s">
        <v>33</v>
      </c>
      <c r="Y470" t="s">
        <v>33</v>
      </c>
      <c r="Z470" s="16" t="s">
        <v>34</v>
      </c>
      <c r="AA470">
        <v>-75.649831634999899</v>
      </c>
      <c r="AB470">
        <v>6.1379125160000303</v>
      </c>
      <c r="AC470" t="s">
        <v>135</v>
      </c>
      <c r="AD470" t="s">
        <v>136</v>
      </c>
    </row>
    <row r="471" spans="1:30" x14ac:dyDescent="0.25">
      <c r="A471" t="s">
        <v>3110</v>
      </c>
      <c r="B471" t="s">
        <v>25</v>
      </c>
      <c r="C471" t="s">
        <v>26</v>
      </c>
      <c r="D471" t="s">
        <v>25</v>
      </c>
      <c r="E471" t="s">
        <v>3105</v>
      </c>
      <c r="F471" t="s">
        <v>3106</v>
      </c>
      <c r="G471">
        <v>900982391</v>
      </c>
      <c r="H471" t="s">
        <v>2815</v>
      </c>
      <c r="I471" s="4" t="s">
        <v>2816</v>
      </c>
      <c r="J471" s="4" t="s">
        <v>35</v>
      </c>
      <c r="K471" t="s">
        <v>3111</v>
      </c>
      <c r="L471" t="s">
        <v>55</v>
      </c>
      <c r="M471" t="s">
        <v>3112</v>
      </c>
      <c r="N471" t="s">
        <v>56</v>
      </c>
      <c r="O471" t="s">
        <v>29</v>
      </c>
      <c r="P471" t="s">
        <v>54</v>
      </c>
      <c r="Q471" t="s">
        <v>31</v>
      </c>
      <c r="R471">
        <v>7</v>
      </c>
      <c r="S471" t="s">
        <v>3109</v>
      </c>
      <c r="T471" t="s">
        <v>7242</v>
      </c>
      <c r="U471" t="s">
        <v>7243</v>
      </c>
      <c r="V471" t="s">
        <v>49</v>
      </c>
      <c r="W471" t="s">
        <v>33</v>
      </c>
      <c r="X471" t="s">
        <v>33</v>
      </c>
      <c r="Y471" t="s">
        <v>33</v>
      </c>
      <c r="Z471" s="16" t="s">
        <v>34</v>
      </c>
      <c r="AA471">
        <v>-75.649831634999899</v>
      </c>
      <c r="AB471">
        <v>6.1379125160000303</v>
      </c>
      <c r="AC471" t="s">
        <v>135</v>
      </c>
      <c r="AD471" t="s">
        <v>136</v>
      </c>
    </row>
    <row r="472" spans="1:30" x14ac:dyDescent="0.25">
      <c r="A472" t="s">
        <v>3113</v>
      </c>
      <c r="B472" t="s">
        <v>25</v>
      </c>
      <c r="C472" t="s">
        <v>26</v>
      </c>
      <c r="D472" t="s">
        <v>25</v>
      </c>
      <c r="E472" t="s">
        <v>3114</v>
      </c>
      <c r="F472" t="s">
        <v>3115</v>
      </c>
      <c r="G472">
        <v>900982391</v>
      </c>
      <c r="H472" t="s">
        <v>2815</v>
      </c>
      <c r="I472" s="4" t="s">
        <v>2816</v>
      </c>
      <c r="J472" s="4" t="s">
        <v>35</v>
      </c>
      <c r="K472" t="s">
        <v>3116</v>
      </c>
      <c r="L472" t="s">
        <v>55</v>
      </c>
      <c r="M472" t="s">
        <v>3117</v>
      </c>
      <c r="N472" t="s">
        <v>56</v>
      </c>
      <c r="O472" t="s">
        <v>29</v>
      </c>
      <c r="P472" t="s">
        <v>54</v>
      </c>
      <c r="Q472" t="s">
        <v>31</v>
      </c>
      <c r="R472">
        <v>7</v>
      </c>
      <c r="S472" t="s">
        <v>3118</v>
      </c>
      <c r="T472" t="s">
        <v>7242</v>
      </c>
      <c r="U472" t="s">
        <v>7243</v>
      </c>
      <c r="V472" t="s">
        <v>49</v>
      </c>
      <c r="W472" t="s">
        <v>33</v>
      </c>
      <c r="X472" t="s">
        <v>33</v>
      </c>
      <c r="Y472" t="s">
        <v>33</v>
      </c>
      <c r="Z472" s="16" t="s">
        <v>34</v>
      </c>
      <c r="AA472">
        <v>-75.649831634999899</v>
      </c>
      <c r="AB472">
        <v>6.1379125160000303</v>
      </c>
      <c r="AC472" t="s">
        <v>135</v>
      </c>
      <c r="AD472" t="s">
        <v>136</v>
      </c>
    </row>
    <row r="473" spans="1:30" x14ac:dyDescent="0.25">
      <c r="A473" t="s">
        <v>3119</v>
      </c>
      <c r="B473" t="s">
        <v>25</v>
      </c>
      <c r="C473" t="s">
        <v>26</v>
      </c>
      <c r="D473" t="s">
        <v>25</v>
      </c>
      <c r="E473" t="s">
        <v>3114</v>
      </c>
      <c r="F473" t="s">
        <v>3115</v>
      </c>
      <c r="G473">
        <v>900982391</v>
      </c>
      <c r="H473" t="s">
        <v>2815</v>
      </c>
      <c r="I473" s="4" t="s">
        <v>2816</v>
      </c>
      <c r="J473" s="4" t="s">
        <v>35</v>
      </c>
      <c r="K473" t="s">
        <v>3120</v>
      </c>
      <c r="L473" t="s">
        <v>55</v>
      </c>
      <c r="M473" t="s">
        <v>3121</v>
      </c>
      <c r="N473" t="s">
        <v>56</v>
      </c>
      <c r="O473" t="s">
        <v>29</v>
      </c>
      <c r="P473" t="s">
        <v>54</v>
      </c>
      <c r="Q473" t="s">
        <v>31</v>
      </c>
      <c r="R473">
        <v>7</v>
      </c>
      <c r="S473" t="s">
        <v>3118</v>
      </c>
      <c r="T473" t="s">
        <v>7242</v>
      </c>
      <c r="U473" t="s">
        <v>7243</v>
      </c>
      <c r="V473" t="s">
        <v>49</v>
      </c>
      <c r="W473" t="s">
        <v>33</v>
      </c>
      <c r="X473" t="s">
        <v>33</v>
      </c>
      <c r="Y473" t="s">
        <v>33</v>
      </c>
      <c r="Z473" s="16" t="s">
        <v>34</v>
      </c>
      <c r="AA473">
        <v>-75.649831634999899</v>
      </c>
      <c r="AB473">
        <v>6.1379125160000303</v>
      </c>
      <c r="AC473" t="s">
        <v>135</v>
      </c>
      <c r="AD473" t="s">
        <v>136</v>
      </c>
    </row>
    <row r="474" spans="1:30" x14ac:dyDescent="0.25">
      <c r="A474" t="s">
        <v>3122</v>
      </c>
      <c r="B474" t="s">
        <v>25</v>
      </c>
      <c r="C474" t="s">
        <v>26</v>
      </c>
      <c r="D474" t="s">
        <v>25</v>
      </c>
      <c r="E474" t="s">
        <v>3123</v>
      </c>
      <c r="F474" t="s">
        <v>3124</v>
      </c>
      <c r="G474">
        <v>900982391</v>
      </c>
      <c r="H474" t="s">
        <v>2815</v>
      </c>
      <c r="I474" s="4" t="s">
        <v>2816</v>
      </c>
      <c r="J474" s="4" t="s">
        <v>35</v>
      </c>
      <c r="K474" t="s">
        <v>3125</v>
      </c>
      <c r="L474" t="s">
        <v>55</v>
      </c>
      <c r="M474" t="s">
        <v>3126</v>
      </c>
      <c r="N474" t="s">
        <v>56</v>
      </c>
      <c r="O474" t="s">
        <v>29</v>
      </c>
      <c r="P474" t="s">
        <v>54</v>
      </c>
      <c r="Q474" t="s">
        <v>31</v>
      </c>
      <c r="R474">
        <v>7</v>
      </c>
      <c r="S474" t="s">
        <v>3127</v>
      </c>
      <c r="T474" t="s">
        <v>7242</v>
      </c>
      <c r="U474" t="s">
        <v>7243</v>
      </c>
      <c r="V474" t="s">
        <v>49</v>
      </c>
      <c r="W474" t="s">
        <v>33</v>
      </c>
      <c r="X474" t="s">
        <v>33</v>
      </c>
      <c r="Y474" t="s">
        <v>33</v>
      </c>
      <c r="Z474" s="16" t="s">
        <v>34</v>
      </c>
      <c r="AA474">
        <v>-75.649831634999899</v>
      </c>
      <c r="AB474">
        <v>6.1379125160000303</v>
      </c>
      <c r="AC474" t="s">
        <v>135</v>
      </c>
      <c r="AD474" t="s">
        <v>136</v>
      </c>
    </row>
    <row r="475" spans="1:30" x14ac:dyDescent="0.25">
      <c r="A475" t="s">
        <v>3128</v>
      </c>
      <c r="B475" t="s">
        <v>25</v>
      </c>
      <c r="C475" t="s">
        <v>26</v>
      </c>
      <c r="D475" t="s">
        <v>25</v>
      </c>
      <c r="E475" t="s">
        <v>3123</v>
      </c>
      <c r="F475" t="s">
        <v>3124</v>
      </c>
      <c r="G475">
        <v>900982391</v>
      </c>
      <c r="H475" t="s">
        <v>2815</v>
      </c>
      <c r="I475" s="4" t="s">
        <v>2816</v>
      </c>
      <c r="J475" s="4" t="s">
        <v>35</v>
      </c>
      <c r="K475" t="s">
        <v>3129</v>
      </c>
      <c r="L475" t="s">
        <v>55</v>
      </c>
      <c r="M475" t="s">
        <v>3130</v>
      </c>
      <c r="N475" t="s">
        <v>56</v>
      </c>
      <c r="O475" t="s">
        <v>29</v>
      </c>
      <c r="P475" t="s">
        <v>54</v>
      </c>
      <c r="Q475" t="s">
        <v>31</v>
      </c>
      <c r="R475">
        <v>7</v>
      </c>
      <c r="S475" t="s">
        <v>3127</v>
      </c>
      <c r="T475" t="s">
        <v>7242</v>
      </c>
      <c r="U475" t="s">
        <v>7243</v>
      </c>
      <c r="V475" t="s">
        <v>49</v>
      </c>
      <c r="W475" t="s">
        <v>33</v>
      </c>
      <c r="X475" t="s">
        <v>33</v>
      </c>
      <c r="Y475" t="s">
        <v>33</v>
      </c>
      <c r="Z475" s="16" t="s">
        <v>34</v>
      </c>
      <c r="AA475">
        <v>-75.649831634999899</v>
      </c>
      <c r="AB475">
        <v>6.1379125160000303</v>
      </c>
      <c r="AC475" t="s">
        <v>135</v>
      </c>
      <c r="AD475" t="s">
        <v>136</v>
      </c>
    </row>
    <row r="476" spans="1:30" x14ac:dyDescent="0.25">
      <c r="A476" t="s">
        <v>3131</v>
      </c>
      <c r="B476" t="s">
        <v>25</v>
      </c>
      <c r="C476" t="s">
        <v>26</v>
      </c>
      <c r="D476" t="s">
        <v>25</v>
      </c>
      <c r="E476" t="s">
        <v>3132</v>
      </c>
      <c r="F476" t="s">
        <v>3133</v>
      </c>
      <c r="G476">
        <v>900982391</v>
      </c>
      <c r="H476" t="s">
        <v>2815</v>
      </c>
      <c r="I476" s="4" t="s">
        <v>2816</v>
      </c>
      <c r="J476" s="4" t="s">
        <v>35</v>
      </c>
      <c r="K476" t="s">
        <v>3134</v>
      </c>
      <c r="L476" t="s">
        <v>55</v>
      </c>
      <c r="M476" t="s">
        <v>3135</v>
      </c>
      <c r="N476" t="s">
        <v>56</v>
      </c>
      <c r="O476" t="s">
        <v>29</v>
      </c>
      <c r="P476" t="s">
        <v>54</v>
      </c>
      <c r="Q476" t="s">
        <v>31</v>
      </c>
      <c r="R476">
        <v>7</v>
      </c>
      <c r="S476" t="s">
        <v>3136</v>
      </c>
      <c r="T476" t="s">
        <v>7242</v>
      </c>
      <c r="U476" t="s">
        <v>7243</v>
      </c>
      <c r="V476" t="s">
        <v>49</v>
      </c>
      <c r="W476" t="s">
        <v>33</v>
      </c>
      <c r="X476" t="s">
        <v>33</v>
      </c>
      <c r="Y476" t="s">
        <v>33</v>
      </c>
      <c r="Z476" s="16" t="s">
        <v>34</v>
      </c>
      <c r="AA476">
        <v>-75.649831634999899</v>
      </c>
      <c r="AB476">
        <v>6.1379125160000303</v>
      </c>
      <c r="AC476" t="s">
        <v>135</v>
      </c>
      <c r="AD476" t="s">
        <v>136</v>
      </c>
    </row>
    <row r="477" spans="1:30" x14ac:dyDescent="0.25">
      <c r="A477" t="s">
        <v>3137</v>
      </c>
      <c r="B477" t="s">
        <v>25</v>
      </c>
      <c r="C477" t="s">
        <v>26</v>
      </c>
      <c r="D477" t="s">
        <v>25</v>
      </c>
      <c r="E477" t="s">
        <v>3132</v>
      </c>
      <c r="F477" t="s">
        <v>3133</v>
      </c>
      <c r="G477">
        <v>900982391</v>
      </c>
      <c r="H477" t="s">
        <v>2815</v>
      </c>
      <c r="I477" s="4" t="s">
        <v>2816</v>
      </c>
      <c r="J477" s="4" t="s">
        <v>35</v>
      </c>
      <c r="K477" t="s">
        <v>3138</v>
      </c>
      <c r="L477" t="s">
        <v>55</v>
      </c>
      <c r="M477" t="s">
        <v>3139</v>
      </c>
      <c r="N477" t="s">
        <v>56</v>
      </c>
      <c r="O477" t="s">
        <v>29</v>
      </c>
      <c r="P477" t="s">
        <v>54</v>
      </c>
      <c r="Q477" t="s">
        <v>31</v>
      </c>
      <c r="R477">
        <v>7</v>
      </c>
      <c r="S477" t="s">
        <v>3136</v>
      </c>
      <c r="T477" t="s">
        <v>7242</v>
      </c>
      <c r="U477" t="s">
        <v>7243</v>
      </c>
      <c r="V477" t="s">
        <v>49</v>
      </c>
      <c r="W477" t="s">
        <v>33</v>
      </c>
      <c r="X477" t="s">
        <v>33</v>
      </c>
      <c r="Y477" t="s">
        <v>33</v>
      </c>
      <c r="Z477" s="16" t="s">
        <v>34</v>
      </c>
      <c r="AA477">
        <v>-75.649831634999899</v>
      </c>
      <c r="AB477">
        <v>6.1379125160000303</v>
      </c>
      <c r="AC477" t="s">
        <v>135</v>
      </c>
      <c r="AD477" t="s">
        <v>136</v>
      </c>
    </row>
    <row r="478" spans="1:30" x14ac:dyDescent="0.25">
      <c r="A478" t="s">
        <v>3140</v>
      </c>
      <c r="B478" t="s">
        <v>25</v>
      </c>
      <c r="C478" t="s">
        <v>26</v>
      </c>
      <c r="D478" t="s">
        <v>25</v>
      </c>
      <c r="E478" t="s">
        <v>3141</v>
      </c>
      <c r="F478" t="s">
        <v>3142</v>
      </c>
      <c r="G478">
        <v>900982391</v>
      </c>
      <c r="H478" t="s">
        <v>2815</v>
      </c>
      <c r="I478" s="4" t="s">
        <v>2816</v>
      </c>
      <c r="J478" s="4" t="s">
        <v>35</v>
      </c>
      <c r="K478" t="s">
        <v>3143</v>
      </c>
      <c r="L478" t="s">
        <v>55</v>
      </c>
      <c r="M478" t="s">
        <v>3144</v>
      </c>
      <c r="N478" t="s">
        <v>56</v>
      </c>
      <c r="O478" t="s">
        <v>29</v>
      </c>
      <c r="P478" t="s">
        <v>54</v>
      </c>
      <c r="Q478" t="s">
        <v>31</v>
      </c>
      <c r="R478">
        <v>7</v>
      </c>
      <c r="S478" t="s">
        <v>3145</v>
      </c>
      <c r="T478" t="s">
        <v>7242</v>
      </c>
      <c r="U478" t="s">
        <v>7243</v>
      </c>
      <c r="V478" t="s">
        <v>49</v>
      </c>
      <c r="W478" t="s">
        <v>33</v>
      </c>
      <c r="X478" t="s">
        <v>33</v>
      </c>
      <c r="Y478" t="s">
        <v>33</v>
      </c>
      <c r="Z478" s="16" t="s">
        <v>34</v>
      </c>
      <c r="AA478">
        <v>-75.649831634999899</v>
      </c>
      <c r="AB478">
        <v>6.1379125160000303</v>
      </c>
      <c r="AC478" t="s">
        <v>135</v>
      </c>
      <c r="AD478" t="s">
        <v>136</v>
      </c>
    </row>
    <row r="479" spans="1:30" x14ac:dyDescent="0.25">
      <c r="A479" t="s">
        <v>3146</v>
      </c>
      <c r="B479" t="s">
        <v>25</v>
      </c>
      <c r="C479" t="s">
        <v>26</v>
      </c>
      <c r="D479" t="s">
        <v>25</v>
      </c>
      <c r="E479" t="s">
        <v>3147</v>
      </c>
      <c r="F479" t="s">
        <v>3148</v>
      </c>
      <c r="G479">
        <v>900982391</v>
      </c>
      <c r="H479" t="s">
        <v>2815</v>
      </c>
      <c r="I479" s="4" t="s">
        <v>2816</v>
      </c>
      <c r="J479" s="4" t="s">
        <v>35</v>
      </c>
      <c r="K479" t="s">
        <v>3149</v>
      </c>
      <c r="L479" t="s">
        <v>55</v>
      </c>
      <c r="M479" t="s">
        <v>3150</v>
      </c>
      <c r="N479" t="s">
        <v>56</v>
      </c>
      <c r="O479" t="s">
        <v>29</v>
      </c>
      <c r="P479" t="s">
        <v>54</v>
      </c>
      <c r="Q479" t="s">
        <v>31</v>
      </c>
      <c r="R479">
        <v>7</v>
      </c>
      <c r="S479" t="s">
        <v>3151</v>
      </c>
      <c r="T479" t="s">
        <v>7242</v>
      </c>
      <c r="U479" t="s">
        <v>7243</v>
      </c>
      <c r="V479" t="s">
        <v>49</v>
      </c>
      <c r="W479" t="s">
        <v>33</v>
      </c>
      <c r="X479" t="s">
        <v>33</v>
      </c>
      <c r="Y479" t="s">
        <v>33</v>
      </c>
      <c r="Z479" s="16" t="s">
        <v>34</v>
      </c>
      <c r="AA479">
        <v>-75.649831634999899</v>
      </c>
      <c r="AB479">
        <v>6.1379125160000303</v>
      </c>
      <c r="AC479" t="s">
        <v>135</v>
      </c>
      <c r="AD479" t="s">
        <v>136</v>
      </c>
    </row>
    <row r="480" spans="1:30" x14ac:dyDescent="0.25">
      <c r="A480" t="s">
        <v>3152</v>
      </c>
      <c r="B480" t="s">
        <v>25</v>
      </c>
      <c r="C480" t="s">
        <v>26</v>
      </c>
      <c r="D480" t="s">
        <v>25</v>
      </c>
      <c r="E480" t="s">
        <v>3147</v>
      </c>
      <c r="F480" t="s">
        <v>3148</v>
      </c>
      <c r="G480">
        <v>900982391</v>
      </c>
      <c r="H480" t="s">
        <v>2815</v>
      </c>
      <c r="I480" s="4" t="s">
        <v>2816</v>
      </c>
      <c r="J480" s="4" t="s">
        <v>35</v>
      </c>
      <c r="K480" t="s">
        <v>3153</v>
      </c>
      <c r="L480" t="s">
        <v>55</v>
      </c>
      <c r="M480" t="s">
        <v>3154</v>
      </c>
      <c r="N480" t="s">
        <v>56</v>
      </c>
      <c r="O480" t="s">
        <v>29</v>
      </c>
      <c r="P480" t="s">
        <v>54</v>
      </c>
      <c r="Q480" t="s">
        <v>31</v>
      </c>
      <c r="R480">
        <v>7</v>
      </c>
      <c r="S480" t="s">
        <v>3151</v>
      </c>
      <c r="T480" t="s">
        <v>7242</v>
      </c>
      <c r="U480" t="s">
        <v>7243</v>
      </c>
      <c r="V480" t="s">
        <v>49</v>
      </c>
      <c r="W480" t="s">
        <v>33</v>
      </c>
      <c r="X480" t="s">
        <v>33</v>
      </c>
      <c r="Y480" t="s">
        <v>33</v>
      </c>
      <c r="Z480" s="16" t="s">
        <v>34</v>
      </c>
      <c r="AA480">
        <v>-75.649831634999899</v>
      </c>
      <c r="AB480">
        <v>6.1379125160000303</v>
      </c>
      <c r="AC480" t="s">
        <v>135</v>
      </c>
      <c r="AD480" t="s">
        <v>136</v>
      </c>
    </row>
    <row r="481" spans="1:30" x14ac:dyDescent="0.25">
      <c r="A481" t="s">
        <v>3155</v>
      </c>
      <c r="B481" t="s">
        <v>25</v>
      </c>
      <c r="C481" t="s">
        <v>26</v>
      </c>
      <c r="D481" t="s">
        <v>25</v>
      </c>
      <c r="E481" t="s">
        <v>3147</v>
      </c>
      <c r="F481" t="s">
        <v>3148</v>
      </c>
      <c r="G481">
        <v>900982391</v>
      </c>
      <c r="H481" t="s">
        <v>2815</v>
      </c>
      <c r="I481" s="4" t="s">
        <v>2816</v>
      </c>
      <c r="J481" s="4" t="s">
        <v>35</v>
      </c>
      <c r="K481" t="s">
        <v>3156</v>
      </c>
      <c r="L481" t="s">
        <v>55</v>
      </c>
      <c r="M481" t="s">
        <v>3157</v>
      </c>
      <c r="N481" t="s">
        <v>56</v>
      </c>
      <c r="O481" t="s">
        <v>29</v>
      </c>
      <c r="P481" t="s">
        <v>54</v>
      </c>
      <c r="Q481" t="s">
        <v>31</v>
      </c>
      <c r="R481">
        <v>7</v>
      </c>
      <c r="S481" t="s">
        <v>3151</v>
      </c>
      <c r="T481" t="s">
        <v>7242</v>
      </c>
      <c r="U481" t="s">
        <v>7243</v>
      </c>
      <c r="V481" t="s">
        <v>49</v>
      </c>
      <c r="W481" t="s">
        <v>33</v>
      </c>
      <c r="X481" t="s">
        <v>33</v>
      </c>
      <c r="Y481" t="s">
        <v>33</v>
      </c>
      <c r="Z481" s="16" t="s">
        <v>34</v>
      </c>
      <c r="AA481">
        <v>-75.649831634999899</v>
      </c>
      <c r="AB481">
        <v>6.1379125160000303</v>
      </c>
      <c r="AC481" t="s">
        <v>135</v>
      </c>
      <c r="AD481" t="s">
        <v>136</v>
      </c>
    </row>
    <row r="482" spans="1:30" x14ac:dyDescent="0.25">
      <c r="A482" t="s">
        <v>3158</v>
      </c>
      <c r="B482" t="s">
        <v>25</v>
      </c>
      <c r="C482" t="s">
        <v>26</v>
      </c>
      <c r="D482" t="s">
        <v>25</v>
      </c>
      <c r="E482" t="s">
        <v>3147</v>
      </c>
      <c r="F482" t="s">
        <v>3148</v>
      </c>
      <c r="G482">
        <v>900982391</v>
      </c>
      <c r="H482" t="s">
        <v>2815</v>
      </c>
      <c r="I482" s="4" t="s">
        <v>2816</v>
      </c>
      <c r="J482" s="4" t="s">
        <v>35</v>
      </c>
      <c r="K482" t="s">
        <v>3159</v>
      </c>
      <c r="L482" t="s">
        <v>55</v>
      </c>
      <c r="M482" t="s">
        <v>3160</v>
      </c>
      <c r="N482" t="s">
        <v>56</v>
      </c>
      <c r="O482" t="s">
        <v>29</v>
      </c>
      <c r="P482" t="s">
        <v>54</v>
      </c>
      <c r="Q482" t="s">
        <v>31</v>
      </c>
      <c r="R482">
        <v>7</v>
      </c>
      <c r="S482" t="s">
        <v>3151</v>
      </c>
      <c r="T482" t="s">
        <v>7242</v>
      </c>
      <c r="U482" t="s">
        <v>7243</v>
      </c>
      <c r="V482" t="s">
        <v>49</v>
      </c>
      <c r="W482" t="s">
        <v>33</v>
      </c>
      <c r="X482" t="s">
        <v>33</v>
      </c>
      <c r="Y482" t="s">
        <v>33</v>
      </c>
      <c r="Z482" s="16" t="s">
        <v>34</v>
      </c>
      <c r="AA482">
        <v>-75.649831634999899</v>
      </c>
      <c r="AB482">
        <v>6.1379125160000303</v>
      </c>
      <c r="AC482" t="s">
        <v>135</v>
      </c>
      <c r="AD482" t="s">
        <v>136</v>
      </c>
    </row>
    <row r="483" spans="1:30" x14ac:dyDescent="0.25">
      <c r="A483" t="s">
        <v>3161</v>
      </c>
      <c r="B483" t="s">
        <v>25</v>
      </c>
      <c r="C483" t="s">
        <v>26</v>
      </c>
      <c r="D483" t="s">
        <v>25</v>
      </c>
      <c r="E483" t="s">
        <v>3147</v>
      </c>
      <c r="F483" t="s">
        <v>3148</v>
      </c>
      <c r="G483">
        <v>900982391</v>
      </c>
      <c r="H483" t="s">
        <v>2815</v>
      </c>
      <c r="I483" s="4" t="s">
        <v>2816</v>
      </c>
      <c r="J483" s="4" t="s">
        <v>35</v>
      </c>
      <c r="K483" t="s">
        <v>3162</v>
      </c>
      <c r="L483" t="s">
        <v>55</v>
      </c>
      <c r="M483" t="s">
        <v>3163</v>
      </c>
      <c r="N483" t="s">
        <v>56</v>
      </c>
      <c r="O483" t="s">
        <v>29</v>
      </c>
      <c r="P483" t="s">
        <v>54</v>
      </c>
      <c r="Q483" t="s">
        <v>31</v>
      </c>
      <c r="R483">
        <v>7</v>
      </c>
      <c r="S483" t="s">
        <v>3151</v>
      </c>
      <c r="T483" t="s">
        <v>7242</v>
      </c>
      <c r="U483" t="s">
        <v>7243</v>
      </c>
      <c r="V483" t="s">
        <v>49</v>
      </c>
      <c r="W483" t="s">
        <v>33</v>
      </c>
      <c r="X483" t="s">
        <v>33</v>
      </c>
      <c r="Y483" t="s">
        <v>33</v>
      </c>
      <c r="Z483" s="16" t="s">
        <v>34</v>
      </c>
      <c r="AA483">
        <v>-75.649831634999899</v>
      </c>
      <c r="AB483">
        <v>6.1379125160000303</v>
      </c>
      <c r="AC483" t="s">
        <v>135</v>
      </c>
      <c r="AD483" t="s">
        <v>136</v>
      </c>
    </row>
    <row r="484" spans="1:30" x14ac:dyDescent="0.25">
      <c r="A484" t="s">
        <v>3164</v>
      </c>
      <c r="B484" t="s">
        <v>25</v>
      </c>
      <c r="C484" t="s">
        <v>26</v>
      </c>
      <c r="D484" t="s">
        <v>25</v>
      </c>
      <c r="E484" t="s">
        <v>3147</v>
      </c>
      <c r="F484" t="s">
        <v>3148</v>
      </c>
      <c r="G484">
        <v>900982391</v>
      </c>
      <c r="H484" t="s">
        <v>2815</v>
      </c>
      <c r="I484" s="4" t="s">
        <v>2816</v>
      </c>
      <c r="J484" s="4" t="s">
        <v>35</v>
      </c>
      <c r="K484" t="s">
        <v>3165</v>
      </c>
      <c r="L484" t="s">
        <v>55</v>
      </c>
      <c r="M484" t="s">
        <v>3166</v>
      </c>
      <c r="N484" t="s">
        <v>56</v>
      </c>
      <c r="O484" t="s">
        <v>29</v>
      </c>
      <c r="P484" t="s">
        <v>54</v>
      </c>
      <c r="Q484" t="s">
        <v>31</v>
      </c>
      <c r="R484">
        <v>7</v>
      </c>
      <c r="S484" t="s">
        <v>3151</v>
      </c>
      <c r="T484" t="s">
        <v>7242</v>
      </c>
      <c r="U484" t="s">
        <v>7243</v>
      </c>
      <c r="V484" t="s">
        <v>49</v>
      </c>
      <c r="W484" t="s">
        <v>33</v>
      </c>
      <c r="X484" t="s">
        <v>33</v>
      </c>
      <c r="Y484" t="s">
        <v>33</v>
      </c>
      <c r="Z484" s="16" t="s">
        <v>34</v>
      </c>
      <c r="AA484">
        <v>-75.649831634999899</v>
      </c>
      <c r="AB484">
        <v>6.1379125160000303</v>
      </c>
      <c r="AC484" t="s">
        <v>135</v>
      </c>
      <c r="AD484" t="s">
        <v>136</v>
      </c>
    </row>
    <row r="485" spans="1:30" x14ac:dyDescent="0.25">
      <c r="A485" t="s">
        <v>3167</v>
      </c>
      <c r="B485" t="s">
        <v>25</v>
      </c>
      <c r="C485" t="s">
        <v>26</v>
      </c>
      <c r="D485" t="s">
        <v>25</v>
      </c>
      <c r="E485" t="s">
        <v>3168</v>
      </c>
      <c r="F485" t="s">
        <v>3169</v>
      </c>
      <c r="G485">
        <v>900982391</v>
      </c>
      <c r="H485" t="s">
        <v>2815</v>
      </c>
      <c r="I485" s="4" t="s">
        <v>2816</v>
      </c>
      <c r="J485" s="4" t="s">
        <v>35</v>
      </c>
      <c r="K485" t="s">
        <v>3170</v>
      </c>
      <c r="L485" t="s">
        <v>55</v>
      </c>
      <c r="M485" t="s">
        <v>3171</v>
      </c>
      <c r="N485" t="s">
        <v>56</v>
      </c>
      <c r="O485" t="s">
        <v>29</v>
      </c>
      <c r="P485" t="s">
        <v>54</v>
      </c>
      <c r="Q485" t="s">
        <v>31</v>
      </c>
      <c r="R485">
        <v>7</v>
      </c>
      <c r="S485" t="s">
        <v>3172</v>
      </c>
      <c r="T485" t="s">
        <v>7242</v>
      </c>
      <c r="U485" t="s">
        <v>7243</v>
      </c>
      <c r="V485" t="s">
        <v>49</v>
      </c>
      <c r="W485" t="s">
        <v>33</v>
      </c>
      <c r="X485" t="s">
        <v>33</v>
      </c>
      <c r="Y485" t="s">
        <v>33</v>
      </c>
      <c r="Z485" s="16" t="s">
        <v>34</v>
      </c>
      <c r="AA485">
        <v>-75.649831634999899</v>
      </c>
      <c r="AB485">
        <v>6.1379125160000303</v>
      </c>
      <c r="AC485" t="s">
        <v>135</v>
      </c>
      <c r="AD485" t="s">
        <v>136</v>
      </c>
    </row>
    <row r="486" spans="1:30" x14ac:dyDescent="0.25">
      <c r="A486" t="s">
        <v>3173</v>
      </c>
      <c r="B486" t="s">
        <v>25</v>
      </c>
      <c r="C486" t="s">
        <v>26</v>
      </c>
      <c r="D486" t="s">
        <v>25</v>
      </c>
      <c r="E486" t="s">
        <v>3147</v>
      </c>
      <c r="F486" t="s">
        <v>3148</v>
      </c>
      <c r="G486">
        <v>900982391</v>
      </c>
      <c r="H486" t="s">
        <v>2815</v>
      </c>
      <c r="I486" s="4" t="s">
        <v>2816</v>
      </c>
      <c r="J486" s="4" t="s">
        <v>35</v>
      </c>
      <c r="K486" t="s">
        <v>3174</v>
      </c>
      <c r="L486" t="s">
        <v>55</v>
      </c>
      <c r="M486" t="s">
        <v>3175</v>
      </c>
      <c r="N486" t="s">
        <v>56</v>
      </c>
      <c r="O486" t="s">
        <v>29</v>
      </c>
      <c r="P486" t="s">
        <v>54</v>
      </c>
      <c r="Q486" t="s">
        <v>31</v>
      </c>
      <c r="R486">
        <v>7</v>
      </c>
      <c r="S486" t="s">
        <v>3151</v>
      </c>
      <c r="T486" t="s">
        <v>7242</v>
      </c>
      <c r="U486" t="s">
        <v>7243</v>
      </c>
      <c r="V486" t="s">
        <v>49</v>
      </c>
      <c r="W486" t="s">
        <v>33</v>
      </c>
      <c r="X486" t="s">
        <v>33</v>
      </c>
      <c r="Y486" t="s">
        <v>33</v>
      </c>
      <c r="Z486" s="16" t="s">
        <v>34</v>
      </c>
      <c r="AA486">
        <v>-75.649831634999899</v>
      </c>
      <c r="AB486">
        <v>6.1379125160000303</v>
      </c>
      <c r="AC486" t="s">
        <v>135</v>
      </c>
      <c r="AD486" t="s">
        <v>136</v>
      </c>
    </row>
    <row r="487" spans="1:30" x14ac:dyDescent="0.25">
      <c r="A487" t="s">
        <v>3176</v>
      </c>
      <c r="B487" t="s">
        <v>25</v>
      </c>
      <c r="C487" t="s">
        <v>26</v>
      </c>
      <c r="D487" t="s">
        <v>25</v>
      </c>
      <c r="E487" t="s">
        <v>3168</v>
      </c>
      <c r="F487" t="s">
        <v>3169</v>
      </c>
      <c r="G487">
        <v>900982391</v>
      </c>
      <c r="H487" t="s">
        <v>2815</v>
      </c>
      <c r="I487" s="4" t="s">
        <v>2816</v>
      </c>
      <c r="J487" s="4" t="s">
        <v>35</v>
      </c>
      <c r="K487" t="s">
        <v>3177</v>
      </c>
      <c r="L487" t="s">
        <v>55</v>
      </c>
      <c r="M487" t="s">
        <v>3178</v>
      </c>
      <c r="N487" t="s">
        <v>56</v>
      </c>
      <c r="O487" t="s">
        <v>29</v>
      </c>
      <c r="P487" t="s">
        <v>54</v>
      </c>
      <c r="Q487" t="s">
        <v>31</v>
      </c>
      <c r="R487">
        <v>7</v>
      </c>
      <c r="S487" t="s">
        <v>3172</v>
      </c>
      <c r="T487" t="s">
        <v>7242</v>
      </c>
      <c r="U487" t="s">
        <v>7243</v>
      </c>
      <c r="V487" t="s">
        <v>49</v>
      </c>
      <c r="W487" t="s">
        <v>33</v>
      </c>
      <c r="X487" t="s">
        <v>33</v>
      </c>
      <c r="Y487" t="s">
        <v>33</v>
      </c>
      <c r="Z487" s="16" t="s">
        <v>34</v>
      </c>
      <c r="AA487">
        <v>-75.649831634999899</v>
      </c>
      <c r="AB487">
        <v>6.1379125160000303</v>
      </c>
      <c r="AC487" t="s">
        <v>135</v>
      </c>
      <c r="AD487" t="s">
        <v>136</v>
      </c>
    </row>
    <row r="488" spans="1:30" x14ac:dyDescent="0.25">
      <c r="A488" t="s">
        <v>3179</v>
      </c>
      <c r="B488" t="s">
        <v>25</v>
      </c>
      <c r="C488" t="s">
        <v>26</v>
      </c>
      <c r="D488" t="s">
        <v>25</v>
      </c>
      <c r="E488" t="s">
        <v>3180</v>
      </c>
      <c r="F488" t="s">
        <v>3181</v>
      </c>
      <c r="G488">
        <v>900982391</v>
      </c>
      <c r="H488" t="s">
        <v>2815</v>
      </c>
      <c r="I488" s="4" t="s">
        <v>2816</v>
      </c>
      <c r="J488" s="4" t="s">
        <v>35</v>
      </c>
      <c r="K488" t="s">
        <v>3182</v>
      </c>
      <c r="L488" t="s">
        <v>55</v>
      </c>
      <c r="M488" t="s">
        <v>3183</v>
      </c>
      <c r="N488" t="s">
        <v>56</v>
      </c>
      <c r="O488" t="s">
        <v>29</v>
      </c>
      <c r="P488" t="s">
        <v>54</v>
      </c>
      <c r="Q488" t="s">
        <v>31</v>
      </c>
      <c r="R488">
        <v>7</v>
      </c>
      <c r="S488" t="s">
        <v>3184</v>
      </c>
      <c r="T488" t="s">
        <v>7242</v>
      </c>
      <c r="U488" t="s">
        <v>7243</v>
      </c>
      <c r="V488" t="s">
        <v>49</v>
      </c>
      <c r="W488" t="s">
        <v>33</v>
      </c>
      <c r="X488" t="s">
        <v>33</v>
      </c>
      <c r="Y488" t="s">
        <v>33</v>
      </c>
      <c r="Z488" s="16" t="s">
        <v>34</v>
      </c>
      <c r="AA488">
        <v>-75.649831634999899</v>
      </c>
      <c r="AB488">
        <v>6.1379125160000303</v>
      </c>
      <c r="AC488" t="s">
        <v>135</v>
      </c>
      <c r="AD488" t="s">
        <v>136</v>
      </c>
    </row>
    <row r="489" spans="1:30" x14ac:dyDescent="0.25">
      <c r="A489" t="s">
        <v>3185</v>
      </c>
      <c r="B489" t="s">
        <v>25</v>
      </c>
      <c r="C489" t="s">
        <v>26</v>
      </c>
      <c r="D489" t="s">
        <v>25</v>
      </c>
      <c r="E489" t="s">
        <v>3180</v>
      </c>
      <c r="F489" t="s">
        <v>3181</v>
      </c>
      <c r="G489">
        <v>900982391</v>
      </c>
      <c r="H489" t="s">
        <v>2815</v>
      </c>
      <c r="I489" s="4" t="s">
        <v>2816</v>
      </c>
      <c r="J489" s="4" t="s">
        <v>35</v>
      </c>
      <c r="K489" t="s">
        <v>3186</v>
      </c>
      <c r="L489" t="s">
        <v>55</v>
      </c>
      <c r="M489" t="s">
        <v>3187</v>
      </c>
      <c r="N489" t="s">
        <v>56</v>
      </c>
      <c r="O489" t="s">
        <v>29</v>
      </c>
      <c r="P489" t="s">
        <v>54</v>
      </c>
      <c r="Q489" t="s">
        <v>31</v>
      </c>
      <c r="R489">
        <v>7</v>
      </c>
      <c r="S489" t="s">
        <v>3184</v>
      </c>
      <c r="T489" t="s">
        <v>7242</v>
      </c>
      <c r="U489" t="s">
        <v>7243</v>
      </c>
      <c r="V489" t="s">
        <v>49</v>
      </c>
      <c r="W489" t="s">
        <v>33</v>
      </c>
      <c r="X489" t="s">
        <v>33</v>
      </c>
      <c r="Y489" t="s">
        <v>33</v>
      </c>
      <c r="Z489" s="16" t="s">
        <v>34</v>
      </c>
      <c r="AA489">
        <v>-75.649831634999899</v>
      </c>
      <c r="AB489">
        <v>6.1379125160000303</v>
      </c>
      <c r="AC489" t="s">
        <v>135</v>
      </c>
      <c r="AD489" t="s">
        <v>136</v>
      </c>
    </row>
    <row r="490" spans="1:30" x14ac:dyDescent="0.25">
      <c r="A490" t="s">
        <v>3188</v>
      </c>
      <c r="B490" t="s">
        <v>25</v>
      </c>
      <c r="C490" t="s">
        <v>26</v>
      </c>
      <c r="D490" t="s">
        <v>25</v>
      </c>
      <c r="E490" t="s">
        <v>3189</v>
      </c>
      <c r="F490" t="s">
        <v>3190</v>
      </c>
      <c r="G490">
        <v>900982391</v>
      </c>
      <c r="H490" t="s">
        <v>2815</v>
      </c>
      <c r="I490" s="4" t="s">
        <v>2816</v>
      </c>
      <c r="J490" s="4" t="s">
        <v>35</v>
      </c>
      <c r="K490" t="s">
        <v>3191</v>
      </c>
      <c r="L490" t="s">
        <v>55</v>
      </c>
      <c r="M490" t="s">
        <v>3192</v>
      </c>
      <c r="N490" t="s">
        <v>56</v>
      </c>
      <c r="O490" t="s">
        <v>29</v>
      </c>
      <c r="P490" t="s">
        <v>54</v>
      </c>
      <c r="Q490" t="s">
        <v>31</v>
      </c>
      <c r="R490">
        <v>7</v>
      </c>
      <c r="S490" t="s">
        <v>3193</v>
      </c>
      <c r="T490" t="s">
        <v>7242</v>
      </c>
      <c r="U490" t="s">
        <v>7243</v>
      </c>
      <c r="V490" t="s">
        <v>49</v>
      </c>
      <c r="W490" t="s">
        <v>33</v>
      </c>
      <c r="X490" t="s">
        <v>33</v>
      </c>
      <c r="Y490" t="s">
        <v>33</v>
      </c>
      <c r="Z490" s="16" t="s">
        <v>34</v>
      </c>
      <c r="AA490">
        <v>-75.649831634999899</v>
      </c>
      <c r="AB490">
        <v>6.1379125160000303</v>
      </c>
      <c r="AC490" t="s">
        <v>135</v>
      </c>
      <c r="AD490" t="s">
        <v>136</v>
      </c>
    </row>
    <row r="491" spans="1:30" x14ac:dyDescent="0.25">
      <c r="A491" t="s">
        <v>3194</v>
      </c>
      <c r="B491" t="s">
        <v>25</v>
      </c>
      <c r="C491" t="s">
        <v>26</v>
      </c>
      <c r="D491" t="s">
        <v>25</v>
      </c>
      <c r="E491" t="s">
        <v>3195</v>
      </c>
      <c r="F491" t="s">
        <v>3196</v>
      </c>
      <c r="G491">
        <v>900982391</v>
      </c>
      <c r="H491" t="s">
        <v>2815</v>
      </c>
      <c r="I491" s="4" t="s">
        <v>2816</v>
      </c>
      <c r="J491" s="4" t="s">
        <v>35</v>
      </c>
      <c r="K491" t="s">
        <v>3197</v>
      </c>
      <c r="L491" t="s">
        <v>55</v>
      </c>
      <c r="M491" t="s">
        <v>3198</v>
      </c>
      <c r="N491" t="s">
        <v>56</v>
      </c>
      <c r="O491" t="s">
        <v>29</v>
      </c>
      <c r="P491" t="s">
        <v>54</v>
      </c>
      <c r="Q491" t="s">
        <v>31</v>
      </c>
      <c r="R491">
        <v>7</v>
      </c>
      <c r="S491" t="s">
        <v>3199</v>
      </c>
      <c r="T491" t="s">
        <v>7242</v>
      </c>
      <c r="U491" t="s">
        <v>7243</v>
      </c>
      <c r="V491" t="s">
        <v>49</v>
      </c>
      <c r="W491" t="s">
        <v>33</v>
      </c>
      <c r="X491" t="s">
        <v>33</v>
      </c>
      <c r="Y491" t="s">
        <v>33</v>
      </c>
      <c r="Z491" s="16" t="s">
        <v>34</v>
      </c>
      <c r="AA491">
        <v>-75.649831634999899</v>
      </c>
      <c r="AB491">
        <v>6.1379125160000303</v>
      </c>
      <c r="AC491" t="s">
        <v>135</v>
      </c>
      <c r="AD491" t="s">
        <v>136</v>
      </c>
    </row>
    <row r="492" spans="1:30" x14ac:dyDescent="0.25">
      <c r="A492" t="s">
        <v>3200</v>
      </c>
      <c r="B492" t="s">
        <v>25</v>
      </c>
      <c r="C492" t="s">
        <v>26</v>
      </c>
      <c r="D492" t="s">
        <v>25</v>
      </c>
      <c r="E492" t="s">
        <v>3195</v>
      </c>
      <c r="F492" t="s">
        <v>3196</v>
      </c>
      <c r="G492">
        <v>900982391</v>
      </c>
      <c r="H492" t="s">
        <v>2815</v>
      </c>
      <c r="I492" s="4" t="s">
        <v>2816</v>
      </c>
      <c r="J492" s="4" t="s">
        <v>35</v>
      </c>
      <c r="K492" t="s">
        <v>3201</v>
      </c>
      <c r="L492" t="s">
        <v>55</v>
      </c>
      <c r="M492" t="s">
        <v>3202</v>
      </c>
      <c r="N492" t="s">
        <v>56</v>
      </c>
      <c r="O492" t="s">
        <v>29</v>
      </c>
      <c r="P492" t="s">
        <v>54</v>
      </c>
      <c r="Q492" t="s">
        <v>31</v>
      </c>
      <c r="R492">
        <v>7</v>
      </c>
      <c r="S492" t="s">
        <v>3199</v>
      </c>
      <c r="T492" t="s">
        <v>7242</v>
      </c>
      <c r="U492" t="s">
        <v>7243</v>
      </c>
      <c r="V492" t="s">
        <v>49</v>
      </c>
      <c r="W492" t="s">
        <v>33</v>
      </c>
      <c r="X492" t="s">
        <v>33</v>
      </c>
      <c r="Y492" t="s">
        <v>33</v>
      </c>
      <c r="Z492" s="16" t="s">
        <v>34</v>
      </c>
      <c r="AA492">
        <v>-75.649831634999899</v>
      </c>
      <c r="AB492">
        <v>6.1379125160000303</v>
      </c>
      <c r="AC492" t="s">
        <v>135</v>
      </c>
      <c r="AD492" t="s">
        <v>136</v>
      </c>
    </row>
    <row r="493" spans="1:30" x14ac:dyDescent="0.25">
      <c r="A493" t="s">
        <v>3203</v>
      </c>
      <c r="B493" t="s">
        <v>25</v>
      </c>
      <c r="C493" t="s">
        <v>26</v>
      </c>
      <c r="D493" t="s">
        <v>25</v>
      </c>
      <c r="E493" t="s">
        <v>3195</v>
      </c>
      <c r="F493" t="s">
        <v>3196</v>
      </c>
      <c r="G493">
        <v>900982391</v>
      </c>
      <c r="H493" t="s">
        <v>2815</v>
      </c>
      <c r="I493" s="4" t="s">
        <v>2816</v>
      </c>
      <c r="J493" s="4" t="s">
        <v>35</v>
      </c>
      <c r="K493" t="s">
        <v>3204</v>
      </c>
      <c r="L493" t="s">
        <v>55</v>
      </c>
      <c r="M493" t="s">
        <v>3205</v>
      </c>
      <c r="N493" t="s">
        <v>56</v>
      </c>
      <c r="O493" t="s">
        <v>29</v>
      </c>
      <c r="P493" t="s">
        <v>54</v>
      </c>
      <c r="Q493" t="s">
        <v>31</v>
      </c>
      <c r="R493">
        <v>7</v>
      </c>
      <c r="S493" t="s">
        <v>3199</v>
      </c>
      <c r="T493" t="s">
        <v>7242</v>
      </c>
      <c r="U493" t="s">
        <v>7243</v>
      </c>
      <c r="V493" t="s">
        <v>49</v>
      </c>
      <c r="W493" t="s">
        <v>33</v>
      </c>
      <c r="X493" t="s">
        <v>33</v>
      </c>
      <c r="Y493" t="s">
        <v>33</v>
      </c>
      <c r="Z493" s="16" t="s">
        <v>34</v>
      </c>
      <c r="AA493">
        <v>-75.649831634999899</v>
      </c>
      <c r="AB493">
        <v>6.1379125160000303</v>
      </c>
      <c r="AC493" t="s">
        <v>135</v>
      </c>
      <c r="AD493" t="s">
        <v>136</v>
      </c>
    </row>
    <row r="494" spans="1:30" x14ac:dyDescent="0.25">
      <c r="A494" t="s">
        <v>3206</v>
      </c>
      <c r="B494" t="s">
        <v>25</v>
      </c>
      <c r="C494" t="s">
        <v>26</v>
      </c>
      <c r="D494" t="s">
        <v>25</v>
      </c>
      <c r="E494" t="s">
        <v>3195</v>
      </c>
      <c r="F494" t="s">
        <v>3196</v>
      </c>
      <c r="G494">
        <v>900982391</v>
      </c>
      <c r="H494" t="s">
        <v>2815</v>
      </c>
      <c r="I494" s="4" t="s">
        <v>2816</v>
      </c>
      <c r="J494" s="4" t="s">
        <v>35</v>
      </c>
      <c r="K494" t="s">
        <v>3207</v>
      </c>
      <c r="L494" t="s">
        <v>55</v>
      </c>
      <c r="M494" t="s">
        <v>3208</v>
      </c>
      <c r="N494" t="s">
        <v>56</v>
      </c>
      <c r="O494" t="s">
        <v>29</v>
      </c>
      <c r="P494" t="s">
        <v>54</v>
      </c>
      <c r="Q494" t="s">
        <v>31</v>
      </c>
      <c r="R494">
        <v>7</v>
      </c>
      <c r="S494" t="s">
        <v>3199</v>
      </c>
      <c r="T494" t="s">
        <v>7242</v>
      </c>
      <c r="U494" t="s">
        <v>7243</v>
      </c>
      <c r="V494" t="s">
        <v>49</v>
      </c>
      <c r="W494" t="s">
        <v>33</v>
      </c>
      <c r="X494" t="s">
        <v>33</v>
      </c>
      <c r="Y494" t="s">
        <v>33</v>
      </c>
      <c r="Z494" s="16" t="s">
        <v>34</v>
      </c>
      <c r="AA494">
        <v>-75.649831634999899</v>
      </c>
      <c r="AB494">
        <v>6.1379125160000303</v>
      </c>
      <c r="AC494" t="s">
        <v>135</v>
      </c>
      <c r="AD494" t="s">
        <v>136</v>
      </c>
    </row>
    <row r="495" spans="1:30" x14ac:dyDescent="0.25">
      <c r="A495" t="s">
        <v>3209</v>
      </c>
      <c r="B495" t="s">
        <v>25</v>
      </c>
      <c r="C495" t="s">
        <v>26</v>
      </c>
      <c r="D495" t="s">
        <v>25</v>
      </c>
      <c r="E495" t="s">
        <v>3195</v>
      </c>
      <c r="F495" t="s">
        <v>3196</v>
      </c>
      <c r="G495">
        <v>900982391</v>
      </c>
      <c r="H495" t="s">
        <v>2815</v>
      </c>
      <c r="I495" s="4" t="s">
        <v>2816</v>
      </c>
      <c r="J495" s="4" t="s">
        <v>35</v>
      </c>
      <c r="K495" t="s">
        <v>3210</v>
      </c>
      <c r="L495" t="s">
        <v>55</v>
      </c>
      <c r="M495" t="s">
        <v>3211</v>
      </c>
      <c r="N495" t="s">
        <v>56</v>
      </c>
      <c r="O495" t="s">
        <v>29</v>
      </c>
      <c r="P495" t="s">
        <v>54</v>
      </c>
      <c r="Q495" t="s">
        <v>31</v>
      </c>
      <c r="R495">
        <v>7</v>
      </c>
      <c r="S495" t="s">
        <v>3199</v>
      </c>
      <c r="T495" t="s">
        <v>7242</v>
      </c>
      <c r="U495" t="s">
        <v>7243</v>
      </c>
      <c r="V495" t="s">
        <v>49</v>
      </c>
      <c r="W495" t="s">
        <v>33</v>
      </c>
      <c r="X495" t="s">
        <v>33</v>
      </c>
      <c r="Y495" t="s">
        <v>33</v>
      </c>
      <c r="Z495" s="16" t="s">
        <v>34</v>
      </c>
      <c r="AA495">
        <v>-75.649831634999899</v>
      </c>
      <c r="AB495">
        <v>6.1379125160000303</v>
      </c>
      <c r="AC495" t="s">
        <v>135</v>
      </c>
      <c r="AD495" t="s">
        <v>136</v>
      </c>
    </row>
    <row r="496" spans="1:30" x14ac:dyDescent="0.25">
      <c r="A496" t="s">
        <v>3212</v>
      </c>
      <c r="B496" t="s">
        <v>25</v>
      </c>
      <c r="C496" t="s">
        <v>26</v>
      </c>
      <c r="D496" t="s">
        <v>25</v>
      </c>
      <c r="E496" t="s">
        <v>3195</v>
      </c>
      <c r="F496" t="s">
        <v>3196</v>
      </c>
      <c r="G496">
        <v>900982391</v>
      </c>
      <c r="H496" t="s">
        <v>2815</v>
      </c>
      <c r="I496" s="4" t="s">
        <v>2816</v>
      </c>
      <c r="J496" s="4" t="s">
        <v>35</v>
      </c>
      <c r="K496" t="s">
        <v>3213</v>
      </c>
      <c r="L496" t="s">
        <v>55</v>
      </c>
      <c r="M496" t="s">
        <v>3214</v>
      </c>
      <c r="N496" t="s">
        <v>56</v>
      </c>
      <c r="O496" t="s">
        <v>29</v>
      </c>
      <c r="P496" t="s">
        <v>54</v>
      </c>
      <c r="Q496" t="s">
        <v>31</v>
      </c>
      <c r="R496">
        <v>7</v>
      </c>
      <c r="S496" t="s">
        <v>3199</v>
      </c>
      <c r="T496" t="s">
        <v>7242</v>
      </c>
      <c r="U496" t="s">
        <v>7243</v>
      </c>
      <c r="V496" t="s">
        <v>49</v>
      </c>
      <c r="W496" t="s">
        <v>33</v>
      </c>
      <c r="X496" t="s">
        <v>33</v>
      </c>
      <c r="Y496" t="s">
        <v>33</v>
      </c>
      <c r="Z496" s="16" t="s">
        <v>34</v>
      </c>
      <c r="AA496">
        <v>-75.649831634999899</v>
      </c>
      <c r="AB496">
        <v>6.1379125160000303</v>
      </c>
      <c r="AC496" t="s">
        <v>135</v>
      </c>
      <c r="AD496" t="s">
        <v>136</v>
      </c>
    </row>
    <row r="497" spans="1:30" x14ac:dyDescent="0.25">
      <c r="A497" t="s">
        <v>3215</v>
      </c>
      <c r="B497" t="s">
        <v>25</v>
      </c>
      <c r="C497" t="s">
        <v>26</v>
      </c>
      <c r="D497" t="s">
        <v>25</v>
      </c>
      <c r="E497" t="s">
        <v>3216</v>
      </c>
      <c r="F497" t="s">
        <v>3217</v>
      </c>
      <c r="G497">
        <v>900982391</v>
      </c>
      <c r="H497" t="s">
        <v>2815</v>
      </c>
      <c r="I497" s="4" t="s">
        <v>2816</v>
      </c>
      <c r="J497" s="4" t="s">
        <v>35</v>
      </c>
      <c r="K497" t="s">
        <v>3218</v>
      </c>
      <c r="L497" t="s">
        <v>55</v>
      </c>
      <c r="M497" t="s">
        <v>3219</v>
      </c>
      <c r="N497" t="s">
        <v>56</v>
      </c>
      <c r="O497" t="s">
        <v>29</v>
      </c>
      <c r="P497" t="s">
        <v>54</v>
      </c>
      <c r="Q497" t="s">
        <v>31</v>
      </c>
      <c r="R497">
        <v>7</v>
      </c>
      <c r="S497" t="s">
        <v>3220</v>
      </c>
      <c r="T497" t="s">
        <v>7242</v>
      </c>
      <c r="U497" t="s">
        <v>7243</v>
      </c>
      <c r="V497" t="s">
        <v>49</v>
      </c>
      <c r="W497" t="s">
        <v>33</v>
      </c>
      <c r="X497" t="s">
        <v>33</v>
      </c>
      <c r="Y497" t="s">
        <v>33</v>
      </c>
      <c r="Z497" s="16" t="s">
        <v>34</v>
      </c>
      <c r="AA497">
        <v>-75.649831634999899</v>
      </c>
      <c r="AB497">
        <v>6.1379125160000303</v>
      </c>
      <c r="AC497" t="s">
        <v>135</v>
      </c>
      <c r="AD497" t="s">
        <v>136</v>
      </c>
    </row>
    <row r="498" spans="1:30" x14ac:dyDescent="0.25">
      <c r="A498" t="s">
        <v>3221</v>
      </c>
      <c r="B498" t="s">
        <v>25</v>
      </c>
      <c r="C498" t="s">
        <v>26</v>
      </c>
      <c r="D498" t="s">
        <v>25</v>
      </c>
      <c r="E498" t="s">
        <v>3222</v>
      </c>
      <c r="F498" t="s">
        <v>3223</v>
      </c>
      <c r="G498">
        <v>900982391</v>
      </c>
      <c r="H498" t="s">
        <v>2815</v>
      </c>
      <c r="I498" s="4" t="s">
        <v>2816</v>
      </c>
      <c r="J498" s="4" t="s">
        <v>35</v>
      </c>
      <c r="K498" t="s">
        <v>3224</v>
      </c>
      <c r="L498" t="s">
        <v>55</v>
      </c>
      <c r="M498" t="s">
        <v>3225</v>
      </c>
      <c r="N498" t="s">
        <v>56</v>
      </c>
      <c r="O498" t="s">
        <v>29</v>
      </c>
      <c r="P498" t="s">
        <v>54</v>
      </c>
      <c r="Q498" t="s">
        <v>31</v>
      </c>
      <c r="R498">
        <v>7</v>
      </c>
      <c r="S498" t="s">
        <v>3226</v>
      </c>
      <c r="T498" t="s">
        <v>7242</v>
      </c>
      <c r="U498" t="s">
        <v>7243</v>
      </c>
      <c r="V498" t="s">
        <v>49</v>
      </c>
      <c r="W498" t="s">
        <v>33</v>
      </c>
      <c r="X498" t="s">
        <v>33</v>
      </c>
      <c r="Y498" t="s">
        <v>33</v>
      </c>
      <c r="Z498" s="16" t="s">
        <v>34</v>
      </c>
      <c r="AA498">
        <v>-75.649831634999899</v>
      </c>
      <c r="AB498">
        <v>6.1379125160000303</v>
      </c>
      <c r="AC498" t="s">
        <v>135</v>
      </c>
      <c r="AD498" t="s">
        <v>136</v>
      </c>
    </row>
    <row r="499" spans="1:30" x14ac:dyDescent="0.25">
      <c r="A499" t="s">
        <v>3227</v>
      </c>
      <c r="B499" t="s">
        <v>25</v>
      </c>
      <c r="C499" t="s">
        <v>26</v>
      </c>
      <c r="D499" t="s">
        <v>25</v>
      </c>
      <c r="E499" t="s">
        <v>3228</v>
      </c>
      <c r="F499" t="s">
        <v>3229</v>
      </c>
      <c r="G499">
        <v>900982391</v>
      </c>
      <c r="H499" t="s">
        <v>2815</v>
      </c>
      <c r="I499" s="4" t="s">
        <v>2816</v>
      </c>
      <c r="J499" s="4" t="s">
        <v>35</v>
      </c>
      <c r="K499" t="s">
        <v>3230</v>
      </c>
      <c r="L499" t="s">
        <v>55</v>
      </c>
      <c r="M499" t="s">
        <v>3231</v>
      </c>
      <c r="N499" t="s">
        <v>56</v>
      </c>
      <c r="O499" t="s">
        <v>29</v>
      </c>
      <c r="P499" t="s">
        <v>54</v>
      </c>
      <c r="Q499" t="s">
        <v>31</v>
      </c>
      <c r="R499">
        <v>7</v>
      </c>
      <c r="S499" t="s">
        <v>3232</v>
      </c>
      <c r="T499" t="s">
        <v>7242</v>
      </c>
      <c r="U499" t="s">
        <v>7243</v>
      </c>
      <c r="V499" t="s">
        <v>49</v>
      </c>
      <c r="W499" t="s">
        <v>33</v>
      </c>
      <c r="X499" t="s">
        <v>33</v>
      </c>
      <c r="Y499" t="s">
        <v>33</v>
      </c>
      <c r="Z499" s="16" t="s">
        <v>34</v>
      </c>
      <c r="AA499">
        <v>-75.649831634999899</v>
      </c>
      <c r="AB499">
        <v>6.1379125160000303</v>
      </c>
      <c r="AC499" t="s">
        <v>135</v>
      </c>
      <c r="AD499" t="s">
        <v>136</v>
      </c>
    </row>
    <row r="500" spans="1:30" x14ac:dyDescent="0.25">
      <c r="A500" t="s">
        <v>3233</v>
      </c>
      <c r="B500" t="s">
        <v>25</v>
      </c>
      <c r="C500" t="s">
        <v>26</v>
      </c>
      <c r="D500" t="s">
        <v>25</v>
      </c>
      <c r="E500" t="s">
        <v>3222</v>
      </c>
      <c r="F500" t="s">
        <v>3223</v>
      </c>
      <c r="G500">
        <v>900982391</v>
      </c>
      <c r="H500" t="s">
        <v>2815</v>
      </c>
      <c r="I500" s="4" t="s">
        <v>2816</v>
      </c>
      <c r="J500" s="4" t="s">
        <v>35</v>
      </c>
      <c r="K500" t="s">
        <v>3234</v>
      </c>
      <c r="L500" t="s">
        <v>55</v>
      </c>
      <c r="M500" t="s">
        <v>3235</v>
      </c>
      <c r="N500" t="s">
        <v>56</v>
      </c>
      <c r="O500" t="s">
        <v>29</v>
      </c>
      <c r="P500" t="s">
        <v>54</v>
      </c>
      <c r="Q500" t="s">
        <v>31</v>
      </c>
      <c r="R500">
        <v>7</v>
      </c>
      <c r="S500" t="s">
        <v>3226</v>
      </c>
      <c r="T500" t="s">
        <v>7242</v>
      </c>
      <c r="U500" t="s">
        <v>7243</v>
      </c>
      <c r="V500" t="s">
        <v>49</v>
      </c>
      <c r="W500" t="s">
        <v>33</v>
      </c>
      <c r="X500" t="s">
        <v>33</v>
      </c>
      <c r="Y500" t="s">
        <v>33</v>
      </c>
      <c r="Z500" s="16" t="s">
        <v>34</v>
      </c>
      <c r="AA500">
        <v>-75.649831634999899</v>
      </c>
      <c r="AB500">
        <v>6.1379125160000303</v>
      </c>
      <c r="AC500" t="s">
        <v>135</v>
      </c>
      <c r="AD500" t="s">
        <v>136</v>
      </c>
    </row>
    <row r="501" spans="1:30" x14ac:dyDescent="0.25">
      <c r="A501" t="s">
        <v>3236</v>
      </c>
      <c r="B501" t="s">
        <v>25</v>
      </c>
      <c r="C501" t="s">
        <v>26</v>
      </c>
      <c r="D501" t="s">
        <v>25</v>
      </c>
      <c r="E501" t="s">
        <v>3222</v>
      </c>
      <c r="F501" t="s">
        <v>3223</v>
      </c>
      <c r="G501">
        <v>900982391</v>
      </c>
      <c r="H501" t="s">
        <v>2815</v>
      </c>
      <c r="I501" s="4" t="s">
        <v>2816</v>
      </c>
      <c r="J501" s="4" t="s">
        <v>35</v>
      </c>
      <c r="K501" t="s">
        <v>3237</v>
      </c>
      <c r="L501" t="s">
        <v>55</v>
      </c>
      <c r="M501" t="s">
        <v>3238</v>
      </c>
      <c r="N501" t="s">
        <v>56</v>
      </c>
      <c r="O501" t="s">
        <v>29</v>
      </c>
      <c r="P501" t="s">
        <v>54</v>
      </c>
      <c r="Q501" t="s">
        <v>31</v>
      </c>
      <c r="R501">
        <v>7</v>
      </c>
      <c r="S501" t="s">
        <v>3226</v>
      </c>
      <c r="T501" t="s">
        <v>7242</v>
      </c>
      <c r="U501" t="s">
        <v>7243</v>
      </c>
      <c r="V501" t="s">
        <v>49</v>
      </c>
      <c r="W501" t="s">
        <v>33</v>
      </c>
      <c r="X501" t="s">
        <v>33</v>
      </c>
      <c r="Y501" t="s">
        <v>33</v>
      </c>
      <c r="Z501" s="16" t="s">
        <v>34</v>
      </c>
      <c r="AA501">
        <v>-75.649831634999899</v>
      </c>
      <c r="AB501">
        <v>6.1379125160000303</v>
      </c>
      <c r="AC501" t="s">
        <v>135</v>
      </c>
      <c r="AD501" t="s">
        <v>136</v>
      </c>
    </row>
    <row r="502" spans="1:30" x14ac:dyDescent="0.25">
      <c r="A502" t="s">
        <v>3239</v>
      </c>
      <c r="B502" t="s">
        <v>25</v>
      </c>
      <c r="C502" t="s">
        <v>26</v>
      </c>
      <c r="D502" t="s">
        <v>25</v>
      </c>
      <c r="E502" t="s">
        <v>3228</v>
      </c>
      <c r="F502" t="s">
        <v>3229</v>
      </c>
      <c r="G502">
        <v>900982391</v>
      </c>
      <c r="H502" t="s">
        <v>2815</v>
      </c>
      <c r="I502" s="4" t="s">
        <v>2816</v>
      </c>
      <c r="J502" s="4" t="s">
        <v>35</v>
      </c>
      <c r="K502" t="s">
        <v>3240</v>
      </c>
      <c r="L502" t="s">
        <v>55</v>
      </c>
      <c r="M502" t="s">
        <v>3241</v>
      </c>
      <c r="N502" t="s">
        <v>56</v>
      </c>
      <c r="O502" t="s">
        <v>29</v>
      </c>
      <c r="P502" t="s">
        <v>54</v>
      </c>
      <c r="Q502" t="s">
        <v>31</v>
      </c>
      <c r="R502">
        <v>7</v>
      </c>
      <c r="S502" t="s">
        <v>3232</v>
      </c>
      <c r="T502" t="s">
        <v>7242</v>
      </c>
      <c r="U502" t="s">
        <v>7243</v>
      </c>
      <c r="V502" t="s">
        <v>49</v>
      </c>
      <c r="W502" t="s">
        <v>33</v>
      </c>
      <c r="X502" t="s">
        <v>33</v>
      </c>
      <c r="Y502" t="s">
        <v>33</v>
      </c>
      <c r="Z502" s="16" t="s">
        <v>34</v>
      </c>
      <c r="AA502">
        <v>-75.649831634999899</v>
      </c>
      <c r="AB502">
        <v>6.1379125160000303</v>
      </c>
      <c r="AC502" t="s">
        <v>135</v>
      </c>
      <c r="AD502" t="s">
        <v>136</v>
      </c>
    </row>
    <row r="503" spans="1:30" x14ac:dyDescent="0.25">
      <c r="A503" t="s">
        <v>3242</v>
      </c>
      <c r="B503" t="s">
        <v>25</v>
      </c>
      <c r="C503" t="s">
        <v>26</v>
      </c>
      <c r="D503" t="s">
        <v>25</v>
      </c>
      <c r="E503" t="s">
        <v>3243</v>
      </c>
      <c r="F503" t="s">
        <v>3244</v>
      </c>
      <c r="G503">
        <v>900982391</v>
      </c>
      <c r="H503" t="s">
        <v>2815</v>
      </c>
      <c r="I503" s="4" t="s">
        <v>2816</v>
      </c>
      <c r="J503" s="4" t="s">
        <v>35</v>
      </c>
      <c r="K503" t="s">
        <v>3245</v>
      </c>
      <c r="L503" t="s">
        <v>55</v>
      </c>
      <c r="M503" t="s">
        <v>3246</v>
      </c>
      <c r="N503" t="s">
        <v>56</v>
      </c>
      <c r="O503" t="s">
        <v>29</v>
      </c>
      <c r="P503" t="s">
        <v>54</v>
      </c>
      <c r="Q503" t="s">
        <v>31</v>
      </c>
      <c r="R503">
        <v>7</v>
      </c>
      <c r="S503" t="s">
        <v>3247</v>
      </c>
      <c r="T503" t="s">
        <v>7242</v>
      </c>
      <c r="U503" t="s">
        <v>7243</v>
      </c>
      <c r="V503" t="s">
        <v>49</v>
      </c>
      <c r="W503" t="s">
        <v>33</v>
      </c>
      <c r="X503" t="s">
        <v>33</v>
      </c>
      <c r="Y503" t="s">
        <v>33</v>
      </c>
      <c r="Z503" s="16" t="s">
        <v>34</v>
      </c>
      <c r="AA503">
        <v>-75.649831634999899</v>
      </c>
      <c r="AB503">
        <v>6.1379125160000303</v>
      </c>
      <c r="AC503" t="s">
        <v>135</v>
      </c>
      <c r="AD503" t="s">
        <v>136</v>
      </c>
    </row>
    <row r="504" spans="1:30" x14ac:dyDescent="0.25">
      <c r="A504" t="s">
        <v>3248</v>
      </c>
      <c r="B504" t="s">
        <v>25</v>
      </c>
      <c r="C504" t="s">
        <v>26</v>
      </c>
      <c r="D504" t="s">
        <v>25</v>
      </c>
      <c r="E504" t="s">
        <v>3249</v>
      </c>
      <c r="F504" t="s">
        <v>3250</v>
      </c>
      <c r="G504">
        <v>900982391</v>
      </c>
      <c r="H504" t="s">
        <v>2815</v>
      </c>
      <c r="I504" s="4" t="s">
        <v>2816</v>
      </c>
      <c r="J504" s="4" t="s">
        <v>35</v>
      </c>
      <c r="K504" t="s">
        <v>3251</v>
      </c>
      <c r="L504" t="s">
        <v>55</v>
      </c>
      <c r="M504" t="s">
        <v>3252</v>
      </c>
      <c r="N504" t="s">
        <v>56</v>
      </c>
      <c r="O504" t="s">
        <v>29</v>
      </c>
      <c r="P504" t="s">
        <v>54</v>
      </c>
      <c r="Q504" t="s">
        <v>31</v>
      </c>
      <c r="R504">
        <v>7</v>
      </c>
      <c r="S504" t="s">
        <v>3253</v>
      </c>
      <c r="T504" t="s">
        <v>7242</v>
      </c>
      <c r="U504" t="s">
        <v>7243</v>
      </c>
      <c r="V504" t="s">
        <v>49</v>
      </c>
      <c r="W504" t="s">
        <v>33</v>
      </c>
      <c r="X504" t="s">
        <v>33</v>
      </c>
      <c r="Y504" t="s">
        <v>33</v>
      </c>
      <c r="Z504" s="16" t="s">
        <v>34</v>
      </c>
      <c r="AA504">
        <v>-75.649831634999899</v>
      </c>
      <c r="AB504">
        <v>6.1379125160000303</v>
      </c>
      <c r="AC504" t="s">
        <v>135</v>
      </c>
      <c r="AD504" t="s">
        <v>136</v>
      </c>
    </row>
    <row r="505" spans="1:30" x14ac:dyDescent="0.25">
      <c r="A505" t="s">
        <v>3254</v>
      </c>
      <c r="B505" t="s">
        <v>25</v>
      </c>
      <c r="C505" t="s">
        <v>26</v>
      </c>
      <c r="D505" t="s">
        <v>25</v>
      </c>
      <c r="E505" t="s">
        <v>3249</v>
      </c>
      <c r="F505" t="s">
        <v>3250</v>
      </c>
      <c r="G505">
        <v>900982391</v>
      </c>
      <c r="H505" t="s">
        <v>2815</v>
      </c>
      <c r="I505" s="4" t="s">
        <v>2816</v>
      </c>
      <c r="J505" s="4" t="s">
        <v>35</v>
      </c>
      <c r="K505" t="s">
        <v>3255</v>
      </c>
      <c r="L505" t="s">
        <v>55</v>
      </c>
      <c r="M505" t="s">
        <v>3256</v>
      </c>
      <c r="N505" t="s">
        <v>56</v>
      </c>
      <c r="O505" t="s">
        <v>29</v>
      </c>
      <c r="P505" t="s">
        <v>54</v>
      </c>
      <c r="Q505" t="s">
        <v>31</v>
      </c>
      <c r="R505">
        <v>7</v>
      </c>
      <c r="S505" t="s">
        <v>3253</v>
      </c>
      <c r="T505" t="s">
        <v>7242</v>
      </c>
      <c r="U505" t="s">
        <v>7243</v>
      </c>
      <c r="V505" t="s">
        <v>49</v>
      </c>
      <c r="W505" t="s">
        <v>33</v>
      </c>
      <c r="X505" t="s">
        <v>33</v>
      </c>
      <c r="Y505" t="s">
        <v>33</v>
      </c>
      <c r="Z505" s="16" t="s">
        <v>34</v>
      </c>
      <c r="AA505">
        <v>-75.649831634999899</v>
      </c>
      <c r="AB505">
        <v>6.1379125160000303</v>
      </c>
      <c r="AC505" t="s">
        <v>135</v>
      </c>
      <c r="AD505" t="s">
        <v>136</v>
      </c>
    </row>
    <row r="506" spans="1:30" x14ac:dyDescent="0.25">
      <c r="A506" t="s">
        <v>3257</v>
      </c>
      <c r="B506" t="s">
        <v>25</v>
      </c>
      <c r="C506" t="s">
        <v>26</v>
      </c>
      <c r="D506" t="s">
        <v>25</v>
      </c>
      <c r="E506" t="s">
        <v>3249</v>
      </c>
      <c r="F506" t="s">
        <v>3250</v>
      </c>
      <c r="G506">
        <v>900982391</v>
      </c>
      <c r="H506" t="s">
        <v>2815</v>
      </c>
      <c r="I506" s="4" t="s">
        <v>2816</v>
      </c>
      <c r="J506" s="4" t="s">
        <v>35</v>
      </c>
      <c r="K506" t="s">
        <v>3258</v>
      </c>
      <c r="L506" t="s">
        <v>55</v>
      </c>
      <c r="M506" t="s">
        <v>3259</v>
      </c>
      <c r="N506" t="s">
        <v>56</v>
      </c>
      <c r="O506" t="s">
        <v>29</v>
      </c>
      <c r="P506" t="s">
        <v>54</v>
      </c>
      <c r="Q506" t="s">
        <v>31</v>
      </c>
      <c r="R506">
        <v>7</v>
      </c>
      <c r="S506" t="s">
        <v>3253</v>
      </c>
      <c r="T506" t="s">
        <v>7242</v>
      </c>
      <c r="U506" t="s">
        <v>7243</v>
      </c>
      <c r="V506" t="s">
        <v>49</v>
      </c>
      <c r="W506" t="s">
        <v>33</v>
      </c>
      <c r="X506" t="s">
        <v>33</v>
      </c>
      <c r="Y506" t="s">
        <v>33</v>
      </c>
      <c r="Z506" s="16" t="s">
        <v>34</v>
      </c>
      <c r="AA506">
        <v>-75.649831634999899</v>
      </c>
      <c r="AB506">
        <v>6.1379125160000303</v>
      </c>
      <c r="AC506" t="s">
        <v>135</v>
      </c>
      <c r="AD506" t="s">
        <v>136</v>
      </c>
    </row>
    <row r="507" spans="1:30" x14ac:dyDescent="0.25">
      <c r="A507" t="s">
        <v>3260</v>
      </c>
      <c r="B507" t="s">
        <v>25</v>
      </c>
      <c r="C507" t="s">
        <v>26</v>
      </c>
      <c r="D507" t="s">
        <v>25</v>
      </c>
      <c r="E507" t="s">
        <v>3261</v>
      </c>
      <c r="F507" t="s">
        <v>3262</v>
      </c>
      <c r="G507">
        <v>900982391</v>
      </c>
      <c r="H507" t="s">
        <v>2815</v>
      </c>
      <c r="I507" s="4" t="s">
        <v>2816</v>
      </c>
      <c r="J507" s="4" t="s">
        <v>35</v>
      </c>
      <c r="K507" t="s">
        <v>3263</v>
      </c>
      <c r="L507" t="s">
        <v>55</v>
      </c>
      <c r="M507" t="s">
        <v>3264</v>
      </c>
      <c r="N507" t="s">
        <v>56</v>
      </c>
      <c r="O507" t="s">
        <v>29</v>
      </c>
      <c r="P507" t="s">
        <v>54</v>
      </c>
      <c r="Q507" t="s">
        <v>31</v>
      </c>
      <c r="R507">
        <v>7</v>
      </c>
      <c r="S507" t="s">
        <v>3265</v>
      </c>
      <c r="T507" t="s">
        <v>7242</v>
      </c>
      <c r="U507" t="s">
        <v>7243</v>
      </c>
      <c r="V507" t="s">
        <v>49</v>
      </c>
      <c r="W507" t="s">
        <v>33</v>
      </c>
      <c r="X507" t="s">
        <v>33</v>
      </c>
      <c r="Y507" t="s">
        <v>33</v>
      </c>
      <c r="Z507" s="16" t="s">
        <v>34</v>
      </c>
      <c r="AA507">
        <v>-75.649831634999899</v>
      </c>
      <c r="AB507">
        <v>6.1379125160000303</v>
      </c>
      <c r="AC507" t="s">
        <v>135</v>
      </c>
      <c r="AD507" t="s">
        <v>136</v>
      </c>
    </row>
    <row r="508" spans="1:30" x14ac:dyDescent="0.25">
      <c r="A508" t="s">
        <v>3266</v>
      </c>
      <c r="B508" t="s">
        <v>25</v>
      </c>
      <c r="C508" t="s">
        <v>26</v>
      </c>
      <c r="D508" t="s">
        <v>25</v>
      </c>
      <c r="E508" t="s">
        <v>3261</v>
      </c>
      <c r="F508" t="s">
        <v>3262</v>
      </c>
      <c r="G508">
        <v>900982391</v>
      </c>
      <c r="H508" t="s">
        <v>2815</v>
      </c>
      <c r="I508" s="4" t="s">
        <v>2816</v>
      </c>
      <c r="J508" s="4" t="s">
        <v>35</v>
      </c>
      <c r="K508" t="s">
        <v>3267</v>
      </c>
      <c r="L508" t="s">
        <v>55</v>
      </c>
      <c r="M508" t="s">
        <v>3268</v>
      </c>
      <c r="N508" t="s">
        <v>56</v>
      </c>
      <c r="O508" t="s">
        <v>29</v>
      </c>
      <c r="P508" t="s">
        <v>54</v>
      </c>
      <c r="Q508" t="s">
        <v>31</v>
      </c>
      <c r="R508">
        <v>7</v>
      </c>
      <c r="S508" t="s">
        <v>3265</v>
      </c>
      <c r="T508" t="s">
        <v>7242</v>
      </c>
      <c r="U508" t="s">
        <v>7243</v>
      </c>
      <c r="V508" t="s">
        <v>49</v>
      </c>
      <c r="W508" t="s">
        <v>33</v>
      </c>
      <c r="X508" t="s">
        <v>33</v>
      </c>
      <c r="Y508" t="s">
        <v>33</v>
      </c>
      <c r="Z508" s="16" t="s">
        <v>34</v>
      </c>
      <c r="AA508">
        <v>-75.649831634999899</v>
      </c>
      <c r="AB508">
        <v>6.1379125160000303</v>
      </c>
      <c r="AC508" t="s">
        <v>135</v>
      </c>
      <c r="AD508" t="s">
        <v>136</v>
      </c>
    </row>
    <row r="509" spans="1:30" x14ac:dyDescent="0.25">
      <c r="A509" t="s">
        <v>3269</v>
      </c>
      <c r="B509" t="s">
        <v>25</v>
      </c>
      <c r="C509" t="s">
        <v>26</v>
      </c>
      <c r="D509" t="s">
        <v>25</v>
      </c>
      <c r="E509" t="s">
        <v>3261</v>
      </c>
      <c r="F509" t="s">
        <v>3262</v>
      </c>
      <c r="G509">
        <v>900982391</v>
      </c>
      <c r="H509" t="s">
        <v>2815</v>
      </c>
      <c r="I509" s="4" t="s">
        <v>2816</v>
      </c>
      <c r="J509" s="4" t="s">
        <v>35</v>
      </c>
      <c r="K509" t="s">
        <v>3270</v>
      </c>
      <c r="L509" t="s">
        <v>55</v>
      </c>
      <c r="M509" t="s">
        <v>3271</v>
      </c>
      <c r="N509" t="s">
        <v>56</v>
      </c>
      <c r="O509" t="s">
        <v>29</v>
      </c>
      <c r="P509" t="s">
        <v>54</v>
      </c>
      <c r="Q509" t="s">
        <v>31</v>
      </c>
      <c r="R509">
        <v>7</v>
      </c>
      <c r="S509" t="s">
        <v>3265</v>
      </c>
      <c r="T509" t="s">
        <v>7242</v>
      </c>
      <c r="U509" t="s">
        <v>7243</v>
      </c>
      <c r="V509" t="s">
        <v>49</v>
      </c>
      <c r="W509" t="s">
        <v>33</v>
      </c>
      <c r="X509" t="s">
        <v>33</v>
      </c>
      <c r="Y509" t="s">
        <v>33</v>
      </c>
      <c r="Z509" s="16" t="s">
        <v>34</v>
      </c>
      <c r="AA509">
        <v>-75.649831634999899</v>
      </c>
      <c r="AB509">
        <v>6.1379125160000303</v>
      </c>
      <c r="AC509" t="s">
        <v>135</v>
      </c>
      <c r="AD509" t="s">
        <v>136</v>
      </c>
    </row>
    <row r="510" spans="1:30" x14ac:dyDescent="0.25">
      <c r="A510" t="s">
        <v>3272</v>
      </c>
      <c r="B510" t="s">
        <v>25</v>
      </c>
      <c r="C510" t="s">
        <v>26</v>
      </c>
      <c r="D510" t="s">
        <v>25</v>
      </c>
      <c r="E510" t="s">
        <v>3273</v>
      </c>
      <c r="F510" t="s">
        <v>3274</v>
      </c>
      <c r="G510">
        <v>900982391</v>
      </c>
      <c r="H510" t="s">
        <v>2815</v>
      </c>
      <c r="I510" s="4" t="s">
        <v>2816</v>
      </c>
      <c r="J510" s="4" t="s">
        <v>35</v>
      </c>
      <c r="K510" t="s">
        <v>3275</v>
      </c>
      <c r="L510" t="s">
        <v>55</v>
      </c>
      <c r="M510" t="s">
        <v>3276</v>
      </c>
      <c r="N510" t="s">
        <v>56</v>
      </c>
      <c r="O510" t="s">
        <v>29</v>
      </c>
      <c r="P510" t="s">
        <v>54</v>
      </c>
      <c r="Q510" t="s">
        <v>31</v>
      </c>
      <c r="R510">
        <v>7</v>
      </c>
      <c r="S510" t="s">
        <v>3277</v>
      </c>
      <c r="T510" t="s">
        <v>7242</v>
      </c>
      <c r="U510" t="s">
        <v>7243</v>
      </c>
      <c r="V510" t="s">
        <v>49</v>
      </c>
      <c r="W510" t="s">
        <v>33</v>
      </c>
      <c r="X510" t="s">
        <v>33</v>
      </c>
      <c r="Y510" t="s">
        <v>33</v>
      </c>
      <c r="Z510" s="16" t="s">
        <v>34</v>
      </c>
      <c r="AA510">
        <v>-75.649831634999899</v>
      </c>
      <c r="AB510">
        <v>6.1379125160000303</v>
      </c>
      <c r="AC510" t="s">
        <v>135</v>
      </c>
      <c r="AD510" t="s">
        <v>136</v>
      </c>
    </row>
    <row r="511" spans="1:30" x14ac:dyDescent="0.25">
      <c r="A511" t="s">
        <v>3278</v>
      </c>
      <c r="B511" t="s">
        <v>25</v>
      </c>
      <c r="C511" t="s">
        <v>26</v>
      </c>
      <c r="D511" t="s">
        <v>25</v>
      </c>
      <c r="E511" t="s">
        <v>3273</v>
      </c>
      <c r="F511" t="s">
        <v>3274</v>
      </c>
      <c r="G511">
        <v>900982391</v>
      </c>
      <c r="H511" t="s">
        <v>2815</v>
      </c>
      <c r="I511" s="4" t="s">
        <v>2816</v>
      </c>
      <c r="J511" s="4" t="s">
        <v>35</v>
      </c>
      <c r="K511" t="s">
        <v>3279</v>
      </c>
      <c r="L511" t="s">
        <v>55</v>
      </c>
      <c r="M511" t="s">
        <v>3280</v>
      </c>
      <c r="N511" t="s">
        <v>56</v>
      </c>
      <c r="O511" t="s">
        <v>29</v>
      </c>
      <c r="P511" t="s">
        <v>54</v>
      </c>
      <c r="Q511" t="s">
        <v>31</v>
      </c>
      <c r="R511">
        <v>7</v>
      </c>
      <c r="S511" t="s">
        <v>3277</v>
      </c>
      <c r="T511" t="s">
        <v>7242</v>
      </c>
      <c r="U511" t="s">
        <v>7243</v>
      </c>
      <c r="V511" t="s">
        <v>49</v>
      </c>
      <c r="W511" t="s">
        <v>33</v>
      </c>
      <c r="X511" t="s">
        <v>33</v>
      </c>
      <c r="Y511" t="s">
        <v>33</v>
      </c>
      <c r="Z511" s="16" t="s">
        <v>34</v>
      </c>
      <c r="AA511">
        <v>-75.649831634999899</v>
      </c>
      <c r="AB511">
        <v>6.1379125160000303</v>
      </c>
      <c r="AC511" t="s">
        <v>135</v>
      </c>
      <c r="AD511" t="s">
        <v>136</v>
      </c>
    </row>
    <row r="512" spans="1:30" x14ac:dyDescent="0.25">
      <c r="A512" t="s">
        <v>3281</v>
      </c>
      <c r="B512" t="s">
        <v>25</v>
      </c>
      <c r="C512" t="s">
        <v>26</v>
      </c>
      <c r="D512" t="s">
        <v>25</v>
      </c>
      <c r="E512" t="s">
        <v>3282</v>
      </c>
      <c r="F512" t="s">
        <v>3283</v>
      </c>
      <c r="G512">
        <v>900982391</v>
      </c>
      <c r="H512" t="s">
        <v>2815</v>
      </c>
      <c r="I512" s="4" t="s">
        <v>2816</v>
      </c>
      <c r="J512" s="4" t="s">
        <v>35</v>
      </c>
      <c r="K512" t="s">
        <v>3284</v>
      </c>
      <c r="L512" t="s">
        <v>55</v>
      </c>
      <c r="M512" t="s">
        <v>3285</v>
      </c>
      <c r="N512" t="s">
        <v>56</v>
      </c>
      <c r="O512" t="s">
        <v>29</v>
      </c>
      <c r="P512" t="s">
        <v>54</v>
      </c>
      <c r="Q512" t="s">
        <v>31</v>
      </c>
      <c r="R512">
        <v>7</v>
      </c>
      <c r="S512" t="s">
        <v>3286</v>
      </c>
      <c r="T512" t="s">
        <v>7242</v>
      </c>
      <c r="U512" t="s">
        <v>7243</v>
      </c>
      <c r="V512" t="s">
        <v>49</v>
      </c>
      <c r="W512" t="s">
        <v>33</v>
      </c>
      <c r="X512" t="s">
        <v>33</v>
      </c>
      <c r="Y512" t="s">
        <v>33</v>
      </c>
      <c r="Z512" s="16" t="s">
        <v>34</v>
      </c>
      <c r="AA512">
        <v>-75.649831634999899</v>
      </c>
      <c r="AB512">
        <v>6.1379125160000303</v>
      </c>
      <c r="AC512" t="s">
        <v>135</v>
      </c>
      <c r="AD512" t="s">
        <v>136</v>
      </c>
    </row>
    <row r="513" spans="1:30" x14ac:dyDescent="0.25">
      <c r="A513" t="s">
        <v>3287</v>
      </c>
      <c r="B513" t="s">
        <v>25</v>
      </c>
      <c r="C513" t="s">
        <v>26</v>
      </c>
      <c r="D513" t="s">
        <v>25</v>
      </c>
      <c r="E513" t="s">
        <v>3288</v>
      </c>
      <c r="F513" t="s">
        <v>3289</v>
      </c>
      <c r="G513">
        <v>900982391</v>
      </c>
      <c r="H513" t="s">
        <v>2815</v>
      </c>
      <c r="I513" s="4" t="s">
        <v>2816</v>
      </c>
      <c r="J513" s="4" t="s">
        <v>35</v>
      </c>
      <c r="K513" t="s">
        <v>3290</v>
      </c>
      <c r="L513" t="s">
        <v>55</v>
      </c>
      <c r="M513" t="s">
        <v>3291</v>
      </c>
      <c r="N513" t="s">
        <v>56</v>
      </c>
      <c r="O513" t="s">
        <v>29</v>
      </c>
      <c r="P513" t="s">
        <v>54</v>
      </c>
      <c r="Q513" t="s">
        <v>31</v>
      </c>
      <c r="R513">
        <v>7</v>
      </c>
      <c r="S513" t="s">
        <v>3292</v>
      </c>
      <c r="T513" t="s">
        <v>7242</v>
      </c>
      <c r="U513" t="s">
        <v>7243</v>
      </c>
      <c r="V513" t="s">
        <v>49</v>
      </c>
      <c r="W513" t="s">
        <v>33</v>
      </c>
      <c r="X513" t="s">
        <v>33</v>
      </c>
      <c r="Y513" t="s">
        <v>33</v>
      </c>
      <c r="Z513" s="16" t="s">
        <v>34</v>
      </c>
      <c r="AA513">
        <v>-75.649831634999899</v>
      </c>
      <c r="AB513">
        <v>6.1379125160000303</v>
      </c>
      <c r="AC513" t="s">
        <v>135</v>
      </c>
      <c r="AD513" t="s">
        <v>136</v>
      </c>
    </row>
    <row r="514" spans="1:30" x14ac:dyDescent="0.25">
      <c r="A514" t="s">
        <v>3293</v>
      </c>
      <c r="B514" t="s">
        <v>25</v>
      </c>
      <c r="C514" t="s">
        <v>26</v>
      </c>
      <c r="D514" t="s">
        <v>25</v>
      </c>
      <c r="E514" t="s">
        <v>3294</v>
      </c>
      <c r="F514" t="s">
        <v>3295</v>
      </c>
      <c r="G514">
        <v>900982391</v>
      </c>
      <c r="H514" t="s">
        <v>2815</v>
      </c>
      <c r="I514" s="4" t="s">
        <v>2816</v>
      </c>
      <c r="J514" s="4" t="s">
        <v>35</v>
      </c>
      <c r="K514" t="s">
        <v>3296</v>
      </c>
      <c r="L514" t="s">
        <v>55</v>
      </c>
      <c r="M514" t="s">
        <v>3297</v>
      </c>
      <c r="N514" t="s">
        <v>56</v>
      </c>
      <c r="O514" t="s">
        <v>29</v>
      </c>
      <c r="P514" t="s">
        <v>54</v>
      </c>
      <c r="Q514" t="s">
        <v>31</v>
      </c>
      <c r="R514">
        <v>7</v>
      </c>
      <c r="S514" t="s">
        <v>3298</v>
      </c>
      <c r="T514" t="s">
        <v>7242</v>
      </c>
      <c r="U514" t="s">
        <v>7243</v>
      </c>
      <c r="V514" t="s">
        <v>49</v>
      </c>
      <c r="W514" t="s">
        <v>33</v>
      </c>
      <c r="X514" t="s">
        <v>33</v>
      </c>
      <c r="Y514" t="s">
        <v>33</v>
      </c>
      <c r="Z514" s="16" t="s">
        <v>34</v>
      </c>
      <c r="AA514">
        <v>-75.649831634999899</v>
      </c>
      <c r="AB514">
        <v>6.1379125160000303</v>
      </c>
      <c r="AC514" t="s">
        <v>135</v>
      </c>
      <c r="AD514" t="s">
        <v>136</v>
      </c>
    </row>
    <row r="515" spans="1:30" x14ac:dyDescent="0.25">
      <c r="A515" t="s">
        <v>3299</v>
      </c>
      <c r="B515" t="s">
        <v>25</v>
      </c>
      <c r="C515" t="s">
        <v>26</v>
      </c>
      <c r="D515" t="s">
        <v>25</v>
      </c>
      <c r="E515" t="s">
        <v>3300</v>
      </c>
      <c r="F515" t="s">
        <v>3301</v>
      </c>
      <c r="G515">
        <v>900982391</v>
      </c>
      <c r="H515" t="s">
        <v>2815</v>
      </c>
      <c r="I515" s="4" t="s">
        <v>2816</v>
      </c>
      <c r="J515" s="4" t="s">
        <v>35</v>
      </c>
      <c r="K515" t="s">
        <v>3302</v>
      </c>
      <c r="L515" t="s">
        <v>55</v>
      </c>
      <c r="M515" t="s">
        <v>3303</v>
      </c>
      <c r="N515" t="s">
        <v>56</v>
      </c>
      <c r="O515" t="s">
        <v>29</v>
      </c>
      <c r="P515" t="s">
        <v>54</v>
      </c>
      <c r="Q515" t="s">
        <v>31</v>
      </c>
      <c r="R515">
        <v>7</v>
      </c>
      <c r="S515" t="s">
        <v>3304</v>
      </c>
      <c r="T515" t="s">
        <v>7242</v>
      </c>
      <c r="U515" t="s">
        <v>7243</v>
      </c>
      <c r="V515" t="s">
        <v>49</v>
      </c>
      <c r="W515" t="s">
        <v>33</v>
      </c>
      <c r="X515" t="s">
        <v>33</v>
      </c>
      <c r="Y515" t="s">
        <v>33</v>
      </c>
      <c r="Z515" s="16" t="s">
        <v>34</v>
      </c>
      <c r="AA515">
        <v>-75.649831634999899</v>
      </c>
      <c r="AB515">
        <v>6.1379125160000303</v>
      </c>
      <c r="AC515" t="s">
        <v>135</v>
      </c>
      <c r="AD515" t="s">
        <v>136</v>
      </c>
    </row>
    <row r="516" spans="1:30" x14ac:dyDescent="0.25">
      <c r="A516" t="s">
        <v>3305</v>
      </c>
      <c r="B516" t="s">
        <v>25</v>
      </c>
      <c r="C516" t="s">
        <v>26</v>
      </c>
      <c r="D516" t="s">
        <v>25</v>
      </c>
      <c r="E516" t="s">
        <v>3306</v>
      </c>
      <c r="F516" t="s">
        <v>3307</v>
      </c>
      <c r="G516">
        <v>900982391</v>
      </c>
      <c r="H516" t="s">
        <v>2815</v>
      </c>
      <c r="I516" s="4" t="s">
        <v>2816</v>
      </c>
      <c r="J516" s="4" t="s">
        <v>35</v>
      </c>
      <c r="K516" t="s">
        <v>3308</v>
      </c>
      <c r="L516" t="s">
        <v>55</v>
      </c>
      <c r="M516" t="s">
        <v>3309</v>
      </c>
      <c r="N516" t="s">
        <v>56</v>
      </c>
      <c r="O516" t="s">
        <v>29</v>
      </c>
      <c r="P516" t="s">
        <v>54</v>
      </c>
      <c r="Q516" t="s">
        <v>31</v>
      </c>
      <c r="R516">
        <v>7</v>
      </c>
      <c r="S516" t="s">
        <v>3310</v>
      </c>
      <c r="T516" t="s">
        <v>7242</v>
      </c>
      <c r="U516" t="s">
        <v>7243</v>
      </c>
      <c r="V516" t="s">
        <v>49</v>
      </c>
      <c r="W516" t="s">
        <v>33</v>
      </c>
      <c r="X516" t="s">
        <v>33</v>
      </c>
      <c r="Y516" t="s">
        <v>33</v>
      </c>
      <c r="Z516" s="16" t="s">
        <v>34</v>
      </c>
      <c r="AA516">
        <v>-75.649831634999899</v>
      </c>
      <c r="AB516">
        <v>6.1379125160000303</v>
      </c>
      <c r="AC516" t="s">
        <v>135</v>
      </c>
      <c r="AD516" t="s">
        <v>136</v>
      </c>
    </row>
    <row r="517" spans="1:30" x14ac:dyDescent="0.25">
      <c r="A517" t="s">
        <v>3311</v>
      </c>
      <c r="B517" t="s">
        <v>25</v>
      </c>
      <c r="C517" t="s">
        <v>26</v>
      </c>
      <c r="D517" t="s">
        <v>25</v>
      </c>
      <c r="E517" t="s">
        <v>3312</v>
      </c>
      <c r="F517" t="s">
        <v>3313</v>
      </c>
      <c r="G517">
        <v>900982391</v>
      </c>
      <c r="H517" t="s">
        <v>2815</v>
      </c>
      <c r="I517" s="4" t="s">
        <v>2816</v>
      </c>
      <c r="J517" s="4" t="s">
        <v>35</v>
      </c>
      <c r="K517" t="s">
        <v>3314</v>
      </c>
      <c r="L517" t="s">
        <v>55</v>
      </c>
      <c r="M517" t="s">
        <v>3315</v>
      </c>
      <c r="N517" t="s">
        <v>56</v>
      </c>
      <c r="O517" t="s">
        <v>29</v>
      </c>
      <c r="P517" t="s">
        <v>54</v>
      </c>
      <c r="Q517" t="s">
        <v>31</v>
      </c>
      <c r="R517">
        <v>7</v>
      </c>
      <c r="S517" t="s">
        <v>3316</v>
      </c>
      <c r="T517" t="s">
        <v>7242</v>
      </c>
      <c r="U517" t="s">
        <v>7243</v>
      </c>
      <c r="V517" t="s">
        <v>49</v>
      </c>
      <c r="W517" t="s">
        <v>33</v>
      </c>
      <c r="X517" t="s">
        <v>33</v>
      </c>
      <c r="Y517" t="s">
        <v>33</v>
      </c>
      <c r="Z517" s="16" t="s">
        <v>34</v>
      </c>
      <c r="AA517">
        <v>-75.649831634999899</v>
      </c>
      <c r="AB517">
        <v>6.1379125160000303</v>
      </c>
      <c r="AC517" t="s">
        <v>135</v>
      </c>
      <c r="AD517" t="s">
        <v>136</v>
      </c>
    </row>
    <row r="518" spans="1:30" x14ac:dyDescent="0.25">
      <c r="A518" t="s">
        <v>3317</v>
      </c>
      <c r="B518" t="s">
        <v>25</v>
      </c>
      <c r="C518" t="s">
        <v>26</v>
      </c>
      <c r="D518" t="s">
        <v>25</v>
      </c>
      <c r="E518" t="s">
        <v>3312</v>
      </c>
      <c r="F518" t="s">
        <v>3313</v>
      </c>
      <c r="G518">
        <v>900982391</v>
      </c>
      <c r="H518" t="s">
        <v>2815</v>
      </c>
      <c r="I518" s="4" t="s">
        <v>2816</v>
      </c>
      <c r="J518" s="4" t="s">
        <v>35</v>
      </c>
      <c r="K518" t="s">
        <v>3318</v>
      </c>
      <c r="L518" t="s">
        <v>55</v>
      </c>
      <c r="M518" t="s">
        <v>3319</v>
      </c>
      <c r="N518" t="s">
        <v>56</v>
      </c>
      <c r="O518" t="s">
        <v>29</v>
      </c>
      <c r="P518" t="s">
        <v>54</v>
      </c>
      <c r="Q518" t="s">
        <v>31</v>
      </c>
      <c r="R518">
        <v>7</v>
      </c>
      <c r="S518" t="s">
        <v>3316</v>
      </c>
      <c r="T518" t="s">
        <v>7242</v>
      </c>
      <c r="U518" t="s">
        <v>7243</v>
      </c>
      <c r="V518" t="s">
        <v>49</v>
      </c>
      <c r="W518" t="s">
        <v>33</v>
      </c>
      <c r="X518" t="s">
        <v>33</v>
      </c>
      <c r="Y518" t="s">
        <v>33</v>
      </c>
      <c r="Z518" s="16" t="s">
        <v>34</v>
      </c>
      <c r="AA518">
        <v>-75.649831634999899</v>
      </c>
      <c r="AB518">
        <v>6.1379125160000303</v>
      </c>
      <c r="AC518" t="s">
        <v>135</v>
      </c>
      <c r="AD518" t="s">
        <v>136</v>
      </c>
    </row>
    <row r="519" spans="1:30" x14ac:dyDescent="0.25">
      <c r="A519" t="s">
        <v>3320</v>
      </c>
      <c r="B519" t="s">
        <v>25</v>
      </c>
      <c r="C519" t="s">
        <v>26</v>
      </c>
      <c r="D519" t="s">
        <v>25</v>
      </c>
      <c r="E519" t="s">
        <v>3321</v>
      </c>
      <c r="F519" t="s">
        <v>3322</v>
      </c>
      <c r="G519">
        <v>900982391</v>
      </c>
      <c r="H519" t="s">
        <v>2815</v>
      </c>
      <c r="I519" s="4" t="s">
        <v>2816</v>
      </c>
      <c r="J519" s="4" t="s">
        <v>35</v>
      </c>
      <c r="K519" t="s">
        <v>3323</v>
      </c>
      <c r="L519" t="s">
        <v>55</v>
      </c>
      <c r="M519" t="s">
        <v>3324</v>
      </c>
      <c r="N519" t="s">
        <v>56</v>
      </c>
      <c r="O519" t="s">
        <v>29</v>
      </c>
      <c r="P519" t="s">
        <v>54</v>
      </c>
      <c r="Q519" t="s">
        <v>31</v>
      </c>
      <c r="R519">
        <v>7</v>
      </c>
      <c r="S519" t="s">
        <v>3325</v>
      </c>
      <c r="T519" t="s">
        <v>7242</v>
      </c>
      <c r="U519" t="s">
        <v>7243</v>
      </c>
      <c r="V519" t="s">
        <v>49</v>
      </c>
      <c r="W519" t="s">
        <v>33</v>
      </c>
      <c r="X519" t="s">
        <v>33</v>
      </c>
      <c r="Y519" t="s">
        <v>33</v>
      </c>
      <c r="Z519" s="16" t="s">
        <v>34</v>
      </c>
      <c r="AA519">
        <v>-75.649831634999899</v>
      </c>
      <c r="AB519">
        <v>6.1379125160000303</v>
      </c>
      <c r="AC519" t="s">
        <v>135</v>
      </c>
      <c r="AD519" t="s">
        <v>136</v>
      </c>
    </row>
    <row r="520" spans="1:30" x14ac:dyDescent="0.25">
      <c r="A520" t="s">
        <v>3326</v>
      </c>
      <c r="B520" t="s">
        <v>25</v>
      </c>
      <c r="C520" t="s">
        <v>26</v>
      </c>
      <c r="D520" t="s">
        <v>25</v>
      </c>
      <c r="E520" t="s">
        <v>3327</v>
      </c>
      <c r="F520" t="s">
        <v>3328</v>
      </c>
      <c r="G520">
        <v>900982391</v>
      </c>
      <c r="H520" t="s">
        <v>2815</v>
      </c>
      <c r="I520" s="4" t="s">
        <v>2816</v>
      </c>
      <c r="J520" s="4" t="s">
        <v>35</v>
      </c>
      <c r="K520" t="s">
        <v>3329</v>
      </c>
      <c r="L520" t="s">
        <v>55</v>
      </c>
      <c r="M520" t="s">
        <v>3330</v>
      </c>
      <c r="N520" t="s">
        <v>56</v>
      </c>
      <c r="O520" t="s">
        <v>29</v>
      </c>
      <c r="P520" t="s">
        <v>54</v>
      </c>
      <c r="Q520" t="s">
        <v>31</v>
      </c>
      <c r="R520">
        <v>7</v>
      </c>
      <c r="S520" t="s">
        <v>3331</v>
      </c>
      <c r="T520" t="s">
        <v>7242</v>
      </c>
      <c r="U520" t="s">
        <v>7243</v>
      </c>
      <c r="V520" t="s">
        <v>49</v>
      </c>
      <c r="W520" t="s">
        <v>33</v>
      </c>
      <c r="X520" t="s">
        <v>33</v>
      </c>
      <c r="Y520" t="s">
        <v>33</v>
      </c>
      <c r="Z520" s="16" t="s">
        <v>34</v>
      </c>
      <c r="AA520">
        <v>-75.649831634999899</v>
      </c>
      <c r="AB520">
        <v>6.1379125160000303</v>
      </c>
      <c r="AC520" t="s">
        <v>135</v>
      </c>
      <c r="AD520" t="s">
        <v>136</v>
      </c>
    </row>
    <row r="521" spans="1:30" x14ac:dyDescent="0.25">
      <c r="A521" t="s">
        <v>3332</v>
      </c>
      <c r="B521" t="s">
        <v>25</v>
      </c>
      <c r="C521" t="s">
        <v>26</v>
      </c>
      <c r="D521" t="s">
        <v>25</v>
      </c>
      <c r="E521" t="s">
        <v>3333</v>
      </c>
      <c r="F521" t="s">
        <v>3334</v>
      </c>
      <c r="G521">
        <v>900982391</v>
      </c>
      <c r="H521" t="s">
        <v>2815</v>
      </c>
      <c r="I521" s="4" t="s">
        <v>2816</v>
      </c>
      <c r="J521" s="4" t="s">
        <v>35</v>
      </c>
      <c r="K521" t="s">
        <v>3335</v>
      </c>
      <c r="L521" t="s">
        <v>55</v>
      </c>
      <c r="M521" t="s">
        <v>3336</v>
      </c>
      <c r="N521" t="s">
        <v>56</v>
      </c>
      <c r="O521" t="s">
        <v>29</v>
      </c>
      <c r="P521" t="s">
        <v>54</v>
      </c>
      <c r="Q521" t="s">
        <v>31</v>
      </c>
      <c r="R521">
        <v>7</v>
      </c>
      <c r="S521" t="s">
        <v>3337</v>
      </c>
      <c r="T521" t="s">
        <v>7244</v>
      </c>
      <c r="U521" t="s">
        <v>7245</v>
      </c>
      <c r="V521" t="s">
        <v>49</v>
      </c>
      <c r="W521" t="s">
        <v>33</v>
      </c>
      <c r="X521" t="s">
        <v>33</v>
      </c>
      <c r="Y521" t="s">
        <v>33</v>
      </c>
      <c r="Z521" s="16" t="s">
        <v>34</v>
      </c>
      <c r="AA521">
        <v>-75.649831634999899</v>
      </c>
      <c r="AB521">
        <v>6.1379125160000303</v>
      </c>
      <c r="AC521" t="s">
        <v>135</v>
      </c>
      <c r="AD521" t="s">
        <v>136</v>
      </c>
    </row>
    <row r="522" spans="1:30" x14ac:dyDescent="0.25">
      <c r="A522" t="s">
        <v>3338</v>
      </c>
      <c r="B522" t="s">
        <v>25</v>
      </c>
      <c r="C522" t="s">
        <v>26</v>
      </c>
      <c r="D522" t="s">
        <v>25</v>
      </c>
      <c r="E522" t="s">
        <v>3339</v>
      </c>
      <c r="F522" t="s">
        <v>3340</v>
      </c>
      <c r="G522">
        <v>900982391</v>
      </c>
      <c r="H522" t="s">
        <v>2815</v>
      </c>
      <c r="I522" s="4" t="s">
        <v>2816</v>
      </c>
      <c r="J522" s="4" t="s">
        <v>35</v>
      </c>
      <c r="K522" t="s">
        <v>3341</v>
      </c>
      <c r="L522" t="s">
        <v>55</v>
      </c>
      <c r="M522" t="s">
        <v>3342</v>
      </c>
      <c r="N522" t="s">
        <v>56</v>
      </c>
      <c r="O522" t="s">
        <v>29</v>
      </c>
      <c r="P522" t="s">
        <v>54</v>
      </c>
      <c r="Q522" t="s">
        <v>31</v>
      </c>
      <c r="R522">
        <v>7</v>
      </c>
      <c r="S522" t="s">
        <v>3343</v>
      </c>
      <c r="T522" t="s">
        <v>7244</v>
      </c>
      <c r="U522" t="s">
        <v>7245</v>
      </c>
      <c r="V522" t="s">
        <v>49</v>
      </c>
      <c r="W522" t="s">
        <v>33</v>
      </c>
      <c r="X522" t="s">
        <v>33</v>
      </c>
      <c r="Y522" t="s">
        <v>33</v>
      </c>
      <c r="Z522" s="16" t="s">
        <v>34</v>
      </c>
      <c r="AA522">
        <v>-75.649831634999899</v>
      </c>
      <c r="AB522">
        <v>6.1379125160000303</v>
      </c>
      <c r="AC522" t="s">
        <v>135</v>
      </c>
      <c r="AD522" t="s">
        <v>136</v>
      </c>
    </row>
    <row r="523" spans="1:30" x14ac:dyDescent="0.25">
      <c r="A523" t="s">
        <v>3344</v>
      </c>
      <c r="B523" t="s">
        <v>25</v>
      </c>
      <c r="C523" t="s">
        <v>26</v>
      </c>
      <c r="D523" t="s">
        <v>25</v>
      </c>
      <c r="E523" t="s">
        <v>3345</v>
      </c>
      <c r="F523" t="s">
        <v>3346</v>
      </c>
      <c r="G523">
        <v>900982391</v>
      </c>
      <c r="H523" t="s">
        <v>2815</v>
      </c>
      <c r="I523" s="4" t="s">
        <v>2816</v>
      </c>
      <c r="J523" s="4" t="s">
        <v>35</v>
      </c>
      <c r="K523" t="s">
        <v>3347</v>
      </c>
      <c r="L523" t="s">
        <v>55</v>
      </c>
      <c r="M523" t="s">
        <v>3348</v>
      </c>
      <c r="N523" t="s">
        <v>56</v>
      </c>
      <c r="O523" t="s">
        <v>29</v>
      </c>
      <c r="P523" t="s">
        <v>54</v>
      </c>
      <c r="Q523" t="s">
        <v>31</v>
      </c>
      <c r="R523">
        <v>7</v>
      </c>
      <c r="S523" t="s">
        <v>3349</v>
      </c>
      <c r="T523" t="s">
        <v>7244</v>
      </c>
      <c r="U523" t="s">
        <v>7245</v>
      </c>
      <c r="V523" t="s">
        <v>49</v>
      </c>
      <c r="W523" t="s">
        <v>33</v>
      </c>
      <c r="X523" t="s">
        <v>33</v>
      </c>
      <c r="Y523" t="s">
        <v>33</v>
      </c>
      <c r="Z523" s="16" t="s">
        <v>34</v>
      </c>
      <c r="AA523">
        <v>-75.649831634999899</v>
      </c>
      <c r="AB523">
        <v>6.1379125160000303</v>
      </c>
      <c r="AC523" t="s">
        <v>135</v>
      </c>
      <c r="AD523" t="s">
        <v>136</v>
      </c>
    </row>
    <row r="524" spans="1:30" x14ac:dyDescent="0.25">
      <c r="A524" t="s">
        <v>3350</v>
      </c>
      <c r="B524" t="s">
        <v>25</v>
      </c>
      <c r="C524" t="s">
        <v>26</v>
      </c>
      <c r="D524" t="s">
        <v>25</v>
      </c>
      <c r="E524" t="s">
        <v>3351</v>
      </c>
      <c r="F524" t="s">
        <v>3352</v>
      </c>
      <c r="G524">
        <v>900982391</v>
      </c>
      <c r="H524" t="s">
        <v>2815</v>
      </c>
      <c r="I524" s="4" t="s">
        <v>2816</v>
      </c>
      <c r="J524" s="4" t="s">
        <v>35</v>
      </c>
      <c r="K524" t="s">
        <v>3353</v>
      </c>
      <c r="L524" t="s">
        <v>55</v>
      </c>
      <c r="M524" t="s">
        <v>3354</v>
      </c>
      <c r="N524" t="s">
        <v>56</v>
      </c>
      <c r="O524" t="s">
        <v>29</v>
      </c>
      <c r="P524" t="s">
        <v>54</v>
      </c>
      <c r="Q524" t="s">
        <v>31</v>
      </c>
      <c r="R524">
        <v>7</v>
      </c>
      <c r="S524" t="s">
        <v>3355</v>
      </c>
      <c r="T524" t="s">
        <v>7244</v>
      </c>
      <c r="U524" t="s">
        <v>7245</v>
      </c>
      <c r="V524" t="s">
        <v>49</v>
      </c>
      <c r="W524" t="s">
        <v>33</v>
      </c>
      <c r="X524" t="s">
        <v>33</v>
      </c>
      <c r="Y524" t="s">
        <v>33</v>
      </c>
      <c r="Z524" s="16" t="s">
        <v>34</v>
      </c>
      <c r="AA524">
        <v>-75.649831634999899</v>
      </c>
      <c r="AB524">
        <v>6.1379125160000303</v>
      </c>
      <c r="AC524" t="s">
        <v>135</v>
      </c>
      <c r="AD524" t="s">
        <v>136</v>
      </c>
    </row>
    <row r="525" spans="1:30" x14ac:dyDescent="0.25">
      <c r="A525" t="s">
        <v>3357</v>
      </c>
      <c r="B525" t="s">
        <v>25</v>
      </c>
      <c r="C525" t="s">
        <v>26</v>
      </c>
      <c r="D525" t="s">
        <v>25</v>
      </c>
      <c r="E525" t="s">
        <v>3358</v>
      </c>
      <c r="F525" t="s">
        <v>3359</v>
      </c>
      <c r="G525">
        <v>42757927</v>
      </c>
      <c r="H525" t="s">
        <v>3360</v>
      </c>
      <c r="I525" s="4" t="s">
        <v>35</v>
      </c>
      <c r="J525" s="4" t="s">
        <v>3361</v>
      </c>
      <c r="K525" t="s">
        <v>3362</v>
      </c>
      <c r="L525" t="s">
        <v>44</v>
      </c>
      <c r="M525" t="s">
        <v>3363</v>
      </c>
      <c r="N525" t="s">
        <v>45</v>
      </c>
      <c r="O525" t="s">
        <v>29</v>
      </c>
      <c r="P525" t="s">
        <v>37</v>
      </c>
      <c r="Q525" t="s">
        <v>31</v>
      </c>
      <c r="R525">
        <v>7</v>
      </c>
      <c r="S525" t="s">
        <v>3364</v>
      </c>
      <c r="T525" t="s">
        <v>1609</v>
      </c>
      <c r="U525" t="s">
        <v>6212</v>
      </c>
      <c r="V525" t="s">
        <v>49</v>
      </c>
      <c r="W525" t="s">
        <v>33</v>
      </c>
      <c r="X525" t="s">
        <v>33</v>
      </c>
      <c r="Y525" t="s">
        <v>33</v>
      </c>
      <c r="Z525" s="16" t="s">
        <v>34</v>
      </c>
      <c r="AA525">
        <v>-75.616832889999998</v>
      </c>
      <c r="AB525">
        <v>6.1746686999999998</v>
      </c>
      <c r="AC525" t="s">
        <v>135</v>
      </c>
      <c r="AD525" t="s">
        <v>136</v>
      </c>
    </row>
    <row r="526" spans="1:30" x14ac:dyDescent="0.25">
      <c r="A526" t="s">
        <v>3365</v>
      </c>
      <c r="B526" t="s">
        <v>25</v>
      </c>
      <c r="C526" t="s">
        <v>26</v>
      </c>
      <c r="D526" t="s">
        <v>25</v>
      </c>
      <c r="E526" t="s">
        <v>3366</v>
      </c>
      <c r="F526" t="s">
        <v>3367</v>
      </c>
      <c r="G526">
        <v>900982391</v>
      </c>
      <c r="H526" t="s">
        <v>2815</v>
      </c>
      <c r="I526" s="4" t="s">
        <v>2816</v>
      </c>
      <c r="J526" s="4" t="s">
        <v>35</v>
      </c>
      <c r="K526" t="s">
        <v>3368</v>
      </c>
      <c r="L526" t="s">
        <v>55</v>
      </c>
      <c r="M526" t="s">
        <v>3369</v>
      </c>
      <c r="N526" t="s">
        <v>56</v>
      </c>
      <c r="O526" t="s">
        <v>29</v>
      </c>
      <c r="P526" t="s">
        <v>54</v>
      </c>
      <c r="Q526" t="s">
        <v>31</v>
      </c>
      <c r="R526">
        <v>7</v>
      </c>
      <c r="S526" t="s">
        <v>3370</v>
      </c>
      <c r="T526" t="s">
        <v>7246</v>
      </c>
      <c r="U526" t="s">
        <v>2602</v>
      </c>
      <c r="V526" t="s">
        <v>49</v>
      </c>
      <c r="W526" t="s">
        <v>33</v>
      </c>
      <c r="X526" t="s">
        <v>33</v>
      </c>
      <c r="Y526" t="s">
        <v>33</v>
      </c>
      <c r="Z526" s="16" t="s">
        <v>34</v>
      </c>
      <c r="AA526">
        <v>-75.649831634999899</v>
      </c>
      <c r="AB526">
        <v>6.1379125160000303</v>
      </c>
      <c r="AC526" t="s">
        <v>135</v>
      </c>
      <c r="AD526" t="s">
        <v>136</v>
      </c>
    </row>
    <row r="527" spans="1:30" x14ac:dyDescent="0.25">
      <c r="A527" t="s">
        <v>3371</v>
      </c>
      <c r="B527" t="s">
        <v>25</v>
      </c>
      <c r="C527" t="s">
        <v>26</v>
      </c>
      <c r="D527" t="s">
        <v>25</v>
      </c>
      <c r="E527" t="s">
        <v>3372</v>
      </c>
      <c r="F527" t="s">
        <v>3373</v>
      </c>
      <c r="G527">
        <v>900982391</v>
      </c>
      <c r="H527" t="s">
        <v>2815</v>
      </c>
      <c r="I527" s="4" t="s">
        <v>2816</v>
      </c>
      <c r="J527" s="4" t="s">
        <v>35</v>
      </c>
      <c r="K527" t="s">
        <v>3374</v>
      </c>
      <c r="L527" t="s">
        <v>55</v>
      </c>
      <c r="M527" t="s">
        <v>3375</v>
      </c>
      <c r="N527" t="s">
        <v>56</v>
      </c>
      <c r="O527" t="s">
        <v>29</v>
      </c>
      <c r="P527" t="s">
        <v>54</v>
      </c>
      <c r="Q527" t="s">
        <v>31</v>
      </c>
      <c r="R527">
        <v>7</v>
      </c>
      <c r="S527" t="s">
        <v>3376</v>
      </c>
      <c r="T527" t="s">
        <v>7246</v>
      </c>
      <c r="U527" t="s">
        <v>2602</v>
      </c>
      <c r="V527" t="s">
        <v>49</v>
      </c>
      <c r="W527" t="s">
        <v>33</v>
      </c>
      <c r="X527" t="s">
        <v>33</v>
      </c>
      <c r="Y527" t="s">
        <v>33</v>
      </c>
      <c r="Z527" s="16" t="s">
        <v>34</v>
      </c>
      <c r="AA527">
        <v>-75.649831634999899</v>
      </c>
      <c r="AB527">
        <v>6.1379125160000303</v>
      </c>
      <c r="AC527" t="s">
        <v>135</v>
      </c>
      <c r="AD527" t="s">
        <v>136</v>
      </c>
    </row>
    <row r="528" spans="1:30" x14ac:dyDescent="0.25">
      <c r="A528" t="s">
        <v>3378</v>
      </c>
      <c r="B528" t="s">
        <v>25</v>
      </c>
      <c r="C528" t="s">
        <v>26</v>
      </c>
      <c r="D528" t="s">
        <v>25</v>
      </c>
      <c r="E528" t="s">
        <v>3379</v>
      </c>
      <c r="F528" t="s">
        <v>3380</v>
      </c>
      <c r="G528">
        <v>42867940</v>
      </c>
      <c r="H528" t="s">
        <v>3381</v>
      </c>
      <c r="I528" s="4" t="s">
        <v>35</v>
      </c>
      <c r="J528" s="4" t="s">
        <v>3382</v>
      </c>
      <c r="K528" t="s">
        <v>3383</v>
      </c>
      <c r="L528" t="s">
        <v>44</v>
      </c>
      <c r="M528" t="s">
        <v>3384</v>
      </c>
      <c r="N528" t="s">
        <v>45</v>
      </c>
      <c r="O528" t="s">
        <v>29</v>
      </c>
      <c r="P528" t="s">
        <v>37</v>
      </c>
      <c r="Q528" t="s">
        <v>31</v>
      </c>
      <c r="R528">
        <v>7</v>
      </c>
      <c r="S528" t="s">
        <v>3385</v>
      </c>
      <c r="T528" t="s">
        <v>2231</v>
      </c>
      <c r="U528" t="s">
        <v>2230</v>
      </c>
      <c r="V528" t="s">
        <v>49</v>
      </c>
      <c r="W528" t="s">
        <v>33</v>
      </c>
      <c r="X528" t="s">
        <v>33</v>
      </c>
      <c r="Y528" t="s">
        <v>33</v>
      </c>
      <c r="Z528" s="16" t="s">
        <v>34</v>
      </c>
      <c r="AA528">
        <v>-75.642689669999996</v>
      </c>
      <c r="AB528">
        <v>6.1689482099999999</v>
      </c>
      <c r="AC528" t="s">
        <v>135</v>
      </c>
      <c r="AD528" t="s">
        <v>136</v>
      </c>
    </row>
    <row r="529" spans="1:30" x14ac:dyDescent="0.25">
      <c r="A529" t="s">
        <v>3386</v>
      </c>
      <c r="B529" t="s">
        <v>65</v>
      </c>
      <c r="C529" t="s">
        <v>26</v>
      </c>
      <c r="D529" t="s">
        <v>66</v>
      </c>
      <c r="E529" t="s">
        <v>3387</v>
      </c>
      <c r="F529" t="s">
        <v>1631</v>
      </c>
      <c r="G529">
        <v>71612946</v>
      </c>
      <c r="H529" t="s">
        <v>3388</v>
      </c>
      <c r="I529" s="4" t="s">
        <v>35</v>
      </c>
      <c r="J529" s="4" t="s">
        <v>3389</v>
      </c>
      <c r="K529" t="s">
        <v>3390</v>
      </c>
      <c r="L529" t="s">
        <v>27</v>
      </c>
      <c r="M529" t="s">
        <v>3391</v>
      </c>
      <c r="N529" t="s">
        <v>28</v>
      </c>
      <c r="O529" t="s">
        <v>68</v>
      </c>
      <c r="P529" t="s">
        <v>70</v>
      </c>
      <c r="Q529" t="s">
        <v>31</v>
      </c>
      <c r="R529">
        <v>9</v>
      </c>
      <c r="S529" t="s">
        <v>3392</v>
      </c>
      <c r="T529" t="s">
        <v>1141</v>
      </c>
      <c r="U529" t="s">
        <v>1637</v>
      </c>
      <c r="V529" t="s">
        <v>32</v>
      </c>
      <c r="W529" t="s">
        <v>33</v>
      </c>
      <c r="X529" t="s">
        <v>33</v>
      </c>
      <c r="Y529" t="s">
        <v>33</v>
      </c>
      <c r="Z529" s="16" t="s">
        <v>34</v>
      </c>
      <c r="AA529">
        <v>-75.541616790000006</v>
      </c>
      <c r="AB529">
        <v>6.2542075199999996</v>
      </c>
      <c r="AC529" t="s">
        <v>135</v>
      </c>
      <c r="AD529" t="s">
        <v>136</v>
      </c>
    </row>
    <row r="530" spans="1:30" x14ac:dyDescent="0.25">
      <c r="A530" t="s">
        <v>3393</v>
      </c>
      <c r="B530" t="s">
        <v>65</v>
      </c>
      <c r="C530" t="s">
        <v>26</v>
      </c>
      <c r="D530" t="s">
        <v>66</v>
      </c>
      <c r="E530" t="s">
        <v>3394</v>
      </c>
      <c r="F530" t="s">
        <v>3395</v>
      </c>
      <c r="G530">
        <v>1017244058</v>
      </c>
      <c r="H530" t="s">
        <v>3396</v>
      </c>
      <c r="I530" s="4" t="s">
        <v>35</v>
      </c>
      <c r="J530" s="4" t="s">
        <v>3397</v>
      </c>
      <c r="K530" t="s">
        <v>3398</v>
      </c>
      <c r="L530" t="s">
        <v>27</v>
      </c>
      <c r="M530" t="s">
        <v>3399</v>
      </c>
      <c r="N530" t="s">
        <v>28</v>
      </c>
      <c r="O530" t="s">
        <v>68</v>
      </c>
      <c r="P530" t="s">
        <v>70</v>
      </c>
      <c r="Q530" t="s">
        <v>31</v>
      </c>
      <c r="R530">
        <v>9</v>
      </c>
      <c r="S530" t="s">
        <v>3400</v>
      </c>
      <c r="T530" t="s">
        <v>1408</v>
      </c>
      <c r="U530" t="s">
        <v>2395</v>
      </c>
      <c r="V530" t="s">
        <v>32</v>
      </c>
      <c r="W530" t="s">
        <v>33</v>
      </c>
      <c r="X530" t="s">
        <v>33</v>
      </c>
      <c r="Y530" t="s">
        <v>33</v>
      </c>
      <c r="Z530" s="16" t="s">
        <v>34</v>
      </c>
      <c r="AA530">
        <v>-75.528304399999996</v>
      </c>
      <c r="AB530">
        <v>6.23651219</v>
      </c>
      <c r="AC530" t="s">
        <v>135</v>
      </c>
      <c r="AD530" t="s">
        <v>136</v>
      </c>
    </row>
    <row r="531" spans="1:30" x14ac:dyDescent="0.25">
      <c r="A531" t="s">
        <v>3401</v>
      </c>
      <c r="B531" t="s">
        <v>25</v>
      </c>
      <c r="C531" t="s">
        <v>75</v>
      </c>
      <c r="D531" t="s">
        <v>25</v>
      </c>
      <c r="E531" t="s">
        <v>3402</v>
      </c>
      <c r="F531" t="s">
        <v>3403</v>
      </c>
      <c r="G531">
        <v>15458130</v>
      </c>
      <c r="H531" t="s">
        <v>92</v>
      </c>
      <c r="I531" s="4" t="s">
        <v>35</v>
      </c>
      <c r="J531" s="4" t="s">
        <v>93</v>
      </c>
      <c r="K531" t="s">
        <v>140</v>
      </c>
      <c r="L531" t="s">
        <v>57</v>
      </c>
      <c r="M531" t="s">
        <v>141</v>
      </c>
      <c r="N531" t="s">
        <v>58</v>
      </c>
      <c r="O531" t="s">
        <v>137</v>
      </c>
      <c r="P531" t="s">
        <v>36</v>
      </c>
      <c r="Q531" t="s">
        <v>31</v>
      </c>
      <c r="R531">
        <v>7</v>
      </c>
      <c r="S531" t="s">
        <v>3404</v>
      </c>
      <c r="T531" t="s">
        <v>7247</v>
      </c>
      <c r="U531" t="s">
        <v>7248</v>
      </c>
      <c r="V531" t="s">
        <v>49</v>
      </c>
      <c r="W531" t="s">
        <v>33</v>
      </c>
      <c r="X531" t="s">
        <v>33</v>
      </c>
      <c r="Y531" t="s">
        <v>33</v>
      </c>
      <c r="Z531" s="16" t="s">
        <v>34</v>
      </c>
      <c r="AA531">
        <v>-75.629795000000001</v>
      </c>
      <c r="AB531">
        <v>6.0959989999999999</v>
      </c>
      <c r="AC531" t="s">
        <v>135</v>
      </c>
      <c r="AD531" t="s">
        <v>136</v>
      </c>
    </row>
    <row r="532" spans="1:30" x14ac:dyDescent="0.25">
      <c r="A532" t="s">
        <v>3407</v>
      </c>
      <c r="B532" t="s">
        <v>25</v>
      </c>
      <c r="C532" t="s">
        <v>26</v>
      </c>
      <c r="D532" t="s">
        <v>25</v>
      </c>
      <c r="E532" t="s">
        <v>3408</v>
      </c>
      <c r="F532" t="s">
        <v>3409</v>
      </c>
      <c r="G532">
        <v>900982391</v>
      </c>
      <c r="H532" t="s">
        <v>2815</v>
      </c>
      <c r="I532" s="4" t="s">
        <v>2816</v>
      </c>
      <c r="J532" s="4" t="s">
        <v>35</v>
      </c>
      <c r="K532" t="s">
        <v>3410</v>
      </c>
      <c r="L532" t="s">
        <v>55</v>
      </c>
      <c r="M532" t="s">
        <v>3411</v>
      </c>
      <c r="N532" t="s">
        <v>56</v>
      </c>
      <c r="O532" t="s">
        <v>29</v>
      </c>
      <c r="P532" t="s">
        <v>54</v>
      </c>
      <c r="Q532" t="s">
        <v>31</v>
      </c>
      <c r="R532">
        <v>7</v>
      </c>
      <c r="S532" t="s">
        <v>3412</v>
      </c>
      <c r="T532" t="s">
        <v>7249</v>
      </c>
      <c r="U532" t="s">
        <v>7250</v>
      </c>
      <c r="V532" t="s">
        <v>49</v>
      </c>
      <c r="W532" t="s">
        <v>33</v>
      </c>
      <c r="X532" t="s">
        <v>33</v>
      </c>
      <c r="Y532" t="s">
        <v>33</v>
      </c>
      <c r="Z532" s="16" t="s">
        <v>34</v>
      </c>
      <c r="AA532">
        <v>-75.649831634999899</v>
      </c>
      <c r="AB532">
        <v>6.1379125160000303</v>
      </c>
      <c r="AC532" t="s">
        <v>135</v>
      </c>
      <c r="AD532" t="s">
        <v>136</v>
      </c>
    </row>
    <row r="533" spans="1:30" x14ac:dyDescent="0.25">
      <c r="A533" t="s">
        <v>3413</v>
      </c>
      <c r="B533" t="s">
        <v>25</v>
      </c>
      <c r="C533" t="s">
        <v>26</v>
      </c>
      <c r="D533" t="s">
        <v>25</v>
      </c>
      <c r="E533" t="s">
        <v>3414</v>
      </c>
      <c r="F533" t="s">
        <v>3415</v>
      </c>
      <c r="G533">
        <v>900982391</v>
      </c>
      <c r="H533" t="s">
        <v>2815</v>
      </c>
      <c r="I533" s="4" t="s">
        <v>2816</v>
      </c>
      <c r="J533" s="4" t="s">
        <v>35</v>
      </c>
      <c r="K533" t="s">
        <v>3416</v>
      </c>
      <c r="L533" t="s">
        <v>55</v>
      </c>
      <c r="M533" t="s">
        <v>3417</v>
      </c>
      <c r="N533" t="s">
        <v>56</v>
      </c>
      <c r="O533" t="s">
        <v>29</v>
      </c>
      <c r="P533" t="s">
        <v>54</v>
      </c>
      <c r="Q533" t="s">
        <v>31</v>
      </c>
      <c r="R533">
        <v>7</v>
      </c>
      <c r="S533" t="s">
        <v>3418</v>
      </c>
      <c r="T533" t="s">
        <v>7249</v>
      </c>
      <c r="U533" t="s">
        <v>7250</v>
      </c>
      <c r="V533" t="s">
        <v>49</v>
      </c>
      <c r="W533" t="s">
        <v>33</v>
      </c>
      <c r="X533" t="s">
        <v>33</v>
      </c>
      <c r="Y533" t="s">
        <v>33</v>
      </c>
      <c r="Z533" s="16" t="s">
        <v>34</v>
      </c>
      <c r="AA533">
        <v>-75.649831634999899</v>
      </c>
      <c r="AB533">
        <v>6.1379125160000303</v>
      </c>
      <c r="AC533" t="s">
        <v>135</v>
      </c>
      <c r="AD533" t="s">
        <v>136</v>
      </c>
    </row>
    <row r="534" spans="1:30" x14ac:dyDescent="0.25">
      <c r="A534" t="s">
        <v>3419</v>
      </c>
      <c r="B534" t="s">
        <v>25</v>
      </c>
      <c r="C534" t="s">
        <v>26</v>
      </c>
      <c r="D534" t="s">
        <v>25</v>
      </c>
      <c r="E534" t="s">
        <v>3420</v>
      </c>
      <c r="F534" t="s">
        <v>3421</v>
      </c>
      <c r="G534">
        <v>900982391</v>
      </c>
      <c r="H534" t="s">
        <v>2815</v>
      </c>
      <c r="I534" s="4" t="s">
        <v>2816</v>
      </c>
      <c r="J534" s="4" t="s">
        <v>35</v>
      </c>
      <c r="K534" t="s">
        <v>3422</v>
      </c>
      <c r="L534" t="s">
        <v>55</v>
      </c>
      <c r="M534" t="s">
        <v>3423</v>
      </c>
      <c r="N534" t="s">
        <v>56</v>
      </c>
      <c r="O534" t="s">
        <v>29</v>
      </c>
      <c r="P534" t="s">
        <v>54</v>
      </c>
      <c r="Q534" t="s">
        <v>31</v>
      </c>
      <c r="R534">
        <v>7</v>
      </c>
      <c r="S534" t="s">
        <v>3424</v>
      </c>
      <c r="T534" t="s">
        <v>7249</v>
      </c>
      <c r="U534" t="s">
        <v>7250</v>
      </c>
      <c r="V534" t="s">
        <v>49</v>
      </c>
      <c r="W534" t="s">
        <v>33</v>
      </c>
      <c r="X534" t="s">
        <v>33</v>
      </c>
      <c r="Y534" t="s">
        <v>33</v>
      </c>
      <c r="Z534" s="16" t="s">
        <v>34</v>
      </c>
      <c r="AA534">
        <v>-75.649831634999899</v>
      </c>
      <c r="AB534">
        <v>6.1379125160000303</v>
      </c>
      <c r="AC534" t="s">
        <v>135</v>
      </c>
      <c r="AD534" t="s">
        <v>136</v>
      </c>
    </row>
    <row r="535" spans="1:30" x14ac:dyDescent="0.25">
      <c r="A535" t="s">
        <v>3425</v>
      </c>
      <c r="B535" t="s">
        <v>25</v>
      </c>
      <c r="C535" t="s">
        <v>26</v>
      </c>
      <c r="D535" t="s">
        <v>25</v>
      </c>
      <c r="E535" t="s">
        <v>3426</v>
      </c>
      <c r="F535" t="s">
        <v>3427</v>
      </c>
      <c r="G535">
        <v>900982391</v>
      </c>
      <c r="H535" t="s">
        <v>2815</v>
      </c>
      <c r="I535" s="4" t="s">
        <v>2816</v>
      </c>
      <c r="J535" s="4" t="s">
        <v>35</v>
      </c>
      <c r="K535" t="s">
        <v>3428</v>
      </c>
      <c r="L535" t="s">
        <v>55</v>
      </c>
      <c r="M535" t="s">
        <v>3429</v>
      </c>
      <c r="N535" t="s">
        <v>56</v>
      </c>
      <c r="O535" t="s">
        <v>29</v>
      </c>
      <c r="P535" t="s">
        <v>54</v>
      </c>
      <c r="Q535" t="s">
        <v>31</v>
      </c>
      <c r="R535">
        <v>7</v>
      </c>
      <c r="S535" t="s">
        <v>3430</v>
      </c>
      <c r="T535" t="s">
        <v>7249</v>
      </c>
      <c r="U535" t="s">
        <v>7250</v>
      </c>
      <c r="V535" t="s">
        <v>49</v>
      </c>
      <c r="W535" t="s">
        <v>33</v>
      </c>
      <c r="X535" t="s">
        <v>33</v>
      </c>
      <c r="Y535" t="s">
        <v>33</v>
      </c>
      <c r="Z535" s="16" t="s">
        <v>34</v>
      </c>
      <c r="AA535">
        <v>-75.649831634999899</v>
      </c>
      <c r="AB535">
        <v>6.1379125160000303</v>
      </c>
      <c r="AC535" t="s">
        <v>135</v>
      </c>
      <c r="AD535" t="s">
        <v>136</v>
      </c>
    </row>
    <row r="536" spans="1:30" x14ac:dyDescent="0.25">
      <c r="A536" t="s">
        <v>3431</v>
      </c>
      <c r="B536" t="s">
        <v>25</v>
      </c>
      <c r="C536" t="s">
        <v>26</v>
      </c>
      <c r="D536" t="s">
        <v>25</v>
      </c>
      <c r="E536" t="s">
        <v>3426</v>
      </c>
      <c r="F536" t="s">
        <v>3427</v>
      </c>
      <c r="G536">
        <v>900982391</v>
      </c>
      <c r="H536" t="s">
        <v>2815</v>
      </c>
      <c r="I536" s="4" t="s">
        <v>2816</v>
      </c>
      <c r="J536" s="4" t="s">
        <v>35</v>
      </c>
      <c r="K536" t="s">
        <v>3432</v>
      </c>
      <c r="L536" t="s">
        <v>55</v>
      </c>
      <c r="M536" t="s">
        <v>3433</v>
      </c>
      <c r="N536" t="s">
        <v>56</v>
      </c>
      <c r="O536" t="s">
        <v>29</v>
      </c>
      <c r="P536" t="s">
        <v>54</v>
      </c>
      <c r="Q536" t="s">
        <v>31</v>
      </c>
      <c r="R536">
        <v>7</v>
      </c>
      <c r="S536" t="s">
        <v>3430</v>
      </c>
      <c r="T536" t="s">
        <v>7249</v>
      </c>
      <c r="U536" t="s">
        <v>7250</v>
      </c>
      <c r="V536" t="s">
        <v>49</v>
      </c>
      <c r="W536" t="s">
        <v>33</v>
      </c>
      <c r="X536" t="s">
        <v>33</v>
      </c>
      <c r="Y536" t="s">
        <v>33</v>
      </c>
      <c r="Z536" s="16" t="s">
        <v>34</v>
      </c>
      <c r="AA536">
        <v>-75.649831634999899</v>
      </c>
      <c r="AB536">
        <v>6.1379125160000303</v>
      </c>
      <c r="AC536" t="s">
        <v>135</v>
      </c>
      <c r="AD536" t="s">
        <v>136</v>
      </c>
    </row>
    <row r="537" spans="1:30" x14ac:dyDescent="0.25">
      <c r="A537" t="s">
        <v>3434</v>
      </c>
      <c r="B537" t="s">
        <v>25</v>
      </c>
      <c r="C537" t="s">
        <v>26</v>
      </c>
      <c r="D537" t="s">
        <v>25</v>
      </c>
      <c r="E537" t="s">
        <v>3435</v>
      </c>
      <c r="F537" t="s">
        <v>3436</v>
      </c>
      <c r="G537">
        <v>900982391</v>
      </c>
      <c r="H537" t="s">
        <v>2815</v>
      </c>
      <c r="I537" s="4" t="s">
        <v>2816</v>
      </c>
      <c r="J537" s="4" t="s">
        <v>35</v>
      </c>
      <c r="K537" t="s">
        <v>3437</v>
      </c>
      <c r="L537" t="s">
        <v>55</v>
      </c>
      <c r="M537" t="s">
        <v>3438</v>
      </c>
      <c r="N537" t="s">
        <v>56</v>
      </c>
      <c r="O537" t="s">
        <v>29</v>
      </c>
      <c r="P537" t="s">
        <v>54</v>
      </c>
      <c r="Q537" t="s">
        <v>31</v>
      </c>
      <c r="R537">
        <v>7</v>
      </c>
      <c r="S537" t="s">
        <v>3439</v>
      </c>
      <c r="T537" t="s">
        <v>7249</v>
      </c>
      <c r="U537" t="s">
        <v>7250</v>
      </c>
      <c r="V537" t="s">
        <v>49</v>
      </c>
      <c r="W537" t="s">
        <v>33</v>
      </c>
      <c r="X537" t="s">
        <v>33</v>
      </c>
      <c r="Y537" t="s">
        <v>33</v>
      </c>
      <c r="Z537" s="16" t="s">
        <v>34</v>
      </c>
      <c r="AA537">
        <v>-75.649831634999899</v>
      </c>
      <c r="AB537">
        <v>6.1379125160000303</v>
      </c>
      <c r="AC537" t="s">
        <v>135</v>
      </c>
      <c r="AD537" t="s">
        <v>136</v>
      </c>
    </row>
    <row r="538" spans="1:30" x14ac:dyDescent="0.25">
      <c r="A538" t="s">
        <v>3440</v>
      </c>
      <c r="B538" t="s">
        <v>25</v>
      </c>
      <c r="C538" t="s">
        <v>26</v>
      </c>
      <c r="D538" t="s">
        <v>25</v>
      </c>
      <c r="E538" t="s">
        <v>3441</v>
      </c>
      <c r="F538" t="s">
        <v>3442</v>
      </c>
      <c r="G538">
        <v>900982391</v>
      </c>
      <c r="H538" t="s">
        <v>2815</v>
      </c>
      <c r="I538" s="4" t="s">
        <v>2816</v>
      </c>
      <c r="J538" s="4" t="s">
        <v>35</v>
      </c>
      <c r="K538" t="s">
        <v>3443</v>
      </c>
      <c r="L538" t="s">
        <v>55</v>
      </c>
      <c r="M538" t="s">
        <v>3444</v>
      </c>
      <c r="N538" t="s">
        <v>56</v>
      </c>
      <c r="O538" t="s">
        <v>29</v>
      </c>
      <c r="P538" t="s">
        <v>54</v>
      </c>
      <c r="Q538" t="s">
        <v>31</v>
      </c>
      <c r="R538">
        <v>7</v>
      </c>
      <c r="S538" t="s">
        <v>3445</v>
      </c>
      <c r="T538" t="s">
        <v>7249</v>
      </c>
      <c r="U538" t="s">
        <v>7250</v>
      </c>
      <c r="V538" t="s">
        <v>49</v>
      </c>
      <c r="W538" t="s">
        <v>33</v>
      </c>
      <c r="X538" t="s">
        <v>33</v>
      </c>
      <c r="Y538" t="s">
        <v>33</v>
      </c>
      <c r="Z538" s="16" t="s">
        <v>34</v>
      </c>
      <c r="AA538">
        <v>-75.649831634999899</v>
      </c>
      <c r="AB538">
        <v>6.1379125160000303</v>
      </c>
      <c r="AC538" t="s">
        <v>135</v>
      </c>
      <c r="AD538" t="s">
        <v>136</v>
      </c>
    </row>
    <row r="539" spans="1:30" x14ac:dyDescent="0.25">
      <c r="A539" t="s">
        <v>3447</v>
      </c>
      <c r="B539" t="s">
        <v>65</v>
      </c>
      <c r="C539" t="s">
        <v>26</v>
      </c>
      <c r="D539" t="s">
        <v>66</v>
      </c>
      <c r="E539" t="s">
        <v>3448</v>
      </c>
      <c r="F539" t="s">
        <v>3449</v>
      </c>
      <c r="G539">
        <v>71353655</v>
      </c>
      <c r="H539" t="s">
        <v>3450</v>
      </c>
      <c r="I539" s="4" t="s">
        <v>3451</v>
      </c>
      <c r="J539" s="4" t="s">
        <v>3452</v>
      </c>
      <c r="K539" t="s">
        <v>3453</v>
      </c>
      <c r="L539" t="s">
        <v>27</v>
      </c>
      <c r="M539" t="s">
        <v>3454</v>
      </c>
      <c r="N539" t="s">
        <v>28</v>
      </c>
      <c r="O539" t="s">
        <v>68</v>
      </c>
      <c r="P539" t="s">
        <v>74</v>
      </c>
      <c r="Q539" t="s">
        <v>31</v>
      </c>
      <c r="R539">
        <v>9</v>
      </c>
      <c r="S539" t="s">
        <v>3455</v>
      </c>
      <c r="T539" t="s">
        <v>1111</v>
      </c>
      <c r="U539" t="s">
        <v>3456</v>
      </c>
      <c r="V539" t="s">
        <v>32</v>
      </c>
      <c r="W539" t="s">
        <v>33</v>
      </c>
      <c r="X539" t="s">
        <v>33</v>
      </c>
      <c r="Y539" t="s">
        <v>33</v>
      </c>
      <c r="Z539" s="16" t="s">
        <v>34</v>
      </c>
      <c r="AA539">
        <v>-75.645575719999997</v>
      </c>
      <c r="AB539">
        <v>6.1764970100000003</v>
      </c>
      <c r="AC539" t="s">
        <v>135</v>
      </c>
      <c r="AD539" t="s">
        <v>136</v>
      </c>
    </row>
    <row r="540" spans="1:30" x14ac:dyDescent="0.25">
      <c r="A540" t="s">
        <v>3457</v>
      </c>
      <c r="B540" t="s">
        <v>25</v>
      </c>
      <c r="C540" t="s">
        <v>26</v>
      </c>
      <c r="D540" t="s">
        <v>25</v>
      </c>
      <c r="E540" t="s">
        <v>3458</v>
      </c>
      <c r="F540" t="s">
        <v>3459</v>
      </c>
      <c r="G540">
        <v>71023144</v>
      </c>
      <c r="H540" t="s">
        <v>3460</v>
      </c>
      <c r="I540" s="4" t="s">
        <v>35</v>
      </c>
      <c r="J540" s="4" t="s">
        <v>3461</v>
      </c>
      <c r="K540" t="s">
        <v>3462</v>
      </c>
      <c r="L540" t="s">
        <v>27</v>
      </c>
      <c r="M540" t="s">
        <v>3463</v>
      </c>
      <c r="N540" t="s">
        <v>28</v>
      </c>
      <c r="O540" t="s">
        <v>29</v>
      </c>
      <c r="P540" t="s">
        <v>37</v>
      </c>
      <c r="Q540" t="s">
        <v>31</v>
      </c>
      <c r="R540">
        <v>7</v>
      </c>
      <c r="S540" t="s">
        <v>3464</v>
      </c>
      <c r="T540" t="s">
        <v>7251</v>
      </c>
      <c r="U540" t="s">
        <v>601</v>
      </c>
      <c r="V540" t="s">
        <v>49</v>
      </c>
      <c r="W540" t="s">
        <v>33</v>
      </c>
      <c r="X540" t="s">
        <v>33</v>
      </c>
      <c r="Y540" t="s">
        <v>33</v>
      </c>
      <c r="Z540" s="16" t="s">
        <v>34</v>
      </c>
      <c r="AA540">
        <v>-75.631550000000004</v>
      </c>
      <c r="AB540">
        <v>6.2465460000000004</v>
      </c>
      <c r="AC540" t="s">
        <v>135</v>
      </c>
      <c r="AD540" t="s">
        <v>136</v>
      </c>
    </row>
    <row r="541" spans="1:30" x14ac:dyDescent="0.25">
      <c r="A541" t="s">
        <v>3466</v>
      </c>
      <c r="B541" t="s">
        <v>42</v>
      </c>
      <c r="C541" t="s">
        <v>26</v>
      </c>
      <c r="D541" t="s">
        <v>42</v>
      </c>
      <c r="E541" t="s">
        <v>3467</v>
      </c>
      <c r="F541" t="s">
        <v>3468</v>
      </c>
      <c r="G541">
        <v>70033370</v>
      </c>
      <c r="H541" t="s">
        <v>3469</v>
      </c>
      <c r="I541" s="4" t="s">
        <v>35</v>
      </c>
      <c r="J541" s="4" t="s">
        <v>3470</v>
      </c>
      <c r="K541" t="s">
        <v>3471</v>
      </c>
      <c r="L541" t="s">
        <v>27</v>
      </c>
      <c r="M541" t="s">
        <v>3472</v>
      </c>
      <c r="N541" t="s">
        <v>28</v>
      </c>
      <c r="O541" t="s">
        <v>43</v>
      </c>
      <c r="P541" t="s">
        <v>36</v>
      </c>
      <c r="Q541" t="s">
        <v>31</v>
      </c>
      <c r="R541">
        <v>7</v>
      </c>
      <c r="S541" t="s">
        <v>3473</v>
      </c>
      <c r="T541" t="s">
        <v>7252</v>
      </c>
      <c r="U541" t="s">
        <v>7253</v>
      </c>
      <c r="V541" t="s">
        <v>49</v>
      </c>
      <c r="W541" t="s">
        <v>33</v>
      </c>
      <c r="X541" t="s">
        <v>33</v>
      </c>
      <c r="Y541" t="s">
        <v>33</v>
      </c>
      <c r="Z541" s="16" t="s">
        <v>34</v>
      </c>
      <c r="AA541">
        <v>-75.601500759999993</v>
      </c>
      <c r="AB541">
        <v>6.2437849400000003</v>
      </c>
      <c r="AC541" t="s">
        <v>135</v>
      </c>
      <c r="AD541" t="s">
        <v>136</v>
      </c>
    </row>
    <row r="542" spans="1:30" x14ac:dyDescent="0.25">
      <c r="A542" t="s">
        <v>3474</v>
      </c>
      <c r="B542" t="s">
        <v>25</v>
      </c>
      <c r="C542" t="s">
        <v>26</v>
      </c>
      <c r="D542" t="s">
        <v>25</v>
      </c>
      <c r="E542" t="s">
        <v>3475</v>
      </c>
      <c r="F542" t="s">
        <v>3476</v>
      </c>
      <c r="G542">
        <v>42779798</v>
      </c>
      <c r="H542" t="s">
        <v>3477</v>
      </c>
      <c r="I542" s="4" t="s">
        <v>3478</v>
      </c>
      <c r="J542" s="4" t="s">
        <v>3479</v>
      </c>
      <c r="K542" t="s">
        <v>3480</v>
      </c>
      <c r="L542" t="s">
        <v>55</v>
      </c>
      <c r="M542" t="s">
        <v>3481</v>
      </c>
      <c r="N542" t="s">
        <v>56</v>
      </c>
      <c r="O542" t="s">
        <v>29</v>
      </c>
      <c r="P542" t="s">
        <v>54</v>
      </c>
      <c r="Q542" t="s">
        <v>38</v>
      </c>
      <c r="R542">
        <v>10</v>
      </c>
      <c r="S542" t="s">
        <v>3482</v>
      </c>
      <c r="T542" t="s">
        <v>7254</v>
      </c>
      <c r="U542" t="s">
        <v>7254</v>
      </c>
      <c r="V542" t="s">
        <v>32</v>
      </c>
      <c r="W542" t="s">
        <v>33</v>
      </c>
      <c r="X542" t="s">
        <v>33</v>
      </c>
      <c r="Y542" t="s">
        <v>33</v>
      </c>
      <c r="Z542" s="16" t="s">
        <v>34</v>
      </c>
      <c r="AA542">
        <v>-75.63546393</v>
      </c>
      <c r="AB542">
        <v>6.1473713700000001</v>
      </c>
      <c r="AC542" t="s">
        <v>135</v>
      </c>
      <c r="AD542" t="s">
        <v>136</v>
      </c>
    </row>
    <row r="543" spans="1:30" x14ac:dyDescent="0.25">
      <c r="A543" t="s">
        <v>3483</v>
      </c>
      <c r="B543" t="s">
        <v>25</v>
      </c>
      <c r="C543" t="s">
        <v>26</v>
      </c>
      <c r="D543" t="s">
        <v>39</v>
      </c>
      <c r="E543" t="s">
        <v>3484</v>
      </c>
      <c r="F543" t="s">
        <v>3485</v>
      </c>
      <c r="G543">
        <v>1037651734</v>
      </c>
      <c r="H543" t="s">
        <v>3486</v>
      </c>
      <c r="I543" s="4" t="s">
        <v>35</v>
      </c>
      <c r="J543" s="4" t="s">
        <v>3487</v>
      </c>
      <c r="K543" t="s">
        <v>3488</v>
      </c>
      <c r="L543" t="s">
        <v>27</v>
      </c>
      <c r="M543" t="s">
        <v>3489</v>
      </c>
      <c r="N543" t="s">
        <v>28</v>
      </c>
      <c r="O543" t="s">
        <v>40</v>
      </c>
      <c r="P543" t="s">
        <v>41</v>
      </c>
      <c r="Q543" t="s">
        <v>31</v>
      </c>
      <c r="R543">
        <v>5</v>
      </c>
      <c r="S543" t="s">
        <v>3490</v>
      </c>
      <c r="T543" t="s">
        <v>2324</v>
      </c>
      <c r="U543" t="s">
        <v>7255</v>
      </c>
      <c r="V543" t="s">
        <v>131</v>
      </c>
      <c r="W543" t="s">
        <v>33</v>
      </c>
      <c r="X543" t="s">
        <v>33</v>
      </c>
      <c r="Y543" t="s">
        <v>33</v>
      </c>
      <c r="Z543" s="16" t="s">
        <v>34</v>
      </c>
      <c r="AA543">
        <v>-75.658205589999994</v>
      </c>
      <c r="AB543">
        <v>6.1871261999999998</v>
      </c>
      <c r="AC543" t="s">
        <v>135</v>
      </c>
      <c r="AD543" t="s">
        <v>136</v>
      </c>
    </row>
    <row r="544" spans="1:30" x14ac:dyDescent="0.25">
      <c r="A544" t="s">
        <v>3491</v>
      </c>
      <c r="B544" t="s">
        <v>65</v>
      </c>
      <c r="C544" t="s">
        <v>26</v>
      </c>
      <c r="D544" t="s">
        <v>66</v>
      </c>
      <c r="E544" t="s">
        <v>3492</v>
      </c>
      <c r="F544" t="s">
        <v>3493</v>
      </c>
      <c r="G544">
        <v>7502634</v>
      </c>
      <c r="H544" t="s">
        <v>3494</v>
      </c>
      <c r="I544" s="4" t="s">
        <v>35</v>
      </c>
      <c r="J544" s="4" t="s">
        <v>3495</v>
      </c>
      <c r="K544" t="s">
        <v>3496</v>
      </c>
      <c r="L544" t="s">
        <v>27</v>
      </c>
      <c r="M544" t="s">
        <v>3497</v>
      </c>
      <c r="N544" t="s">
        <v>28</v>
      </c>
      <c r="O544" t="s">
        <v>68</v>
      </c>
      <c r="P544" t="s">
        <v>70</v>
      </c>
      <c r="Q544" t="s">
        <v>31</v>
      </c>
      <c r="R544">
        <v>9</v>
      </c>
      <c r="S544" t="s">
        <v>3498</v>
      </c>
      <c r="T544" t="s">
        <v>1123</v>
      </c>
      <c r="U544" t="s">
        <v>3499</v>
      </c>
      <c r="V544" t="s">
        <v>32</v>
      </c>
      <c r="W544" t="s">
        <v>33</v>
      </c>
      <c r="X544" t="s">
        <v>33</v>
      </c>
      <c r="Y544" t="s">
        <v>33</v>
      </c>
      <c r="Z544" s="16" t="s">
        <v>34</v>
      </c>
      <c r="AA544">
        <v>-75.555795829999994</v>
      </c>
      <c r="AB544">
        <v>6.2403086800000001</v>
      </c>
      <c r="AC544" t="s">
        <v>135</v>
      </c>
      <c r="AD544" t="s">
        <v>136</v>
      </c>
    </row>
    <row r="545" spans="1:30" x14ac:dyDescent="0.25">
      <c r="A545" t="s">
        <v>3501</v>
      </c>
      <c r="B545" t="s">
        <v>65</v>
      </c>
      <c r="C545" t="s">
        <v>26</v>
      </c>
      <c r="D545" t="s">
        <v>66</v>
      </c>
      <c r="E545" t="s">
        <v>3502</v>
      </c>
      <c r="F545" t="s">
        <v>3503</v>
      </c>
      <c r="G545">
        <v>22978253</v>
      </c>
      <c r="H545" t="s">
        <v>3504</v>
      </c>
      <c r="I545" s="4" t="s">
        <v>35</v>
      </c>
      <c r="J545" s="4" t="s">
        <v>3505</v>
      </c>
      <c r="K545" t="s">
        <v>3506</v>
      </c>
      <c r="L545" t="s">
        <v>27</v>
      </c>
      <c r="M545" t="s">
        <v>3507</v>
      </c>
      <c r="N545" t="s">
        <v>28</v>
      </c>
      <c r="O545" t="s">
        <v>68</v>
      </c>
      <c r="P545" t="s">
        <v>70</v>
      </c>
      <c r="Q545" t="s">
        <v>31</v>
      </c>
      <c r="R545">
        <v>9</v>
      </c>
      <c r="S545" t="s">
        <v>3508</v>
      </c>
      <c r="T545" t="s">
        <v>3510</v>
      </c>
      <c r="U545" t="s">
        <v>3509</v>
      </c>
      <c r="V545" t="s">
        <v>32</v>
      </c>
      <c r="W545" t="s">
        <v>33</v>
      </c>
      <c r="X545" t="s">
        <v>33</v>
      </c>
      <c r="Y545" t="s">
        <v>33</v>
      </c>
      <c r="Z545" s="16" t="s">
        <v>34</v>
      </c>
      <c r="AA545">
        <v>-75.626795459999997</v>
      </c>
      <c r="AB545">
        <v>6.2556940299999999</v>
      </c>
      <c r="AC545" t="s">
        <v>135</v>
      </c>
      <c r="AD545" t="s">
        <v>136</v>
      </c>
    </row>
    <row r="546" spans="1:30" x14ac:dyDescent="0.25">
      <c r="A546" t="s">
        <v>9975</v>
      </c>
      <c r="B546" t="s">
        <v>25</v>
      </c>
      <c r="C546" t="s">
        <v>26</v>
      </c>
      <c r="D546" t="s">
        <v>39</v>
      </c>
      <c r="E546" t="s">
        <v>7256</v>
      </c>
      <c r="F546" t="s">
        <v>7257</v>
      </c>
      <c r="G546">
        <v>43999679</v>
      </c>
      <c r="H546" t="s">
        <v>7258</v>
      </c>
      <c r="I546" s="4" t="s">
        <v>7259</v>
      </c>
      <c r="J546" s="4" t="s">
        <v>7260</v>
      </c>
      <c r="K546" t="s">
        <v>7261</v>
      </c>
      <c r="L546" t="s">
        <v>27</v>
      </c>
      <c r="M546" t="s">
        <v>7262</v>
      </c>
      <c r="N546" t="s">
        <v>28</v>
      </c>
      <c r="O546" t="s">
        <v>46</v>
      </c>
      <c r="P546" t="s">
        <v>41</v>
      </c>
      <c r="Q546" t="s">
        <v>31</v>
      </c>
      <c r="R546">
        <v>5</v>
      </c>
      <c r="S546" t="s">
        <v>7263</v>
      </c>
      <c r="T546" t="s">
        <v>7264</v>
      </c>
      <c r="U546" t="s">
        <v>7265</v>
      </c>
      <c r="V546" t="s">
        <v>32</v>
      </c>
      <c r="W546" t="s">
        <v>33</v>
      </c>
      <c r="X546" t="s">
        <v>33</v>
      </c>
      <c r="Y546" t="s">
        <v>33</v>
      </c>
      <c r="Z546" s="16" t="s">
        <v>34</v>
      </c>
      <c r="AA546">
        <v>-75.620886080000005</v>
      </c>
      <c r="AB546">
        <v>6.2482865600000004</v>
      </c>
      <c r="AC546" t="s">
        <v>135</v>
      </c>
      <c r="AD546" t="s">
        <v>136</v>
      </c>
    </row>
    <row r="547" spans="1:30" x14ac:dyDescent="0.25">
      <c r="A547" t="s">
        <v>3512</v>
      </c>
      <c r="B547" t="s">
        <v>65</v>
      </c>
      <c r="C547" t="s">
        <v>26</v>
      </c>
      <c r="D547" t="s">
        <v>66</v>
      </c>
      <c r="E547" t="s">
        <v>3513</v>
      </c>
      <c r="F547" t="s">
        <v>3514</v>
      </c>
      <c r="G547">
        <v>901648916</v>
      </c>
      <c r="H547" t="s">
        <v>3515</v>
      </c>
      <c r="I547" s="4" t="s">
        <v>35</v>
      </c>
      <c r="J547" s="4" t="s">
        <v>3516</v>
      </c>
      <c r="K547" t="s">
        <v>3517</v>
      </c>
      <c r="L547" t="s">
        <v>27</v>
      </c>
      <c r="M547" t="s">
        <v>3518</v>
      </c>
      <c r="N547" t="s">
        <v>28</v>
      </c>
      <c r="O547" t="s">
        <v>68</v>
      </c>
      <c r="P547" t="s">
        <v>70</v>
      </c>
      <c r="Q547" t="s">
        <v>31</v>
      </c>
      <c r="R547">
        <v>9</v>
      </c>
      <c r="S547" t="s">
        <v>3519</v>
      </c>
      <c r="T547" t="s">
        <v>3521</v>
      </c>
      <c r="U547" t="s">
        <v>3520</v>
      </c>
      <c r="V547" t="s">
        <v>32</v>
      </c>
      <c r="W547" t="s">
        <v>33</v>
      </c>
      <c r="X547" t="s">
        <v>33</v>
      </c>
      <c r="Y547" t="s">
        <v>33</v>
      </c>
      <c r="Z547" s="16" t="s">
        <v>34</v>
      </c>
      <c r="AA547">
        <v>-75.572816889999999</v>
      </c>
      <c r="AB547">
        <v>6.2144875900000001</v>
      </c>
      <c r="AC547" t="s">
        <v>135</v>
      </c>
      <c r="AD547" t="s">
        <v>136</v>
      </c>
    </row>
    <row r="548" spans="1:30" x14ac:dyDescent="0.25">
      <c r="A548" t="s">
        <v>3523</v>
      </c>
      <c r="B548" t="s">
        <v>61</v>
      </c>
      <c r="C548" t="s">
        <v>26</v>
      </c>
      <c r="D548" t="s">
        <v>61</v>
      </c>
      <c r="E548" t="s">
        <v>3524</v>
      </c>
      <c r="F548" t="s">
        <v>3525</v>
      </c>
      <c r="G548">
        <v>43531328</v>
      </c>
      <c r="H548" t="s">
        <v>3526</v>
      </c>
      <c r="I548" s="4" t="s">
        <v>35</v>
      </c>
      <c r="J548" s="4" t="s">
        <v>2824</v>
      </c>
      <c r="K548" t="s">
        <v>3527</v>
      </c>
      <c r="L548" t="s">
        <v>27</v>
      </c>
      <c r="M548" t="s">
        <v>3528</v>
      </c>
      <c r="N548" t="s">
        <v>28</v>
      </c>
      <c r="O548" t="s">
        <v>62</v>
      </c>
      <c r="P548" t="s">
        <v>63</v>
      </c>
      <c r="Q548" t="s">
        <v>31</v>
      </c>
      <c r="R548">
        <v>4</v>
      </c>
      <c r="S548" t="s">
        <v>3529</v>
      </c>
      <c r="T548" t="s">
        <v>7266</v>
      </c>
      <c r="U548" t="s">
        <v>47</v>
      </c>
      <c r="V548" t="s">
        <v>47</v>
      </c>
      <c r="W548" t="s">
        <v>33</v>
      </c>
      <c r="X548" t="s">
        <v>33</v>
      </c>
      <c r="Y548" t="s">
        <v>33</v>
      </c>
      <c r="Z548" s="16" t="s">
        <v>34</v>
      </c>
      <c r="AA548">
        <v>-75.566215999999997</v>
      </c>
      <c r="AB548">
        <v>6.2400549999999999</v>
      </c>
      <c r="AC548" t="s">
        <v>135</v>
      </c>
      <c r="AD548" t="s">
        <v>136</v>
      </c>
    </row>
    <row r="549" spans="1:30" x14ac:dyDescent="0.25">
      <c r="A549" t="s">
        <v>3530</v>
      </c>
      <c r="B549" t="s">
        <v>25</v>
      </c>
      <c r="C549" t="s">
        <v>26</v>
      </c>
      <c r="D549" t="s">
        <v>25</v>
      </c>
      <c r="E549" t="s">
        <v>3531</v>
      </c>
      <c r="F549" t="s">
        <v>3532</v>
      </c>
      <c r="G549">
        <v>71686939</v>
      </c>
      <c r="H549" t="s">
        <v>3533</v>
      </c>
      <c r="I549" s="4" t="s">
        <v>35</v>
      </c>
      <c r="J549" s="4" t="s">
        <v>3534</v>
      </c>
      <c r="K549" t="s">
        <v>3535</v>
      </c>
      <c r="L549" t="s">
        <v>48</v>
      </c>
      <c r="M549" t="s">
        <v>3536</v>
      </c>
      <c r="N549" t="s">
        <v>64</v>
      </c>
      <c r="O549" t="s">
        <v>29</v>
      </c>
      <c r="P549" t="s">
        <v>37</v>
      </c>
      <c r="Q549" t="s">
        <v>31</v>
      </c>
      <c r="R549">
        <v>7</v>
      </c>
      <c r="S549" t="s">
        <v>3537</v>
      </c>
      <c r="T549" t="s">
        <v>1147</v>
      </c>
      <c r="U549" t="s">
        <v>7267</v>
      </c>
      <c r="V549" t="s">
        <v>49</v>
      </c>
      <c r="W549" t="s">
        <v>33</v>
      </c>
      <c r="X549" t="s">
        <v>33</v>
      </c>
      <c r="Y549" t="s">
        <v>33</v>
      </c>
      <c r="Z549" s="16" t="s">
        <v>34</v>
      </c>
      <c r="AA549">
        <v>-75.584475940000004</v>
      </c>
      <c r="AB549">
        <v>6.1527274099999998</v>
      </c>
      <c r="AC549" t="s">
        <v>135</v>
      </c>
      <c r="AD549" t="s">
        <v>136</v>
      </c>
    </row>
    <row r="550" spans="1:30" x14ac:dyDescent="0.25">
      <c r="A550" t="s">
        <v>3539</v>
      </c>
      <c r="B550" t="s">
        <v>25</v>
      </c>
      <c r="C550" t="s">
        <v>26</v>
      </c>
      <c r="D550" t="s">
        <v>25</v>
      </c>
      <c r="E550" t="s">
        <v>3540</v>
      </c>
      <c r="F550" t="s">
        <v>3541</v>
      </c>
      <c r="G550">
        <v>71799202</v>
      </c>
      <c r="H550" t="s">
        <v>560</v>
      </c>
      <c r="I550" s="4" t="s">
        <v>35</v>
      </c>
      <c r="J550" s="4" t="s">
        <v>73</v>
      </c>
      <c r="K550" t="s">
        <v>3542</v>
      </c>
      <c r="L550" t="s">
        <v>27</v>
      </c>
      <c r="M550" t="s">
        <v>3543</v>
      </c>
      <c r="N550" t="s">
        <v>28</v>
      </c>
      <c r="O550" t="s">
        <v>29</v>
      </c>
      <c r="P550" t="s">
        <v>36</v>
      </c>
      <c r="Q550" t="s">
        <v>31</v>
      </c>
      <c r="R550">
        <v>7</v>
      </c>
      <c r="S550" t="s">
        <v>3544</v>
      </c>
      <c r="T550" t="s">
        <v>7268</v>
      </c>
      <c r="U550" t="s">
        <v>7269</v>
      </c>
      <c r="V550" t="s">
        <v>49</v>
      </c>
      <c r="W550" t="s">
        <v>33</v>
      </c>
      <c r="X550" t="s">
        <v>33</v>
      </c>
      <c r="Y550" t="s">
        <v>33</v>
      </c>
      <c r="Z550" s="16" t="s">
        <v>34</v>
      </c>
      <c r="AA550">
        <v>-75.559316510000002</v>
      </c>
      <c r="AB550">
        <v>6.2588269600000004</v>
      </c>
      <c r="AC550" t="s">
        <v>135</v>
      </c>
      <c r="AD550" t="s">
        <v>136</v>
      </c>
    </row>
    <row r="551" spans="1:30" x14ac:dyDescent="0.25">
      <c r="A551" t="s">
        <v>9976</v>
      </c>
      <c r="B551" t="s">
        <v>25</v>
      </c>
      <c r="C551" t="s">
        <v>26</v>
      </c>
      <c r="D551" t="s">
        <v>39</v>
      </c>
      <c r="E551" t="s">
        <v>7270</v>
      </c>
      <c r="F551" t="s">
        <v>7271</v>
      </c>
      <c r="G551">
        <v>43452072</v>
      </c>
      <c r="H551" t="s">
        <v>7272</v>
      </c>
      <c r="I551" s="4" t="s">
        <v>35</v>
      </c>
      <c r="J551" s="4" t="s">
        <v>7273</v>
      </c>
      <c r="K551" t="s">
        <v>7274</v>
      </c>
      <c r="L551" t="s">
        <v>27</v>
      </c>
      <c r="M551" t="s">
        <v>7275</v>
      </c>
      <c r="N551" t="s">
        <v>28</v>
      </c>
      <c r="O551" t="s">
        <v>40</v>
      </c>
      <c r="P551" t="s">
        <v>41</v>
      </c>
      <c r="Q551" t="s">
        <v>38</v>
      </c>
      <c r="R551">
        <v>8</v>
      </c>
      <c r="S551" t="s">
        <v>7276</v>
      </c>
      <c r="T551" t="s">
        <v>7277</v>
      </c>
      <c r="U551" t="s">
        <v>7278</v>
      </c>
      <c r="V551" t="s">
        <v>32</v>
      </c>
      <c r="W551" t="s">
        <v>33</v>
      </c>
      <c r="X551" t="s">
        <v>33</v>
      </c>
      <c r="Y551" t="s">
        <v>33</v>
      </c>
      <c r="Z551" s="16" t="s">
        <v>34</v>
      </c>
      <c r="AA551">
        <v>-75.656045000000006</v>
      </c>
      <c r="AB551">
        <v>6.3013139999999996</v>
      </c>
      <c r="AC551" t="s">
        <v>135</v>
      </c>
      <c r="AD551" t="s">
        <v>136</v>
      </c>
    </row>
    <row r="552" spans="1:30" x14ac:dyDescent="0.25">
      <c r="A552" t="s">
        <v>3545</v>
      </c>
      <c r="B552" t="s">
        <v>42</v>
      </c>
      <c r="C552" t="s">
        <v>26</v>
      </c>
      <c r="D552" t="s">
        <v>42</v>
      </c>
      <c r="E552" t="s">
        <v>3546</v>
      </c>
      <c r="F552" t="s">
        <v>3547</v>
      </c>
      <c r="G552">
        <v>8301454</v>
      </c>
      <c r="H552" t="s">
        <v>3548</v>
      </c>
      <c r="I552" s="4" t="s">
        <v>3549</v>
      </c>
      <c r="J552" s="4" t="s">
        <v>3550</v>
      </c>
      <c r="K552" t="s">
        <v>3551</v>
      </c>
      <c r="L552" t="s">
        <v>27</v>
      </c>
      <c r="M552" t="s">
        <v>3552</v>
      </c>
      <c r="N552" t="s">
        <v>28</v>
      </c>
      <c r="O552" t="s">
        <v>43</v>
      </c>
      <c r="P552" t="s">
        <v>37</v>
      </c>
      <c r="Q552" t="s">
        <v>31</v>
      </c>
      <c r="R552">
        <v>7</v>
      </c>
      <c r="S552" t="s">
        <v>3553</v>
      </c>
      <c r="T552" t="s">
        <v>7279</v>
      </c>
      <c r="U552" t="s">
        <v>7280</v>
      </c>
      <c r="V552" t="s">
        <v>49</v>
      </c>
      <c r="W552" t="s">
        <v>33</v>
      </c>
      <c r="X552" t="s">
        <v>33</v>
      </c>
      <c r="Y552" t="s">
        <v>33</v>
      </c>
      <c r="Z552" s="16" t="s">
        <v>34</v>
      </c>
      <c r="AA552">
        <v>-75.583624639999996</v>
      </c>
      <c r="AB552">
        <v>6.1966626400000004</v>
      </c>
      <c r="AC552" t="s">
        <v>135</v>
      </c>
      <c r="AD552" t="s">
        <v>136</v>
      </c>
    </row>
    <row r="553" spans="1:30" x14ac:dyDescent="0.25">
      <c r="A553" t="s">
        <v>3554</v>
      </c>
      <c r="B553" t="s">
        <v>42</v>
      </c>
      <c r="C553" t="s">
        <v>26</v>
      </c>
      <c r="D553" t="s">
        <v>42</v>
      </c>
      <c r="E553" t="s">
        <v>3555</v>
      </c>
      <c r="F553" t="s">
        <v>3556</v>
      </c>
      <c r="G553">
        <v>901985141</v>
      </c>
      <c r="H553" t="s">
        <v>3557</v>
      </c>
      <c r="I553" s="4" t="s">
        <v>35</v>
      </c>
      <c r="J553" s="4" t="s">
        <v>3558</v>
      </c>
      <c r="K553" t="s">
        <v>3559</v>
      </c>
      <c r="L553" t="s">
        <v>27</v>
      </c>
      <c r="M553" t="s">
        <v>3560</v>
      </c>
      <c r="N553" t="s">
        <v>28</v>
      </c>
      <c r="O553" t="s">
        <v>43</v>
      </c>
      <c r="P553" t="s">
        <v>37</v>
      </c>
      <c r="Q553" t="s">
        <v>31</v>
      </c>
      <c r="R553">
        <v>7</v>
      </c>
      <c r="S553" t="s">
        <v>3561</v>
      </c>
      <c r="T553" t="s">
        <v>7281</v>
      </c>
      <c r="U553" t="s">
        <v>7282</v>
      </c>
      <c r="V553" t="s">
        <v>49</v>
      </c>
      <c r="W553" t="s">
        <v>33</v>
      </c>
      <c r="X553" t="s">
        <v>33</v>
      </c>
      <c r="Y553" t="s">
        <v>33</v>
      </c>
      <c r="Z553" s="16" t="s">
        <v>34</v>
      </c>
      <c r="AA553">
        <v>-75.55212521</v>
      </c>
      <c r="AB553">
        <v>6.1964984200000002</v>
      </c>
      <c r="AC553" t="s">
        <v>135</v>
      </c>
      <c r="AD553" t="s">
        <v>136</v>
      </c>
    </row>
    <row r="554" spans="1:30" x14ac:dyDescent="0.25">
      <c r="A554" t="s">
        <v>3563</v>
      </c>
      <c r="B554" t="s">
        <v>25</v>
      </c>
      <c r="C554" t="s">
        <v>26</v>
      </c>
      <c r="D554" t="s">
        <v>25</v>
      </c>
      <c r="E554" t="s">
        <v>3564</v>
      </c>
      <c r="F554" t="s">
        <v>3565</v>
      </c>
      <c r="G554">
        <v>70878913</v>
      </c>
      <c r="H554" t="s">
        <v>3566</v>
      </c>
      <c r="I554" s="4" t="s">
        <v>3567</v>
      </c>
      <c r="J554" s="4" t="s">
        <v>176</v>
      </c>
      <c r="K554" t="s">
        <v>3568</v>
      </c>
      <c r="L554" t="s">
        <v>48</v>
      </c>
      <c r="M554" t="s">
        <v>3569</v>
      </c>
      <c r="N554" t="s">
        <v>64</v>
      </c>
      <c r="O554" t="s">
        <v>29</v>
      </c>
      <c r="P554" t="s">
        <v>37</v>
      </c>
      <c r="Q554" t="s">
        <v>31</v>
      </c>
      <c r="R554">
        <v>7</v>
      </c>
      <c r="S554" t="s">
        <v>3570</v>
      </c>
      <c r="T554" t="s">
        <v>7284</v>
      </c>
      <c r="U554" t="s">
        <v>7285</v>
      </c>
      <c r="V554" t="s">
        <v>49</v>
      </c>
      <c r="W554" t="s">
        <v>33</v>
      </c>
      <c r="X554" t="s">
        <v>33</v>
      </c>
      <c r="Y554" t="s">
        <v>33</v>
      </c>
      <c r="Z554" s="16" t="s">
        <v>34</v>
      </c>
      <c r="AA554">
        <v>-75.580984920000006</v>
      </c>
      <c r="AB554">
        <v>6.1763140999999999</v>
      </c>
      <c r="AC554" t="s">
        <v>135</v>
      </c>
      <c r="AD554" t="s">
        <v>136</v>
      </c>
    </row>
    <row r="555" spans="1:30" x14ac:dyDescent="0.25">
      <c r="A555" t="s">
        <v>3571</v>
      </c>
      <c r="B555" t="s">
        <v>25</v>
      </c>
      <c r="C555" t="s">
        <v>26</v>
      </c>
      <c r="D555" t="s">
        <v>25</v>
      </c>
      <c r="E555" t="s">
        <v>3572</v>
      </c>
      <c r="F555" t="s">
        <v>3573</v>
      </c>
      <c r="G555">
        <v>71799202</v>
      </c>
      <c r="H555" t="s">
        <v>560</v>
      </c>
      <c r="I555" s="4" t="s">
        <v>35</v>
      </c>
      <c r="J555" s="4" t="s">
        <v>73</v>
      </c>
      <c r="K555" t="s">
        <v>3574</v>
      </c>
      <c r="L555" t="s">
        <v>27</v>
      </c>
      <c r="M555" t="s">
        <v>3575</v>
      </c>
      <c r="N555" t="s">
        <v>28</v>
      </c>
      <c r="O555" t="s">
        <v>29</v>
      </c>
      <c r="P555" t="s">
        <v>36</v>
      </c>
      <c r="Q555" t="s">
        <v>31</v>
      </c>
      <c r="R555">
        <v>7</v>
      </c>
      <c r="S555" t="s">
        <v>3576</v>
      </c>
      <c r="T555" t="s">
        <v>7286</v>
      </c>
      <c r="U555" t="s">
        <v>7287</v>
      </c>
      <c r="V555" t="s">
        <v>49</v>
      </c>
      <c r="W555" t="s">
        <v>33</v>
      </c>
      <c r="X555" t="s">
        <v>33</v>
      </c>
      <c r="Y555" t="s">
        <v>33</v>
      </c>
      <c r="Z555" s="16" t="s">
        <v>34</v>
      </c>
      <c r="AA555">
        <v>-75.557037149999999</v>
      </c>
      <c r="AB555">
        <v>6.2580377499999997</v>
      </c>
      <c r="AC555" t="s">
        <v>135</v>
      </c>
      <c r="AD555" t="s">
        <v>136</v>
      </c>
    </row>
    <row r="556" spans="1:30" x14ac:dyDescent="0.25">
      <c r="A556" t="s">
        <v>3577</v>
      </c>
      <c r="B556" t="s">
        <v>25</v>
      </c>
      <c r="C556" t="s">
        <v>26</v>
      </c>
      <c r="D556" t="s">
        <v>25</v>
      </c>
      <c r="E556" t="s">
        <v>3578</v>
      </c>
      <c r="F556" t="s">
        <v>3579</v>
      </c>
      <c r="G556">
        <v>1036630219</v>
      </c>
      <c r="H556" t="s">
        <v>3580</v>
      </c>
      <c r="I556" s="4" t="s">
        <v>35</v>
      </c>
      <c r="J556" s="4" t="s">
        <v>3581</v>
      </c>
      <c r="K556" t="s">
        <v>3582</v>
      </c>
      <c r="L556" t="s">
        <v>44</v>
      </c>
      <c r="M556" t="s">
        <v>3583</v>
      </c>
      <c r="N556" t="s">
        <v>45</v>
      </c>
      <c r="O556" t="s">
        <v>29</v>
      </c>
      <c r="P556" t="s">
        <v>37</v>
      </c>
      <c r="Q556" t="s">
        <v>38</v>
      </c>
      <c r="R556">
        <v>10</v>
      </c>
      <c r="S556" t="s">
        <v>3584</v>
      </c>
      <c r="T556" t="s">
        <v>4959</v>
      </c>
      <c r="U556" t="s">
        <v>4959</v>
      </c>
      <c r="V556" t="s">
        <v>32</v>
      </c>
      <c r="W556" t="s">
        <v>33</v>
      </c>
      <c r="X556" t="s">
        <v>33</v>
      </c>
      <c r="Y556" t="s">
        <v>33</v>
      </c>
      <c r="Z556" s="16" t="s">
        <v>34</v>
      </c>
      <c r="AA556">
        <v>-75.599124110000005</v>
      </c>
      <c r="AB556">
        <v>6.1965167799999996</v>
      </c>
      <c r="AC556" t="s">
        <v>135</v>
      </c>
      <c r="AD556" t="s">
        <v>136</v>
      </c>
    </row>
    <row r="557" spans="1:30" x14ac:dyDescent="0.25">
      <c r="A557" t="s">
        <v>3591</v>
      </c>
      <c r="B557" t="s">
        <v>65</v>
      </c>
      <c r="C557" t="s">
        <v>26</v>
      </c>
      <c r="D557" t="s">
        <v>66</v>
      </c>
      <c r="E557" t="s">
        <v>3592</v>
      </c>
      <c r="F557" t="s">
        <v>3593</v>
      </c>
      <c r="G557">
        <v>39167711</v>
      </c>
      <c r="H557" t="s">
        <v>3594</v>
      </c>
      <c r="I557" s="4" t="s">
        <v>35</v>
      </c>
      <c r="J557" s="4" t="s">
        <v>3595</v>
      </c>
      <c r="K557" t="s">
        <v>3596</v>
      </c>
      <c r="L557" t="s">
        <v>57</v>
      </c>
      <c r="M557" t="s">
        <v>3597</v>
      </c>
      <c r="N557" t="s">
        <v>58</v>
      </c>
      <c r="O557" t="s">
        <v>68</v>
      </c>
      <c r="P557" t="s">
        <v>74</v>
      </c>
      <c r="Q557" t="s">
        <v>38</v>
      </c>
      <c r="R557">
        <v>14</v>
      </c>
      <c r="S557" t="s">
        <v>3598</v>
      </c>
      <c r="T557" t="s">
        <v>7288</v>
      </c>
      <c r="U557" t="s">
        <v>7289</v>
      </c>
      <c r="V557" t="s">
        <v>32</v>
      </c>
      <c r="W557" t="s">
        <v>33</v>
      </c>
      <c r="X557" t="s">
        <v>33</v>
      </c>
      <c r="Y557" t="s">
        <v>33</v>
      </c>
      <c r="Z557" s="16" t="s">
        <v>34</v>
      </c>
      <c r="AA557">
        <v>-75.674688529999997</v>
      </c>
      <c r="AB557">
        <v>6.0497677699999999</v>
      </c>
      <c r="AC557" t="s">
        <v>135</v>
      </c>
      <c r="AD557" t="s">
        <v>136</v>
      </c>
    </row>
    <row r="558" spans="1:30" x14ac:dyDescent="0.25">
      <c r="A558" t="s">
        <v>3599</v>
      </c>
      <c r="B558" t="s">
        <v>25</v>
      </c>
      <c r="C558" t="s">
        <v>26</v>
      </c>
      <c r="D558" t="s">
        <v>25</v>
      </c>
      <c r="E558" t="s">
        <v>3600</v>
      </c>
      <c r="F558" t="s">
        <v>3601</v>
      </c>
      <c r="G558">
        <v>70503594</v>
      </c>
      <c r="H558" t="s">
        <v>3602</v>
      </c>
      <c r="I558" s="4" t="s">
        <v>103</v>
      </c>
      <c r="J558" s="4" t="s">
        <v>197</v>
      </c>
      <c r="K558" t="s">
        <v>3603</v>
      </c>
      <c r="L558" t="s">
        <v>27</v>
      </c>
      <c r="M558" t="s">
        <v>3604</v>
      </c>
      <c r="N558" t="s">
        <v>28</v>
      </c>
      <c r="O558" t="s">
        <v>29</v>
      </c>
      <c r="P558" t="s">
        <v>54</v>
      </c>
      <c r="Q558" t="s">
        <v>31</v>
      </c>
      <c r="R558">
        <v>7</v>
      </c>
      <c r="S558" t="s">
        <v>3605</v>
      </c>
      <c r="T558" t="s">
        <v>3607</v>
      </c>
      <c r="U558" t="s">
        <v>3606</v>
      </c>
      <c r="V558" t="s">
        <v>32</v>
      </c>
      <c r="W558" t="s">
        <v>33</v>
      </c>
      <c r="X558" t="s">
        <v>33</v>
      </c>
      <c r="Y558" t="s">
        <v>33</v>
      </c>
      <c r="Z558" s="16" t="s">
        <v>34</v>
      </c>
      <c r="AA558">
        <v>-75.597436000000002</v>
      </c>
      <c r="AB558">
        <v>6.2479399999999998</v>
      </c>
      <c r="AC558" t="s">
        <v>135</v>
      </c>
      <c r="AD558" t="s">
        <v>136</v>
      </c>
    </row>
    <row r="559" spans="1:30" x14ac:dyDescent="0.25">
      <c r="A559" t="s">
        <v>3608</v>
      </c>
      <c r="B559" t="s">
        <v>25</v>
      </c>
      <c r="C559" t="s">
        <v>26</v>
      </c>
      <c r="D559" t="s">
        <v>25</v>
      </c>
      <c r="E559" t="s">
        <v>3609</v>
      </c>
      <c r="F559" t="s">
        <v>3610</v>
      </c>
      <c r="G559">
        <v>70503594</v>
      </c>
      <c r="H559" t="s">
        <v>3602</v>
      </c>
      <c r="I559" s="4" t="s">
        <v>103</v>
      </c>
      <c r="J559" s="4" t="s">
        <v>197</v>
      </c>
      <c r="K559" t="s">
        <v>3611</v>
      </c>
      <c r="L559" t="s">
        <v>27</v>
      </c>
      <c r="M559" t="s">
        <v>3612</v>
      </c>
      <c r="N559" t="s">
        <v>28</v>
      </c>
      <c r="O559" t="s">
        <v>29</v>
      </c>
      <c r="P559" t="s">
        <v>54</v>
      </c>
      <c r="Q559" t="s">
        <v>31</v>
      </c>
      <c r="R559">
        <v>7</v>
      </c>
      <c r="S559" t="s">
        <v>3613</v>
      </c>
      <c r="T559" t="s">
        <v>3615</v>
      </c>
      <c r="U559" t="s">
        <v>3614</v>
      </c>
      <c r="V559" t="s">
        <v>32</v>
      </c>
      <c r="W559" t="s">
        <v>33</v>
      </c>
      <c r="X559" t="s">
        <v>33</v>
      </c>
      <c r="Y559" t="s">
        <v>33</v>
      </c>
      <c r="Z559" s="16" t="s">
        <v>34</v>
      </c>
      <c r="AA559">
        <v>-75.597436000000002</v>
      </c>
      <c r="AB559">
        <v>6.2479399999999998</v>
      </c>
      <c r="AC559" t="s">
        <v>135</v>
      </c>
      <c r="AD559" t="s">
        <v>136</v>
      </c>
    </row>
    <row r="560" spans="1:30" x14ac:dyDescent="0.25">
      <c r="A560" t="s">
        <v>3616</v>
      </c>
      <c r="B560" t="s">
        <v>25</v>
      </c>
      <c r="C560" t="s">
        <v>26</v>
      </c>
      <c r="D560" t="s">
        <v>25</v>
      </c>
      <c r="E560" t="s">
        <v>3617</v>
      </c>
      <c r="F560" t="s">
        <v>3618</v>
      </c>
      <c r="G560">
        <v>70503594</v>
      </c>
      <c r="H560" t="s">
        <v>3602</v>
      </c>
      <c r="I560" s="4" t="s">
        <v>103</v>
      </c>
      <c r="J560" s="4" t="s">
        <v>197</v>
      </c>
      <c r="K560" t="s">
        <v>3619</v>
      </c>
      <c r="L560" t="s">
        <v>27</v>
      </c>
      <c r="M560" t="s">
        <v>3620</v>
      </c>
      <c r="N560" t="s">
        <v>28</v>
      </c>
      <c r="O560" t="s">
        <v>29</v>
      </c>
      <c r="P560" t="s">
        <v>54</v>
      </c>
      <c r="Q560" t="s">
        <v>31</v>
      </c>
      <c r="R560">
        <v>7</v>
      </c>
      <c r="S560" t="s">
        <v>3621</v>
      </c>
      <c r="T560" t="s">
        <v>3615</v>
      </c>
      <c r="U560" t="s">
        <v>3614</v>
      </c>
      <c r="V560" t="s">
        <v>32</v>
      </c>
      <c r="W560" t="s">
        <v>33</v>
      </c>
      <c r="X560" t="s">
        <v>33</v>
      </c>
      <c r="Y560" t="s">
        <v>33</v>
      </c>
      <c r="Z560" s="16" t="s">
        <v>34</v>
      </c>
      <c r="AA560">
        <v>-75.597436000000002</v>
      </c>
      <c r="AB560">
        <v>6.2479399999999998</v>
      </c>
      <c r="AC560" t="s">
        <v>135</v>
      </c>
      <c r="AD560" t="s">
        <v>136</v>
      </c>
    </row>
    <row r="561" spans="1:30" x14ac:dyDescent="0.25">
      <c r="A561" t="s">
        <v>3622</v>
      </c>
      <c r="B561" t="s">
        <v>25</v>
      </c>
      <c r="C561" t="s">
        <v>26</v>
      </c>
      <c r="D561" t="s">
        <v>25</v>
      </c>
      <c r="E561" t="s">
        <v>3623</v>
      </c>
      <c r="F561" t="s">
        <v>3624</v>
      </c>
      <c r="G561">
        <v>70503594</v>
      </c>
      <c r="H561" t="s">
        <v>3602</v>
      </c>
      <c r="I561" s="4" t="s">
        <v>103</v>
      </c>
      <c r="J561" s="4" t="s">
        <v>197</v>
      </c>
      <c r="K561" t="s">
        <v>3625</v>
      </c>
      <c r="L561" t="s">
        <v>27</v>
      </c>
      <c r="M561" t="s">
        <v>3626</v>
      </c>
      <c r="N561" t="s">
        <v>28</v>
      </c>
      <c r="O561" t="s">
        <v>29</v>
      </c>
      <c r="P561" t="s">
        <v>54</v>
      </c>
      <c r="Q561" t="s">
        <v>31</v>
      </c>
      <c r="R561">
        <v>7</v>
      </c>
      <c r="S561" t="s">
        <v>3627</v>
      </c>
      <c r="T561" t="s">
        <v>2742</v>
      </c>
      <c r="U561" t="s">
        <v>3628</v>
      </c>
      <c r="V561" t="s">
        <v>32</v>
      </c>
      <c r="W561" t="s">
        <v>33</v>
      </c>
      <c r="X561" t="s">
        <v>33</v>
      </c>
      <c r="Y561" t="s">
        <v>33</v>
      </c>
      <c r="Z561" s="16" t="s">
        <v>34</v>
      </c>
      <c r="AA561">
        <v>-75.597436000000002</v>
      </c>
      <c r="AB561">
        <v>6.2479399999999998</v>
      </c>
      <c r="AC561" t="s">
        <v>135</v>
      </c>
      <c r="AD561" t="s">
        <v>136</v>
      </c>
    </row>
    <row r="562" spans="1:30" x14ac:dyDescent="0.25">
      <c r="A562" t="s">
        <v>3629</v>
      </c>
      <c r="B562" t="s">
        <v>25</v>
      </c>
      <c r="C562" t="s">
        <v>26</v>
      </c>
      <c r="D562" t="s">
        <v>25</v>
      </c>
      <c r="E562" t="s">
        <v>3630</v>
      </c>
      <c r="F562" t="s">
        <v>3631</v>
      </c>
      <c r="G562">
        <v>70503594</v>
      </c>
      <c r="H562" t="s">
        <v>3602</v>
      </c>
      <c r="I562" s="4" t="s">
        <v>35</v>
      </c>
      <c r="J562" s="4" t="s">
        <v>197</v>
      </c>
      <c r="K562" t="s">
        <v>3632</v>
      </c>
      <c r="L562" t="s">
        <v>27</v>
      </c>
      <c r="M562" t="s">
        <v>3633</v>
      </c>
      <c r="N562" t="s">
        <v>28</v>
      </c>
      <c r="O562" t="s">
        <v>29</v>
      </c>
      <c r="P562" t="s">
        <v>54</v>
      </c>
      <c r="Q562" t="s">
        <v>31</v>
      </c>
      <c r="R562">
        <v>7</v>
      </c>
      <c r="S562" t="s">
        <v>3634</v>
      </c>
      <c r="T562" t="s">
        <v>3636</v>
      </c>
      <c r="U562" t="s">
        <v>3635</v>
      </c>
      <c r="V562" t="s">
        <v>32</v>
      </c>
      <c r="W562" t="s">
        <v>33</v>
      </c>
      <c r="X562" t="s">
        <v>33</v>
      </c>
      <c r="Y562" t="s">
        <v>33</v>
      </c>
      <c r="Z562" s="16" t="s">
        <v>34</v>
      </c>
      <c r="AA562">
        <v>-75.597436000000002</v>
      </c>
      <c r="AB562">
        <v>6.2479399999999998</v>
      </c>
      <c r="AC562" t="s">
        <v>135</v>
      </c>
      <c r="AD562" t="s">
        <v>136</v>
      </c>
    </row>
    <row r="563" spans="1:30" x14ac:dyDescent="0.25">
      <c r="A563" t="s">
        <v>9977</v>
      </c>
      <c r="B563" t="s">
        <v>25</v>
      </c>
      <c r="C563" t="s">
        <v>26</v>
      </c>
      <c r="D563" t="s">
        <v>39</v>
      </c>
      <c r="E563" t="s">
        <v>7290</v>
      </c>
      <c r="F563" t="s">
        <v>7291</v>
      </c>
      <c r="G563">
        <v>98560156</v>
      </c>
      <c r="H563" t="s">
        <v>7292</v>
      </c>
      <c r="I563" s="4" t="s">
        <v>35</v>
      </c>
      <c r="J563" s="4" t="s">
        <v>7293</v>
      </c>
      <c r="K563" t="s">
        <v>7294</v>
      </c>
      <c r="L563" t="s">
        <v>27</v>
      </c>
      <c r="M563" t="s">
        <v>7295</v>
      </c>
      <c r="N563" t="s">
        <v>28</v>
      </c>
      <c r="O563" t="s">
        <v>46</v>
      </c>
      <c r="P563" t="s">
        <v>41</v>
      </c>
      <c r="Q563" t="s">
        <v>31</v>
      </c>
      <c r="R563">
        <v>5</v>
      </c>
      <c r="S563" t="s">
        <v>7296</v>
      </c>
      <c r="T563" t="s">
        <v>7297</v>
      </c>
      <c r="U563" t="s">
        <v>3607</v>
      </c>
      <c r="V563" t="s">
        <v>32</v>
      </c>
      <c r="W563" t="s">
        <v>33</v>
      </c>
      <c r="X563" t="s">
        <v>33</v>
      </c>
      <c r="Y563" t="s">
        <v>33</v>
      </c>
      <c r="Z563" s="16" t="s">
        <v>34</v>
      </c>
      <c r="AA563">
        <v>-75.615544</v>
      </c>
      <c r="AB563">
        <v>6.2716130000000003</v>
      </c>
      <c r="AC563" t="s">
        <v>135</v>
      </c>
      <c r="AD563" t="s">
        <v>136</v>
      </c>
    </row>
    <row r="564" spans="1:30" x14ac:dyDescent="0.25">
      <c r="A564" t="s">
        <v>9978</v>
      </c>
      <c r="B564" t="s">
        <v>25</v>
      </c>
      <c r="C564" t="s">
        <v>26</v>
      </c>
      <c r="D564" t="s">
        <v>39</v>
      </c>
      <c r="E564" t="s">
        <v>7298</v>
      </c>
      <c r="F564" t="s">
        <v>7299</v>
      </c>
      <c r="G564">
        <v>98560156</v>
      </c>
      <c r="H564" t="s">
        <v>7292</v>
      </c>
      <c r="I564" s="4" t="s">
        <v>7300</v>
      </c>
      <c r="J564" s="4" t="s">
        <v>7293</v>
      </c>
      <c r="K564" t="s">
        <v>7301</v>
      </c>
      <c r="L564" t="s">
        <v>27</v>
      </c>
      <c r="M564" t="s">
        <v>7302</v>
      </c>
      <c r="N564" t="s">
        <v>28</v>
      </c>
      <c r="O564" t="s">
        <v>46</v>
      </c>
      <c r="P564" t="s">
        <v>41</v>
      </c>
      <c r="Q564" t="s">
        <v>31</v>
      </c>
      <c r="R564">
        <v>5</v>
      </c>
      <c r="S564" t="s">
        <v>7303</v>
      </c>
      <c r="T564" t="s">
        <v>7297</v>
      </c>
      <c r="U564" t="s">
        <v>3607</v>
      </c>
      <c r="V564" t="s">
        <v>32</v>
      </c>
      <c r="W564" t="s">
        <v>33</v>
      </c>
      <c r="X564" t="s">
        <v>33</v>
      </c>
      <c r="Y564" t="s">
        <v>33</v>
      </c>
      <c r="Z564" s="16" t="s">
        <v>34</v>
      </c>
      <c r="AA564">
        <v>-75.615544</v>
      </c>
      <c r="AB564">
        <v>6.2716130000000003</v>
      </c>
      <c r="AC564" t="s">
        <v>135</v>
      </c>
      <c r="AD564" t="s">
        <v>136</v>
      </c>
    </row>
    <row r="565" spans="1:30" x14ac:dyDescent="0.25">
      <c r="A565" t="s">
        <v>3638</v>
      </c>
      <c r="B565" t="s">
        <v>65</v>
      </c>
      <c r="C565" t="s">
        <v>26</v>
      </c>
      <c r="D565" t="s">
        <v>66</v>
      </c>
      <c r="E565" t="s">
        <v>3639</v>
      </c>
      <c r="F565" t="s">
        <v>3640</v>
      </c>
      <c r="G565">
        <v>1116781423</v>
      </c>
      <c r="H565" t="s">
        <v>3641</v>
      </c>
      <c r="I565" s="4" t="s">
        <v>35</v>
      </c>
      <c r="J565" s="4" t="s">
        <v>3642</v>
      </c>
      <c r="K565" t="s">
        <v>3643</v>
      </c>
      <c r="L565" t="s">
        <v>27</v>
      </c>
      <c r="M565" t="s">
        <v>3644</v>
      </c>
      <c r="N565" t="s">
        <v>28</v>
      </c>
      <c r="O565" t="s">
        <v>68</v>
      </c>
      <c r="P565" t="s">
        <v>70</v>
      </c>
      <c r="Q565" t="s">
        <v>31</v>
      </c>
      <c r="R565">
        <v>9</v>
      </c>
      <c r="S565" t="s">
        <v>3645</v>
      </c>
      <c r="T565" t="s">
        <v>2785</v>
      </c>
      <c r="U565" t="s">
        <v>2786</v>
      </c>
      <c r="V565" t="s">
        <v>32</v>
      </c>
      <c r="W565" t="s">
        <v>33</v>
      </c>
      <c r="X565" t="s">
        <v>33</v>
      </c>
      <c r="Y565" t="s">
        <v>33</v>
      </c>
      <c r="Z565" s="16" t="s">
        <v>34</v>
      </c>
      <c r="AA565">
        <v>-75.631744620000006</v>
      </c>
      <c r="AB565">
        <v>6.2767403100000001</v>
      </c>
      <c r="AC565" t="s">
        <v>135</v>
      </c>
      <c r="AD565" t="s">
        <v>136</v>
      </c>
    </row>
    <row r="566" spans="1:30" x14ac:dyDescent="0.25">
      <c r="A566" t="s">
        <v>3648</v>
      </c>
      <c r="B566" t="s">
        <v>42</v>
      </c>
      <c r="C566" t="s">
        <v>26</v>
      </c>
      <c r="D566" t="s">
        <v>42</v>
      </c>
      <c r="E566" t="s">
        <v>3649</v>
      </c>
      <c r="F566" t="s">
        <v>3650</v>
      </c>
      <c r="G566">
        <v>901167772</v>
      </c>
      <c r="H566" t="s">
        <v>3651</v>
      </c>
      <c r="I566" s="4" t="s">
        <v>35</v>
      </c>
      <c r="J566" s="4" t="s">
        <v>3652</v>
      </c>
      <c r="K566" t="s">
        <v>3653</v>
      </c>
      <c r="L566" t="s">
        <v>48</v>
      </c>
      <c r="M566" t="s">
        <v>3654</v>
      </c>
      <c r="N566" t="s">
        <v>64</v>
      </c>
      <c r="O566" t="s">
        <v>43</v>
      </c>
      <c r="P566" t="s">
        <v>37</v>
      </c>
      <c r="Q566" t="s">
        <v>31</v>
      </c>
      <c r="R566">
        <v>7</v>
      </c>
      <c r="S566" t="s">
        <v>3655</v>
      </c>
      <c r="T566" t="s">
        <v>1127</v>
      </c>
      <c r="U566" t="s">
        <v>2313</v>
      </c>
      <c r="V566" t="s">
        <v>32</v>
      </c>
      <c r="W566" t="s">
        <v>33</v>
      </c>
      <c r="X566" t="s">
        <v>33</v>
      </c>
      <c r="Y566" t="s">
        <v>33</v>
      </c>
      <c r="Z566" s="16" t="s">
        <v>34</v>
      </c>
      <c r="AA566">
        <v>-75.56971455</v>
      </c>
      <c r="AB566">
        <v>6.1652502</v>
      </c>
      <c r="AC566" t="s">
        <v>135</v>
      </c>
      <c r="AD566" t="s">
        <v>136</v>
      </c>
    </row>
    <row r="567" spans="1:30" x14ac:dyDescent="0.25">
      <c r="A567" t="s">
        <v>3656</v>
      </c>
      <c r="B567" t="s">
        <v>25</v>
      </c>
      <c r="C567" t="s">
        <v>75</v>
      </c>
      <c r="D567" t="s">
        <v>25</v>
      </c>
      <c r="E567" t="s">
        <v>3657</v>
      </c>
      <c r="F567" t="s">
        <v>3658</v>
      </c>
      <c r="G567">
        <v>1128280924</v>
      </c>
      <c r="H567" t="s">
        <v>3659</v>
      </c>
      <c r="I567" s="4" t="s">
        <v>35</v>
      </c>
      <c r="J567" s="4" t="s">
        <v>3660</v>
      </c>
      <c r="K567" t="s">
        <v>3661</v>
      </c>
      <c r="L567" t="s">
        <v>27</v>
      </c>
      <c r="M567" t="s">
        <v>3662</v>
      </c>
      <c r="N567" t="s">
        <v>28</v>
      </c>
      <c r="O567" t="s">
        <v>137</v>
      </c>
      <c r="P567" t="s">
        <v>30</v>
      </c>
      <c r="Q567" t="s">
        <v>31</v>
      </c>
      <c r="R567">
        <v>7</v>
      </c>
      <c r="S567" t="s">
        <v>3663</v>
      </c>
      <c r="T567" t="s">
        <v>3664</v>
      </c>
      <c r="U567" t="s">
        <v>1115</v>
      </c>
      <c r="V567" t="s">
        <v>32</v>
      </c>
      <c r="W567" t="s">
        <v>33</v>
      </c>
      <c r="X567" t="s">
        <v>33</v>
      </c>
      <c r="Y567" t="s">
        <v>33</v>
      </c>
      <c r="Z567" s="16" t="s">
        <v>34</v>
      </c>
      <c r="AA567">
        <v>-75.597416350000003</v>
      </c>
      <c r="AB567">
        <v>6.2238005999999997</v>
      </c>
      <c r="AC567" t="s">
        <v>135</v>
      </c>
      <c r="AD567" t="s">
        <v>136</v>
      </c>
    </row>
    <row r="568" spans="1:30" x14ac:dyDescent="0.25">
      <c r="A568" t="s">
        <v>3665</v>
      </c>
      <c r="B568" t="s">
        <v>50</v>
      </c>
      <c r="C568" t="s">
        <v>26</v>
      </c>
      <c r="D568" t="s">
        <v>50</v>
      </c>
      <c r="E568" t="s">
        <v>3666</v>
      </c>
      <c r="F568" t="s">
        <v>3667</v>
      </c>
      <c r="G568">
        <v>43068416</v>
      </c>
      <c r="H568" t="s">
        <v>3668</v>
      </c>
      <c r="I568" s="4" t="s">
        <v>35</v>
      </c>
      <c r="J568" s="4" t="s">
        <v>3669</v>
      </c>
      <c r="K568" t="s">
        <v>3670</v>
      </c>
      <c r="L568" t="s">
        <v>27</v>
      </c>
      <c r="M568" t="s">
        <v>3671</v>
      </c>
      <c r="N568" t="s">
        <v>28</v>
      </c>
      <c r="O568" t="s">
        <v>40</v>
      </c>
      <c r="P568" t="s">
        <v>52</v>
      </c>
      <c r="Q568" t="s">
        <v>31</v>
      </c>
      <c r="R568">
        <v>5</v>
      </c>
      <c r="S568" t="s">
        <v>3672</v>
      </c>
      <c r="T568" t="s">
        <v>7304</v>
      </c>
      <c r="U568" t="s">
        <v>7305</v>
      </c>
      <c r="V568" t="s">
        <v>49</v>
      </c>
      <c r="W568" t="s">
        <v>33</v>
      </c>
      <c r="X568" t="s">
        <v>33</v>
      </c>
      <c r="Y568" t="s">
        <v>33</v>
      </c>
      <c r="Z568" s="16" t="s">
        <v>34</v>
      </c>
      <c r="AA568">
        <v>-75.542908740000001</v>
      </c>
      <c r="AB568">
        <v>6.2477969699999996</v>
      </c>
      <c r="AC568" t="s">
        <v>135</v>
      </c>
      <c r="AD568" t="s">
        <v>136</v>
      </c>
    </row>
    <row r="569" spans="1:30" x14ac:dyDescent="0.25">
      <c r="A569" t="s">
        <v>3673</v>
      </c>
      <c r="B569" t="s">
        <v>61</v>
      </c>
      <c r="C569" t="s">
        <v>26</v>
      </c>
      <c r="D569" t="s">
        <v>61</v>
      </c>
      <c r="E569" t="s">
        <v>3674</v>
      </c>
      <c r="F569" t="s">
        <v>3675</v>
      </c>
      <c r="G569">
        <v>1037575804</v>
      </c>
      <c r="H569" t="s">
        <v>101</v>
      </c>
      <c r="I569" s="4" t="s">
        <v>35</v>
      </c>
      <c r="J569" s="4" t="s">
        <v>3676</v>
      </c>
      <c r="K569" t="s">
        <v>3677</v>
      </c>
      <c r="L569" t="s">
        <v>48</v>
      </c>
      <c r="M569" t="s">
        <v>3678</v>
      </c>
      <c r="N569" t="s">
        <v>64</v>
      </c>
      <c r="O569" t="s">
        <v>62</v>
      </c>
      <c r="P569" t="s">
        <v>63</v>
      </c>
      <c r="Q569" t="s">
        <v>31</v>
      </c>
      <c r="R569">
        <v>4</v>
      </c>
      <c r="S569" t="s">
        <v>3679</v>
      </c>
      <c r="T569" t="s">
        <v>7306</v>
      </c>
      <c r="U569" t="s">
        <v>47</v>
      </c>
      <c r="V569" t="s">
        <v>47</v>
      </c>
      <c r="W569" t="s">
        <v>33</v>
      </c>
      <c r="X569" t="s">
        <v>33</v>
      </c>
      <c r="Y569" t="s">
        <v>33</v>
      </c>
      <c r="Z569" s="16" t="s">
        <v>34</v>
      </c>
      <c r="AA569">
        <v>-75.582297249999996</v>
      </c>
      <c r="AB569">
        <v>6.18163543</v>
      </c>
      <c r="AC569" t="s">
        <v>135</v>
      </c>
      <c r="AD569" t="s">
        <v>136</v>
      </c>
    </row>
    <row r="570" spans="1:30" x14ac:dyDescent="0.25">
      <c r="A570" t="s">
        <v>3680</v>
      </c>
      <c r="B570" t="s">
        <v>25</v>
      </c>
      <c r="C570" t="s">
        <v>26</v>
      </c>
      <c r="D570" t="s">
        <v>25</v>
      </c>
      <c r="E570" t="s">
        <v>3681</v>
      </c>
      <c r="F570" t="s">
        <v>3682</v>
      </c>
      <c r="G570">
        <v>1026144579</v>
      </c>
      <c r="H570" t="s">
        <v>3683</v>
      </c>
      <c r="I570" s="4" t="s">
        <v>3684</v>
      </c>
      <c r="J570" s="4" t="s">
        <v>3685</v>
      </c>
      <c r="K570" t="s">
        <v>3686</v>
      </c>
      <c r="L570" t="s">
        <v>55</v>
      </c>
      <c r="M570" t="s">
        <v>3687</v>
      </c>
      <c r="N570" t="s">
        <v>56</v>
      </c>
      <c r="O570" t="s">
        <v>29</v>
      </c>
      <c r="P570" t="s">
        <v>37</v>
      </c>
      <c r="Q570" t="s">
        <v>38</v>
      </c>
      <c r="R570">
        <v>10</v>
      </c>
      <c r="S570" t="s">
        <v>3688</v>
      </c>
      <c r="T570" t="s">
        <v>7306</v>
      </c>
      <c r="U570" t="s">
        <v>7307</v>
      </c>
      <c r="V570" t="s">
        <v>32</v>
      </c>
      <c r="W570" t="s">
        <v>33</v>
      </c>
      <c r="X570" t="s">
        <v>33</v>
      </c>
      <c r="Y570" t="s">
        <v>33</v>
      </c>
      <c r="Z570" s="16" t="s">
        <v>34</v>
      </c>
      <c r="AA570">
        <v>-75.632402619999993</v>
      </c>
      <c r="AB570">
        <v>6.1171856299999998</v>
      </c>
      <c r="AC570" t="s">
        <v>135</v>
      </c>
      <c r="AD570" t="s">
        <v>136</v>
      </c>
    </row>
    <row r="571" spans="1:30" x14ac:dyDescent="0.25">
      <c r="A571" t="s">
        <v>3689</v>
      </c>
      <c r="B571" t="s">
        <v>61</v>
      </c>
      <c r="C571" t="s">
        <v>26</v>
      </c>
      <c r="D571" t="s">
        <v>61</v>
      </c>
      <c r="E571" t="s">
        <v>3690</v>
      </c>
      <c r="F571" t="s">
        <v>3691</v>
      </c>
      <c r="G571">
        <v>830500960</v>
      </c>
      <c r="H571" t="s">
        <v>3692</v>
      </c>
      <c r="I571" s="4" t="s">
        <v>3693</v>
      </c>
      <c r="J571" s="4" t="s">
        <v>102</v>
      </c>
      <c r="K571" t="s">
        <v>3694</v>
      </c>
      <c r="L571" t="s">
        <v>27</v>
      </c>
      <c r="M571" t="s">
        <v>3695</v>
      </c>
      <c r="N571" t="s">
        <v>28</v>
      </c>
      <c r="O571" t="s">
        <v>62</v>
      </c>
      <c r="P571" t="s">
        <v>63</v>
      </c>
      <c r="Q571" t="s">
        <v>31</v>
      </c>
      <c r="R571">
        <v>4</v>
      </c>
      <c r="S571" t="s">
        <v>3696</v>
      </c>
      <c r="T571" t="s">
        <v>7308</v>
      </c>
      <c r="U571" t="s">
        <v>47</v>
      </c>
      <c r="V571" t="s">
        <v>47</v>
      </c>
      <c r="W571" t="s">
        <v>33</v>
      </c>
      <c r="X571" t="s">
        <v>33</v>
      </c>
      <c r="Y571" t="s">
        <v>33</v>
      </c>
      <c r="Z571" s="16" t="s">
        <v>34</v>
      </c>
      <c r="AA571">
        <v>-75.566688060000004</v>
      </c>
      <c r="AB571">
        <v>6.2485980799999998</v>
      </c>
      <c r="AC571" t="s">
        <v>135</v>
      </c>
      <c r="AD571" t="s">
        <v>136</v>
      </c>
    </row>
    <row r="572" spans="1:30" x14ac:dyDescent="0.25">
      <c r="A572" t="s">
        <v>3698</v>
      </c>
      <c r="B572" t="s">
        <v>25</v>
      </c>
      <c r="C572" t="s">
        <v>26</v>
      </c>
      <c r="D572" t="s">
        <v>39</v>
      </c>
      <c r="E572" t="s">
        <v>3699</v>
      </c>
      <c r="F572" t="s">
        <v>3700</v>
      </c>
      <c r="G572">
        <v>21736844</v>
      </c>
      <c r="H572" t="s">
        <v>3701</v>
      </c>
      <c r="I572" s="4" t="s">
        <v>3702</v>
      </c>
      <c r="J572" s="4" t="s">
        <v>3703</v>
      </c>
      <c r="K572" t="s">
        <v>3704</v>
      </c>
      <c r="L572" t="s">
        <v>27</v>
      </c>
      <c r="M572" t="s">
        <v>3705</v>
      </c>
      <c r="N572" t="s">
        <v>28</v>
      </c>
      <c r="O572" t="s">
        <v>40</v>
      </c>
      <c r="P572" t="s">
        <v>41</v>
      </c>
      <c r="Q572" t="s">
        <v>31</v>
      </c>
      <c r="R572">
        <v>5</v>
      </c>
      <c r="S572" t="s">
        <v>3706</v>
      </c>
      <c r="T572" t="s">
        <v>7308</v>
      </c>
      <c r="U572" t="s">
        <v>3697</v>
      </c>
      <c r="V572" t="s">
        <v>49</v>
      </c>
      <c r="W572" t="s">
        <v>33</v>
      </c>
      <c r="X572" t="s">
        <v>33</v>
      </c>
      <c r="Y572" t="s">
        <v>33</v>
      </c>
      <c r="Z572" s="16" t="s">
        <v>34</v>
      </c>
      <c r="AA572">
        <v>-75.610884501000001</v>
      </c>
      <c r="AB572">
        <v>6.2574398200000596</v>
      </c>
      <c r="AC572" t="s">
        <v>135</v>
      </c>
      <c r="AD572" t="s">
        <v>136</v>
      </c>
    </row>
    <row r="573" spans="1:30" x14ac:dyDescent="0.25">
      <c r="A573" t="s">
        <v>3707</v>
      </c>
      <c r="B573" t="s">
        <v>61</v>
      </c>
      <c r="C573" t="s">
        <v>26</v>
      </c>
      <c r="D573" t="s">
        <v>61</v>
      </c>
      <c r="E573" t="s">
        <v>3708</v>
      </c>
      <c r="F573" t="s">
        <v>3709</v>
      </c>
      <c r="G573">
        <v>1037575804</v>
      </c>
      <c r="H573" t="s">
        <v>101</v>
      </c>
      <c r="I573" s="4" t="s">
        <v>35</v>
      </c>
      <c r="J573" s="4" t="s">
        <v>102</v>
      </c>
      <c r="K573" t="s">
        <v>3710</v>
      </c>
      <c r="L573" t="s">
        <v>27</v>
      </c>
      <c r="M573" t="s">
        <v>3711</v>
      </c>
      <c r="N573" t="s">
        <v>28</v>
      </c>
      <c r="O573" t="s">
        <v>62</v>
      </c>
      <c r="P573" t="s">
        <v>63</v>
      </c>
      <c r="Q573" t="s">
        <v>31</v>
      </c>
      <c r="R573">
        <v>4</v>
      </c>
      <c r="S573" t="s">
        <v>3712</v>
      </c>
      <c r="T573" t="s">
        <v>2419</v>
      </c>
      <c r="U573" t="s">
        <v>47</v>
      </c>
      <c r="V573" t="s">
        <v>47</v>
      </c>
      <c r="W573" t="s">
        <v>33</v>
      </c>
      <c r="X573" t="s">
        <v>33</v>
      </c>
      <c r="Y573" t="s">
        <v>33</v>
      </c>
      <c r="Z573" s="16" t="s">
        <v>34</v>
      </c>
      <c r="AA573">
        <v>-75.566950079999998</v>
      </c>
      <c r="AB573">
        <v>6.2535376200000004</v>
      </c>
      <c r="AC573" t="s">
        <v>135</v>
      </c>
      <c r="AD573" t="s">
        <v>136</v>
      </c>
    </row>
    <row r="574" spans="1:30" x14ac:dyDescent="0.25">
      <c r="A574" t="s">
        <v>3713</v>
      </c>
      <c r="B574" t="s">
        <v>50</v>
      </c>
      <c r="C574" t="s">
        <v>71</v>
      </c>
      <c r="D574" t="s">
        <v>50</v>
      </c>
      <c r="E574" t="s">
        <v>3714</v>
      </c>
      <c r="F574" t="s">
        <v>3715</v>
      </c>
      <c r="G574">
        <v>1017197149</v>
      </c>
      <c r="H574" t="s">
        <v>3716</v>
      </c>
      <c r="I574" s="4" t="s">
        <v>35</v>
      </c>
      <c r="J574" s="4" t="s">
        <v>3717</v>
      </c>
      <c r="K574" t="s">
        <v>3718</v>
      </c>
      <c r="L574" t="s">
        <v>27</v>
      </c>
      <c r="M574" t="s">
        <v>3719</v>
      </c>
      <c r="N574" t="s">
        <v>28</v>
      </c>
      <c r="O574" t="s">
        <v>72</v>
      </c>
      <c r="P574" t="s">
        <v>52</v>
      </c>
      <c r="Q574" t="s">
        <v>31</v>
      </c>
      <c r="R574">
        <v>11</v>
      </c>
      <c r="S574" t="s">
        <v>3720</v>
      </c>
      <c r="T574" t="s">
        <v>7309</v>
      </c>
      <c r="U574" t="s">
        <v>7310</v>
      </c>
      <c r="V574" t="s">
        <v>32</v>
      </c>
      <c r="W574" t="s">
        <v>33</v>
      </c>
      <c r="X574" t="s">
        <v>33</v>
      </c>
      <c r="Y574" t="s">
        <v>33</v>
      </c>
      <c r="Z574" s="16" t="s">
        <v>34</v>
      </c>
      <c r="AA574">
        <v>-75.544186620000005</v>
      </c>
      <c r="AB574">
        <v>6.2490092099999996</v>
      </c>
      <c r="AC574" t="s">
        <v>135</v>
      </c>
      <c r="AD574" t="s">
        <v>136</v>
      </c>
    </row>
    <row r="575" spans="1:30" x14ac:dyDescent="0.25">
      <c r="A575" t="s">
        <v>3722</v>
      </c>
      <c r="B575" t="s">
        <v>50</v>
      </c>
      <c r="C575" t="s">
        <v>71</v>
      </c>
      <c r="D575" t="s">
        <v>50</v>
      </c>
      <c r="E575" t="s">
        <v>3723</v>
      </c>
      <c r="F575" t="s">
        <v>3724</v>
      </c>
      <c r="G575">
        <v>21524551</v>
      </c>
      <c r="H575" t="s">
        <v>3725</v>
      </c>
      <c r="I575" s="4" t="s">
        <v>3726</v>
      </c>
      <c r="J575" s="4" t="s">
        <v>3727</v>
      </c>
      <c r="K575" t="s">
        <v>3728</v>
      </c>
      <c r="L575" t="s">
        <v>27</v>
      </c>
      <c r="M575" t="s">
        <v>3729</v>
      </c>
      <c r="N575" t="s">
        <v>28</v>
      </c>
      <c r="O575" t="s">
        <v>72</v>
      </c>
      <c r="P575" t="s">
        <v>52</v>
      </c>
      <c r="Q575" t="s">
        <v>31</v>
      </c>
      <c r="R575">
        <v>11</v>
      </c>
      <c r="S575" t="s">
        <v>3730</v>
      </c>
      <c r="T575" t="s">
        <v>1120</v>
      </c>
      <c r="U575" t="s">
        <v>7311</v>
      </c>
      <c r="V575" t="s">
        <v>32</v>
      </c>
      <c r="W575" t="s">
        <v>33</v>
      </c>
      <c r="X575" t="s">
        <v>33</v>
      </c>
      <c r="Y575" t="s">
        <v>33</v>
      </c>
      <c r="Z575" s="16" t="s">
        <v>34</v>
      </c>
      <c r="AA575">
        <v>-75.582285569999996</v>
      </c>
      <c r="AB575">
        <v>6.2150544099999996</v>
      </c>
      <c r="AC575" t="s">
        <v>135</v>
      </c>
      <c r="AD575" t="s">
        <v>136</v>
      </c>
    </row>
    <row r="576" spans="1:30" x14ac:dyDescent="0.25">
      <c r="A576" t="s">
        <v>3732</v>
      </c>
      <c r="B576" t="s">
        <v>61</v>
      </c>
      <c r="C576" t="s">
        <v>26</v>
      </c>
      <c r="D576" t="s">
        <v>61</v>
      </c>
      <c r="E576" t="s">
        <v>3733</v>
      </c>
      <c r="F576" t="s">
        <v>3734</v>
      </c>
      <c r="G576">
        <v>6913105</v>
      </c>
      <c r="H576" t="s">
        <v>806</v>
      </c>
      <c r="I576" s="4" t="s">
        <v>35</v>
      </c>
      <c r="J576" s="4" t="s">
        <v>102</v>
      </c>
      <c r="K576" t="s">
        <v>3735</v>
      </c>
      <c r="L576" t="s">
        <v>27</v>
      </c>
      <c r="M576" t="s">
        <v>3736</v>
      </c>
      <c r="N576" t="s">
        <v>28</v>
      </c>
      <c r="O576" t="s">
        <v>62</v>
      </c>
      <c r="P576" t="s">
        <v>63</v>
      </c>
      <c r="Q576" t="s">
        <v>38</v>
      </c>
      <c r="R576">
        <v>4</v>
      </c>
      <c r="S576" t="s">
        <v>3737</v>
      </c>
      <c r="T576" t="s">
        <v>7312</v>
      </c>
      <c r="U576" t="s">
        <v>47</v>
      </c>
      <c r="V576" t="s">
        <v>47</v>
      </c>
      <c r="W576" t="s">
        <v>33</v>
      </c>
      <c r="X576" t="s">
        <v>33</v>
      </c>
      <c r="Y576" t="s">
        <v>33</v>
      </c>
      <c r="Z576" s="16" t="s">
        <v>34</v>
      </c>
      <c r="AA576">
        <v>-75.544891190000001</v>
      </c>
      <c r="AB576">
        <v>6.1923018599999997</v>
      </c>
      <c r="AC576" t="s">
        <v>135</v>
      </c>
      <c r="AD576" t="s">
        <v>136</v>
      </c>
    </row>
    <row r="577" spans="1:30" x14ac:dyDescent="0.25">
      <c r="A577" t="s">
        <v>3738</v>
      </c>
      <c r="B577" t="s">
        <v>42</v>
      </c>
      <c r="C577" t="s">
        <v>26</v>
      </c>
      <c r="D577" t="s">
        <v>42</v>
      </c>
      <c r="E577" t="s">
        <v>3739</v>
      </c>
      <c r="F577" t="s">
        <v>3740</v>
      </c>
      <c r="G577">
        <v>800093117</v>
      </c>
      <c r="H577" t="s">
        <v>6009</v>
      </c>
      <c r="I577" s="4" t="s">
        <v>94</v>
      </c>
      <c r="J577" s="4" t="s">
        <v>719</v>
      </c>
      <c r="K577" t="s">
        <v>3741</v>
      </c>
      <c r="L577" t="s">
        <v>48</v>
      </c>
      <c r="M577" t="s">
        <v>3742</v>
      </c>
      <c r="N577" t="s">
        <v>64</v>
      </c>
      <c r="O577" t="s">
        <v>43</v>
      </c>
      <c r="P577" t="s">
        <v>54</v>
      </c>
      <c r="Q577" t="s">
        <v>31</v>
      </c>
      <c r="R577">
        <v>7</v>
      </c>
      <c r="S577" t="s">
        <v>3743</v>
      </c>
      <c r="T577" t="s">
        <v>3745</v>
      </c>
      <c r="U577" t="s">
        <v>3744</v>
      </c>
      <c r="V577" t="s">
        <v>32</v>
      </c>
      <c r="W577" t="s">
        <v>33</v>
      </c>
      <c r="X577" t="s">
        <v>33</v>
      </c>
      <c r="Y577" t="s">
        <v>33</v>
      </c>
      <c r="Z577" s="16" t="s">
        <v>34</v>
      </c>
      <c r="AA577">
        <v>-75.595314979999998</v>
      </c>
      <c r="AB577">
        <v>6.1729275399999999</v>
      </c>
      <c r="AC577" t="s">
        <v>135</v>
      </c>
      <c r="AD577" t="s">
        <v>136</v>
      </c>
    </row>
    <row r="578" spans="1:30" x14ac:dyDescent="0.25">
      <c r="A578" t="s">
        <v>3746</v>
      </c>
      <c r="B578" t="s">
        <v>42</v>
      </c>
      <c r="C578" t="s">
        <v>26</v>
      </c>
      <c r="D578" t="s">
        <v>42</v>
      </c>
      <c r="E578" t="s">
        <v>3747</v>
      </c>
      <c r="F578" t="s">
        <v>3748</v>
      </c>
      <c r="G578">
        <v>800093117</v>
      </c>
      <c r="H578" t="s">
        <v>6009</v>
      </c>
      <c r="I578" s="4" t="s">
        <v>94</v>
      </c>
      <c r="J578" s="4" t="s">
        <v>719</v>
      </c>
      <c r="K578" t="s">
        <v>3749</v>
      </c>
      <c r="L578" t="s">
        <v>48</v>
      </c>
      <c r="M578" t="s">
        <v>3750</v>
      </c>
      <c r="N578" t="s">
        <v>64</v>
      </c>
      <c r="O578" t="s">
        <v>43</v>
      </c>
      <c r="P578" t="s">
        <v>54</v>
      </c>
      <c r="Q578" t="s">
        <v>31</v>
      </c>
      <c r="R578">
        <v>7</v>
      </c>
      <c r="S578" t="s">
        <v>3751</v>
      </c>
      <c r="T578" t="s">
        <v>1122</v>
      </c>
      <c r="U578" t="s">
        <v>3752</v>
      </c>
      <c r="V578" t="s">
        <v>32</v>
      </c>
      <c r="W578" t="s">
        <v>33</v>
      </c>
      <c r="X578" t="s">
        <v>33</v>
      </c>
      <c r="Y578" t="s">
        <v>33</v>
      </c>
      <c r="Z578" s="16" t="s">
        <v>34</v>
      </c>
      <c r="AA578">
        <v>-75.595314979999998</v>
      </c>
      <c r="AB578">
        <v>6.1729275399999999</v>
      </c>
      <c r="AC578" t="s">
        <v>135</v>
      </c>
      <c r="AD578" t="s">
        <v>136</v>
      </c>
    </row>
    <row r="579" spans="1:30" x14ac:dyDescent="0.25">
      <c r="A579" t="s">
        <v>3755</v>
      </c>
      <c r="B579" t="s">
        <v>50</v>
      </c>
      <c r="C579" t="s">
        <v>26</v>
      </c>
      <c r="D579" t="s">
        <v>50</v>
      </c>
      <c r="E579" t="s">
        <v>3756</v>
      </c>
      <c r="F579" t="s">
        <v>3757</v>
      </c>
      <c r="G579">
        <v>43106538</v>
      </c>
      <c r="H579" t="s">
        <v>3758</v>
      </c>
      <c r="I579" s="4" t="s">
        <v>35</v>
      </c>
      <c r="J579" s="4" t="s">
        <v>3759</v>
      </c>
      <c r="K579" t="s">
        <v>3760</v>
      </c>
      <c r="L579" t="s">
        <v>27</v>
      </c>
      <c r="M579" t="s">
        <v>3761</v>
      </c>
      <c r="N579" t="s">
        <v>28</v>
      </c>
      <c r="O579" t="s">
        <v>51</v>
      </c>
      <c r="P579" t="s">
        <v>52</v>
      </c>
      <c r="Q579" t="s">
        <v>31</v>
      </c>
      <c r="R579">
        <v>11</v>
      </c>
      <c r="S579" t="s">
        <v>3762</v>
      </c>
      <c r="T579" t="s">
        <v>7313</v>
      </c>
      <c r="U579" t="s">
        <v>2126</v>
      </c>
      <c r="V579" t="s">
        <v>32</v>
      </c>
      <c r="W579" t="s">
        <v>33</v>
      </c>
      <c r="X579" t="s">
        <v>33</v>
      </c>
      <c r="Y579" t="s">
        <v>33</v>
      </c>
      <c r="Z579" s="16" t="s">
        <v>34</v>
      </c>
      <c r="AA579">
        <v>-75.580674669999993</v>
      </c>
      <c r="AB579">
        <v>6.2596838799999999</v>
      </c>
      <c r="AC579" t="s">
        <v>135</v>
      </c>
      <c r="AD579" t="s">
        <v>136</v>
      </c>
    </row>
    <row r="580" spans="1:30" x14ac:dyDescent="0.25">
      <c r="A580" t="s">
        <v>3765</v>
      </c>
      <c r="B580" t="s">
        <v>61</v>
      </c>
      <c r="C580" t="s">
        <v>26</v>
      </c>
      <c r="D580" t="s">
        <v>61</v>
      </c>
      <c r="E580" t="s">
        <v>3766</v>
      </c>
      <c r="F580" t="s">
        <v>3767</v>
      </c>
      <c r="G580">
        <v>43627721</v>
      </c>
      <c r="H580" t="s">
        <v>3768</v>
      </c>
      <c r="I580" s="4" t="s">
        <v>3769</v>
      </c>
      <c r="J580" s="4" t="s">
        <v>3770</v>
      </c>
      <c r="K580" t="s">
        <v>3771</v>
      </c>
      <c r="L580" t="s">
        <v>48</v>
      </c>
      <c r="M580" t="s">
        <v>3772</v>
      </c>
      <c r="N580" t="s">
        <v>64</v>
      </c>
      <c r="O580" t="s">
        <v>62</v>
      </c>
      <c r="P580" t="s">
        <v>63</v>
      </c>
      <c r="Q580" t="s">
        <v>38</v>
      </c>
      <c r="R580">
        <v>4</v>
      </c>
      <c r="S580" t="s">
        <v>3773</v>
      </c>
      <c r="T580" t="s">
        <v>7314</v>
      </c>
      <c r="U580" t="s">
        <v>47</v>
      </c>
      <c r="V580" t="s">
        <v>47</v>
      </c>
      <c r="W580" t="s">
        <v>33</v>
      </c>
      <c r="X580" t="s">
        <v>33</v>
      </c>
      <c r="Y580" t="s">
        <v>33</v>
      </c>
      <c r="Z580" s="16" t="s">
        <v>34</v>
      </c>
      <c r="AA580">
        <v>-75.505385000000004</v>
      </c>
      <c r="AB580">
        <v>6.1594350000000002</v>
      </c>
      <c r="AC580" t="s">
        <v>135</v>
      </c>
      <c r="AD580" t="s">
        <v>136</v>
      </c>
    </row>
    <row r="581" spans="1:30" x14ac:dyDescent="0.25">
      <c r="A581" t="s">
        <v>3776</v>
      </c>
      <c r="B581" t="s">
        <v>25</v>
      </c>
      <c r="C581" t="s">
        <v>26</v>
      </c>
      <c r="D581" t="s">
        <v>25</v>
      </c>
      <c r="E581" t="s">
        <v>3777</v>
      </c>
      <c r="F581" t="s">
        <v>3778</v>
      </c>
      <c r="G581">
        <v>901335234</v>
      </c>
      <c r="H581" t="s">
        <v>3779</v>
      </c>
      <c r="I581" s="4" t="s">
        <v>3780</v>
      </c>
      <c r="J581" s="4" t="s">
        <v>3781</v>
      </c>
      <c r="K581" t="s">
        <v>3782</v>
      </c>
      <c r="L581" t="s">
        <v>59</v>
      </c>
      <c r="M581" t="s">
        <v>3783</v>
      </c>
      <c r="N581" t="s">
        <v>60</v>
      </c>
      <c r="O581" t="s">
        <v>29</v>
      </c>
      <c r="P581" t="s">
        <v>54</v>
      </c>
      <c r="Q581" t="s">
        <v>31</v>
      </c>
      <c r="R581">
        <v>7</v>
      </c>
      <c r="S581" t="s">
        <v>3784</v>
      </c>
      <c r="T581" t="s">
        <v>3786</v>
      </c>
      <c r="U581" t="s">
        <v>3785</v>
      </c>
      <c r="V581" t="s">
        <v>32</v>
      </c>
      <c r="W581" t="s">
        <v>33</v>
      </c>
      <c r="X581" t="s">
        <v>33</v>
      </c>
      <c r="Y581" t="s">
        <v>33</v>
      </c>
      <c r="Z581" s="16" t="s">
        <v>34</v>
      </c>
      <c r="AA581">
        <v>-75.617241000000007</v>
      </c>
      <c r="AB581">
        <v>6.1404480000000001</v>
      </c>
      <c r="AC581" t="s">
        <v>135</v>
      </c>
      <c r="AD581" t="s">
        <v>136</v>
      </c>
    </row>
    <row r="582" spans="1:30" x14ac:dyDescent="0.25">
      <c r="A582" t="s">
        <v>3787</v>
      </c>
      <c r="B582" t="s">
        <v>25</v>
      </c>
      <c r="C582" t="s">
        <v>26</v>
      </c>
      <c r="D582" t="s">
        <v>25</v>
      </c>
      <c r="E582" t="s">
        <v>3788</v>
      </c>
      <c r="F582" t="s">
        <v>3789</v>
      </c>
      <c r="G582">
        <v>901335234</v>
      </c>
      <c r="H582" t="s">
        <v>3779</v>
      </c>
      <c r="I582" s="4" t="s">
        <v>3780</v>
      </c>
      <c r="J582" s="4" t="s">
        <v>3781</v>
      </c>
      <c r="K582" t="s">
        <v>3790</v>
      </c>
      <c r="L582" t="s">
        <v>59</v>
      </c>
      <c r="M582" t="s">
        <v>3791</v>
      </c>
      <c r="N582" t="s">
        <v>60</v>
      </c>
      <c r="O582" t="s">
        <v>29</v>
      </c>
      <c r="P582" t="s">
        <v>54</v>
      </c>
      <c r="Q582" t="s">
        <v>31</v>
      </c>
      <c r="R582">
        <v>7</v>
      </c>
      <c r="S582" t="s">
        <v>3792</v>
      </c>
      <c r="T582" t="s">
        <v>3786</v>
      </c>
      <c r="U582" t="s">
        <v>3785</v>
      </c>
      <c r="V582" t="s">
        <v>32</v>
      </c>
      <c r="W582" t="s">
        <v>33</v>
      </c>
      <c r="X582" t="s">
        <v>33</v>
      </c>
      <c r="Y582" t="s">
        <v>33</v>
      </c>
      <c r="Z582" s="16" t="s">
        <v>34</v>
      </c>
      <c r="AA582">
        <v>-75.617241000000007</v>
      </c>
      <c r="AB582">
        <v>6.1404480000000001</v>
      </c>
      <c r="AC582" t="s">
        <v>135</v>
      </c>
      <c r="AD582" t="s">
        <v>136</v>
      </c>
    </row>
    <row r="583" spans="1:30" x14ac:dyDescent="0.25">
      <c r="A583" t="s">
        <v>3793</v>
      </c>
      <c r="B583" t="s">
        <v>25</v>
      </c>
      <c r="C583" t="s">
        <v>26</v>
      </c>
      <c r="D583" t="s">
        <v>25</v>
      </c>
      <c r="E583" t="s">
        <v>3794</v>
      </c>
      <c r="F583" t="s">
        <v>3795</v>
      </c>
      <c r="G583">
        <v>901335234</v>
      </c>
      <c r="H583" t="s">
        <v>3779</v>
      </c>
      <c r="I583" s="4" t="s">
        <v>3780</v>
      </c>
      <c r="J583" s="4" t="s">
        <v>3781</v>
      </c>
      <c r="K583" t="s">
        <v>3796</v>
      </c>
      <c r="L583" t="s">
        <v>59</v>
      </c>
      <c r="M583" t="s">
        <v>3797</v>
      </c>
      <c r="N583" t="s">
        <v>60</v>
      </c>
      <c r="O583" t="s">
        <v>29</v>
      </c>
      <c r="P583" t="s">
        <v>54</v>
      </c>
      <c r="Q583" t="s">
        <v>31</v>
      </c>
      <c r="R583">
        <v>7</v>
      </c>
      <c r="S583" t="s">
        <v>3798</v>
      </c>
      <c r="T583" t="s">
        <v>3786</v>
      </c>
      <c r="U583" t="s">
        <v>3785</v>
      </c>
      <c r="V583" t="s">
        <v>32</v>
      </c>
      <c r="W583" t="s">
        <v>33</v>
      </c>
      <c r="X583" t="s">
        <v>33</v>
      </c>
      <c r="Y583" t="s">
        <v>33</v>
      </c>
      <c r="Z583" s="16" t="s">
        <v>34</v>
      </c>
      <c r="AA583">
        <v>-75.617241000000007</v>
      </c>
      <c r="AB583">
        <v>6.1404480000000001</v>
      </c>
      <c r="AC583" t="s">
        <v>135</v>
      </c>
      <c r="AD583" t="s">
        <v>136</v>
      </c>
    </row>
    <row r="584" spans="1:30" x14ac:dyDescent="0.25">
      <c r="A584" t="s">
        <v>3799</v>
      </c>
      <c r="B584" t="s">
        <v>25</v>
      </c>
      <c r="C584" t="s">
        <v>26</v>
      </c>
      <c r="D584" t="s">
        <v>25</v>
      </c>
      <c r="E584" t="s">
        <v>3800</v>
      </c>
      <c r="F584" t="s">
        <v>3801</v>
      </c>
      <c r="G584">
        <v>901335234</v>
      </c>
      <c r="H584" t="s">
        <v>3779</v>
      </c>
      <c r="I584" s="4" t="s">
        <v>3780</v>
      </c>
      <c r="J584" s="4" t="s">
        <v>3781</v>
      </c>
      <c r="K584" t="s">
        <v>3802</v>
      </c>
      <c r="L584" t="s">
        <v>59</v>
      </c>
      <c r="M584" t="s">
        <v>3803</v>
      </c>
      <c r="N584" t="s">
        <v>60</v>
      </c>
      <c r="O584" t="s">
        <v>29</v>
      </c>
      <c r="P584" t="s">
        <v>54</v>
      </c>
      <c r="Q584" t="s">
        <v>31</v>
      </c>
      <c r="R584">
        <v>7</v>
      </c>
      <c r="S584" t="s">
        <v>3804</v>
      </c>
      <c r="T584" t="s">
        <v>3786</v>
      </c>
      <c r="U584" t="s">
        <v>3785</v>
      </c>
      <c r="V584" t="s">
        <v>32</v>
      </c>
      <c r="W584" t="s">
        <v>33</v>
      </c>
      <c r="X584" t="s">
        <v>33</v>
      </c>
      <c r="Y584" t="s">
        <v>33</v>
      </c>
      <c r="Z584" s="16" t="s">
        <v>34</v>
      </c>
      <c r="AA584">
        <v>-75.617241000000007</v>
      </c>
      <c r="AB584">
        <v>6.1404480000000001</v>
      </c>
      <c r="AC584" t="s">
        <v>135</v>
      </c>
      <c r="AD584" t="s">
        <v>136</v>
      </c>
    </row>
    <row r="585" spans="1:30" x14ac:dyDescent="0.25">
      <c r="A585" t="s">
        <v>3805</v>
      </c>
      <c r="B585" t="s">
        <v>25</v>
      </c>
      <c r="C585" t="s">
        <v>26</v>
      </c>
      <c r="D585" t="s">
        <v>25</v>
      </c>
      <c r="E585" t="s">
        <v>3800</v>
      </c>
      <c r="F585" t="s">
        <v>3801</v>
      </c>
      <c r="G585">
        <v>901335234</v>
      </c>
      <c r="H585" t="s">
        <v>3779</v>
      </c>
      <c r="I585" s="4" t="s">
        <v>3780</v>
      </c>
      <c r="J585" s="4" t="s">
        <v>3781</v>
      </c>
      <c r="K585" t="s">
        <v>3806</v>
      </c>
      <c r="L585" t="s">
        <v>59</v>
      </c>
      <c r="M585" t="s">
        <v>3807</v>
      </c>
      <c r="N585" t="s">
        <v>60</v>
      </c>
      <c r="O585" t="s">
        <v>29</v>
      </c>
      <c r="P585" t="s">
        <v>54</v>
      </c>
      <c r="Q585" t="s">
        <v>31</v>
      </c>
      <c r="R585">
        <v>7</v>
      </c>
      <c r="S585" t="s">
        <v>3804</v>
      </c>
      <c r="T585" t="s">
        <v>3786</v>
      </c>
      <c r="U585" t="s">
        <v>3785</v>
      </c>
      <c r="V585" t="s">
        <v>32</v>
      </c>
      <c r="W585" t="s">
        <v>33</v>
      </c>
      <c r="X585" t="s">
        <v>33</v>
      </c>
      <c r="Y585" t="s">
        <v>33</v>
      </c>
      <c r="Z585" s="16" t="s">
        <v>34</v>
      </c>
      <c r="AA585">
        <v>-75.617241000000007</v>
      </c>
      <c r="AB585">
        <v>6.1404480000000001</v>
      </c>
      <c r="AC585" t="s">
        <v>135</v>
      </c>
      <c r="AD585" t="s">
        <v>136</v>
      </c>
    </row>
    <row r="586" spans="1:30" x14ac:dyDescent="0.25">
      <c r="A586" t="s">
        <v>3808</v>
      </c>
      <c r="B586" t="s">
        <v>25</v>
      </c>
      <c r="C586" t="s">
        <v>26</v>
      </c>
      <c r="D586" t="s">
        <v>25</v>
      </c>
      <c r="E586" t="s">
        <v>3809</v>
      </c>
      <c r="F586" t="s">
        <v>3810</v>
      </c>
      <c r="G586">
        <v>901335234</v>
      </c>
      <c r="H586" t="s">
        <v>3779</v>
      </c>
      <c r="I586" s="4" t="s">
        <v>3780</v>
      </c>
      <c r="J586" s="4" t="s">
        <v>3781</v>
      </c>
      <c r="K586" t="s">
        <v>3811</v>
      </c>
      <c r="L586" t="s">
        <v>59</v>
      </c>
      <c r="M586" t="s">
        <v>3812</v>
      </c>
      <c r="N586" t="s">
        <v>60</v>
      </c>
      <c r="O586" t="s">
        <v>29</v>
      </c>
      <c r="P586" t="s">
        <v>54</v>
      </c>
      <c r="Q586" t="s">
        <v>31</v>
      </c>
      <c r="R586">
        <v>7</v>
      </c>
      <c r="S586" t="s">
        <v>3813</v>
      </c>
      <c r="T586" t="s">
        <v>3786</v>
      </c>
      <c r="U586" t="s">
        <v>3785</v>
      </c>
      <c r="V586" t="s">
        <v>32</v>
      </c>
      <c r="W586" t="s">
        <v>33</v>
      </c>
      <c r="X586" t="s">
        <v>33</v>
      </c>
      <c r="Y586" t="s">
        <v>33</v>
      </c>
      <c r="Z586" s="16" t="s">
        <v>34</v>
      </c>
      <c r="AA586">
        <v>-75.617241000000007</v>
      </c>
      <c r="AB586">
        <v>6.1404480000000001</v>
      </c>
      <c r="AC586" t="s">
        <v>135</v>
      </c>
      <c r="AD586" t="s">
        <v>136</v>
      </c>
    </row>
    <row r="587" spans="1:30" x14ac:dyDescent="0.25">
      <c r="A587" t="s">
        <v>3814</v>
      </c>
      <c r="B587" t="s">
        <v>25</v>
      </c>
      <c r="C587" t="s">
        <v>26</v>
      </c>
      <c r="D587" t="s">
        <v>25</v>
      </c>
      <c r="E587" t="s">
        <v>3809</v>
      </c>
      <c r="F587" t="s">
        <v>3810</v>
      </c>
      <c r="G587">
        <v>901335234</v>
      </c>
      <c r="H587" t="s">
        <v>3779</v>
      </c>
      <c r="I587" s="4" t="s">
        <v>3780</v>
      </c>
      <c r="J587" s="4" t="s">
        <v>3781</v>
      </c>
      <c r="K587" t="s">
        <v>3815</v>
      </c>
      <c r="L587" t="s">
        <v>59</v>
      </c>
      <c r="M587" t="s">
        <v>3816</v>
      </c>
      <c r="N587" t="s">
        <v>60</v>
      </c>
      <c r="O587" t="s">
        <v>29</v>
      </c>
      <c r="P587" t="s">
        <v>54</v>
      </c>
      <c r="Q587" t="s">
        <v>31</v>
      </c>
      <c r="R587">
        <v>7</v>
      </c>
      <c r="S587" t="s">
        <v>3813</v>
      </c>
      <c r="T587" t="s">
        <v>3786</v>
      </c>
      <c r="U587" t="s">
        <v>3785</v>
      </c>
      <c r="V587" t="s">
        <v>32</v>
      </c>
      <c r="W587" t="s">
        <v>33</v>
      </c>
      <c r="X587" t="s">
        <v>33</v>
      </c>
      <c r="Y587" t="s">
        <v>33</v>
      </c>
      <c r="Z587" s="16" t="s">
        <v>34</v>
      </c>
      <c r="AA587">
        <v>-75.617241000000007</v>
      </c>
      <c r="AB587">
        <v>6.1404480000000001</v>
      </c>
      <c r="AC587" t="s">
        <v>135</v>
      </c>
      <c r="AD587" t="s">
        <v>136</v>
      </c>
    </row>
    <row r="588" spans="1:30" x14ac:dyDescent="0.25">
      <c r="A588" t="s">
        <v>3817</v>
      </c>
      <c r="B588" t="s">
        <v>25</v>
      </c>
      <c r="C588" t="s">
        <v>26</v>
      </c>
      <c r="D588" t="s">
        <v>25</v>
      </c>
      <c r="E588" t="s">
        <v>3818</v>
      </c>
      <c r="F588" t="s">
        <v>3819</v>
      </c>
      <c r="G588">
        <v>901335234</v>
      </c>
      <c r="H588" t="s">
        <v>3779</v>
      </c>
      <c r="I588" s="4" t="s">
        <v>3780</v>
      </c>
      <c r="J588" s="4" t="s">
        <v>3781</v>
      </c>
      <c r="K588" t="s">
        <v>3820</v>
      </c>
      <c r="L588" t="s">
        <v>59</v>
      </c>
      <c r="M588" t="s">
        <v>3821</v>
      </c>
      <c r="N588" t="s">
        <v>60</v>
      </c>
      <c r="O588" t="s">
        <v>29</v>
      </c>
      <c r="P588" t="s">
        <v>54</v>
      </c>
      <c r="Q588" t="s">
        <v>31</v>
      </c>
      <c r="R588">
        <v>7</v>
      </c>
      <c r="S588" t="s">
        <v>3822</v>
      </c>
      <c r="T588" t="s">
        <v>3786</v>
      </c>
      <c r="U588" t="s">
        <v>3785</v>
      </c>
      <c r="V588" t="s">
        <v>32</v>
      </c>
      <c r="W588" t="s">
        <v>33</v>
      </c>
      <c r="X588" t="s">
        <v>33</v>
      </c>
      <c r="Y588" t="s">
        <v>33</v>
      </c>
      <c r="Z588" s="16" t="s">
        <v>34</v>
      </c>
      <c r="AA588">
        <v>-75.617241000000007</v>
      </c>
      <c r="AB588">
        <v>6.1404480000000001</v>
      </c>
      <c r="AC588" t="s">
        <v>135</v>
      </c>
      <c r="AD588" t="s">
        <v>136</v>
      </c>
    </row>
    <row r="589" spans="1:30" x14ac:dyDescent="0.25">
      <c r="A589" t="s">
        <v>3823</v>
      </c>
      <c r="B589" t="s">
        <v>25</v>
      </c>
      <c r="C589" t="s">
        <v>26</v>
      </c>
      <c r="D589" t="s">
        <v>25</v>
      </c>
      <c r="E589" t="s">
        <v>3824</v>
      </c>
      <c r="F589" t="s">
        <v>3825</v>
      </c>
      <c r="G589">
        <v>901335234</v>
      </c>
      <c r="H589" t="s">
        <v>3779</v>
      </c>
      <c r="I589" s="4" t="s">
        <v>3780</v>
      </c>
      <c r="J589" s="4" t="s">
        <v>3781</v>
      </c>
      <c r="K589" t="s">
        <v>3826</v>
      </c>
      <c r="L589" t="s">
        <v>59</v>
      </c>
      <c r="M589" t="s">
        <v>3827</v>
      </c>
      <c r="N589" t="s">
        <v>60</v>
      </c>
      <c r="O589" t="s">
        <v>29</v>
      </c>
      <c r="P589" t="s">
        <v>54</v>
      </c>
      <c r="Q589" t="s">
        <v>31</v>
      </c>
      <c r="R589">
        <v>7</v>
      </c>
      <c r="S589" t="s">
        <v>3828</v>
      </c>
      <c r="T589" t="s">
        <v>3786</v>
      </c>
      <c r="U589" t="s">
        <v>3785</v>
      </c>
      <c r="V589" t="s">
        <v>32</v>
      </c>
      <c r="W589" t="s">
        <v>33</v>
      </c>
      <c r="X589" t="s">
        <v>33</v>
      </c>
      <c r="Y589" t="s">
        <v>33</v>
      </c>
      <c r="Z589" s="16" t="s">
        <v>34</v>
      </c>
      <c r="AA589">
        <v>-75.617241000000007</v>
      </c>
      <c r="AB589">
        <v>6.1404480000000001</v>
      </c>
      <c r="AC589" t="s">
        <v>135</v>
      </c>
      <c r="AD589" t="s">
        <v>136</v>
      </c>
    </row>
    <row r="590" spans="1:30" x14ac:dyDescent="0.25">
      <c r="A590" t="s">
        <v>3829</v>
      </c>
      <c r="B590" t="s">
        <v>25</v>
      </c>
      <c r="C590" t="s">
        <v>26</v>
      </c>
      <c r="D590" t="s">
        <v>25</v>
      </c>
      <c r="E590" t="s">
        <v>3824</v>
      </c>
      <c r="F590" t="s">
        <v>3825</v>
      </c>
      <c r="G590">
        <v>901335234</v>
      </c>
      <c r="H590" t="s">
        <v>3779</v>
      </c>
      <c r="I590" s="4" t="s">
        <v>3780</v>
      </c>
      <c r="J590" s="4" t="s">
        <v>3781</v>
      </c>
      <c r="K590" t="s">
        <v>3830</v>
      </c>
      <c r="L590" t="s">
        <v>59</v>
      </c>
      <c r="M590" t="s">
        <v>3831</v>
      </c>
      <c r="N590" t="s">
        <v>60</v>
      </c>
      <c r="O590" t="s">
        <v>29</v>
      </c>
      <c r="P590" t="s">
        <v>54</v>
      </c>
      <c r="Q590" t="s">
        <v>31</v>
      </c>
      <c r="R590">
        <v>7</v>
      </c>
      <c r="S590" t="s">
        <v>3828</v>
      </c>
      <c r="T590" t="s">
        <v>3786</v>
      </c>
      <c r="U590" t="s">
        <v>3785</v>
      </c>
      <c r="V590" t="s">
        <v>32</v>
      </c>
      <c r="W590" t="s">
        <v>33</v>
      </c>
      <c r="X590" t="s">
        <v>33</v>
      </c>
      <c r="Y590" t="s">
        <v>33</v>
      </c>
      <c r="Z590" s="16" t="s">
        <v>34</v>
      </c>
      <c r="AA590">
        <v>-75.617241000000007</v>
      </c>
      <c r="AB590">
        <v>6.1404480000000001</v>
      </c>
      <c r="AC590" t="s">
        <v>135</v>
      </c>
      <c r="AD590" t="s">
        <v>136</v>
      </c>
    </row>
    <row r="591" spans="1:30" x14ac:dyDescent="0.25">
      <c r="A591" t="s">
        <v>3832</v>
      </c>
      <c r="B591" t="s">
        <v>25</v>
      </c>
      <c r="C591" t="s">
        <v>26</v>
      </c>
      <c r="D591" t="s">
        <v>25</v>
      </c>
      <c r="E591" t="s">
        <v>3824</v>
      </c>
      <c r="F591" t="s">
        <v>3825</v>
      </c>
      <c r="G591">
        <v>901335234</v>
      </c>
      <c r="H591" t="s">
        <v>3779</v>
      </c>
      <c r="I591" s="4" t="s">
        <v>3780</v>
      </c>
      <c r="J591" s="4" t="s">
        <v>3781</v>
      </c>
      <c r="K591" t="s">
        <v>3833</v>
      </c>
      <c r="L591" t="s">
        <v>59</v>
      </c>
      <c r="M591" t="s">
        <v>3834</v>
      </c>
      <c r="N591" t="s">
        <v>60</v>
      </c>
      <c r="O591" t="s">
        <v>29</v>
      </c>
      <c r="P591" t="s">
        <v>54</v>
      </c>
      <c r="Q591" t="s">
        <v>31</v>
      </c>
      <c r="R591">
        <v>7</v>
      </c>
      <c r="S591" t="s">
        <v>3828</v>
      </c>
      <c r="T591" t="s">
        <v>3786</v>
      </c>
      <c r="U591" t="s">
        <v>3785</v>
      </c>
      <c r="V591" t="s">
        <v>32</v>
      </c>
      <c r="W591" t="s">
        <v>33</v>
      </c>
      <c r="X591" t="s">
        <v>33</v>
      </c>
      <c r="Y591" t="s">
        <v>33</v>
      </c>
      <c r="Z591" s="16" t="s">
        <v>34</v>
      </c>
      <c r="AA591">
        <v>-75.61732069</v>
      </c>
      <c r="AB591">
        <v>6.1404824400000004</v>
      </c>
      <c r="AC591" t="s">
        <v>135</v>
      </c>
      <c r="AD591" t="s">
        <v>136</v>
      </c>
    </row>
    <row r="592" spans="1:30" x14ac:dyDescent="0.25">
      <c r="A592" t="s">
        <v>3835</v>
      </c>
      <c r="B592" t="s">
        <v>25</v>
      </c>
      <c r="C592" t="s">
        <v>26</v>
      </c>
      <c r="D592" t="s">
        <v>25</v>
      </c>
      <c r="E592" t="s">
        <v>3836</v>
      </c>
      <c r="F592" t="s">
        <v>3837</v>
      </c>
      <c r="G592">
        <v>901335234</v>
      </c>
      <c r="H592" t="s">
        <v>3779</v>
      </c>
      <c r="I592" s="4" t="s">
        <v>3780</v>
      </c>
      <c r="J592" s="4" t="s">
        <v>3781</v>
      </c>
      <c r="K592" t="s">
        <v>3838</v>
      </c>
      <c r="L592" t="s">
        <v>59</v>
      </c>
      <c r="M592" t="s">
        <v>3839</v>
      </c>
      <c r="N592" t="s">
        <v>60</v>
      </c>
      <c r="O592" t="s">
        <v>29</v>
      </c>
      <c r="P592" t="s">
        <v>54</v>
      </c>
      <c r="Q592" t="s">
        <v>31</v>
      </c>
      <c r="R592">
        <v>7</v>
      </c>
      <c r="S592" t="s">
        <v>3840</v>
      </c>
      <c r="T592" t="s">
        <v>2395</v>
      </c>
      <c r="U592" t="s">
        <v>3841</v>
      </c>
      <c r="V592" t="s">
        <v>32</v>
      </c>
      <c r="W592" t="s">
        <v>33</v>
      </c>
      <c r="X592" t="s">
        <v>33</v>
      </c>
      <c r="Y592" t="s">
        <v>33</v>
      </c>
      <c r="Z592" s="16" t="s">
        <v>34</v>
      </c>
      <c r="AA592">
        <v>-75.617241000000007</v>
      </c>
      <c r="AB592">
        <v>6.1404480000000001</v>
      </c>
      <c r="AC592" t="s">
        <v>135</v>
      </c>
      <c r="AD592" t="s">
        <v>136</v>
      </c>
    </row>
    <row r="593" spans="1:30" x14ac:dyDescent="0.25">
      <c r="A593" t="s">
        <v>3842</v>
      </c>
      <c r="B593" t="s">
        <v>25</v>
      </c>
      <c r="C593" t="s">
        <v>26</v>
      </c>
      <c r="D593" t="s">
        <v>25</v>
      </c>
      <c r="E593" t="s">
        <v>3843</v>
      </c>
      <c r="F593" t="s">
        <v>3844</v>
      </c>
      <c r="G593">
        <v>901335234</v>
      </c>
      <c r="H593" t="s">
        <v>3779</v>
      </c>
      <c r="I593" s="4" t="s">
        <v>3780</v>
      </c>
      <c r="J593" s="4" t="s">
        <v>3781</v>
      </c>
      <c r="K593" t="s">
        <v>3845</v>
      </c>
      <c r="L593" t="s">
        <v>59</v>
      </c>
      <c r="M593" t="s">
        <v>3846</v>
      </c>
      <c r="N593" t="s">
        <v>60</v>
      </c>
      <c r="O593" t="s">
        <v>29</v>
      </c>
      <c r="P593" t="s">
        <v>54</v>
      </c>
      <c r="Q593" t="s">
        <v>31</v>
      </c>
      <c r="R593">
        <v>7</v>
      </c>
      <c r="S593" t="s">
        <v>3847</v>
      </c>
      <c r="T593" t="s">
        <v>2395</v>
      </c>
      <c r="U593" t="s">
        <v>3841</v>
      </c>
      <c r="V593" t="s">
        <v>32</v>
      </c>
      <c r="W593" t="s">
        <v>33</v>
      </c>
      <c r="X593" t="s">
        <v>33</v>
      </c>
      <c r="Y593" t="s">
        <v>33</v>
      </c>
      <c r="Z593" s="16" t="s">
        <v>34</v>
      </c>
      <c r="AA593">
        <v>-75.617241000000007</v>
      </c>
      <c r="AB593">
        <v>6.1404480000000001</v>
      </c>
      <c r="AC593" t="s">
        <v>135</v>
      </c>
      <c r="AD593" t="s">
        <v>136</v>
      </c>
    </row>
    <row r="594" spans="1:30" x14ac:dyDescent="0.25">
      <c r="A594" t="s">
        <v>3848</v>
      </c>
      <c r="B594" t="s">
        <v>25</v>
      </c>
      <c r="C594" t="s">
        <v>26</v>
      </c>
      <c r="D594" t="s">
        <v>25</v>
      </c>
      <c r="E594" t="s">
        <v>3843</v>
      </c>
      <c r="F594" t="s">
        <v>3844</v>
      </c>
      <c r="G594">
        <v>901335234</v>
      </c>
      <c r="H594" t="s">
        <v>3779</v>
      </c>
      <c r="I594" s="4" t="s">
        <v>3780</v>
      </c>
      <c r="J594" s="4" t="s">
        <v>3781</v>
      </c>
      <c r="K594" t="s">
        <v>3849</v>
      </c>
      <c r="L594" t="s">
        <v>59</v>
      </c>
      <c r="M594" t="s">
        <v>3850</v>
      </c>
      <c r="N594" t="s">
        <v>60</v>
      </c>
      <c r="O594" t="s">
        <v>29</v>
      </c>
      <c r="P594" t="s">
        <v>54</v>
      </c>
      <c r="Q594" t="s">
        <v>31</v>
      </c>
      <c r="R594">
        <v>7</v>
      </c>
      <c r="S594" t="s">
        <v>3847</v>
      </c>
      <c r="T594" t="s">
        <v>2395</v>
      </c>
      <c r="U594" t="s">
        <v>3841</v>
      </c>
      <c r="V594" t="s">
        <v>32</v>
      </c>
      <c r="W594" t="s">
        <v>33</v>
      </c>
      <c r="X594" t="s">
        <v>33</v>
      </c>
      <c r="Y594" t="s">
        <v>33</v>
      </c>
      <c r="Z594" s="16" t="s">
        <v>34</v>
      </c>
      <c r="AA594">
        <v>-75.617241000000007</v>
      </c>
      <c r="AB594">
        <v>6.1404480000000001</v>
      </c>
      <c r="AC594" t="s">
        <v>135</v>
      </c>
      <c r="AD594" t="s">
        <v>136</v>
      </c>
    </row>
    <row r="595" spans="1:30" x14ac:dyDescent="0.25">
      <c r="A595" t="s">
        <v>3851</v>
      </c>
      <c r="B595" t="s">
        <v>25</v>
      </c>
      <c r="C595" t="s">
        <v>26</v>
      </c>
      <c r="D595" t="s">
        <v>25</v>
      </c>
      <c r="E595" t="s">
        <v>3843</v>
      </c>
      <c r="F595" t="s">
        <v>3852</v>
      </c>
      <c r="G595">
        <v>901335234</v>
      </c>
      <c r="H595" t="s">
        <v>3779</v>
      </c>
      <c r="I595" s="4" t="s">
        <v>3780</v>
      </c>
      <c r="J595" s="4" t="s">
        <v>3781</v>
      </c>
      <c r="K595" t="s">
        <v>3853</v>
      </c>
      <c r="L595" t="s">
        <v>59</v>
      </c>
      <c r="M595" t="s">
        <v>3854</v>
      </c>
      <c r="N595" t="s">
        <v>60</v>
      </c>
      <c r="O595" t="s">
        <v>29</v>
      </c>
      <c r="P595" t="s">
        <v>54</v>
      </c>
      <c r="Q595" t="s">
        <v>31</v>
      </c>
      <c r="R595">
        <v>7</v>
      </c>
      <c r="S595" t="s">
        <v>3855</v>
      </c>
      <c r="T595" t="s">
        <v>2395</v>
      </c>
      <c r="U595" t="s">
        <v>3841</v>
      </c>
      <c r="V595" t="s">
        <v>32</v>
      </c>
      <c r="W595" t="s">
        <v>33</v>
      </c>
      <c r="X595" t="s">
        <v>33</v>
      </c>
      <c r="Y595" t="s">
        <v>33</v>
      </c>
      <c r="Z595" s="16" t="s">
        <v>34</v>
      </c>
      <c r="AA595">
        <v>-75.617241000000007</v>
      </c>
      <c r="AB595">
        <v>6.1404480000000001</v>
      </c>
      <c r="AC595" t="s">
        <v>135</v>
      </c>
      <c r="AD595" t="s">
        <v>136</v>
      </c>
    </row>
    <row r="596" spans="1:30" x14ac:dyDescent="0.25">
      <c r="A596" t="s">
        <v>3856</v>
      </c>
      <c r="B596" t="s">
        <v>25</v>
      </c>
      <c r="C596" t="s">
        <v>26</v>
      </c>
      <c r="D596" t="s">
        <v>25</v>
      </c>
      <c r="E596" t="s">
        <v>3857</v>
      </c>
      <c r="F596" t="s">
        <v>3852</v>
      </c>
      <c r="G596">
        <v>901335234</v>
      </c>
      <c r="H596" t="s">
        <v>3779</v>
      </c>
      <c r="I596" s="4" t="s">
        <v>3780</v>
      </c>
      <c r="J596" s="4" t="s">
        <v>3781</v>
      </c>
      <c r="K596" t="s">
        <v>3858</v>
      </c>
      <c r="L596" t="s">
        <v>59</v>
      </c>
      <c r="M596" t="s">
        <v>3859</v>
      </c>
      <c r="N596" t="s">
        <v>60</v>
      </c>
      <c r="O596" t="s">
        <v>29</v>
      </c>
      <c r="P596" t="s">
        <v>54</v>
      </c>
      <c r="Q596" t="s">
        <v>31</v>
      </c>
      <c r="R596">
        <v>7</v>
      </c>
      <c r="S596" t="s">
        <v>3855</v>
      </c>
      <c r="T596" t="s">
        <v>2395</v>
      </c>
      <c r="U596" t="s">
        <v>3841</v>
      </c>
      <c r="V596" t="s">
        <v>32</v>
      </c>
      <c r="W596" t="s">
        <v>33</v>
      </c>
      <c r="X596" t="s">
        <v>33</v>
      </c>
      <c r="Y596" t="s">
        <v>33</v>
      </c>
      <c r="Z596" s="16" t="s">
        <v>34</v>
      </c>
      <c r="AA596">
        <v>-75.617241000000007</v>
      </c>
      <c r="AB596">
        <v>6.1404480000000001</v>
      </c>
      <c r="AC596" t="s">
        <v>135</v>
      </c>
      <c r="AD596" t="s">
        <v>136</v>
      </c>
    </row>
    <row r="597" spans="1:30" x14ac:dyDescent="0.25">
      <c r="A597" t="s">
        <v>3860</v>
      </c>
      <c r="B597" t="s">
        <v>25</v>
      </c>
      <c r="C597" t="s">
        <v>26</v>
      </c>
      <c r="D597" t="s">
        <v>25</v>
      </c>
      <c r="E597" t="s">
        <v>3857</v>
      </c>
      <c r="F597" t="s">
        <v>3852</v>
      </c>
      <c r="G597">
        <v>901335234</v>
      </c>
      <c r="H597" t="s">
        <v>3779</v>
      </c>
      <c r="I597" s="4" t="s">
        <v>3780</v>
      </c>
      <c r="J597" s="4" t="s">
        <v>3781</v>
      </c>
      <c r="K597" t="s">
        <v>3861</v>
      </c>
      <c r="L597" t="s">
        <v>59</v>
      </c>
      <c r="M597" t="s">
        <v>3862</v>
      </c>
      <c r="N597" t="s">
        <v>60</v>
      </c>
      <c r="O597" t="s">
        <v>29</v>
      </c>
      <c r="P597" t="s">
        <v>54</v>
      </c>
      <c r="Q597" t="s">
        <v>31</v>
      </c>
      <c r="R597">
        <v>7</v>
      </c>
      <c r="S597" t="s">
        <v>3855</v>
      </c>
      <c r="T597" t="s">
        <v>2395</v>
      </c>
      <c r="U597" t="s">
        <v>3841</v>
      </c>
      <c r="V597" t="s">
        <v>32</v>
      </c>
      <c r="W597" t="s">
        <v>33</v>
      </c>
      <c r="X597" t="s">
        <v>33</v>
      </c>
      <c r="Y597" t="s">
        <v>33</v>
      </c>
      <c r="Z597" s="16" t="s">
        <v>34</v>
      </c>
      <c r="AA597">
        <v>-75.617241000000007</v>
      </c>
      <c r="AB597">
        <v>6.1404480000000001</v>
      </c>
      <c r="AC597" t="s">
        <v>135</v>
      </c>
      <c r="AD597" t="s">
        <v>136</v>
      </c>
    </row>
    <row r="598" spans="1:30" x14ac:dyDescent="0.25">
      <c r="A598" t="s">
        <v>3863</v>
      </c>
      <c r="B598" t="s">
        <v>25</v>
      </c>
      <c r="C598" t="s">
        <v>26</v>
      </c>
      <c r="D598" t="s">
        <v>25</v>
      </c>
      <c r="E598" t="s">
        <v>3864</v>
      </c>
      <c r="F598" t="s">
        <v>3865</v>
      </c>
      <c r="G598">
        <v>901335234</v>
      </c>
      <c r="H598" t="s">
        <v>3779</v>
      </c>
      <c r="I598" s="4" t="s">
        <v>3780</v>
      </c>
      <c r="J598" s="4" t="s">
        <v>3781</v>
      </c>
      <c r="K598" t="s">
        <v>3866</v>
      </c>
      <c r="L598" t="s">
        <v>59</v>
      </c>
      <c r="M598" t="s">
        <v>3867</v>
      </c>
      <c r="N598" t="s">
        <v>60</v>
      </c>
      <c r="O598" t="s">
        <v>29</v>
      </c>
      <c r="P598" t="s">
        <v>54</v>
      </c>
      <c r="Q598" t="s">
        <v>31</v>
      </c>
      <c r="R598">
        <v>7</v>
      </c>
      <c r="S598" t="s">
        <v>3868</v>
      </c>
      <c r="T598" t="s">
        <v>2395</v>
      </c>
      <c r="U598" t="s">
        <v>3841</v>
      </c>
      <c r="V598" t="s">
        <v>32</v>
      </c>
      <c r="W598" t="s">
        <v>33</v>
      </c>
      <c r="X598" t="s">
        <v>33</v>
      </c>
      <c r="Y598" t="s">
        <v>33</v>
      </c>
      <c r="Z598" s="16" t="s">
        <v>34</v>
      </c>
      <c r="AA598">
        <v>-75.617241000000007</v>
      </c>
      <c r="AB598">
        <v>6.1404480000000001</v>
      </c>
      <c r="AC598" t="s">
        <v>135</v>
      </c>
      <c r="AD598" t="s">
        <v>136</v>
      </c>
    </row>
    <row r="599" spans="1:30" x14ac:dyDescent="0.25">
      <c r="A599" t="s">
        <v>3869</v>
      </c>
      <c r="B599" t="s">
        <v>25</v>
      </c>
      <c r="C599" t="s">
        <v>26</v>
      </c>
      <c r="D599" t="s">
        <v>25</v>
      </c>
      <c r="E599" t="s">
        <v>3870</v>
      </c>
      <c r="F599" t="s">
        <v>3871</v>
      </c>
      <c r="G599">
        <v>901335234</v>
      </c>
      <c r="H599" t="s">
        <v>3779</v>
      </c>
      <c r="I599" s="4" t="s">
        <v>3780</v>
      </c>
      <c r="J599" s="4" t="s">
        <v>3781</v>
      </c>
      <c r="K599" t="s">
        <v>3872</v>
      </c>
      <c r="L599" t="s">
        <v>59</v>
      </c>
      <c r="M599" t="s">
        <v>3873</v>
      </c>
      <c r="N599" t="s">
        <v>60</v>
      </c>
      <c r="O599" t="s">
        <v>29</v>
      </c>
      <c r="P599" t="s">
        <v>54</v>
      </c>
      <c r="Q599" t="s">
        <v>31</v>
      </c>
      <c r="R599">
        <v>7</v>
      </c>
      <c r="S599" t="s">
        <v>3874</v>
      </c>
      <c r="T599" t="s">
        <v>2395</v>
      </c>
      <c r="U599" t="s">
        <v>3841</v>
      </c>
      <c r="V599" t="s">
        <v>32</v>
      </c>
      <c r="W599" t="s">
        <v>33</v>
      </c>
      <c r="X599" t="s">
        <v>33</v>
      </c>
      <c r="Y599" t="s">
        <v>33</v>
      </c>
      <c r="Z599" s="16" t="s">
        <v>34</v>
      </c>
      <c r="AA599">
        <v>-75.617241000000007</v>
      </c>
      <c r="AB599">
        <v>6.1404480000000001</v>
      </c>
      <c r="AC599" t="s">
        <v>135</v>
      </c>
      <c r="AD599" t="s">
        <v>136</v>
      </c>
    </row>
    <row r="600" spans="1:30" x14ac:dyDescent="0.25">
      <c r="A600" t="s">
        <v>3875</v>
      </c>
      <c r="B600" t="s">
        <v>25</v>
      </c>
      <c r="C600" t="s">
        <v>26</v>
      </c>
      <c r="D600" t="s">
        <v>25</v>
      </c>
      <c r="E600" t="s">
        <v>3876</v>
      </c>
      <c r="F600" t="s">
        <v>3877</v>
      </c>
      <c r="G600">
        <v>901335234</v>
      </c>
      <c r="H600" t="s">
        <v>3779</v>
      </c>
      <c r="I600" s="4" t="s">
        <v>3780</v>
      </c>
      <c r="J600" s="4" t="s">
        <v>3781</v>
      </c>
      <c r="K600" t="s">
        <v>3878</v>
      </c>
      <c r="L600" t="s">
        <v>59</v>
      </c>
      <c r="M600" t="s">
        <v>3879</v>
      </c>
      <c r="N600" t="s">
        <v>60</v>
      </c>
      <c r="O600" t="s">
        <v>29</v>
      </c>
      <c r="P600" t="s">
        <v>54</v>
      </c>
      <c r="Q600" t="s">
        <v>31</v>
      </c>
      <c r="R600">
        <v>7</v>
      </c>
      <c r="S600" t="s">
        <v>3880</v>
      </c>
      <c r="T600" t="s">
        <v>2395</v>
      </c>
      <c r="U600" t="s">
        <v>3841</v>
      </c>
      <c r="V600" t="s">
        <v>32</v>
      </c>
      <c r="W600" t="s">
        <v>33</v>
      </c>
      <c r="X600" t="s">
        <v>33</v>
      </c>
      <c r="Y600" t="s">
        <v>33</v>
      </c>
      <c r="Z600" s="16" t="s">
        <v>34</v>
      </c>
      <c r="AA600">
        <v>-75.617241000000007</v>
      </c>
      <c r="AB600">
        <v>6.1404480000000001</v>
      </c>
      <c r="AC600" t="s">
        <v>135</v>
      </c>
      <c r="AD600" t="s">
        <v>136</v>
      </c>
    </row>
    <row r="601" spans="1:30" x14ac:dyDescent="0.25">
      <c r="A601" t="s">
        <v>3881</v>
      </c>
      <c r="B601" t="s">
        <v>25</v>
      </c>
      <c r="C601" t="s">
        <v>26</v>
      </c>
      <c r="D601" t="s">
        <v>25</v>
      </c>
      <c r="E601" t="s">
        <v>3876</v>
      </c>
      <c r="F601" t="s">
        <v>3877</v>
      </c>
      <c r="G601">
        <v>901335234</v>
      </c>
      <c r="H601" t="s">
        <v>3779</v>
      </c>
      <c r="I601" s="4" t="s">
        <v>3780</v>
      </c>
      <c r="J601" s="4" t="s">
        <v>3781</v>
      </c>
      <c r="K601" t="s">
        <v>3882</v>
      </c>
      <c r="L601" t="s">
        <v>59</v>
      </c>
      <c r="M601" t="s">
        <v>3883</v>
      </c>
      <c r="N601" t="s">
        <v>60</v>
      </c>
      <c r="O601" t="s">
        <v>29</v>
      </c>
      <c r="P601" t="s">
        <v>54</v>
      </c>
      <c r="Q601" t="s">
        <v>31</v>
      </c>
      <c r="R601">
        <v>7</v>
      </c>
      <c r="S601" t="s">
        <v>3880</v>
      </c>
      <c r="T601" t="s">
        <v>2395</v>
      </c>
      <c r="U601" t="s">
        <v>3841</v>
      </c>
      <c r="V601" t="s">
        <v>32</v>
      </c>
      <c r="W601" t="s">
        <v>33</v>
      </c>
      <c r="X601" t="s">
        <v>33</v>
      </c>
      <c r="Y601" t="s">
        <v>33</v>
      </c>
      <c r="Z601" s="16" t="s">
        <v>34</v>
      </c>
      <c r="AA601">
        <v>-75.617241000000007</v>
      </c>
      <c r="AB601">
        <v>6.1404480000000001</v>
      </c>
      <c r="AC601" t="s">
        <v>135</v>
      </c>
      <c r="AD601" t="s">
        <v>136</v>
      </c>
    </row>
    <row r="602" spans="1:30" x14ac:dyDescent="0.25">
      <c r="A602" t="s">
        <v>3884</v>
      </c>
      <c r="B602" t="s">
        <v>25</v>
      </c>
      <c r="C602" t="s">
        <v>26</v>
      </c>
      <c r="D602" t="s">
        <v>25</v>
      </c>
      <c r="E602" t="s">
        <v>3885</v>
      </c>
      <c r="F602" t="s">
        <v>3886</v>
      </c>
      <c r="G602">
        <v>901335234</v>
      </c>
      <c r="H602" t="s">
        <v>3779</v>
      </c>
      <c r="I602" s="4" t="s">
        <v>3780</v>
      </c>
      <c r="J602" s="4" t="s">
        <v>3781</v>
      </c>
      <c r="K602" t="s">
        <v>3887</v>
      </c>
      <c r="L602" t="s">
        <v>59</v>
      </c>
      <c r="M602" t="s">
        <v>3888</v>
      </c>
      <c r="N602" t="s">
        <v>60</v>
      </c>
      <c r="O602" t="s">
        <v>29</v>
      </c>
      <c r="P602" t="s">
        <v>54</v>
      </c>
      <c r="Q602" t="s">
        <v>31</v>
      </c>
      <c r="R602">
        <v>7</v>
      </c>
      <c r="S602" t="s">
        <v>3889</v>
      </c>
      <c r="T602" t="s">
        <v>2395</v>
      </c>
      <c r="U602" t="s">
        <v>3841</v>
      </c>
      <c r="V602" t="s">
        <v>32</v>
      </c>
      <c r="W602" t="s">
        <v>33</v>
      </c>
      <c r="X602" t="s">
        <v>33</v>
      </c>
      <c r="Y602" t="s">
        <v>33</v>
      </c>
      <c r="Z602" s="16" t="s">
        <v>34</v>
      </c>
      <c r="AA602">
        <v>-75.617241000000007</v>
      </c>
      <c r="AB602">
        <v>6.1404480000000001</v>
      </c>
      <c r="AC602" t="s">
        <v>135</v>
      </c>
      <c r="AD602" t="s">
        <v>136</v>
      </c>
    </row>
    <row r="603" spans="1:30" x14ac:dyDescent="0.25">
      <c r="A603" t="s">
        <v>3890</v>
      </c>
      <c r="B603" t="s">
        <v>25</v>
      </c>
      <c r="C603" t="s">
        <v>26</v>
      </c>
      <c r="D603" t="s">
        <v>25</v>
      </c>
      <c r="E603" t="s">
        <v>3885</v>
      </c>
      <c r="F603" t="s">
        <v>3886</v>
      </c>
      <c r="G603">
        <v>901335234</v>
      </c>
      <c r="H603" t="s">
        <v>3779</v>
      </c>
      <c r="I603" s="4" t="s">
        <v>3780</v>
      </c>
      <c r="J603" s="4" t="s">
        <v>3781</v>
      </c>
      <c r="K603" t="s">
        <v>3891</v>
      </c>
      <c r="L603" t="s">
        <v>59</v>
      </c>
      <c r="M603" t="s">
        <v>3892</v>
      </c>
      <c r="N603" t="s">
        <v>60</v>
      </c>
      <c r="O603" t="s">
        <v>29</v>
      </c>
      <c r="P603" t="s">
        <v>54</v>
      </c>
      <c r="Q603" t="s">
        <v>31</v>
      </c>
      <c r="R603">
        <v>7</v>
      </c>
      <c r="S603" t="s">
        <v>3889</v>
      </c>
      <c r="T603" t="s">
        <v>2395</v>
      </c>
      <c r="U603" t="s">
        <v>3841</v>
      </c>
      <c r="V603" t="s">
        <v>32</v>
      </c>
      <c r="W603" t="s">
        <v>33</v>
      </c>
      <c r="X603" t="s">
        <v>33</v>
      </c>
      <c r="Y603" t="s">
        <v>33</v>
      </c>
      <c r="Z603" s="16" t="s">
        <v>34</v>
      </c>
      <c r="AA603">
        <v>-75.617241000000007</v>
      </c>
      <c r="AB603">
        <v>6.1404480000000001</v>
      </c>
      <c r="AC603" t="s">
        <v>135</v>
      </c>
      <c r="AD603" t="s">
        <v>136</v>
      </c>
    </row>
    <row r="604" spans="1:30" x14ac:dyDescent="0.25">
      <c r="A604" t="s">
        <v>3893</v>
      </c>
      <c r="B604" t="s">
        <v>25</v>
      </c>
      <c r="C604" t="s">
        <v>26</v>
      </c>
      <c r="D604" t="s">
        <v>25</v>
      </c>
      <c r="E604" t="s">
        <v>3894</v>
      </c>
      <c r="F604" t="s">
        <v>3895</v>
      </c>
      <c r="G604">
        <v>901335234</v>
      </c>
      <c r="H604" t="s">
        <v>3779</v>
      </c>
      <c r="I604" s="4" t="s">
        <v>3780</v>
      </c>
      <c r="J604" s="4" t="s">
        <v>3781</v>
      </c>
      <c r="K604" t="s">
        <v>3896</v>
      </c>
      <c r="L604" t="s">
        <v>59</v>
      </c>
      <c r="M604" t="s">
        <v>3897</v>
      </c>
      <c r="N604" t="s">
        <v>60</v>
      </c>
      <c r="O604" t="s">
        <v>29</v>
      </c>
      <c r="P604" t="s">
        <v>54</v>
      </c>
      <c r="Q604" t="s">
        <v>31</v>
      </c>
      <c r="R604">
        <v>7</v>
      </c>
      <c r="S604" t="s">
        <v>3898</v>
      </c>
      <c r="T604" t="s">
        <v>2395</v>
      </c>
      <c r="U604" t="s">
        <v>3841</v>
      </c>
      <c r="V604" t="s">
        <v>32</v>
      </c>
      <c r="W604" t="s">
        <v>33</v>
      </c>
      <c r="X604" t="s">
        <v>33</v>
      </c>
      <c r="Y604" t="s">
        <v>33</v>
      </c>
      <c r="Z604" s="16" t="s">
        <v>34</v>
      </c>
      <c r="AA604">
        <v>-75.617241000000007</v>
      </c>
      <c r="AB604">
        <v>6.1404480000000001</v>
      </c>
      <c r="AC604" t="s">
        <v>135</v>
      </c>
      <c r="AD604" t="s">
        <v>136</v>
      </c>
    </row>
    <row r="605" spans="1:30" x14ac:dyDescent="0.25">
      <c r="A605" t="s">
        <v>3899</v>
      </c>
      <c r="B605" t="s">
        <v>25</v>
      </c>
      <c r="C605" t="s">
        <v>26</v>
      </c>
      <c r="D605" t="s">
        <v>25</v>
      </c>
      <c r="E605" t="s">
        <v>3885</v>
      </c>
      <c r="F605" t="s">
        <v>3886</v>
      </c>
      <c r="G605">
        <v>901335234</v>
      </c>
      <c r="H605" t="s">
        <v>3779</v>
      </c>
      <c r="I605" s="4" t="s">
        <v>3780</v>
      </c>
      <c r="J605" s="4" t="s">
        <v>3781</v>
      </c>
      <c r="K605" t="s">
        <v>3900</v>
      </c>
      <c r="L605" t="s">
        <v>59</v>
      </c>
      <c r="M605" t="s">
        <v>3901</v>
      </c>
      <c r="N605" t="s">
        <v>60</v>
      </c>
      <c r="O605" t="s">
        <v>29</v>
      </c>
      <c r="P605" t="s">
        <v>54</v>
      </c>
      <c r="Q605" t="s">
        <v>31</v>
      </c>
      <c r="R605">
        <v>7</v>
      </c>
      <c r="S605" t="s">
        <v>3889</v>
      </c>
      <c r="T605" t="s">
        <v>2395</v>
      </c>
      <c r="U605" t="s">
        <v>3841</v>
      </c>
      <c r="V605" t="s">
        <v>32</v>
      </c>
      <c r="W605" t="s">
        <v>33</v>
      </c>
      <c r="X605" t="s">
        <v>33</v>
      </c>
      <c r="Y605" t="s">
        <v>33</v>
      </c>
      <c r="Z605" s="16" t="s">
        <v>34</v>
      </c>
      <c r="AA605">
        <v>-75.617241000000007</v>
      </c>
      <c r="AB605">
        <v>6.1404480000000001</v>
      </c>
      <c r="AC605" t="s">
        <v>135</v>
      </c>
      <c r="AD605" t="s">
        <v>136</v>
      </c>
    </row>
    <row r="606" spans="1:30" x14ac:dyDescent="0.25">
      <c r="A606" t="s">
        <v>3902</v>
      </c>
      <c r="B606" t="s">
        <v>25</v>
      </c>
      <c r="C606" t="s">
        <v>26</v>
      </c>
      <c r="D606" t="s">
        <v>25</v>
      </c>
      <c r="E606" t="s">
        <v>3903</v>
      </c>
      <c r="F606" t="s">
        <v>3904</v>
      </c>
      <c r="G606">
        <v>901335234</v>
      </c>
      <c r="H606" t="s">
        <v>3779</v>
      </c>
      <c r="I606" s="4" t="s">
        <v>3780</v>
      </c>
      <c r="J606" s="4" t="s">
        <v>3781</v>
      </c>
      <c r="K606" t="s">
        <v>3905</v>
      </c>
      <c r="L606" t="s">
        <v>59</v>
      </c>
      <c r="M606" t="s">
        <v>3906</v>
      </c>
      <c r="N606" t="s">
        <v>60</v>
      </c>
      <c r="O606" t="s">
        <v>29</v>
      </c>
      <c r="P606" t="s">
        <v>54</v>
      </c>
      <c r="Q606" t="s">
        <v>31</v>
      </c>
      <c r="R606">
        <v>7</v>
      </c>
      <c r="S606" t="s">
        <v>3907</v>
      </c>
      <c r="T606" t="s">
        <v>2395</v>
      </c>
      <c r="U606" t="s">
        <v>3841</v>
      </c>
      <c r="V606" t="s">
        <v>32</v>
      </c>
      <c r="W606" t="s">
        <v>33</v>
      </c>
      <c r="X606" t="s">
        <v>33</v>
      </c>
      <c r="Y606" t="s">
        <v>33</v>
      </c>
      <c r="Z606" s="16" t="s">
        <v>34</v>
      </c>
      <c r="AA606">
        <v>-75.617241000000007</v>
      </c>
      <c r="AB606">
        <v>6.1404480000000001</v>
      </c>
      <c r="AC606" t="s">
        <v>135</v>
      </c>
      <c r="AD606" t="s">
        <v>136</v>
      </c>
    </row>
    <row r="607" spans="1:30" x14ac:dyDescent="0.25">
      <c r="A607" t="s">
        <v>3908</v>
      </c>
      <c r="B607" t="s">
        <v>25</v>
      </c>
      <c r="C607" t="s">
        <v>26</v>
      </c>
      <c r="D607" t="s">
        <v>25</v>
      </c>
      <c r="E607" t="s">
        <v>3903</v>
      </c>
      <c r="F607" t="s">
        <v>3904</v>
      </c>
      <c r="G607">
        <v>901335234</v>
      </c>
      <c r="H607" t="s">
        <v>3779</v>
      </c>
      <c r="I607" s="4" t="s">
        <v>3780</v>
      </c>
      <c r="J607" s="4" t="s">
        <v>3781</v>
      </c>
      <c r="K607" t="s">
        <v>3909</v>
      </c>
      <c r="L607" t="s">
        <v>59</v>
      </c>
      <c r="M607" t="s">
        <v>3910</v>
      </c>
      <c r="N607" t="s">
        <v>60</v>
      </c>
      <c r="O607" t="s">
        <v>29</v>
      </c>
      <c r="P607" t="s">
        <v>54</v>
      </c>
      <c r="Q607" t="s">
        <v>31</v>
      </c>
      <c r="R607">
        <v>7</v>
      </c>
      <c r="S607" t="s">
        <v>3907</v>
      </c>
      <c r="T607" t="s">
        <v>2395</v>
      </c>
      <c r="U607" t="s">
        <v>3841</v>
      </c>
      <c r="V607" t="s">
        <v>32</v>
      </c>
      <c r="W607" t="s">
        <v>33</v>
      </c>
      <c r="X607" t="s">
        <v>33</v>
      </c>
      <c r="Y607" t="s">
        <v>33</v>
      </c>
      <c r="Z607" s="16" t="s">
        <v>34</v>
      </c>
      <c r="AA607">
        <v>-75.617241000000007</v>
      </c>
      <c r="AB607">
        <v>6.1404480000000001</v>
      </c>
      <c r="AC607" t="s">
        <v>135</v>
      </c>
      <c r="AD607" t="s">
        <v>136</v>
      </c>
    </row>
    <row r="608" spans="1:30" x14ac:dyDescent="0.25">
      <c r="A608" t="s">
        <v>3911</v>
      </c>
      <c r="B608" t="s">
        <v>25</v>
      </c>
      <c r="C608" t="s">
        <v>26</v>
      </c>
      <c r="D608" t="s">
        <v>25</v>
      </c>
      <c r="E608" t="s">
        <v>3903</v>
      </c>
      <c r="F608" t="s">
        <v>3904</v>
      </c>
      <c r="G608">
        <v>901335234</v>
      </c>
      <c r="H608" t="s">
        <v>3779</v>
      </c>
      <c r="I608" s="4" t="s">
        <v>3780</v>
      </c>
      <c r="J608" s="4" t="s">
        <v>3781</v>
      </c>
      <c r="K608" t="s">
        <v>3912</v>
      </c>
      <c r="L608" t="s">
        <v>59</v>
      </c>
      <c r="M608" t="s">
        <v>3913</v>
      </c>
      <c r="N608" t="s">
        <v>60</v>
      </c>
      <c r="O608" t="s">
        <v>29</v>
      </c>
      <c r="P608" t="s">
        <v>54</v>
      </c>
      <c r="Q608" t="s">
        <v>31</v>
      </c>
      <c r="R608">
        <v>7</v>
      </c>
      <c r="S608" t="s">
        <v>3907</v>
      </c>
      <c r="T608" t="s">
        <v>2395</v>
      </c>
      <c r="U608" t="s">
        <v>3841</v>
      </c>
      <c r="V608" t="s">
        <v>32</v>
      </c>
      <c r="W608" t="s">
        <v>33</v>
      </c>
      <c r="X608" t="s">
        <v>33</v>
      </c>
      <c r="Y608" t="s">
        <v>33</v>
      </c>
      <c r="Z608" s="16" t="s">
        <v>34</v>
      </c>
      <c r="AA608">
        <v>-75.617241000000007</v>
      </c>
      <c r="AB608">
        <v>6.1404480000000001</v>
      </c>
      <c r="AC608" t="s">
        <v>135</v>
      </c>
      <c r="AD608" t="s">
        <v>136</v>
      </c>
    </row>
    <row r="609" spans="1:30" x14ac:dyDescent="0.25">
      <c r="A609" t="s">
        <v>3914</v>
      </c>
      <c r="B609" t="s">
        <v>25</v>
      </c>
      <c r="C609" t="s">
        <v>26</v>
      </c>
      <c r="D609" t="s">
        <v>25</v>
      </c>
      <c r="E609" t="s">
        <v>3903</v>
      </c>
      <c r="F609" t="s">
        <v>3904</v>
      </c>
      <c r="G609">
        <v>901335234</v>
      </c>
      <c r="H609" t="s">
        <v>3779</v>
      </c>
      <c r="I609" s="4" t="s">
        <v>3780</v>
      </c>
      <c r="J609" s="4" t="s">
        <v>3781</v>
      </c>
      <c r="K609" t="s">
        <v>3915</v>
      </c>
      <c r="L609" t="s">
        <v>59</v>
      </c>
      <c r="M609" t="s">
        <v>3916</v>
      </c>
      <c r="N609" t="s">
        <v>60</v>
      </c>
      <c r="O609" t="s">
        <v>29</v>
      </c>
      <c r="P609" t="s">
        <v>54</v>
      </c>
      <c r="Q609" t="s">
        <v>31</v>
      </c>
      <c r="R609">
        <v>7</v>
      </c>
      <c r="S609" t="s">
        <v>3907</v>
      </c>
      <c r="T609" t="s">
        <v>2395</v>
      </c>
      <c r="U609" t="s">
        <v>3841</v>
      </c>
      <c r="V609" t="s">
        <v>32</v>
      </c>
      <c r="W609" t="s">
        <v>33</v>
      </c>
      <c r="X609" t="s">
        <v>33</v>
      </c>
      <c r="Y609" t="s">
        <v>33</v>
      </c>
      <c r="Z609" s="16" t="s">
        <v>34</v>
      </c>
      <c r="AA609">
        <v>-75.617241000000007</v>
      </c>
      <c r="AB609">
        <v>6.1404480000000001</v>
      </c>
      <c r="AC609" t="s">
        <v>135</v>
      </c>
      <c r="AD609" t="s">
        <v>136</v>
      </c>
    </row>
    <row r="610" spans="1:30" x14ac:dyDescent="0.25">
      <c r="A610" t="s">
        <v>3917</v>
      </c>
      <c r="B610" t="s">
        <v>25</v>
      </c>
      <c r="C610" t="s">
        <v>26</v>
      </c>
      <c r="D610" t="s">
        <v>25</v>
      </c>
      <c r="E610" t="s">
        <v>3903</v>
      </c>
      <c r="F610" t="s">
        <v>3904</v>
      </c>
      <c r="G610">
        <v>901335234</v>
      </c>
      <c r="H610" t="s">
        <v>3779</v>
      </c>
      <c r="I610" s="4" t="s">
        <v>3780</v>
      </c>
      <c r="J610" s="4" t="s">
        <v>3781</v>
      </c>
      <c r="K610" t="s">
        <v>3918</v>
      </c>
      <c r="L610" t="s">
        <v>59</v>
      </c>
      <c r="M610" t="s">
        <v>3919</v>
      </c>
      <c r="N610" t="s">
        <v>60</v>
      </c>
      <c r="O610" t="s">
        <v>29</v>
      </c>
      <c r="P610" t="s">
        <v>54</v>
      </c>
      <c r="Q610" t="s">
        <v>31</v>
      </c>
      <c r="R610">
        <v>7</v>
      </c>
      <c r="S610" t="s">
        <v>3907</v>
      </c>
      <c r="T610" t="s">
        <v>2395</v>
      </c>
      <c r="U610" t="s">
        <v>3841</v>
      </c>
      <c r="V610" t="s">
        <v>32</v>
      </c>
      <c r="W610" t="s">
        <v>33</v>
      </c>
      <c r="X610" t="s">
        <v>33</v>
      </c>
      <c r="Y610" t="s">
        <v>33</v>
      </c>
      <c r="Z610" s="16" t="s">
        <v>34</v>
      </c>
      <c r="AA610">
        <v>-75.617241000000007</v>
      </c>
      <c r="AB610">
        <v>6.1404480000000001</v>
      </c>
      <c r="AC610" t="s">
        <v>135</v>
      </c>
      <c r="AD610" t="s">
        <v>136</v>
      </c>
    </row>
    <row r="611" spans="1:30" x14ac:dyDescent="0.25">
      <c r="A611" t="s">
        <v>3920</v>
      </c>
      <c r="B611" t="s">
        <v>25</v>
      </c>
      <c r="C611" t="s">
        <v>26</v>
      </c>
      <c r="D611" t="s">
        <v>25</v>
      </c>
      <c r="E611" t="s">
        <v>3903</v>
      </c>
      <c r="F611" t="s">
        <v>3904</v>
      </c>
      <c r="G611">
        <v>901335234</v>
      </c>
      <c r="H611" t="s">
        <v>3779</v>
      </c>
      <c r="I611" s="4" t="s">
        <v>3780</v>
      </c>
      <c r="J611" s="4" t="s">
        <v>3781</v>
      </c>
      <c r="K611" t="s">
        <v>3921</v>
      </c>
      <c r="L611" t="s">
        <v>59</v>
      </c>
      <c r="M611" t="s">
        <v>3922</v>
      </c>
      <c r="N611" t="s">
        <v>60</v>
      </c>
      <c r="O611" t="s">
        <v>29</v>
      </c>
      <c r="P611" t="s">
        <v>54</v>
      </c>
      <c r="Q611" t="s">
        <v>31</v>
      </c>
      <c r="R611">
        <v>7</v>
      </c>
      <c r="S611" t="s">
        <v>3907</v>
      </c>
      <c r="T611" t="s">
        <v>2395</v>
      </c>
      <c r="U611" t="s">
        <v>3841</v>
      </c>
      <c r="V611" t="s">
        <v>32</v>
      </c>
      <c r="W611" t="s">
        <v>33</v>
      </c>
      <c r="X611" t="s">
        <v>33</v>
      </c>
      <c r="Y611" t="s">
        <v>33</v>
      </c>
      <c r="Z611" s="16" t="s">
        <v>34</v>
      </c>
      <c r="AA611">
        <v>-75.617241000000007</v>
      </c>
      <c r="AB611">
        <v>6.1404480000000001</v>
      </c>
      <c r="AC611" t="s">
        <v>135</v>
      </c>
      <c r="AD611" t="s">
        <v>136</v>
      </c>
    </row>
    <row r="612" spans="1:30" x14ac:dyDescent="0.25">
      <c r="A612" t="s">
        <v>3923</v>
      </c>
      <c r="B612" t="s">
        <v>25</v>
      </c>
      <c r="C612" t="s">
        <v>26</v>
      </c>
      <c r="D612" t="s">
        <v>25</v>
      </c>
      <c r="E612" t="s">
        <v>3924</v>
      </c>
      <c r="F612" t="s">
        <v>3925</v>
      </c>
      <c r="G612">
        <v>901335234</v>
      </c>
      <c r="H612" t="s">
        <v>3779</v>
      </c>
      <c r="I612" s="4" t="s">
        <v>3780</v>
      </c>
      <c r="J612" s="4" t="s">
        <v>3781</v>
      </c>
      <c r="K612" t="s">
        <v>3926</v>
      </c>
      <c r="L612" t="s">
        <v>59</v>
      </c>
      <c r="M612" t="s">
        <v>3927</v>
      </c>
      <c r="N612" t="s">
        <v>60</v>
      </c>
      <c r="O612" t="s">
        <v>29</v>
      </c>
      <c r="P612" t="s">
        <v>54</v>
      </c>
      <c r="Q612" t="s">
        <v>31</v>
      </c>
      <c r="R612">
        <v>7</v>
      </c>
      <c r="S612" t="s">
        <v>3928</v>
      </c>
      <c r="T612" t="s">
        <v>2395</v>
      </c>
      <c r="U612" t="s">
        <v>3841</v>
      </c>
      <c r="V612" t="s">
        <v>32</v>
      </c>
      <c r="W612" t="s">
        <v>33</v>
      </c>
      <c r="X612" t="s">
        <v>33</v>
      </c>
      <c r="Y612" t="s">
        <v>33</v>
      </c>
      <c r="Z612" s="16" t="s">
        <v>34</v>
      </c>
      <c r="AA612">
        <v>-75.617241000000007</v>
      </c>
      <c r="AB612">
        <v>6.1404480000000001</v>
      </c>
      <c r="AC612" t="s">
        <v>135</v>
      </c>
      <c r="AD612" t="s">
        <v>136</v>
      </c>
    </row>
    <row r="613" spans="1:30" x14ac:dyDescent="0.25">
      <c r="A613" t="s">
        <v>3929</v>
      </c>
      <c r="B613" t="s">
        <v>25</v>
      </c>
      <c r="C613" t="s">
        <v>26</v>
      </c>
      <c r="D613" t="s">
        <v>25</v>
      </c>
      <c r="E613" t="s">
        <v>3924</v>
      </c>
      <c r="F613" t="s">
        <v>3925</v>
      </c>
      <c r="G613">
        <v>901335234</v>
      </c>
      <c r="H613" t="s">
        <v>3779</v>
      </c>
      <c r="I613" s="4" t="s">
        <v>3780</v>
      </c>
      <c r="J613" s="4" t="s">
        <v>3781</v>
      </c>
      <c r="K613" t="s">
        <v>3930</v>
      </c>
      <c r="L613" t="s">
        <v>59</v>
      </c>
      <c r="M613" t="s">
        <v>3931</v>
      </c>
      <c r="N613" t="s">
        <v>60</v>
      </c>
      <c r="O613" t="s">
        <v>29</v>
      </c>
      <c r="P613" t="s">
        <v>54</v>
      </c>
      <c r="Q613" t="s">
        <v>31</v>
      </c>
      <c r="R613">
        <v>7</v>
      </c>
      <c r="S613" t="s">
        <v>3928</v>
      </c>
      <c r="T613" t="s">
        <v>2395</v>
      </c>
      <c r="U613" t="s">
        <v>3841</v>
      </c>
      <c r="V613" t="s">
        <v>32</v>
      </c>
      <c r="W613" t="s">
        <v>33</v>
      </c>
      <c r="X613" t="s">
        <v>33</v>
      </c>
      <c r="Y613" t="s">
        <v>33</v>
      </c>
      <c r="Z613" s="16" t="s">
        <v>34</v>
      </c>
      <c r="AA613">
        <v>-75.617241000000007</v>
      </c>
      <c r="AB613">
        <v>6.1404480000000001</v>
      </c>
      <c r="AC613" t="s">
        <v>135</v>
      </c>
      <c r="AD613" t="s">
        <v>136</v>
      </c>
    </row>
    <row r="614" spans="1:30" x14ac:dyDescent="0.25">
      <c r="A614" t="s">
        <v>3932</v>
      </c>
      <c r="B614" t="s">
        <v>25</v>
      </c>
      <c r="C614" t="s">
        <v>26</v>
      </c>
      <c r="D614" t="s">
        <v>25</v>
      </c>
      <c r="E614" t="s">
        <v>3933</v>
      </c>
      <c r="F614" t="s">
        <v>3934</v>
      </c>
      <c r="G614">
        <v>901335234</v>
      </c>
      <c r="H614" t="s">
        <v>3779</v>
      </c>
      <c r="I614" s="4" t="s">
        <v>3780</v>
      </c>
      <c r="J614" s="4" t="s">
        <v>3781</v>
      </c>
      <c r="K614" t="s">
        <v>3935</v>
      </c>
      <c r="L614" t="s">
        <v>59</v>
      </c>
      <c r="M614" t="s">
        <v>3936</v>
      </c>
      <c r="N614" t="s">
        <v>60</v>
      </c>
      <c r="O614" t="s">
        <v>29</v>
      </c>
      <c r="P614" t="s">
        <v>54</v>
      </c>
      <c r="Q614" t="s">
        <v>31</v>
      </c>
      <c r="R614">
        <v>7</v>
      </c>
      <c r="S614" t="s">
        <v>3937</v>
      </c>
      <c r="T614" t="s">
        <v>2395</v>
      </c>
      <c r="U614" t="s">
        <v>3841</v>
      </c>
      <c r="V614" t="s">
        <v>32</v>
      </c>
      <c r="W614" t="s">
        <v>33</v>
      </c>
      <c r="X614" t="s">
        <v>33</v>
      </c>
      <c r="Y614" t="s">
        <v>33</v>
      </c>
      <c r="Z614" s="16" t="s">
        <v>34</v>
      </c>
      <c r="AA614">
        <v>-75.617241000000007</v>
      </c>
      <c r="AB614">
        <v>6.1404480000000001</v>
      </c>
      <c r="AC614" t="s">
        <v>135</v>
      </c>
      <c r="AD614" t="s">
        <v>136</v>
      </c>
    </row>
    <row r="615" spans="1:30" x14ac:dyDescent="0.25">
      <c r="A615" t="s">
        <v>3938</v>
      </c>
      <c r="B615" t="s">
        <v>25</v>
      </c>
      <c r="C615" t="s">
        <v>26</v>
      </c>
      <c r="D615" t="s">
        <v>25</v>
      </c>
      <c r="E615" t="s">
        <v>3933</v>
      </c>
      <c r="F615" t="s">
        <v>3934</v>
      </c>
      <c r="G615">
        <v>901335234</v>
      </c>
      <c r="H615" t="s">
        <v>3779</v>
      </c>
      <c r="I615" s="4" t="s">
        <v>3780</v>
      </c>
      <c r="J615" s="4" t="s">
        <v>3781</v>
      </c>
      <c r="K615" t="s">
        <v>3939</v>
      </c>
      <c r="L615" t="s">
        <v>59</v>
      </c>
      <c r="M615" t="s">
        <v>3940</v>
      </c>
      <c r="N615" t="s">
        <v>60</v>
      </c>
      <c r="O615" t="s">
        <v>29</v>
      </c>
      <c r="P615" t="s">
        <v>54</v>
      </c>
      <c r="Q615" t="s">
        <v>31</v>
      </c>
      <c r="R615">
        <v>7</v>
      </c>
      <c r="S615" t="s">
        <v>3937</v>
      </c>
      <c r="T615" t="s">
        <v>2395</v>
      </c>
      <c r="U615" t="s">
        <v>3841</v>
      </c>
      <c r="V615" t="s">
        <v>32</v>
      </c>
      <c r="W615" t="s">
        <v>33</v>
      </c>
      <c r="X615" t="s">
        <v>33</v>
      </c>
      <c r="Y615" t="s">
        <v>33</v>
      </c>
      <c r="Z615" s="16" t="s">
        <v>34</v>
      </c>
      <c r="AA615">
        <v>-75.617241000000007</v>
      </c>
      <c r="AB615">
        <v>6.1404480000000001</v>
      </c>
      <c r="AC615" t="s">
        <v>135</v>
      </c>
      <c r="AD615" t="s">
        <v>136</v>
      </c>
    </row>
    <row r="616" spans="1:30" x14ac:dyDescent="0.25">
      <c r="A616" t="s">
        <v>3941</v>
      </c>
      <c r="B616" t="s">
        <v>25</v>
      </c>
      <c r="C616" t="s">
        <v>26</v>
      </c>
      <c r="D616" t="s">
        <v>25</v>
      </c>
      <c r="E616" t="s">
        <v>3942</v>
      </c>
      <c r="F616" t="s">
        <v>3943</v>
      </c>
      <c r="G616">
        <v>901335234</v>
      </c>
      <c r="H616" t="s">
        <v>3779</v>
      </c>
      <c r="I616" s="4" t="s">
        <v>3780</v>
      </c>
      <c r="J616" s="4" t="s">
        <v>3781</v>
      </c>
      <c r="K616" t="s">
        <v>3944</v>
      </c>
      <c r="L616" t="s">
        <v>59</v>
      </c>
      <c r="M616" t="s">
        <v>3945</v>
      </c>
      <c r="N616" t="s">
        <v>60</v>
      </c>
      <c r="O616" t="s">
        <v>29</v>
      </c>
      <c r="P616" t="s">
        <v>54</v>
      </c>
      <c r="Q616" t="s">
        <v>31</v>
      </c>
      <c r="R616">
        <v>7</v>
      </c>
      <c r="S616" t="s">
        <v>3946</v>
      </c>
      <c r="T616" t="s">
        <v>2395</v>
      </c>
      <c r="U616" t="s">
        <v>3841</v>
      </c>
      <c r="V616" t="s">
        <v>32</v>
      </c>
      <c r="W616" t="s">
        <v>33</v>
      </c>
      <c r="X616" t="s">
        <v>33</v>
      </c>
      <c r="Y616" t="s">
        <v>33</v>
      </c>
      <c r="Z616" s="16" t="s">
        <v>34</v>
      </c>
      <c r="AA616">
        <v>-75.617241000000007</v>
      </c>
      <c r="AB616">
        <v>6.1404480000000001</v>
      </c>
      <c r="AC616" t="s">
        <v>135</v>
      </c>
      <c r="AD616" t="s">
        <v>136</v>
      </c>
    </row>
    <row r="617" spans="1:30" x14ac:dyDescent="0.25">
      <c r="A617" t="s">
        <v>3947</v>
      </c>
      <c r="B617" t="s">
        <v>25</v>
      </c>
      <c r="C617" t="s">
        <v>26</v>
      </c>
      <c r="D617" t="s">
        <v>25</v>
      </c>
      <c r="E617" t="s">
        <v>3948</v>
      </c>
      <c r="F617" t="s">
        <v>3949</v>
      </c>
      <c r="G617">
        <v>901335234</v>
      </c>
      <c r="H617" t="s">
        <v>3779</v>
      </c>
      <c r="I617" s="4" t="s">
        <v>3780</v>
      </c>
      <c r="J617" s="4" t="s">
        <v>3781</v>
      </c>
      <c r="K617" t="s">
        <v>3950</v>
      </c>
      <c r="L617" t="s">
        <v>59</v>
      </c>
      <c r="M617" t="s">
        <v>3951</v>
      </c>
      <c r="N617" t="s">
        <v>60</v>
      </c>
      <c r="O617" t="s">
        <v>29</v>
      </c>
      <c r="P617" t="s">
        <v>54</v>
      </c>
      <c r="Q617" t="s">
        <v>31</v>
      </c>
      <c r="R617">
        <v>7</v>
      </c>
      <c r="S617" t="s">
        <v>3952</v>
      </c>
      <c r="T617" t="s">
        <v>2395</v>
      </c>
      <c r="U617" t="s">
        <v>3841</v>
      </c>
      <c r="V617" t="s">
        <v>32</v>
      </c>
      <c r="W617" t="s">
        <v>33</v>
      </c>
      <c r="X617" t="s">
        <v>33</v>
      </c>
      <c r="Y617" t="s">
        <v>33</v>
      </c>
      <c r="Z617" s="16" t="s">
        <v>34</v>
      </c>
      <c r="AA617">
        <v>-75.617241000000007</v>
      </c>
      <c r="AB617">
        <v>6.1404480000000001</v>
      </c>
      <c r="AC617" t="s">
        <v>135</v>
      </c>
      <c r="AD617" t="s">
        <v>136</v>
      </c>
    </row>
    <row r="618" spans="1:30" x14ac:dyDescent="0.25">
      <c r="A618" t="s">
        <v>3953</v>
      </c>
      <c r="B618" t="s">
        <v>25</v>
      </c>
      <c r="C618" t="s">
        <v>26</v>
      </c>
      <c r="D618" t="s">
        <v>25</v>
      </c>
      <c r="E618" t="s">
        <v>3948</v>
      </c>
      <c r="F618" t="s">
        <v>3949</v>
      </c>
      <c r="G618">
        <v>901335234</v>
      </c>
      <c r="H618" t="s">
        <v>3779</v>
      </c>
      <c r="I618" s="4" t="s">
        <v>3780</v>
      </c>
      <c r="J618" s="4" t="s">
        <v>3781</v>
      </c>
      <c r="K618" t="s">
        <v>3954</v>
      </c>
      <c r="L618" t="s">
        <v>59</v>
      </c>
      <c r="M618" t="s">
        <v>3955</v>
      </c>
      <c r="N618" t="s">
        <v>60</v>
      </c>
      <c r="O618" t="s">
        <v>29</v>
      </c>
      <c r="P618" t="s">
        <v>54</v>
      </c>
      <c r="Q618" t="s">
        <v>31</v>
      </c>
      <c r="R618">
        <v>7</v>
      </c>
      <c r="S618" t="s">
        <v>3952</v>
      </c>
      <c r="T618" t="s">
        <v>2395</v>
      </c>
      <c r="U618" t="s">
        <v>3841</v>
      </c>
      <c r="V618" t="s">
        <v>32</v>
      </c>
      <c r="W618" t="s">
        <v>33</v>
      </c>
      <c r="X618" t="s">
        <v>33</v>
      </c>
      <c r="Y618" t="s">
        <v>33</v>
      </c>
      <c r="Z618" s="16" t="s">
        <v>34</v>
      </c>
      <c r="AA618">
        <v>-75.617241000000007</v>
      </c>
      <c r="AB618">
        <v>6.1404480000000001</v>
      </c>
      <c r="AC618" t="s">
        <v>135</v>
      </c>
      <c r="AD618" t="s">
        <v>136</v>
      </c>
    </row>
    <row r="619" spans="1:30" x14ac:dyDescent="0.25">
      <c r="A619" t="s">
        <v>3956</v>
      </c>
      <c r="B619" t="s">
        <v>25</v>
      </c>
      <c r="C619" t="s">
        <v>26</v>
      </c>
      <c r="D619" t="s">
        <v>25</v>
      </c>
      <c r="E619" t="s">
        <v>3957</v>
      </c>
      <c r="F619" t="s">
        <v>3958</v>
      </c>
      <c r="G619">
        <v>901335234</v>
      </c>
      <c r="H619" t="s">
        <v>3779</v>
      </c>
      <c r="I619" s="4" t="s">
        <v>3780</v>
      </c>
      <c r="J619" s="4" t="s">
        <v>3781</v>
      </c>
      <c r="K619" t="s">
        <v>3959</v>
      </c>
      <c r="L619" t="s">
        <v>59</v>
      </c>
      <c r="M619" t="s">
        <v>3960</v>
      </c>
      <c r="N619" t="s">
        <v>60</v>
      </c>
      <c r="O619" t="s">
        <v>29</v>
      </c>
      <c r="P619" t="s">
        <v>54</v>
      </c>
      <c r="Q619" t="s">
        <v>31</v>
      </c>
      <c r="R619">
        <v>7</v>
      </c>
      <c r="S619" t="s">
        <v>3961</v>
      </c>
      <c r="T619" t="s">
        <v>2395</v>
      </c>
      <c r="U619" t="s">
        <v>3841</v>
      </c>
      <c r="V619" t="s">
        <v>32</v>
      </c>
      <c r="W619" t="s">
        <v>33</v>
      </c>
      <c r="X619" t="s">
        <v>33</v>
      </c>
      <c r="Y619" t="s">
        <v>33</v>
      </c>
      <c r="Z619" s="16" t="s">
        <v>34</v>
      </c>
      <c r="AA619">
        <v>-75.61732069</v>
      </c>
      <c r="AB619">
        <v>6.1404824400000004</v>
      </c>
      <c r="AC619" t="s">
        <v>135</v>
      </c>
      <c r="AD619" t="s">
        <v>136</v>
      </c>
    </row>
    <row r="620" spans="1:30" x14ac:dyDescent="0.25">
      <c r="A620" t="s">
        <v>3962</v>
      </c>
      <c r="B620" t="s">
        <v>25</v>
      </c>
      <c r="C620" t="s">
        <v>26</v>
      </c>
      <c r="D620" t="s">
        <v>25</v>
      </c>
      <c r="E620" t="s">
        <v>3957</v>
      </c>
      <c r="F620" t="s">
        <v>3958</v>
      </c>
      <c r="G620">
        <v>901335234</v>
      </c>
      <c r="H620" t="s">
        <v>3779</v>
      </c>
      <c r="I620" s="4" t="s">
        <v>3780</v>
      </c>
      <c r="J620" s="4" t="s">
        <v>3781</v>
      </c>
      <c r="K620" t="s">
        <v>3963</v>
      </c>
      <c r="L620" t="s">
        <v>59</v>
      </c>
      <c r="M620" t="s">
        <v>3964</v>
      </c>
      <c r="N620" t="s">
        <v>60</v>
      </c>
      <c r="O620" t="s">
        <v>29</v>
      </c>
      <c r="P620" t="s">
        <v>54</v>
      </c>
      <c r="Q620" t="s">
        <v>31</v>
      </c>
      <c r="R620">
        <v>7</v>
      </c>
      <c r="S620" t="s">
        <v>3961</v>
      </c>
      <c r="T620" t="s">
        <v>2395</v>
      </c>
      <c r="U620" t="s">
        <v>3841</v>
      </c>
      <c r="V620" t="s">
        <v>32</v>
      </c>
      <c r="W620" t="s">
        <v>33</v>
      </c>
      <c r="X620" t="s">
        <v>33</v>
      </c>
      <c r="Y620" t="s">
        <v>33</v>
      </c>
      <c r="Z620" s="16" t="s">
        <v>34</v>
      </c>
      <c r="AA620">
        <v>-75.617241000000007</v>
      </c>
      <c r="AB620">
        <v>6.1404480000000001</v>
      </c>
      <c r="AC620" t="s">
        <v>135</v>
      </c>
      <c r="AD620" t="s">
        <v>136</v>
      </c>
    </row>
    <row r="621" spans="1:30" x14ac:dyDescent="0.25">
      <c r="A621" t="s">
        <v>3965</v>
      </c>
      <c r="B621" t="s">
        <v>25</v>
      </c>
      <c r="C621" t="s">
        <v>26</v>
      </c>
      <c r="D621" t="s">
        <v>25</v>
      </c>
      <c r="E621" t="s">
        <v>3966</v>
      </c>
      <c r="F621" t="s">
        <v>3967</v>
      </c>
      <c r="G621">
        <v>901335234</v>
      </c>
      <c r="H621" t="s">
        <v>3779</v>
      </c>
      <c r="I621" s="4" t="s">
        <v>3780</v>
      </c>
      <c r="J621" s="4" t="s">
        <v>3781</v>
      </c>
      <c r="K621" t="s">
        <v>3968</v>
      </c>
      <c r="L621" t="s">
        <v>59</v>
      </c>
      <c r="M621" t="s">
        <v>3969</v>
      </c>
      <c r="N621" t="s">
        <v>60</v>
      </c>
      <c r="O621" t="s">
        <v>29</v>
      </c>
      <c r="P621" t="s">
        <v>54</v>
      </c>
      <c r="Q621" t="s">
        <v>31</v>
      </c>
      <c r="R621">
        <v>7</v>
      </c>
      <c r="S621" t="s">
        <v>3970</v>
      </c>
      <c r="T621" t="s">
        <v>2395</v>
      </c>
      <c r="U621" t="s">
        <v>3841</v>
      </c>
      <c r="V621" t="s">
        <v>32</v>
      </c>
      <c r="W621" t="s">
        <v>33</v>
      </c>
      <c r="X621" t="s">
        <v>33</v>
      </c>
      <c r="Y621" t="s">
        <v>33</v>
      </c>
      <c r="Z621" s="16" t="s">
        <v>34</v>
      </c>
      <c r="AA621">
        <v>-75.617241000000007</v>
      </c>
      <c r="AB621">
        <v>6.1404480000000001</v>
      </c>
      <c r="AC621" t="s">
        <v>135</v>
      </c>
      <c r="AD621" t="s">
        <v>136</v>
      </c>
    </row>
    <row r="622" spans="1:30" x14ac:dyDescent="0.25">
      <c r="A622" t="s">
        <v>3971</v>
      </c>
      <c r="B622" t="s">
        <v>25</v>
      </c>
      <c r="C622" t="s">
        <v>26</v>
      </c>
      <c r="D622" t="s">
        <v>25</v>
      </c>
      <c r="E622" t="s">
        <v>3972</v>
      </c>
      <c r="F622" t="s">
        <v>3973</v>
      </c>
      <c r="G622">
        <v>901335234</v>
      </c>
      <c r="H622" t="s">
        <v>3779</v>
      </c>
      <c r="I622" s="4" t="s">
        <v>3780</v>
      </c>
      <c r="J622" s="4" t="s">
        <v>3781</v>
      </c>
      <c r="K622" t="s">
        <v>3974</v>
      </c>
      <c r="L622" t="s">
        <v>59</v>
      </c>
      <c r="M622" t="s">
        <v>3975</v>
      </c>
      <c r="N622" t="s">
        <v>60</v>
      </c>
      <c r="O622" t="s">
        <v>29</v>
      </c>
      <c r="P622" t="s">
        <v>54</v>
      </c>
      <c r="Q622" t="s">
        <v>31</v>
      </c>
      <c r="R622">
        <v>7</v>
      </c>
      <c r="S622" t="s">
        <v>3976</v>
      </c>
      <c r="T622" t="s">
        <v>2395</v>
      </c>
      <c r="U622" t="s">
        <v>3841</v>
      </c>
      <c r="V622" t="s">
        <v>32</v>
      </c>
      <c r="W622" t="s">
        <v>33</v>
      </c>
      <c r="X622" t="s">
        <v>33</v>
      </c>
      <c r="Y622" t="s">
        <v>33</v>
      </c>
      <c r="Z622" s="16" t="s">
        <v>34</v>
      </c>
      <c r="AA622">
        <v>-75.617241000000007</v>
      </c>
      <c r="AB622">
        <v>6.1404480000000001</v>
      </c>
      <c r="AC622" t="s">
        <v>135</v>
      </c>
      <c r="AD622" t="s">
        <v>136</v>
      </c>
    </row>
    <row r="623" spans="1:30" x14ac:dyDescent="0.25">
      <c r="A623" t="s">
        <v>3977</v>
      </c>
      <c r="B623" t="s">
        <v>25</v>
      </c>
      <c r="C623" t="s">
        <v>26</v>
      </c>
      <c r="D623" t="s">
        <v>25</v>
      </c>
      <c r="E623" t="s">
        <v>3966</v>
      </c>
      <c r="F623" t="s">
        <v>3967</v>
      </c>
      <c r="G623">
        <v>901335234</v>
      </c>
      <c r="H623" t="s">
        <v>3779</v>
      </c>
      <c r="I623" s="4" t="s">
        <v>3780</v>
      </c>
      <c r="J623" s="4" t="s">
        <v>3781</v>
      </c>
      <c r="K623" t="s">
        <v>3978</v>
      </c>
      <c r="L623" t="s">
        <v>59</v>
      </c>
      <c r="M623" t="s">
        <v>3979</v>
      </c>
      <c r="N623" t="s">
        <v>60</v>
      </c>
      <c r="O623" t="s">
        <v>29</v>
      </c>
      <c r="P623" t="s">
        <v>54</v>
      </c>
      <c r="Q623" t="s">
        <v>31</v>
      </c>
      <c r="R623">
        <v>7</v>
      </c>
      <c r="S623" t="s">
        <v>3970</v>
      </c>
      <c r="T623" t="s">
        <v>2395</v>
      </c>
      <c r="U623" t="s">
        <v>3841</v>
      </c>
      <c r="V623" t="s">
        <v>32</v>
      </c>
      <c r="W623" t="s">
        <v>33</v>
      </c>
      <c r="X623" t="s">
        <v>33</v>
      </c>
      <c r="Y623" t="s">
        <v>33</v>
      </c>
      <c r="Z623" s="16" t="s">
        <v>34</v>
      </c>
      <c r="AA623">
        <v>-75.617241000000007</v>
      </c>
      <c r="AB623">
        <v>6.1404480000000001</v>
      </c>
      <c r="AC623" t="s">
        <v>135</v>
      </c>
      <c r="AD623" t="s">
        <v>136</v>
      </c>
    </row>
    <row r="624" spans="1:30" x14ac:dyDescent="0.25">
      <c r="A624" t="s">
        <v>3980</v>
      </c>
      <c r="B624" t="s">
        <v>25</v>
      </c>
      <c r="C624" t="s">
        <v>26</v>
      </c>
      <c r="D624" t="s">
        <v>25</v>
      </c>
      <c r="E624" t="s">
        <v>3981</v>
      </c>
      <c r="F624" t="s">
        <v>3982</v>
      </c>
      <c r="G624">
        <v>901335234</v>
      </c>
      <c r="H624" t="s">
        <v>3779</v>
      </c>
      <c r="I624" s="4" t="s">
        <v>3780</v>
      </c>
      <c r="J624" s="4" t="s">
        <v>3781</v>
      </c>
      <c r="K624" t="s">
        <v>3983</v>
      </c>
      <c r="L624" t="s">
        <v>59</v>
      </c>
      <c r="M624" t="s">
        <v>3984</v>
      </c>
      <c r="N624" t="s">
        <v>60</v>
      </c>
      <c r="O624" t="s">
        <v>29</v>
      </c>
      <c r="P624" t="s">
        <v>54</v>
      </c>
      <c r="Q624" t="s">
        <v>31</v>
      </c>
      <c r="R624">
        <v>7</v>
      </c>
      <c r="S624" t="s">
        <v>3985</v>
      </c>
      <c r="T624" t="s">
        <v>2395</v>
      </c>
      <c r="U624" t="s">
        <v>3841</v>
      </c>
      <c r="V624" t="s">
        <v>32</v>
      </c>
      <c r="W624" t="s">
        <v>33</v>
      </c>
      <c r="X624" t="s">
        <v>33</v>
      </c>
      <c r="Y624" t="s">
        <v>33</v>
      </c>
      <c r="Z624" s="16" t="s">
        <v>34</v>
      </c>
      <c r="AA624">
        <v>-75.617241000000007</v>
      </c>
      <c r="AB624">
        <v>6.1404480000000001</v>
      </c>
      <c r="AC624" t="s">
        <v>135</v>
      </c>
      <c r="AD624" t="s">
        <v>136</v>
      </c>
    </row>
    <row r="625" spans="1:30" x14ac:dyDescent="0.25">
      <c r="A625" t="s">
        <v>3986</v>
      </c>
      <c r="B625" t="s">
        <v>25</v>
      </c>
      <c r="C625" t="s">
        <v>26</v>
      </c>
      <c r="D625" t="s">
        <v>25</v>
      </c>
      <c r="E625" t="s">
        <v>3987</v>
      </c>
      <c r="F625" t="s">
        <v>3988</v>
      </c>
      <c r="G625">
        <v>901335234</v>
      </c>
      <c r="H625" t="s">
        <v>3779</v>
      </c>
      <c r="I625" s="4" t="s">
        <v>3780</v>
      </c>
      <c r="J625" s="4" t="s">
        <v>3781</v>
      </c>
      <c r="K625" t="s">
        <v>3989</v>
      </c>
      <c r="L625" t="s">
        <v>59</v>
      </c>
      <c r="M625" t="s">
        <v>3990</v>
      </c>
      <c r="N625" t="s">
        <v>60</v>
      </c>
      <c r="O625" t="s">
        <v>29</v>
      </c>
      <c r="P625" t="s">
        <v>54</v>
      </c>
      <c r="Q625" t="s">
        <v>31</v>
      </c>
      <c r="R625">
        <v>7</v>
      </c>
      <c r="S625" t="s">
        <v>3991</v>
      </c>
      <c r="T625" t="s">
        <v>2395</v>
      </c>
      <c r="U625" t="s">
        <v>3841</v>
      </c>
      <c r="V625" t="s">
        <v>32</v>
      </c>
      <c r="W625" t="s">
        <v>33</v>
      </c>
      <c r="X625" t="s">
        <v>33</v>
      </c>
      <c r="Y625" t="s">
        <v>33</v>
      </c>
      <c r="Z625" s="16" t="s">
        <v>34</v>
      </c>
      <c r="AA625">
        <v>-75.617241000000007</v>
      </c>
      <c r="AB625">
        <v>6.1404480000000001</v>
      </c>
      <c r="AC625" t="s">
        <v>135</v>
      </c>
      <c r="AD625" t="s">
        <v>136</v>
      </c>
    </row>
    <row r="626" spans="1:30" x14ac:dyDescent="0.25">
      <c r="A626" t="s">
        <v>3992</v>
      </c>
      <c r="B626" t="s">
        <v>25</v>
      </c>
      <c r="C626" t="s">
        <v>26</v>
      </c>
      <c r="D626" t="s">
        <v>25</v>
      </c>
      <c r="E626" t="s">
        <v>3987</v>
      </c>
      <c r="F626" t="s">
        <v>3988</v>
      </c>
      <c r="G626">
        <v>901335234</v>
      </c>
      <c r="H626" t="s">
        <v>3779</v>
      </c>
      <c r="I626" s="4" t="s">
        <v>3780</v>
      </c>
      <c r="J626" s="4" t="s">
        <v>3781</v>
      </c>
      <c r="K626" t="s">
        <v>3993</v>
      </c>
      <c r="L626" t="s">
        <v>59</v>
      </c>
      <c r="M626" t="s">
        <v>3994</v>
      </c>
      <c r="N626" t="s">
        <v>60</v>
      </c>
      <c r="O626" t="s">
        <v>29</v>
      </c>
      <c r="P626" t="s">
        <v>54</v>
      </c>
      <c r="Q626" t="s">
        <v>31</v>
      </c>
      <c r="R626">
        <v>7</v>
      </c>
      <c r="S626" t="s">
        <v>3991</v>
      </c>
      <c r="T626" t="s">
        <v>2395</v>
      </c>
      <c r="U626" t="s">
        <v>3841</v>
      </c>
      <c r="V626" t="s">
        <v>32</v>
      </c>
      <c r="W626" t="s">
        <v>33</v>
      </c>
      <c r="X626" t="s">
        <v>33</v>
      </c>
      <c r="Y626" t="s">
        <v>33</v>
      </c>
      <c r="Z626" s="16" t="s">
        <v>34</v>
      </c>
      <c r="AA626">
        <v>-75.617241000000007</v>
      </c>
      <c r="AB626">
        <v>6.1404480000000001</v>
      </c>
      <c r="AC626" t="s">
        <v>135</v>
      </c>
      <c r="AD626" t="s">
        <v>136</v>
      </c>
    </row>
    <row r="627" spans="1:30" x14ac:dyDescent="0.25">
      <c r="A627" t="s">
        <v>3995</v>
      </c>
      <c r="B627" t="s">
        <v>25</v>
      </c>
      <c r="C627" t="s">
        <v>26</v>
      </c>
      <c r="D627" t="s">
        <v>25</v>
      </c>
      <c r="E627" t="s">
        <v>3996</v>
      </c>
      <c r="F627" t="s">
        <v>3997</v>
      </c>
      <c r="G627">
        <v>901335234</v>
      </c>
      <c r="H627" t="s">
        <v>3779</v>
      </c>
      <c r="I627" s="4" t="s">
        <v>3780</v>
      </c>
      <c r="J627" s="4" t="s">
        <v>3781</v>
      </c>
      <c r="K627" t="s">
        <v>3998</v>
      </c>
      <c r="L627" t="s">
        <v>59</v>
      </c>
      <c r="M627" t="s">
        <v>3999</v>
      </c>
      <c r="N627" t="s">
        <v>60</v>
      </c>
      <c r="O627" t="s">
        <v>29</v>
      </c>
      <c r="P627" t="s">
        <v>54</v>
      </c>
      <c r="Q627" t="s">
        <v>31</v>
      </c>
      <c r="R627">
        <v>7</v>
      </c>
      <c r="S627" t="s">
        <v>4000</v>
      </c>
      <c r="T627" t="s">
        <v>2395</v>
      </c>
      <c r="U627" t="s">
        <v>3841</v>
      </c>
      <c r="V627" t="s">
        <v>32</v>
      </c>
      <c r="W627" t="s">
        <v>33</v>
      </c>
      <c r="X627" t="s">
        <v>33</v>
      </c>
      <c r="Y627" t="s">
        <v>33</v>
      </c>
      <c r="Z627" s="16" t="s">
        <v>34</v>
      </c>
      <c r="AA627">
        <v>-75.617241000000007</v>
      </c>
      <c r="AB627">
        <v>6.1404480000000001</v>
      </c>
      <c r="AC627" t="s">
        <v>135</v>
      </c>
      <c r="AD627" t="s">
        <v>136</v>
      </c>
    </row>
    <row r="628" spans="1:30" x14ac:dyDescent="0.25">
      <c r="A628" t="s">
        <v>4001</v>
      </c>
      <c r="B628" t="s">
        <v>25</v>
      </c>
      <c r="C628" t="s">
        <v>26</v>
      </c>
      <c r="D628" t="s">
        <v>25</v>
      </c>
      <c r="E628" t="s">
        <v>4002</v>
      </c>
      <c r="F628" t="s">
        <v>4003</v>
      </c>
      <c r="G628">
        <v>901335234</v>
      </c>
      <c r="H628" t="s">
        <v>3779</v>
      </c>
      <c r="I628" s="4" t="s">
        <v>3780</v>
      </c>
      <c r="J628" s="4" t="s">
        <v>3781</v>
      </c>
      <c r="K628" t="s">
        <v>4004</v>
      </c>
      <c r="L628" t="s">
        <v>59</v>
      </c>
      <c r="M628" t="s">
        <v>4005</v>
      </c>
      <c r="N628" t="s">
        <v>60</v>
      </c>
      <c r="O628" t="s">
        <v>29</v>
      </c>
      <c r="P628" t="s">
        <v>54</v>
      </c>
      <c r="Q628" t="s">
        <v>31</v>
      </c>
      <c r="R628">
        <v>7</v>
      </c>
      <c r="S628" t="s">
        <v>4006</v>
      </c>
      <c r="T628" t="s">
        <v>2395</v>
      </c>
      <c r="U628" t="s">
        <v>3841</v>
      </c>
      <c r="V628" t="s">
        <v>32</v>
      </c>
      <c r="W628" t="s">
        <v>33</v>
      </c>
      <c r="X628" t="s">
        <v>33</v>
      </c>
      <c r="Y628" t="s">
        <v>33</v>
      </c>
      <c r="Z628" s="16" t="s">
        <v>34</v>
      </c>
      <c r="AA628">
        <v>-75.617241000000007</v>
      </c>
      <c r="AB628">
        <v>6.1404480000000001</v>
      </c>
      <c r="AC628" t="s">
        <v>135</v>
      </c>
      <c r="AD628" t="s">
        <v>136</v>
      </c>
    </row>
    <row r="629" spans="1:30" x14ac:dyDescent="0.25">
      <c r="A629" t="s">
        <v>4007</v>
      </c>
      <c r="B629" t="s">
        <v>25</v>
      </c>
      <c r="C629" t="s">
        <v>26</v>
      </c>
      <c r="D629" t="s">
        <v>25</v>
      </c>
      <c r="E629" t="s">
        <v>4002</v>
      </c>
      <c r="F629" t="s">
        <v>4003</v>
      </c>
      <c r="G629">
        <v>901335234</v>
      </c>
      <c r="H629" t="s">
        <v>3779</v>
      </c>
      <c r="I629" s="4" t="s">
        <v>3780</v>
      </c>
      <c r="J629" s="4" t="s">
        <v>3781</v>
      </c>
      <c r="K629" t="s">
        <v>4008</v>
      </c>
      <c r="L629" t="s">
        <v>59</v>
      </c>
      <c r="M629" t="s">
        <v>4009</v>
      </c>
      <c r="N629" t="s">
        <v>60</v>
      </c>
      <c r="O629" t="s">
        <v>29</v>
      </c>
      <c r="P629" t="s">
        <v>54</v>
      </c>
      <c r="Q629" t="s">
        <v>31</v>
      </c>
      <c r="R629">
        <v>7</v>
      </c>
      <c r="S629" t="s">
        <v>4006</v>
      </c>
      <c r="T629" t="s">
        <v>2395</v>
      </c>
      <c r="U629" t="s">
        <v>3841</v>
      </c>
      <c r="V629" t="s">
        <v>32</v>
      </c>
      <c r="W629" t="s">
        <v>33</v>
      </c>
      <c r="X629" t="s">
        <v>33</v>
      </c>
      <c r="Y629" t="s">
        <v>33</v>
      </c>
      <c r="Z629" s="16" t="s">
        <v>34</v>
      </c>
      <c r="AA629">
        <v>-75.617241000000007</v>
      </c>
      <c r="AB629">
        <v>6.1404480000000001</v>
      </c>
      <c r="AC629" t="s">
        <v>135</v>
      </c>
      <c r="AD629" t="s">
        <v>136</v>
      </c>
    </row>
    <row r="630" spans="1:30" x14ac:dyDescent="0.25">
      <c r="A630" t="s">
        <v>4010</v>
      </c>
      <c r="B630" t="s">
        <v>25</v>
      </c>
      <c r="C630" t="s">
        <v>26</v>
      </c>
      <c r="D630" t="s">
        <v>25</v>
      </c>
      <c r="E630" t="s">
        <v>4002</v>
      </c>
      <c r="F630" t="s">
        <v>4003</v>
      </c>
      <c r="G630">
        <v>901335234</v>
      </c>
      <c r="H630" t="s">
        <v>3779</v>
      </c>
      <c r="I630" s="4" t="s">
        <v>3780</v>
      </c>
      <c r="J630" s="4" t="s">
        <v>3781</v>
      </c>
      <c r="K630" t="s">
        <v>4011</v>
      </c>
      <c r="L630" t="s">
        <v>59</v>
      </c>
      <c r="M630" t="s">
        <v>4012</v>
      </c>
      <c r="N630" t="s">
        <v>60</v>
      </c>
      <c r="O630" t="s">
        <v>29</v>
      </c>
      <c r="P630" t="s">
        <v>54</v>
      </c>
      <c r="Q630" t="s">
        <v>31</v>
      </c>
      <c r="R630">
        <v>7</v>
      </c>
      <c r="S630" t="s">
        <v>4006</v>
      </c>
      <c r="T630" t="s">
        <v>2395</v>
      </c>
      <c r="U630" t="s">
        <v>3841</v>
      </c>
      <c r="V630" t="s">
        <v>32</v>
      </c>
      <c r="W630" t="s">
        <v>33</v>
      </c>
      <c r="X630" t="s">
        <v>33</v>
      </c>
      <c r="Y630" t="s">
        <v>33</v>
      </c>
      <c r="Z630" s="16" t="s">
        <v>34</v>
      </c>
      <c r="AA630">
        <v>-75.617241000000007</v>
      </c>
      <c r="AB630">
        <v>6.1404480000000001</v>
      </c>
      <c r="AC630" t="s">
        <v>135</v>
      </c>
      <c r="AD630" t="s">
        <v>136</v>
      </c>
    </row>
    <row r="631" spans="1:30" x14ac:dyDescent="0.25">
      <c r="A631" t="s">
        <v>4013</v>
      </c>
      <c r="B631" t="s">
        <v>25</v>
      </c>
      <c r="C631" t="s">
        <v>26</v>
      </c>
      <c r="D631" t="s">
        <v>25</v>
      </c>
      <c r="E631" t="s">
        <v>4002</v>
      </c>
      <c r="F631" t="s">
        <v>4003</v>
      </c>
      <c r="G631">
        <v>901335234</v>
      </c>
      <c r="H631" t="s">
        <v>3779</v>
      </c>
      <c r="I631" s="4" t="s">
        <v>3780</v>
      </c>
      <c r="J631" s="4" t="s">
        <v>3781</v>
      </c>
      <c r="K631" t="s">
        <v>4014</v>
      </c>
      <c r="L631" t="s">
        <v>59</v>
      </c>
      <c r="M631" t="s">
        <v>4015</v>
      </c>
      <c r="N631" t="s">
        <v>60</v>
      </c>
      <c r="O631" t="s">
        <v>29</v>
      </c>
      <c r="P631" t="s">
        <v>54</v>
      </c>
      <c r="Q631" t="s">
        <v>31</v>
      </c>
      <c r="R631">
        <v>7</v>
      </c>
      <c r="S631" t="s">
        <v>4006</v>
      </c>
      <c r="T631" t="s">
        <v>2395</v>
      </c>
      <c r="U631" t="s">
        <v>3841</v>
      </c>
      <c r="V631" t="s">
        <v>32</v>
      </c>
      <c r="W631" t="s">
        <v>33</v>
      </c>
      <c r="X631" t="s">
        <v>33</v>
      </c>
      <c r="Y631" t="s">
        <v>33</v>
      </c>
      <c r="Z631" s="16" t="s">
        <v>34</v>
      </c>
      <c r="AA631">
        <v>-75.617241000000007</v>
      </c>
      <c r="AB631">
        <v>6.1404480000000001</v>
      </c>
      <c r="AC631" t="s">
        <v>135</v>
      </c>
      <c r="AD631" t="s">
        <v>136</v>
      </c>
    </row>
    <row r="632" spans="1:30" x14ac:dyDescent="0.25">
      <c r="A632" t="s">
        <v>4016</v>
      </c>
      <c r="B632" t="s">
        <v>25</v>
      </c>
      <c r="C632" t="s">
        <v>26</v>
      </c>
      <c r="D632" t="s">
        <v>25</v>
      </c>
      <c r="E632" t="s">
        <v>4017</v>
      </c>
      <c r="F632" t="s">
        <v>4018</v>
      </c>
      <c r="G632">
        <v>901335234</v>
      </c>
      <c r="H632" t="s">
        <v>3779</v>
      </c>
      <c r="I632" s="4" t="s">
        <v>3780</v>
      </c>
      <c r="J632" s="4" t="s">
        <v>3781</v>
      </c>
      <c r="K632" t="s">
        <v>4019</v>
      </c>
      <c r="L632" t="s">
        <v>59</v>
      </c>
      <c r="M632" t="s">
        <v>4020</v>
      </c>
      <c r="N632" t="s">
        <v>60</v>
      </c>
      <c r="O632" t="s">
        <v>29</v>
      </c>
      <c r="P632" t="s">
        <v>54</v>
      </c>
      <c r="Q632" t="s">
        <v>31</v>
      </c>
      <c r="R632">
        <v>7</v>
      </c>
      <c r="S632" t="s">
        <v>4021</v>
      </c>
      <c r="T632" t="s">
        <v>2395</v>
      </c>
      <c r="U632" t="s">
        <v>3841</v>
      </c>
      <c r="V632" t="s">
        <v>32</v>
      </c>
      <c r="W632" t="s">
        <v>33</v>
      </c>
      <c r="X632" t="s">
        <v>33</v>
      </c>
      <c r="Y632" t="s">
        <v>33</v>
      </c>
      <c r="Z632" s="16" t="s">
        <v>34</v>
      </c>
      <c r="AA632">
        <v>-75.617241000000007</v>
      </c>
      <c r="AB632">
        <v>6.1404480000000001</v>
      </c>
      <c r="AC632" t="s">
        <v>135</v>
      </c>
      <c r="AD632" t="s">
        <v>136</v>
      </c>
    </row>
    <row r="633" spans="1:30" x14ac:dyDescent="0.25">
      <c r="A633" t="s">
        <v>4022</v>
      </c>
      <c r="B633" t="s">
        <v>25</v>
      </c>
      <c r="C633" t="s">
        <v>26</v>
      </c>
      <c r="D633" t="s">
        <v>25</v>
      </c>
      <c r="E633" t="s">
        <v>4023</v>
      </c>
      <c r="F633" t="s">
        <v>4024</v>
      </c>
      <c r="G633">
        <v>901335234</v>
      </c>
      <c r="H633" t="s">
        <v>3779</v>
      </c>
      <c r="I633" s="4" t="s">
        <v>3780</v>
      </c>
      <c r="J633" s="4" t="s">
        <v>3781</v>
      </c>
      <c r="K633" t="s">
        <v>4025</v>
      </c>
      <c r="L633" t="s">
        <v>59</v>
      </c>
      <c r="M633" t="s">
        <v>4026</v>
      </c>
      <c r="N633" t="s">
        <v>60</v>
      </c>
      <c r="O633" t="s">
        <v>29</v>
      </c>
      <c r="P633" t="s">
        <v>54</v>
      </c>
      <c r="Q633" t="s">
        <v>31</v>
      </c>
      <c r="R633">
        <v>7</v>
      </c>
      <c r="S633" t="s">
        <v>4027</v>
      </c>
      <c r="T633" t="s">
        <v>2395</v>
      </c>
      <c r="U633" t="s">
        <v>3841</v>
      </c>
      <c r="V633" t="s">
        <v>32</v>
      </c>
      <c r="W633" t="s">
        <v>33</v>
      </c>
      <c r="X633" t="s">
        <v>33</v>
      </c>
      <c r="Y633" t="s">
        <v>33</v>
      </c>
      <c r="Z633" s="16" t="s">
        <v>34</v>
      </c>
      <c r="AA633">
        <v>-75.617241000000007</v>
      </c>
      <c r="AB633">
        <v>6.1404480000000001</v>
      </c>
      <c r="AC633" t="s">
        <v>135</v>
      </c>
      <c r="AD633" t="s">
        <v>136</v>
      </c>
    </row>
    <row r="634" spans="1:30" x14ac:dyDescent="0.25">
      <c r="A634" t="s">
        <v>4028</v>
      </c>
      <c r="B634" t="s">
        <v>25</v>
      </c>
      <c r="C634" t="s">
        <v>26</v>
      </c>
      <c r="D634" t="s">
        <v>25</v>
      </c>
      <c r="E634" t="s">
        <v>4029</v>
      </c>
      <c r="F634" t="s">
        <v>4030</v>
      </c>
      <c r="G634">
        <v>901335234</v>
      </c>
      <c r="H634" t="s">
        <v>3779</v>
      </c>
      <c r="I634" s="4" t="s">
        <v>3780</v>
      </c>
      <c r="J634" s="4" t="s">
        <v>3781</v>
      </c>
      <c r="K634" t="s">
        <v>4031</v>
      </c>
      <c r="L634" t="s">
        <v>59</v>
      </c>
      <c r="M634" t="s">
        <v>4032</v>
      </c>
      <c r="N634" t="s">
        <v>60</v>
      </c>
      <c r="O634" t="s">
        <v>29</v>
      </c>
      <c r="P634" t="s">
        <v>54</v>
      </c>
      <c r="Q634" t="s">
        <v>31</v>
      </c>
      <c r="R634">
        <v>7</v>
      </c>
      <c r="S634" t="s">
        <v>4033</v>
      </c>
      <c r="T634" t="s">
        <v>2395</v>
      </c>
      <c r="U634" t="s">
        <v>3841</v>
      </c>
      <c r="V634" t="s">
        <v>32</v>
      </c>
      <c r="W634" t="s">
        <v>33</v>
      </c>
      <c r="X634" t="s">
        <v>33</v>
      </c>
      <c r="Y634" t="s">
        <v>33</v>
      </c>
      <c r="Z634" s="16" t="s">
        <v>34</v>
      </c>
      <c r="AA634">
        <v>-75.617241000000007</v>
      </c>
      <c r="AB634">
        <v>6.1404480000000001</v>
      </c>
      <c r="AC634" t="s">
        <v>135</v>
      </c>
      <c r="AD634" t="s">
        <v>136</v>
      </c>
    </row>
    <row r="635" spans="1:30" x14ac:dyDescent="0.25">
      <c r="A635" t="s">
        <v>4034</v>
      </c>
      <c r="B635" t="s">
        <v>25</v>
      </c>
      <c r="C635" t="s">
        <v>26</v>
      </c>
      <c r="D635" t="s">
        <v>25</v>
      </c>
      <c r="E635" t="s">
        <v>4029</v>
      </c>
      <c r="F635" t="s">
        <v>4030</v>
      </c>
      <c r="G635">
        <v>901335234</v>
      </c>
      <c r="H635" t="s">
        <v>3779</v>
      </c>
      <c r="I635" s="4" t="s">
        <v>3780</v>
      </c>
      <c r="J635" s="4" t="s">
        <v>3781</v>
      </c>
      <c r="K635" t="s">
        <v>4035</v>
      </c>
      <c r="L635" t="s">
        <v>59</v>
      </c>
      <c r="M635" t="s">
        <v>4036</v>
      </c>
      <c r="N635" t="s">
        <v>60</v>
      </c>
      <c r="O635" t="s">
        <v>29</v>
      </c>
      <c r="P635" t="s">
        <v>54</v>
      </c>
      <c r="Q635" t="s">
        <v>31</v>
      </c>
      <c r="R635">
        <v>7</v>
      </c>
      <c r="S635" t="s">
        <v>4033</v>
      </c>
      <c r="T635" t="s">
        <v>2395</v>
      </c>
      <c r="U635" t="s">
        <v>3841</v>
      </c>
      <c r="V635" t="s">
        <v>32</v>
      </c>
      <c r="W635" t="s">
        <v>33</v>
      </c>
      <c r="X635" t="s">
        <v>33</v>
      </c>
      <c r="Y635" t="s">
        <v>33</v>
      </c>
      <c r="Z635" s="16" t="s">
        <v>34</v>
      </c>
      <c r="AA635">
        <v>-75.617241000000007</v>
      </c>
      <c r="AB635">
        <v>6.1404480000000001</v>
      </c>
      <c r="AC635" t="s">
        <v>135</v>
      </c>
      <c r="AD635" t="s">
        <v>136</v>
      </c>
    </row>
    <row r="636" spans="1:30" x14ac:dyDescent="0.25">
      <c r="A636" t="s">
        <v>4037</v>
      </c>
      <c r="B636" t="s">
        <v>25</v>
      </c>
      <c r="C636" t="s">
        <v>26</v>
      </c>
      <c r="D636" t="s">
        <v>25</v>
      </c>
      <c r="E636" t="s">
        <v>4029</v>
      </c>
      <c r="F636" t="s">
        <v>4030</v>
      </c>
      <c r="G636">
        <v>901335234</v>
      </c>
      <c r="H636" t="s">
        <v>3779</v>
      </c>
      <c r="I636" s="4" t="s">
        <v>3780</v>
      </c>
      <c r="J636" s="4" t="s">
        <v>3781</v>
      </c>
      <c r="K636" t="s">
        <v>4038</v>
      </c>
      <c r="L636" t="s">
        <v>59</v>
      </c>
      <c r="M636" t="s">
        <v>4039</v>
      </c>
      <c r="N636" t="s">
        <v>60</v>
      </c>
      <c r="O636" t="s">
        <v>29</v>
      </c>
      <c r="P636" t="s">
        <v>54</v>
      </c>
      <c r="Q636" t="s">
        <v>31</v>
      </c>
      <c r="R636">
        <v>7</v>
      </c>
      <c r="S636" t="s">
        <v>4033</v>
      </c>
      <c r="T636" t="s">
        <v>2395</v>
      </c>
      <c r="U636" t="s">
        <v>3841</v>
      </c>
      <c r="V636" t="s">
        <v>32</v>
      </c>
      <c r="W636" t="s">
        <v>33</v>
      </c>
      <c r="X636" t="s">
        <v>33</v>
      </c>
      <c r="Y636" t="s">
        <v>33</v>
      </c>
      <c r="Z636" s="16" t="s">
        <v>34</v>
      </c>
      <c r="AA636">
        <v>-75.617241000000007</v>
      </c>
      <c r="AB636">
        <v>6.1404480000000001</v>
      </c>
      <c r="AC636" t="s">
        <v>135</v>
      </c>
      <c r="AD636" t="s">
        <v>136</v>
      </c>
    </row>
    <row r="637" spans="1:30" x14ac:dyDescent="0.25">
      <c r="A637" t="s">
        <v>4040</v>
      </c>
      <c r="B637" t="s">
        <v>25</v>
      </c>
      <c r="C637" t="s">
        <v>26</v>
      </c>
      <c r="D637" t="s">
        <v>25</v>
      </c>
      <c r="E637" t="s">
        <v>4041</v>
      </c>
      <c r="F637" t="s">
        <v>4042</v>
      </c>
      <c r="G637">
        <v>901335234</v>
      </c>
      <c r="H637" t="s">
        <v>3779</v>
      </c>
      <c r="I637" s="4" t="s">
        <v>3780</v>
      </c>
      <c r="J637" s="4" t="s">
        <v>3781</v>
      </c>
      <c r="K637" t="s">
        <v>4043</v>
      </c>
      <c r="L637" t="s">
        <v>59</v>
      </c>
      <c r="M637" t="s">
        <v>4044</v>
      </c>
      <c r="N637" t="s">
        <v>60</v>
      </c>
      <c r="O637" t="s">
        <v>29</v>
      </c>
      <c r="P637" t="s">
        <v>54</v>
      </c>
      <c r="Q637" t="s">
        <v>31</v>
      </c>
      <c r="R637">
        <v>7</v>
      </c>
      <c r="S637" t="s">
        <v>4045</v>
      </c>
      <c r="T637" t="s">
        <v>2395</v>
      </c>
      <c r="U637" t="s">
        <v>3841</v>
      </c>
      <c r="V637" t="s">
        <v>32</v>
      </c>
      <c r="W637" t="s">
        <v>33</v>
      </c>
      <c r="X637" t="s">
        <v>33</v>
      </c>
      <c r="Y637" t="s">
        <v>33</v>
      </c>
      <c r="Z637" s="16" t="s">
        <v>34</v>
      </c>
      <c r="AA637">
        <v>-75.617241000000007</v>
      </c>
      <c r="AB637">
        <v>6.1404480000000001</v>
      </c>
      <c r="AC637" t="s">
        <v>135</v>
      </c>
      <c r="AD637" t="s">
        <v>136</v>
      </c>
    </row>
    <row r="638" spans="1:30" x14ac:dyDescent="0.25">
      <c r="A638" t="s">
        <v>4046</v>
      </c>
      <c r="B638" t="s">
        <v>25</v>
      </c>
      <c r="C638" t="s">
        <v>26</v>
      </c>
      <c r="D638" t="s">
        <v>25</v>
      </c>
      <c r="E638" t="s">
        <v>4041</v>
      </c>
      <c r="F638" t="s">
        <v>4042</v>
      </c>
      <c r="G638">
        <v>901335234</v>
      </c>
      <c r="H638" t="s">
        <v>3779</v>
      </c>
      <c r="I638" s="4" t="s">
        <v>3780</v>
      </c>
      <c r="J638" s="4" t="s">
        <v>3781</v>
      </c>
      <c r="K638" t="s">
        <v>4047</v>
      </c>
      <c r="L638" t="s">
        <v>59</v>
      </c>
      <c r="M638" t="s">
        <v>4048</v>
      </c>
      <c r="N638" t="s">
        <v>60</v>
      </c>
      <c r="O638" t="s">
        <v>29</v>
      </c>
      <c r="P638" t="s">
        <v>54</v>
      </c>
      <c r="Q638" t="s">
        <v>31</v>
      </c>
      <c r="R638">
        <v>7</v>
      </c>
      <c r="S638" t="s">
        <v>4045</v>
      </c>
      <c r="T638" t="s">
        <v>2395</v>
      </c>
      <c r="U638" t="s">
        <v>3841</v>
      </c>
      <c r="V638" t="s">
        <v>32</v>
      </c>
      <c r="W638" t="s">
        <v>33</v>
      </c>
      <c r="X638" t="s">
        <v>33</v>
      </c>
      <c r="Y638" t="s">
        <v>33</v>
      </c>
      <c r="Z638" s="16" t="s">
        <v>34</v>
      </c>
      <c r="AA638">
        <v>-75.617241000000007</v>
      </c>
      <c r="AB638">
        <v>6.1404480000000001</v>
      </c>
      <c r="AC638" t="s">
        <v>135</v>
      </c>
      <c r="AD638" t="s">
        <v>136</v>
      </c>
    </row>
    <row r="639" spans="1:30" x14ac:dyDescent="0.25">
      <c r="A639" t="s">
        <v>4049</v>
      </c>
      <c r="B639" t="s">
        <v>25</v>
      </c>
      <c r="C639" t="s">
        <v>26</v>
      </c>
      <c r="D639" t="s">
        <v>25</v>
      </c>
      <c r="E639" t="s">
        <v>4041</v>
      </c>
      <c r="F639" t="s">
        <v>4042</v>
      </c>
      <c r="G639">
        <v>901335234</v>
      </c>
      <c r="H639" t="s">
        <v>3779</v>
      </c>
      <c r="I639" s="4" t="s">
        <v>3780</v>
      </c>
      <c r="J639" s="4" t="s">
        <v>3781</v>
      </c>
      <c r="K639" t="s">
        <v>4050</v>
      </c>
      <c r="L639" t="s">
        <v>59</v>
      </c>
      <c r="M639" t="s">
        <v>4051</v>
      </c>
      <c r="N639" t="s">
        <v>60</v>
      </c>
      <c r="O639" t="s">
        <v>29</v>
      </c>
      <c r="P639" t="s">
        <v>54</v>
      </c>
      <c r="Q639" t="s">
        <v>31</v>
      </c>
      <c r="R639">
        <v>7</v>
      </c>
      <c r="S639" t="s">
        <v>4045</v>
      </c>
      <c r="T639" t="s">
        <v>2395</v>
      </c>
      <c r="U639" t="s">
        <v>3841</v>
      </c>
      <c r="V639" t="s">
        <v>32</v>
      </c>
      <c r="W639" t="s">
        <v>33</v>
      </c>
      <c r="X639" t="s">
        <v>33</v>
      </c>
      <c r="Y639" t="s">
        <v>33</v>
      </c>
      <c r="Z639" s="16" t="s">
        <v>34</v>
      </c>
      <c r="AA639">
        <v>-75.617241000000007</v>
      </c>
      <c r="AB639">
        <v>6.1404480000000001</v>
      </c>
      <c r="AC639" t="s">
        <v>135</v>
      </c>
      <c r="AD639" t="s">
        <v>136</v>
      </c>
    </row>
    <row r="640" spans="1:30" x14ac:dyDescent="0.25">
      <c r="A640" t="s">
        <v>4052</v>
      </c>
      <c r="B640" t="s">
        <v>25</v>
      </c>
      <c r="C640" t="s">
        <v>26</v>
      </c>
      <c r="D640" t="s">
        <v>25</v>
      </c>
      <c r="E640" t="s">
        <v>4041</v>
      </c>
      <c r="F640" t="s">
        <v>4042</v>
      </c>
      <c r="G640">
        <v>901335234</v>
      </c>
      <c r="H640" t="s">
        <v>3779</v>
      </c>
      <c r="I640" s="4" t="s">
        <v>3780</v>
      </c>
      <c r="J640" s="4" t="s">
        <v>3781</v>
      </c>
      <c r="K640" t="s">
        <v>4053</v>
      </c>
      <c r="L640" t="s">
        <v>59</v>
      </c>
      <c r="M640" t="s">
        <v>4054</v>
      </c>
      <c r="N640" t="s">
        <v>60</v>
      </c>
      <c r="O640" t="s">
        <v>29</v>
      </c>
      <c r="P640" t="s">
        <v>54</v>
      </c>
      <c r="Q640" t="s">
        <v>31</v>
      </c>
      <c r="R640">
        <v>7</v>
      </c>
      <c r="S640" t="s">
        <v>4045</v>
      </c>
      <c r="T640" t="s">
        <v>2395</v>
      </c>
      <c r="U640" t="s">
        <v>3841</v>
      </c>
      <c r="V640" t="s">
        <v>32</v>
      </c>
      <c r="W640" t="s">
        <v>33</v>
      </c>
      <c r="X640" t="s">
        <v>33</v>
      </c>
      <c r="Y640" t="s">
        <v>33</v>
      </c>
      <c r="Z640" s="16" t="s">
        <v>34</v>
      </c>
      <c r="AA640">
        <v>-75.617241000000007</v>
      </c>
      <c r="AB640">
        <v>6.1404480000000001</v>
      </c>
      <c r="AC640" t="s">
        <v>135</v>
      </c>
      <c r="AD640" t="s">
        <v>136</v>
      </c>
    </row>
    <row r="641" spans="1:30" x14ac:dyDescent="0.25">
      <c r="A641" t="s">
        <v>4055</v>
      </c>
      <c r="B641" t="s">
        <v>25</v>
      </c>
      <c r="C641" t="s">
        <v>26</v>
      </c>
      <c r="D641" t="s">
        <v>25</v>
      </c>
      <c r="E641" t="s">
        <v>4056</v>
      </c>
      <c r="F641" t="s">
        <v>4057</v>
      </c>
      <c r="G641">
        <v>901335234</v>
      </c>
      <c r="H641" t="s">
        <v>3779</v>
      </c>
      <c r="I641" s="4" t="s">
        <v>3780</v>
      </c>
      <c r="J641" s="4" t="s">
        <v>3781</v>
      </c>
      <c r="K641" t="s">
        <v>4058</v>
      </c>
      <c r="L641" t="s">
        <v>59</v>
      </c>
      <c r="M641" t="s">
        <v>4059</v>
      </c>
      <c r="N641" t="s">
        <v>60</v>
      </c>
      <c r="O641" t="s">
        <v>29</v>
      </c>
      <c r="P641" t="s">
        <v>54</v>
      </c>
      <c r="Q641" t="s">
        <v>31</v>
      </c>
      <c r="R641">
        <v>7</v>
      </c>
      <c r="S641" t="s">
        <v>4060</v>
      </c>
      <c r="T641" t="s">
        <v>2395</v>
      </c>
      <c r="U641" t="s">
        <v>3841</v>
      </c>
      <c r="V641" t="s">
        <v>32</v>
      </c>
      <c r="W641" t="s">
        <v>33</v>
      </c>
      <c r="X641" t="s">
        <v>33</v>
      </c>
      <c r="Y641" t="s">
        <v>33</v>
      </c>
      <c r="Z641" s="16" t="s">
        <v>34</v>
      </c>
      <c r="AA641">
        <v>-75.617241000000007</v>
      </c>
      <c r="AB641">
        <v>6.1404480000000001</v>
      </c>
      <c r="AC641" t="s">
        <v>135</v>
      </c>
      <c r="AD641" t="s">
        <v>136</v>
      </c>
    </row>
    <row r="642" spans="1:30" x14ac:dyDescent="0.25">
      <c r="A642" t="s">
        <v>4061</v>
      </c>
      <c r="B642" t="s">
        <v>25</v>
      </c>
      <c r="C642" t="s">
        <v>26</v>
      </c>
      <c r="D642" t="s">
        <v>25</v>
      </c>
      <c r="E642" t="s">
        <v>4062</v>
      </c>
      <c r="F642" t="s">
        <v>4063</v>
      </c>
      <c r="G642">
        <v>901335234</v>
      </c>
      <c r="H642" t="s">
        <v>3779</v>
      </c>
      <c r="I642" s="4" t="s">
        <v>3780</v>
      </c>
      <c r="J642" s="4" t="s">
        <v>3781</v>
      </c>
      <c r="K642" t="s">
        <v>4064</v>
      </c>
      <c r="L642" t="s">
        <v>59</v>
      </c>
      <c r="M642" t="s">
        <v>4065</v>
      </c>
      <c r="N642" t="s">
        <v>60</v>
      </c>
      <c r="O642" t="s">
        <v>29</v>
      </c>
      <c r="P642" t="s">
        <v>54</v>
      </c>
      <c r="Q642" t="s">
        <v>31</v>
      </c>
      <c r="R642">
        <v>7</v>
      </c>
      <c r="S642" t="s">
        <v>4066</v>
      </c>
      <c r="T642" t="s">
        <v>2395</v>
      </c>
      <c r="U642" t="s">
        <v>3841</v>
      </c>
      <c r="V642" t="s">
        <v>32</v>
      </c>
      <c r="W642" t="s">
        <v>33</v>
      </c>
      <c r="X642" t="s">
        <v>33</v>
      </c>
      <c r="Y642" t="s">
        <v>33</v>
      </c>
      <c r="Z642" s="16" t="s">
        <v>34</v>
      </c>
      <c r="AA642">
        <v>-75.617241000000007</v>
      </c>
      <c r="AB642">
        <v>6.1404480000000001</v>
      </c>
      <c r="AC642" t="s">
        <v>135</v>
      </c>
      <c r="AD642" t="s">
        <v>136</v>
      </c>
    </row>
    <row r="643" spans="1:30" x14ac:dyDescent="0.25">
      <c r="A643" t="s">
        <v>4067</v>
      </c>
      <c r="B643" t="s">
        <v>25</v>
      </c>
      <c r="C643" t="s">
        <v>26</v>
      </c>
      <c r="D643" t="s">
        <v>25</v>
      </c>
      <c r="E643" t="s">
        <v>4062</v>
      </c>
      <c r="F643" t="s">
        <v>4063</v>
      </c>
      <c r="G643">
        <v>901335234</v>
      </c>
      <c r="H643" t="s">
        <v>3779</v>
      </c>
      <c r="I643" s="4" t="s">
        <v>3780</v>
      </c>
      <c r="J643" s="4" t="s">
        <v>3781</v>
      </c>
      <c r="K643" t="s">
        <v>4068</v>
      </c>
      <c r="L643" t="s">
        <v>59</v>
      </c>
      <c r="M643" t="s">
        <v>4069</v>
      </c>
      <c r="N643" t="s">
        <v>60</v>
      </c>
      <c r="O643" t="s">
        <v>29</v>
      </c>
      <c r="P643" t="s">
        <v>54</v>
      </c>
      <c r="Q643" t="s">
        <v>31</v>
      </c>
      <c r="R643">
        <v>7</v>
      </c>
      <c r="S643" t="s">
        <v>4066</v>
      </c>
      <c r="T643" t="s">
        <v>2395</v>
      </c>
      <c r="U643" t="s">
        <v>3841</v>
      </c>
      <c r="V643" t="s">
        <v>32</v>
      </c>
      <c r="W643" t="s">
        <v>33</v>
      </c>
      <c r="X643" t="s">
        <v>33</v>
      </c>
      <c r="Y643" t="s">
        <v>33</v>
      </c>
      <c r="Z643" s="16" t="s">
        <v>34</v>
      </c>
      <c r="AA643">
        <v>-75.617241000000007</v>
      </c>
      <c r="AB643">
        <v>6.1404480000000001</v>
      </c>
      <c r="AC643" t="s">
        <v>135</v>
      </c>
      <c r="AD643" t="s">
        <v>136</v>
      </c>
    </row>
    <row r="644" spans="1:30" x14ac:dyDescent="0.25">
      <c r="A644" t="s">
        <v>4070</v>
      </c>
      <c r="B644" t="s">
        <v>25</v>
      </c>
      <c r="C644" t="s">
        <v>26</v>
      </c>
      <c r="D644" t="s">
        <v>25</v>
      </c>
      <c r="E644" t="s">
        <v>4062</v>
      </c>
      <c r="F644" t="s">
        <v>4063</v>
      </c>
      <c r="G644">
        <v>901335234</v>
      </c>
      <c r="H644" t="s">
        <v>3779</v>
      </c>
      <c r="I644" s="4" t="s">
        <v>3780</v>
      </c>
      <c r="J644" s="4" t="s">
        <v>3781</v>
      </c>
      <c r="K644" t="s">
        <v>4071</v>
      </c>
      <c r="L644" t="s">
        <v>59</v>
      </c>
      <c r="M644" t="s">
        <v>4072</v>
      </c>
      <c r="N644" t="s">
        <v>60</v>
      </c>
      <c r="O644" t="s">
        <v>29</v>
      </c>
      <c r="P644" t="s">
        <v>54</v>
      </c>
      <c r="Q644" t="s">
        <v>31</v>
      </c>
      <c r="R644">
        <v>7</v>
      </c>
      <c r="S644" t="s">
        <v>4066</v>
      </c>
      <c r="T644" t="s">
        <v>2395</v>
      </c>
      <c r="U644" t="s">
        <v>3841</v>
      </c>
      <c r="V644" t="s">
        <v>32</v>
      </c>
      <c r="W644" t="s">
        <v>33</v>
      </c>
      <c r="X644" t="s">
        <v>33</v>
      </c>
      <c r="Y644" t="s">
        <v>33</v>
      </c>
      <c r="Z644" s="16" t="s">
        <v>34</v>
      </c>
      <c r="AA644">
        <v>-75.617241000000007</v>
      </c>
      <c r="AB644">
        <v>6.1404480000000001</v>
      </c>
      <c r="AC644" t="s">
        <v>135</v>
      </c>
      <c r="AD644" t="s">
        <v>136</v>
      </c>
    </row>
    <row r="645" spans="1:30" x14ac:dyDescent="0.25">
      <c r="A645" t="s">
        <v>4073</v>
      </c>
      <c r="B645" t="s">
        <v>25</v>
      </c>
      <c r="C645" t="s">
        <v>26</v>
      </c>
      <c r="D645" t="s">
        <v>25</v>
      </c>
      <c r="E645" t="s">
        <v>4062</v>
      </c>
      <c r="F645" t="s">
        <v>4063</v>
      </c>
      <c r="G645">
        <v>901335234</v>
      </c>
      <c r="H645" t="s">
        <v>3779</v>
      </c>
      <c r="I645" s="4" t="s">
        <v>3780</v>
      </c>
      <c r="J645" s="4" t="s">
        <v>3781</v>
      </c>
      <c r="K645" t="s">
        <v>4074</v>
      </c>
      <c r="L645" t="s">
        <v>59</v>
      </c>
      <c r="M645" t="s">
        <v>4075</v>
      </c>
      <c r="N645" t="s">
        <v>60</v>
      </c>
      <c r="O645" t="s">
        <v>29</v>
      </c>
      <c r="P645" t="s">
        <v>54</v>
      </c>
      <c r="Q645" t="s">
        <v>31</v>
      </c>
      <c r="R645">
        <v>7</v>
      </c>
      <c r="S645" t="s">
        <v>4066</v>
      </c>
      <c r="T645" t="s">
        <v>2395</v>
      </c>
      <c r="U645" t="s">
        <v>3841</v>
      </c>
      <c r="V645" t="s">
        <v>32</v>
      </c>
      <c r="W645" t="s">
        <v>33</v>
      </c>
      <c r="X645" t="s">
        <v>33</v>
      </c>
      <c r="Y645" t="s">
        <v>33</v>
      </c>
      <c r="Z645" s="16" t="s">
        <v>34</v>
      </c>
      <c r="AA645">
        <v>-75.617241000000007</v>
      </c>
      <c r="AB645">
        <v>6.1404480000000001</v>
      </c>
      <c r="AC645" t="s">
        <v>135</v>
      </c>
      <c r="AD645" t="s">
        <v>136</v>
      </c>
    </row>
    <row r="646" spans="1:30" x14ac:dyDescent="0.25">
      <c r="A646" t="s">
        <v>4076</v>
      </c>
      <c r="B646" t="s">
        <v>25</v>
      </c>
      <c r="C646" t="s">
        <v>26</v>
      </c>
      <c r="D646" t="s">
        <v>25</v>
      </c>
      <c r="E646" t="s">
        <v>4077</v>
      </c>
      <c r="F646" t="s">
        <v>4078</v>
      </c>
      <c r="G646">
        <v>901335234</v>
      </c>
      <c r="H646" t="s">
        <v>3779</v>
      </c>
      <c r="I646" s="4" t="s">
        <v>3780</v>
      </c>
      <c r="J646" s="4" t="s">
        <v>3781</v>
      </c>
      <c r="K646" t="s">
        <v>4079</v>
      </c>
      <c r="L646" t="s">
        <v>59</v>
      </c>
      <c r="M646" t="s">
        <v>4080</v>
      </c>
      <c r="N646" t="s">
        <v>60</v>
      </c>
      <c r="O646" t="s">
        <v>29</v>
      </c>
      <c r="P646" t="s">
        <v>54</v>
      </c>
      <c r="Q646" t="s">
        <v>31</v>
      </c>
      <c r="R646">
        <v>7</v>
      </c>
      <c r="S646" t="s">
        <v>4081</v>
      </c>
      <c r="T646" t="s">
        <v>2395</v>
      </c>
      <c r="U646" t="s">
        <v>3841</v>
      </c>
      <c r="V646" t="s">
        <v>32</v>
      </c>
      <c r="W646" t="s">
        <v>33</v>
      </c>
      <c r="X646" t="s">
        <v>33</v>
      </c>
      <c r="Y646" t="s">
        <v>33</v>
      </c>
      <c r="Z646" s="16" t="s">
        <v>34</v>
      </c>
      <c r="AA646">
        <v>-75.617241000000007</v>
      </c>
      <c r="AB646">
        <v>6.1404480000000001</v>
      </c>
      <c r="AC646" t="s">
        <v>135</v>
      </c>
      <c r="AD646" t="s">
        <v>136</v>
      </c>
    </row>
    <row r="647" spans="1:30" x14ac:dyDescent="0.25">
      <c r="A647" t="s">
        <v>4082</v>
      </c>
      <c r="B647" t="s">
        <v>25</v>
      </c>
      <c r="C647" t="s">
        <v>26</v>
      </c>
      <c r="D647" t="s">
        <v>25</v>
      </c>
      <c r="E647" t="s">
        <v>4077</v>
      </c>
      <c r="F647" t="s">
        <v>4078</v>
      </c>
      <c r="G647">
        <v>901335234</v>
      </c>
      <c r="H647" t="s">
        <v>3779</v>
      </c>
      <c r="I647" s="4" t="s">
        <v>3780</v>
      </c>
      <c r="J647" s="4" t="s">
        <v>3781</v>
      </c>
      <c r="K647" t="s">
        <v>4083</v>
      </c>
      <c r="L647" t="s">
        <v>59</v>
      </c>
      <c r="M647" t="s">
        <v>4084</v>
      </c>
      <c r="N647" t="s">
        <v>60</v>
      </c>
      <c r="O647" t="s">
        <v>29</v>
      </c>
      <c r="P647" t="s">
        <v>54</v>
      </c>
      <c r="Q647" t="s">
        <v>31</v>
      </c>
      <c r="R647">
        <v>7</v>
      </c>
      <c r="S647" t="s">
        <v>4081</v>
      </c>
      <c r="T647" t="s">
        <v>2395</v>
      </c>
      <c r="U647" t="s">
        <v>3841</v>
      </c>
      <c r="V647" t="s">
        <v>32</v>
      </c>
      <c r="W647" t="s">
        <v>33</v>
      </c>
      <c r="X647" t="s">
        <v>33</v>
      </c>
      <c r="Y647" t="s">
        <v>33</v>
      </c>
      <c r="Z647" s="16" t="s">
        <v>34</v>
      </c>
      <c r="AA647">
        <v>-75.617241000000007</v>
      </c>
      <c r="AB647">
        <v>6.1404480000000001</v>
      </c>
      <c r="AC647" t="s">
        <v>135</v>
      </c>
      <c r="AD647" t="s">
        <v>136</v>
      </c>
    </row>
    <row r="648" spans="1:30" x14ac:dyDescent="0.25">
      <c r="A648" t="s">
        <v>4085</v>
      </c>
      <c r="B648" t="s">
        <v>25</v>
      </c>
      <c r="C648" t="s">
        <v>26</v>
      </c>
      <c r="D648" t="s">
        <v>25</v>
      </c>
      <c r="E648" t="s">
        <v>4086</v>
      </c>
      <c r="F648" t="s">
        <v>4087</v>
      </c>
      <c r="G648">
        <v>901335234</v>
      </c>
      <c r="H648" t="s">
        <v>3779</v>
      </c>
      <c r="I648" s="4" t="s">
        <v>3780</v>
      </c>
      <c r="J648" s="4" t="s">
        <v>3781</v>
      </c>
      <c r="K648" t="s">
        <v>4088</v>
      </c>
      <c r="L648" t="s">
        <v>59</v>
      </c>
      <c r="M648" t="s">
        <v>4089</v>
      </c>
      <c r="N648" t="s">
        <v>60</v>
      </c>
      <c r="O648" t="s">
        <v>29</v>
      </c>
      <c r="P648" t="s">
        <v>54</v>
      </c>
      <c r="Q648" t="s">
        <v>31</v>
      </c>
      <c r="R648">
        <v>7</v>
      </c>
      <c r="S648" t="s">
        <v>4090</v>
      </c>
      <c r="T648" t="s">
        <v>2395</v>
      </c>
      <c r="U648" t="s">
        <v>3841</v>
      </c>
      <c r="V648" t="s">
        <v>32</v>
      </c>
      <c r="W648" t="s">
        <v>33</v>
      </c>
      <c r="X648" t="s">
        <v>33</v>
      </c>
      <c r="Y648" t="s">
        <v>33</v>
      </c>
      <c r="Z648" s="16" t="s">
        <v>34</v>
      </c>
      <c r="AA648">
        <v>-75.617241000000007</v>
      </c>
      <c r="AB648">
        <v>6.1404480000000001</v>
      </c>
      <c r="AC648" t="s">
        <v>135</v>
      </c>
      <c r="AD648" t="s">
        <v>136</v>
      </c>
    </row>
    <row r="649" spans="1:30" x14ac:dyDescent="0.25">
      <c r="A649" t="s">
        <v>4091</v>
      </c>
      <c r="B649" t="s">
        <v>25</v>
      </c>
      <c r="C649" t="s">
        <v>26</v>
      </c>
      <c r="D649" t="s">
        <v>25</v>
      </c>
      <c r="E649" t="s">
        <v>4092</v>
      </c>
      <c r="F649" t="s">
        <v>4093</v>
      </c>
      <c r="G649">
        <v>901335234</v>
      </c>
      <c r="H649" t="s">
        <v>3779</v>
      </c>
      <c r="I649" s="4" t="s">
        <v>3780</v>
      </c>
      <c r="J649" s="4" t="s">
        <v>3781</v>
      </c>
      <c r="K649" t="s">
        <v>4094</v>
      </c>
      <c r="L649" t="s">
        <v>59</v>
      </c>
      <c r="M649" t="s">
        <v>4095</v>
      </c>
      <c r="N649" t="s">
        <v>60</v>
      </c>
      <c r="O649" t="s">
        <v>29</v>
      </c>
      <c r="P649" t="s">
        <v>54</v>
      </c>
      <c r="Q649" t="s">
        <v>31</v>
      </c>
      <c r="R649">
        <v>7</v>
      </c>
      <c r="S649" t="s">
        <v>2394</v>
      </c>
      <c r="T649" t="s">
        <v>2395</v>
      </c>
      <c r="U649" t="s">
        <v>3841</v>
      </c>
      <c r="V649" t="s">
        <v>32</v>
      </c>
      <c r="W649" t="s">
        <v>33</v>
      </c>
      <c r="X649" t="s">
        <v>33</v>
      </c>
      <c r="Y649" t="s">
        <v>33</v>
      </c>
      <c r="Z649" s="16" t="s">
        <v>34</v>
      </c>
      <c r="AA649">
        <v>-75.617241000000007</v>
      </c>
      <c r="AB649">
        <v>6.1404480000000001</v>
      </c>
      <c r="AC649" t="s">
        <v>135</v>
      </c>
      <c r="AD649" t="s">
        <v>136</v>
      </c>
    </row>
    <row r="650" spans="1:30" x14ac:dyDescent="0.25">
      <c r="A650" t="s">
        <v>4096</v>
      </c>
      <c r="B650" t="s">
        <v>25</v>
      </c>
      <c r="C650" t="s">
        <v>26</v>
      </c>
      <c r="D650" t="s">
        <v>25</v>
      </c>
      <c r="E650" t="s">
        <v>4097</v>
      </c>
      <c r="F650" t="s">
        <v>4098</v>
      </c>
      <c r="G650">
        <v>901335234</v>
      </c>
      <c r="H650" t="s">
        <v>3779</v>
      </c>
      <c r="I650" s="4" t="s">
        <v>3780</v>
      </c>
      <c r="J650" s="4" t="s">
        <v>3781</v>
      </c>
      <c r="K650" t="s">
        <v>4099</v>
      </c>
      <c r="L650" t="s">
        <v>59</v>
      </c>
      <c r="M650" t="s">
        <v>4100</v>
      </c>
      <c r="N650" t="s">
        <v>60</v>
      </c>
      <c r="O650" t="s">
        <v>29</v>
      </c>
      <c r="P650" t="s">
        <v>54</v>
      </c>
      <c r="Q650" t="s">
        <v>31</v>
      </c>
      <c r="R650">
        <v>7</v>
      </c>
      <c r="S650" t="s">
        <v>4101</v>
      </c>
      <c r="T650" t="s">
        <v>2395</v>
      </c>
      <c r="U650" t="s">
        <v>3841</v>
      </c>
      <c r="V650" t="s">
        <v>32</v>
      </c>
      <c r="W650" t="s">
        <v>33</v>
      </c>
      <c r="X650" t="s">
        <v>33</v>
      </c>
      <c r="Y650" t="s">
        <v>33</v>
      </c>
      <c r="Z650" s="16" t="s">
        <v>34</v>
      </c>
      <c r="AA650">
        <v>-75.617241000000007</v>
      </c>
      <c r="AB650">
        <v>6.1404480000000001</v>
      </c>
      <c r="AC650" t="s">
        <v>135</v>
      </c>
      <c r="AD650" t="s">
        <v>136</v>
      </c>
    </row>
    <row r="651" spans="1:30" x14ac:dyDescent="0.25">
      <c r="A651" t="s">
        <v>4102</v>
      </c>
      <c r="B651" t="s">
        <v>25</v>
      </c>
      <c r="C651" t="s">
        <v>26</v>
      </c>
      <c r="D651" t="s">
        <v>25</v>
      </c>
      <c r="E651" t="s">
        <v>4103</v>
      </c>
      <c r="F651" t="s">
        <v>4104</v>
      </c>
      <c r="G651">
        <v>901335234</v>
      </c>
      <c r="H651" t="s">
        <v>3779</v>
      </c>
      <c r="I651" s="4" t="s">
        <v>3780</v>
      </c>
      <c r="J651" s="4" t="s">
        <v>3781</v>
      </c>
      <c r="K651" t="s">
        <v>4105</v>
      </c>
      <c r="L651" t="s">
        <v>59</v>
      </c>
      <c r="M651" t="s">
        <v>4106</v>
      </c>
      <c r="N651" t="s">
        <v>60</v>
      </c>
      <c r="O651" t="s">
        <v>29</v>
      </c>
      <c r="P651" t="s">
        <v>54</v>
      </c>
      <c r="Q651" t="s">
        <v>31</v>
      </c>
      <c r="R651">
        <v>7</v>
      </c>
      <c r="S651" t="s">
        <v>4107</v>
      </c>
      <c r="T651" t="s">
        <v>2395</v>
      </c>
      <c r="U651" t="s">
        <v>3841</v>
      </c>
      <c r="V651" t="s">
        <v>32</v>
      </c>
      <c r="W651" t="s">
        <v>33</v>
      </c>
      <c r="X651" t="s">
        <v>33</v>
      </c>
      <c r="Y651" t="s">
        <v>33</v>
      </c>
      <c r="Z651" s="16" t="s">
        <v>34</v>
      </c>
      <c r="AA651">
        <v>-75.617241000000007</v>
      </c>
      <c r="AB651">
        <v>6.1404480000000001</v>
      </c>
      <c r="AC651" t="s">
        <v>135</v>
      </c>
      <c r="AD651" t="s">
        <v>136</v>
      </c>
    </row>
    <row r="652" spans="1:30" x14ac:dyDescent="0.25">
      <c r="A652" t="s">
        <v>4108</v>
      </c>
      <c r="B652" t="s">
        <v>25</v>
      </c>
      <c r="C652" t="s">
        <v>26</v>
      </c>
      <c r="D652" t="s">
        <v>25</v>
      </c>
      <c r="E652" t="s">
        <v>4109</v>
      </c>
      <c r="F652" t="s">
        <v>4110</v>
      </c>
      <c r="G652">
        <v>901335234</v>
      </c>
      <c r="H652" t="s">
        <v>3779</v>
      </c>
      <c r="I652" s="4" t="s">
        <v>3780</v>
      </c>
      <c r="J652" s="4" t="s">
        <v>3781</v>
      </c>
      <c r="K652" t="s">
        <v>4111</v>
      </c>
      <c r="L652" t="s">
        <v>59</v>
      </c>
      <c r="M652" t="s">
        <v>4112</v>
      </c>
      <c r="N652" t="s">
        <v>60</v>
      </c>
      <c r="O652" t="s">
        <v>29</v>
      </c>
      <c r="P652" t="s">
        <v>54</v>
      </c>
      <c r="Q652" t="s">
        <v>31</v>
      </c>
      <c r="R652">
        <v>7</v>
      </c>
      <c r="S652" t="s">
        <v>4113</v>
      </c>
      <c r="T652" t="s">
        <v>2395</v>
      </c>
      <c r="U652" t="s">
        <v>3841</v>
      </c>
      <c r="V652" t="s">
        <v>32</v>
      </c>
      <c r="W652" t="s">
        <v>33</v>
      </c>
      <c r="X652" t="s">
        <v>33</v>
      </c>
      <c r="Y652" t="s">
        <v>33</v>
      </c>
      <c r="Z652" s="16" t="s">
        <v>34</v>
      </c>
      <c r="AA652">
        <v>-75.617241000000007</v>
      </c>
      <c r="AB652">
        <v>6.1404480000000001</v>
      </c>
      <c r="AC652" t="s">
        <v>135</v>
      </c>
      <c r="AD652" t="s">
        <v>136</v>
      </c>
    </row>
    <row r="653" spans="1:30" x14ac:dyDescent="0.25">
      <c r="A653" t="s">
        <v>4114</v>
      </c>
      <c r="B653" t="s">
        <v>25</v>
      </c>
      <c r="C653" t="s">
        <v>26</v>
      </c>
      <c r="D653" t="s">
        <v>25</v>
      </c>
      <c r="E653" t="s">
        <v>4115</v>
      </c>
      <c r="F653" t="s">
        <v>4116</v>
      </c>
      <c r="G653">
        <v>901335234</v>
      </c>
      <c r="H653" t="s">
        <v>3779</v>
      </c>
      <c r="I653" s="4" t="s">
        <v>3780</v>
      </c>
      <c r="J653" s="4" t="s">
        <v>3781</v>
      </c>
      <c r="K653" t="s">
        <v>4117</v>
      </c>
      <c r="L653" t="s">
        <v>59</v>
      </c>
      <c r="M653" t="s">
        <v>4118</v>
      </c>
      <c r="N653" t="s">
        <v>60</v>
      </c>
      <c r="O653" t="s">
        <v>29</v>
      </c>
      <c r="P653" t="s">
        <v>54</v>
      </c>
      <c r="Q653" t="s">
        <v>31</v>
      </c>
      <c r="R653">
        <v>7</v>
      </c>
      <c r="S653" t="s">
        <v>4119</v>
      </c>
      <c r="T653" t="s">
        <v>2395</v>
      </c>
      <c r="U653" t="s">
        <v>3841</v>
      </c>
      <c r="V653" t="s">
        <v>32</v>
      </c>
      <c r="W653" t="s">
        <v>33</v>
      </c>
      <c r="X653" t="s">
        <v>33</v>
      </c>
      <c r="Y653" t="s">
        <v>33</v>
      </c>
      <c r="Z653" s="16" t="s">
        <v>34</v>
      </c>
      <c r="AA653">
        <v>-75.617241000000007</v>
      </c>
      <c r="AB653">
        <v>6.1404480000000001</v>
      </c>
      <c r="AC653" t="s">
        <v>135</v>
      </c>
      <c r="AD653" t="s">
        <v>136</v>
      </c>
    </row>
    <row r="654" spans="1:30" x14ac:dyDescent="0.25">
      <c r="A654" t="s">
        <v>4120</v>
      </c>
      <c r="B654" t="s">
        <v>25</v>
      </c>
      <c r="C654" t="s">
        <v>26</v>
      </c>
      <c r="D654" t="s">
        <v>25</v>
      </c>
      <c r="E654" t="s">
        <v>4121</v>
      </c>
      <c r="F654" t="s">
        <v>4122</v>
      </c>
      <c r="G654">
        <v>901335234</v>
      </c>
      <c r="H654" t="s">
        <v>3779</v>
      </c>
      <c r="I654" s="4" t="s">
        <v>3780</v>
      </c>
      <c r="J654" s="4" t="s">
        <v>3781</v>
      </c>
      <c r="K654" t="s">
        <v>4123</v>
      </c>
      <c r="L654" t="s">
        <v>59</v>
      </c>
      <c r="M654" t="s">
        <v>4124</v>
      </c>
      <c r="N654" t="s">
        <v>60</v>
      </c>
      <c r="O654" t="s">
        <v>29</v>
      </c>
      <c r="P654" t="s">
        <v>54</v>
      </c>
      <c r="Q654" t="s">
        <v>31</v>
      </c>
      <c r="R654">
        <v>7</v>
      </c>
      <c r="S654" t="s">
        <v>4125</v>
      </c>
      <c r="T654" t="s">
        <v>2395</v>
      </c>
      <c r="U654" t="s">
        <v>3841</v>
      </c>
      <c r="V654" t="s">
        <v>32</v>
      </c>
      <c r="W654" t="s">
        <v>33</v>
      </c>
      <c r="X654" t="s">
        <v>33</v>
      </c>
      <c r="Y654" t="s">
        <v>33</v>
      </c>
      <c r="Z654" s="16" t="s">
        <v>34</v>
      </c>
      <c r="AA654">
        <v>-75.617241000000007</v>
      </c>
      <c r="AB654">
        <v>6.1404480000000001</v>
      </c>
      <c r="AC654" t="s">
        <v>135</v>
      </c>
      <c r="AD654" t="s">
        <v>136</v>
      </c>
    </row>
    <row r="655" spans="1:30" x14ac:dyDescent="0.25">
      <c r="A655" t="s">
        <v>4126</v>
      </c>
      <c r="B655" t="s">
        <v>25</v>
      </c>
      <c r="C655" t="s">
        <v>26</v>
      </c>
      <c r="D655" t="s">
        <v>25</v>
      </c>
      <c r="E655" t="s">
        <v>4127</v>
      </c>
      <c r="F655" t="s">
        <v>4128</v>
      </c>
      <c r="G655">
        <v>901335234</v>
      </c>
      <c r="H655" t="s">
        <v>3779</v>
      </c>
      <c r="I655" s="4" t="s">
        <v>3780</v>
      </c>
      <c r="J655" s="4" t="s">
        <v>3781</v>
      </c>
      <c r="K655" t="s">
        <v>4129</v>
      </c>
      <c r="L655" t="s">
        <v>59</v>
      </c>
      <c r="M655" t="s">
        <v>4130</v>
      </c>
      <c r="N655" t="s">
        <v>60</v>
      </c>
      <c r="O655" t="s">
        <v>29</v>
      </c>
      <c r="P655" t="s">
        <v>54</v>
      </c>
      <c r="Q655" t="s">
        <v>31</v>
      </c>
      <c r="R655">
        <v>7</v>
      </c>
      <c r="S655" t="s">
        <v>4131</v>
      </c>
      <c r="T655" t="s">
        <v>2395</v>
      </c>
      <c r="U655" t="s">
        <v>3841</v>
      </c>
      <c r="V655" t="s">
        <v>32</v>
      </c>
      <c r="W655" t="s">
        <v>33</v>
      </c>
      <c r="X655" t="s">
        <v>33</v>
      </c>
      <c r="Y655" t="s">
        <v>33</v>
      </c>
      <c r="Z655" s="16" t="s">
        <v>34</v>
      </c>
      <c r="AA655">
        <v>-75.617241000000007</v>
      </c>
      <c r="AB655">
        <v>6.1404480000000001</v>
      </c>
      <c r="AC655" t="s">
        <v>135</v>
      </c>
      <c r="AD655" t="s">
        <v>136</v>
      </c>
    </row>
    <row r="656" spans="1:30" x14ac:dyDescent="0.25">
      <c r="A656" t="s">
        <v>4132</v>
      </c>
      <c r="B656" t="s">
        <v>25</v>
      </c>
      <c r="C656" t="s">
        <v>26</v>
      </c>
      <c r="D656" t="s">
        <v>25</v>
      </c>
      <c r="E656" t="s">
        <v>4133</v>
      </c>
      <c r="F656" t="s">
        <v>4134</v>
      </c>
      <c r="G656">
        <v>901335234</v>
      </c>
      <c r="H656" t="s">
        <v>3779</v>
      </c>
      <c r="I656" s="4" t="s">
        <v>3780</v>
      </c>
      <c r="J656" s="4" t="s">
        <v>3781</v>
      </c>
      <c r="K656" t="s">
        <v>4135</v>
      </c>
      <c r="L656" t="s">
        <v>59</v>
      </c>
      <c r="M656" t="s">
        <v>4136</v>
      </c>
      <c r="N656" t="s">
        <v>60</v>
      </c>
      <c r="O656" t="s">
        <v>29</v>
      </c>
      <c r="P656" t="s">
        <v>54</v>
      </c>
      <c r="Q656" t="s">
        <v>31</v>
      </c>
      <c r="R656">
        <v>7</v>
      </c>
      <c r="S656" t="s">
        <v>4137</v>
      </c>
      <c r="T656" t="s">
        <v>3405</v>
      </c>
      <c r="U656" t="s">
        <v>3406</v>
      </c>
      <c r="V656" t="s">
        <v>32</v>
      </c>
      <c r="W656" t="s">
        <v>33</v>
      </c>
      <c r="X656" t="s">
        <v>33</v>
      </c>
      <c r="Y656" t="s">
        <v>33</v>
      </c>
      <c r="Z656" s="16" t="s">
        <v>34</v>
      </c>
      <c r="AA656">
        <v>-75.617241000000007</v>
      </c>
      <c r="AB656">
        <v>6.1404480000000001</v>
      </c>
      <c r="AC656" t="s">
        <v>135</v>
      </c>
      <c r="AD656" t="s">
        <v>136</v>
      </c>
    </row>
    <row r="657" spans="1:30" x14ac:dyDescent="0.25">
      <c r="A657" t="s">
        <v>4138</v>
      </c>
      <c r="B657" t="s">
        <v>25</v>
      </c>
      <c r="C657" t="s">
        <v>26</v>
      </c>
      <c r="D657" t="s">
        <v>25</v>
      </c>
      <c r="E657" t="s">
        <v>4133</v>
      </c>
      <c r="F657" t="s">
        <v>4134</v>
      </c>
      <c r="G657">
        <v>901335234</v>
      </c>
      <c r="H657" t="s">
        <v>3779</v>
      </c>
      <c r="I657" s="4" t="s">
        <v>3780</v>
      </c>
      <c r="J657" s="4" t="s">
        <v>3781</v>
      </c>
      <c r="K657" t="s">
        <v>4139</v>
      </c>
      <c r="L657" t="s">
        <v>59</v>
      </c>
      <c r="M657" t="s">
        <v>4140</v>
      </c>
      <c r="N657" t="s">
        <v>60</v>
      </c>
      <c r="O657" t="s">
        <v>29</v>
      </c>
      <c r="P657" t="s">
        <v>54</v>
      </c>
      <c r="Q657" t="s">
        <v>31</v>
      </c>
      <c r="R657">
        <v>7</v>
      </c>
      <c r="S657" t="s">
        <v>4137</v>
      </c>
      <c r="T657" t="s">
        <v>3405</v>
      </c>
      <c r="U657" t="s">
        <v>3406</v>
      </c>
      <c r="V657" t="s">
        <v>32</v>
      </c>
      <c r="W657" t="s">
        <v>33</v>
      </c>
      <c r="X657" t="s">
        <v>33</v>
      </c>
      <c r="Y657" t="s">
        <v>33</v>
      </c>
      <c r="Z657" s="16" t="s">
        <v>34</v>
      </c>
      <c r="AA657">
        <v>-75.617241000000007</v>
      </c>
      <c r="AB657">
        <v>6.1404480000000001</v>
      </c>
      <c r="AC657" t="s">
        <v>135</v>
      </c>
      <c r="AD657" t="s">
        <v>136</v>
      </c>
    </row>
    <row r="658" spans="1:30" x14ac:dyDescent="0.25">
      <c r="A658" t="s">
        <v>4141</v>
      </c>
      <c r="B658" t="s">
        <v>25</v>
      </c>
      <c r="C658" t="s">
        <v>26</v>
      </c>
      <c r="D658" t="s">
        <v>25</v>
      </c>
      <c r="E658" t="s">
        <v>4142</v>
      </c>
      <c r="F658" t="s">
        <v>4143</v>
      </c>
      <c r="G658">
        <v>901335234</v>
      </c>
      <c r="H658" t="s">
        <v>3779</v>
      </c>
      <c r="I658" s="4" t="s">
        <v>3780</v>
      </c>
      <c r="J658" s="4" t="s">
        <v>3781</v>
      </c>
      <c r="K658" t="s">
        <v>4144</v>
      </c>
      <c r="L658" t="s">
        <v>59</v>
      </c>
      <c r="M658" t="s">
        <v>4145</v>
      </c>
      <c r="N658" t="s">
        <v>60</v>
      </c>
      <c r="O658" t="s">
        <v>29</v>
      </c>
      <c r="P658" t="s">
        <v>54</v>
      </c>
      <c r="Q658" t="s">
        <v>31</v>
      </c>
      <c r="R658">
        <v>7</v>
      </c>
      <c r="S658" t="s">
        <v>4146</v>
      </c>
      <c r="T658" t="s">
        <v>3405</v>
      </c>
      <c r="U658" t="s">
        <v>3406</v>
      </c>
      <c r="V658" t="s">
        <v>32</v>
      </c>
      <c r="W658" t="s">
        <v>33</v>
      </c>
      <c r="X658" t="s">
        <v>33</v>
      </c>
      <c r="Y658" t="s">
        <v>33</v>
      </c>
      <c r="Z658" s="16" t="s">
        <v>34</v>
      </c>
      <c r="AA658">
        <v>-75.617241000000007</v>
      </c>
      <c r="AB658">
        <v>6.1404480000000001</v>
      </c>
      <c r="AC658" t="s">
        <v>135</v>
      </c>
      <c r="AD658" t="s">
        <v>136</v>
      </c>
    </row>
    <row r="659" spans="1:30" x14ac:dyDescent="0.25">
      <c r="A659" t="s">
        <v>4147</v>
      </c>
      <c r="B659" t="s">
        <v>25</v>
      </c>
      <c r="C659" t="s">
        <v>26</v>
      </c>
      <c r="D659" t="s">
        <v>25</v>
      </c>
      <c r="E659" t="s">
        <v>4148</v>
      </c>
      <c r="F659" t="s">
        <v>4149</v>
      </c>
      <c r="G659">
        <v>901335234</v>
      </c>
      <c r="H659" t="s">
        <v>3779</v>
      </c>
      <c r="I659" s="4" t="s">
        <v>3780</v>
      </c>
      <c r="J659" s="4" t="s">
        <v>3781</v>
      </c>
      <c r="K659" t="s">
        <v>4150</v>
      </c>
      <c r="L659" t="s">
        <v>59</v>
      </c>
      <c r="M659" t="s">
        <v>4151</v>
      </c>
      <c r="N659" t="s">
        <v>60</v>
      </c>
      <c r="O659" t="s">
        <v>29</v>
      </c>
      <c r="P659" t="s">
        <v>54</v>
      </c>
      <c r="Q659" t="s">
        <v>31</v>
      </c>
      <c r="R659">
        <v>7</v>
      </c>
      <c r="S659" t="s">
        <v>4152</v>
      </c>
      <c r="T659" t="s">
        <v>3405</v>
      </c>
      <c r="U659" t="s">
        <v>3406</v>
      </c>
      <c r="V659" t="s">
        <v>32</v>
      </c>
      <c r="W659" t="s">
        <v>33</v>
      </c>
      <c r="X659" t="s">
        <v>33</v>
      </c>
      <c r="Y659" t="s">
        <v>33</v>
      </c>
      <c r="Z659" s="16" t="s">
        <v>34</v>
      </c>
      <c r="AA659">
        <v>-75.617241000000007</v>
      </c>
      <c r="AB659">
        <v>6.1404480000000001</v>
      </c>
      <c r="AC659" t="s">
        <v>135</v>
      </c>
      <c r="AD659" t="s">
        <v>136</v>
      </c>
    </row>
    <row r="660" spans="1:30" x14ac:dyDescent="0.25">
      <c r="A660" t="s">
        <v>4153</v>
      </c>
      <c r="B660" t="s">
        <v>25</v>
      </c>
      <c r="C660" t="s">
        <v>26</v>
      </c>
      <c r="D660" t="s">
        <v>25</v>
      </c>
      <c r="E660" t="s">
        <v>4154</v>
      </c>
      <c r="F660" t="s">
        <v>4155</v>
      </c>
      <c r="G660">
        <v>901335234</v>
      </c>
      <c r="H660" t="s">
        <v>3779</v>
      </c>
      <c r="I660" s="4" t="s">
        <v>3780</v>
      </c>
      <c r="J660" s="4" t="s">
        <v>3781</v>
      </c>
      <c r="K660" t="s">
        <v>4156</v>
      </c>
      <c r="L660" t="s">
        <v>59</v>
      </c>
      <c r="M660" t="s">
        <v>4157</v>
      </c>
      <c r="N660" t="s">
        <v>60</v>
      </c>
      <c r="O660" t="s">
        <v>29</v>
      </c>
      <c r="P660" t="s">
        <v>54</v>
      </c>
      <c r="Q660" t="s">
        <v>31</v>
      </c>
      <c r="R660">
        <v>7</v>
      </c>
      <c r="S660" t="s">
        <v>4158</v>
      </c>
      <c r="T660" t="s">
        <v>3405</v>
      </c>
      <c r="U660" t="s">
        <v>3406</v>
      </c>
      <c r="V660" t="s">
        <v>32</v>
      </c>
      <c r="W660" t="s">
        <v>33</v>
      </c>
      <c r="X660" t="s">
        <v>33</v>
      </c>
      <c r="Y660" t="s">
        <v>33</v>
      </c>
      <c r="Z660" s="16" t="s">
        <v>34</v>
      </c>
      <c r="AA660">
        <v>-75.617241000000007</v>
      </c>
      <c r="AB660">
        <v>6.1404480000000001</v>
      </c>
      <c r="AC660" t="s">
        <v>135</v>
      </c>
      <c r="AD660" t="s">
        <v>136</v>
      </c>
    </row>
    <row r="661" spans="1:30" x14ac:dyDescent="0.25">
      <c r="A661" t="s">
        <v>4159</v>
      </c>
      <c r="B661" t="s">
        <v>25</v>
      </c>
      <c r="C661" t="s">
        <v>26</v>
      </c>
      <c r="D661" t="s">
        <v>25</v>
      </c>
      <c r="E661" t="s">
        <v>4160</v>
      </c>
      <c r="F661" t="s">
        <v>4161</v>
      </c>
      <c r="G661">
        <v>901335234</v>
      </c>
      <c r="H661" t="s">
        <v>3779</v>
      </c>
      <c r="I661" s="4" t="s">
        <v>3780</v>
      </c>
      <c r="J661" s="4" t="s">
        <v>3781</v>
      </c>
      <c r="K661" t="s">
        <v>4162</v>
      </c>
      <c r="L661" t="s">
        <v>59</v>
      </c>
      <c r="M661" t="s">
        <v>4163</v>
      </c>
      <c r="N661" t="s">
        <v>60</v>
      </c>
      <c r="O661" t="s">
        <v>29</v>
      </c>
      <c r="P661" t="s">
        <v>54</v>
      </c>
      <c r="Q661" t="s">
        <v>31</v>
      </c>
      <c r="R661">
        <v>7</v>
      </c>
      <c r="S661" t="s">
        <v>4164</v>
      </c>
      <c r="T661" t="s">
        <v>3405</v>
      </c>
      <c r="U661" t="s">
        <v>3406</v>
      </c>
      <c r="V661" t="s">
        <v>32</v>
      </c>
      <c r="W661" t="s">
        <v>33</v>
      </c>
      <c r="X661" t="s">
        <v>33</v>
      </c>
      <c r="Y661" t="s">
        <v>33</v>
      </c>
      <c r="Z661" s="16" t="s">
        <v>34</v>
      </c>
      <c r="AA661">
        <v>-75.617241000000007</v>
      </c>
      <c r="AB661">
        <v>6.1404480000000001</v>
      </c>
      <c r="AC661" t="s">
        <v>135</v>
      </c>
      <c r="AD661" t="s">
        <v>136</v>
      </c>
    </row>
    <row r="662" spans="1:30" x14ac:dyDescent="0.25">
      <c r="A662" t="s">
        <v>4165</v>
      </c>
      <c r="B662" t="s">
        <v>25</v>
      </c>
      <c r="C662" t="s">
        <v>26</v>
      </c>
      <c r="D662" t="s">
        <v>25</v>
      </c>
      <c r="E662" t="s">
        <v>4160</v>
      </c>
      <c r="F662" t="s">
        <v>4161</v>
      </c>
      <c r="G662">
        <v>901335234</v>
      </c>
      <c r="H662" t="s">
        <v>3779</v>
      </c>
      <c r="I662" s="4" t="s">
        <v>3780</v>
      </c>
      <c r="J662" s="4" t="s">
        <v>3781</v>
      </c>
      <c r="K662" t="s">
        <v>4166</v>
      </c>
      <c r="L662" t="s">
        <v>59</v>
      </c>
      <c r="M662" t="s">
        <v>4167</v>
      </c>
      <c r="N662" t="s">
        <v>60</v>
      </c>
      <c r="O662" t="s">
        <v>29</v>
      </c>
      <c r="P662" t="s">
        <v>54</v>
      </c>
      <c r="Q662" t="s">
        <v>31</v>
      </c>
      <c r="R662">
        <v>7</v>
      </c>
      <c r="S662" t="s">
        <v>4164</v>
      </c>
      <c r="T662" t="s">
        <v>3405</v>
      </c>
      <c r="U662" t="s">
        <v>3406</v>
      </c>
      <c r="V662" t="s">
        <v>32</v>
      </c>
      <c r="W662" t="s">
        <v>33</v>
      </c>
      <c r="X662" t="s">
        <v>33</v>
      </c>
      <c r="Y662" t="s">
        <v>33</v>
      </c>
      <c r="Z662" s="16" t="s">
        <v>34</v>
      </c>
      <c r="AA662">
        <v>-75.617241000000007</v>
      </c>
      <c r="AB662">
        <v>6.1404480000000001</v>
      </c>
      <c r="AC662" t="s">
        <v>135</v>
      </c>
      <c r="AD662" t="s">
        <v>136</v>
      </c>
    </row>
    <row r="663" spans="1:30" x14ac:dyDescent="0.25">
      <c r="A663" t="s">
        <v>4168</v>
      </c>
      <c r="B663" t="s">
        <v>25</v>
      </c>
      <c r="C663" t="s">
        <v>26</v>
      </c>
      <c r="D663" t="s">
        <v>25</v>
      </c>
      <c r="E663" t="s">
        <v>4160</v>
      </c>
      <c r="F663" t="s">
        <v>4161</v>
      </c>
      <c r="G663">
        <v>901335234</v>
      </c>
      <c r="H663" t="s">
        <v>3779</v>
      </c>
      <c r="I663" s="4" t="s">
        <v>3780</v>
      </c>
      <c r="J663" s="4" t="s">
        <v>3781</v>
      </c>
      <c r="K663" t="s">
        <v>4169</v>
      </c>
      <c r="L663" t="s">
        <v>59</v>
      </c>
      <c r="M663" t="s">
        <v>4170</v>
      </c>
      <c r="N663" t="s">
        <v>60</v>
      </c>
      <c r="O663" t="s">
        <v>29</v>
      </c>
      <c r="P663" t="s">
        <v>54</v>
      </c>
      <c r="Q663" t="s">
        <v>31</v>
      </c>
      <c r="R663">
        <v>7</v>
      </c>
      <c r="S663" t="s">
        <v>4164</v>
      </c>
      <c r="T663" t="s">
        <v>3405</v>
      </c>
      <c r="U663" t="s">
        <v>3406</v>
      </c>
      <c r="V663" t="s">
        <v>32</v>
      </c>
      <c r="W663" t="s">
        <v>33</v>
      </c>
      <c r="X663" t="s">
        <v>33</v>
      </c>
      <c r="Y663" t="s">
        <v>33</v>
      </c>
      <c r="Z663" s="16" t="s">
        <v>34</v>
      </c>
      <c r="AA663">
        <v>-75.61732069</v>
      </c>
      <c r="AB663">
        <v>6.1404824400000004</v>
      </c>
      <c r="AC663" t="s">
        <v>135</v>
      </c>
      <c r="AD663" t="s">
        <v>136</v>
      </c>
    </row>
    <row r="664" spans="1:30" x14ac:dyDescent="0.25">
      <c r="A664" t="s">
        <v>4171</v>
      </c>
      <c r="B664" t="s">
        <v>25</v>
      </c>
      <c r="C664" t="s">
        <v>26</v>
      </c>
      <c r="D664" t="s">
        <v>25</v>
      </c>
      <c r="E664" t="s">
        <v>4160</v>
      </c>
      <c r="F664" t="s">
        <v>4161</v>
      </c>
      <c r="G664">
        <v>901335234</v>
      </c>
      <c r="H664" t="s">
        <v>3779</v>
      </c>
      <c r="I664" s="4" t="s">
        <v>3780</v>
      </c>
      <c r="J664" s="4" t="s">
        <v>3781</v>
      </c>
      <c r="K664" t="s">
        <v>4172</v>
      </c>
      <c r="L664" t="s">
        <v>59</v>
      </c>
      <c r="M664" t="s">
        <v>4173</v>
      </c>
      <c r="N664" t="s">
        <v>60</v>
      </c>
      <c r="O664" t="s">
        <v>29</v>
      </c>
      <c r="P664" t="s">
        <v>54</v>
      </c>
      <c r="Q664" t="s">
        <v>31</v>
      </c>
      <c r="R664">
        <v>7</v>
      </c>
      <c r="S664" t="s">
        <v>4164</v>
      </c>
      <c r="T664" t="s">
        <v>3405</v>
      </c>
      <c r="U664" t="s">
        <v>3406</v>
      </c>
      <c r="V664" t="s">
        <v>32</v>
      </c>
      <c r="W664" t="s">
        <v>33</v>
      </c>
      <c r="X664" t="s">
        <v>33</v>
      </c>
      <c r="Y664" t="s">
        <v>33</v>
      </c>
      <c r="Z664" s="16" t="s">
        <v>34</v>
      </c>
      <c r="AA664">
        <v>-75.617241000000007</v>
      </c>
      <c r="AB664">
        <v>6.1404480000000001</v>
      </c>
      <c r="AC664" t="s">
        <v>135</v>
      </c>
      <c r="AD664" t="s">
        <v>136</v>
      </c>
    </row>
    <row r="665" spans="1:30" x14ac:dyDescent="0.25">
      <c r="A665" t="s">
        <v>4174</v>
      </c>
      <c r="B665" t="s">
        <v>25</v>
      </c>
      <c r="C665" t="s">
        <v>26</v>
      </c>
      <c r="D665" t="s">
        <v>25</v>
      </c>
      <c r="E665" t="s">
        <v>4175</v>
      </c>
      <c r="F665" t="s">
        <v>4176</v>
      </c>
      <c r="G665">
        <v>901335234</v>
      </c>
      <c r="H665" t="s">
        <v>3779</v>
      </c>
      <c r="I665" s="4" t="s">
        <v>3780</v>
      </c>
      <c r="J665" s="4" t="s">
        <v>3781</v>
      </c>
      <c r="K665" t="s">
        <v>4177</v>
      </c>
      <c r="L665" t="s">
        <v>59</v>
      </c>
      <c r="M665" t="s">
        <v>4178</v>
      </c>
      <c r="N665" t="s">
        <v>60</v>
      </c>
      <c r="O665" t="s">
        <v>29</v>
      </c>
      <c r="P665" t="s">
        <v>54</v>
      </c>
      <c r="Q665" t="s">
        <v>31</v>
      </c>
      <c r="R665">
        <v>7</v>
      </c>
      <c r="S665" t="s">
        <v>4179</v>
      </c>
      <c r="T665" t="s">
        <v>3405</v>
      </c>
      <c r="U665" t="s">
        <v>3406</v>
      </c>
      <c r="V665" t="s">
        <v>32</v>
      </c>
      <c r="W665" t="s">
        <v>33</v>
      </c>
      <c r="X665" t="s">
        <v>33</v>
      </c>
      <c r="Y665" t="s">
        <v>33</v>
      </c>
      <c r="Z665" s="16" t="s">
        <v>34</v>
      </c>
      <c r="AA665">
        <v>-75.617241000000007</v>
      </c>
      <c r="AB665">
        <v>6.1404480000000001</v>
      </c>
      <c r="AC665" t="s">
        <v>135</v>
      </c>
      <c r="AD665" t="s">
        <v>136</v>
      </c>
    </row>
    <row r="666" spans="1:30" x14ac:dyDescent="0.25">
      <c r="A666" t="s">
        <v>4180</v>
      </c>
      <c r="B666" t="s">
        <v>25</v>
      </c>
      <c r="C666" t="s">
        <v>26</v>
      </c>
      <c r="D666" t="s">
        <v>25</v>
      </c>
      <c r="E666" t="s">
        <v>4181</v>
      </c>
      <c r="F666" t="s">
        <v>4182</v>
      </c>
      <c r="G666">
        <v>901335234</v>
      </c>
      <c r="H666" t="s">
        <v>3779</v>
      </c>
      <c r="I666" s="4" t="s">
        <v>3780</v>
      </c>
      <c r="J666" s="4" t="s">
        <v>3781</v>
      </c>
      <c r="K666" t="s">
        <v>4183</v>
      </c>
      <c r="L666" t="s">
        <v>59</v>
      </c>
      <c r="M666" t="s">
        <v>4184</v>
      </c>
      <c r="N666" t="s">
        <v>60</v>
      </c>
      <c r="O666" t="s">
        <v>29</v>
      </c>
      <c r="P666" t="s">
        <v>54</v>
      </c>
      <c r="Q666" t="s">
        <v>31</v>
      </c>
      <c r="R666">
        <v>7</v>
      </c>
      <c r="S666" t="s">
        <v>4185</v>
      </c>
      <c r="T666" t="s">
        <v>3405</v>
      </c>
      <c r="U666" t="s">
        <v>3406</v>
      </c>
      <c r="V666" t="s">
        <v>32</v>
      </c>
      <c r="W666" t="s">
        <v>33</v>
      </c>
      <c r="X666" t="s">
        <v>33</v>
      </c>
      <c r="Y666" t="s">
        <v>33</v>
      </c>
      <c r="Z666" s="16" t="s">
        <v>34</v>
      </c>
      <c r="AA666">
        <v>-75.617241000000007</v>
      </c>
      <c r="AB666">
        <v>6.1404480000000001</v>
      </c>
      <c r="AC666" t="s">
        <v>135</v>
      </c>
      <c r="AD666" t="s">
        <v>136</v>
      </c>
    </row>
    <row r="667" spans="1:30" x14ac:dyDescent="0.25">
      <c r="A667" t="s">
        <v>4186</v>
      </c>
      <c r="B667" t="s">
        <v>25</v>
      </c>
      <c r="C667" t="s">
        <v>26</v>
      </c>
      <c r="D667" t="s">
        <v>25</v>
      </c>
      <c r="E667" t="s">
        <v>4187</v>
      </c>
      <c r="F667" t="s">
        <v>4188</v>
      </c>
      <c r="G667">
        <v>901335234</v>
      </c>
      <c r="H667" t="s">
        <v>3779</v>
      </c>
      <c r="I667" s="4" t="s">
        <v>3780</v>
      </c>
      <c r="J667" s="4" t="s">
        <v>3781</v>
      </c>
      <c r="K667" t="s">
        <v>4189</v>
      </c>
      <c r="L667" t="s">
        <v>59</v>
      </c>
      <c r="M667" t="s">
        <v>4190</v>
      </c>
      <c r="N667" t="s">
        <v>60</v>
      </c>
      <c r="O667" t="s">
        <v>29</v>
      </c>
      <c r="P667" t="s">
        <v>54</v>
      </c>
      <c r="Q667" t="s">
        <v>31</v>
      </c>
      <c r="R667">
        <v>7</v>
      </c>
      <c r="S667" t="s">
        <v>4191</v>
      </c>
      <c r="T667" t="s">
        <v>3405</v>
      </c>
      <c r="U667" t="s">
        <v>3406</v>
      </c>
      <c r="V667" t="s">
        <v>32</v>
      </c>
      <c r="W667" t="s">
        <v>33</v>
      </c>
      <c r="X667" t="s">
        <v>33</v>
      </c>
      <c r="Y667" t="s">
        <v>33</v>
      </c>
      <c r="Z667" s="16" t="s">
        <v>34</v>
      </c>
      <c r="AA667">
        <v>-75.617241000000007</v>
      </c>
      <c r="AB667">
        <v>6.1404480000000001</v>
      </c>
      <c r="AC667" t="s">
        <v>135</v>
      </c>
      <c r="AD667" t="s">
        <v>136</v>
      </c>
    </row>
    <row r="668" spans="1:30" x14ac:dyDescent="0.25">
      <c r="A668" t="s">
        <v>4192</v>
      </c>
      <c r="B668" t="s">
        <v>25</v>
      </c>
      <c r="C668" t="s">
        <v>26</v>
      </c>
      <c r="D668" t="s">
        <v>25</v>
      </c>
      <c r="E668" t="s">
        <v>4193</v>
      </c>
      <c r="F668" t="s">
        <v>4194</v>
      </c>
      <c r="G668">
        <v>901335234</v>
      </c>
      <c r="H668" t="s">
        <v>3779</v>
      </c>
      <c r="I668" s="4" t="s">
        <v>3780</v>
      </c>
      <c r="J668" s="4" t="s">
        <v>3781</v>
      </c>
      <c r="K668" t="s">
        <v>4195</v>
      </c>
      <c r="L668" t="s">
        <v>59</v>
      </c>
      <c r="M668" t="s">
        <v>4196</v>
      </c>
      <c r="N668" t="s">
        <v>60</v>
      </c>
      <c r="O668" t="s">
        <v>29</v>
      </c>
      <c r="P668" t="s">
        <v>54</v>
      </c>
      <c r="Q668" t="s">
        <v>31</v>
      </c>
      <c r="R668">
        <v>7</v>
      </c>
      <c r="S668" t="s">
        <v>4197</v>
      </c>
      <c r="T668" t="s">
        <v>3405</v>
      </c>
      <c r="U668" t="s">
        <v>3406</v>
      </c>
      <c r="V668" t="s">
        <v>32</v>
      </c>
      <c r="W668" t="s">
        <v>33</v>
      </c>
      <c r="X668" t="s">
        <v>33</v>
      </c>
      <c r="Y668" t="s">
        <v>33</v>
      </c>
      <c r="Z668" s="16" t="s">
        <v>34</v>
      </c>
      <c r="AA668">
        <v>-75.617241000000007</v>
      </c>
      <c r="AB668">
        <v>6.1404480000000001</v>
      </c>
      <c r="AC668" t="s">
        <v>135</v>
      </c>
      <c r="AD668" t="s">
        <v>136</v>
      </c>
    </row>
    <row r="669" spans="1:30" x14ac:dyDescent="0.25">
      <c r="A669" t="s">
        <v>4198</v>
      </c>
      <c r="B669" t="s">
        <v>25</v>
      </c>
      <c r="C669" t="s">
        <v>26</v>
      </c>
      <c r="D669" t="s">
        <v>25</v>
      </c>
      <c r="E669" t="s">
        <v>4199</v>
      </c>
      <c r="F669" t="s">
        <v>4200</v>
      </c>
      <c r="G669">
        <v>901335234</v>
      </c>
      <c r="H669" t="s">
        <v>3779</v>
      </c>
      <c r="I669" s="4" t="s">
        <v>3780</v>
      </c>
      <c r="J669" s="4" t="s">
        <v>3781</v>
      </c>
      <c r="K669" t="s">
        <v>4201</v>
      </c>
      <c r="L669" t="s">
        <v>59</v>
      </c>
      <c r="M669" t="s">
        <v>4202</v>
      </c>
      <c r="N669" t="s">
        <v>60</v>
      </c>
      <c r="O669" t="s">
        <v>29</v>
      </c>
      <c r="P669" t="s">
        <v>54</v>
      </c>
      <c r="Q669" t="s">
        <v>31</v>
      </c>
      <c r="R669">
        <v>7</v>
      </c>
      <c r="S669" t="s">
        <v>4203</v>
      </c>
      <c r="T669" t="s">
        <v>3405</v>
      </c>
      <c r="U669" t="s">
        <v>3406</v>
      </c>
      <c r="V669" t="s">
        <v>32</v>
      </c>
      <c r="W669" t="s">
        <v>33</v>
      </c>
      <c r="X669" t="s">
        <v>33</v>
      </c>
      <c r="Y669" t="s">
        <v>33</v>
      </c>
      <c r="Z669" s="16" t="s">
        <v>34</v>
      </c>
      <c r="AA669">
        <v>-75.617241000000007</v>
      </c>
      <c r="AB669">
        <v>6.1404480000000001</v>
      </c>
      <c r="AC669" t="s">
        <v>135</v>
      </c>
      <c r="AD669" t="s">
        <v>136</v>
      </c>
    </row>
    <row r="670" spans="1:30" x14ac:dyDescent="0.25">
      <c r="A670" t="s">
        <v>4204</v>
      </c>
      <c r="B670" t="s">
        <v>25</v>
      </c>
      <c r="C670" t="s">
        <v>26</v>
      </c>
      <c r="D670" t="s">
        <v>25</v>
      </c>
      <c r="E670" t="s">
        <v>4199</v>
      </c>
      <c r="F670" t="s">
        <v>4200</v>
      </c>
      <c r="G670">
        <v>901335234</v>
      </c>
      <c r="H670" t="s">
        <v>3779</v>
      </c>
      <c r="I670" s="4" t="s">
        <v>3780</v>
      </c>
      <c r="J670" s="4" t="s">
        <v>3781</v>
      </c>
      <c r="K670" t="s">
        <v>4205</v>
      </c>
      <c r="L670" t="s">
        <v>59</v>
      </c>
      <c r="M670" t="s">
        <v>4206</v>
      </c>
      <c r="N670" t="s">
        <v>60</v>
      </c>
      <c r="O670" t="s">
        <v>29</v>
      </c>
      <c r="P670" t="s">
        <v>54</v>
      </c>
      <c r="Q670" t="s">
        <v>31</v>
      </c>
      <c r="R670">
        <v>7</v>
      </c>
      <c r="S670" t="s">
        <v>4203</v>
      </c>
      <c r="T670" t="s">
        <v>3405</v>
      </c>
      <c r="U670" t="s">
        <v>3406</v>
      </c>
      <c r="V670" t="s">
        <v>32</v>
      </c>
      <c r="W670" t="s">
        <v>33</v>
      </c>
      <c r="X670" t="s">
        <v>33</v>
      </c>
      <c r="Y670" t="s">
        <v>33</v>
      </c>
      <c r="Z670" s="16" t="s">
        <v>34</v>
      </c>
      <c r="AA670">
        <v>-75.617241000000007</v>
      </c>
      <c r="AB670">
        <v>6.1404480000000001</v>
      </c>
      <c r="AC670" t="s">
        <v>135</v>
      </c>
      <c r="AD670" t="s">
        <v>136</v>
      </c>
    </row>
    <row r="671" spans="1:30" x14ac:dyDescent="0.25">
      <c r="A671" t="s">
        <v>4207</v>
      </c>
      <c r="B671" t="s">
        <v>25</v>
      </c>
      <c r="C671" t="s">
        <v>26</v>
      </c>
      <c r="D671" t="s">
        <v>25</v>
      </c>
      <c r="E671" t="s">
        <v>4199</v>
      </c>
      <c r="F671" t="s">
        <v>4200</v>
      </c>
      <c r="G671">
        <v>901335234</v>
      </c>
      <c r="H671" t="s">
        <v>3779</v>
      </c>
      <c r="I671" s="4" t="s">
        <v>3780</v>
      </c>
      <c r="J671" s="4" t="s">
        <v>3781</v>
      </c>
      <c r="K671" t="s">
        <v>4208</v>
      </c>
      <c r="L671" t="s">
        <v>59</v>
      </c>
      <c r="M671" t="s">
        <v>4209</v>
      </c>
      <c r="N671" t="s">
        <v>60</v>
      </c>
      <c r="O671" t="s">
        <v>29</v>
      </c>
      <c r="P671" t="s">
        <v>54</v>
      </c>
      <c r="Q671" t="s">
        <v>31</v>
      </c>
      <c r="R671">
        <v>7</v>
      </c>
      <c r="S671" t="s">
        <v>4203</v>
      </c>
      <c r="T671" t="s">
        <v>3405</v>
      </c>
      <c r="U671" t="s">
        <v>3406</v>
      </c>
      <c r="V671" t="s">
        <v>32</v>
      </c>
      <c r="W671" t="s">
        <v>33</v>
      </c>
      <c r="X671" t="s">
        <v>33</v>
      </c>
      <c r="Y671" t="s">
        <v>33</v>
      </c>
      <c r="Z671" s="16" t="s">
        <v>34</v>
      </c>
      <c r="AA671">
        <v>-75.617241000000007</v>
      </c>
      <c r="AB671">
        <v>6.1404480000000001</v>
      </c>
      <c r="AC671" t="s">
        <v>135</v>
      </c>
      <c r="AD671" t="s">
        <v>136</v>
      </c>
    </row>
    <row r="672" spans="1:30" x14ac:dyDescent="0.25">
      <c r="A672" t="s">
        <v>4210</v>
      </c>
      <c r="B672" t="s">
        <v>25</v>
      </c>
      <c r="C672" t="s">
        <v>26</v>
      </c>
      <c r="D672" t="s">
        <v>25</v>
      </c>
      <c r="E672" t="s">
        <v>4199</v>
      </c>
      <c r="F672" t="s">
        <v>4200</v>
      </c>
      <c r="G672">
        <v>901335234</v>
      </c>
      <c r="H672" t="s">
        <v>3779</v>
      </c>
      <c r="I672" s="4" t="s">
        <v>3780</v>
      </c>
      <c r="J672" s="4" t="s">
        <v>3781</v>
      </c>
      <c r="K672" t="s">
        <v>4211</v>
      </c>
      <c r="L672" t="s">
        <v>59</v>
      </c>
      <c r="M672" t="s">
        <v>4212</v>
      </c>
      <c r="N672" t="s">
        <v>60</v>
      </c>
      <c r="O672" t="s">
        <v>29</v>
      </c>
      <c r="P672" t="s">
        <v>54</v>
      </c>
      <c r="Q672" t="s">
        <v>31</v>
      </c>
      <c r="R672">
        <v>7</v>
      </c>
      <c r="S672" t="s">
        <v>4203</v>
      </c>
      <c r="T672" t="s">
        <v>3405</v>
      </c>
      <c r="U672" t="s">
        <v>3406</v>
      </c>
      <c r="V672" t="s">
        <v>32</v>
      </c>
      <c r="W672" t="s">
        <v>33</v>
      </c>
      <c r="X672" t="s">
        <v>33</v>
      </c>
      <c r="Y672" t="s">
        <v>33</v>
      </c>
      <c r="Z672" s="16" t="s">
        <v>34</v>
      </c>
      <c r="AA672">
        <v>-75.617241000000007</v>
      </c>
      <c r="AB672">
        <v>6.1404480000000001</v>
      </c>
      <c r="AC672" t="s">
        <v>135</v>
      </c>
      <c r="AD672" t="s">
        <v>136</v>
      </c>
    </row>
    <row r="673" spans="1:30" x14ac:dyDescent="0.25">
      <c r="A673" t="s">
        <v>4213</v>
      </c>
      <c r="B673" t="s">
        <v>25</v>
      </c>
      <c r="C673" t="s">
        <v>26</v>
      </c>
      <c r="D673" t="s">
        <v>25</v>
      </c>
      <c r="E673" t="s">
        <v>4214</v>
      </c>
      <c r="F673" t="s">
        <v>4215</v>
      </c>
      <c r="G673">
        <v>901335234</v>
      </c>
      <c r="H673" t="s">
        <v>3779</v>
      </c>
      <c r="I673" s="4" t="s">
        <v>3780</v>
      </c>
      <c r="J673" s="4" t="s">
        <v>3781</v>
      </c>
      <c r="K673" t="s">
        <v>4216</v>
      </c>
      <c r="L673" t="s">
        <v>59</v>
      </c>
      <c r="M673" t="s">
        <v>4217</v>
      </c>
      <c r="N673" t="s">
        <v>60</v>
      </c>
      <c r="O673" t="s">
        <v>29</v>
      </c>
      <c r="P673" t="s">
        <v>54</v>
      </c>
      <c r="Q673" t="s">
        <v>31</v>
      </c>
      <c r="R673">
        <v>7</v>
      </c>
      <c r="S673" t="s">
        <v>4218</v>
      </c>
      <c r="T673" t="s">
        <v>3405</v>
      </c>
      <c r="U673" t="s">
        <v>3406</v>
      </c>
      <c r="V673" t="s">
        <v>32</v>
      </c>
      <c r="W673" t="s">
        <v>33</v>
      </c>
      <c r="X673" t="s">
        <v>33</v>
      </c>
      <c r="Y673" t="s">
        <v>33</v>
      </c>
      <c r="Z673" s="16" t="s">
        <v>34</v>
      </c>
      <c r="AA673">
        <v>-75.617241000000007</v>
      </c>
      <c r="AB673">
        <v>6.1404480000000001</v>
      </c>
      <c r="AC673" t="s">
        <v>135</v>
      </c>
      <c r="AD673" t="s">
        <v>136</v>
      </c>
    </row>
    <row r="674" spans="1:30" x14ac:dyDescent="0.25">
      <c r="A674" t="s">
        <v>4219</v>
      </c>
      <c r="B674" t="s">
        <v>25</v>
      </c>
      <c r="C674" t="s">
        <v>26</v>
      </c>
      <c r="D674" t="s">
        <v>25</v>
      </c>
      <c r="E674" t="s">
        <v>4214</v>
      </c>
      <c r="F674" t="s">
        <v>4215</v>
      </c>
      <c r="G674">
        <v>901335234</v>
      </c>
      <c r="H674" t="s">
        <v>3779</v>
      </c>
      <c r="I674" s="4" t="s">
        <v>3780</v>
      </c>
      <c r="J674" s="4" t="s">
        <v>3781</v>
      </c>
      <c r="K674" t="s">
        <v>4220</v>
      </c>
      <c r="L674" t="s">
        <v>59</v>
      </c>
      <c r="M674" t="s">
        <v>4221</v>
      </c>
      <c r="N674" t="s">
        <v>60</v>
      </c>
      <c r="O674" t="s">
        <v>29</v>
      </c>
      <c r="P674" t="s">
        <v>54</v>
      </c>
      <c r="Q674" t="s">
        <v>31</v>
      </c>
      <c r="R674">
        <v>7</v>
      </c>
      <c r="S674" t="s">
        <v>4218</v>
      </c>
      <c r="T674" t="s">
        <v>3405</v>
      </c>
      <c r="U674" t="s">
        <v>3406</v>
      </c>
      <c r="V674" t="s">
        <v>32</v>
      </c>
      <c r="W674" t="s">
        <v>33</v>
      </c>
      <c r="X674" t="s">
        <v>33</v>
      </c>
      <c r="Y674" t="s">
        <v>33</v>
      </c>
      <c r="Z674" s="16" t="s">
        <v>34</v>
      </c>
      <c r="AA674">
        <v>-75.617241000000007</v>
      </c>
      <c r="AB674">
        <v>6.1404480000000001</v>
      </c>
      <c r="AC674" t="s">
        <v>135</v>
      </c>
      <c r="AD674" t="s">
        <v>136</v>
      </c>
    </row>
    <row r="675" spans="1:30" x14ac:dyDescent="0.25">
      <c r="A675" t="s">
        <v>4222</v>
      </c>
      <c r="B675" t="s">
        <v>25</v>
      </c>
      <c r="C675" t="s">
        <v>26</v>
      </c>
      <c r="D675" t="s">
        <v>25</v>
      </c>
      <c r="E675" t="s">
        <v>4214</v>
      </c>
      <c r="F675" t="s">
        <v>4215</v>
      </c>
      <c r="G675">
        <v>901335234</v>
      </c>
      <c r="H675" t="s">
        <v>3779</v>
      </c>
      <c r="I675" s="4" t="s">
        <v>3780</v>
      </c>
      <c r="J675" s="4" t="s">
        <v>3781</v>
      </c>
      <c r="K675" t="s">
        <v>4223</v>
      </c>
      <c r="L675" t="s">
        <v>59</v>
      </c>
      <c r="M675" t="s">
        <v>4224</v>
      </c>
      <c r="N675" t="s">
        <v>60</v>
      </c>
      <c r="O675" t="s">
        <v>29</v>
      </c>
      <c r="P675" t="s">
        <v>54</v>
      </c>
      <c r="Q675" t="s">
        <v>31</v>
      </c>
      <c r="R675">
        <v>7</v>
      </c>
      <c r="S675" t="s">
        <v>4218</v>
      </c>
      <c r="T675" t="s">
        <v>3405</v>
      </c>
      <c r="U675" t="s">
        <v>3406</v>
      </c>
      <c r="V675" t="s">
        <v>32</v>
      </c>
      <c r="W675" t="s">
        <v>33</v>
      </c>
      <c r="X675" t="s">
        <v>33</v>
      </c>
      <c r="Y675" t="s">
        <v>33</v>
      </c>
      <c r="Z675" s="16" t="s">
        <v>34</v>
      </c>
      <c r="AA675">
        <v>-75.617241000000007</v>
      </c>
      <c r="AB675">
        <v>6.1404480000000001</v>
      </c>
      <c r="AC675" t="s">
        <v>135</v>
      </c>
      <c r="AD675" t="s">
        <v>136</v>
      </c>
    </row>
    <row r="676" spans="1:30" x14ac:dyDescent="0.25">
      <c r="A676" t="s">
        <v>4225</v>
      </c>
      <c r="B676" t="s">
        <v>25</v>
      </c>
      <c r="C676" t="s">
        <v>26</v>
      </c>
      <c r="D676" t="s">
        <v>25</v>
      </c>
      <c r="E676" t="s">
        <v>4226</v>
      </c>
      <c r="F676" t="s">
        <v>4227</v>
      </c>
      <c r="G676">
        <v>901335234</v>
      </c>
      <c r="H676" t="s">
        <v>3779</v>
      </c>
      <c r="I676" s="4" t="s">
        <v>3780</v>
      </c>
      <c r="J676" s="4" t="s">
        <v>3781</v>
      </c>
      <c r="K676" t="s">
        <v>4228</v>
      </c>
      <c r="L676" t="s">
        <v>59</v>
      </c>
      <c r="M676" t="s">
        <v>4229</v>
      </c>
      <c r="N676" t="s">
        <v>60</v>
      </c>
      <c r="O676" t="s">
        <v>29</v>
      </c>
      <c r="P676" t="s">
        <v>54</v>
      </c>
      <c r="Q676" t="s">
        <v>31</v>
      </c>
      <c r="R676">
        <v>7</v>
      </c>
      <c r="S676" t="s">
        <v>4230</v>
      </c>
      <c r="T676" t="s">
        <v>3405</v>
      </c>
      <c r="U676" t="s">
        <v>3406</v>
      </c>
      <c r="V676" t="s">
        <v>32</v>
      </c>
      <c r="W676" t="s">
        <v>33</v>
      </c>
      <c r="X676" t="s">
        <v>33</v>
      </c>
      <c r="Y676" t="s">
        <v>33</v>
      </c>
      <c r="Z676" s="16" t="s">
        <v>34</v>
      </c>
      <c r="AA676">
        <v>-75.617241000000007</v>
      </c>
      <c r="AB676">
        <v>6.1404480000000001</v>
      </c>
      <c r="AC676" t="s">
        <v>135</v>
      </c>
      <c r="AD676" t="s">
        <v>136</v>
      </c>
    </row>
    <row r="677" spans="1:30" x14ac:dyDescent="0.25">
      <c r="A677" t="s">
        <v>4231</v>
      </c>
      <c r="B677" t="s">
        <v>25</v>
      </c>
      <c r="C677" t="s">
        <v>26</v>
      </c>
      <c r="D677" t="s">
        <v>25</v>
      </c>
      <c r="E677" t="s">
        <v>4232</v>
      </c>
      <c r="F677" t="s">
        <v>4233</v>
      </c>
      <c r="G677">
        <v>901335234</v>
      </c>
      <c r="H677" t="s">
        <v>3779</v>
      </c>
      <c r="I677" s="4" t="s">
        <v>3780</v>
      </c>
      <c r="J677" s="4" t="s">
        <v>3781</v>
      </c>
      <c r="K677" t="s">
        <v>4234</v>
      </c>
      <c r="L677" t="s">
        <v>59</v>
      </c>
      <c r="M677" t="s">
        <v>4235</v>
      </c>
      <c r="N677" t="s">
        <v>60</v>
      </c>
      <c r="O677" t="s">
        <v>29</v>
      </c>
      <c r="P677" t="s">
        <v>54</v>
      </c>
      <c r="Q677" t="s">
        <v>31</v>
      </c>
      <c r="R677">
        <v>7</v>
      </c>
      <c r="S677" t="s">
        <v>4236</v>
      </c>
      <c r="T677" t="s">
        <v>3405</v>
      </c>
      <c r="U677" t="s">
        <v>3406</v>
      </c>
      <c r="V677" t="s">
        <v>32</v>
      </c>
      <c r="W677" t="s">
        <v>33</v>
      </c>
      <c r="X677" t="s">
        <v>33</v>
      </c>
      <c r="Y677" t="s">
        <v>33</v>
      </c>
      <c r="Z677" s="16" t="s">
        <v>34</v>
      </c>
      <c r="AA677">
        <v>-75.617241000000007</v>
      </c>
      <c r="AB677">
        <v>6.1404480000000001</v>
      </c>
      <c r="AC677" t="s">
        <v>135</v>
      </c>
      <c r="AD677" t="s">
        <v>136</v>
      </c>
    </row>
    <row r="678" spans="1:30" x14ac:dyDescent="0.25">
      <c r="A678" t="s">
        <v>4237</v>
      </c>
      <c r="B678" t="s">
        <v>25</v>
      </c>
      <c r="C678" t="s">
        <v>26</v>
      </c>
      <c r="D678" t="s">
        <v>25</v>
      </c>
      <c r="E678" t="s">
        <v>4238</v>
      </c>
      <c r="F678" t="s">
        <v>4239</v>
      </c>
      <c r="G678">
        <v>901335234</v>
      </c>
      <c r="H678" t="s">
        <v>3779</v>
      </c>
      <c r="I678" s="4" t="s">
        <v>3780</v>
      </c>
      <c r="J678" s="4" t="s">
        <v>3781</v>
      </c>
      <c r="K678" t="s">
        <v>4240</v>
      </c>
      <c r="L678" t="s">
        <v>59</v>
      </c>
      <c r="M678" t="s">
        <v>4241</v>
      </c>
      <c r="N678" t="s">
        <v>60</v>
      </c>
      <c r="O678" t="s">
        <v>29</v>
      </c>
      <c r="P678" t="s">
        <v>54</v>
      </c>
      <c r="Q678" t="s">
        <v>31</v>
      </c>
      <c r="R678">
        <v>7</v>
      </c>
      <c r="S678" t="s">
        <v>4242</v>
      </c>
      <c r="T678" t="s">
        <v>3405</v>
      </c>
      <c r="U678" t="s">
        <v>3406</v>
      </c>
      <c r="V678" t="s">
        <v>32</v>
      </c>
      <c r="W678" t="s">
        <v>33</v>
      </c>
      <c r="X678" t="s">
        <v>33</v>
      </c>
      <c r="Y678" t="s">
        <v>33</v>
      </c>
      <c r="Z678" s="16" t="s">
        <v>34</v>
      </c>
      <c r="AA678">
        <v>-75.617241000000007</v>
      </c>
      <c r="AB678">
        <v>6.1404480000000001</v>
      </c>
      <c r="AC678" t="s">
        <v>135</v>
      </c>
      <c r="AD678" t="s">
        <v>136</v>
      </c>
    </row>
    <row r="679" spans="1:30" x14ac:dyDescent="0.25">
      <c r="A679" t="s">
        <v>4243</v>
      </c>
      <c r="B679" t="s">
        <v>25</v>
      </c>
      <c r="C679" t="s">
        <v>26</v>
      </c>
      <c r="D679" t="s">
        <v>25</v>
      </c>
      <c r="E679" t="s">
        <v>4238</v>
      </c>
      <c r="F679" t="s">
        <v>4239</v>
      </c>
      <c r="G679">
        <v>901335234</v>
      </c>
      <c r="H679" t="s">
        <v>3779</v>
      </c>
      <c r="I679" s="4" t="s">
        <v>3780</v>
      </c>
      <c r="J679" s="4" t="s">
        <v>3781</v>
      </c>
      <c r="K679" t="s">
        <v>4244</v>
      </c>
      <c r="L679" t="s">
        <v>59</v>
      </c>
      <c r="M679" t="s">
        <v>4245</v>
      </c>
      <c r="N679" t="s">
        <v>60</v>
      </c>
      <c r="O679" t="s">
        <v>29</v>
      </c>
      <c r="P679" t="s">
        <v>54</v>
      </c>
      <c r="Q679" t="s">
        <v>31</v>
      </c>
      <c r="R679">
        <v>7</v>
      </c>
      <c r="S679" t="s">
        <v>4242</v>
      </c>
      <c r="T679" t="s">
        <v>3405</v>
      </c>
      <c r="U679" t="s">
        <v>3406</v>
      </c>
      <c r="V679" t="s">
        <v>32</v>
      </c>
      <c r="W679" t="s">
        <v>33</v>
      </c>
      <c r="X679" t="s">
        <v>33</v>
      </c>
      <c r="Y679" t="s">
        <v>33</v>
      </c>
      <c r="Z679" s="16" t="s">
        <v>34</v>
      </c>
      <c r="AA679">
        <v>-75.617241000000007</v>
      </c>
      <c r="AB679">
        <v>6.1404480000000001</v>
      </c>
      <c r="AC679" t="s">
        <v>135</v>
      </c>
      <c r="AD679" t="s">
        <v>136</v>
      </c>
    </row>
    <row r="680" spans="1:30" x14ac:dyDescent="0.25">
      <c r="A680" t="s">
        <v>4246</v>
      </c>
      <c r="B680" t="s">
        <v>25</v>
      </c>
      <c r="C680" t="s">
        <v>26</v>
      </c>
      <c r="D680" t="s">
        <v>25</v>
      </c>
      <c r="E680" t="s">
        <v>4238</v>
      </c>
      <c r="F680" t="s">
        <v>4239</v>
      </c>
      <c r="G680">
        <v>901335234</v>
      </c>
      <c r="H680" t="s">
        <v>3779</v>
      </c>
      <c r="I680" s="4" t="s">
        <v>3780</v>
      </c>
      <c r="J680" s="4" t="s">
        <v>3781</v>
      </c>
      <c r="K680" t="s">
        <v>4247</v>
      </c>
      <c r="L680" t="s">
        <v>59</v>
      </c>
      <c r="M680" t="s">
        <v>4248</v>
      </c>
      <c r="N680" t="s">
        <v>60</v>
      </c>
      <c r="O680" t="s">
        <v>29</v>
      </c>
      <c r="P680" t="s">
        <v>54</v>
      </c>
      <c r="Q680" t="s">
        <v>31</v>
      </c>
      <c r="R680">
        <v>7</v>
      </c>
      <c r="S680" t="s">
        <v>4242</v>
      </c>
      <c r="T680" t="s">
        <v>3405</v>
      </c>
      <c r="U680" t="s">
        <v>3406</v>
      </c>
      <c r="V680" t="s">
        <v>32</v>
      </c>
      <c r="W680" t="s">
        <v>33</v>
      </c>
      <c r="X680" t="s">
        <v>33</v>
      </c>
      <c r="Y680" t="s">
        <v>33</v>
      </c>
      <c r="Z680" s="16" t="s">
        <v>34</v>
      </c>
      <c r="AA680">
        <v>-75.617241000000007</v>
      </c>
      <c r="AB680">
        <v>6.1404480000000001</v>
      </c>
      <c r="AC680" t="s">
        <v>135</v>
      </c>
      <c r="AD680" t="s">
        <v>136</v>
      </c>
    </row>
    <row r="681" spans="1:30" x14ac:dyDescent="0.25">
      <c r="A681" t="s">
        <v>4249</v>
      </c>
      <c r="B681" t="s">
        <v>25</v>
      </c>
      <c r="C681" t="s">
        <v>26</v>
      </c>
      <c r="D681" t="s">
        <v>25</v>
      </c>
      <c r="E681" t="s">
        <v>4250</v>
      </c>
      <c r="F681" t="s">
        <v>4251</v>
      </c>
      <c r="G681">
        <v>901335234</v>
      </c>
      <c r="H681" t="s">
        <v>3779</v>
      </c>
      <c r="I681" s="4" t="s">
        <v>3780</v>
      </c>
      <c r="J681" s="4" t="s">
        <v>3781</v>
      </c>
      <c r="K681" t="s">
        <v>4252</v>
      </c>
      <c r="L681" t="s">
        <v>59</v>
      </c>
      <c r="M681" t="s">
        <v>4253</v>
      </c>
      <c r="N681" t="s">
        <v>60</v>
      </c>
      <c r="O681" t="s">
        <v>29</v>
      </c>
      <c r="P681" t="s">
        <v>54</v>
      </c>
      <c r="Q681" t="s">
        <v>31</v>
      </c>
      <c r="R681">
        <v>7</v>
      </c>
      <c r="S681" t="s">
        <v>4254</v>
      </c>
      <c r="T681" t="s">
        <v>3405</v>
      </c>
      <c r="U681" t="s">
        <v>3406</v>
      </c>
      <c r="V681" t="s">
        <v>32</v>
      </c>
      <c r="W681" t="s">
        <v>33</v>
      </c>
      <c r="X681" t="s">
        <v>33</v>
      </c>
      <c r="Y681" t="s">
        <v>33</v>
      </c>
      <c r="Z681" s="16" t="s">
        <v>34</v>
      </c>
      <c r="AA681">
        <v>-75.617241000000007</v>
      </c>
      <c r="AB681">
        <v>6.1404480000000001</v>
      </c>
      <c r="AC681" t="s">
        <v>135</v>
      </c>
      <c r="AD681" t="s">
        <v>136</v>
      </c>
    </row>
    <row r="682" spans="1:30" x14ac:dyDescent="0.25">
      <c r="A682" t="s">
        <v>4255</v>
      </c>
      <c r="B682" t="s">
        <v>25</v>
      </c>
      <c r="C682" t="s">
        <v>26</v>
      </c>
      <c r="D682" t="s">
        <v>25</v>
      </c>
      <c r="E682" t="s">
        <v>4250</v>
      </c>
      <c r="F682" t="s">
        <v>4251</v>
      </c>
      <c r="G682">
        <v>901335234</v>
      </c>
      <c r="H682" t="s">
        <v>3779</v>
      </c>
      <c r="I682" s="4" t="s">
        <v>3780</v>
      </c>
      <c r="J682" s="4" t="s">
        <v>3781</v>
      </c>
      <c r="K682" t="s">
        <v>4256</v>
      </c>
      <c r="L682" t="s">
        <v>59</v>
      </c>
      <c r="M682" t="s">
        <v>4257</v>
      </c>
      <c r="N682" t="s">
        <v>60</v>
      </c>
      <c r="O682" t="s">
        <v>29</v>
      </c>
      <c r="P682" t="s">
        <v>54</v>
      </c>
      <c r="Q682" t="s">
        <v>31</v>
      </c>
      <c r="R682">
        <v>7</v>
      </c>
      <c r="S682" t="s">
        <v>4254</v>
      </c>
      <c r="T682" t="s">
        <v>3405</v>
      </c>
      <c r="U682" t="s">
        <v>3406</v>
      </c>
      <c r="V682" t="s">
        <v>32</v>
      </c>
      <c r="W682" t="s">
        <v>33</v>
      </c>
      <c r="X682" t="s">
        <v>33</v>
      </c>
      <c r="Y682" t="s">
        <v>33</v>
      </c>
      <c r="Z682" s="16" t="s">
        <v>34</v>
      </c>
      <c r="AA682">
        <v>-75.617241000000007</v>
      </c>
      <c r="AB682">
        <v>6.1404480000000001</v>
      </c>
      <c r="AC682" t="s">
        <v>135</v>
      </c>
      <c r="AD682" t="s">
        <v>136</v>
      </c>
    </row>
    <row r="683" spans="1:30" x14ac:dyDescent="0.25">
      <c r="A683" t="s">
        <v>4258</v>
      </c>
      <c r="B683" t="s">
        <v>25</v>
      </c>
      <c r="C683" t="s">
        <v>26</v>
      </c>
      <c r="D683" t="s">
        <v>25</v>
      </c>
      <c r="E683" t="s">
        <v>4259</v>
      </c>
      <c r="F683" t="s">
        <v>4260</v>
      </c>
      <c r="G683">
        <v>901335234</v>
      </c>
      <c r="H683" t="s">
        <v>3779</v>
      </c>
      <c r="I683" s="4" t="s">
        <v>3780</v>
      </c>
      <c r="J683" s="4" t="s">
        <v>3781</v>
      </c>
      <c r="K683" t="s">
        <v>4261</v>
      </c>
      <c r="L683" t="s">
        <v>59</v>
      </c>
      <c r="M683" t="s">
        <v>4262</v>
      </c>
      <c r="N683" t="s">
        <v>60</v>
      </c>
      <c r="O683" t="s">
        <v>29</v>
      </c>
      <c r="P683" t="s">
        <v>54</v>
      </c>
      <c r="Q683" t="s">
        <v>31</v>
      </c>
      <c r="R683">
        <v>7</v>
      </c>
      <c r="S683" t="s">
        <v>4263</v>
      </c>
      <c r="T683" t="s">
        <v>3405</v>
      </c>
      <c r="U683" t="s">
        <v>3406</v>
      </c>
      <c r="V683" t="s">
        <v>32</v>
      </c>
      <c r="W683" t="s">
        <v>33</v>
      </c>
      <c r="X683" t="s">
        <v>33</v>
      </c>
      <c r="Y683" t="s">
        <v>33</v>
      </c>
      <c r="Z683" s="16" t="s">
        <v>34</v>
      </c>
      <c r="AA683">
        <v>-75.617241000000007</v>
      </c>
      <c r="AB683">
        <v>6.1404480000000001</v>
      </c>
      <c r="AC683" t="s">
        <v>135</v>
      </c>
      <c r="AD683" t="s">
        <v>136</v>
      </c>
    </row>
    <row r="684" spans="1:30" x14ac:dyDescent="0.25">
      <c r="A684" t="s">
        <v>4264</v>
      </c>
      <c r="B684" t="s">
        <v>25</v>
      </c>
      <c r="C684" t="s">
        <v>26</v>
      </c>
      <c r="D684" t="s">
        <v>25</v>
      </c>
      <c r="E684" t="s">
        <v>4265</v>
      </c>
      <c r="F684" t="s">
        <v>4266</v>
      </c>
      <c r="G684">
        <v>901335234</v>
      </c>
      <c r="H684" t="s">
        <v>3779</v>
      </c>
      <c r="I684" s="4" t="s">
        <v>3780</v>
      </c>
      <c r="J684" s="4" t="s">
        <v>3781</v>
      </c>
      <c r="K684" t="s">
        <v>4267</v>
      </c>
      <c r="L684" t="s">
        <v>59</v>
      </c>
      <c r="M684" t="s">
        <v>4268</v>
      </c>
      <c r="N684" t="s">
        <v>60</v>
      </c>
      <c r="O684" t="s">
        <v>29</v>
      </c>
      <c r="P684" t="s">
        <v>54</v>
      </c>
      <c r="Q684" t="s">
        <v>31</v>
      </c>
      <c r="R684">
        <v>7</v>
      </c>
      <c r="S684" t="s">
        <v>4269</v>
      </c>
      <c r="T684" t="s">
        <v>3405</v>
      </c>
      <c r="U684" t="s">
        <v>3406</v>
      </c>
      <c r="V684" t="s">
        <v>32</v>
      </c>
      <c r="W684" t="s">
        <v>33</v>
      </c>
      <c r="X684" t="s">
        <v>33</v>
      </c>
      <c r="Y684" t="s">
        <v>33</v>
      </c>
      <c r="Z684" s="16" t="s">
        <v>34</v>
      </c>
      <c r="AA684">
        <v>-75.617241000000007</v>
      </c>
      <c r="AB684">
        <v>6.1404480000000001</v>
      </c>
      <c r="AC684" t="s">
        <v>135</v>
      </c>
      <c r="AD684" t="s">
        <v>136</v>
      </c>
    </row>
    <row r="685" spans="1:30" x14ac:dyDescent="0.25">
      <c r="A685" t="s">
        <v>4270</v>
      </c>
      <c r="B685" t="s">
        <v>25</v>
      </c>
      <c r="C685" t="s">
        <v>26</v>
      </c>
      <c r="D685" t="s">
        <v>25</v>
      </c>
      <c r="E685" t="s">
        <v>4265</v>
      </c>
      <c r="F685" t="s">
        <v>4266</v>
      </c>
      <c r="G685">
        <v>901335234</v>
      </c>
      <c r="H685" t="s">
        <v>3779</v>
      </c>
      <c r="I685" s="4" t="s">
        <v>3780</v>
      </c>
      <c r="J685" s="4" t="s">
        <v>3781</v>
      </c>
      <c r="K685" t="s">
        <v>4271</v>
      </c>
      <c r="L685" t="s">
        <v>59</v>
      </c>
      <c r="M685" t="s">
        <v>4272</v>
      </c>
      <c r="N685" t="s">
        <v>60</v>
      </c>
      <c r="O685" t="s">
        <v>29</v>
      </c>
      <c r="P685" t="s">
        <v>54</v>
      </c>
      <c r="Q685" t="s">
        <v>31</v>
      </c>
      <c r="R685">
        <v>7</v>
      </c>
      <c r="S685" t="s">
        <v>4269</v>
      </c>
      <c r="T685" t="s">
        <v>3405</v>
      </c>
      <c r="U685" t="s">
        <v>3406</v>
      </c>
      <c r="V685" t="s">
        <v>32</v>
      </c>
      <c r="W685" t="s">
        <v>33</v>
      </c>
      <c r="X685" t="s">
        <v>33</v>
      </c>
      <c r="Y685" t="s">
        <v>33</v>
      </c>
      <c r="Z685" s="16" t="s">
        <v>34</v>
      </c>
      <c r="AA685">
        <v>-75.617241000000007</v>
      </c>
      <c r="AB685">
        <v>6.1404480000000001</v>
      </c>
      <c r="AC685" t="s">
        <v>135</v>
      </c>
      <c r="AD685" t="s">
        <v>136</v>
      </c>
    </row>
    <row r="686" spans="1:30" x14ac:dyDescent="0.25">
      <c r="A686" t="s">
        <v>4273</v>
      </c>
      <c r="B686" t="s">
        <v>25</v>
      </c>
      <c r="C686" t="s">
        <v>26</v>
      </c>
      <c r="D686" t="s">
        <v>25</v>
      </c>
      <c r="E686" t="s">
        <v>4274</v>
      </c>
      <c r="F686" t="s">
        <v>4275</v>
      </c>
      <c r="G686">
        <v>901335234</v>
      </c>
      <c r="H686" t="s">
        <v>3779</v>
      </c>
      <c r="I686" s="4" t="s">
        <v>3780</v>
      </c>
      <c r="J686" s="4" t="s">
        <v>3781</v>
      </c>
      <c r="K686" t="s">
        <v>4276</v>
      </c>
      <c r="L686" t="s">
        <v>59</v>
      </c>
      <c r="M686" t="s">
        <v>4277</v>
      </c>
      <c r="N686" t="s">
        <v>60</v>
      </c>
      <c r="O686" t="s">
        <v>29</v>
      </c>
      <c r="P686" t="s">
        <v>54</v>
      </c>
      <c r="Q686" t="s">
        <v>31</v>
      </c>
      <c r="R686">
        <v>7</v>
      </c>
      <c r="S686" t="s">
        <v>4278</v>
      </c>
      <c r="T686" t="s">
        <v>3405</v>
      </c>
      <c r="U686" t="s">
        <v>3406</v>
      </c>
      <c r="V686" t="s">
        <v>32</v>
      </c>
      <c r="W686" t="s">
        <v>33</v>
      </c>
      <c r="X686" t="s">
        <v>33</v>
      </c>
      <c r="Y686" t="s">
        <v>33</v>
      </c>
      <c r="Z686" s="16" t="s">
        <v>34</v>
      </c>
      <c r="AA686">
        <v>-75.617241000000007</v>
      </c>
      <c r="AB686">
        <v>6.1404480000000001</v>
      </c>
      <c r="AC686" t="s">
        <v>135</v>
      </c>
      <c r="AD686" t="s">
        <v>136</v>
      </c>
    </row>
    <row r="687" spans="1:30" x14ac:dyDescent="0.25">
      <c r="A687" t="s">
        <v>4279</v>
      </c>
      <c r="B687" t="s">
        <v>25</v>
      </c>
      <c r="C687" t="s">
        <v>26</v>
      </c>
      <c r="D687" t="s">
        <v>25</v>
      </c>
      <c r="E687" t="s">
        <v>4280</v>
      </c>
      <c r="F687" t="s">
        <v>4281</v>
      </c>
      <c r="G687">
        <v>901335234</v>
      </c>
      <c r="H687" t="s">
        <v>3779</v>
      </c>
      <c r="I687" s="4" t="s">
        <v>3780</v>
      </c>
      <c r="J687" s="4" t="s">
        <v>3781</v>
      </c>
      <c r="K687" t="s">
        <v>4282</v>
      </c>
      <c r="L687" t="s">
        <v>59</v>
      </c>
      <c r="M687" t="s">
        <v>4283</v>
      </c>
      <c r="N687" t="s">
        <v>60</v>
      </c>
      <c r="O687" t="s">
        <v>29</v>
      </c>
      <c r="P687" t="s">
        <v>54</v>
      </c>
      <c r="Q687" t="s">
        <v>31</v>
      </c>
      <c r="R687">
        <v>7</v>
      </c>
      <c r="S687" t="s">
        <v>4284</v>
      </c>
      <c r="T687" t="s">
        <v>3405</v>
      </c>
      <c r="U687" t="s">
        <v>3406</v>
      </c>
      <c r="V687" t="s">
        <v>32</v>
      </c>
      <c r="W687" t="s">
        <v>33</v>
      </c>
      <c r="X687" t="s">
        <v>33</v>
      </c>
      <c r="Y687" t="s">
        <v>33</v>
      </c>
      <c r="Z687" s="16" t="s">
        <v>34</v>
      </c>
      <c r="AA687">
        <v>-75.617241000000007</v>
      </c>
      <c r="AB687">
        <v>6.1404480000000001</v>
      </c>
      <c r="AC687" t="s">
        <v>135</v>
      </c>
      <c r="AD687" t="s">
        <v>136</v>
      </c>
    </row>
    <row r="688" spans="1:30" x14ac:dyDescent="0.25">
      <c r="A688" t="s">
        <v>4285</v>
      </c>
      <c r="B688" t="s">
        <v>25</v>
      </c>
      <c r="C688" t="s">
        <v>26</v>
      </c>
      <c r="D688" t="s">
        <v>25</v>
      </c>
      <c r="E688" t="s">
        <v>4280</v>
      </c>
      <c r="F688" t="s">
        <v>4281</v>
      </c>
      <c r="G688">
        <v>901335234</v>
      </c>
      <c r="H688" t="s">
        <v>3779</v>
      </c>
      <c r="I688" s="4" t="s">
        <v>3780</v>
      </c>
      <c r="J688" s="4" t="s">
        <v>3781</v>
      </c>
      <c r="K688" t="s">
        <v>4286</v>
      </c>
      <c r="L688" t="s">
        <v>59</v>
      </c>
      <c r="M688" t="s">
        <v>4287</v>
      </c>
      <c r="N688" t="s">
        <v>60</v>
      </c>
      <c r="O688" t="s">
        <v>29</v>
      </c>
      <c r="P688" t="s">
        <v>54</v>
      </c>
      <c r="Q688" t="s">
        <v>31</v>
      </c>
      <c r="R688">
        <v>7</v>
      </c>
      <c r="S688" t="s">
        <v>4284</v>
      </c>
      <c r="T688" t="s">
        <v>3405</v>
      </c>
      <c r="U688" t="s">
        <v>3406</v>
      </c>
      <c r="V688" t="s">
        <v>32</v>
      </c>
      <c r="W688" t="s">
        <v>33</v>
      </c>
      <c r="X688" t="s">
        <v>33</v>
      </c>
      <c r="Y688" t="s">
        <v>33</v>
      </c>
      <c r="Z688" s="16" t="s">
        <v>34</v>
      </c>
      <c r="AA688">
        <v>-75.617241000000007</v>
      </c>
      <c r="AB688">
        <v>6.1404480000000001</v>
      </c>
      <c r="AC688" t="s">
        <v>135</v>
      </c>
      <c r="AD688" t="s">
        <v>136</v>
      </c>
    </row>
    <row r="689" spans="1:30" x14ac:dyDescent="0.25">
      <c r="A689" t="s">
        <v>4288</v>
      </c>
      <c r="B689" t="s">
        <v>25</v>
      </c>
      <c r="C689" t="s">
        <v>26</v>
      </c>
      <c r="D689" t="s">
        <v>25</v>
      </c>
      <c r="E689" t="s">
        <v>4289</v>
      </c>
      <c r="F689" t="s">
        <v>4290</v>
      </c>
      <c r="G689">
        <v>901335234</v>
      </c>
      <c r="H689" t="s">
        <v>3779</v>
      </c>
      <c r="I689" s="4" t="s">
        <v>3780</v>
      </c>
      <c r="J689" s="4" t="s">
        <v>3781</v>
      </c>
      <c r="K689" t="s">
        <v>4291</v>
      </c>
      <c r="L689" t="s">
        <v>59</v>
      </c>
      <c r="M689" t="s">
        <v>4292</v>
      </c>
      <c r="N689" t="s">
        <v>60</v>
      </c>
      <c r="O689" t="s">
        <v>29</v>
      </c>
      <c r="P689" t="s">
        <v>54</v>
      </c>
      <c r="Q689" t="s">
        <v>31</v>
      </c>
      <c r="R689">
        <v>7</v>
      </c>
      <c r="S689" t="s">
        <v>4293</v>
      </c>
      <c r="T689" t="s">
        <v>3405</v>
      </c>
      <c r="U689" t="s">
        <v>3406</v>
      </c>
      <c r="V689" t="s">
        <v>32</v>
      </c>
      <c r="W689" t="s">
        <v>33</v>
      </c>
      <c r="X689" t="s">
        <v>33</v>
      </c>
      <c r="Y689" t="s">
        <v>33</v>
      </c>
      <c r="Z689" s="16" t="s">
        <v>34</v>
      </c>
      <c r="AA689">
        <v>-75.617241000000007</v>
      </c>
      <c r="AB689">
        <v>6.1404480000000001</v>
      </c>
      <c r="AC689" t="s">
        <v>135</v>
      </c>
      <c r="AD689" t="s">
        <v>136</v>
      </c>
    </row>
    <row r="690" spans="1:30" x14ac:dyDescent="0.25">
      <c r="A690" t="s">
        <v>4294</v>
      </c>
      <c r="B690" t="s">
        <v>25</v>
      </c>
      <c r="C690" t="s">
        <v>26</v>
      </c>
      <c r="D690" t="s">
        <v>25</v>
      </c>
      <c r="E690" t="s">
        <v>4289</v>
      </c>
      <c r="F690" t="s">
        <v>4290</v>
      </c>
      <c r="G690">
        <v>901335234</v>
      </c>
      <c r="H690" t="s">
        <v>3779</v>
      </c>
      <c r="I690" s="4" t="s">
        <v>3780</v>
      </c>
      <c r="J690" s="4" t="s">
        <v>3781</v>
      </c>
      <c r="K690" t="s">
        <v>4295</v>
      </c>
      <c r="L690" t="s">
        <v>59</v>
      </c>
      <c r="M690" t="s">
        <v>4296</v>
      </c>
      <c r="N690" t="s">
        <v>60</v>
      </c>
      <c r="O690" t="s">
        <v>29</v>
      </c>
      <c r="P690" t="s">
        <v>54</v>
      </c>
      <c r="Q690" t="s">
        <v>31</v>
      </c>
      <c r="R690">
        <v>7</v>
      </c>
      <c r="S690" t="s">
        <v>4293</v>
      </c>
      <c r="T690" t="s">
        <v>3405</v>
      </c>
      <c r="U690" t="s">
        <v>3406</v>
      </c>
      <c r="V690" t="s">
        <v>32</v>
      </c>
      <c r="W690" t="s">
        <v>33</v>
      </c>
      <c r="X690" t="s">
        <v>33</v>
      </c>
      <c r="Y690" t="s">
        <v>33</v>
      </c>
      <c r="Z690" s="16" t="s">
        <v>34</v>
      </c>
      <c r="AA690">
        <v>-75.617241000000007</v>
      </c>
      <c r="AB690">
        <v>6.1404480000000001</v>
      </c>
      <c r="AC690" t="s">
        <v>135</v>
      </c>
      <c r="AD690" t="s">
        <v>136</v>
      </c>
    </row>
    <row r="691" spans="1:30" x14ac:dyDescent="0.25">
      <c r="A691" t="s">
        <v>4297</v>
      </c>
      <c r="B691" t="s">
        <v>25</v>
      </c>
      <c r="C691" t="s">
        <v>26</v>
      </c>
      <c r="D691" t="s">
        <v>25</v>
      </c>
      <c r="E691" t="s">
        <v>4298</v>
      </c>
      <c r="F691" t="s">
        <v>4299</v>
      </c>
      <c r="G691">
        <v>901335234</v>
      </c>
      <c r="H691" t="s">
        <v>3779</v>
      </c>
      <c r="I691" s="4" t="s">
        <v>3780</v>
      </c>
      <c r="J691" s="4" t="s">
        <v>3781</v>
      </c>
      <c r="K691" t="s">
        <v>4300</v>
      </c>
      <c r="L691" t="s">
        <v>59</v>
      </c>
      <c r="M691" t="s">
        <v>4301</v>
      </c>
      <c r="N691" t="s">
        <v>60</v>
      </c>
      <c r="O691" t="s">
        <v>29</v>
      </c>
      <c r="P691" t="s">
        <v>54</v>
      </c>
      <c r="Q691" t="s">
        <v>31</v>
      </c>
      <c r="R691">
        <v>7</v>
      </c>
      <c r="S691" t="s">
        <v>4302</v>
      </c>
      <c r="T691" t="s">
        <v>3405</v>
      </c>
      <c r="U691" t="s">
        <v>3406</v>
      </c>
      <c r="V691" t="s">
        <v>32</v>
      </c>
      <c r="W691" t="s">
        <v>33</v>
      </c>
      <c r="X691" t="s">
        <v>33</v>
      </c>
      <c r="Y691" t="s">
        <v>33</v>
      </c>
      <c r="Z691" s="16" t="s">
        <v>34</v>
      </c>
      <c r="AA691">
        <v>-75.617241000000007</v>
      </c>
      <c r="AB691">
        <v>6.1404480000000001</v>
      </c>
      <c r="AC691" t="s">
        <v>135</v>
      </c>
      <c r="AD691" t="s">
        <v>136</v>
      </c>
    </row>
    <row r="692" spans="1:30" x14ac:dyDescent="0.25">
      <c r="A692" t="s">
        <v>4303</v>
      </c>
      <c r="B692" t="s">
        <v>25</v>
      </c>
      <c r="C692" t="s">
        <v>26</v>
      </c>
      <c r="D692" t="s">
        <v>25</v>
      </c>
      <c r="E692" t="s">
        <v>4304</v>
      </c>
      <c r="F692" t="s">
        <v>4305</v>
      </c>
      <c r="G692">
        <v>901335234</v>
      </c>
      <c r="H692" t="s">
        <v>3779</v>
      </c>
      <c r="I692" s="4" t="s">
        <v>3780</v>
      </c>
      <c r="J692" s="4" t="s">
        <v>3781</v>
      </c>
      <c r="K692" t="s">
        <v>4306</v>
      </c>
      <c r="L692" t="s">
        <v>59</v>
      </c>
      <c r="M692" t="s">
        <v>4307</v>
      </c>
      <c r="N692" t="s">
        <v>60</v>
      </c>
      <c r="O692" t="s">
        <v>29</v>
      </c>
      <c r="P692" t="s">
        <v>54</v>
      </c>
      <c r="Q692" t="s">
        <v>31</v>
      </c>
      <c r="R692">
        <v>7</v>
      </c>
      <c r="S692" t="s">
        <v>4308</v>
      </c>
      <c r="T692" t="s">
        <v>3405</v>
      </c>
      <c r="U692" t="s">
        <v>3406</v>
      </c>
      <c r="V692" t="s">
        <v>32</v>
      </c>
      <c r="W692" t="s">
        <v>33</v>
      </c>
      <c r="X692" t="s">
        <v>33</v>
      </c>
      <c r="Y692" t="s">
        <v>33</v>
      </c>
      <c r="Z692" s="16" t="s">
        <v>34</v>
      </c>
      <c r="AA692">
        <v>-75.617241000000007</v>
      </c>
      <c r="AB692">
        <v>6.1404480000000001</v>
      </c>
      <c r="AC692" t="s">
        <v>135</v>
      </c>
      <c r="AD692" t="s">
        <v>136</v>
      </c>
    </row>
    <row r="693" spans="1:30" x14ac:dyDescent="0.25">
      <c r="A693" t="s">
        <v>4309</v>
      </c>
      <c r="B693" t="s">
        <v>25</v>
      </c>
      <c r="C693" t="s">
        <v>26</v>
      </c>
      <c r="D693" t="s">
        <v>25</v>
      </c>
      <c r="E693" t="s">
        <v>4304</v>
      </c>
      <c r="F693" t="s">
        <v>4305</v>
      </c>
      <c r="G693">
        <v>901335234</v>
      </c>
      <c r="H693" t="s">
        <v>3779</v>
      </c>
      <c r="I693" s="4" t="s">
        <v>3780</v>
      </c>
      <c r="J693" s="4" t="s">
        <v>3781</v>
      </c>
      <c r="K693" t="s">
        <v>4310</v>
      </c>
      <c r="L693" t="s">
        <v>59</v>
      </c>
      <c r="M693" t="s">
        <v>4311</v>
      </c>
      <c r="N693" t="s">
        <v>60</v>
      </c>
      <c r="O693" t="s">
        <v>29</v>
      </c>
      <c r="P693" t="s">
        <v>54</v>
      </c>
      <c r="Q693" t="s">
        <v>31</v>
      </c>
      <c r="R693">
        <v>7</v>
      </c>
      <c r="S693" t="s">
        <v>4308</v>
      </c>
      <c r="T693" t="s">
        <v>3405</v>
      </c>
      <c r="U693" t="s">
        <v>3406</v>
      </c>
      <c r="V693" t="s">
        <v>32</v>
      </c>
      <c r="W693" t="s">
        <v>33</v>
      </c>
      <c r="X693" t="s">
        <v>33</v>
      </c>
      <c r="Y693" t="s">
        <v>33</v>
      </c>
      <c r="Z693" s="16" t="s">
        <v>34</v>
      </c>
      <c r="AA693">
        <v>-75.617241000000007</v>
      </c>
      <c r="AB693">
        <v>6.1404480000000001</v>
      </c>
      <c r="AC693" t="s">
        <v>135</v>
      </c>
      <c r="AD693" t="s">
        <v>136</v>
      </c>
    </row>
    <row r="694" spans="1:30" x14ac:dyDescent="0.25">
      <c r="A694" t="s">
        <v>4312</v>
      </c>
      <c r="B694" t="s">
        <v>25</v>
      </c>
      <c r="C694" t="s">
        <v>26</v>
      </c>
      <c r="D694" t="s">
        <v>25</v>
      </c>
      <c r="E694" t="s">
        <v>4313</v>
      </c>
      <c r="F694" t="s">
        <v>4314</v>
      </c>
      <c r="G694">
        <v>901335234</v>
      </c>
      <c r="H694" t="s">
        <v>3779</v>
      </c>
      <c r="I694" s="4" t="s">
        <v>3780</v>
      </c>
      <c r="J694" s="4" t="s">
        <v>3781</v>
      </c>
      <c r="K694" t="s">
        <v>4315</v>
      </c>
      <c r="L694" t="s">
        <v>59</v>
      </c>
      <c r="M694" t="s">
        <v>4316</v>
      </c>
      <c r="N694" t="s">
        <v>60</v>
      </c>
      <c r="O694" t="s">
        <v>29</v>
      </c>
      <c r="P694" t="s">
        <v>54</v>
      </c>
      <c r="Q694" t="s">
        <v>31</v>
      </c>
      <c r="R694">
        <v>7</v>
      </c>
      <c r="S694" t="s">
        <v>4317</v>
      </c>
      <c r="T694" t="s">
        <v>4319</v>
      </c>
      <c r="U694" t="s">
        <v>4318</v>
      </c>
      <c r="V694" t="s">
        <v>32</v>
      </c>
      <c r="W694" t="s">
        <v>33</v>
      </c>
      <c r="X694" t="s">
        <v>33</v>
      </c>
      <c r="Y694" t="s">
        <v>33</v>
      </c>
      <c r="Z694" s="16" t="s">
        <v>34</v>
      </c>
      <c r="AA694">
        <v>-75.617241000000007</v>
      </c>
      <c r="AB694">
        <v>6.1404480000000001</v>
      </c>
      <c r="AC694" t="s">
        <v>135</v>
      </c>
      <c r="AD694" t="s">
        <v>136</v>
      </c>
    </row>
    <row r="695" spans="1:30" x14ac:dyDescent="0.25">
      <c r="A695" t="s">
        <v>4320</v>
      </c>
      <c r="B695" t="s">
        <v>25</v>
      </c>
      <c r="C695" t="s">
        <v>26</v>
      </c>
      <c r="D695" t="s">
        <v>25</v>
      </c>
      <c r="E695" t="s">
        <v>4321</v>
      </c>
      <c r="F695" t="s">
        <v>4322</v>
      </c>
      <c r="G695">
        <v>901335234</v>
      </c>
      <c r="H695" t="s">
        <v>3779</v>
      </c>
      <c r="I695" s="4" t="s">
        <v>3780</v>
      </c>
      <c r="J695" s="4" t="s">
        <v>3781</v>
      </c>
      <c r="K695" t="s">
        <v>4323</v>
      </c>
      <c r="L695" t="s">
        <v>59</v>
      </c>
      <c r="M695" t="s">
        <v>4324</v>
      </c>
      <c r="N695" t="s">
        <v>60</v>
      </c>
      <c r="O695" t="s">
        <v>29</v>
      </c>
      <c r="P695" t="s">
        <v>54</v>
      </c>
      <c r="Q695" t="s">
        <v>31</v>
      </c>
      <c r="R695">
        <v>7</v>
      </c>
      <c r="S695" t="s">
        <v>4325</v>
      </c>
      <c r="T695" t="s">
        <v>4319</v>
      </c>
      <c r="U695" t="s">
        <v>4318</v>
      </c>
      <c r="V695" t="s">
        <v>32</v>
      </c>
      <c r="W695" t="s">
        <v>33</v>
      </c>
      <c r="X695" t="s">
        <v>33</v>
      </c>
      <c r="Y695" t="s">
        <v>33</v>
      </c>
      <c r="Z695" s="16" t="s">
        <v>34</v>
      </c>
      <c r="AA695">
        <v>-75.617241000000007</v>
      </c>
      <c r="AB695">
        <v>6.1404480000000001</v>
      </c>
      <c r="AC695" t="s">
        <v>135</v>
      </c>
      <c r="AD695" t="s">
        <v>136</v>
      </c>
    </row>
    <row r="696" spans="1:30" x14ac:dyDescent="0.25">
      <c r="A696" t="s">
        <v>4326</v>
      </c>
      <c r="B696" t="s">
        <v>25</v>
      </c>
      <c r="C696" t="s">
        <v>26</v>
      </c>
      <c r="D696" t="s">
        <v>25</v>
      </c>
      <c r="E696" t="s">
        <v>4327</v>
      </c>
      <c r="F696" t="s">
        <v>4328</v>
      </c>
      <c r="G696">
        <v>901335234</v>
      </c>
      <c r="H696" t="s">
        <v>3779</v>
      </c>
      <c r="I696" s="4" t="s">
        <v>3780</v>
      </c>
      <c r="J696" s="4" t="s">
        <v>3781</v>
      </c>
      <c r="K696" t="s">
        <v>4329</v>
      </c>
      <c r="L696" t="s">
        <v>59</v>
      </c>
      <c r="M696" t="s">
        <v>4330</v>
      </c>
      <c r="N696" t="s">
        <v>60</v>
      </c>
      <c r="O696" t="s">
        <v>29</v>
      </c>
      <c r="P696" t="s">
        <v>54</v>
      </c>
      <c r="Q696" t="s">
        <v>31</v>
      </c>
      <c r="R696">
        <v>7</v>
      </c>
      <c r="S696" t="s">
        <v>4331</v>
      </c>
      <c r="T696" t="s">
        <v>4319</v>
      </c>
      <c r="U696" t="s">
        <v>4318</v>
      </c>
      <c r="V696" t="s">
        <v>32</v>
      </c>
      <c r="W696" t="s">
        <v>33</v>
      </c>
      <c r="X696" t="s">
        <v>33</v>
      </c>
      <c r="Y696" t="s">
        <v>33</v>
      </c>
      <c r="Z696" s="16" t="s">
        <v>34</v>
      </c>
      <c r="AA696">
        <v>-75.617241000000007</v>
      </c>
      <c r="AB696">
        <v>6.1404480000000001</v>
      </c>
      <c r="AC696" t="s">
        <v>135</v>
      </c>
      <c r="AD696" t="s">
        <v>136</v>
      </c>
    </row>
    <row r="697" spans="1:30" x14ac:dyDescent="0.25">
      <c r="A697" t="s">
        <v>4332</v>
      </c>
      <c r="B697" t="s">
        <v>25</v>
      </c>
      <c r="C697" t="s">
        <v>26</v>
      </c>
      <c r="D697" t="s">
        <v>25</v>
      </c>
      <c r="E697" t="s">
        <v>4333</v>
      </c>
      <c r="F697" t="s">
        <v>4334</v>
      </c>
      <c r="G697">
        <v>901335234</v>
      </c>
      <c r="H697" t="s">
        <v>3779</v>
      </c>
      <c r="I697" s="4" t="s">
        <v>3780</v>
      </c>
      <c r="J697" s="4" t="s">
        <v>3781</v>
      </c>
      <c r="K697" t="s">
        <v>4335</v>
      </c>
      <c r="L697" t="s">
        <v>59</v>
      </c>
      <c r="M697" t="s">
        <v>4336</v>
      </c>
      <c r="N697" t="s">
        <v>60</v>
      </c>
      <c r="O697" t="s">
        <v>29</v>
      </c>
      <c r="P697" t="s">
        <v>54</v>
      </c>
      <c r="Q697" t="s">
        <v>31</v>
      </c>
      <c r="R697">
        <v>7</v>
      </c>
      <c r="S697" t="s">
        <v>4337</v>
      </c>
      <c r="T697" t="s">
        <v>4319</v>
      </c>
      <c r="U697" t="s">
        <v>4318</v>
      </c>
      <c r="V697" t="s">
        <v>32</v>
      </c>
      <c r="W697" t="s">
        <v>33</v>
      </c>
      <c r="X697" t="s">
        <v>33</v>
      </c>
      <c r="Y697" t="s">
        <v>33</v>
      </c>
      <c r="Z697" s="16" t="s">
        <v>34</v>
      </c>
      <c r="AA697">
        <v>-75.617241000000007</v>
      </c>
      <c r="AB697">
        <v>6.1404480000000001</v>
      </c>
      <c r="AC697" t="s">
        <v>135</v>
      </c>
      <c r="AD697" t="s">
        <v>136</v>
      </c>
    </row>
    <row r="698" spans="1:30" x14ac:dyDescent="0.25">
      <c r="A698" t="s">
        <v>4338</v>
      </c>
      <c r="B698" t="s">
        <v>25</v>
      </c>
      <c r="C698" t="s">
        <v>26</v>
      </c>
      <c r="D698" t="s">
        <v>25</v>
      </c>
      <c r="E698" t="s">
        <v>4339</v>
      </c>
      <c r="F698" t="s">
        <v>4340</v>
      </c>
      <c r="G698">
        <v>901335234</v>
      </c>
      <c r="H698" t="s">
        <v>3779</v>
      </c>
      <c r="I698" s="4" t="s">
        <v>3780</v>
      </c>
      <c r="J698" s="4" t="s">
        <v>3781</v>
      </c>
      <c r="K698" t="s">
        <v>4341</v>
      </c>
      <c r="L698" t="s">
        <v>59</v>
      </c>
      <c r="M698" t="s">
        <v>4342</v>
      </c>
      <c r="N698" t="s">
        <v>60</v>
      </c>
      <c r="O698" t="s">
        <v>29</v>
      </c>
      <c r="P698" t="s">
        <v>54</v>
      </c>
      <c r="Q698" t="s">
        <v>31</v>
      </c>
      <c r="R698">
        <v>7</v>
      </c>
      <c r="S698" t="s">
        <v>4343</v>
      </c>
      <c r="T698" t="s">
        <v>4319</v>
      </c>
      <c r="U698" t="s">
        <v>4318</v>
      </c>
      <c r="V698" t="s">
        <v>32</v>
      </c>
      <c r="W698" t="s">
        <v>33</v>
      </c>
      <c r="X698" t="s">
        <v>33</v>
      </c>
      <c r="Y698" t="s">
        <v>33</v>
      </c>
      <c r="Z698" s="16" t="s">
        <v>34</v>
      </c>
      <c r="AA698">
        <v>-75.617241000000007</v>
      </c>
      <c r="AB698">
        <v>6.1404480000000001</v>
      </c>
      <c r="AC698" t="s">
        <v>135</v>
      </c>
      <c r="AD698" t="s">
        <v>136</v>
      </c>
    </row>
    <row r="699" spans="1:30" x14ac:dyDescent="0.25">
      <c r="A699" t="s">
        <v>4344</v>
      </c>
      <c r="B699" t="s">
        <v>25</v>
      </c>
      <c r="C699" t="s">
        <v>26</v>
      </c>
      <c r="D699" t="s">
        <v>25</v>
      </c>
      <c r="E699" t="s">
        <v>4345</v>
      </c>
      <c r="F699" t="s">
        <v>4346</v>
      </c>
      <c r="G699">
        <v>901335234</v>
      </c>
      <c r="H699" t="s">
        <v>3779</v>
      </c>
      <c r="I699" s="4" t="s">
        <v>3780</v>
      </c>
      <c r="J699" s="4" t="s">
        <v>3781</v>
      </c>
      <c r="K699" t="s">
        <v>4347</v>
      </c>
      <c r="L699" t="s">
        <v>59</v>
      </c>
      <c r="M699" t="s">
        <v>4348</v>
      </c>
      <c r="N699" t="s">
        <v>60</v>
      </c>
      <c r="O699" t="s">
        <v>29</v>
      </c>
      <c r="P699" t="s">
        <v>54</v>
      </c>
      <c r="Q699" t="s">
        <v>31</v>
      </c>
      <c r="R699">
        <v>7</v>
      </c>
      <c r="S699" t="s">
        <v>4349</v>
      </c>
      <c r="T699" t="s">
        <v>4319</v>
      </c>
      <c r="U699" t="s">
        <v>4318</v>
      </c>
      <c r="V699" t="s">
        <v>32</v>
      </c>
      <c r="W699" t="s">
        <v>33</v>
      </c>
      <c r="X699" t="s">
        <v>33</v>
      </c>
      <c r="Y699" t="s">
        <v>33</v>
      </c>
      <c r="Z699" s="16" t="s">
        <v>34</v>
      </c>
      <c r="AA699">
        <v>-75.617241000000007</v>
      </c>
      <c r="AB699">
        <v>6.1404480000000001</v>
      </c>
      <c r="AC699" t="s">
        <v>135</v>
      </c>
      <c r="AD699" t="s">
        <v>136</v>
      </c>
    </row>
    <row r="700" spans="1:30" x14ac:dyDescent="0.25">
      <c r="A700" t="s">
        <v>4350</v>
      </c>
      <c r="B700" t="s">
        <v>25</v>
      </c>
      <c r="C700" t="s">
        <v>26</v>
      </c>
      <c r="D700" t="s">
        <v>25</v>
      </c>
      <c r="E700" t="s">
        <v>4345</v>
      </c>
      <c r="F700" t="s">
        <v>4346</v>
      </c>
      <c r="G700">
        <v>901335234</v>
      </c>
      <c r="H700" t="s">
        <v>3779</v>
      </c>
      <c r="I700" s="4" t="s">
        <v>3780</v>
      </c>
      <c r="J700" s="4" t="s">
        <v>3781</v>
      </c>
      <c r="K700" t="s">
        <v>4351</v>
      </c>
      <c r="L700" t="s">
        <v>59</v>
      </c>
      <c r="M700" t="s">
        <v>4352</v>
      </c>
      <c r="N700" t="s">
        <v>60</v>
      </c>
      <c r="O700" t="s">
        <v>29</v>
      </c>
      <c r="P700" t="s">
        <v>54</v>
      </c>
      <c r="Q700" t="s">
        <v>31</v>
      </c>
      <c r="R700">
        <v>7</v>
      </c>
      <c r="S700" t="s">
        <v>4349</v>
      </c>
      <c r="T700" t="s">
        <v>4319</v>
      </c>
      <c r="U700" t="s">
        <v>4318</v>
      </c>
      <c r="V700" t="s">
        <v>32</v>
      </c>
      <c r="W700" t="s">
        <v>33</v>
      </c>
      <c r="X700" t="s">
        <v>33</v>
      </c>
      <c r="Y700" t="s">
        <v>33</v>
      </c>
      <c r="Z700" s="16" t="s">
        <v>34</v>
      </c>
      <c r="AA700">
        <v>-75.617241000000007</v>
      </c>
      <c r="AB700">
        <v>6.1404480000000001</v>
      </c>
      <c r="AC700" t="s">
        <v>135</v>
      </c>
      <c r="AD700" t="s">
        <v>136</v>
      </c>
    </row>
    <row r="701" spans="1:30" x14ac:dyDescent="0.25">
      <c r="A701" t="s">
        <v>4353</v>
      </c>
      <c r="B701" t="s">
        <v>25</v>
      </c>
      <c r="C701" t="s">
        <v>26</v>
      </c>
      <c r="D701" t="s">
        <v>25</v>
      </c>
      <c r="E701" t="s">
        <v>4354</v>
      </c>
      <c r="F701" t="s">
        <v>4355</v>
      </c>
      <c r="G701">
        <v>901335234</v>
      </c>
      <c r="H701" t="s">
        <v>3779</v>
      </c>
      <c r="I701" s="4" t="s">
        <v>3780</v>
      </c>
      <c r="J701" s="4" t="s">
        <v>3781</v>
      </c>
      <c r="K701" t="s">
        <v>4356</v>
      </c>
      <c r="L701" t="s">
        <v>59</v>
      </c>
      <c r="M701" t="s">
        <v>4357</v>
      </c>
      <c r="N701" t="s">
        <v>60</v>
      </c>
      <c r="O701" t="s">
        <v>29</v>
      </c>
      <c r="P701" t="s">
        <v>54</v>
      </c>
      <c r="Q701" t="s">
        <v>31</v>
      </c>
      <c r="R701">
        <v>7</v>
      </c>
      <c r="S701" t="s">
        <v>4358</v>
      </c>
      <c r="T701" t="s">
        <v>4319</v>
      </c>
      <c r="U701" t="s">
        <v>4318</v>
      </c>
      <c r="V701" t="s">
        <v>32</v>
      </c>
      <c r="W701" t="s">
        <v>33</v>
      </c>
      <c r="X701" t="s">
        <v>33</v>
      </c>
      <c r="Y701" t="s">
        <v>33</v>
      </c>
      <c r="Z701" s="16" t="s">
        <v>34</v>
      </c>
      <c r="AA701">
        <v>-75.617241000000007</v>
      </c>
      <c r="AB701">
        <v>6.1404480000000001</v>
      </c>
      <c r="AC701" t="s">
        <v>135</v>
      </c>
      <c r="AD701" t="s">
        <v>136</v>
      </c>
    </row>
    <row r="702" spans="1:30" x14ac:dyDescent="0.25">
      <c r="A702" t="s">
        <v>4359</v>
      </c>
      <c r="B702" t="s">
        <v>25</v>
      </c>
      <c r="C702" t="s">
        <v>26</v>
      </c>
      <c r="D702" t="s">
        <v>25</v>
      </c>
      <c r="E702" t="s">
        <v>4354</v>
      </c>
      <c r="F702" t="s">
        <v>4355</v>
      </c>
      <c r="G702">
        <v>901335234</v>
      </c>
      <c r="H702" t="s">
        <v>3779</v>
      </c>
      <c r="I702" s="4" t="s">
        <v>3780</v>
      </c>
      <c r="J702" s="4" t="s">
        <v>3781</v>
      </c>
      <c r="K702" t="s">
        <v>4360</v>
      </c>
      <c r="L702" t="s">
        <v>59</v>
      </c>
      <c r="M702" t="s">
        <v>4361</v>
      </c>
      <c r="N702" t="s">
        <v>60</v>
      </c>
      <c r="O702" t="s">
        <v>29</v>
      </c>
      <c r="P702" t="s">
        <v>54</v>
      </c>
      <c r="Q702" t="s">
        <v>31</v>
      </c>
      <c r="R702">
        <v>7</v>
      </c>
      <c r="S702" t="s">
        <v>4358</v>
      </c>
      <c r="T702" t="s">
        <v>4319</v>
      </c>
      <c r="U702" t="s">
        <v>4318</v>
      </c>
      <c r="V702" t="s">
        <v>32</v>
      </c>
      <c r="W702" t="s">
        <v>33</v>
      </c>
      <c r="X702" t="s">
        <v>33</v>
      </c>
      <c r="Y702" t="s">
        <v>33</v>
      </c>
      <c r="Z702" s="16" t="s">
        <v>34</v>
      </c>
      <c r="AA702">
        <v>-75.617241000000007</v>
      </c>
      <c r="AB702">
        <v>6.1404480000000001</v>
      </c>
      <c r="AC702" t="s">
        <v>135</v>
      </c>
      <c r="AD702" t="s">
        <v>136</v>
      </c>
    </row>
    <row r="703" spans="1:30" x14ac:dyDescent="0.25">
      <c r="A703" t="s">
        <v>4362</v>
      </c>
      <c r="B703" t="s">
        <v>25</v>
      </c>
      <c r="C703" t="s">
        <v>26</v>
      </c>
      <c r="D703" t="s">
        <v>25</v>
      </c>
      <c r="E703" t="s">
        <v>4354</v>
      </c>
      <c r="F703" t="s">
        <v>4355</v>
      </c>
      <c r="G703">
        <v>901335234</v>
      </c>
      <c r="H703" t="s">
        <v>3779</v>
      </c>
      <c r="I703" s="4" t="s">
        <v>3780</v>
      </c>
      <c r="J703" s="4" t="s">
        <v>3781</v>
      </c>
      <c r="K703" t="s">
        <v>4363</v>
      </c>
      <c r="L703" t="s">
        <v>59</v>
      </c>
      <c r="M703" t="s">
        <v>4364</v>
      </c>
      <c r="N703" t="s">
        <v>60</v>
      </c>
      <c r="O703" t="s">
        <v>29</v>
      </c>
      <c r="P703" t="s">
        <v>54</v>
      </c>
      <c r="Q703" t="s">
        <v>31</v>
      </c>
      <c r="R703">
        <v>7</v>
      </c>
      <c r="S703" t="s">
        <v>4358</v>
      </c>
      <c r="T703" t="s">
        <v>4319</v>
      </c>
      <c r="U703" t="s">
        <v>4318</v>
      </c>
      <c r="V703" t="s">
        <v>32</v>
      </c>
      <c r="W703" t="s">
        <v>33</v>
      </c>
      <c r="X703" t="s">
        <v>33</v>
      </c>
      <c r="Y703" t="s">
        <v>33</v>
      </c>
      <c r="Z703" s="16" t="s">
        <v>34</v>
      </c>
      <c r="AA703">
        <v>-75.617241000000007</v>
      </c>
      <c r="AB703">
        <v>6.1404480000000001</v>
      </c>
      <c r="AC703" t="s">
        <v>135</v>
      </c>
      <c r="AD703" t="s">
        <v>136</v>
      </c>
    </row>
    <row r="704" spans="1:30" x14ac:dyDescent="0.25">
      <c r="A704" t="s">
        <v>4365</v>
      </c>
      <c r="B704" t="s">
        <v>25</v>
      </c>
      <c r="C704" t="s">
        <v>26</v>
      </c>
      <c r="D704" t="s">
        <v>25</v>
      </c>
      <c r="E704" t="s">
        <v>4366</v>
      </c>
      <c r="F704" t="s">
        <v>4367</v>
      </c>
      <c r="G704">
        <v>901335234</v>
      </c>
      <c r="H704" t="s">
        <v>3779</v>
      </c>
      <c r="I704" s="4" t="s">
        <v>3780</v>
      </c>
      <c r="J704" s="4" t="s">
        <v>3781</v>
      </c>
      <c r="K704" t="s">
        <v>4368</v>
      </c>
      <c r="L704" t="s">
        <v>59</v>
      </c>
      <c r="M704" t="s">
        <v>4369</v>
      </c>
      <c r="N704" t="s">
        <v>60</v>
      </c>
      <c r="O704" t="s">
        <v>29</v>
      </c>
      <c r="P704" t="s">
        <v>54</v>
      </c>
      <c r="Q704" t="s">
        <v>31</v>
      </c>
      <c r="R704">
        <v>7</v>
      </c>
      <c r="S704" t="s">
        <v>4370</v>
      </c>
      <c r="T704" t="s">
        <v>4319</v>
      </c>
      <c r="U704" t="s">
        <v>4318</v>
      </c>
      <c r="V704" t="s">
        <v>32</v>
      </c>
      <c r="W704" t="s">
        <v>33</v>
      </c>
      <c r="X704" t="s">
        <v>33</v>
      </c>
      <c r="Y704" t="s">
        <v>33</v>
      </c>
      <c r="Z704" s="16" t="s">
        <v>34</v>
      </c>
      <c r="AA704">
        <v>-75.61732069</v>
      </c>
      <c r="AB704">
        <v>6.1404824400000004</v>
      </c>
      <c r="AC704" t="s">
        <v>135</v>
      </c>
      <c r="AD704" t="s">
        <v>136</v>
      </c>
    </row>
    <row r="705" spans="1:30" x14ac:dyDescent="0.25">
      <c r="A705" t="s">
        <v>4371</v>
      </c>
      <c r="B705" t="s">
        <v>25</v>
      </c>
      <c r="C705" t="s">
        <v>26</v>
      </c>
      <c r="D705" t="s">
        <v>25</v>
      </c>
      <c r="E705" t="s">
        <v>4372</v>
      </c>
      <c r="F705" t="s">
        <v>4373</v>
      </c>
      <c r="G705">
        <v>901335234</v>
      </c>
      <c r="H705" t="s">
        <v>3779</v>
      </c>
      <c r="I705" s="4" t="s">
        <v>3780</v>
      </c>
      <c r="J705" s="4" t="s">
        <v>3781</v>
      </c>
      <c r="K705" t="s">
        <v>4374</v>
      </c>
      <c r="L705" t="s">
        <v>59</v>
      </c>
      <c r="M705" t="s">
        <v>4375</v>
      </c>
      <c r="N705" t="s">
        <v>60</v>
      </c>
      <c r="O705" t="s">
        <v>29</v>
      </c>
      <c r="P705" t="s">
        <v>54</v>
      </c>
      <c r="Q705" t="s">
        <v>31</v>
      </c>
      <c r="R705">
        <v>7</v>
      </c>
      <c r="S705" t="s">
        <v>4376</v>
      </c>
      <c r="T705" t="s">
        <v>4319</v>
      </c>
      <c r="U705" t="s">
        <v>4318</v>
      </c>
      <c r="V705" t="s">
        <v>32</v>
      </c>
      <c r="W705" t="s">
        <v>33</v>
      </c>
      <c r="X705" t="s">
        <v>33</v>
      </c>
      <c r="Y705" t="s">
        <v>33</v>
      </c>
      <c r="Z705" s="16" t="s">
        <v>34</v>
      </c>
      <c r="AA705">
        <v>-75.617241000000007</v>
      </c>
      <c r="AB705">
        <v>6.1404480000000001</v>
      </c>
      <c r="AC705" t="s">
        <v>135</v>
      </c>
      <c r="AD705" t="s">
        <v>136</v>
      </c>
    </row>
    <row r="706" spans="1:30" x14ac:dyDescent="0.25">
      <c r="A706" t="s">
        <v>4377</v>
      </c>
      <c r="B706" t="s">
        <v>25</v>
      </c>
      <c r="C706" t="s">
        <v>26</v>
      </c>
      <c r="D706" t="s">
        <v>25</v>
      </c>
      <c r="E706" t="s">
        <v>4372</v>
      </c>
      <c r="F706" t="s">
        <v>4373</v>
      </c>
      <c r="G706">
        <v>901335234</v>
      </c>
      <c r="H706" t="s">
        <v>3779</v>
      </c>
      <c r="I706" s="4" t="s">
        <v>3780</v>
      </c>
      <c r="J706" s="4" t="s">
        <v>3781</v>
      </c>
      <c r="K706" t="s">
        <v>4378</v>
      </c>
      <c r="L706" t="s">
        <v>59</v>
      </c>
      <c r="M706" t="s">
        <v>4379</v>
      </c>
      <c r="N706" t="s">
        <v>60</v>
      </c>
      <c r="O706" t="s">
        <v>29</v>
      </c>
      <c r="P706" t="s">
        <v>54</v>
      </c>
      <c r="Q706" t="s">
        <v>31</v>
      </c>
      <c r="R706">
        <v>7</v>
      </c>
      <c r="S706" t="s">
        <v>4376</v>
      </c>
      <c r="T706" t="s">
        <v>4319</v>
      </c>
      <c r="U706" t="s">
        <v>4318</v>
      </c>
      <c r="V706" t="s">
        <v>32</v>
      </c>
      <c r="W706" t="s">
        <v>33</v>
      </c>
      <c r="X706" t="s">
        <v>33</v>
      </c>
      <c r="Y706" t="s">
        <v>33</v>
      </c>
      <c r="Z706" s="16" t="s">
        <v>34</v>
      </c>
      <c r="AA706">
        <v>-75.617241000000007</v>
      </c>
      <c r="AB706">
        <v>6.1404480000000001</v>
      </c>
      <c r="AC706" t="s">
        <v>135</v>
      </c>
      <c r="AD706" t="s">
        <v>136</v>
      </c>
    </row>
    <row r="707" spans="1:30" x14ac:dyDescent="0.25">
      <c r="A707" t="s">
        <v>4380</v>
      </c>
      <c r="B707" t="s">
        <v>25</v>
      </c>
      <c r="C707" t="s">
        <v>26</v>
      </c>
      <c r="D707" t="s">
        <v>25</v>
      </c>
      <c r="E707" t="s">
        <v>4381</v>
      </c>
      <c r="F707" t="s">
        <v>4382</v>
      </c>
      <c r="G707">
        <v>901335234</v>
      </c>
      <c r="H707" t="s">
        <v>3779</v>
      </c>
      <c r="I707" s="4" t="s">
        <v>3780</v>
      </c>
      <c r="J707" s="4" t="s">
        <v>3781</v>
      </c>
      <c r="K707" t="s">
        <v>4383</v>
      </c>
      <c r="L707" t="s">
        <v>59</v>
      </c>
      <c r="M707" t="s">
        <v>4384</v>
      </c>
      <c r="N707" t="s">
        <v>60</v>
      </c>
      <c r="O707" t="s">
        <v>29</v>
      </c>
      <c r="P707" t="s">
        <v>54</v>
      </c>
      <c r="Q707" t="s">
        <v>31</v>
      </c>
      <c r="R707">
        <v>7</v>
      </c>
      <c r="S707" t="s">
        <v>4385</v>
      </c>
      <c r="T707" t="s">
        <v>4319</v>
      </c>
      <c r="U707" t="s">
        <v>4318</v>
      </c>
      <c r="V707" t="s">
        <v>32</v>
      </c>
      <c r="W707" t="s">
        <v>33</v>
      </c>
      <c r="X707" t="s">
        <v>33</v>
      </c>
      <c r="Y707" t="s">
        <v>33</v>
      </c>
      <c r="Z707" s="16" t="s">
        <v>34</v>
      </c>
      <c r="AA707">
        <v>-75.617241000000007</v>
      </c>
      <c r="AB707">
        <v>6.1404480000000001</v>
      </c>
      <c r="AC707" t="s">
        <v>135</v>
      </c>
      <c r="AD707" t="s">
        <v>136</v>
      </c>
    </row>
    <row r="708" spans="1:30" x14ac:dyDescent="0.25">
      <c r="A708" t="s">
        <v>4386</v>
      </c>
      <c r="B708" t="s">
        <v>25</v>
      </c>
      <c r="C708" t="s">
        <v>26</v>
      </c>
      <c r="D708" t="s">
        <v>25</v>
      </c>
      <c r="E708" t="s">
        <v>4381</v>
      </c>
      <c r="F708" t="s">
        <v>4382</v>
      </c>
      <c r="G708">
        <v>901335234</v>
      </c>
      <c r="H708" t="s">
        <v>3779</v>
      </c>
      <c r="I708" s="4" t="s">
        <v>3780</v>
      </c>
      <c r="J708" s="4" t="s">
        <v>3781</v>
      </c>
      <c r="K708" t="s">
        <v>4387</v>
      </c>
      <c r="L708" t="s">
        <v>59</v>
      </c>
      <c r="M708" t="s">
        <v>4388</v>
      </c>
      <c r="N708" t="s">
        <v>60</v>
      </c>
      <c r="O708" t="s">
        <v>29</v>
      </c>
      <c r="P708" t="s">
        <v>54</v>
      </c>
      <c r="Q708" t="s">
        <v>31</v>
      </c>
      <c r="R708">
        <v>7</v>
      </c>
      <c r="S708" t="s">
        <v>4385</v>
      </c>
      <c r="T708" t="s">
        <v>4319</v>
      </c>
      <c r="U708" t="s">
        <v>4318</v>
      </c>
      <c r="V708" t="s">
        <v>32</v>
      </c>
      <c r="W708" t="s">
        <v>33</v>
      </c>
      <c r="X708" t="s">
        <v>33</v>
      </c>
      <c r="Y708" t="s">
        <v>33</v>
      </c>
      <c r="Z708" s="16" t="s">
        <v>34</v>
      </c>
      <c r="AA708">
        <v>-75.617241000000007</v>
      </c>
      <c r="AB708">
        <v>6.1404480000000001</v>
      </c>
      <c r="AC708" t="s">
        <v>135</v>
      </c>
      <c r="AD708" t="s">
        <v>136</v>
      </c>
    </row>
    <row r="709" spans="1:30" x14ac:dyDescent="0.25">
      <c r="A709" t="s">
        <v>4389</v>
      </c>
      <c r="B709" t="s">
        <v>25</v>
      </c>
      <c r="C709" t="s">
        <v>26</v>
      </c>
      <c r="D709" t="s">
        <v>25</v>
      </c>
      <c r="E709" t="s">
        <v>4390</v>
      </c>
      <c r="F709" t="s">
        <v>4391</v>
      </c>
      <c r="G709">
        <v>901335234</v>
      </c>
      <c r="H709" t="s">
        <v>3779</v>
      </c>
      <c r="I709" s="4" t="s">
        <v>3780</v>
      </c>
      <c r="J709" s="4" t="s">
        <v>3781</v>
      </c>
      <c r="K709" t="s">
        <v>4392</v>
      </c>
      <c r="L709" t="s">
        <v>59</v>
      </c>
      <c r="M709" t="s">
        <v>4393</v>
      </c>
      <c r="N709" t="s">
        <v>60</v>
      </c>
      <c r="O709" t="s">
        <v>29</v>
      </c>
      <c r="P709" t="s">
        <v>54</v>
      </c>
      <c r="Q709" t="s">
        <v>31</v>
      </c>
      <c r="R709">
        <v>7</v>
      </c>
      <c r="S709" t="s">
        <v>4394</v>
      </c>
      <c r="T709" t="s">
        <v>4319</v>
      </c>
      <c r="U709" t="s">
        <v>4318</v>
      </c>
      <c r="V709" t="s">
        <v>32</v>
      </c>
      <c r="W709" t="s">
        <v>33</v>
      </c>
      <c r="X709" t="s">
        <v>33</v>
      </c>
      <c r="Y709" t="s">
        <v>33</v>
      </c>
      <c r="Z709" s="16" t="s">
        <v>34</v>
      </c>
      <c r="AA709">
        <v>-75.617241000000007</v>
      </c>
      <c r="AB709">
        <v>6.1404480000000001</v>
      </c>
      <c r="AC709" t="s">
        <v>135</v>
      </c>
      <c r="AD709" t="s">
        <v>136</v>
      </c>
    </row>
    <row r="710" spans="1:30" x14ac:dyDescent="0.25">
      <c r="A710" t="s">
        <v>4395</v>
      </c>
      <c r="B710" t="s">
        <v>25</v>
      </c>
      <c r="C710" t="s">
        <v>26</v>
      </c>
      <c r="D710" t="s">
        <v>25</v>
      </c>
      <c r="E710" t="s">
        <v>4396</v>
      </c>
      <c r="F710" t="s">
        <v>4397</v>
      </c>
      <c r="G710">
        <v>901335234</v>
      </c>
      <c r="H710" t="s">
        <v>3779</v>
      </c>
      <c r="I710" s="4" t="s">
        <v>3780</v>
      </c>
      <c r="J710" s="4" t="s">
        <v>3781</v>
      </c>
      <c r="K710" t="s">
        <v>4398</v>
      </c>
      <c r="L710" t="s">
        <v>59</v>
      </c>
      <c r="M710" t="s">
        <v>4399</v>
      </c>
      <c r="N710" t="s">
        <v>60</v>
      </c>
      <c r="O710" t="s">
        <v>29</v>
      </c>
      <c r="P710" t="s">
        <v>54</v>
      </c>
      <c r="Q710" t="s">
        <v>31</v>
      </c>
      <c r="R710">
        <v>7</v>
      </c>
      <c r="S710" t="s">
        <v>4400</v>
      </c>
      <c r="T710" t="s">
        <v>4319</v>
      </c>
      <c r="U710" t="s">
        <v>4318</v>
      </c>
      <c r="V710" t="s">
        <v>32</v>
      </c>
      <c r="W710" t="s">
        <v>33</v>
      </c>
      <c r="X710" t="s">
        <v>33</v>
      </c>
      <c r="Y710" t="s">
        <v>33</v>
      </c>
      <c r="Z710" s="16" t="s">
        <v>34</v>
      </c>
      <c r="AA710">
        <v>-75.617241000000007</v>
      </c>
      <c r="AB710">
        <v>6.1404480000000001</v>
      </c>
      <c r="AC710" t="s">
        <v>135</v>
      </c>
      <c r="AD710" t="s">
        <v>136</v>
      </c>
    </row>
    <row r="711" spans="1:30" x14ac:dyDescent="0.25">
      <c r="A711" t="s">
        <v>4401</v>
      </c>
      <c r="B711" t="s">
        <v>25</v>
      </c>
      <c r="C711" t="s">
        <v>26</v>
      </c>
      <c r="D711" t="s">
        <v>25</v>
      </c>
      <c r="E711" t="s">
        <v>4402</v>
      </c>
      <c r="F711" t="s">
        <v>4403</v>
      </c>
      <c r="G711">
        <v>901335234</v>
      </c>
      <c r="H711" t="s">
        <v>3779</v>
      </c>
      <c r="I711" s="4" t="s">
        <v>3780</v>
      </c>
      <c r="J711" s="4" t="s">
        <v>3781</v>
      </c>
      <c r="K711" t="s">
        <v>4404</v>
      </c>
      <c r="L711" t="s">
        <v>59</v>
      </c>
      <c r="M711" t="s">
        <v>4405</v>
      </c>
      <c r="N711" t="s">
        <v>60</v>
      </c>
      <c r="O711" t="s">
        <v>29</v>
      </c>
      <c r="P711" t="s">
        <v>54</v>
      </c>
      <c r="Q711" t="s">
        <v>31</v>
      </c>
      <c r="R711">
        <v>7</v>
      </c>
      <c r="S711" t="s">
        <v>4406</v>
      </c>
      <c r="T711" t="s">
        <v>4319</v>
      </c>
      <c r="U711" t="s">
        <v>4318</v>
      </c>
      <c r="V711" t="s">
        <v>32</v>
      </c>
      <c r="W711" t="s">
        <v>33</v>
      </c>
      <c r="X711" t="s">
        <v>33</v>
      </c>
      <c r="Y711" t="s">
        <v>33</v>
      </c>
      <c r="Z711" s="16" t="s">
        <v>34</v>
      </c>
      <c r="AA711">
        <v>-75.617241000000007</v>
      </c>
      <c r="AB711">
        <v>6.1404480000000001</v>
      </c>
      <c r="AC711" t="s">
        <v>135</v>
      </c>
      <c r="AD711" t="s">
        <v>136</v>
      </c>
    </row>
    <row r="712" spans="1:30" x14ac:dyDescent="0.25">
      <c r="A712" t="s">
        <v>4407</v>
      </c>
      <c r="B712" t="s">
        <v>25</v>
      </c>
      <c r="C712" t="s">
        <v>26</v>
      </c>
      <c r="D712" t="s">
        <v>25</v>
      </c>
      <c r="E712" t="s">
        <v>4402</v>
      </c>
      <c r="F712" t="s">
        <v>4403</v>
      </c>
      <c r="G712">
        <v>901335234</v>
      </c>
      <c r="H712" t="s">
        <v>3779</v>
      </c>
      <c r="I712" s="4" t="s">
        <v>3780</v>
      </c>
      <c r="J712" s="4" t="s">
        <v>3781</v>
      </c>
      <c r="K712" t="s">
        <v>4408</v>
      </c>
      <c r="L712" t="s">
        <v>59</v>
      </c>
      <c r="M712" t="s">
        <v>4409</v>
      </c>
      <c r="N712" t="s">
        <v>60</v>
      </c>
      <c r="O712" t="s">
        <v>29</v>
      </c>
      <c r="P712" t="s">
        <v>54</v>
      </c>
      <c r="Q712" t="s">
        <v>31</v>
      </c>
      <c r="R712">
        <v>7</v>
      </c>
      <c r="S712" t="s">
        <v>4406</v>
      </c>
      <c r="T712" t="s">
        <v>4319</v>
      </c>
      <c r="U712" t="s">
        <v>4318</v>
      </c>
      <c r="V712" t="s">
        <v>32</v>
      </c>
      <c r="W712" t="s">
        <v>33</v>
      </c>
      <c r="X712" t="s">
        <v>33</v>
      </c>
      <c r="Y712" t="s">
        <v>33</v>
      </c>
      <c r="Z712" s="16" t="s">
        <v>34</v>
      </c>
      <c r="AA712">
        <v>-75.617241000000007</v>
      </c>
      <c r="AB712">
        <v>6.1404480000000001</v>
      </c>
      <c r="AC712" t="s">
        <v>135</v>
      </c>
      <c r="AD712" t="s">
        <v>136</v>
      </c>
    </row>
    <row r="713" spans="1:30" x14ac:dyDescent="0.25">
      <c r="A713" t="s">
        <v>4410</v>
      </c>
      <c r="B713" t="s">
        <v>25</v>
      </c>
      <c r="C713" t="s">
        <v>26</v>
      </c>
      <c r="D713" t="s">
        <v>25</v>
      </c>
      <c r="E713" t="s">
        <v>4411</v>
      </c>
      <c r="F713" t="s">
        <v>4412</v>
      </c>
      <c r="G713">
        <v>901335234</v>
      </c>
      <c r="H713" t="s">
        <v>3779</v>
      </c>
      <c r="I713" s="4" t="s">
        <v>3780</v>
      </c>
      <c r="J713" s="4" t="s">
        <v>3781</v>
      </c>
      <c r="K713" t="s">
        <v>4413</v>
      </c>
      <c r="L713" t="s">
        <v>59</v>
      </c>
      <c r="M713" t="s">
        <v>4414</v>
      </c>
      <c r="N713" t="s">
        <v>60</v>
      </c>
      <c r="O713" t="s">
        <v>29</v>
      </c>
      <c r="P713" t="s">
        <v>54</v>
      </c>
      <c r="Q713" t="s">
        <v>31</v>
      </c>
      <c r="R713">
        <v>7</v>
      </c>
      <c r="S713" t="s">
        <v>4415</v>
      </c>
      <c r="T713" t="s">
        <v>4319</v>
      </c>
      <c r="U713" t="s">
        <v>4318</v>
      </c>
      <c r="V713" t="s">
        <v>32</v>
      </c>
      <c r="W713" t="s">
        <v>33</v>
      </c>
      <c r="X713" t="s">
        <v>33</v>
      </c>
      <c r="Y713" t="s">
        <v>33</v>
      </c>
      <c r="Z713" s="16" t="s">
        <v>34</v>
      </c>
      <c r="AA713">
        <v>-75.617241000000007</v>
      </c>
      <c r="AB713">
        <v>6.1404480000000001</v>
      </c>
      <c r="AC713" t="s">
        <v>135</v>
      </c>
      <c r="AD713" t="s">
        <v>136</v>
      </c>
    </row>
    <row r="714" spans="1:30" x14ac:dyDescent="0.25">
      <c r="A714" t="s">
        <v>4416</v>
      </c>
      <c r="B714" t="s">
        <v>25</v>
      </c>
      <c r="C714" t="s">
        <v>26</v>
      </c>
      <c r="D714" t="s">
        <v>25</v>
      </c>
      <c r="E714" t="s">
        <v>4417</v>
      </c>
      <c r="F714" t="s">
        <v>4412</v>
      </c>
      <c r="G714">
        <v>901335234</v>
      </c>
      <c r="H714" t="s">
        <v>3779</v>
      </c>
      <c r="I714" s="4" t="s">
        <v>3780</v>
      </c>
      <c r="J714" s="4" t="s">
        <v>3781</v>
      </c>
      <c r="K714" t="s">
        <v>4418</v>
      </c>
      <c r="L714" t="s">
        <v>59</v>
      </c>
      <c r="M714" t="s">
        <v>4419</v>
      </c>
      <c r="N714" t="s">
        <v>60</v>
      </c>
      <c r="O714" t="s">
        <v>29</v>
      </c>
      <c r="P714" t="s">
        <v>54</v>
      </c>
      <c r="Q714" t="s">
        <v>31</v>
      </c>
      <c r="R714">
        <v>7</v>
      </c>
      <c r="S714" t="s">
        <v>4415</v>
      </c>
      <c r="T714" t="s">
        <v>4319</v>
      </c>
      <c r="U714" t="s">
        <v>4318</v>
      </c>
      <c r="V714" t="s">
        <v>32</v>
      </c>
      <c r="W714" t="s">
        <v>33</v>
      </c>
      <c r="X714" t="s">
        <v>33</v>
      </c>
      <c r="Y714" t="s">
        <v>33</v>
      </c>
      <c r="Z714" s="16" t="s">
        <v>34</v>
      </c>
      <c r="AA714">
        <v>-75.617241000000007</v>
      </c>
      <c r="AB714">
        <v>6.1404480000000001</v>
      </c>
      <c r="AC714" t="s">
        <v>135</v>
      </c>
      <c r="AD714" t="s">
        <v>136</v>
      </c>
    </row>
    <row r="715" spans="1:30" x14ac:dyDescent="0.25">
      <c r="A715" t="s">
        <v>4420</v>
      </c>
      <c r="B715" t="s">
        <v>25</v>
      </c>
      <c r="C715" t="s">
        <v>26</v>
      </c>
      <c r="D715" t="s">
        <v>25</v>
      </c>
      <c r="E715" t="s">
        <v>4417</v>
      </c>
      <c r="F715" t="s">
        <v>4412</v>
      </c>
      <c r="G715">
        <v>901335234</v>
      </c>
      <c r="H715" t="s">
        <v>3779</v>
      </c>
      <c r="I715" s="4" t="s">
        <v>3780</v>
      </c>
      <c r="J715" s="4" t="s">
        <v>3781</v>
      </c>
      <c r="K715" t="s">
        <v>4421</v>
      </c>
      <c r="L715" t="s">
        <v>59</v>
      </c>
      <c r="M715" t="s">
        <v>4422</v>
      </c>
      <c r="N715" t="s">
        <v>60</v>
      </c>
      <c r="O715" t="s">
        <v>29</v>
      </c>
      <c r="P715" t="s">
        <v>54</v>
      </c>
      <c r="Q715" t="s">
        <v>31</v>
      </c>
      <c r="R715">
        <v>7</v>
      </c>
      <c r="S715" t="s">
        <v>4415</v>
      </c>
      <c r="T715" t="s">
        <v>4319</v>
      </c>
      <c r="U715" t="s">
        <v>4318</v>
      </c>
      <c r="V715" t="s">
        <v>32</v>
      </c>
      <c r="W715" t="s">
        <v>33</v>
      </c>
      <c r="X715" t="s">
        <v>33</v>
      </c>
      <c r="Y715" t="s">
        <v>33</v>
      </c>
      <c r="Z715" s="16" t="s">
        <v>34</v>
      </c>
      <c r="AA715">
        <v>-75.617241000000007</v>
      </c>
      <c r="AB715">
        <v>6.1404480000000001</v>
      </c>
      <c r="AC715" t="s">
        <v>135</v>
      </c>
      <c r="AD715" t="s">
        <v>136</v>
      </c>
    </row>
    <row r="716" spans="1:30" x14ac:dyDescent="0.25">
      <c r="A716" t="s">
        <v>4423</v>
      </c>
      <c r="B716" t="s">
        <v>25</v>
      </c>
      <c r="C716" t="s">
        <v>26</v>
      </c>
      <c r="D716" t="s">
        <v>25</v>
      </c>
      <c r="E716" t="s">
        <v>4417</v>
      </c>
      <c r="F716" t="s">
        <v>4412</v>
      </c>
      <c r="G716">
        <v>901335234</v>
      </c>
      <c r="H716" t="s">
        <v>3779</v>
      </c>
      <c r="I716" s="4" t="s">
        <v>3780</v>
      </c>
      <c r="J716" s="4" t="s">
        <v>3781</v>
      </c>
      <c r="K716" t="s">
        <v>4424</v>
      </c>
      <c r="L716" t="s">
        <v>59</v>
      </c>
      <c r="M716" t="s">
        <v>4425</v>
      </c>
      <c r="N716" t="s">
        <v>60</v>
      </c>
      <c r="O716" t="s">
        <v>29</v>
      </c>
      <c r="P716" t="s">
        <v>54</v>
      </c>
      <c r="Q716" t="s">
        <v>31</v>
      </c>
      <c r="R716">
        <v>7</v>
      </c>
      <c r="S716" t="s">
        <v>4415</v>
      </c>
      <c r="T716" t="s">
        <v>4319</v>
      </c>
      <c r="U716" t="s">
        <v>4318</v>
      </c>
      <c r="V716" t="s">
        <v>32</v>
      </c>
      <c r="W716" t="s">
        <v>33</v>
      </c>
      <c r="X716" t="s">
        <v>33</v>
      </c>
      <c r="Y716" t="s">
        <v>33</v>
      </c>
      <c r="Z716" s="16" t="s">
        <v>34</v>
      </c>
      <c r="AA716">
        <v>-75.617241000000007</v>
      </c>
      <c r="AB716">
        <v>6.1404480000000001</v>
      </c>
      <c r="AC716" t="s">
        <v>135</v>
      </c>
      <c r="AD716" t="s">
        <v>136</v>
      </c>
    </row>
    <row r="717" spans="1:30" x14ac:dyDescent="0.25">
      <c r="A717" t="s">
        <v>4426</v>
      </c>
      <c r="B717" t="s">
        <v>25</v>
      </c>
      <c r="C717" t="s">
        <v>26</v>
      </c>
      <c r="D717" t="s">
        <v>25</v>
      </c>
      <c r="E717" t="s">
        <v>4427</v>
      </c>
      <c r="F717" t="s">
        <v>4428</v>
      </c>
      <c r="G717">
        <v>901335234</v>
      </c>
      <c r="H717" t="s">
        <v>3779</v>
      </c>
      <c r="I717" s="4" t="s">
        <v>3780</v>
      </c>
      <c r="J717" s="4" t="s">
        <v>3781</v>
      </c>
      <c r="K717" t="s">
        <v>4429</v>
      </c>
      <c r="L717" t="s">
        <v>59</v>
      </c>
      <c r="M717" t="s">
        <v>4430</v>
      </c>
      <c r="N717" t="s">
        <v>60</v>
      </c>
      <c r="O717" t="s">
        <v>29</v>
      </c>
      <c r="P717" t="s">
        <v>54</v>
      </c>
      <c r="Q717" t="s">
        <v>31</v>
      </c>
      <c r="R717">
        <v>7</v>
      </c>
      <c r="S717" t="s">
        <v>4431</v>
      </c>
      <c r="T717" t="s">
        <v>4319</v>
      </c>
      <c r="U717" t="s">
        <v>4318</v>
      </c>
      <c r="V717" t="s">
        <v>32</v>
      </c>
      <c r="W717" t="s">
        <v>33</v>
      </c>
      <c r="X717" t="s">
        <v>33</v>
      </c>
      <c r="Y717" t="s">
        <v>33</v>
      </c>
      <c r="Z717" s="16" t="s">
        <v>34</v>
      </c>
      <c r="AA717">
        <v>-75.617241000000007</v>
      </c>
      <c r="AB717">
        <v>6.1404480000000001</v>
      </c>
      <c r="AC717" t="s">
        <v>135</v>
      </c>
      <c r="AD717" t="s">
        <v>136</v>
      </c>
    </row>
    <row r="718" spans="1:30" x14ac:dyDescent="0.25">
      <c r="A718" t="s">
        <v>4432</v>
      </c>
      <c r="B718" t="s">
        <v>25</v>
      </c>
      <c r="C718" t="s">
        <v>26</v>
      </c>
      <c r="D718" t="s">
        <v>25</v>
      </c>
      <c r="E718" t="s">
        <v>4427</v>
      </c>
      <c r="F718" t="s">
        <v>4428</v>
      </c>
      <c r="G718">
        <v>901335234</v>
      </c>
      <c r="H718" t="s">
        <v>3779</v>
      </c>
      <c r="I718" s="4" t="s">
        <v>3780</v>
      </c>
      <c r="J718" s="4" t="s">
        <v>3781</v>
      </c>
      <c r="K718" t="s">
        <v>4433</v>
      </c>
      <c r="L718" t="s">
        <v>59</v>
      </c>
      <c r="M718" t="s">
        <v>4434</v>
      </c>
      <c r="N718" t="s">
        <v>60</v>
      </c>
      <c r="O718" t="s">
        <v>29</v>
      </c>
      <c r="P718" t="s">
        <v>54</v>
      </c>
      <c r="Q718" t="s">
        <v>31</v>
      </c>
      <c r="R718">
        <v>7</v>
      </c>
      <c r="S718" t="s">
        <v>4431</v>
      </c>
      <c r="T718" t="s">
        <v>4319</v>
      </c>
      <c r="U718" t="s">
        <v>4318</v>
      </c>
      <c r="V718" t="s">
        <v>32</v>
      </c>
      <c r="W718" t="s">
        <v>33</v>
      </c>
      <c r="X718" t="s">
        <v>33</v>
      </c>
      <c r="Y718" t="s">
        <v>33</v>
      </c>
      <c r="Z718" s="16" t="s">
        <v>34</v>
      </c>
      <c r="AA718">
        <v>-75.617241000000007</v>
      </c>
      <c r="AB718">
        <v>6.1404480000000001</v>
      </c>
      <c r="AC718" t="s">
        <v>135</v>
      </c>
      <c r="AD718" t="s">
        <v>136</v>
      </c>
    </row>
    <row r="719" spans="1:30" x14ac:dyDescent="0.25">
      <c r="A719" t="s">
        <v>4435</v>
      </c>
      <c r="B719" t="s">
        <v>25</v>
      </c>
      <c r="C719" t="s">
        <v>26</v>
      </c>
      <c r="D719" t="s">
        <v>25</v>
      </c>
      <c r="E719" t="s">
        <v>4436</v>
      </c>
      <c r="F719" t="s">
        <v>4437</v>
      </c>
      <c r="G719">
        <v>901335234</v>
      </c>
      <c r="H719" t="s">
        <v>3779</v>
      </c>
      <c r="I719" s="4" t="s">
        <v>3780</v>
      </c>
      <c r="J719" s="4" t="s">
        <v>3781</v>
      </c>
      <c r="K719" t="s">
        <v>4438</v>
      </c>
      <c r="L719" t="s">
        <v>59</v>
      </c>
      <c r="M719" t="s">
        <v>4439</v>
      </c>
      <c r="N719" t="s">
        <v>60</v>
      </c>
      <c r="O719" t="s">
        <v>29</v>
      </c>
      <c r="P719" t="s">
        <v>54</v>
      </c>
      <c r="Q719" t="s">
        <v>31</v>
      </c>
      <c r="R719">
        <v>7</v>
      </c>
      <c r="S719" t="s">
        <v>4440</v>
      </c>
      <c r="T719" t="s">
        <v>4319</v>
      </c>
      <c r="U719" t="s">
        <v>4318</v>
      </c>
      <c r="V719" t="s">
        <v>32</v>
      </c>
      <c r="W719" t="s">
        <v>33</v>
      </c>
      <c r="X719" t="s">
        <v>33</v>
      </c>
      <c r="Y719" t="s">
        <v>33</v>
      </c>
      <c r="Z719" s="16" t="s">
        <v>34</v>
      </c>
      <c r="AA719">
        <v>-75.617241000000007</v>
      </c>
      <c r="AB719">
        <v>6.1404480000000001</v>
      </c>
      <c r="AC719" t="s">
        <v>135</v>
      </c>
      <c r="AD719" t="s">
        <v>136</v>
      </c>
    </row>
    <row r="720" spans="1:30" x14ac:dyDescent="0.25">
      <c r="A720" t="s">
        <v>4441</v>
      </c>
      <c r="B720" t="s">
        <v>25</v>
      </c>
      <c r="C720" t="s">
        <v>26</v>
      </c>
      <c r="D720" t="s">
        <v>25</v>
      </c>
      <c r="E720" t="s">
        <v>4436</v>
      </c>
      <c r="F720" t="s">
        <v>4437</v>
      </c>
      <c r="G720">
        <v>901335234</v>
      </c>
      <c r="H720" t="s">
        <v>3779</v>
      </c>
      <c r="I720" s="4" t="s">
        <v>3780</v>
      </c>
      <c r="J720" s="4" t="s">
        <v>3781</v>
      </c>
      <c r="K720" t="s">
        <v>4442</v>
      </c>
      <c r="L720" t="s">
        <v>59</v>
      </c>
      <c r="M720" t="s">
        <v>4443</v>
      </c>
      <c r="N720" t="s">
        <v>60</v>
      </c>
      <c r="O720" t="s">
        <v>29</v>
      </c>
      <c r="P720" t="s">
        <v>54</v>
      </c>
      <c r="Q720" t="s">
        <v>31</v>
      </c>
      <c r="R720">
        <v>7</v>
      </c>
      <c r="S720" t="s">
        <v>4440</v>
      </c>
      <c r="T720" t="s">
        <v>4319</v>
      </c>
      <c r="U720" t="s">
        <v>4318</v>
      </c>
      <c r="V720" t="s">
        <v>32</v>
      </c>
      <c r="W720" t="s">
        <v>33</v>
      </c>
      <c r="X720" t="s">
        <v>33</v>
      </c>
      <c r="Y720" t="s">
        <v>33</v>
      </c>
      <c r="Z720" s="16" t="s">
        <v>34</v>
      </c>
      <c r="AA720">
        <v>-75.617241000000007</v>
      </c>
      <c r="AB720">
        <v>6.1404480000000001</v>
      </c>
      <c r="AC720" t="s">
        <v>135</v>
      </c>
      <c r="AD720" t="s">
        <v>136</v>
      </c>
    </row>
    <row r="721" spans="1:30" x14ac:dyDescent="0.25">
      <c r="A721" t="s">
        <v>4444</v>
      </c>
      <c r="B721" t="s">
        <v>25</v>
      </c>
      <c r="C721" t="s">
        <v>26</v>
      </c>
      <c r="D721" t="s">
        <v>25</v>
      </c>
      <c r="E721" t="s">
        <v>4445</v>
      </c>
      <c r="F721" t="s">
        <v>4446</v>
      </c>
      <c r="G721">
        <v>901335234</v>
      </c>
      <c r="H721" t="s">
        <v>3779</v>
      </c>
      <c r="I721" s="4" t="s">
        <v>3780</v>
      </c>
      <c r="J721" s="4" t="s">
        <v>3781</v>
      </c>
      <c r="K721" t="s">
        <v>4447</v>
      </c>
      <c r="L721" t="s">
        <v>59</v>
      </c>
      <c r="M721" t="s">
        <v>4448</v>
      </c>
      <c r="N721" t="s">
        <v>60</v>
      </c>
      <c r="O721" t="s">
        <v>29</v>
      </c>
      <c r="P721" t="s">
        <v>54</v>
      </c>
      <c r="Q721" t="s">
        <v>31</v>
      </c>
      <c r="R721">
        <v>7</v>
      </c>
      <c r="S721" t="s">
        <v>4449</v>
      </c>
      <c r="T721" t="s">
        <v>4319</v>
      </c>
      <c r="U721" t="s">
        <v>4318</v>
      </c>
      <c r="V721" t="s">
        <v>32</v>
      </c>
      <c r="W721" t="s">
        <v>33</v>
      </c>
      <c r="X721" t="s">
        <v>33</v>
      </c>
      <c r="Y721" t="s">
        <v>33</v>
      </c>
      <c r="Z721" s="16" t="s">
        <v>34</v>
      </c>
      <c r="AA721">
        <v>-75.617241000000007</v>
      </c>
      <c r="AB721">
        <v>6.1404480000000001</v>
      </c>
      <c r="AC721" t="s">
        <v>135</v>
      </c>
      <c r="AD721" t="s">
        <v>136</v>
      </c>
    </row>
    <row r="722" spans="1:30" x14ac:dyDescent="0.25">
      <c r="A722" t="s">
        <v>4450</v>
      </c>
      <c r="B722" t="s">
        <v>25</v>
      </c>
      <c r="C722" t="s">
        <v>26</v>
      </c>
      <c r="D722" t="s">
        <v>25</v>
      </c>
      <c r="E722" t="s">
        <v>4451</v>
      </c>
      <c r="F722" t="s">
        <v>4452</v>
      </c>
      <c r="G722">
        <v>901335234</v>
      </c>
      <c r="H722" t="s">
        <v>3779</v>
      </c>
      <c r="I722" s="4" t="s">
        <v>3780</v>
      </c>
      <c r="J722" s="4" t="s">
        <v>3781</v>
      </c>
      <c r="K722" t="s">
        <v>4453</v>
      </c>
      <c r="L722" t="s">
        <v>59</v>
      </c>
      <c r="M722" t="s">
        <v>4454</v>
      </c>
      <c r="N722" t="s">
        <v>60</v>
      </c>
      <c r="O722" t="s">
        <v>29</v>
      </c>
      <c r="P722" t="s">
        <v>54</v>
      </c>
      <c r="Q722" t="s">
        <v>31</v>
      </c>
      <c r="R722">
        <v>7</v>
      </c>
      <c r="S722" t="s">
        <v>4455</v>
      </c>
      <c r="T722" t="s">
        <v>4319</v>
      </c>
      <c r="U722" t="s">
        <v>4318</v>
      </c>
      <c r="V722" t="s">
        <v>32</v>
      </c>
      <c r="W722" t="s">
        <v>33</v>
      </c>
      <c r="X722" t="s">
        <v>33</v>
      </c>
      <c r="Y722" t="s">
        <v>33</v>
      </c>
      <c r="Z722" s="16" t="s">
        <v>34</v>
      </c>
      <c r="AA722">
        <v>-75.617241000000007</v>
      </c>
      <c r="AB722">
        <v>6.1404480000000001</v>
      </c>
      <c r="AC722" t="s">
        <v>135</v>
      </c>
      <c r="AD722" t="s">
        <v>136</v>
      </c>
    </row>
    <row r="723" spans="1:30" x14ac:dyDescent="0.25">
      <c r="A723" t="s">
        <v>4456</v>
      </c>
      <c r="B723" t="s">
        <v>25</v>
      </c>
      <c r="C723" t="s">
        <v>26</v>
      </c>
      <c r="D723" t="s">
        <v>25</v>
      </c>
      <c r="E723" t="s">
        <v>4457</v>
      </c>
      <c r="F723" t="s">
        <v>4458</v>
      </c>
      <c r="G723">
        <v>901335234</v>
      </c>
      <c r="H723" t="s">
        <v>3779</v>
      </c>
      <c r="I723" s="4" t="s">
        <v>3780</v>
      </c>
      <c r="J723" s="4" t="s">
        <v>3781</v>
      </c>
      <c r="K723" t="s">
        <v>4459</v>
      </c>
      <c r="L723" t="s">
        <v>59</v>
      </c>
      <c r="M723" t="s">
        <v>4460</v>
      </c>
      <c r="N723" t="s">
        <v>60</v>
      </c>
      <c r="O723" t="s">
        <v>29</v>
      </c>
      <c r="P723" t="s">
        <v>54</v>
      </c>
      <c r="Q723" t="s">
        <v>31</v>
      </c>
      <c r="R723">
        <v>7</v>
      </c>
      <c r="S723" t="s">
        <v>4461</v>
      </c>
      <c r="T723" t="s">
        <v>4319</v>
      </c>
      <c r="U723" t="s">
        <v>4318</v>
      </c>
      <c r="V723" t="s">
        <v>32</v>
      </c>
      <c r="W723" t="s">
        <v>33</v>
      </c>
      <c r="X723" t="s">
        <v>33</v>
      </c>
      <c r="Y723" t="s">
        <v>33</v>
      </c>
      <c r="Z723" s="16" t="s">
        <v>34</v>
      </c>
      <c r="AA723">
        <v>-75.617241000000007</v>
      </c>
      <c r="AB723">
        <v>6.1404480000000001</v>
      </c>
      <c r="AC723" t="s">
        <v>135</v>
      </c>
      <c r="AD723" t="s">
        <v>136</v>
      </c>
    </row>
    <row r="724" spans="1:30" x14ac:dyDescent="0.25">
      <c r="A724" t="s">
        <v>4462</v>
      </c>
      <c r="B724" t="s">
        <v>25</v>
      </c>
      <c r="C724" t="s">
        <v>26</v>
      </c>
      <c r="D724" t="s">
        <v>25</v>
      </c>
      <c r="E724" t="s">
        <v>4463</v>
      </c>
      <c r="F724" t="s">
        <v>4464</v>
      </c>
      <c r="G724">
        <v>901335234</v>
      </c>
      <c r="H724" t="s">
        <v>3779</v>
      </c>
      <c r="I724" s="4" t="s">
        <v>3780</v>
      </c>
      <c r="J724" s="4" t="s">
        <v>3781</v>
      </c>
      <c r="K724" t="s">
        <v>4465</v>
      </c>
      <c r="L724" t="s">
        <v>59</v>
      </c>
      <c r="M724" t="s">
        <v>4466</v>
      </c>
      <c r="N724" t="s">
        <v>60</v>
      </c>
      <c r="O724" t="s">
        <v>29</v>
      </c>
      <c r="P724" t="s">
        <v>54</v>
      </c>
      <c r="Q724" t="s">
        <v>31</v>
      </c>
      <c r="R724">
        <v>7</v>
      </c>
      <c r="S724" t="s">
        <v>4467</v>
      </c>
      <c r="T724" t="s">
        <v>4319</v>
      </c>
      <c r="U724" t="s">
        <v>4318</v>
      </c>
      <c r="V724" t="s">
        <v>32</v>
      </c>
      <c r="W724" t="s">
        <v>33</v>
      </c>
      <c r="X724" t="s">
        <v>33</v>
      </c>
      <c r="Y724" t="s">
        <v>33</v>
      </c>
      <c r="Z724" s="16" t="s">
        <v>34</v>
      </c>
      <c r="AA724">
        <v>-75.617241000000007</v>
      </c>
      <c r="AB724">
        <v>6.1404480000000001</v>
      </c>
      <c r="AC724" t="s">
        <v>135</v>
      </c>
      <c r="AD724" t="s">
        <v>136</v>
      </c>
    </row>
    <row r="725" spans="1:30" x14ac:dyDescent="0.25">
      <c r="A725" t="s">
        <v>4468</v>
      </c>
      <c r="B725" t="s">
        <v>25</v>
      </c>
      <c r="C725" t="s">
        <v>26</v>
      </c>
      <c r="D725" t="s">
        <v>25</v>
      </c>
      <c r="E725" t="s">
        <v>4463</v>
      </c>
      <c r="F725" t="s">
        <v>4464</v>
      </c>
      <c r="G725">
        <v>901335234</v>
      </c>
      <c r="H725" t="s">
        <v>3779</v>
      </c>
      <c r="I725" s="4" t="s">
        <v>3780</v>
      </c>
      <c r="J725" s="4" t="s">
        <v>3781</v>
      </c>
      <c r="K725" t="s">
        <v>4469</v>
      </c>
      <c r="L725" t="s">
        <v>59</v>
      </c>
      <c r="M725" t="s">
        <v>4470</v>
      </c>
      <c r="N725" t="s">
        <v>60</v>
      </c>
      <c r="O725" t="s">
        <v>29</v>
      </c>
      <c r="P725" t="s">
        <v>54</v>
      </c>
      <c r="Q725" t="s">
        <v>31</v>
      </c>
      <c r="R725">
        <v>7</v>
      </c>
      <c r="S725" t="s">
        <v>4467</v>
      </c>
      <c r="T725" t="s">
        <v>4319</v>
      </c>
      <c r="U725" t="s">
        <v>4318</v>
      </c>
      <c r="V725" t="s">
        <v>32</v>
      </c>
      <c r="W725" t="s">
        <v>33</v>
      </c>
      <c r="X725" t="s">
        <v>33</v>
      </c>
      <c r="Y725" t="s">
        <v>33</v>
      </c>
      <c r="Z725" s="16" t="s">
        <v>34</v>
      </c>
      <c r="AA725">
        <v>-75.617241000000007</v>
      </c>
      <c r="AB725">
        <v>6.1404480000000001</v>
      </c>
      <c r="AC725" t="s">
        <v>135</v>
      </c>
      <c r="AD725" t="s">
        <v>136</v>
      </c>
    </row>
    <row r="726" spans="1:30" x14ac:dyDescent="0.25">
      <c r="A726" t="s">
        <v>4471</v>
      </c>
      <c r="B726" t="s">
        <v>25</v>
      </c>
      <c r="C726" t="s">
        <v>26</v>
      </c>
      <c r="D726" t="s">
        <v>25</v>
      </c>
      <c r="E726" t="s">
        <v>4472</v>
      </c>
      <c r="F726" t="s">
        <v>4473</v>
      </c>
      <c r="G726">
        <v>901335234</v>
      </c>
      <c r="H726" t="s">
        <v>3779</v>
      </c>
      <c r="I726" s="4" t="s">
        <v>3780</v>
      </c>
      <c r="J726" s="4" t="s">
        <v>3781</v>
      </c>
      <c r="K726" t="s">
        <v>4474</v>
      </c>
      <c r="L726" t="s">
        <v>59</v>
      </c>
      <c r="M726" t="s">
        <v>4475</v>
      </c>
      <c r="N726" t="s">
        <v>60</v>
      </c>
      <c r="O726" t="s">
        <v>29</v>
      </c>
      <c r="P726" t="s">
        <v>54</v>
      </c>
      <c r="Q726" t="s">
        <v>31</v>
      </c>
      <c r="R726">
        <v>7</v>
      </c>
      <c r="S726" t="s">
        <v>4476</v>
      </c>
      <c r="T726" t="s">
        <v>4319</v>
      </c>
      <c r="U726" t="s">
        <v>4318</v>
      </c>
      <c r="V726" t="s">
        <v>32</v>
      </c>
      <c r="W726" t="s">
        <v>33</v>
      </c>
      <c r="X726" t="s">
        <v>33</v>
      </c>
      <c r="Y726" t="s">
        <v>33</v>
      </c>
      <c r="Z726" s="16" t="s">
        <v>34</v>
      </c>
      <c r="AA726">
        <v>-75.617241000000007</v>
      </c>
      <c r="AB726">
        <v>6.1404480000000001</v>
      </c>
      <c r="AC726" t="s">
        <v>135</v>
      </c>
      <c r="AD726" t="s">
        <v>136</v>
      </c>
    </row>
    <row r="727" spans="1:30" x14ac:dyDescent="0.25">
      <c r="A727" t="s">
        <v>4477</v>
      </c>
      <c r="B727" t="s">
        <v>25</v>
      </c>
      <c r="C727" t="s">
        <v>26</v>
      </c>
      <c r="D727" t="s">
        <v>25</v>
      </c>
      <c r="E727" t="s">
        <v>4478</v>
      </c>
      <c r="F727" t="s">
        <v>4479</v>
      </c>
      <c r="G727">
        <v>901335234</v>
      </c>
      <c r="H727" t="s">
        <v>3779</v>
      </c>
      <c r="I727" s="4" t="s">
        <v>3780</v>
      </c>
      <c r="J727" s="4" t="s">
        <v>3781</v>
      </c>
      <c r="K727" t="s">
        <v>4480</v>
      </c>
      <c r="L727" t="s">
        <v>59</v>
      </c>
      <c r="M727" t="s">
        <v>4481</v>
      </c>
      <c r="N727" t="s">
        <v>60</v>
      </c>
      <c r="O727" t="s">
        <v>29</v>
      </c>
      <c r="P727" t="s">
        <v>54</v>
      </c>
      <c r="Q727" t="s">
        <v>31</v>
      </c>
      <c r="R727">
        <v>7</v>
      </c>
      <c r="S727" t="s">
        <v>4482</v>
      </c>
      <c r="T727" t="s">
        <v>4319</v>
      </c>
      <c r="U727" t="s">
        <v>4318</v>
      </c>
      <c r="V727" t="s">
        <v>32</v>
      </c>
      <c r="W727" t="s">
        <v>33</v>
      </c>
      <c r="X727" t="s">
        <v>33</v>
      </c>
      <c r="Y727" t="s">
        <v>33</v>
      </c>
      <c r="Z727" s="16" t="s">
        <v>34</v>
      </c>
      <c r="AA727">
        <v>-75.617241000000007</v>
      </c>
      <c r="AB727">
        <v>6.1404480000000001</v>
      </c>
      <c r="AC727" t="s">
        <v>135</v>
      </c>
      <c r="AD727" t="s">
        <v>136</v>
      </c>
    </row>
    <row r="728" spans="1:30" x14ac:dyDescent="0.25">
      <c r="A728" t="s">
        <v>4483</v>
      </c>
      <c r="B728" t="s">
        <v>25</v>
      </c>
      <c r="C728" t="s">
        <v>26</v>
      </c>
      <c r="D728" t="s">
        <v>25</v>
      </c>
      <c r="E728" t="s">
        <v>4484</v>
      </c>
      <c r="F728" t="s">
        <v>4485</v>
      </c>
      <c r="G728">
        <v>901335234</v>
      </c>
      <c r="H728" t="s">
        <v>3779</v>
      </c>
      <c r="I728" s="4" t="s">
        <v>3780</v>
      </c>
      <c r="J728" s="4" t="s">
        <v>3781</v>
      </c>
      <c r="K728" t="s">
        <v>4486</v>
      </c>
      <c r="L728" t="s">
        <v>59</v>
      </c>
      <c r="M728" t="s">
        <v>4487</v>
      </c>
      <c r="N728" t="s">
        <v>60</v>
      </c>
      <c r="O728" t="s">
        <v>29</v>
      </c>
      <c r="P728" t="s">
        <v>54</v>
      </c>
      <c r="Q728" t="s">
        <v>31</v>
      </c>
      <c r="R728">
        <v>7</v>
      </c>
      <c r="S728" t="s">
        <v>4488</v>
      </c>
      <c r="T728" t="s">
        <v>4319</v>
      </c>
      <c r="U728" t="s">
        <v>4318</v>
      </c>
      <c r="V728" t="s">
        <v>32</v>
      </c>
      <c r="W728" t="s">
        <v>33</v>
      </c>
      <c r="X728" t="s">
        <v>33</v>
      </c>
      <c r="Y728" t="s">
        <v>33</v>
      </c>
      <c r="Z728" s="16" t="s">
        <v>34</v>
      </c>
      <c r="AA728">
        <v>-75.617241000000007</v>
      </c>
      <c r="AB728">
        <v>6.1404480000000001</v>
      </c>
      <c r="AC728" t="s">
        <v>135</v>
      </c>
      <c r="AD728" t="s">
        <v>136</v>
      </c>
    </row>
    <row r="729" spans="1:30" x14ac:dyDescent="0.25">
      <c r="A729" t="s">
        <v>4489</v>
      </c>
      <c r="B729" t="s">
        <v>25</v>
      </c>
      <c r="C729" t="s">
        <v>26</v>
      </c>
      <c r="D729" t="s">
        <v>25</v>
      </c>
      <c r="E729" t="s">
        <v>4484</v>
      </c>
      <c r="F729" t="s">
        <v>4485</v>
      </c>
      <c r="G729">
        <v>901335234</v>
      </c>
      <c r="H729" t="s">
        <v>3779</v>
      </c>
      <c r="I729" s="4" t="s">
        <v>3780</v>
      </c>
      <c r="J729" s="4" t="s">
        <v>3781</v>
      </c>
      <c r="K729" t="s">
        <v>4490</v>
      </c>
      <c r="L729" t="s">
        <v>59</v>
      </c>
      <c r="M729" t="s">
        <v>4491</v>
      </c>
      <c r="N729" t="s">
        <v>60</v>
      </c>
      <c r="O729" t="s">
        <v>29</v>
      </c>
      <c r="P729" t="s">
        <v>54</v>
      </c>
      <c r="Q729" t="s">
        <v>31</v>
      </c>
      <c r="R729">
        <v>7</v>
      </c>
      <c r="S729" t="s">
        <v>4488</v>
      </c>
      <c r="T729" t="s">
        <v>4319</v>
      </c>
      <c r="U729" t="s">
        <v>4318</v>
      </c>
      <c r="V729" t="s">
        <v>32</v>
      </c>
      <c r="W729" t="s">
        <v>33</v>
      </c>
      <c r="X729" t="s">
        <v>33</v>
      </c>
      <c r="Y729" t="s">
        <v>33</v>
      </c>
      <c r="Z729" s="16" t="s">
        <v>34</v>
      </c>
      <c r="AA729">
        <v>-75.617241000000007</v>
      </c>
      <c r="AB729">
        <v>6.1404480000000001</v>
      </c>
      <c r="AC729" t="s">
        <v>135</v>
      </c>
      <c r="AD729" t="s">
        <v>136</v>
      </c>
    </row>
    <row r="730" spans="1:30" x14ac:dyDescent="0.25">
      <c r="A730" t="s">
        <v>4492</v>
      </c>
      <c r="B730" t="s">
        <v>25</v>
      </c>
      <c r="C730" t="s">
        <v>26</v>
      </c>
      <c r="D730" t="s">
        <v>25</v>
      </c>
      <c r="E730" t="s">
        <v>4493</v>
      </c>
      <c r="F730" t="s">
        <v>4494</v>
      </c>
      <c r="G730">
        <v>901335234</v>
      </c>
      <c r="H730" t="s">
        <v>3779</v>
      </c>
      <c r="I730" s="4" t="s">
        <v>3780</v>
      </c>
      <c r="J730" s="4" t="s">
        <v>3781</v>
      </c>
      <c r="K730" t="s">
        <v>4495</v>
      </c>
      <c r="L730" t="s">
        <v>59</v>
      </c>
      <c r="M730" t="s">
        <v>4496</v>
      </c>
      <c r="N730" t="s">
        <v>60</v>
      </c>
      <c r="O730" t="s">
        <v>29</v>
      </c>
      <c r="P730" t="s">
        <v>54</v>
      </c>
      <c r="Q730" t="s">
        <v>31</v>
      </c>
      <c r="R730">
        <v>7</v>
      </c>
      <c r="S730" t="s">
        <v>4497</v>
      </c>
      <c r="T730" t="s">
        <v>4319</v>
      </c>
      <c r="U730" t="s">
        <v>4318</v>
      </c>
      <c r="V730" t="s">
        <v>32</v>
      </c>
      <c r="W730" t="s">
        <v>33</v>
      </c>
      <c r="X730" t="s">
        <v>33</v>
      </c>
      <c r="Y730" t="s">
        <v>33</v>
      </c>
      <c r="Z730" s="16" t="s">
        <v>34</v>
      </c>
      <c r="AA730">
        <v>-75.617241000000007</v>
      </c>
      <c r="AB730">
        <v>6.1404480000000001</v>
      </c>
      <c r="AC730" t="s">
        <v>135</v>
      </c>
      <c r="AD730" t="s">
        <v>136</v>
      </c>
    </row>
    <row r="731" spans="1:30" x14ac:dyDescent="0.25">
      <c r="A731" t="s">
        <v>4498</v>
      </c>
      <c r="B731" t="s">
        <v>25</v>
      </c>
      <c r="C731" t="s">
        <v>26</v>
      </c>
      <c r="D731" t="s">
        <v>25</v>
      </c>
      <c r="E731" t="s">
        <v>4499</v>
      </c>
      <c r="F731" t="s">
        <v>4500</v>
      </c>
      <c r="G731">
        <v>901335234</v>
      </c>
      <c r="H731" t="s">
        <v>3779</v>
      </c>
      <c r="I731" s="4" t="s">
        <v>3780</v>
      </c>
      <c r="J731" s="4" t="s">
        <v>3781</v>
      </c>
      <c r="K731" t="s">
        <v>4501</v>
      </c>
      <c r="L731" t="s">
        <v>59</v>
      </c>
      <c r="M731" t="s">
        <v>4502</v>
      </c>
      <c r="N731" t="s">
        <v>60</v>
      </c>
      <c r="O731" t="s">
        <v>29</v>
      </c>
      <c r="P731" t="s">
        <v>54</v>
      </c>
      <c r="Q731" t="s">
        <v>31</v>
      </c>
      <c r="R731">
        <v>7</v>
      </c>
      <c r="S731" t="s">
        <v>4503</v>
      </c>
      <c r="T731" t="s">
        <v>1129</v>
      </c>
      <c r="U731" t="s">
        <v>4504</v>
      </c>
      <c r="V731" t="s">
        <v>32</v>
      </c>
      <c r="W731" t="s">
        <v>33</v>
      </c>
      <c r="X731" t="s">
        <v>33</v>
      </c>
      <c r="Y731" t="s">
        <v>33</v>
      </c>
      <c r="Z731" s="16" t="s">
        <v>34</v>
      </c>
      <c r="AA731">
        <v>-75.617241000000007</v>
      </c>
      <c r="AB731">
        <v>6.1404480000000001</v>
      </c>
      <c r="AC731" t="s">
        <v>135</v>
      </c>
      <c r="AD731" t="s">
        <v>136</v>
      </c>
    </row>
    <row r="732" spans="1:30" x14ac:dyDescent="0.25">
      <c r="A732" t="s">
        <v>4505</v>
      </c>
      <c r="B732" t="s">
        <v>25</v>
      </c>
      <c r="C732" t="s">
        <v>26</v>
      </c>
      <c r="D732" t="s">
        <v>25</v>
      </c>
      <c r="E732" t="s">
        <v>4499</v>
      </c>
      <c r="F732" t="s">
        <v>4500</v>
      </c>
      <c r="G732">
        <v>901335234</v>
      </c>
      <c r="H732" t="s">
        <v>3779</v>
      </c>
      <c r="I732" s="4" t="s">
        <v>3780</v>
      </c>
      <c r="J732" s="4" t="s">
        <v>3781</v>
      </c>
      <c r="K732" t="s">
        <v>4506</v>
      </c>
      <c r="L732" t="s">
        <v>59</v>
      </c>
      <c r="M732" t="s">
        <v>4507</v>
      </c>
      <c r="N732" t="s">
        <v>60</v>
      </c>
      <c r="O732" t="s">
        <v>29</v>
      </c>
      <c r="P732" t="s">
        <v>54</v>
      </c>
      <c r="Q732" t="s">
        <v>31</v>
      </c>
      <c r="R732">
        <v>7</v>
      </c>
      <c r="S732" t="s">
        <v>4503</v>
      </c>
      <c r="T732" t="s">
        <v>1129</v>
      </c>
      <c r="U732" t="s">
        <v>4504</v>
      </c>
      <c r="V732" t="s">
        <v>32</v>
      </c>
      <c r="W732" t="s">
        <v>33</v>
      </c>
      <c r="X732" t="s">
        <v>33</v>
      </c>
      <c r="Y732" t="s">
        <v>33</v>
      </c>
      <c r="Z732" s="16" t="s">
        <v>34</v>
      </c>
      <c r="AA732">
        <v>-75.617241000000007</v>
      </c>
      <c r="AB732">
        <v>6.1404480000000001</v>
      </c>
      <c r="AC732" t="s">
        <v>135</v>
      </c>
      <c r="AD732" t="s">
        <v>136</v>
      </c>
    </row>
    <row r="733" spans="1:30" x14ac:dyDescent="0.25">
      <c r="A733" t="s">
        <v>4508</v>
      </c>
      <c r="B733" t="s">
        <v>25</v>
      </c>
      <c r="C733" t="s">
        <v>26</v>
      </c>
      <c r="D733" t="s">
        <v>25</v>
      </c>
      <c r="E733" t="s">
        <v>4509</v>
      </c>
      <c r="F733" t="s">
        <v>4510</v>
      </c>
      <c r="G733">
        <v>901335234</v>
      </c>
      <c r="H733" t="s">
        <v>3779</v>
      </c>
      <c r="I733" s="4" t="s">
        <v>3780</v>
      </c>
      <c r="J733" s="4" t="s">
        <v>3781</v>
      </c>
      <c r="K733" t="s">
        <v>4511</v>
      </c>
      <c r="L733" t="s">
        <v>59</v>
      </c>
      <c r="M733" t="s">
        <v>4512</v>
      </c>
      <c r="N733" t="s">
        <v>60</v>
      </c>
      <c r="O733" t="s">
        <v>29</v>
      </c>
      <c r="P733" t="s">
        <v>54</v>
      </c>
      <c r="Q733" t="s">
        <v>31</v>
      </c>
      <c r="R733">
        <v>7</v>
      </c>
      <c r="S733" t="s">
        <v>4513</v>
      </c>
      <c r="T733" t="s">
        <v>1129</v>
      </c>
      <c r="U733" t="s">
        <v>4504</v>
      </c>
      <c r="V733" t="s">
        <v>32</v>
      </c>
      <c r="W733" t="s">
        <v>33</v>
      </c>
      <c r="X733" t="s">
        <v>33</v>
      </c>
      <c r="Y733" t="s">
        <v>33</v>
      </c>
      <c r="Z733" s="16" t="s">
        <v>34</v>
      </c>
      <c r="AA733">
        <v>-75.617241000000007</v>
      </c>
      <c r="AB733">
        <v>6.1404480000000001</v>
      </c>
      <c r="AC733" t="s">
        <v>135</v>
      </c>
      <c r="AD733" t="s">
        <v>136</v>
      </c>
    </row>
    <row r="734" spans="1:30" x14ac:dyDescent="0.25">
      <c r="A734" t="s">
        <v>4514</v>
      </c>
      <c r="B734" t="s">
        <v>25</v>
      </c>
      <c r="C734" t="s">
        <v>26</v>
      </c>
      <c r="D734" t="s">
        <v>25</v>
      </c>
      <c r="E734" t="s">
        <v>4509</v>
      </c>
      <c r="F734" t="s">
        <v>4510</v>
      </c>
      <c r="G734">
        <v>901335234</v>
      </c>
      <c r="H734" t="s">
        <v>3779</v>
      </c>
      <c r="I734" s="4" t="s">
        <v>3780</v>
      </c>
      <c r="J734" s="4" t="s">
        <v>3781</v>
      </c>
      <c r="K734" t="s">
        <v>4515</v>
      </c>
      <c r="L734" t="s">
        <v>59</v>
      </c>
      <c r="M734" t="s">
        <v>4516</v>
      </c>
      <c r="N734" t="s">
        <v>60</v>
      </c>
      <c r="O734" t="s">
        <v>29</v>
      </c>
      <c r="P734" t="s">
        <v>54</v>
      </c>
      <c r="Q734" t="s">
        <v>31</v>
      </c>
      <c r="R734">
        <v>7</v>
      </c>
      <c r="S734" t="s">
        <v>4513</v>
      </c>
      <c r="T734" t="s">
        <v>1129</v>
      </c>
      <c r="U734" t="s">
        <v>4504</v>
      </c>
      <c r="V734" t="s">
        <v>32</v>
      </c>
      <c r="W734" t="s">
        <v>33</v>
      </c>
      <c r="X734" t="s">
        <v>33</v>
      </c>
      <c r="Y734" t="s">
        <v>33</v>
      </c>
      <c r="Z734" s="16" t="s">
        <v>34</v>
      </c>
      <c r="AA734">
        <v>-75.617241000000007</v>
      </c>
      <c r="AB734">
        <v>6.1404480000000001</v>
      </c>
      <c r="AC734" t="s">
        <v>135</v>
      </c>
      <c r="AD734" t="s">
        <v>136</v>
      </c>
    </row>
    <row r="735" spans="1:30" x14ac:dyDescent="0.25">
      <c r="A735" t="s">
        <v>4517</v>
      </c>
      <c r="B735" t="s">
        <v>25</v>
      </c>
      <c r="C735" t="s">
        <v>26</v>
      </c>
      <c r="D735" t="s">
        <v>25</v>
      </c>
      <c r="E735" t="s">
        <v>4509</v>
      </c>
      <c r="F735" t="s">
        <v>4510</v>
      </c>
      <c r="G735">
        <v>901335234</v>
      </c>
      <c r="H735" t="s">
        <v>3779</v>
      </c>
      <c r="I735" s="4" t="s">
        <v>3780</v>
      </c>
      <c r="J735" s="4" t="s">
        <v>3781</v>
      </c>
      <c r="K735" t="s">
        <v>4518</v>
      </c>
      <c r="L735" t="s">
        <v>59</v>
      </c>
      <c r="M735" t="s">
        <v>4519</v>
      </c>
      <c r="N735" t="s">
        <v>60</v>
      </c>
      <c r="O735" t="s">
        <v>29</v>
      </c>
      <c r="P735" t="s">
        <v>54</v>
      </c>
      <c r="Q735" t="s">
        <v>31</v>
      </c>
      <c r="R735">
        <v>7</v>
      </c>
      <c r="S735" t="s">
        <v>4513</v>
      </c>
      <c r="T735" t="s">
        <v>1129</v>
      </c>
      <c r="U735" t="s">
        <v>4504</v>
      </c>
      <c r="V735" t="s">
        <v>32</v>
      </c>
      <c r="W735" t="s">
        <v>33</v>
      </c>
      <c r="X735" t="s">
        <v>33</v>
      </c>
      <c r="Y735" t="s">
        <v>33</v>
      </c>
      <c r="Z735" s="16" t="s">
        <v>34</v>
      </c>
      <c r="AA735">
        <v>-75.617241000000007</v>
      </c>
      <c r="AB735">
        <v>6.1404480000000001</v>
      </c>
      <c r="AC735" t="s">
        <v>135</v>
      </c>
      <c r="AD735" t="s">
        <v>136</v>
      </c>
    </row>
    <row r="736" spans="1:30" x14ac:dyDescent="0.25">
      <c r="A736" t="s">
        <v>4520</v>
      </c>
      <c r="B736" t="s">
        <v>25</v>
      </c>
      <c r="C736" t="s">
        <v>26</v>
      </c>
      <c r="D736" t="s">
        <v>25</v>
      </c>
      <c r="E736" t="s">
        <v>4521</v>
      </c>
      <c r="F736" t="s">
        <v>4522</v>
      </c>
      <c r="G736">
        <v>901335234</v>
      </c>
      <c r="H736" t="s">
        <v>3779</v>
      </c>
      <c r="I736" s="4" t="s">
        <v>3780</v>
      </c>
      <c r="J736" s="4" t="s">
        <v>3781</v>
      </c>
      <c r="K736" t="s">
        <v>4523</v>
      </c>
      <c r="L736" t="s">
        <v>59</v>
      </c>
      <c r="M736" t="s">
        <v>4524</v>
      </c>
      <c r="N736" t="s">
        <v>60</v>
      </c>
      <c r="O736" t="s">
        <v>29</v>
      </c>
      <c r="P736" t="s">
        <v>54</v>
      </c>
      <c r="Q736" t="s">
        <v>31</v>
      </c>
      <c r="R736">
        <v>7</v>
      </c>
      <c r="S736" t="s">
        <v>4525</v>
      </c>
      <c r="T736" t="s">
        <v>1129</v>
      </c>
      <c r="U736" t="s">
        <v>4504</v>
      </c>
      <c r="V736" t="s">
        <v>32</v>
      </c>
      <c r="W736" t="s">
        <v>33</v>
      </c>
      <c r="X736" t="s">
        <v>33</v>
      </c>
      <c r="Y736" t="s">
        <v>33</v>
      </c>
      <c r="Z736" s="16" t="s">
        <v>34</v>
      </c>
      <c r="AA736">
        <v>-75.617241000000007</v>
      </c>
      <c r="AB736">
        <v>6.1404480000000001</v>
      </c>
      <c r="AC736" t="s">
        <v>135</v>
      </c>
      <c r="AD736" t="s">
        <v>136</v>
      </c>
    </row>
    <row r="737" spans="1:30" x14ac:dyDescent="0.25">
      <c r="A737" t="s">
        <v>4526</v>
      </c>
      <c r="B737" t="s">
        <v>25</v>
      </c>
      <c r="C737" t="s">
        <v>26</v>
      </c>
      <c r="D737" t="s">
        <v>25</v>
      </c>
      <c r="E737" t="s">
        <v>4521</v>
      </c>
      <c r="F737" t="s">
        <v>4522</v>
      </c>
      <c r="G737">
        <v>901335234</v>
      </c>
      <c r="H737" t="s">
        <v>3779</v>
      </c>
      <c r="I737" s="4" t="s">
        <v>3780</v>
      </c>
      <c r="J737" s="4" t="s">
        <v>3781</v>
      </c>
      <c r="K737" t="s">
        <v>4527</v>
      </c>
      <c r="L737" t="s">
        <v>59</v>
      </c>
      <c r="M737" t="s">
        <v>4528</v>
      </c>
      <c r="N737" t="s">
        <v>60</v>
      </c>
      <c r="O737" t="s">
        <v>29</v>
      </c>
      <c r="P737" t="s">
        <v>54</v>
      </c>
      <c r="Q737" t="s">
        <v>31</v>
      </c>
      <c r="R737">
        <v>7</v>
      </c>
      <c r="S737" t="s">
        <v>4525</v>
      </c>
      <c r="T737" t="s">
        <v>1129</v>
      </c>
      <c r="U737" t="s">
        <v>4504</v>
      </c>
      <c r="V737" t="s">
        <v>32</v>
      </c>
      <c r="W737" t="s">
        <v>33</v>
      </c>
      <c r="X737" t="s">
        <v>33</v>
      </c>
      <c r="Y737" t="s">
        <v>33</v>
      </c>
      <c r="Z737" s="16" t="s">
        <v>34</v>
      </c>
      <c r="AA737">
        <v>-75.617241000000007</v>
      </c>
      <c r="AB737">
        <v>6.1404480000000001</v>
      </c>
      <c r="AC737" t="s">
        <v>135</v>
      </c>
      <c r="AD737" t="s">
        <v>136</v>
      </c>
    </row>
    <row r="738" spans="1:30" x14ac:dyDescent="0.25">
      <c r="A738" t="s">
        <v>4529</v>
      </c>
      <c r="B738" t="s">
        <v>25</v>
      </c>
      <c r="C738" t="s">
        <v>26</v>
      </c>
      <c r="D738" t="s">
        <v>25</v>
      </c>
      <c r="E738" t="s">
        <v>4530</v>
      </c>
      <c r="F738" t="s">
        <v>4531</v>
      </c>
      <c r="G738">
        <v>901335234</v>
      </c>
      <c r="H738" t="s">
        <v>3779</v>
      </c>
      <c r="I738" s="4" t="s">
        <v>3780</v>
      </c>
      <c r="J738" s="4" t="s">
        <v>3781</v>
      </c>
      <c r="K738" t="s">
        <v>4532</v>
      </c>
      <c r="L738" t="s">
        <v>59</v>
      </c>
      <c r="M738" t="s">
        <v>4533</v>
      </c>
      <c r="N738" t="s">
        <v>60</v>
      </c>
      <c r="O738" t="s">
        <v>29</v>
      </c>
      <c r="P738" t="s">
        <v>54</v>
      </c>
      <c r="Q738" t="s">
        <v>31</v>
      </c>
      <c r="R738">
        <v>7</v>
      </c>
      <c r="S738" t="s">
        <v>4534</v>
      </c>
      <c r="T738" t="s">
        <v>1129</v>
      </c>
      <c r="U738" t="s">
        <v>4504</v>
      </c>
      <c r="V738" t="s">
        <v>32</v>
      </c>
      <c r="W738" t="s">
        <v>33</v>
      </c>
      <c r="X738" t="s">
        <v>33</v>
      </c>
      <c r="Y738" t="s">
        <v>33</v>
      </c>
      <c r="Z738" s="16" t="s">
        <v>34</v>
      </c>
      <c r="AA738">
        <v>-75.617241000000007</v>
      </c>
      <c r="AB738">
        <v>6.1404480000000001</v>
      </c>
      <c r="AC738" t="s">
        <v>135</v>
      </c>
      <c r="AD738" t="s">
        <v>136</v>
      </c>
    </row>
    <row r="739" spans="1:30" x14ac:dyDescent="0.25">
      <c r="A739" t="s">
        <v>4535</v>
      </c>
      <c r="B739" t="s">
        <v>25</v>
      </c>
      <c r="C739" t="s">
        <v>26</v>
      </c>
      <c r="D739" t="s">
        <v>25</v>
      </c>
      <c r="E739" t="s">
        <v>4536</v>
      </c>
      <c r="F739" t="s">
        <v>4537</v>
      </c>
      <c r="G739">
        <v>901335234</v>
      </c>
      <c r="H739" t="s">
        <v>3779</v>
      </c>
      <c r="I739" s="4" t="s">
        <v>3780</v>
      </c>
      <c r="J739" s="4" t="s">
        <v>3781</v>
      </c>
      <c r="K739" t="s">
        <v>4538</v>
      </c>
      <c r="L739" t="s">
        <v>59</v>
      </c>
      <c r="M739" t="s">
        <v>4539</v>
      </c>
      <c r="N739" t="s">
        <v>60</v>
      </c>
      <c r="O739" t="s">
        <v>29</v>
      </c>
      <c r="P739" t="s">
        <v>54</v>
      </c>
      <c r="Q739" t="s">
        <v>31</v>
      </c>
      <c r="R739">
        <v>7</v>
      </c>
      <c r="S739" t="s">
        <v>4540</v>
      </c>
      <c r="T739" t="s">
        <v>1129</v>
      </c>
      <c r="U739" t="s">
        <v>4504</v>
      </c>
      <c r="V739" t="s">
        <v>32</v>
      </c>
      <c r="W739" t="s">
        <v>33</v>
      </c>
      <c r="X739" t="s">
        <v>33</v>
      </c>
      <c r="Y739" t="s">
        <v>33</v>
      </c>
      <c r="Z739" s="16" t="s">
        <v>34</v>
      </c>
      <c r="AA739">
        <v>-75.617241000000007</v>
      </c>
      <c r="AB739">
        <v>6.1404480000000001</v>
      </c>
      <c r="AC739" t="s">
        <v>135</v>
      </c>
      <c r="AD739" t="s">
        <v>136</v>
      </c>
    </row>
    <row r="740" spans="1:30" x14ac:dyDescent="0.25">
      <c r="A740" t="s">
        <v>4541</v>
      </c>
      <c r="B740" t="s">
        <v>25</v>
      </c>
      <c r="C740" t="s">
        <v>26</v>
      </c>
      <c r="D740" t="s">
        <v>25</v>
      </c>
      <c r="E740" t="s">
        <v>4536</v>
      </c>
      <c r="F740" t="s">
        <v>4537</v>
      </c>
      <c r="G740">
        <v>901335234</v>
      </c>
      <c r="H740" t="s">
        <v>3779</v>
      </c>
      <c r="I740" s="4" t="s">
        <v>3780</v>
      </c>
      <c r="J740" s="4" t="s">
        <v>3781</v>
      </c>
      <c r="K740" t="s">
        <v>4542</v>
      </c>
      <c r="L740" t="s">
        <v>59</v>
      </c>
      <c r="M740" t="s">
        <v>4543</v>
      </c>
      <c r="N740" t="s">
        <v>60</v>
      </c>
      <c r="O740" t="s">
        <v>29</v>
      </c>
      <c r="P740" t="s">
        <v>54</v>
      </c>
      <c r="Q740" t="s">
        <v>31</v>
      </c>
      <c r="R740">
        <v>7</v>
      </c>
      <c r="S740" t="s">
        <v>4540</v>
      </c>
      <c r="T740" t="s">
        <v>1129</v>
      </c>
      <c r="U740" t="s">
        <v>4504</v>
      </c>
      <c r="V740" t="s">
        <v>32</v>
      </c>
      <c r="W740" t="s">
        <v>33</v>
      </c>
      <c r="X740" t="s">
        <v>33</v>
      </c>
      <c r="Y740" t="s">
        <v>33</v>
      </c>
      <c r="Z740" s="16" t="s">
        <v>34</v>
      </c>
      <c r="AA740">
        <v>-75.617241000000007</v>
      </c>
      <c r="AB740">
        <v>6.1404480000000001</v>
      </c>
      <c r="AC740" t="s">
        <v>135</v>
      </c>
      <c r="AD740" t="s">
        <v>136</v>
      </c>
    </row>
    <row r="741" spans="1:30" x14ac:dyDescent="0.25">
      <c r="A741" t="s">
        <v>4544</v>
      </c>
      <c r="B741" t="s">
        <v>25</v>
      </c>
      <c r="C741" t="s">
        <v>26</v>
      </c>
      <c r="D741" t="s">
        <v>25</v>
      </c>
      <c r="E741" t="s">
        <v>4536</v>
      </c>
      <c r="F741" t="s">
        <v>4537</v>
      </c>
      <c r="G741">
        <v>901335234</v>
      </c>
      <c r="H741" t="s">
        <v>3779</v>
      </c>
      <c r="I741" s="4" t="s">
        <v>3780</v>
      </c>
      <c r="J741" s="4" t="s">
        <v>3781</v>
      </c>
      <c r="K741" t="s">
        <v>4545</v>
      </c>
      <c r="L741" t="s">
        <v>59</v>
      </c>
      <c r="M741" t="s">
        <v>4546</v>
      </c>
      <c r="N741" t="s">
        <v>60</v>
      </c>
      <c r="O741" t="s">
        <v>29</v>
      </c>
      <c r="P741" t="s">
        <v>54</v>
      </c>
      <c r="Q741" t="s">
        <v>31</v>
      </c>
      <c r="R741">
        <v>7</v>
      </c>
      <c r="S741" t="s">
        <v>4540</v>
      </c>
      <c r="T741" t="s">
        <v>1129</v>
      </c>
      <c r="U741" t="s">
        <v>4504</v>
      </c>
      <c r="V741" t="s">
        <v>32</v>
      </c>
      <c r="W741" t="s">
        <v>33</v>
      </c>
      <c r="X741" t="s">
        <v>33</v>
      </c>
      <c r="Y741" t="s">
        <v>33</v>
      </c>
      <c r="Z741" s="16" t="s">
        <v>34</v>
      </c>
      <c r="AA741">
        <v>-75.617241000000007</v>
      </c>
      <c r="AB741">
        <v>6.1404480000000001</v>
      </c>
      <c r="AC741" t="s">
        <v>135</v>
      </c>
      <c r="AD741" t="s">
        <v>136</v>
      </c>
    </row>
    <row r="742" spans="1:30" x14ac:dyDescent="0.25">
      <c r="A742" t="s">
        <v>4547</v>
      </c>
      <c r="B742" t="s">
        <v>25</v>
      </c>
      <c r="C742" t="s">
        <v>26</v>
      </c>
      <c r="D742" t="s">
        <v>25</v>
      </c>
      <c r="E742" t="s">
        <v>4536</v>
      </c>
      <c r="F742" t="s">
        <v>4537</v>
      </c>
      <c r="G742">
        <v>901335234</v>
      </c>
      <c r="H742" t="s">
        <v>3779</v>
      </c>
      <c r="I742" s="4" t="s">
        <v>3780</v>
      </c>
      <c r="J742" s="4" t="s">
        <v>3781</v>
      </c>
      <c r="K742" t="s">
        <v>4548</v>
      </c>
      <c r="L742" t="s">
        <v>59</v>
      </c>
      <c r="M742" t="s">
        <v>4549</v>
      </c>
      <c r="N742" t="s">
        <v>60</v>
      </c>
      <c r="O742" t="s">
        <v>29</v>
      </c>
      <c r="P742" t="s">
        <v>54</v>
      </c>
      <c r="Q742" t="s">
        <v>31</v>
      </c>
      <c r="R742">
        <v>7</v>
      </c>
      <c r="S742" t="s">
        <v>4540</v>
      </c>
      <c r="T742" t="s">
        <v>1129</v>
      </c>
      <c r="U742" t="s">
        <v>4504</v>
      </c>
      <c r="V742" t="s">
        <v>32</v>
      </c>
      <c r="W742" t="s">
        <v>33</v>
      </c>
      <c r="X742" t="s">
        <v>33</v>
      </c>
      <c r="Y742" t="s">
        <v>33</v>
      </c>
      <c r="Z742" s="16" t="s">
        <v>34</v>
      </c>
      <c r="AA742">
        <v>-75.617241000000007</v>
      </c>
      <c r="AB742">
        <v>6.1404480000000001</v>
      </c>
      <c r="AC742" t="s">
        <v>135</v>
      </c>
      <c r="AD742" t="s">
        <v>136</v>
      </c>
    </row>
    <row r="743" spans="1:30" x14ac:dyDescent="0.25">
      <c r="A743" t="s">
        <v>4550</v>
      </c>
      <c r="B743" t="s">
        <v>25</v>
      </c>
      <c r="C743" t="s">
        <v>26</v>
      </c>
      <c r="D743" t="s">
        <v>25</v>
      </c>
      <c r="E743" t="s">
        <v>4551</v>
      </c>
      <c r="F743" t="s">
        <v>4552</v>
      </c>
      <c r="G743">
        <v>901335234</v>
      </c>
      <c r="H743" t="s">
        <v>3779</v>
      </c>
      <c r="I743" s="4" t="s">
        <v>3780</v>
      </c>
      <c r="J743" s="4" t="s">
        <v>3781</v>
      </c>
      <c r="K743" t="s">
        <v>4553</v>
      </c>
      <c r="L743" t="s">
        <v>59</v>
      </c>
      <c r="M743" t="s">
        <v>4554</v>
      </c>
      <c r="N743" t="s">
        <v>60</v>
      </c>
      <c r="O743" t="s">
        <v>29</v>
      </c>
      <c r="P743" t="s">
        <v>54</v>
      </c>
      <c r="Q743" t="s">
        <v>31</v>
      </c>
      <c r="R743">
        <v>7</v>
      </c>
      <c r="S743" t="s">
        <v>4555</v>
      </c>
      <c r="T743" t="s">
        <v>1129</v>
      </c>
      <c r="U743" t="s">
        <v>4504</v>
      </c>
      <c r="V743" t="s">
        <v>32</v>
      </c>
      <c r="W743" t="s">
        <v>33</v>
      </c>
      <c r="X743" t="s">
        <v>33</v>
      </c>
      <c r="Y743" t="s">
        <v>33</v>
      </c>
      <c r="Z743" s="16" t="s">
        <v>34</v>
      </c>
      <c r="AA743">
        <v>-75.617241000000007</v>
      </c>
      <c r="AB743">
        <v>6.1404480000000001</v>
      </c>
      <c r="AC743" t="s">
        <v>135</v>
      </c>
      <c r="AD743" t="s">
        <v>136</v>
      </c>
    </row>
    <row r="744" spans="1:30" x14ac:dyDescent="0.25">
      <c r="A744" t="s">
        <v>4556</v>
      </c>
      <c r="B744" t="s">
        <v>25</v>
      </c>
      <c r="C744" t="s">
        <v>26</v>
      </c>
      <c r="D744" t="s">
        <v>25</v>
      </c>
      <c r="E744" t="s">
        <v>4551</v>
      </c>
      <c r="F744" t="s">
        <v>4552</v>
      </c>
      <c r="G744">
        <v>901335234</v>
      </c>
      <c r="H744" t="s">
        <v>3779</v>
      </c>
      <c r="I744" s="4" t="s">
        <v>3780</v>
      </c>
      <c r="J744" s="4" t="s">
        <v>3781</v>
      </c>
      <c r="K744" t="s">
        <v>4557</v>
      </c>
      <c r="L744" t="s">
        <v>59</v>
      </c>
      <c r="M744" t="s">
        <v>4558</v>
      </c>
      <c r="N744" t="s">
        <v>60</v>
      </c>
      <c r="O744" t="s">
        <v>29</v>
      </c>
      <c r="P744" t="s">
        <v>54</v>
      </c>
      <c r="Q744" t="s">
        <v>31</v>
      </c>
      <c r="R744">
        <v>7</v>
      </c>
      <c r="S744" t="s">
        <v>4555</v>
      </c>
      <c r="T744" t="s">
        <v>1129</v>
      </c>
      <c r="U744" t="s">
        <v>4504</v>
      </c>
      <c r="V744" t="s">
        <v>32</v>
      </c>
      <c r="W744" t="s">
        <v>33</v>
      </c>
      <c r="X744" t="s">
        <v>33</v>
      </c>
      <c r="Y744" t="s">
        <v>33</v>
      </c>
      <c r="Z744" s="16" t="s">
        <v>34</v>
      </c>
      <c r="AA744">
        <v>-75.617241000000007</v>
      </c>
      <c r="AB744">
        <v>6.1404480000000001</v>
      </c>
      <c r="AC744" t="s">
        <v>135</v>
      </c>
      <c r="AD744" t="s">
        <v>136</v>
      </c>
    </row>
    <row r="745" spans="1:30" x14ac:dyDescent="0.25">
      <c r="A745" t="s">
        <v>4559</v>
      </c>
      <c r="B745" t="s">
        <v>25</v>
      </c>
      <c r="C745" t="s">
        <v>26</v>
      </c>
      <c r="D745" t="s">
        <v>25</v>
      </c>
      <c r="E745" t="s">
        <v>4560</v>
      </c>
      <c r="F745" t="s">
        <v>4561</v>
      </c>
      <c r="G745">
        <v>901335234</v>
      </c>
      <c r="H745" t="s">
        <v>3779</v>
      </c>
      <c r="I745" s="4" t="s">
        <v>3780</v>
      </c>
      <c r="J745" s="4" t="s">
        <v>3781</v>
      </c>
      <c r="K745" t="s">
        <v>4562</v>
      </c>
      <c r="L745" t="s">
        <v>59</v>
      </c>
      <c r="M745" t="s">
        <v>4563</v>
      </c>
      <c r="N745" t="s">
        <v>60</v>
      </c>
      <c r="O745" t="s">
        <v>29</v>
      </c>
      <c r="P745" t="s">
        <v>54</v>
      </c>
      <c r="Q745" t="s">
        <v>31</v>
      </c>
      <c r="R745">
        <v>7</v>
      </c>
      <c r="S745" t="s">
        <v>4564</v>
      </c>
      <c r="T745" t="s">
        <v>1129</v>
      </c>
      <c r="U745" t="s">
        <v>4504</v>
      </c>
      <c r="V745" t="s">
        <v>32</v>
      </c>
      <c r="W745" t="s">
        <v>33</v>
      </c>
      <c r="X745" t="s">
        <v>33</v>
      </c>
      <c r="Y745" t="s">
        <v>33</v>
      </c>
      <c r="Z745" s="16" t="s">
        <v>34</v>
      </c>
      <c r="AA745">
        <v>-75.617241000000007</v>
      </c>
      <c r="AB745">
        <v>6.1404480000000001</v>
      </c>
      <c r="AC745" t="s">
        <v>135</v>
      </c>
      <c r="AD745" t="s">
        <v>136</v>
      </c>
    </row>
    <row r="746" spans="1:30" x14ac:dyDescent="0.25">
      <c r="A746" t="s">
        <v>4565</v>
      </c>
      <c r="B746" t="s">
        <v>25</v>
      </c>
      <c r="C746" t="s">
        <v>26</v>
      </c>
      <c r="D746" t="s">
        <v>25</v>
      </c>
      <c r="E746" t="s">
        <v>4560</v>
      </c>
      <c r="F746" t="s">
        <v>4561</v>
      </c>
      <c r="G746">
        <v>901335234</v>
      </c>
      <c r="H746" t="s">
        <v>3779</v>
      </c>
      <c r="I746" s="4" t="s">
        <v>3780</v>
      </c>
      <c r="J746" s="4" t="s">
        <v>3781</v>
      </c>
      <c r="K746" t="s">
        <v>4566</v>
      </c>
      <c r="L746" t="s">
        <v>59</v>
      </c>
      <c r="M746" t="s">
        <v>4567</v>
      </c>
      <c r="N746" t="s">
        <v>60</v>
      </c>
      <c r="O746" t="s">
        <v>29</v>
      </c>
      <c r="P746" t="s">
        <v>54</v>
      </c>
      <c r="Q746" t="s">
        <v>31</v>
      </c>
      <c r="R746">
        <v>7</v>
      </c>
      <c r="S746" t="s">
        <v>4564</v>
      </c>
      <c r="T746" t="s">
        <v>1129</v>
      </c>
      <c r="U746" t="s">
        <v>4504</v>
      </c>
      <c r="V746" t="s">
        <v>32</v>
      </c>
      <c r="W746" t="s">
        <v>33</v>
      </c>
      <c r="X746" t="s">
        <v>33</v>
      </c>
      <c r="Y746" t="s">
        <v>33</v>
      </c>
      <c r="Z746" s="16" t="s">
        <v>34</v>
      </c>
      <c r="AA746">
        <v>-75.617241000000007</v>
      </c>
      <c r="AB746">
        <v>6.1404480000000001</v>
      </c>
      <c r="AC746" t="s">
        <v>135</v>
      </c>
      <c r="AD746" t="s">
        <v>136</v>
      </c>
    </row>
    <row r="747" spans="1:30" x14ac:dyDescent="0.25">
      <c r="A747" t="s">
        <v>4568</v>
      </c>
      <c r="B747" t="s">
        <v>25</v>
      </c>
      <c r="C747" t="s">
        <v>26</v>
      </c>
      <c r="D747" t="s">
        <v>25</v>
      </c>
      <c r="E747" t="s">
        <v>4569</v>
      </c>
      <c r="F747" t="s">
        <v>4570</v>
      </c>
      <c r="G747">
        <v>901335234</v>
      </c>
      <c r="H747" t="s">
        <v>3779</v>
      </c>
      <c r="I747" s="4" t="s">
        <v>3780</v>
      </c>
      <c r="J747" s="4" t="s">
        <v>3781</v>
      </c>
      <c r="K747" t="s">
        <v>4571</v>
      </c>
      <c r="L747" t="s">
        <v>59</v>
      </c>
      <c r="M747" t="s">
        <v>4572</v>
      </c>
      <c r="N747" t="s">
        <v>60</v>
      </c>
      <c r="O747" t="s">
        <v>29</v>
      </c>
      <c r="P747" t="s">
        <v>54</v>
      </c>
      <c r="Q747" t="s">
        <v>31</v>
      </c>
      <c r="R747">
        <v>7</v>
      </c>
      <c r="S747" t="s">
        <v>4573</v>
      </c>
      <c r="T747" t="s">
        <v>1129</v>
      </c>
      <c r="U747" t="s">
        <v>4504</v>
      </c>
      <c r="V747" t="s">
        <v>32</v>
      </c>
      <c r="W747" t="s">
        <v>33</v>
      </c>
      <c r="X747" t="s">
        <v>33</v>
      </c>
      <c r="Y747" t="s">
        <v>33</v>
      </c>
      <c r="Z747" s="16" t="s">
        <v>34</v>
      </c>
      <c r="AA747">
        <v>-75.617241000000007</v>
      </c>
      <c r="AB747">
        <v>6.1404480000000001</v>
      </c>
      <c r="AC747" t="s">
        <v>135</v>
      </c>
      <c r="AD747" t="s">
        <v>136</v>
      </c>
    </row>
    <row r="748" spans="1:30" x14ac:dyDescent="0.25">
      <c r="A748" t="s">
        <v>4574</v>
      </c>
      <c r="B748" t="s">
        <v>25</v>
      </c>
      <c r="C748" t="s">
        <v>26</v>
      </c>
      <c r="D748" t="s">
        <v>25</v>
      </c>
      <c r="E748" t="s">
        <v>4575</v>
      </c>
      <c r="F748" t="s">
        <v>4576</v>
      </c>
      <c r="G748">
        <v>901335234</v>
      </c>
      <c r="H748" t="s">
        <v>3779</v>
      </c>
      <c r="I748" s="4" t="s">
        <v>3780</v>
      </c>
      <c r="J748" s="4" t="s">
        <v>3781</v>
      </c>
      <c r="K748" t="s">
        <v>4577</v>
      </c>
      <c r="L748" t="s">
        <v>59</v>
      </c>
      <c r="M748" t="s">
        <v>4578</v>
      </c>
      <c r="N748" t="s">
        <v>60</v>
      </c>
      <c r="O748" t="s">
        <v>29</v>
      </c>
      <c r="P748" t="s">
        <v>54</v>
      </c>
      <c r="Q748" t="s">
        <v>31</v>
      </c>
      <c r="R748">
        <v>7</v>
      </c>
      <c r="S748" t="s">
        <v>4579</v>
      </c>
      <c r="T748" t="s">
        <v>1129</v>
      </c>
      <c r="U748" t="s">
        <v>4504</v>
      </c>
      <c r="V748" t="s">
        <v>32</v>
      </c>
      <c r="W748" t="s">
        <v>33</v>
      </c>
      <c r="X748" t="s">
        <v>33</v>
      </c>
      <c r="Y748" t="s">
        <v>33</v>
      </c>
      <c r="Z748" s="16" t="s">
        <v>34</v>
      </c>
      <c r="AA748">
        <v>-75.617241000000007</v>
      </c>
      <c r="AB748">
        <v>6.1404480000000001</v>
      </c>
      <c r="AC748" t="s">
        <v>135</v>
      </c>
      <c r="AD748" t="s">
        <v>136</v>
      </c>
    </row>
    <row r="749" spans="1:30" x14ac:dyDescent="0.25">
      <c r="A749" t="s">
        <v>4580</v>
      </c>
      <c r="B749" t="s">
        <v>25</v>
      </c>
      <c r="C749" t="s">
        <v>26</v>
      </c>
      <c r="D749" t="s">
        <v>25</v>
      </c>
      <c r="E749" t="s">
        <v>4581</v>
      </c>
      <c r="F749" t="s">
        <v>4582</v>
      </c>
      <c r="G749">
        <v>901335234</v>
      </c>
      <c r="H749" t="s">
        <v>3779</v>
      </c>
      <c r="I749" s="4" t="s">
        <v>3780</v>
      </c>
      <c r="J749" s="4" t="s">
        <v>3781</v>
      </c>
      <c r="K749" t="s">
        <v>4583</v>
      </c>
      <c r="L749" t="s">
        <v>59</v>
      </c>
      <c r="M749" t="s">
        <v>4584</v>
      </c>
      <c r="N749" t="s">
        <v>60</v>
      </c>
      <c r="O749" t="s">
        <v>29</v>
      </c>
      <c r="P749" t="s">
        <v>54</v>
      </c>
      <c r="Q749" t="s">
        <v>31</v>
      </c>
      <c r="R749">
        <v>7</v>
      </c>
      <c r="S749" t="s">
        <v>4585</v>
      </c>
      <c r="T749" t="s">
        <v>1129</v>
      </c>
      <c r="U749" t="s">
        <v>4504</v>
      </c>
      <c r="V749" t="s">
        <v>32</v>
      </c>
      <c r="W749" t="s">
        <v>33</v>
      </c>
      <c r="X749" t="s">
        <v>33</v>
      </c>
      <c r="Y749" t="s">
        <v>33</v>
      </c>
      <c r="Z749" s="16" t="s">
        <v>34</v>
      </c>
      <c r="AA749">
        <v>-75.617241000000007</v>
      </c>
      <c r="AB749">
        <v>6.1404480000000001</v>
      </c>
      <c r="AC749" t="s">
        <v>135</v>
      </c>
      <c r="AD749" t="s">
        <v>136</v>
      </c>
    </row>
    <row r="750" spans="1:30" x14ac:dyDescent="0.25">
      <c r="A750" t="s">
        <v>4586</v>
      </c>
      <c r="B750" t="s">
        <v>25</v>
      </c>
      <c r="C750" t="s">
        <v>26</v>
      </c>
      <c r="D750" t="s">
        <v>25</v>
      </c>
      <c r="E750" t="s">
        <v>4587</v>
      </c>
      <c r="F750" t="s">
        <v>4588</v>
      </c>
      <c r="G750">
        <v>901335234</v>
      </c>
      <c r="H750" t="s">
        <v>3779</v>
      </c>
      <c r="I750" s="4" t="s">
        <v>3780</v>
      </c>
      <c r="J750" s="4" t="s">
        <v>3781</v>
      </c>
      <c r="K750" t="s">
        <v>4589</v>
      </c>
      <c r="L750" t="s">
        <v>59</v>
      </c>
      <c r="M750" t="s">
        <v>4590</v>
      </c>
      <c r="N750" t="s">
        <v>60</v>
      </c>
      <c r="O750" t="s">
        <v>29</v>
      </c>
      <c r="P750" t="s">
        <v>54</v>
      </c>
      <c r="Q750" t="s">
        <v>31</v>
      </c>
      <c r="R750">
        <v>7</v>
      </c>
      <c r="S750" t="s">
        <v>4591</v>
      </c>
      <c r="T750" t="s">
        <v>1129</v>
      </c>
      <c r="U750" t="s">
        <v>4504</v>
      </c>
      <c r="V750" t="s">
        <v>32</v>
      </c>
      <c r="W750" t="s">
        <v>33</v>
      </c>
      <c r="X750" t="s">
        <v>33</v>
      </c>
      <c r="Y750" t="s">
        <v>33</v>
      </c>
      <c r="Z750" s="16" t="s">
        <v>34</v>
      </c>
      <c r="AA750">
        <v>-75.617241000000007</v>
      </c>
      <c r="AB750">
        <v>6.1404480000000001</v>
      </c>
      <c r="AC750" t="s">
        <v>135</v>
      </c>
      <c r="AD750" t="s">
        <v>136</v>
      </c>
    </row>
    <row r="751" spans="1:30" x14ac:dyDescent="0.25">
      <c r="A751" t="s">
        <v>4592</v>
      </c>
      <c r="B751" t="s">
        <v>25</v>
      </c>
      <c r="C751" t="s">
        <v>26</v>
      </c>
      <c r="D751" t="s">
        <v>25</v>
      </c>
      <c r="E751" t="s">
        <v>4587</v>
      </c>
      <c r="F751" t="s">
        <v>4588</v>
      </c>
      <c r="G751">
        <v>901335234</v>
      </c>
      <c r="H751" t="s">
        <v>3779</v>
      </c>
      <c r="I751" s="4" t="s">
        <v>3780</v>
      </c>
      <c r="J751" s="4" t="s">
        <v>3781</v>
      </c>
      <c r="K751" t="s">
        <v>4593</v>
      </c>
      <c r="L751" t="s">
        <v>59</v>
      </c>
      <c r="M751" t="s">
        <v>4594</v>
      </c>
      <c r="N751" t="s">
        <v>60</v>
      </c>
      <c r="O751" t="s">
        <v>29</v>
      </c>
      <c r="P751" t="s">
        <v>54</v>
      </c>
      <c r="Q751" t="s">
        <v>31</v>
      </c>
      <c r="R751">
        <v>7</v>
      </c>
      <c r="S751" t="s">
        <v>4591</v>
      </c>
      <c r="T751" t="s">
        <v>1129</v>
      </c>
      <c r="U751" t="s">
        <v>4504</v>
      </c>
      <c r="V751" t="s">
        <v>32</v>
      </c>
      <c r="W751" t="s">
        <v>33</v>
      </c>
      <c r="X751" t="s">
        <v>33</v>
      </c>
      <c r="Y751" t="s">
        <v>33</v>
      </c>
      <c r="Z751" s="16" t="s">
        <v>34</v>
      </c>
      <c r="AA751">
        <v>-75.617241000000007</v>
      </c>
      <c r="AB751">
        <v>6.1404480000000001</v>
      </c>
      <c r="AC751" t="s">
        <v>135</v>
      </c>
      <c r="AD751" t="s">
        <v>136</v>
      </c>
    </row>
    <row r="752" spans="1:30" x14ac:dyDescent="0.25">
      <c r="A752" t="s">
        <v>4595</v>
      </c>
      <c r="B752" t="s">
        <v>25</v>
      </c>
      <c r="C752" t="s">
        <v>26</v>
      </c>
      <c r="D752" t="s">
        <v>25</v>
      </c>
      <c r="E752" t="s">
        <v>4596</v>
      </c>
      <c r="F752" t="s">
        <v>4597</v>
      </c>
      <c r="G752">
        <v>901335234</v>
      </c>
      <c r="H752" t="s">
        <v>3779</v>
      </c>
      <c r="I752" s="4" t="s">
        <v>3780</v>
      </c>
      <c r="J752" s="4" t="s">
        <v>3781</v>
      </c>
      <c r="K752" t="s">
        <v>4598</v>
      </c>
      <c r="L752" t="s">
        <v>59</v>
      </c>
      <c r="M752" t="s">
        <v>4599</v>
      </c>
      <c r="N752" t="s">
        <v>60</v>
      </c>
      <c r="O752" t="s">
        <v>29</v>
      </c>
      <c r="P752" t="s">
        <v>54</v>
      </c>
      <c r="Q752" t="s">
        <v>31</v>
      </c>
      <c r="R752">
        <v>7</v>
      </c>
      <c r="S752" t="s">
        <v>4600</v>
      </c>
      <c r="T752" t="s">
        <v>1129</v>
      </c>
      <c r="U752" t="s">
        <v>4504</v>
      </c>
      <c r="V752" t="s">
        <v>32</v>
      </c>
      <c r="W752" t="s">
        <v>33</v>
      </c>
      <c r="X752" t="s">
        <v>33</v>
      </c>
      <c r="Y752" t="s">
        <v>33</v>
      </c>
      <c r="Z752" s="16" t="s">
        <v>34</v>
      </c>
      <c r="AA752">
        <v>-75.617241000000007</v>
      </c>
      <c r="AB752">
        <v>6.1404480000000001</v>
      </c>
      <c r="AC752" t="s">
        <v>135</v>
      </c>
      <c r="AD752" t="s">
        <v>136</v>
      </c>
    </row>
    <row r="753" spans="1:30" x14ac:dyDescent="0.25">
      <c r="A753" t="s">
        <v>4601</v>
      </c>
      <c r="B753" t="s">
        <v>25</v>
      </c>
      <c r="C753" t="s">
        <v>26</v>
      </c>
      <c r="D753" t="s">
        <v>25</v>
      </c>
      <c r="E753" t="s">
        <v>4602</v>
      </c>
      <c r="F753" t="s">
        <v>4603</v>
      </c>
      <c r="G753">
        <v>901335234</v>
      </c>
      <c r="H753" t="s">
        <v>3779</v>
      </c>
      <c r="I753" s="4" t="s">
        <v>3780</v>
      </c>
      <c r="J753" s="4" t="s">
        <v>3781</v>
      </c>
      <c r="K753" t="s">
        <v>4604</v>
      </c>
      <c r="L753" t="s">
        <v>59</v>
      </c>
      <c r="M753" t="s">
        <v>4605</v>
      </c>
      <c r="N753" t="s">
        <v>60</v>
      </c>
      <c r="O753" t="s">
        <v>29</v>
      </c>
      <c r="P753" t="s">
        <v>54</v>
      </c>
      <c r="Q753" t="s">
        <v>31</v>
      </c>
      <c r="R753">
        <v>7</v>
      </c>
      <c r="S753" t="s">
        <v>4606</v>
      </c>
      <c r="T753" t="s">
        <v>1129</v>
      </c>
      <c r="U753" t="s">
        <v>4504</v>
      </c>
      <c r="V753" t="s">
        <v>32</v>
      </c>
      <c r="W753" t="s">
        <v>33</v>
      </c>
      <c r="X753" t="s">
        <v>33</v>
      </c>
      <c r="Y753" t="s">
        <v>33</v>
      </c>
      <c r="Z753" s="16" t="s">
        <v>34</v>
      </c>
      <c r="AA753">
        <v>-75.617241000000007</v>
      </c>
      <c r="AB753">
        <v>6.1404480000000001</v>
      </c>
      <c r="AC753" t="s">
        <v>135</v>
      </c>
      <c r="AD753" t="s">
        <v>136</v>
      </c>
    </row>
    <row r="754" spans="1:30" x14ac:dyDescent="0.25">
      <c r="A754" t="s">
        <v>4607</v>
      </c>
      <c r="B754" t="s">
        <v>25</v>
      </c>
      <c r="C754" t="s">
        <v>26</v>
      </c>
      <c r="D754" t="s">
        <v>25</v>
      </c>
      <c r="E754" t="s">
        <v>4602</v>
      </c>
      <c r="F754" t="s">
        <v>4603</v>
      </c>
      <c r="G754">
        <v>901335234</v>
      </c>
      <c r="H754" t="s">
        <v>3779</v>
      </c>
      <c r="I754" s="4" t="s">
        <v>3780</v>
      </c>
      <c r="J754" s="4" t="s">
        <v>3781</v>
      </c>
      <c r="K754" t="s">
        <v>4608</v>
      </c>
      <c r="L754" t="s">
        <v>59</v>
      </c>
      <c r="M754" t="s">
        <v>4609</v>
      </c>
      <c r="N754" t="s">
        <v>60</v>
      </c>
      <c r="O754" t="s">
        <v>29</v>
      </c>
      <c r="P754" t="s">
        <v>54</v>
      </c>
      <c r="Q754" t="s">
        <v>31</v>
      </c>
      <c r="R754">
        <v>7</v>
      </c>
      <c r="S754" t="s">
        <v>4606</v>
      </c>
      <c r="T754" t="s">
        <v>1129</v>
      </c>
      <c r="U754" t="s">
        <v>4504</v>
      </c>
      <c r="V754" t="s">
        <v>32</v>
      </c>
      <c r="W754" t="s">
        <v>33</v>
      </c>
      <c r="X754" t="s">
        <v>33</v>
      </c>
      <c r="Y754" t="s">
        <v>33</v>
      </c>
      <c r="Z754" s="16" t="s">
        <v>34</v>
      </c>
      <c r="AA754">
        <v>-75.617241000000007</v>
      </c>
      <c r="AB754">
        <v>6.1404480000000001</v>
      </c>
      <c r="AC754" t="s">
        <v>135</v>
      </c>
      <c r="AD754" t="s">
        <v>136</v>
      </c>
    </row>
    <row r="755" spans="1:30" x14ac:dyDescent="0.25">
      <c r="A755" t="s">
        <v>4610</v>
      </c>
      <c r="B755" t="s">
        <v>25</v>
      </c>
      <c r="C755" t="s">
        <v>26</v>
      </c>
      <c r="D755" t="s">
        <v>25</v>
      </c>
      <c r="E755" t="s">
        <v>4602</v>
      </c>
      <c r="F755" t="s">
        <v>4603</v>
      </c>
      <c r="G755">
        <v>901335234</v>
      </c>
      <c r="H755" t="s">
        <v>3779</v>
      </c>
      <c r="I755" s="4" t="s">
        <v>3780</v>
      </c>
      <c r="J755" s="4" t="s">
        <v>3781</v>
      </c>
      <c r="K755" t="s">
        <v>4611</v>
      </c>
      <c r="L755" t="s">
        <v>59</v>
      </c>
      <c r="M755" t="s">
        <v>4612</v>
      </c>
      <c r="N755" t="s">
        <v>60</v>
      </c>
      <c r="O755" t="s">
        <v>29</v>
      </c>
      <c r="P755" t="s">
        <v>54</v>
      </c>
      <c r="Q755" t="s">
        <v>31</v>
      </c>
      <c r="R755">
        <v>7</v>
      </c>
      <c r="S755" t="s">
        <v>4606</v>
      </c>
      <c r="T755" t="s">
        <v>1129</v>
      </c>
      <c r="U755" t="s">
        <v>4504</v>
      </c>
      <c r="V755" t="s">
        <v>32</v>
      </c>
      <c r="W755" t="s">
        <v>33</v>
      </c>
      <c r="X755" t="s">
        <v>33</v>
      </c>
      <c r="Y755" t="s">
        <v>33</v>
      </c>
      <c r="Z755" s="16" t="s">
        <v>34</v>
      </c>
      <c r="AA755">
        <v>-75.617241000000007</v>
      </c>
      <c r="AB755">
        <v>6.1404480000000001</v>
      </c>
      <c r="AC755" t="s">
        <v>135</v>
      </c>
      <c r="AD755" t="s">
        <v>136</v>
      </c>
    </row>
    <row r="756" spans="1:30" x14ac:dyDescent="0.25">
      <c r="A756" t="s">
        <v>4613</v>
      </c>
      <c r="B756" t="s">
        <v>25</v>
      </c>
      <c r="C756" t="s">
        <v>26</v>
      </c>
      <c r="D756" t="s">
        <v>25</v>
      </c>
      <c r="E756" t="s">
        <v>4614</v>
      </c>
      <c r="F756" t="s">
        <v>4615</v>
      </c>
      <c r="G756">
        <v>901335234</v>
      </c>
      <c r="H756" t="s">
        <v>3779</v>
      </c>
      <c r="I756" s="4" t="s">
        <v>3780</v>
      </c>
      <c r="J756" s="4" t="s">
        <v>3781</v>
      </c>
      <c r="K756" t="s">
        <v>4616</v>
      </c>
      <c r="L756" t="s">
        <v>59</v>
      </c>
      <c r="M756" t="s">
        <v>4617</v>
      </c>
      <c r="N756" t="s">
        <v>60</v>
      </c>
      <c r="O756" t="s">
        <v>29</v>
      </c>
      <c r="P756" t="s">
        <v>54</v>
      </c>
      <c r="Q756" t="s">
        <v>31</v>
      </c>
      <c r="R756">
        <v>7</v>
      </c>
      <c r="S756" t="s">
        <v>4618</v>
      </c>
      <c r="T756" t="s">
        <v>1129</v>
      </c>
      <c r="U756" t="s">
        <v>4504</v>
      </c>
      <c r="V756" t="s">
        <v>32</v>
      </c>
      <c r="W756" t="s">
        <v>33</v>
      </c>
      <c r="X756" t="s">
        <v>33</v>
      </c>
      <c r="Y756" t="s">
        <v>33</v>
      </c>
      <c r="Z756" s="16" t="s">
        <v>34</v>
      </c>
      <c r="AA756">
        <v>-75.617241000000007</v>
      </c>
      <c r="AB756">
        <v>6.1404480000000001</v>
      </c>
      <c r="AC756" t="s">
        <v>135</v>
      </c>
      <c r="AD756" t="s">
        <v>136</v>
      </c>
    </row>
    <row r="757" spans="1:30" x14ac:dyDescent="0.25">
      <c r="A757" t="s">
        <v>4619</v>
      </c>
      <c r="B757" t="s">
        <v>25</v>
      </c>
      <c r="C757" t="s">
        <v>26</v>
      </c>
      <c r="D757" t="s">
        <v>25</v>
      </c>
      <c r="E757" t="s">
        <v>4614</v>
      </c>
      <c r="F757" t="s">
        <v>4615</v>
      </c>
      <c r="G757">
        <v>901335234</v>
      </c>
      <c r="H757" t="s">
        <v>3779</v>
      </c>
      <c r="I757" s="4" t="s">
        <v>3780</v>
      </c>
      <c r="J757" s="4" t="s">
        <v>3781</v>
      </c>
      <c r="K757" t="s">
        <v>4620</v>
      </c>
      <c r="L757" t="s">
        <v>59</v>
      </c>
      <c r="M757" t="s">
        <v>4621</v>
      </c>
      <c r="N757" t="s">
        <v>60</v>
      </c>
      <c r="O757" t="s">
        <v>29</v>
      </c>
      <c r="P757" t="s">
        <v>54</v>
      </c>
      <c r="Q757" t="s">
        <v>31</v>
      </c>
      <c r="R757">
        <v>7</v>
      </c>
      <c r="S757" t="s">
        <v>4618</v>
      </c>
      <c r="T757" t="s">
        <v>1129</v>
      </c>
      <c r="U757" t="s">
        <v>4504</v>
      </c>
      <c r="V757" t="s">
        <v>32</v>
      </c>
      <c r="W757" t="s">
        <v>33</v>
      </c>
      <c r="X757" t="s">
        <v>33</v>
      </c>
      <c r="Y757" t="s">
        <v>33</v>
      </c>
      <c r="Z757" s="16" t="s">
        <v>34</v>
      </c>
      <c r="AA757">
        <v>-75.617241000000007</v>
      </c>
      <c r="AB757">
        <v>6.1404480000000001</v>
      </c>
      <c r="AC757" t="s">
        <v>135</v>
      </c>
      <c r="AD757" t="s">
        <v>136</v>
      </c>
    </row>
    <row r="758" spans="1:30" x14ac:dyDescent="0.25">
      <c r="A758" t="s">
        <v>4622</v>
      </c>
      <c r="B758" t="s">
        <v>25</v>
      </c>
      <c r="C758" t="s">
        <v>26</v>
      </c>
      <c r="D758" t="s">
        <v>25</v>
      </c>
      <c r="E758" t="s">
        <v>4614</v>
      </c>
      <c r="F758" t="s">
        <v>4615</v>
      </c>
      <c r="G758">
        <v>901335234</v>
      </c>
      <c r="H758" t="s">
        <v>3779</v>
      </c>
      <c r="I758" s="4" t="s">
        <v>3780</v>
      </c>
      <c r="J758" s="4" t="s">
        <v>3781</v>
      </c>
      <c r="K758" t="s">
        <v>4623</v>
      </c>
      <c r="L758" t="s">
        <v>59</v>
      </c>
      <c r="M758" t="s">
        <v>4624</v>
      </c>
      <c r="N758" t="s">
        <v>60</v>
      </c>
      <c r="O758" t="s">
        <v>29</v>
      </c>
      <c r="P758" t="s">
        <v>54</v>
      </c>
      <c r="Q758" t="s">
        <v>31</v>
      </c>
      <c r="R758">
        <v>7</v>
      </c>
      <c r="S758" t="s">
        <v>4618</v>
      </c>
      <c r="T758" t="s">
        <v>1129</v>
      </c>
      <c r="U758" t="s">
        <v>4504</v>
      </c>
      <c r="V758" t="s">
        <v>32</v>
      </c>
      <c r="W758" t="s">
        <v>33</v>
      </c>
      <c r="X758" t="s">
        <v>33</v>
      </c>
      <c r="Y758" t="s">
        <v>33</v>
      </c>
      <c r="Z758" s="16" t="s">
        <v>34</v>
      </c>
      <c r="AA758">
        <v>-75.617241000000007</v>
      </c>
      <c r="AB758">
        <v>6.1404480000000001</v>
      </c>
      <c r="AC758" t="s">
        <v>135</v>
      </c>
      <c r="AD758" t="s">
        <v>136</v>
      </c>
    </row>
    <row r="759" spans="1:30" x14ac:dyDescent="0.25">
      <c r="A759" t="s">
        <v>4625</v>
      </c>
      <c r="B759" t="s">
        <v>25</v>
      </c>
      <c r="C759" t="s">
        <v>26</v>
      </c>
      <c r="D759" t="s">
        <v>25</v>
      </c>
      <c r="E759" t="s">
        <v>4614</v>
      </c>
      <c r="F759" t="s">
        <v>4626</v>
      </c>
      <c r="G759">
        <v>901335234</v>
      </c>
      <c r="H759" t="s">
        <v>3779</v>
      </c>
      <c r="I759" s="4" t="s">
        <v>3780</v>
      </c>
      <c r="J759" s="4" t="s">
        <v>3781</v>
      </c>
      <c r="K759" t="s">
        <v>4627</v>
      </c>
      <c r="L759" t="s">
        <v>59</v>
      </c>
      <c r="M759" t="s">
        <v>4628</v>
      </c>
      <c r="N759" t="s">
        <v>60</v>
      </c>
      <c r="O759" t="s">
        <v>29</v>
      </c>
      <c r="P759" t="s">
        <v>54</v>
      </c>
      <c r="Q759" t="s">
        <v>31</v>
      </c>
      <c r="R759">
        <v>7</v>
      </c>
      <c r="S759" t="s">
        <v>4629</v>
      </c>
      <c r="T759" t="s">
        <v>1129</v>
      </c>
      <c r="U759" t="s">
        <v>4504</v>
      </c>
      <c r="V759" t="s">
        <v>32</v>
      </c>
      <c r="W759" t="s">
        <v>33</v>
      </c>
      <c r="X759" t="s">
        <v>33</v>
      </c>
      <c r="Y759" t="s">
        <v>33</v>
      </c>
      <c r="Z759" s="16" t="s">
        <v>34</v>
      </c>
      <c r="AA759">
        <v>-75.617241000000007</v>
      </c>
      <c r="AB759">
        <v>6.1404480000000001</v>
      </c>
      <c r="AC759" t="s">
        <v>135</v>
      </c>
      <c r="AD759" t="s">
        <v>136</v>
      </c>
    </row>
    <row r="760" spans="1:30" x14ac:dyDescent="0.25">
      <c r="A760" t="s">
        <v>4630</v>
      </c>
      <c r="B760" t="s">
        <v>25</v>
      </c>
      <c r="C760" t="s">
        <v>26</v>
      </c>
      <c r="D760" t="s">
        <v>25</v>
      </c>
      <c r="E760" t="s">
        <v>4631</v>
      </c>
      <c r="F760" t="s">
        <v>4632</v>
      </c>
      <c r="G760">
        <v>901335234</v>
      </c>
      <c r="H760" t="s">
        <v>3779</v>
      </c>
      <c r="I760" s="4" t="s">
        <v>3780</v>
      </c>
      <c r="J760" s="4" t="s">
        <v>3781</v>
      </c>
      <c r="K760" t="s">
        <v>4633</v>
      </c>
      <c r="L760" t="s">
        <v>59</v>
      </c>
      <c r="M760" t="s">
        <v>4634</v>
      </c>
      <c r="N760" t="s">
        <v>60</v>
      </c>
      <c r="O760" t="s">
        <v>29</v>
      </c>
      <c r="P760" t="s">
        <v>54</v>
      </c>
      <c r="Q760" t="s">
        <v>31</v>
      </c>
      <c r="R760">
        <v>7</v>
      </c>
      <c r="S760" t="s">
        <v>4635</v>
      </c>
      <c r="T760" t="s">
        <v>1129</v>
      </c>
      <c r="U760" t="s">
        <v>4504</v>
      </c>
      <c r="V760" t="s">
        <v>32</v>
      </c>
      <c r="W760" t="s">
        <v>33</v>
      </c>
      <c r="X760" t="s">
        <v>33</v>
      </c>
      <c r="Y760" t="s">
        <v>33</v>
      </c>
      <c r="Z760" s="16" t="s">
        <v>34</v>
      </c>
      <c r="AA760">
        <v>-75.617241000000007</v>
      </c>
      <c r="AB760">
        <v>6.1404480000000001</v>
      </c>
      <c r="AC760" t="s">
        <v>135</v>
      </c>
      <c r="AD760" t="s">
        <v>136</v>
      </c>
    </row>
    <row r="761" spans="1:30" x14ac:dyDescent="0.25">
      <c r="A761" t="s">
        <v>4636</v>
      </c>
      <c r="B761" t="s">
        <v>61</v>
      </c>
      <c r="C761" t="s">
        <v>26</v>
      </c>
      <c r="D761" t="s">
        <v>61</v>
      </c>
      <c r="E761" t="s">
        <v>4637</v>
      </c>
      <c r="F761" t="s">
        <v>4638</v>
      </c>
      <c r="G761">
        <v>1036625073</v>
      </c>
      <c r="H761" t="s">
        <v>4639</v>
      </c>
      <c r="I761" s="4" t="s">
        <v>35</v>
      </c>
      <c r="J761" s="4" t="s">
        <v>530</v>
      </c>
      <c r="K761" t="s">
        <v>4640</v>
      </c>
      <c r="L761" t="s">
        <v>44</v>
      </c>
      <c r="M761" t="s">
        <v>4641</v>
      </c>
      <c r="N761" t="s">
        <v>45</v>
      </c>
      <c r="O761" t="s">
        <v>62</v>
      </c>
      <c r="P761" t="s">
        <v>63</v>
      </c>
      <c r="Q761" t="s">
        <v>31</v>
      </c>
      <c r="R761">
        <v>4</v>
      </c>
      <c r="S761" t="s">
        <v>4642</v>
      </c>
      <c r="T761" t="s">
        <v>6246</v>
      </c>
      <c r="U761" t="s">
        <v>47</v>
      </c>
      <c r="V761" t="s">
        <v>47</v>
      </c>
      <c r="W761" t="s">
        <v>33</v>
      </c>
      <c r="X761" t="s">
        <v>33</v>
      </c>
      <c r="Y761" t="s">
        <v>33</v>
      </c>
      <c r="Z761" s="16" t="s">
        <v>34</v>
      </c>
      <c r="AA761">
        <v>-75.632284999999996</v>
      </c>
      <c r="AB761">
        <v>6.1644569999999996</v>
      </c>
      <c r="AC761" t="s">
        <v>135</v>
      </c>
      <c r="AD761" t="s">
        <v>136</v>
      </c>
    </row>
    <row r="762" spans="1:30" x14ac:dyDescent="0.25">
      <c r="A762" t="s">
        <v>4644</v>
      </c>
      <c r="B762" t="s">
        <v>50</v>
      </c>
      <c r="C762" t="s">
        <v>26</v>
      </c>
      <c r="D762" t="s">
        <v>50</v>
      </c>
      <c r="E762" t="s">
        <v>4645</v>
      </c>
      <c r="F762" t="s">
        <v>4646</v>
      </c>
      <c r="G762">
        <v>42872958</v>
      </c>
      <c r="H762" t="s">
        <v>4647</v>
      </c>
      <c r="I762" s="4" t="s">
        <v>4648</v>
      </c>
      <c r="J762" s="4" t="s">
        <v>4649</v>
      </c>
      <c r="K762" t="s">
        <v>4650</v>
      </c>
      <c r="L762" t="s">
        <v>59</v>
      </c>
      <c r="M762" t="s">
        <v>4651</v>
      </c>
      <c r="N762" t="s">
        <v>60</v>
      </c>
      <c r="O762" t="s">
        <v>40</v>
      </c>
      <c r="P762" t="s">
        <v>52</v>
      </c>
      <c r="Q762" t="s">
        <v>31</v>
      </c>
      <c r="R762">
        <v>5</v>
      </c>
      <c r="S762" t="s">
        <v>4652</v>
      </c>
      <c r="T762" t="s">
        <v>7304</v>
      </c>
      <c r="U762" t="s">
        <v>7305</v>
      </c>
      <c r="V762" t="s">
        <v>49</v>
      </c>
      <c r="W762" t="s">
        <v>33</v>
      </c>
      <c r="X762" t="s">
        <v>33</v>
      </c>
      <c r="Y762" t="s">
        <v>33</v>
      </c>
      <c r="Z762" s="16" t="s">
        <v>34</v>
      </c>
      <c r="AA762">
        <v>-75.627644000000004</v>
      </c>
      <c r="AB762">
        <v>6.1496510000000004</v>
      </c>
      <c r="AC762" t="s">
        <v>135</v>
      </c>
      <c r="AD762" t="s">
        <v>136</v>
      </c>
    </row>
    <row r="763" spans="1:30" x14ac:dyDescent="0.25">
      <c r="A763" t="s">
        <v>4654</v>
      </c>
      <c r="B763" t="s">
        <v>25</v>
      </c>
      <c r="C763" t="s">
        <v>26</v>
      </c>
      <c r="D763" t="s">
        <v>39</v>
      </c>
      <c r="E763" t="s">
        <v>4655</v>
      </c>
      <c r="F763" t="s">
        <v>4656</v>
      </c>
      <c r="G763">
        <v>1040732793</v>
      </c>
      <c r="H763" t="s">
        <v>539</v>
      </c>
      <c r="I763" s="4" t="s">
        <v>35</v>
      </c>
      <c r="J763" s="4" t="s">
        <v>540</v>
      </c>
      <c r="K763" t="s">
        <v>4657</v>
      </c>
      <c r="L763" t="s">
        <v>27</v>
      </c>
      <c r="M763" t="s">
        <v>4658</v>
      </c>
      <c r="N763" t="s">
        <v>28</v>
      </c>
      <c r="O763" t="s">
        <v>40</v>
      </c>
      <c r="P763" t="s">
        <v>41</v>
      </c>
      <c r="Q763" t="s">
        <v>31</v>
      </c>
      <c r="R763">
        <v>5</v>
      </c>
      <c r="S763" t="s">
        <v>4659</v>
      </c>
      <c r="T763" t="s">
        <v>7316</v>
      </c>
      <c r="U763" t="s">
        <v>7317</v>
      </c>
      <c r="V763" t="s">
        <v>49</v>
      </c>
      <c r="W763" t="s">
        <v>33</v>
      </c>
      <c r="X763" t="s">
        <v>33</v>
      </c>
      <c r="Y763" t="s">
        <v>33</v>
      </c>
      <c r="Z763" s="16" t="s">
        <v>34</v>
      </c>
      <c r="AA763">
        <v>-75.582945219999999</v>
      </c>
      <c r="AB763">
        <v>6.2608476900000003</v>
      </c>
      <c r="AC763" t="s">
        <v>135</v>
      </c>
      <c r="AD763" t="s">
        <v>136</v>
      </c>
    </row>
    <row r="764" spans="1:30" x14ac:dyDescent="0.25">
      <c r="A764" t="s">
        <v>4660</v>
      </c>
      <c r="B764" t="s">
        <v>25</v>
      </c>
      <c r="C764" t="s">
        <v>26</v>
      </c>
      <c r="D764" t="s">
        <v>39</v>
      </c>
      <c r="E764" t="s">
        <v>4661</v>
      </c>
      <c r="F764" t="s">
        <v>4662</v>
      </c>
      <c r="G764">
        <v>1128476501</v>
      </c>
      <c r="H764" t="s">
        <v>4663</v>
      </c>
      <c r="I764" s="4" t="s">
        <v>35</v>
      </c>
      <c r="J764" s="4" t="s">
        <v>4664</v>
      </c>
      <c r="K764" t="s">
        <v>4665</v>
      </c>
      <c r="L764" t="s">
        <v>27</v>
      </c>
      <c r="M764" t="s">
        <v>4666</v>
      </c>
      <c r="N764" t="s">
        <v>28</v>
      </c>
      <c r="O764" t="s">
        <v>40</v>
      </c>
      <c r="P764" t="s">
        <v>41</v>
      </c>
      <c r="Q764" t="s">
        <v>31</v>
      </c>
      <c r="R764">
        <v>5</v>
      </c>
      <c r="S764" t="s">
        <v>4667</v>
      </c>
      <c r="T764" t="s">
        <v>7318</v>
      </c>
      <c r="U764" t="s">
        <v>7319</v>
      </c>
      <c r="V764" t="s">
        <v>49</v>
      </c>
      <c r="W764" t="s">
        <v>33</v>
      </c>
      <c r="X764" t="s">
        <v>33</v>
      </c>
      <c r="Y764" t="s">
        <v>33</v>
      </c>
      <c r="Z764" s="16" t="s">
        <v>34</v>
      </c>
      <c r="AA764">
        <v>-75.617339999999999</v>
      </c>
      <c r="AB764">
        <v>6.2705609999999998</v>
      </c>
      <c r="AC764" t="s">
        <v>135</v>
      </c>
      <c r="AD764" t="s">
        <v>136</v>
      </c>
    </row>
    <row r="765" spans="1:30" x14ac:dyDescent="0.25">
      <c r="A765" t="s">
        <v>4668</v>
      </c>
      <c r="B765" t="s">
        <v>50</v>
      </c>
      <c r="C765" t="s">
        <v>71</v>
      </c>
      <c r="D765" t="s">
        <v>50</v>
      </c>
      <c r="E765" t="s">
        <v>4669</v>
      </c>
      <c r="F765" t="s">
        <v>4670</v>
      </c>
      <c r="G765">
        <v>15255853</v>
      </c>
      <c r="H765" t="s">
        <v>4671</v>
      </c>
      <c r="I765" s="4" t="s">
        <v>35</v>
      </c>
      <c r="J765" s="4" t="s">
        <v>4672</v>
      </c>
      <c r="K765" t="s">
        <v>4673</v>
      </c>
      <c r="L765" t="s">
        <v>57</v>
      </c>
      <c r="M765" t="s">
        <v>4674</v>
      </c>
      <c r="N765" t="s">
        <v>58</v>
      </c>
      <c r="O765" t="s">
        <v>72</v>
      </c>
      <c r="P765" t="s">
        <v>52</v>
      </c>
      <c r="Q765" t="s">
        <v>38</v>
      </c>
      <c r="R765">
        <v>11</v>
      </c>
      <c r="S765" t="s">
        <v>4675</v>
      </c>
      <c r="T765" t="s">
        <v>2684</v>
      </c>
      <c r="U765" t="s">
        <v>7320</v>
      </c>
      <c r="V765" t="s">
        <v>32</v>
      </c>
      <c r="W765" t="s">
        <v>33</v>
      </c>
      <c r="X765" t="s">
        <v>33</v>
      </c>
      <c r="Y765" t="s">
        <v>33</v>
      </c>
      <c r="Z765" s="16" t="s">
        <v>34</v>
      </c>
      <c r="AA765">
        <v>-75.639612650000004</v>
      </c>
      <c r="AB765">
        <v>6.0829978200000001</v>
      </c>
      <c r="AC765" t="s">
        <v>135</v>
      </c>
      <c r="AD765" t="s">
        <v>136</v>
      </c>
    </row>
    <row r="766" spans="1:30" x14ac:dyDescent="0.25">
      <c r="A766" t="s">
        <v>4677</v>
      </c>
      <c r="B766" t="s">
        <v>61</v>
      </c>
      <c r="C766" t="s">
        <v>26</v>
      </c>
      <c r="D766" t="s">
        <v>61</v>
      </c>
      <c r="E766" t="s">
        <v>4678</v>
      </c>
      <c r="F766" t="s">
        <v>4679</v>
      </c>
      <c r="G766">
        <v>890980093</v>
      </c>
      <c r="H766" t="s">
        <v>4680</v>
      </c>
      <c r="I766" s="4" t="s">
        <v>4681</v>
      </c>
      <c r="J766" s="4" t="s">
        <v>4682</v>
      </c>
      <c r="K766" t="s">
        <v>4683</v>
      </c>
      <c r="L766" t="s">
        <v>44</v>
      </c>
      <c r="M766" t="s">
        <v>4684</v>
      </c>
      <c r="N766" t="s">
        <v>45</v>
      </c>
      <c r="O766" t="s">
        <v>62</v>
      </c>
      <c r="P766" t="s">
        <v>63</v>
      </c>
      <c r="Q766" t="s">
        <v>31</v>
      </c>
      <c r="R766">
        <v>4</v>
      </c>
      <c r="S766" t="s">
        <v>4685</v>
      </c>
      <c r="T766" t="s">
        <v>7321</v>
      </c>
      <c r="U766" t="s">
        <v>1695</v>
      </c>
      <c r="V766" t="s">
        <v>131</v>
      </c>
      <c r="W766" t="s">
        <v>33</v>
      </c>
      <c r="X766" t="s">
        <v>33</v>
      </c>
      <c r="Y766" t="s">
        <v>33</v>
      </c>
      <c r="Z766" s="16" t="s">
        <v>34</v>
      </c>
      <c r="AA766">
        <v>-75.598935440000005</v>
      </c>
      <c r="AB766">
        <v>6.1903351999999998</v>
      </c>
      <c r="AC766" t="s">
        <v>135</v>
      </c>
      <c r="AD766" t="s">
        <v>136</v>
      </c>
    </row>
    <row r="767" spans="1:30" x14ac:dyDescent="0.25">
      <c r="A767" t="s">
        <v>4686</v>
      </c>
      <c r="B767" t="s">
        <v>25</v>
      </c>
      <c r="C767" t="s">
        <v>26</v>
      </c>
      <c r="D767" t="s">
        <v>39</v>
      </c>
      <c r="E767" t="s">
        <v>4687</v>
      </c>
      <c r="F767" t="s">
        <v>4688</v>
      </c>
      <c r="G767">
        <v>43831080</v>
      </c>
      <c r="H767" t="s">
        <v>4689</v>
      </c>
      <c r="I767" s="4" t="s">
        <v>4690</v>
      </c>
      <c r="J767" s="4" t="s">
        <v>35</v>
      </c>
      <c r="K767" t="s">
        <v>4691</v>
      </c>
      <c r="L767" t="s">
        <v>44</v>
      </c>
      <c r="M767" t="s">
        <v>4692</v>
      </c>
      <c r="N767" t="s">
        <v>45</v>
      </c>
      <c r="O767" t="s">
        <v>40</v>
      </c>
      <c r="P767" t="s">
        <v>41</v>
      </c>
      <c r="Q767" t="s">
        <v>38</v>
      </c>
      <c r="R767">
        <v>8</v>
      </c>
      <c r="S767" t="s">
        <v>4693</v>
      </c>
      <c r="T767" t="s">
        <v>7322</v>
      </c>
      <c r="U767" t="s">
        <v>7322</v>
      </c>
      <c r="V767" t="s">
        <v>32</v>
      </c>
      <c r="W767" t="s">
        <v>33</v>
      </c>
      <c r="X767" t="s">
        <v>33</v>
      </c>
      <c r="Y767" t="s">
        <v>33</v>
      </c>
      <c r="Z767" s="16" t="s">
        <v>34</v>
      </c>
      <c r="AA767">
        <v>-75.616522180000004</v>
      </c>
      <c r="AB767">
        <v>6.1761828400000001</v>
      </c>
      <c r="AC767" t="s">
        <v>135</v>
      </c>
      <c r="AD767" t="s">
        <v>136</v>
      </c>
    </row>
    <row r="768" spans="1:30" x14ac:dyDescent="0.25">
      <c r="A768" t="s">
        <v>4694</v>
      </c>
      <c r="B768" t="s">
        <v>61</v>
      </c>
      <c r="C768" t="s">
        <v>26</v>
      </c>
      <c r="D768" t="s">
        <v>61</v>
      </c>
      <c r="E768" t="s">
        <v>4695</v>
      </c>
      <c r="F768" t="s">
        <v>4696</v>
      </c>
      <c r="G768">
        <v>71226174</v>
      </c>
      <c r="H768" t="s">
        <v>4697</v>
      </c>
      <c r="I768" s="4" t="s">
        <v>35</v>
      </c>
      <c r="J768" s="4" t="s">
        <v>4698</v>
      </c>
      <c r="K768" t="s">
        <v>4699</v>
      </c>
      <c r="L768" t="s">
        <v>27</v>
      </c>
      <c r="M768" t="s">
        <v>4700</v>
      </c>
      <c r="N768" t="s">
        <v>28</v>
      </c>
      <c r="O768" t="s">
        <v>62</v>
      </c>
      <c r="P768" t="s">
        <v>63</v>
      </c>
      <c r="Q768" t="s">
        <v>31</v>
      </c>
      <c r="R768">
        <v>4</v>
      </c>
      <c r="S768" t="s">
        <v>4701</v>
      </c>
      <c r="T768" t="s">
        <v>7323</v>
      </c>
      <c r="U768" t="s">
        <v>7324</v>
      </c>
      <c r="V768" t="s">
        <v>131</v>
      </c>
      <c r="W768" t="s">
        <v>33</v>
      </c>
      <c r="X768" t="s">
        <v>33</v>
      </c>
      <c r="Y768" t="s">
        <v>33</v>
      </c>
      <c r="Z768" s="16" t="s">
        <v>34</v>
      </c>
      <c r="AA768">
        <v>-75.594222759999994</v>
      </c>
      <c r="AB768">
        <v>6.2334273400000004</v>
      </c>
      <c r="AC768" t="s">
        <v>135</v>
      </c>
      <c r="AD768" t="s">
        <v>136</v>
      </c>
    </row>
    <row r="769" spans="1:30" x14ac:dyDescent="0.25">
      <c r="A769" t="s">
        <v>4703</v>
      </c>
      <c r="B769" t="s">
        <v>61</v>
      </c>
      <c r="C769" t="s">
        <v>26</v>
      </c>
      <c r="D769" t="s">
        <v>61</v>
      </c>
      <c r="E769" t="s">
        <v>4704</v>
      </c>
      <c r="F769" t="s">
        <v>4705</v>
      </c>
      <c r="G769">
        <v>71763028</v>
      </c>
      <c r="H769" t="s">
        <v>4706</v>
      </c>
      <c r="I769" s="4" t="s">
        <v>4707</v>
      </c>
      <c r="J769" s="4" t="s">
        <v>4708</v>
      </c>
      <c r="K769" t="s">
        <v>4709</v>
      </c>
      <c r="L769" t="s">
        <v>27</v>
      </c>
      <c r="M769" t="s">
        <v>4710</v>
      </c>
      <c r="N769" t="s">
        <v>28</v>
      </c>
      <c r="O769" t="s">
        <v>62</v>
      </c>
      <c r="P769" t="s">
        <v>63</v>
      </c>
      <c r="Q769" t="s">
        <v>31</v>
      </c>
      <c r="R769">
        <v>4</v>
      </c>
      <c r="S769" t="s">
        <v>4711</v>
      </c>
      <c r="T769" t="s">
        <v>2588</v>
      </c>
      <c r="U769" t="s">
        <v>2587</v>
      </c>
      <c r="V769" t="s">
        <v>131</v>
      </c>
      <c r="W769" t="s">
        <v>33</v>
      </c>
      <c r="X769" t="s">
        <v>33</v>
      </c>
      <c r="Y769" t="s">
        <v>33</v>
      </c>
      <c r="Z769" s="16" t="s">
        <v>34</v>
      </c>
      <c r="AA769">
        <v>-75.589479909999994</v>
      </c>
      <c r="AB769">
        <v>6.2111045899999997</v>
      </c>
      <c r="AC769" t="s">
        <v>135</v>
      </c>
      <c r="AD769" t="s">
        <v>136</v>
      </c>
    </row>
    <row r="770" spans="1:30" x14ac:dyDescent="0.25">
      <c r="A770" t="s">
        <v>4714</v>
      </c>
      <c r="B770" t="s">
        <v>65</v>
      </c>
      <c r="C770" t="s">
        <v>26</v>
      </c>
      <c r="D770" t="s">
        <v>66</v>
      </c>
      <c r="E770" t="s">
        <v>4715</v>
      </c>
      <c r="F770" t="s">
        <v>4716</v>
      </c>
      <c r="G770">
        <v>43076028</v>
      </c>
      <c r="H770" t="s">
        <v>4717</v>
      </c>
      <c r="I770" s="4" t="s">
        <v>4718</v>
      </c>
      <c r="J770" s="4" t="s">
        <v>4719</v>
      </c>
      <c r="K770" t="s">
        <v>4720</v>
      </c>
      <c r="L770" t="s">
        <v>27</v>
      </c>
      <c r="M770" t="s">
        <v>4721</v>
      </c>
      <c r="N770" t="s">
        <v>28</v>
      </c>
      <c r="O770" t="s">
        <v>68</v>
      </c>
      <c r="P770" t="s">
        <v>70</v>
      </c>
      <c r="Q770" t="s">
        <v>31</v>
      </c>
      <c r="R770">
        <v>9</v>
      </c>
      <c r="S770" t="s">
        <v>4722</v>
      </c>
      <c r="T770" t="s">
        <v>7325</v>
      </c>
      <c r="U770" t="s">
        <v>7326</v>
      </c>
      <c r="V770" t="s">
        <v>32</v>
      </c>
      <c r="W770" t="s">
        <v>33</v>
      </c>
      <c r="X770" t="s">
        <v>33</v>
      </c>
      <c r="Y770" t="s">
        <v>33</v>
      </c>
      <c r="Z770" s="16" t="s">
        <v>34</v>
      </c>
      <c r="AA770">
        <v>-75.542018999999996</v>
      </c>
      <c r="AB770">
        <v>6.2369810000000001</v>
      </c>
      <c r="AC770" t="s">
        <v>135</v>
      </c>
      <c r="AD770" t="s">
        <v>136</v>
      </c>
    </row>
    <row r="771" spans="1:30" x14ac:dyDescent="0.25">
      <c r="A771" t="s">
        <v>4723</v>
      </c>
      <c r="B771" t="s">
        <v>42</v>
      </c>
      <c r="C771" t="s">
        <v>26</v>
      </c>
      <c r="D771" t="s">
        <v>42</v>
      </c>
      <c r="E771" t="s">
        <v>4724</v>
      </c>
      <c r="F771" t="s">
        <v>4725</v>
      </c>
      <c r="G771">
        <v>800005154</v>
      </c>
      <c r="H771" t="s">
        <v>4726</v>
      </c>
      <c r="I771" s="4" t="s">
        <v>35</v>
      </c>
      <c r="J771" s="4" t="s">
        <v>4727</v>
      </c>
      <c r="K771" t="s">
        <v>4728</v>
      </c>
      <c r="L771" t="s">
        <v>44</v>
      </c>
      <c r="M771" t="s">
        <v>4729</v>
      </c>
      <c r="N771" t="s">
        <v>45</v>
      </c>
      <c r="O771" t="s">
        <v>43</v>
      </c>
      <c r="P771" t="s">
        <v>54</v>
      </c>
      <c r="Q771" t="s">
        <v>31</v>
      </c>
      <c r="R771">
        <v>7</v>
      </c>
      <c r="S771" t="s">
        <v>4730</v>
      </c>
      <c r="T771" t="s">
        <v>4732</v>
      </c>
      <c r="U771" t="s">
        <v>4731</v>
      </c>
      <c r="V771" t="s">
        <v>32</v>
      </c>
      <c r="W771" t="s">
        <v>33</v>
      </c>
      <c r="X771" t="s">
        <v>33</v>
      </c>
      <c r="Y771" t="s">
        <v>33</v>
      </c>
      <c r="Z771" s="16" t="s">
        <v>34</v>
      </c>
      <c r="AA771">
        <v>-75.60747284</v>
      </c>
      <c r="AB771">
        <v>6.1679020400000004</v>
      </c>
      <c r="AC771" t="s">
        <v>135</v>
      </c>
      <c r="AD771" t="s">
        <v>136</v>
      </c>
    </row>
    <row r="772" spans="1:30" x14ac:dyDescent="0.25">
      <c r="A772" t="s">
        <v>4733</v>
      </c>
      <c r="B772" t="s">
        <v>25</v>
      </c>
      <c r="C772" t="s">
        <v>26</v>
      </c>
      <c r="D772" t="s">
        <v>25</v>
      </c>
      <c r="E772" t="s">
        <v>4734</v>
      </c>
      <c r="F772" t="s">
        <v>4735</v>
      </c>
      <c r="G772">
        <v>1128417191</v>
      </c>
      <c r="H772" t="s">
        <v>4736</v>
      </c>
      <c r="I772" s="4" t="s">
        <v>35</v>
      </c>
      <c r="J772" s="4" t="s">
        <v>4737</v>
      </c>
      <c r="K772" t="s">
        <v>4738</v>
      </c>
      <c r="L772" t="s">
        <v>27</v>
      </c>
      <c r="M772" t="s">
        <v>4739</v>
      </c>
      <c r="N772" t="s">
        <v>28</v>
      </c>
      <c r="O772" t="s">
        <v>29</v>
      </c>
      <c r="P772" t="s">
        <v>37</v>
      </c>
      <c r="Q772" t="s">
        <v>31</v>
      </c>
      <c r="R772">
        <v>7</v>
      </c>
      <c r="S772" t="s">
        <v>4740</v>
      </c>
      <c r="T772" t="s">
        <v>4742</v>
      </c>
      <c r="U772" t="s">
        <v>4741</v>
      </c>
      <c r="V772" t="s">
        <v>32</v>
      </c>
      <c r="W772" t="s">
        <v>33</v>
      </c>
      <c r="X772" t="s">
        <v>33</v>
      </c>
      <c r="Y772" t="s">
        <v>33</v>
      </c>
      <c r="Z772" s="16" t="s">
        <v>34</v>
      </c>
      <c r="AA772">
        <v>-75.627530050000004</v>
      </c>
      <c r="AB772">
        <v>6.2538077000000003</v>
      </c>
      <c r="AC772" t="s">
        <v>135</v>
      </c>
      <c r="AD772" t="s">
        <v>136</v>
      </c>
    </row>
    <row r="773" spans="1:30" x14ac:dyDescent="0.25">
      <c r="A773" t="s">
        <v>4747</v>
      </c>
      <c r="B773" t="s">
        <v>25</v>
      </c>
      <c r="C773" t="s">
        <v>26</v>
      </c>
      <c r="D773" t="s">
        <v>25</v>
      </c>
      <c r="E773" t="s">
        <v>4748</v>
      </c>
      <c r="F773" t="s">
        <v>4749</v>
      </c>
      <c r="G773">
        <v>1152711899</v>
      </c>
      <c r="H773" t="s">
        <v>4750</v>
      </c>
      <c r="I773" s="4" t="s">
        <v>35</v>
      </c>
      <c r="J773" s="4" t="s">
        <v>4751</v>
      </c>
      <c r="K773" t="s">
        <v>4752</v>
      </c>
      <c r="L773" t="s">
        <v>27</v>
      </c>
      <c r="M773" t="s">
        <v>4753</v>
      </c>
      <c r="N773" t="s">
        <v>28</v>
      </c>
      <c r="O773" t="s">
        <v>29</v>
      </c>
      <c r="P773" t="s">
        <v>37</v>
      </c>
      <c r="Q773" t="s">
        <v>31</v>
      </c>
      <c r="R773">
        <v>7</v>
      </c>
      <c r="S773" t="s">
        <v>4754</v>
      </c>
      <c r="T773" t="s">
        <v>4755</v>
      </c>
      <c r="U773" t="s">
        <v>1155</v>
      </c>
      <c r="V773" t="s">
        <v>32</v>
      </c>
      <c r="W773" t="s">
        <v>33</v>
      </c>
      <c r="X773" t="s">
        <v>33</v>
      </c>
      <c r="Y773" t="s">
        <v>33</v>
      </c>
      <c r="Z773" s="16" t="s">
        <v>34</v>
      </c>
      <c r="AA773">
        <v>-75.547099470000006</v>
      </c>
      <c r="AB773">
        <v>6.2512351300000004</v>
      </c>
      <c r="AC773" t="s">
        <v>135</v>
      </c>
      <c r="AD773" t="s">
        <v>136</v>
      </c>
    </row>
    <row r="774" spans="1:30" x14ac:dyDescent="0.25">
      <c r="A774" t="s">
        <v>4756</v>
      </c>
      <c r="B774" t="s">
        <v>25</v>
      </c>
      <c r="C774" t="s">
        <v>26</v>
      </c>
      <c r="D774" t="s">
        <v>25</v>
      </c>
      <c r="E774" t="s">
        <v>4757</v>
      </c>
      <c r="F774" t="s">
        <v>4758</v>
      </c>
      <c r="G774">
        <v>901335234</v>
      </c>
      <c r="H774" t="s">
        <v>3779</v>
      </c>
      <c r="I774" s="4" t="s">
        <v>3780</v>
      </c>
      <c r="J774" s="4" t="s">
        <v>3781</v>
      </c>
      <c r="K774" t="s">
        <v>4759</v>
      </c>
      <c r="L774" t="s">
        <v>59</v>
      </c>
      <c r="M774" t="s">
        <v>4760</v>
      </c>
      <c r="N774" t="s">
        <v>60</v>
      </c>
      <c r="O774" t="s">
        <v>29</v>
      </c>
      <c r="P774" t="s">
        <v>54</v>
      </c>
      <c r="Q774" t="s">
        <v>31</v>
      </c>
      <c r="R774">
        <v>7</v>
      </c>
      <c r="S774" t="s">
        <v>4761</v>
      </c>
      <c r="T774" t="s">
        <v>4762</v>
      </c>
      <c r="U774" t="s">
        <v>890</v>
      </c>
      <c r="V774" t="s">
        <v>32</v>
      </c>
      <c r="W774" t="s">
        <v>33</v>
      </c>
      <c r="X774" t="s">
        <v>33</v>
      </c>
      <c r="Y774" t="s">
        <v>33</v>
      </c>
      <c r="Z774" s="16" t="s">
        <v>34</v>
      </c>
      <c r="AA774">
        <v>-75.617241000000007</v>
      </c>
      <c r="AB774">
        <v>6.1404480000000001</v>
      </c>
      <c r="AC774" t="s">
        <v>135</v>
      </c>
      <c r="AD774" t="s">
        <v>136</v>
      </c>
    </row>
    <row r="775" spans="1:30" x14ac:dyDescent="0.25">
      <c r="A775" t="s">
        <v>4763</v>
      </c>
      <c r="B775" t="s">
        <v>25</v>
      </c>
      <c r="C775" t="s">
        <v>26</v>
      </c>
      <c r="D775" t="s">
        <v>25</v>
      </c>
      <c r="E775" t="s">
        <v>4764</v>
      </c>
      <c r="F775" t="s">
        <v>4765</v>
      </c>
      <c r="G775">
        <v>901335234</v>
      </c>
      <c r="H775" t="s">
        <v>3779</v>
      </c>
      <c r="I775" s="4" t="s">
        <v>3780</v>
      </c>
      <c r="J775" s="4" t="s">
        <v>3781</v>
      </c>
      <c r="K775" t="s">
        <v>4766</v>
      </c>
      <c r="L775" t="s">
        <v>59</v>
      </c>
      <c r="M775" t="s">
        <v>4767</v>
      </c>
      <c r="N775" t="s">
        <v>60</v>
      </c>
      <c r="O775" t="s">
        <v>29</v>
      </c>
      <c r="P775" t="s">
        <v>54</v>
      </c>
      <c r="Q775" t="s">
        <v>31</v>
      </c>
      <c r="R775">
        <v>7</v>
      </c>
      <c r="S775" t="s">
        <v>4768</v>
      </c>
      <c r="T775" t="s">
        <v>4762</v>
      </c>
      <c r="U775" t="s">
        <v>890</v>
      </c>
      <c r="V775" t="s">
        <v>32</v>
      </c>
      <c r="W775" t="s">
        <v>33</v>
      </c>
      <c r="X775" t="s">
        <v>33</v>
      </c>
      <c r="Y775" t="s">
        <v>33</v>
      </c>
      <c r="Z775" s="16" t="s">
        <v>34</v>
      </c>
      <c r="AA775">
        <v>-75.617241000000007</v>
      </c>
      <c r="AB775">
        <v>6.1404480000000001</v>
      </c>
      <c r="AC775" t="s">
        <v>135</v>
      </c>
      <c r="AD775" t="s">
        <v>136</v>
      </c>
    </row>
    <row r="776" spans="1:30" x14ac:dyDescent="0.25">
      <c r="A776" t="s">
        <v>4769</v>
      </c>
      <c r="B776" t="s">
        <v>25</v>
      </c>
      <c r="C776" t="s">
        <v>26</v>
      </c>
      <c r="D776" t="s">
        <v>25</v>
      </c>
      <c r="E776" t="s">
        <v>4770</v>
      </c>
      <c r="F776" t="s">
        <v>4771</v>
      </c>
      <c r="G776">
        <v>901335234</v>
      </c>
      <c r="H776" t="s">
        <v>3779</v>
      </c>
      <c r="I776" s="4" t="s">
        <v>3780</v>
      </c>
      <c r="J776" s="4" t="s">
        <v>3781</v>
      </c>
      <c r="K776" t="s">
        <v>4772</v>
      </c>
      <c r="L776" t="s">
        <v>59</v>
      </c>
      <c r="M776" t="s">
        <v>4773</v>
      </c>
      <c r="N776" t="s">
        <v>60</v>
      </c>
      <c r="O776" t="s">
        <v>29</v>
      </c>
      <c r="P776" t="s">
        <v>54</v>
      </c>
      <c r="Q776" t="s">
        <v>31</v>
      </c>
      <c r="R776">
        <v>7</v>
      </c>
      <c r="S776" t="s">
        <v>4774</v>
      </c>
      <c r="T776" t="s">
        <v>4762</v>
      </c>
      <c r="U776" t="s">
        <v>890</v>
      </c>
      <c r="V776" t="s">
        <v>32</v>
      </c>
      <c r="W776" t="s">
        <v>33</v>
      </c>
      <c r="X776" t="s">
        <v>33</v>
      </c>
      <c r="Y776" t="s">
        <v>33</v>
      </c>
      <c r="Z776" s="16" t="s">
        <v>34</v>
      </c>
      <c r="AA776">
        <v>-75.617241000000007</v>
      </c>
      <c r="AB776">
        <v>6.1404480000000001</v>
      </c>
      <c r="AC776" t="s">
        <v>135</v>
      </c>
      <c r="AD776" t="s">
        <v>136</v>
      </c>
    </row>
    <row r="777" spans="1:30" x14ac:dyDescent="0.25">
      <c r="A777" t="s">
        <v>4775</v>
      </c>
      <c r="B777" t="s">
        <v>25</v>
      </c>
      <c r="C777" t="s">
        <v>26</v>
      </c>
      <c r="D777" t="s">
        <v>25</v>
      </c>
      <c r="E777" t="s">
        <v>4776</v>
      </c>
      <c r="F777" t="s">
        <v>4777</v>
      </c>
      <c r="G777">
        <v>901335234</v>
      </c>
      <c r="H777" t="s">
        <v>3779</v>
      </c>
      <c r="I777" s="4" t="s">
        <v>3780</v>
      </c>
      <c r="J777" s="4" t="s">
        <v>3781</v>
      </c>
      <c r="K777" t="s">
        <v>4778</v>
      </c>
      <c r="L777" t="s">
        <v>59</v>
      </c>
      <c r="M777" t="s">
        <v>4779</v>
      </c>
      <c r="N777" t="s">
        <v>60</v>
      </c>
      <c r="O777" t="s">
        <v>29</v>
      </c>
      <c r="P777" t="s">
        <v>54</v>
      </c>
      <c r="Q777" t="s">
        <v>31</v>
      </c>
      <c r="R777">
        <v>7</v>
      </c>
      <c r="S777" t="s">
        <v>4780</v>
      </c>
      <c r="T777" t="s">
        <v>4762</v>
      </c>
      <c r="U777" t="s">
        <v>890</v>
      </c>
      <c r="V777" t="s">
        <v>32</v>
      </c>
      <c r="W777" t="s">
        <v>33</v>
      </c>
      <c r="X777" t="s">
        <v>33</v>
      </c>
      <c r="Y777" t="s">
        <v>33</v>
      </c>
      <c r="Z777" s="16" t="s">
        <v>34</v>
      </c>
      <c r="AA777">
        <v>-75.617241000000007</v>
      </c>
      <c r="AB777">
        <v>6.1404480000000001</v>
      </c>
      <c r="AC777" t="s">
        <v>135</v>
      </c>
      <c r="AD777" t="s">
        <v>136</v>
      </c>
    </row>
    <row r="778" spans="1:30" x14ac:dyDescent="0.25">
      <c r="A778" t="s">
        <v>4781</v>
      </c>
      <c r="B778" t="s">
        <v>25</v>
      </c>
      <c r="C778" t="s">
        <v>26</v>
      </c>
      <c r="D778" t="s">
        <v>39</v>
      </c>
      <c r="E778" t="s">
        <v>4782</v>
      </c>
      <c r="F778" t="s">
        <v>4783</v>
      </c>
      <c r="G778">
        <v>1017263135</v>
      </c>
      <c r="H778" t="s">
        <v>4784</v>
      </c>
      <c r="I778" s="4" t="s">
        <v>4785</v>
      </c>
      <c r="J778" s="4" t="s">
        <v>4786</v>
      </c>
      <c r="K778" t="s">
        <v>4787</v>
      </c>
      <c r="L778" t="s">
        <v>27</v>
      </c>
      <c r="M778" t="s">
        <v>4788</v>
      </c>
      <c r="N778" t="s">
        <v>28</v>
      </c>
      <c r="O778" t="s">
        <v>40</v>
      </c>
      <c r="P778" t="s">
        <v>41</v>
      </c>
      <c r="Q778" t="s">
        <v>31</v>
      </c>
      <c r="R778">
        <v>5</v>
      </c>
      <c r="S778" t="s">
        <v>4789</v>
      </c>
      <c r="T778" t="s">
        <v>2613</v>
      </c>
      <c r="U778" t="s">
        <v>7328</v>
      </c>
      <c r="V778" t="s">
        <v>49</v>
      </c>
      <c r="W778" t="s">
        <v>33</v>
      </c>
      <c r="X778" t="s">
        <v>33</v>
      </c>
      <c r="Y778" t="s">
        <v>33</v>
      </c>
      <c r="Z778" s="16" t="s">
        <v>34</v>
      </c>
      <c r="AA778">
        <v>-75.543626810000006</v>
      </c>
      <c r="AB778">
        <v>6.2462299100000003</v>
      </c>
      <c r="AC778" t="s">
        <v>135</v>
      </c>
      <c r="AD778" t="s">
        <v>136</v>
      </c>
    </row>
    <row r="779" spans="1:30" x14ac:dyDescent="0.25">
      <c r="A779" t="s">
        <v>9979</v>
      </c>
      <c r="B779" t="s">
        <v>25</v>
      </c>
      <c r="C779" t="s">
        <v>26</v>
      </c>
      <c r="D779" t="s">
        <v>39</v>
      </c>
      <c r="E779" t="s">
        <v>7329</v>
      </c>
      <c r="F779" t="s">
        <v>7330</v>
      </c>
      <c r="G779">
        <v>1000406120</v>
      </c>
      <c r="H779" t="s">
        <v>7331</v>
      </c>
      <c r="I779" s="4" t="s">
        <v>35</v>
      </c>
      <c r="J779" s="4" t="s">
        <v>7332</v>
      </c>
      <c r="K779" t="s">
        <v>7333</v>
      </c>
      <c r="L779" t="s">
        <v>57</v>
      </c>
      <c r="M779" t="s">
        <v>7334</v>
      </c>
      <c r="N779" t="s">
        <v>58</v>
      </c>
      <c r="O779" t="s">
        <v>40</v>
      </c>
      <c r="P779" t="s">
        <v>36</v>
      </c>
      <c r="Q779" t="s">
        <v>38</v>
      </c>
      <c r="R779">
        <v>8</v>
      </c>
      <c r="S779" t="s">
        <v>7335</v>
      </c>
      <c r="T779" t="s">
        <v>7336</v>
      </c>
      <c r="U779" t="s">
        <v>7336</v>
      </c>
      <c r="V779" t="s">
        <v>32</v>
      </c>
      <c r="W779" t="s">
        <v>33</v>
      </c>
      <c r="X779" t="s">
        <v>33</v>
      </c>
      <c r="Y779" t="s">
        <v>33</v>
      </c>
      <c r="Z779" s="16" t="s">
        <v>34</v>
      </c>
      <c r="AA779">
        <v>-75.658924339999999</v>
      </c>
      <c r="AB779">
        <v>6.0555707600000002</v>
      </c>
      <c r="AC779" t="s">
        <v>135</v>
      </c>
      <c r="AD779" t="s">
        <v>136</v>
      </c>
    </row>
    <row r="780" spans="1:30" x14ac:dyDescent="0.25">
      <c r="A780" t="s">
        <v>4790</v>
      </c>
      <c r="B780" t="s">
        <v>61</v>
      </c>
      <c r="C780" t="s">
        <v>26</v>
      </c>
      <c r="D780" t="s">
        <v>61</v>
      </c>
      <c r="E780" t="s">
        <v>4791</v>
      </c>
      <c r="F780" t="s">
        <v>4792</v>
      </c>
      <c r="G780">
        <v>43565537</v>
      </c>
      <c r="H780" t="s">
        <v>4793</v>
      </c>
      <c r="I780" s="4" t="s">
        <v>4794</v>
      </c>
      <c r="J780" s="4" t="s">
        <v>4795</v>
      </c>
      <c r="K780" t="s">
        <v>4796</v>
      </c>
      <c r="L780" t="s">
        <v>27</v>
      </c>
      <c r="M780" t="s">
        <v>4797</v>
      </c>
      <c r="N780" t="s">
        <v>28</v>
      </c>
      <c r="O780" t="s">
        <v>62</v>
      </c>
      <c r="P780" t="s">
        <v>63</v>
      </c>
      <c r="Q780" t="s">
        <v>38</v>
      </c>
      <c r="R780">
        <v>4</v>
      </c>
      <c r="S780" t="s">
        <v>4798</v>
      </c>
      <c r="T780" t="s">
        <v>7337</v>
      </c>
      <c r="U780" t="s">
        <v>7338</v>
      </c>
      <c r="V780" t="s">
        <v>131</v>
      </c>
      <c r="W780" t="s">
        <v>33</v>
      </c>
      <c r="X780" t="s">
        <v>33</v>
      </c>
      <c r="Y780" t="s">
        <v>33</v>
      </c>
      <c r="Z780" s="16" t="s">
        <v>34</v>
      </c>
      <c r="AA780">
        <v>-75.655484999999999</v>
      </c>
      <c r="AB780">
        <v>6.2949299999999999</v>
      </c>
      <c r="AC780" t="s">
        <v>135</v>
      </c>
      <c r="AD780" t="s">
        <v>136</v>
      </c>
    </row>
    <row r="781" spans="1:30" x14ac:dyDescent="0.25">
      <c r="A781" t="s">
        <v>9980</v>
      </c>
      <c r="B781" t="s">
        <v>25</v>
      </c>
      <c r="C781" t="s">
        <v>26</v>
      </c>
      <c r="D781" t="s">
        <v>39</v>
      </c>
      <c r="E781" t="s">
        <v>7339</v>
      </c>
      <c r="F781" t="s">
        <v>7340</v>
      </c>
      <c r="G781">
        <v>71366129</v>
      </c>
      <c r="H781" t="s">
        <v>7341</v>
      </c>
      <c r="I781" s="4" t="s">
        <v>35</v>
      </c>
      <c r="J781" s="4" t="s">
        <v>7342</v>
      </c>
      <c r="K781" t="s">
        <v>7343</v>
      </c>
      <c r="L781" t="s">
        <v>27</v>
      </c>
      <c r="M781" t="s">
        <v>7344</v>
      </c>
      <c r="N781" t="s">
        <v>28</v>
      </c>
      <c r="O781" t="s">
        <v>46</v>
      </c>
      <c r="P781" t="s">
        <v>41</v>
      </c>
      <c r="Q781" t="s">
        <v>31</v>
      </c>
      <c r="R781">
        <v>5</v>
      </c>
      <c r="S781" t="s">
        <v>7345</v>
      </c>
      <c r="T781" t="s">
        <v>2040</v>
      </c>
      <c r="U781" t="s">
        <v>3615</v>
      </c>
      <c r="V781" t="s">
        <v>32</v>
      </c>
      <c r="W781" t="s">
        <v>33</v>
      </c>
      <c r="X781" t="s">
        <v>33</v>
      </c>
      <c r="Y781" t="s">
        <v>33</v>
      </c>
      <c r="Z781" s="16" t="s">
        <v>34</v>
      </c>
      <c r="AA781">
        <v>-75.639812000000006</v>
      </c>
      <c r="AB781">
        <v>6.2812109999999999</v>
      </c>
      <c r="AC781" t="s">
        <v>135</v>
      </c>
      <c r="AD781" t="s">
        <v>136</v>
      </c>
    </row>
    <row r="782" spans="1:30" x14ac:dyDescent="0.25">
      <c r="A782" t="s">
        <v>4801</v>
      </c>
      <c r="B782" t="s">
        <v>42</v>
      </c>
      <c r="C782" t="s">
        <v>26</v>
      </c>
      <c r="D782" t="s">
        <v>42</v>
      </c>
      <c r="E782" t="s">
        <v>4802</v>
      </c>
      <c r="F782" t="s">
        <v>4803</v>
      </c>
      <c r="G782">
        <v>70506784</v>
      </c>
      <c r="H782" t="s">
        <v>4804</v>
      </c>
      <c r="I782" s="4" t="s">
        <v>4805</v>
      </c>
      <c r="J782" s="4" t="s">
        <v>4806</v>
      </c>
      <c r="K782" t="s">
        <v>4807</v>
      </c>
      <c r="L782" t="s">
        <v>44</v>
      </c>
      <c r="M782" t="s">
        <v>4808</v>
      </c>
      <c r="N782" t="s">
        <v>45</v>
      </c>
      <c r="O782" t="s">
        <v>43</v>
      </c>
      <c r="P782" t="s">
        <v>37</v>
      </c>
      <c r="Q782" t="s">
        <v>31</v>
      </c>
      <c r="R782">
        <v>7</v>
      </c>
      <c r="S782" t="s">
        <v>4809</v>
      </c>
      <c r="T782" t="s">
        <v>4810</v>
      </c>
      <c r="U782" t="s">
        <v>1156</v>
      </c>
      <c r="V782" t="s">
        <v>32</v>
      </c>
      <c r="W782" t="s">
        <v>33</v>
      </c>
      <c r="X782" t="s">
        <v>33</v>
      </c>
      <c r="Y782" t="s">
        <v>33</v>
      </c>
      <c r="Z782" s="16" t="s">
        <v>34</v>
      </c>
      <c r="AA782">
        <v>-75.596042679999996</v>
      </c>
      <c r="AB782">
        <v>6.1980360399999999</v>
      </c>
      <c r="AC782" t="s">
        <v>135</v>
      </c>
      <c r="AD782" t="s">
        <v>136</v>
      </c>
    </row>
    <row r="783" spans="1:30" x14ac:dyDescent="0.25">
      <c r="A783" t="s">
        <v>4811</v>
      </c>
      <c r="B783" t="s">
        <v>65</v>
      </c>
      <c r="C783" t="s">
        <v>26</v>
      </c>
      <c r="D783" t="s">
        <v>66</v>
      </c>
      <c r="E783" t="s">
        <v>4812</v>
      </c>
      <c r="F783" t="s">
        <v>4813</v>
      </c>
      <c r="G783">
        <v>22139658</v>
      </c>
      <c r="H783" t="s">
        <v>4814</v>
      </c>
      <c r="I783" s="4" t="s">
        <v>4815</v>
      </c>
      <c r="J783" s="4" t="s">
        <v>4816</v>
      </c>
      <c r="K783" t="s">
        <v>4817</v>
      </c>
      <c r="L783" t="s">
        <v>27</v>
      </c>
      <c r="M783" t="s">
        <v>4818</v>
      </c>
      <c r="N783" t="s">
        <v>28</v>
      </c>
      <c r="O783" t="s">
        <v>68</v>
      </c>
      <c r="P783" t="s">
        <v>70</v>
      </c>
      <c r="Q783" t="s">
        <v>31</v>
      </c>
      <c r="R783">
        <v>9</v>
      </c>
      <c r="S783" t="s">
        <v>4819</v>
      </c>
      <c r="T783" t="s">
        <v>4810</v>
      </c>
      <c r="U783" t="s">
        <v>7346</v>
      </c>
      <c r="V783" t="s">
        <v>32</v>
      </c>
      <c r="W783" t="s">
        <v>33</v>
      </c>
      <c r="X783" t="s">
        <v>33</v>
      </c>
      <c r="Y783" t="s">
        <v>33</v>
      </c>
      <c r="Z783" s="16" t="s">
        <v>34</v>
      </c>
      <c r="AA783">
        <v>-75.563579369999999</v>
      </c>
      <c r="AB783">
        <v>6.2131245499999999</v>
      </c>
      <c r="AC783" t="s">
        <v>135</v>
      </c>
      <c r="AD783" t="s">
        <v>136</v>
      </c>
    </row>
    <row r="784" spans="1:30" x14ac:dyDescent="0.25">
      <c r="A784" t="s">
        <v>4820</v>
      </c>
      <c r="B784" t="s">
        <v>50</v>
      </c>
      <c r="C784" t="s">
        <v>71</v>
      </c>
      <c r="D784" t="s">
        <v>50</v>
      </c>
      <c r="E784" t="s">
        <v>4821</v>
      </c>
      <c r="F784" t="s">
        <v>4822</v>
      </c>
      <c r="G784">
        <v>5266651</v>
      </c>
      <c r="H784" t="s">
        <v>4823</v>
      </c>
      <c r="I784" s="4" t="s">
        <v>4824</v>
      </c>
      <c r="J784" s="4" t="s">
        <v>4825</v>
      </c>
      <c r="K784" t="s">
        <v>4826</v>
      </c>
      <c r="L784" t="s">
        <v>27</v>
      </c>
      <c r="M784" t="s">
        <v>4827</v>
      </c>
      <c r="N784" t="s">
        <v>28</v>
      </c>
      <c r="O784" t="s">
        <v>72</v>
      </c>
      <c r="P784" t="s">
        <v>52</v>
      </c>
      <c r="Q784" t="s">
        <v>31</v>
      </c>
      <c r="R784">
        <v>11</v>
      </c>
      <c r="S784" t="s">
        <v>4828</v>
      </c>
      <c r="T784" t="s">
        <v>2454</v>
      </c>
      <c r="U784" t="s">
        <v>7347</v>
      </c>
      <c r="V784" t="s">
        <v>32</v>
      </c>
      <c r="W784" t="s">
        <v>33</v>
      </c>
      <c r="X784" t="s">
        <v>33</v>
      </c>
      <c r="Y784" t="s">
        <v>33</v>
      </c>
      <c r="Z784" s="16" t="s">
        <v>34</v>
      </c>
      <c r="AA784">
        <v>-75.545347910000004</v>
      </c>
      <c r="AB784">
        <v>6.2527073099999999</v>
      </c>
      <c r="AC784" t="s">
        <v>135</v>
      </c>
      <c r="AD784" t="s">
        <v>136</v>
      </c>
    </row>
    <row r="785" spans="1:30" x14ac:dyDescent="0.25">
      <c r="A785" t="s">
        <v>4829</v>
      </c>
      <c r="B785" t="s">
        <v>61</v>
      </c>
      <c r="C785" t="s">
        <v>26</v>
      </c>
      <c r="D785" t="s">
        <v>61</v>
      </c>
      <c r="E785" t="s">
        <v>4830</v>
      </c>
      <c r="F785" t="s">
        <v>4831</v>
      </c>
      <c r="G785">
        <v>1214733995</v>
      </c>
      <c r="H785" t="s">
        <v>4832</v>
      </c>
      <c r="I785" s="4" t="s">
        <v>4833</v>
      </c>
      <c r="J785" s="4" t="s">
        <v>4834</v>
      </c>
      <c r="K785" t="s">
        <v>4835</v>
      </c>
      <c r="L785" t="s">
        <v>27</v>
      </c>
      <c r="M785" t="s">
        <v>4836</v>
      </c>
      <c r="N785" t="s">
        <v>28</v>
      </c>
      <c r="O785" t="s">
        <v>62</v>
      </c>
      <c r="P785" t="s">
        <v>63</v>
      </c>
      <c r="Q785" t="s">
        <v>38</v>
      </c>
      <c r="R785">
        <v>4</v>
      </c>
      <c r="S785" t="s">
        <v>4837</v>
      </c>
      <c r="T785" t="s">
        <v>2195</v>
      </c>
      <c r="U785" t="s">
        <v>5958</v>
      </c>
      <c r="V785" t="s">
        <v>131</v>
      </c>
      <c r="W785" t="s">
        <v>33</v>
      </c>
      <c r="X785" t="s">
        <v>33</v>
      </c>
      <c r="Y785" t="s">
        <v>33</v>
      </c>
      <c r="Z785" s="16" t="s">
        <v>34</v>
      </c>
      <c r="AA785">
        <v>-75.496980460000003</v>
      </c>
      <c r="AB785">
        <v>6.2441511700000003</v>
      </c>
      <c r="AC785" t="s">
        <v>135</v>
      </c>
      <c r="AD785" t="s">
        <v>136</v>
      </c>
    </row>
    <row r="786" spans="1:30" x14ac:dyDescent="0.25">
      <c r="A786" t="s">
        <v>4839</v>
      </c>
      <c r="B786" t="s">
        <v>25</v>
      </c>
      <c r="C786" t="s">
        <v>26</v>
      </c>
      <c r="D786" t="s">
        <v>25</v>
      </c>
      <c r="E786" t="s">
        <v>4840</v>
      </c>
      <c r="F786" t="s">
        <v>4841</v>
      </c>
      <c r="G786">
        <v>43990703</v>
      </c>
      <c r="H786" t="s">
        <v>4842</v>
      </c>
      <c r="I786" s="4" t="s">
        <v>35</v>
      </c>
      <c r="J786" s="4" t="s">
        <v>4843</v>
      </c>
      <c r="K786" t="s">
        <v>4844</v>
      </c>
      <c r="L786" t="s">
        <v>27</v>
      </c>
      <c r="M786" t="s">
        <v>4845</v>
      </c>
      <c r="N786" t="s">
        <v>28</v>
      </c>
      <c r="O786" t="s">
        <v>29</v>
      </c>
      <c r="P786" t="s">
        <v>37</v>
      </c>
      <c r="Q786" t="s">
        <v>31</v>
      </c>
      <c r="R786">
        <v>7</v>
      </c>
      <c r="S786" t="s">
        <v>4846</v>
      </c>
      <c r="T786" t="s">
        <v>1504</v>
      </c>
      <c r="U786" t="s">
        <v>4847</v>
      </c>
      <c r="V786" t="s">
        <v>32</v>
      </c>
      <c r="W786" t="s">
        <v>33</v>
      </c>
      <c r="X786" t="s">
        <v>33</v>
      </c>
      <c r="Y786" t="s">
        <v>33</v>
      </c>
      <c r="Z786" s="16" t="s">
        <v>34</v>
      </c>
      <c r="AA786">
        <v>-75.542282</v>
      </c>
      <c r="AB786">
        <v>6.2410439999999996</v>
      </c>
      <c r="AC786" t="s">
        <v>135</v>
      </c>
      <c r="AD786" t="s">
        <v>136</v>
      </c>
    </row>
    <row r="787" spans="1:30" x14ac:dyDescent="0.25">
      <c r="A787" t="s">
        <v>4848</v>
      </c>
      <c r="B787" t="s">
        <v>65</v>
      </c>
      <c r="C787" t="s">
        <v>26</v>
      </c>
      <c r="D787" t="s">
        <v>66</v>
      </c>
      <c r="E787" t="s">
        <v>4849</v>
      </c>
      <c r="F787" t="s">
        <v>4850</v>
      </c>
      <c r="G787">
        <v>35423609</v>
      </c>
      <c r="H787" t="s">
        <v>4851</v>
      </c>
      <c r="I787" s="4" t="s">
        <v>35</v>
      </c>
      <c r="J787" s="4" t="s">
        <v>4852</v>
      </c>
      <c r="K787" t="s">
        <v>4853</v>
      </c>
      <c r="L787" t="s">
        <v>27</v>
      </c>
      <c r="M787" t="s">
        <v>4854</v>
      </c>
      <c r="N787" t="s">
        <v>28</v>
      </c>
      <c r="O787" t="s">
        <v>68</v>
      </c>
      <c r="P787" t="s">
        <v>70</v>
      </c>
      <c r="Q787" t="s">
        <v>31</v>
      </c>
      <c r="R787">
        <v>9</v>
      </c>
      <c r="S787" t="s">
        <v>4855</v>
      </c>
      <c r="T787" t="s">
        <v>7348</v>
      </c>
      <c r="U787" t="s">
        <v>7349</v>
      </c>
      <c r="V787" t="s">
        <v>32</v>
      </c>
      <c r="W787" t="s">
        <v>33</v>
      </c>
      <c r="X787" t="s">
        <v>33</v>
      </c>
      <c r="Y787" t="s">
        <v>33</v>
      </c>
      <c r="Z787" s="16" t="s">
        <v>34</v>
      </c>
      <c r="AA787">
        <v>-75.530970019999998</v>
      </c>
      <c r="AB787">
        <v>6.2316700000000003</v>
      </c>
      <c r="AC787" t="s">
        <v>135</v>
      </c>
      <c r="AD787" t="s">
        <v>136</v>
      </c>
    </row>
    <row r="788" spans="1:30" x14ac:dyDescent="0.25">
      <c r="A788" t="s">
        <v>4857</v>
      </c>
      <c r="B788" t="s">
        <v>65</v>
      </c>
      <c r="C788" t="s">
        <v>26</v>
      </c>
      <c r="D788" t="s">
        <v>66</v>
      </c>
      <c r="E788" t="s">
        <v>4858</v>
      </c>
      <c r="F788" t="s">
        <v>4859</v>
      </c>
      <c r="G788">
        <v>1017126146</v>
      </c>
      <c r="H788" t="s">
        <v>4860</v>
      </c>
      <c r="I788" s="4" t="s">
        <v>35</v>
      </c>
      <c r="J788" s="4" t="s">
        <v>4861</v>
      </c>
      <c r="K788" t="s">
        <v>4862</v>
      </c>
      <c r="L788" t="s">
        <v>27</v>
      </c>
      <c r="M788" t="s">
        <v>4863</v>
      </c>
      <c r="N788" t="s">
        <v>28</v>
      </c>
      <c r="O788" t="s">
        <v>68</v>
      </c>
      <c r="P788" t="s">
        <v>70</v>
      </c>
      <c r="Q788" t="s">
        <v>31</v>
      </c>
      <c r="R788">
        <v>9</v>
      </c>
      <c r="S788" t="s">
        <v>4864</v>
      </c>
      <c r="T788" t="s">
        <v>7017</v>
      </c>
      <c r="U788" t="s">
        <v>2438</v>
      </c>
      <c r="V788" t="s">
        <v>32</v>
      </c>
      <c r="W788" t="s">
        <v>33</v>
      </c>
      <c r="X788" t="s">
        <v>33</v>
      </c>
      <c r="Y788" t="s">
        <v>33</v>
      </c>
      <c r="Z788" s="16" t="s">
        <v>34</v>
      </c>
      <c r="AA788">
        <v>-75.530350010000006</v>
      </c>
      <c r="AB788">
        <v>6.23641998</v>
      </c>
      <c r="AC788" t="s">
        <v>135</v>
      </c>
      <c r="AD788" t="s">
        <v>136</v>
      </c>
    </row>
    <row r="789" spans="1:30" x14ac:dyDescent="0.25">
      <c r="A789" t="s">
        <v>4865</v>
      </c>
      <c r="B789" t="s">
        <v>61</v>
      </c>
      <c r="C789" t="s">
        <v>26</v>
      </c>
      <c r="D789" t="s">
        <v>61</v>
      </c>
      <c r="E789" t="s">
        <v>4866</v>
      </c>
      <c r="F789" t="s">
        <v>4867</v>
      </c>
      <c r="G789">
        <v>1128430438</v>
      </c>
      <c r="H789" t="s">
        <v>4868</v>
      </c>
      <c r="I789" s="4" t="s">
        <v>35</v>
      </c>
      <c r="J789" s="4" t="s">
        <v>4869</v>
      </c>
      <c r="K789" t="s">
        <v>4870</v>
      </c>
      <c r="L789" t="s">
        <v>27</v>
      </c>
      <c r="M789" t="s">
        <v>4871</v>
      </c>
      <c r="N789" t="s">
        <v>28</v>
      </c>
      <c r="O789" t="s">
        <v>62</v>
      </c>
      <c r="P789" t="s">
        <v>63</v>
      </c>
      <c r="Q789" t="s">
        <v>31</v>
      </c>
      <c r="R789">
        <v>4</v>
      </c>
      <c r="S789" t="s">
        <v>4872</v>
      </c>
      <c r="T789" t="s">
        <v>7350</v>
      </c>
      <c r="U789" t="s">
        <v>7351</v>
      </c>
      <c r="V789" t="s">
        <v>131</v>
      </c>
      <c r="W789" t="s">
        <v>33</v>
      </c>
      <c r="X789" t="s">
        <v>33</v>
      </c>
      <c r="Y789" t="s">
        <v>33</v>
      </c>
      <c r="Z789" s="16" t="s">
        <v>34</v>
      </c>
      <c r="AA789">
        <v>-75.610884501000001</v>
      </c>
      <c r="AB789">
        <v>6.2574398200000596</v>
      </c>
      <c r="AC789" t="s">
        <v>135</v>
      </c>
      <c r="AD789" t="s">
        <v>136</v>
      </c>
    </row>
    <row r="790" spans="1:30" x14ac:dyDescent="0.25">
      <c r="A790" t="s">
        <v>4873</v>
      </c>
      <c r="B790" t="s">
        <v>61</v>
      </c>
      <c r="C790" t="s">
        <v>26</v>
      </c>
      <c r="D790" t="s">
        <v>61</v>
      </c>
      <c r="E790" t="s">
        <v>4874</v>
      </c>
      <c r="F790" t="s">
        <v>4875</v>
      </c>
      <c r="G790">
        <v>70551884</v>
      </c>
      <c r="H790" t="s">
        <v>4876</v>
      </c>
      <c r="I790" s="4" t="s">
        <v>4877</v>
      </c>
      <c r="J790" s="4" t="s">
        <v>541</v>
      </c>
      <c r="K790" t="s">
        <v>4878</v>
      </c>
      <c r="L790" t="s">
        <v>57</v>
      </c>
      <c r="M790" t="s">
        <v>4879</v>
      </c>
      <c r="N790" t="s">
        <v>58</v>
      </c>
      <c r="O790" t="s">
        <v>62</v>
      </c>
      <c r="P790" t="s">
        <v>63</v>
      </c>
      <c r="Q790" t="s">
        <v>38</v>
      </c>
      <c r="R790">
        <v>4</v>
      </c>
      <c r="S790" t="s">
        <v>4880</v>
      </c>
      <c r="T790" t="s">
        <v>7350</v>
      </c>
      <c r="U790" t="s">
        <v>7351</v>
      </c>
      <c r="V790" t="s">
        <v>131</v>
      </c>
      <c r="W790" t="s">
        <v>33</v>
      </c>
      <c r="X790" t="s">
        <v>33</v>
      </c>
      <c r="Y790" t="s">
        <v>33</v>
      </c>
      <c r="Z790" s="16" t="s">
        <v>34</v>
      </c>
      <c r="AA790">
        <v>-75.639791000000002</v>
      </c>
      <c r="AB790">
        <v>6.0579510000000001</v>
      </c>
      <c r="AC790" t="s">
        <v>135</v>
      </c>
      <c r="AD790" t="s">
        <v>136</v>
      </c>
    </row>
    <row r="791" spans="1:30" x14ac:dyDescent="0.25">
      <c r="A791" t="s">
        <v>4881</v>
      </c>
      <c r="B791" t="s">
        <v>50</v>
      </c>
      <c r="C791" t="s">
        <v>26</v>
      </c>
      <c r="D791" t="s">
        <v>50</v>
      </c>
      <c r="E791" t="s">
        <v>4882</v>
      </c>
      <c r="F791" t="s">
        <v>4883</v>
      </c>
      <c r="G791">
        <v>15486530</v>
      </c>
      <c r="H791" t="s">
        <v>4884</v>
      </c>
      <c r="I791" s="4" t="s">
        <v>35</v>
      </c>
      <c r="J791" s="4" t="s">
        <v>4885</v>
      </c>
      <c r="K791" t="s">
        <v>4886</v>
      </c>
      <c r="L791" t="s">
        <v>27</v>
      </c>
      <c r="M791" t="s">
        <v>4887</v>
      </c>
      <c r="N791" t="s">
        <v>28</v>
      </c>
      <c r="O791" t="s">
        <v>51</v>
      </c>
      <c r="P791" t="s">
        <v>52</v>
      </c>
      <c r="Q791" t="s">
        <v>31</v>
      </c>
      <c r="R791">
        <v>11</v>
      </c>
      <c r="S791" t="s">
        <v>4888</v>
      </c>
      <c r="T791" t="s">
        <v>7352</v>
      </c>
      <c r="U791" t="s">
        <v>7353</v>
      </c>
      <c r="V791" t="s">
        <v>32</v>
      </c>
      <c r="W791" t="s">
        <v>33</v>
      </c>
      <c r="X791" t="s">
        <v>33</v>
      </c>
      <c r="Y791" t="s">
        <v>33</v>
      </c>
      <c r="Z791" s="16" t="s">
        <v>34</v>
      </c>
      <c r="AA791">
        <v>-75.599741690000002</v>
      </c>
      <c r="AB791">
        <v>6.2719680100000001</v>
      </c>
      <c r="AC791" t="s">
        <v>135</v>
      </c>
      <c r="AD791" t="s">
        <v>136</v>
      </c>
    </row>
    <row r="792" spans="1:30" x14ac:dyDescent="0.25">
      <c r="A792" t="s">
        <v>4889</v>
      </c>
      <c r="B792" t="s">
        <v>50</v>
      </c>
      <c r="C792" t="s">
        <v>26</v>
      </c>
      <c r="D792" t="s">
        <v>50</v>
      </c>
      <c r="E792" t="s">
        <v>4890</v>
      </c>
      <c r="F792" t="s">
        <v>4891</v>
      </c>
      <c r="G792">
        <v>8414182</v>
      </c>
      <c r="H792" t="s">
        <v>4892</v>
      </c>
      <c r="I792" s="4" t="s">
        <v>35</v>
      </c>
      <c r="J792" s="4" t="s">
        <v>4893</v>
      </c>
      <c r="K792" t="s">
        <v>4894</v>
      </c>
      <c r="L792" t="s">
        <v>27</v>
      </c>
      <c r="M792" t="s">
        <v>4895</v>
      </c>
      <c r="N792" t="s">
        <v>28</v>
      </c>
      <c r="O792" t="s">
        <v>51</v>
      </c>
      <c r="P792" t="s">
        <v>52</v>
      </c>
      <c r="Q792" t="s">
        <v>31</v>
      </c>
      <c r="R792">
        <v>11</v>
      </c>
      <c r="S792" t="s">
        <v>4896</v>
      </c>
      <c r="T792" t="s">
        <v>7354</v>
      </c>
      <c r="U792" t="s">
        <v>7355</v>
      </c>
      <c r="V792" t="s">
        <v>32</v>
      </c>
      <c r="W792" t="s">
        <v>33</v>
      </c>
      <c r="X792" t="s">
        <v>33</v>
      </c>
      <c r="Y792" t="s">
        <v>33</v>
      </c>
      <c r="Z792" s="16" t="s">
        <v>34</v>
      </c>
      <c r="AA792">
        <v>-75.626695999999995</v>
      </c>
      <c r="AB792">
        <v>6.2254200099999997</v>
      </c>
      <c r="AC792" t="s">
        <v>135</v>
      </c>
      <c r="AD792" t="s">
        <v>136</v>
      </c>
    </row>
    <row r="793" spans="1:30" x14ac:dyDescent="0.25">
      <c r="A793" t="s">
        <v>4897</v>
      </c>
      <c r="B793" t="s">
        <v>65</v>
      </c>
      <c r="C793" t="s">
        <v>26</v>
      </c>
      <c r="D793" t="s">
        <v>66</v>
      </c>
      <c r="E793" t="s">
        <v>4898</v>
      </c>
      <c r="F793" t="s">
        <v>4899</v>
      </c>
      <c r="G793">
        <v>1065003258</v>
      </c>
      <c r="H793" t="s">
        <v>4900</v>
      </c>
      <c r="I793" s="4" t="s">
        <v>35</v>
      </c>
      <c r="J793" s="4" t="s">
        <v>4901</v>
      </c>
      <c r="K793" t="s">
        <v>4902</v>
      </c>
      <c r="L793" t="s">
        <v>27</v>
      </c>
      <c r="M793" t="s">
        <v>4903</v>
      </c>
      <c r="N793" t="s">
        <v>28</v>
      </c>
      <c r="O793" t="s">
        <v>68</v>
      </c>
      <c r="P793" t="s">
        <v>70</v>
      </c>
      <c r="Q793" t="s">
        <v>31</v>
      </c>
      <c r="R793">
        <v>9</v>
      </c>
      <c r="S793" t="s">
        <v>4904</v>
      </c>
      <c r="T793" t="s">
        <v>7356</v>
      </c>
      <c r="U793" t="s">
        <v>7357</v>
      </c>
      <c r="V793" t="s">
        <v>32</v>
      </c>
      <c r="W793" t="s">
        <v>33</v>
      </c>
      <c r="X793" t="s">
        <v>33</v>
      </c>
      <c r="Y793" t="s">
        <v>33</v>
      </c>
      <c r="Z793" s="16" t="s">
        <v>34</v>
      </c>
      <c r="AA793">
        <v>-75.632174359999993</v>
      </c>
      <c r="AB793">
        <v>6.2470283200000001</v>
      </c>
      <c r="AC793" t="s">
        <v>135</v>
      </c>
      <c r="AD793" t="s">
        <v>136</v>
      </c>
    </row>
    <row r="794" spans="1:30" x14ac:dyDescent="0.25">
      <c r="A794" t="s">
        <v>4905</v>
      </c>
      <c r="B794" t="s">
        <v>50</v>
      </c>
      <c r="C794" t="s">
        <v>26</v>
      </c>
      <c r="D794" t="s">
        <v>50</v>
      </c>
      <c r="E794" t="s">
        <v>4906</v>
      </c>
      <c r="F794" t="s">
        <v>4907</v>
      </c>
      <c r="G794">
        <v>8329560</v>
      </c>
      <c r="H794" t="s">
        <v>4908</v>
      </c>
      <c r="I794" s="4" t="s">
        <v>35</v>
      </c>
      <c r="J794" s="4" t="s">
        <v>4909</v>
      </c>
      <c r="K794" t="s">
        <v>4910</v>
      </c>
      <c r="L794" t="s">
        <v>27</v>
      </c>
      <c r="M794" t="s">
        <v>4911</v>
      </c>
      <c r="N794" t="s">
        <v>28</v>
      </c>
      <c r="O794" t="s">
        <v>51</v>
      </c>
      <c r="P794" t="s">
        <v>52</v>
      </c>
      <c r="Q794" t="s">
        <v>38</v>
      </c>
      <c r="R794">
        <v>11</v>
      </c>
      <c r="S794" t="s">
        <v>4912</v>
      </c>
      <c r="T794" t="s">
        <v>7358</v>
      </c>
      <c r="U794" t="s">
        <v>7359</v>
      </c>
      <c r="V794" t="s">
        <v>32</v>
      </c>
      <c r="W794" t="s">
        <v>33</v>
      </c>
      <c r="X794" t="s">
        <v>33</v>
      </c>
      <c r="Y794" t="s">
        <v>33</v>
      </c>
      <c r="Z794" s="16" t="s">
        <v>34</v>
      </c>
      <c r="AA794">
        <v>-75.630043999999998</v>
      </c>
      <c r="AB794">
        <v>6.2346899999999996</v>
      </c>
      <c r="AC794" t="s">
        <v>135</v>
      </c>
      <c r="AD794" t="s">
        <v>136</v>
      </c>
    </row>
    <row r="795" spans="1:30" x14ac:dyDescent="0.25">
      <c r="A795" t="s">
        <v>4913</v>
      </c>
      <c r="B795" t="s">
        <v>25</v>
      </c>
      <c r="C795" t="s">
        <v>26</v>
      </c>
      <c r="D795" t="s">
        <v>39</v>
      </c>
      <c r="E795" t="s">
        <v>4914</v>
      </c>
      <c r="F795" t="s">
        <v>4915</v>
      </c>
      <c r="G795">
        <v>1236438191</v>
      </c>
      <c r="H795" t="s">
        <v>4916</v>
      </c>
      <c r="I795" s="4" t="s">
        <v>35</v>
      </c>
      <c r="J795" s="4" t="s">
        <v>4917</v>
      </c>
      <c r="K795" t="s">
        <v>4918</v>
      </c>
      <c r="L795" t="s">
        <v>27</v>
      </c>
      <c r="M795" t="s">
        <v>4919</v>
      </c>
      <c r="N795" t="s">
        <v>28</v>
      </c>
      <c r="O795" t="s">
        <v>40</v>
      </c>
      <c r="P795" t="s">
        <v>41</v>
      </c>
      <c r="Q795" t="s">
        <v>31</v>
      </c>
      <c r="R795">
        <v>5</v>
      </c>
      <c r="S795" t="s">
        <v>4920</v>
      </c>
      <c r="T795" t="s">
        <v>7360</v>
      </c>
      <c r="U795" t="s">
        <v>7361</v>
      </c>
      <c r="V795" t="s">
        <v>49</v>
      </c>
      <c r="W795" t="s">
        <v>33</v>
      </c>
      <c r="X795" t="s">
        <v>33</v>
      </c>
      <c r="Y795" t="s">
        <v>33</v>
      </c>
      <c r="Z795" s="16" t="s">
        <v>34</v>
      </c>
      <c r="AA795">
        <v>-75.606899979999994</v>
      </c>
      <c r="AB795">
        <v>6.2748936300000002</v>
      </c>
      <c r="AC795" t="s">
        <v>135</v>
      </c>
      <c r="AD795" t="s">
        <v>136</v>
      </c>
    </row>
    <row r="796" spans="1:30" x14ac:dyDescent="0.25">
      <c r="A796" t="s">
        <v>4921</v>
      </c>
      <c r="B796" t="s">
        <v>50</v>
      </c>
      <c r="C796" t="s">
        <v>26</v>
      </c>
      <c r="D796" t="s">
        <v>50</v>
      </c>
      <c r="E796" t="s">
        <v>4922</v>
      </c>
      <c r="F796" t="s">
        <v>4923</v>
      </c>
      <c r="G796">
        <v>1037609232</v>
      </c>
      <c r="H796" t="s">
        <v>4924</v>
      </c>
      <c r="I796" s="4" t="s">
        <v>4925</v>
      </c>
      <c r="J796" s="4" t="s">
        <v>4926</v>
      </c>
      <c r="K796" t="s">
        <v>4927</v>
      </c>
      <c r="L796" t="s">
        <v>27</v>
      </c>
      <c r="M796" t="s">
        <v>4928</v>
      </c>
      <c r="N796" t="s">
        <v>28</v>
      </c>
      <c r="O796" t="s">
        <v>51</v>
      </c>
      <c r="P796" t="s">
        <v>52</v>
      </c>
      <c r="Q796" t="s">
        <v>38</v>
      </c>
      <c r="R796">
        <v>11</v>
      </c>
      <c r="S796" t="s">
        <v>4929</v>
      </c>
      <c r="T796" t="s">
        <v>3562</v>
      </c>
      <c r="U796" t="s">
        <v>7362</v>
      </c>
      <c r="V796" t="s">
        <v>32</v>
      </c>
      <c r="W796" t="s">
        <v>33</v>
      </c>
      <c r="X796" t="s">
        <v>33</v>
      </c>
      <c r="Y796" t="s">
        <v>33</v>
      </c>
      <c r="Z796" s="16" t="s">
        <v>34</v>
      </c>
      <c r="AA796">
        <v>-75.630611999999999</v>
      </c>
      <c r="AB796">
        <v>6.2339169999999999</v>
      </c>
      <c r="AC796" t="s">
        <v>135</v>
      </c>
      <c r="AD796" t="s">
        <v>136</v>
      </c>
    </row>
    <row r="797" spans="1:30" x14ac:dyDescent="0.25">
      <c r="A797" t="s">
        <v>4930</v>
      </c>
      <c r="B797" t="s">
        <v>50</v>
      </c>
      <c r="C797" t="s">
        <v>26</v>
      </c>
      <c r="D797" t="s">
        <v>50</v>
      </c>
      <c r="E797" t="s">
        <v>4931</v>
      </c>
      <c r="F797" t="s">
        <v>4932</v>
      </c>
      <c r="G797">
        <v>1037609232</v>
      </c>
      <c r="H797" t="s">
        <v>4924</v>
      </c>
      <c r="I797" s="4" t="s">
        <v>4925</v>
      </c>
      <c r="J797" s="4" t="s">
        <v>4926</v>
      </c>
      <c r="K797" t="s">
        <v>4933</v>
      </c>
      <c r="L797" t="s">
        <v>27</v>
      </c>
      <c r="M797" t="s">
        <v>4934</v>
      </c>
      <c r="N797" t="s">
        <v>28</v>
      </c>
      <c r="O797" t="s">
        <v>51</v>
      </c>
      <c r="P797" t="s">
        <v>52</v>
      </c>
      <c r="Q797" t="s">
        <v>38</v>
      </c>
      <c r="R797">
        <v>11</v>
      </c>
      <c r="S797" t="s">
        <v>4935</v>
      </c>
      <c r="T797" t="s">
        <v>2752</v>
      </c>
      <c r="U797" t="s">
        <v>7363</v>
      </c>
      <c r="V797" t="s">
        <v>32</v>
      </c>
      <c r="W797" t="s">
        <v>33</v>
      </c>
      <c r="X797" t="s">
        <v>33</v>
      </c>
      <c r="Y797" t="s">
        <v>33</v>
      </c>
      <c r="Z797" s="16" t="s">
        <v>34</v>
      </c>
      <c r="AA797">
        <v>-75.630613999999994</v>
      </c>
      <c r="AB797">
        <v>6.2339520000000004</v>
      </c>
      <c r="AC797" t="s">
        <v>135</v>
      </c>
      <c r="AD797" t="s">
        <v>136</v>
      </c>
    </row>
    <row r="798" spans="1:30" x14ac:dyDescent="0.25">
      <c r="A798" t="s">
        <v>4936</v>
      </c>
      <c r="B798" t="s">
        <v>61</v>
      </c>
      <c r="C798" t="s">
        <v>26</v>
      </c>
      <c r="D798" t="s">
        <v>61</v>
      </c>
      <c r="E798" t="s">
        <v>4937</v>
      </c>
      <c r="F798" t="s">
        <v>4938</v>
      </c>
      <c r="G798">
        <v>98561539</v>
      </c>
      <c r="H798" t="s">
        <v>4939</v>
      </c>
      <c r="I798" s="4" t="s">
        <v>35</v>
      </c>
      <c r="J798" s="4" t="s">
        <v>4901</v>
      </c>
      <c r="K798" t="s">
        <v>4940</v>
      </c>
      <c r="L798" t="s">
        <v>27</v>
      </c>
      <c r="M798" t="s">
        <v>4941</v>
      </c>
      <c r="N798" t="s">
        <v>28</v>
      </c>
      <c r="O798" t="s">
        <v>62</v>
      </c>
      <c r="P798" t="s">
        <v>63</v>
      </c>
      <c r="Q798" t="s">
        <v>31</v>
      </c>
      <c r="R798">
        <v>4</v>
      </c>
      <c r="S798" t="s">
        <v>4942</v>
      </c>
      <c r="T798" t="s">
        <v>7364</v>
      </c>
      <c r="U798" t="s">
        <v>7365</v>
      </c>
      <c r="V798" t="s">
        <v>131</v>
      </c>
      <c r="W798" t="s">
        <v>33</v>
      </c>
      <c r="X798" t="s">
        <v>33</v>
      </c>
      <c r="Y798" t="s">
        <v>33</v>
      </c>
      <c r="Z798" s="16" t="s">
        <v>34</v>
      </c>
      <c r="AA798">
        <v>-75.632130910000001</v>
      </c>
      <c r="AB798">
        <v>6.2478740100000003</v>
      </c>
      <c r="AC798" t="s">
        <v>135</v>
      </c>
      <c r="AD798" t="s">
        <v>136</v>
      </c>
    </row>
    <row r="799" spans="1:30" x14ac:dyDescent="0.25">
      <c r="A799" t="s">
        <v>4943</v>
      </c>
      <c r="B799" t="s">
        <v>25</v>
      </c>
      <c r="C799" t="s">
        <v>26</v>
      </c>
      <c r="D799" t="s">
        <v>25</v>
      </c>
      <c r="E799" t="s">
        <v>4944</v>
      </c>
      <c r="F799" t="s">
        <v>4945</v>
      </c>
      <c r="G799">
        <v>71799202</v>
      </c>
      <c r="H799" t="s">
        <v>560</v>
      </c>
      <c r="I799" s="4" t="s">
        <v>35</v>
      </c>
      <c r="J799" s="4" t="s">
        <v>73</v>
      </c>
      <c r="K799" t="s">
        <v>4946</v>
      </c>
      <c r="L799" t="s">
        <v>27</v>
      </c>
      <c r="M799" t="s">
        <v>4947</v>
      </c>
      <c r="N799" t="s">
        <v>28</v>
      </c>
      <c r="O799" t="s">
        <v>29</v>
      </c>
      <c r="P799" t="s">
        <v>37</v>
      </c>
      <c r="Q799" t="s">
        <v>31</v>
      </c>
      <c r="R799">
        <v>7</v>
      </c>
      <c r="S799" t="s">
        <v>4948</v>
      </c>
      <c r="T799" t="s">
        <v>4950</v>
      </c>
      <c r="U799" t="s">
        <v>4949</v>
      </c>
      <c r="V799" t="s">
        <v>32</v>
      </c>
      <c r="W799" t="s">
        <v>33</v>
      </c>
      <c r="X799" t="s">
        <v>33</v>
      </c>
      <c r="Y799" t="s">
        <v>33</v>
      </c>
      <c r="Z799" s="16" t="s">
        <v>34</v>
      </c>
      <c r="AA799">
        <v>-75.559316510000002</v>
      </c>
      <c r="AB799">
        <v>6.2588269600000004</v>
      </c>
      <c r="AC799" t="s">
        <v>135</v>
      </c>
      <c r="AD799" t="s">
        <v>136</v>
      </c>
    </row>
    <row r="800" spans="1:30" x14ac:dyDescent="0.25">
      <c r="A800" t="s">
        <v>4951</v>
      </c>
      <c r="B800" t="s">
        <v>25</v>
      </c>
      <c r="C800" t="s">
        <v>26</v>
      </c>
      <c r="D800" t="s">
        <v>39</v>
      </c>
      <c r="E800" t="s">
        <v>4952</v>
      </c>
      <c r="F800" t="s">
        <v>4953</v>
      </c>
      <c r="G800">
        <v>39436407</v>
      </c>
      <c r="H800" t="s">
        <v>4954</v>
      </c>
      <c r="I800" s="4" t="s">
        <v>35</v>
      </c>
      <c r="J800" s="4" t="s">
        <v>4955</v>
      </c>
      <c r="K800" t="s">
        <v>4956</v>
      </c>
      <c r="L800" t="s">
        <v>48</v>
      </c>
      <c r="M800" t="s">
        <v>4957</v>
      </c>
      <c r="N800" t="s">
        <v>64</v>
      </c>
      <c r="O800" t="s">
        <v>40</v>
      </c>
      <c r="P800" t="s">
        <v>41</v>
      </c>
      <c r="Q800" t="s">
        <v>38</v>
      </c>
      <c r="R800">
        <v>8</v>
      </c>
      <c r="S800" t="s">
        <v>4958</v>
      </c>
      <c r="T800" t="s">
        <v>3585</v>
      </c>
      <c r="U800" t="s">
        <v>3585</v>
      </c>
      <c r="V800" t="s">
        <v>32</v>
      </c>
      <c r="W800" t="s">
        <v>33</v>
      </c>
      <c r="X800" t="s">
        <v>33</v>
      </c>
      <c r="Y800" t="s">
        <v>33</v>
      </c>
      <c r="Z800" s="16" t="s">
        <v>34</v>
      </c>
      <c r="AA800">
        <v>-75.510422680000005</v>
      </c>
      <c r="AB800">
        <v>6.1861523800000002</v>
      </c>
      <c r="AC800" t="s">
        <v>135</v>
      </c>
      <c r="AD800" t="s">
        <v>136</v>
      </c>
    </row>
    <row r="801" spans="1:30" x14ac:dyDescent="0.25">
      <c r="A801" t="s">
        <v>4960</v>
      </c>
      <c r="B801" t="s">
        <v>65</v>
      </c>
      <c r="C801" t="s">
        <v>26</v>
      </c>
      <c r="D801" t="s">
        <v>66</v>
      </c>
      <c r="E801" t="s">
        <v>4961</v>
      </c>
      <c r="F801" t="s">
        <v>4962</v>
      </c>
      <c r="G801">
        <v>43979927</v>
      </c>
      <c r="H801" t="s">
        <v>4963</v>
      </c>
      <c r="I801" s="4" t="s">
        <v>35</v>
      </c>
      <c r="J801" s="4" t="s">
        <v>4964</v>
      </c>
      <c r="K801" t="s">
        <v>4965</v>
      </c>
      <c r="L801" t="s">
        <v>27</v>
      </c>
      <c r="M801" t="s">
        <v>4966</v>
      </c>
      <c r="N801" t="s">
        <v>28</v>
      </c>
      <c r="O801" t="s">
        <v>68</v>
      </c>
      <c r="P801" t="s">
        <v>70</v>
      </c>
      <c r="Q801" t="s">
        <v>31</v>
      </c>
      <c r="R801">
        <v>9</v>
      </c>
      <c r="S801" t="s">
        <v>4967</v>
      </c>
      <c r="T801" t="s">
        <v>7366</v>
      </c>
      <c r="U801" t="s">
        <v>7367</v>
      </c>
      <c r="V801" t="s">
        <v>32</v>
      </c>
      <c r="W801" t="s">
        <v>33</v>
      </c>
      <c r="X801" t="s">
        <v>33</v>
      </c>
      <c r="Y801" t="s">
        <v>33</v>
      </c>
      <c r="Z801" s="16" t="s">
        <v>34</v>
      </c>
      <c r="AA801">
        <v>-75.641606999999993</v>
      </c>
      <c r="AB801">
        <v>6.2862549999999997</v>
      </c>
      <c r="AC801" t="s">
        <v>135</v>
      </c>
      <c r="AD801" t="s">
        <v>136</v>
      </c>
    </row>
    <row r="802" spans="1:30" x14ac:dyDescent="0.25">
      <c r="A802" t="s">
        <v>4968</v>
      </c>
      <c r="B802" t="s">
        <v>50</v>
      </c>
      <c r="C802" t="s">
        <v>26</v>
      </c>
      <c r="D802" t="s">
        <v>50</v>
      </c>
      <c r="E802" t="s">
        <v>4969</v>
      </c>
      <c r="F802" t="s">
        <v>4970</v>
      </c>
      <c r="G802">
        <v>1045522147</v>
      </c>
      <c r="H802" t="s">
        <v>4971</v>
      </c>
      <c r="I802" s="4" t="s">
        <v>35</v>
      </c>
      <c r="J802" s="4" t="s">
        <v>4972</v>
      </c>
      <c r="K802" t="s">
        <v>4973</v>
      </c>
      <c r="L802" t="s">
        <v>27</v>
      </c>
      <c r="M802" t="s">
        <v>4974</v>
      </c>
      <c r="N802" t="s">
        <v>28</v>
      </c>
      <c r="O802" t="s">
        <v>51</v>
      </c>
      <c r="P802" t="s">
        <v>52</v>
      </c>
      <c r="Q802" t="s">
        <v>38</v>
      </c>
      <c r="R802">
        <v>11</v>
      </c>
      <c r="S802" t="s">
        <v>4975</v>
      </c>
      <c r="T802" t="s">
        <v>7368</v>
      </c>
      <c r="U802" t="s">
        <v>7369</v>
      </c>
      <c r="V802" t="s">
        <v>32</v>
      </c>
      <c r="W802" t="s">
        <v>33</v>
      </c>
      <c r="X802" t="s">
        <v>33</v>
      </c>
      <c r="Y802" t="s">
        <v>33</v>
      </c>
      <c r="Z802" s="16" t="s">
        <v>34</v>
      </c>
      <c r="AA802">
        <v>-75.631522309999994</v>
      </c>
      <c r="AB802">
        <v>6.2332326699999996</v>
      </c>
      <c r="AC802" t="s">
        <v>135</v>
      </c>
      <c r="AD802" t="s">
        <v>136</v>
      </c>
    </row>
    <row r="803" spans="1:30" x14ac:dyDescent="0.25">
      <c r="A803" t="s">
        <v>4976</v>
      </c>
      <c r="B803" t="s">
        <v>61</v>
      </c>
      <c r="C803" t="s">
        <v>26</v>
      </c>
      <c r="D803" t="s">
        <v>61</v>
      </c>
      <c r="E803" t="s">
        <v>4977</v>
      </c>
      <c r="F803" t="s">
        <v>4978</v>
      </c>
      <c r="G803">
        <v>43444824</v>
      </c>
      <c r="H803" t="s">
        <v>4979</v>
      </c>
      <c r="I803" s="4" t="s">
        <v>4980</v>
      </c>
      <c r="J803" s="4" t="s">
        <v>710</v>
      </c>
      <c r="K803" t="s">
        <v>4981</v>
      </c>
      <c r="L803" t="s">
        <v>27</v>
      </c>
      <c r="M803" t="s">
        <v>4982</v>
      </c>
      <c r="N803" t="s">
        <v>28</v>
      </c>
      <c r="O803" t="s">
        <v>62</v>
      </c>
      <c r="P803" t="s">
        <v>63</v>
      </c>
      <c r="Q803" t="s">
        <v>31</v>
      </c>
      <c r="R803">
        <v>4</v>
      </c>
      <c r="S803" t="s">
        <v>4983</v>
      </c>
      <c r="T803" t="s">
        <v>7370</v>
      </c>
      <c r="U803" t="s">
        <v>7371</v>
      </c>
      <c r="V803" t="s">
        <v>131</v>
      </c>
      <c r="W803" t="s">
        <v>33</v>
      </c>
      <c r="X803" t="s">
        <v>33</v>
      </c>
      <c r="Y803" t="s">
        <v>33</v>
      </c>
      <c r="Z803" s="16" t="s">
        <v>34</v>
      </c>
      <c r="AA803">
        <v>-75.590605139999994</v>
      </c>
      <c r="AB803">
        <v>6.2314422199999999</v>
      </c>
      <c r="AC803" t="s">
        <v>135</v>
      </c>
      <c r="AD803" t="s">
        <v>136</v>
      </c>
    </row>
    <row r="804" spans="1:30" x14ac:dyDescent="0.25">
      <c r="A804" t="s">
        <v>4984</v>
      </c>
      <c r="B804" t="s">
        <v>61</v>
      </c>
      <c r="C804" t="s">
        <v>26</v>
      </c>
      <c r="D804" t="s">
        <v>61</v>
      </c>
      <c r="E804" t="s">
        <v>4985</v>
      </c>
      <c r="F804" t="s">
        <v>4986</v>
      </c>
      <c r="G804">
        <v>43479029</v>
      </c>
      <c r="H804" t="s">
        <v>4987</v>
      </c>
      <c r="I804" s="4" t="s">
        <v>35</v>
      </c>
      <c r="J804" s="4" t="s">
        <v>4988</v>
      </c>
      <c r="K804" t="s">
        <v>4989</v>
      </c>
      <c r="L804" t="s">
        <v>57</v>
      </c>
      <c r="M804" t="s">
        <v>4990</v>
      </c>
      <c r="N804" t="s">
        <v>58</v>
      </c>
      <c r="O804" t="s">
        <v>62</v>
      </c>
      <c r="P804" t="s">
        <v>63</v>
      </c>
      <c r="Q804" t="s">
        <v>31</v>
      </c>
      <c r="R804">
        <v>4</v>
      </c>
      <c r="S804" t="s">
        <v>4991</v>
      </c>
      <c r="T804" t="s">
        <v>7372</v>
      </c>
      <c r="U804" t="s">
        <v>7373</v>
      </c>
      <c r="V804" t="s">
        <v>131</v>
      </c>
      <c r="W804" t="s">
        <v>33</v>
      </c>
      <c r="X804" t="s">
        <v>33</v>
      </c>
      <c r="Y804" t="s">
        <v>33</v>
      </c>
      <c r="Z804" s="16" t="s">
        <v>34</v>
      </c>
      <c r="AA804">
        <v>-75.633526320000001</v>
      </c>
      <c r="AB804">
        <v>6.0842165499999998</v>
      </c>
      <c r="AC804" t="s">
        <v>135</v>
      </c>
      <c r="AD804" t="s">
        <v>136</v>
      </c>
    </row>
    <row r="805" spans="1:30" x14ac:dyDescent="0.25">
      <c r="A805" t="s">
        <v>4993</v>
      </c>
      <c r="B805" t="s">
        <v>42</v>
      </c>
      <c r="C805" t="s">
        <v>26</v>
      </c>
      <c r="D805" t="s">
        <v>42</v>
      </c>
      <c r="E805" t="s">
        <v>4994</v>
      </c>
      <c r="F805" t="s">
        <v>4995</v>
      </c>
      <c r="G805">
        <v>900540685</v>
      </c>
      <c r="H805" t="s">
        <v>4996</v>
      </c>
      <c r="I805" s="4" t="s">
        <v>35</v>
      </c>
      <c r="J805" s="4" t="s">
        <v>4997</v>
      </c>
      <c r="K805" t="s">
        <v>4998</v>
      </c>
      <c r="L805" t="s">
        <v>27</v>
      </c>
      <c r="M805" t="s">
        <v>4999</v>
      </c>
      <c r="N805" t="s">
        <v>28</v>
      </c>
      <c r="O805" t="s">
        <v>43</v>
      </c>
      <c r="P805" t="s">
        <v>54</v>
      </c>
      <c r="Q805" t="s">
        <v>31</v>
      </c>
      <c r="R805">
        <v>7</v>
      </c>
      <c r="S805" t="s">
        <v>5000</v>
      </c>
      <c r="T805" t="s">
        <v>7374</v>
      </c>
      <c r="U805" t="s">
        <v>7375</v>
      </c>
      <c r="V805" t="s">
        <v>32</v>
      </c>
      <c r="W805" t="s">
        <v>33</v>
      </c>
      <c r="X805" t="s">
        <v>33</v>
      </c>
      <c r="Y805" t="s">
        <v>33</v>
      </c>
      <c r="Z805" s="16" t="s">
        <v>34</v>
      </c>
      <c r="AA805">
        <v>-75.58392139</v>
      </c>
      <c r="AB805">
        <v>6.2461113599999996</v>
      </c>
      <c r="AC805" t="s">
        <v>135</v>
      </c>
      <c r="AD805" t="s">
        <v>136</v>
      </c>
    </row>
    <row r="806" spans="1:30" x14ac:dyDescent="0.25">
      <c r="A806" t="s">
        <v>5001</v>
      </c>
      <c r="B806" t="s">
        <v>42</v>
      </c>
      <c r="C806" t="s">
        <v>26</v>
      </c>
      <c r="D806" t="s">
        <v>42</v>
      </c>
      <c r="E806" t="s">
        <v>5002</v>
      </c>
      <c r="F806" t="s">
        <v>5003</v>
      </c>
      <c r="G806">
        <v>900540685</v>
      </c>
      <c r="H806" t="s">
        <v>4996</v>
      </c>
      <c r="I806" s="4" t="s">
        <v>35</v>
      </c>
      <c r="J806" s="4" t="s">
        <v>4997</v>
      </c>
      <c r="K806" t="s">
        <v>5004</v>
      </c>
      <c r="L806" t="s">
        <v>27</v>
      </c>
      <c r="M806" t="s">
        <v>5005</v>
      </c>
      <c r="N806" t="s">
        <v>28</v>
      </c>
      <c r="O806" t="s">
        <v>43</v>
      </c>
      <c r="P806" t="s">
        <v>54</v>
      </c>
      <c r="Q806" t="s">
        <v>31</v>
      </c>
      <c r="R806">
        <v>7</v>
      </c>
      <c r="S806" t="s">
        <v>5006</v>
      </c>
      <c r="T806" t="s">
        <v>7376</v>
      </c>
      <c r="U806" t="s">
        <v>7377</v>
      </c>
      <c r="V806" t="s">
        <v>32</v>
      </c>
      <c r="W806" t="s">
        <v>33</v>
      </c>
      <c r="X806" t="s">
        <v>33</v>
      </c>
      <c r="Y806" t="s">
        <v>33</v>
      </c>
      <c r="Z806" s="16" t="s">
        <v>34</v>
      </c>
      <c r="AA806">
        <v>-75.58392139</v>
      </c>
      <c r="AB806">
        <v>6.2461113599999996</v>
      </c>
      <c r="AC806" t="s">
        <v>135</v>
      </c>
      <c r="AD806" t="s">
        <v>136</v>
      </c>
    </row>
    <row r="807" spans="1:30" x14ac:dyDescent="0.25">
      <c r="A807" t="s">
        <v>5007</v>
      </c>
      <c r="B807" t="s">
        <v>65</v>
      </c>
      <c r="C807" t="s">
        <v>26</v>
      </c>
      <c r="D807" t="s">
        <v>66</v>
      </c>
      <c r="E807" t="s">
        <v>5008</v>
      </c>
      <c r="F807" t="s">
        <v>5009</v>
      </c>
      <c r="G807">
        <v>800215807</v>
      </c>
      <c r="H807" t="s">
        <v>5010</v>
      </c>
      <c r="I807" s="4" t="s">
        <v>5011</v>
      </c>
      <c r="J807" s="4" t="s">
        <v>35</v>
      </c>
      <c r="K807" t="s">
        <v>5012</v>
      </c>
      <c r="L807" t="s">
        <v>55</v>
      </c>
      <c r="M807" t="s">
        <v>5013</v>
      </c>
      <c r="N807" t="s">
        <v>56</v>
      </c>
      <c r="O807" t="s">
        <v>68</v>
      </c>
      <c r="P807" t="s">
        <v>74</v>
      </c>
      <c r="Q807" t="s">
        <v>31</v>
      </c>
      <c r="R807">
        <v>9</v>
      </c>
      <c r="S807" t="s">
        <v>5014</v>
      </c>
      <c r="T807" t="s">
        <v>3635</v>
      </c>
      <c r="U807" t="s">
        <v>7378</v>
      </c>
      <c r="V807" t="s">
        <v>32</v>
      </c>
      <c r="W807" t="s">
        <v>33</v>
      </c>
      <c r="X807" t="s">
        <v>33</v>
      </c>
      <c r="Y807" t="s">
        <v>33</v>
      </c>
      <c r="Z807" s="16" t="s">
        <v>34</v>
      </c>
      <c r="AA807">
        <v>-75.649831634999899</v>
      </c>
      <c r="AB807">
        <v>6.1379125160000303</v>
      </c>
      <c r="AC807" t="s">
        <v>135</v>
      </c>
      <c r="AD807" t="s">
        <v>136</v>
      </c>
    </row>
    <row r="808" spans="1:30" x14ac:dyDescent="0.25">
      <c r="A808" t="s">
        <v>5015</v>
      </c>
      <c r="B808" t="s">
        <v>50</v>
      </c>
      <c r="C808" t="s">
        <v>26</v>
      </c>
      <c r="D808" t="s">
        <v>50</v>
      </c>
      <c r="E808" t="s">
        <v>5016</v>
      </c>
      <c r="F808" t="s">
        <v>5017</v>
      </c>
      <c r="G808">
        <v>1128416532</v>
      </c>
      <c r="H808" t="s">
        <v>5018</v>
      </c>
      <c r="I808" s="4" t="s">
        <v>5019</v>
      </c>
      <c r="J808" s="4" t="s">
        <v>5020</v>
      </c>
      <c r="K808" t="s">
        <v>5021</v>
      </c>
      <c r="L808" t="s">
        <v>27</v>
      </c>
      <c r="M808" t="s">
        <v>5022</v>
      </c>
      <c r="N808" t="s">
        <v>28</v>
      </c>
      <c r="O808" t="s">
        <v>51</v>
      </c>
      <c r="P808" t="s">
        <v>52</v>
      </c>
      <c r="Q808" t="s">
        <v>38</v>
      </c>
      <c r="R808">
        <v>11</v>
      </c>
      <c r="S808" t="s">
        <v>5023</v>
      </c>
      <c r="T808" t="s">
        <v>7379</v>
      </c>
      <c r="U808" t="s">
        <v>7380</v>
      </c>
      <c r="V808" t="s">
        <v>32</v>
      </c>
      <c r="W808" t="s">
        <v>33</v>
      </c>
      <c r="X808" t="s">
        <v>33</v>
      </c>
      <c r="Y808" t="s">
        <v>33</v>
      </c>
      <c r="Z808" s="16" t="s">
        <v>34</v>
      </c>
      <c r="AA808">
        <v>-75.632462000000004</v>
      </c>
      <c r="AB808">
        <v>6.2345509999999997</v>
      </c>
      <c r="AC808" t="s">
        <v>135</v>
      </c>
      <c r="AD808" t="s">
        <v>136</v>
      </c>
    </row>
    <row r="809" spans="1:30" x14ac:dyDescent="0.25">
      <c r="A809" t="s">
        <v>5025</v>
      </c>
      <c r="B809" t="s">
        <v>25</v>
      </c>
      <c r="C809" t="s">
        <v>26</v>
      </c>
      <c r="D809" t="s">
        <v>39</v>
      </c>
      <c r="E809" t="s">
        <v>5026</v>
      </c>
      <c r="F809" t="s">
        <v>5027</v>
      </c>
      <c r="G809">
        <v>1001808727</v>
      </c>
      <c r="H809" t="s">
        <v>831</v>
      </c>
      <c r="I809" s="4" t="s">
        <v>35</v>
      </c>
      <c r="J809" s="4" t="s">
        <v>832</v>
      </c>
      <c r="K809" t="s">
        <v>5028</v>
      </c>
      <c r="L809" t="s">
        <v>44</v>
      </c>
      <c r="M809" t="s">
        <v>5029</v>
      </c>
      <c r="N809" t="s">
        <v>45</v>
      </c>
      <c r="O809" t="s">
        <v>40</v>
      </c>
      <c r="P809" t="s">
        <v>41</v>
      </c>
      <c r="Q809" t="s">
        <v>31</v>
      </c>
      <c r="R809">
        <v>5</v>
      </c>
      <c r="S809" t="s">
        <v>5030</v>
      </c>
      <c r="T809" t="s">
        <v>5031</v>
      </c>
      <c r="U809" t="s">
        <v>5024</v>
      </c>
      <c r="V809" t="s">
        <v>49</v>
      </c>
      <c r="W809" t="s">
        <v>33</v>
      </c>
      <c r="X809" t="s">
        <v>33</v>
      </c>
      <c r="Y809" t="s">
        <v>33</v>
      </c>
      <c r="Z809" s="16" t="s">
        <v>34</v>
      </c>
      <c r="AA809">
        <v>-75.609866229999994</v>
      </c>
      <c r="AB809">
        <v>6.1768508500000001</v>
      </c>
      <c r="AC809" t="s">
        <v>135</v>
      </c>
      <c r="AD809" t="s">
        <v>136</v>
      </c>
    </row>
    <row r="810" spans="1:30" x14ac:dyDescent="0.25">
      <c r="A810" t="s">
        <v>5032</v>
      </c>
      <c r="B810" t="s">
        <v>61</v>
      </c>
      <c r="C810" t="s">
        <v>26</v>
      </c>
      <c r="D810" t="s">
        <v>61</v>
      </c>
      <c r="E810" t="s">
        <v>5033</v>
      </c>
      <c r="F810" t="s">
        <v>5034</v>
      </c>
      <c r="G810">
        <v>70551884</v>
      </c>
      <c r="H810" t="s">
        <v>4876</v>
      </c>
      <c r="I810" s="4" t="s">
        <v>4877</v>
      </c>
      <c r="J810" s="4" t="s">
        <v>541</v>
      </c>
      <c r="K810" t="s">
        <v>5035</v>
      </c>
      <c r="L810" t="s">
        <v>57</v>
      </c>
      <c r="M810" t="s">
        <v>5036</v>
      </c>
      <c r="N810" t="s">
        <v>58</v>
      </c>
      <c r="O810" t="s">
        <v>62</v>
      </c>
      <c r="P810" t="s">
        <v>63</v>
      </c>
      <c r="Q810" t="s">
        <v>38</v>
      </c>
      <c r="R810">
        <v>4</v>
      </c>
      <c r="S810" t="s">
        <v>5037</v>
      </c>
      <c r="T810" t="s">
        <v>7381</v>
      </c>
      <c r="U810" t="s">
        <v>7382</v>
      </c>
      <c r="V810" t="s">
        <v>49</v>
      </c>
      <c r="W810" t="s">
        <v>33</v>
      </c>
      <c r="X810" t="s">
        <v>33</v>
      </c>
      <c r="Y810" t="s">
        <v>33</v>
      </c>
      <c r="Z810" s="16" t="s">
        <v>34</v>
      </c>
      <c r="AA810">
        <v>-75.638868349999996</v>
      </c>
      <c r="AB810">
        <v>6.0582478200000001</v>
      </c>
      <c r="AC810" t="s">
        <v>135</v>
      </c>
      <c r="AD810" t="s">
        <v>136</v>
      </c>
    </row>
    <row r="811" spans="1:30" x14ac:dyDescent="0.25">
      <c r="A811" t="s">
        <v>5038</v>
      </c>
      <c r="B811" t="s">
        <v>61</v>
      </c>
      <c r="C811" t="s">
        <v>26</v>
      </c>
      <c r="D811" t="s">
        <v>61</v>
      </c>
      <c r="E811" t="s">
        <v>5039</v>
      </c>
      <c r="F811" t="s">
        <v>5040</v>
      </c>
      <c r="G811">
        <v>1037658814</v>
      </c>
      <c r="H811" t="s">
        <v>5041</v>
      </c>
      <c r="I811" s="4" t="s">
        <v>35</v>
      </c>
      <c r="J811" s="4" t="s">
        <v>5042</v>
      </c>
      <c r="K811" t="s">
        <v>5043</v>
      </c>
      <c r="L811" t="s">
        <v>27</v>
      </c>
      <c r="M811" t="s">
        <v>5044</v>
      </c>
      <c r="N811" t="s">
        <v>28</v>
      </c>
      <c r="O811" t="s">
        <v>62</v>
      </c>
      <c r="P811" t="s">
        <v>63</v>
      </c>
      <c r="Q811" t="s">
        <v>31</v>
      </c>
      <c r="R811">
        <v>4</v>
      </c>
      <c r="S811" t="s">
        <v>5045</v>
      </c>
      <c r="T811" t="s">
        <v>7383</v>
      </c>
      <c r="U811" t="s">
        <v>7384</v>
      </c>
      <c r="V811" t="s">
        <v>49</v>
      </c>
      <c r="W811" t="s">
        <v>33</v>
      </c>
      <c r="X811" t="s">
        <v>33</v>
      </c>
      <c r="Y811" t="s">
        <v>33</v>
      </c>
      <c r="Z811" s="16" t="s">
        <v>34</v>
      </c>
      <c r="AA811">
        <v>-75.543926999999996</v>
      </c>
      <c r="AB811">
        <v>6.243296</v>
      </c>
      <c r="AC811" t="s">
        <v>135</v>
      </c>
      <c r="AD811" t="s">
        <v>136</v>
      </c>
    </row>
    <row r="812" spans="1:30" x14ac:dyDescent="0.25">
      <c r="A812" t="s">
        <v>5046</v>
      </c>
      <c r="B812" t="s">
        <v>25</v>
      </c>
      <c r="C812" t="s">
        <v>75</v>
      </c>
      <c r="D812" t="s">
        <v>25</v>
      </c>
      <c r="E812" t="s">
        <v>5047</v>
      </c>
      <c r="F812" t="s">
        <v>5048</v>
      </c>
      <c r="G812">
        <v>22228554</v>
      </c>
      <c r="H812" t="s">
        <v>5049</v>
      </c>
      <c r="I812" s="4" t="s">
        <v>5050</v>
      </c>
      <c r="J812" s="4" t="s">
        <v>5051</v>
      </c>
      <c r="K812" t="s">
        <v>5052</v>
      </c>
      <c r="L812" t="s">
        <v>48</v>
      </c>
      <c r="M812" t="s">
        <v>5053</v>
      </c>
      <c r="N812" t="s">
        <v>64</v>
      </c>
      <c r="O812" t="s">
        <v>137</v>
      </c>
      <c r="P812" t="s">
        <v>30</v>
      </c>
      <c r="Q812" t="s">
        <v>31</v>
      </c>
      <c r="R812">
        <v>7</v>
      </c>
      <c r="S812" t="s">
        <v>5054</v>
      </c>
      <c r="T812" t="s">
        <v>7385</v>
      </c>
      <c r="U812" t="s">
        <v>1125</v>
      </c>
      <c r="V812" t="s">
        <v>32</v>
      </c>
      <c r="W812" t="s">
        <v>33</v>
      </c>
      <c r="X812" t="s">
        <v>33</v>
      </c>
      <c r="Y812" t="s">
        <v>33</v>
      </c>
      <c r="Z812" s="16" t="s">
        <v>34</v>
      </c>
      <c r="AA812">
        <v>-75.590922000000006</v>
      </c>
      <c r="AB812">
        <v>6.1630880000000001</v>
      </c>
      <c r="AC812" t="s">
        <v>135</v>
      </c>
      <c r="AD812" t="s">
        <v>136</v>
      </c>
    </row>
    <row r="813" spans="1:30" x14ac:dyDescent="0.25">
      <c r="A813" t="s">
        <v>5056</v>
      </c>
      <c r="B813" t="s">
        <v>65</v>
      </c>
      <c r="C813" t="s">
        <v>26</v>
      </c>
      <c r="D813" t="s">
        <v>66</v>
      </c>
      <c r="E813" t="s">
        <v>5057</v>
      </c>
      <c r="F813" t="s">
        <v>5058</v>
      </c>
      <c r="G813">
        <v>98575844</v>
      </c>
      <c r="H813" t="s">
        <v>5059</v>
      </c>
      <c r="I813" s="4" t="s">
        <v>5060</v>
      </c>
      <c r="J813" s="4" t="s">
        <v>824</v>
      </c>
      <c r="K813" t="s">
        <v>825</v>
      </c>
      <c r="L813" t="s">
        <v>27</v>
      </c>
      <c r="M813" t="s">
        <v>826</v>
      </c>
      <c r="N813" t="s">
        <v>28</v>
      </c>
      <c r="O813" t="s">
        <v>68</v>
      </c>
      <c r="P813" t="s">
        <v>70</v>
      </c>
      <c r="Q813" t="s">
        <v>31</v>
      </c>
      <c r="R813">
        <v>9</v>
      </c>
      <c r="S813" t="s">
        <v>5061</v>
      </c>
      <c r="T813" t="s">
        <v>7386</v>
      </c>
      <c r="U813" t="s">
        <v>7387</v>
      </c>
      <c r="V813" t="s">
        <v>32</v>
      </c>
      <c r="W813" t="s">
        <v>33</v>
      </c>
      <c r="X813" t="s">
        <v>33</v>
      </c>
      <c r="Y813" t="s">
        <v>33</v>
      </c>
      <c r="Z813" s="16" t="s">
        <v>34</v>
      </c>
      <c r="AA813">
        <v>-75.585129600000002</v>
      </c>
      <c r="AB813">
        <v>6.2051576700000002</v>
      </c>
      <c r="AC813" t="s">
        <v>135</v>
      </c>
      <c r="AD813" t="s">
        <v>136</v>
      </c>
    </row>
    <row r="814" spans="1:30" x14ac:dyDescent="0.25">
      <c r="A814" t="s">
        <v>5062</v>
      </c>
      <c r="B814" t="s">
        <v>65</v>
      </c>
      <c r="C814" t="s">
        <v>26</v>
      </c>
      <c r="D814" t="s">
        <v>66</v>
      </c>
      <c r="E814" t="s">
        <v>5063</v>
      </c>
      <c r="F814" t="s">
        <v>5064</v>
      </c>
      <c r="G814">
        <v>1128266320</v>
      </c>
      <c r="H814" t="s">
        <v>5065</v>
      </c>
      <c r="I814" s="4" t="s">
        <v>5066</v>
      </c>
      <c r="J814" s="4" t="s">
        <v>5067</v>
      </c>
      <c r="K814" t="s">
        <v>5068</v>
      </c>
      <c r="L814" t="s">
        <v>27</v>
      </c>
      <c r="M814" t="s">
        <v>5069</v>
      </c>
      <c r="N814" t="s">
        <v>28</v>
      </c>
      <c r="O814" t="s">
        <v>68</v>
      </c>
      <c r="P814" t="s">
        <v>70</v>
      </c>
      <c r="Q814" t="s">
        <v>31</v>
      </c>
      <c r="R814">
        <v>9</v>
      </c>
      <c r="S814" t="s">
        <v>5070</v>
      </c>
      <c r="T814" t="s">
        <v>7388</v>
      </c>
      <c r="U814" t="s">
        <v>7389</v>
      </c>
      <c r="V814" t="s">
        <v>32</v>
      </c>
      <c r="W814" t="s">
        <v>33</v>
      </c>
      <c r="X814" t="s">
        <v>33</v>
      </c>
      <c r="Y814" t="s">
        <v>33</v>
      </c>
      <c r="Z814" s="16" t="s">
        <v>34</v>
      </c>
      <c r="AA814">
        <v>-75.575741679999993</v>
      </c>
      <c r="AB814">
        <v>6.2482697299999996</v>
      </c>
      <c r="AC814" t="s">
        <v>135</v>
      </c>
      <c r="AD814" t="s">
        <v>136</v>
      </c>
    </row>
    <row r="815" spans="1:30" x14ac:dyDescent="0.25">
      <c r="A815" t="s">
        <v>5071</v>
      </c>
      <c r="B815" t="s">
        <v>42</v>
      </c>
      <c r="C815" t="s">
        <v>26</v>
      </c>
      <c r="D815" t="s">
        <v>42</v>
      </c>
      <c r="E815" t="s">
        <v>5072</v>
      </c>
      <c r="F815" t="s">
        <v>5073</v>
      </c>
      <c r="G815">
        <v>98516520</v>
      </c>
      <c r="H815" t="s">
        <v>5074</v>
      </c>
      <c r="I815" s="4" t="s">
        <v>35</v>
      </c>
      <c r="J815" s="4" t="s">
        <v>5075</v>
      </c>
      <c r="K815" t="s">
        <v>531</v>
      </c>
      <c r="L815" t="s">
        <v>27</v>
      </c>
      <c r="M815" t="s">
        <v>532</v>
      </c>
      <c r="N815" t="s">
        <v>28</v>
      </c>
      <c r="O815" t="s">
        <v>43</v>
      </c>
      <c r="P815" t="s">
        <v>37</v>
      </c>
      <c r="Q815" t="s">
        <v>31</v>
      </c>
      <c r="R815">
        <v>7</v>
      </c>
      <c r="S815" t="s">
        <v>5076</v>
      </c>
      <c r="T815" t="s">
        <v>7390</v>
      </c>
      <c r="U815" t="s">
        <v>7058</v>
      </c>
      <c r="V815" t="s">
        <v>32</v>
      </c>
      <c r="W815" t="s">
        <v>33</v>
      </c>
      <c r="X815" t="s">
        <v>33</v>
      </c>
      <c r="Y815" t="s">
        <v>33</v>
      </c>
      <c r="Z815" s="16" t="s">
        <v>34</v>
      </c>
      <c r="AA815">
        <v>-75.564641120000005</v>
      </c>
      <c r="AB815">
        <v>6.2470775200000004</v>
      </c>
      <c r="AC815" t="s">
        <v>135</v>
      </c>
      <c r="AD815" t="s">
        <v>136</v>
      </c>
    </row>
    <row r="816" spans="1:30" x14ac:dyDescent="0.25">
      <c r="A816" t="s">
        <v>5077</v>
      </c>
      <c r="B816" t="s">
        <v>61</v>
      </c>
      <c r="C816" t="s">
        <v>26</v>
      </c>
      <c r="D816" t="s">
        <v>61</v>
      </c>
      <c r="E816" t="s">
        <v>5078</v>
      </c>
      <c r="F816" t="s">
        <v>5079</v>
      </c>
      <c r="G816">
        <v>890905211</v>
      </c>
      <c r="H816" t="s">
        <v>1716</v>
      </c>
      <c r="I816" s="4" t="s">
        <v>5080</v>
      </c>
      <c r="J816" s="4" t="s">
        <v>5081</v>
      </c>
      <c r="K816" t="s">
        <v>5082</v>
      </c>
      <c r="L816" t="s">
        <v>27</v>
      </c>
      <c r="M816" t="s">
        <v>5083</v>
      </c>
      <c r="N816" t="s">
        <v>28</v>
      </c>
      <c r="O816" t="s">
        <v>62</v>
      </c>
      <c r="P816" t="s">
        <v>63</v>
      </c>
      <c r="Q816" t="s">
        <v>31</v>
      </c>
      <c r="R816">
        <v>4</v>
      </c>
      <c r="S816" t="s">
        <v>5084</v>
      </c>
      <c r="T816" t="s">
        <v>7391</v>
      </c>
      <c r="U816" t="s">
        <v>7392</v>
      </c>
      <c r="V816" t="s">
        <v>49</v>
      </c>
      <c r="W816" t="s">
        <v>33</v>
      </c>
      <c r="X816" t="s">
        <v>33</v>
      </c>
      <c r="Y816" t="s">
        <v>33</v>
      </c>
      <c r="Z816" s="16" t="s">
        <v>34</v>
      </c>
      <c r="AA816">
        <v>-75.625659999999996</v>
      </c>
      <c r="AB816">
        <v>6.2233039999999997</v>
      </c>
      <c r="AC816" t="s">
        <v>135</v>
      </c>
      <c r="AD816" t="s">
        <v>136</v>
      </c>
    </row>
    <row r="817" spans="1:30" x14ac:dyDescent="0.25">
      <c r="A817" t="s">
        <v>5085</v>
      </c>
      <c r="B817" t="s">
        <v>50</v>
      </c>
      <c r="C817" t="s">
        <v>26</v>
      </c>
      <c r="D817" t="s">
        <v>50</v>
      </c>
      <c r="E817" t="s">
        <v>5086</v>
      </c>
      <c r="F817" t="s">
        <v>5087</v>
      </c>
      <c r="G817">
        <v>43345638</v>
      </c>
      <c r="H817" t="s">
        <v>5088</v>
      </c>
      <c r="I817" s="4" t="s">
        <v>35</v>
      </c>
      <c r="J817" s="4" t="s">
        <v>5089</v>
      </c>
      <c r="K817" t="s">
        <v>5090</v>
      </c>
      <c r="L817" t="s">
        <v>27</v>
      </c>
      <c r="M817" t="s">
        <v>5091</v>
      </c>
      <c r="N817" t="s">
        <v>28</v>
      </c>
      <c r="O817" t="s">
        <v>51</v>
      </c>
      <c r="P817" t="s">
        <v>52</v>
      </c>
      <c r="Q817" t="s">
        <v>38</v>
      </c>
      <c r="R817">
        <v>11</v>
      </c>
      <c r="S817" t="s">
        <v>5092</v>
      </c>
      <c r="T817" t="s">
        <v>1135</v>
      </c>
      <c r="U817" t="s">
        <v>7393</v>
      </c>
      <c r="V817" t="s">
        <v>32</v>
      </c>
      <c r="W817" t="s">
        <v>33</v>
      </c>
      <c r="X817" t="s">
        <v>33</v>
      </c>
      <c r="Y817" t="s">
        <v>33</v>
      </c>
      <c r="Z817" s="16" t="s">
        <v>34</v>
      </c>
      <c r="AA817">
        <v>-75.631196000000003</v>
      </c>
      <c r="AB817">
        <v>6.2330199999999998</v>
      </c>
      <c r="AC817" t="s">
        <v>135</v>
      </c>
      <c r="AD817" t="s">
        <v>136</v>
      </c>
    </row>
    <row r="818" spans="1:30" x14ac:dyDescent="0.25">
      <c r="A818" t="s">
        <v>5093</v>
      </c>
      <c r="B818" t="s">
        <v>61</v>
      </c>
      <c r="C818" t="s">
        <v>26</v>
      </c>
      <c r="D818" t="s">
        <v>61</v>
      </c>
      <c r="E818" t="s">
        <v>5094</v>
      </c>
      <c r="F818" t="s">
        <v>5095</v>
      </c>
      <c r="G818">
        <v>800237326</v>
      </c>
      <c r="H818" t="s">
        <v>5096</v>
      </c>
      <c r="I818" s="4" t="s">
        <v>35</v>
      </c>
      <c r="J818" s="4" t="s">
        <v>35</v>
      </c>
      <c r="K818" t="s">
        <v>5097</v>
      </c>
      <c r="L818" t="s">
        <v>27</v>
      </c>
      <c r="M818" t="s">
        <v>5098</v>
      </c>
      <c r="N818" t="s">
        <v>28</v>
      </c>
      <c r="O818" t="s">
        <v>62</v>
      </c>
      <c r="P818" t="s">
        <v>63</v>
      </c>
      <c r="Q818" t="s">
        <v>31</v>
      </c>
      <c r="R818">
        <v>4</v>
      </c>
      <c r="S818" t="s">
        <v>5099</v>
      </c>
      <c r="T818" t="s">
        <v>7394</v>
      </c>
      <c r="U818" t="s">
        <v>7395</v>
      </c>
      <c r="V818" t="s">
        <v>49</v>
      </c>
      <c r="W818" t="s">
        <v>33</v>
      </c>
      <c r="X818" t="s">
        <v>33</v>
      </c>
      <c r="Y818" t="s">
        <v>33</v>
      </c>
      <c r="Z818" s="16" t="s">
        <v>34</v>
      </c>
      <c r="AA818">
        <v>-75.601380919999997</v>
      </c>
      <c r="AB818">
        <v>6.23056492</v>
      </c>
      <c r="AC818" t="s">
        <v>135</v>
      </c>
      <c r="AD818" t="s">
        <v>136</v>
      </c>
    </row>
    <row r="819" spans="1:30" x14ac:dyDescent="0.25">
      <c r="A819" t="s">
        <v>5100</v>
      </c>
      <c r="B819" t="s">
        <v>61</v>
      </c>
      <c r="C819" t="s">
        <v>26</v>
      </c>
      <c r="D819" t="s">
        <v>61</v>
      </c>
      <c r="E819" t="s">
        <v>5101</v>
      </c>
      <c r="F819" t="s">
        <v>5102</v>
      </c>
      <c r="G819">
        <v>43065179</v>
      </c>
      <c r="H819" t="s">
        <v>5103</v>
      </c>
      <c r="I819" s="4" t="s">
        <v>5104</v>
      </c>
      <c r="J819" s="4" t="s">
        <v>5042</v>
      </c>
      <c r="K819" t="s">
        <v>5105</v>
      </c>
      <c r="L819" t="s">
        <v>27</v>
      </c>
      <c r="M819" t="s">
        <v>5106</v>
      </c>
      <c r="N819" t="s">
        <v>28</v>
      </c>
      <c r="O819" t="s">
        <v>62</v>
      </c>
      <c r="P819" t="s">
        <v>63</v>
      </c>
      <c r="Q819" t="s">
        <v>31</v>
      </c>
      <c r="R819">
        <v>4</v>
      </c>
      <c r="S819" t="s">
        <v>5107</v>
      </c>
      <c r="T819" t="s">
        <v>2168</v>
      </c>
      <c r="U819" t="s">
        <v>7396</v>
      </c>
      <c r="V819" t="s">
        <v>49</v>
      </c>
      <c r="W819" t="s">
        <v>33</v>
      </c>
      <c r="X819" t="s">
        <v>33</v>
      </c>
      <c r="Y819" t="s">
        <v>33</v>
      </c>
      <c r="Z819" s="16" t="s">
        <v>34</v>
      </c>
      <c r="AA819">
        <v>-75.587503999999996</v>
      </c>
      <c r="AB819">
        <v>6.2465299999999999</v>
      </c>
      <c r="AC819" t="s">
        <v>135</v>
      </c>
      <c r="AD819" t="s">
        <v>136</v>
      </c>
    </row>
    <row r="820" spans="1:30" x14ac:dyDescent="0.25">
      <c r="A820" t="s">
        <v>5109</v>
      </c>
      <c r="B820" t="s">
        <v>65</v>
      </c>
      <c r="C820" t="s">
        <v>26</v>
      </c>
      <c r="D820" t="s">
        <v>66</v>
      </c>
      <c r="E820" t="s">
        <v>5110</v>
      </c>
      <c r="F820" t="s">
        <v>5111</v>
      </c>
      <c r="G820">
        <v>43048532</v>
      </c>
      <c r="H820" t="s">
        <v>5112</v>
      </c>
      <c r="I820" s="4" t="s">
        <v>35</v>
      </c>
      <c r="J820" s="4" t="s">
        <v>5113</v>
      </c>
      <c r="K820" t="s">
        <v>5114</v>
      </c>
      <c r="L820" t="s">
        <v>44</v>
      </c>
      <c r="M820" t="s">
        <v>5115</v>
      </c>
      <c r="N820" t="s">
        <v>45</v>
      </c>
      <c r="O820" t="s">
        <v>68</v>
      </c>
      <c r="P820" t="s">
        <v>74</v>
      </c>
      <c r="Q820" t="s">
        <v>31</v>
      </c>
      <c r="R820">
        <v>9</v>
      </c>
      <c r="S820" t="s">
        <v>5116</v>
      </c>
      <c r="T820" t="s">
        <v>7397</v>
      </c>
      <c r="U820" t="s">
        <v>7398</v>
      </c>
      <c r="V820" t="s">
        <v>32</v>
      </c>
      <c r="W820" t="s">
        <v>33</v>
      </c>
      <c r="X820" t="s">
        <v>33</v>
      </c>
      <c r="Y820" t="s">
        <v>33</v>
      </c>
      <c r="Z820" s="16" t="s">
        <v>34</v>
      </c>
      <c r="AA820">
        <v>-75.603318810000005</v>
      </c>
      <c r="AB820">
        <v>6.1810467200000003</v>
      </c>
      <c r="AC820" t="s">
        <v>135</v>
      </c>
      <c r="AD820" t="s">
        <v>136</v>
      </c>
    </row>
    <row r="821" spans="1:30" x14ac:dyDescent="0.25">
      <c r="A821" t="s">
        <v>5117</v>
      </c>
      <c r="B821" t="s">
        <v>61</v>
      </c>
      <c r="C821" t="s">
        <v>26</v>
      </c>
      <c r="D821" t="s">
        <v>61</v>
      </c>
      <c r="E821" t="s">
        <v>5118</v>
      </c>
      <c r="F821" t="s">
        <v>5119</v>
      </c>
      <c r="G821">
        <v>35570299</v>
      </c>
      <c r="H821" t="s">
        <v>5120</v>
      </c>
      <c r="I821" s="4" t="s">
        <v>35</v>
      </c>
      <c r="J821" s="4" t="s">
        <v>5121</v>
      </c>
      <c r="K821" t="s">
        <v>5122</v>
      </c>
      <c r="L821" t="s">
        <v>27</v>
      </c>
      <c r="M821" t="s">
        <v>5123</v>
      </c>
      <c r="N821" t="s">
        <v>28</v>
      </c>
      <c r="O821" t="s">
        <v>62</v>
      </c>
      <c r="P821" t="s">
        <v>63</v>
      </c>
      <c r="Q821" t="s">
        <v>31</v>
      </c>
      <c r="R821">
        <v>4</v>
      </c>
      <c r="S821" t="s">
        <v>5124</v>
      </c>
      <c r="T821" t="s">
        <v>3752</v>
      </c>
      <c r="U821" t="s">
        <v>7399</v>
      </c>
      <c r="V821" t="s">
        <v>49</v>
      </c>
      <c r="W821" t="s">
        <v>33</v>
      </c>
      <c r="X821" t="s">
        <v>33</v>
      </c>
      <c r="Y821" t="s">
        <v>33</v>
      </c>
      <c r="Z821" s="16" t="s">
        <v>34</v>
      </c>
      <c r="AA821">
        <v>-75.531650339999999</v>
      </c>
      <c r="AB821">
        <v>6.2280678900000002</v>
      </c>
      <c r="AC821" t="s">
        <v>135</v>
      </c>
      <c r="AD821" t="s">
        <v>136</v>
      </c>
    </row>
    <row r="822" spans="1:30" x14ac:dyDescent="0.25">
      <c r="A822" t="s">
        <v>5125</v>
      </c>
      <c r="B822" t="s">
        <v>25</v>
      </c>
      <c r="C822" t="s">
        <v>26</v>
      </c>
      <c r="D822" t="s">
        <v>39</v>
      </c>
      <c r="E822" t="s">
        <v>5126</v>
      </c>
      <c r="F822" t="s">
        <v>5127</v>
      </c>
      <c r="G822">
        <v>1005180552</v>
      </c>
      <c r="H822" t="s">
        <v>5128</v>
      </c>
      <c r="I822" s="4" t="s">
        <v>35</v>
      </c>
      <c r="J822" s="4" t="s">
        <v>5129</v>
      </c>
      <c r="K822" t="s">
        <v>5130</v>
      </c>
      <c r="L822" t="s">
        <v>27</v>
      </c>
      <c r="M822" t="s">
        <v>5131</v>
      </c>
      <c r="N822" t="s">
        <v>28</v>
      </c>
      <c r="O822" t="s">
        <v>40</v>
      </c>
      <c r="P822" t="s">
        <v>41</v>
      </c>
      <c r="Q822" t="s">
        <v>31</v>
      </c>
      <c r="R822">
        <v>5</v>
      </c>
      <c r="S822" t="s">
        <v>5132</v>
      </c>
      <c r="T822" t="s">
        <v>1139</v>
      </c>
      <c r="U822" t="s">
        <v>1138</v>
      </c>
      <c r="V822" t="s">
        <v>49</v>
      </c>
      <c r="W822" t="s">
        <v>33</v>
      </c>
      <c r="X822" t="s">
        <v>33</v>
      </c>
      <c r="Y822" t="s">
        <v>33</v>
      </c>
      <c r="Z822" s="16" t="s">
        <v>34</v>
      </c>
      <c r="AA822">
        <v>-75.625248999999997</v>
      </c>
      <c r="AB822">
        <v>6.2651510000000004</v>
      </c>
      <c r="AC822" t="s">
        <v>135</v>
      </c>
      <c r="AD822" t="s">
        <v>136</v>
      </c>
    </row>
    <row r="823" spans="1:30" x14ac:dyDescent="0.25">
      <c r="A823" t="s">
        <v>5133</v>
      </c>
      <c r="B823" t="s">
        <v>25</v>
      </c>
      <c r="C823" t="s">
        <v>26</v>
      </c>
      <c r="D823" t="s">
        <v>25</v>
      </c>
      <c r="E823" t="s">
        <v>5134</v>
      </c>
      <c r="F823" t="s">
        <v>5135</v>
      </c>
      <c r="G823">
        <v>1036613141</v>
      </c>
      <c r="H823" t="s">
        <v>5136</v>
      </c>
      <c r="I823" s="4" t="s">
        <v>35</v>
      </c>
      <c r="J823" s="4" t="s">
        <v>5137</v>
      </c>
      <c r="K823" t="s">
        <v>5138</v>
      </c>
      <c r="L823" t="s">
        <v>59</v>
      </c>
      <c r="M823" t="s">
        <v>5139</v>
      </c>
      <c r="N823" t="s">
        <v>60</v>
      </c>
      <c r="O823" t="s">
        <v>29</v>
      </c>
      <c r="P823" t="s">
        <v>37</v>
      </c>
      <c r="Q823" t="s">
        <v>38</v>
      </c>
      <c r="R823">
        <v>10</v>
      </c>
      <c r="S823" t="s">
        <v>5140</v>
      </c>
      <c r="T823" t="s">
        <v>2436</v>
      </c>
      <c r="U823" t="s">
        <v>7400</v>
      </c>
      <c r="V823" t="s">
        <v>32</v>
      </c>
      <c r="W823" t="s">
        <v>33</v>
      </c>
      <c r="X823" t="s">
        <v>33</v>
      </c>
      <c r="Y823" t="s">
        <v>33</v>
      </c>
      <c r="Z823" s="16" t="s">
        <v>34</v>
      </c>
      <c r="AA823">
        <v>-75.600047040000007</v>
      </c>
      <c r="AB823">
        <v>6.1388037400000002</v>
      </c>
      <c r="AC823" t="s">
        <v>135</v>
      </c>
      <c r="AD823" t="s">
        <v>136</v>
      </c>
    </row>
    <row r="824" spans="1:30" x14ac:dyDescent="0.25">
      <c r="A824" t="s">
        <v>5141</v>
      </c>
      <c r="B824" t="s">
        <v>61</v>
      </c>
      <c r="C824" t="s">
        <v>26</v>
      </c>
      <c r="D824" t="s">
        <v>61</v>
      </c>
      <c r="E824" t="s">
        <v>5142</v>
      </c>
      <c r="F824" t="s">
        <v>5143</v>
      </c>
      <c r="G824">
        <v>901506542</v>
      </c>
      <c r="H824" t="s">
        <v>5144</v>
      </c>
      <c r="I824" s="4" t="s">
        <v>5145</v>
      </c>
      <c r="J824" s="4" t="s">
        <v>5146</v>
      </c>
      <c r="K824" t="s">
        <v>5147</v>
      </c>
      <c r="L824" t="s">
        <v>27</v>
      </c>
      <c r="M824" t="s">
        <v>5148</v>
      </c>
      <c r="N824" t="s">
        <v>28</v>
      </c>
      <c r="O824" t="s">
        <v>62</v>
      </c>
      <c r="P824" t="s">
        <v>63</v>
      </c>
      <c r="Q824" t="s">
        <v>31</v>
      </c>
      <c r="R824">
        <v>4</v>
      </c>
      <c r="S824" t="s">
        <v>5149</v>
      </c>
      <c r="T824" t="s">
        <v>3753</v>
      </c>
      <c r="U824" t="s">
        <v>3754</v>
      </c>
      <c r="V824" t="s">
        <v>49</v>
      </c>
      <c r="W824" t="s">
        <v>33</v>
      </c>
      <c r="X824" t="s">
        <v>33</v>
      </c>
      <c r="Y824" t="s">
        <v>33</v>
      </c>
      <c r="Z824" s="16" t="s">
        <v>34</v>
      </c>
      <c r="AA824">
        <v>-75.573812000000004</v>
      </c>
      <c r="AB824">
        <v>6.2411009999999996</v>
      </c>
      <c r="AC824" t="s">
        <v>135</v>
      </c>
      <c r="AD824" t="s">
        <v>136</v>
      </c>
    </row>
    <row r="825" spans="1:30" x14ac:dyDescent="0.25">
      <c r="A825" t="s">
        <v>5151</v>
      </c>
      <c r="B825" t="s">
        <v>25</v>
      </c>
      <c r="C825" t="s">
        <v>26</v>
      </c>
      <c r="D825" t="s">
        <v>25</v>
      </c>
      <c r="E825" t="s">
        <v>5152</v>
      </c>
      <c r="F825" t="s">
        <v>5153</v>
      </c>
      <c r="G825">
        <v>28532665</v>
      </c>
      <c r="H825" t="s">
        <v>5154</v>
      </c>
      <c r="I825" s="4" t="s">
        <v>5155</v>
      </c>
      <c r="J825" s="4" t="s">
        <v>5156</v>
      </c>
      <c r="K825" t="s">
        <v>5157</v>
      </c>
      <c r="L825" t="s">
        <v>27</v>
      </c>
      <c r="M825" t="s">
        <v>5158</v>
      </c>
      <c r="N825" t="s">
        <v>28</v>
      </c>
      <c r="O825" t="s">
        <v>29</v>
      </c>
      <c r="P825" t="s">
        <v>37</v>
      </c>
      <c r="Q825" t="s">
        <v>38</v>
      </c>
      <c r="R825">
        <v>10</v>
      </c>
      <c r="S825" t="s">
        <v>5159</v>
      </c>
      <c r="T825" t="s">
        <v>7401</v>
      </c>
      <c r="U825" t="s">
        <v>7402</v>
      </c>
      <c r="V825" t="s">
        <v>32</v>
      </c>
      <c r="W825" t="s">
        <v>33</v>
      </c>
      <c r="X825" t="s">
        <v>33</v>
      </c>
      <c r="Y825" t="s">
        <v>33</v>
      </c>
      <c r="Z825" s="16" t="s">
        <v>34</v>
      </c>
      <c r="AA825">
        <v>-75.62342941</v>
      </c>
      <c r="AB825">
        <v>6.2057815600000001</v>
      </c>
      <c r="AC825" t="s">
        <v>135</v>
      </c>
      <c r="AD825" t="s">
        <v>136</v>
      </c>
    </row>
    <row r="826" spans="1:30" x14ac:dyDescent="0.25">
      <c r="A826" t="s">
        <v>5160</v>
      </c>
      <c r="B826" t="s">
        <v>61</v>
      </c>
      <c r="C826" t="s">
        <v>26</v>
      </c>
      <c r="D826" t="s">
        <v>61</v>
      </c>
      <c r="E826" t="s">
        <v>5161</v>
      </c>
      <c r="F826" t="s">
        <v>5162</v>
      </c>
      <c r="G826">
        <v>3493409</v>
      </c>
      <c r="H826" t="s">
        <v>5163</v>
      </c>
      <c r="I826" s="4" t="s">
        <v>35</v>
      </c>
      <c r="J826" s="4" t="s">
        <v>5164</v>
      </c>
      <c r="K826" t="s">
        <v>5165</v>
      </c>
      <c r="L826" t="s">
        <v>27</v>
      </c>
      <c r="M826" t="s">
        <v>5166</v>
      </c>
      <c r="N826" t="s">
        <v>28</v>
      </c>
      <c r="O826" t="s">
        <v>62</v>
      </c>
      <c r="P826" t="s">
        <v>63</v>
      </c>
      <c r="Q826" t="s">
        <v>31</v>
      </c>
      <c r="R826">
        <v>4</v>
      </c>
      <c r="S826" t="s">
        <v>5167</v>
      </c>
      <c r="T826" t="s">
        <v>7401</v>
      </c>
      <c r="U826" t="s">
        <v>7403</v>
      </c>
      <c r="V826" t="s">
        <v>49</v>
      </c>
      <c r="W826" t="s">
        <v>33</v>
      </c>
      <c r="X826" t="s">
        <v>33</v>
      </c>
      <c r="Y826" t="s">
        <v>33</v>
      </c>
      <c r="Z826" s="16" t="s">
        <v>34</v>
      </c>
      <c r="AA826">
        <v>-75.590697950000006</v>
      </c>
      <c r="AB826">
        <v>6.2500701899999997</v>
      </c>
      <c r="AC826" t="s">
        <v>135</v>
      </c>
      <c r="AD826" t="s">
        <v>136</v>
      </c>
    </row>
    <row r="827" spans="1:30" x14ac:dyDescent="0.25">
      <c r="A827" t="s">
        <v>5168</v>
      </c>
      <c r="B827" t="s">
        <v>61</v>
      </c>
      <c r="C827" t="s">
        <v>26</v>
      </c>
      <c r="D827" t="s">
        <v>61</v>
      </c>
      <c r="E827" t="s">
        <v>5169</v>
      </c>
      <c r="F827" t="s">
        <v>5170</v>
      </c>
      <c r="G827">
        <v>811012208</v>
      </c>
      <c r="H827" t="s">
        <v>725</v>
      </c>
      <c r="I827" s="4" t="s">
        <v>4992</v>
      </c>
      <c r="J827" s="4" t="s">
        <v>3587</v>
      </c>
      <c r="K827" t="s">
        <v>5171</v>
      </c>
      <c r="L827" t="s">
        <v>48</v>
      </c>
      <c r="M827" t="s">
        <v>5172</v>
      </c>
      <c r="N827" t="s">
        <v>64</v>
      </c>
      <c r="O827" t="s">
        <v>62</v>
      </c>
      <c r="P827" t="s">
        <v>63</v>
      </c>
      <c r="Q827" t="s">
        <v>31</v>
      </c>
      <c r="R827">
        <v>4</v>
      </c>
      <c r="S827" t="s">
        <v>5173</v>
      </c>
      <c r="T827" t="s">
        <v>1118</v>
      </c>
      <c r="U827" t="s">
        <v>7404</v>
      </c>
      <c r="V827" t="s">
        <v>49</v>
      </c>
      <c r="W827" t="s">
        <v>33</v>
      </c>
      <c r="X827" t="s">
        <v>33</v>
      </c>
      <c r="Y827" t="s">
        <v>33</v>
      </c>
      <c r="Z827" s="16" t="s">
        <v>34</v>
      </c>
      <c r="AA827">
        <v>-75.600252929999996</v>
      </c>
      <c r="AB827">
        <v>6.16516894</v>
      </c>
      <c r="AC827" t="s">
        <v>135</v>
      </c>
      <c r="AD827" t="s">
        <v>136</v>
      </c>
    </row>
    <row r="828" spans="1:30" x14ac:dyDescent="0.25">
      <c r="A828" t="s">
        <v>5175</v>
      </c>
      <c r="B828" t="s">
        <v>25</v>
      </c>
      <c r="C828" t="s">
        <v>26</v>
      </c>
      <c r="D828" t="s">
        <v>25</v>
      </c>
      <c r="E828" t="s">
        <v>5176</v>
      </c>
      <c r="F828" t="s">
        <v>5177</v>
      </c>
      <c r="G828">
        <v>1000901270</v>
      </c>
      <c r="H828" t="s">
        <v>5178</v>
      </c>
      <c r="I828" s="4" t="s">
        <v>35</v>
      </c>
      <c r="J828" s="4" t="s">
        <v>5179</v>
      </c>
      <c r="K828" t="s">
        <v>5180</v>
      </c>
      <c r="L828" t="s">
        <v>27</v>
      </c>
      <c r="M828" t="s">
        <v>5181</v>
      </c>
      <c r="N828" t="s">
        <v>28</v>
      </c>
      <c r="O828" t="s">
        <v>29</v>
      </c>
      <c r="P828" t="s">
        <v>37</v>
      </c>
      <c r="Q828" t="s">
        <v>31</v>
      </c>
      <c r="R828">
        <v>7</v>
      </c>
      <c r="S828" t="s">
        <v>5182</v>
      </c>
      <c r="T828" t="s">
        <v>3841</v>
      </c>
      <c r="U828" t="s">
        <v>2395</v>
      </c>
      <c r="V828" t="s">
        <v>32</v>
      </c>
      <c r="W828" t="s">
        <v>33</v>
      </c>
      <c r="X828" t="s">
        <v>33</v>
      </c>
      <c r="Y828" t="s">
        <v>33</v>
      </c>
      <c r="Z828" s="16" t="s">
        <v>34</v>
      </c>
      <c r="AA828">
        <v>-75.606008000000003</v>
      </c>
      <c r="AB828">
        <v>6.275741</v>
      </c>
      <c r="AC828" t="s">
        <v>135</v>
      </c>
      <c r="AD828" t="s">
        <v>136</v>
      </c>
    </row>
    <row r="829" spans="1:30" x14ac:dyDescent="0.25">
      <c r="A829" t="s">
        <v>5183</v>
      </c>
      <c r="B829" t="s">
        <v>61</v>
      </c>
      <c r="C829" t="s">
        <v>26</v>
      </c>
      <c r="D829" t="s">
        <v>61</v>
      </c>
      <c r="E829" t="s">
        <v>5184</v>
      </c>
      <c r="F829" t="s">
        <v>5185</v>
      </c>
      <c r="G829">
        <v>98560607</v>
      </c>
      <c r="H829" t="s">
        <v>813</v>
      </c>
      <c r="I829" s="4" t="s">
        <v>814</v>
      </c>
      <c r="J829" s="4" t="s">
        <v>815</v>
      </c>
      <c r="K829" t="s">
        <v>816</v>
      </c>
      <c r="L829" t="s">
        <v>27</v>
      </c>
      <c r="M829" t="s">
        <v>817</v>
      </c>
      <c r="N829" t="s">
        <v>28</v>
      </c>
      <c r="O829" t="s">
        <v>62</v>
      </c>
      <c r="P829" t="s">
        <v>63</v>
      </c>
      <c r="Q829" t="s">
        <v>38</v>
      </c>
      <c r="R829">
        <v>4</v>
      </c>
      <c r="S829" t="s">
        <v>5186</v>
      </c>
      <c r="T829" t="s">
        <v>4504</v>
      </c>
      <c r="U829" t="s">
        <v>7406</v>
      </c>
      <c r="V829" t="s">
        <v>49</v>
      </c>
      <c r="W829" t="s">
        <v>33</v>
      </c>
      <c r="X829" t="s">
        <v>33</v>
      </c>
      <c r="Y829" t="s">
        <v>33</v>
      </c>
      <c r="Z829" s="16" t="s">
        <v>34</v>
      </c>
      <c r="AA829">
        <v>-75.543839809999994</v>
      </c>
      <c r="AB829">
        <v>6.2163443699999998</v>
      </c>
      <c r="AC829" t="s">
        <v>135</v>
      </c>
      <c r="AD829" t="s">
        <v>136</v>
      </c>
    </row>
    <row r="830" spans="1:30" x14ac:dyDescent="0.25">
      <c r="A830" t="s">
        <v>5187</v>
      </c>
      <c r="B830" t="s">
        <v>50</v>
      </c>
      <c r="C830" t="s">
        <v>71</v>
      </c>
      <c r="D830" t="s">
        <v>50</v>
      </c>
      <c r="E830" t="s">
        <v>5188</v>
      </c>
      <c r="F830" t="s">
        <v>5189</v>
      </c>
      <c r="G830">
        <v>98622531</v>
      </c>
      <c r="H830" t="s">
        <v>5190</v>
      </c>
      <c r="I830" s="4" t="s">
        <v>35</v>
      </c>
      <c r="J830" s="4" t="s">
        <v>5191</v>
      </c>
      <c r="K830" t="s">
        <v>5192</v>
      </c>
      <c r="L830" t="s">
        <v>27</v>
      </c>
      <c r="M830" t="s">
        <v>5193</v>
      </c>
      <c r="N830" t="s">
        <v>28</v>
      </c>
      <c r="O830" t="s">
        <v>72</v>
      </c>
      <c r="P830" t="s">
        <v>52</v>
      </c>
      <c r="Q830" t="s">
        <v>31</v>
      </c>
      <c r="R830">
        <v>11</v>
      </c>
      <c r="S830" t="s">
        <v>5194</v>
      </c>
      <c r="T830" t="s">
        <v>644</v>
      </c>
      <c r="U830" t="s">
        <v>7407</v>
      </c>
      <c r="V830" t="s">
        <v>32</v>
      </c>
      <c r="W830" t="s">
        <v>33</v>
      </c>
      <c r="X830" t="s">
        <v>33</v>
      </c>
      <c r="Y830" t="s">
        <v>33</v>
      </c>
      <c r="Z830" s="16" t="s">
        <v>34</v>
      </c>
      <c r="AA830">
        <v>-75.643862870000007</v>
      </c>
      <c r="AB830">
        <v>6.1825959800000003</v>
      </c>
      <c r="AC830" t="s">
        <v>135</v>
      </c>
      <c r="AD830" t="s">
        <v>136</v>
      </c>
    </row>
    <row r="831" spans="1:30" x14ac:dyDescent="0.25">
      <c r="A831" t="s">
        <v>5195</v>
      </c>
      <c r="B831" t="s">
        <v>42</v>
      </c>
      <c r="C831" t="s">
        <v>26</v>
      </c>
      <c r="D831" t="s">
        <v>42</v>
      </c>
      <c r="E831" t="s">
        <v>5196</v>
      </c>
      <c r="F831" t="s">
        <v>5197</v>
      </c>
      <c r="G831">
        <v>1039474773</v>
      </c>
      <c r="H831" t="s">
        <v>5198</v>
      </c>
      <c r="I831" s="4" t="s">
        <v>35</v>
      </c>
      <c r="J831" s="4" t="s">
        <v>5199</v>
      </c>
      <c r="K831" t="s">
        <v>5200</v>
      </c>
      <c r="L831" t="s">
        <v>59</v>
      </c>
      <c r="M831" t="s">
        <v>5201</v>
      </c>
      <c r="N831" t="s">
        <v>60</v>
      </c>
      <c r="O831" t="s">
        <v>43</v>
      </c>
      <c r="P831" t="s">
        <v>37</v>
      </c>
      <c r="Q831" t="s">
        <v>31</v>
      </c>
      <c r="R831">
        <v>7</v>
      </c>
      <c r="S831" t="s">
        <v>5202</v>
      </c>
      <c r="T831" t="s">
        <v>644</v>
      </c>
      <c r="U831" t="s">
        <v>7315</v>
      </c>
      <c r="V831" t="s">
        <v>32</v>
      </c>
      <c r="W831" t="s">
        <v>33</v>
      </c>
      <c r="X831" t="s">
        <v>33</v>
      </c>
      <c r="Y831" t="s">
        <v>33</v>
      </c>
      <c r="Z831" s="16" t="s">
        <v>34</v>
      </c>
      <c r="AA831">
        <v>-75.618495999999993</v>
      </c>
      <c r="AB831">
        <v>6.1483910000000002</v>
      </c>
      <c r="AC831" t="s">
        <v>135</v>
      </c>
      <c r="AD831" t="s">
        <v>136</v>
      </c>
    </row>
    <row r="832" spans="1:30" x14ac:dyDescent="0.25">
      <c r="A832" t="s">
        <v>5203</v>
      </c>
      <c r="B832" t="s">
        <v>50</v>
      </c>
      <c r="C832" t="s">
        <v>79</v>
      </c>
      <c r="D832" t="s">
        <v>50</v>
      </c>
      <c r="E832" t="s">
        <v>5204</v>
      </c>
      <c r="F832" t="s">
        <v>5205</v>
      </c>
      <c r="G832">
        <v>98460439</v>
      </c>
      <c r="H832" t="s">
        <v>5206</v>
      </c>
      <c r="I832" s="4" t="s">
        <v>35</v>
      </c>
      <c r="J832" s="4" t="s">
        <v>5207</v>
      </c>
      <c r="K832" t="s">
        <v>5208</v>
      </c>
      <c r="L832" t="s">
        <v>27</v>
      </c>
      <c r="M832" t="s">
        <v>5209</v>
      </c>
      <c r="N832" t="s">
        <v>28</v>
      </c>
      <c r="O832" t="s">
        <v>80</v>
      </c>
      <c r="P832" t="s">
        <v>52</v>
      </c>
      <c r="Q832" t="s">
        <v>31</v>
      </c>
      <c r="R832">
        <v>11</v>
      </c>
      <c r="S832" t="s">
        <v>5210</v>
      </c>
      <c r="T832" t="s">
        <v>7408</v>
      </c>
      <c r="U832" t="s">
        <v>7409</v>
      </c>
      <c r="V832" t="s">
        <v>32</v>
      </c>
      <c r="W832" t="s">
        <v>33</v>
      </c>
      <c r="X832" t="s">
        <v>33</v>
      </c>
      <c r="Y832" t="s">
        <v>33</v>
      </c>
      <c r="Z832" s="16" t="s">
        <v>34</v>
      </c>
      <c r="AA832">
        <v>-75.637687999999997</v>
      </c>
      <c r="AB832">
        <v>6.2762840000000004</v>
      </c>
      <c r="AC832" t="s">
        <v>135</v>
      </c>
      <c r="AD832" t="s">
        <v>136</v>
      </c>
    </row>
    <row r="833" spans="1:30" x14ac:dyDescent="0.25">
      <c r="A833" t="s">
        <v>5211</v>
      </c>
      <c r="B833" t="s">
        <v>25</v>
      </c>
      <c r="C833" t="s">
        <v>26</v>
      </c>
      <c r="D833" t="s">
        <v>25</v>
      </c>
      <c r="E833" t="s">
        <v>5212</v>
      </c>
      <c r="F833" t="s">
        <v>5213</v>
      </c>
      <c r="G833">
        <v>21562918</v>
      </c>
      <c r="H833" t="s">
        <v>5214</v>
      </c>
      <c r="I833" s="4" t="s">
        <v>35</v>
      </c>
      <c r="J833" s="4" t="s">
        <v>5215</v>
      </c>
      <c r="K833" t="s">
        <v>5216</v>
      </c>
      <c r="L833" t="s">
        <v>48</v>
      </c>
      <c r="M833" t="s">
        <v>5217</v>
      </c>
      <c r="N833" t="s">
        <v>64</v>
      </c>
      <c r="O833" t="s">
        <v>29</v>
      </c>
      <c r="P833" t="s">
        <v>37</v>
      </c>
      <c r="Q833" t="s">
        <v>31</v>
      </c>
      <c r="R833">
        <v>7</v>
      </c>
      <c r="S833" t="s">
        <v>5218</v>
      </c>
      <c r="T833" t="s">
        <v>7410</v>
      </c>
      <c r="U833" t="s">
        <v>7411</v>
      </c>
      <c r="V833" t="s">
        <v>32</v>
      </c>
      <c r="W833" t="s">
        <v>33</v>
      </c>
      <c r="X833" t="s">
        <v>33</v>
      </c>
      <c r="Y833" t="s">
        <v>33</v>
      </c>
      <c r="Z833" s="16" t="s">
        <v>34</v>
      </c>
      <c r="AA833">
        <v>-75.583792680000002</v>
      </c>
      <c r="AB833">
        <v>6.1537350499999999</v>
      </c>
      <c r="AC833" t="s">
        <v>135</v>
      </c>
      <c r="AD833" t="s">
        <v>136</v>
      </c>
    </row>
    <row r="834" spans="1:30" x14ac:dyDescent="0.25">
      <c r="A834" t="s">
        <v>5219</v>
      </c>
      <c r="B834" t="s">
        <v>65</v>
      </c>
      <c r="C834" t="s">
        <v>26</v>
      </c>
      <c r="D834" t="s">
        <v>66</v>
      </c>
      <c r="E834" t="s">
        <v>5220</v>
      </c>
      <c r="F834" t="s">
        <v>5221</v>
      </c>
      <c r="G834">
        <v>6820192</v>
      </c>
      <c r="H834" t="s">
        <v>5222</v>
      </c>
      <c r="I834" s="4" t="s">
        <v>35</v>
      </c>
      <c r="J834" s="4" t="s">
        <v>2680</v>
      </c>
      <c r="K834" t="s">
        <v>2681</v>
      </c>
      <c r="L834" t="s">
        <v>27</v>
      </c>
      <c r="M834" t="s">
        <v>2682</v>
      </c>
      <c r="N834" t="s">
        <v>28</v>
      </c>
      <c r="O834" t="s">
        <v>68</v>
      </c>
      <c r="P834" t="s">
        <v>70</v>
      </c>
      <c r="Q834" t="s">
        <v>31</v>
      </c>
      <c r="R834">
        <v>9</v>
      </c>
      <c r="S834" t="s">
        <v>5223</v>
      </c>
      <c r="T834" t="s">
        <v>7412</v>
      </c>
      <c r="U834" t="s">
        <v>2612</v>
      </c>
      <c r="V834" t="s">
        <v>32</v>
      </c>
      <c r="W834" t="s">
        <v>33</v>
      </c>
      <c r="X834" t="s">
        <v>33</v>
      </c>
      <c r="Y834" t="s">
        <v>33</v>
      </c>
      <c r="Z834" s="16" t="s">
        <v>34</v>
      </c>
      <c r="AA834">
        <v>-75.632484790000007</v>
      </c>
      <c r="AB834">
        <v>6.2847516900000002</v>
      </c>
      <c r="AC834" t="s">
        <v>135</v>
      </c>
      <c r="AD834" t="s">
        <v>136</v>
      </c>
    </row>
    <row r="835" spans="1:30" x14ac:dyDescent="0.25">
      <c r="A835" t="s">
        <v>5225</v>
      </c>
      <c r="B835" t="s">
        <v>61</v>
      </c>
      <c r="C835" t="s">
        <v>26</v>
      </c>
      <c r="D835" t="s">
        <v>61</v>
      </c>
      <c r="E835" t="s">
        <v>5226</v>
      </c>
      <c r="F835" t="s">
        <v>5227</v>
      </c>
      <c r="G835">
        <v>1035223298</v>
      </c>
      <c r="H835" t="s">
        <v>5228</v>
      </c>
      <c r="I835" s="4" t="s">
        <v>35</v>
      </c>
      <c r="J835" s="4" t="s">
        <v>5229</v>
      </c>
      <c r="K835" t="s">
        <v>5230</v>
      </c>
      <c r="L835" t="s">
        <v>27</v>
      </c>
      <c r="M835" t="s">
        <v>5231</v>
      </c>
      <c r="N835" t="s">
        <v>28</v>
      </c>
      <c r="O835" t="s">
        <v>62</v>
      </c>
      <c r="P835" t="s">
        <v>63</v>
      </c>
      <c r="Q835" t="s">
        <v>31</v>
      </c>
      <c r="R835">
        <v>4</v>
      </c>
      <c r="S835" t="s">
        <v>5232</v>
      </c>
      <c r="T835" t="s">
        <v>7412</v>
      </c>
      <c r="U835" t="s">
        <v>7185</v>
      </c>
      <c r="V835" t="s">
        <v>49</v>
      </c>
      <c r="W835" t="s">
        <v>33</v>
      </c>
      <c r="X835" t="s">
        <v>33</v>
      </c>
      <c r="Y835" t="s">
        <v>33</v>
      </c>
      <c r="Z835" s="16" t="s">
        <v>34</v>
      </c>
      <c r="AA835">
        <v>-75.593247000000005</v>
      </c>
      <c r="AB835">
        <v>6.1970369999999999</v>
      </c>
      <c r="AC835" t="s">
        <v>135</v>
      </c>
      <c r="AD835" t="s">
        <v>136</v>
      </c>
    </row>
    <row r="836" spans="1:30" x14ac:dyDescent="0.25">
      <c r="A836" t="s">
        <v>5233</v>
      </c>
      <c r="B836" t="s">
        <v>61</v>
      </c>
      <c r="C836" t="s">
        <v>26</v>
      </c>
      <c r="D836" t="s">
        <v>61</v>
      </c>
      <c r="E836" t="s">
        <v>5234</v>
      </c>
      <c r="F836" t="s">
        <v>5235</v>
      </c>
      <c r="G836">
        <v>1087547709</v>
      </c>
      <c r="H836" t="s">
        <v>1430</v>
      </c>
      <c r="I836" s="4" t="s">
        <v>35</v>
      </c>
      <c r="J836" s="4" t="s">
        <v>5236</v>
      </c>
      <c r="K836" t="s">
        <v>5237</v>
      </c>
      <c r="L836" t="s">
        <v>27</v>
      </c>
      <c r="M836" t="s">
        <v>5238</v>
      </c>
      <c r="N836" t="s">
        <v>28</v>
      </c>
      <c r="O836" t="s">
        <v>62</v>
      </c>
      <c r="P836" t="s">
        <v>63</v>
      </c>
      <c r="Q836" t="s">
        <v>31</v>
      </c>
      <c r="R836">
        <v>4</v>
      </c>
      <c r="S836" t="s">
        <v>5239</v>
      </c>
      <c r="T836" t="s">
        <v>7413</v>
      </c>
      <c r="U836" t="s">
        <v>7414</v>
      </c>
      <c r="V836" t="s">
        <v>49</v>
      </c>
      <c r="W836" t="s">
        <v>33</v>
      </c>
      <c r="X836" t="s">
        <v>33</v>
      </c>
      <c r="Y836" t="s">
        <v>33</v>
      </c>
      <c r="Z836" s="16" t="s">
        <v>34</v>
      </c>
      <c r="AA836">
        <v>-75.614163169999998</v>
      </c>
      <c r="AB836">
        <v>6.2313810700000003</v>
      </c>
      <c r="AC836" t="s">
        <v>135</v>
      </c>
      <c r="AD836" t="s">
        <v>136</v>
      </c>
    </row>
    <row r="837" spans="1:30" x14ac:dyDescent="0.25">
      <c r="A837" t="s">
        <v>5240</v>
      </c>
      <c r="B837" t="s">
        <v>65</v>
      </c>
      <c r="C837" t="s">
        <v>26</v>
      </c>
      <c r="D837" t="s">
        <v>66</v>
      </c>
      <c r="E837" t="s">
        <v>5241</v>
      </c>
      <c r="F837" t="s">
        <v>5242</v>
      </c>
      <c r="G837">
        <v>43048532</v>
      </c>
      <c r="H837" t="s">
        <v>5112</v>
      </c>
      <c r="I837" s="4" t="s">
        <v>35</v>
      </c>
      <c r="J837" s="4" t="s">
        <v>5113</v>
      </c>
      <c r="K837" t="s">
        <v>5114</v>
      </c>
      <c r="L837" t="s">
        <v>44</v>
      </c>
      <c r="M837" t="s">
        <v>5115</v>
      </c>
      <c r="N837" t="s">
        <v>45</v>
      </c>
      <c r="O837" t="s">
        <v>68</v>
      </c>
      <c r="P837" t="s">
        <v>74</v>
      </c>
      <c r="Q837" t="s">
        <v>31</v>
      </c>
      <c r="R837">
        <v>9</v>
      </c>
      <c r="S837" t="s">
        <v>5243</v>
      </c>
      <c r="T837" t="s">
        <v>4702</v>
      </c>
      <c r="U837" t="s">
        <v>1107</v>
      </c>
      <c r="V837" t="s">
        <v>32</v>
      </c>
      <c r="W837" t="s">
        <v>33</v>
      </c>
      <c r="X837" t="s">
        <v>33</v>
      </c>
      <c r="Y837" t="s">
        <v>33</v>
      </c>
      <c r="Z837" s="16" t="s">
        <v>34</v>
      </c>
      <c r="AA837">
        <v>-75.603318810000005</v>
      </c>
      <c r="AB837">
        <v>6.1810467200000003</v>
      </c>
      <c r="AC837" t="s">
        <v>135</v>
      </c>
      <c r="AD837" t="s">
        <v>136</v>
      </c>
    </row>
    <row r="838" spans="1:30" x14ac:dyDescent="0.25">
      <c r="A838" t="s">
        <v>5244</v>
      </c>
      <c r="B838" t="s">
        <v>61</v>
      </c>
      <c r="C838" t="s">
        <v>26</v>
      </c>
      <c r="D838" t="s">
        <v>61</v>
      </c>
      <c r="E838" t="s">
        <v>5245</v>
      </c>
      <c r="F838" t="s">
        <v>5246</v>
      </c>
      <c r="G838">
        <v>70161263</v>
      </c>
      <c r="H838" t="s">
        <v>5247</v>
      </c>
      <c r="I838" s="4" t="s">
        <v>5248</v>
      </c>
      <c r="J838" s="4" t="s">
        <v>5249</v>
      </c>
      <c r="K838" t="s">
        <v>5250</v>
      </c>
      <c r="L838" t="s">
        <v>55</v>
      </c>
      <c r="M838" t="s">
        <v>5251</v>
      </c>
      <c r="N838" t="s">
        <v>56</v>
      </c>
      <c r="O838" t="s">
        <v>62</v>
      </c>
      <c r="P838" t="s">
        <v>63</v>
      </c>
      <c r="Q838" t="s">
        <v>31</v>
      </c>
      <c r="R838">
        <v>4</v>
      </c>
      <c r="S838" t="s">
        <v>5252</v>
      </c>
      <c r="T838" t="s">
        <v>7415</v>
      </c>
      <c r="U838" t="s">
        <v>7416</v>
      </c>
      <c r="V838" t="s">
        <v>49</v>
      </c>
      <c r="W838" t="s">
        <v>33</v>
      </c>
      <c r="X838" t="s">
        <v>33</v>
      </c>
      <c r="Y838" t="s">
        <v>33</v>
      </c>
      <c r="Z838" s="16" t="s">
        <v>34</v>
      </c>
      <c r="AA838">
        <v>-75.631903550000004</v>
      </c>
      <c r="AB838">
        <v>6.1577796899999999</v>
      </c>
      <c r="AC838" t="s">
        <v>135</v>
      </c>
      <c r="AD838" t="s">
        <v>136</v>
      </c>
    </row>
    <row r="839" spans="1:30" x14ac:dyDescent="0.25">
      <c r="A839" t="s">
        <v>5253</v>
      </c>
      <c r="B839" t="s">
        <v>61</v>
      </c>
      <c r="C839" t="s">
        <v>26</v>
      </c>
      <c r="D839" t="s">
        <v>61</v>
      </c>
      <c r="E839" t="s">
        <v>5254</v>
      </c>
      <c r="F839" t="s">
        <v>5255</v>
      </c>
      <c r="G839">
        <v>98577796</v>
      </c>
      <c r="H839" t="s">
        <v>5256</v>
      </c>
      <c r="I839" s="4" t="s">
        <v>35</v>
      </c>
      <c r="J839" s="4" t="s">
        <v>5257</v>
      </c>
      <c r="K839" t="s">
        <v>5258</v>
      </c>
      <c r="L839" t="s">
        <v>27</v>
      </c>
      <c r="M839" t="s">
        <v>5259</v>
      </c>
      <c r="N839" t="s">
        <v>28</v>
      </c>
      <c r="O839" t="s">
        <v>62</v>
      </c>
      <c r="P839" t="s">
        <v>63</v>
      </c>
      <c r="Q839" t="s">
        <v>31</v>
      </c>
      <c r="R839">
        <v>4</v>
      </c>
      <c r="S839" t="s">
        <v>5260</v>
      </c>
      <c r="T839" t="s">
        <v>4712</v>
      </c>
      <c r="U839" t="s">
        <v>4713</v>
      </c>
      <c r="V839" t="s">
        <v>49</v>
      </c>
      <c r="W839" t="s">
        <v>33</v>
      </c>
      <c r="X839" t="s">
        <v>33</v>
      </c>
      <c r="Y839" t="s">
        <v>33</v>
      </c>
      <c r="Z839" s="16" t="s">
        <v>34</v>
      </c>
      <c r="AA839">
        <v>-75.568579</v>
      </c>
      <c r="AB839">
        <v>6.2389590000000004</v>
      </c>
      <c r="AC839" t="s">
        <v>135</v>
      </c>
      <c r="AD839" t="s">
        <v>136</v>
      </c>
    </row>
    <row r="840" spans="1:30" x14ac:dyDescent="0.25">
      <c r="A840" t="s">
        <v>5261</v>
      </c>
      <c r="B840" t="s">
        <v>61</v>
      </c>
      <c r="C840" t="s">
        <v>26</v>
      </c>
      <c r="D840" t="s">
        <v>61</v>
      </c>
      <c r="E840" t="s">
        <v>5262</v>
      </c>
      <c r="F840" t="s">
        <v>5263</v>
      </c>
      <c r="G840">
        <v>1128466617</v>
      </c>
      <c r="H840" t="s">
        <v>5264</v>
      </c>
      <c r="I840" s="4" t="s">
        <v>35</v>
      </c>
      <c r="J840" s="4" t="s">
        <v>5265</v>
      </c>
      <c r="K840" t="s">
        <v>5266</v>
      </c>
      <c r="L840" t="s">
        <v>57</v>
      </c>
      <c r="M840" t="s">
        <v>5267</v>
      </c>
      <c r="N840" t="s">
        <v>58</v>
      </c>
      <c r="O840" t="s">
        <v>62</v>
      </c>
      <c r="P840" t="s">
        <v>63</v>
      </c>
      <c r="Q840" t="s">
        <v>31</v>
      </c>
      <c r="R840">
        <v>4</v>
      </c>
      <c r="S840" t="s">
        <v>5268</v>
      </c>
      <c r="T840" t="s">
        <v>7417</v>
      </c>
      <c r="U840" t="s">
        <v>7418</v>
      </c>
      <c r="V840" t="s">
        <v>49</v>
      </c>
      <c r="W840" t="s">
        <v>33</v>
      </c>
      <c r="X840" t="s">
        <v>33</v>
      </c>
      <c r="Y840" t="s">
        <v>33</v>
      </c>
      <c r="Z840" s="16" t="s">
        <v>34</v>
      </c>
      <c r="AA840">
        <v>-75.635759649999997</v>
      </c>
      <c r="AB840">
        <v>6.0796672899999997</v>
      </c>
      <c r="AC840" t="s">
        <v>135</v>
      </c>
      <c r="AD840" t="s">
        <v>136</v>
      </c>
    </row>
    <row r="841" spans="1:30" x14ac:dyDescent="0.25">
      <c r="A841" t="s">
        <v>5269</v>
      </c>
      <c r="B841" t="s">
        <v>61</v>
      </c>
      <c r="C841" t="s">
        <v>26</v>
      </c>
      <c r="D841" t="s">
        <v>61</v>
      </c>
      <c r="E841" t="s">
        <v>5270</v>
      </c>
      <c r="F841" t="s">
        <v>5271</v>
      </c>
      <c r="G841">
        <v>8345348</v>
      </c>
      <c r="H841" t="s">
        <v>5272</v>
      </c>
      <c r="I841" s="4" t="s">
        <v>35</v>
      </c>
      <c r="J841" s="4" t="s">
        <v>1043</v>
      </c>
      <c r="K841" t="s">
        <v>5273</v>
      </c>
      <c r="L841" t="s">
        <v>48</v>
      </c>
      <c r="M841" t="s">
        <v>5274</v>
      </c>
      <c r="N841" t="s">
        <v>64</v>
      </c>
      <c r="O841" t="s">
        <v>62</v>
      </c>
      <c r="P841" t="s">
        <v>63</v>
      </c>
      <c r="Q841" t="s">
        <v>31</v>
      </c>
      <c r="R841">
        <v>4</v>
      </c>
      <c r="S841" t="s">
        <v>5275</v>
      </c>
      <c r="T841" t="s">
        <v>7419</v>
      </c>
      <c r="U841" t="s">
        <v>7420</v>
      </c>
      <c r="V841" t="s">
        <v>49</v>
      </c>
      <c r="W841" t="s">
        <v>33</v>
      </c>
      <c r="X841" t="s">
        <v>33</v>
      </c>
      <c r="Y841" t="s">
        <v>33</v>
      </c>
      <c r="Z841" s="16" t="s">
        <v>34</v>
      </c>
      <c r="AA841">
        <v>-75.586495479999996</v>
      </c>
      <c r="AB841">
        <v>6.1701203700000002</v>
      </c>
      <c r="AC841" t="s">
        <v>135</v>
      </c>
      <c r="AD841" t="s">
        <v>136</v>
      </c>
    </row>
    <row r="842" spans="1:30" x14ac:dyDescent="0.25">
      <c r="A842" t="s">
        <v>5276</v>
      </c>
      <c r="B842" t="s">
        <v>61</v>
      </c>
      <c r="C842" t="s">
        <v>26</v>
      </c>
      <c r="D842" t="s">
        <v>61</v>
      </c>
      <c r="E842" t="s">
        <v>5277</v>
      </c>
      <c r="F842" t="s">
        <v>5278</v>
      </c>
      <c r="G842">
        <v>98458346</v>
      </c>
      <c r="H842" t="s">
        <v>5279</v>
      </c>
      <c r="I842" s="4" t="s">
        <v>5280</v>
      </c>
      <c r="J842" s="4" t="s">
        <v>1521</v>
      </c>
      <c r="K842" t="s">
        <v>5281</v>
      </c>
      <c r="L842" t="s">
        <v>48</v>
      </c>
      <c r="M842" t="s">
        <v>5282</v>
      </c>
      <c r="N842" t="s">
        <v>64</v>
      </c>
      <c r="O842" t="s">
        <v>62</v>
      </c>
      <c r="P842" t="s">
        <v>63</v>
      </c>
      <c r="Q842" t="s">
        <v>31</v>
      </c>
      <c r="R842">
        <v>4</v>
      </c>
      <c r="S842" t="s">
        <v>5283</v>
      </c>
      <c r="T842" t="s">
        <v>1864</v>
      </c>
      <c r="U842" t="s">
        <v>6493</v>
      </c>
      <c r="V842" t="s">
        <v>49</v>
      </c>
      <c r="W842" t="s">
        <v>33</v>
      </c>
      <c r="X842" t="s">
        <v>33</v>
      </c>
      <c r="Y842" t="s">
        <v>33</v>
      </c>
      <c r="Z842" s="16" t="s">
        <v>34</v>
      </c>
      <c r="AA842">
        <v>-75.587126560000002</v>
      </c>
      <c r="AB842">
        <v>6.1722332299999998</v>
      </c>
      <c r="AC842" t="s">
        <v>135</v>
      </c>
      <c r="AD842" t="s">
        <v>136</v>
      </c>
    </row>
    <row r="843" spans="1:30" x14ac:dyDescent="0.25">
      <c r="A843" t="s">
        <v>5285</v>
      </c>
      <c r="B843" t="s">
        <v>50</v>
      </c>
      <c r="C843" t="s">
        <v>26</v>
      </c>
      <c r="D843" t="s">
        <v>50</v>
      </c>
      <c r="E843" t="s">
        <v>5286</v>
      </c>
      <c r="F843" t="s">
        <v>5287</v>
      </c>
      <c r="G843">
        <v>1036395606</v>
      </c>
      <c r="H843" t="s">
        <v>5288</v>
      </c>
      <c r="I843" s="4" t="s">
        <v>35</v>
      </c>
      <c r="J843" s="4" t="s">
        <v>5289</v>
      </c>
      <c r="K843" t="s">
        <v>5290</v>
      </c>
      <c r="L843" t="s">
        <v>27</v>
      </c>
      <c r="M843" t="s">
        <v>5291</v>
      </c>
      <c r="N843" t="s">
        <v>28</v>
      </c>
      <c r="O843" t="s">
        <v>51</v>
      </c>
      <c r="P843" t="s">
        <v>52</v>
      </c>
      <c r="Q843" t="s">
        <v>31</v>
      </c>
      <c r="R843">
        <v>11</v>
      </c>
      <c r="S843" t="s">
        <v>5292</v>
      </c>
      <c r="T843" t="s">
        <v>7421</v>
      </c>
      <c r="U843" t="s">
        <v>7422</v>
      </c>
      <c r="V843" t="s">
        <v>32</v>
      </c>
      <c r="W843" t="s">
        <v>33</v>
      </c>
      <c r="X843" t="s">
        <v>33</v>
      </c>
      <c r="Y843" t="s">
        <v>33</v>
      </c>
      <c r="Z843" s="16" t="s">
        <v>34</v>
      </c>
      <c r="AA843">
        <v>-75.540361680000004</v>
      </c>
      <c r="AB843">
        <v>6.2419703799999997</v>
      </c>
      <c r="AC843" t="s">
        <v>135</v>
      </c>
      <c r="AD843" t="s">
        <v>136</v>
      </c>
    </row>
    <row r="844" spans="1:30" x14ac:dyDescent="0.25">
      <c r="A844" t="s">
        <v>5293</v>
      </c>
      <c r="B844" t="s">
        <v>61</v>
      </c>
      <c r="C844" t="s">
        <v>26</v>
      </c>
      <c r="D844" t="s">
        <v>61</v>
      </c>
      <c r="E844" t="s">
        <v>5294</v>
      </c>
      <c r="F844" t="s">
        <v>5295</v>
      </c>
      <c r="G844">
        <v>15252659</v>
      </c>
      <c r="H844" t="s">
        <v>1384</v>
      </c>
      <c r="I844" s="4" t="s">
        <v>343</v>
      </c>
      <c r="J844" s="4" t="s">
        <v>115</v>
      </c>
      <c r="K844" t="s">
        <v>5296</v>
      </c>
      <c r="L844" t="s">
        <v>57</v>
      </c>
      <c r="M844" t="s">
        <v>5297</v>
      </c>
      <c r="N844" t="s">
        <v>58</v>
      </c>
      <c r="O844" t="s">
        <v>62</v>
      </c>
      <c r="P844" t="s">
        <v>63</v>
      </c>
      <c r="Q844" t="s">
        <v>31</v>
      </c>
      <c r="R844">
        <v>4</v>
      </c>
      <c r="S844" t="s">
        <v>5298</v>
      </c>
      <c r="T844" t="s">
        <v>468</v>
      </c>
      <c r="U844" t="s">
        <v>7423</v>
      </c>
      <c r="V844" t="s">
        <v>49</v>
      </c>
      <c r="W844" t="s">
        <v>33</v>
      </c>
      <c r="X844" t="s">
        <v>33</v>
      </c>
      <c r="Y844" t="s">
        <v>33</v>
      </c>
      <c r="Z844" s="16" t="s">
        <v>34</v>
      </c>
      <c r="AA844">
        <v>-75.631940999999998</v>
      </c>
      <c r="AB844">
        <v>6.0946889999999998</v>
      </c>
      <c r="AC844" t="s">
        <v>135</v>
      </c>
      <c r="AD844" t="s">
        <v>136</v>
      </c>
    </row>
    <row r="845" spans="1:30" x14ac:dyDescent="0.25">
      <c r="A845" t="s">
        <v>5299</v>
      </c>
      <c r="B845" t="s">
        <v>61</v>
      </c>
      <c r="C845" t="s">
        <v>26</v>
      </c>
      <c r="D845" t="s">
        <v>61</v>
      </c>
      <c r="E845" t="s">
        <v>5300</v>
      </c>
      <c r="F845" t="s">
        <v>5301</v>
      </c>
      <c r="G845">
        <v>71993207</v>
      </c>
      <c r="H845" t="s">
        <v>5302</v>
      </c>
      <c r="I845" s="4" t="s">
        <v>5303</v>
      </c>
      <c r="J845" s="4" t="s">
        <v>5164</v>
      </c>
      <c r="K845" t="s">
        <v>5304</v>
      </c>
      <c r="L845" t="s">
        <v>27</v>
      </c>
      <c r="M845" t="s">
        <v>5305</v>
      </c>
      <c r="N845" t="s">
        <v>28</v>
      </c>
      <c r="O845" t="s">
        <v>62</v>
      </c>
      <c r="P845" t="s">
        <v>63</v>
      </c>
      <c r="Q845" t="s">
        <v>31</v>
      </c>
      <c r="R845">
        <v>4</v>
      </c>
      <c r="S845" t="s">
        <v>5306</v>
      </c>
      <c r="T845" t="s">
        <v>7424</v>
      </c>
      <c r="U845" t="s">
        <v>7425</v>
      </c>
      <c r="V845" t="s">
        <v>49</v>
      </c>
      <c r="W845" t="s">
        <v>33</v>
      </c>
      <c r="X845" t="s">
        <v>33</v>
      </c>
      <c r="Y845" t="s">
        <v>33</v>
      </c>
      <c r="Z845" s="16" t="s">
        <v>34</v>
      </c>
      <c r="AA845">
        <v>-75.594006539999995</v>
      </c>
      <c r="AB845">
        <v>6.2377761300000003</v>
      </c>
      <c r="AC845" t="s">
        <v>135</v>
      </c>
      <c r="AD845" t="s">
        <v>136</v>
      </c>
    </row>
    <row r="846" spans="1:30" x14ac:dyDescent="0.25">
      <c r="A846" t="s">
        <v>5307</v>
      </c>
      <c r="B846" t="s">
        <v>65</v>
      </c>
      <c r="C846" t="s">
        <v>26</v>
      </c>
      <c r="D846" t="s">
        <v>66</v>
      </c>
      <c r="E846" t="s">
        <v>5308</v>
      </c>
      <c r="F846" t="s">
        <v>5309</v>
      </c>
      <c r="G846">
        <v>43996449</v>
      </c>
      <c r="H846" t="s">
        <v>5310</v>
      </c>
      <c r="I846" s="4" t="s">
        <v>35</v>
      </c>
      <c r="J846" s="4" t="s">
        <v>5311</v>
      </c>
      <c r="K846" t="s">
        <v>5312</v>
      </c>
      <c r="L846" t="s">
        <v>27</v>
      </c>
      <c r="M846" t="s">
        <v>5313</v>
      </c>
      <c r="N846" t="s">
        <v>28</v>
      </c>
      <c r="O846" t="s">
        <v>68</v>
      </c>
      <c r="P846" t="s">
        <v>70</v>
      </c>
      <c r="Q846" t="s">
        <v>31</v>
      </c>
      <c r="R846">
        <v>9</v>
      </c>
      <c r="S846" t="s">
        <v>5314</v>
      </c>
      <c r="T846" t="s">
        <v>7426</v>
      </c>
      <c r="U846" t="s">
        <v>7427</v>
      </c>
      <c r="V846" t="s">
        <v>32</v>
      </c>
      <c r="W846" t="s">
        <v>33</v>
      </c>
      <c r="X846" t="s">
        <v>33</v>
      </c>
      <c r="Y846" t="s">
        <v>33</v>
      </c>
      <c r="Z846" s="16" t="s">
        <v>34</v>
      </c>
      <c r="AA846">
        <v>-75.541744510000001</v>
      </c>
      <c r="AB846">
        <v>6.2411347199999998</v>
      </c>
      <c r="AC846" t="s">
        <v>135</v>
      </c>
      <c r="AD846" t="s">
        <v>136</v>
      </c>
    </row>
    <row r="847" spans="1:30" x14ac:dyDescent="0.25">
      <c r="A847" t="s">
        <v>5315</v>
      </c>
      <c r="B847" t="s">
        <v>61</v>
      </c>
      <c r="C847" t="s">
        <v>26</v>
      </c>
      <c r="D847" t="s">
        <v>61</v>
      </c>
      <c r="E847" t="s">
        <v>5316</v>
      </c>
      <c r="F847" t="s">
        <v>5317</v>
      </c>
      <c r="G847">
        <v>901575134</v>
      </c>
      <c r="H847" t="s">
        <v>5318</v>
      </c>
      <c r="I847" s="4" t="s">
        <v>35</v>
      </c>
      <c r="J847" s="4" t="s">
        <v>5319</v>
      </c>
      <c r="K847" t="s">
        <v>5320</v>
      </c>
      <c r="L847" t="s">
        <v>59</v>
      </c>
      <c r="M847" t="s">
        <v>5321</v>
      </c>
      <c r="N847" t="s">
        <v>60</v>
      </c>
      <c r="O847" t="s">
        <v>62</v>
      </c>
      <c r="P847" t="s">
        <v>63</v>
      </c>
      <c r="Q847" t="s">
        <v>31</v>
      </c>
      <c r="R847">
        <v>4</v>
      </c>
      <c r="S847" t="s">
        <v>5322</v>
      </c>
      <c r="T847" t="s">
        <v>7428</v>
      </c>
      <c r="U847" t="s">
        <v>2584</v>
      </c>
      <c r="V847" t="s">
        <v>49</v>
      </c>
      <c r="W847" t="s">
        <v>33</v>
      </c>
      <c r="X847" t="s">
        <v>33</v>
      </c>
      <c r="Y847" t="s">
        <v>33</v>
      </c>
      <c r="Z847" s="16" t="s">
        <v>34</v>
      </c>
      <c r="AA847">
        <v>-75.609673309000001</v>
      </c>
      <c r="AB847">
        <v>6.1384108720000699</v>
      </c>
      <c r="AC847" t="s">
        <v>135</v>
      </c>
      <c r="AD847" t="s">
        <v>136</v>
      </c>
    </row>
    <row r="848" spans="1:30" x14ac:dyDescent="0.25">
      <c r="A848" t="s">
        <v>5323</v>
      </c>
      <c r="B848" t="s">
        <v>25</v>
      </c>
      <c r="C848" t="s">
        <v>26</v>
      </c>
      <c r="D848" t="s">
        <v>25</v>
      </c>
      <c r="E848" t="s">
        <v>5324</v>
      </c>
      <c r="F848" t="s">
        <v>5325</v>
      </c>
      <c r="G848">
        <v>98523880</v>
      </c>
      <c r="H848" t="s">
        <v>5326</v>
      </c>
      <c r="I848" s="4" t="s">
        <v>35</v>
      </c>
      <c r="J848" s="4" t="s">
        <v>5327</v>
      </c>
      <c r="K848" t="s">
        <v>5328</v>
      </c>
      <c r="L848" t="s">
        <v>27</v>
      </c>
      <c r="M848" t="s">
        <v>5329</v>
      </c>
      <c r="N848" t="s">
        <v>28</v>
      </c>
      <c r="O848" t="s">
        <v>29</v>
      </c>
      <c r="P848" t="s">
        <v>37</v>
      </c>
      <c r="Q848" t="s">
        <v>31</v>
      </c>
      <c r="R848">
        <v>7</v>
      </c>
      <c r="S848" t="s">
        <v>5330</v>
      </c>
      <c r="T848" t="s">
        <v>2509</v>
      </c>
      <c r="U848" t="s">
        <v>7429</v>
      </c>
      <c r="V848" t="s">
        <v>32</v>
      </c>
      <c r="W848" t="s">
        <v>33</v>
      </c>
      <c r="X848" t="s">
        <v>33</v>
      </c>
      <c r="Y848" t="s">
        <v>33</v>
      </c>
      <c r="Z848" s="16" t="s">
        <v>34</v>
      </c>
      <c r="AA848">
        <v>-75.626980849999995</v>
      </c>
      <c r="AB848">
        <v>6.2550836500000004</v>
      </c>
      <c r="AC848" t="s">
        <v>135</v>
      </c>
      <c r="AD848" t="s">
        <v>136</v>
      </c>
    </row>
    <row r="849" spans="1:30" x14ac:dyDescent="0.25">
      <c r="A849" t="s">
        <v>5334</v>
      </c>
      <c r="B849" t="s">
        <v>65</v>
      </c>
      <c r="C849" t="s">
        <v>26</v>
      </c>
      <c r="D849" t="s">
        <v>66</v>
      </c>
      <c r="E849" t="s">
        <v>5335</v>
      </c>
      <c r="F849" t="s">
        <v>5336</v>
      </c>
      <c r="G849">
        <v>1128481683</v>
      </c>
      <c r="H849" t="s">
        <v>5337</v>
      </c>
      <c r="I849" s="4" t="s">
        <v>35</v>
      </c>
      <c r="J849" s="4" t="s">
        <v>5338</v>
      </c>
      <c r="K849" t="s">
        <v>5339</v>
      </c>
      <c r="L849" t="s">
        <v>27</v>
      </c>
      <c r="M849" t="s">
        <v>5340</v>
      </c>
      <c r="N849" t="s">
        <v>28</v>
      </c>
      <c r="O849" t="s">
        <v>68</v>
      </c>
      <c r="P849" t="s">
        <v>70</v>
      </c>
      <c r="Q849" t="s">
        <v>31</v>
      </c>
      <c r="R849">
        <v>9</v>
      </c>
      <c r="S849" t="s">
        <v>5341</v>
      </c>
      <c r="T849" t="s">
        <v>7430</v>
      </c>
      <c r="U849" t="s">
        <v>7431</v>
      </c>
      <c r="V849" t="s">
        <v>32</v>
      </c>
      <c r="W849" t="s">
        <v>33</v>
      </c>
      <c r="X849" t="s">
        <v>33</v>
      </c>
      <c r="Y849" t="s">
        <v>33</v>
      </c>
      <c r="Z849" s="16" t="s">
        <v>34</v>
      </c>
      <c r="AA849">
        <v>-75.629370120000004</v>
      </c>
      <c r="AB849">
        <v>6.2494074399999997</v>
      </c>
      <c r="AC849" t="s">
        <v>135</v>
      </c>
      <c r="AD849" t="s">
        <v>136</v>
      </c>
    </row>
    <row r="850" spans="1:30" x14ac:dyDescent="0.25">
      <c r="A850" t="s">
        <v>5342</v>
      </c>
      <c r="B850" t="s">
        <v>61</v>
      </c>
      <c r="C850" t="s">
        <v>26</v>
      </c>
      <c r="D850" t="s">
        <v>61</v>
      </c>
      <c r="E850" t="s">
        <v>5343</v>
      </c>
      <c r="F850" t="s">
        <v>5344</v>
      </c>
      <c r="G850">
        <v>43927389</v>
      </c>
      <c r="H850" t="s">
        <v>5345</v>
      </c>
      <c r="I850" s="4" t="s">
        <v>5346</v>
      </c>
      <c r="J850" s="4" t="s">
        <v>5347</v>
      </c>
      <c r="K850" t="s">
        <v>5348</v>
      </c>
      <c r="L850" t="s">
        <v>27</v>
      </c>
      <c r="M850" t="s">
        <v>5349</v>
      </c>
      <c r="N850" t="s">
        <v>28</v>
      </c>
      <c r="O850" t="s">
        <v>62</v>
      </c>
      <c r="P850" t="s">
        <v>63</v>
      </c>
      <c r="Q850" t="s">
        <v>31</v>
      </c>
      <c r="R850">
        <v>4</v>
      </c>
      <c r="S850" t="s">
        <v>5350</v>
      </c>
      <c r="T850" t="s">
        <v>4746</v>
      </c>
      <c r="U850" t="s">
        <v>7327</v>
      </c>
      <c r="V850" t="s">
        <v>49</v>
      </c>
      <c r="W850" t="s">
        <v>33</v>
      </c>
      <c r="X850" t="s">
        <v>33</v>
      </c>
      <c r="Y850" t="s">
        <v>33</v>
      </c>
      <c r="Z850" s="16" t="s">
        <v>34</v>
      </c>
      <c r="AA850">
        <v>-75.60906808</v>
      </c>
      <c r="AB850">
        <v>6.2496924800000002</v>
      </c>
      <c r="AC850" t="s">
        <v>135</v>
      </c>
      <c r="AD850" t="s">
        <v>136</v>
      </c>
    </row>
    <row r="851" spans="1:30" x14ac:dyDescent="0.25">
      <c r="A851" t="s">
        <v>5351</v>
      </c>
      <c r="B851" t="s">
        <v>25</v>
      </c>
      <c r="C851" t="s">
        <v>26</v>
      </c>
      <c r="D851" t="s">
        <v>25</v>
      </c>
      <c r="E851" t="s">
        <v>5352</v>
      </c>
      <c r="F851" t="s">
        <v>5353</v>
      </c>
      <c r="G851">
        <v>98773868</v>
      </c>
      <c r="H851" t="s">
        <v>5354</v>
      </c>
      <c r="I851" s="4" t="s">
        <v>35</v>
      </c>
      <c r="J851" s="4" t="s">
        <v>5355</v>
      </c>
      <c r="K851" t="s">
        <v>5356</v>
      </c>
      <c r="L851" t="s">
        <v>27</v>
      </c>
      <c r="M851" t="s">
        <v>5357</v>
      </c>
      <c r="N851" t="s">
        <v>28</v>
      </c>
      <c r="O851" t="s">
        <v>29</v>
      </c>
      <c r="P851" t="s">
        <v>30</v>
      </c>
      <c r="Q851" t="s">
        <v>31</v>
      </c>
      <c r="R851">
        <v>7</v>
      </c>
      <c r="S851" t="s">
        <v>5358</v>
      </c>
      <c r="T851" t="s">
        <v>7432</v>
      </c>
      <c r="U851" t="s">
        <v>7433</v>
      </c>
      <c r="V851" t="s">
        <v>32</v>
      </c>
      <c r="W851" t="s">
        <v>33</v>
      </c>
      <c r="X851" t="s">
        <v>33</v>
      </c>
      <c r="Y851" t="s">
        <v>33</v>
      </c>
      <c r="Z851" s="16" t="s">
        <v>34</v>
      </c>
      <c r="AA851">
        <v>-75.559336999999999</v>
      </c>
      <c r="AB851">
        <v>6.2456189999999996</v>
      </c>
      <c r="AC851" t="s">
        <v>135</v>
      </c>
      <c r="AD851" t="s">
        <v>136</v>
      </c>
    </row>
    <row r="852" spans="1:30" x14ac:dyDescent="0.25">
      <c r="A852" t="s">
        <v>5359</v>
      </c>
      <c r="B852" t="s">
        <v>25</v>
      </c>
      <c r="C852" t="s">
        <v>26</v>
      </c>
      <c r="D852" t="s">
        <v>25</v>
      </c>
      <c r="E852" t="s">
        <v>5360</v>
      </c>
      <c r="F852" t="s">
        <v>5361</v>
      </c>
      <c r="G852">
        <v>98773868</v>
      </c>
      <c r="H852" t="s">
        <v>5354</v>
      </c>
      <c r="I852" s="4" t="s">
        <v>35</v>
      </c>
      <c r="J852" s="4" t="s">
        <v>5362</v>
      </c>
      <c r="K852" t="s">
        <v>5363</v>
      </c>
      <c r="L852" t="s">
        <v>27</v>
      </c>
      <c r="M852" t="s">
        <v>5364</v>
      </c>
      <c r="N852" t="s">
        <v>28</v>
      </c>
      <c r="O852" t="s">
        <v>29</v>
      </c>
      <c r="P852" t="s">
        <v>30</v>
      </c>
      <c r="Q852" t="s">
        <v>31</v>
      </c>
      <c r="R852">
        <v>7</v>
      </c>
      <c r="S852" t="s">
        <v>5365</v>
      </c>
      <c r="T852" t="s">
        <v>890</v>
      </c>
      <c r="U852" t="s">
        <v>4762</v>
      </c>
      <c r="V852" t="s">
        <v>32</v>
      </c>
      <c r="W852" t="s">
        <v>33</v>
      </c>
      <c r="X852" t="s">
        <v>33</v>
      </c>
      <c r="Y852" t="s">
        <v>33</v>
      </c>
      <c r="Z852" s="16" t="s">
        <v>34</v>
      </c>
      <c r="AA852">
        <v>-75.559336999999999</v>
      </c>
      <c r="AB852">
        <v>6.2456189999999996</v>
      </c>
      <c r="AC852" t="s">
        <v>135</v>
      </c>
      <c r="AD852" t="s">
        <v>136</v>
      </c>
    </row>
    <row r="853" spans="1:30" x14ac:dyDescent="0.25">
      <c r="A853" t="s">
        <v>5366</v>
      </c>
      <c r="B853" t="s">
        <v>25</v>
      </c>
      <c r="C853" t="s">
        <v>26</v>
      </c>
      <c r="D853" t="s">
        <v>39</v>
      </c>
      <c r="E853" t="s">
        <v>5367</v>
      </c>
      <c r="F853" t="s">
        <v>5368</v>
      </c>
      <c r="G853">
        <v>1017164470</v>
      </c>
      <c r="H853" t="s">
        <v>2502</v>
      </c>
      <c r="I853" s="4" t="s">
        <v>2503</v>
      </c>
      <c r="J853" s="4" t="s">
        <v>2504</v>
      </c>
      <c r="K853" t="s">
        <v>5369</v>
      </c>
      <c r="L853" t="s">
        <v>27</v>
      </c>
      <c r="M853" t="s">
        <v>5370</v>
      </c>
      <c r="N853" t="s">
        <v>28</v>
      </c>
      <c r="O853" t="s">
        <v>40</v>
      </c>
      <c r="P853" t="s">
        <v>41</v>
      </c>
      <c r="Q853" t="s">
        <v>31</v>
      </c>
      <c r="R853">
        <v>5</v>
      </c>
      <c r="S853" t="s">
        <v>5371</v>
      </c>
      <c r="T853" t="s">
        <v>5372</v>
      </c>
      <c r="U853" t="s">
        <v>893</v>
      </c>
      <c r="V853" t="s">
        <v>49</v>
      </c>
      <c r="W853" t="s">
        <v>33</v>
      </c>
      <c r="X853" t="s">
        <v>33</v>
      </c>
      <c r="Y853" t="s">
        <v>33</v>
      </c>
      <c r="Z853" s="16" t="s">
        <v>34</v>
      </c>
      <c r="AA853">
        <v>-75.612960240000007</v>
      </c>
      <c r="AB853">
        <v>6.2676801299999996</v>
      </c>
      <c r="AC853" t="s">
        <v>135</v>
      </c>
      <c r="AD853" t="s">
        <v>136</v>
      </c>
    </row>
    <row r="854" spans="1:30" x14ac:dyDescent="0.25">
      <c r="A854" t="s">
        <v>5373</v>
      </c>
      <c r="B854" t="s">
        <v>65</v>
      </c>
      <c r="C854" t="s">
        <v>26</v>
      </c>
      <c r="D854" t="s">
        <v>66</v>
      </c>
      <c r="E854" t="s">
        <v>5374</v>
      </c>
      <c r="F854" t="s">
        <v>5375</v>
      </c>
      <c r="G854">
        <v>1017222720</v>
      </c>
      <c r="H854" t="s">
        <v>5376</v>
      </c>
      <c r="I854" s="4" t="s">
        <v>5377</v>
      </c>
      <c r="J854" s="4" t="s">
        <v>5378</v>
      </c>
      <c r="K854" t="s">
        <v>5379</v>
      </c>
      <c r="L854" t="s">
        <v>27</v>
      </c>
      <c r="M854" t="s">
        <v>5380</v>
      </c>
      <c r="N854" t="s">
        <v>28</v>
      </c>
      <c r="O854" t="s">
        <v>68</v>
      </c>
      <c r="P854" t="s">
        <v>70</v>
      </c>
      <c r="Q854" t="s">
        <v>31</v>
      </c>
      <c r="R854">
        <v>9</v>
      </c>
      <c r="S854" t="s">
        <v>5381</v>
      </c>
      <c r="T854" t="s">
        <v>5372</v>
      </c>
      <c r="U854" t="s">
        <v>7434</v>
      </c>
      <c r="V854" t="s">
        <v>32</v>
      </c>
      <c r="W854" t="s">
        <v>33</v>
      </c>
      <c r="X854" t="s">
        <v>33</v>
      </c>
      <c r="Y854" t="s">
        <v>33</v>
      </c>
      <c r="Z854" s="16" t="s">
        <v>34</v>
      </c>
      <c r="AA854">
        <v>-75.555615950000004</v>
      </c>
      <c r="AB854">
        <v>6.2377446699999997</v>
      </c>
      <c r="AC854" t="s">
        <v>135</v>
      </c>
      <c r="AD854" t="s">
        <v>136</v>
      </c>
    </row>
    <row r="855" spans="1:30" x14ac:dyDescent="0.25">
      <c r="A855" t="s">
        <v>5382</v>
      </c>
      <c r="B855" t="s">
        <v>42</v>
      </c>
      <c r="C855" t="s">
        <v>75</v>
      </c>
      <c r="D855" t="s">
        <v>42</v>
      </c>
      <c r="E855" t="s">
        <v>5383</v>
      </c>
      <c r="F855" t="s">
        <v>5384</v>
      </c>
      <c r="G855">
        <v>1017132444</v>
      </c>
      <c r="H855" t="s">
        <v>5385</v>
      </c>
      <c r="I855" s="4" t="s">
        <v>265</v>
      </c>
      <c r="J855" s="4" t="s">
        <v>73</v>
      </c>
      <c r="K855" t="s">
        <v>5386</v>
      </c>
      <c r="L855" t="s">
        <v>57</v>
      </c>
      <c r="M855" t="s">
        <v>5387</v>
      </c>
      <c r="N855" t="s">
        <v>58</v>
      </c>
      <c r="O855" t="s">
        <v>76</v>
      </c>
      <c r="P855" t="s">
        <v>36</v>
      </c>
      <c r="Q855" t="s">
        <v>31</v>
      </c>
      <c r="R855">
        <v>7</v>
      </c>
      <c r="S855" t="s">
        <v>5388</v>
      </c>
      <c r="T855" t="s">
        <v>7435</v>
      </c>
      <c r="U855" t="s">
        <v>7436</v>
      </c>
      <c r="V855" t="s">
        <v>32</v>
      </c>
      <c r="W855" t="s">
        <v>33</v>
      </c>
      <c r="X855" t="s">
        <v>33</v>
      </c>
      <c r="Y855" t="s">
        <v>33</v>
      </c>
      <c r="Z855" s="16" t="s">
        <v>34</v>
      </c>
      <c r="AA855">
        <v>-75.626904001</v>
      </c>
      <c r="AB855">
        <v>6.0546154810000399</v>
      </c>
      <c r="AC855" t="s">
        <v>135</v>
      </c>
      <c r="AD855" t="s">
        <v>136</v>
      </c>
    </row>
    <row r="856" spans="1:30" x14ac:dyDescent="0.25">
      <c r="A856" t="s">
        <v>5389</v>
      </c>
      <c r="B856" t="s">
        <v>61</v>
      </c>
      <c r="C856" t="s">
        <v>26</v>
      </c>
      <c r="D856" t="s">
        <v>61</v>
      </c>
      <c r="E856" t="s">
        <v>5390</v>
      </c>
      <c r="F856" t="s">
        <v>5391</v>
      </c>
      <c r="G856">
        <v>73127077</v>
      </c>
      <c r="H856" t="s">
        <v>5392</v>
      </c>
      <c r="I856" s="4" t="s">
        <v>5393</v>
      </c>
      <c r="J856" s="4" t="s">
        <v>5394</v>
      </c>
      <c r="K856" t="s">
        <v>5395</v>
      </c>
      <c r="L856" t="s">
        <v>27</v>
      </c>
      <c r="M856" t="s">
        <v>5396</v>
      </c>
      <c r="N856" t="s">
        <v>28</v>
      </c>
      <c r="O856" t="s">
        <v>62</v>
      </c>
      <c r="P856" t="s">
        <v>63</v>
      </c>
      <c r="Q856" t="s">
        <v>31</v>
      </c>
      <c r="R856">
        <v>4</v>
      </c>
      <c r="S856" t="s">
        <v>5397</v>
      </c>
      <c r="T856" t="s">
        <v>7437</v>
      </c>
      <c r="U856" t="s">
        <v>7438</v>
      </c>
      <c r="V856" t="s">
        <v>49</v>
      </c>
      <c r="W856" t="s">
        <v>33</v>
      </c>
      <c r="X856" t="s">
        <v>33</v>
      </c>
      <c r="Y856" t="s">
        <v>33</v>
      </c>
      <c r="Z856" s="16" t="s">
        <v>34</v>
      </c>
      <c r="AA856">
        <v>-75.599769879999997</v>
      </c>
      <c r="AB856">
        <v>6.2639913500000004</v>
      </c>
      <c r="AC856" t="s">
        <v>135</v>
      </c>
      <c r="AD856" t="s">
        <v>136</v>
      </c>
    </row>
    <row r="857" spans="1:30" x14ac:dyDescent="0.25">
      <c r="A857" t="s">
        <v>5399</v>
      </c>
      <c r="B857" t="s">
        <v>61</v>
      </c>
      <c r="C857" t="s">
        <v>26</v>
      </c>
      <c r="D857" t="s">
        <v>61</v>
      </c>
      <c r="E857" t="s">
        <v>5400</v>
      </c>
      <c r="F857" t="s">
        <v>5401</v>
      </c>
      <c r="G857">
        <v>1039475322</v>
      </c>
      <c r="H857" t="s">
        <v>5402</v>
      </c>
      <c r="I857" s="4" t="s">
        <v>35</v>
      </c>
      <c r="J857" s="4" t="s">
        <v>1499</v>
      </c>
      <c r="K857" t="s">
        <v>5403</v>
      </c>
      <c r="L857" t="s">
        <v>57</v>
      </c>
      <c r="M857" t="s">
        <v>5404</v>
      </c>
      <c r="N857" t="s">
        <v>58</v>
      </c>
      <c r="O857" t="s">
        <v>62</v>
      </c>
      <c r="P857" t="s">
        <v>63</v>
      </c>
      <c r="Q857" t="s">
        <v>31</v>
      </c>
      <c r="R857">
        <v>4</v>
      </c>
      <c r="S857" t="s">
        <v>5405</v>
      </c>
      <c r="T857" t="s">
        <v>7439</v>
      </c>
      <c r="U857" t="s">
        <v>7440</v>
      </c>
      <c r="V857" t="s">
        <v>49</v>
      </c>
      <c r="W857" t="s">
        <v>33</v>
      </c>
      <c r="X857" t="s">
        <v>33</v>
      </c>
      <c r="Y857" t="s">
        <v>33</v>
      </c>
      <c r="Z857" s="16" t="s">
        <v>34</v>
      </c>
      <c r="AA857">
        <v>-75.641144679999996</v>
      </c>
      <c r="AB857">
        <v>6.08799724</v>
      </c>
      <c r="AC857" t="s">
        <v>135</v>
      </c>
      <c r="AD857" t="s">
        <v>136</v>
      </c>
    </row>
    <row r="858" spans="1:30" x14ac:dyDescent="0.25">
      <c r="A858" t="s">
        <v>5406</v>
      </c>
      <c r="B858" t="s">
        <v>61</v>
      </c>
      <c r="C858" t="s">
        <v>26</v>
      </c>
      <c r="D858" t="s">
        <v>61</v>
      </c>
      <c r="E858" t="s">
        <v>5407</v>
      </c>
      <c r="F858" t="s">
        <v>5408</v>
      </c>
      <c r="G858">
        <v>71718593</v>
      </c>
      <c r="H858" t="s">
        <v>827</v>
      </c>
      <c r="I858" s="4" t="s">
        <v>828</v>
      </c>
      <c r="J858" s="4" t="s">
        <v>5409</v>
      </c>
      <c r="K858" t="s">
        <v>5410</v>
      </c>
      <c r="L858" t="s">
        <v>44</v>
      </c>
      <c r="M858" t="s">
        <v>5411</v>
      </c>
      <c r="N858" t="s">
        <v>45</v>
      </c>
      <c r="O858" t="s">
        <v>62</v>
      </c>
      <c r="P858" t="s">
        <v>63</v>
      </c>
      <c r="Q858" t="s">
        <v>31</v>
      </c>
      <c r="R858">
        <v>4</v>
      </c>
      <c r="S858" t="s">
        <v>5412</v>
      </c>
      <c r="T858" t="s">
        <v>1583</v>
      </c>
      <c r="U858" t="s">
        <v>7441</v>
      </c>
      <c r="V858" t="s">
        <v>49</v>
      </c>
      <c r="W858" t="s">
        <v>33</v>
      </c>
      <c r="X858" t="s">
        <v>33</v>
      </c>
      <c r="Y858" t="s">
        <v>33</v>
      </c>
      <c r="Z858" s="16" t="s">
        <v>34</v>
      </c>
      <c r="AA858">
        <v>-75.629686849999999</v>
      </c>
      <c r="AB858">
        <v>6.1716111500000004</v>
      </c>
      <c r="AC858" t="s">
        <v>135</v>
      </c>
      <c r="AD858" t="s">
        <v>136</v>
      </c>
    </row>
    <row r="859" spans="1:30" x14ac:dyDescent="0.25">
      <c r="A859" t="s">
        <v>5413</v>
      </c>
      <c r="B859" t="s">
        <v>25</v>
      </c>
      <c r="C859" t="s">
        <v>26</v>
      </c>
      <c r="D859" t="s">
        <v>25</v>
      </c>
      <c r="E859" t="s">
        <v>5414</v>
      </c>
      <c r="F859" t="s">
        <v>5415</v>
      </c>
      <c r="G859">
        <v>98521010</v>
      </c>
      <c r="H859" t="s">
        <v>5416</v>
      </c>
      <c r="I859" s="4" t="s">
        <v>35</v>
      </c>
      <c r="J859" s="4" t="s">
        <v>5417</v>
      </c>
      <c r="K859" t="s">
        <v>5418</v>
      </c>
      <c r="L859" t="s">
        <v>48</v>
      </c>
      <c r="M859" t="s">
        <v>5419</v>
      </c>
      <c r="N859" t="s">
        <v>64</v>
      </c>
      <c r="O859" t="s">
        <v>29</v>
      </c>
      <c r="P859" t="s">
        <v>37</v>
      </c>
      <c r="Q859" t="s">
        <v>31</v>
      </c>
      <c r="R859">
        <v>7</v>
      </c>
      <c r="S859" t="s">
        <v>5420</v>
      </c>
      <c r="T859" t="s">
        <v>1583</v>
      </c>
      <c r="U859" t="s">
        <v>7442</v>
      </c>
      <c r="V859" t="s">
        <v>32</v>
      </c>
      <c r="W859" t="s">
        <v>33</v>
      </c>
      <c r="X859" t="s">
        <v>33</v>
      </c>
      <c r="Y859" t="s">
        <v>33</v>
      </c>
      <c r="Z859" s="16" t="s">
        <v>34</v>
      </c>
      <c r="AA859">
        <v>-75.563266999999996</v>
      </c>
      <c r="AB859">
        <v>6.1705810000000003</v>
      </c>
      <c r="AC859" t="s">
        <v>135</v>
      </c>
      <c r="AD859" t="s">
        <v>136</v>
      </c>
    </row>
    <row r="860" spans="1:30" x14ac:dyDescent="0.25">
      <c r="A860" t="s">
        <v>5421</v>
      </c>
      <c r="B860" t="s">
        <v>25</v>
      </c>
      <c r="C860" t="s">
        <v>26</v>
      </c>
      <c r="D860" t="s">
        <v>39</v>
      </c>
      <c r="E860" t="s">
        <v>5422</v>
      </c>
      <c r="F860" t="s">
        <v>5423</v>
      </c>
      <c r="G860">
        <v>43001138</v>
      </c>
      <c r="H860" t="s">
        <v>5424</v>
      </c>
      <c r="I860" s="4" t="s">
        <v>35</v>
      </c>
      <c r="J860" s="4" t="s">
        <v>5425</v>
      </c>
      <c r="K860" t="s">
        <v>5426</v>
      </c>
      <c r="L860" t="s">
        <v>27</v>
      </c>
      <c r="M860" t="s">
        <v>5427</v>
      </c>
      <c r="N860" t="s">
        <v>28</v>
      </c>
      <c r="O860" t="s">
        <v>40</v>
      </c>
      <c r="P860" t="s">
        <v>41</v>
      </c>
      <c r="Q860" t="s">
        <v>31</v>
      </c>
      <c r="R860">
        <v>5</v>
      </c>
      <c r="S860" t="s">
        <v>5428</v>
      </c>
      <c r="T860" t="s">
        <v>5430</v>
      </c>
      <c r="U860" t="s">
        <v>5429</v>
      </c>
      <c r="V860" t="s">
        <v>49</v>
      </c>
      <c r="W860" t="s">
        <v>33</v>
      </c>
      <c r="X860" t="s">
        <v>33</v>
      </c>
      <c r="Y860" t="s">
        <v>33</v>
      </c>
      <c r="Z860" s="16" t="s">
        <v>34</v>
      </c>
      <c r="AA860">
        <v>-75.544512999999995</v>
      </c>
      <c r="AB860">
        <v>6.2473419999999997</v>
      </c>
      <c r="AC860" t="s">
        <v>135</v>
      </c>
      <c r="AD860" t="s">
        <v>136</v>
      </c>
    </row>
    <row r="861" spans="1:30" x14ac:dyDescent="0.25">
      <c r="A861" t="s">
        <v>5431</v>
      </c>
      <c r="B861" t="s">
        <v>50</v>
      </c>
      <c r="C861" t="s">
        <v>71</v>
      </c>
      <c r="D861" t="s">
        <v>50</v>
      </c>
      <c r="E861" t="s">
        <v>5432</v>
      </c>
      <c r="F861" t="s">
        <v>5433</v>
      </c>
      <c r="G861">
        <v>42746366</v>
      </c>
      <c r="H861" t="s">
        <v>5434</v>
      </c>
      <c r="I861" s="4" t="s">
        <v>35</v>
      </c>
      <c r="J861" s="4" t="s">
        <v>5435</v>
      </c>
      <c r="K861" t="s">
        <v>5436</v>
      </c>
      <c r="L861" t="s">
        <v>44</v>
      </c>
      <c r="M861" t="s">
        <v>5437</v>
      </c>
      <c r="N861" t="s">
        <v>45</v>
      </c>
      <c r="O861" t="s">
        <v>72</v>
      </c>
      <c r="P861" t="s">
        <v>52</v>
      </c>
      <c r="Q861" t="s">
        <v>31</v>
      </c>
      <c r="R861">
        <v>11</v>
      </c>
      <c r="S861" t="s">
        <v>5438</v>
      </c>
      <c r="T861" t="s">
        <v>7443</v>
      </c>
      <c r="U861" t="s">
        <v>7444</v>
      </c>
      <c r="V861" t="s">
        <v>32</v>
      </c>
      <c r="W861" t="s">
        <v>33</v>
      </c>
      <c r="X861" t="s">
        <v>33</v>
      </c>
      <c r="Y861" t="s">
        <v>33</v>
      </c>
      <c r="Z861" s="16" t="s">
        <v>34</v>
      </c>
      <c r="AA861">
        <v>-75.607757669999998</v>
      </c>
      <c r="AB861">
        <v>6.1771097800000003</v>
      </c>
      <c r="AC861" t="s">
        <v>135</v>
      </c>
      <c r="AD861" t="s">
        <v>136</v>
      </c>
    </row>
    <row r="862" spans="1:30" x14ac:dyDescent="0.25">
      <c r="A862" t="s">
        <v>5439</v>
      </c>
      <c r="B862" t="s">
        <v>65</v>
      </c>
      <c r="C862" t="s">
        <v>26</v>
      </c>
      <c r="D862" t="s">
        <v>66</v>
      </c>
      <c r="E862" t="s">
        <v>5440</v>
      </c>
      <c r="F862" t="s">
        <v>5441</v>
      </c>
      <c r="G862">
        <v>1039290815</v>
      </c>
      <c r="H862" t="s">
        <v>5442</v>
      </c>
      <c r="I862" s="4" t="s">
        <v>35</v>
      </c>
      <c r="J862" s="4" t="s">
        <v>5443</v>
      </c>
      <c r="K862" t="s">
        <v>5444</v>
      </c>
      <c r="L862" t="s">
        <v>27</v>
      </c>
      <c r="M862" t="s">
        <v>5445</v>
      </c>
      <c r="N862" t="s">
        <v>28</v>
      </c>
      <c r="O862" t="s">
        <v>68</v>
      </c>
      <c r="P862" t="s">
        <v>70</v>
      </c>
      <c r="Q862" t="s">
        <v>31</v>
      </c>
      <c r="R862">
        <v>9</v>
      </c>
      <c r="S862" t="s">
        <v>5446</v>
      </c>
      <c r="T862" t="s">
        <v>7445</v>
      </c>
      <c r="U862" t="s">
        <v>7446</v>
      </c>
      <c r="V862" t="s">
        <v>32</v>
      </c>
      <c r="W862" t="s">
        <v>33</v>
      </c>
      <c r="X862" t="s">
        <v>33</v>
      </c>
      <c r="Y862" t="s">
        <v>33</v>
      </c>
      <c r="Z862" s="16" t="s">
        <v>34</v>
      </c>
      <c r="AA862">
        <v>-75.612078999999994</v>
      </c>
      <c r="AB862">
        <v>6.2659789999999997</v>
      </c>
      <c r="AC862" t="s">
        <v>135</v>
      </c>
      <c r="AD862" t="s">
        <v>136</v>
      </c>
    </row>
    <row r="863" spans="1:30" x14ac:dyDescent="0.25">
      <c r="A863" t="s">
        <v>5447</v>
      </c>
      <c r="B863" t="s">
        <v>25</v>
      </c>
      <c r="C863" t="s">
        <v>26</v>
      </c>
      <c r="D863" t="s">
        <v>39</v>
      </c>
      <c r="E863" t="s">
        <v>5448</v>
      </c>
      <c r="F863" t="s">
        <v>5449</v>
      </c>
      <c r="G863">
        <v>82382561</v>
      </c>
      <c r="H863" t="s">
        <v>5450</v>
      </c>
      <c r="I863" s="4" t="s">
        <v>35</v>
      </c>
      <c r="J863" s="4" t="s">
        <v>5451</v>
      </c>
      <c r="K863" t="s">
        <v>5452</v>
      </c>
      <c r="L863" t="s">
        <v>27</v>
      </c>
      <c r="M863" t="s">
        <v>5453</v>
      </c>
      <c r="N863" t="s">
        <v>28</v>
      </c>
      <c r="O863" t="s">
        <v>40</v>
      </c>
      <c r="P863" t="s">
        <v>41</v>
      </c>
      <c r="Q863" t="s">
        <v>31</v>
      </c>
      <c r="R863">
        <v>5</v>
      </c>
      <c r="S863" t="s">
        <v>5454</v>
      </c>
      <c r="T863" t="s">
        <v>5456</v>
      </c>
      <c r="U863" t="s">
        <v>5455</v>
      </c>
      <c r="V863" t="s">
        <v>49</v>
      </c>
      <c r="W863" t="s">
        <v>33</v>
      </c>
      <c r="X863" t="s">
        <v>33</v>
      </c>
      <c r="Y863" t="s">
        <v>33</v>
      </c>
      <c r="Z863" s="16" t="s">
        <v>34</v>
      </c>
      <c r="AA863">
        <v>-75.544512999999995</v>
      </c>
      <c r="AB863">
        <v>6.2473419999999997</v>
      </c>
      <c r="AC863" t="s">
        <v>135</v>
      </c>
      <c r="AD863" t="s">
        <v>136</v>
      </c>
    </row>
    <row r="864" spans="1:30" x14ac:dyDescent="0.25">
      <c r="A864" t="s">
        <v>5457</v>
      </c>
      <c r="B864" t="s">
        <v>25</v>
      </c>
      <c r="C864" t="s">
        <v>26</v>
      </c>
      <c r="D864" t="s">
        <v>39</v>
      </c>
      <c r="E864" t="s">
        <v>5458</v>
      </c>
      <c r="F864" t="s">
        <v>5459</v>
      </c>
      <c r="G864">
        <v>1193117724</v>
      </c>
      <c r="H864" t="s">
        <v>5460</v>
      </c>
      <c r="I864" s="4" t="s">
        <v>35</v>
      </c>
      <c r="J864" s="4" t="s">
        <v>5461</v>
      </c>
      <c r="K864" t="s">
        <v>5462</v>
      </c>
      <c r="L864" t="s">
        <v>27</v>
      </c>
      <c r="M864" t="s">
        <v>5463</v>
      </c>
      <c r="N864" t="s">
        <v>28</v>
      </c>
      <c r="O864" t="s">
        <v>40</v>
      </c>
      <c r="P864" t="s">
        <v>41</v>
      </c>
      <c r="Q864" t="s">
        <v>31</v>
      </c>
      <c r="R864">
        <v>5</v>
      </c>
      <c r="S864" t="s">
        <v>5464</v>
      </c>
      <c r="T864" t="s">
        <v>5466</v>
      </c>
      <c r="U864" t="s">
        <v>5465</v>
      </c>
      <c r="V864" t="s">
        <v>49</v>
      </c>
      <c r="W864" t="s">
        <v>33</v>
      </c>
      <c r="X864" t="s">
        <v>33</v>
      </c>
      <c r="Y864" t="s">
        <v>33</v>
      </c>
      <c r="Z864" s="16" t="s">
        <v>34</v>
      </c>
      <c r="AA864">
        <v>-75.544512999999995</v>
      </c>
      <c r="AB864">
        <v>6.2473419999999997</v>
      </c>
      <c r="AC864" t="s">
        <v>135</v>
      </c>
      <c r="AD864" t="s">
        <v>136</v>
      </c>
    </row>
    <row r="865" spans="1:30" x14ac:dyDescent="0.25">
      <c r="A865" t="s">
        <v>5467</v>
      </c>
      <c r="B865" t="s">
        <v>42</v>
      </c>
      <c r="C865" t="s">
        <v>26</v>
      </c>
      <c r="D865" t="s">
        <v>42</v>
      </c>
      <c r="E865" t="s">
        <v>5468</v>
      </c>
      <c r="F865" t="s">
        <v>5469</v>
      </c>
      <c r="G865">
        <v>900416677</v>
      </c>
      <c r="H865" t="s">
        <v>5470</v>
      </c>
      <c r="I865" s="4" t="s">
        <v>35</v>
      </c>
      <c r="J865" s="4" t="s">
        <v>5471</v>
      </c>
      <c r="K865" t="s">
        <v>5472</v>
      </c>
      <c r="L865" t="s">
        <v>48</v>
      </c>
      <c r="M865" t="s">
        <v>5473</v>
      </c>
      <c r="N865" t="s">
        <v>64</v>
      </c>
      <c r="O865" t="s">
        <v>43</v>
      </c>
      <c r="P865" t="s">
        <v>37</v>
      </c>
      <c r="Q865" t="s">
        <v>38</v>
      </c>
      <c r="R865">
        <v>10</v>
      </c>
      <c r="S865" t="s">
        <v>5474</v>
      </c>
      <c r="T865" t="s">
        <v>7447</v>
      </c>
      <c r="U865" t="s">
        <v>7448</v>
      </c>
      <c r="V865" t="s">
        <v>32</v>
      </c>
      <c r="W865" t="s">
        <v>33</v>
      </c>
      <c r="X865" t="s">
        <v>33</v>
      </c>
      <c r="Y865" t="s">
        <v>33</v>
      </c>
      <c r="Z865" s="16" t="s">
        <v>34</v>
      </c>
      <c r="AA865">
        <v>-75.556499000000002</v>
      </c>
      <c r="AB865">
        <v>6.1389630000000004</v>
      </c>
      <c r="AC865" t="s">
        <v>135</v>
      </c>
      <c r="AD865" t="s">
        <v>136</v>
      </c>
    </row>
    <row r="866" spans="1:30" x14ac:dyDescent="0.25">
      <c r="A866" t="s">
        <v>5475</v>
      </c>
      <c r="B866" t="s">
        <v>25</v>
      </c>
      <c r="C866" t="s">
        <v>26</v>
      </c>
      <c r="D866" t="s">
        <v>39</v>
      </c>
      <c r="E866" t="s">
        <v>5476</v>
      </c>
      <c r="F866" t="s">
        <v>5477</v>
      </c>
      <c r="G866">
        <v>15430443</v>
      </c>
      <c r="H866" t="s">
        <v>5478</v>
      </c>
      <c r="I866" s="4" t="s">
        <v>35</v>
      </c>
      <c r="J866" s="4" t="s">
        <v>5479</v>
      </c>
      <c r="K866" t="s">
        <v>5480</v>
      </c>
      <c r="L866" t="s">
        <v>27</v>
      </c>
      <c r="M866" t="s">
        <v>5481</v>
      </c>
      <c r="N866" t="s">
        <v>28</v>
      </c>
      <c r="O866" t="s">
        <v>40</v>
      </c>
      <c r="P866" t="s">
        <v>41</v>
      </c>
      <c r="Q866" t="s">
        <v>38</v>
      </c>
      <c r="R866">
        <v>8</v>
      </c>
      <c r="S866" t="s">
        <v>5482</v>
      </c>
      <c r="T866" t="s">
        <v>7449</v>
      </c>
      <c r="U866" t="s">
        <v>7450</v>
      </c>
      <c r="V866" t="s">
        <v>32</v>
      </c>
      <c r="W866" t="s">
        <v>33</v>
      </c>
      <c r="X866" t="s">
        <v>33</v>
      </c>
      <c r="Y866" t="s">
        <v>33</v>
      </c>
      <c r="Z866" s="16" t="s">
        <v>34</v>
      </c>
      <c r="AA866">
        <v>-75.496141050000006</v>
      </c>
      <c r="AB866">
        <v>6.2050762300000004</v>
      </c>
      <c r="AC866" t="s">
        <v>135</v>
      </c>
      <c r="AD866" t="s">
        <v>136</v>
      </c>
    </row>
    <row r="867" spans="1:30" x14ac:dyDescent="0.25">
      <c r="A867" t="s">
        <v>5484</v>
      </c>
      <c r="B867" t="s">
        <v>25</v>
      </c>
      <c r="C867" t="s">
        <v>26</v>
      </c>
      <c r="D867" t="s">
        <v>25</v>
      </c>
      <c r="E867" t="s">
        <v>5485</v>
      </c>
      <c r="F867" t="s">
        <v>5486</v>
      </c>
      <c r="G867">
        <v>2773807</v>
      </c>
      <c r="H867" t="s">
        <v>5487</v>
      </c>
      <c r="I867" s="4" t="s">
        <v>5488</v>
      </c>
      <c r="J867" s="4" t="s">
        <v>5489</v>
      </c>
      <c r="K867" t="s">
        <v>5490</v>
      </c>
      <c r="L867" t="s">
        <v>59</v>
      </c>
      <c r="M867" t="s">
        <v>5491</v>
      </c>
      <c r="N867" t="s">
        <v>60</v>
      </c>
      <c r="O867" t="s">
        <v>29</v>
      </c>
      <c r="P867" t="s">
        <v>37</v>
      </c>
      <c r="Q867" t="s">
        <v>38</v>
      </c>
      <c r="R867">
        <v>10</v>
      </c>
      <c r="S867" t="s">
        <v>5492</v>
      </c>
      <c r="T867" t="s">
        <v>7449</v>
      </c>
      <c r="U867" t="s">
        <v>7451</v>
      </c>
      <c r="V867" t="s">
        <v>32</v>
      </c>
      <c r="W867" t="s">
        <v>33</v>
      </c>
      <c r="X867" t="s">
        <v>33</v>
      </c>
      <c r="Y867" t="s">
        <v>33</v>
      </c>
      <c r="Z867" s="16" t="s">
        <v>34</v>
      </c>
      <c r="AA867">
        <v>-75.619093050000004</v>
      </c>
      <c r="AB867">
        <v>6.1294888299999997</v>
      </c>
      <c r="AC867" t="s">
        <v>135</v>
      </c>
      <c r="AD867" t="s">
        <v>136</v>
      </c>
    </row>
    <row r="868" spans="1:30" x14ac:dyDescent="0.25">
      <c r="A868" t="s">
        <v>5493</v>
      </c>
      <c r="B868" t="s">
        <v>50</v>
      </c>
      <c r="C868" t="s">
        <v>26</v>
      </c>
      <c r="D868" t="s">
        <v>50</v>
      </c>
      <c r="E868" t="s">
        <v>5494</v>
      </c>
      <c r="F868" t="s">
        <v>5495</v>
      </c>
      <c r="G868">
        <v>38251179</v>
      </c>
      <c r="H868" t="s">
        <v>5496</v>
      </c>
      <c r="I868" s="4" t="s">
        <v>35</v>
      </c>
      <c r="J868" s="4" t="s">
        <v>5497</v>
      </c>
      <c r="K868" t="s">
        <v>5498</v>
      </c>
      <c r="L868" t="s">
        <v>27</v>
      </c>
      <c r="M868" t="s">
        <v>5499</v>
      </c>
      <c r="N868" t="s">
        <v>28</v>
      </c>
      <c r="O868" t="s">
        <v>40</v>
      </c>
      <c r="P868" t="s">
        <v>52</v>
      </c>
      <c r="Q868" t="s">
        <v>31</v>
      </c>
      <c r="R868">
        <v>5</v>
      </c>
      <c r="S868" t="s">
        <v>5500</v>
      </c>
      <c r="T868" t="s">
        <v>5501</v>
      </c>
      <c r="U868" t="s">
        <v>654</v>
      </c>
      <c r="V868" t="s">
        <v>49</v>
      </c>
      <c r="W868" t="s">
        <v>33</v>
      </c>
      <c r="X868" t="s">
        <v>33</v>
      </c>
      <c r="Y868" t="s">
        <v>33</v>
      </c>
      <c r="Z868" s="16" t="s">
        <v>34</v>
      </c>
      <c r="AA868">
        <v>-75.616311999999994</v>
      </c>
      <c r="AB868">
        <v>6.2625929999999999</v>
      </c>
      <c r="AC868" t="s">
        <v>135</v>
      </c>
      <c r="AD868" t="s">
        <v>136</v>
      </c>
    </row>
    <row r="869" spans="1:30" x14ac:dyDescent="0.25">
      <c r="A869" t="s">
        <v>5502</v>
      </c>
      <c r="B869" t="s">
        <v>25</v>
      </c>
      <c r="C869" t="s">
        <v>26</v>
      </c>
      <c r="D869" t="s">
        <v>25</v>
      </c>
      <c r="E869" t="s">
        <v>5503</v>
      </c>
      <c r="F869" t="s">
        <v>5504</v>
      </c>
      <c r="G869">
        <v>1017179778</v>
      </c>
      <c r="H869" t="s">
        <v>5505</v>
      </c>
      <c r="I869" s="4" t="s">
        <v>35</v>
      </c>
      <c r="J869" s="4" t="s">
        <v>5506</v>
      </c>
      <c r="K869" t="s">
        <v>5507</v>
      </c>
      <c r="L869" t="s">
        <v>27</v>
      </c>
      <c r="M869" t="s">
        <v>5508</v>
      </c>
      <c r="N869" t="s">
        <v>28</v>
      </c>
      <c r="O869" t="s">
        <v>29</v>
      </c>
      <c r="P869" t="s">
        <v>37</v>
      </c>
      <c r="Q869" t="s">
        <v>31</v>
      </c>
      <c r="R869">
        <v>7</v>
      </c>
      <c r="S869" t="s">
        <v>5509</v>
      </c>
      <c r="T869" t="s">
        <v>7452</v>
      </c>
      <c r="U869" t="s">
        <v>7453</v>
      </c>
      <c r="V869" t="s">
        <v>32</v>
      </c>
      <c r="W869" t="s">
        <v>33</v>
      </c>
      <c r="X869" t="s">
        <v>33</v>
      </c>
      <c r="Y869" t="s">
        <v>33</v>
      </c>
      <c r="Z869" s="16" t="s">
        <v>34</v>
      </c>
      <c r="AA869">
        <v>-75.548352789999996</v>
      </c>
      <c r="AB869">
        <v>6.2519059800000001</v>
      </c>
      <c r="AC869" t="s">
        <v>135</v>
      </c>
      <c r="AD869" t="s">
        <v>136</v>
      </c>
    </row>
    <row r="870" spans="1:30" x14ac:dyDescent="0.25">
      <c r="A870" t="s">
        <v>5510</v>
      </c>
      <c r="B870" t="s">
        <v>25</v>
      </c>
      <c r="C870" t="s">
        <v>26</v>
      </c>
      <c r="D870" t="s">
        <v>39</v>
      </c>
      <c r="E870" t="s">
        <v>5511</v>
      </c>
      <c r="F870" t="s">
        <v>5512</v>
      </c>
      <c r="G870">
        <v>8202343</v>
      </c>
      <c r="H870" t="s">
        <v>5513</v>
      </c>
      <c r="I870" s="4" t="s">
        <v>35</v>
      </c>
      <c r="J870" s="4" t="s">
        <v>5514</v>
      </c>
      <c r="K870" t="s">
        <v>5515</v>
      </c>
      <c r="L870" t="s">
        <v>27</v>
      </c>
      <c r="M870" t="s">
        <v>5516</v>
      </c>
      <c r="N870" t="s">
        <v>28</v>
      </c>
      <c r="O870" t="s">
        <v>40</v>
      </c>
      <c r="P870" t="s">
        <v>41</v>
      </c>
      <c r="Q870" t="s">
        <v>31</v>
      </c>
      <c r="R870">
        <v>5</v>
      </c>
      <c r="S870" t="s">
        <v>5517</v>
      </c>
      <c r="T870" t="s">
        <v>1133</v>
      </c>
      <c r="U870" t="s">
        <v>5518</v>
      </c>
      <c r="V870" t="s">
        <v>49</v>
      </c>
      <c r="W870" t="s">
        <v>33</v>
      </c>
      <c r="X870" t="s">
        <v>33</v>
      </c>
      <c r="Y870" t="s">
        <v>33</v>
      </c>
      <c r="Z870" s="16" t="s">
        <v>34</v>
      </c>
      <c r="AA870">
        <v>-75.611996000000005</v>
      </c>
      <c r="AB870">
        <v>6.2673629999999996</v>
      </c>
      <c r="AC870" t="s">
        <v>135</v>
      </c>
      <c r="AD870" t="s">
        <v>136</v>
      </c>
    </row>
    <row r="871" spans="1:30" x14ac:dyDescent="0.25">
      <c r="A871" t="s">
        <v>5519</v>
      </c>
      <c r="B871" t="s">
        <v>25</v>
      </c>
      <c r="C871" t="s">
        <v>26</v>
      </c>
      <c r="D871" t="s">
        <v>25</v>
      </c>
      <c r="E871" t="s">
        <v>5520</v>
      </c>
      <c r="F871" t="s">
        <v>5521</v>
      </c>
      <c r="G871">
        <v>39168369</v>
      </c>
      <c r="H871" t="s">
        <v>5522</v>
      </c>
      <c r="I871" s="4" t="s">
        <v>5523</v>
      </c>
      <c r="J871" s="4" t="s">
        <v>5524</v>
      </c>
      <c r="K871" t="s">
        <v>5525</v>
      </c>
      <c r="L871" t="s">
        <v>57</v>
      </c>
      <c r="M871" t="s">
        <v>5526</v>
      </c>
      <c r="N871" t="s">
        <v>58</v>
      </c>
      <c r="O871" t="s">
        <v>29</v>
      </c>
      <c r="P871" t="s">
        <v>30</v>
      </c>
      <c r="Q871" t="s">
        <v>31</v>
      </c>
      <c r="R871">
        <v>7</v>
      </c>
      <c r="S871" t="s">
        <v>5527</v>
      </c>
      <c r="T871" t="s">
        <v>7454</v>
      </c>
      <c r="U871" t="s">
        <v>7455</v>
      </c>
      <c r="V871" t="s">
        <v>32</v>
      </c>
      <c r="W871" t="s">
        <v>33</v>
      </c>
      <c r="X871" t="s">
        <v>33</v>
      </c>
      <c r="Y871" t="s">
        <v>33</v>
      </c>
      <c r="Z871" s="16" t="s">
        <v>34</v>
      </c>
      <c r="AA871">
        <v>-75.635645060000002</v>
      </c>
      <c r="AB871">
        <v>6.1059666699999999</v>
      </c>
      <c r="AC871" t="s">
        <v>135</v>
      </c>
      <c r="AD871" t="s">
        <v>136</v>
      </c>
    </row>
    <row r="872" spans="1:30" x14ac:dyDescent="0.25">
      <c r="A872" t="s">
        <v>5528</v>
      </c>
      <c r="B872" t="s">
        <v>25</v>
      </c>
      <c r="C872" t="s">
        <v>26</v>
      </c>
      <c r="D872" t="s">
        <v>25</v>
      </c>
      <c r="E872" t="s">
        <v>5529</v>
      </c>
      <c r="F872" t="s">
        <v>5530</v>
      </c>
      <c r="G872">
        <v>39168369</v>
      </c>
      <c r="H872" t="s">
        <v>5522</v>
      </c>
      <c r="I872" s="4" t="s">
        <v>5523</v>
      </c>
      <c r="J872" s="4" t="s">
        <v>5524</v>
      </c>
      <c r="K872" t="s">
        <v>5531</v>
      </c>
      <c r="L872" t="s">
        <v>57</v>
      </c>
      <c r="M872" t="s">
        <v>5532</v>
      </c>
      <c r="N872" t="s">
        <v>58</v>
      </c>
      <c r="O872" t="s">
        <v>29</v>
      </c>
      <c r="P872" t="s">
        <v>30</v>
      </c>
      <c r="Q872" t="s">
        <v>31</v>
      </c>
      <c r="R872">
        <v>7</v>
      </c>
      <c r="S872" t="s">
        <v>5533</v>
      </c>
      <c r="T872" t="s">
        <v>7456</v>
      </c>
      <c r="U872" t="s">
        <v>7457</v>
      </c>
      <c r="V872" t="s">
        <v>32</v>
      </c>
      <c r="W872" t="s">
        <v>33</v>
      </c>
      <c r="X872" t="s">
        <v>33</v>
      </c>
      <c r="Y872" t="s">
        <v>33</v>
      </c>
      <c r="Z872" s="16" t="s">
        <v>34</v>
      </c>
      <c r="AA872">
        <v>-75.635645060000002</v>
      </c>
      <c r="AB872">
        <v>6.1059666699999999</v>
      </c>
      <c r="AC872" t="s">
        <v>135</v>
      </c>
      <c r="AD872" t="s">
        <v>136</v>
      </c>
    </row>
    <row r="873" spans="1:30" x14ac:dyDescent="0.25">
      <c r="A873" t="s">
        <v>9981</v>
      </c>
      <c r="B873" t="s">
        <v>42</v>
      </c>
      <c r="C873" t="s">
        <v>26</v>
      </c>
      <c r="D873" t="s">
        <v>42</v>
      </c>
      <c r="E873" t="s">
        <v>7458</v>
      </c>
      <c r="F873" t="s">
        <v>7459</v>
      </c>
      <c r="G873">
        <v>811012208</v>
      </c>
      <c r="H873" t="s">
        <v>725</v>
      </c>
      <c r="I873" s="4" t="s">
        <v>3586</v>
      </c>
      <c r="J873" s="4" t="s">
        <v>6437</v>
      </c>
      <c r="K873" t="s">
        <v>7460</v>
      </c>
      <c r="L873" t="s">
        <v>48</v>
      </c>
      <c r="M873" t="s">
        <v>7461</v>
      </c>
      <c r="N873" t="s">
        <v>64</v>
      </c>
      <c r="O873" t="s">
        <v>43</v>
      </c>
      <c r="P873" t="s">
        <v>37</v>
      </c>
      <c r="Q873" t="s">
        <v>31</v>
      </c>
      <c r="R873">
        <v>7</v>
      </c>
      <c r="S873" t="s">
        <v>7462</v>
      </c>
      <c r="T873" t="s">
        <v>7463</v>
      </c>
      <c r="U873" t="s">
        <v>7464</v>
      </c>
      <c r="V873" t="s">
        <v>32</v>
      </c>
      <c r="W873" t="s">
        <v>33</v>
      </c>
      <c r="X873" t="s">
        <v>33</v>
      </c>
      <c r="Y873" t="s">
        <v>33</v>
      </c>
      <c r="Z873" s="16" t="s">
        <v>34</v>
      </c>
      <c r="AA873">
        <v>-75.546760286999998</v>
      </c>
      <c r="AB873">
        <v>6.15418410400002</v>
      </c>
      <c r="AC873" t="s">
        <v>135</v>
      </c>
      <c r="AD873" t="s">
        <v>136</v>
      </c>
    </row>
    <row r="874" spans="1:30" x14ac:dyDescent="0.25">
      <c r="A874" t="s">
        <v>5534</v>
      </c>
      <c r="B874" t="s">
        <v>61</v>
      </c>
      <c r="C874" t="s">
        <v>26</v>
      </c>
      <c r="D874" t="s">
        <v>61</v>
      </c>
      <c r="E874" t="s">
        <v>5535</v>
      </c>
      <c r="F874" t="s">
        <v>5536</v>
      </c>
      <c r="G874">
        <v>804013627</v>
      </c>
      <c r="H874" t="s">
        <v>5537</v>
      </c>
      <c r="I874" s="4" t="s">
        <v>35</v>
      </c>
      <c r="J874" s="4" t="s">
        <v>5538</v>
      </c>
      <c r="K874" t="s">
        <v>5539</v>
      </c>
      <c r="L874" t="s">
        <v>27</v>
      </c>
      <c r="M874" t="s">
        <v>5540</v>
      </c>
      <c r="N874" t="s">
        <v>28</v>
      </c>
      <c r="O874" t="s">
        <v>62</v>
      </c>
      <c r="P874" t="s">
        <v>63</v>
      </c>
      <c r="Q874" t="s">
        <v>31</v>
      </c>
      <c r="R874">
        <v>4</v>
      </c>
      <c r="S874" t="s">
        <v>5541</v>
      </c>
      <c r="T874" t="s">
        <v>7465</v>
      </c>
      <c r="U874" t="s">
        <v>7466</v>
      </c>
      <c r="V874" t="s">
        <v>49</v>
      </c>
      <c r="W874" t="s">
        <v>33</v>
      </c>
      <c r="X874" t="s">
        <v>33</v>
      </c>
      <c r="Y874" t="s">
        <v>33</v>
      </c>
      <c r="Z874" s="16" t="s">
        <v>34</v>
      </c>
      <c r="AA874">
        <v>-75.622631089999999</v>
      </c>
      <c r="AB874">
        <v>6.2523561000000001</v>
      </c>
      <c r="AC874" t="s">
        <v>135</v>
      </c>
      <c r="AD874" t="s">
        <v>136</v>
      </c>
    </row>
    <row r="875" spans="1:30" x14ac:dyDescent="0.25">
      <c r="A875" t="s">
        <v>9982</v>
      </c>
      <c r="B875" t="s">
        <v>25</v>
      </c>
      <c r="C875" t="s">
        <v>26</v>
      </c>
      <c r="D875" t="s">
        <v>39</v>
      </c>
      <c r="E875" t="s">
        <v>7467</v>
      </c>
      <c r="F875" t="s">
        <v>7468</v>
      </c>
      <c r="G875">
        <v>71393110</v>
      </c>
      <c r="H875" t="s">
        <v>7469</v>
      </c>
      <c r="I875" s="4" t="s">
        <v>35</v>
      </c>
      <c r="J875" s="4" t="s">
        <v>7470</v>
      </c>
      <c r="K875" t="s">
        <v>7471</v>
      </c>
      <c r="L875" t="s">
        <v>55</v>
      </c>
      <c r="M875" t="s">
        <v>7472</v>
      </c>
      <c r="N875" t="s">
        <v>56</v>
      </c>
      <c r="O875" t="s">
        <v>40</v>
      </c>
      <c r="P875" t="s">
        <v>36</v>
      </c>
      <c r="Q875" t="s">
        <v>38</v>
      </c>
      <c r="R875">
        <v>8</v>
      </c>
      <c r="S875" t="s">
        <v>7473</v>
      </c>
      <c r="T875" t="s">
        <v>7474</v>
      </c>
      <c r="U875" t="s">
        <v>7475</v>
      </c>
      <c r="V875" t="s">
        <v>32</v>
      </c>
      <c r="W875" t="s">
        <v>33</v>
      </c>
      <c r="X875" t="s">
        <v>33</v>
      </c>
      <c r="Y875" t="s">
        <v>33</v>
      </c>
      <c r="Z875" s="16" t="s">
        <v>34</v>
      </c>
      <c r="AA875">
        <v>-75.63999484</v>
      </c>
      <c r="AB875">
        <v>6.1220664200000003</v>
      </c>
      <c r="AC875" t="s">
        <v>135</v>
      </c>
      <c r="AD875" t="s">
        <v>136</v>
      </c>
    </row>
    <row r="876" spans="1:30" x14ac:dyDescent="0.25">
      <c r="A876" t="s">
        <v>6010</v>
      </c>
      <c r="B876" t="s">
        <v>65</v>
      </c>
      <c r="C876" t="s">
        <v>26</v>
      </c>
      <c r="D876" t="s">
        <v>66</v>
      </c>
      <c r="E876" t="s">
        <v>6011</v>
      </c>
      <c r="F876" t="s">
        <v>6012</v>
      </c>
      <c r="G876">
        <v>71616939</v>
      </c>
      <c r="H876" t="s">
        <v>6013</v>
      </c>
      <c r="I876" s="4" t="s">
        <v>6014</v>
      </c>
      <c r="J876" s="4" t="s">
        <v>4727</v>
      </c>
      <c r="K876" t="s">
        <v>6015</v>
      </c>
      <c r="L876" t="s">
        <v>27</v>
      </c>
      <c r="M876" t="s">
        <v>6016</v>
      </c>
      <c r="N876" t="s">
        <v>28</v>
      </c>
      <c r="O876" t="s">
        <v>68</v>
      </c>
      <c r="P876" t="s">
        <v>70</v>
      </c>
      <c r="Q876" t="s">
        <v>31</v>
      </c>
      <c r="R876">
        <v>9</v>
      </c>
      <c r="S876" t="s">
        <v>6017</v>
      </c>
      <c r="T876" t="s">
        <v>7476</v>
      </c>
      <c r="U876" t="s">
        <v>7477</v>
      </c>
      <c r="V876" t="s">
        <v>32</v>
      </c>
      <c r="W876" t="s">
        <v>33</v>
      </c>
      <c r="X876" t="s">
        <v>33</v>
      </c>
      <c r="Y876" t="s">
        <v>33</v>
      </c>
      <c r="Z876" s="16" t="s">
        <v>34</v>
      </c>
      <c r="AA876">
        <v>-75.552861030000003</v>
      </c>
      <c r="AB876">
        <v>6.2573251699999997</v>
      </c>
      <c r="AC876" t="s">
        <v>135</v>
      </c>
      <c r="AD876" t="s">
        <v>136</v>
      </c>
    </row>
    <row r="877" spans="1:30" x14ac:dyDescent="0.25">
      <c r="A877" t="s">
        <v>5542</v>
      </c>
      <c r="B877" t="s">
        <v>42</v>
      </c>
      <c r="C877" t="s">
        <v>75</v>
      </c>
      <c r="D877" t="s">
        <v>42</v>
      </c>
      <c r="E877" t="s">
        <v>5543</v>
      </c>
      <c r="F877" t="s">
        <v>5544</v>
      </c>
      <c r="G877">
        <v>900081271</v>
      </c>
      <c r="H877" t="s">
        <v>5545</v>
      </c>
      <c r="I877" s="4" t="s">
        <v>5546</v>
      </c>
      <c r="J877" s="4" t="s">
        <v>5547</v>
      </c>
      <c r="K877" t="s">
        <v>5548</v>
      </c>
      <c r="L877" t="s">
        <v>27</v>
      </c>
      <c r="M877" t="s">
        <v>5549</v>
      </c>
      <c r="N877" t="s">
        <v>28</v>
      </c>
      <c r="O877" t="s">
        <v>76</v>
      </c>
      <c r="P877" t="s">
        <v>30</v>
      </c>
      <c r="Q877" t="s">
        <v>31</v>
      </c>
      <c r="R877">
        <v>7</v>
      </c>
      <c r="S877" t="s">
        <v>5550</v>
      </c>
      <c r="T877" t="s">
        <v>7476</v>
      </c>
      <c r="U877" t="s">
        <v>7478</v>
      </c>
      <c r="V877" t="s">
        <v>32</v>
      </c>
      <c r="W877" t="s">
        <v>33</v>
      </c>
      <c r="X877" t="s">
        <v>33</v>
      </c>
      <c r="Y877" t="s">
        <v>33</v>
      </c>
      <c r="Z877" s="16" t="s">
        <v>34</v>
      </c>
      <c r="AA877">
        <v>-75.573216909999999</v>
      </c>
      <c r="AB877">
        <v>6.2065292100000002</v>
      </c>
      <c r="AC877" t="s">
        <v>135</v>
      </c>
      <c r="AD877" t="s">
        <v>136</v>
      </c>
    </row>
    <row r="878" spans="1:30" x14ac:dyDescent="0.25">
      <c r="A878" t="s">
        <v>5551</v>
      </c>
      <c r="B878" t="s">
        <v>42</v>
      </c>
      <c r="C878" t="s">
        <v>75</v>
      </c>
      <c r="D878" t="s">
        <v>42</v>
      </c>
      <c r="E878" t="s">
        <v>5552</v>
      </c>
      <c r="F878" t="s">
        <v>5553</v>
      </c>
      <c r="G878">
        <v>900081271</v>
      </c>
      <c r="H878" t="s">
        <v>5545</v>
      </c>
      <c r="I878" s="4" t="s">
        <v>5546</v>
      </c>
      <c r="J878" s="4" t="s">
        <v>5547</v>
      </c>
      <c r="K878" t="s">
        <v>5554</v>
      </c>
      <c r="L878" t="s">
        <v>27</v>
      </c>
      <c r="M878" t="s">
        <v>5555</v>
      </c>
      <c r="N878" t="s">
        <v>28</v>
      </c>
      <c r="O878" t="s">
        <v>76</v>
      </c>
      <c r="P878" t="s">
        <v>30</v>
      </c>
      <c r="Q878" t="s">
        <v>31</v>
      </c>
      <c r="R878">
        <v>7</v>
      </c>
      <c r="S878" t="s">
        <v>5556</v>
      </c>
      <c r="T878" t="s">
        <v>7479</v>
      </c>
      <c r="U878" t="s">
        <v>7480</v>
      </c>
      <c r="V878" t="s">
        <v>32</v>
      </c>
      <c r="W878" t="s">
        <v>33</v>
      </c>
      <c r="X878" t="s">
        <v>33</v>
      </c>
      <c r="Y878" t="s">
        <v>33</v>
      </c>
      <c r="Z878" s="16" t="s">
        <v>34</v>
      </c>
      <c r="AA878">
        <v>-75.572981999999996</v>
      </c>
      <c r="AB878">
        <v>6.206766</v>
      </c>
      <c r="AC878" t="s">
        <v>135</v>
      </c>
      <c r="AD878" t="s">
        <v>136</v>
      </c>
    </row>
    <row r="879" spans="1:30" x14ac:dyDescent="0.25">
      <c r="A879" t="s">
        <v>5557</v>
      </c>
      <c r="B879" t="s">
        <v>25</v>
      </c>
      <c r="C879" t="s">
        <v>26</v>
      </c>
      <c r="D879" t="s">
        <v>39</v>
      </c>
      <c r="E879" t="s">
        <v>5558</v>
      </c>
      <c r="F879" t="s">
        <v>5559</v>
      </c>
      <c r="G879">
        <v>43971221</v>
      </c>
      <c r="H879" t="s">
        <v>5560</v>
      </c>
      <c r="I879" s="4" t="s">
        <v>35</v>
      </c>
      <c r="J879" s="4" t="s">
        <v>5561</v>
      </c>
      <c r="K879" t="s">
        <v>5562</v>
      </c>
      <c r="L879" t="s">
        <v>27</v>
      </c>
      <c r="M879" t="s">
        <v>5563</v>
      </c>
      <c r="N879" t="s">
        <v>28</v>
      </c>
      <c r="O879" t="s">
        <v>40</v>
      </c>
      <c r="P879" t="s">
        <v>41</v>
      </c>
      <c r="Q879" t="s">
        <v>38</v>
      </c>
      <c r="R879">
        <v>8</v>
      </c>
      <c r="S879" t="s">
        <v>5564</v>
      </c>
      <c r="T879" t="s">
        <v>7481</v>
      </c>
      <c r="U879" t="s">
        <v>7482</v>
      </c>
      <c r="V879" t="s">
        <v>32</v>
      </c>
      <c r="W879" t="s">
        <v>33</v>
      </c>
      <c r="X879" t="s">
        <v>33</v>
      </c>
      <c r="Y879" t="s">
        <v>33</v>
      </c>
      <c r="Z879" s="16" t="s">
        <v>34</v>
      </c>
      <c r="AA879">
        <v>-75.631585770000001</v>
      </c>
      <c r="AB879">
        <v>6.30136085</v>
      </c>
      <c r="AC879" t="s">
        <v>135</v>
      </c>
      <c r="AD879" t="s">
        <v>136</v>
      </c>
    </row>
    <row r="880" spans="1:30" x14ac:dyDescent="0.25">
      <c r="A880" t="s">
        <v>9983</v>
      </c>
      <c r="B880" t="s">
        <v>42</v>
      </c>
      <c r="C880" t="s">
        <v>26</v>
      </c>
      <c r="D880" t="s">
        <v>42</v>
      </c>
      <c r="E880" t="s">
        <v>7483</v>
      </c>
      <c r="F880" t="s">
        <v>7484</v>
      </c>
      <c r="G880">
        <v>901575134</v>
      </c>
      <c r="H880" t="s">
        <v>5318</v>
      </c>
      <c r="I880" s="4" t="s">
        <v>35</v>
      </c>
      <c r="J880" s="4" t="s">
        <v>7485</v>
      </c>
      <c r="K880" t="s">
        <v>7486</v>
      </c>
      <c r="L880" t="s">
        <v>59</v>
      </c>
      <c r="M880" t="s">
        <v>7487</v>
      </c>
      <c r="N880" t="s">
        <v>60</v>
      </c>
      <c r="O880" t="s">
        <v>43</v>
      </c>
      <c r="P880" t="s">
        <v>54</v>
      </c>
      <c r="Q880" t="s">
        <v>38</v>
      </c>
      <c r="R880">
        <v>10</v>
      </c>
      <c r="S880" t="s">
        <v>7488</v>
      </c>
      <c r="T880" t="s">
        <v>7489</v>
      </c>
      <c r="U880" t="s">
        <v>7490</v>
      </c>
      <c r="V880" t="s">
        <v>32</v>
      </c>
      <c r="W880" t="s">
        <v>33</v>
      </c>
      <c r="X880" t="s">
        <v>33</v>
      </c>
      <c r="Y880" t="s">
        <v>33</v>
      </c>
      <c r="Z880" s="16" t="s">
        <v>34</v>
      </c>
      <c r="AA880">
        <v>-75.630391130000007</v>
      </c>
      <c r="AB880">
        <v>6.1414991600000004</v>
      </c>
      <c r="AC880" t="s">
        <v>135</v>
      </c>
      <c r="AD880" t="s">
        <v>136</v>
      </c>
    </row>
    <row r="881" spans="1:30" x14ac:dyDescent="0.25">
      <c r="A881" t="s">
        <v>9984</v>
      </c>
      <c r="B881" t="s">
        <v>42</v>
      </c>
      <c r="C881" t="s">
        <v>26</v>
      </c>
      <c r="D881" t="s">
        <v>42</v>
      </c>
      <c r="E881" t="s">
        <v>7491</v>
      </c>
      <c r="F881" t="s">
        <v>7492</v>
      </c>
      <c r="G881">
        <v>901575134</v>
      </c>
      <c r="H881" t="s">
        <v>5318</v>
      </c>
      <c r="I881" s="4" t="s">
        <v>35</v>
      </c>
      <c r="J881" s="4" t="s">
        <v>7485</v>
      </c>
      <c r="K881" t="s">
        <v>7493</v>
      </c>
      <c r="L881" t="s">
        <v>59</v>
      </c>
      <c r="M881" t="s">
        <v>7494</v>
      </c>
      <c r="N881" t="s">
        <v>60</v>
      </c>
      <c r="O881" t="s">
        <v>43</v>
      </c>
      <c r="P881" t="s">
        <v>54</v>
      </c>
      <c r="Q881" t="s">
        <v>38</v>
      </c>
      <c r="R881">
        <v>10</v>
      </c>
      <c r="S881" t="s">
        <v>7495</v>
      </c>
      <c r="T881" t="s">
        <v>7496</v>
      </c>
      <c r="U881" t="s">
        <v>7497</v>
      </c>
      <c r="V881" t="s">
        <v>32</v>
      </c>
      <c r="W881" t="s">
        <v>33</v>
      </c>
      <c r="X881" t="s">
        <v>33</v>
      </c>
      <c r="Y881" t="s">
        <v>33</v>
      </c>
      <c r="Z881" s="16" t="s">
        <v>34</v>
      </c>
      <c r="AA881">
        <v>-75.630391130000007</v>
      </c>
      <c r="AB881">
        <v>6.1414991600000004</v>
      </c>
      <c r="AC881" t="s">
        <v>135</v>
      </c>
      <c r="AD881" t="s">
        <v>136</v>
      </c>
    </row>
    <row r="882" spans="1:30" x14ac:dyDescent="0.25">
      <c r="A882" t="s">
        <v>5565</v>
      </c>
      <c r="B882" t="s">
        <v>61</v>
      </c>
      <c r="C882" t="s">
        <v>26</v>
      </c>
      <c r="D882" t="s">
        <v>61</v>
      </c>
      <c r="E882" t="s">
        <v>5566</v>
      </c>
      <c r="F882" t="s">
        <v>5567</v>
      </c>
      <c r="G882">
        <v>43590807</v>
      </c>
      <c r="H882" t="s">
        <v>5568</v>
      </c>
      <c r="I882" s="4" t="s">
        <v>35</v>
      </c>
      <c r="J882" s="4" t="s">
        <v>5569</v>
      </c>
      <c r="K882" t="s">
        <v>5570</v>
      </c>
      <c r="L882" t="s">
        <v>55</v>
      </c>
      <c r="M882" t="s">
        <v>5571</v>
      </c>
      <c r="N882" t="s">
        <v>56</v>
      </c>
      <c r="O882" t="s">
        <v>62</v>
      </c>
      <c r="P882" t="s">
        <v>63</v>
      </c>
      <c r="Q882" t="s">
        <v>38</v>
      </c>
      <c r="R882">
        <v>4</v>
      </c>
      <c r="S882" t="s">
        <v>5572</v>
      </c>
      <c r="T882" t="s">
        <v>7498</v>
      </c>
      <c r="U882" t="s">
        <v>7499</v>
      </c>
      <c r="V882" t="s">
        <v>49</v>
      </c>
      <c r="W882" t="s">
        <v>33</v>
      </c>
      <c r="X882" t="s">
        <v>33</v>
      </c>
      <c r="Y882" t="s">
        <v>33</v>
      </c>
      <c r="Z882" s="16" t="s">
        <v>34</v>
      </c>
      <c r="AA882">
        <v>-75.656577999999996</v>
      </c>
      <c r="AB882">
        <v>6.1661409999999997</v>
      </c>
      <c r="AC882" t="s">
        <v>135</v>
      </c>
      <c r="AD882" t="s">
        <v>136</v>
      </c>
    </row>
    <row r="883" spans="1:30" x14ac:dyDescent="0.25">
      <c r="A883" t="s">
        <v>6018</v>
      </c>
      <c r="B883" t="s">
        <v>65</v>
      </c>
      <c r="C883" t="s">
        <v>26</v>
      </c>
      <c r="D883" t="s">
        <v>66</v>
      </c>
      <c r="E883" t="s">
        <v>6019</v>
      </c>
      <c r="F883" t="s">
        <v>6020</v>
      </c>
      <c r="G883">
        <v>43730254</v>
      </c>
      <c r="H883" t="s">
        <v>6021</v>
      </c>
      <c r="I883" s="4" t="s">
        <v>35</v>
      </c>
      <c r="J883" s="4" t="s">
        <v>6022</v>
      </c>
      <c r="K883" t="s">
        <v>6023</v>
      </c>
      <c r="L883" t="s">
        <v>27</v>
      </c>
      <c r="M883" t="s">
        <v>6024</v>
      </c>
      <c r="N883" t="s">
        <v>28</v>
      </c>
      <c r="O883" t="s">
        <v>68</v>
      </c>
      <c r="P883" t="s">
        <v>70</v>
      </c>
      <c r="Q883" t="s">
        <v>31</v>
      </c>
      <c r="R883">
        <v>9</v>
      </c>
      <c r="S883" t="s">
        <v>6025</v>
      </c>
      <c r="T883" t="s">
        <v>7500</v>
      </c>
      <c r="U883" t="s">
        <v>7501</v>
      </c>
      <c r="V883" t="s">
        <v>32</v>
      </c>
      <c r="W883" t="s">
        <v>33</v>
      </c>
      <c r="X883" t="s">
        <v>33</v>
      </c>
      <c r="Y883" t="s">
        <v>33</v>
      </c>
      <c r="Z883" s="16" t="s">
        <v>34</v>
      </c>
      <c r="AA883">
        <v>-75.634291000000005</v>
      </c>
      <c r="AB883">
        <v>6.2708880000000002</v>
      </c>
      <c r="AC883" t="s">
        <v>135</v>
      </c>
      <c r="AD883" t="s">
        <v>136</v>
      </c>
    </row>
    <row r="884" spans="1:30" x14ac:dyDescent="0.25">
      <c r="A884" t="s">
        <v>5573</v>
      </c>
      <c r="B884" t="s">
        <v>61</v>
      </c>
      <c r="C884" t="s">
        <v>26</v>
      </c>
      <c r="D884" t="s">
        <v>61</v>
      </c>
      <c r="E884" t="s">
        <v>5574</v>
      </c>
      <c r="F884" t="s">
        <v>5575</v>
      </c>
      <c r="G884">
        <v>901227531</v>
      </c>
      <c r="H884" t="s">
        <v>5576</v>
      </c>
      <c r="I884" s="4" t="s">
        <v>35</v>
      </c>
      <c r="J884" s="4" t="s">
        <v>5577</v>
      </c>
      <c r="K884" t="s">
        <v>5578</v>
      </c>
      <c r="L884" t="s">
        <v>59</v>
      </c>
      <c r="M884" t="s">
        <v>5579</v>
      </c>
      <c r="N884" t="s">
        <v>60</v>
      </c>
      <c r="O884" t="s">
        <v>62</v>
      </c>
      <c r="P884" t="s">
        <v>63</v>
      </c>
      <c r="Q884" t="s">
        <v>38</v>
      </c>
      <c r="R884">
        <v>4</v>
      </c>
      <c r="S884" t="s">
        <v>5580</v>
      </c>
      <c r="T884" t="s">
        <v>7502</v>
      </c>
      <c r="U884" t="s">
        <v>7503</v>
      </c>
      <c r="V884" t="s">
        <v>49</v>
      </c>
      <c r="W884" t="s">
        <v>33</v>
      </c>
      <c r="X884" t="s">
        <v>33</v>
      </c>
      <c r="Y884" t="s">
        <v>33</v>
      </c>
      <c r="Z884" s="16" t="s">
        <v>34</v>
      </c>
      <c r="AA884">
        <v>-75.605020519999997</v>
      </c>
      <c r="AB884">
        <v>6.14392637</v>
      </c>
      <c r="AC884" t="s">
        <v>135</v>
      </c>
      <c r="AD884" t="s">
        <v>136</v>
      </c>
    </row>
    <row r="885" spans="1:30" x14ac:dyDescent="0.25">
      <c r="A885" t="s">
        <v>5581</v>
      </c>
      <c r="B885" t="s">
        <v>25</v>
      </c>
      <c r="C885" t="s">
        <v>26</v>
      </c>
      <c r="D885" t="s">
        <v>25</v>
      </c>
      <c r="E885" t="s">
        <v>5582</v>
      </c>
      <c r="F885" t="s">
        <v>5583</v>
      </c>
      <c r="G885">
        <v>800150443</v>
      </c>
      <c r="H885" t="s">
        <v>5584</v>
      </c>
      <c r="I885" s="4" t="s">
        <v>5585</v>
      </c>
      <c r="J885" s="4" t="s">
        <v>5586</v>
      </c>
      <c r="K885" t="s">
        <v>5587</v>
      </c>
      <c r="L885" t="s">
        <v>27</v>
      </c>
      <c r="M885" t="s">
        <v>5588</v>
      </c>
      <c r="N885" t="s">
        <v>28</v>
      </c>
      <c r="O885" t="s">
        <v>29</v>
      </c>
      <c r="P885" t="s">
        <v>54</v>
      </c>
      <c r="Q885" t="s">
        <v>31</v>
      </c>
      <c r="R885">
        <v>7</v>
      </c>
      <c r="S885" t="s">
        <v>5589</v>
      </c>
      <c r="T885" t="s">
        <v>7504</v>
      </c>
      <c r="U885" t="s">
        <v>7505</v>
      </c>
      <c r="V885" t="s">
        <v>32</v>
      </c>
      <c r="W885" t="s">
        <v>33</v>
      </c>
      <c r="X885" t="s">
        <v>33</v>
      </c>
      <c r="Y885" t="s">
        <v>33</v>
      </c>
      <c r="Z885" s="16" t="s">
        <v>34</v>
      </c>
      <c r="AA885">
        <v>-75.610884501000001</v>
      </c>
      <c r="AB885">
        <v>6.2574398200000596</v>
      </c>
      <c r="AC885" t="s">
        <v>135</v>
      </c>
      <c r="AD885" t="s">
        <v>136</v>
      </c>
    </row>
    <row r="886" spans="1:30" x14ac:dyDescent="0.25">
      <c r="A886" t="s">
        <v>5590</v>
      </c>
      <c r="B886" t="s">
        <v>61</v>
      </c>
      <c r="C886" t="s">
        <v>26</v>
      </c>
      <c r="D886" t="s">
        <v>61</v>
      </c>
      <c r="E886" t="s">
        <v>5591</v>
      </c>
      <c r="F886" t="s">
        <v>5592</v>
      </c>
      <c r="G886">
        <v>32484513</v>
      </c>
      <c r="H886" t="s">
        <v>5593</v>
      </c>
      <c r="I886" s="4" t="s">
        <v>35</v>
      </c>
      <c r="J886" s="4" t="s">
        <v>1263</v>
      </c>
      <c r="K886" t="s">
        <v>5594</v>
      </c>
      <c r="L886" t="s">
        <v>27</v>
      </c>
      <c r="M886" t="s">
        <v>5595</v>
      </c>
      <c r="N886" t="s">
        <v>28</v>
      </c>
      <c r="O886" t="s">
        <v>62</v>
      </c>
      <c r="P886" t="s">
        <v>63</v>
      </c>
      <c r="Q886" t="s">
        <v>31</v>
      </c>
      <c r="R886">
        <v>4</v>
      </c>
      <c r="S886" t="s">
        <v>5596</v>
      </c>
      <c r="T886" t="s">
        <v>7506</v>
      </c>
      <c r="U886" t="s">
        <v>7507</v>
      </c>
      <c r="V886" t="s">
        <v>49</v>
      </c>
      <c r="W886" t="s">
        <v>33</v>
      </c>
      <c r="X886" t="s">
        <v>33</v>
      </c>
      <c r="Y886" t="s">
        <v>33</v>
      </c>
      <c r="Z886" s="16" t="s">
        <v>34</v>
      </c>
      <c r="AA886">
        <v>-75.610353000000003</v>
      </c>
      <c r="AB886">
        <v>6.2631800000000002</v>
      </c>
      <c r="AC886" t="s">
        <v>135</v>
      </c>
      <c r="AD886" t="s">
        <v>136</v>
      </c>
    </row>
    <row r="887" spans="1:30" x14ac:dyDescent="0.25">
      <c r="A887" t="s">
        <v>5597</v>
      </c>
      <c r="B887" t="s">
        <v>61</v>
      </c>
      <c r="C887" t="s">
        <v>26</v>
      </c>
      <c r="D887" t="s">
        <v>61</v>
      </c>
      <c r="E887" t="s">
        <v>5598</v>
      </c>
      <c r="F887" t="s">
        <v>5599</v>
      </c>
      <c r="G887">
        <v>39425084</v>
      </c>
      <c r="H887" t="s">
        <v>5600</v>
      </c>
      <c r="I887" s="4" t="s">
        <v>35</v>
      </c>
      <c r="J887" s="4" t="s">
        <v>1263</v>
      </c>
      <c r="K887" t="s">
        <v>5601</v>
      </c>
      <c r="L887" t="s">
        <v>27</v>
      </c>
      <c r="M887" t="s">
        <v>5602</v>
      </c>
      <c r="N887" t="s">
        <v>28</v>
      </c>
      <c r="O887" t="s">
        <v>62</v>
      </c>
      <c r="P887" t="s">
        <v>63</v>
      </c>
      <c r="Q887" t="s">
        <v>31</v>
      </c>
      <c r="R887">
        <v>4</v>
      </c>
      <c r="S887" t="s">
        <v>5603</v>
      </c>
      <c r="T887" t="s">
        <v>7508</v>
      </c>
      <c r="U887" t="s">
        <v>7508</v>
      </c>
      <c r="V887" t="s">
        <v>49</v>
      </c>
      <c r="W887" t="s">
        <v>33</v>
      </c>
      <c r="X887" t="s">
        <v>33</v>
      </c>
      <c r="Y887" t="s">
        <v>33</v>
      </c>
      <c r="Z887" s="16" t="s">
        <v>34</v>
      </c>
      <c r="AA887">
        <v>-75.559656059999995</v>
      </c>
      <c r="AB887">
        <v>6.2557499099999996</v>
      </c>
      <c r="AC887" t="s">
        <v>135</v>
      </c>
      <c r="AD887" t="s">
        <v>136</v>
      </c>
    </row>
    <row r="888" spans="1:30" x14ac:dyDescent="0.25">
      <c r="A888" t="s">
        <v>5604</v>
      </c>
      <c r="B888" t="s">
        <v>61</v>
      </c>
      <c r="C888" t="s">
        <v>26</v>
      </c>
      <c r="D888" t="s">
        <v>61</v>
      </c>
      <c r="E888" t="s">
        <v>5605</v>
      </c>
      <c r="F888" t="s">
        <v>5606</v>
      </c>
      <c r="G888">
        <v>71691445</v>
      </c>
      <c r="H888" t="s">
        <v>5607</v>
      </c>
      <c r="I888" s="4" t="s">
        <v>265</v>
      </c>
      <c r="J888" s="4" t="s">
        <v>5608</v>
      </c>
      <c r="K888" t="s">
        <v>5609</v>
      </c>
      <c r="L888" t="s">
        <v>48</v>
      </c>
      <c r="M888" t="s">
        <v>5610</v>
      </c>
      <c r="N888" t="s">
        <v>64</v>
      </c>
      <c r="O888" t="s">
        <v>62</v>
      </c>
      <c r="P888" t="s">
        <v>63</v>
      </c>
      <c r="Q888" t="s">
        <v>31</v>
      </c>
      <c r="R888">
        <v>4</v>
      </c>
      <c r="S888" t="s">
        <v>5611</v>
      </c>
      <c r="T888" t="s">
        <v>7509</v>
      </c>
      <c r="U888" t="s">
        <v>7509</v>
      </c>
      <c r="V888" t="s">
        <v>49</v>
      </c>
      <c r="W888" t="s">
        <v>33</v>
      </c>
      <c r="X888" t="s">
        <v>33</v>
      </c>
      <c r="Y888" t="s">
        <v>33</v>
      </c>
      <c r="Z888" s="16" t="s">
        <v>34</v>
      </c>
      <c r="AA888">
        <v>-75.567070290000004</v>
      </c>
      <c r="AB888">
        <v>6.17555079</v>
      </c>
      <c r="AC888" t="s">
        <v>135</v>
      </c>
      <c r="AD888" t="s">
        <v>136</v>
      </c>
    </row>
    <row r="889" spans="1:30" x14ac:dyDescent="0.25">
      <c r="A889" t="s">
        <v>5612</v>
      </c>
      <c r="B889" t="s">
        <v>25</v>
      </c>
      <c r="C889" t="s">
        <v>26</v>
      </c>
      <c r="D889" t="s">
        <v>39</v>
      </c>
      <c r="E889" t="s">
        <v>5613</v>
      </c>
      <c r="F889" t="s">
        <v>5614</v>
      </c>
      <c r="G889">
        <v>43159164</v>
      </c>
      <c r="H889" t="s">
        <v>5615</v>
      </c>
      <c r="I889" s="4" t="s">
        <v>35</v>
      </c>
      <c r="J889" s="4" t="s">
        <v>5616</v>
      </c>
      <c r="K889" t="s">
        <v>5617</v>
      </c>
      <c r="L889" t="s">
        <v>27</v>
      </c>
      <c r="M889" t="s">
        <v>5618</v>
      </c>
      <c r="N889" t="s">
        <v>28</v>
      </c>
      <c r="O889" t="s">
        <v>40</v>
      </c>
      <c r="P889" t="s">
        <v>41</v>
      </c>
      <c r="Q889" t="s">
        <v>31</v>
      </c>
      <c r="R889">
        <v>5</v>
      </c>
      <c r="S889" t="s">
        <v>5619</v>
      </c>
      <c r="T889" t="s">
        <v>7510</v>
      </c>
      <c r="U889" t="s">
        <v>7511</v>
      </c>
      <c r="V889" t="s">
        <v>32</v>
      </c>
      <c r="W889" t="s">
        <v>33</v>
      </c>
      <c r="X889" t="s">
        <v>33</v>
      </c>
      <c r="Y889" t="s">
        <v>33</v>
      </c>
      <c r="Z889" s="16" t="s">
        <v>34</v>
      </c>
      <c r="AA889">
        <v>-75.545173009999999</v>
      </c>
      <c r="AB889">
        <v>6.25274763</v>
      </c>
      <c r="AC889" t="s">
        <v>135</v>
      </c>
      <c r="AD889" t="s">
        <v>136</v>
      </c>
    </row>
    <row r="890" spans="1:30" x14ac:dyDescent="0.25">
      <c r="A890" t="s">
        <v>5620</v>
      </c>
      <c r="B890" t="s">
        <v>61</v>
      </c>
      <c r="C890" t="s">
        <v>26</v>
      </c>
      <c r="D890" t="s">
        <v>61</v>
      </c>
      <c r="E890" t="s">
        <v>5621</v>
      </c>
      <c r="F890" t="s">
        <v>5622</v>
      </c>
      <c r="G890">
        <v>8031469</v>
      </c>
      <c r="H890" t="s">
        <v>559</v>
      </c>
      <c r="I890" s="4" t="s">
        <v>35</v>
      </c>
      <c r="J890" s="4" t="s">
        <v>797</v>
      </c>
      <c r="K890" t="s">
        <v>2496</v>
      </c>
      <c r="L890" t="s">
        <v>27</v>
      </c>
      <c r="M890" t="s">
        <v>2497</v>
      </c>
      <c r="N890" t="s">
        <v>28</v>
      </c>
      <c r="O890" t="s">
        <v>62</v>
      </c>
      <c r="P890" t="s">
        <v>63</v>
      </c>
      <c r="Q890" t="s">
        <v>31</v>
      </c>
      <c r="R890">
        <v>4</v>
      </c>
      <c r="S890" t="s">
        <v>5623</v>
      </c>
      <c r="T890" t="s">
        <v>7512</v>
      </c>
      <c r="U890" t="s">
        <v>7512</v>
      </c>
      <c r="V890" t="s">
        <v>49</v>
      </c>
      <c r="W890" t="s">
        <v>33</v>
      </c>
      <c r="X890" t="s">
        <v>33</v>
      </c>
      <c r="Y890" t="s">
        <v>33</v>
      </c>
      <c r="Z890" s="16" t="s">
        <v>34</v>
      </c>
      <c r="AA890">
        <v>-75.565169940000004</v>
      </c>
      <c r="AB890">
        <v>6.2072927099999999</v>
      </c>
      <c r="AC890" t="s">
        <v>135</v>
      </c>
      <c r="AD890" t="s">
        <v>136</v>
      </c>
    </row>
    <row r="891" spans="1:30" x14ac:dyDescent="0.25">
      <c r="A891" t="s">
        <v>5624</v>
      </c>
      <c r="B891" t="s">
        <v>61</v>
      </c>
      <c r="C891" t="s">
        <v>26</v>
      </c>
      <c r="D891" t="s">
        <v>61</v>
      </c>
      <c r="E891" t="s">
        <v>5625</v>
      </c>
      <c r="F891" t="s">
        <v>5626</v>
      </c>
      <c r="G891">
        <v>890905211</v>
      </c>
      <c r="H891" t="s">
        <v>1716</v>
      </c>
      <c r="I891" s="4" t="s">
        <v>5080</v>
      </c>
      <c r="J891" s="4" t="s">
        <v>5627</v>
      </c>
      <c r="K891" t="s">
        <v>5628</v>
      </c>
      <c r="L891" t="s">
        <v>27</v>
      </c>
      <c r="M891" t="s">
        <v>5629</v>
      </c>
      <c r="N891" t="s">
        <v>28</v>
      </c>
      <c r="O891" t="s">
        <v>62</v>
      </c>
      <c r="P891" t="s">
        <v>63</v>
      </c>
      <c r="Q891" t="s">
        <v>31</v>
      </c>
      <c r="R891">
        <v>4</v>
      </c>
      <c r="S891" t="s">
        <v>5630</v>
      </c>
      <c r="T891" t="s">
        <v>7513</v>
      </c>
      <c r="U891" t="s">
        <v>7513</v>
      </c>
      <c r="V891" t="s">
        <v>49</v>
      </c>
      <c r="W891" t="s">
        <v>33</v>
      </c>
      <c r="X891" t="s">
        <v>33</v>
      </c>
      <c r="Y891" t="s">
        <v>33</v>
      </c>
      <c r="Z891" s="16" t="s">
        <v>34</v>
      </c>
      <c r="AA891">
        <v>-75.568146560000002</v>
      </c>
      <c r="AB891">
        <v>6.2511979999999996</v>
      </c>
      <c r="AC891" t="s">
        <v>135</v>
      </c>
      <c r="AD891" t="s">
        <v>136</v>
      </c>
    </row>
    <row r="892" spans="1:30" x14ac:dyDescent="0.25">
      <c r="A892" t="s">
        <v>5631</v>
      </c>
      <c r="B892" t="s">
        <v>61</v>
      </c>
      <c r="C892" t="s">
        <v>26</v>
      </c>
      <c r="D892" t="s">
        <v>61</v>
      </c>
      <c r="E892" t="s">
        <v>5632</v>
      </c>
      <c r="F892" t="s">
        <v>5633</v>
      </c>
      <c r="G892">
        <v>43760427</v>
      </c>
      <c r="H892" t="s">
        <v>5634</v>
      </c>
      <c r="I892" s="4" t="s">
        <v>5635</v>
      </c>
      <c r="J892" s="4" t="s">
        <v>797</v>
      </c>
      <c r="K892" t="s">
        <v>5636</v>
      </c>
      <c r="L892" t="s">
        <v>27</v>
      </c>
      <c r="M892" t="s">
        <v>5637</v>
      </c>
      <c r="N892" t="s">
        <v>28</v>
      </c>
      <c r="O892" t="s">
        <v>62</v>
      </c>
      <c r="P892" t="s">
        <v>63</v>
      </c>
      <c r="Q892" t="s">
        <v>31</v>
      </c>
      <c r="R892">
        <v>4</v>
      </c>
      <c r="S892" t="s">
        <v>5638</v>
      </c>
      <c r="T892" t="s">
        <v>7514</v>
      </c>
      <c r="U892" t="s">
        <v>7514</v>
      </c>
      <c r="V892" t="s">
        <v>49</v>
      </c>
      <c r="W892" t="s">
        <v>33</v>
      </c>
      <c r="X892" t="s">
        <v>33</v>
      </c>
      <c r="Y892" t="s">
        <v>33</v>
      </c>
      <c r="Z892" s="16" t="s">
        <v>34</v>
      </c>
      <c r="AA892">
        <v>-75.566710220000004</v>
      </c>
      <c r="AB892">
        <v>6.2396204800000001</v>
      </c>
      <c r="AC892" t="s">
        <v>135</v>
      </c>
      <c r="AD892" t="s">
        <v>136</v>
      </c>
    </row>
    <row r="893" spans="1:30" x14ac:dyDescent="0.25">
      <c r="A893" t="s">
        <v>5639</v>
      </c>
      <c r="B893" t="s">
        <v>25</v>
      </c>
      <c r="C893" t="s">
        <v>26</v>
      </c>
      <c r="D893" t="s">
        <v>39</v>
      </c>
      <c r="E893" t="s">
        <v>5640</v>
      </c>
      <c r="F893" t="s">
        <v>5641</v>
      </c>
      <c r="G893">
        <v>71420323</v>
      </c>
      <c r="H893" t="s">
        <v>5642</v>
      </c>
      <c r="I893" s="4" t="s">
        <v>35</v>
      </c>
      <c r="J893" s="4" t="s">
        <v>5643</v>
      </c>
      <c r="K893" t="s">
        <v>5644</v>
      </c>
      <c r="L893" t="s">
        <v>27</v>
      </c>
      <c r="M893" t="s">
        <v>5645</v>
      </c>
      <c r="N893" t="s">
        <v>28</v>
      </c>
      <c r="O893" t="s">
        <v>40</v>
      </c>
      <c r="P893" t="s">
        <v>41</v>
      </c>
      <c r="Q893" t="s">
        <v>31</v>
      </c>
      <c r="R893">
        <v>5</v>
      </c>
      <c r="S893" t="s">
        <v>5646</v>
      </c>
      <c r="T893" t="s">
        <v>7231</v>
      </c>
      <c r="U893" t="s">
        <v>655</v>
      </c>
      <c r="V893" t="s">
        <v>32</v>
      </c>
      <c r="W893" t="s">
        <v>33</v>
      </c>
      <c r="X893" t="s">
        <v>33</v>
      </c>
      <c r="Y893" t="s">
        <v>33</v>
      </c>
      <c r="Z893" s="16" t="s">
        <v>34</v>
      </c>
      <c r="AA893">
        <v>-75.555198000000004</v>
      </c>
      <c r="AB893">
        <v>6.2297130000000003</v>
      </c>
      <c r="AC893" t="s">
        <v>135</v>
      </c>
      <c r="AD893" t="s">
        <v>136</v>
      </c>
    </row>
    <row r="894" spans="1:30" x14ac:dyDescent="0.25">
      <c r="A894" t="s">
        <v>5647</v>
      </c>
      <c r="B894" t="s">
        <v>25</v>
      </c>
      <c r="C894" t="s">
        <v>26</v>
      </c>
      <c r="D894" t="s">
        <v>39</v>
      </c>
      <c r="E894" t="s">
        <v>5648</v>
      </c>
      <c r="F894" t="s">
        <v>5649</v>
      </c>
      <c r="G894">
        <v>1017127802</v>
      </c>
      <c r="H894" t="s">
        <v>5650</v>
      </c>
      <c r="I894" s="4" t="s">
        <v>35</v>
      </c>
      <c r="J894" s="4" t="s">
        <v>5651</v>
      </c>
      <c r="K894" t="s">
        <v>5652</v>
      </c>
      <c r="L894" t="s">
        <v>27</v>
      </c>
      <c r="M894" t="s">
        <v>5653</v>
      </c>
      <c r="N894" t="s">
        <v>28</v>
      </c>
      <c r="O894" t="s">
        <v>40</v>
      </c>
      <c r="P894" t="s">
        <v>41</v>
      </c>
      <c r="Q894" t="s">
        <v>31</v>
      </c>
      <c r="R894">
        <v>5</v>
      </c>
      <c r="S894" t="s">
        <v>5654</v>
      </c>
      <c r="T894" t="s">
        <v>3637</v>
      </c>
      <c r="U894" t="s">
        <v>7515</v>
      </c>
      <c r="V894" t="s">
        <v>32</v>
      </c>
      <c r="W894" t="s">
        <v>33</v>
      </c>
      <c r="X894" t="s">
        <v>33</v>
      </c>
      <c r="Y894" t="s">
        <v>33</v>
      </c>
      <c r="Z894" s="16" t="s">
        <v>34</v>
      </c>
      <c r="AA894">
        <v>-75.638197000000005</v>
      </c>
      <c r="AB894">
        <v>6.2760899999999999</v>
      </c>
      <c r="AC894" t="s">
        <v>135</v>
      </c>
      <c r="AD894" t="s">
        <v>136</v>
      </c>
    </row>
    <row r="895" spans="1:30" x14ac:dyDescent="0.25">
      <c r="A895" t="s">
        <v>5655</v>
      </c>
      <c r="B895" t="s">
        <v>50</v>
      </c>
      <c r="C895" t="s">
        <v>26</v>
      </c>
      <c r="D895" t="s">
        <v>50</v>
      </c>
      <c r="E895" t="s">
        <v>5656</v>
      </c>
      <c r="F895" t="s">
        <v>5657</v>
      </c>
      <c r="G895">
        <v>15486530</v>
      </c>
      <c r="H895" t="s">
        <v>4884</v>
      </c>
      <c r="I895" s="4" t="s">
        <v>35</v>
      </c>
      <c r="J895" s="4" t="s">
        <v>4885</v>
      </c>
      <c r="K895" t="s">
        <v>5658</v>
      </c>
      <c r="L895" t="s">
        <v>27</v>
      </c>
      <c r="M895" t="s">
        <v>5659</v>
      </c>
      <c r="N895" t="s">
        <v>28</v>
      </c>
      <c r="O895" t="s">
        <v>51</v>
      </c>
      <c r="P895" t="s">
        <v>52</v>
      </c>
      <c r="Q895" t="s">
        <v>31</v>
      </c>
      <c r="R895">
        <v>11</v>
      </c>
      <c r="S895" t="s">
        <v>5660</v>
      </c>
      <c r="T895" t="s">
        <v>7516</v>
      </c>
      <c r="U895" t="s">
        <v>7517</v>
      </c>
      <c r="V895" t="s">
        <v>32</v>
      </c>
      <c r="W895" t="s">
        <v>33</v>
      </c>
      <c r="X895" t="s">
        <v>33</v>
      </c>
      <c r="Y895" t="s">
        <v>33</v>
      </c>
      <c r="Z895" s="16" t="s">
        <v>34</v>
      </c>
      <c r="AA895">
        <v>-75.599942999999996</v>
      </c>
      <c r="AB895">
        <v>6.2720890000000002</v>
      </c>
      <c r="AC895" t="s">
        <v>135</v>
      </c>
      <c r="AD895" t="s">
        <v>136</v>
      </c>
    </row>
    <row r="896" spans="1:30" x14ac:dyDescent="0.25">
      <c r="A896" t="s">
        <v>5661</v>
      </c>
      <c r="B896" t="s">
        <v>61</v>
      </c>
      <c r="C896" t="s">
        <v>26</v>
      </c>
      <c r="D896" t="s">
        <v>61</v>
      </c>
      <c r="E896" t="s">
        <v>5662</v>
      </c>
      <c r="F896" t="s">
        <v>5663</v>
      </c>
      <c r="G896">
        <v>75082049</v>
      </c>
      <c r="H896" t="s">
        <v>5664</v>
      </c>
      <c r="I896" s="4" t="s">
        <v>35</v>
      </c>
      <c r="J896" s="4" t="s">
        <v>5665</v>
      </c>
      <c r="K896" t="s">
        <v>5666</v>
      </c>
      <c r="L896" t="s">
        <v>27</v>
      </c>
      <c r="M896" t="s">
        <v>5667</v>
      </c>
      <c r="N896" t="s">
        <v>28</v>
      </c>
      <c r="O896" t="s">
        <v>62</v>
      </c>
      <c r="P896" t="s">
        <v>63</v>
      </c>
      <c r="Q896" t="s">
        <v>31</v>
      </c>
      <c r="R896">
        <v>4</v>
      </c>
      <c r="S896" t="s">
        <v>5668</v>
      </c>
      <c r="T896" t="s">
        <v>7518</v>
      </c>
      <c r="U896" t="s">
        <v>7518</v>
      </c>
      <c r="V896" t="s">
        <v>49</v>
      </c>
      <c r="W896" t="s">
        <v>33</v>
      </c>
      <c r="X896" t="s">
        <v>33</v>
      </c>
      <c r="Y896" t="s">
        <v>33</v>
      </c>
      <c r="Z896" s="16" t="s">
        <v>34</v>
      </c>
      <c r="AA896">
        <v>-75.559369070000002</v>
      </c>
      <c r="AB896">
        <v>6.23420504</v>
      </c>
      <c r="AC896" t="s">
        <v>135</v>
      </c>
      <c r="AD896" t="s">
        <v>136</v>
      </c>
    </row>
    <row r="897" spans="1:30" x14ac:dyDescent="0.25">
      <c r="A897" t="s">
        <v>9985</v>
      </c>
      <c r="B897" t="s">
        <v>42</v>
      </c>
      <c r="C897" t="s">
        <v>26</v>
      </c>
      <c r="D897" t="s">
        <v>42</v>
      </c>
      <c r="E897" t="s">
        <v>7519</v>
      </c>
      <c r="F897" t="s">
        <v>7520</v>
      </c>
      <c r="G897">
        <v>43272512</v>
      </c>
      <c r="H897" t="s">
        <v>7521</v>
      </c>
      <c r="I897" s="4" t="s">
        <v>7522</v>
      </c>
      <c r="J897" s="4" t="s">
        <v>7523</v>
      </c>
      <c r="K897" t="s">
        <v>7524</v>
      </c>
      <c r="L897" t="s">
        <v>48</v>
      </c>
      <c r="M897" t="s">
        <v>7525</v>
      </c>
      <c r="N897" t="s">
        <v>64</v>
      </c>
      <c r="O897" t="s">
        <v>43</v>
      </c>
      <c r="P897" t="s">
        <v>54</v>
      </c>
      <c r="Q897" t="s">
        <v>38</v>
      </c>
      <c r="R897">
        <v>10</v>
      </c>
      <c r="S897" t="s">
        <v>7526</v>
      </c>
      <c r="T897" t="s">
        <v>2596</v>
      </c>
      <c r="U897" t="s">
        <v>7527</v>
      </c>
      <c r="V897" t="s">
        <v>32</v>
      </c>
      <c r="W897" t="s">
        <v>33</v>
      </c>
      <c r="X897" t="s">
        <v>33</v>
      </c>
      <c r="Y897" t="s">
        <v>33</v>
      </c>
      <c r="Z897" s="16" t="s">
        <v>34</v>
      </c>
      <c r="AA897">
        <v>-75.505385000000004</v>
      </c>
      <c r="AB897">
        <v>6.1594350000000002</v>
      </c>
      <c r="AC897" t="s">
        <v>135</v>
      </c>
      <c r="AD897" t="s">
        <v>136</v>
      </c>
    </row>
    <row r="898" spans="1:30" x14ac:dyDescent="0.25">
      <c r="A898" t="s">
        <v>5669</v>
      </c>
      <c r="B898" t="s">
        <v>25</v>
      </c>
      <c r="C898" t="s">
        <v>26</v>
      </c>
      <c r="D898" t="s">
        <v>39</v>
      </c>
      <c r="E898" t="s">
        <v>5670</v>
      </c>
      <c r="F898" t="s">
        <v>5671</v>
      </c>
      <c r="G898">
        <v>71363555</v>
      </c>
      <c r="H898" t="s">
        <v>5672</v>
      </c>
      <c r="I898" s="4" t="s">
        <v>35</v>
      </c>
      <c r="J898" s="4" t="s">
        <v>5673</v>
      </c>
      <c r="K898" t="s">
        <v>5674</v>
      </c>
      <c r="L898" t="s">
        <v>27</v>
      </c>
      <c r="M898" t="s">
        <v>5675</v>
      </c>
      <c r="N898" t="s">
        <v>28</v>
      </c>
      <c r="O898" t="s">
        <v>40</v>
      </c>
      <c r="P898" t="s">
        <v>41</v>
      </c>
      <c r="Q898" t="s">
        <v>31</v>
      </c>
      <c r="R898">
        <v>5</v>
      </c>
      <c r="S898" t="s">
        <v>5676</v>
      </c>
      <c r="T898" t="s">
        <v>1965</v>
      </c>
      <c r="U898" t="s">
        <v>7528</v>
      </c>
      <c r="V898" t="s">
        <v>32</v>
      </c>
      <c r="W898" t="s">
        <v>33</v>
      </c>
      <c r="X898" t="s">
        <v>33</v>
      </c>
      <c r="Y898" t="s">
        <v>33</v>
      </c>
      <c r="Z898" s="16" t="s">
        <v>34</v>
      </c>
      <c r="AA898">
        <v>-75.542248150000006</v>
      </c>
      <c r="AB898">
        <v>6.2356925900000002</v>
      </c>
      <c r="AC898" t="s">
        <v>135</v>
      </c>
      <c r="AD898" t="s">
        <v>136</v>
      </c>
    </row>
    <row r="899" spans="1:30" x14ac:dyDescent="0.25">
      <c r="A899" t="s">
        <v>5677</v>
      </c>
      <c r="B899" t="s">
        <v>50</v>
      </c>
      <c r="C899" t="s">
        <v>26</v>
      </c>
      <c r="D899" t="s">
        <v>50</v>
      </c>
      <c r="E899" t="s">
        <v>5678</v>
      </c>
      <c r="F899" t="s">
        <v>5679</v>
      </c>
      <c r="G899">
        <v>98469420</v>
      </c>
      <c r="H899" t="s">
        <v>5680</v>
      </c>
      <c r="I899" s="4" t="s">
        <v>35</v>
      </c>
      <c r="J899" s="4" t="s">
        <v>5681</v>
      </c>
      <c r="K899" t="s">
        <v>5682</v>
      </c>
      <c r="L899" t="s">
        <v>27</v>
      </c>
      <c r="M899" t="s">
        <v>5683</v>
      </c>
      <c r="N899" t="s">
        <v>28</v>
      </c>
      <c r="O899" t="s">
        <v>51</v>
      </c>
      <c r="P899" t="s">
        <v>52</v>
      </c>
      <c r="Q899" t="s">
        <v>31</v>
      </c>
      <c r="R899">
        <v>11</v>
      </c>
      <c r="S899" t="s">
        <v>5684</v>
      </c>
      <c r="T899" t="s">
        <v>1986</v>
      </c>
      <c r="U899" t="s">
        <v>7529</v>
      </c>
      <c r="V899" t="s">
        <v>32</v>
      </c>
      <c r="W899" t="s">
        <v>33</v>
      </c>
      <c r="X899" t="s">
        <v>33</v>
      </c>
      <c r="Y899" t="s">
        <v>33</v>
      </c>
      <c r="Z899" s="16" t="s">
        <v>34</v>
      </c>
      <c r="AA899">
        <v>-75.539891249999997</v>
      </c>
      <c r="AB899">
        <v>6.2560977700000002</v>
      </c>
      <c r="AC899" t="s">
        <v>135</v>
      </c>
      <c r="AD899" t="s">
        <v>136</v>
      </c>
    </row>
    <row r="900" spans="1:30" x14ac:dyDescent="0.25">
      <c r="A900" t="s">
        <v>6026</v>
      </c>
      <c r="B900" t="s">
        <v>65</v>
      </c>
      <c r="C900" t="s">
        <v>26</v>
      </c>
      <c r="D900" t="s">
        <v>66</v>
      </c>
      <c r="E900" t="s">
        <v>6027</v>
      </c>
      <c r="F900" t="s">
        <v>6028</v>
      </c>
      <c r="G900">
        <v>21981002</v>
      </c>
      <c r="H900" t="s">
        <v>6029</v>
      </c>
      <c r="I900" s="4" t="s">
        <v>6030</v>
      </c>
      <c r="J900" s="4" t="s">
        <v>6031</v>
      </c>
      <c r="K900" t="s">
        <v>6032</v>
      </c>
      <c r="L900" t="s">
        <v>27</v>
      </c>
      <c r="M900" t="s">
        <v>6033</v>
      </c>
      <c r="N900" t="s">
        <v>28</v>
      </c>
      <c r="O900" t="s">
        <v>68</v>
      </c>
      <c r="P900" t="s">
        <v>70</v>
      </c>
      <c r="Q900" t="s">
        <v>38</v>
      </c>
      <c r="R900">
        <v>14</v>
      </c>
      <c r="S900" t="s">
        <v>6034</v>
      </c>
      <c r="T900" t="s">
        <v>1134</v>
      </c>
      <c r="U900" t="s">
        <v>7530</v>
      </c>
      <c r="V900" t="s">
        <v>32</v>
      </c>
      <c r="W900" t="s">
        <v>33</v>
      </c>
      <c r="X900" t="s">
        <v>33</v>
      </c>
      <c r="Y900" t="s">
        <v>33</v>
      </c>
      <c r="Z900" s="16" t="s">
        <v>34</v>
      </c>
      <c r="AA900">
        <v>-75.610298</v>
      </c>
      <c r="AB900">
        <v>6.2045539999999999</v>
      </c>
      <c r="AC900" t="s">
        <v>135</v>
      </c>
      <c r="AD900" t="s">
        <v>136</v>
      </c>
    </row>
    <row r="901" spans="1:30" x14ac:dyDescent="0.25">
      <c r="A901" t="s">
        <v>5685</v>
      </c>
      <c r="B901" t="s">
        <v>61</v>
      </c>
      <c r="C901" t="s">
        <v>26</v>
      </c>
      <c r="D901" t="s">
        <v>61</v>
      </c>
      <c r="E901" t="s">
        <v>5686</v>
      </c>
      <c r="F901" t="s">
        <v>5687</v>
      </c>
      <c r="G901">
        <v>8345348</v>
      </c>
      <c r="H901" t="s">
        <v>5272</v>
      </c>
      <c r="I901" s="4" t="s">
        <v>5688</v>
      </c>
      <c r="J901" s="4" t="s">
        <v>1043</v>
      </c>
      <c r="K901" t="s">
        <v>5273</v>
      </c>
      <c r="L901" t="s">
        <v>48</v>
      </c>
      <c r="M901" t="s">
        <v>5274</v>
      </c>
      <c r="N901" t="s">
        <v>64</v>
      </c>
      <c r="O901" t="s">
        <v>62</v>
      </c>
      <c r="P901" t="s">
        <v>63</v>
      </c>
      <c r="Q901" t="s">
        <v>31</v>
      </c>
      <c r="R901">
        <v>4</v>
      </c>
      <c r="S901" t="s">
        <v>5689</v>
      </c>
      <c r="T901" t="s">
        <v>1136</v>
      </c>
      <c r="U901" t="s">
        <v>1136</v>
      </c>
      <c r="V901" t="s">
        <v>49</v>
      </c>
      <c r="W901" t="s">
        <v>33</v>
      </c>
      <c r="X901" t="s">
        <v>33</v>
      </c>
      <c r="Y901" t="s">
        <v>33</v>
      </c>
      <c r="Z901" s="16" t="s">
        <v>34</v>
      </c>
      <c r="AA901">
        <v>-75.586495479999996</v>
      </c>
      <c r="AB901">
        <v>6.1701203700000002</v>
      </c>
      <c r="AC901" t="s">
        <v>135</v>
      </c>
      <c r="AD901" t="s">
        <v>136</v>
      </c>
    </row>
    <row r="902" spans="1:30" x14ac:dyDescent="0.25">
      <c r="A902" t="s">
        <v>5690</v>
      </c>
      <c r="B902" t="s">
        <v>61</v>
      </c>
      <c r="C902" t="s">
        <v>26</v>
      </c>
      <c r="D902" t="s">
        <v>61</v>
      </c>
      <c r="E902" t="s">
        <v>5691</v>
      </c>
      <c r="F902" t="s">
        <v>5692</v>
      </c>
      <c r="G902">
        <v>8115393</v>
      </c>
      <c r="H902" t="s">
        <v>5693</v>
      </c>
      <c r="I902" s="4" t="s">
        <v>35</v>
      </c>
      <c r="J902" s="4" t="s">
        <v>5694</v>
      </c>
      <c r="K902" t="s">
        <v>5695</v>
      </c>
      <c r="L902" t="s">
        <v>27</v>
      </c>
      <c r="M902" t="s">
        <v>5696</v>
      </c>
      <c r="N902" t="s">
        <v>28</v>
      </c>
      <c r="O902" t="s">
        <v>62</v>
      </c>
      <c r="P902" t="s">
        <v>63</v>
      </c>
      <c r="Q902" t="s">
        <v>31</v>
      </c>
      <c r="R902">
        <v>4</v>
      </c>
      <c r="S902" t="s">
        <v>5697</v>
      </c>
      <c r="T902" t="s">
        <v>888</v>
      </c>
      <c r="U902" t="s">
        <v>888</v>
      </c>
      <c r="V902" t="s">
        <v>49</v>
      </c>
      <c r="W902" t="s">
        <v>33</v>
      </c>
      <c r="X902" t="s">
        <v>33</v>
      </c>
      <c r="Y902" t="s">
        <v>33</v>
      </c>
      <c r="Z902" s="16" t="s">
        <v>34</v>
      </c>
      <c r="AA902">
        <v>-75.640069980000007</v>
      </c>
      <c r="AB902">
        <v>6.2769458199999999</v>
      </c>
      <c r="AC902" t="s">
        <v>135</v>
      </c>
      <c r="AD902" t="s">
        <v>136</v>
      </c>
    </row>
    <row r="903" spans="1:30" x14ac:dyDescent="0.25">
      <c r="A903" t="s">
        <v>5698</v>
      </c>
      <c r="B903" t="s">
        <v>25</v>
      </c>
      <c r="C903" t="s">
        <v>26</v>
      </c>
      <c r="D903" t="s">
        <v>39</v>
      </c>
      <c r="E903" t="s">
        <v>5699</v>
      </c>
      <c r="F903" t="s">
        <v>5700</v>
      </c>
      <c r="G903">
        <v>3438523</v>
      </c>
      <c r="H903" t="s">
        <v>5701</v>
      </c>
      <c r="I903" s="4" t="s">
        <v>35</v>
      </c>
      <c r="J903" s="4" t="s">
        <v>5702</v>
      </c>
      <c r="K903" t="s">
        <v>5703</v>
      </c>
      <c r="L903" t="s">
        <v>27</v>
      </c>
      <c r="M903" t="s">
        <v>5704</v>
      </c>
      <c r="N903" t="s">
        <v>28</v>
      </c>
      <c r="O903" t="s">
        <v>40</v>
      </c>
      <c r="P903" t="s">
        <v>41</v>
      </c>
      <c r="Q903" t="s">
        <v>38</v>
      </c>
      <c r="R903">
        <v>8</v>
      </c>
      <c r="S903" t="s">
        <v>5705</v>
      </c>
      <c r="T903" t="s">
        <v>7531</v>
      </c>
      <c r="U903" t="s">
        <v>7532</v>
      </c>
      <c r="V903" t="s">
        <v>32</v>
      </c>
      <c r="W903" t="s">
        <v>33</v>
      </c>
      <c r="X903" t="s">
        <v>33</v>
      </c>
      <c r="Y903" t="s">
        <v>33</v>
      </c>
      <c r="Z903" s="16" t="s">
        <v>34</v>
      </c>
      <c r="AA903">
        <v>-75.642641999999995</v>
      </c>
      <c r="AB903">
        <v>6.2781909999999996</v>
      </c>
      <c r="AC903" t="s">
        <v>135</v>
      </c>
      <c r="AD903" t="s">
        <v>136</v>
      </c>
    </row>
    <row r="904" spans="1:30" x14ac:dyDescent="0.25">
      <c r="A904" t="s">
        <v>5706</v>
      </c>
      <c r="B904" t="s">
        <v>25</v>
      </c>
      <c r="C904" t="s">
        <v>26</v>
      </c>
      <c r="D904" t="s">
        <v>39</v>
      </c>
      <c r="E904" t="s">
        <v>5707</v>
      </c>
      <c r="F904" t="s">
        <v>5708</v>
      </c>
      <c r="G904">
        <v>1000539973</v>
      </c>
      <c r="H904" t="s">
        <v>5709</v>
      </c>
      <c r="I904" s="4" t="s">
        <v>35</v>
      </c>
      <c r="J904" s="4" t="s">
        <v>5710</v>
      </c>
      <c r="K904" t="s">
        <v>5711</v>
      </c>
      <c r="L904" t="s">
        <v>27</v>
      </c>
      <c r="M904" t="s">
        <v>5712</v>
      </c>
      <c r="N904" t="s">
        <v>28</v>
      </c>
      <c r="O904" t="s">
        <v>40</v>
      </c>
      <c r="P904" t="s">
        <v>41</v>
      </c>
      <c r="Q904" t="s">
        <v>31</v>
      </c>
      <c r="R904">
        <v>5</v>
      </c>
      <c r="S904" t="s">
        <v>5713</v>
      </c>
      <c r="T904" t="s">
        <v>7533</v>
      </c>
      <c r="U904" t="s">
        <v>1115</v>
      </c>
      <c r="V904" t="s">
        <v>32</v>
      </c>
      <c r="W904" t="s">
        <v>33</v>
      </c>
      <c r="X904" t="s">
        <v>33</v>
      </c>
      <c r="Y904" t="s">
        <v>33</v>
      </c>
      <c r="Z904" s="16" t="s">
        <v>34</v>
      </c>
      <c r="AA904">
        <v>-75.542329339999995</v>
      </c>
      <c r="AB904">
        <v>6.2408634300000001</v>
      </c>
      <c r="AC904" t="s">
        <v>135</v>
      </c>
      <c r="AD904" t="s">
        <v>136</v>
      </c>
    </row>
    <row r="905" spans="1:30" x14ac:dyDescent="0.25">
      <c r="A905" t="s">
        <v>5714</v>
      </c>
      <c r="B905" t="s">
        <v>25</v>
      </c>
      <c r="C905" t="s">
        <v>26</v>
      </c>
      <c r="D905" t="s">
        <v>25</v>
      </c>
      <c r="E905" t="s">
        <v>5715</v>
      </c>
      <c r="F905" t="s">
        <v>5716</v>
      </c>
      <c r="G905">
        <v>1037626028</v>
      </c>
      <c r="H905" t="s">
        <v>5717</v>
      </c>
      <c r="I905" s="4" t="s">
        <v>35</v>
      </c>
      <c r="J905" s="4" t="s">
        <v>5718</v>
      </c>
      <c r="K905" t="s">
        <v>5719</v>
      </c>
      <c r="L905" t="s">
        <v>48</v>
      </c>
      <c r="M905" t="s">
        <v>5720</v>
      </c>
      <c r="N905" t="s">
        <v>64</v>
      </c>
      <c r="O905" t="s">
        <v>29</v>
      </c>
      <c r="P905" t="s">
        <v>37</v>
      </c>
      <c r="Q905" t="s">
        <v>38</v>
      </c>
      <c r="R905">
        <v>10</v>
      </c>
      <c r="S905" t="s">
        <v>5721</v>
      </c>
      <c r="T905" t="s">
        <v>891</v>
      </c>
      <c r="U905" t="s">
        <v>1119</v>
      </c>
      <c r="V905" t="s">
        <v>32</v>
      </c>
      <c r="W905" t="s">
        <v>33</v>
      </c>
      <c r="X905" t="s">
        <v>33</v>
      </c>
      <c r="Y905" t="s">
        <v>33</v>
      </c>
      <c r="Z905" s="16" t="s">
        <v>34</v>
      </c>
      <c r="AA905">
        <v>-75.568341000000004</v>
      </c>
      <c r="AB905">
        <v>6.1468809999999996</v>
      </c>
      <c r="AC905" t="s">
        <v>135</v>
      </c>
      <c r="AD905" t="s">
        <v>136</v>
      </c>
    </row>
    <row r="906" spans="1:30" x14ac:dyDescent="0.25">
      <c r="A906" t="s">
        <v>6035</v>
      </c>
      <c r="B906" t="s">
        <v>65</v>
      </c>
      <c r="C906" t="s">
        <v>26</v>
      </c>
      <c r="D906" t="s">
        <v>66</v>
      </c>
      <c r="E906" t="s">
        <v>6036</v>
      </c>
      <c r="F906" t="s">
        <v>6037</v>
      </c>
      <c r="G906">
        <v>71390820</v>
      </c>
      <c r="H906" t="s">
        <v>6038</v>
      </c>
      <c r="I906" s="4" t="s">
        <v>35</v>
      </c>
      <c r="J906" s="4" t="s">
        <v>6039</v>
      </c>
      <c r="K906" t="s">
        <v>6040</v>
      </c>
      <c r="L906" t="s">
        <v>57</v>
      </c>
      <c r="M906" t="s">
        <v>6041</v>
      </c>
      <c r="N906" t="s">
        <v>58</v>
      </c>
      <c r="O906" t="s">
        <v>68</v>
      </c>
      <c r="P906" t="s">
        <v>74</v>
      </c>
      <c r="Q906" t="s">
        <v>38</v>
      </c>
      <c r="R906">
        <v>14</v>
      </c>
      <c r="S906" t="s">
        <v>6042</v>
      </c>
      <c r="T906" t="s">
        <v>6208</v>
      </c>
      <c r="U906" t="s">
        <v>7534</v>
      </c>
      <c r="V906" t="s">
        <v>32</v>
      </c>
      <c r="W906" t="s">
        <v>33</v>
      </c>
      <c r="X906" t="s">
        <v>33</v>
      </c>
      <c r="Y906" t="s">
        <v>33</v>
      </c>
      <c r="Z906" s="16" t="s">
        <v>34</v>
      </c>
      <c r="AA906">
        <v>-75.625189250000005</v>
      </c>
      <c r="AB906">
        <v>6.0862940500000002</v>
      </c>
      <c r="AC906" t="s">
        <v>135</v>
      </c>
      <c r="AD906" t="s">
        <v>136</v>
      </c>
    </row>
    <row r="907" spans="1:30" x14ac:dyDescent="0.25">
      <c r="A907" t="s">
        <v>5723</v>
      </c>
      <c r="B907" t="s">
        <v>25</v>
      </c>
      <c r="C907" t="s">
        <v>26</v>
      </c>
      <c r="D907" t="s">
        <v>39</v>
      </c>
      <c r="E907" t="s">
        <v>5724</v>
      </c>
      <c r="F907" t="s">
        <v>5725</v>
      </c>
      <c r="G907">
        <v>71527359</v>
      </c>
      <c r="H907" t="s">
        <v>5726</v>
      </c>
      <c r="I907" s="4" t="s">
        <v>35</v>
      </c>
      <c r="J907" s="4" t="s">
        <v>5727</v>
      </c>
      <c r="K907" t="s">
        <v>5728</v>
      </c>
      <c r="L907" t="s">
        <v>27</v>
      </c>
      <c r="M907" t="s">
        <v>5729</v>
      </c>
      <c r="N907" t="s">
        <v>28</v>
      </c>
      <c r="O907" t="s">
        <v>40</v>
      </c>
      <c r="P907" t="s">
        <v>41</v>
      </c>
      <c r="Q907" t="s">
        <v>31</v>
      </c>
      <c r="R907">
        <v>5</v>
      </c>
      <c r="S907" t="s">
        <v>5730</v>
      </c>
      <c r="T907" t="s">
        <v>7535</v>
      </c>
      <c r="U907" t="s">
        <v>7536</v>
      </c>
      <c r="V907" t="s">
        <v>32</v>
      </c>
      <c r="W907" t="s">
        <v>33</v>
      </c>
      <c r="X907" t="s">
        <v>33</v>
      </c>
      <c r="Y907" t="s">
        <v>33</v>
      </c>
      <c r="Z907" s="16" t="s">
        <v>34</v>
      </c>
      <c r="AA907">
        <v>-75.616868089999997</v>
      </c>
      <c r="AB907">
        <v>6.2674710899999999</v>
      </c>
      <c r="AC907" t="s">
        <v>135</v>
      </c>
      <c r="AD907" t="s">
        <v>136</v>
      </c>
    </row>
    <row r="908" spans="1:30" x14ac:dyDescent="0.25">
      <c r="A908" t="s">
        <v>5731</v>
      </c>
      <c r="B908" t="s">
        <v>42</v>
      </c>
      <c r="C908" t="s">
        <v>75</v>
      </c>
      <c r="D908" t="s">
        <v>42</v>
      </c>
      <c r="E908" t="s">
        <v>5732</v>
      </c>
      <c r="F908" t="s">
        <v>7537</v>
      </c>
      <c r="G908">
        <v>70166471</v>
      </c>
      <c r="H908" t="s">
        <v>5733</v>
      </c>
      <c r="I908" s="4" t="s">
        <v>5734</v>
      </c>
      <c r="J908" s="4" t="s">
        <v>5735</v>
      </c>
      <c r="K908" t="s">
        <v>5736</v>
      </c>
      <c r="L908" t="s">
        <v>44</v>
      </c>
      <c r="M908" t="s">
        <v>5737</v>
      </c>
      <c r="N908" t="s">
        <v>45</v>
      </c>
      <c r="O908" t="s">
        <v>76</v>
      </c>
      <c r="P908" t="s">
        <v>30</v>
      </c>
      <c r="Q908" t="s">
        <v>31</v>
      </c>
      <c r="R908">
        <v>7</v>
      </c>
      <c r="S908" t="s">
        <v>7538</v>
      </c>
      <c r="T908" t="s">
        <v>7539</v>
      </c>
      <c r="U908" t="s">
        <v>7540</v>
      </c>
      <c r="V908" t="s">
        <v>32</v>
      </c>
      <c r="W908" t="s">
        <v>33</v>
      </c>
      <c r="X908" t="s">
        <v>33</v>
      </c>
      <c r="Y908" t="s">
        <v>33</v>
      </c>
      <c r="Z908" s="16" t="s">
        <v>34</v>
      </c>
      <c r="AA908">
        <v>-75.599506849999997</v>
      </c>
      <c r="AB908">
        <v>6.1911473199999998</v>
      </c>
      <c r="AC908" t="s">
        <v>135</v>
      </c>
      <c r="AD908" t="s">
        <v>136</v>
      </c>
    </row>
    <row r="909" spans="1:30" x14ac:dyDescent="0.25">
      <c r="A909" t="s">
        <v>6043</v>
      </c>
      <c r="B909" t="s">
        <v>65</v>
      </c>
      <c r="C909" t="s">
        <v>26</v>
      </c>
      <c r="D909" t="s">
        <v>66</v>
      </c>
      <c r="E909" t="s">
        <v>6044</v>
      </c>
      <c r="F909" t="s">
        <v>6045</v>
      </c>
      <c r="G909">
        <v>3490006</v>
      </c>
      <c r="H909" t="s">
        <v>6046</v>
      </c>
      <c r="I909" s="4" t="s">
        <v>35</v>
      </c>
      <c r="J909" s="4" t="s">
        <v>6047</v>
      </c>
      <c r="K909" t="s">
        <v>6048</v>
      </c>
      <c r="L909" t="s">
        <v>27</v>
      </c>
      <c r="M909" t="s">
        <v>6049</v>
      </c>
      <c r="N909" t="s">
        <v>28</v>
      </c>
      <c r="O909" t="s">
        <v>68</v>
      </c>
      <c r="P909" t="s">
        <v>70</v>
      </c>
      <c r="Q909" t="s">
        <v>38</v>
      </c>
      <c r="R909">
        <v>14</v>
      </c>
      <c r="S909" t="s">
        <v>6050</v>
      </c>
      <c r="T909" t="s">
        <v>1137</v>
      </c>
      <c r="U909" t="s">
        <v>7541</v>
      </c>
      <c r="V909" t="s">
        <v>32</v>
      </c>
      <c r="W909" t="s">
        <v>33</v>
      </c>
      <c r="X909" t="s">
        <v>33</v>
      </c>
      <c r="Y909" t="s">
        <v>33</v>
      </c>
      <c r="Z909" s="16" t="s">
        <v>34</v>
      </c>
      <c r="AA909">
        <v>-75.500567390000001</v>
      </c>
      <c r="AB909">
        <v>6.2530853899999999</v>
      </c>
      <c r="AC909" t="s">
        <v>135</v>
      </c>
      <c r="AD909" t="s">
        <v>136</v>
      </c>
    </row>
    <row r="910" spans="1:30" x14ac:dyDescent="0.25">
      <c r="A910" t="s">
        <v>5738</v>
      </c>
      <c r="B910" t="s">
        <v>25</v>
      </c>
      <c r="C910" t="s">
        <v>26</v>
      </c>
      <c r="D910" t="s">
        <v>25</v>
      </c>
      <c r="E910" t="s">
        <v>5739</v>
      </c>
      <c r="F910" t="s">
        <v>5740</v>
      </c>
      <c r="G910">
        <v>16236835</v>
      </c>
      <c r="H910" t="s">
        <v>5741</v>
      </c>
      <c r="I910" s="4" t="s">
        <v>35</v>
      </c>
      <c r="J910" s="4" t="s">
        <v>5742</v>
      </c>
      <c r="K910" t="s">
        <v>5743</v>
      </c>
      <c r="L910" t="s">
        <v>57</v>
      </c>
      <c r="M910" t="s">
        <v>5744</v>
      </c>
      <c r="N910" t="s">
        <v>58</v>
      </c>
      <c r="O910" t="s">
        <v>29</v>
      </c>
      <c r="P910" t="s">
        <v>37</v>
      </c>
      <c r="Q910" t="s">
        <v>31</v>
      </c>
      <c r="R910">
        <v>7</v>
      </c>
      <c r="S910" t="s">
        <v>5745</v>
      </c>
      <c r="T910" t="s">
        <v>7542</v>
      </c>
      <c r="U910" t="s">
        <v>7234</v>
      </c>
      <c r="V910" t="s">
        <v>32</v>
      </c>
      <c r="W910" t="s">
        <v>33</v>
      </c>
      <c r="X910" t="s">
        <v>33</v>
      </c>
      <c r="Y910" t="s">
        <v>33</v>
      </c>
      <c r="Z910" s="16" t="s">
        <v>34</v>
      </c>
      <c r="AA910">
        <v>-75.636704739999999</v>
      </c>
      <c r="AB910">
        <v>6.0960636600000004</v>
      </c>
      <c r="AC910" t="s">
        <v>135</v>
      </c>
      <c r="AD910" t="s">
        <v>136</v>
      </c>
    </row>
    <row r="911" spans="1:30" x14ac:dyDescent="0.25">
      <c r="A911" t="s">
        <v>5746</v>
      </c>
      <c r="B911" t="s">
        <v>25</v>
      </c>
      <c r="C911" t="s">
        <v>26</v>
      </c>
      <c r="D911" t="s">
        <v>25</v>
      </c>
      <c r="E911" t="s">
        <v>5747</v>
      </c>
      <c r="F911" t="s">
        <v>5748</v>
      </c>
      <c r="G911">
        <v>8029384</v>
      </c>
      <c r="H911" t="s">
        <v>5749</v>
      </c>
      <c r="I911" s="4" t="s">
        <v>35</v>
      </c>
      <c r="J911" s="4" t="s">
        <v>5750</v>
      </c>
      <c r="K911" t="s">
        <v>5751</v>
      </c>
      <c r="L911" t="s">
        <v>27</v>
      </c>
      <c r="M911" t="s">
        <v>5752</v>
      </c>
      <c r="N911" t="s">
        <v>28</v>
      </c>
      <c r="O911" t="s">
        <v>29</v>
      </c>
      <c r="P911" t="s">
        <v>30</v>
      </c>
      <c r="Q911" t="s">
        <v>31</v>
      </c>
      <c r="R911">
        <v>7</v>
      </c>
      <c r="S911" t="s">
        <v>5753</v>
      </c>
      <c r="T911" t="s">
        <v>7544</v>
      </c>
      <c r="U911" t="s">
        <v>7545</v>
      </c>
      <c r="V911" t="s">
        <v>32</v>
      </c>
      <c r="W911" t="s">
        <v>33</v>
      </c>
      <c r="X911" t="s">
        <v>33</v>
      </c>
      <c r="Y911" t="s">
        <v>33</v>
      </c>
      <c r="Z911" s="16" t="s">
        <v>34</v>
      </c>
      <c r="AA911">
        <v>-75.556798020000002</v>
      </c>
      <c r="AB911">
        <v>6.2376216199999996</v>
      </c>
      <c r="AC911" t="s">
        <v>135</v>
      </c>
      <c r="AD911" t="s">
        <v>136</v>
      </c>
    </row>
    <row r="912" spans="1:30" x14ac:dyDescent="0.25">
      <c r="A912" t="s">
        <v>6051</v>
      </c>
      <c r="B912" t="s">
        <v>65</v>
      </c>
      <c r="C912" t="s">
        <v>26</v>
      </c>
      <c r="D912" t="s">
        <v>66</v>
      </c>
      <c r="E912" t="s">
        <v>6052</v>
      </c>
      <c r="F912" t="s">
        <v>6053</v>
      </c>
      <c r="G912">
        <v>71420699</v>
      </c>
      <c r="H912" t="s">
        <v>6054</v>
      </c>
      <c r="I912" s="4" t="s">
        <v>35</v>
      </c>
      <c r="J912" s="4" t="s">
        <v>6055</v>
      </c>
      <c r="K912" t="s">
        <v>6056</v>
      </c>
      <c r="L912" t="s">
        <v>44</v>
      </c>
      <c r="M912" t="s">
        <v>6057</v>
      </c>
      <c r="N912" t="s">
        <v>45</v>
      </c>
      <c r="O912" t="s">
        <v>68</v>
      </c>
      <c r="P912" t="s">
        <v>74</v>
      </c>
      <c r="Q912" t="s">
        <v>31</v>
      </c>
      <c r="R912">
        <v>9</v>
      </c>
      <c r="S912" t="s">
        <v>6058</v>
      </c>
      <c r="T912" t="s">
        <v>7546</v>
      </c>
      <c r="U912" t="s">
        <v>7547</v>
      </c>
      <c r="V912" t="s">
        <v>32</v>
      </c>
      <c r="W912" t="s">
        <v>33</v>
      </c>
      <c r="X912" t="s">
        <v>33</v>
      </c>
      <c r="Y912" t="s">
        <v>33</v>
      </c>
      <c r="Z912" s="16" t="s">
        <v>34</v>
      </c>
      <c r="AA912">
        <v>-75.620313210000006</v>
      </c>
      <c r="AB912">
        <v>6.1638645900000002</v>
      </c>
      <c r="AC912" t="s">
        <v>135</v>
      </c>
      <c r="AD912" t="s">
        <v>136</v>
      </c>
    </row>
    <row r="913" spans="1:30" x14ac:dyDescent="0.25">
      <c r="A913" t="s">
        <v>5754</v>
      </c>
      <c r="B913" t="s">
        <v>61</v>
      </c>
      <c r="C913" t="s">
        <v>26</v>
      </c>
      <c r="D913" t="s">
        <v>61</v>
      </c>
      <c r="E913" t="s">
        <v>5755</v>
      </c>
      <c r="F913" t="s">
        <v>5756</v>
      </c>
      <c r="G913">
        <v>1036600285</v>
      </c>
      <c r="H913" t="s">
        <v>5757</v>
      </c>
      <c r="I913" s="4" t="s">
        <v>35</v>
      </c>
      <c r="J913" s="4" t="s">
        <v>5758</v>
      </c>
      <c r="K913" t="s">
        <v>5759</v>
      </c>
      <c r="L913" t="s">
        <v>27</v>
      </c>
      <c r="M913" t="s">
        <v>5760</v>
      </c>
      <c r="N913" t="s">
        <v>28</v>
      </c>
      <c r="O913" t="s">
        <v>62</v>
      </c>
      <c r="P913" t="s">
        <v>63</v>
      </c>
      <c r="Q913" t="s">
        <v>31</v>
      </c>
      <c r="R913">
        <v>4</v>
      </c>
      <c r="S913" t="s">
        <v>5761</v>
      </c>
      <c r="T913" t="s">
        <v>7548</v>
      </c>
      <c r="U913" t="s">
        <v>7548</v>
      </c>
      <c r="V913" t="s">
        <v>49</v>
      </c>
      <c r="W913" t="s">
        <v>33</v>
      </c>
      <c r="X913" t="s">
        <v>33</v>
      </c>
      <c r="Y913" t="s">
        <v>33</v>
      </c>
      <c r="Z913" s="16" t="s">
        <v>34</v>
      </c>
      <c r="AA913">
        <v>-75.552340000000001</v>
      </c>
      <c r="AB913">
        <v>6.2156029999999998</v>
      </c>
      <c r="AC913" t="s">
        <v>135</v>
      </c>
      <c r="AD913" t="s">
        <v>136</v>
      </c>
    </row>
    <row r="914" spans="1:30" x14ac:dyDescent="0.25">
      <c r="A914" t="s">
        <v>5762</v>
      </c>
      <c r="B914" t="s">
        <v>25</v>
      </c>
      <c r="C914" t="s">
        <v>26</v>
      </c>
      <c r="D914" t="s">
        <v>25</v>
      </c>
      <c r="E914" t="s">
        <v>5763</v>
      </c>
      <c r="F914" t="s">
        <v>5764</v>
      </c>
      <c r="G914">
        <v>1036609044</v>
      </c>
      <c r="H914" t="s">
        <v>5765</v>
      </c>
      <c r="I914" s="4" t="s">
        <v>35</v>
      </c>
      <c r="J914" s="4" t="s">
        <v>5750</v>
      </c>
      <c r="K914" t="s">
        <v>5766</v>
      </c>
      <c r="L914" t="s">
        <v>27</v>
      </c>
      <c r="M914" t="s">
        <v>5767</v>
      </c>
      <c r="N914" t="s">
        <v>28</v>
      </c>
      <c r="O914" t="s">
        <v>29</v>
      </c>
      <c r="P914" t="s">
        <v>30</v>
      </c>
      <c r="Q914" t="s">
        <v>31</v>
      </c>
      <c r="R914">
        <v>7</v>
      </c>
      <c r="S914" t="s">
        <v>5768</v>
      </c>
      <c r="T914" t="s">
        <v>5150</v>
      </c>
      <c r="U914" t="s">
        <v>7549</v>
      </c>
      <c r="V914" t="s">
        <v>32</v>
      </c>
      <c r="W914" t="s">
        <v>33</v>
      </c>
      <c r="X914" t="s">
        <v>33</v>
      </c>
      <c r="Y914" t="s">
        <v>33</v>
      </c>
      <c r="Z914" s="16" t="s">
        <v>34</v>
      </c>
      <c r="AA914">
        <v>-75.556798020000002</v>
      </c>
      <c r="AB914">
        <v>6.2376216199999996</v>
      </c>
      <c r="AC914" t="s">
        <v>135</v>
      </c>
      <c r="AD914" t="s">
        <v>136</v>
      </c>
    </row>
    <row r="915" spans="1:30" x14ac:dyDescent="0.25">
      <c r="A915" t="s">
        <v>5770</v>
      </c>
      <c r="B915" t="s">
        <v>25</v>
      </c>
      <c r="C915" t="s">
        <v>75</v>
      </c>
      <c r="D915" t="s">
        <v>25</v>
      </c>
      <c r="E915" t="s">
        <v>5771</v>
      </c>
      <c r="F915" t="s">
        <v>5772</v>
      </c>
      <c r="G915">
        <v>91349889</v>
      </c>
      <c r="H915" t="s">
        <v>5773</v>
      </c>
      <c r="I915" s="4" t="s">
        <v>35</v>
      </c>
      <c r="J915" s="4" t="s">
        <v>5774</v>
      </c>
      <c r="K915" t="s">
        <v>7550</v>
      </c>
      <c r="L915" t="s">
        <v>48</v>
      </c>
      <c r="M915" t="s">
        <v>5775</v>
      </c>
      <c r="N915" t="s">
        <v>64</v>
      </c>
      <c r="O915" t="s">
        <v>137</v>
      </c>
      <c r="P915" t="s">
        <v>30</v>
      </c>
      <c r="Q915" t="s">
        <v>38</v>
      </c>
      <c r="R915">
        <v>10</v>
      </c>
      <c r="S915" t="s">
        <v>5776</v>
      </c>
      <c r="T915" t="s">
        <v>7551</v>
      </c>
      <c r="U915" t="s">
        <v>7552</v>
      </c>
      <c r="V915" t="s">
        <v>32</v>
      </c>
      <c r="W915" t="s">
        <v>33</v>
      </c>
      <c r="X915" t="s">
        <v>33</v>
      </c>
      <c r="Y915" t="s">
        <v>33</v>
      </c>
      <c r="Z915" s="16" t="s">
        <v>34</v>
      </c>
      <c r="AA915">
        <v>-75.527976969999997</v>
      </c>
      <c r="AB915">
        <v>6.1377919500000004</v>
      </c>
      <c r="AC915" t="s">
        <v>135</v>
      </c>
      <c r="AD915" t="s">
        <v>136</v>
      </c>
    </row>
    <row r="916" spans="1:30" x14ac:dyDescent="0.25">
      <c r="A916" t="s">
        <v>5777</v>
      </c>
      <c r="B916" t="s">
        <v>25</v>
      </c>
      <c r="C916" t="s">
        <v>26</v>
      </c>
      <c r="D916" t="s">
        <v>39</v>
      </c>
      <c r="E916" t="s">
        <v>5778</v>
      </c>
      <c r="F916" t="s">
        <v>5779</v>
      </c>
      <c r="G916">
        <v>71386273</v>
      </c>
      <c r="H916" t="s">
        <v>5780</v>
      </c>
      <c r="I916" s="4" t="s">
        <v>35</v>
      </c>
      <c r="J916" s="4" t="s">
        <v>5781</v>
      </c>
      <c r="K916" t="s">
        <v>5782</v>
      </c>
      <c r="L916" t="s">
        <v>27</v>
      </c>
      <c r="M916" t="s">
        <v>5783</v>
      </c>
      <c r="N916" t="s">
        <v>28</v>
      </c>
      <c r="O916" t="s">
        <v>40</v>
      </c>
      <c r="P916" t="s">
        <v>41</v>
      </c>
      <c r="Q916" t="s">
        <v>31</v>
      </c>
      <c r="R916">
        <v>5</v>
      </c>
      <c r="S916" t="s">
        <v>5784</v>
      </c>
      <c r="T916" t="s">
        <v>5174</v>
      </c>
      <c r="U916" t="s">
        <v>7405</v>
      </c>
      <c r="V916" t="s">
        <v>32</v>
      </c>
      <c r="W916" t="s">
        <v>33</v>
      </c>
      <c r="X916" t="s">
        <v>33</v>
      </c>
      <c r="Y916" t="s">
        <v>33</v>
      </c>
      <c r="Z916" s="16" t="s">
        <v>34</v>
      </c>
      <c r="AA916">
        <v>-75.544976919999996</v>
      </c>
      <c r="AB916">
        <v>6.2352838400000001</v>
      </c>
      <c r="AC916" t="s">
        <v>135</v>
      </c>
      <c r="AD916" t="s">
        <v>136</v>
      </c>
    </row>
    <row r="917" spans="1:30" x14ac:dyDescent="0.25">
      <c r="A917" t="s">
        <v>5785</v>
      </c>
      <c r="B917" t="s">
        <v>42</v>
      </c>
      <c r="C917" t="s">
        <v>75</v>
      </c>
      <c r="D917" t="s">
        <v>42</v>
      </c>
      <c r="E917" t="s">
        <v>5786</v>
      </c>
      <c r="F917" t="s">
        <v>5787</v>
      </c>
      <c r="G917">
        <v>70550320</v>
      </c>
      <c r="H917" t="s">
        <v>5788</v>
      </c>
      <c r="I917" s="4" t="s">
        <v>5789</v>
      </c>
      <c r="J917" s="4" t="s">
        <v>721</v>
      </c>
      <c r="K917" t="s">
        <v>5790</v>
      </c>
      <c r="L917" t="s">
        <v>48</v>
      </c>
      <c r="M917" t="s">
        <v>5791</v>
      </c>
      <c r="N917" t="s">
        <v>64</v>
      </c>
      <c r="O917" t="s">
        <v>76</v>
      </c>
      <c r="P917" t="s">
        <v>30</v>
      </c>
      <c r="Q917" t="s">
        <v>31</v>
      </c>
      <c r="R917">
        <v>7</v>
      </c>
      <c r="S917" t="s">
        <v>5792</v>
      </c>
      <c r="T917" t="s">
        <v>7553</v>
      </c>
      <c r="U917" t="s">
        <v>2657</v>
      </c>
      <c r="V917" t="s">
        <v>32</v>
      </c>
      <c r="W917" t="s">
        <v>33</v>
      </c>
      <c r="X917" t="s">
        <v>33</v>
      </c>
      <c r="Y917" t="s">
        <v>33</v>
      </c>
      <c r="Z917" s="16" t="s">
        <v>34</v>
      </c>
      <c r="AA917">
        <v>-75.584219230000002</v>
      </c>
      <c r="AB917">
        <v>6.16998742</v>
      </c>
      <c r="AC917" t="s">
        <v>135</v>
      </c>
      <c r="AD917" t="s">
        <v>136</v>
      </c>
    </row>
    <row r="918" spans="1:30" x14ac:dyDescent="0.25">
      <c r="A918" t="s">
        <v>6059</v>
      </c>
      <c r="B918" t="s">
        <v>65</v>
      </c>
      <c r="C918" t="s">
        <v>26</v>
      </c>
      <c r="D918" t="s">
        <v>66</v>
      </c>
      <c r="E918" t="s">
        <v>6060</v>
      </c>
      <c r="F918" t="s">
        <v>6061</v>
      </c>
      <c r="G918">
        <v>71600198</v>
      </c>
      <c r="H918" t="s">
        <v>6062</v>
      </c>
      <c r="I918" s="4" t="s">
        <v>35</v>
      </c>
      <c r="J918" s="4" t="s">
        <v>1105</v>
      </c>
      <c r="K918" t="s">
        <v>6063</v>
      </c>
      <c r="L918" t="s">
        <v>27</v>
      </c>
      <c r="M918" t="s">
        <v>6064</v>
      </c>
      <c r="N918" t="s">
        <v>28</v>
      </c>
      <c r="O918" t="s">
        <v>68</v>
      </c>
      <c r="P918" t="s">
        <v>70</v>
      </c>
      <c r="Q918" t="s">
        <v>38</v>
      </c>
      <c r="R918">
        <v>14</v>
      </c>
      <c r="S918" t="s">
        <v>6065</v>
      </c>
      <c r="T918" t="s">
        <v>2602</v>
      </c>
      <c r="U918" t="s">
        <v>7554</v>
      </c>
      <c r="V918" t="s">
        <v>32</v>
      </c>
      <c r="W918" t="s">
        <v>33</v>
      </c>
      <c r="X918" t="s">
        <v>33</v>
      </c>
      <c r="Y918" t="s">
        <v>33</v>
      </c>
      <c r="Z918" s="16" t="s">
        <v>34</v>
      </c>
      <c r="AA918">
        <v>-75.647835999999998</v>
      </c>
      <c r="AB918">
        <v>6.2851400000000002</v>
      </c>
      <c r="AC918" t="s">
        <v>135</v>
      </c>
      <c r="AD918" t="s">
        <v>136</v>
      </c>
    </row>
    <row r="919" spans="1:30" x14ac:dyDescent="0.25">
      <c r="A919" t="s">
        <v>9986</v>
      </c>
      <c r="B919" t="s">
        <v>50</v>
      </c>
      <c r="C919" t="s">
        <v>26</v>
      </c>
      <c r="D919" t="s">
        <v>50</v>
      </c>
      <c r="E919" t="s">
        <v>7555</v>
      </c>
      <c r="F919" t="s">
        <v>7556</v>
      </c>
      <c r="G919">
        <v>1042772489</v>
      </c>
      <c r="H919" t="s">
        <v>7557</v>
      </c>
      <c r="I919" s="4" t="s">
        <v>35</v>
      </c>
      <c r="J919" s="4" t="s">
        <v>7558</v>
      </c>
      <c r="K919" t="s">
        <v>7559</v>
      </c>
      <c r="L919" t="s">
        <v>27</v>
      </c>
      <c r="M919" t="s">
        <v>7560</v>
      </c>
      <c r="N919" t="s">
        <v>28</v>
      </c>
      <c r="O919" t="s">
        <v>40</v>
      </c>
      <c r="P919" t="s">
        <v>41</v>
      </c>
      <c r="Q919" t="s">
        <v>31</v>
      </c>
      <c r="R919">
        <v>5</v>
      </c>
      <c r="S919" t="s">
        <v>7561</v>
      </c>
      <c r="T919" t="s">
        <v>7562</v>
      </c>
      <c r="U919" t="s">
        <v>7563</v>
      </c>
      <c r="V919" t="s">
        <v>32</v>
      </c>
      <c r="W919" t="s">
        <v>33</v>
      </c>
      <c r="X919" t="s">
        <v>33</v>
      </c>
      <c r="Y919" t="s">
        <v>33</v>
      </c>
      <c r="Z919" s="16" t="s">
        <v>34</v>
      </c>
      <c r="AA919">
        <v>-75.640305999999995</v>
      </c>
      <c r="AB919">
        <v>6.174461</v>
      </c>
      <c r="AC919" t="s">
        <v>135</v>
      </c>
      <c r="AD919" t="s">
        <v>136</v>
      </c>
    </row>
    <row r="920" spans="1:30" x14ac:dyDescent="0.25">
      <c r="A920" t="s">
        <v>9987</v>
      </c>
      <c r="B920" t="s">
        <v>50</v>
      </c>
      <c r="C920" t="s">
        <v>26</v>
      </c>
      <c r="D920" t="s">
        <v>50</v>
      </c>
      <c r="E920" t="s">
        <v>7564</v>
      </c>
      <c r="F920" t="s">
        <v>7556</v>
      </c>
      <c r="G920">
        <v>1042772489</v>
      </c>
      <c r="H920" t="s">
        <v>7557</v>
      </c>
      <c r="I920" s="4" t="s">
        <v>35</v>
      </c>
      <c r="J920" s="4" t="s">
        <v>7558</v>
      </c>
      <c r="K920" t="s">
        <v>7565</v>
      </c>
      <c r="L920" t="s">
        <v>27</v>
      </c>
      <c r="M920" t="s">
        <v>7566</v>
      </c>
      <c r="N920" t="s">
        <v>28</v>
      </c>
      <c r="O920" t="s">
        <v>40</v>
      </c>
      <c r="P920" t="s">
        <v>41</v>
      </c>
      <c r="Q920" t="s">
        <v>31</v>
      </c>
      <c r="R920">
        <v>5</v>
      </c>
      <c r="S920" t="s">
        <v>7561</v>
      </c>
      <c r="T920" t="s">
        <v>7562</v>
      </c>
      <c r="U920" t="s">
        <v>7563</v>
      </c>
      <c r="V920" t="s">
        <v>32</v>
      </c>
      <c r="W920" t="s">
        <v>33</v>
      </c>
      <c r="X920" t="s">
        <v>33</v>
      </c>
      <c r="Y920" t="s">
        <v>33</v>
      </c>
      <c r="Z920" s="16" t="s">
        <v>34</v>
      </c>
      <c r="AA920">
        <v>-75.640305999999995</v>
      </c>
      <c r="AB920">
        <v>6.174461</v>
      </c>
      <c r="AC920" t="s">
        <v>135</v>
      </c>
      <c r="AD920" t="s">
        <v>136</v>
      </c>
    </row>
    <row r="921" spans="1:30" x14ac:dyDescent="0.25">
      <c r="A921" t="s">
        <v>9988</v>
      </c>
      <c r="B921" t="s">
        <v>50</v>
      </c>
      <c r="C921" t="s">
        <v>26</v>
      </c>
      <c r="D921" t="s">
        <v>50</v>
      </c>
      <c r="E921" t="s">
        <v>7567</v>
      </c>
      <c r="F921" t="s">
        <v>7568</v>
      </c>
      <c r="G921">
        <v>1042772489</v>
      </c>
      <c r="H921" t="s">
        <v>7557</v>
      </c>
      <c r="I921" s="4" t="s">
        <v>35</v>
      </c>
      <c r="J921" s="4" t="s">
        <v>7558</v>
      </c>
      <c r="K921" t="s">
        <v>7569</v>
      </c>
      <c r="L921" t="s">
        <v>27</v>
      </c>
      <c r="M921" t="s">
        <v>7570</v>
      </c>
      <c r="N921" t="s">
        <v>28</v>
      </c>
      <c r="O921" t="s">
        <v>40</v>
      </c>
      <c r="P921" t="s">
        <v>41</v>
      </c>
      <c r="Q921" t="s">
        <v>31</v>
      </c>
      <c r="R921">
        <v>5</v>
      </c>
      <c r="S921" t="s">
        <v>7571</v>
      </c>
      <c r="T921" t="s">
        <v>7562</v>
      </c>
      <c r="U921" t="s">
        <v>7563</v>
      </c>
      <c r="V921" t="s">
        <v>32</v>
      </c>
      <c r="W921" t="s">
        <v>33</v>
      </c>
      <c r="X921" t="s">
        <v>33</v>
      </c>
      <c r="Y921" t="s">
        <v>33</v>
      </c>
      <c r="Z921" s="16" t="s">
        <v>34</v>
      </c>
      <c r="AA921">
        <v>-75.640305999999995</v>
      </c>
      <c r="AB921">
        <v>6.174461</v>
      </c>
      <c r="AC921" t="s">
        <v>135</v>
      </c>
      <c r="AD921" t="s">
        <v>136</v>
      </c>
    </row>
    <row r="922" spans="1:30" x14ac:dyDescent="0.25">
      <c r="A922" t="s">
        <v>5793</v>
      </c>
      <c r="B922" t="s">
        <v>25</v>
      </c>
      <c r="C922" t="s">
        <v>26</v>
      </c>
      <c r="D922" t="s">
        <v>39</v>
      </c>
      <c r="E922" t="s">
        <v>5794</v>
      </c>
      <c r="F922" t="s">
        <v>5795</v>
      </c>
      <c r="G922">
        <v>1214734588</v>
      </c>
      <c r="H922" t="s">
        <v>5796</v>
      </c>
      <c r="I922" s="4" t="s">
        <v>35</v>
      </c>
      <c r="J922" s="4" t="s">
        <v>5797</v>
      </c>
      <c r="K922" t="s">
        <v>5798</v>
      </c>
      <c r="L922" t="s">
        <v>27</v>
      </c>
      <c r="M922" t="s">
        <v>5799</v>
      </c>
      <c r="N922" t="s">
        <v>28</v>
      </c>
      <c r="O922" t="s">
        <v>40</v>
      </c>
      <c r="P922" t="s">
        <v>41</v>
      </c>
      <c r="Q922" t="s">
        <v>31</v>
      </c>
      <c r="R922">
        <v>5</v>
      </c>
      <c r="S922" t="s">
        <v>5800</v>
      </c>
      <c r="T922" t="s">
        <v>2194</v>
      </c>
      <c r="U922" t="s">
        <v>6859</v>
      </c>
      <c r="V922" t="s">
        <v>32</v>
      </c>
      <c r="W922" t="s">
        <v>33</v>
      </c>
      <c r="X922" t="s">
        <v>33</v>
      </c>
      <c r="Y922" t="s">
        <v>33</v>
      </c>
      <c r="Z922" s="16" t="s">
        <v>34</v>
      </c>
      <c r="AA922">
        <v>-75.527999159999993</v>
      </c>
      <c r="AB922">
        <v>6.2349434199999996</v>
      </c>
      <c r="AC922" t="s">
        <v>135</v>
      </c>
      <c r="AD922" t="s">
        <v>136</v>
      </c>
    </row>
    <row r="923" spans="1:30" x14ac:dyDescent="0.25">
      <c r="A923" t="s">
        <v>5801</v>
      </c>
      <c r="B923" t="s">
        <v>61</v>
      </c>
      <c r="C923" t="s">
        <v>26</v>
      </c>
      <c r="D923" t="s">
        <v>61</v>
      </c>
      <c r="E923" t="s">
        <v>5802</v>
      </c>
      <c r="F923" t="s">
        <v>5803</v>
      </c>
      <c r="G923">
        <v>1038821146</v>
      </c>
      <c r="H923" t="s">
        <v>5804</v>
      </c>
      <c r="I923" s="4" t="s">
        <v>35</v>
      </c>
      <c r="J923" s="4" t="s">
        <v>5805</v>
      </c>
      <c r="K923" t="s">
        <v>5806</v>
      </c>
      <c r="L923" t="s">
        <v>27</v>
      </c>
      <c r="M923" t="s">
        <v>5807</v>
      </c>
      <c r="N923" t="s">
        <v>28</v>
      </c>
      <c r="O923" t="s">
        <v>62</v>
      </c>
      <c r="P923" t="s">
        <v>63</v>
      </c>
      <c r="Q923" t="s">
        <v>31</v>
      </c>
      <c r="R923">
        <v>4</v>
      </c>
      <c r="S923" t="s">
        <v>5808</v>
      </c>
      <c r="T923" t="s">
        <v>7250</v>
      </c>
      <c r="U923" t="s">
        <v>7250</v>
      </c>
      <c r="V923" t="s">
        <v>49</v>
      </c>
      <c r="W923" t="s">
        <v>33</v>
      </c>
      <c r="X923" t="s">
        <v>33</v>
      </c>
      <c r="Y923" t="s">
        <v>33</v>
      </c>
      <c r="Z923" s="16" t="s">
        <v>34</v>
      </c>
      <c r="AA923">
        <v>-75.607009210000001</v>
      </c>
      <c r="AB923">
        <v>6.2786223200000002</v>
      </c>
      <c r="AC923" t="s">
        <v>135</v>
      </c>
      <c r="AD923" t="s">
        <v>136</v>
      </c>
    </row>
    <row r="924" spans="1:30" x14ac:dyDescent="0.25">
      <c r="A924" t="s">
        <v>5809</v>
      </c>
      <c r="B924" t="s">
        <v>25</v>
      </c>
      <c r="C924" t="s">
        <v>26</v>
      </c>
      <c r="D924" t="s">
        <v>39</v>
      </c>
      <c r="E924" t="s">
        <v>5810</v>
      </c>
      <c r="F924" t="s">
        <v>5811</v>
      </c>
      <c r="G924">
        <v>1037662020</v>
      </c>
      <c r="H924" t="s">
        <v>5812</v>
      </c>
      <c r="I924" s="4" t="s">
        <v>35</v>
      </c>
      <c r="J924" s="4" t="s">
        <v>5813</v>
      </c>
      <c r="K924" t="s">
        <v>5814</v>
      </c>
      <c r="L924" t="s">
        <v>27</v>
      </c>
      <c r="M924" t="s">
        <v>5815</v>
      </c>
      <c r="N924" t="s">
        <v>28</v>
      </c>
      <c r="O924" t="s">
        <v>40</v>
      </c>
      <c r="P924" t="s">
        <v>41</v>
      </c>
      <c r="Q924" t="s">
        <v>31</v>
      </c>
      <c r="R924">
        <v>5</v>
      </c>
      <c r="S924" t="s">
        <v>5816</v>
      </c>
      <c r="T924" t="s">
        <v>7572</v>
      </c>
      <c r="U924" t="s">
        <v>5824</v>
      </c>
      <c r="V924" t="s">
        <v>32</v>
      </c>
      <c r="W924" t="s">
        <v>33</v>
      </c>
      <c r="X924" t="s">
        <v>33</v>
      </c>
      <c r="Y924" t="s">
        <v>33</v>
      </c>
      <c r="Z924" s="16" t="s">
        <v>34</v>
      </c>
      <c r="AA924">
        <v>-75.563727999999998</v>
      </c>
      <c r="AB924">
        <v>6.2305580000000003</v>
      </c>
      <c r="AC924" t="s">
        <v>135</v>
      </c>
      <c r="AD924" t="s">
        <v>136</v>
      </c>
    </row>
    <row r="925" spans="1:30" x14ac:dyDescent="0.25">
      <c r="A925" t="s">
        <v>5817</v>
      </c>
      <c r="B925" t="s">
        <v>61</v>
      </c>
      <c r="C925" t="s">
        <v>26</v>
      </c>
      <c r="D925" t="s">
        <v>61</v>
      </c>
      <c r="E925" t="s">
        <v>5818</v>
      </c>
      <c r="F925" t="s">
        <v>5819</v>
      </c>
      <c r="G925">
        <v>1116787521</v>
      </c>
      <c r="H925" t="s">
        <v>5820</v>
      </c>
      <c r="I925" s="4" t="s">
        <v>35</v>
      </c>
      <c r="J925" s="4" t="s">
        <v>2514</v>
      </c>
      <c r="K925" t="s">
        <v>5821</v>
      </c>
      <c r="L925" t="s">
        <v>27</v>
      </c>
      <c r="M925" t="s">
        <v>5822</v>
      </c>
      <c r="N925" t="s">
        <v>28</v>
      </c>
      <c r="O925" t="s">
        <v>62</v>
      </c>
      <c r="P925" t="s">
        <v>63</v>
      </c>
      <c r="Q925" t="s">
        <v>31</v>
      </c>
      <c r="R925">
        <v>4</v>
      </c>
      <c r="S925" t="s">
        <v>5823</v>
      </c>
      <c r="T925" t="s">
        <v>7572</v>
      </c>
      <c r="U925" t="s">
        <v>7572</v>
      </c>
      <c r="V925" t="s">
        <v>49</v>
      </c>
      <c r="W925" t="s">
        <v>33</v>
      </c>
      <c r="X925" t="s">
        <v>33</v>
      </c>
      <c r="Y925" t="s">
        <v>33</v>
      </c>
      <c r="Z925" s="16" t="s">
        <v>34</v>
      </c>
      <c r="AA925">
        <v>-75.598335000000006</v>
      </c>
      <c r="AB925">
        <v>6.246048</v>
      </c>
      <c r="AC925" t="s">
        <v>135</v>
      </c>
      <c r="AD925" t="s">
        <v>136</v>
      </c>
    </row>
    <row r="926" spans="1:30" x14ac:dyDescent="0.25">
      <c r="A926" t="s">
        <v>6066</v>
      </c>
      <c r="B926" t="s">
        <v>65</v>
      </c>
      <c r="C926" t="s">
        <v>26</v>
      </c>
      <c r="D926" t="s">
        <v>66</v>
      </c>
      <c r="E926" t="s">
        <v>6067</v>
      </c>
      <c r="F926" t="s">
        <v>6068</v>
      </c>
      <c r="G926">
        <v>1152225530</v>
      </c>
      <c r="H926" t="s">
        <v>6069</v>
      </c>
      <c r="I926" s="4" t="s">
        <v>35</v>
      </c>
      <c r="J926" s="4" t="s">
        <v>6070</v>
      </c>
      <c r="K926" t="s">
        <v>6071</v>
      </c>
      <c r="L926" t="s">
        <v>27</v>
      </c>
      <c r="M926" t="s">
        <v>6072</v>
      </c>
      <c r="N926" t="s">
        <v>28</v>
      </c>
      <c r="O926" t="s">
        <v>68</v>
      </c>
      <c r="P926" t="s">
        <v>70</v>
      </c>
      <c r="Q926" t="s">
        <v>31</v>
      </c>
      <c r="R926">
        <v>9</v>
      </c>
      <c r="S926" t="s">
        <v>6073</v>
      </c>
      <c r="T926" t="s">
        <v>7572</v>
      </c>
      <c r="U926" t="s">
        <v>7573</v>
      </c>
      <c r="V926" t="s">
        <v>32</v>
      </c>
      <c r="W926" t="s">
        <v>33</v>
      </c>
      <c r="X926" t="s">
        <v>33</v>
      </c>
      <c r="Y926" t="s">
        <v>33</v>
      </c>
      <c r="Z926" s="16" t="s">
        <v>34</v>
      </c>
      <c r="AA926">
        <v>-75.628520429999995</v>
      </c>
      <c r="AB926">
        <v>6.25181188</v>
      </c>
      <c r="AC926" t="s">
        <v>135</v>
      </c>
      <c r="AD926" t="s">
        <v>136</v>
      </c>
    </row>
    <row r="927" spans="1:30" x14ac:dyDescent="0.25">
      <c r="A927" t="s">
        <v>5825</v>
      </c>
      <c r="B927" t="s">
        <v>25</v>
      </c>
      <c r="C927" t="s">
        <v>26</v>
      </c>
      <c r="D927" t="s">
        <v>39</v>
      </c>
      <c r="E927" t="s">
        <v>5826</v>
      </c>
      <c r="F927" t="s">
        <v>5827</v>
      </c>
      <c r="G927">
        <v>1037662020</v>
      </c>
      <c r="H927" t="s">
        <v>5812</v>
      </c>
      <c r="I927" s="4" t="s">
        <v>35</v>
      </c>
      <c r="J927" s="4" t="s">
        <v>5813</v>
      </c>
      <c r="K927" t="s">
        <v>5828</v>
      </c>
      <c r="L927" t="s">
        <v>27</v>
      </c>
      <c r="M927" t="s">
        <v>5829</v>
      </c>
      <c r="N927" t="s">
        <v>28</v>
      </c>
      <c r="O927" t="s">
        <v>40</v>
      </c>
      <c r="P927" t="s">
        <v>41</v>
      </c>
      <c r="Q927" t="s">
        <v>31</v>
      </c>
      <c r="R927">
        <v>5</v>
      </c>
      <c r="S927" t="s">
        <v>5830</v>
      </c>
      <c r="T927" t="s">
        <v>6521</v>
      </c>
      <c r="U927" t="s">
        <v>6522</v>
      </c>
      <c r="V927" t="s">
        <v>32</v>
      </c>
      <c r="W927" t="s">
        <v>33</v>
      </c>
      <c r="X927" t="s">
        <v>33</v>
      </c>
      <c r="Y927" t="s">
        <v>33</v>
      </c>
      <c r="Z927" s="16" t="s">
        <v>34</v>
      </c>
      <c r="AA927">
        <v>-75.563727999999998</v>
      </c>
      <c r="AB927">
        <v>6.2305580000000003</v>
      </c>
      <c r="AC927" t="s">
        <v>135</v>
      </c>
      <c r="AD927" t="s">
        <v>136</v>
      </c>
    </row>
    <row r="928" spans="1:30" x14ac:dyDescent="0.25">
      <c r="A928" t="s">
        <v>5831</v>
      </c>
      <c r="B928" t="s">
        <v>25</v>
      </c>
      <c r="C928" t="s">
        <v>26</v>
      </c>
      <c r="D928" t="s">
        <v>25</v>
      </c>
      <c r="E928" t="s">
        <v>5832</v>
      </c>
      <c r="F928" t="s">
        <v>5833</v>
      </c>
      <c r="G928">
        <v>43039326</v>
      </c>
      <c r="H928" t="s">
        <v>5834</v>
      </c>
      <c r="I928" s="4" t="s">
        <v>5835</v>
      </c>
      <c r="J928" s="4" t="s">
        <v>5836</v>
      </c>
      <c r="K928" t="s">
        <v>5837</v>
      </c>
      <c r="L928" t="s">
        <v>27</v>
      </c>
      <c r="M928" t="s">
        <v>5838</v>
      </c>
      <c r="N928" t="s">
        <v>28</v>
      </c>
      <c r="O928" t="s">
        <v>29</v>
      </c>
      <c r="P928" t="s">
        <v>37</v>
      </c>
      <c r="Q928" t="s">
        <v>31</v>
      </c>
      <c r="R928">
        <v>7</v>
      </c>
      <c r="S928" t="s">
        <v>5839</v>
      </c>
      <c r="T928" t="s">
        <v>7574</v>
      </c>
      <c r="U928" t="s">
        <v>7575</v>
      </c>
      <c r="V928" t="s">
        <v>32</v>
      </c>
      <c r="W928" t="s">
        <v>33</v>
      </c>
      <c r="X928" t="s">
        <v>33</v>
      </c>
      <c r="Y928" t="s">
        <v>33</v>
      </c>
      <c r="Z928" s="16" t="s">
        <v>34</v>
      </c>
      <c r="AA928">
        <v>-75.603776999999994</v>
      </c>
      <c r="AB928">
        <v>6.2254000899999999</v>
      </c>
      <c r="AC928" t="s">
        <v>135</v>
      </c>
      <c r="AD928" t="s">
        <v>136</v>
      </c>
    </row>
    <row r="929" spans="1:30" x14ac:dyDescent="0.25">
      <c r="A929" t="s">
        <v>5840</v>
      </c>
      <c r="B929" t="s">
        <v>25</v>
      </c>
      <c r="C929" t="s">
        <v>26</v>
      </c>
      <c r="D929" t="s">
        <v>39</v>
      </c>
      <c r="E929" t="s">
        <v>5841</v>
      </c>
      <c r="F929" t="s">
        <v>5842</v>
      </c>
      <c r="G929">
        <v>3430188</v>
      </c>
      <c r="H929" t="s">
        <v>5843</v>
      </c>
      <c r="I929" s="4" t="s">
        <v>5844</v>
      </c>
      <c r="J929" s="4" t="s">
        <v>35</v>
      </c>
      <c r="K929" t="s">
        <v>5845</v>
      </c>
      <c r="L929" t="s">
        <v>27</v>
      </c>
      <c r="M929" t="s">
        <v>5846</v>
      </c>
      <c r="N929" t="s">
        <v>28</v>
      </c>
      <c r="O929" t="s">
        <v>40</v>
      </c>
      <c r="P929" t="s">
        <v>41</v>
      </c>
      <c r="Q929" t="s">
        <v>38</v>
      </c>
      <c r="R929">
        <v>8</v>
      </c>
      <c r="S929" t="s">
        <v>5847</v>
      </c>
      <c r="T929" t="s">
        <v>7576</v>
      </c>
      <c r="U929" t="s">
        <v>7577</v>
      </c>
      <c r="V929" t="s">
        <v>32</v>
      </c>
      <c r="W929" t="s">
        <v>33</v>
      </c>
      <c r="X929" t="s">
        <v>33</v>
      </c>
      <c r="Y929" t="s">
        <v>33</v>
      </c>
      <c r="Z929" s="16" t="s">
        <v>34</v>
      </c>
      <c r="AA929">
        <v>-75.64396241</v>
      </c>
      <c r="AB929">
        <v>6.2745096699999996</v>
      </c>
      <c r="AC929" t="s">
        <v>135</v>
      </c>
      <c r="AD929" t="s">
        <v>136</v>
      </c>
    </row>
    <row r="930" spans="1:30" x14ac:dyDescent="0.25">
      <c r="A930" t="s">
        <v>5848</v>
      </c>
      <c r="B930" t="s">
        <v>25</v>
      </c>
      <c r="C930" t="s">
        <v>75</v>
      </c>
      <c r="D930" t="s">
        <v>25</v>
      </c>
      <c r="E930" t="s">
        <v>5849</v>
      </c>
      <c r="F930" t="s">
        <v>5850</v>
      </c>
      <c r="G930">
        <v>70124689</v>
      </c>
      <c r="H930" t="s">
        <v>5851</v>
      </c>
      <c r="I930" s="4" t="s">
        <v>35</v>
      </c>
      <c r="J930" s="4" t="s">
        <v>5852</v>
      </c>
      <c r="K930" t="s">
        <v>5853</v>
      </c>
      <c r="L930" t="s">
        <v>55</v>
      </c>
      <c r="M930" t="s">
        <v>5854</v>
      </c>
      <c r="N930" t="s">
        <v>56</v>
      </c>
      <c r="O930" t="s">
        <v>137</v>
      </c>
      <c r="P930" t="s">
        <v>30</v>
      </c>
      <c r="Q930" t="s">
        <v>31</v>
      </c>
      <c r="R930">
        <v>7</v>
      </c>
      <c r="S930" t="s">
        <v>5855</v>
      </c>
      <c r="T930" t="s">
        <v>7578</v>
      </c>
      <c r="U930" t="s">
        <v>2685</v>
      </c>
      <c r="V930" t="s">
        <v>32</v>
      </c>
      <c r="W930" t="s">
        <v>33</v>
      </c>
      <c r="X930" t="s">
        <v>33</v>
      </c>
      <c r="Y930" t="s">
        <v>33</v>
      </c>
      <c r="Z930" s="16" t="s">
        <v>34</v>
      </c>
      <c r="AA930">
        <v>-75.636289110000007</v>
      </c>
      <c r="AB930">
        <v>6.1549134499999996</v>
      </c>
      <c r="AC930" t="s">
        <v>135</v>
      </c>
      <c r="AD930" t="s">
        <v>136</v>
      </c>
    </row>
    <row r="931" spans="1:30" x14ac:dyDescent="0.25">
      <c r="A931" t="s">
        <v>9989</v>
      </c>
      <c r="B931" t="s">
        <v>42</v>
      </c>
      <c r="C931" t="s">
        <v>26</v>
      </c>
      <c r="D931" t="s">
        <v>42</v>
      </c>
      <c r="E931" t="s">
        <v>7579</v>
      </c>
      <c r="F931" t="s">
        <v>7580</v>
      </c>
      <c r="G931">
        <v>6788471</v>
      </c>
      <c r="H931" t="s">
        <v>7581</v>
      </c>
      <c r="I931" s="4" t="s">
        <v>7582</v>
      </c>
      <c r="J931" s="4" t="s">
        <v>7583</v>
      </c>
      <c r="K931" t="s">
        <v>7584</v>
      </c>
      <c r="L931" t="s">
        <v>44</v>
      </c>
      <c r="M931" t="s">
        <v>7585</v>
      </c>
      <c r="N931" t="s">
        <v>45</v>
      </c>
      <c r="O931" t="s">
        <v>43</v>
      </c>
      <c r="P931" t="s">
        <v>54</v>
      </c>
      <c r="Q931" t="s">
        <v>38</v>
      </c>
      <c r="R931">
        <v>10</v>
      </c>
      <c r="S931" t="s">
        <v>7586</v>
      </c>
      <c r="T931" t="s">
        <v>7578</v>
      </c>
      <c r="U931" t="s">
        <v>7587</v>
      </c>
      <c r="V931" t="s">
        <v>32</v>
      </c>
      <c r="W931" t="s">
        <v>33</v>
      </c>
      <c r="X931" t="s">
        <v>33</v>
      </c>
      <c r="Y931" t="s">
        <v>33</v>
      </c>
      <c r="Z931" s="16" t="s">
        <v>34</v>
      </c>
      <c r="AA931">
        <v>-75.611388989999995</v>
      </c>
      <c r="AB931">
        <v>6.1891516800000002</v>
      </c>
      <c r="AC931" t="s">
        <v>135</v>
      </c>
      <c r="AD931" t="s">
        <v>136</v>
      </c>
    </row>
    <row r="932" spans="1:30" x14ac:dyDescent="0.25">
      <c r="A932" t="s">
        <v>6074</v>
      </c>
      <c r="B932" t="s">
        <v>65</v>
      </c>
      <c r="C932" t="s">
        <v>26</v>
      </c>
      <c r="D932" t="s">
        <v>66</v>
      </c>
      <c r="E932" t="s">
        <v>6075</v>
      </c>
      <c r="F932" t="s">
        <v>6076</v>
      </c>
      <c r="G932">
        <v>1026156343</v>
      </c>
      <c r="H932" t="s">
        <v>5331</v>
      </c>
      <c r="I932" s="4" t="s">
        <v>5332</v>
      </c>
      <c r="J932" s="4" t="s">
        <v>5333</v>
      </c>
      <c r="K932" t="s">
        <v>6077</v>
      </c>
      <c r="L932" t="s">
        <v>27</v>
      </c>
      <c r="M932" t="s">
        <v>6078</v>
      </c>
      <c r="N932" t="s">
        <v>28</v>
      </c>
      <c r="O932" t="s">
        <v>68</v>
      </c>
      <c r="P932" t="s">
        <v>70</v>
      </c>
      <c r="Q932" t="s">
        <v>31</v>
      </c>
      <c r="R932">
        <v>9</v>
      </c>
      <c r="S932" t="s">
        <v>6079</v>
      </c>
      <c r="T932" t="s">
        <v>7588</v>
      </c>
      <c r="U932" t="s">
        <v>7589</v>
      </c>
      <c r="V932" t="s">
        <v>32</v>
      </c>
      <c r="W932" t="s">
        <v>33</v>
      </c>
      <c r="X932" t="s">
        <v>33</v>
      </c>
      <c r="Y932" t="s">
        <v>33</v>
      </c>
      <c r="Z932" s="16" t="s">
        <v>34</v>
      </c>
      <c r="AA932">
        <v>-75.630166000000003</v>
      </c>
      <c r="AB932">
        <v>6.2504619999999997</v>
      </c>
      <c r="AC932" t="s">
        <v>135</v>
      </c>
      <c r="AD932" t="s">
        <v>136</v>
      </c>
    </row>
    <row r="933" spans="1:30" x14ac:dyDescent="0.25">
      <c r="A933" t="s">
        <v>5856</v>
      </c>
      <c r="B933" t="s">
        <v>25</v>
      </c>
      <c r="C933" t="s">
        <v>26</v>
      </c>
      <c r="D933" t="s">
        <v>25</v>
      </c>
      <c r="E933" t="s">
        <v>5857</v>
      </c>
      <c r="F933" t="s">
        <v>5858</v>
      </c>
      <c r="G933">
        <v>43644678</v>
      </c>
      <c r="H933" t="s">
        <v>2823</v>
      </c>
      <c r="I933" s="4" t="s">
        <v>35</v>
      </c>
      <c r="J933" s="4" t="s">
        <v>2824</v>
      </c>
      <c r="K933" t="s">
        <v>5859</v>
      </c>
      <c r="L933" t="s">
        <v>27</v>
      </c>
      <c r="M933" t="s">
        <v>5860</v>
      </c>
      <c r="N933" t="s">
        <v>28</v>
      </c>
      <c r="O933" t="s">
        <v>29</v>
      </c>
      <c r="P933" t="s">
        <v>30</v>
      </c>
      <c r="Q933" t="s">
        <v>31</v>
      </c>
      <c r="R933">
        <v>7</v>
      </c>
      <c r="S933" t="s">
        <v>5861</v>
      </c>
      <c r="T933" t="s">
        <v>7590</v>
      </c>
      <c r="U933" t="s">
        <v>7591</v>
      </c>
      <c r="V933" t="s">
        <v>32</v>
      </c>
      <c r="W933" t="s">
        <v>33</v>
      </c>
      <c r="X933" t="s">
        <v>33</v>
      </c>
      <c r="Y933" t="s">
        <v>33</v>
      </c>
      <c r="Z933" s="16" t="s">
        <v>34</v>
      </c>
      <c r="AA933">
        <v>-75.584685840000006</v>
      </c>
      <c r="AB933">
        <v>6.24781852</v>
      </c>
      <c r="AC933" t="s">
        <v>135</v>
      </c>
      <c r="AD933" t="s">
        <v>136</v>
      </c>
    </row>
    <row r="934" spans="1:30" x14ac:dyDescent="0.25">
      <c r="A934" t="s">
        <v>5862</v>
      </c>
      <c r="B934" t="s">
        <v>25</v>
      </c>
      <c r="C934" t="s">
        <v>26</v>
      </c>
      <c r="D934" t="s">
        <v>25</v>
      </c>
      <c r="E934" t="s">
        <v>5863</v>
      </c>
      <c r="F934" t="s">
        <v>5864</v>
      </c>
      <c r="G934">
        <v>15255624</v>
      </c>
      <c r="H934" t="s">
        <v>5865</v>
      </c>
      <c r="I934" s="4" t="s">
        <v>5866</v>
      </c>
      <c r="J934" s="4" t="s">
        <v>5867</v>
      </c>
      <c r="K934" t="s">
        <v>5868</v>
      </c>
      <c r="L934" t="s">
        <v>57</v>
      </c>
      <c r="M934" t="s">
        <v>5869</v>
      </c>
      <c r="N934" t="s">
        <v>58</v>
      </c>
      <c r="O934" t="s">
        <v>29</v>
      </c>
      <c r="P934" t="s">
        <v>37</v>
      </c>
      <c r="Q934" t="s">
        <v>31</v>
      </c>
      <c r="R934">
        <v>7</v>
      </c>
      <c r="S934" t="s">
        <v>5870</v>
      </c>
      <c r="T934" t="s">
        <v>7592</v>
      </c>
      <c r="U934" t="s">
        <v>7593</v>
      </c>
      <c r="V934" t="s">
        <v>32</v>
      </c>
      <c r="W934" t="s">
        <v>33</v>
      </c>
      <c r="X934" t="s">
        <v>33</v>
      </c>
      <c r="Y934" t="s">
        <v>33</v>
      </c>
      <c r="Z934" s="16" t="s">
        <v>34</v>
      </c>
      <c r="AA934">
        <v>-75.629560490000003</v>
      </c>
      <c r="AB934">
        <v>6.0958739700000004</v>
      </c>
      <c r="AC934" t="s">
        <v>135</v>
      </c>
      <c r="AD934" t="s">
        <v>136</v>
      </c>
    </row>
    <row r="935" spans="1:30" x14ac:dyDescent="0.25">
      <c r="A935" t="s">
        <v>6080</v>
      </c>
      <c r="B935" t="s">
        <v>65</v>
      </c>
      <c r="C935" t="s">
        <v>26</v>
      </c>
      <c r="D935" t="s">
        <v>66</v>
      </c>
      <c r="E935" t="s">
        <v>6081</v>
      </c>
      <c r="F935" t="s">
        <v>6082</v>
      </c>
      <c r="G935">
        <v>1094941872</v>
      </c>
      <c r="H935" t="s">
        <v>6083</v>
      </c>
      <c r="I935" s="4" t="s">
        <v>6084</v>
      </c>
      <c r="J935" s="4" t="s">
        <v>6085</v>
      </c>
      <c r="K935" t="s">
        <v>6086</v>
      </c>
      <c r="L935" t="s">
        <v>27</v>
      </c>
      <c r="M935" t="s">
        <v>6087</v>
      </c>
      <c r="N935" t="s">
        <v>28</v>
      </c>
      <c r="O935" t="s">
        <v>68</v>
      </c>
      <c r="P935" t="s">
        <v>70</v>
      </c>
      <c r="Q935" t="s">
        <v>38</v>
      </c>
      <c r="R935">
        <v>14</v>
      </c>
      <c r="S935" t="s">
        <v>6088</v>
      </c>
      <c r="T935" t="s">
        <v>7594</v>
      </c>
      <c r="U935" t="s">
        <v>7595</v>
      </c>
      <c r="V935" t="s">
        <v>32</v>
      </c>
      <c r="W935" t="s">
        <v>33</v>
      </c>
      <c r="X935" t="s">
        <v>33</v>
      </c>
      <c r="Y935" t="s">
        <v>33</v>
      </c>
      <c r="Z935" s="16" t="s">
        <v>34</v>
      </c>
      <c r="AA935">
        <v>-75.608321829999994</v>
      </c>
      <c r="AB935">
        <v>6.2749278799999999</v>
      </c>
      <c r="AC935" t="s">
        <v>135</v>
      </c>
      <c r="AD935" t="s">
        <v>136</v>
      </c>
    </row>
    <row r="936" spans="1:30" x14ac:dyDescent="0.25">
      <c r="A936" t="s">
        <v>9990</v>
      </c>
      <c r="B936" t="s">
        <v>42</v>
      </c>
      <c r="C936" t="s">
        <v>26</v>
      </c>
      <c r="D936" t="s">
        <v>42</v>
      </c>
      <c r="E936" t="s">
        <v>7596</v>
      </c>
      <c r="F936" t="s">
        <v>7597</v>
      </c>
      <c r="G936">
        <v>70602422</v>
      </c>
      <c r="H936" t="s">
        <v>5874</v>
      </c>
      <c r="I936" s="4" t="s">
        <v>35</v>
      </c>
      <c r="J936" s="4" t="s">
        <v>5875</v>
      </c>
      <c r="K936" t="s">
        <v>7598</v>
      </c>
      <c r="L936" t="s">
        <v>27</v>
      </c>
      <c r="M936" t="s">
        <v>7599</v>
      </c>
      <c r="N936" t="s">
        <v>28</v>
      </c>
      <c r="O936" t="s">
        <v>43</v>
      </c>
      <c r="P936" t="s">
        <v>30</v>
      </c>
      <c r="Q936" t="s">
        <v>31</v>
      </c>
      <c r="R936">
        <v>7</v>
      </c>
      <c r="S936" t="s">
        <v>7600</v>
      </c>
      <c r="T936" t="s">
        <v>7601</v>
      </c>
      <c r="U936" t="s">
        <v>7602</v>
      </c>
      <c r="V936" t="s">
        <v>32</v>
      </c>
      <c r="W936" t="s">
        <v>33</v>
      </c>
      <c r="X936" t="s">
        <v>33</v>
      </c>
      <c r="Y936" t="s">
        <v>33</v>
      </c>
      <c r="Z936" s="16" t="s">
        <v>34</v>
      </c>
      <c r="AA936">
        <v>-75.591282179999993</v>
      </c>
      <c r="AB936">
        <v>6.2484682300000003</v>
      </c>
      <c r="AC936" t="s">
        <v>135</v>
      </c>
      <c r="AD936" t="s">
        <v>136</v>
      </c>
    </row>
    <row r="937" spans="1:30" x14ac:dyDescent="0.25">
      <c r="A937" t="s">
        <v>5871</v>
      </c>
      <c r="B937" t="s">
        <v>42</v>
      </c>
      <c r="C937" t="s">
        <v>75</v>
      </c>
      <c r="D937" t="s">
        <v>42</v>
      </c>
      <c r="E937" t="s">
        <v>5872</v>
      </c>
      <c r="F937" t="s">
        <v>5873</v>
      </c>
      <c r="G937">
        <v>70602422</v>
      </c>
      <c r="H937" t="s">
        <v>5874</v>
      </c>
      <c r="I937" s="4" t="s">
        <v>35</v>
      </c>
      <c r="J937" s="4" t="s">
        <v>5875</v>
      </c>
      <c r="K937" t="s">
        <v>5876</v>
      </c>
      <c r="L937" t="s">
        <v>27</v>
      </c>
      <c r="M937" t="s">
        <v>5877</v>
      </c>
      <c r="N937" t="s">
        <v>28</v>
      </c>
      <c r="O937" t="s">
        <v>76</v>
      </c>
      <c r="P937" t="s">
        <v>30</v>
      </c>
      <c r="Q937" t="s">
        <v>31</v>
      </c>
      <c r="R937">
        <v>7</v>
      </c>
      <c r="S937" t="s">
        <v>5878</v>
      </c>
      <c r="T937" t="s">
        <v>7603</v>
      </c>
      <c r="U937" t="s">
        <v>2218</v>
      </c>
      <c r="V937" t="s">
        <v>32</v>
      </c>
      <c r="W937" t="s">
        <v>33</v>
      </c>
      <c r="X937" t="s">
        <v>33</v>
      </c>
      <c r="Y937" t="s">
        <v>33</v>
      </c>
      <c r="Z937" s="16" t="s">
        <v>34</v>
      </c>
      <c r="AA937">
        <v>-75.591280139999995</v>
      </c>
      <c r="AB937">
        <v>6.2484853899999999</v>
      </c>
      <c r="AC937" t="s">
        <v>135</v>
      </c>
      <c r="AD937" t="s">
        <v>136</v>
      </c>
    </row>
    <row r="938" spans="1:30" x14ac:dyDescent="0.25">
      <c r="A938" t="s">
        <v>5879</v>
      </c>
      <c r="B938" t="s">
        <v>61</v>
      </c>
      <c r="C938" t="s">
        <v>26</v>
      </c>
      <c r="D938" t="s">
        <v>61</v>
      </c>
      <c r="E938" t="s">
        <v>5880</v>
      </c>
      <c r="F938" t="s">
        <v>5881</v>
      </c>
      <c r="G938">
        <v>1018504823</v>
      </c>
      <c r="H938" t="s">
        <v>5882</v>
      </c>
      <c r="I938" s="4" t="s">
        <v>35</v>
      </c>
      <c r="J938" s="4" t="s">
        <v>5883</v>
      </c>
      <c r="K938" t="s">
        <v>5884</v>
      </c>
      <c r="L938" t="s">
        <v>27</v>
      </c>
      <c r="M938" t="s">
        <v>5885</v>
      </c>
      <c r="N938" t="s">
        <v>28</v>
      </c>
      <c r="O938" t="s">
        <v>62</v>
      </c>
      <c r="P938" t="s">
        <v>63</v>
      </c>
      <c r="Q938" t="s">
        <v>31</v>
      </c>
      <c r="R938">
        <v>4</v>
      </c>
      <c r="S938" t="s">
        <v>5886</v>
      </c>
      <c r="T938" t="s">
        <v>7604</v>
      </c>
      <c r="U938" t="s">
        <v>7604</v>
      </c>
      <c r="V938" t="s">
        <v>49</v>
      </c>
      <c r="W938" t="s">
        <v>33</v>
      </c>
      <c r="X938" t="s">
        <v>33</v>
      </c>
      <c r="Y938" t="s">
        <v>33</v>
      </c>
      <c r="Z938" s="16" t="s">
        <v>34</v>
      </c>
      <c r="AA938">
        <v>-75.566621999999995</v>
      </c>
      <c r="AB938">
        <v>6.2090360000000002</v>
      </c>
      <c r="AC938" t="s">
        <v>135</v>
      </c>
      <c r="AD938" t="s">
        <v>136</v>
      </c>
    </row>
    <row r="939" spans="1:30" x14ac:dyDescent="0.25">
      <c r="A939" t="s">
        <v>5887</v>
      </c>
      <c r="B939" t="s">
        <v>25</v>
      </c>
      <c r="C939" t="s">
        <v>26</v>
      </c>
      <c r="D939" t="s">
        <v>39</v>
      </c>
      <c r="E939" t="s">
        <v>5888</v>
      </c>
      <c r="F939" t="s">
        <v>5889</v>
      </c>
      <c r="G939">
        <v>1128415019</v>
      </c>
      <c r="H939" t="s">
        <v>5890</v>
      </c>
      <c r="I939" s="4" t="s">
        <v>5891</v>
      </c>
      <c r="J939" s="4" t="s">
        <v>5892</v>
      </c>
      <c r="K939" t="s">
        <v>5893</v>
      </c>
      <c r="L939" t="s">
        <v>27</v>
      </c>
      <c r="M939" t="s">
        <v>5894</v>
      </c>
      <c r="N939" t="s">
        <v>28</v>
      </c>
      <c r="O939" t="s">
        <v>40</v>
      </c>
      <c r="P939" t="s">
        <v>41</v>
      </c>
      <c r="Q939" t="s">
        <v>31</v>
      </c>
      <c r="R939">
        <v>5</v>
      </c>
      <c r="S939" t="s">
        <v>5895</v>
      </c>
      <c r="T939" t="s">
        <v>1143</v>
      </c>
      <c r="U939" t="s">
        <v>4746</v>
      </c>
      <c r="V939" t="s">
        <v>32</v>
      </c>
      <c r="W939" t="s">
        <v>33</v>
      </c>
      <c r="X939" t="s">
        <v>33</v>
      </c>
      <c r="Y939" t="s">
        <v>33</v>
      </c>
      <c r="Z939" s="16" t="s">
        <v>34</v>
      </c>
      <c r="AA939">
        <v>-75.623011570000003</v>
      </c>
      <c r="AB939">
        <v>6.2607761799999997</v>
      </c>
      <c r="AC939" t="s">
        <v>135</v>
      </c>
      <c r="AD939" t="s">
        <v>136</v>
      </c>
    </row>
    <row r="940" spans="1:30" x14ac:dyDescent="0.25">
      <c r="A940" t="s">
        <v>5896</v>
      </c>
      <c r="B940" t="s">
        <v>61</v>
      </c>
      <c r="C940" t="s">
        <v>26</v>
      </c>
      <c r="D940" t="s">
        <v>61</v>
      </c>
      <c r="E940" t="s">
        <v>5897</v>
      </c>
      <c r="F940" t="s">
        <v>5898</v>
      </c>
      <c r="G940">
        <v>70555877</v>
      </c>
      <c r="H940" t="s">
        <v>5899</v>
      </c>
      <c r="I940" s="4" t="s">
        <v>5900</v>
      </c>
      <c r="J940" s="4" t="s">
        <v>5901</v>
      </c>
      <c r="K940" t="s">
        <v>5902</v>
      </c>
      <c r="L940" t="s">
        <v>59</v>
      </c>
      <c r="M940" t="s">
        <v>5903</v>
      </c>
      <c r="N940" t="s">
        <v>60</v>
      </c>
      <c r="O940" t="s">
        <v>62</v>
      </c>
      <c r="P940" t="s">
        <v>63</v>
      </c>
      <c r="Q940" t="s">
        <v>31</v>
      </c>
      <c r="R940">
        <v>4</v>
      </c>
      <c r="S940" t="s">
        <v>5904</v>
      </c>
      <c r="T940" t="s">
        <v>7605</v>
      </c>
      <c r="U940" t="s">
        <v>7605</v>
      </c>
      <c r="V940" t="s">
        <v>49</v>
      </c>
      <c r="W940" t="s">
        <v>33</v>
      </c>
      <c r="X940" t="s">
        <v>33</v>
      </c>
      <c r="Y940" t="s">
        <v>33</v>
      </c>
      <c r="Z940" s="16" t="s">
        <v>34</v>
      </c>
      <c r="AA940">
        <v>-75.624838999999994</v>
      </c>
      <c r="AB940">
        <v>6.1517439999999999</v>
      </c>
      <c r="AC940" t="s">
        <v>135</v>
      </c>
      <c r="AD940" t="s">
        <v>136</v>
      </c>
    </row>
    <row r="941" spans="1:30" x14ac:dyDescent="0.25">
      <c r="A941" t="s">
        <v>5905</v>
      </c>
      <c r="B941" t="s">
        <v>61</v>
      </c>
      <c r="C941" t="s">
        <v>26</v>
      </c>
      <c r="D941" t="s">
        <v>61</v>
      </c>
      <c r="E941" t="s">
        <v>5906</v>
      </c>
      <c r="F941" t="s">
        <v>5907</v>
      </c>
      <c r="G941">
        <v>21728793</v>
      </c>
      <c r="H941" t="s">
        <v>5908</v>
      </c>
      <c r="I941" s="4" t="s">
        <v>35</v>
      </c>
      <c r="J941" s="4" t="s">
        <v>5489</v>
      </c>
      <c r="K941" t="s">
        <v>5909</v>
      </c>
      <c r="L941" t="s">
        <v>59</v>
      </c>
      <c r="M941" t="s">
        <v>5910</v>
      </c>
      <c r="N941" t="s">
        <v>60</v>
      </c>
      <c r="O941" t="s">
        <v>62</v>
      </c>
      <c r="P941" t="s">
        <v>63</v>
      </c>
      <c r="Q941" t="s">
        <v>31</v>
      </c>
      <c r="R941">
        <v>4</v>
      </c>
      <c r="S941" t="s">
        <v>5911</v>
      </c>
      <c r="T941" t="s">
        <v>7606</v>
      </c>
      <c r="U941" t="s">
        <v>7606</v>
      </c>
      <c r="V941" t="s">
        <v>49</v>
      </c>
      <c r="W941" t="s">
        <v>33</v>
      </c>
      <c r="X941" t="s">
        <v>33</v>
      </c>
      <c r="Y941" t="s">
        <v>33</v>
      </c>
      <c r="Z941" s="16" t="s">
        <v>34</v>
      </c>
      <c r="AA941">
        <v>-75.620339689999994</v>
      </c>
      <c r="AB941">
        <v>6.1510181800000003</v>
      </c>
      <c r="AC941" t="s">
        <v>135</v>
      </c>
      <c r="AD941" t="s">
        <v>136</v>
      </c>
    </row>
    <row r="942" spans="1:30" x14ac:dyDescent="0.25">
      <c r="A942" t="s">
        <v>6089</v>
      </c>
      <c r="B942" t="s">
        <v>65</v>
      </c>
      <c r="C942" t="s">
        <v>26</v>
      </c>
      <c r="D942" t="s">
        <v>66</v>
      </c>
      <c r="E942" t="s">
        <v>6090</v>
      </c>
      <c r="F942" t="s">
        <v>6091</v>
      </c>
      <c r="G942">
        <v>70097561</v>
      </c>
      <c r="H942" t="s">
        <v>6092</v>
      </c>
      <c r="I942" s="4" t="s">
        <v>35</v>
      </c>
      <c r="J942" s="4" t="s">
        <v>6093</v>
      </c>
      <c r="K942" t="s">
        <v>6094</v>
      </c>
      <c r="L942" t="s">
        <v>27</v>
      </c>
      <c r="M942" t="s">
        <v>6095</v>
      </c>
      <c r="N942" t="s">
        <v>28</v>
      </c>
      <c r="O942" t="s">
        <v>68</v>
      </c>
      <c r="P942" t="s">
        <v>70</v>
      </c>
      <c r="Q942" t="s">
        <v>38</v>
      </c>
      <c r="R942">
        <v>14</v>
      </c>
      <c r="S942" t="s">
        <v>6096</v>
      </c>
      <c r="T942" t="s">
        <v>2251</v>
      </c>
      <c r="U942" t="s">
        <v>7607</v>
      </c>
      <c r="V942" t="s">
        <v>32</v>
      </c>
      <c r="W942" t="s">
        <v>33</v>
      </c>
      <c r="X942" t="s">
        <v>33</v>
      </c>
      <c r="Y942" t="s">
        <v>33</v>
      </c>
      <c r="Z942" s="16" t="s">
        <v>34</v>
      </c>
      <c r="AA942">
        <v>-75.652553889999993</v>
      </c>
      <c r="AB942">
        <v>6.2904410799999999</v>
      </c>
      <c r="AC942" t="s">
        <v>135</v>
      </c>
      <c r="AD942" t="s">
        <v>136</v>
      </c>
    </row>
    <row r="943" spans="1:30" x14ac:dyDescent="0.25">
      <c r="A943" t="s">
        <v>5912</v>
      </c>
      <c r="B943" t="s">
        <v>25</v>
      </c>
      <c r="C943" t="s">
        <v>26</v>
      </c>
      <c r="D943" t="s">
        <v>39</v>
      </c>
      <c r="E943" t="s">
        <v>5913</v>
      </c>
      <c r="F943" t="s">
        <v>5914</v>
      </c>
      <c r="G943">
        <v>70875621</v>
      </c>
      <c r="H943" t="s">
        <v>5915</v>
      </c>
      <c r="I943" s="4" t="s">
        <v>35</v>
      </c>
      <c r="J943" s="4" t="s">
        <v>710</v>
      </c>
      <c r="K943" t="s">
        <v>5916</v>
      </c>
      <c r="L943" t="s">
        <v>27</v>
      </c>
      <c r="M943" t="s">
        <v>5917</v>
      </c>
      <c r="N943" t="s">
        <v>28</v>
      </c>
      <c r="O943" t="s">
        <v>40</v>
      </c>
      <c r="P943" t="s">
        <v>41</v>
      </c>
      <c r="Q943" t="s">
        <v>38</v>
      </c>
      <c r="R943">
        <v>8</v>
      </c>
      <c r="S943" t="s">
        <v>5918</v>
      </c>
      <c r="T943" t="s">
        <v>7608</v>
      </c>
      <c r="U943" t="s">
        <v>7609</v>
      </c>
      <c r="V943" t="s">
        <v>32</v>
      </c>
      <c r="W943" t="s">
        <v>33</v>
      </c>
      <c r="X943" t="s">
        <v>33</v>
      </c>
      <c r="Y943" t="s">
        <v>33</v>
      </c>
      <c r="Z943" s="16" t="s">
        <v>34</v>
      </c>
      <c r="AA943">
        <v>-75.610043910000002</v>
      </c>
      <c r="AB943">
        <v>6.2052303599999998</v>
      </c>
      <c r="AC943" t="s">
        <v>135</v>
      </c>
      <c r="AD943" t="s">
        <v>136</v>
      </c>
    </row>
    <row r="944" spans="1:30" x14ac:dyDescent="0.25">
      <c r="A944" t="s">
        <v>5919</v>
      </c>
      <c r="B944" t="s">
        <v>25</v>
      </c>
      <c r="C944" t="s">
        <v>26</v>
      </c>
      <c r="D944" t="s">
        <v>39</v>
      </c>
      <c r="E944" t="s">
        <v>5920</v>
      </c>
      <c r="F944" t="s">
        <v>5921</v>
      </c>
      <c r="G944">
        <v>1010107622</v>
      </c>
      <c r="H944" t="s">
        <v>5922</v>
      </c>
      <c r="I944" s="4" t="s">
        <v>35</v>
      </c>
      <c r="J944" s="4" t="s">
        <v>5923</v>
      </c>
      <c r="K944" t="s">
        <v>5924</v>
      </c>
      <c r="L944" t="s">
        <v>27</v>
      </c>
      <c r="M944" t="s">
        <v>5925</v>
      </c>
      <c r="N944" t="s">
        <v>28</v>
      </c>
      <c r="O944" t="s">
        <v>40</v>
      </c>
      <c r="P944" t="s">
        <v>41</v>
      </c>
      <c r="Q944" t="s">
        <v>31</v>
      </c>
      <c r="R944">
        <v>5</v>
      </c>
      <c r="S944" t="s">
        <v>5926</v>
      </c>
      <c r="T944" t="s">
        <v>5398</v>
      </c>
      <c r="U944" t="s">
        <v>7437</v>
      </c>
      <c r="V944" t="s">
        <v>32</v>
      </c>
      <c r="W944" t="s">
        <v>33</v>
      </c>
      <c r="X944" t="s">
        <v>33</v>
      </c>
      <c r="Y944" t="s">
        <v>33</v>
      </c>
      <c r="Z944" s="16" t="s">
        <v>34</v>
      </c>
      <c r="AA944">
        <v>-75.544843</v>
      </c>
      <c r="AB944">
        <v>6.2470699999999999</v>
      </c>
      <c r="AC944" t="s">
        <v>135</v>
      </c>
      <c r="AD944" t="s">
        <v>136</v>
      </c>
    </row>
    <row r="945" spans="1:30" x14ac:dyDescent="0.25">
      <c r="A945" t="s">
        <v>5927</v>
      </c>
      <c r="B945" t="s">
        <v>25</v>
      </c>
      <c r="C945" t="s">
        <v>26</v>
      </c>
      <c r="D945" t="s">
        <v>39</v>
      </c>
      <c r="E945" t="s">
        <v>5928</v>
      </c>
      <c r="F945" t="s">
        <v>5929</v>
      </c>
      <c r="G945">
        <v>11798004</v>
      </c>
      <c r="H945" t="s">
        <v>5930</v>
      </c>
      <c r="I945" s="4" t="s">
        <v>35</v>
      </c>
      <c r="J945" s="4" t="s">
        <v>5931</v>
      </c>
      <c r="K945" t="s">
        <v>5932</v>
      </c>
      <c r="L945" t="s">
        <v>27</v>
      </c>
      <c r="M945" t="s">
        <v>5933</v>
      </c>
      <c r="N945" t="s">
        <v>28</v>
      </c>
      <c r="O945" t="s">
        <v>40</v>
      </c>
      <c r="P945" t="s">
        <v>41</v>
      </c>
      <c r="Q945" t="s">
        <v>31</v>
      </c>
      <c r="R945">
        <v>5</v>
      </c>
      <c r="S945" t="s">
        <v>5934</v>
      </c>
      <c r="T945" t="s">
        <v>2527</v>
      </c>
      <c r="U945" t="s">
        <v>2407</v>
      </c>
      <c r="V945" t="s">
        <v>32</v>
      </c>
      <c r="W945" t="s">
        <v>33</v>
      </c>
      <c r="X945" t="s">
        <v>33</v>
      </c>
      <c r="Y945" t="s">
        <v>33</v>
      </c>
      <c r="Z945" s="16" t="s">
        <v>34</v>
      </c>
      <c r="AA945">
        <v>-75.544843</v>
      </c>
      <c r="AB945">
        <v>6.2470699999999999</v>
      </c>
      <c r="AC945" t="s">
        <v>135</v>
      </c>
      <c r="AD945" t="s">
        <v>136</v>
      </c>
    </row>
    <row r="946" spans="1:30" x14ac:dyDescent="0.25">
      <c r="A946" t="s">
        <v>9991</v>
      </c>
      <c r="B946" t="s">
        <v>42</v>
      </c>
      <c r="C946" t="s">
        <v>26</v>
      </c>
      <c r="D946" t="s">
        <v>42</v>
      </c>
      <c r="E946" t="s">
        <v>7610</v>
      </c>
      <c r="F946" t="s">
        <v>7611</v>
      </c>
      <c r="G946">
        <v>3626571</v>
      </c>
      <c r="H946" t="s">
        <v>7612</v>
      </c>
      <c r="I946" s="4" t="s">
        <v>7613</v>
      </c>
      <c r="J946" s="4" t="s">
        <v>7614</v>
      </c>
      <c r="K946" t="s">
        <v>7615</v>
      </c>
      <c r="L946" t="s">
        <v>27</v>
      </c>
      <c r="M946" t="s">
        <v>7616</v>
      </c>
      <c r="N946" t="s">
        <v>28</v>
      </c>
      <c r="O946" t="s">
        <v>43</v>
      </c>
      <c r="P946" t="s">
        <v>37</v>
      </c>
      <c r="Q946" t="s">
        <v>31</v>
      </c>
      <c r="R946">
        <v>7</v>
      </c>
      <c r="S946" t="s">
        <v>7617</v>
      </c>
      <c r="T946" t="s">
        <v>7618</v>
      </c>
      <c r="U946" t="s">
        <v>7619</v>
      </c>
      <c r="V946" t="s">
        <v>32</v>
      </c>
      <c r="W946" t="s">
        <v>33</v>
      </c>
      <c r="X946" t="s">
        <v>33</v>
      </c>
      <c r="Y946" t="s">
        <v>33</v>
      </c>
      <c r="Z946" s="16" t="s">
        <v>34</v>
      </c>
      <c r="AA946">
        <v>-75.570069009999997</v>
      </c>
      <c r="AB946">
        <v>6.2567256599999999</v>
      </c>
      <c r="AC946" t="s">
        <v>135</v>
      </c>
      <c r="AD946" t="s">
        <v>136</v>
      </c>
    </row>
    <row r="947" spans="1:30" x14ac:dyDescent="0.25">
      <c r="A947" t="s">
        <v>5935</v>
      </c>
      <c r="B947" t="s">
        <v>25</v>
      </c>
      <c r="C947" t="s">
        <v>26</v>
      </c>
      <c r="D947" t="s">
        <v>39</v>
      </c>
      <c r="E947" t="s">
        <v>5936</v>
      </c>
      <c r="F947" t="s">
        <v>5937</v>
      </c>
      <c r="G947">
        <v>11937438</v>
      </c>
      <c r="H947" t="s">
        <v>5938</v>
      </c>
      <c r="I947" s="4" t="s">
        <v>5939</v>
      </c>
      <c r="J947" s="4" t="s">
        <v>5940</v>
      </c>
      <c r="K947" t="s">
        <v>5941</v>
      </c>
      <c r="L947" t="s">
        <v>27</v>
      </c>
      <c r="M947" t="s">
        <v>5942</v>
      </c>
      <c r="N947" t="s">
        <v>28</v>
      </c>
      <c r="O947" t="s">
        <v>40</v>
      </c>
      <c r="P947" t="s">
        <v>41</v>
      </c>
      <c r="Q947" t="s">
        <v>31</v>
      </c>
      <c r="R947">
        <v>5</v>
      </c>
      <c r="S947" t="s">
        <v>5943</v>
      </c>
      <c r="T947" t="s">
        <v>645</v>
      </c>
      <c r="U947" t="s">
        <v>7620</v>
      </c>
      <c r="V947" t="s">
        <v>32</v>
      </c>
      <c r="W947" t="s">
        <v>33</v>
      </c>
      <c r="X947" t="s">
        <v>33</v>
      </c>
      <c r="Y947" t="s">
        <v>33</v>
      </c>
      <c r="Z947" s="16" t="s">
        <v>34</v>
      </c>
      <c r="AA947">
        <v>-75.544843</v>
      </c>
      <c r="AB947">
        <v>6.2470699999999999</v>
      </c>
      <c r="AC947" t="s">
        <v>135</v>
      </c>
      <c r="AD947" t="s">
        <v>136</v>
      </c>
    </row>
    <row r="948" spans="1:30" x14ac:dyDescent="0.25">
      <c r="A948" t="s">
        <v>5944</v>
      </c>
      <c r="B948" t="s">
        <v>25</v>
      </c>
      <c r="C948" t="s">
        <v>26</v>
      </c>
      <c r="D948" t="s">
        <v>25</v>
      </c>
      <c r="E948" t="s">
        <v>5945</v>
      </c>
      <c r="F948" t="s">
        <v>5946</v>
      </c>
      <c r="G948">
        <v>43263200</v>
      </c>
      <c r="H948" t="s">
        <v>5947</v>
      </c>
      <c r="I948" s="4" t="s">
        <v>35</v>
      </c>
      <c r="J948" s="4" t="s">
        <v>5948</v>
      </c>
      <c r="K948" t="s">
        <v>5949</v>
      </c>
      <c r="L948" t="s">
        <v>27</v>
      </c>
      <c r="M948" t="s">
        <v>5950</v>
      </c>
      <c r="N948" t="s">
        <v>28</v>
      </c>
      <c r="O948" t="s">
        <v>29</v>
      </c>
      <c r="P948" t="s">
        <v>37</v>
      </c>
      <c r="Q948" t="s">
        <v>31</v>
      </c>
      <c r="R948">
        <v>7</v>
      </c>
      <c r="S948" t="s">
        <v>5951</v>
      </c>
      <c r="T948" t="s">
        <v>7621</v>
      </c>
      <c r="U948" t="s">
        <v>7622</v>
      </c>
      <c r="V948" t="s">
        <v>32</v>
      </c>
      <c r="W948" t="s">
        <v>33</v>
      </c>
      <c r="X948" t="s">
        <v>33</v>
      </c>
      <c r="Y948" t="s">
        <v>33</v>
      </c>
      <c r="Z948" s="16" t="s">
        <v>34</v>
      </c>
      <c r="AA948">
        <v>-75.547798099999994</v>
      </c>
      <c r="AB948">
        <v>6.2496190900000004</v>
      </c>
      <c r="AC948" t="s">
        <v>135</v>
      </c>
      <c r="AD948" t="s">
        <v>136</v>
      </c>
    </row>
    <row r="949" spans="1:30" x14ac:dyDescent="0.25">
      <c r="A949" t="s">
        <v>5952</v>
      </c>
      <c r="B949" t="s">
        <v>25</v>
      </c>
      <c r="C949" t="s">
        <v>26</v>
      </c>
      <c r="D949" t="s">
        <v>39</v>
      </c>
      <c r="E949" t="s">
        <v>5953</v>
      </c>
      <c r="F949" t="s">
        <v>5954</v>
      </c>
      <c r="G949">
        <v>11937438</v>
      </c>
      <c r="H949" t="s">
        <v>5938</v>
      </c>
      <c r="I949" s="4" t="s">
        <v>5939</v>
      </c>
      <c r="J949" s="4" t="s">
        <v>5940</v>
      </c>
      <c r="K949" t="s">
        <v>5955</v>
      </c>
      <c r="L949" t="s">
        <v>27</v>
      </c>
      <c r="M949" t="s">
        <v>5956</v>
      </c>
      <c r="N949" t="s">
        <v>28</v>
      </c>
      <c r="O949" t="s">
        <v>40</v>
      </c>
      <c r="P949" t="s">
        <v>41</v>
      </c>
      <c r="Q949" t="s">
        <v>31</v>
      </c>
      <c r="R949">
        <v>5</v>
      </c>
      <c r="S949" t="s">
        <v>5957</v>
      </c>
      <c r="T949" t="s">
        <v>7623</v>
      </c>
      <c r="U949" t="s">
        <v>7624</v>
      </c>
      <c r="V949" t="s">
        <v>32</v>
      </c>
      <c r="W949" t="s">
        <v>33</v>
      </c>
      <c r="X949" t="s">
        <v>33</v>
      </c>
      <c r="Y949" t="s">
        <v>33</v>
      </c>
      <c r="Z949" s="16" t="s">
        <v>34</v>
      </c>
      <c r="AA949">
        <v>-75.544843</v>
      </c>
      <c r="AB949">
        <v>6.2470699999999999</v>
      </c>
      <c r="AC949" t="s">
        <v>135</v>
      </c>
      <c r="AD949" t="s">
        <v>136</v>
      </c>
    </row>
    <row r="950" spans="1:30" x14ac:dyDescent="0.25">
      <c r="A950" t="s">
        <v>5959</v>
      </c>
      <c r="B950" t="s">
        <v>25</v>
      </c>
      <c r="C950" t="s">
        <v>26</v>
      </c>
      <c r="D950" t="s">
        <v>39</v>
      </c>
      <c r="E950" t="s">
        <v>5960</v>
      </c>
      <c r="F950" t="s">
        <v>5961</v>
      </c>
      <c r="G950">
        <v>43839316</v>
      </c>
      <c r="H950" t="s">
        <v>5962</v>
      </c>
      <c r="I950" s="4" t="s">
        <v>5963</v>
      </c>
      <c r="J950" s="4" t="s">
        <v>5964</v>
      </c>
      <c r="K950" t="s">
        <v>5965</v>
      </c>
      <c r="L950" t="s">
        <v>44</v>
      </c>
      <c r="M950" t="s">
        <v>5966</v>
      </c>
      <c r="N950" t="s">
        <v>45</v>
      </c>
      <c r="O950" t="s">
        <v>40</v>
      </c>
      <c r="P950" t="s">
        <v>41</v>
      </c>
      <c r="Q950" t="s">
        <v>38</v>
      </c>
      <c r="R950">
        <v>8</v>
      </c>
      <c r="S950" t="s">
        <v>5967</v>
      </c>
      <c r="T950" t="s">
        <v>2125</v>
      </c>
      <c r="U950" t="s">
        <v>7625</v>
      </c>
      <c r="V950" t="s">
        <v>32</v>
      </c>
      <c r="W950" t="s">
        <v>33</v>
      </c>
      <c r="X950" t="s">
        <v>33</v>
      </c>
      <c r="Y950" t="s">
        <v>33</v>
      </c>
      <c r="Z950" s="16" t="s">
        <v>34</v>
      </c>
      <c r="AA950">
        <v>-75.621187680000006</v>
      </c>
      <c r="AB950">
        <v>6.1746380099999998</v>
      </c>
      <c r="AC950" t="s">
        <v>135</v>
      </c>
      <c r="AD950" t="s">
        <v>136</v>
      </c>
    </row>
    <row r="951" spans="1:30" x14ac:dyDescent="0.25">
      <c r="A951" t="s">
        <v>5968</v>
      </c>
      <c r="B951" t="s">
        <v>25</v>
      </c>
      <c r="C951" t="s">
        <v>26</v>
      </c>
      <c r="D951" t="s">
        <v>39</v>
      </c>
      <c r="E951" t="s">
        <v>5969</v>
      </c>
      <c r="F951" t="s">
        <v>5970</v>
      </c>
      <c r="G951">
        <v>70096022</v>
      </c>
      <c r="H951" t="s">
        <v>5971</v>
      </c>
      <c r="I951" s="4" t="s">
        <v>5972</v>
      </c>
      <c r="J951" s="4" t="s">
        <v>5973</v>
      </c>
      <c r="K951" t="s">
        <v>5974</v>
      </c>
      <c r="L951" t="s">
        <v>27</v>
      </c>
      <c r="M951" t="s">
        <v>5975</v>
      </c>
      <c r="N951" t="s">
        <v>28</v>
      </c>
      <c r="O951" t="s">
        <v>40</v>
      </c>
      <c r="P951" t="s">
        <v>41</v>
      </c>
      <c r="Q951" t="s">
        <v>31</v>
      </c>
      <c r="R951">
        <v>5</v>
      </c>
      <c r="S951" t="s">
        <v>5976</v>
      </c>
      <c r="T951" t="s">
        <v>7626</v>
      </c>
      <c r="U951" t="s">
        <v>1131</v>
      </c>
      <c r="V951" t="s">
        <v>32</v>
      </c>
      <c r="W951" t="s">
        <v>33</v>
      </c>
      <c r="X951" t="s">
        <v>33</v>
      </c>
      <c r="Y951" t="s">
        <v>33</v>
      </c>
      <c r="Z951" s="16" t="s">
        <v>34</v>
      </c>
      <c r="AA951">
        <v>-75.605614310000007</v>
      </c>
      <c r="AB951">
        <v>6.2108647299999999</v>
      </c>
      <c r="AC951" t="s">
        <v>135</v>
      </c>
      <c r="AD951" t="s">
        <v>136</v>
      </c>
    </row>
    <row r="952" spans="1:30" x14ac:dyDescent="0.25">
      <c r="A952" t="s">
        <v>5977</v>
      </c>
      <c r="B952" t="s">
        <v>61</v>
      </c>
      <c r="C952" t="s">
        <v>26</v>
      </c>
      <c r="D952" t="s">
        <v>61</v>
      </c>
      <c r="E952" t="s">
        <v>5978</v>
      </c>
      <c r="F952" t="s">
        <v>5979</v>
      </c>
      <c r="G952">
        <v>1040743836</v>
      </c>
      <c r="H952" t="s">
        <v>77</v>
      </c>
      <c r="I952" s="4" t="s">
        <v>35</v>
      </c>
      <c r="J952" s="4" t="s">
        <v>78</v>
      </c>
      <c r="K952" t="s">
        <v>5980</v>
      </c>
      <c r="L952" t="s">
        <v>55</v>
      </c>
      <c r="M952" t="s">
        <v>5981</v>
      </c>
      <c r="N952" t="s">
        <v>56</v>
      </c>
      <c r="O952" t="s">
        <v>62</v>
      </c>
      <c r="P952" t="s">
        <v>63</v>
      </c>
      <c r="Q952" t="s">
        <v>38</v>
      </c>
      <c r="R952">
        <v>4</v>
      </c>
      <c r="S952" t="s">
        <v>5982</v>
      </c>
      <c r="T952" t="s">
        <v>7626</v>
      </c>
      <c r="U952" t="s">
        <v>7626</v>
      </c>
      <c r="V952" t="s">
        <v>49</v>
      </c>
      <c r="W952" t="s">
        <v>33</v>
      </c>
      <c r="X952" t="s">
        <v>33</v>
      </c>
      <c r="Y952" t="s">
        <v>33</v>
      </c>
      <c r="Z952" s="16" t="s">
        <v>34</v>
      </c>
      <c r="AA952">
        <v>-75.644123109999995</v>
      </c>
      <c r="AB952">
        <v>6.1337471700000004</v>
      </c>
      <c r="AC952" t="s">
        <v>135</v>
      </c>
      <c r="AD952" t="s">
        <v>136</v>
      </c>
    </row>
    <row r="953" spans="1:30" x14ac:dyDescent="0.25">
      <c r="A953" t="s">
        <v>5983</v>
      </c>
      <c r="B953" t="s">
        <v>25</v>
      </c>
      <c r="C953" t="s">
        <v>26</v>
      </c>
      <c r="D953" t="s">
        <v>39</v>
      </c>
      <c r="E953" t="s">
        <v>5984</v>
      </c>
      <c r="F953" t="s">
        <v>5985</v>
      </c>
      <c r="G953">
        <v>1128441898</v>
      </c>
      <c r="H953" t="s">
        <v>5986</v>
      </c>
      <c r="I953" s="4" t="s">
        <v>35</v>
      </c>
      <c r="J953" s="4" t="s">
        <v>5987</v>
      </c>
      <c r="K953" t="s">
        <v>5988</v>
      </c>
      <c r="L953" t="s">
        <v>27</v>
      </c>
      <c r="M953" t="s">
        <v>5989</v>
      </c>
      <c r="N953" t="s">
        <v>28</v>
      </c>
      <c r="O953" t="s">
        <v>40</v>
      </c>
      <c r="P953" t="s">
        <v>41</v>
      </c>
      <c r="Q953" t="s">
        <v>31</v>
      </c>
      <c r="R953">
        <v>5</v>
      </c>
      <c r="S953" t="s">
        <v>5990</v>
      </c>
      <c r="T953" t="s">
        <v>7627</v>
      </c>
      <c r="U953" t="s">
        <v>7628</v>
      </c>
      <c r="V953" t="s">
        <v>32</v>
      </c>
      <c r="W953" t="s">
        <v>33</v>
      </c>
      <c r="X953" t="s">
        <v>33</v>
      </c>
      <c r="Y953" t="s">
        <v>33</v>
      </c>
      <c r="Z953" s="16" t="s">
        <v>34</v>
      </c>
      <c r="AA953">
        <v>-75.544512999999995</v>
      </c>
      <c r="AB953">
        <v>6.2473419999999997</v>
      </c>
      <c r="AC953" t="s">
        <v>135</v>
      </c>
      <c r="AD953" t="s">
        <v>136</v>
      </c>
    </row>
    <row r="954" spans="1:30" x14ac:dyDescent="0.25">
      <c r="A954" t="s">
        <v>5991</v>
      </c>
      <c r="B954" t="s">
        <v>25</v>
      </c>
      <c r="C954" t="s">
        <v>26</v>
      </c>
      <c r="D954" t="s">
        <v>39</v>
      </c>
      <c r="E954" t="s">
        <v>5992</v>
      </c>
      <c r="F954" t="s">
        <v>5993</v>
      </c>
      <c r="G954">
        <v>11437438</v>
      </c>
      <c r="H954" t="s">
        <v>5938</v>
      </c>
      <c r="I954" s="4" t="s">
        <v>35</v>
      </c>
      <c r="J954" s="4" t="s">
        <v>5994</v>
      </c>
      <c r="K954" t="s">
        <v>5995</v>
      </c>
      <c r="L954" t="s">
        <v>27</v>
      </c>
      <c r="M954" t="s">
        <v>5996</v>
      </c>
      <c r="N954" t="s">
        <v>28</v>
      </c>
      <c r="O954" t="s">
        <v>40</v>
      </c>
      <c r="P954" t="s">
        <v>41</v>
      </c>
      <c r="Q954" t="s">
        <v>31</v>
      </c>
      <c r="R954">
        <v>5</v>
      </c>
      <c r="S954" t="s">
        <v>5997</v>
      </c>
      <c r="T954" t="s">
        <v>7629</v>
      </c>
      <c r="U954" t="s">
        <v>3511</v>
      </c>
      <c r="V954" t="s">
        <v>32</v>
      </c>
      <c r="W954" t="s">
        <v>33</v>
      </c>
      <c r="X954" t="s">
        <v>33</v>
      </c>
      <c r="Y954" t="s">
        <v>33</v>
      </c>
      <c r="Z954" s="16" t="s">
        <v>34</v>
      </c>
      <c r="AA954">
        <v>-75.544512999999995</v>
      </c>
      <c r="AB954">
        <v>6.2473419999999997</v>
      </c>
      <c r="AC954" t="s">
        <v>135</v>
      </c>
      <c r="AD954" t="s">
        <v>136</v>
      </c>
    </row>
    <row r="955" spans="1:30" x14ac:dyDescent="0.25">
      <c r="A955" t="s">
        <v>5998</v>
      </c>
      <c r="B955" t="s">
        <v>25</v>
      </c>
      <c r="C955" t="s">
        <v>26</v>
      </c>
      <c r="D955" t="s">
        <v>39</v>
      </c>
      <c r="E955" t="s">
        <v>5992</v>
      </c>
      <c r="F955" t="s">
        <v>5993</v>
      </c>
      <c r="G955">
        <v>11796585</v>
      </c>
      <c r="H955" t="s">
        <v>5999</v>
      </c>
      <c r="I955" s="4" t="s">
        <v>35</v>
      </c>
      <c r="J955" s="4" t="s">
        <v>6000</v>
      </c>
      <c r="K955" t="s">
        <v>6001</v>
      </c>
      <c r="L955" t="s">
        <v>27</v>
      </c>
      <c r="M955" t="s">
        <v>6002</v>
      </c>
      <c r="N955" t="s">
        <v>28</v>
      </c>
      <c r="O955" t="s">
        <v>40</v>
      </c>
      <c r="P955" t="s">
        <v>41</v>
      </c>
      <c r="Q955" t="s">
        <v>31</v>
      </c>
      <c r="R955">
        <v>5</v>
      </c>
      <c r="S955" t="s">
        <v>5997</v>
      </c>
      <c r="T955" t="s">
        <v>7629</v>
      </c>
      <c r="U955" t="s">
        <v>3511</v>
      </c>
      <c r="V955" t="s">
        <v>32</v>
      </c>
      <c r="W955" t="s">
        <v>33</v>
      </c>
      <c r="X955" t="s">
        <v>33</v>
      </c>
      <c r="Y955" t="s">
        <v>33</v>
      </c>
      <c r="Z955" s="16" t="s">
        <v>34</v>
      </c>
      <c r="AA955">
        <v>-75.544512999999995</v>
      </c>
      <c r="AB955">
        <v>6.2473419999999997</v>
      </c>
      <c r="AC955" t="s">
        <v>135</v>
      </c>
      <c r="AD955" t="s">
        <v>136</v>
      </c>
    </row>
    <row r="956" spans="1:30" x14ac:dyDescent="0.25">
      <c r="A956" t="s">
        <v>6003</v>
      </c>
      <c r="B956" t="s">
        <v>25</v>
      </c>
      <c r="C956" t="s">
        <v>26</v>
      </c>
      <c r="D956" t="s">
        <v>39</v>
      </c>
      <c r="E956" t="s">
        <v>6004</v>
      </c>
      <c r="F956" t="s">
        <v>6005</v>
      </c>
      <c r="G956">
        <v>1128441898</v>
      </c>
      <c r="H956" t="s">
        <v>5986</v>
      </c>
      <c r="I956" s="4" t="s">
        <v>35</v>
      </c>
      <c r="J956" s="4" t="s">
        <v>5987</v>
      </c>
      <c r="K956" t="s">
        <v>6006</v>
      </c>
      <c r="L956" t="s">
        <v>27</v>
      </c>
      <c r="M956" t="s">
        <v>6007</v>
      </c>
      <c r="N956" t="s">
        <v>28</v>
      </c>
      <c r="O956" t="s">
        <v>40</v>
      </c>
      <c r="P956" t="s">
        <v>41</v>
      </c>
      <c r="Q956" t="s">
        <v>31</v>
      </c>
      <c r="R956">
        <v>5</v>
      </c>
      <c r="S956" t="s">
        <v>6008</v>
      </c>
      <c r="T956" t="s">
        <v>7630</v>
      </c>
      <c r="U956" t="s">
        <v>7631</v>
      </c>
      <c r="V956" t="s">
        <v>32</v>
      </c>
      <c r="W956" t="s">
        <v>33</v>
      </c>
      <c r="X956" t="s">
        <v>33</v>
      </c>
      <c r="Y956" t="s">
        <v>33</v>
      </c>
      <c r="Z956" s="16" t="s">
        <v>34</v>
      </c>
      <c r="AA956">
        <v>-75.544512999999995</v>
      </c>
      <c r="AB956">
        <v>6.2473419999999997</v>
      </c>
      <c r="AC956" t="s">
        <v>135</v>
      </c>
      <c r="AD956" t="s">
        <v>136</v>
      </c>
    </row>
    <row r="957" spans="1:30" x14ac:dyDescent="0.25">
      <c r="A957" t="s">
        <v>9992</v>
      </c>
      <c r="B957" t="s">
        <v>61</v>
      </c>
      <c r="C957" t="s">
        <v>26</v>
      </c>
      <c r="D957" t="s">
        <v>61</v>
      </c>
      <c r="E957" t="s">
        <v>7632</v>
      </c>
      <c r="F957" t="s">
        <v>7633</v>
      </c>
      <c r="G957">
        <v>42996221</v>
      </c>
      <c r="H957" t="s">
        <v>7634</v>
      </c>
      <c r="I957" s="4" t="s">
        <v>7635</v>
      </c>
      <c r="J957" s="4" t="s">
        <v>7636</v>
      </c>
      <c r="K957" t="s">
        <v>7637</v>
      </c>
      <c r="L957" t="s">
        <v>27</v>
      </c>
      <c r="M957" t="s">
        <v>7638</v>
      </c>
      <c r="N957" t="s">
        <v>28</v>
      </c>
      <c r="O957" t="s">
        <v>62</v>
      </c>
      <c r="P957" t="s">
        <v>63</v>
      </c>
      <c r="Q957" t="s">
        <v>31</v>
      </c>
      <c r="R957">
        <v>4</v>
      </c>
      <c r="S957" t="s">
        <v>7639</v>
      </c>
      <c r="T957" t="s">
        <v>7640</v>
      </c>
      <c r="U957" t="s">
        <v>7640</v>
      </c>
      <c r="V957" t="s">
        <v>49</v>
      </c>
      <c r="W957" t="s">
        <v>33</v>
      </c>
      <c r="X957" t="s">
        <v>33</v>
      </c>
      <c r="Y957" t="s">
        <v>33</v>
      </c>
      <c r="Z957" s="16" t="s">
        <v>34</v>
      </c>
      <c r="AA957">
        <v>-75.539876000000007</v>
      </c>
      <c r="AB957">
        <v>6.2376909999999999</v>
      </c>
      <c r="AC957" t="s">
        <v>135</v>
      </c>
      <c r="AD957" t="s">
        <v>136</v>
      </c>
    </row>
    <row r="958" spans="1:30" x14ac:dyDescent="0.25">
      <c r="A958" t="s">
        <v>9993</v>
      </c>
      <c r="B958" t="s">
        <v>25</v>
      </c>
      <c r="C958" t="s">
        <v>26</v>
      </c>
      <c r="D958" t="s">
        <v>39</v>
      </c>
      <c r="E958" t="s">
        <v>7641</v>
      </c>
      <c r="F958" t="s">
        <v>7642</v>
      </c>
      <c r="G958">
        <v>93292926</v>
      </c>
      <c r="H958" t="s">
        <v>7643</v>
      </c>
      <c r="I958" s="4" t="s">
        <v>35</v>
      </c>
      <c r="J958" s="4" t="s">
        <v>7644</v>
      </c>
      <c r="K958" t="s">
        <v>7645</v>
      </c>
      <c r="L958" t="s">
        <v>44</v>
      </c>
      <c r="M958" t="s">
        <v>7646</v>
      </c>
      <c r="N958" t="s">
        <v>45</v>
      </c>
      <c r="O958" t="s">
        <v>40</v>
      </c>
      <c r="P958" t="s">
        <v>41</v>
      </c>
      <c r="Q958" t="s">
        <v>31</v>
      </c>
      <c r="R958">
        <v>5</v>
      </c>
      <c r="S958" t="s">
        <v>7647</v>
      </c>
      <c r="T958" t="s">
        <v>1552</v>
      </c>
      <c r="U958" t="s">
        <v>6169</v>
      </c>
      <c r="V958" t="s">
        <v>32</v>
      </c>
      <c r="W958" t="s">
        <v>33</v>
      </c>
      <c r="X958" t="s">
        <v>33</v>
      </c>
      <c r="Y958" t="s">
        <v>33</v>
      </c>
      <c r="Z958" s="16" t="s">
        <v>34</v>
      </c>
      <c r="AA958">
        <v>-75.613966910000002</v>
      </c>
      <c r="AB958">
        <v>6.1803749100000003</v>
      </c>
      <c r="AC958" t="s">
        <v>135</v>
      </c>
      <c r="AD958" t="s">
        <v>136</v>
      </c>
    </row>
    <row r="959" spans="1:30" x14ac:dyDescent="0.25">
      <c r="A959" t="s">
        <v>9994</v>
      </c>
      <c r="B959" t="s">
        <v>25</v>
      </c>
      <c r="C959" t="s">
        <v>26</v>
      </c>
      <c r="D959" t="s">
        <v>25</v>
      </c>
      <c r="E959" t="s">
        <v>7648</v>
      </c>
      <c r="F959" t="s">
        <v>7649</v>
      </c>
      <c r="G959">
        <v>71652284</v>
      </c>
      <c r="H959" t="s">
        <v>7650</v>
      </c>
      <c r="I959" s="4" t="s">
        <v>7651</v>
      </c>
      <c r="J959" s="4" t="s">
        <v>7652</v>
      </c>
      <c r="K959" t="s">
        <v>7653</v>
      </c>
      <c r="L959" t="s">
        <v>44</v>
      </c>
      <c r="M959" t="s">
        <v>7654</v>
      </c>
      <c r="N959" t="s">
        <v>45</v>
      </c>
      <c r="O959" t="s">
        <v>29</v>
      </c>
      <c r="P959" t="s">
        <v>30</v>
      </c>
      <c r="Q959" t="s">
        <v>31</v>
      </c>
      <c r="R959">
        <v>7</v>
      </c>
      <c r="S959" t="s">
        <v>7655</v>
      </c>
      <c r="T959" t="s">
        <v>1552</v>
      </c>
      <c r="U959" t="s">
        <v>1553</v>
      </c>
      <c r="V959" t="s">
        <v>32</v>
      </c>
      <c r="W959" t="s">
        <v>33</v>
      </c>
      <c r="X959" t="s">
        <v>33</v>
      </c>
      <c r="Y959" t="s">
        <v>33</v>
      </c>
      <c r="Z959" s="16" t="s">
        <v>34</v>
      </c>
      <c r="AA959">
        <v>-75.596306940000005</v>
      </c>
      <c r="AB959">
        <v>6.1837927400000003</v>
      </c>
      <c r="AC959" t="s">
        <v>135</v>
      </c>
      <c r="AD959" t="s">
        <v>136</v>
      </c>
    </row>
    <row r="960" spans="1:30" x14ac:dyDescent="0.25">
      <c r="A960" t="s">
        <v>9995</v>
      </c>
      <c r="B960" t="s">
        <v>25</v>
      </c>
      <c r="C960" t="s">
        <v>26</v>
      </c>
      <c r="D960" t="s">
        <v>25</v>
      </c>
      <c r="E960" t="s">
        <v>7656</v>
      </c>
      <c r="F960" t="s">
        <v>7657</v>
      </c>
      <c r="G960">
        <v>70066000</v>
      </c>
      <c r="H960" t="s">
        <v>7658</v>
      </c>
      <c r="I960" s="4" t="s">
        <v>35</v>
      </c>
      <c r="J960" s="4" t="s">
        <v>7659</v>
      </c>
      <c r="K960" t="s">
        <v>7660</v>
      </c>
      <c r="L960" t="s">
        <v>27</v>
      </c>
      <c r="M960" t="s">
        <v>7661</v>
      </c>
      <c r="N960" t="s">
        <v>28</v>
      </c>
      <c r="O960" t="s">
        <v>29</v>
      </c>
      <c r="P960" t="s">
        <v>37</v>
      </c>
      <c r="Q960" t="s">
        <v>31</v>
      </c>
      <c r="R960">
        <v>7</v>
      </c>
      <c r="S960" t="s">
        <v>7662</v>
      </c>
      <c r="T960" t="s">
        <v>1552</v>
      </c>
      <c r="U960" t="s">
        <v>1553</v>
      </c>
      <c r="V960" t="s">
        <v>32</v>
      </c>
      <c r="W960" t="s">
        <v>33</v>
      </c>
      <c r="X960" t="s">
        <v>33</v>
      </c>
      <c r="Y960" t="s">
        <v>33</v>
      </c>
      <c r="Z960" s="16" t="s">
        <v>34</v>
      </c>
      <c r="AA960">
        <v>-75.568318000000005</v>
      </c>
      <c r="AB960">
        <v>6.2530229999999998</v>
      </c>
      <c r="AC960" t="s">
        <v>135</v>
      </c>
      <c r="AD960" t="s">
        <v>136</v>
      </c>
    </row>
    <row r="961" spans="1:30" x14ac:dyDescent="0.25">
      <c r="A961" t="s">
        <v>9996</v>
      </c>
      <c r="B961" t="s">
        <v>25</v>
      </c>
      <c r="C961" t="s">
        <v>26</v>
      </c>
      <c r="D961" t="s">
        <v>25</v>
      </c>
      <c r="E961" t="s">
        <v>7663</v>
      </c>
      <c r="F961" t="s">
        <v>7664</v>
      </c>
      <c r="G961">
        <v>43263200</v>
      </c>
      <c r="H961" t="s">
        <v>5947</v>
      </c>
      <c r="I961" s="4" t="s">
        <v>35</v>
      </c>
      <c r="J961" s="4" t="s">
        <v>5948</v>
      </c>
      <c r="K961" t="s">
        <v>7665</v>
      </c>
      <c r="L961" t="s">
        <v>27</v>
      </c>
      <c r="M961" t="s">
        <v>7666</v>
      </c>
      <c r="N961" t="s">
        <v>28</v>
      </c>
      <c r="O961" t="s">
        <v>29</v>
      </c>
      <c r="P961" t="s">
        <v>30</v>
      </c>
      <c r="Q961" t="s">
        <v>31</v>
      </c>
      <c r="R961">
        <v>7</v>
      </c>
      <c r="S961" t="s">
        <v>7667</v>
      </c>
      <c r="T961" t="s">
        <v>1144</v>
      </c>
      <c r="U961" t="s">
        <v>7668</v>
      </c>
      <c r="V961" t="s">
        <v>32</v>
      </c>
      <c r="W961" t="s">
        <v>33</v>
      </c>
      <c r="X961" t="s">
        <v>33</v>
      </c>
      <c r="Y961" t="s">
        <v>33</v>
      </c>
      <c r="Z961" s="16" t="s">
        <v>34</v>
      </c>
      <c r="AA961">
        <v>-75.547747200000003</v>
      </c>
      <c r="AB961">
        <v>6.2494575299999999</v>
      </c>
      <c r="AC961" t="s">
        <v>135</v>
      </c>
      <c r="AD961" t="s">
        <v>136</v>
      </c>
    </row>
    <row r="962" spans="1:30" x14ac:dyDescent="0.25">
      <c r="A962" t="s">
        <v>9997</v>
      </c>
      <c r="B962" t="s">
        <v>61</v>
      </c>
      <c r="C962" t="s">
        <v>26</v>
      </c>
      <c r="D962" t="s">
        <v>61</v>
      </c>
      <c r="E962" t="s">
        <v>7669</v>
      </c>
      <c r="F962" t="s">
        <v>7670</v>
      </c>
      <c r="G962">
        <v>986610121</v>
      </c>
      <c r="H962" t="s">
        <v>7671</v>
      </c>
      <c r="I962" s="4" t="s">
        <v>7672</v>
      </c>
      <c r="J962" s="4" t="s">
        <v>1385</v>
      </c>
      <c r="K962" t="s">
        <v>7673</v>
      </c>
      <c r="L962" t="s">
        <v>55</v>
      </c>
      <c r="M962" t="s">
        <v>7674</v>
      </c>
      <c r="N962" t="s">
        <v>56</v>
      </c>
      <c r="O962" t="s">
        <v>62</v>
      </c>
      <c r="P962" t="s">
        <v>63</v>
      </c>
      <c r="Q962" t="s">
        <v>38</v>
      </c>
      <c r="R962">
        <v>4</v>
      </c>
      <c r="S962" t="s">
        <v>7675</v>
      </c>
      <c r="T962" t="s">
        <v>1144</v>
      </c>
      <c r="U962" t="s">
        <v>1144</v>
      </c>
      <c r="V962" t="s">
        <v>49</v>
      </c>
      <c r="W962" t="s">
        <v>33</v>
      </c>
      <c r="X962" t="s">
        <v>33</v>
      </c>
      <c r="Y962" t="s">
        <v>33</v>
      </c>
      <c r="Z962" s="16" t="s">
        <v>34</v>
      </c>
      <c r="AA962">
        <v>-75.633331999999996</v>
      </c>
      <c r="AB962">
        <v>6.1198249999999996</v>
      </c>
      <c r="AC962" t="s">
        <v>135</v>
      </c>
      <c r="AD962" t="s">
        <v>136</v>
      </c>
    </row>
    <row r="963" spans="1:30" x14ac:dyDescent="0.25">
      <c r="A963" t="s">
        <v>9998</v>
      </c>
      <c r="B963" t="s">
        <v>25</v>
      </c>
      <c r="C963" t="s">
        <v>26</v>
      </c>
      <c r="D963" t="s">
        <v>25</v>
      </c>
      <c r="E963" t="s">
        <v>7676</v>
      </c>
      <c r="F963" t="s">
        <v>7677</v>
      </c>
      <c r="G963">
        <v>71652284</v>
      </c>
      <c r="H963" t="s">
        <v>7650</v>
      </c>
      <c r="I963" s="4" t="s">
        <v>7651</v>
      </c>
      <c r="J963" s="4" t="s">
        <v>5569</v>
      </c>
      <c r="K963" t="s">
        <v>7678</v>
      </c>
      <c r="L963" t="s">
        <v>44</v>
      </c>
      <c r="M963" t="s">
        <v>7679</v>
      </c>
      <c r="N963" t="s">
        <v>45</v>
      </c>
      <c r="O963" t="s">
        <v>29</v>
      </c>
      <c r="P963" t="s">
        <v>30</v>
      </c>
      <c r="Q963" t="s">
        <v>31</v>
      </c>
      <c r="R963">
        <v>7</v>
      </c>
      <c r="S963" t="s">
        <v>7680</v>
      </c>
      <c r="T963" t="s">
        <v>7681</v>
      </c>
      <c r="U963" t="s">
        <v>7682</v>
      </c>
      <c r="V963" t="s">
        <v>32</v>
      </c>
      <c r="W963" t="s">
        <v>33</v>
      </c>
      <c r="X963" t="s">
        <v>33</v>
      </c>
      <c r="Y963" t="s">
        <v>33</v>
      </c>
      <c r="Z963" s="16" t="s">
        <v>34</v>
      </c>
      <c r="AA963">
        <v>-75.596306940000005</v>
      </c>
      <c r="AB963">
        <v>6.1837927400000003</v>
      </c>
      <c r="AC963" t="s">
        <v>135</v>
      </c>
      <c r="AD963" t="s">
        <v>136</v>
      </c>
    </row>
    <row r="964" spans="1:30" x14ac:dyDescent="0.25">
      <c r="A964" t="s">
        <v>9999</v>
      </c>
      <c r="B964" t="s">
        <v>25</v>
      </c>
      <c r="C964" t="s">
        <v>26</v>
      </c>
      <c r="D964" t="s">
        <v>39</v>
      </c>
      <c r="E964" t="s">
        <v>7683</v>
      </c>
      <c r="F964" t="s">
        <v>7684</v>
      </c>
      <c r="G964">
        <v>43054761</v>
      </c>
      <c r="H964" t="s">
        <v>7685</v>
      </c>
      <c r="I964" s="4" t="s">
        <v>35</v>
      </c>
      <c r="J964" s="4" t="s">
        <v>7686</v>
      </c>
      <c r="K964" t="s">
        <v>7687</v>
      </c>
      <c r="L964" t="s">
        <v>27</v>
      </c>
      <c r="M964" t="s">
        <v>7688</v>
      </c>
      <c r="N964" t="s">
        <v>28</v>
      </c>
      <c r="O964" t="s">
        <v>40</v>
      </c>
      <c r="P964" t="s">
        <v>41</v>
      </c>
      <c r="Q964" t="s">
        <v>31</v>
      </c>
      <c r="R964">
        <v>5</v>
      </c>
      <c r="S964" t="s">
        <v>7689</v>
      </c>
      <c r="T964" t="s">
        <v>7690</v>
      </c>
      <c r="U964" t="s">
        <v>7691</v>
      </c>
      <c r="V964" t="s">
        <v>32</v>
      </c>
      <c r="W964" t="s">
        <v>33</v>
      </c>
      <c r="X964" t="s">
        <v>33</v>
      </c>
      <c r="Y964" t="s">
        <v>33</v>
      </c>
      <c r="Z964" s="16" t="s">
        <v>34</v>
      </c>
      <c r="AA964">
        <v>-75.548970850000003</v>
      </c>
      <c r="AB964">
        <v>6.2591328099999997</v>
      </c>
      <c r="AC964" t="s">
        <v>135</v>
      </c>
      <c r="AD964" t="s">
        <v>136</v>
      </c>
    </row>
    <row r="965" spans="1:30" x14ac:dyDescent="0.25">
      <c r="A965" t="s">
        <v>10000</v>
      </c>
      <c r="B965" t="s">
        <v>50</v>
      </c>
      <c r="C965" t="s">
        <v>26</v>
      </c>
      <c r="D965" t="s">
        <v>50</v>
      </c>
      <c r="E965" t="s">
        <v>7692</v>
      </c>
      <c r="F965" t="s">
        <v>7693</v>
      </c>
      <c r="G965">
        <v>1152701653</v>
      </c>
      <c r="H965" t="s">
        <v>7694</v>
      </c>
      <c r="I965" s="4" t="s">
        <v>35</v>
      </c>
      <c r="J965" s="4" t="s">
        <v>7695</v>
      </c>
      <c r="K965" t="s">
        <v>7696</v>
      </c>
      <c r="L965" t="s">
        <v>27</v>
      </c>
      <c r="M965" t="s">
        <v>7697</v>
      </c>
      <c r="N965" t="s">
        <v>28</v>
      </c>
      <c r="O965" t="s">
        <v>51</v>
      </c>
      <c r="P965" t="s">
        <v>52</v>
      </c>
      <c r="Q965" t="s">
        <v>31</v>
      </c>
      <c r="R965">
        <v>11</v>
      </c>
      <c r="S965" t="s">
        <v>7698</v>
      </c>
      <c r="T965" t="s">
        <v>7699</v>
      </c>
      <c r="U965" t="s">
        <v>2565</v>
      </c>
      <c r="V965" t="s">
        <v>32</v>
      </c>
      <c r="W965" t="s">
        <v>33</v>
      </c>
      <c r="X965" t="s">
        <v>33</v>
      </c>
      <c r="Y965" t="s">
        <v>33</v>
      </c>
      <c r="Z965" s="16" t="s">
        <v>34</v>
      </c>
      <c r="AA965">
        <v>-75.627324999999999</v>
      </c>
      <c r="AB965">
        <v>6.2718420000000004</v>
      </c>
      <c r="AC965" t="s">
        <v>135</v>
      </c>
      <c r="AD965" t="s">
        <v>136</v>
      </c>
    </row>
    <row r="966" spans="1:30" x14ac:dyDescent="0.25">
      <c r="A966" t="s">
        <v>10001</v>
      </c>
      <c r="B966" t="s">
        <v>50</v>
      </c>
      <c r="C966" t="s">
        <v>26</v>
      </c>
      <c r="D966" t="s">
        <v>50</v>
      </c>
      <c r="E966" t="s">
        <v>7700</v>
      </c>
      <c r="F966" t="s">
        <v>7701</v>
      </c>
      <c r="G966">
        <v>42886026</v>
      </c>
      <c r="H966" t="s">
        <v>7702</v>
      </c>
      <c r="I966" s="4" t="s">
        <v>7703</v>
      </c>
      <c r="J966" s="4" t="s">
        <v>7704</v>
      </c>
      <c r="K966" t="s">
        <v>7705</v>
      </c>
      <c r="L966" t="s">
        <v>44</v>
      </c>
      <c r="M966" t="s">
        <v>7706</v>
      </c>
      <c r="N966" t="s">
        <v>45</v>
      </c>
      <c r="O966" t="s">
        <v>51</v>
      </c>
      <c r="P966" t="s">
        <v>52</v>
      </c>
      <c r="Q966" t="s">
        <v>38</v>
      </c>
      <c r="R966">
        <v>11</v>
      </c>
      <c r="S966" t="s">
        <v>7707</v>
      </c>
      <c r="T966" t="s">
        <v>7699</v>
      </c>
      <c r="U966" t="s">
        <v>2565</v>
      </c>
      <c r="V966" t="s">
        <v>32</v>
      </c>
      <c r="W966" t="s">
        <v>33</v>
      </c>
      <c r="X966" t="s">
        <v>33</v>
      </c>
      <c r="Y966" t="s">
        <v>33</v>
      </c>
      <c r="Z966" s="16" t="s">
        <v>34</v>
      </c>
      <c r="AA966">
        <v>-75.621187680000006</v>
      </c>
      <c r="AB966">
        <v>6.1746380099999998</v>
      </c>
      <c r="AC966" t="s">
        <v>135</v>
      </c>
      <c r="AD966" t="s">
        <v>136</v>
      </c>
    </row>
    <row r="967" spans="1:30" x14ac:dyDescent="0.25">
      <c r="A967" t="s">
        <v>10002</v>
      </c>
      <c r="B967" t="s">
        <v>25</v>
      </c>
      <c r="C967" t="s">
        <v>26</v>
      </c>
      <c r="D967" t="s">
        <v>25</v>
      </c>
      <c r="E967" t="s">
        <v>7708</v>
      </c>
      <c r="F967" t="s">
        <v>7709</v>
      </c>
      <c r="G967">
        <v>43263200</v>
      </c>
      <c r="H967" t="s">
        <v>5947</v>
      </c>
      <c r="I967" s="4" t="s">
        <v>35</v>
      </c>
      <c r="J967" s="4" t="s">
        <v>5948</v>
      </c>
      <c r="K967" t="s">
        <v>7710</v>
      </c>
      <c r="L967" t="s">
        <v>27</v>
      </c>
      <c r="M967" t="s">
        <v>7711</v>
      </c>
      <c r="N967" t="s">
        <v>28</v>
      </c>
      <c r="O967" t="s">
        <v>29</v>
      </c>
      <c r="P967" t="s">
        <v>30</v>
      </c>
      <c r="Q967" t="s">
        <v>31</v>
      </c>
      <c r="R967">
        <v>7</v>
      </c>
      <c r="S967" t="s">
        <v>7712</v>
      </c>
      <c r="T967" t="s">
        <v>7713</v>
      </c>
      <c r="U967" t="s">
        <v>7714</v>
      </c>
      <c r="V967" t="s">
        <v>32</v>
      </c>
      <c r="W967" t="s">
        <v>33</v>
      </c>
      <c r="X967" t="s">
        <v>33</v>
      </c>
      <c r="Y967" t="s">
        <v>33</v>
      </c>
      <c r="Z967" s="16" t="s">
        <v>34</v>
      </c>
      <c r="AA967">
        <v>-75.547798099999994</v>
      </c>
      <c r="AB967">
        <v>6.2496190900000004</v>
      </c>
      <c r="AC967" t="s">
        <v>135</v>
      </c>
      <c r="AD967" t="s">
        <v>136</v>
      </c>
    </row>
    <row r="968" spans="1:30" x14ac:dyDescent="0.25">
      <c r="A968" t="s">
        <v>10003</v>
      </c>
      <c r="B968" t="s">
        <v>50</v>
      </c>
      <c r="C968" t="s">
        <v>26</v>
      </c>
      <c r="D968" t="s">
        <v>50</v>
      </c>
      <c r="E968" t="s">
        <v>7715</v>
      </c>
      <c r="F968" t="s">
        <v>7716</v>
      </c>
      <c r="G968">
        <v>43279281</v>
      </c>
      <c r="H968" t="s">
        <v>7717</v>
      </c>
      <c r="I968" s="4" t="s">
        <v>35</v>
      </c>
      <c r="J968" s="4" t="s">
        <v>7718</v>
      </c>
      <c r="K968" t="s">
        <v>7719</v>
      </c>
      <c r="L968" t="s">
        <v>27</v>
      </c>
      <c r="M968" t="s">
        <v>7720</v>
      </c>
      <c r="N968" t="s">
        <v>28</v>
      </c>
      <c r="O968" t="s">
        <v>51</v>
      </c>
      <c r="P968" t="s">
        <v>52</v>
      </c>
      <c r="Q968" t="s">
        <v>38</v>
      </c>
      <c r="R968">
        <v>11</v>
      </c>
      <c r="S968" t="s">
        <v>7721</v>
      </c>
      <c r="T968" t="s">
        <v>7713</v>
      </c>
      <c r="U968" t="s">
        <v>7722</v>
      </c>
      <c r="V968" t="s">
        <v>32</v>
      </c>
      <c r="W968" t="s">
        <v>33</v>
      </c>
      <c r="X968" t="s">
        <v>33</v>
      </c>
      <c r="Y968" t="s">
        <v>33</v>
      </c>
      <c r="Z968" s="16" t="s">
        <v>34</v>
      </c>
      <c r="AA968">
        <v>-75.631108249999997</v>
      </c>
      <c r="AB968">
        <v>6.2330460199999997</v>
      </c>
      <c r="AC968" t="s">
        <v>135</v>
      </c>
      <c r="AD968" t="s">
        <v>136</v>
      </c>
    </row>
    <row r="969" spans="1:30" x14ac:dyDescent="0.25">
      <c r="A969" t="s">
        <v>6097</v>
      </c>
      <c r="B969" t="s">
        <v>65</v>
      </c>
      <c r="C969" t="s">
        <v>26</v>
      </c>
      <c r="D969" t="s">
        <v>66</v>
      </c>
      <c r="E969" t="s">
        <v>6098</v>
      </c>
      <c r="F969" t="s">
        <v>6099</v>
      </c>
      <c r="G969">
        <v>900062516</v>
      </c>
      <c r="H969" t="s">
        <v>6100</v>
      </c>
      <c r="I969" s="4" t="s">
        <v>6101</v>
      </c>
      <c r="J969" s="4" t="s">
        <v>6102</v>
      </c>
      <c r="K969" t="s">
        <v>6103</v>
      </c>
      <c r="L969" t="s">
        <v>59</v>
      </c>
      <c r="M969" t="s">
        <v>6104</v>
      </c>
      <c r="N969" t="s">
        <v>60</v>
      </c>
      <c r="O969" t="s">
        <v>68</v>
      </c>
      <c r="P969" t="s">
        <v>74</v>
      </c>
      <c r="Q969" t="s">
        <v>31</v>
      </c>
      <c r="R969">
        <v>9</v>
      </c>
      <c r="S969" t="s">
        <v>6105</v>
      </c>
      <c r="T969" t="s">
        <v>7723</v>
      </c>
      <c r="U969" t="s">
        <v>6525</v>
      </c>
      <c r="V969" t="s">
        <v>32</v>
      </c>
      <c r="W969" t="s">
        <v>33</v>
      </c>
      <c r="X969" t="s">
        <v>33</v>
      </c>
      <c r="Y969" t="s">
        <v>33</v>
      </c>
      <c r="Z969" s="16" t="s">
        <v>34</v>
      </c>
      <c r="AA969">
        <v>-75.630262999999999</v>
      </c>
      <c r="AB969">
        <v>6.1513739999999997</v>
      </c>
      <c r="AC969" t="s">
        <v>135</v>
      </c>
      <c r="AD969" t="s">
        <v>136</v>
      </c>
    </row>
    <row r="970" spans="1:30" x14ac:dyDescent="0.25">
      <c r="A970" t="s">
        <v>10004</v>
      </c>
      <c r="B970" t="s">
        <v>25</v>
      </c>
      <c r="C970" t="s">
        <v>26</v>
      </c>
      <c r="D970" t="s">
        <v>39</v>
      </c>
      <c r="E970" t="s">
        <v>7724</v>
      </c>
      <c r="F970" t="s">
        <v>7725</v>
      </c>
      <c r="G970">
        <v>1001686641</v>
      </c>
      <c r="H970" t="s">
        <v>7726</v>
      </c>
      <c r="I970" s="4" t="s">
        <v>35</v>
      </c>
      <c r="J970" s="4" t="s">
        <v>7727</v>
      </c>
      <c r="K970" t="s">
        <v>7728</v>
      </c>
      <c r="L970" t="s">
        <v>44</v>
      </c>
      <c r="M970" t="s">
        <v>7729</v>
      </c>
      <c r="N970" t="s">
        <v>45</v>
      </c>
      <c r="O970" t="s">
        <v>40</v>
      </c>
      <c r="P970" t="s">
        <v>41</v>
      </c>
      <c r="Q970" t="s">
        <v>38</v>
      </c>
      <c r="R970">
        <v>8</v>
      </c>
      <c r="S970" t="s">
        <v>7730</v>
      </c>
      <c r="T970" t="s">
        <v>7723</v>
      </c>
      <c r="U970" t="s">
        <v>1112</v>
      </c>
      <c r="V970" t="s">
        <v>32</v>
      </c>
      <c r="W970" t="s">
        <v>33</v>
      </c>
      <c r="X970" t="s">
        <v>33</v>
      </c>
      <c r="Y970" t="s">
        <v>33</v>
      </c>
      <c r="Z970" s="16" t="s">
        <v>34</v>
      </c>
      <c r="AA970">
        <v>-75.602477809999996</v>
      </c>
      <c r="AB970">
        <v>6.1947347400000004</v>
      </c>
      <c r="AC970" t="s">
        <v>135</v>
      </c>
      <c r="AD970" t="s">
        <v>136</v>
      </c>
    </row>
    <row r="971" spans="1:30" x14ac:dyDescent="0.25">
      <c r="A971" t="s">
        <v>10005</v>
      </c>
      <c r="B971" t="s">
        <v>25</v>
      </c>
      <c r="C971" t="s">
        <v>26</v>
      </c>
      <c r="D971" t="s">
        <v>39</v>
      </c>
      <c r="E971" t="s">
        <v>7731</v>
      </c>
      <c r="F971" t="s">
        <v>7732</v>
      </c>
      <c r="G971">
        <v>21527287</v>
      </c>
      <c r="H971" t="s">
        <v>7733</v>
      </c>
      <c r="I971" s="4" t="s">
        <v>35</v>
      </c>
      <c r="J971" s="4" t="s">
        <v>7734</v>
      </c>
      <c r="K971" t="s">
        <v>7735</v>
      </c>
      <c r="L971" t="s">
        <v>27</v>
      </c>
      <c r="M971" t="s">
        <v>7736</v>
      </c>
      <c r="N971" t="s">
        <v>28</v>
      </c>
      <c r="O971" t="s">
        <v>40</v>
      </c>
      <c r="P971" t="s">
        <v>41</v>
      </c>
      <c r="Q971" t="s">
        <v>38</v>
      </c>
      <c r="R971">
        <v>8</v>
      </c>
      <c r="S971" t="s">
        <v>7737</v>
      </c>
      <c r="T971" t="s">
        <v>7738</v>
      </c>
      <c r="U971" t="s">
        <v>2614</v>
      </c>
      <c r="V971" t="s">
        <v>32</v>
      </c>
      <c r="W971" t="s">
        <v>33</v>
      </c>
      <c r="X971" t="s">
        <v>33</v>
      </c>
      <c r="Y971" t="s">
        <v>33</v>
      </c>
      <c r="Z971" s="16" t="s">
        <v>34</v>
      </c>
      <c r="AA971">
        <v>-75.521016000000003</v>
      </c>
      <c r="AB971">
        <v>6.2325590000000002</v>
      </c>
      <c r="AC971" t="s">
        <v>135</v>
      </c>
      <c r="AD971" t="s">
        <v>136</v>
      </c>
    </row>
    <row r="972" spans="1:30" x14ac:dyDescent="0.25">
      <c r="A972" t="s">
        <v>10006</v>
      </c>
      <c r="B972" t="s">
        <v>25</v>
      </c>
      <c r="C972" t="s">
        <v>26</v>
      </c>
      <c r="D972" t="s">
        <v>39</v>
      </c>
      <c r="E972" t="s">
        <v>7739</v>
      </c>
      <c r="F972" t="s">
        <v>7740</v>
      </c>
      <c r="G972">
        <v>11708339</v>
      </c>
      <c r="H972" t="s">
        <v>7741</v>
      </c>
      <c r="I972" s="4" t="s">
        <v>35</v>
      </c>
      <c r="J972" s="4" t="s">
        <v>7742</v>
      </c>
      <c r="K972" t="s">
        <v>7743</v>
      </c>
      <c r="L972" t="s">
        <v>27</v>
      </c>
      <c r="M972" t="s">
        <v>7744</v>
      </c>
      <c r="N972" t="s">
        <v>28</v>
      </c>
      <c r="O972" t="s">
        <v>40</v>
      </c>
      <c r="P972" t="s">
        <v>41</v>
      </c>
      <c r="Q972" t="s">
        <v>31</v>
      </c>
      <c r="R972">
        <v>5</v>
      </c>
      <c r="S972" t="s">
        <v>7745</v>
      </c>
      <c r="T972" t="s">
        <v>7746</v>
      </c>
      <c r="U972" t="s">
        <v>3522</v>
      </c>
      <c r="V972" t="s">
        <v>32</v>
      </c>
      <c r="W972" t="s">
        <v>33</v>
      </c>
      <c r="X972" t="s">
        <v>33</v>
      </c>
      <c r="Y972" t="s">
        <v>33</v>
      </c>
      <c r="Z972" s="16" t="s">
        <v>34</v>
      </c>
      <c r="AA972">
        <v>-75.539901880000002</v>
      </c>
      <c r="AB972">
        <v>6.2430092100000003</v>
      </c>
      <c r="AC972" t="s">
        <v>135</v>
      </c>
      <c r="AD972" t="s">
        <v>136</v>
      </c>
    </row>
    <row r="973" spans="1:30" x14ac:dyDescent="0.25">
      <c r="A973" t="s">
        <v>10007</v>
      </c>
      <c r="B973" t="s">
        <v>25</v>
      </c>
      <c r="C973" t="s">
        <v>26</v>
      </c>
      <c r="D973" t="s">
        <v>39</v>
      </c>
      <c r="E973" t="s">
        <v>7747</v>
      </c>
      <c r="F973" t="s">
        <v>7748</v>
      </c>
      <c r="G973">
        <v>21736844</v>
      </c>
      <c r="H973" t="s">
        <v>3701</v>
      </c>
      <c r="I973" s="4" t="s">
        <v>3702</v>
      </c>
      <c r="J973" s="4" t="s">
        <v>3703</v>
      </c>
      <c r="K973" t="s">
        <v>7749</v>
      </c>
      <c r="L973" t="s">
        <v>57</v>
      </c>
      <c r="M973" t="s">
        <v>7750</v>
      </c>
      <c r="N973" t="s">
        <v>58</v>
      </c>
      <c r="O973" t="s">
        <v>40</v>
      </c>
      <c r="P973" t="s">
        <v>36</v>
      </c>
      <c r="Q973" t="s">
        <v>31</v>
      </c>
      <c r="R973">
        <v>5</v>
      </c>
      <c r="S973" t="s">
        <v>7751</v>
      </c>
      <c r="T973" t="s">
        <v>7752</v>
      </c>
      <c r="U973" t="s">
        <v>7753</v>
      </c>
      <c r="V973" t="s">
        <v>32</v>
      </c>
      <c r="W973" t="s">
        <v>33</v>
      </c>
      <c r="X973" t="s">
        <v>33</v>
      </c>
      <c r="Y973" t="s">
        <v>33</v>
      </c>
      <c r="Z973" s="16" t="s">
        <v>34</v>
      </c>
      <c r="AA973">
        <v>-75.628078439999996</v>
      </c>
      <c r="AB973">
        <v>6.0938708500000001</v>
      </c>
      <c r="AC973" t="s">
        <v>135</v>
      </c>
      <c r="AD973" t="s">
        <v>136</v>
      </c>
    </row>
    <row r="974" spans="1:30" x14ac:dyDescent="0.25">
      <c r="A974" t="s">
        <v>10008</v>
      </c>
      <c r="B974" t="s">
        <v>25</v>
      </c>
      <c r="C974" t="s">
        <v>26</v>
      </c>
      <c r="D974" t="s">
        <v>25</v>
      </c>
      <c r="E974" t="s">
        <v>7754</v>
      </c>
      <c r="F974" t="s">
        <v>7755</v>
      </c>
      <c r="G974">
        <v>1037524765</v>
      </c>
      <c r="H974" t="s">
        <v>7756</v>
      </c>
      <c r="I974" s="4" t="s">
        <v>35</v>
      </c>
      <c r="J974" s="4" t="s">
        <v>7757</v>
      </c>
      <c r="K974" t="s">
        <v>7758</v>
      </c>
      <c r="L974" t="s">
        <v>27</v>
      </c>
      <c r="M974" t="s">
        <v>7759</v>
      </c>
      <c r="N974" t="s">
        <v>28</v>
      </c>
      <c r="O974" t="s">
        <v>29</v>
      </c>
      <c r="P974" t="s">
        <v>37</v>
      </c>
      <c r="Q974" t="s">
        <v>31</v>
      </c>
      <c r="R974">
        <v>7</v>
      </c>
      <c r="S974" t="s">
        <v>7760</v>
      </c>
      <c r="T974" t="s">
        <v>7030</v>
      </c>
      <c r="U974" t="s">
        <v>7761</v>
      </c>
      <c r="V974" t="s">
        <v>32</v>
      </c>
      <c r="W974" t="s">
        <v>33</v>
      </c>
      <c r="X974" t="s">
        <v>33</v>
      </c>
      <c r="Y974" t="s">
        <v>33</v>
      </c>
      <c r="Z974" s="16" t="s">
        <v>34</v>
      </c>
      <c r="AA974">
        <v>-75.559983000000003</v>
      </c>
      <c r="AB974">
        <v>6.2407899999999996</v>
      </c>
      <c r="AC974" t="s">
        <v>135</v>
      </c>
      <c r="AD974" t="s">
        <v>136</v>
      </c>
    </row>
    <row r="975" spans="1:30" x14ac:dyDescent="0.25">
      <c r="A975" t="s">
        <v>10009</v>
      </c>
      <c r="B975" t="s">
        <v>50</v>
      </c>
      <c r="C975" t="s">
        <v>26</v>
      </c>
      <c r="D975" t="s">
        <v>50</v>
      </c>
      <c r="E975" t="s">
        <v>7762</v>
      </c>
      <c r="F975" t="s">
        <v>7763</v>
      </c>
      <c r="G975">
        <v>98451496</v>
      </c>
      <c r="H975" t="s">
        <v>7764</v>
      </c>
      <c r="I975" s="4" t="s">
        <v>7765</v>
      </c>
      <c r="J975" s="4" t="s">
        <v>7766</v>
      </c>
      <c r="K975" t="s">
        <v>7767</v>
      </c>
      <c r="L975" t="s">
        <v>27</v>
      </c>
      <c r="M975" t="s">
        <v>7768</v>
      </c>
      <c r="N975" t="s">
        <v>28</v>
      </c>
      <c r="O975" t="s">
        <v>51</v>
      </c>
      <c r="P975" t="s">
        <v>52</v>
      </c>
      <c r="Q975" t="s">
        <v>31</v>
      </c>
      <c r="R975">
        <v>11</v>
      </c>
      <c r="S975" t="s">
        <v>7769</v>
      </c>
      <c r="T975" t="s">
        <v>7770</v>
      </c>
      <c r="U975" t="s">
        <v>7771</v>
      </c>
      <c r="V975" t="s">
        <v>32</v>
      </c>
      <c r="W975" t="s">
        <v>33</v>
      </c>
      <c r="X975" t="s">
        <v>33</v>
      </c>
      <c r="Y975" t="s">
        <v>33</v>
      </c>
      <c r="Z975" s="16" t="s">
        <v>34</v>
      </c>
      <c r="AA975">
        <v>-75.62805582</v>
      </c>
      <c r="AB975">
        <v>6.2874740600000001</v>
      </c>
      <c r="AC975" t="s">
        <v>135</v>
      </c>
      <c r="AD975" t="s">
        <v>136</v>
      </c>
    </row>
    <row r="976" spans="1:30" x14ac:dyDescent="0.25">
      <c r="A976" t="s">
        <v>10010</v>
      </c>
      <c r="B976" t="s">
        <v>25</v>
      </c>
      <c r="C976" t="s">
        <v>26</v>
      </c>
      <c r="D976" t="s">
        <v>25</v>
      </c>
      <c r="E976" t="s">
        <v>7772</v>
      </c>
      <c r="F976" t="s">
        <v>7773</v>
      </c>
      <c r="G976">
        <v>1036656591</v>
      </c>
      <c r="H976" t="s">
        <v>7774</v>
      </c>
      <c r="I976" s="4" t="s">
        <v>35</v>
      </c>
      <c r="J976" s="4" t="s">
        <v>7775</v>
      </c>
      <c r="K976" t="s">
        <v>7776</v>
      </c>
      <c r="L976" t="s">
        <v>44</v>
      </c>
      <c r="M976" t="s">
        <v>7777</v>
      </c>
      <c r="N976" t="s">
        <v>45</v>
      </c>
      <c r="O976" t="s">
        <v>29</v>
      </c>
      <c r="P976" t="s">
        <v>37</v>
      </c>
      <c r="Q976" t="s">
        <v>31</v>
      </c>
      <c r="R976">
        <v>7</v>
      </c>
      <c r="S976" t="s">
        <v>7778</v>
      </c>
      <c r="T976" t="s">
        <v>7779</v>
      </c>
      <c r="U976" t="s">
        <v>7780</v>
      </c>
      <c r="V976" t="s">
        <v>32</v>
      </c>
      <c r="W976" t="s">
        <v>33</v>
      </c>
      <c r="X976" t="s">
        <v>33</v>
      </c>
      <c r="Y976" t="s">
        <v>33</v>
      </c>
      <c r="Z976" s="16" t="s">
        <v>34</v>
      </c>
      <c r="AA976">
        <v>-75.625167959999999</v>
      </c>
      <c r="AB976">
        <v>6.1625159099999998</v>
      </c>
      <c r="AC976" t="s">
        <v>135</v>
      </c>
      <c r="AD976" t="s">
        <v>136</v>
      </c>
    </row>
    <row r="977" spans="1:30" x14ac:dyDescent="0.25">
      <c r="A977" t="s">
        <v>10011</v>
      </c>
      <c r="B977" t="s">
        <v>25</v>
      </c>
      <c r="C977" t="s">
        <v>26</v>
      </c>
      <c r="D977" t="s">
        <v>39</v>
      </c>
      <c r="E977" t="s">
        <v>7781</v>
      </c>
      <c r="F977" t="s">
        <v>7782</v>
      </c>
      <c r="G977">
        <v>1000189349</v>
      </c>
      <c r="H977" t="s">
        <v>7783</v>
      </c>
      <c r="I977" s="4" t="s">
        <v>35</v>
      </c>
      <c r="J977" s="4" t="s">
        <v>7784</v>
      </c>
      <c r="K977" t="s">
        <v>7785</v>
      </c>
      <c r="L977" t="s">
        <v>27</v>
      </c>
      <c r="M977" t="s">
        <v>7786</v>
      </c>
      <c r="N977" t="s">
        <v>28</v>
      </c>
      <c r="O977" t="s">
        <v>40</v>
      </c>
      <c r="P977" t="s">
        <v>41</v>
      </c>
      <c r="Q977" t="s">
        <v>31</v>
      </c>
      <c r="R977">
        <v>5</v>
      </c>
      <c r="S977" t="s">
        <v>7787</v>
      </c>
      <c r="T977" t="s">
        <v>7788</v>
      </c>
      <c r="U977" t="s">
        <v>1132</v>
      </c>
      <c r="V977" t="s">
        <v>32</v>
      </c>
      <c r="W977" t="s">
        <v>33</v>
      </c>
      <c r="X977" t="s">
        <v>33</v>
      </c>
      <c r="Y977" t="s">
        <v>33</v>
      </c>
      <c r="Z977" s="16" t="s">
        <v>34</v>
      </c>
      <c r="AA977">
        <v>-75.644689189999994</v>
      </c>
      <c r="AB977">
        <v>6.1720873699999999</v>
      </c>
      <c r="AC977" t="s">
        <v>135</v>
      </c>
      <c r="AD977" t="s">
        <v>136</v>
      </c>
    </row>
    <row r="978" spans="1:30" x14ac:dyDescent="0.25">
      <c r="A978" t="s">
        <v>10012</v>
      </c>
      <c r="B978" t="s">
        <v>25</v>
      </c>
      <c r="C978" t="s">
        <v>26</v>
      </c>
      <c r="D978" t="s">
        <v>39</v>
      </c>
      <c r="E978" t="s">
        <v>7789</v>
      </c>
      <c r="F978" t="s">
        <v>7790</v>
      </c>
      <c r="G978">
        <v>21527287</v>
      </c>
      <c r="H978" t="s">
        <v>7733</v>
      </c>
      <c r="I978" s="4" t="s">
        <v>35</v>
      </c>
      <c r="J978" s="4" t="s">
        <v>7734</v>
      </c>
      <c r="K978" t="s">
        <v>7791</v>
      </c>
      <c r="L978" t="s">
        <v>27</v>
      </c>
      <c r="M978" t="s">
        <v>7792</v>
      </c>
      <c r="N978" t="s">
        <v>28</v>
      </c>
      <c r="O978" t="s">
        <v>40</v>
      </c>
      <c r="P978" t="s">
        <v>41</v>
      </c>
      <c r="Q978" t="s">
        <v>38</v>
      </c>
      <c r="R978">
        <v>8</v>
      </c>
      <c r="S978" t="s">
        <v>7793</v>
      </c>
      <c r="T978" t="s">
        <v>7788</v>
      </c>
      <c r="U978" t="s">
        <v>7794</v>
      </c>
      <c r="V978" t="s">
        <v>32</v>
      </c>
      <c r="W978" t="s">
        <v>33</v>
      </c>
      <c r="X978" t="s">
        <v>33</v>
      </c>
      <c r="Y978" t="s">
        <v>33</v>
      </c>
      <c r="Z978" s="16" t="s">
        <v>34</v>
      </c>
      <c r="AA978">
        <v>-75.521034470000004</v>
      </c>
      <c r="AB978">
        <v>6.2325751199999999</v>
      </c>
      <c r="AC978" t="s">
        <v>135</v>
      </c>
      <c r="AD978" t="s">
        <v>136</v>
      </c>
    </row>
    <row r="979" spans="1:30" x14ac:dyDescent="0.25">
      <c r="A979" t="s">
        <v>10013</v>
      </c>
      <c r="B979" t="s">
        <v>25</v>
      </c>
      <c r="C979" t="s">
        <v>26</v>
      </c>
      <c r="D979" t="s">
        <v>25</v>
      </c>
      <c r="E979" t="s">
        <v>7795</v>
      </c>
      <c r="F979" t="s">
        <v>7796</v>
      </c>
      <c r="G979">
        <v>93340767</v>
      </c>
      <c r="H979" t="s">
        <v>7797</v>
      </c>
      <c r="I979" s="4" t="s">
        <v>35</v>
      </c>
      <c r="J979" s="4" t="s">
        <v>7798</v>
      </c>
      <c r="K979" t="s">
        <v>7799</v>
      </c>
      <c r="L979" t="s">
        <v>27</v>
      </c>
      <c r="M979" t="s">
        <v>7800</v>
      </c>
      <c r="N979" t="s">
        <v>28</v>
      </c>
      <c r="O979" t="s">
        <v>29</v>
      </c>
      <c r="P979" t="s">
        <v>37</v>
      </c>
      <c r="Q979" t="s">
        <v>31</v>
      </c>
      <c r="R979">
        <v>7</v>
      </c>
      <c r="S979" t="s">
        <v>7801</v>
      </c>
      <c r="T979" t="s">
        <v>7802</v>
      </c>
      <c r="U979" t="s">
        <v>7803</v>
      </c>
      <c r="V979" t="s">
        <v>32</v>
      </c>
      <c r="W979" t="s">
        <v>33</v>
      </c>
      <c r="X979" t="s">
        <v>33</v>
      </c>
      <c r="Y979" t="s">
        <v>33</v>
      </c>
      <c r="Z979" s="16" t="s">
        <v>34</v>
      </c>
      <c r="AA979">
        <v>-75.562966919999994</v>
      </c>
      <c r="AB979">
        <v>6.2385030800000001</v>
      </c>
      <c r="AC979" t="s">
        <v>135</v>
      </c>
      <c r="AD979" t="s">
        <v>136</v>
      </c>
    </row>
    <row r="980" spans="1:30" x14ac:dyDescent="0.25">
      <c r="A980" t="s">
        <v>10014</v>
      </c>
      <c r="B980" t="s">
        <v>25</v>
      </c>
      <c r="C980" t="s">
        <v>26</v>
      </c>
      <c r="D980" t="s">
        <v>25</v>
      </c>
      <c r="E980" t="s">
        <v>7804</v>
      </c>
      <c r="F980" t="s">
        <v>7805</v>
      </c>
      <c r="G980">
        <v>1036339571</v>
      </c>
      <c r="H980" t="s">
        <v>7806</v>
      </c>
      <c r="I980" s="4" t="s">
        <v>35</v>
      </c>
      <c r="J980" s="4" t="s">
        <v>7807</v>
      </c>
      <c r="K980" t="s">
        <v>7808</v>
      </c>
      <c r="L980" t="s">
        <v>27</v>
      </c>
      <c r="M980" t="s">
        <v>7809</v>
      </c>
      <c r="N980" t="s">
        <v>28</v>
      </c>
      <c r="O980" t="s">
        <v>29</v>
      </c>
      <c r="P980" t="s">
        <v>30</v>
      </c>
      <c r="Q980" t="s">
        <v>38</v>
      </c>
      <c r="R980">
        <v>10</v>
      </c>
      <c r="S980" t="s">
        <v>7810</v>
      </c>
      <c r="T980" t="s">
        <v>7802</v>
      </c>
      <c r="U980" t="s">
        <v>7811</v>
      </c>
      <c r="V980" t="s">
        <v>32</v>
      </c>
      <c r="W980" t="s">
        <v>33</v>
      </c>
      <c r="X980" t="s">
        <v>33</v>
      </c>
      <c r="Y980" t="s">
        <v>33</v>
      </c>
      <c r="Z980" s="16" t="s">
        <v>34</v>
      </c>
      <c r="AA980">
        <v>-75.640190000000004</v>
      </c>
      <c r="AB980">
        <v>6.1900979999999999</v>
      </c>
      <c r="AC980" t="s">
        <v>135</v>
      </c>
      <c r="AD980" t="s">
        <v>136</v>
      </c>
    </row>
    <row r="981" spans="1:30" x14ac:dyDescent="0.25">
      <c r="A981" t="s">
        <v>10015</v>
      </c>
      <c r="B981" t="s">
        <v>25</v>
      </c>
      <c r="C981" t="s">
        <v>26</v>
      </c>
      <c r="D981" t="s">
        <v>39</v>
      </c>
      <c r="E981" t="s">
        <v>7812</v>
      </c>
      <c r="F981" t="s">
        <v>7813</v>
      </c>
      <c r="G981">
        <v>11708339</v>
      </c>
      <c r="H981" t="s">
        <v>7741</v>
      </c>
      <c r="I981" s="4" t="s">
        <v>35</v>
      </c>
      <c r="J981" s="4" t="s">
        <v>7814</v>
      </c>
      <c r="K981" t="s">
        <v>7815</v>
      </c>
      <c r="L981" t="s">
        <v>27</v>
      </c>
      <c r="M981" t="s">
        <v>7816</v>
      </c>
      <c r="N981" t="s">
        <v>28</v>
      </c>
      <c r="O981" t="s">
        <v>40</v>
      </c>
      <c r="P981" t="s">
        <v>41</v>
      </c>
      <c r="Q981" t="s">
        <v>31</v>
      </c>
      <c r="R981">
        <v>5</v>
      </c>
      <c r="S981" t="s">
        <v>7817</v>
      </c>
      <c r="T981" t="s">
        <v>7818</v>
      </c>
      <c r="U981" t="s">
        <v>7819</v>
      </c>
      <c r="V981" t="s">
        <v>32</v>
      </c>
      <c r="W981" t="s">
        <v>33</v>
      </c>
      <c r="X981" t="s">
        <v>33</v>
      </c>
      <c r="Y981" t="s">
        <v>33</v>
      </c>
      <c r="Z981" s="16" t="s">
        <v>34</v>
      </c>
      <c r="AA981">
        <v>-75.539901880000002</v>
      </c>
      <c r="AB981">
        <v>6.2430092100000003</v>
      </c>
      <c r="AC981" t="s">
        <v>135</v>
      </c>
      <c r="AD981" t="s">
        <v>136</v>
      </c>
    </row>
    <row r="982" spans="1:30" x14ac:dyDescent="0.25">
      <c r="A982" t="s">
        <v>10016</v>
      </c>
      <c r="B982" t="s">
        <v>25</v>
      </c>
      <c r="C982" t="s">
        <v>26</v>
      </c>
      <c r="D982" t="s">
        <v>39</v>
      </c>
      <c r="E982" t="s">
        <v>7820</v>
      </c>
      <c r="F982" t="s">
        <v>7821</v>
      </c>
      <c r="G982">
        <v>43200811</v>
      </c>
      <c r="H982" t="s">
        <v>7822</v>
      </c>
      <c r="I982" s="4" t="s">
        <v>35</v>
      </c>
      <c r="J982" s="4" t="s">
        <v>7823</v>
      </c>
      <c r="K982" t="s">
        <v>7824</v>
      </c>
      <c r="L982" t="s">
        <v>27</v>
      </c>
      <c r="M982" t="s">
        <v>7825</v>
      </c>
      <c r="N982" t="s">
        <v>28</v>
      </c>
      <c r="O982" t="s">
        <v>40</v>
      </c>
      <c r="P982" t="s">
        <v>41</v>
      </c>
      <c r="Q982" t="s">
        <v>31</v>
      </c>
      <c r="R982">
        <v>5</v>
      </c>
      <c r="S982" t="s">
        <v>7826</v>
      </c>
      <c r="T982" t="s">
        <v>7827</v>
      </c>
      <c r="U982" t="s">
        <v>7828</v>
      </c>
      <c r="V982" t="s">
        <v>32</v>
      </c>
      <c r="W982" t="s">
        <v>33</v>
      </c>
      <c r="X982" t="s">
        <v>33</v>
      </c>
      <c r="Y982" t="s">
        <v>33</v>
      </c>
      <c r="Z982" s="16" t="s">
        <v>34</v>
      </c>
      <c r="AA982">
        <v>-75.606429000000006</v>
      </c>
      <c r="AB982">
        <v>6.274267</v>
      </c>
      <c r="AC982" t="s">
        <v>135</v>
      </c>
      <c r="AD982" t="s">
        <v>136</v>
      </c>
    </row>
    <row r="983" spans="1:30" x14ac:dyDescent="0.25">
      <c r="A983" t="s">
        <v>10017</v>
      </c>
      <c r="B983" t="s">
        <v>25</v>
      </c>
      <c r="C983" t="s">
        <v>26</v>
      </c>
      <c r="D983" t="s">
        <v>39</v>
      </c>
      <c r="E983" t="s">
        <v>7829</v>
      </c>
      <c r="F983" t="s">
        <v>7830</v>
      </c>
      <c r="G983">
        <v>11708339</v>
      </c>
      <c r="H983" t="s">
        <v>7741</v>
      </c>
      <c r="I983" s="4" t="s">
        <v>35</v>
      </c>
      <c r="J983" s="4" t="s">
        <v>7814</v>
      </c>
      <c r="K983" t="s">
        <v>7831</v>
      </c>
      <c r="L983" t="s">
        <v>27</v>
      </c>
      <c r="M983" t="s">
        <v>7832</v>
      </c>
      <c r="N983" t="s">
        <v>28</v>
      </c>
      <c r="O983" t="s">
        <v>40</v>
      </c>
      <c r="P983" t="s">
        <v>41</v>
      </c>
      <c r="Q983" t="s">
        <v>31</v>
      </c>
      <c r="R983">
        <v>5</v>
      </c>
      <c r="S983" t="s">
        <v>7833</v>
      </c>
      <c r="T983" t="s">
        <v>7827</v>
      </c>
      <c r="U983" t="s">
        <v>7828</v>
      </c>
      <c r="V983" t="s">
        <v>32</v>
      </c>
      <c r="W983" t="s">
        <v>33</v>
      </c>
      <c r="X983" t="s">
        <v>33</v>
      </c>
      <c r="Y983" t="s">
        <v>33</v>
      </c>
      <c r="Z983" s="16" t="s">
        <v>34</v>
      </c>
      <c r="AA983">
        <v>-75.539901880000002</v>
      </c>
      <c r="AB983">
        <v>6.2430092100000003</v>
      </c>
      <c r="AC983" t="s">
        <v>135</v>
      </c>
      <c r="AD983" t="s">
        <v>136</v>
      </c>
    </row>
    <row r="984" spans="1:30" x14ac:dyDescent="0.25">
      <c r="A984" t="s">
        <v>10018</v>
      </c>
      <c r="B984" t="s">
        <v>25</v>
      </c>
      <c r="C984" t="s">
        <v>75</v>
      </c>
      <c r="D984" t="s">
        <v>25</v>
      </c>
      <c r="E984" t="s">
        <v>7834</v>
      </c>
      <c r="F984" t="s">
        <v>7835</v>
      </c>
      <c r="G984">
        <v>43625213</v>
      </c>
      <c r="H984" t="s">
        <v>7836</v>
      </c>
      <c r="I984" s="4" t="s">
        <v>7837</v>
      </c>
      <c r="J984" s="4" t="s">
        <v>7838</v>
      </c>
      <c r="K984" t="s">
        <v>7839</v>
      </c>
      <c r="L984" t="s">
        <v>27</v>
      </c>
      <c r="M984" t="s">
        <v>7840</v>
      </c>
      <c r="N984" t="s">
        <v>28</v>
      </c>
      <c r="O984" t="s">
        <v>137</v>
      </c>
      <c r="P984" t="s">
        <v>30</v>
      </c>
      <c r="Q984" t="s">
        <v>31</v>
      </c>
      <c r="R984">
        <v>7</v>
      </c>
      <c r="S984" t="s">
        <v>7841</v>
      </c>
      <c r="T984" t="s">
        <v>7842</v>
      </c>
      <c r="U984" t="s">
        <v>7843</v>
      </c>
      <c r="V984" t="s">
        <v>32</v>
      </c>
      <c r="W984" t="s">
        <v>33</v>
      </c>
      <c r="X984" t="s">
        <v>33</v>
      </c>
      <c r="Y984" t="s">
        <v>33</v>
      </c>
      <c r="Z984" s="16" t="s">
        <v>34</v>
      </c>
      <c r="AA984">
        <v>-75.555711340000002</v>
      </c>
      <c r="AB984">
        <v>6.2506089899999999</v>
      </c>
      <c r="AC984" t="s">
        <v>135</v>
      </c>
      <c r="AD984" t="s">
        <v>136</v>
      </c>
    </row>
    <row r="985" spans="1:30" x14ac:dyDescent="0.25">
      <c r="A985" t="s">
        <v>10019</v>
      </c>
      <c r="B985" t="s">
        <v>25</v>
      </c>
      <c r="C985" t="s">
        <v>26</v>
      </c>
      <c r="D985" t="s">
        <v>25</v>
      </c>
      <c r="E985" t="s">
        <v>7844</v>
      </c>
      <c r="F985" t="s">
        <v>7845</v>
      </c>
      <c r="G985">
        <v>1036339571</v>
      </c>
      <c r="H985" t="s">
        <v>7806</v>
      </c>
      <c r="I985" s="4" t="s">
        <v>35</v>
      </c>
      <c r="J985" s="4" t="s">
        <v>7807</v>
      </c>
      <c r="K985" t="s">
        <v>7846</v>
      </c>
      <c r="L985" t="s">
        <v>27</v>
      </c>
      <c r="M985" t="s">
        <v>7847</v>
      </c>
      <c r="N985" t="s">
        <v>28</v>
      </c>
      <c r="O985" t="s">
        <v>29</v>
      </c>
      <c r="P985" t="s">
        <v>30</v>
      </c>
      <c r="Q985" t="s">
        <v>38</v>
      </c>
      <c r="R985">
        <v>10</v>
      </c>
      <c r="S985" t="s">
        <v>7848</v>
      </c>
      <c r="T985" t="s">
        <v>7282</v>
      </c>
      <c r="U985" t="s">
        <v>7849</v>
      </c>
      <c r="V985" t="s">
        <v>32</v>
      </c>
      <c r="W985" t="s">
        <v>33</v>
      </c>
      <c r="X985" t="s">
        <v>33</v>
      </c>
      <c r="Y985" t="s">
        <v>33</v>
      </c>
      <c r="Z985" s="16" t="s">
        <v>34</v>
      </c>
      <c r="AA985">
        <v>-75.640190000000004</v>
      </c>
      <c r="AB985">
        <v>6.1900979999999999</v>
      </c>
      <c r="AC985" t="s">
        <v>135</v>
      </c>
      <c r="AD985" t="s">
        <v>136</v>
      </c>
    </row>
    <row r="986" spans="1:30" x14ac:dyDescent="0.25">
      <c r="A986" t="s">
        <v>10020</v>
      </c>
      <c r="B986" t="s">
        <v>25</v>
      </c>
      <c r="C986" t="s">
        <v>26</v>
      </c>
      <c r="D986" t="s">
        <v>39</v>
      </c>
      <c r="E986" t="s">
        <v>7850</v>
      </c>
      <c r="F986" t="s">
        <v>7851</v>
      </c>
      <c r="G986">
        <v>43418510</v>
      </c>
      <c r="H986" t="s">
        <v>7852</v>
      </c>
      <c r="I986" s="4" t="s">
        <v>7853</v>
      </c>
      <c r="J986" s="4" t="s">
        <v>7854</v>
      </c>
      <c r="K986" t="s">
        <v>7855</v>
      </c>
      <c r="L986" t="s">
        <v>27</v>
      </c>
      <c r="M986" t="s">
        <v>7856</v>
      </c>
      <c r="N986" t="s">
        <v>28</v>
      </c>
      <c r="O986" t="s">
        <v>40</v>
      </c>
      <c r="P986" t="s">
        <v>41</v>
      </c>
      <c r="Q986" t="s">
        <v>31</v>
      </c>
      <c r="R986">
        <v>5</v>
      </c>
      <c r="S986" t="s">
        <v>7857</v>
      </c>
      <c r="T986" t="s">
        <v>7282</v>
      </c>
      <c r="U986" t="s">
        <v>2384</v>
      </c>
      <c r="V986" t="s">
        <v>32</v>
      </c>
      <c r="W986" t="s">
        <v>33</v>
      </c>
      <c r="X986" t="s">
        <v>33</v>
      </c>
      <c r="Y986" t="s">
        <v>33</v>
      </c>
      <c r="Z986" s="16" t="s">
        <v>34</v>
      </c>
      <c r="AA986">
        <v>-75.537912009999999</v>
      </c>
      <c r="AB986">
        <v>6.2490987899999997</v>
      </c>
      <c r="AC986" t="s">
        <v>135</v>
      </c>
      <c r="AD986" t="s">
        <v>136</v>
      </c>
    </row>
    <row r="987" spans="1:30" x14ac:dyDescent="0.25">
      <c r="A987" t="s">
        <v>10021</v>
      </c>
      <c r="B987" t="s">
        <v>25</v>
      </c>
      <c r="C987" t="s">
        <v>26</v>
      </c>
      <c r="D987" t="s">
        <v>25</v>
      </c>
      <c r="E987" t="s">
        <v>7858</v>
      </c>
      <c r="F987" t="s">
        <v>7859</v>
      </c>
      <c r="G987">
        <v>21447921</v>
      </c>
      <c r="H987" t="s">
        <v>7860</v>
      </c>
      <c r="I987" s="4" t="s">
        <v>35</v>
      </c>
      <c r="J987" s="4" t="s">
        <v>7861</v>
      </c>
      <c r="K987" t="s">
        <v>7862</v>
      </c>
      <c r="L987" t="s">
        <v>27</v>
      </c>
      <c r="M987" t="s">
        <v>7863</v>
      </c>
      <c r="N987" t="s">
        <v>28</v>
      </c>
      <c r="O987" t="s">
        <v>29</v>
      </c>
      <c r="P987" t="s">
        <v>37</v>
      </c>
      <c r="Q987" t="s">
        <v>31</v>
      </c>
      <c r="R987">
        <v>7</v>
      </c>
      <c r="S987" t="s">
        <v>7864</v>
      </c>
      <c r="T987" t="s">
        <v>7865</v>
      </c>
      <c r="U987" t="s">
        <v>7866</v>
      </c>
      <c r="V987" t="s">
        <v>32</v>
      </c>
      <c r="W987" t="s">
        <v>33</v>
      </c>
      <c r="X987" t="s">
        <v>33</v>
      </c>
      <c r="Y987" t="s">
        <v>33</v>
      </c>
      <c r="Z987" s="16" t="s">
        <v>34</v>
      </c>
      <c r="AA987">
        <v>-75.614739880000002</v>
      </c>
      <c r="AB987">
        <v>6.2211827700000004</v>
      </c>
      <c r="AC987" t="s">
        <v>135</v>
      </c>
      <c r="AD987" t="s">
        <v>136</v>
      </c>
    </row>
    <row r="988" spans="1:30" x14ac:dyDescent="0.25">
      <c r="A988" t="s">
        <v>10022</v>
      </c>
      <c r="B988" t="s">
        <v>25</v>
      </c>
      <c r="C988" t="s">
        <v>26</v>
      </c>
      <c r="D988" t="s">
        <v>25</v>
      </c>
      <c r="E988" t="s">
        <v>7867</v>
      </c>
      <c r="F988" t="s">
        <v>7868</v>
      </c>
      <c r="G988">
        <v>1037525086</v>
      </c>
      <c r="H988" t="s">
        <v>7869</v>
      </c>
      <c r="I988" s="4" t="s">
        <v>35</v>
      </c>
      <c r="J988" s="4" t="s">
        <v>7870</v>
      </c>
      <c r="K988" t="s">
        <v>7871</v>
      </c>
      <c r="L988" t="s">
        <v>27</v>
      </c>
      <c r="M988" t="s">
        <v>7872</v>
      </c>
      <c r="N988" t="s">
        <v>28</v>
      </c>
      <c r="O988" t="s">
        <v>29</v>
      </c>
      <c r="P988" t="s">
        <v>37</v>
      </c>
      <c r="Q988" t="s">
        <v>31</v>
      </c>
      <c r="R988">
        <v>7</v>
      </c>
      <c r="S988" t="s">
        <v>7873</v>
      </c>
      <c r="T988" t="s">
        <v>5518</v>
      </c>
      <c r="U988" t="s">
        <v>7874</v>
      </c>
      <c r="V988" t="s">
        <v>32</v>
      </c>
      <c r="W988" t="s">
        <v>33</v>
      </c>
      <c r="X988" t="s">
        <v>33</v>
      </c>
      <c r="Y988" t="s">
        <v>33</v>
      </c>
      <c r="Z988" s="16" t="s">
        <v>34</v>
      </c>
      <c r="AA988">
        <v>-75.559983000000003</v>
      </c>
      <c r="AB988">
        <v>6.2407899999999996</v>
      </c>
      <c r="AC988" t="s">
        <v>135</v>
      </c>
      <c r="AD988" t="s">
        <v>136</v>
      </c>
    </row>
    <row r="989" spans="1:30" x14ac:dyDescent="0.25">
      <c r="A989" t="s">
        <v>10023</v>
      </c>
      <c r="B989" t="s">
        <v>42</v>
      </c>
      <c r="C989" t="s">
        <v>26</v>
      </c>
      <c r="D989" t="s">
        <v>42</v>
      </c>
      <c r="E989" t="s">
        <v>7875</v>
      </c>
      <c r="F989" t="s">
        <v>7876</v>
      </c>
      <c r="G989">
        <v>21803728</v>
      </c>
      <c r="H989" t="s">
        <v>7877</v>
      </c>
      <c r="I989" s="4" t="s">
        <v>35</v>
      </c>
      <c r="J989" s="4" t="s">
        <v>7878</v>
      </c>
      <c r="K989" t="s">
        <v>7879</v>
      </c>
      <c r="L989" t="s">
        <v>27</v>
      </c>
      <c r="M989" t="s">
        <v>7880</v>
      </c>
      <c r="N989" t="s">
        <v>28</v>
      </c>
      <c r="O989" t="s">
        <v>43</v>
      </c>
      <c r="P989" t="s">
        <v>30</v>
      </c>
      <c r="Q989" t="s">
        <v>31</v>
      </c>
      <c r="R989">
        <v>7</v>
      </c>
      <c r="S989" t="s">
        <v>7881</v>
      </c>
      <c r="T989" t="s">
        <v>7882</v>
      </c>
      <c r="U989" t="s">
        <v>7283</v>
      </c>
      <c r="V989" t="s">
        <v>32</v>
      </c>
      <c r="W989" t="s">
        <v>33</v>
      </c>
      <c r="X989" t="s">
        <v>33</v>
      </c>
      <c r="Y989" t="s">
        <v>33</v>
      </c>
      <c r="Z989" s="16" t="s">
        <v>34</v>
      </c>
      <c r="AA989">
        <v>-75.580830120000002</v>
      </c>
      <c r="AB989">
        <v>6.2270874100000002</v>
      </c>
      <c r="AC989" t="s">
        <v>135</v>
      </c>
      <c r="AD989" t="s">
        <v>136</v>
      </c>
    </row>
    <row r="990" spans="1:30" x14ac:dyDescent="0.25">
      <c r="A990" t="s">
        <v>10024</v>
      </c>
      <c r="B990" t="s">
        <v>50</v>
      </c>
      <c r="C990" t="s">
        <v>26</v>
      </c>
      <c r="D990" t="s">
        <v>50</v>
      </c>
      <c r="E990" t="s">
        <v>7883</v>
      </c>
      <c r="F990" t="s">
        <v>7884</v>
      </c>
      <c r="G990">
        <v>43156142</v>
      </c>
      <c r="H990" t="s">
        <v>7885</v>
      </c>
      <c r="I990" s="4" t="s">
        <v>35</v>
      </c>
      <c r="J990" s="4" t="s">
        <v>7886</v>
      </c>
      <c r="K990" t="s">
        <v>7887</v>
      </c>
      <c r="L990" t="s">
        <v>55</v>
      </c>
      <c r="M990" t="s">
        <v>7888</v>
      </c>
      <c r="N990" t="s">
        <v>56</v>
      </c>
      <c r="O990" t="s">
        <v>51</v>
      </c>
      <c r="P990" t="s">
        <v>52</v>
      </c>
      <c r="Q990" t="s">
        <v>38</v>
      </c>
      <c r="R990">
        <v>11</v>
      </c>
      <c r="S990" t="s">
        <v>7889</v>
      </c>
      <c r="T990" t="s">
        <v>7882</v>
      </c>
      <c r="U990" t="s">
        <v>7890</v>
      </c>
      <c r="V990" t="s">
        <v>32</v>
      </c>
      <c r="W990" t="s">
        <v>33</v>
      </c>
      <c r="X990" t="s">
        <v>33</v>
      </c>
      <c r="Y990" t="s">
        <v>33</v>
      </c>
      <c r="Z990" s="16" t="s">
        <v>34</v>
      </c>
      <c r="AA990">
        <v>-75.636919000000006</v>
      </c>
      <c r="AB990">
        <v>6.1369499999999997</v>
      </c>
      <c r="AC990" t="s">
        <v>135</v>
      </c>
      <c r="AD990" t="s">
        <v>136</v>
      </c>
    </row>
    <row r="991" spans="1:30" x14ac:dyDescent="0.25">
      <c r="A991" t="s">
        <v>10025</v>
      </c>
      <c r="B991" t="s">
        <v>25</v>
      </c>
      <c r="C991" t="s">
        <v>26</v>
      </c>
      <c r="D991" t="s">
        <v>25</v>
      </c>
      <c r="E991" t="s">
        <v>7891</v>
      </c>
      <c r="F991" t="s">
        <v>7892</v>
      </c>
      <c r="G991">
        <v>1036339571</v>
      </c>
      <c r="H991" t="s">
        <v>7806</v>
      </c>
      <c r="I991" s="4" t="s">
        <v>35</v>
      </c>
      <c r="J991" s="4" t="s">
        <v>7807</v>
      </c>
      <c r="K991" t="s">
        <v>7893</v>
      </c>
      <c r="L991" t="s">
        <v>27</v>
      </c>
      <c r="M991" t="s">
        <v>7894</v>
      </c>
      <c r="N991" t="s">
        <v>28</v>
      </c>
      <c r="O991" t="s">
        <v>29</v>
      </c>
      <c r="P991" t="s">
        <v>30</v>
      </c>
      <c r="Q991" t="s">
        <v>38</v>
      </c>
      <c r="R991">
        <v>10</v>
      </c>
      <c r="S991" t="s">
        <v>7895</v>
      </c>
      <c r="T991" t="s">
        <v>7896</v>
      </c>
      <c r="U991" t="s">
        <v>7897</v>
      </c>
      <c r="V991" t="s">
        <v>32</v>
      </c>
      <c r="W991" t="s">
        <v>33</v>
      </c>
      <c r="X991" t="s">
        <v>33</v>
      </c>
      <c r="Y991" t="s">
        <v>33</v>
      </c>
      <c r="Z991" s="16" t="s">
        <v>34</v>
      </c>
      <c r="AA991">
        <v>-75.640190000000004</v>
      </c>
      <c r="AB991">
        <v>6.1900979999999999</v>
      </c>
      <c r="AC991" t="s">
        <v>135</v>
      </c>
      <c r="AD991" t="s">
        <v>136</v>
      </c>
    </row>
    <row r="992" spans="1:30" x14ac:dyDescent="0.25">
      <c r="A992" t="s">
        <v>10026</v>
      </c>
      <c r="B992" t="s">
        <v>50</v>
      </c>
      <c r="C992" t="s">
        <v>26</v>
      </c>
      <c r="D992" t="s">
        <v>50</v>
      </c>
      <c r="E992" t="s">
        <v>7898</v>
      </c>
      <c r="F992" t="s">
        <v>7899</v>
      </c>
      <c r="G992">
        <v>1025649918</v>
      </c>
      <c r="H992" t="s">
        <v>7900</v>
      </c>
      <c r="I992" s="4" t="s">
        <v>35</v>
      </c>
      <c r="J992" s="4" t="s">
        <v>7901</v>
      </c>
      <c r="K992" t="s">
        <v>7902</v>
      </c>
      <c r="L992" t="s">
        <v>27</v>
      </c>
      <c r="M992" t="s">
        <v>7903</v>
      </c>
      <c r="N992" t="s">
        <v>28</v>
      </c>
      <c r="O992" t="s">
        <v>51</v>
      </c>
      <c r="P992" t="s">
        <v>52</v>
      </c>
      <c r="Q992" t="s">
        <v>31</v>
      </c>
      <c r="R992">
        <v>11</v>
      </c>
      <c r="S992" t="s">
        <v>7904</v>
      </c>
      <c r="T992" t="s">
        <v>7905</v>
      </c>
      <c r="U992" t="s">
        <v>7906</v>
      </c>
      <c r="V992" t="s">
        <v>32</v>
      </c>
      <c r="W992" t="s">
        <v>33</v>
      </c>
      <c r="X992" t="s">
        <v>33</v>
      </c>
      <c r="Y992" t="s">
        <v>33</v>
      </c>
      <c r="Z992" s="16" t="s">
        <v>34</v>
      </c>
      <c r="AA992">
        <v>-75.611386850000002</v>
      </c>
      <c r="AB992">
        <v>6.22266692</v>
      </c>
      <c r="AC992" t="s">
        <v>135</v>
      </c>
      <c r="AD992" t="s">
        <v>136</v>
      </c>
    </row>
    <row r="993" spans="1:30" x14ac:dyDescent="0.25">
      <c r="A993" t="s">
        <v>10027</v>
      </c>
      <c r="B993" t="s">
        <v>25</v>
      </c>
      <c r="C993" t="s">
        <v>26</v>
      </c>
      <c r="D993" t="s">
        <v>25</v>
      </c>
      <c r="E993" t="s">
        <v>7907</v>
      </c>
      <c r="F993" t="s">
        <v>7908</v>
      </c>
      <c r="G993">
        <v>1036339571</v>
      </c>
      <c r="H993" t="s">
        <v>7806</v>
      </c>
      <c r="I993" s="4" t="s">
        <v>35</v>
      </c>
      <c r="J993" s="4" t="s">
        <v>7807</v>
      </c>
      <c r="K993" t="s">
        <v>7909</v>
      </c>
      <c r="L993" t="s">
        <v>27</v>
      </c>
      <c r="M993" t="s">
        <v>7910</v>
      </c>
      <c r="N993" t="s">
        <v>28</v>
      </c>
      <c r="O993" t="s">
        <v>29</v>
      </c>
      <c r="P993" t="s">
        <v>30</v>
      </c>
      <c r="Q993" t="s">
        <v>38</v>
      </c>
      <c r="R993">
        <v>10</v>
      </c>
      <c r="S993" t="s">
        <v>7911</v>
      </c>
      <c r="T993" t="s">
        <v>7912</v>
      </c>
      <c r="U993" t="s">
        <v>7913</v>
      </c>
      <c r="V993" t="s">
        <v>32</v>
      </c>
      <c r="W993" t="s">
        <v>33</v>
      </c>
      <c r="X993" t="s">
        <v>33</v>
      </c>
      <c r="Y993" t="s">
        <v>33</v>
      </c>
      <c r="Z993" s="16" t="s">
        <v>34</v>
      </c>
      <c r="AA993">
        <v>-75.640190000000004</v>
      </c>
      <c r="AB993">
        <v>6.1900979999999999</v>
      </c>
      <c r="AC993" t="s">
        <v>135</v>
      </c>
      <c r="AD993" t="s">
        <v>136</v>
      </c>
    </row>
    <row r="994" spans="1:30" x14ac:dyDescent="0.25">
      <c r="A994" t="s">
        <v>10028</v>
      </c>
      <c r="B994" t="s">
        <v>25</v>
      </c>
      <c r="C994" t="s">
        <v>26</v>
      </c>
      <c r="D994" t="s">
        <v>25</v>
      </c>
      <c r="E994" t="s">
        <v>7914</v>
      </c>
      <c r="F994" t="s">
        <v>7915</v>
      </c>
      <c r="G994">
        <v>43001425</v>
      </c>
      <c r="H994" t="s">
        <v>7916</v>
      </c>
      <c r="I994" s="4" t="s">
        <v>35</v>
      </c>
      <c r="J994" s="4" t="s">
        <v>7917</v>
      </c>
      <c r="K994" t="s">
        <v>7918</v>
      </c>
      <c r="L994" t="s">
        <v>48</v>
      </c>
      <c r="M994" t="s">
        <v>7919</v>
      </c>
      <c r="N994" t="s">
        <v>64</v>
      </c>
      <c r="O994" t="s">
        <v>29</v>
      </c>
      <c r="P994" t="s">
        <v>37</v>
      </c>
      <c r="Q994" t="s">
        <v>38</v>
      </c>
      <c r="R994">
        <v>10</v>
      </c>
      <c r="S994" t="s">
        <v>7920</v>
      </c>
      <c r="T994" t="s">
        <v>7921</v>
      </c>
      <c r="U994" t="s">
        <v>7922</v>
      </c>
      <c r="V994" t="s">
        <v>32</v>
      </c>
      <c r="W994" t="s">
        <v>33</v>
      </c>
      <c r="X994" t="s">
        <v>33</v>
      </c>
      <c r="Y994" t="s">
        <v>33</v>
      </c>
      <c r="Z994" s="16" t="s">
        <v>34</v>
      </c>
      <c r="AA994">
        <v>-75.505374149999994</v>
      </c>
      <c r="AB994">
        <v>6.1637516300000001</v>
      </c>
      <c r="AC994" t="s">
        <v>135</v>
      </c>
      <c r="AD994" t="s">
        <v>136</v>
      </c>
    </row>
    <row r="995" spans="1:30" x14ac:dyDescent="0.25">
      <c r="A995" t="s">
        <v>10029</v>
      </c>
      <c r="B995" t="s">
        <v>61</v>
      </c>
      <c r="C995" t="s">
        <v>26</v>
      </c>
      <c r="D995" t="s">
        <v>61</v>
      </c>
      <c r="E995" t="s">
        <v>7923</v>
      </c>
      <c r="F995" t="s">
        <v>7924</v>
      </c>
      <c r="G995">
        <v>35890958</v>
      </c>
      <c r="H995" t="s">
        <v>7925</v>
      </c>
      <c r="I995" s="4" t="s">
        <v>7926</v>
      </c>
      <c r="J995" s="4" t="s">
        <v>7927</v>
      </c>
      <c r="K995" t="s">
        <v>7928</v>
      </c>
      <c r="L995" t="s">
        <v>27</v>
      </c>
      <c r="M995" t="s">
        <v>7929</v>
      </c>
      <c r="N995" t="s">
        <v>28</v>
      </c>
      <c r="O995" t="s">
        <v>62</v>
      </c>
      <c r="P995" t="s">
        <v>63</v>
      </c>
      <c r="Q995" t="s">
        <v>31</v>
      </c>
      <c r="R995">
        <v>4</v>
      </c>
      <c r="S995" t="s">
        <v>7930</v>
      </c>
      <c r="T995" t="s">
        <v>6866</v>
      </c>
      <c r="U995" t="s">
        <v>6866</v>
      </c>
      <c r="V995" t="s">
        <v>49</v>
      </c>
      <c r="W995" t="s">
        <v>33</v>
      </c>
      <c r="X995" t="s">
        <v>33</v>
      </c>
      <c r="Y995" t="s">
        <v>33</v>
      </c>
      <c r="Z995" s="16" t="s">
        <v>34</v>
      </c>
      <c r="AA995">
        <v>-75.592278969999995</v>
      </c>
      <c r="AB995">
        <v>6.2446130399999999</v>
      </c>
      <c r="AC995" t="s">
        <v>135</v>
      </c>
      <c r="AD995" t="s">
        <v>136</v>
      </c>
    </row>
    <row r="996" spans="1:30" x14ac:dyDescent="0.25">
      <c r="A996" t="s">
        <v>10030</v>
      </c>
      <c r="B996" t="s">
        <v>42</v>
      </c>
      <c r="C996" t="s">
        <v>26</v>
      </c>
      <c r="D996" t="s">
        <v>42</v>
      </c>
      <c r="E996" t="s">
        <v>7931</v>
      </c>
      <c r="F996" t="s">
        <v>7932</v>
      </c>
      <c r="G996">
        <v>43323068</v>
      </c>
      <c r="H996" t="s">
        <v>7933</v>
      </c>
      <c r="I996" s="4" t="s">
        <v>35</v>
      </c>
      <c r="J996" s="4" t="s">
        <v>7934</v>
      </c>
      <c r="K996" t="s">
        <v>7935</v>
      </c>
      <c r="L996" t="s">
        <v>27</v>
      </c>
      <c r="M996" t="s">
        <v>7936</v>
      </c>
      <c r="N996" t="s">
        <v>28</v>
      </c>
      <c r="O996" t="s">
        <v>43</v>
      </c>
      <c r="P996" t="s">
        <v>37</v>
      </c>
      <c r="Q996" t="s">
        <v>31</v>
      </c>
      <c r="R996">
        <v>7</v>
      </c>
      <c r="S996" t="s">
        <v>7937</v>
      </c>
      <c r="T996" t="s">
        <v>7938</v>
      </c>
      <c r="U996" t="s">
        <v>7939</v>
      </c>
      <c r="V996" t="s">
        <v>32</v>
      </c>
      <c r="W996" t="s">
        <v>33</v>
      </c>
      <c r="X996" t="s">
        <v>33</v>
      </c>
      <c r="Y996" t="s">
        <v>33</v>
      </c>
      <c r="Z996" s="16" t="s">
        <v>34</v>
      </c>
      <c r="AA996">
        <v>-75.624591519999996</v>
      </c>
      <c r="AB996">
        <v>6.2490328499999999</v>
      </c>
      <c r="AC996" t="s">
        <v>135</v>
      </c>
      <c r="AD996" t="s">
        <v>136</v>
      </c>
    </row>
    <row r="997" spans="1:30" x14ac:dyDescent="0.25">
      <c r="A997" t="s">
        <v>10031</v>
      </c>
      <c r="B997" t="s">
        <v>42</v>
      </c>
      <c r="C997" t="s">
        <v>26</v>
      </c>
      <c r="D997" t="s">
        <v>42</v>
      </c>
      <c r="E997" t="s">
        <v>7940</v>
      </c>
      <c r="F997" t="s">
        <v>7941</v>
      </c>
      <c r="G997">
        <v>21920985</v>
      </c>
      <c r="H997" t="s">
        <v>7942</v>
      </c>
      <c r="I997" s="4" t="s">
        <v>7943</v>
      </c>
      <c r="J997" s="4" t="s">
        <v>7944</v>
      </c>
      <c r="K997" t="s">
        <v>7945</v>
      </c>
      <c r="L997" t="s">
        <v>27</v>
      </c>
      <c r="M997" t="s">
        <v>7946</v>
      </c>
      <c r="N997" t="s">
        <v>28</v>
      </c>
      <c r="O997" t="s">
        <v>43</v>
      </c>
      <c r="P997" t="s">
        <v>37</v>
      </c>
      <c r="Q997" t="s">
        <v>31</v>
      </c>
      <c r="R997">
        <v>7</v>
      </c>
      <c r="S997" t="s">
        <v>7947</v>
      </c>
      <c r="T997" t="s">
        <v>7948</v>
      </c>
      <c r="U997" t="s">
        <v>7949</v>
      </c>
      <c r="V997" t="s">
        <v>32</v>
      </c>
      <c r="W997" t="s">
        <v>33</v>
      </c>
      <c r="X997" t="s">
        <v>33</v>
      </c>
      <c r="Y997" t="s">
        <v>33</v>
      </c>
      <c r="Z997" s="16" t="s">
        <v>34</v>
      </c>
      <c r="AA997">
        <v>-75.583517139999998</v>
      </c>
      <c r="AB997">
        <v>6.2128285300000003</v>
      </c>
      <c r="AC997" t="s">
        <v>135</v>
      </c>
      <c r="AD997" t="s">
        <v>136</v>
      </c>
    </row>
    <row r="998" spans="1:30" x14ac:dyDescent="0.25">
      <c r="A998" t="s">
        <v>10032</v>
      </c>
      <c r="B998" t="s">
        <v>25</v>
      </c>
      <c r="C998" t="s">
        <v>26</v>
      </c>
      <c r="D998" t="s">
        <v>25</v>
      </c>
      <c r="E998" t="s">
        <v>7950</v>
      </c>
      <c r="F998" t="s">
        <v>7951</v>
      </c>
      <c r="G998">
        <v>21920985</v>
      </c>
      <c r="H998" t="s">
        <v>7942</v>
      </c>
      <c r="I998" s="4" t="s">
        <v>7943</v>
      </c>
      <c r="J998" s="4" t="s">
        <v>7944</v>
      </c>
      <c r="K998" t="s">
        <v>7952</v>
      </c>
      <c r="L998" t="s">
        <v>27</v>
      </c>
      <c r="M998" t="s">
        <v>7953</v>
      </c>
      <c r="N998" t="s">
        <v>28</v>
      </c>
      <c r="O998" t="s">
        <v>29</v>
      </c>
      <c r="P998" t="s">
        <v>37</v>
      </c>
      <c r="Q998" t="s">
        <v>31</v>
      </c>
      <c r="R998">
        <v>7</v>
      </c>
      <c r="S998" t="s">
        <v>7954</v>
      </c>
      <c r="T998" t="s">
        <v>7955</v>
      </c>
      <c r="U998" t="s">
        <v>7956</v>
      </c>
      <c r="V998" t="s">
        <v>32</v>
      </c>
      <c r="W998" t="s">
        <v>33</v>
      </c>
      <c r="X998" t="s">
        <v>33</v>
      </c>
      <c r="Y998" t="s">
        <v>33</v>
      </c>
      <c r="Z998" s="16" t="s">
        <v>34</v>
      </c>
      <c r="AA998">
        <v>-75.583517139999998</v>
      </c>
      <c r="AB998">
        <v>6.2128285300000003</v>
      </c>
      <c r="AC998" t="s">
        <v>135</v>
      </c>
      <c r="AD998" t="s">
        <v>136</v>
      </c>
    </row>
    <row r="999" spans="1:30" x14ac:dyDescent="0.25">
      <c r="A999" t="s">
        <v>10033</v>
      </c>
      <c r="B999" t="s">
        <v>61</v>
      </c>
      <c r="C999" t="s">
        <v>26</v>
      </c>
      <c r="D999" t="s">
        <v>61</v>
      </c>
      <c r="E999" t="s">
        <v>7957</v>
      </c>
      <c r="F999" t="s">
        <v>7958</v>
      </c>
      <c r="G999">
        <v>5672540</v>
      </c>
      <c r="H999" t="s">
        <v>7959</v>
      </c>
      <c r="I999" s="4" t="s">
        <v>35</v>
      </c>
      <c r="J999" s="4" t="s">
        <v>67</v>
      </c>
      <c r="K999" t="s">
        <v>7960</v>
      </c>
      <c r="L999" t="s">
        <v>27</v>
      </c>
      <c r="M999" t="s">
        <v>7961</v>
      </c>
      <c r="N999" t="s">
        <v>28</v>
      </c>
      <c r="O999" t="s">
        <v>62</v>
      </c>
      <c r="P999" t="s">
        <v>63</v>
      </c>
      <c r="Q999" t="s">
        <v>31</v>
      </c>
      <c r="R999">
        <v>4</v>
      </c>
      <c r="S999" t="s">
        <v>7962</v>
      </c>
      <c r="T999" t="s">
        <v>7955</v>
      </c>
      <c r="U999" t="s">
        <v>7955</v>
      </c>
      <c r="V999" t="s">
        <v>49</v>
      </c>
      <c r="W999" t="s">
        <v>33</v>
      </c>
      <c r="X999" t="s">
        <v>33</v>
      </c>
      <c r="Y999" t="s">
        <v>33</v>
      </c>
      <c r="Z999" s="16" t="s">
        <v>34</v>
      </c>
      <c r="AA999">
        <v>-75.574241090000001</v>
      </c>
      <c r="AB999">
        <v>6.2076159899999999</v>
      </c>
      <c r="AC999" t="s">
        <v>135</v>
      </c>
      <c r="AD999" t="s">
        <v>136</v>
      </c>
    </row>
    <row r="1000" spans="1:30" x14ac:dyDescent="0.25">
      <c r="A1000" t="s">
        <v>6106</v>
      </c>
      <c r="B1000" t="s">
        <v>65</v>
      </c>
      <c r="C1000" t="s">
        <v>26</v>
      </c>
      <c r="D1000" t="s">
        <v>66</v>
      </c>
      <c r="E1000" t="s">
        <v>6107</v>
      </c>
      <c r="F1000" t="s">
        <v>6108</v>
      </c>
      <c r="G1000">
        <v>71716332</v>
      </c>
      <c r="H1000" t="s">
        <v>6109</v>
      </c>
      <c r="I1000" s="4" t="s">
        <v>35</v>
      </c>
      <c r="J1000" s="4" t="s">
        <v>6110</v>
      </c>
      <c r="K1000" t="s">
        <v>6111</v>
      </c>
      <c r="L1000" t="s">
        <v>27</v>
      </c>
      <c r="M1000" t="s">
        <v>6112</v>
      </c>
      <c r="N1000" t="s">
        <v>28</v>
      </c>
      <c r="O1000" t="s">
        <v>68</v>
      </c>
      <c r="P1000" t="s">
        <v>70</v>
      </c>
      <c r="Q1000" t="s">
        <v>31</v>
      </c>
      <c r="R1000">
        <v>9</v>
      </c>
      <c r="S1000" t="s">
        <v>6113</v>
      </c>
      <c r="T1000" t="s">
        <v>7963</v>
      </c>
      <c r="U1000" t="s">
        <v>7964</v>
      </c>
      <c r="V1000" t="s">
        <v>32</v>
      </c>
      <c r="W1000" t="s">
        <v>33</v>
      </c>
      <c r="X1000" t="s">
        <v>33</v>
      </c>
      <c r="Y1000" t="s">
        <v>33</v>
      </c>
      <c r="Z1000" s="16" t="s">
        <v>34</v>
      </c>
      <c r="AA1000">
        <v>-75.626833939999997</v>
      </c>
      <c r="AB1000">
        <v>6.2546611299999997</v>
      </c>
      <c r="AC1000" t="s">
        <v>135</v>
      </c>
      <c r="AD1000" t="s">
        <v>136</v>
      </c>
    </row>
    <row r="1001" spans="1:30" x14ac:dyDescent="0.25">
      <c r="A1001" t="s">
        <v>10034</v>
      </c>
      <c r="B1001" t="s">
        <v>25</v>
      </c>
      <c r="C1001" t="s">
        <v>26</v>
      </c>
      <c r="D1001" t="s">
        <v>25</v>
      </c>
      <c r="E1001" t="s">
        <v>7965</v>
      </c>
      <c r="F1001" t="s">
        <v>7966</v>
      </c>
      <c r="G1001">
        <v>98531300</v>
      </c>
      <c r="H1001" t="s">
        <v>7967</v>
      </c>
      <c r="I1001" s="4" t="s">
        <v>7968</v>
      </c>
      <c r="J1001" s="4" t="s">
        <v>7969</v>
      </c>
      <c r="K1001" t="s">
        <v>7970</v>
      </c>
      <c r="L1001" t="s">
        <v>27</v>
      </c>
      <c r="M1001" t="s">
        <v>7971</v>
      </c>
      <c r="N1001" t="s">
        <v>28</v>
      </c>
      <c r="O1001" t="s">
        <v>29</v>
      </c>
      <c r="P1001" t="s">
        <v>37</v>
      </c>
      <c r="Q1001" t="s">
        <v>31</v>
      </c>
      <c r="R1001">
        <v>7</v>
      </c>
      <c r="S1001" t="s">
        <v>7972</v>
      </c>
      <c r="T1001" t="s">
        <v>1148</v>
      </c>
      <c r="U1001" t="s">
        <v>7973</v>
      </c>
      <c r="V1001" t="s">
        <v>32</v>
      </c>
      <c r="W1001" t="s">
        <v>33</v>
      </c>
      <c r="X1001" t="s">
        <v>33</v>
      </c>
      <c r="Y1001" t="s">
        <v>33</v>
      </c>
      <c r="Z1001" s="16" t="s">
        <v>34</v>
      </c>
      <c r="AA1001">
        <v>-75.604962130000004</v>
      </c>
      <c r="AB1001">
        <v>6.2777585199999999</v>
      </c>
      <c r="AC1001" t="s">
        <v>135</v>
      </c>
      <c r="AD1001" t="s">
        <v>136</v>
      </c>
    </row>
    <row r="1002" spans="1:30" x14ac:dyDescent="0.25">
      <c r="A1002" t="s">
        <v>10035</v>
      </c>
      <c r="B1002" t="s">
        <v>25</v>
      </c>
      <c r="C1002" t="s">
        <v>26</v>
      </c>
      <c r="D1002" t="s">
        <v>25</v>
      </c>
      <c r="E1002" t="s">
        <v>7974</v>
      </c>
      <c r="F1002" t="s">
        <v>7975</v>
      </c>
      <c r="G1002">
        <v>43099664</v>
      </c>
      <c r="H1002" t="s">
        <v>7976</v>
      </c>
      <c r="I1002" s="4" t="s">
        <v>7977</v>
      </c>
      <c r="J1002" s="4" t="s">
        <v>7978</v>
      </c>
      <c r="K1002" t="s">
        <v>7979</v>
      </c>
      <c r="L1002" t="s">
        <v>27</v>
      </c>
      <c r="M1002" t="s">
        <v>7980</v>
      </c>
      <c r="N1002" t="s">
        <v>28</v>
      </c>
      <c r="O1002" t="s">
        <v>29</v>
      </c>
      <c r="P1002" t="s">
        <v>37</v>
      </c>
      <c r="Q1002" t="s">
        <v>31</v>
      </c>
      <c r="R1002">
        <v>7</v>
      </c>
      <c r="S1002" t="s">
        <v>7981</v>
      </c>
      <c r="T1002" t="s">
        <v>1148</v>
      </c>
      <c r="U1002" t="s">
        <v>7973</v>
      </c>
      <c r="V1002" t="s">
        <v>32</v>
      </c>
      <c r="W1002" t="s">
        <v>33</v>
      </c>
      <c r="X1002" t="s">
        <v>33</v>
      </c>
      <c r="Y1002" t="s">
        <v>33</v>
      </c>
      <c r="Z1002" s="16" t="s">
        <v>34</v>
      </c>
      <c r="AA1002">
        <v>-75.544535999999994</v>
      </c>
      <c r="AB1002">
        <v>6.2419789999999997</v>
      </c>
      <c r="AC1002" t="s">
        <v>135</v>
      </c>
      <c r="AD1002" t="s">
        <v>136</v>
      </c>
    </row>
    <row r="1003" spans="1:30" x14ac:dyDescent="0.25">
      <c r="A1003" t="s">
        <v>10036</v>
      </c>
      <c r="B1003" t="s">
        <v>25</v>
      </c>
      <c r="C1003" t="s">
        <v>26</v>
      </c>
      <c r="D1003" t="s">
        <v>39</v>
      </c>
      <c r="E1003" t="s">
        <v>7982</v>
      </c>
      <c r="F1003" t="s">
        <v>7983</v>
      </c>
      <c r="G1003">
        <v>98567899</v>
      </c>
      <c r="H1003" t="s">
        <v>7984</v>
      </c>
      <c r="I1003" s="4" t="s">
        <v>7985</v>
      </c>
      <c r="J1003" s="4" t="s">
        <v>7986</v>
      </c>
      <c r="K1003" t="s">
        <v>7987</v>
      </c>
      <c r="L1003" t="s">
        <v>27</v>
      </c>
      <c r="M1003" t="s">
        <v>7988</v>
      </c>
      <c r="N1003" t="s">
        <v>28</v>
      </c>
      <c r="O1003" t="s">
        <v>40</v>
      </c>
      <c r="P1003" t="s">
        <v>36</v>
      </c>
      <c r="Q1003" t="s">
        <v>31</v>
      </c>
      <c r="R1003">
        <v>5</v>
      </c>
      <c r="S1003" t="s">
        <v>7989</v>
      </c>
      <c r="T1003" t="s">
        <v>7990</v>
      </c>
      <c r="U1003" t="s">
        <v>7991</v>
      </c>
      <c r="V1003" t="s">
        <v>32</v>
      </c>
      <c r="W1003" t="s">
        <v>33</v>
      </c>
      <c r="X1003" t="s">
        <v>33</v>
      </c>
      <c r="Y1003" t="s">
        <v>33</v>
      </c>
      <c r="Z1003" s="16" t="s">
        <v>34</v>
      </c>
      <c r="AA1003">
        <v>-75.605092540000001</v>
      </c>
      <c r="AB1003">
        <v>6.2245183600000002</v>
      </c>
      <c r="AC1003" t="s">
        <v>135</v>
      </c>
      <c r="AD1003" t="s">
        <v>136</v>
      </c>
    </row>
    <row r="1004" spans="1:30" x14ac:dyDescent="0.25">
      <c r="A1004" t="s">
        <v>10037</v>
      </c>
      <c r="B1004" t="s">
        <v>42</v>
      </c>
      <c r="C1004" t="s">
        <v>26</v>
      </c>
      <c r="D1004" t="s">
        <v>42</v>
      </c>
      <c r="E1004" t="s">
        <v>7992</v>
      </c>
      <c r="F1004" t="s">
        <v>7993</v>
      </c>
      <c r="G1004">
        <v>890904996</v>
      </c>
      <c r="H1004" t="s">
        <v>7994</v>
      </c>
      <c r="I1004" s="4" t="s">
        <v>53</v>
      </c>
      <c r="J1004" s="4" t="s">
        <v>7995</v>
      </c>
      <c r="K1004" t="s">
        <v>7996</v>
      </c>
      <c r="L1004" t="s">
        <v>27</v>
      </c>
      <c r="M1004" t="s">
        <v>7997</v>
      </c>
      <c r="N1004" t="s">
        <v>28</v>
      </c>
      <c r="O1004" t="s">
        <v>43</v>
      </c>
      <c r="P1004" t="s">
        <v>37</v>
      </c>
      <c r="Q1004" t="s">
        <v>31</v>
      </c>
      <c r="R1004">
        <v>7</v>
      </c>
      <c r="S1004" t="s">
        <v>7998</v>
      </c>
      <c r="T1004" t="s">
        <v>7999</v>
      </c>
      <c r="U1004" t="s">
        <v>8000</v>
      </c>
      <c r="V1004" t="s">
        <v>32</v>
      </c>
      <c r="W1004" t="s">
        <v>33</v>
      </c>
      <c r="X1004" t="s">
        <v>33</v>
      </c>
      <c r="Y1004" t="s">
        <v>33</v>
      </c>
      <c r="Z1004" s="16" t="s">
        <v>34</v>
      </c>
      <c r="AA1004">
        <v>-75.567805000000007</v>
      </c>
      <c r="AB1004">
        <v>6.2628919999999999</v>
      </c>
      <c r="AC1004" t="s">
        <v>135</v>
      </c>
      <c r="AD1004" t="s">
        <v>136</v>
      </c>
    </row>
    <row r="1005" spans="1:30" x14ac:dyDescent="0.25">
      <c r="A1005" t="s">
        <v>6114</v>
      </c>
      <c r="B1005" t="s">
        <v>65</v>
      </c>
      <c r="C1005" t="s">
        <v>26</v>
      </c>
      <c r="D1005" t="s">
        <v>66</v>
      </c>
      <c r="E1005" t="s">
        <v>6115</v>
      </c>
      <c r="F1005" t="s">
        <v>6116</v>
      </c>
      <c r="G1005">
        <v>1040511677</v>
      </c>
      <c r="H1005" t="s">
        <v>3588</v>
      </c>
      <c r="I1005" s="4" t="s">
        <v>3589</v>
      </c>
      <c r="J1005" s="4" t="s">
        <v>3590</v>
      </c>
      <c r="K1005" t="s">
        <v>6117</v>
      </c>
      <c r="L1005" t="s">
        <v>27</v>
      </c>
      <c r="M1005" t="s">
        <v>6118</v>
      </c>
      <c r="N1005" t="s">
        <v>28</v>
      </c>
      <c r="O1005" t="s">
        <v>68</v>
      </c>
      <c r="P1005" t="s">
        <v>70</v>
      </c>
      <c r="Q1005" t="s">
        <v>31</v>
      </c>
      <c r="R1005">
        <v>9</v>
      </c>
      <c r="S1005" t="s">
        <v>6119</v>
      </c>
      <c r="T1005" t="s">
        <v>8001</v>
      </c>
      <c r="U1005" t="s">
        <v>8002</v>
      </c>
      <c r="V1005" t="s">
        <v>32</v>
      </c>
      <c r="W1005" t="s">
        <v>33</v>
      </c>
      <c r="X1005" t="s">
        <v>33</v>
      </c>
      <c r="Y1005" t="s">
        <v>33</v>
      </c>
      <c r="Z1005" s="16" t="s">
        <v>34</v>
      </c>
      <c r="AA1005">
        <v>-75.544192379999998</v>
      </c>
      <c r="AB1005">
        <v>6.2513477599999998</v>
      </c>
      <c r="AC1005" t="s">
        <v>135</v>
      </c>
      <c r="AD1005" t="s">
        <v>136</v>
      </c>
    </row>
    <row r="1006" spans="1:30" x14ac:dyDescent="0.25">
      <c r="A1006" t="s">
        <v>10038</v>
      </c>
      <c r="B1006" t="s">
        <v>61</v>
      </c>
      <c r="C1006" t="s">
        <v>26</v>
      </c>
      <c r="D1006" t="s">
        <v>61</v>
      </c>
      <c r="E1006" t="s">
        <v>8003</v>
      </c>
      <c r="F1006" t="s">
        <v>8004</v>
      </c>
      <c r="G1006">
        <v>1088349987</v>
      </c>
      <c r="H1006" t="s">
        <v>8005</v>
      </c>
      <c r="I1006" s="4" t="s">
        <v>35</v>
      </c>
      <c r="J1006" s="4" t="s">
        <v>8006</v>
      </c>
      <c r="K1006" t="s">
        <v>8007</v>
      </c>
      <c r="L1006" t="s">
        <v>55</v>
      </c>
      <c r="M1006" t="s">
        <v>8008</v>
      </c>
      <c r="N1006" t="s">
        <v>56</v>
      </c>
      <c r="O1006" t="s">
        <v>62</v>
      </c>
      <c r="P1006" t="s">
        <v>63</v>
      </c>
      <c r="Q1006" t="s">
        <v>38</v>
      </c>
      <c r="R1006">
        <v>4</v>
      </c>
      <c r="S1006" t="s">
        <v>8009</v>
      </c>
      <c r="T1006" t="s">
        <v>8010</v>
      </c>
      <c r="U1006" t="s">
        <v>8011</v>
      </c>
      <c r="V1006" t="s">
        <v>32</v>
      </c>
      <c r="W1006" t="s">
        <v>33</v>
      </c>
      <c r="X1006" t="s">
        <v>33</v>
      </c>
      <c r="Y1006" t="s">
        <v>33</v>
      </c>
      <c r="Z1006" s="16" t="s">
        <v>34</v>
      </c>
      <c r="AA1006">
        <v>-75.644047220000004</v>
      </c>
      <c r="AB1006">
        <v>6.1393627100000003</v>
      </c>
      <c r="AC1006" t="s">
        <v>135</v>
      </c>
      <c r="AD1006" t="s">
        <v>136</v>
      </c>
    </row>
    <row r="1007" spans="1:30" x14ac:dyDescent="0.25">
      <c r="A1007" t="s">
        <v>10039</v>
      </c>
      <c r="B1007" t="s">
        <v>25</v>
      </c>
      <c r="C1007" t="s">
        <v>26</v>
      </c>
      <c r="D1007" t="s">
        <v>25</v>
      </c>
      <c r="E1007" t="s">
        <v>8012</v>
      </c>
      <c r="F1007" t="s">
        <v>8013</v>
      </c>
      <c r="G1007">
        <v>800093117</v>
      </c>
      <c r="H1007" t="s">
        <v>6009</v>
      </c>
      <c r="I1007" s="4" t="s">
        <v>94</v>
      </c>
      <c r="J1007" s="4" t="s">
        <v>8014</v>
      </c>
      <c r="K1007" t="s">
        <v>8015</v>
      </c>
      <c r="L1007" t="s">
        <v>27</v>
      </c>
      <c r="M1007" t="s">
        <v>8016</v>
      </c>
      <c r="N1007" t="s">
        <v>28</v>
      </c>
      <c r="O1007" t="s">
        <v>29</v>
      </c>
      <c r="P1007" t="s">
        <v>54</v>
      </c>
      <c r="Q1007" t="s">
        <v>31</v>
      </c>
      <c r="R1007">
        <v>7</v>
      </c>
      <c r="S1007" t="s">
        <v>8017</v>
      </c>
      <c r="T1007" t="s">
        <v>8018</v>
      </c>
      <c r="U1007" t="s">
        <v>8019</v>
      </c>
      <c r="V1007" t="s">
        <v>32</v>
      </c>
      <c r="W1007" t="s">
        <v>33</v>
      </c>
      <c r="X1007" t="s">
        <v>33</v>
      </c>
      <c r="Y1007" t="s">
        <v>33</v>
      </c>
      <c r="Z1007" s="16" t="s">
        <v>34</v>
      </c>
      <c r="AA1007">
        <v>-75.574616899999995</v>
      </c>
      <c r="AB1007">
        <v>6.2194061100000004</v>
      </c>
      <c r="AC1007" t="s">
        <v>135</v>
      </c>
      <c r="AD1007" t="s">
        <v>136</v>
      </c>
    </row>
    <row r="1008" spans="1:30" x14ac:dyDescent="0.25">
      <c r="A1008" t="s">
        <v>10040</v>
      </c>
      <c r="B1008" t="s">
        <v>25</v>
      </c>
      <c r="C1008" t="s">
        <v>26</v>
      </c>
      <c r="D1008" t="s">
        <v>25</v>
      </c>
      <c r="E1008" t="s">
        <v>8012</v>
      </c>
      <c r="F1008" t="s">
        <v>8013</v>
      </c>
      <c r="G1008">
        <v>800093117</v>
      </c>
      <c r="H1008" t="s">
        <v>6009</v>
      </c>
      <c r="I1008" s="4" t="s">
        <v>94</v>
      </c>
      <c r="J1008" s="4" t="s">
        <v>8014</v>
      </c>
      <c r="K1008" t="s">
        <v>8020</v>
      </c>
      <c r="L1008" t="s">
        <v>27</v>
      </c>
      <c r="M1008" t="s">
        <v>8021</v>
      </c>
      <c r="N1008" t="s">
        <v>28</v>
      </c>
      <c r="O1008" t="s">
        <v>29</v>
      </c>
      <c r="P1008" t="s">
        <v>54</v>
      </c>
      <c r="Q1008" t="s">
        <v>31</v>
      </c>
      <c r="R1008">
        <v>7</v>
      </c>
      <c r="S1008" t="s">
        <v>8017</v>
      </c>
      <c r="T1008" t="s">
        <v>8018</v>
      </c>
      <c r="U1008" t="s">
        <v>8019</v>
      </c>
      <c r="V1008" t="s">
        <v>32</v>
      </c>
      <c r="W1008" t="s">
        <v>33</v>
      </c>
      <c r="X1008" t="s">
        <v>33</v>
      </c>
      <c r="Y1008" t="s">
        <v>33</v>
      </c>
      <c r="Z1008" s="16" t="s">
        <v>34</v>
      </c>
      <c r="AA1008">
        <v>-75.574616899999995</v>
      </c>
      <c r="AB1008">
        <v>6.2194061100000004</v>
      </c>
      <c r="AC1008" t="s">
        <v>135</v>
      </c>
      <c r="AD1008" t="s">
        <v>136</v>
      </c>
    </row>
    <row r="1009" spans="1:30" x14ac:dyDescent="0.25">
      <c r="A1009" t="s">
        <v>10041</v>
      </c>
      <c r="B1009" t="s">
        <v>25</v>
      </c>
      <c r="C1009" t="s">
        <v>26</v>
      </c>
      <c r="D1009" t="s">
        <v>25</v>
      </c>
      <c r="E1009" t="s">
        <v>8022</v>
      </c>
      <c r="F1009" t="s">
        <v>8023</v>
      </c>
      <c r="G1009">
        <v>800093117</v>
      </c>
      <c r="H1009" t="s">
        <v>6009</v>
      </c>
      <c r="I1009" s="4" t="s">
        <v>94</v>
      </c>
      <c r="J1009" s="4" t="s">
        <v>8014</v>
      </c>
      <c r="K1009" t="s">
        <v>8024</v>
      </c>
      <c r="L1009" t="s">
        <v>27</v>
      </c>
      <c r="M1009" t="s">
        <v>8025</v>
      </c>
      <c r="N1009" t="s">
        <v>28</v>
      </c>
      <c r="O1009" t="s">
        <v>29</v>
      </c>
      <c r="P1009" t="s">
        <v>54</v>
      </c>
      <c r="Q1009" t="s">
        <v>31</v>
      </c>
      <c r="R1009">
        <v>7</v>
      </c>
      <c r="S1009" t="s">
        <v>8026</v>
      </c>
      <c r="T1009" t="s">
        <v>8018</v>
      </c>
      <c r="U1009" t="s">
        <v>8019</v>
      </c>
      <c r="V1009" t="s">
        <v>32</v>
      </c>
      <c r="W1009" t="s">
        <v>33</v>
      </c>
      <c r="X1009" t="s">
        <v>33</v>
      </c>
      <c r="Y1009" t="s">
        <v>33</v>
      </c>
      <c r="Z1009" s="16" t="s">
        <v>34</v>
      </c>
      <c r="AA1009">
        <v>-75.574616899999995</v>
      </c>
      <c r="AB1009">
        <v>6.2194061100000004</v>
      </c>
      <c r="AC1009" t="s">
        <v>135</v>
      </c>
      <c r="AD1009" t="s">
        <v>136</v>
      </c>
    </row>
    <row r="1010" spans="1:30" x14ac:dyDescent="0.25">
      <c r="A1010" t="s">
        <v>10042</v>
      </c>
      <c r="B1010" t="s">
        <v>25</v>
      </c>
      <c r="C1010" t="s">
        <v>26</v>
      </c>
      <c r="D1010" t="s">
        <v>25</v>
      </c>
      <c r="E1010" t="s">
        <v>8027</v>
      </c>
      <c r="F1010" t="s">
        <v>8028</v>
      </c>
      <c r="G1010">
        <v>800093117</v>
      </c>
      <c r="H1010" t="s">
        <v>6009</v>
      </c>
      <c r="I1010" s="4" t="s">
        <v>94</v>
      </c>
      <c r="J1010" s="4" t="s">
        <v>8014</v>
      </c>
      <c r="K1010" t="s">
        <v>8029</v>
      </c>
      <c r="L1010" t="s">
        <v>27</v>
      </c>
      <c r="M1010" t="s">
        <v>8030</v>
      </c>
      <c r="N1010" t="s">
        <v>28</v>
      </c>
      <c r="O1010" t="s">
        <v>29</v>
      </c>
      <c r="P1010" t="s">
        <v>54</v>
      </c>
      <c r="Q1010" t="s">
        <v>31</v>
      </c>
      <c r="R1010">
        <v>7</v>
      </c>
      <c r="S1010" t="s">
        <v>8031</v>
      </c>
      <c r="T1010" t="s">
        <v>8018</v>
      </c>
      <c r="U1010" t="s">
        <v>8019</v>
      </c>
      <c r="V1010" t="s">
        <v>32</v>
      </c>
      <c r="W1010" t="s">
        <v>33</v>
      </c>
      <c r="X1010" t="s">
        <v>33</v>
      </c>
      <c r="Y1010" t="s">
        <v>33</v>
      </c>
      <c r="Z1010" s="16" t="s">
        <v>34</v>
      </c>
      <c r="AA1010">
        <v>-75.574616899999995</v>
      </c>
      <c r="AB1010">
        <v>6.2194061100000004</v>
      </c>
      <c r="AC1010" t="s">
        <v>135</v>
      </c>
      <c r="AD1010" t="s">
        <v>136</v>
      </c>
    </row>
    <row r="1011" spans="1:30" x14ac:dyDescent="0.25">
      <c r="A1011" t="s">
        <v>10043</v>
      </c>
      <c r="B1011" t="s">
        <v>25</v>
      </c>
      <c r="C1011" t="s">
        <v>26</v>
      </c>
      <c r="D1011" t="s">
        <v>25</v>
      </c>
      <c r="E1011" t="s">
        <v>8032</v>
      </c>
      <c r="F1011" t="s">
        <v>8033</v>
      </c>
      <c r="G1011">
        <v>800093117</v>
      </c>
      <c r="H1011" t="s">
        <v>6009</v>
      </c>
      <c r="I1011" s="4" t="s">
        <v>94</v>
      </c>
      <c r="J1011" s="4" t="s">
        <v>8014</v>
      </c>
      <c r="K1011" t="s">
        <v>8034</v>
      </c>
      <c r="L1011" t="s">
        <v>27</v>
      </c>
      <c r="M1011" t="s">
        <v>8035</v>
      </c>
      <c r="N1011" t="s">
        <v>28</v>
      </c>
      <c r="O1011" t="s">
        <v>29</v>
      </c>
      <c r="P1011" t="s">
        <v>54</v>
      </c>
      <c r="Q1011" t="s">
        <v>31</v>
      </c>
      <c r="R1011">
        <v>7</v>
      </c>
      <c r="S1011" t="s">
        <v>8036</v>
      </c>
      <c r="T1011" t="s">
        <v>8018</v>
      </c>
      <c r="U1011" t="s">
        <v>8019</v>
      </c>
      <c r="V1011" t="s">
        <v>32</v>
      </c>
      <c r="W1011" t="s">
        <v>33</v>
      </c>
      <c r="X1011" t="s">
        <v>33</v>
      </c>
      <c r="Y1011" t="s">
        <v>33</v>
      </c>
      <c r="Z1011" s="16" t="s">
        <v>34</v>
      </c>
      <c r="AA1011">
        <v>-75.574616899999995</v>
      </c>
      <c r="AB1011">
        <v>6.2194061100000004</v>
      </c>
      <c r="AC1011" t="s">
        <v>135</v>
      </c>
      <c r="AD1011" t="s">
        <v>136</v>
      </c>
    </row>
    <row r="1012" spans="1:30" x14ac:dyDescent="0.25">
      <c r="A1012" t="s">
        <v>10044</v>
      </c>
      <c r="B1012" t="s">
        <v>25</v>
      </c>
      <c r="C1012" t="s">
        <v>26</v>
      </c>
      <c r="D1012" t="s">
        <v>25</v>
      </c>
      <c r="E1012" t="s">
        <v>8037</v>
      </c>
      <c r="F1012" t="s">
        <v>8038</v>
      </c>
      <c r="G1012">
        <v>800093117</v>
      </c>
      <c r="H1012" t="s">
        <v>6009</v>
      </c>
      <c r="I1012" s="4" t="s">
        <v>94</v>
      </c>
      <c r="J1012" s="4" t="s">
        <v>8014</v>
      </c>
      <c r="K1012" t="s">
        <v>8039</v>
      </c>
      <c r="L1012" t="s">
        <v>27</v>
      </c>
      <c r="M1012" t="s">
        <v>8040</v>
      </c>
      <c r="N1012" t="s">
        <v>28</v>
      </c>
      <c r="O1012" t="s">
        <v>29</v>
      </c>
      <c r="P1012" t="s">
        <v>54</v>
      </c>
      <c r="Q1012" t="s">
        <v>31</v>
      </c>
      <c r="R1012">
        <v>7</v>
      </c>
      <c r="S1012" t="s">
        <v>8041</v>
      </c>
      <c r="T1012" t="s">
        <v>8042</v>
      </c>
      <c r="U1012" t="s">
        <v>8043</v>
      </c>
      <c r="V1012" t="s">
        <v>32</v>
      </c>
      <c r="W1012" t="s">
        <v>33</v>
      </c>
      <c r="X1012" t="s">
        <v>33</v>
      </c>
      <c r="Y1012" t="s">
        <v>33</v>
      </c>
      <c r="Z1012" s="16" t="s">
        <v>34</v>
      </c>
      <c r="AA1012">
        <v>-75.574616899999995</v>
      </c>
      <c r="AB1012">
        <v>6.2194061100000004</v>
      </c>
      <c r="AC1012" t="s">
        <v>135</v>
      </c>
      <c r="AD1012" t="s">
        <v>136</v>
      </c>
    </row>
    <row r="1013" spans="1:30" x14ac:dyDescent="0.25">
      <c r="A1013" t="s">
        <v>10045</v>
      </c>
      <c r="B1013" t="s">
        <v>25</v>
      </c>
      <c r="C1013" t="s">
        <v>26</v>
      </c>
      <c r="D1013" t="s">
        <v>25</v>
      </c>
      <c r="E1013" t="s">
        <v>8044</v>
      </c>
      <c r="F1013" t="s">
        <v>8045</v>
      </c>
      <c r="G1013">
        <v>800093117</v>
      </c>
      <c r="H1013" t="s">
        <v>6009</v>
      </c>
      <c r="I1013" s="4" t="s">
        <v>94</v>
      </c>
      <c r="J1013" s="4" t="s">
        <v>8014</v>
      </c>
      <c r="K1013" t="s">
        <v>8046</v>
      </c>
      <c r="L1013" t="s">
        <v>27</v>
      </c>
      <c r="M1013" t="s">
        <v>8047</v>
      </c>
      <c r="N1013" t="s">
        <v>28</v>
      </c>
      <c r="O1013" t="s">
        <v>29</v>
      </c>
      <c r="P1013" t="s">
        <v>54</v>
      </c>
      <c r="Q1013" t="s">
        <v>31</v>
      </c>
      <c r="R1013">
        <v>7</v>
      </c>
      <c r="S1013" t="s">
        <v>8048</v>
      </c>
      <c r="T1013" t="s">
        <v>8049</v>
      </c>
      <c r="U1013" t="s">
        <v>8050</v>
      </c>
      <c r="V1013" t="s">
        <v>32</v>
      </c>
      <c r="W1013" t="s">
        <v>33</v>
      </c>
      <c r="X1013" t="s">
        <v>33</v>
      </c>
      <c r="Y1013" t="s">
        <v>33</v>
      </c>
      <c r="Z1013" s="16" t="s">
        <v>34</v>
      </c>
      <c r="AA1013">
        <v>-75.574616899999995</v>
      </c>
      <c r="AB1013">
        <v>6.2194061100000004</v>
      </c>
      <c r="AC1013" t="s">
        <v>135</v>
      </c>
      <c r="AD1013" t="s">
        <v>136</v>
      </c>
    </row>
    <row r="1014" spans="1:30" x14ac:dyDescent="0.25">
      <c r="A1014" t="s">
        <v>10046</v>
      </c>
      <c r="B1014" t="s">
        <v>25</v>
      </c>
      <c r="C1014" t="s">
        <v>26</v>
      </c>
      <c r="D1014" t="s">
        <v>25</v>
      </c>
      <c r="E1014" t="s">
        <v>8051</v>
      </c>
      <c r="F1014" t="s">
        <v>8052</v>
      </c>
      <c r="G1014">
        <v>800093117</v>
      </c>
      <c r="H1014" t="s">
        <v>6009</v>
      </c>
      <c r="I1014" s="4" t="s">
        <v>94</v>
      </c>
      <c r="J1014" s="4" t="s">
        <v>8014</v>
      </c>
      <c r="K1014" t="s">
        <v>8053</v>
      </c>
      <c r="L1014" t="s">
        <v>27</v>
      </c>
      <c r="M1014" t="s">
        <v>8054</v>
      </c>
      <c r="N1014" t="s">
        <v>28</v>
      </c>
      <c r="O1014" t="s">
        <v>29</v>
      </c>
      <c r="P1014" t="s">
        <v>54</v>
      </c>
      <c r="Q1014" t="s">
        <v>31</v>
      </c>
      <c r="R1014">
        <v>7</v>
      </c>
      <c r="S1014" t="s">
        <v>8055</v>
      </c>
      <c r="T1014" t="s">
        <v>8049</v>
      </c>
      <c r="U1014" t="s">
        <v>8050</v>
      </c>
      <c r="V1014" t="s">
        <v>32</v>
      </c>
      <c r="W1014" t="s">
        <v>33</v>
      </c>
      <c r="X1014" t="s">
        <v>33</v>
      </c>
      <c r="Y1014" t="s">
        <v>33</v>
      </c>
      <c r="Z1014" s="16" t="s">
        <v>34</v>
      </c>
      <c r="AA1014">
        <v>-75.574616899999995</v>
      </c>
      <c r="AB1014">
        <v>6.2194061100000004</v>
      </c>
      <c r="AC1014" t="s">
        <v>135</v>
      </c>
      <c r="AD1014" t="s">
        <v>136</v>
      </c>
    </row>
    <row r="1015" spans="1:30" x14ac:dyDescent="0.25">
      <c r="A1015" t="s">
        <v>10047</v>
      </c>
      <c r="B1015" t="s">
        <v>25</v>
      </c>
      <c r="C1015" t="s">
        <v>26</v>
      </c>
      <c r="D1015" t="s">
        <v>25</v>
      </c>
      <c r="E1015" t="s">
        <v>8056</v>
      </c>
      <c r="F1015" t="s">
        <v>8057</v>
      </c>
      <c r="G1015">
        <v>800093117</v>
      </c>
      <c r="H1015" t="s">
        <v>6009</v>
      </c>
      <c r="I1015" s="4" t="s">
        <v>94</v>
      </c>
      <c r="J1015" s="4" t="s">
        <v>8014</v>
      </c>
      <c r="K1015" t="s">
        <v>8058</v>
      </c>
      <c r="L1015" t="s">
        <v>27</v>
      </c>
      <c r="M1015" t="s">
        <v>8059</v>
      </c>
      <c r="N1015" t="s">
        <v>28</v>
      </c>
      <c r="O1015" t="s">
        <v>29</v>
      </c>
      <c r="P1015" t="s">
        <v>54</v>
      </c>
      <c r="Q1015" t="s">
        <v>31</v>
      </c>
      <c r="R1015">
        <v>7</v>
      </c>
      <c r="S1015" t="s">
        <v>8060</v>
      </c>
      <c r="T1015" t="s">
        <v>8049</v>
      </c>
      <c r="U1015" t="s">
        <v>8050</v>
      </c>
      <c r="V1015" t="s">
        <v>32</v>
      </c>
      <c r="W1015" t="s">
        <v>33</v>
      </c>
      <c r="X1015" t="s">
        <v>33</v>
      </c>
      <c r="Y1015" t="s">
        <v>33</v>
      </c>
      <c r="Z1015" s="16" t="s">
        <v>34</v>
      </c>
      <c r="AA1015">
        <v>-75.574616899999995</v>
      </c>
      <c r="AB1015">
        <v>6.2194061100000004</v>
      </c>
      <c r="AC1015" t="s">
        <v>135</v>
      </c>
      <c r="AD1015" t="s">
        <v>136</v>
      </c>
    </row>
    <row r="1016" spans="1:30" x14ac:dyDescent="0.25">
      <c r="A1016" t="s">
        <v>10048</v>
      </c>
      <c r="B1016" t="s">
        <v>25</v>
      </c>
      <c r="C1016" t="s">
        <v>26</v>
      </c>
      <c r="D1016" t="s">
        <v>25</v>
      </c>
      <c r="E1016" t="s">
        <v>8061</v>
      </c>
      <c r="F1016" t="s">
        <v>8062</v>
      </c>
      <c r="G1016">
        <v>800093117</v>
      </c>
      <c r="H1016" t="s">
        <v>6009</v>
      </c>
      <c r="I1016" s="4" t="s">
        <v>94</v>
      </c>
      <c r="J1016" s="4" t="s">
        <v>8014</v>
      </c>
      <c r="K1016" t="s">
        <v>8063</v>
      </c>
      <c r="L1016" t="s">
        <v>27</v>
      </c>
      <c r="M1016" t="s">
        <v>8064</v>
      </c>
      <c r="N1016" t="s">
        <v>28</v>
      </c>
      <c r="O1016" t="s">
        <v>29</v>
      </c>
      <c r="P1016" t="s">
        <v>54</v>
      </c>
      <c r="Q1016" t="s">
        <v>31</v>
      </c>
      <c r="R1016">
        <v>7</v>
      </c>
      <c r="S1016" t="s">
        <v>8065</v>
      </c>
      <c r="T1016" t="s">
        <v>8049</v>
      </c>
      <c r="U1016" t="s">
        <v>8050</v>
      </c>
      <c r="V1016" t="s">
        <v>32</v>
      </c>
      <c r="W1016" t="s">
        <v>33</v>
      </c>
      <c r="X1016" t="s">
        <v>33</v>
      </c>
      <c r="Y1016" t="s">
        <v>33</v>
      </c>
      <c r="Z1016" s="16" t="s">
        <v>34</v>
      </c>
      <c r="AA1016">
        <v>-75.574616899999995</v>
      </c>
      <c r="AB1016">
        <v>6.2194061100000004</v>
      </c>
      <c r="AC1016" t="s">
        <v>135</v>
      </c>
      <c r="AD1016" t="s">
        <v>136</v>
      </c>
    </row>
    <row r="1017" spans="1:30" x14ac:dyDescent="0.25">
      <c r="A1017" t="s">
        <v>10049</v>
      </c>
      <c r="B1017" t="s">
        <v>25</v>
      </c>
      <c r="C1017" t="s">
        <v>26</v>
      </c>
      <c r="D1017" t="s">
        <v>25</v>
      </c>
      <c r="E1017" t="s">
        <v>8066</v>
      </c>
      <c r="F1017" t="s">
        <v>8067</v>
      </c>
      <c r="G1017">
        <v>800093117</v>
      </c>
      <c r="H1017" t="s">
        <v>6009</v>
      </c>
      <c r="I1017" s="4" t="s">
        <v>94</v>
      </c>
      <c r="J1017" s="4" t="s">
        <v>8014</v>
      </c>
      <c r="K1017" t="s">
        <v>8068</v>
      </c>
      <c r="L1017" t="s">
        <v>27</v>
      </c>
      <c r="M1017" t="s">
        <v>8069</v>
      </c>
      <c r="N1017" t="s">
        <v>28</v>
      </c>
      <c r="O1017" t="s">
        <v>29</v>
      </c>
      <c r="P1017" t="s">
        <v>54</v>
      </c>
      <c r="Q1017" t="s">
        <v>31</v>
      </c>
      <c r="R1017">
        <v>7</v>
      </c>
      <c r="S1017" t="s">
        <v>8070</v>
      </c>
      <c r="T1017" t="s">
        <v>8071</v>
      </c>
      <c r="U1017" t="s">
        <v>8072</v>
      </c>
      <c r="V1017" t="s">
        <v>32</v>
      </c>
      <c r="W1017" t="s">
        <v>33</v>
      </c>
      <c r="X1017" t="s">
        <v>33</v>
      </c>
      <c r="Y1017" t="s">
        <v>33</v>
      </c>
      <c r="Z1017" s="16" t="s">
        <v>34</v>
      </c>
      <c r="AA1017">
        <v>-75.574616899999995</v>
      </c>
      <c r="AB1017">
        <v>6.2194061100000004</v>
      </c>
      <c r="AC1017" t="s">
        <v>135</v>
      </c>
      <c r="AD1017" t="s">
        <v>136</v>
      </c>
    </row>
    <row r="1018" spans="1:30" x14ac:dyDescent="0.25">
      <c r="A1018" t="s">
        <v>10050</v>
      </c>
      <c r="B1018" t="s">
        <v>25</v>
      </c>
      <c r="C1018" t="s">
        <v>26</v>
      </c>
      <c r="D1018" t="s">
        <v>25</v>
      </c>
      <c r="E1018" t="s">
        <v>8073</v>
      </c>
      <c r="F1018" t="s">
        <v>8074</v>
      </c>
      <c r="G1018">
        <v>800093117</v>
      </c>
      <c r="H1018" t="s">
        <v>6009</v>
      </c>
      <c r="I1018" s="4" t="s">
        <v>94</v>
      </c>
      <c r="J1018" s="4" t="s">
        <v>8014</v>
      </c>
      <c r="K1018" t="s">
        <v>8075</v>
      </c>
      <c r="L1018" t="s">
        <v>27</v>
      </c>
      <c r="M1018" t="s">
        <v>8076</v>
      </c>
      <c r="N1018" t="s">
        <v>28</v>
      </c>
      <c r="O1018" t="s">
        <v>29</v>
      </c>
      <c r="P1018" t="s">
        <v>54</v>
      </c>
      <c r="Q1018" t="s">
        <v>31</v>
      </c>
      <c r="R1018">
        <v>7</v>
      </c>
      <c r="S1018" t="s">
        <v>8077</v>
      </c>
      <c r="T1018" t="s">
        <v>8071</v>
      </c>
      <c r="U1018" t="s">
        <v>8072</v>
      </c>
      <c r="V1018" t="s">
        <v>32</v>
      </c>
      <c r="W1018" t="s">
        <v>33</v>
      </c>
      <c r="X1018" t="s">
        <v>33</v>
      </c>
      <c r="Y1018" t="s">
        <v>33</v>
      </c>
      <c r="Z1018" s="16" t="s">
        <v>34</v>
      </c>
      <c r="AA1018">
        <v>-75.574616899999995</v>
      </c>
      <c r="AB1018">
        <v>6.2194061100000004</v>
      </c>
      <c r="AC1018" t="s">
        <v>135</v>
      </c>
      <c r="AD1018" t="s">
        <v>136</v>
      </c>
    </row>
    <row r="1019" spans="1:30" x14ac:dyDescent="0.25">
      <c r="A1019" t="s">
        <v>10051</v>
      </c>
      <c r="B1019" t="s">
        <v>25</v>
      </c>
      <c r="C1019" t="s">
        <v>26</v>
      </c>
      <c r="D1019" t="s">
        <v>25</v>
      </c>
      <c r="E1019" t="s">
        <v>8078</v>
      </c>
      <c r="F1019" t="s">
        <v>8079</v>
      </c>
      <c r="G1019">
        <v>800093117</v>
      </c>
      <c r="H1019" t="s">
        <v>6009</v>
      </c>
      <c r="I1019" s="4" t="s">
        <v>94</v>
      </c>
      <c r="J1019" s="4" t="s">
        <v>8014</v>
      </c>
      <c r="K1019" t="s">
        <v>8080</v>
      </c>
      <c r="L1019" t="s">
        <v>27</v>
      </c>
      <c r="M1019" t="s">
        <v>8081</v>
      </c>
      <c r="N1019" t="s">
        <v>28</v>
      </c>
      <c r="O1019" t="s">
        <v>29</v>
      </c>
      <c r="P1019" t="s">
        <v>54</v>
      </c>
      <c r="Q1019" t="s">
        <v>31</v>
      </c>
      <c r="R1019">
        <v>7</v>
      </c>
      <c r="S1019" t="s">
        <v>8082</v>
      </c>
      <c r="T1019" t="s">
        <v>8071</v>
      </c>
      <c r="U1019" t="s">
        <v>8072</v>
      </c>
      <c r="V1019" t="s">
        <v>32</v>
      </c>
      <c r="W1019" t="s">
        <v>33</v>
      </c>
      <c r="X1019" t="s">
        <v>33</v>
      </c>
      <c r="Y1019" t="s">
        <v>33</v>
      </c>
      <c r="Z1019" s="16" t="s">
        <v>34</v>
      </c>
      <c r="AA1019">
        <v>-75.574616899999995</v>
      </c>
      <c r="AB1019">
        <v>6.2194061100000004</v>
      </c>
      <c r="AC1019" t="s">
        <v>135</v>
      </c>
      <c r="AD1019" t="s">
        <v>136</v>
      </c>
    </row>
    <row r="1020" spans="1:30" x14ac:dyDescent="0.25">
      <c r="A1020" t="s">
        <v>10052</v>
      </c>
      <c r="B1020" t="s">
        <v>25</v>
      </c>
      <c r="C1020" t="s">
        <v>26</v>
      </c>
      <c r="D1020" t="s">
        <v>25</v>
      </c>
      <c r="E1020" t="s">
        <v>8083</v>
      </c>
      <c r="F1020" t="s">
        <v>8084</v>
      </c>
      <c r="G1020">
        <v>800093117</v>
      </c>
      <c r="H1020" t="s">
        <v>6009</v>
      </c>
      <c r="I1020" s="4" t="s">
        <v>94</v>
      </c>
      <c r="J1020" s="4" t="s">
        <v>8014</v>
      </c>
      <c r="K1020" t="s">
        <v>8085</v>
      </c>
      <c r="L1020" t="s">
        <v>27</v>
      </c>
      <c r="M1020" t="s">
        <v>8086</v>
      </c>
      <c r="N1020" t="s">
        <v>28</v>
      </c>
      <c r="O1020" t="s">
        <v>29</v>
      </c>
      <c r="P1020" t="s">
        <v>54</v>
      </c>
      <c r="Q1020" t="s">
        <v>31</v>
      </c>
      <c r="R1020">
        <v>7</v>
      </c>
      <c r="S1020" t="s">
        <v>8087</v>
      </c>
      <c r="T1020" t="s">
        <v>8071</v>
      </c>
      <c r="U1020" t="s">
        <v>8072</v>
      </c>
      <c r="V1020" t="s">
        <v>32</v>
      </c>
      <c r="W1020" t="s">
        <v>33</v>
      </c>
      <c r="X1020" t="s">
        <v>33</v>
      </c>
      <c r="Y1020" t="s">
        <v>33</v>
      </c>
      <c r="Z1020" s="16" t="s">
        <v>34</v>
      </c>
      <c r="AA1020">
        <v>-75.574616899999995</v>
      </c>
      <c r="AB1020">
        <v>6.2194061100000004</v>
      </c>
      <c r="AC1020" t="s">
        <v>135</v>
      </c>
      <c r="AD1020" t="s">
        <v>136</v>
      </c>
    </row>
    <row r="1021" spans="1:30" x14ac:dyDescent="0.25">
      <c r="A1021" t="s">
        <v>10053</v>
      </c>
      <c r="B1021" t="s">
        <v>25</v>
      </c>
      <c r="C1021" t="s">
        <v>26</v>
      </c>
      <c r="D1021" t="s">
        <v>25</v>
      </c>
      <c r="E1021" t="s">
        <v>8088</v>
      </c>
      <c r="F1021" t="s">
        <v>8089</v>
      </c>
      <c r="G1021">
        <v>800093117</v>
      </c>
      <c r="H1021" t="s">
        <v>6009</v>
      </c>
      <c r="I1021" s="4" t="s">
        <v>94</v>
      </c>
      <c r="J1021" s="4" t="s">
        <v>8014</v>
      </c>
      <c r="K1021" t="s">
        <v>8090</v>
      </c>
      <c r="L1021" t="s">
        <v>27</v>
      </c>
      <c r="M1021" t="s">
        <v>8091</v>
      </c>
      <c r="N1021" t="s">
        <v>28</v>
      </c>
      <c r="O1021" t="s">
        <v>29</v>
      </c>
      <c r="P1021" t="s">
        <v>54</v>
      </c>
      <c r="Q1021" t="s">
        <v>31</v>
      </c>
      <c r="R1021">
        <v>7</v>
      </c>
      <c r="S1021" t="s">
        <v>8092</v>
      </c>
      <c r="T1021" t="s">
        <v>8093</v>
      </c>
      <c r="U1021" t="s">
        <v>8094</v>
      </c>
      <c r="V1021" t="s">
        <v>32</v>
      </c>
      <c r="W1021" t="s">
        <v>33</v>
      </c>
      <c r="X1021" t="s">
        <v>33</v>
      </c>
      <c r="Y1021" t="s">
        <v>33</v>
      </c>
      <c r="Z1021" s="16" t="s">
        <v>34</v>
      </c>
      <c r="AA1021">
        <v>-75.574616899999995</v>
      </c>
      <c r="AB1021">
        <v>6.2194061100000004</v>
      </c>
      <c r="AC1021" t="s">
        <v>135</v>
      </c>
      <c r="AD1021" t="s">
        <v>136</v>
      </c>
    </row>
    <row r="1022" spans="1:30" x14ac:dyDescent="0.25">
      <c r="A1022" t="s">
        <v>10054</v>
      </c>
      <c r="B1022" t="s">
        <v>25</v>
      </c>
      <c r="C1022" t="s">
        <v>26</v>
      </c>
      <c r="D1022" t="s">
        <v>25</v>
      </c>
      <c r="E1022" t="s">
        <v>8095</v>
      </c>
      <c r="F1022" t="s">
        <v>8096</v>
      </c>
      <c r="G1022">
        <v>800093117</v>
      </c>
      <c r="H1022" t="s">
        <v>6009</v>
      </c>
      <c r="I1022" s="4" t="s">
        <v>94</v>
      </c>
      <c r="J1022" s="4" t="s">
        <v>8014</v>
      </c>
      <c r="K1022" t="s">
        <v>8097</v>
      </c>
      <c r="L1022" t="s">
        <v>27</v>
      </c>
      <c r="M1022" t="s">
        <v>8098</v>
      </c>
      <c r="N1022" t="s">
        <v>28</v>
      </c>
      <c r="O1022" t="s">
        <v>29</v>
      </c>
      <c r="P1022" t="s">
        <v>54</v>
      </c>
      <c r="Q1022" t="s">
        <v>31</v>
      </c>
      <c r="R1022">
        <v>7</v>
      </c>
      <c r="S1022" t="s">
        <v>8099</v>
      </c>
      <c r="T1022" t="s">
        <v>8093</v>
      </c>
      <c r="U1022" t="s">
        <v>8094</v>
      </c>
      <c r="V1022" t="s">
        <v>32</v>
      </c>
      <c r="W1022" t="s">
        <v>33</v>
      </c>
      <c r="X1022" t="s">
        <v>33</v>
      </c>
      <c r="Y1022" t="s">
        <v>33</v>
      </c>
      <c r="Z1022" s="16" t="s">
        <v>34</v>
      </c>
      <c r="AA1022">
        <v>-75.574616899999995</v>
      </c>
      <c r="AB1022">
        <v>6.2194061100000004</v>
      </c>
      <c r="AC1022" t="s">
        <v>135</v>
      </c>
      <c r="AD1022" t="s">
        <v>136</v>
      </c>
    </row>
    <row r="1023" spans="1:30" x14ac:dyDescent="0.25">
      <c r="A1023" t="s">
        <v>10055</v>
      </c>
      <c r="B1023" t="s">
        <v>25</v>
      </c>
      <c r="C1023" t="s">
        <v>26</v>
      </c>
      <c r="D1023" t="s">
        <v>25</v>
      </c>
      <c r="E1023" t="s">
        <v>8100</v>
      </c>
      <c r="F1023" t="s">
        <v>8101</v>
      </c>
      <c r="G1023">
        <v>800093117</v>
      </c>
      <c r="H1023" t="s">
        <v>6009</v>
      </c>
      <c r="I1023" s="4" t="s">
        <v>94</v>
      </c>
      <c r="J1023" s="4" t="s">
        <v>8014</v>
      </c>
      <c r="K1023" t="s">
        <v>8102</v>
      </c>
      <c r="L1023" t="s">
        <v>27</v>
      </c>
      <c r="M1023" t="s">
        <v>8103</v>
      </c>
      <c r="N1023" t="s">
        <v>28</v>
      </c>
      <c r="O1023" t="s">
        <v>29</v>
      </c>
      <c r="P1023" t="s">
        <v>54</v>
      </c>
      <c r="Q1023" t="s">
        <v>31</v>
      </c>
      <c r="R1023">
        <v>7</v>
      </c>
      <c r="S1023" t="s">
        <v>8104</v>
      </c>
      <c r="T1023" t="s">
        <v>8093</v>
      </c>
      <c r="U1023" t="s">
        <v>8094</v>
      </c>
      <c r="V1023" t="s">
        <v>32</v>
      </c>
      <c r="W1023" t="s">
        <v>33</v>
      </c>
      <c r="X1023" t="s">
        <v>33</v>
      </c>
      <c r="Y1023" t="s">
        <v>33</v>
      </c>
      <c r="Z1023" s="16" t="s">
        <v>34</v>
      </c>
      <c r="AA1023">
        <v>-75.574616899999995</v>
      </c>
      <c r="AB1023">
        <v>6.2194061100000004</v>
      </c>
      <c r="AC1023" t="s">
        <v>135</v>
      </c>
      <c r="AD1023" t="s">
        <v>136</v>
      </c>
    </row>
    <row r="1024" spans="1:30" x14ac:dyDescent="0.25">
      <c r="A1024" t="s">
        <v>10056</v>
      </c>
      <c r="B1024" t="s">
        <v>25</v>
      </c>
      <c r="C1024" t="s">
        <v>26</v>
      </c>
      <c r="D1024" t="s">
        <v>25</v>
      </c>
      <c r="E1024" t="s">
        <v>8105</v>
      </c>
      <c r="F1024" t="s">
        <v>8106</v>
      </c>
      <c r="G1024">
        <v>800093117</v>
      </c>
      <c r="H1024" t="s">
        <v>6009</v>
      </c>
      <c r="I1024" s="4" t="s">
        <v>94</v>
      </c>
      <c r="J1024" s="4" t="s">
        <v>8014</v>
      </c>
      <c r="K1024" t="s">
        <v>8107</v>
      </c>
      <c r="L1024" t="s">
        <v>27</v>
      </c>
      <c r="M1024" t="s">
        <v>8108</v>
      </c>
      <c r="N1024" t="s">
        <v>28</v>
      </c>
      <c r="O1024" t="s">
        <v>29</v>
      </c>
      <c r="P1024" t="s">
        <v>54</v>
      </c>
      <c r="Q1024" t="s">
        <v>31</v>
      </c>
      <c r="R1024">
        <v>7</v>
      </c>
      <c r="S1024" t="s">
        <v>8109</v>
      </c>
      <c r="T1024" t="s">
        <v>8093</v>
      </c>
      <c r="U1024" t="s">
        <v>8094</v>
      </c>
      <c r="V1024" t="s">
        <v>32</v>
      </c>
      <c r="W1024" t="s">
        <v>33</v>
      </c>
      <c r="X1024" t="s">
        <v>33</v>
      </c>
      <c r="Y1024" t="s">
        <v>33</v>
      </c>
      <c r="Z1024" s="16" t="s">
        <v>34</v>
      </c>
      <c r="AA1024">
        <v>-75.574616899999995</v>
      </c>
      <c r="AB1024">
        <v>6.2194061100000004</v>
      </c>
      <c r="AC1024" t="s">
        <v>135</v>
      </c>
      <c r="AD1024" t="s">
        <v>136</v>
      </c>
    </row>
    <row r="1025" spans="1:30" x14ac:dyDescent="0.25">
      <c r="A1025" t="s">
        <v>10057</v>
      </c>
      <c r="B1025" t="s">
        <v>25</v>
      </c>
      <c r="C1025" t="s">
        <v>26</v>
      </c>
      <c r="D1025" t="s">
        <v>25</v>
      </c>
      <c r="E1025" t="s">
        <v>8110</v>
      </c>
      <c r="F1025" t="s">
        <v>8111</v>
      </c>
      <c r="G1025">
        <v>800093117</v>
      </c>
      <c r="H1025" t="s">
        <v>6009</v>
      </c>
      <c r="I1025" s="4" t="s">
        <v>94</v>
      </c>
      <c r="J1025" s="4" t="s">
        <v>8014</v>
      </c>
      <c r="K1025" t="s">
        <v>8112</v>
      </c>
      <c r="L1025" t="s">
        <v>27</v>
      </c>
      <c r="M1025" t="s">
        <v>8113</v>
      </c>
      <c r="N1025" t="s">
        <v>28</v>
      </c>
      <c r="O1025" t="s">
        <v>29</v>
      </c>
      <c r="P1025" t="s">
        <v>54</v>
      </c>
      <c r="Q1025" t="s">
        <v>31</v>
      </c>
      <c r="R1025">
        <v>7</v>
      </c>
      <c r="S1025" t="s">
        <v>8114</v>
      </c>
      <c r="T1025" t="s">
        <v>8093</v>
      </c>
      <c r="U1025" t="s">
        <v>8094</v>
      </c>
      <c r="V1025" t="s">
        <v>32</v>
      </c>
      <c r="W1025" t="s">
        <v>33</v>
      </c>
      <c r="X1025" t="s">
        <v>33</v>
      </c>
      <c r="Y1025" t="s">
        <v>33</v>
      </c>
      <c r="Z1025" s="16" t="s">
        <v>34</v>
      </c>
      <c r="AA1025">
        <v>-75.574616899999995</v>
      </c>
      <c r="AB1025">
        <v>6.2194061100000004</v>
      </c>
      <c r="AC1025" t="s">
        <v>135</v>
      </c>
      <c r="AD1025" t="s">
        <v>136</v>
      </c>
    </row>
    <row r="1026" spans="1:30" x14ac:dyDescent="0.25">
      <c r="A1026" t="s">
        <v>10058</v>
      </c>
      <c r="B1026" t="s">
        <v>25</v>
      </c>
      <c r="C1026" t="s">
        <v>26</v>
      </c>
      <c r="D1026" t="s">
        <v>25</v>
      </c>
      <c r="E1026" t="s">
        <v>8115</v>
      </c>
      <c r="F1026" t="s">
        <v>8116</v>
      </c>
      <c r="G1026">
        <v>800093117</v>
      </c>
      <c r="H1026" t="s">
        <v>6009</v>
      </c>
      <c r="I1026" s="4" t="s">
        <v>94</v>
      </c>
      <c r="J1026" s="4" t="s">
        <v>8014</v>
      </c>
      <c r="K1026" t="s">
        <v>8117</v>
      </c>
      <c r="L1026" t="s">
        <v>27</v>
      </c>
      <c r="M1026" t="s">
        <v>8118</v>
      </c>
      <c r="N1026" t="s">
        <v>28</v>
      </c>
      <c r="O1026" t="s">
        <v>29</v>
      </c>
      <c r="P1026" t="s">
        <v>54</v>
      </c>
      <c r="Q1026" t="s">
        <v>31</v>
      </c>
      <c r="R1026">
        <v>7</v>
      </c>
      <c r="S1026" t="s">
        <v>8119</v>
      </c>
      <c r="T1026" t="s">
        <v>8093</v>
      </c>
      <c r="U1026" t="s">
        <v>8094</v>
      </c>
      <c r="V1026" t="s">
        <v>32</v>
      </c>
      <c r="W1026" t="s">
        <v>33</v>
      </c>
      <c r="X1026" t="s">
        <v>33</v>
      </c>
      <c r="Y1026" t="s">
        <v>33</v>
      </c>
      <c r="Z1026" s="16" t="s">
        <v>34</v>
      </c>
      <c r="AA1026">
        <v>-75.574616899999995</v>
      </c>
      <c r="AB1026">
        <v>6.2194061100000004</v>
      </c>
      <c r="AC1026" t="s">
        <v>135</v>
      </c>
      <c r="AD1026" t="s">
        <v>136</v>
      </c>
    </row>
    <row r="1027" spans="1:30" x14ac:dyDescent="0.25">
      <c r="A1027" t="s">
        <v>10059</v>
      </c>
      <c r="B1027" t="s">
        <v>25</v>
      </c>
      <c r="C1027" t="s">
        <v>26</v>
      </c>
      <c r="D1027" t="s">
        <v>25</v>
      </c>
      <c r="E1027" t="s">
        <v>8120</v>
      </c>
      <c r="F1027" t="s">
        <v>8121</v>
      </c>
      <c r="G1027">
        <v>800093117</v>
      </c>
      <c r="H1027" t="s">
        <v>6009</v>
      </c>
      <c r="I1027" s="4" t="s">
        <v>94</v>
      </c>
      <c r="J1027" s="4" t="s">
        <v>8014</v>
      </c>
      <c r="K1027" t="s">
        <v>8122</v>
      </c>
      <c r="L1027" t="s">
        <v>27</v>
      </c>
      <c r="M1027" t="s">
        <v>8123</v>
      </c>
      <c r="N1027" t="s">
        <v>28</v>
      </c>
      <c r="O1027" t="s">
        <v>29</v>
      </c>
      <c r="P1027" t="s">
        <v>54</v>
      </c>
      <c r="Q1027" t="s">
        <v>31</v>
      </c>
      <c r="R1027">
        <v>7</v>
      </c>
      <c r="S1027" t="s">
        <v>8124</v>
      </c>
      <c r="T1027" t="s">
        <v>8125</v>
      </c>
      <c r="U1027" t="s">
        <v>8126</v>
      </c>
      <c r="V1027" t="s">
        <v>32</v>
      </c>
      <c r="W1027" t="s">
        <v>33</v>
      </c>
      <c r="X1027" t="s">
        <v>33</v>
      </c>
      <c r="Y1027" t="s">
        <v>33</v>
      </c>
      <c r="Z1027" s="16" t="s">
        <v>34</v>
      </c>
      <c r="AA1027">
        <v>-75.574616899999995</v>
      </c>
      <c r="AB1027">
        <v>6.2194061100000004</v>
      </c>
      <c r="AC1027" t="s">
        <v>135</v>
      </c>
      <c r="AD1027" t="s">
        <v>136</v>
      </c>
    </row>
    <row r="1028" spans="1:30" x14ac:dyDescent="0.25">
      <c r="A1028" t="s">
        <v>10060</v>
      </c>
      <c r="B1028" t="s">
        <v>25</v>
      </c>
      <c r="C1028" t="s">
        <v>26</v>
      </c>
      <c r="D1028" t="s">
        <v>25</v>
      </c>
      <c r="E1028" t="s">
        <v>8127</v>
      </c>
      <c r="F1028" t="s">
        <v>8128</v>
      </c>
      <c r="G1028">
        <v>800093117</v>
      </c>
      <c r="H1028" t="s">
        <v>6009</v>
      </c>
      <c r="I1028" s="4" t="s">
        <v>94</v>
      </c>
      <c r="J1028" s="4" t="s">
        <v>8014</v>
      </c>
      <c r="K1028" t="s">
        <v>8129</v>
      </c>
      <c r="L1028" t="s">
        <v>27</v>
      </c>
      <c r="M1028" t="s">
        <v>8130</v>
      </c>
      <c r="N1028" t="s">
        <v>28</v>
      </c>
      <c r="O1028" t="s">
        <v>29</v>
      </c>
      <c r="P1028" t="s">
        <v>54</v>
      </c>
      <c r="Q1028" t="s">
        <v>31</v>
      </c>
      <c r="R1028">
        <v>7</v>
      </c>
      <c r="S1028" t="s">
        <v>8131</v>
      </c>
      <c r="T1028" t="s">
        <v>8125</v>
      </c>
      <c r="U1028" t="s">
        <v>8126</v>
      </c>
      <c r="V1028" t="s">
        <v>32</v>
      </c>
      <c r="W1028" t="s">
        <v>33</v>
      </c>
      <c r="X1028" t="s">
        <v>33</v>
      </c>
      <c r="Y1028" t="s">
        <v>33</v>
      </c>
      <c r="Z1028" s="16" t="s">
        <v>34</v>
      </c>
      <c r="AA1028">
        <v>-75.574616899999995</v>
      </c>
      <c r="AB1028">
        <v>6.2194061100000004</v>
      </c>
      <c r="AC1028" t="s">
        <v>135</v>
      </c>
      <c r="AD1028" t="s">
        <v>136</v>
      </c>
    </row>
    <row r="1029" spans="1:30" x14ac:dyDescent="0.25">
      <c r="A1029" t="s">
        <v>10061</v>
      </c>
      <c r="B1029" t="s">
        <v>25</v>
      </c>
      <c r="C1029" t="s">
        <v>26</v>
      </c>
      <c r="D1029" t="s">
        <v>25</v>
      </c>
      <c r="E1029" t="s">
        <v>8132</v>
      </c>
      <c r="F1029" t="s">
        <v>8133</v>
      </c>
      <c r="G1029">
        <v>800093117</v>
      </c>
      <c r="H1029" t="s">
        <v>6009</v>
      </c>
      <c r="I1029" s="4" t="s">
        <v>94</v>
      </c>
      <c r="J1029" s="4" t="s">
        <v>8014</v>
      </c>
      <c r="K1029" t="s">
        <v>8134</v>
      </c>
      <c r="L1029" t="s">
        <v>27</v>
      </c>
      <c r="M1029" t="s">
        <v>8135</v>
      </c>
      <c r="N1029" t="s">
        <v>28</v>
      </c>
      <c r="O1029" t="s">
        <v>29</v>
      </c>
      <c r="P1029" t="s">
        <v>54</v>
      </c>
      <c r="Q1029" t="s">
        <v>31</v>
      </c>
      <c r="R1029">
        <v>7</v>
      </c>
      <c r="S1029" t="s">
        <v>8136</v>
      </c>
      <c r="T1029" t="s">
        <v>8137</v>
      </c>
      <c r="U1029" t="s">
        <v>8138</v>
      </c>
      <c r="V1029" t="s">
        <v>32</v>
      </c>
      <c r="W1029" t="s">
        <v>33</v>
      </c>
      <c r="X1029" t="s">
        <v>33</v>
      </c>
      <c r="Y1029" t="s">
        <v>33</v>
      </c>
      <c r="Z1029" s="16" t="s">
        <v>34</v>
      </c>
      <c r="AA1029">
        <v>-75.574616899999995</v>
      </c>
      <c r="AB1029">
        <v>6.2194061100000004</v>
      </c>
      <c r="AC1029" t="s">
        <v>135</v>
      </c>
      <c r="AD1029" t="s">
        <v>136</v>
      </c>
    </row>
    <row r="1030" spans="1:30" x14ac:dyDescent="0.25">
      <c r="A1030" t="s">
        <v>10062</v>
      </c>
      <c r="B1030" t="s">
        <v>25</v>
      </c>
      <c r="C1030" t="s">
        <v>26</v>
      </c>
      <c r="D1030" t="s">
        <v>25</v>
      </c>
      <c r="E1030" t="s">
        <v>8139</v>
      </c>
      <c r="F1030" t="s">
        <v>8140</v>
      </c>
      <c r="G1030">
        <v>800093117</v>
      </c>
      <c r="H1030" t="s">
        <v>6009</v>
      </c>
      <c r="I1030" s="4" t="s">
        <v>94</v>
      </c>
      <c r="J1030" s="4" t="s">
        <v>8014</v>
      </c>
      <c r="K1030" t="s">
        <v>8141</v>
      </c>
      <c r="L1030" t="s">
        <v>27</v>
      </c>
      <c r="M1030" t="s">
        <v>8142</v>
      </c>
      <c r="N1030" t="s">
        <v>28</v>
      </c>
      <c r="O1030" t="s">
        <v>29</v>
      </c>
      <c r="P1030" t="s">
        <v>54</v>
      </c>
      <c r="Q1030" t="s">
        <v>31</v>
      </c>
      <c r="R1030">
        <v>7</v>
      </c>
      <c r="S1030" t="s">
        <v>8143</v>
      </c>
      <c r="T1030" t="s">
        <v>8137</v>
      </c>
      <c r="U1030" t="s">
        <v>8138</v>
      </c>
      <c r="V1030" t="s">
        <v>32</v>
      </c>
      <c r="W1030" t="s">
        <v>33</v>
      </c>
      <c r="X1030" t="s">
        <v>33</v>
      </c>
      <c r="Y1030" t="s">
        <v>33</v>
      </c>
      <c r="Z1030" s="16" t="s">
        <v>34</v>
      </c>
      <c r="AA1030">
        <v>-75.574616899999995</v>
      </c>
      <c r="AB1030">
        <v>6.2194061100000004</v>
      </c>
      <c r="AC1030" t="s">
        <v>135</v>
      </c>
      <c r="AD1030" t="s">
        <v>136</v>
      </c>
    </row>
    <row r="1031" spans="1:30" x14ac:dyDescent="0.25">
      <c r="A1031" t="s">
        <v>10063</v>
      </c>
      <c r="B1031" t="s">
        <v>25</v>
      </c>
      <c r="C1031" t="s">
        <v>26</v>
      </c>
      <c r="D1031" t="s">
        <v>25</v>
      </c>
      <c r="E1031" t="s">
        <v>8144</v>
      </c>
      <c r="F1031" t="s">
        <v>8145</v>
      </c>
      <c r="G1031">
        <v>800093117</v>
      </c>
      <c r="H1031" t="s">
        <v>6009</v>
      </c>
      <c r="I1031" s="4" t="s">
        <v>94</v>
      </c>
      <c r="J1031" s="4" t="s">
        <v>8014</v>
      </c>
      <c r="K1031" t="s">
        <v>8146</v>
      </c>
      <c r="L1031" t="s">
        <v>27</v>
      </c>
      <c r="M1031" t="s">
        <v>8147</v>
      </c>
      <c r="N1031" t="s">
        <v>28</v>
      </c>
      <c r="O1031" t="s">
        <v>29</v>
      </c>
      <c r="P1031" t="s">
        <v>54</v>
      </c>
      <c r="Q1031" t="s">
        <v>31</v>
      </c>
      <c r="R1031">
        <v>7</v>
      </c>
      <c r="S1031" t="s">
        <v>8148</v>
      </c>
      <c r="T1031" t="s">
        <v>8149</v>
      </c>
      <c r="U1031" t="s">
        <v>8150</v>
      </c>
      <c r="V1031" t="s">
        <v>32</v>
      </c>
      <c r="W1031" t="s">
        <v>33</v>
      </c>
      <c r="X1031" t="s">
        <v>33</v>
      </c>
      <c r="Y1031" t="s">
        <v>33</v>
      </c>
      <c r="Z1031" s="16" t="s">
        <v>34</v>
      </c>
      <c r="AA1031">
        <v>-75.574616899999995</v>
      </c>
      <c r="AB1031">
        <v>6.2194061100000004</v>
      </c>
      <c r="AC1031" t="s">
        <v>135</v>
      </c>
      <c r="AD1031" t="s">
        <v>136</v>
      </c>
    </row>
    <row r="1032" spans="1:30" x14ac:dyDescent="0.25">
      <c r="A1032" t="s">
        <v>10064</v>
      </c>
      <c r="B1032" t="s">
        <v>25</v>
      </c>
      <c r="C1032" t="s">
        <v>26</v>
      </c>
      <c r="D1032" t="s">
        <v>25</v>
      </c>
      <c r="E1032" t="s">
        <v>8151</v>
      </c>
      <c r="F1032" t="s">
        <v>8152</v>
      </c>
      <c r="G1032">
        <v>800093117</v>
      </c>
      <c r="H1032" t="s">
        <v>6009</v>
      </c>
      <c r="I1032" s="4" t="s">
        <v>94</v>
      </c>
      <c r="J1032" s="4" t="s">
        <v>8014</v>
      </c>
      <c r="K1032" t="s">
        <v>8153</v>
      </c>
      <c r="L1032" t="s">
        <v>27</v>
      </c>
      <c r="M1032" t="s">
        <v>8154</v>
      </c>
      <c r="N1032" t="s">
        <v>28</v>
      </c>
      <c r="O1032" t="s">
        <v>29</v>
      </c>
      <c r="P1032" t="s">
        <v>54</v>
      </c>
      <c r="Q1032" t="s">
        <v>31</v>
      </c>
      <c r="R1032">
        <v>7</v>
      </c>
      <c r="S1032" t="s">
        <v>8155</v>
      </c>
      <c r="T1032" t="s">
        <v>8156</v>
      </c>
      <c r="U1032" t="s">
        <v>8157</v>
      </c>
      <c r="V1032" t="s">
        <v>32</v>
      </c>
      <c r="W1032" t="s">
        <v>33</v>
      </c>
      <c r="X1032" t="s">
        <v>33</v>
      </c>
      <c r="Y1032" t="s">
        <v>33</v>
      </c>
      <c r="Z1032" s="16" t="s">
        <v>34</v>
      </c>
      <c r="AA1032">
        <v>-75.574616899999995</v>
      </c>
      <c r="AB1032">
        <v>6.2194061100000004</v>
      </c>
      <c r="AC1032" t="s">
        <v>135</v>
      </c>
      <c r="AD1032" t="s">
        <v>136</v>
      </c>
    </row>
    <row r="1033" spans="1:30" x14ac:dyDescent="0.25">
      <c r="A1033" t="s">
        <v>10065</v>
      </c>
      <c r="B1033" t="s">
        <v>25</v>
      </c>
      <c r="C1033" t="s">
        <v>26</v>
      </c>
      <c r="D1033" t="s">
        <v>25</v>
      </c>
      <c r="E1033" t="s">
        <v>8158</v>
      </c>
      <c r="F1033" t="s">
        <v>8159</v>
      </c>
      <c r="G1033">
        <v>800093117</v>
      </c>
      <c r="H1033" t="s">
        <v>6009</v>
      </c>
      <c r="I1033" s="4" t="s">
        <v>94</v>
      </c>
      <c r="J1033" s="4" t="s">
        <v>8014</v>
      </c>
      <c r="K1033" t="s">
        <v>8160</v>
      </c>
      <c r="L1033" t="s">
        <v>27</v>
      </c>
      <c r="M1033" t="s">
        <v>8161</v>
      </c>
      <c r="N1033" t="s">
        <v>28</v>
      </c>
      <c r="O1033" t="s">
        <v>29</v>
      </c>
      <c r="P1033" t="s">
        <v>54</v>
      </c>
      <c r="Q1033" t="s">
        <v>31</v>
      </c>
      <c r="R1033">
        <v>7</v>
      </c>
      <c r="S1033" t="s">
        <v>8162</v>
      </c>
      <c r="T1033" t="s">
        <v>8156</v>
      </c>
      <c r="U1033" t="s">
        <v>8157</v>
      </c>
      <c r="V1033" t="s">
        <v>32</v>
      </c>
      <c r="W1033" t="s">
        <v>33</v>
      </c>
      <c r="X1033" t="s">
        <v>33</v>
      </c>
      <c r="Y1033" t="s">
        <v>33</v>
      </c>
      <c r="Z1033" s="16" t="s">
        <v>34</v>
      </c>
      <c r="AA1033">
        <v>-75.574616899999995</v>
      </c>
      <c r="AB1033">
        <v>6.2194061100000004</v>
      </c>
      <c r="AC1033" t="s">
        <v>135</v>
      </c>
      <c r="AD1033" t="s">
        <v>136</v>
      </c>
    </row>
    <row r="1034" spans="1:30" x14ac:dyDescent="0.25">
      <c r="A1034" t="s">
        <v>10066</v>
      </c>
      <c r="B1034" t="s">
        <v>25</v>
      </c>
      <c r="C1034" t="s">
        <v>26</v>
      </c>
      <c r="D1034" t="s">
        <v>25</v>
      </c>
      <c r="E1034" t="s">
        <v>8163</v>
      </c>
      <c r="F1034" t="s">
        <v>8164</v>
      </c>
      <c r="G1034">
        <v>800093117</v>
      </c>
      <c r="H1034" t="s">
        <v>6009</v>
      </c>
      <c r="I1034" s="4" t="s">
        <v>94</v>
      </c>
      <c r="J1034" s="4" t="s">
        <v>8014</v>
      </c>
      <c r="K1034" t="s">
        <v>8165</v>
      </c>
      <c r="L1034" t="s">
        <v>27</v>
      </c>
      <c r="M1034" t="s">
        <v>8166</v>
      </c>
      <c r="N1034" t="s">
        <v>28</v>
      </c>
      <c r="O1034" t="s">
        <v>29</v>
      </c>
      <c r="P1034" t="s">
        <v>54</v>
      </c>
      <c r="Q1034" t="s">
        <v>31</v>
      </c>
      <c r="R1034">
        <v>7</v>
      </c>
      <c r="S1034" t="s">
        <v>8167</v>
      </c>
      <c r="T1034" t="s">
        <v>8156</v>
      </c>
      <c r="U1034" t="s">
        <v>8157</v>
      </c>
      <c r="V1034" t="s">
        <v>32</v>
      </c>
      <c r="W1034" t="s">
        <v>33</v>
      </c>
      <c r="X1034" t="s">
        <v>33</v>
      </c>
      <c r="Y1034" t="s">
        <v>33</v>
      </c>
      <c r="Z1034" s="16" t="s">
        <v>34</v>
      </c>
      <c r="AA1034">
        <v>-75.574616899999995</v>
      </c>
      <c r="AB1034">
        <v>6.2194061100000004</v>
      </c>
      <c r="AC1034" t="s">
        <v>135</v>
      </c>
      <c r="AD1034" t="s">
        <v>136</v>
      </c>
    </row>
    <row r="1035" spans="1:30" x14ac:dyDescent="0.25">
      <c r="A1035" t="s">
        <v>10067</v>
      </c>
      <c r="B1035" t="s">
        <v>25</v>
      </c>
      <c r="C1035" t="s">
        <v>26</v>
      </c>
      <c r="D1035" t="s">
        <v>25</v>
      </c>
      <c r="E1035" t="s">
        <v>8168</v>
      </c>
      <c r="F1035" t="s">
        <v>8169</v>
      </c>
      <c r="G1035">
        <v>800093117</v>
      </c>
      <c r="H1035" t="s">
        <v>6009</v>
      </c>
      <c r="I1035" s="4" t="s">
        <v>94</v>
      </c>
      <c r="J1035" s="4" t="s">
        <v>8014</v>
      </c>
      <c r="K1035" t="s">
        <v>8170</v>
      </c>
      <c r="L1035" t="s">
        <v>27</v>
      </c>
      <c r="M1035" t="s">
        <v>8171</v>
      </c>
      <c r="N1035" t="s">
        <v>28</v>
      </c>
      <c r="O1035" t="s">
        <v>29</v>
      </c>
      <c r="P1035" t="s">
        <v>54</v>
      </c>
      <c r="Q1035" t="s">
        <v>31</v>
      </c>
      <c r="R1035">
        <v>7</v>
      </c>
      <c r="S1035" t="s">
        <v>8172</v>
      </c>
      <c r="T1035" t="s">
        <v>8156</v>
      </c>
      <c r="U1035" t="s">
        <v>8157</v>
      </c>
      <c r="V1035" t="s">
        <v>32</v>
      </c>
      <c r="W1035" t="s">
        <v>33</v>
      </c>
      <c r="X1035" t="s">
        <v>33</v>
      </c>
      <c r="Y1035" t="s">
        <v>33</v>
      </c>
      <c r="Z1035" s="16" t="s">
        <v>34</v>
      </c>
      <c r="AA1035">
        <v>-75.574616899999995</v>
      </c>
      <c r="AB1035">
        <v>6.2194061100000004</v>
      </c>
      <c r="AC1035" t="s">
        <v>135</v>
      </c>
      <c r="AD1035" t="s">
        <v>136</v>
      </c>
    </row>
    <row r="1036" spans="1:30" x14ac:dyDescent="0.25">
      <c r="A1036" t="s">
        <v>10068</v>
      </c>
      <c r="B1036" t="s">
        <v>25</v>
      </c>
      <c r="C1036" t="s">
        <v>26</v>
      </c>
      <c r="D1036" t="s">
        <v>25</v>
      </c>
      <c r="E1036" t="s">
        <v>8173</v>
      </c>
      <c r="F1036" t="s">
        <v>8174</v>
      </c>
      <c r="G1036">
        <v>800093117</v>
      </c>
      <c r="H1036" t="s">
        <v>6009</v>
      </c>
      <c r="I1036" s="4" t="s">
        <v>94</v>
      </c>
      <c r="J1036" s="4" t="s">
        <v>8014</v>
      </c>
      <c r="K1036" t="s">
        <v>8175</v>
      </c>
      <c r="L1036" t="s">
        <v>27</v>
      </c>
      <c r="M1036" t="s">
        <v>8176</v>
      </c>
      <c r="N1036" t="s">
        <v>28</v>
      </c>
      <c r="O1036" t="s">
        <v>29</v>
      </c>
      <c r="P1036" t="s">
        <v>54</v>
      </c>
      <c r="Q1036" t="s">
        <v>31</v>
      </c>
      <c r="R1036">
        <v>7</v>
      </c>
      <c r="S1036" t="s">
        <v>8177</v>
      </c>
      <c r="T1036" t="s">
        <v>8156</v>
      </c>
      <c r="U1036" t="s">
        <v>8157</v>
      </c>
      <c r="V1036" t="s">
        <v>32</v>
      </c>
      <c r="W1036" t="s">
        <v>33</v>
      </c>
      <c r="X1036" t="s">
        <v>33</v>
      </c>
      <c r="Y1036" t="s">
        <v>33</v>
      </c>
      <c r="Z1036" s="16" t="s">
        <v>34</v>
      </c>
      <c r="AA1036">
        <v>-75.574616899999995</v>
      </c>
      <c r="AB1036">
        <v>6.2194061100000004</v>
      </c>
      <c r="AC1036" t="s">
        <v>135</v>
      </c>
      <c r="AD1036" t="s">
        <v>136</v>
      </c>
    </row>
    <row r="1037" spans="1:30" x14ac:dyDescent="0.25">
      <c r="A1037" t="s">
        <v>10069</v>
      </c>
      <c r="B1037" t="s">
        <v>25</v>
      </c>
      <c r="C1037" t="s">
        <v>26</v>
      </c>
      <c r="D1037" t="s">
        <v>25</v>
      </c>
      <c r="E1037" t="s">
        <v>8178</v>
      </c>
      <c r="F1037" t="s">
        <v>8179</v>
      </c>
      <c r="G1037">
        <v>800093117</v>
      </c>
      <c r="H1037" t="s">
        <v>6009</v>
      </c>
      <c r="I1037" s="4" t="s">
        <v>94</v>
      </c>
      <c r="J1037" s="4" t="s">
        <v>8014</v>
      </c>
      <c r="K1037" t="s">
        <v>8180</v>
      </c>
      <c r="L1037" t="s">
        <v>27</v>
      </c>
      <c r="M1037" t="s">
        <v>8181</v>
      </c>
      <c r="N1037" t="s">
        <v>28</v>
      </c>
      <c r="O1037" t="s">
        <v>29</v>
      </c>
      <c r="P1037" t="s">
        <v>54</v>
      </c>
      <c r="Q1037" t="s">
        <v>31</v>
      </c>
      <c r="R1037">
        <v>7</v>
      </c>
      <c r="S1037" t="s">
        <v>8182</v>
      </c>
      <c r="T1037" t="s">
        <v>8183</v>
      </c>
      <c r="U1037" t="s">
        <v>8184</v>
      </c>
      <c r="V1037" t="s">
        <v>32</v>
      </c>
      <c r="W1037" t="s">
        <v>33</v>
      </c>
      <c r="X1037" t="s">
        <v>33</v>
      </c>
      <c r="Y1037" t="s">
        <v>33</v>
      </c>
      <c r="Z1037" s="16" t="s">
        <v>34</v>
      </c>
      <c r="AA1037">
        <v>-75.574616899999995</v>
      </c>
      <c r="AB1037">
        <v>6.2194061100000004</v>
      </c>
      <c r="AC1037" t="s">
        <v>135</v>
      </c>
      <c r="AD1037" t="s">
        <v>136</v>
      </c>
    </row>
    <row r="1038" spans="1:30" x14ac:dyDescent="0.25">
      <c r="A1038" t="s">
        <v>10070</v>
      </c>
      <c r="B1038" t="s">
        <v>25</v>
      </c>
      <c r="C1038" t="s">
        <v>26</v>
      </c>
      <c r="D1038" t="s">
        <v>25</v>
      </c>
      <c r="E1038" t="s">
        <v>8185</v>
      </c>
      <c r="F1038" t="s">
        <v>8186</v>
      </c>
      <c r="G1038">
        <v>800093117</v>
      </c>
      <c r="H1038" t="s">
        <v>6009</v>
      </c>
      <c r="I1038" s="4" t="s">
        <v>94</v>
      </c>
      <c r="J1038" s="4" t="s">
        <v>8014</v>
      </c>
      <c r="K1038" t="s">
        <v>8187</v>
      </c>
      <c r="L1038" t="s">
        <v>27</v>
      </c>
      <c r="M1038" t="s">
        <v>8188</v>
      </c>
      <c r="N1038" t="s">
        <v>28</v>
      </c>
      <c r="O1038" t="s">
        <v>29</v>
      </c>
      <c r="P1038" t="s">
        <v>54</v>
      </c>
      <c r="Q1038" t="s">
        <v>31</v>
      </c>
      <c r="R1038">
        <v>7</v>
      </c>
      <c r="S1038" t="s">
        <v>8189</v>
      </c>
      <c r="T1038" t="s">
        <v>8190</v>
      </c>
      <c r="U1038" t="s">
        <v>8191</v>
      </c>
      <c r="V1038" t="s">
        <v>32</v>
      </c>
      <c r="W1038" t="s">
        <v>33</v>
      </c>
      <c r="X1038" t="s">
        <v>33</v>
      </c>
      <c r="Y1038" t="s">
        <v>33</v>
      </c>
      <c r="Z1038" s="16" t="s">
        <v>34</v>
      </c>
      <c r="AA1038">
        <v>-75.574616899999995</v>
      </c>
      <c r="AB1038">
        <v>6.2194061100000004</v>
      </c>
      <c r="AC1038" t="s">
        <v>135</v>
      </c>
      <c r="AD1038" t="s">
        <v>136</v>
      </c>
    </row>
    <row r="1039" spans="1:30" x14ac:dyDescent="0.25">
      <c r="A1039" t="s">
        <v>10071</v>
      </c>
      <c r="B1039" t="s">
        <v>25</v>
      </c>
      <c r="C1039" t="s">
        <v>26</v>
      </c>
      <c r="D1039" t="s">
        <v>25</v>
      </c>
      <c r="E1039" t="s">
        <v>8192</v>
      </c>
      <c r="F1039" t="s">
        <v>8193</v>
      </c>
      <c r="G1039">
        <v>800093117</v>
      </c>
      <c r="H1039" t="s">
        <v>6009</v>
      </c>
      <c r="I1039" s="4" t="s">
        <v>94</v>
      </c>
      <c r="J1039" s="4" t="s">
        <v>8014</v>
      </c>
      <c r="K1039" t="s">
        <v>8194</v>
      </c>
      <c r="L1039" t="s">
        <v>27</v>
      </c>
      <c r="M1039" t="s">
        <v>8195</v>
      </c>
      <c r="N1039" t="s">
        <v>28</v>
      </c>
      <c r="O1039" t="s">
        <v>29</v>
      </c>
      <c r="P1039" t="s">
        <v>54</v>
      </c>
      <c r="Q1039" t="s">
        <v>31</v>
      </c>
      <c r="R1039">
        <v>7</v>
      </c>
      <c r="S1039" t="s">
        <v>8196</v>
      </c>
      <c r="T1039" t="s">
        <v>8190</v>
      </c>
      <c r="U1039" t="s">
        <v>8191</v>
      </c>
      <c r="V1039" t="s">
        <v>32</v>
      </c>
      <c r="W1039" t="s">
        <v>33</v>
      </c>
      <c r="X1039" t="s">
        <v>33</v>
      </c>
      <c r="Y1039" t="s">
        <v>33</v>
      </c>
      <c r="Z1039" s="16" t="s">
        <v>34</v>
      </c>
      <c r="AA1039">
        <v>-75.574616899999995</v>
      </c>
      <c r="AB1039">
        <v>6.2194061100000004</v>
      </c>
      <c r="AC1039" t="s">
        <v>135</v>
      </c>
      <c r="AD1039" t="s">
        <v>136</v>
      </c>
    </row>
    <row r="1040" spans="1:30" x14ac:dyDescent="0.25">
      <c r="A1040" t="s">
        <v>10072</v>
      </c>
      <c r="B1040" t="s">
        <v>25</v>
      </c>
      <c r="C1040" t="s">
        <v>26</v>
      </c>
      <c r="D1040" t="s">
        <v>25</v>
      </c>
      <c r="E1040" t="s">
        <v>8197</v>
      </c>
      <c r="F1040" t="s">
        <v>8198</v>
      </c>
      <c r="G1040">
        <v>800093117</v>
      </c>
      <c r="H1040" t="s">
        <v>6009</v>
      </c>
      <c r="I1040" s="4" t="s">
        <v>94</v>
      </c>
      <c r="J1040" s="4" t="s">
        <v>8014</v>
      </c>
      <c r="K1040" t="s">
        <v>8199</v>
      </c>
      <c r="L1040" t="s">
        <v>27</v>
      </c>
      <c r="M1040" t="s">
        <v>8200</v>
      </c>
      <c r="N1040" t="s">
        <v>28</v>
      </c>
      <c r="O1040" t="s">
        <v>29</v>
      </c>
      <c r="P1040" t="s">
        <v>54</v>
      </c>
      <c r="Q1040" t="s">
        <v>31</v>
      </c>
      <c r="R1040">
        <v>7</v>
      </c>
      <c r="S1040" t="s">
        <v>8201</v>
      </c>
      <c r="T1040" t="s">
        <v>8190</v>
      </c>
      <c r="U1040" t="s">
        <v>8191</v>
      </c>
      <c r="V1040" t="s">
        <v>32</v>
      </c>
      <c r="W1040" t="s">
        <v>33</v>
      </c>
      <c r="X1040" t="s">
        <v>33</v>
      </c>
      <c r="Y1040" t="s">
        <v>33</v>
      </c>
      <c r="Z1040" s="16" t="s">
        <v>34</v>
      </c>
      <c r="AA1040">
        <v>-75.574616899999995</v>
      </c>
      <c r="AB1040">
        <v>6.2194061100000004</v>
      </c>
      <c r="AC1040" t="s">
        <v>135</v>
      </c>
      <c r="AD1040" t="s">
        <v>136</v>
      </c>
    </row>
    <row r="1041" spans="1:30" x14ac:dyDescent="0.25">
      <c r="A1041" t="s">
        <v>10073</v>
      </c>
      <c r="B1041" t="s">
        <v>25</v>
      </c>
      <c r="C1041" t="s">
        <v>26</v>
      </c>
      <c r="D1041" t="s">
        <v>25</v>
      </c>
      <c r="E1041" t="s">
        <v>8202</v>
      </c>
      <c r="F1041" t="s">
        <v>8203</v>
      </c>
      <c r="G1041">
        <v>800093117</v>
      </c>
      <c r="H1041" t="s">
        <v>6009</v>
      </c>
      <c r="I1041" s="4" t="s">
        <v>94</v>
      </c>
      <c r="J1041" s="4" t="s">
        <v>8014</v>
      </c>
      <c r="K1041" t="s">
        <v>8204</v>
      </c>
      <c r="L1041" t="s">
        <v>27</v>
      </c>
      <c r="M1041" t="s">
        <v>8205</v>
      </c>
      <c r="N1041" t="s">
        <v>28</v>
      </c>
      <c r="O1041" t="s">
        <v>29</v>
      </c>
      <c r="P1041" t="s">
        <v>54</v>
      </c>
      <c r="Q1041" t="s">
        <v>31</v>
      </c>
      <c r="R1041">
        <v>7</v>
      </c>
      <c r="S1041" t="s">
        <v>8206</v>
      </c>
      <c r="T1041" t="s">
        <v>8190</v>
      </c>
      <c r="U1041" t="s">
        <v>8191</v>
      </c>
      <c r="V1041" t="s">
        <v>32</v>
      </c>
      <c r="W1041" t="s">
        <v>33</v>
      </c>
      <c r="X1041" t="s">
        <v>33</v>
      </c>
      <c r="Y1041" t="s">
        <v>33</v>
      </c>
      <c r="Z1041" s="16" t="s">
        <v>34</v>
      </c>
      <c r="AA1041">
        <v>-75.574616899999995</v>
      </c>
      <c r="AB1041">
        <v>6.2194061100000004</v>
      </c>
      <c r="AC1041" t="s">
        <v>135</v>
      </c>
      <c r="AD1041" t="s">
        <v>136</v>
      </c>
    </row>
    <row r="1042" spans="1:30" x14ac:dyDescent="0.25">
      <c r="A1042" t="s">
        <v>10074</v>
      </c>
      <c r="B1042" t="s">
        <v>25</v>
      </c>
      <c r="C1042" t="s">
        <v>26</v>
      </c>
      <c r="D1042" t="s">
        <v>25</v>
      </c>
      <c r="E1042" t="s">
        <v>8207</v>
      </c>
      <c r="F1042" t="s">
        <v>8208</v>
      </c>
      <c r="G1042">
        <v>800093117</v>
      </c>
      <c r="H1042" t="s">
        <v>6009</v>
      </c>
      <c r="I1042" s="4" t="s">
        <v>94</v>
      </c>
      <c r="J1042" s="4" t="s">
        <v>8014</v>
      </c>
      <c r="K1042" t="s">
        <v>8209</v>
      </c>
      <c r="L1042" t="s">
        <v>27</v>
      </c>
      <c r="M1042" t="s">
        <v>8210</v>
      </c>
      <c r="N1042" t="s">
        <v>28</v>
      </c>
      <c r="O1042" t="s">
        <v>29</v>
      </c>
      <c r="P1042" t="s">
        <v>54</v>
      </c>
      <c r="Q1042" t="s">
        <v>31</v>
      </c>
      <c r="R1042">
        <v>7</v>
      </c>
      <c r="S1042" t="s">
        <v>8211</v>
      </c>
      <c r="T1042" t="s">
        <v>6251</v>
      </c>
      <c r="U1042" t="s">
        <v>6252</v>
      </c>
      <c r="V1042" t="s">
        <v>32</v>
      </c>
      <c r="W1042" t="s">
        <v>33</v>
      </c>
      <c r="X1042" t="s">
        <v>33</v>
      </c>
      <c r="Y1042" t="s">
        <v>33</v>
      </c>
      <c r="Z1042" s="16" t="s">
        <v>34</v>
      </c>
      <c r="AA1042">
        <v>-75.574616899999995</v>
      </c>
      <c r="AB1042">
        <v>6.2194061100000004</v>
      </c>
      <c r="AC1042" t="s">
        <v>135</v>
      </c>
      <c r="AD1042" t="s">
        <v>136</v>
      </c>
    </row>
    <row r="1043" spans="1:30" x14ac:dyDescent="0.25">
      <c r="A1043" t="s">
        <v>10075</v>
      </c>
      <c r="B1043" t="s">
        <v>25</v>
      </c>
      <c r="C1043" t="s">
        <v>26</v>
      </c>
      <c r="D1043" t="s">
        <v>25</v>
      </c>
      <c r="E1043" t="s">
        <v>8212</v>
      </c>
      <c r="F1043" t="s">
        <v>8213</v>
      </c>
      <c r="G1043">
        <v>800093117</v>
      </c>
      <c r="H1043" t="s">
        <v>6009</v>
      </c>
      <c r="I1043" s="4" t="s">
        <v>94</v>
      </c>
      <c r="J1043" s="4" t="s">
        <v>8014</v>
      </c>
      <c r="K1043" t="s">
        <v>8214</v>
      </c>
      <c r="L1043" t="s">
        <v>27</v>
      </c>
      <c r="M1043" t="s">
        <v>8215</v>
      </c>
      <c r="N1043" t="s">
        <v>28</v>
      </c>
      <c r="O1043" t="s">
        <v>29</v>
      </c>
      <c r="P1043" t="s">
        <v>54</v>
      </c>
      <c r="Q1043" t="s">
        <v>31</v>
      </c>
      <c r="R1043">
        <v>7</v>
      </c>
      <c r="S1043" t="s">
        <v>8216</v>
      </c>
      <c r="T1043" t="s">
        <v>6251</v>
      </c>
      <c r="U1043" t="s">
        <v>6252</v>
      </c>
      <c r="V1043" t="s">
        <v>32</v>
      </c>
      <c r="W1043" t="s">
        <v>33</v>
      </c>
      <c r="X1043" t="s">
        <v>33</v>
      </c>
      <c r="Y1043" t="s">
        <v>33</v>
      </c>
      <c r="Z1043" s="16" t="s">
        <v>34</v>
      </c>
      <c r="AA1043">
        <v>-75.574616899999995</v>
      </c>
      <c r="AB1043">
        <v>6.2194061100000004</v>
      </c>
      <c r="AC1043" t="s">
        <v>135</v>
      </c>
      <c r="AD1043" t="s">
        <v>136</v>
      </c>
    </row>
    <row r="1044" spans="1:30" x14ac:dyDescent="0.25">
      <c r="A1044" t="s">
        <v>10076</v>
      </c>
      <c r="B1044" t="s">
        <v>25</v>
      </c>
      <c r="C1044" t="s">
        <v>26</v>
      </c>
      <c r="D1044" t="s">
        <v>25</v>
      </c>
      <c r="E1044" t="s">
        <v>8217</v>
      </c>
      <c r="F1044" t="s">
        <v>8218</v>
      </c>
      <c r="G1044">
        <v>800093117</v>
      </c>
      <c r="H1044" t="s">
        <v>6009</v>
      </c>
      <c r="I1044" s="4" t="s">
        <v>94</v>
      </c>
      <c r="J1044" s="4" t="s">
        <v>8014</v>
      </c>
      <c r="K1044" t="s">
        <v>8219</v>
      </c>
      <c r="L1044" t="s">
        <v>27</v>
      </c>
      <c r="M1044" t="s">
        <v>8220</v>
      </c>
      <c r="N1044" t="s">
        <v>28</v>
      </c>
      <c r="O1044" t="s">
        <v>29</v>
      </c>
      <c r="P1044" t="s">
        <v>54</v>
      </c>
      <c r="Q1044" t="s">
        <v>31</v>
      </c>
      <c r="R1044">
        <v>7</v>
      </c>
      <c r="S1044" t="s">
        <v>8221</v>
      </c>
      <c r="T1044" t="s">
        <v>6251</v>
      </c>
      <c r="U1044" t="s">
        <v>6252</v>
      </c>
      <c r="V1044" t="s">
        <v>32</v>
      </c>
      <c r="W1044" t="s">
        <v>33</v>
      </c>
      <c r="X1044" t="s">
        <v>33</v>
      </c>
      <c r="Y1044" t="s">
        <v>33</v>
      </c>
      <c r="Z1044" s="16" t="s">
        <v>34</v>
      </c>
      <c r="AA1044">
        <v>-75.574616899999995</v>
      </c>
      <c r="AB1044">
        <v>6.2194061100000004</v>
      </c>
      <c r="AC1044" t="s">
        <v>135</v>
      </c>
      <c r="AD1044" t="s">
        <v>136</v>
      </c>
    </row>
    <row r="1045" spans="1:30" x14ac:dyDescent="0.25">
      <c r="A1045" t="s">
        <v>10077</v>
      </c>
      <c r="B1045" t="s">
        <v>25</v>
      </c>
      <c r="C1045" t="s">
        <v>26</v>
      </c>
      <c r="D1045" t="s">
        <v>25</v>
      </c>
      <c r="E1045" t="s">
        <v>8222</v>
      </c>
      <c r="F1045" t="s">
        <v>8223</v>
      </c>
      <c r="G1045">
        <v>800093117</v>
      </c>
      <c r="H1045" t="s">
        <v>6009</v>
      </c>
      <c r="I1045" s="4" t="s">
        <v>94</v>
      </c>
      <c r="J1045" s="4" t="s">
        <v>8014</v>
      </c>
      <c r="K1045" t="s">
        <v>8224</v>
      </c>
      <c r="L1045" t="s">
        <v>27</v>
      </c>
      <c r="M1045" t="s">
        <v>8225</v>
      </c>
      <c r="N1045" t="s">
        <v>28</v>
      </c>
      <c r="O1045" t="s">
        <v>29</v>
      </c>
      <c r="P1045" t="s">
        <v>54</v>
      </c>
      <c r="Q1045" t="s">
        <v>31</v>
      </c>
      <c r="R1045">
        <v>7</v>
      </c>
      <c r="S1045" t="s">
        <v>8226</v>
      </c>
      <c r="T1045" t="s">
        <v>6251</v>
      </c>
      <c r="U1045" t="s">
        <v>6252</v>
      </c>
      <c r="V1045" t="s">
        <v>32</v>
      </c>
      <c r="W1045" t="s">
        <v>33</v>
      </c>
      <c r="X1045" t="s">
        <v>33</v>
      </c>
      <c r="Y1045" t="s">
        <v>33</v>
      </c>
      <c r="Z1045" s="16" t="s">
        <v>34</v>
      </c>
      <c r="AA1045">
        <v>-75.574616899999995</v>
      </c>
      <c r="AB1045">
        <v>6.2194061100000004</v>
      </c>
      <c r="AC1045" t="s">
        <v>135</v>
      </c>
      <c r="AD1045" t="s">
        <v>136</v>
      </c>
    </row>
    <row r="1046" spans="1:30" x14ac:dyDescent="0.25">
      <c r="A1046" t="s">
        <v>10078</v>
      </c>
      <c r="B1046" t="s">
        <v>25</v>
      </c>
      <c r="C1046" t="s">
        <v>26</v>
      </c>
      <c r="D1046" t="s">
        <v>25</v>
      </c>
      <c r="E1046" t="s">
        <v>8227</v>
      </c>
      <c r="F1046" t="s">
        <v>8228</v>
      </c>
      <c r="G1046">
        <v>800093117</v>
      </c>
      <c r="H1046" t="s">
        <v>6009</v>
      </c>
      <c r="I1046" s="4" t="s">
        <v>94</v>
      </c>
      <c r="J1046" s="4" t="s">
        <v>8014</v>
      </c>
      <c r="K1046" t="s">
        <v>8229</v>
      </c>
      <c r="L1046" t="s">
        <v>27</v>
      </c>
      <c r="M1046" t="s">
        <v>8230</v>
      </c>
      <c r="N1046" t="s">
        <v>28</v>
      </c>
      <c r="O1046" t="s">
        <v>29</v>
      </c>
      <c r="P1046" t="s">
        <v>54</v>
      </c>
      <c r="Q1046" t="s">
        <v>31</v>
      </c>
      <c r="R1046">
        <v>7</v>
      </c>
      <c r="S1046" t="s">
        <v>8231</v>
      </c>
      <c r="T1046" t="s">
        <v>8232</v>
      </c>
      <c r="U1046" t="s">
        <v>8233</v>
      </c>
      <c r="V1046" t="s">
        <v>32</v>
      </c>
      <c r="W1046" t="s">
        <v>33</v>
      </c>
      <c r="X1046" t="s">
        <v>33</v>
      </c>
      <c r="Y1046" t="s">
        <v>33</v>
      </c>
      <c r="Z1046" s="16" t="s">
        <v>34</v>
      </c>
      <c r="AA1046">
        <v>-75.574616899999995</v>
      </c>
      <c r="AB1046">
        <v>6.2194061100000004</v>
      </c>
      <c r="AC1046" t="s">
        <v>135</v>
      </c>
      <c r="AD1046" t="s">
        <v>136</v>
      </c>
    </row>
    <row r="1047" spans="1:30" x14ac:dyDescent="0.25">
      <c r="A1047" t="s">
        <v>10079</v>
      </c>
      <c r="B1047" t="s">
        <v>25</v>
      </c>
      <c r="C1047" t="s">
        <v>26</v>
      </c>
      <c r="D1047" t="s">
        <v>25</v>
      </c>
      <c r="E1047" t="s">
        <v>8234</v>
      </c>
      <c r="F1047" t="s">
        <v>8235</v>
      </c>
      <c r="G1047">
        <v>800093117</v>
      </c>
      <c r="H1047" t="s">
        <v>6009</v>
      </c>
      <c r="I1047" s="4" t="s">
        <v>94</v>
      </c>
      <c r="J1047" s="4" t="s">
        <v>8014</v>
      </c>
      <c r="K1047" t="s">
        <v>8236</v>
      </c>
      <c r="L1047" t="s">
        <v>27</v>
      </c>
      <c r="M1047" t="s">
        <v>8237</v>
      </c>
      <c r="N1047" t="s">
        <v>28</v>
      </c>
      <c r="O1047" t="s">
        <v>29</v>
      </c>
      <c r="P1047" t="s">
        <v>54</v>
      </c>
      <c r="Q1047" t="s">
        <v>31</v>
      </c>
      <c r="R1047">
        <v>7</v>
      </c>
      <c r="S1047" t="s">
        <v>8238</v>
      </c>
      <c r="T1047" t="s">
        <v>8232</v>
      </c>
      <c r="U1047" t="s">
        <v>8233</v>
      </c>
      <c r="V1047" t="s">
        <v>32</v>
      </c>
      <c r="W1047" t="s">
        <v>33</v>
      </c>
      <c r="X1047" t="s">
        <v>33</v>
      </c>
      <c r="Y1047" t="s">
        <v>33</v>
      </c>
      <c r="Z1047" s="16" t="s">
        <v>34</v>
      </c>
      <c r="AA1047">
        <v>-75.574616899999995</v>
      </c>
      <c r="AB1047">
        <v>6.2194061100000004</v>
      </c>
      <c r="AC1047" t="s">
        <v>135</v>
      </c>
      <c r="AD1047" t="s">
        <v>136</v>
      </c>
    </row>
    <row r="1048" spans="1:30" x14ac:dyDescent="0.25">
      <c r="A1048" t="s">
        <v>10080</v>
      </c>
      <c r="B1048" t="s">
        <v>25</v>
      </c>
      <c r="C1048" t="s">
        <v>26</v>
      </c>
      <c r="D1048" t="s">
        <v>25</v>
      </c>
      <c r="E1048" t="s">
        <v>8239</v>
      </c>
      <c r="F1048" t="s">
        <v>8240</v>
      </c>
      <c r="G1048">
        <v>800093117</v>
      </c>
      <c r="H1048" t="s">
        <v>6009</v>
      </c>
      <c r="I1048" s="4" t="s">
        <v>94</v>
      </c>
      <c r="J1048" s="4" t="s">
        <v>8014</v>
      </c>
      <c r="K1048" t="s">
        <v>8241</v>
      </c>
      <c r="L1048" t="s">
        <v>27</v>
      </c>
      <c r="M1048" t="s">
        <v>8242</v>
      </c>
      <c r="N1048" t="s">
        <v>28</v>
      </c>
      <c r="O1048" t="s">
        <v>29</v>
      </c>
      <c r="P1048" t="s">
        <v>54</v>
      </c>
      <c r="Q1048" t="s">
        <v>31</v>
      </c>
      <c r="R1048">
        <v>7</v>
      </c>
      <c r="S1048" t="s">
        <v>8243</v>
      </c>
      <c r="T1048" t="s">
        <v>8232</v>
      </c>
      <c r="U1048" t="s">
        <v>8233</v>
      </c>
      <c r="V1048" t="s">
        <v>32</v>
      </c>
      <c r="W1048" t="s">
        <v>33</v>
      </c>
      <c r="X1048" t="s">
        <v>33</v>
      </c>
      <c r="Y1048" t="s">
        <v>33</v>
      </c>
      <c r="Z1048" s="16" t="s">
        <v>34</v>
      </c>
      <c r="AA1048">
        <v>-75.574616899999995</v>
      </c>
      <c r="AB1048">
        <v>6.2194061100000004</v>
      </c>
      <c r="AC1048" t="s">
        <v>135</v>
      </c>
      <c r="AD1048" t="s">
        <v>136</v>
      </c>
    </row>
    <row r="1049" spans="1:30" x14ac:dyDescent="0.25">
      <c r="A1049" t="s">
        <v>10081</v>
      </c>
      <c r="B1049" t="s">
        <v>25</v>
      </c>
      <c r="C1049" t="s">
        <v>26</v>
      </c>
      <c r="D1049" t="s">
        <v>25</v>
      </c>
      <c r="E1049" t="s">
        <v>8239</v>
      </c>
      <c r="F1049" t="s">
        <v>8240</v>
      </c>
      <c r="G1049">
        <v>800093117</v>
      </c>
      <c r="H1049" t="s">
        <v>6009</v>
      </c>
      <c r="I1049" s="4" t="s">
        <v>94</v>
      </c>
      <c r="J1049" s="4" t="s">
        <v>8014</v>
      </c>
      <c r="K1049" t="s">
        <v>8244</v>
      </c>
      <c r="L1049" t="s">
        <v>27</v>
      </c>
      <c r="M1049" t="s">
        <v>8245</v>
      </c>
      <c r="N1049" t="s">
        <v>28</v>
      </c>
      <c r="O1049" t="s">
        <v>29</v>
      </c>
      <c r="P1049" t="s">
        <v>54</v>
      </c>
      <c r="Q1049" t="s">
        <v>31</v>
      </c>
      <c r="R1049">
        <v>7</v>
      </c>
      <c r="S1049" t="s">
        <v>8243</v>
      </c>
      <c r="T1049" t="s">
        <v>8232</v>
      </c>
      <c r="U1049" t="s">
        <v>8233</v>
      </c>
      <c r="V1049" t="s">
        <v>32</v>
      </c>
      <c r="W1049" t="s">
        <v>33</v>
      </c>
      <c r="X1049" t="s">
        <v>33</v>
      </c>
      <c r="Y1049" t="s">
        <v>33</v>
      </c>
      <c r="Z1049" s="16" t="s">
        <v>34</v>
      </c>
      <c r="AA1049">
        <v>-75.574616899999995</v>
      </c>
      <c r="AB1049">
        <v>6.2194061100000004</v>
      </c>
      <c r="AC1049" t="s">
        <v>135</v>
      </c>
      <c r="AD1049" t="s">
        <v>136</v>
      </c>
    </row>
    <row r="1050" spans="1:30" x14ac:dyDescent="0.25">
      <c r="A1050" t="s">
        <v>10082</v>
      </c>
      <c r="B1050" t="s">
        <v>25</v>
      </c>
      <c r="C1050" t="s">
        <v>26</v>
      </c>
      <c r="D1050" t="s">
        <v>25</v>
      </c>
      <c r="E1050" t="s">
        <v>8239</v>
      </c>
      <c r="F1050" t="s">
        <v>8240</v>
      </c>
      <c r="G1050">
        <v>800093117</v>
      </c>
      <c r="H1050" t="s">
        <v>6009</v>
      </c>
      <c r="I1050" s="4" t="s">
        <v>94</v>
      </c>
      <c r="J1050" s="4" t="s">
        <v>8014</v>
      </c>
      <c r="K1050" t="s">
        <v>8246</v>
      </c>
      <c r="L1050" t="s">
        <v>27</v>
      </c>
      <c r="M1050" t="s">
        <v>8247</v>
      </c>
      <c r="N1050" t="s">
        <v>28</v>
      </c>
      <c r="O1050" t="s">
        <v>29</v>
      </c>
      <c r="P1050" t="s">
        <v>54</v>
      </c>
      <c r="Q1050" t="s">
        <v>31</v>
      </c>
      <c r="R1050">
        <v>7</v>
      </c>
      <c r="S1050" t="s">
        <v>8243</v>
      </c>
      <c r="T1050" t="s">
        <v>8232</v>
      </c>
      <c r="U1050" t="s">
        <v>8233</v>
      </c>
      <c r="V1050" t="s">
        <v>32</v>
      </c>
      <c r="W1050" t="s">
        <v>33</v>
      </c>
      <c r="X1050" t="s">
        <v>33</v>
      </c>
      <c r="Y1050" t="s">
        <v>33</v>
      </c>
      <c r="Z1050" s="16" t="s">
        <v>34</v>
      </c>
      <c r="AA1050">
        <v>-75.574616899999995</v>
      </c>
      <c r="AB1050">
        <v>6.2194061100000004</v>
      </c>
      <c r="AC1050" t="s">
        <v>135</v>
      </c>
      <c r="AD1050" t="s">
        <v>136</v>
      </c>
    </row>
    <row r="1051" spans="1:30" x14ac:dyDescent="0.25">
      <c r="A1051" t="s">
        <v>10083</v>
      </c>
      <c r="B1051" t="s">
        <v>25</v>
      </c>
      <c r="C1051" t="s">
        <v>26</v>
      </c>
      <c r="D1051" t="s">
        <v>25</v>
      </c>
      <c r="E1051" t="s">
        <v>8248</v>
      </c>
      <c r="F1051" t="s">
        <v>8249</v>
      </c>
      <c r="G1051">
        <v>800093117</v>
      </c>
      <c r="H1051" t="s">
        <v>6009</v>
      </c>
      <c r="I1051" s="4" t="s">
        <v>94</v>
      </c>
      <c r="J1051" s="4" t="s">
        <v>8014</v>
      </c>
      <c r="K1051" t="s">
        <v>8250</v>
      </c>
      <c r="L1051" t="s">
        <v>27</v>
      </c>
      <c r="M1051" t="s">
        <v>8251</v>
      </c>
      <c r="N1051" t="s">
        <v>28</v>
      </c>
      <c r="O1051" t="s">
        <v>29</v>
      </c>
      <c r="P1051" t="s">
        <v>54</v>
      </c>
      <c r="Q1051" t="s">
        <v>31</v>
      </c>
      <c r="R1051">
        <v>7</v>
      </c>
      <c r="S1051" t="s">
        <v>8252</v>
      </c>
      <c r="T1051" t="s">
        <v>6253</v>
      </c>
      <c r="U1051" t="s">
        <v>6254</v>
      </c>
      <c r="V1051" t="s">
        <v>32</v>
      </c>
      <c r="W1051" t="s">
        <v>33</v>
      </c>
      <c r="X1051" t="s">
        <v>33</v>
      </c>
      <c r="Y1051" t="s">
        <v>33</v>
      </c>
      <c r="Z1051" s="16" t="s">
        <v>34</v>
      </c>
      <c r="AA1051">
        <v>-75.574616899999995</v>
      </c>
      <c r="AB1051">
        <v>6.2194061100000004</v>
      </c>
      <c r="AC1051" t="s">
        <v>135</v>
      </c>
      <c r="AD1051" t="s">
        <v>136</v>
      </c>
    </row>
    <row r="1052" spans="1:30" x14ac:dyDescent="0.25">
      <c r="A1052" t="s">
        <v>10084</v>
      </c>
      <c r="B1052" t="s">
        <v>25</v>
      </c>
      <c r="C1052" t="s">
        <v>26</v>
      </c>
      <c r="D1052" t="s">
        <v>25</v>
      </c>
      <c r="E1052" t="s">
        <v>8253</v>
      </c>
      <c r="F1052" t="s">
        <v>8254</v>
      </c>
      <c r="G1052">
        <v>800093117</v>
      </c>
      <c r="H1052" t="s">
        <v>6009</v>
      </c>
      <c r="I1052" s="4" t="s">
        <v>94</v>
      </c>
      <c r="J1052" s="4" t="s">
        <v>8014</v>
      </c>
      <c r="K1052" t="s">
        <v>8255</v>
      </c>
      <c r="L1052" t="s">
        <v>27</v>
      </c>
      <c r="M1052" t="s">
        <v>8256</v>
      </c>
      <c r="N1052" t="s">
        <v>28</v>
      </c>
      <c r="O1052" t="s">
        <v>29</v>
      </c>
      <c r="P1052" t="s">
        <v>54</v>
      </c>
      <c r="Q1052" t="s">
        <v>31</v>
      </c>
      <c r="R1052">
        <v>7</v>
      </c>
      <c r="S1052" t="s">
        <v>8257</v>
      </c>
      <c r="T1052" t="s">
        <v>6253</v>
      </c>
      <c r="U1052" t="s">
        <v>6254</v>
      </c>
      <c r="V1052" t="s">
        <v>32</v>
      </c>
      <c r="W1052" t="s">
        <v>33</v>
      </c>
      <c r="X1052" t="s">
        <v>33</v>
      </c>
      <c r="Y1052" t="s">
        <v>33</v>
      </c>
      <c r="Z1052" s="16" t="s">
        <v>34</v>
      </c>
      <c r="AA1052">
        <v>-75.574616899999995</v>
      </c>
      <c r="AB1052">
        <v>6.2194061100000004</v>
      </c>
      <c r="AC1052" t="s">
        <v>135</v>
      </c>
      <c r="AD1052" t="s">
        <v>136</v>
      </c>
    </row>
    <row r="1053" spans="1:30" x14ac:dyDescent="0.25">
      <c r="A1053" t="s">
        <v>10085</v>
      </c>
      <c r="B1053" t="s">
        <v>25</v>
      </c>
      <c r="C1053" t="s">
        <v>26</v>
      </c>
      <c r="D1053" t="s">
        <v>25</v>
      </c>
      <c r="E1053" t="s">
        <v>8258</v>
      </c>
      <c r="F1053" t="s">
        <v>8259</v>
      </c>
      <c r="G1053">
        <v>800093117</v>
      </c>
      <c r="H1053" t="s">
        <v>6009</v>
      </c>
      <c r="I1053" s="4" t="s">
        <v>94</v>
      </c>
      <c r="J1053" s="4" t="s">
        <v>8014</v>
      </c>
      <c r="K1053" t="s">
        <v>8260</v>
      </c>
      <c r="L1053" t="s">
        <v>27</v>
      </c>
      <c r="M1053" t="s">
        <v>8261</v>
      </c>
      <c r="N1053" t="s">
        <v>28</v>
      </c>
      <c r="O1053" t="s">
        <v>29</v>
      </c>
      <c r="P1053" t="s">
        <v>54</v>
      </c>
      <c r="Q1053" t="s">
        <v>31</v>
      </c>
      <c r="R1053">
        <v>7</v>
      </c>
      <c r="S1053" t="s">
        <v>8262</v>
      </c>
      <c r="T1053" t="s">
        <v>6253</v>
      </c>
      <c r="U1053" t="s">
        <v>6254</v>
      </c>
      <c r="V1053" t="s">
        <v>32</v>
      </c>
      <c r="W1053" t="s">
        <v>33</v>
      </c>
      <c r="X1053" t="s">
        <v>33</v>
      </c>
      <c r="Y1053" t="s">
        <v>33</v>
      </c>
      <c r="Z1053" s="16" t="s">
        <v>34</v>
      </c>
      <c r="AA1053">
        <v>-75.574616899999995</v>
      </c>
      <c r="AB1053">
        <v>6.2194061100000004</v>
      </c>
      <c r="AC1053" t="s">
        <v>135</v>
      </c>
      <c r="AD1053" t="s">
        <v>136</v>
      </c>
    </row>
    <row r="1054" spans="1:30" x14ac:dyDescent="0.25">
      <c r="A1054" t="s">
        <v>10086</v>
      </c>
      <c r="B1054" t="s">
        <v>25</v>
      </c>
      <c r="C1054" t="s">
        <v>26</v>
      </c>
      <c r="D1054" t="s">
        <v>39</v>
      </c>
      <c r="E1054" t="s">
        <v>8263</v>
      </c>
      <c r="F1054" t="s">
        <v>8264</v>
      </c>
      <c r="G1054">
        <v>1128441898</v>
      </c>
      <c r="H1054" t="s">
        <v>5986</v>
      </c>
      <c r="I1054" s="4" t="s">
        <v>35</v>
      </c>
      <c r="J1054" s="4" t="s">
        <v>5987</v>
      </c>
      <c r="K1054" t="s">
        <v>8265</v>
      </c>
      <c r="L1054" t="s">
        <v>27</v>
      </c>
      <c r="M1054" t="s">
        <v>8266</v>
      </c>
      <c r="N1054" t="s">
        <v>28</v>
      </c>
      <c r="O1054" t="s">
        <v>40</v>
      </c>
      <c r="P1054" t="s">
        <v>41</v>
      </c>
      <c r="Q1054" t="s">
        <v>31</v>
      </c>
      <c r="R1054">
        <v>5</v>
      </c>
      <c r="S1054" t="s">
        <v>8267</v>
      </c>
      <c r="T1054" t="s">
        <v>8268</v>
      </c>
      <c r="U1054" t="s">
        <v>8269</v>
      </c>
      <c r="V1054" t="s">
        <v>32</v>
      </c>
      <c r="W1054" t="s">
        <v>33</v>
      </c>
      <c r="X1054" t="s">
        <v>33</v>
      </c>
      <c r="Y1054" t="s">
        <v>33</v>
      </c>
      <c r="Z1054" s="16" t="s">
        <v>34</v>
      </c>
      <c r="AA1054">
        <v>-75.544512999999995</v>
      </c>
      <c r="AB1054">
        <v>6.2473419999999997</v>
      </c>
      <c r="AC1054" t="s">
        <v>135</v>
      </c>
      <c r="AD1054" t="s">
        <v>136</v>
      </c>
    </row>
    <row r="1055" spans="1:30" x14ac:dyDescent="0.25">
      <c r="A1055" t="s">
        <v>10087</v>
      </c>
      <c r="B1055" t="s">
        <v>25</v>
      </c>
      <c r="C1055" t="s">
        <v>26</v>
      </c>
      <c r="D1055" t="s">
        <v>25</v>
      </c>
      <c r="E1055" t="s">
        <v>8270</v>
      </c>
      <c r="F1055" t="s">
        <v>8271</v>
      </c>
      <c r="G1055">
        <v>800093117</v>
      </c>
      <c r="H1055" t="s">
        <v>6009</v>
      </c>
      <c r="I1055" s="4" t="s">
        <v>94</v>
      </c>
      <c r="J1055" s="4" t="s">
        <v>8014</v>
      </c>
      <c r="K1055" t="s">
        <v>8272</v>
      </c>
      <c r="L1055" t="s">
        <v>27</v>
      </c>
      <c r="M1055" t="s">
        <v>8273</v>
      </c>
      <c r="N1055" t="s">
        <v>28</v>
      </c>
      <c r="O1055" t="s">
        <v>29</v>
      </c>
      <c r="P1055" t="s">
        <v>54</v>
      </c>
      <c r="Q1055" t="s">
        <v>31</v>
      </c>
      <c r="R1055">
        <v>7</v>
      </c>
      <c r="S1055" t="s">
        <v>8274</v>
      </c>
      <c r="T1055" t="s">
        <v>8268</v>
      </c>
      <c r="U1055" t="s">
        <v>8275</v>
      </c>
      <c r="V1055" t="s">
        <v>32</v>
      </c>
      <c r="W1055" t="s">
        <v>33</v>
      </c>
      <c r="X1055" t="s">
        <v>33</v>
      </c>
      <c r="Y1055" t="s">
        <v>33</v>
      </c>
      <c r="Z1055" s="16" t="s">
        <v>34</v>
      </c>
      <c r="AA1055">
        <v>-75.574616899999995</v>
      </c>
      <c r="AB1055">
        <v>6.2194061100000004</v>
      </c>
      <c r="AC1055" t="s">
        <v>135</v>
      </c>
      <c r="AD1055" t="s">
        <v>136</v>
      </c>
    </row>
    <row r="1056" spans="1:30" x14ac:dyDescent="0.25">
      <c r="A1056" t="s">
        <v>10088</v>
      </c>
      <c r="B1056" t="s">
        <v>25</v>
      </c>
      <c r="C1056" t="s">
        <v>26</v>
      </c>
      <c r="D1056" t="s">
        <v>25</v>
      </c>
      <c r="E1056" t="s">
        <v>8276</v>
      </c>
      <c r="F1056" t="s">
        <v>8277</v>
      </c>
      <c r="G1056">
        <v>800093117</v>
      </c>
      <c r="H1056" t="s">
        <v>6009</v>
      </c>
      <c r="I1056" s="4" t="s">
        <v>94</v>
      </c>
      <c r="J1056" s="4" t="s">
        <v>8014</v>
      </c>
      <c r="K1056" t="s">
        <v>8278</v>
      </c>
      <c r="L1056" t="s">
        <v>27</v>
      </c>
      <c r="M1056" t="s">
        <v>8279</v>
      </c>
      <c r="N1056" t="s">
        <v>28</v>
      </c>
      <c r="O1056" t="s">
        <v>29</v>
      </c>
      <c r="P1056" t="s">
        <v>54</v>
      </c>
      <c r="Q1056" t="s">
        <v>31</v>
      </c>
      <c r="R1056">
        <v>7</v>
      </c>
      <c r="S1056" t="s">
        <v>8280</v>
      </c>
      <c r="T1056" t="s">
        <v>8268</v>
      </c>
      <c r="U1056" t="s">
        <v>8275</v>
      </c>
      <c r="V1056" t="s">
        <v>32</v>
      </c>
      <c r="W1056" t="s">
        <v>33</v>
      </c>
      <c r="X1056" t="s">
        <v>33</v>
      </c>
      <c r="Y1056" t="s">
        <v>33</v>
      </c>
      <c r="Z1056" s="16" t="s">
        <v>34</v>
      </c>
      <c r="AA1056">
        <v>-75.574616899999995</v>
      </c>
      <c r="AB1056">
        <v>6.2194061100000004</v>
      </c>
      <c r="AC1056" t="s">
        <v>135</v>
      </c>
      <c r="AD1056" t="s">
        <v>136</v>
      </c>
    </row>
    <row r="1057" spans="1:30" x14ac:dyDescent="0.25">
      <c r="A1057" t="s">
        <v>10089</v>
      </c>
      <c r="B1057" t="s">
        <v>25</v>
      </c>
      <c r="C1057" t="s">
        <v>26</v>
      </c>
      <c r="D1057" t="s">
        <v>39</v>
      </c>
      <c r="E1057" t="s">
        <v>8281</v>
      </c>
      <c r="F1057" t="s">
        <v>8282</v>
      </c>
      <c r="G1057">
        <v>11937438</v>
      </c>
      <c r="H1057" t="s">
        <v>5938</v>
      </c>
      <c r="I1057" s="4" t="s">
        <v>5939</v>
      </c>
      <c r="J1057" s="4" t="s">
        <v>5940</v>
      </c>
      <c r="K1057" t="s">
        <v>8283</v>
      </c>
      <c r="L1057" t="s">
        <v>27</v>
      </c>
      <c r="M1057" t="s">
        <v>8284</v>
      </c>
      <c r="N1057" t="s">
        <v>28</v>
      </c>
      <c r="O1057" t="s">
        <v>40</v>
      </c>
      <c r="P1057" t="s">
        <v>41</v>
      </c>
      <c r="Q1057" t="s">
        <v>31</v>
      </c>
      <c r="R1057">
        <v>5</v>
      </c>
      <c r="S1057" t="s">
        <v>8285</v>
      </c>
      <c r="T1057" t="s">
        <v>8286</v>
      </c>
      <c r="U1057" t="s">
        <v>8287</v>
      </c>
      <c r="V1057" t="s">
        <v>32</v>
      </c>
      <c r="W1057" t="s">
        <v>33</v>
      </c>
      <c r="X1057" t="s">
        <v>33</v>
      </c>
      <c r="Y1057" t="s">
        <v>33</v>
      </c>
      <c r="Z1057" s="16" t="s">
        <v>34</v>
      </c>
      <c r="AA1057">
        <v>-75.544512999999995</v>
      </c>
      <c r="AB1057">
        <v>6.2473419999999997</v>
      </c>
      <c r="AC1057" t="s">
        <v>135</v>
      </c>
      <c r="AD1057" t="s">
        <v>136</v>
      </c>
    </row>
    <row r="1058" spans="1:30" x14ac:dyDescent="0.25">
      <c r="A1058" t="s">
        <v>10090</v>
      </c>
      <c r="B1058" t="s">
        <v>50</v>
      </c>
      <c r="C1058" t="s">
        <v>26</v>
      </c>
      <c r="D1058" t="s">
        <v>50</v>
      </c>
      <c r="E1058" t="s">
        <v>8288</v>
      </c>
      <c r="F1058" t="s">
        <v>8289</v>
      </c>
      <c r="G1058">
        <v>1035441440</v>
      </c>
      <c r="H1058" t="s">
        <v>8290</v>
      </c>
      <c r="I1058" s="4" t="s">
        <v>35</v>
      </c>
      <c r="J1058" s="4" t="s">
        <v>8291</v>
      </c>
      <c r="K1058" t="s">
        <v>8292</v>
      </c>
      <c r="L1058" t="s">
        <v>27</v>
      </c>
      <c r="M1058" t="s">
        <v>8293</v>
      </c>
      <c r="N1058" t="s">
        <v>28</v>
      </c>
      <c r="O1058" t="s">
        <v>51</v>
      </c>
      <c r="P1058" t="s">
        <v>52</v>
      </c>
      <c r="Q1058" t="s">
        <v>31</v>
      </c>
      <c r="R1058">
        <v>11</v>
      </c>
      <c r="S1058" t="s">
        <v>8294</v>
      </c>
      <c r="T1058" t="s">
        <v>6290</v>
      </c>
      <c r="U1058" t="s">
        <v>8295</v>
      </c>
      <c r="V1058" t="s">
        <v>32</v>
      </c>
      <c r="W1058" t="s">
        <v>33</v>
      </c>
      <c r="X1058" t="s">
        <v>33</v>
      </c>
      <c r="Y1058" t="s">
        <v>33</v>
      </c>
      <c r="Z1058" s="16" t="s">
        <v>34</v>
      </c>
      <c r="AA1058">
        <v>-75.611386850000002</v>
      </c>
      <c r="AB1058">
        <v>6.22266692</v>
      </c>
      <c r="AC1058" t="s">
        <v>135</v>
      </c>
      <c r="AD1058" t="s">
        <v>136</v>
      </c>
    </row>
    <row r="1059" spans="1:30" x14ac:dyDescent="0.25">
      <c r="A1059" t="s">
        <v>10091</v>
      </c>
      <c r="B1059" t="s">
        <v>25</v>
      </c>
      <c r="C1059" t="s">
        <v>26</v>
      </c>
      <c r="D1059" t="s">
        <v>39</v>
      </c>
      <c r="E1059" t="s">
        <v>8296</v>
      </c>
      <c r="F1059" t="s">
        <v>8297</v>
      </c>
      <c r="G1059">
        <v>1128441898</v>
      </c>
      <c r="H1059" t="s">
        <v>5986</v>
      </c>
      <c r="I1059" s="4" t="s">
        <v>35</v>
      </c>
      <c r="J1059" s="4" t="s">
        <v>5987</v>
      </c>
      <c r="K1059" t="s">
        <v>8298</v>
      </c>
      <c r="L1059" t="s">
        <v>27</v>
      </c>
      <c r="M1059" t="s">
        <v>8299</v>
      </c>
      <c r="N1059" t="s">
        <v>28</v>
      </c>
      <c r="O1059" t="s">
        <v>40</v>
      </c>
      <c r="P1059" t="s">
        <v>41</v>
      </c>
      <c r="Q1059" t="s">
        <v>31</v>
      </c>
      <c r="R1059">
        <v>5</v>
      </c>
      <c r="S1059" t="s">
        <v>8300</v>
      </c>
      <c r="T1059" t="s">
        <v>7101</v>
      </c>
      <c r="U1059" t="s">
        <v>7102</v>
      </c>
      <c r="V1059" t="s">
        <v>32</v>
      </c>
      <c r="W1059" t="s">
        <v>33</v>
      </c>
      <c r="X1059" t="s">
        <v>33</v>
      </c>
      <c r="Y1059" t="s">
        <v>33</v>
      </c>
      <c r="Z1059" s="16" t="s">
        <v>34</v>
      </c>
      <c r="AA1059">
        <v>-75.544512999999995</v>
      </c>
      <c r="AB1059">
        <v>6.2473419999999997</v>
      </c>
      <c r="AC1059" t="s">
        <v>135</v>
      </c>
      <c r="AD1059" t="s">
        <v>136</v>
      </c>
    </row>
    <row r="1060" spans="1:30" x14ac:dyDescent="0.25">
      <c r="A1060" t="s">
        <v>10092</v>
      </c>
      <c r="B1060" t="s">
        <v>25</v>
      </c>
      <c r="C1060" t="s">
        <v>26</v>
      </c>
      <c r="D1060" t="s">
        <v>25</v>
      </c>
      <c r="E1060" t="s">
        <v>8301</v>
      </c>
      <c r="F1060" t="s">
        <v>8302</v>
      </c>
      <c r="G1060">
        <v>800093117</v>
      </c>
      <c r="H1060" t="s">
        <v>6009</v>
      </c>
      <c r="I1060" s="4" t="s">
        <v>94</v>
      </c>
      <c r="J1060" s="4" t="s">
        <v>8014</v>
      </c>
      <c r="K1060" t="s">
        <v>8303</v>
      </c>
      <c r="L1060" t="s">
        <v>27</v>
      </c>
      <c r="M1060" t="s">
        <v>8304</v>
      </c>
      <c r="N1060" t="s">
        <v>28</v>
      </c>
      <c r="O1060" t="s">
        <v>29</v>
      </c>
      <c r="P1060" t="s">
        <v>54</v>
      </c>
      <c r="Q1060" t="s">
        <v>31</v>
      </c>
      <c r="R1060">
        <v>7</v>
      </c>
      <c r="S1060" t="s">
        <v>8305</v>
      </c>
      <c r="T1060" t="s">
        <v>6361</v>
      </c>
      <c r="U1060" t="s">
        <v>7378</v>
      </c>
      <c r="V1060" t="s">
        <v>32</v>
      </c>
      <c r="W1060" t="s">
        <v>33</v>
      </c>
      <c r="X1060" t="s">
        <v>33</v>
      </c>
      <c r="Y1060" t="s">
        <v>33</v>
      </c>
      <c r="Z1060" s="16" t="s">
        <v>34</v>
      </c>
      <c r="AA1060">
        <v>-75.574616899999995</v>
      </c>
      <c r="AB1060">
        <v>6.2194061100000004</v>
      </c>
      <c r="AC1060" t="s">
        <v>135</v>
      </c>
      <c r="AD1060" t="s">
        <v>136</v>
      </c>
    </row>
    <row r="1061" spans="1:30" x14ac:dyDescent="0.25">
      <c r="A1061" t="s">
        <v>10093</v>
      </c>
      <c r="B1061" t="s">
        <v>25</v>
      </c>
      <c r="C1061" t="s">
        <v>26</v>
      </c>
      <c r="D1061" t="s">
        <v>25</v>
      </c>
      <c r="E1061" t="s">
        <v>8306</v>
      </c>
      <c r="F1061" t="s">
        <v>8307</v>
      </c>
      <c r="G1061">
        <v>800093117</v>
      </c>
      <c r="H1061" t="s">
        <v>6009</v>
      </c>
      <c r="I1061" s="4" t="s">
        <v>94</v>
      </c>
      <c r="J1061" s="4" t="s">
        <v>8014</v>
      </c>
      <c r="K1061" t="s">
        <v>8308</v>
      </c>
      <c r="L1061" t="s">
        <v>27</v>
      </c>
      <c r="M1061" t="s">
        <v>8309</v>
      </c>
      <c r="N1061" t="s">
        <v>28</v>
      </c>
      <c r="O1061" t="s">
        <v>29</v>
      </c>
      <c r="P1061" t="s">
        <v>54</v>
      </c>
      <c r="Q1061" t="s">
        <v>31</v>
      </c>
      <c r="R1061">
        <v>7</v>
      </c>
      <c r="S1061" t="s">
        <v>8310</v>
      </c>
      <c r="T1061" t="s">
        <v>6361</v>
      </c>
      <c r="U1061" t="s">
        <v>7378</v>
      </c>
      <c r="V1061" t="s">
        <v>32</v>
      </c>
      <c r="W1061" t="s">
        <v>33</v>
      </c>
      <c r="X1061" t="s">
        <v>33</v>
      </c>
      <c r="Y1061" t="s">
        <v>33</v>
      </c>
      <c r="Z1061" s="16" t="s">
        <v>34</v>
      </c>
      <c r="AA1061">
        <v>-75.574616899999995</v>
      </c>
      <c r="AB1061">
        <v>6.2194061100000004</v>
      </c>
      <c r="AC1061" t="s">
        <v>135</v>
      </c>
      <c r="AD1061" t="s">
        <v>136</v>
      </c>
    </row>
    <row r="1062" spans="1:30" x14ac:dyDescent="0.25">
      <c r="A1062" t="s">
        <v>10094</v>
      </c>
      <c r="B1062" t="s">
        <v>25</v>
      </c>
      <c r="C1062" t="s">
        <v>26</v>
      </c>
      <c r="D1062" t="s">
        <v>25</v>
      </c>
      <c r="E1062" t="s">
        <v>8311</v>
      </c>
      <c r="F1062" t="s">
        <v>8312</v>
      </c>
      <c r="G1062">
        <v>800093117</v>
      </c>
      <c r="H1062" t="s">
        <v>6009</v>
      </c>
      <c r="I1062" s="4" t="s">
        <v>94</v>
      </c>
      <c r="J1062" s="4" t="s">
        <v>8014</v>
      </c>
      <c r="K1062" t="s">
        <v>8313</v>
      </c>
      <c r="L1062" t="s">
        <v>27</v>
      </c>
      <c r="M1062" t="s">
        <v>8314</v>
      </c>
      <c r="N1062" t="s">
        <v>28</v>
      </c>
      <c r="O1062" t="s">
        <v>29</v>
      </c>
      <c r="P1062" t="s">
        <v>54</v>
      </c>
      <c r="Q1062" t="s">
        <v>31</v>
      </c>
      <c r="R1062">
        <v>7</v>
      </c>
      <c r="S1062" t="s">
        <v>8315</v>
      </c>
      <c r="T1062" t="s">
        <v>6361</v>
      </c>
      <c r="U1062" t="s">
        <v>7378</v>
      </c>
      <c r="V1062" t="s">
        <v>32</v>
      </c>
      <c r="W1062" t="s">
        <v>33</v>
      </c>
      <c r="X1062" t="s">
        <v>33</v>
      </c>
      <c r="Y1062" t="s">
        <v>33</v>
      </c>
      <c r="Z1062" s="16" t="s">
        <v>34</v>
      </c>
      <c r="AA1062">
        <v>-75.574616899999995</v>
      </c>
      <c r="AB1062">
        <v>6.2194061100000004</v>
      </c>
      <c r="AC1062" t="s">
        <v>135</v>
      </c>
      <c r="AD1062" t="s">
        <v>136</v>
      </c>
    </row>
    <row r="1063" spans="1:30" x14ac:dyDescent="0.25">
      <c r="A1063" t="s">
        <v>10095</v>
      </c>
      <c r="B1063" t="s">
        <v>25</v>
      </c>
      <c r="C1063" t="s">
        <v>26</v>
      </c>
      <c r="D1063" t="s">
        <v>25</v>
      </c>
      <c r="E1063" t="s">
        <v>8316</v>
      </c>
      <c r="F1063" t="s">
        <v>8317</v>
      </c>
      <c r="G1063">
        <v>800093117</v>
      </c>
      <c r="H1063" t="s">
        <v>6009</v>
      </c>
      <c r="I1063" s="4" t="s">
        <v>94</v>
      </c>
      <c r="J1063" s="4" t="s">
        <v>8014</v>
      </c>
      <c r="K1063" t="s">
        <v>8318</v>
      </c>
      <c r="L1063" t="s">
        <v>27</v>
      </c>
      <c r="M1063" t="s">
        <v>8319</v>
      </c>
      <c r="N1063" t="s">
        <v>28</v>
      </c>
      <c r="O1063" t="s">
        <v>29</v>
      </c>
      <c r="P1063" t="s">
        <v>54</v>
      </c>
      <c r="Q1063" t="s">
        <v>31</v>
      </c>
      <c r="R1063">
        <v>7</v>
      </c>
      <c r="S1063" t="s">
        <v>8320</v>
      </c>
      <c r="T1063" t="s">
        <v>6361</v>
      </c>
      <c r="U1063" t="s">
        <v>7378</v>
      </c>
      <c r="V1063" t="s">
        <v>32</v>
      </c>
      <c r="W1063" t="s">
        <v>33</v>
      </c>
      <c r="X1063" t="s">
        <v>33</v>
      </c>
      <c r="Y1063" t="s">
        <v>33</v>
      </c>
      <c r="Z1063" s="16" t="s">
        <v>34</v>
      </c>
      <c r="AA1063">
        <v>-75.574616899999995</v>
      </c>
      <c r="AB1063">
        <v>6.2194061100000004</v>
      </c>
      <c r="AC1063" t="s">
        <v>135</v>
      </c>
      <c r="AD1063" t="s">
        <v>136</v>
      </c>
    </row>
    <row r="1064" spans="1:30" x14ac:dyDescent="0.25">
      <c r="A1064" t="s">
        <v>10096</v>
      </c>
      <c r="B1064" t="s">
        <v>25</v>
      </c>
      <c r="C1064" t="s">
        <v>26</v>
      </c>
      <c r="D1064" t="s">
        <v>25</v>
      </c>
      <c r="E1064" t="s">
        <v>8321</v>
      </c>
      <c r="F1064" t="s">
        <v>8322</v>
      </c>
      <c r="G1064">
        <v>800093117</v>
      </c>
      <c r="H1064" t="s">
        <v>6009</v>
      </c>
      <c r="I1064" s="4" t="s">
        <v>94</v>
      </c>
      <c r="J1064" s="4" t="s">
        <v>8014</v>
      </c>
      <c r="K1064" t="s">
        <v>8323</v>
      </c>
      <c r="L1064" t="s">
        <v>27</v>
      </c>
      <c r="M1064" t="s">
        <v>8324</v>
      </c>
      <c r="N1064" t="s">
        <v>28</v>
      </c>
      <c r="O1064" t="s">
        <v>29</v>
      </c>
      <c r="P1064" t="s">
        <v>54</v>
      </c>
      <c r="Q1064" t="s">
        <v>31</v>
      </c>
      <c r="R1064">
        <v>7</v>
      </c>
      <c r="S1064" t="s">
        <v>8325</v>
      </c>
      <c r="T1064" t="s">
        <v>8326</v>
      </c>
      <c r="U1064" t="s">
        <v>8327</v>
      </c>
      <c r="V1064" t="s">
        <v>32</v>
      </c>
      <c r="W1064" t="s">
        <v>33</v>
      </c>
      <c r="X1064" t="s">
        <v>33</v>
      </c>
      <c r="Y1064" t="s">
        <v>33</v>
      </c>
      <c r="Z1064" s="16" t="s">
        <v>34</v>
      </c>
      <c r="AA1064">
        <v>-75.574616899999995</v>
      </c>
      <c r="AB1064">
        <v>6.2194061100000004</v>
      </c>
      <c r="AC1064" t="s">
        <v>135</v>
      </c>
      <c r="AD1064" t="s">
        <v>136</v>
      </c>
    </row>
    <row r="1065" spans="1:30" x14ac:dyDescent="0.25">
      <c r="A1065" t="s">
        <v>10097</v>
      </c>
      <c r="B1065" t="s">
        <v>25</v>
      </c>
      <c r="C1065" t="s">
        <v>26</v>
      </c>
      <c r="D1065" t="s">
        <v>25</v>
      </c>
      <c r="E1065" t="s">
        <v>8328</v>
      </c>
      <c r="F1065" t="s">
        <v>8329</v>
      </c>
      <c r="G1065">
        <v>800093117</v>
      </c>
      <c r="H1065" t="s">
        <v>6009</v>
      </c>
      <c r="I1065" s="4" t="s">
        <v>94</v>
      </c>
      <c r="J1065" s="4" t="s">
        <v>8014</v>
      </c>
      <c r="K1065" t="s">
        <v>8330</v>
      </c>
      <c r="L1065" t="s">
        <v>27</v>
      </c>
      <c r="M1065" t="s">
        <v>8331</v>
      </c>
      <c r="N1065" t="s">
        <v>28</v>
      </c>
      <c r="O1065" t="s">
        <v>29</v>
      </c>
      <c r="P1065" t="s">
        <v>54</v>
      </c>
      <c r="Q1065" t="s">
        <v>31</v>
      </c>
      <c r="R1065">
        <v>7</v>
      </c>
      <c r="S1065" t="s">
        <v>8332</v>
      </c>
      <c r="T1065" t="s">
        <v>8326</v>
      </c>
      <c r="U1065" t="s">
        <v>8327</v>
      </c>
      <c r="V1065" t="s">
        <v>32</v>
      </c>
      <c r="W1065" t="s">
        <v>33</v>
      </c>
      <c r="X1065" t="s">
        <v>33</v>
      </c>
      <c r="Y1065" t="s">
        <v>33</v>
      </c>
      <c r="Z1065" s="16" t="s">
        <v>34</v>
      </c>
      <c r="AA1065">
        <v>-75.574616899999995</v>
      </c>
      <c r="AB1065">
        <v>6.2194061100000004</v>
      </c>
      <c r="AC1065" t="s">
        <v>135</v>
      </c>
      <c r="AD1065" t="s">
        <v>136</v>
      </c>
    </row>
    <row r="1066" spans="1:30" x14ac:dyDescent="0.25">
      <c r="A1066" t="s">
        <v>10098</v>
      </c>
      <c r="B1066" t="s">
        <v>25</v>
      </c>
      <c r="C1066" t="s">
        <v>26</v>
      </c>
      <c r="D1066" t="s">
        <v>25</v>
      </c>
      <c r="E1066" t="s">
        <v>8333</v>
      </c>
      <c r="F1066" t="s">
        <v>8334</v>
      </c>
      <c r="G1066">
        <v>800093117</v>
      </c>
      <c r="H1066" t="s">
        <v>6009</v>
      </c>
      <c r="I1066" s="4" t="s">
        <v>94</v>
      </c>
      <c r="J1066" s="4" t="s">
        <v>8014</v>
      </c>
      <c r="K1066" t="s">
        <v>8335</v>
      </c>
      <c r="L1066" t="s">
        <v>27</v>
      </c>
      <c r="M1066" t="s">
        <v>8336</v>
      </c>
      <c r="N1066" t="s">
        <v>28</v>
      </c>
      <c r="O1066" t="s">
        <v>29</v>
      </c>
      <c r="P1066" t="s">
        <v>54</v>
      </c>
      <c r="Q1066" t="s">
        <v>31</v>
      </c>
      <c r="R1066">
        <v>7</v>
      </c>
      <c r="S1066" t="s">
        <v>8337</v>
      </c>
      <c r="T1066" t="s">
        <v>8326</v>
      </c>
      <c r="U1066" t="s">
        <v>8327</v>
      </c>
      <c r="V1066" t="s">
        <v>32</v>
      </c>
      <c r="W1066" t="s">
        <v>33</v>
      </c>
      <c r="X1066" t="s">
        <v>33</v>
      </c>
      <c r="Y1066" t="s">
        <v>33</v>
      </c>
      <c r="Z1066" s="16" t="s">
        <v>34</v>
      </c>
      <c r="AA1066">
        <v>-75.574616899999995</v>
      </c>
      <c r="AB1066">
        <v>6.2194061100000004</v>
      </c>
      <c r="AC1066" t="s">
        <v>135</v>
      </c>
      <c r="AD1066" t="s">
        <v>136</v>
      </c>
    </row>
    <row r="1067" spans="1:30" x14ac:dyDescent="0.25">
      <c r="A1067" t="s">
        <v>10099</v>
      </c>
      <c r="B1067" t="s">
        <v>61</v>
      </c>
      <c r="C1067" t="s">
        <v>26</v>
      </c>
      <c r="D1067" t="s">
        <v>61</v>
      </c>
      <c r="E1067" t="s">
        <v>8338</v>
      </c>
      <c r="F1067" t="s">
        <v>8339</v>
      </c>
      <c r="G1067">
        <v>71272507</v>
      </c>
      <c r="H1067" t="s">
        <v>8340</v>
      </c>
      <c r="I1067" s="4" t="s">
        <v>35</v>
      </c>
      <c r="J1067" s="4" t="s">
        <v>8341</v>
      </c>
      <c r="K1067" t="s">
        <v>8342</v>
      </c>
      <c r="L1067" t="s">
        <v>27</v>
      </c>
      <c r="M1067" t="s">
        <v>8343</v>
      </c>
      <c r="N1067" t="s">
        <v>28</v>
      </c>
      <c r="O1067" t="s">
        <v>62</v>
      </c>
      <c r="P1067" t="s">
        <v>63</v>
      </c>
      <c r="Q1067" t="s">
        <v>31</v>
      </c>
      <c r="R1067">
        <v>4</v>
      </c>
      <c r="S1067" t="s">
        <v>8344</v>
      </c>
      <c r="T1067" t="s">
        <v>8345</v>
      </c>
      <c r="U1067" t="s">
        <v>8346</v>
      </c>
      <c r="V1067" t="s">
        <v>32</v>
      </c>
      <c r="W1067" t="s">
        <v>33</v>
      </c>
      <c r="X1067" t="s">
        <v>33</v>
      </c>
      <c r="Y1067" t="s">
        <v>33</v>
      </c>
      <c r="Z1067" s="16" t="s">
        <v>34</v>
      </c>
      <c r="AA1067">
        <v>-75.566342390000003</v>
      </c>
      <c r="AB1067">
        <v>6.2653123600000002</v>
      </c>
      <c r="AC1067" t="s">
        <v>135</v>
      </c>
      <c r="AD1067" t="s">
        <v>136</v>
      </c>
    </row>
    <row r="1068" spans="1:30" x14ac:dyDescent="0.25">
      <c r="A1068" t="s">
        <v>10100</v>
      </c>
      <c r="B1068" t="s">
        <v>25</v>
      </c>
      <c r="C1068" t="s">
        <v>26</v>
      </c>
      <c r="D1068" t="s">
        <v>25</v>
      </c>
      <c r="E1068" t="s">
        <v>8347</v>
      </c>
      <c r="F1068" t="s">
        <v>8348</v>
      </c>
      <c r="G1068">
        <v>800093117</v>
      </c>
      <c r="H1068" t="s">
        <v>6009</v>
      </c>
      <c r="I1068" s="4" t="s">
        <v>94</v>
      </c>
      <c r="J1068" s="4" t="s">
        <v>8014</v>
      </c>
      <c r="K1068" t="s">
        <v>8349</v>
      </c>
      <c r="L1068" t="s">
        <v>27</v>
      </c>
      <c r="M1068" t="s">
        <v>8350</v>
      </c>
      <c r="N1068" t="s">
        <v>28</v>
      </c>
      <c r="O1068" t="s">
        <v>29</v>
      </c>
      <c r="P1068" t="s">
        <v>54</v>
      </c>
      <c r="Q1068" t="s">
        <v>31</v>
      </c>
      <c r="R1068">
        <v>7</v>
      </c>
      <c r="S1068" t="s">
        <v>8351</v>
      </c>
      <c r="T1068" t="s">
        <v>8352</v>
      </c>
      <c r="U1068" t="s">
        <v>8353</v>
      </c>
      <c r="V1068" t="s">
        <v>32</v>
      </c>
      <c r="W1068" t="s">
        <v>33</v>
      </c>
      <c r="X1068" t="s">
        <v>33</v>
      </c>
      <c r="Y1068" t="s">
        <v>33</v>
      </c>
      <c r="Z1068" s="16" t="s">
        <v>34</v>
      </c>
      <c r="AA1068">
        <v>-75.574616899999995</v>
      </c>
      <c r="AB1068">
        <v>6.2194061100000004</v>
      </c>
      <c r="AC1068" t="s">
        <v>135</v>
      </c>
      <c r="AD1068" t="s">
        <v>136</v>
      </c>
    </row>
    <row r="1069" spans="1:30" x14ac:dyDescent="0.25">
      <c r="A1069" t="s">
        <v>10101</v>
      </c>
      <c r="B1069" t="s">
        <v>25</v>
      </c>
      <c r="C1069" t="s">
        <v>26</v>
      </c>
      <c r="D1069" t="s">
        <v>25</v>
      </c>
      <c r="E1069" t="s">
        <v>8354</v>
      </c>
      <c r="F1069" t="s">
        <v>8355</v>
      </c>
      <c r="G1069">
        <v>800093117</v>
      </c>
      <c r="H1069" t="s">
        <v>6009</v>
      </c>
      <c r="I1069" s="4" t="s">
        <v>94</v>
      </c>
      <c r="J1069" s="4" t="s">
        <v>8014</v>
      </c>
      <c r="K1069" t="s">
        <v>8356</v>
      </c>
      <c r="L1069" t="s">
        <v>27</v>
      </c>
      <c r="M1069" t="s">
        <v>8357</v>
      </c>
      <c r="N1069" t="s">
        <v>28</v>
      </c>
      <c r="O1069" t="s">
        <v>29</v>
      </c>
      <c r="P1069" t="s">
        <v>54</v>
      </c>
      <c r="Q1069" t="s">
        <v>31</v>
      </c>
      <c r="R1069">
        <v>7</v>
      </c>
      <c r="S1069" t="s">
        <v>8358</v>
      </c>
      <c r="T1069" t="s">
        <v>8352</v>
      </c>
      <c r="U1069" t="s">
        <v>8353</v>
      </c>
      <c r="V1069" t="s">
        <v>32</v>
      </c>
      <c r="W1069" t="s">
        <v>33</v>
      </c>
      <c r="X1069" t="s">
        <v>33</v>
      </c>
      <c r="Y1069" t="s">
        <v>33</v>
      </c>
      <c r="Z1069" s="16" t="s">
        <v>34</v>
      </c>
      <c r="AA1069">
        <v>-75.574616899999995</v>
      </c>
      <c r="AB1069">
        <v>6.2194061100000004</v>
      </c>
      <c r="AC1069" t="s">
        <v>135</v>
      </c>
      <c r="AD1069" t="s">
        <v>136</v>
      </c>
    </row>
    <row r="1070" spans="1:30" x14ac:dyDescent="0.25">
      <c r="A1070" t="s">
        <v>10102</v>
      </c>
      <c r="B1070" t="s">
        <v>25</v>
      </c>
      <c r="C1070" t="s">
        <v>26</v>
      </c>
      <c r="D1070" t="s">
        <v>25</v>
      </c>
      <c r="E1070" t="s">
        <v>8359</v>
      </c>
      <c r="F1070" t="s">
        <v>8360</v>
      </c>
      <c r="G1070">
        <v>800093117</v>
      </c>
      <c r="H1070" t="s">
        <v>6009</v>
      </c>
      <c r="I1070" s="4" t="s">
        <v>94</v>
      </c>
      <c r="J1070" s="4" t="s">
        <v>8014</v>
      </c>
      <c r="K1070" t="s">
        <v>8361</v>
      </c>
      <c r="L1070" t="s">
        <v>27</v>
      </c>
      <c r="M1070" t="s">
        <v>8362</v>
      </c>
      <c r="N1070" t="s">
        <v>28</v>
      </c>
      <c r="O1070" t="s">
        <v>29</v>
      </c>
      <c r="P1070" t="s">
        <v>54</v>
      </c>
      <c r="Q1070" t="s">
        <v>31</v>
      </c>
      <c r="R1070">
        <v>7</v>
      </c>
      <c r="S1070" t="s">
        <v>8363</v>
      </c>
      <c r="T1070" t="s">
        <v>8352</v>
      </c>
      <c r="U1070" t="s">
        <v>8353</v>
      </c>
      <c r="V1070" t="s">
        <v>32</v>
      </c>
      <c r="W1070" t="s">
        <v>33</v>
      </c>
      <c r="X1070" t="s">
        <v>33</v>
      </c>
      <c r="Y1070" t="s">
        <v>33</v>
      </c>
      <c r="Z1070" s="16" t="s">
        <v>34</v>
      </c>
      <c r="AA1070">
        <v>-75.574616899999995</v>
      </c>
      <c r="AB1070">
        <v>6.2194061100000004</v>
      </c>
      <c r="AC1070" t="s">
        <v>135</v>
      </c>
      <c r="AD1070" t="s">
        <v>136</v>
      </c>
    </row>
    <row r="1071" spans="1:30" x14ac:dyDescent="0.25">
      <c r="A1071" t="s">
        <v>10103</v>
      </c>
      <c r="B1071" t="s">
        <v>25</v>
      </c>
      <c r="C1071" t="s">
        <v>26</v>
      </c>
      <c r="D1071" t="s">
        <v>25</v>
      </c>
      <c r="E1071" t="s">
        <v>8364</v>
      </c>
      <c r="F1071" t="s">
        <v>8365</v>
      </c>
      <c r="G1071">
        <v>800093117</v>
      </c>
      <c r="H1071" t="s">
        <v>6009</v>
      </c>
      <c r="I1071" s="4" t="s">
        <v>94</v>
      </c>
      <c r="J1071" s="4" t="s">
        <v>8014</v>
      </c>
      <c r="K1071" t="s">
        <v>8366</v>
      </c>
      <c r="L1071" t="s">
        <v>27</v>
      </c>
      <c r="M1071" t="s">
        <v>8367</v>
      </c>
      <c r="N1071" t="s">
        <v>28</v>
      </c>
      <c r="O1071" t="s">
        <v>29</v>
      </c>
      <c r="P1071" t="s">
        <v>54</v>
      </c>
      <c r="Q1071" t="s">
        <v>31</v>
      </c>
      <c r="R1071">
        <v>7</v>
      </c>
      <c r="S1071" t="s">
        <v>8368</v>
      </c>
      <c r="T1071" t="s">
        <v>8369</v>
      </c>
      <c r="U1071" t="s">
        <v>8370</v>
      </c>
      <c r="V1071" t="s">
        <v>32</v>
      </c>
      <c r="W1071" t="s">
        <v>33</v>
      </c>
      <c r="X1071" t="s">
        <v>33</v>
      </c>
      <c r="Y1071" t="s">
        <v>33</v>
      </c>
      <c r="Z1071" s="16" t="s">
        <v>34</v>
      </c>
      <c r="AA1071">
        <v>-75.574616899999995</v>
      </c>
      <c r="AB1071">
        <v>6.2194061100000004</v>
      </c>
      <c r="AC1071" t="s">
        <v>135</v>
      </c>
      <c r="AD1071" t="s">
        <v>136</v>
      </c>
    </row>
    <row r="1072" spans="1:30" x14ac:dyDescent="0.25">
      <c r="A1072" t="s">
        <v>10104</v>
      </c>
      <c r="B1072" t="s">
        <v>42</v>
      </c>
      <c r="C1072" t="s">
        <v>75</v>
      </c>
      <c r="D1072" t="s">
        <v>42</v>
      </c>
      <c r="E1072" t="s">
        <v>8371</v>
      </c>
      <c r="F1072" t="s">
        <v>8372</v>
      </c>
      <c r="G1072">
        <v>71753694</v>
      </c>
      <c r="H1072" t="s">
        <v>8373</v>
      </c>
      <c r="I1072" s="4" t="s">
        <v>35</v>
      </c>
      <c r="J1072" s="4" t="s">
        <v>751</v>
      </c>
      <c r="K1072" t="s">
        <v>8374</v>
      </c>
      <c r="L1072" t="s">
        <v>27</v>
      </c>
      <c r="M1072" t="s">
        <v>8375</v>
      </c>
      <c r="N1072" t="s">
        <v>28</v>
      </c>
      <c r="O1072" t="s">
        <v>76</v>
      </c>
      <c r="P1072" t="s">
        <v>30</v>
      </c>
      <c r="Q1072" t="s">
        <v>31</v>
      </c>
      <c r="R1072">
        <v>7</v>
      </c>
      <c r="S1072" t="s">
        <v>8376</v>
      </c>
      <c r="T1072" t="s">
        <v>8377</v>
      </c>
      <c r="U1072" t="s">
        <v>8378</v>
      </c>
      <c r="V1072" t="s">
        <v>32</v>
      </c>
      <c r="W1072" t="s">
        <v>33</v>
      </c>
      <c r="X1072" t="s">
        <v>33</v>
      </c>
      <c r="Y1072" t="s">
        <v>33</v>
      </c>
      <c r="Z1072" s="16" t="s">
        <v>34</v>
      </c>
      <c r="AA1072">
        <v>-75.571001249999995</v>
      </c>
      <c r="AB1072">
        <v>6.2170441800000003</v>
      </c>
      <c r="AC1072" t="s">
        <v>135</v>
      </c>
      <c r="AD1072" t="s">
        <v>136</v>
      </c>
    </row>
    <row r="1073" spans="1:30" x14ac:dyDescent="0.25">
      <c r="A1073" t="s">
        <v>10105</v>
      </c>
      <c r="B1073" t="s">
        <v>50</v>
      </c>
      <c r="C1073" t="s">
        <v>26</v>
      </c>
      <c r="D1073" t="s">
        <v>50</v>
      </c>
      <c r="E1073" t="s">
        <v>8379</v>
      </c>
      <c r="F1073" t="s">
        <v>8380</v>
      </c>
      <c r="G1073">
        <v>44007525</v>
      </c>
      <c r="H1073" t="s">
        <v>8381</v>
      </c>
      <c r="I1073" s="4" t="s">
        <v>35</v>
      </c>
      <c r="J1073" s="4" t="s">
        <v>8382</v>
      </c>
      <c r="K1073" t="s">
        <v>8383</v>
      </c>
      <c r="L1073" t="s">
        <v>27</v>
      </c>
      <c r="M1073" t="s">
        <v>8384</v>
      </c>
      <c r="N1073" t="s">
        <v>28</v>
      </c>
      <c r="O1073" t="s">
        <v>51</v>
      </c>
      <c r="P1073" t="s">
        <v>52</v>
      </c>
      <c r="Q1073" t="s">
        <v>31</v>
      </c>
      <c r="R1073">
        <v>11</v>
      </c>
      <c r="S1073" t="s">
        <v>8385</v>
      </c>
      <c r="T1073" t="s">
        <v>8386</v>
      </c>
      <c r="U1073" t="s">
        <v>8387</v>
      </c>
      <c r="V1073" t="s">
        <v>32</v>
      </c>
      <c r="W1073" t="s">
        <v>33</v>
      </c>
      <c r="X1073" t="s">
        <v>33</v>
      </c>
      <c r="Y1073" t="s">
        <v>33</v>
      </c>
      <c r="Z1073" s="16" t="s">
        <v>34</v>
      </c>
      <c r="AA1073">
        <v>-75.543317930000001</v>
      </c>
      <c r="AB1073">
        <v>6.2427225699999997</v>
      </c>
      <c r="AC1073" t="s">
        <v>135</v>
      </c>
      <c r="AD1073" t="s">
        <v>136</v>
      </c>
    </row>
    <row r="1074" spans="1:30" x14ac:dyDescent="0.25">
      <c r="A1074" t="s">
        <v>10106</v>
      </c>
      <c r="B1074" t="s">
        <v>25</v>
      </c>
      <c r="C1074" t="s">
        <v>26</v>
      </c>
      <c r="D1074" t="s">
        <v>25</v>
      </c>
      <c r="E1074" t="s">
        <v>8388</v>
      </c>
      <c r="F1074" t="s">
        <v>8389</v>
      </c>
      <c r="G1074">
        <v>800093117</v>
      </c>
      <c r="H1074" t="s">
        <v>6009</v>
      </c>
      <c r="I1074" s="4" t="s">
        <v>94</v>
      </c>
      <c r="J1074" s="4" t="s">
        <v>8014</v>
      </c>
      <c r="K1074" t="s">
        <v>8390</v>
      </c>
      <c r="L1074" t="s">
        <v>27</v>
      </c>
      <c r="M1074" t="s">
        <v>8391</v>
      </c>
      <c r="N1074" t="s">
        <v>28</v>
      </c>
      <c r="O1074" t="s">
        <v>29</v>
      </c>
      <c r="P1074" t="s">
        <v>54</v>
      </c>
      <c r="Q1074" t="s">
        <v>31</v>
      </c>
      <c r="R1074">
        <v>7</v>
      </c>
      <c r="S1074" t="s">
        <v>8392</v>
      </c>
      <c r="T1074" t="s">
        <v>8393</v>
      </c>
      <c r="U1074" t="s">
        <v>8394</v>
      </c>
      <c r="V1074" t="s">
        <v>32</v>
      </c>
      <c r="W1074" t="s">
        <v>33</v>
      </c>
      <c r="X1074" t="s">
        <v>33</v>
      </c>
      <c r="Y1074" t="s">
        <v>33</v>
      </c>
      <c r="Z1074" s="16" t="s">
        <v>34</v>
      </c>
      <c r="AA1074">
        <v>-75.574616899999995</v>
      </c>
      <c r="AB1074">
        <v>6.2194061100000004</v>
      </c>
      <c r="AC1074" t="s">
        <v>135</v>
      </c>
      <c r="AD1074" t="s">
        <v>136</v>
      </c>
    </row>
    <row r="1075" spans="1:30" x14ac:dyDescent="0.25">
      <c r="A1075" t="s">
        <v>10107</v>
      </c>
      <c r="B1075" t="s">
        <v>25</v>
      </c>
      <c r="C1075" t="s">
        <v>26</v>
      </c>
      <c r="D1075" t="s">
        <v>25</v>
      </c>
      <c r="E1075" t="s">
        <v>8395</v>
      </c>
      <c r="F1075" t="s">
        <v>8396</v>
      </c>
      <c r="G1075">
        <v>800093117</v>
      </c>
      <c r="H1075" t="s">
        <v>6009</v>
      </c>
      <c r="I1075" s="4" t="s">
        <v>94</v>
      </c>
      <c r="J1075" s="4" t="s">
        <v>8014</v>
      </c>
      <c r="K1075" t="s">
        <v>8397</v>
      </c>
      <c r="L1075" t="s">
        <v>27</v>
      </c>
      <c r="M1075" t="s">
        <v>8398</v>
      </c>
      <c r="N1075" t="s">
        <v>28</v>
      </c>
      <c r="O1075" t="s">
        <v>29</v>
      </c>
      <c r="P1075" t="s">
        <v>54</v>
      </c>
      <c r="Q1075" t="s">
        <v>31</v>
      </c>
      <c r="R1075">
        <v>7</v>
      </c>
      <c r="S1075" t="s">
        <v>8399</v>
      </c>
      <c r="T1075" t="s">
        <v>8400</v>
      </c>
      <c r="U1075" t="s">
        <v>8401</v>
      </c>
      <c r="V1075" t="s">
        <v>32</v>
      </c>
      <c r="W1075" t="s">
        <v>33</v>
      </c>
      <c r="X1075" t="s">
        <v>33</v>
      </c>
      <c r="Y1075" t="s">
        <v>33</v>
      </c>
      <c r="Z1075" s="16" t="s">
        <v>34</v>
      </c>
      <c r="AA1075">
        <v>-75.574616899999995</v>
      </c>
      <c r="AB1075">
        <v>6.2194061100000004</v>
      </c>
      <c r="AC1075" t="s">
        <v>135</v>
      </c>
      <c r="AD1075" t="s">
        <v>136</v>
      </c>
    </row>
    <row r="1076" spans="1:30" x14ac:dyDescent="0.25">
      <c r="A1076" t="s">
        <v>10108</v>
      </c>
      <c r="B1076" t="s">
        <v>25</v>
      </c>
      <c r="C1076" t="s">
        <v>26</v>
      </c>
      <c r="D1076" t="s">
        <v>25</v>
      </c>
      <c r="E1076" t="s">
        <v>8402</v>
      </c>
      <c r="F1076" t="s">
        <v>8403</v>
      </c>
      <c r="G1076">
        <v>800093117</v>
      </c>
      <c r="H1076" t="s">
        <v>6009</v>
      </c>
      <c r="I1076" s="4" t="s">
        <v>94</v>
      </c>
      <c r="J1076" s="4" t="s">
        <v>8014</v>
      </c>
      <c r="K1076" t="s">
        <v>8404</v>
      </c>
      <c r="L1076" t="s">
        <v>27</v>
      </c>
      <c r="M1076" t="s">
        <v>8405</v>
      </c>
      <c r="N1076" t="s">
        <v>28</v>
      </c>
      <c r="O1076" t="s">
        <v>29</v>
      </c>
      <c r="P1076" t="s">
        <v>54</v>
      </c>
      <c r="Q1076" t="s">
        <v>31</v>
      </c>
      <c r="R1076">
        <v>7</v>
      </c>
      <c r="S1076" t="s">
        <v>8406</v>
      </c>
      <c r="T1076" t="s">
        <v>8400</v>
      </c>
      <c r="U1076" t="s">
        <v>8401</v>
      </c>
      <c r="V1076" t="s">
        <v>32</v>
      </c>
      <c r="W1076" t="s">
        <v>33</v>
      </c>
      <c r="X1076" t="s">
        <v>33</v>
      </c>
      <c r="Y1076" t="s">
        <v>33</v>
      </c>
      <c r="Z1076" s="16" t="s">
        <v>34</v>
      </c>
      <c r="AA1076">
        <v>-75.574616899999995</v>
      </c>
      <c r="AB1076">
        <v>6.2194061100000004</v>
      </c>
      <c r="AC1076" t="s">
        <v>135</v>
      </c>
      <c r="AD1076" t="s">
        <v>136</v>
      </c>
    </row>
    <row r="1077" spans="1:30" x14ac:dyDescent="0.25">
      <c r="A1077" t="s">
        <v>10109</v>
      </c>
      <c r="B1077" t="s">
        <v>25</v>
      </c>
      <c r="C1077" t="s">
        <v>26</v>
      </c>
      <c r="D1077" t="s">
        <v>25</v>
      </c>
      <c r="E1077" t="s">
        <v>8407</v>
      </c>
      <c r="F1077" t="s">
        <v>8408</v>
      </c>
      <c r="G1077">
        <v>800093117</v>
      </c>
      <c r="H1077" t="s">
        <v>6009</v>
      </c>
      <c r="I1077" s="4" t="s">
        <v>94</v>
      </c>
      <c r="J1077" s="4" t="s">
        <v>8014</v>
      </c>
      <c r="K1077" t="s">
        <v>8409</v>
      </c>
      <c r="L1077" t="s">
        <v>27</v>
      </c>
      <c r="M1077" t="s">
        <v>8410</v>
      </c>
      <c r="N1077" t="s">
        <v>28</v>
      </c>
      <c r="O1077" t="s">
        <v>29</v>
      </c>
      <c r="P1077" t="s">
        <v>54</v>
      </c>
      <c r="Q1077" t="s">
        <v>31</v>
      </c>
      <c r="R1077">
        <v>7</v>
      </c>
      <c r="S1077" t="s">
        <v>8411</v>
      </c>
      <c r="T1077" t="s">
        <v>8400</v>
      </c>
      <c r="U1077" t="s">
        <v>8401</v>
      </c>
      <c r="V1077" t="s">
        <v>32</v>
      </c>
      <c r="W1077" t="s">
        <v>33</v>
      </c>
      <c r="X1077" t="s">
        <v>33</v>
      </c>
      <c r="Y1077" t="s">
        <v>33</v>
      </c>
      <c r="Z1077" s="16" t="s">
        <v>34</v>
      </c>
      <c r="AA1077">
        <v>-75.574616899999995</v>
      </c>
      <c r="AB1077">
        <v>6.2194061100000004</v>
      </c>
      <c r="AC1077" t="s">
        <v>135</v>
      </c>
      <c r="AD1077" t="s">
        <v>136</v>
      </c>
    </row>
    <row r="1078" spans="1:30" x14ac:dyDescent="0.25">
      <c r="A1078" t="s">
        <v>10110</v>
      </c>
      <c r="B1078" t="s">
        <v>25</v>
      </c>
      <c r="C1078" t="s">
        <v>26</v>
      </c>
      <c r="D1078" t="s">
        <v>25</v>
      </c>
      <c r="E1078" t="s">
        <v>8412</v>
      </c>
      <c r="F1078" t="s">
        <v>8413</v>
      </c>
      <c r="G1078">
        <v>800093117</v>
      </c>
      <c r="H1078" t="s">
        <v>6009</v>
      </c>
      <c r="I1078" s="4" t="s">
        <v>94</v>
      </c>
      <c r="J1078" s="4" t="s">
        <v>8014</v>
      </c>
      <c r="K1078" t="s">
        <v>8414</v>
      </c>
      <c r="L1078" t="s">
        <v>27</v>
      </c>
      <c r="M1078" t="s">
        <v>8415</v>
      </c>
      <c r="N1078" t="s">
        <v>28</v>
      </c>
      <c r="O1078" t="s">
        <v>29</v>
      </c>
      <c r="P1078" t="s">
        <v>54</v>
      </c>
      <c r="Q1078" t="s">
        <v>31</v>
      </c>
      <c r="R1078">
        <v>7</v>
      </c>
      <c r="S1078" t="s">
        <v>8416</v>
      </c>
      <c r="T1078" t="s">
        <v>8400</v>
      </c>
      <c r="U1078" t="s">
        <v>8401</v>
      </c>
      <c r="V1078" t="s">
        <v>32</v>
      </c>
      <c r="W1078" t="s">
        <v>33</v>
      </c>
      <c r="X1078" t="s">
        <v>33</v>
      </c>
      <c r="Y1078" t="s">
        <v>33</v>
      </c>
      <c r="Z1078" s="16" t="s">
        <v>34</v>
      </c>
      <c r="AA1078">
        <v>-75.574616899999995</v>
      </c>
      <c r="AB1078">
        <v>6.2194061100000004</v>
      </c>
      <c r="AC1078" t="s">
        <v>135</v>
      </c>
      <c r="AD1078" t="s">
        <v>136</v>
      </c>
    </row>
    <row r="1079" spans="1:30" x14ac:dyDescent="0.25">
      <c r="A1079" t="s">
        <v>10111</v>
      </c>
      <c r="B1079" t="s">
        <v>25</v>
      </c>
      <c r="C1079" t="s">
        <v>26</v>
      </c>
      <c r="D1079" t="s">
        <v>25</v>
      </c>
      <c r="E1079" t="s">
        <v>8417</v>
      </c>
      <c r="F1079" t="s">
        <v>8418</v>
      </c>
      <c r="G1079">
        <v>800093117</v>
      </c>
      <c r="H1079" t="s">
        <v>6009</v>
      </c>
      <c r="I1079" s="4" t="s">
        <v>94</v>
      </c>
      <c r="J1079" s="4" t="s">
        <v>8014</v>
      </c>
      <c r="K1079" t="s">
        <v>8419</v>
      </c>
      <c r="L1079" t="s">
        <v>27</v>
      </c>
      <c r="M1079" t="s">
        <v>8420</v>
      </c>
      <c r="N1079" t="s">
        <v>28</v>
      </c>
      <c r="O1079" t="s">
        <v>29</v>
      </c>
      <c r="P1079" t="s">
        <v>54</v>
      </c>
      <c r="Q1079" t="s">
        <v>31</v>
      </c>
      <c r="R1079">
        <v>7</v>
      </c>
      <c r="S1079" t="s">
        <v>8421</v>
      </c>
      <c r="T1079" t="s">
        <v>8422</v>
      </c>
      <c r="U1079" t="s">
        <v>8423</v>
      </c>
      <c r="V1079" t="s">
        <v>32</v>
      </c>
      <c r="W1079" t="s">
        <v>33</v>
      </c>
      <c r="X1079" t="s">
        <v>33</v>
      </c>
      <c r="Y1079" t="s">
        <v>33</v>
      </c>
      <c r="Z1079" s="16" t="s">
        <v>34</v>
      </c>
      <c r="AA1079">
        <v>-75.574616899999995</v>
      </c>
      <c r="AB1079">
        <v>6.2194061100000004</v>
      </c>
      <c r="AC1079" t="s">
        <v>135</v>
      </c>
      <c r="AD1079" t="s">
        <v>136</v>
      </c>
    </row>
    <row r="1080" spans="1:30" x14ac:dyDescent="0.25">
      <c r="A1080" t="s">
        <v>10112</v>
      </c>
      <c r="B1080" t="s">
        <v>25</v>
      </c>
      <c r="C1080" t="s">
        <v>26</v>
      </c>
      <c r="D1080" t="s">
        <v>25</v>
      </c>
      <c r="E1080" t="s">
        <v>8424</v>
      </c>
      <c r="F1080" t="s">
        <v>8425</v>
      </c>
      <c r="G1080">
        <v>800093117</v>
      </c>
      <c r="H1080" t="s">
        <v>6009</v>
      </c>
      <c r="I1080" s="4" t="s">
        <v>94</v>
      </c>
      <c r="J1080" s="4" t="s">
        <v>8014</v>
      </c>
      <c r="K1080" t="s">
        <v>8426</v>
      </c>
      <c r="L1080" t="s">
        <v>27</v>
      </c>
      <c r="M1080" t="s">
        <v>8427</v>
      </c>
      <c r="N1080" t="s">
        <v>28</v>
      </c>
      <c r="O1080" t="s">
        <v>29</v>
      </c>
      <c r="P1080" t="s">
        <v>54</v>
      </c>
      <c r="Q1080" t="s">
        <v>31</v>
      </c>
      <c r="R1080">
        <v>7</v>
      </c>
      <c r="S1080" t="s">
        <v>8428</v>
      </c>
      <c r="T1080" t="s">
        <v>8422</v>
      </c>
      <c r="U1080" t="s">
        <v>8423</v>
      </c>
      <c r="V1080" t="s">
        <v>32</v>
      </c>
      <c r="W1080" t="s">
        <v>33</v>
      </c>
      <c r="X1080" t="s">
        <v>33</v>
      </c>
      <c r="Y1080" t="s">
        <v>33</v>
      </c>
      <c r="Z1080" s="16" t="s">
        <v>34</v>
      </c>
      <c r="AA1080">
        <v>-75.574616899999995</v>
      </c>
      <c r="AB1080">
        <v>6.2194061100000004</v>
      </c>
      <c r="AC1080" t="s">
        <v>135</v>
      </c>
      <c r="AD1080" t="s">
        <v>136</v>
      </c>
    </row>
    <row r="1081" spans="1:30" x14ac:dyDescent="0.25">
      <c r="A1081" t="s">
        <v>10113</v>
      </c>
      <c r="B1081" t="s">
        <v>50</v>
      </c>
      <c r="C1081" t="s">
        <v>26</v>
      </c>
      <c r="D1081" t="s">
        <v>50</v>
      </c>
      <c r="E1081" t="s">
        <v>8429</v>
      </c>
      <c r="F1081" t="s">
        <v>8430</v>
      </c>
      <c r="G1081">
        <v>43149344</v>
      </c>
      <c r="H1081" t="s">
        <v>8431</v>
      </c>
      <c r="I1081" s="4" t="s">
        <v>35</v>
      </c>
      <c r="J1081" s="4" t="s">
        <v>8432</v>
      </c>
      <c r="K1081" t="s">
        <v>8433</v>
      </c>
      <c r="L1081" t="s">
        <v>27</v>
      </c>
      <c r="M1081" t="s">
        <v>8434</v>
      </c>
      <c r="N1081" t="s">
        <v>28</v>
      </c>
      <c r="O1081" t="s">
        <v>51</v>
      </c>
      <c r="P1081" t="s">
        <v>52</v>
      </c>
      <c r="Q1081" t="s">
        <v>38</v>
      </c>
      <c r="R1081">
        <v>11</v>
      </c>
      <c r="S1081" t="s">
        <v>8435</v>
      </c>
      <c r="T1081" t="s">
        <v>8436</v>
      </c>
      <c r="U1081" t="s">
        <v>8437</v>
      </c>
      <c r="V1081" t="s">
        <v>32</v>
      </c>
      <c r="W1081" t="s">
        <v>33</v>
      </c>
      <c r="X1081" t="s">
        <v>33</v>
      </c>
      <c r="Y1081" t="s">
        <v>33</v>
      </c>
      <c r="Z1081" s="16" t="s">
        <v>34</v>
      </c>
      <c r="AA1081">
        <v>-75.630878999999993</v>
      </c>
      <c r="AB1081">
        <v>6.2333930000000004</v>
      </c>
      <c r="AC1081" t="s">
        <v>135</v>
      </c>
      <c r="AD1081" t="s">
        <v>136</v>
      </c>
    </row>
    <row r="1082" spans="1:30" x14ac:dyDescent="0.25">
      <c r="A1082" t="s">
        <v>10114</v>
      </c>
      <c r="B1082" t="s">
        <v>25</v>
      </c>
      <c r="C1082" t="s">
        <v>26</v>
      </c>
      <c r="D1082" t="s">
        <v>39</v>
      </c>
      <c r="E1082" t="s">
        <v>8438</v>
      </c>
      <c r="F1082" t="s">
        <v>8439</v>
      </c>
      <c r="G1082">
        <v>11937438</v>
      </c>
      <c r="H1082" t="s">
        <v>5938</v>
      </c>
      <c r="I1082" s="4" t="s">
        <v>5939</v>
      </c>
      <c r="J1082" s="4" t="s">
        <v>5940</v>
      </c>
      <c r="K1082" t="s">
        <v>8440</v>
      </c>
      <c r="L1082" t="s">
        <v>27</v>
      </c>
      <c r="M1082" t="s">
        <v>8441</v>
      </c>
      <c r="N1082" t="s">
        <v>28</v>
      </c>
      <c r="O1082" t="s">
        <v>40</v>
      </c>
      <c r="P1082" t="s">
        <v>41</v>
      </c>
      <c r="Q1082" t="s">
        <v>31</v>
      </c>
      <c r="R1082">
        <v>5</v>
      </c>
      <c r="S1082" t="s">
        <v>8442</v>
      </c>
      <c r="T1082" t="s">
        <v>8443</v>
      </c>
      <c r="U1082" t="s">
        <v>8444</v>
      </c>
      <c r="V1082" t="s">
        <v>32</v>
      </c>
      <c r="W1082" t="s">
        <v>33</v>
      </c>
      <c r="X1082" t="s">
        <v>33</v>
      </c>
      <c r="Y1082" t="s">
        <v>33</v>
      </c>
      <c r="Z1082" s="16" t="s">
        <v>34</v>
      </c>
      <c r="AA1082">
        <v>-75.544512999999995</v>
      </c>
      <c r="AB1082">
        <v>6.2473419999999997</v>
      </c>
      <c r="AC1082" t="s">
        <v>135</v>
      </c>
      <c r="AD1082" t="s">
        <v>136</v>
      </c>
    </row>
    <row r="1083" spans="1:30" x14ac:dyDescent="0.25">
      <c r="A1083" t="s">
        <v>10115</v>
      </c>
      <c r="B1083" t="s">
        <v>25</v>
      </c>
      <c r="C1083" t="s">
        <v>26</v>
      </c>
      <c r="D1083" t="s">
        <v>39</v>
      </c>
      <c r="E1083" t="s">
        <v>8445</v>
      </c>
      <c r="F1083" t="s">
        <v>8446</v>
      </c>
      <c r="G1083">
        <v>3380245</v>
      </c>
      <c r="H1083" t="s">
        <v>8447</v>
      </c>
      <c r="I1083" s="4" t="s">
        <v>35</v>
      </c>
      <c r="J1083" s="4" t="s">
        <v>995</v>
      </c>
      <c r="K1083" t="s">
        <v>8448</v>
      </c>
      <c r="L1083" t="s">
        <v>27</v>
      </c>
      <c r="M1083" t="s">
        <v>8449</v>
      </c>
      <c r="N1083" t="s">
        <v>28</v>
      </c>
      <c r="O1083" t="s">
        <v>40</v>
      </c>
      <c r="P1083" t="s">
        <v>41</v>
      </c>
      <c r="Q1083" t="s">
        <v>31</v>
      </c>
      <c r="R1083">
        <v>5</v>
      </c>
      <c r="S1083" t="s">
        <v>8450</v>
      </c>
      <c r="T1083" t="s">
        <v>8451</v>
      </c>
      <c r="U1083" t="s">
        <v>8452</v>
      </c>
      <c r="V1083" t="s">
        <v>32</v>
      </c>
      <c r="W1083" t="s">
        <v>33</v>
      </c>
      <c r="X1083" t="s">
        <v>33</v>
      </c>
      <c r="Y1083" t="s">
        <v>33</v>
      </c>
      <c r="Z1083" s="16" t="s">
        <v>34</v>
      </c>
      <c r="AA1083">
        <v>-75.644019319999998</v>
      </c>
      <c r="AB1083">
        <v>6.2803322899999996</v>
      </c>
      <c r="AC1083" t="s">
        <v>135</v>
      </c>
      <c r="AD1083" t="s">
        <v>136</v>
      </c>
    </row>
    <row r="1084" spans="1:30" x14ac:dyDescent="0.25">
      <c r="A1084" t="s">
        <v>10116</v>
      </c>
      <c r="B1084" t="s">
        <v>25</v>
      </c>
      <c r="C1084" t="s">
        <v>26</v>
      </c>
      <c r="D1084" t="s">
        <v>25</v>
      </c>
      <c r="E1084" t="s">
        <v>8453</v>
      </c>
      <c r="F1084" t="s">
        <v>8454</v>
      </c>
      <c r="G1084">
        <v>800093117</v>
      </c>
      <c r="H1084" t="s">
        <v>6009</v>
      </c>
      <c r="I1084" s="4" t="s">
        <v>94</v>
      </c>
      <c r="J1084" s="4" t="s">
        <v>8014</v>
      </c>
      <c r="K1084" t="s">
        <v>8455</v>
      </c>
      <c r="L1084" t="s">
        <v>27</v>
      </c>
      <c r="M1084" t="s">
        <v>8456</v>
      </c>
      <c r="N1084" t="s">
        <v>28</v>
      </c>
      <c r="O1084" t="s">
        <v>29</v>
      </c>
      <c r="P1084" t="s">
        <v>54</v>
      </c>
      <c r="Q1084" t="s">
        <v>31</v>
      </c>
      <c r="R1084">
        <v>7</v>
      </c>
      <c r="S1084" t="s">
        <v>8457</v>
      </c>
      <c r="T1084" t="s">
        <v>8458</v>
      </c>
      <c r="U1084" t="s">
        <v>8459</v>
      </c>
      <c r="V1084" t="s">
        <v>32</v>
      </c>
      <c r="W1084" t="s">
        <v>33</v>
      </c>
      <c r="X1084" t="s">
        <v>33</v>
      </c>
      <c r="Y1084" t="s">
        <v>33</v>
      </c>
      <c r="Z1084" s="16" t="s">
        <v>34</v>
      </c>
      <c r="AA1084">
        <v>-75.574616899999995</v>
      </c>
      <c r="AB1084">
        <v>6.2194061100000004</v>
      </c>
      <c r="AC1084" t="s">
        <v>135</v>
      </c>
      <c r="AD1084" t="s">
        <v>136</v>
      </c>
    </row>
    <row r="1085" spans="1:30" x14ac:dyDescent="0.25">
      <c r="A1085" t="s">
        <v>10117</v>
      </c>
      <c r="B1085" t="s">
        <v>25</v>
      </c>
      <c r="C1085" t="s">
        <v>26</v>
      </c>
      <c r="D1085" t="s">
        <v>25</v>
      </c>
      <c r="E1085" t="s">
        <v>8460</v>
      </c>
      <c r="F1085" t="s">
        <v>8461</v>
      </c>
      <c r="G1085">
        <v>800093117</v>
      </c>
      <c r="H1085" t="s">
        <v>6009</v>
      </c>
      <c r="I1085" s="4" t="s">
        <v>94</v>
      </c>
      <c r="J1085" s="4" t="s">
        <v>8014</v>
      </c>
      <c r="K1085" t="s">
        <v>8462</v>
      </c>
      <c r="L1085" t="s">
        <v>27</v>
      </c>
      <c r="M1085" t="s">
        <v>8463</v>
      </c>
      <c r="N1085" t="s">
        <v>28</v>
      </c>
      <c r="O1085" t="s">
        <v>29</v>
      </c>
      <c r="P1085" t="s">
        <v>54</v>
      </c>
      <c r="Q1085" t="s">
        <v>31</v>
      </c>
      <c r="R1085">
        <v>7</v>
      </c>
      <c r="S1085" t="s">
        <v>8464</v>
      </c>
      <c r="T1085" t="s">
        <v>8458</v>
      </c>
      <c r="U1085" t="s">
        <v>8459</v>
      </c>
      <c r="V1085" t="s">
        <v>32</v>
      </c>
      <c r="W1085" t="s">
        <v>33</v>
      </c>
      <c r="X1085" t="s">
        <v>33</v>
      </c>
      <c r="Y1085" t="s">
        <v>33</v>
      </c>
      <c r="Z1085" s="16" t="s">
        <v>34</v>
      </c>
      <c r="AA1085">
        <v>-75.574616899999995</v>
      </c>
      <c r="AB1085">
        <v>6.2194061100000004</v>
      </c>
      <c r="AC1085" t="s">
        <v>135</v>
      </c>
      <c r="AD1085" t="s">
        <v>136</v>
      </c>
    </row>
    <row r="1086" spans="1:30" x14ac:dyDescent="0.25">
      <c r="A1086" t="s">
        <v>10118</v>
      </c>
      <c r="B1086" t="s">
        <v>25</v>
      </c>
      <c r="C1086" t="s">
        <v>26</v>
      </c>
      <c r="D1086" t="s">
        <v>25</v>
      </c>
      <c r="E1086" t="s">
        <v>8465</v>
      </c>
      <c r="F1086" t="s">
        <v>8466</v>
      </c>
      <c r="G1086">
        <v>800093117</v>
      </c>
      <c r="H1086" t="s">
        <v>6009</v>
      </c>
      <c r="I1086" s="4" t="s">
        <v>94</v>
      </c>
      <c r="J1086" s="4" t="s">
        <v>8014</v>
      </c>
      <c r="K1086" t="s">
        <v>8467</v>
      </c>
      <c r="L1086" t="s">
        <v>27</v>
      </c>
      <c r="M1086" t="s">
        <v>8468</v>
      </c>
      <c r="N1086" t="s">
        <v>28</v>
      </c>
      <c r="O1086" t="s">
        <v>29</v>
      </c>
      <c r="P1086" t="s">
        <v>54</v>
      </c>
      <c r="Q1086" t="s">
        <v>31</v>
      </c>
      <c r="R1086">
        <v>7</v>
      </c>
      <c r="S1086" t="s">
        <v>8469</v>
      </c>
      <c r="T1086" t="s">
        <v>8470</v>
      </c>
      <c r="U1086" t="s">
        <v>8471</v>
      </c>
      <c r="V1086" t="s">
        <v>32</v>
      </c>
      <c r="W1086" t="s">
        <v>33</v>
      </c>
      <c r="X1086" t="s">
        <v>33</v>
      </c>
      <c r="Y1086" t="s">
        <v>33</v>
      </c>
      <c r="Z1086" s="16" t="s">
        <v>34</v>
      </c>
      <c r="AA1086">
        <v>-75.574616899999995</v>
      </c>
      <c r="AB1086">
        <v>6.2194061100000004</v>
      </c>
      <c r="AC1086" t="s">
        <v>135</v>
      </c>
      <c r="AD1086" t="s">
        <v>136</v>
      </c>
    </row>
    <row r="1087" spans="1:30" x14ac:dyDescent="0.25">
      <c r="A1087" t="s">
        <v>10119</v>
      </c>
      <c r="B1087" t="s">
        <v>25</v>
      </c>
      <c r="C1087" t="s">
        <v>26</v>
      </c>
      <c r="D1087" t="s">
        <v>25</v>
      </c>
      <c r="E1087" t="s">
        <v>8472</v>
      </c>
      <c r="F1087" t="s">
        <v>8473</v>
      </c>
      <c r="G1087">
        <v>800093117</v>
      </c>
      <c r="H1087" t="s">
        <v>6009</v>
      </c>
      <c r="I1087" s="4" t="s">
        <v>94</v>
      </c>
      <c r="J1087" s="4" t="s">
        <v>8014</v>
      </c>
      <c r="K1087" t="s">
        <v>8474</v>
      </c>
      <c r="L1087" t="s">
        <v>27</v>
      </c>
      <c r="M1087" t="s">
        <v>8475</v>
      </c>
      <c r="N1087" t="s">
        <v>28</v>
      </c>
      <c r="O1087" t="s">
        <v>29</v>
      </c>
      <c r="P1087" t="s">
        <v>54</v>
      </c>
      <c r="Q1087" t="s">
        <v>31</v>
      </c>
      <c r="R1087">
        <v>7</v>
      </c>
      <c r="S1087" t="s">
        <v>8476</v>
      </c>
      <c r="T1087" t="s">
        <v>8470</v>
      </c>
      <c r="U1087" t="s">
        <v>8471</v>
      </c>
      <c r="V1087" t="s">
        <v>32</v>
      </c>
      <c r="W1087" t="s">
        <v>33</v>
      </c>
      <c r="X1087" t="s">
        <v>33</v>
      </c>
      <c r="Y1087" t="s">
        <v>33</v>
      </c>
      <c r="Z1087" s="16" t="s">
        <v>34</v>
      </c>
      <c r="AA1087">
        <v>-75.610884501000001</v>
      </c>
      <c r="AB1087">
        <v>6.2574398200000596</v>
      </c>
      <c r="AC1087" t="s">
        <v>135</v>
      </c>
      <c r="AD1087" t="s">
        <v>136</v>
      </c>
    </row>
    <row r="1088" spans="1:30" x14ac:dyDescent="0.25">
      <c r="A1088" t="s">
        <v>10120</v>
      </c>
      <c r="B1088" t="s">
        <v>25</v>
      </c>
      <c r="C1088" t="s">
        <v>26</v>
      </c>
      <c r="D1088" t="s">
        <v>25</v>
      </c>
      <c r="E1088" t="s">
        <v>8477</v>
      </c>
      <c r="F1088" t="s">
        <v>8478</v>
      </c>
      <c r="G1088">
        <v>800093117</v>
      </c>
      <c r="H1088" t="s">
        <v>6009</v>
      </c>
      <c r="I1088" s="4" t="s">
        <v>94</v>
      </c>
      <c r="J1088" s="4" t="s">
        <v>8014</v>
      </c>
      <c r="K1088" t="s">
        <v>8479</v>
      </c>
      <c r="L1088" t="s">
        <v>27</v>
      </c>
      <c r="M1088" t="s">
        <v>8480</v>
      </c>
      <c r="N1088" t="s">
        <v>28</v>
      </c>
      <c r="O1088" t="s">
        <v>29</v>
      </c>
      <c r="P1088" t="s">
        <v>54</v>
      </c>
      <c r="Q1088" t="s">
        <v>31</v>
      </c>
      <c r="R1088">
        <v>7</v>
      </c>
      <c r="S1088" t="s">
        <v>8481</v>
      </c>
      <c r="T1088" t="s">
        <v>8470</v>
      </c>
      <c r="U1088" t="s">
        <v>8471</v>
      </c>
      <c r="V1088" t="s">
        <v>32</v>
      </c>
      <c r="W1088" t="s">
        <v>33</v>
      </c>
      <c r="X1088" t="s">
        <v>33</v>
      </c>
      <c r="Y1088" t="s">
        <v>33</v>
      </c>
      <c r="Z1088" s="16" t="s">
        <v>34</v>
      </c>
      <c r="AA1088">
        <v>-75.574616899999995</v>
      </c>
      <c r="AB1088">
        <v>6.2194061100000004</v>
      </c>
      <c r="AC1088" t="s">
        <v>135</v>
      </c>
      <c r="AD1088" t="s">
        <v>136</v>
      </c>
    </row>
    <row r="1089" spans="1:30" x14ac:dyDescent="0.25">
      <c r="A1089" t="s">
        <v>10121</v>
      </c>
      <c r="B1089" t="s">
        <v>25</v>
      </c>
      <c r="C1089" t="s">
        <v>26</v>
      </c>
      <c r="D1089" t="s">
        <v>25</v>
      </c>
      <c r="E1089" t="s">
        <v>8482</v>
      </c>
      <c r="F1089" t="s">
        <v>8483</v>
      </c>
      <c r="G1089">
        <v>800093117</v>
      </c>
      <c r="H1089" t="s">
        <v>6009</v>
      </c>
      <c r="I1089" s="4" t="s">
        <v>94</v>
      </c>
      <c r="J1089" s="4" t="s">
        <v>8014</v>
      </c>
      <c r="K1089" t="s">
        <v>8484</v>
      </c>
      <c r="L1089" t="s">
        <v>27</v>
      </c>
      <c r="M1089" t="s">
        <v>8485</v>
      </c>
      <c r="N1089" t="s">
        <v>28</v>
      </c>
      <c r="O1089" t="s">
        <v>29</v>
      </c>
      <c r="P1089" t="s">
        <v>54</v>
      </c>
      <c r="Q1089" t="s">
        <v>31</v>
      </c>
      <c r="R1089">
        <v>7</v>
      </c>
      <c r="S1089" t="s">
        <v>8486</v>
      </c>
      <c r="T1089" t="s">
        <v>8487</v>
      </c>
      <c r="U1089" t="s">
        <v>8488</v>
      </c>
      <c r="V1089" t="s">
        <v>32</v>
      </c>
      <c r="W1089" t="s">
        <v>33</v>
      </c>
      <c r="X1089" t="s">
        <v>33</v>
      </c>
      <c r="Y1089" t="s">
        <v>33</v>
      </c>
      <c r="Z1089" s="16" t="s">
        <v>34</v>
      </c>
      <c r="AA1089">
        <v>-75.574616899999995</v>
      </c>
      <c r="AB1089">
        <v>6.2194061100000004</v>
      </c>
      <c r="AC1089" t="s">
        <v>135</v>
      </c>
      <c r="AD1089" t="s">
        <v>136</v>
      </c>
    </row>
    <row r="1090" spans="1:30" x14ac:dyDescent="0.25">
      <c r="A1090" t="s">
        <v>10122</v>
      </c>
      <c r="B1090" t="s">
        <v>25</v>
      </c>
      <c r="C1090" t="s">
        <v>26</v>
      </c>
      <c r="D1090" t="s">
        <v>25</v>
      </c>
      <c r="E1090" t="s">
        <v>8489</v>
      </c>
      <c r="F1090" t="s">
        <v>8490</v>
      </c>
      <c r="G1090">
        <v>800093117</v>
      </c>
      <c r="H1090" t="s">
        <v>6009</v>
      </c>
      <c r="I1090" s="4" t="s">
        <v>94</v>
      </c>
      <c r="J1090" s="4" t="s">
        <v>8014</v>
      </c>
      <c r="K1090" t="s">
        <v>8491</v>
      </c>
      <c r="L1090" t="s">
        <v>27</v>
      </c>
      <c r="M1090" t="s">
        <v>8492</v>
      </c>
      <c r="N1090" t="s">
        <v>28</v>
      </c>
      <c r="O1090" t="s">
        <v>29</v>
      </c>
      <c r="P1090" t="s">
        <v>54</v>
      </c>
      <c r="Q1090" t="s">
        <v>31</v>
      </c>
      <c r="R1090">
        <v>7</v>
      </c>
      <c r="S1090" t="s">
        <v>8493</v>
      </c>
      <c r="T1090" t="s">
        <v>8487</v>
      </c>
      <c r="U1090" t="s">
        <v>8488</v>
      </c>
      <c r="V1090" t="s">
        <v>32</v>
      </c>
      <c r="W1090" t="s">
        <v>33</v>
      </c>
      <c r="X1090" t="s">
        <v>33</v>
      </c>
      <c r="Y1090" t="s">
        <v>33</v>
      </c>
      <c r="Z1090" s="16" t="s">
        <v>34</v>
      </c>
      <c r="AA1090">
        <v>-75.574616899999995</v>
      </c>
      <c r="AB1090">
        <v>6.2194061100000004</v>
      </c>
      <c r="AC1090" t="s">
        <v>135</v>
      </c>
      <c r="AD1090" t="s">
        <v>136</v>
      </c>
    </row>
    <row r="1091" spans="1:30" x14ac:dyDescent="0.25">
      <c r="A1091" t="s">
        <v>10123</v>
      </c>
      <c r="B1091" t="s">
        <v>25</v>
      </c>
      <c r="C1091" t="s">
        <v>26</v>
      </c>
      <c r="D1091" t="s">
        <v>25</v>
      </c>
      <c r="E1091" t="s">
        <v>8494</v>
      </c>
      <c r="F1091" t="s">
        <v>8495</v>
      </c>
      <c r="G1091">
        <v>800093117</v>
      </c>
      <c r="H1091" t="s">
        <v>6009</v>
      </c>
      <c r="I1091" s="4" t="s">
        <v>94</v>
      </c>
      <c r="J1091" s="4" t="s">
        <v>8014</v>
      </c>
      <c r="K1091" t="s">
        <v>8496</v>
      </c>
      <c r="L1091" t="s">
        <v>27</v>
      </c>
      <c r="M1091" t="s">
        <v>8497</v>
      </c>
      <c r="N1091" t="s">
        <v>28</v>
      </c>
      <c r="O1091" t="s">
        <v>29</v>
      </c>
      <c r="P1091" t="s">
        <v>54</v>
      </c>
      <c r="Q1091" t="s">
        <v>31</v>
      </c>
      <c r="R1091">
        <v>7</v>
      </c>
      <c r="S1091" t="s">
        <v>8498</v>
      </c>
      <c r="T1091" t="s">
        <v>8487</v>
      </c>
      <c r="U1091" t="s">
        <v>8488</v>
      </c>
      <c r="V1091" t="s">
        <v>32</v>
      </c>
      <c r="W1091" t="s">
        <v>33</v>
      </c>
      <c r="X1091" t="s">
        <v>33</v>
      </c>
      <c r="Y1091" t="s">
        <v>33</v>
      </c>
      <c r="Z1091" s="16" t="s">
        <v>34</v>
      </c>
      <c r="AA1091">
        <v>-75.574616899999995</v>
      </c>
      <c r="AB1091">
        <v>6.2194061100000004</v>
      </c>
      <c r="AC1091" t="s">
        <v>135</v>
      </c>
      <c r="AD1091" t="s">
        <v>136</v>
      </c>
    </row>
    <row r="1092" spans="1:30" x14ac:dyDescent="0.25">
      <c r="A1092" t="s">
        <v>10124</v>
      </c>
      <c r="B1092" t="s">
        <v>25</v>
      </c>
      <c r="C1092" t="s">
        <v>26</v>
      </c>
      <c r="D1092" t="s">
        <v>25</v>
      </c>
      <c r="E1092" t="s">
        <v>8499</v>
      </c>
      <c r="F1092" t="s">
        <v>8500</v>
      </c>
      <c r="G1092">
        <v>800093117</v>
      </c>
      <c r="H1092" t="s">
        <v>6009</v>
      </c>
      <c r="I1092" s="4" t="s">
        <v>94</v>
      </c>
      <c r="J1092" s="4" t="s">
        <v>8014</v>
      </c>
      <c r="K1092" t="s">
        <v>8501</v>
      </c>
      <c r="L1092" t="s">
        <v>27</v>
      </c>
      <c r="M1092" t="s">
        <v>8502</v>
      </c>
      <c r="N1092" t="s">
        <v>28</v>
      </c>
      <c r="O1092" t="s">
        <v>29</v>
      </c>
      <c r="P1092" t="s">
        <v>54</v>
      </c>
      <c r="Q1092" t="s">
        <v>31</v>
      </c>
      <c r="R1092">
        <v>7</v>
      </c>
      <c r="S1092" t="s">
        <v>8503</v>
      </c>
      <c r="T1092" t="s">
        <v>8504</v>
      </c>
      <c r="U1092" t="s">
        <v>8505</v>
      </c>
      <c r="V1092" t="s">
        <v>32</v>
      </c>
      <c r="W1092" t="s">
        <v>33</v>
      </c>
      <c r="X1092" t="s">
        <v>33</v>
      </c>
      <c r="Y1092" t="s">
        <v>33</v>
      </c>
      <c r="Z1092" s="16" t="s">
        <v>34</v>
      </c>
      <c r="AA1092">
        <v>-75.574616899999995</v>
      </c>
      <c r="AB1092">
        <v>6.2194061100000004</v>
      </c>
      <c r="AC1092" t="s">
        <v>135</v>
      </c>
      <c r="AD1092" t="s">
        <v>136</v>
      </c>
    </row>
    <row r="1093" spans="1:30" x14ac:dyDescent="0.25">
      <c r="A1093" t="s">
        <v>10125</v>
      </c>
      <c r="B1093" t="s">
        <v>25</v>
      </c>
      <c r="C1093" t="s">
        <v>26</v>
      </c>
      <c r="D1093" t="s">
        <v>25</v>
      </c>
      <c r="E1093" t="s">
        <v>8506</v>
      </c>
      <c r="F1093" t="s">
        <v>8507</v>
      </c>
      <c r="G1093">
        <v>800093117</v>
      </c>
      <c r="H1093" t="s">
        <v>6009</v>
      </c>
      <c r="I1093" s="4" t="s">
        <v>94</v>
      </c>
      <c r="J1093" s="4" t="s">
        <v>8014</v>
      </c>
      <c r="K1093" t="s">
        <v>8508</v>
      </c>
      <c r="L1093" t="s">
        <v>27</v>
      </c>
      <c r="M1093" t="s">
        <v>8509</v>
      </c>
      <c r="N1093" t="s">
        <v>28</v>
      </c>
      <c r="O1093" t="s">
        <v>29</v>
      </c>
      <c r="P1093" t="s">
        <v>54</v>
      </c>
      <c r="Q1093" t="s">
        <v>31</v>
      </c>
      <c r="R1093">
        <v>7</v>
      </c>
      <c r="S1093" t="s">
        <v>8510</v>
      </c>
      <c r="T1093" t="s">
        <v>8504</v>
      </c>
      <c r="U1093" t="s">
        <v>8505</v>
      </c>
      <c r="V1093" t="s">
        <v>32</v>
      </c>
      <c r="W1093" t="s">
        <v>33</v>
      </c>
      <c r="X1093" t="s">
        <v>33</v>
      </c>
      <c r="Y1093" t="s">
        <v>33</v>
      </c>
      <c r="Z1093" s="16" t="s">
        <v>34</v>
      </c>
      <c r="AA1093">
        <v>-75.574616899999995</v>
      </c>
      <c r="AB1093">
        <v>6.2194061100000004</v>
      </c>
      <c r="AC1093" t="s">
        <v>135</v>
      </c>
      <c r="AD1093" t="s">
        <v>136</v>
      </c>
    </row>
    <row r="1094" spans="1:30" x14ac:dyDescent="0.25">
      <c r="A1094" t="s">
        <v>10126</v>
      </c>
      <c r="B1094" t="s">
        <v>25</v>
      </c>
      <c r="C1094" t="s">
        <v>26</v>
      </c>
      <c r="D1094" t="s">
        <v>25</v>
      </c>
      <c r="E1094" t="s">
        <v>8511</v>
      </c>
      <c r="F1094" t="s">
        <v>8512</v>
      </c>
      <c r="G1094">
        <v>800093117</v>
      </c>
      <c r="H1094" t="s">
        <v>6009</v>
      </c>
      <c r="I1094" s="4" t="s">
        <v>94</v>
      </c>
      <c r="J1094" s="4" t="s">
        <v>8014</v>
      </c>
      <c r="K1094" t="s">
        <v>8513</v>
      </c>
      <c r="L1094" t="s">
        <v>27</v>
      </c>
      <c r="M1094" t="s">
        <v>8514</v>
      </c>
      <c r="N1094" t="s">
        <v>28</v>
      </c>
      <c r="O1094" t="s">
        <v>29</v>
      </c>
      <c r="P1094" t="s">
        <v>54</v>
      </c>
      <c r="Q1094" t="s">
        <v>31</v>
      </c>
      <c r="R1094">
        <v>7</v>
      </c>
      <c r="S1094" t="s">
        <v>8515</v>
      </c>
      <c r="T1094" t="s">
        <v>8504</v>
      </c>
      <c r="U1094" t="s">
        <v>8505</v>
      </c>
      <c r="V1094" t="s">
        <v>32</v>
      </c>
      <c r="W1094" t="s">
        <v>33</v>
      </c>
      <c r="X1094" t="s">
        <v>33</v>
      </c>
      <c r="Y1094" t="s">
        <v>33</v>
      </c>
      <c r="Z1094" s="16" t="s">
        <v>34</v>
      </c>
      <c r="AA1094">
        <v>-75.574616899999995</v>
      </c>
      <c r="AB1094">
        <v>6.2194061100000004</v>
      </c>
      <c r="AC1094" t="s">
        <v>135</v>
      </c>
      <c r="AD1094" t="s">
        <v>136</v>
      </c>
    </row>
    <row r="1095" spans="1:30" x14ac:dyDescent="0.25">
      <c r="A1095" t="s">
        <v>10127</v>
      </c>
      <c r="B1095" t="s">
        <v>25</v>
      </c>
      <c r="C1095" t="s">
        <v>26</v>
      </c>
      <c r="D1095" t="s">
        <v>25</v>
      </c>
      <c r="E1095" t="s">
        <v>8516</v>
      </c>
      <c r="F1095" t="s">
        <v>8517</v>
      </c>
      <c r="G1095">
        <v>800093117</v>
      </c>
      <c r="H1095" t="s">
        <v>6009</v>
      </c>
      <c r="I1095" s="4" t="s">
        <v>94</v>
      </c>
      <c r="J1095" s="4" t="s">
        <v>8014</v>
      </c>
      <c r="K1095" t="s">
        <v>8518</v>
      </c>
      <c r="L1095" t="s">
        <v>27</v>
      </c>
      <c r="M1095" t="s">
        <v>8519</v>
      </c>
      <c r="N1095" t="s">
        <v>28</v>
      </c>
      <c r="O1095" t="s">
        <v>29</v>
      </c>
      <c r="P1095" t="s">
        <v>54</v>
      </c>
      <c r="Q1095" t="s">
        <v>31</v>
      </c>
      <c r="R1095">
        <v>7</v>
      </c>
      <c r="S1095" t="s">
        <v>8520</v>
      </c>
      <c r="T1095" t="s">
        <v>8521</v>
      </c>
      <c r="U1095" t="s">
        <v>2481</v>
      </c>
      <c r="V1095" t="s">
        <v>32</v>
      </c>
      <c r="W1095" t="s">
        <v>33</v>
      </c>
      <c r="X1095" t="s">
        <v>33</v>
      </c>
      <c r="Y1095" t="s">
        <v>33</v>
      </c>
      <c r="Z1095" s="16" t="s">
        <v>34</v>
      </c>
      <c r="AA1095">
        <v>-75.574616899999995</v>
      </c>
      <c r="AB1095">
        <v>6.2194061100000004</v>
      </c>
      <c r="AC1095" t="s">
        <v>135</v>
      </c>
      <c r="AD1095" t="s">
        <v>136</v>
      </c>
    </row>
    <row r="1096" spans="1:30" x14ac:dyDescent="0.25">
      <c r="A1096" t="s">
        <v>10128</v>
      </c>
      <c r="B1096" t="s">
        <v>25</v>
      </c>
      <c r="C1096" t="s">
        <v>26</v>
      </c>
      <c r="D1096" t="s">
        <v>25</v>
      </c>
      <c r="E1096" t="s">
        <v>8522</v>
      </c>
      <c r="F1096" t="s">
        <v>8523</v>
      </c>
      <c r="G1096">
        <v>800093117</v>
      </c>
      <c r="H1096" t="s">
        <v>6009</v>
      </c>
      <c r="I1096" s="4" t="s">
        <v>94</v>
      </c>
      <c r="J1096" s="4" t="s">
        <v>8014</v>
      </c>
      <c r="K1096" t="s">
        <v>8524</v>
      </c>
      <c r="L1096" t="s">
        <v>27</v>
      </c>
      <c r="M1096" t="s">
        <v>8525</v>
      </c>
      <c r="N1096" t="s">
        <v>28</v>
      </c>
      <c r="O1096" t="s">
        <v>29</v>
      </c>
      <c r="P1096" t="s">
        <v>54</v>
      </c>
      <c r="Q1096" t="s">
        <v>31</v>
      </c>
      <c r="R1096">
        <v>7</v>
      </c>
      <c r="S1096" t="s">
        <v>8526</v>
      </c>
      <c r="T1096" t="s">
        <v>8527</v>
      </c>
      <c r="U1096" t="s">
        <v>7204</v>
      </c>
      <c r="V1096" t="s">
        <v>32</v>
      </c>
      <c r="W1096" t="s">
        <v>33</v>
      </c>
      <c r="X1096" t="s">
        <v>33</v>
      </c>
      <c r="Y1096" t="s">
        <v>33</v>
      </c>
      <c r="Z1096" s="16" t="s">
        <v>34</v>
      </c>
      <c r="AA1096">
        <v>-75.574616899999995</v>
      </c>
      <c r="AB1096">
        <v>6.2194061100000004</v>
      </c>
      <c r="AC1096" t="s">
        <v>135</v>
      </c>
      <c r="AD1096" t="s">
        <v>136</v>
      </c>
    </row>
    <row r="1097" spans="1:30" x14ac:dyDescent="0.25">
      <c r="A1097" t="s">
        <v>10129</v>
      </c>
      <c r="B1097" t="s">
        <v>25</v>
      </c>
      <c r="C1097" t="s">
        <v>26</v>
      </c>
      <c r="D1097" t="s">
        <v>25</v>
      </c>
      <c r="E1097" t="s">
        <v>8528</v>
      </c>
      <c r="F1097" t="s">
        <v>8529</v>
      </c>
      <c r="G1097">
        <v>800093117</v>
      </c>
      <c r="H1097" t="s">
        <v>6009</v>
      </c>
      <c r="I1097" s="4" t="s">
        <v>94</v>
      </c>
      <c r="J1097" s="4" t="s">
        <v>8014</v>
      </c>
      <c r="K1097" t="s">
        <v>8530</v>
      </c>
      <c r="L1097" t="s">
        <v>27</v>
      </c>
      <c r="M1097" t="s">
        <v>8531</v>
      </c>
      <c r="N1097" t="s">
        <v>28</v>
      </c>
      <c r="O1097" t="s">
        <v>29</v>
      </c>
      <c r="P1097" t="s">
        <v>54</v>
      </c>
      <c r="Q1097" t="s">
        <v>31</v>
      </c>
      <c r="R1097">
        <v>7</v>
      </c>
      <c r="S1097" t="s">
        <v>8532</v>
      </c>
      <c r="T1097" t="s">
        <v>8527</v>
      </c>
      <c r="U1097" t="s">
        <v>7204</v>
      </c>
      <c r="V1097" t="s">
        <v>32</v>
      </c>
      <c r="W1097" t="s">
        <v>33</v>
      </c>
      <c r="X1097" t="s">
        <v>33</v>
      </c>
      <c r="Y1097" t="s">
        <v>33</v>
      </c>
      <c r="Z1097" s="16" t="s">
        <v>34</v>
      </c>
      <c r="AA1097">
        <v>-75.574616899999995</v>
      </c>
      <c r="AB1097">
        <v>6.2194061100000004</v>
      </c>
      <c r="AC1097" t="s">
        <v>135</v>
      </c>
      <c r="AD1097" t="s">
        <v>136</v>
      </c>
    </row>
    <row r="1098" spans="1:30" x14ac:dyDescent="0.25">
      <c r="A1098" t="s">
        <v>10130</v>
      </c>
      <c r="B1098" t="s">
        <v>25</v>
      </c>
      <c r="C1098" t="s">
        <v>26</v>
      </c>
      <c r="D1098" t="s">
        <v>25</v>
      </c>
      <c r="E1098" t="s">
        <v>8533</v>
      </c>
      <c r="F1098" t="s">
        <v>8534</v>
      </c>
      <c r="G1098">
        <v>800093117</v>
      </c>
      <c r="H1098" t="s">
        <v>6009</v>
      </c>
      <c r="I1098" s="4" t="s">
        <v>94</v>
      </c>
      <c r="J1098" s="4" t="s">
        <v>8014</v>
      </c>
      <c r="K1098" t="s">
        <v>8535</v>
      </c>
      <c r="L1098" t="s">
        <v>27</v>
      </c>
      <c r="M1098" t="s">
        <v>8536</v>
      </c>
      <c r="N1098" t="s">
        <v>28</v>
      </c>
      <c r="O1098" t="s">
        <v>29</v>
      </c>
      <c r="P1098" t="s">
        <v>54</v>
      </c>
      <c r="Q1098" t="s">
        <v>31</v>
      </c>
      <c r="R1098">
        <v>7</v>
      </c>
      <c r="S1098" t="s">
        <v>8537</v>
      </c>
      <c r="T1098" t="s">
        <v>8527</v>
      </c>
      <c r="U1098" t="s">
        <v>7204</v>
      </c>
      <c r="V1098" t="s">
        <v>32</v>
      </c>
      <c r="W1098" t="s">
        <v>33</v>
      </c>
      <c r="X1098" t="s">
        <v>33</v>
      </c>
      <c r="Y1098" t="s">
        <v>33</v>
      </c>
      <c r="Z1098" s="16" t="s">
        <v>34</v>
      </c>
      <c r="AA1098">
        <v>-75.574616899999995</v>
      </c>
      <c r="AB1098">
        <v>6.2194061100000004</v>
      </c>
      <c r="AC1098" t="s">
        <v>135</v>
      </c>
      <c r="AD1098" t="s">
        <v>136</v>
      </c>
    </row>
    <row r="1099" spans="1:30" x14ac:dyDescent="0.25">
      <c r="A1099" t="s">
        <v>10131</v>
      </c>
      <c r="B1099" t="s">
        <v>25</v>
      </c>
      <c r="C1099" t="s">
        <v>26</v>
      </c>
      <c r="D1099" t="s">
        <v>25</v>
      </c>
      <c r="E1099" t="s">
        <v>8538</v>
      </c>
      <c r="F1099" t="s">
        <v>8539</v>
      </c>
      <c r="G1099">
        <v>800093117</v>
      </c>
      <c r="H1099" t="s">
        <v>6009</v>
      </c>
      <c r="I1099" s="4" t="s">
        <v>94</v>
      </c>
      <c r="J1099" s="4" t="s">
        <v>8014</v>
      </c>
      <c r="K1099" t="s">
        <v>8540</v>
      </c>
      <c r="L1099" t="s">
        <v>27</v>
      </c>
      <c r="M1099" t="s">
        <v>8541</v>
      </c>
      <c r="N1099" t="s">
        <v>28</v>
      </c>
      <c r="O1099" t="s">
        <v>29</v>
      </c>
      <c r="P1099" t="s">
        <v>54</v>
      </c>
      <c r="Q1099" t="s">
        <v>31</v>
      </c>
      <c r="R1099">
        <v>7</v>
      </c>
      <c r="S1099" t="s">
        <v>8542</v>
      </c>
      <c r="T1099" t="s">
        <v>8543</v>
      </c>
      <c r="U1099" t="s">
        <v>8544</v>
      </c>
      <c r="V1099" t="s">
        <v>32</v>
      </c>
      <c r="W1099" t="s">
        <v>33</v>
      </c>
      <c r="X1099" t="s">
        <v>33</v>
      </c>
      <c r="Y1099" t="s">
        <v>33</v>
      </c>
      <c r="Z1099" s="16" t="s">
        <v>34</v>
      </c>
      <c r="AA1099">
        <v>-75.574616899999995</v>
      </c>
      <c r="AB1099">
        <v>6.2194061100000004</v>
      </c>
      <c r="AC1099" t="s">
        <v>135</v>
      </c>
      <c r="AD1099" t="s">
        <v>136</v>
      </c>
    </row>
    <row r="1100" spans="1:30" x14ac:dyDescent="0.25">
      <c r="A1100" t="s">
        <v>10132</v>
      </c>
      <c r="B1100" t="s">
        <v>25</v>
      </c>
      <c r="C1100" t="s">
        <v>26</v>
      </c>
      <c r="D1100" t="s">
        <v>25</v>
      </c>
      <c r="E1100" t="s">
        <v>8545</v>
      </c>
      <c r="F1100" t="s">
        <v>8546</v>
      </c>
      <c r="G1100">
        <v>800093117</v>
      </c>
      <c r="H1100" t="s">
        <v>6009</v>
      </c>
      <c r="I1100" s="4" t="s">
        <v>94</v>
      </c>
      <c r="J1100" s="4" t="s">
        <v>8014</v>
      </c>
      <c r="K1100" t="s">
        <v>8547</v>
      </c>
      <c r="L1100" t="s">
        <v>27</v>
      </c>
      <c r="M1100" t="s">
        <v>8548</v>
      </c>
      <c r="N1100" t="s">
        <v>28</v>
      </c>
      <c r="O1100" t="s">
        <v>29</v>
      </c>
      <c r="P1100" t="s">
        <v>54</v>
      </c>
      <c r="Q1100" t="s">
        <v>31</v>
      </c>
      <c r="R1100">
        <v>7</v>
      </c>
      <c r="S1100" t="s">
        <v>8549</v>
      </c>
      <c r="T1100" t="s">
        <v>8543</v>
      </c>
      <c r="U1100" t="s">
        <v>8544</v>
      </c>
      <c r="V1100" t="s">
        <v>32</v>
      </c>
      <c r="W1100" t="s">
        <v>33</v>
      </c>
      <c r="X1100" t="s">
        <v>33</v>
      </c>
      <c r="Y1100" t="s">
        <v>33</v>
      </c>
      <c r="Z1100" s="16" t="s">
        <v>34</v>
      </c>
      <c r="AA1100">
        <v>-75.574616899999995</v>
      </c>
      <c r="AB1100">
        <v>6.2194061100000004</v>
      </c>
      <c r="AC1100" t="s">
        <v>135</v>
      </c>
      <c r="AD1100" t="s">
        <v>136</v>
      </c>
    </row>
    <row r="1101" spans="1:30" x14ac:dyDescent="0.25">
      <c r="A1101" t="s">
        <v>10133</v>
      </c>
      <c r="B1101" t="s">
        <v>25</v>
      </c>
      <c r="C1101" t="s">
        <v>26</v>
      </c>
      <c r="D1101" t="s">
        <v>25</v>
      </c>
      <c r="E1101" t="s">
        <v>8550</v>
      </c>
      <c r="F1101" t="s">
        <v>8551</v>
      </c>
      <c r="G1101">
        <v>800093117</v>
      </c>
      <c r="H1101" t="s">
        <v>6009</v>
      </c>
      <c r="I1101" s="4" t="s">
        <v>94</v>
      </c>
      <c r="J1101" s="4" t="s">
        <v>8014</v>
      </c>
      <c r="K1101" t="s">
        <v>8552</v>
      </c>
      <c r="L1101" t="s">
        <v>27</v>
      </c>
      <c r="M1101" t="s">
        <v>8553</v>
      </c>
      <c r="N1101" t="s">
        <v>28</v>
      </c>
      <c r="O1101" t="s">
        <v>29</v>
      </c>
      <c r="P1101" t="s">
        <v>54</v>
      </c>
      <c r="Q1101" t="s">
        <v>31</v>
      </c>
      <c r="R1101">
        <v>7</v>
      </c>
      <c r="S1101" t="s">
        <v>8554</v>
      </c>
      <c r="T1101" t="s">
        <v>8543</v>
      </c>
      <c r="U1101" t="s">
        <v>8544</v>
      </c>
      <c r="V1101" t="s">
        <v>32</v>
      </c>
      <c r="W1101" t="s">
        <v>33</v>
      </c>
      <c r="X1101" t="s">
        <v>33</v>
      </c>
      <c r="Y1101" t="s">
        <v>33</v>
      </c>
      <c r="Z1101" s="16" t="s">
        <v>34</v>
      </c>
      <c r="AA1101">
        <v>-75.574616899999995</v>
      </c>
      <c r="AB1101">
        <v>6.2194061100000004</v>
      </c>
      <c r="AC1101" t="s">
        <v>135</v>
      </c>
      <c r="AD1101" t="s">
        <v>136</v>
      </c>
    </row>
    <row r="1102" spans="1:30" x14ac:dyDescent="0.25">
      <c r="A1102" t="s">
        <v>10134</v>
      </c>
      <c r="B1102" t="s">
        <v>25</v>
      </c>
      <c r="C1102" t="s">
        <v>26</v>
      </c>
      <c r="D1102" t="s">
        <v>25</v>
      </c>
      <c r="E1102" t="s">
        <v>8555</v>
      </c>
      <c r="F1102" t="s">
        <v>8556</v>
      </c>
      <c r="G1102">
        <v>800093117</v>
      </c>
      <c r="H1102" t="s">
        <v>6009</v>
      </c>
      <c r="I1102" s="4" t="s">
        <v>94</v>
      </c>
      <c r="J1102" s="4" t="s">
        <v>8014</v>
      </c>
      <c r="K1102" t="s">
        <v>8557</v>
      </c>
      <c r="L1102" t="s">
        <v>27</v>
      </c>
      <c r="M1102" t="s">
        <v>8558</v>
      </c>
      <c r="N1102" t="s">
        <v>28</v>
      </c>
      <c r="O1102" t="s">
        <v>29</v>
      </c>
      <c r="P1102" t="s">
        <v>54</v>
      </c>
      <c r="Q1102" t="s">
        <v>31</v>
      </c>
      <c r="R1102">
        <v>7</v>
      </c>
      <c r="S1102" t="s">
        <v>8559</v>
      </c>
      <c r="T1102" t="s">
        <v>8543</v>
      </c>
      <c r="U1102" t="s">
        <v>8544</v>
      </c>
      <c r="V1102" t="s">
        <v>32</v>
      </c>
      <c r="W1102" t="s">
        <v>33</v>
      </c>
      <c r="X1102" t="s">
        <v>33</v>
      </c>
      <c r="Y1102" t="s">
        <v>33</v>
      </c>
      <c r="Z1102" s="16" t="s">
        <v>34</v>
      </c>
      <c r="AA1102">
        <v>-75.574616899999995</v>
      </c>
      <c r="AB1102">
        <v>6.2194061100000004</v>
      </c>
      <c r="AC1102" t="s">
        <v>135</v>
      </c>
      <c r="AD1102" t="s">
        <v>136</v>
      </c>
    </row>
    <row r="1103" spans="1:30" x14ac:dyDescent="0.25">
      <c r="A1103" t="s">
        <v>10135</v>
      </c>
      <c r="B1103" t="s">
        <v>25</v>
      </c>
      <c r="C1103" t="s">
        <v>26</v>
      </c>
      <c r="D1103" t="s">
        <v>25</v>
      </c>
      <c r="E1103" t="s">
        <v>8560</v>
      </c>
      <c r="F1103" t="s">
        <v>8561</v>
      </c>
      <c r="G1103">
        <v>800093117</v>
      </c>
      <c r="H1103" t="s">
        <v>6009</v>
      </c>
      <c r="I1103" s="4" t="s">
        <v>94</v>
      </c>
      <c r="J1103" s="4" t="s">
        <v>8014</v>
      </c>
      <c r="K1103" t="s">
        <v>8562</v>
      </c>
      <c r="L1103" t="s">
        <v>27</v>
      </c>
      <c r="M1103" t="s">
        <v>8563</v>
      </c>
      <c r="N1103" t="s">
        <v>28</v>
      </c>
      <c r="O1103" t="s">
        <v>29</v>
      </c>
      <c r="P1103" t="s">
        <v>54</v>
      </c>
      <c r="Q1103" t="s">
        <v>31</v>
      </c>
      <c r="R1103">
        <v>7</v>
      </c>
      <c r="S1103" t="s">
        <v>8564</v>
      </c>
      <c r="T1103" t="s">
        <v>8543</v>
      </c>
      <c r="U1103" t="s">
        <v>8544</v>
      </c>
      <c r="V1103" t="s">
        <v>32</v>
      </c>
      <c r="W1103" t="s">
        <v>33</v>
      </c>
      <c r="X1103" t="s">
        <v>33</v>
      </c>
      <c r="Y1103" t="s">
        <v>33</v>
      </c>
      <c r="Z1103" s="16" t="s">
        <v>34</v>
      </c>
      <c r="AA1103">
        <v>-75.574616899999995</v>
      </c>
      <c r="AB1103">
        <v>6.2194061100000004</v>
      </c>
      <c r="AC1103" t="s">
        <v>135</v>
      </c>
      <c r="AD1103" t="s">
        <v>136</v>
      </c>
    </row>
    <row r="1104" spans="1:30" x14ac:dyDescent="0.25">
      <c r="A1104" t="s">
        <v>10136</v>
      </c>
      <c r="B1104" t="s">
        <v>25</v>
      </c>
      <c r="C1104" t="s">
        <v>26</v>
      </c>
      <c r="D1104" t="s">
        <v>39</v>
      </c>
      <c r="E1104" t="s">
        <v>8565</v>
      </c>
      <c r="F1104" t="s">
        <v>8566</v>
      </c>
      <c r="G1104">
        <v>42888916</v>
      </c>
      <c r="H1104" t="s">
        <v>8567</v>
      </c>
      <c r="I1104" s="4" t="s">
        <v>8568</v>
      </c>
      <c r="J1104" s="4" t="s">
        <v>8569</v>
      </c>
      <c r="K1104" t="s">
        <v>8570</v>
      </c>
      <c r="L1104" t="s">
        <v>55</v>
      </c>
      <c r="M1104" t="s">
        <v>8571</v>
      </c>
      <c r="N1104" t="s">
        <v>56</v>
      </c>
      <c r="O1104" t="s">
        <v>40</v>
      </c>
      <c r="P1104" t="s">
        <v>36</v>
      </c>
      <c r="Q1104" t="s">
        <v>38</v>
      </c>
      <c r="R1104">
        <v>8</v>
      </c>
      <c r="S1104" t="s">
        <v>8572</v>
      </c>
      <c r="T1104" t="s">
        <v>8573</v>
      </c>
      <c r="U1104" t="s">
        <v>8574</v>
      </c>
      <c r="V1104" t="s">
        <v>32</v>
      </c>
      <c r="W1104" t="s">
        <v>33</v>
      </c>
      <c r="X1104" t="s">
        <v>33</v>
      </c>
      <c r="Y1104" t="s">
        <v>33</v>
      </c>
      <c r="Z1104" s="16" t="s">
        <v>34</v>
      </c>
      <c r="AA1104">
        <v>-75.631430480000006</v>
      </c>
      <c r="AB1104">
        <v>6.1170333100000001</v>
      </c>
      <c r="AC1104" t="s">
        <v>135</v>
      </c>
      <c r="AD1104" t="s">
        <v>136</v>
      </c>
    </row>
    <row r="1105" spans="1:30" x14ac:dyDescent="0.25">
      <c r="A1105" t="s">
        <v>10137</v>
      </c>
      <c r="B1105" t="s">
        <v>25</v>
      </c>
      <c r="C1105" t="s">
        <v>26</v>
      </c>
      <c r="D1105" t="s">
        <v>25</v>
      </c>
      <c r="E1105" t="s">
        <v>8575</v>
      </c>
      <c r="F1105" t="s">
        <v>8576</v>
      </c>
      <c r="G1105">
        <v>800093117</v>
      </c>
      <c r="H1105" t="s">
        <v>6009</v>
      </c>
      <c r="I1105" s="4" t="s">
        <v>94</v>
      </c>
      <c r="J1105" s="4" t="s">
        <v>8014</v>
      </c>
      <c r="K1105" t="s">
        <v>8577</v>
      </c>
      <c r="L1105" t="s">
        <v>27</v>
      </c>
      <c r="M1105" t="s">
        <v>8578</v>
      </c>
      <c r="N1105" t="s">
        <v>28</v>
      </c>
      <c r="O1105" t="s">
        <v>29</v>
      </c>
      <c r="P1105" t="s">
        <v>54</v>
      </c>
      <c r="Q1105" t="s">
        <v>31</v>
      </c>
      <c r="R1105">
        <v>7</v>
      </c>
      <c r="S1105" t="s">
        <v>8579</v>
      </c>
      <c r="T1105" t="s">
        <v>8573</v>
      </c>
      <c r="U1105" t="s">
        <v>8580</v>
      </c>
      <c r="V1105" t="s">
        <v>32</v>
      </c>
      <c r="W1105" t="s">
        <v>33</v>
      </c>
      <c r="X1105" t="s">
        <v>33</v>
      </c>
      <c r="Y1105" t="s">
        <v>33</v>
      </c>
      <c r="Z1105" s="16" t="s">
        <v>34</v>
      </c>
      <c r="AA1105">
        <v>-75.574616899999995</v>
      </c>
      <c r="AB1105">
        <v>6.2194061100000004</v>
      </c>
      <c r="AC1105" t="s">
        <v>135</v>
      </c>
      <c r="AD1105" t="s">
        <v>136</v>
      </c>
    </row>
    <row r="1106" spans="1:30" x14ac:dyDescent="0.25">
      <c r="A1106" t="s">
        <v>10138</v>
      </c>
      <c r="B1106" t="s">
        <v>25</v>
      </c>
      <c r="C1106" t="s">
        <v>26</v>
      </c>
      <c r="D1106" t="s">
        <v>25</v>
      </c>
      <c r="E1106" t="s">
        <v>8581</v>
      </c>
      <c r="F1106" t="s">
        <v>8582</v>
      </c>
      <c r="G1106">
        <v>800093117</v>
      </c>
      <c r="H1106" t="s">
        <v>6009</v>
      </c>
      <c r="I1106" s="4" t="s">
        <v>94</v>
      </c>
      <c r="J1106" s="4" t="s">
        <v>8014</v>
      </c>
      <c r="K1106" t="s">
        <v>8583</v>
      </c>
      <c r="L1106" t="s">
        <v>27</v>
      </c>
      <c r="M1106" t="s">
        <v>8584</v>
      </c>
      <c r="N1106" t="s">
        <v>28</v>
      </c>
      <c r="O1106" t="s">
        <v>29</v>
      </c>
      <c r="P1106" t="s">
        <v>54</v>
      </c>
      <c r="Q1106" t="s">
        <v>31</v>
      </c>
      <c r="R1106">
        <v>7</v>
      </c>
      <c r="S1106" t="s">
        <v>8585</v>
      </c>
      <c r="T1106" t="s">
        <v>8573</v>
      </c>
      <c r="U1106" t="s">
        <v>8580</v>
      </c>
      <c r="V1106" t="s">
        <v>32</v>
      </c>
      <c r="W1106" t="s">
        <v>33</v>
      </c>
      <c r="X1106" t="s">
        <v>33</v>
      </c>
      <c r="Y1106" t="s">
        <v>33</v>
      </c>
      <c r="Z1106" s="16" t="s">
        <v>34</v>
      </c>
      <c r="AA1106">
        <v>-75.574616899999995</v>
      </c>
      <c r="AB1106">
        <v>6.2194061100000004</v>
      </c>
      <c r="AC1106" t="s">
        <v>135</v>
      </c>
      <c r="AD1106" t="s">
        <v>136</v>
      </c>
    </row>
    <row r="1107" spans="1:30" x14ac:dyDescent="0.25">
      <c r="A1107" t="s">
        <v>10139</v>
      </c>
      <c r="B1107" t="s">
        <v>25</v>
      </c>
      <c r="C1107" t="s">
        <v>26</v>
      </c>
      <c r="D1107" t="s">
        <v>25</v>
      </c>
      <c r="E1107" t="s">
        <v>8586</v>
      </c>
      <c r="F1107" t="s">
        <v>8587</v>
      </c>
      <c r="G1107">
        <v>800093117</v>
      </c>
      <c r="H1107" t="s">
        <v>6009</v>
      </c>
      <c r="I1107" s="4" t="s">
        <v>94</v>
      </c>
      <c r="J1107" s="4" t="s">
        <v>8014</v>
      </c>
      <c r="K1107" t="s">
        <v>8588</v>
      </c>
      <c r="L1107" t="s">
        <v>27</v>
      </c>
      <c r="M1107" t="s">
        <v>8589</v>
      </c>
      <c r="N1107" t="s">
        <v>28</v>
      </c>
      <c r="O1107" t="s">
        <v>29</v>
      </c>
      <c r="P1107" t="s">
        <v>54</v>
      </c>
      <c r="Q1107" t="s">
        <v>31</v>
      </c>
      <c r="R1107">
        <v>7</v>
      </c>
      <c r="S1107" t="s">
        <v>8590</v>
      </c>
      <c r="T1107" t="s">
        <v>8573</v>
      </c>
      <c r="U1107" t="s">
        <v>8580</v>
      </c>
      <c r="V1107" t="s">
        <v>32</v>
      </c>
      <c r="W1107" t="s">
        <v>33</v>
      </c>
      <c r="X1107" t="s">
        <v>33</v>
      </c>
      <c r="Y1107" t="s">
        <v>33</v>
      </c>
      <c r="Z1107" s="16" t="s">
        <v>34</v>
      </c>
      <c r="AA1107">
        <v>-75.574616899999995</v>
      </c>
      <c r="AB1107">
        <v>6.2194061100000004</v>
      </c>
      <c r="AC1107" t="s">
        <v>135</v>
      </c>
      <c r="AD1107" t="s">
        <v>136</v>
      </c>
    </row>
    <row r="1108" spans="1:30" x14ac:dyDescent="0.25">
      <c r="A1108" t="s">
        <v>10140</v>
      </c>
      <c r="B1108" t="s">
        <v>25</v>
      </c>
      <c r="C1108" t="s">
        <v>26</v>
      </c>
      <c r="D1108" t="s">
        <v>25</v>
      </c>
      <c r="E1108" t="s">
        <v>8591</v>
      </c>
      <c r="F1108" t="s">
        <v>8592</v>
      </c>
      <c r="G1108">
        <v>800093117</v>
      </c>
      <c r="H1108" t="s">
        <v>6009</v>
      </c>
      <c r="I1108" s="4" t="s">
        <v>94</v>
      </c>
      <c r="J1108" s="4" t="s">
        <v>8014</v>
      </c>
      <c r="K1108" t="s">
        <v>8593</v>
      </c>
      <c r="L1108" t="s">
        <v>27</v>
      </c>
      <c r="M1108" t="s">
        <v>8594</v>
      </c>
      <c r="N1108" t="s">
        <v>28</v>
      </c>
      <c r="O1108" t="s">
        <v>29</v>
      </c>
      <c r="P1108" t="s">
        <v>54</v>
      </c>
      <c r="Q1108" t="s">
        <v>31</v>
      </c>
      <c r="R1108">
        <v>7</v>
      </c>
      <c r="S1108" t="s">
        <v>8595</v>
      </c>
      <c r="T1108" t="s">
        <v>8573</v>
      </c>
      <c r="U1108" t="s">
        <v>8580</v>
      </c>
      <c r="V1108" t="s">
        <v>32</v>
      </c>
      <c r="W1108" t="s">
        <v>33</v>
      </c>
      <c r="X1108" t="s">
        <v>33</v>
      </c>
      <c r="Y1108" t="s">
        <v>33</v>
      </c>
      <c r="Z1108" s="16" t="s">
        <v>34</v>
      </c>
      <c r="AA1108">
        <v>-75.574616899999995</v>
      </c>
      <c r="AB1108">
        <v>6.2194061100000004</v>
      </c>
      <c r="AC1108" t="s">
        <v>135</v>
      </c>
      <c r="AD1108" t="s">
        <v>136</v>
      </c>
    </row>
    <row r="1109" spans="1:30" x14ac:dyDescent="0.25">
      <c r="A1109" t="s">
        <v>10141</v>
      </c>
      <c r="B1109" t="s">
        <v>25</v>
      </c>
      <c r="C1109" t="s">
        <v>26</v>
      </c>
      <c r="D1109" t="s">
        <v>25</v>
      </c>
      <c r="E1109" t="s">
        <v>8596</v>
      </c>
      <c r="F1109" t="s">
        <v>8597</v>
      </c>
      <c r="G1109">
        <v>800093117</v>
      </c>
      <c r="H1109" t="s">
        <v>6009</v>
      </c>
      <c r="I1109" s="4" t="s">
        <v>94</v>
      </c>
      <c r="J1109" s="4" t="s">
        <v>8014</v>
      </c>
      <c r="K1109" t="s">
        <v>8598</v>
      </c>
      <c r="L1109" t="s">
        <v>27</v>
      </c>
      <c r="M1109" t="s">
        <v>8599</v>
      </c>
      <c r="N1109" t="s">
        <v>28</v>
      </c>
      <c r="O1109" t="s">
        <v>29</v>
      </c>
      <c r="P1109" t="s">
        <v>54</v>
      </c>
      <c r="Q1109" t="s">
        <v>31</v>
      </c>
      <c r="R1109">
        <v>7</v>
      </c>
      <c r="S1109" t="s">
        <v>8600</v>
      </c>
      <c r="T1109" t="s">
        <v>8573</v>
      </c>
      <c r="U1109" t="s">
        <v>8580</v>
      </c>
      <c r="V1109" t="s">
        <v>32</v>
      </c>
      <c r="W1109" t="s">
        <v>33</v>
      </c>
      <c r="X1109" t="s">
        <v>33</v>
      </c>
      <c r="Y1109" t="s">
        <v>33</v>
      </c>
      <c r="Z1109" s="16" t="s">
        <v>34</v>
      </c>
      <c r="AA1109">
        <v>-75.574616899999995</v>
      </c>
      <c r="AB1109">
        <v>6.2194061100000004</v>
      </c>
      <c r="AC1109" t="s">
        <v>135</v>
      </c>
      <c r="AD1109" t="s">
        <v>136</v>
      </c>
    </row>
    <row r="1110" spans="1:30" x14ac:dyDescent="0.25">
      <c r="A1110" t="s">
        <v>10142</v>
      </c>
      <c r="B1110" t="s">
        <v>25</v>
      </c>
      <c r="C1110" t="s">
        <v>26</v>
      </c>
      <c r="D1110" t="s">
        <v>25</v>
      </c>
      <c r="E1110" t="s">
        <v>8601</v>
      </c>
      <c r="F1110" t="s">
        <v>8602</v>
      </c>
      <c r="G1110">
        <v>800093117</v>
      </c>
      <c r="H1110" t="s">
        <v>6009</v>
      </c>
      <c r="I1110" s="4" t="s">
        <v>94</v>
      </c>
      <c r="J1110" s="4" t="s">
        <v>8014</v>
      </c>
      <c r="K1110" t="s">
        <v>8603</v>
      </c>
      <c r="L1110" t="s">
        <v>27</v>
      </c>
      <c r="M1110" t="s">
        <v>8604</v>
      </c>
      <c r="N1110" t="s">
        <v>28</v>
      </c>
      <c r="O1110" t="s">
        <v>29</v>
      </c>
      <c r="P1110" t="s">
        <v>54</v>
      </c>
      <c r="Q1110" t="s">
        <v>31</v>
      </c>
      <c r="R1110">
        <v>7</v>
      </c>
      <c r="S1110" t="s">
        <v>8605</v>
      </c>
      <c r="T1110" t="s">
        <v>8573</v>
      </c>
      <c r="U1110" t="s">
        <v>8580</v>
      </c>
      <c r="V1110" t="s">
        <v>32</v>
      </c>
      <c r="W1110" t="s">
        <v>33</v>
      </c>
      <c r="X1110" t="s">
        <v>33</v>
      </c>
      <c r="Y1110" t="s">
        <v>33</v>
      </c>
      <c r="Z1110" s="16" t="s">
        <v>34</v>
      </c>
      <c r="AA1110">
        <v>-75.574616899999995</v>
      </c>
      <c r="AB1110">
        <v>6.2194061100000004</v>
      </c>
      <c r="AC1110" t="s">
        <v>135</v>
      </c>
      <c r="AD1110" t="s">
        <v>136</v>
      </c>
    </row>
    <row r="1111" spans="1:30" x14ac:dyDescent="0.25">
      <c r="A1111" t="s">
        <v>10143</v>
      </c>
      <c r="B1111" t="s">
        <v>25</v>
      </c>
      <c r="C1111" t="s">
        <v>26</v>
      </c>
      <c r="D1111" t="s">
        <v>25</v>
      </c>
      <c r="E1111" t="s">
        <v>8606</v>
      </c>
      <c r="F1111" t="s">
        <v>8607</v>
      </c>
      <c r="G1111">
        <v>800093117</v>
      </c>
      <c r="H1111" t="s">
        <v>6009</v>
      </c>
      <c r="I1111" s="4" t="s">
        <v>94</v>
      </c>
      <c r="J1111" s="4" t="s">
        <v>8014</v>
      </c>
      <c r="K1111" t="s">
        <v>8608</v>
      </c>
      <c r="L1111" t="s">
        <v>27</v>
      </c>
      <c r="M1111" t="s">
        <v>8609</v>
      </c>
      <c r="N1111" t="s">
        <v>28</v>
      </c>
      <c r="O1111" t="s">
        <v>29</v>
      </c>
      <c r="P1111" t="s">
        <v>54</v>
      </c>
      <c r="Q1111" t="s">
        <v>31</v>
      </c>
      <c r="R1111">
        <v>7</v>
      </c>
      <c r="S1111" t="s">
        <v>8610</v>
      </c>
      <c r="T1111" t="s">
        <v>8611</v>
      </c>
      <c r="U1111" t="s">
        <v>8612</v>
      </c>
      <c r="V1111" t="s">
        <v>32</v>
      </c>
      <c r="W1111" t="s">
        <v>33</v>
      </c>
      <c r="X1111" t="s">
        <v>33</v>
      </c>
      <c r="Y1111" t="s">
        <v>33</v>
      </c>
      <c r="Z1111" s="16" t="s">
        <v>34</v>
      </c>
      <c r="AA1111">
        <v>-75.574616899999995</v>
      </c>
      <c r="AB1111">
        <v>6.2194061100000004</v>
      </c>
      <c r="AC1111" t="s">
        <v>135</v>
      </c>
      <c r="AD1111" t="s">
        <v>136</v>
      </c>
    </row>
    <row r="1112" spans="1:30" x14ac:dyDescent="0.25">
      <c r="A1112" t="s">
        <v>10144</v>
      </c>
      <c r="B1112" t="s">
        <v>25</v>
      </c>
      <c r="C1112" t="s">
        <v>26</v>
      </c>
      <c r="D1112" t="s">
        <v>25</v>
      </c>
      <c r="E1112" t="s">
        <v>8613</v>
      </c>
      <c r="F1112" t="s">
        <v>8614</v>
      </c>
      <c r="G1112">
        <v>800093117</v>
      </c>
      <c r="H1112" t="s">
        <v>6009</v>
      </c>
      <c r="I1112" s="4" t="s">
        <v>94</v>
      </c>
      <c r="J1112" s="4" t="s">
        <v>8014</v>
      </c>
      <c r="K1112" t="s">
        <v>8615</v>
      </c>
      <c r="L1112" t="s">
        <v>27</v>
      </c>
      <c r="M1112" t="s">
        <v>8616</v>
      </c>
      <c r="N1112" t="s">
        <v>28</v>
      </c>
      <c r="O1112" t="s">
        <v>29</v>
      </c>
      <c r="P1112" t="s">
        <v>54</v>
      </c>
      <c r="Q1112" t="s">
        <v>31</v>
      </c>
      <c r="R1112">
        <v>7</v>
      </c>
      <c r="S1112" t="s">
        <v>8617</v>
      </c>
      <c r="T1112" t="s">
        <v>8611</v>
      </c>
      <c r="U1112" t="s">
        <v>8612</v>
      </c>
      <c r="V1112" t="s">
        <v>32</v>
      </c>
      <c r="W1112" t="s">
        <v>33</v>
      </c>
      <c r="X1112" t="s">
        <v>33</v>
      </c>
      <c r="Y1112" t="s">
        <v>33</v>
      </c>
      <c r="Z1112" s="16" t="s">
        <v>34</v>
      </c>
      <c r="AA1112">
        <v>-75.574616899999995</v>
      </c>
      <c r="AB1112">
        <v>6.2194061100000004</v>
      </c>
      <c r="AC1112" t="s">
        <v>135</v>
      </c>
      <c r="AD1112" t="s">
        <v>136</v>
      </c>
    </row>
    <row r="1113" spans="1:30" x14ac:dyDescent="0.25">
      <c r="A1113" t="s">
        <v>10145</v>
      </c>
      <c r="B1113" t="s">
        <v>25</v>
      </c>
      <c r="C1113" t="s">
        <v>26</v>
      </c>
      <c r="D1113" t="s">
        <v>25</v>
      </c>
      <c r="E1113" t="s">
        <v>8618</v>
      </c>
      <c r="F1113" t="s">
        <v>8619</v>
      </c>
      <c r="G1113">
        <v>800093117</v>
      </c>
      <c r="H1113" t="s">
        <v>6009</v>
      </c>
      <c r="I1113" s="4" t="s">
        <v>94</v>
      </c>
      <c r="J1113" s="4" t="s">
        <v>8014</v>
      </c>
      <c r="K1113" t="s">
        <v>8620</v>
      </c>
      <c r="L1113" t="s">
        <v>27</v>
      </c>
      <c r="M1113" t="s">
        <v>8621</v>
      </c>
      <c r="N1113" t="s">
        <v>28</v>
      </c>
      <c r="O1113" t="s">
        <v>29</v>
      </c>
      <c r="P1113" t="s">
        <v>54</v>
      </c>
      <c r="Q1113" t="s">
        <v>31</v>
      </c>
      <c r="R1113">
        <v>7</v>
      </c>
      <c r="S1113" t="s">
        <v>8622</v>
      </c>
      <c r="T1113" t="s">
        <v>8623</v>
      </c>
      <c r="U1113" t="s">
        <v>7389</v>
      </c>
      <c r="V1113" t="s">
        <v>32</v>
      </c>
      <c r="W1113" t="s">
        <v>33</v>
      </c>
      <c r="X1113" t="s">
        <v>33</v>
      </c>
      <c r="Y1113" t="s">
        <v>33</v>
      </c>
      <c r="Z1113" s="16" t="s">
        <v>34</v>
      </c>
      <c r="AA1113">
        <v>-75.574616899999995</v>
      </c>
      <c r="AB1113">
        <v>6.2194061100000004</v>
      </c>
      <c r="AC1113" t="s">
        <v>135</v>
      </c>
      <c r="AD1113" t="s">
        <v>136</v>
      </c>
    </row>
    <row r="1114" spans="1:30" x14ac:dyDescent="0.25">
      <c r="A1114" t="s">
        <v>10146</v>
      </c>
      <c r="B1114" t="s">
        <v>25</v>
      </c>
      <c r="C1114" t="s">
        <v>26</v>
      </c>
      <c r="D1114" t="s">
        <v>39</v>
      </c>
      <c r="E1114" t="s">
        <v>8624</v>
      </c>
      <c r="F1114" t="s">
        <v>8625</v>
      </c>
      <c r="G1114">
        <v>11804828</v>
      </c>
      <c r="H1114" t="s">
        <v>8626</v>
      </c>
      <c r="I1114" s="4" t="s">
        <v>35</v>
      </c>
      <c r="J1114" s="4" t="s">
        <v>8627</v>
      </c>
      <c r="K1114" t="s">
        <v>8628</v>
      </c>
      <c r="L1114" t="s">
        <v>27</v>
      </c>
      <c r="M1114" t="s">
        <v>8629</v>
      </c>
      <c r="N1114" t="s">
        <v>28</v>
      </c>
      <c r="O1114" t="s">
        <v>40</v>
      </c>
      <c r="P1114" t="s">
        <v>41</v>
      </c>
      <c r="Q1114" t="s">
        <v>31</v>
      </c>
      <c r="R1114">
        <v>5</v>
      </c>
      <c r="S1114" t="s">
        <v>8630</v>
      </c>
      <c r="T1114" t="s">
        <v>8631</v>
      </c>
      <c r="U1114" t="s">
        <v>8632</v>
      </c>
      <c r="V1114" t="s">
        <v>32</v>
      </c>
      <c r="W1114" t="s">
        <v>33</v>
      </c>
      <c r="X1114" t="s">
        <v>33</v>
      </c>
      <c r="Y1114" t="s">
        <v>33</v>
      </c>
      <c r="Z1114" s="16" t="s">
        <v>34</v>
      </c>
      <c r="AA1114">
        <v>-75.544686999999996</v>
      </c>
      <c r="AB1114">
        <v>6.2469159999999997</v>
      </c>
      <c r="AC1114" t="s">
        <v>135</v>
      </c>
      <c r="AD1114" t="s">
        <v>136</v>
      </c>
    </row>
    <row r="1115" spans="1:30" x14ac:dyDescent="0.25">
      <c r="A1115" t="s">
        <v>10147</v>
      </c>
      <c r="B1115" t="s">
        <v>25</v>
      </c>
      <c r="C1115" t="s">
        <v>26</v>
      </c>
      <c r="D1115" t="s">
        <v>39</v>
      </c>
      <c r="E1115" t="s">
        <v>8633</v>
      </c>
      <c r="F1115" t="s">
        <v>8634</v>
      </c>
      <c r="G1115">
        <v>43260080</v>
      </c>
      <c r="H1115" t="s">
        <v>8635</v>
      </c>
      <c r="I1115" s="4" t="s">
        <v>35</v>
      </c>
      <c r="J1115" s="4" t="s">
        <v>8636</v>
      </c>
      <c r="K1115" t="s">
        <v>8637</v>
      </c>
      <c r="L1115" t="s">
        <v>27</v>
      </c>
      <c r="M1115" t="s">
        <v>8638</v>
      </c>
      <c r="N1115" t="s">
        <v>28</v>
      </c>
      <c r="O1115" t="s">
        <v>40</v>
      </c>
      <c r="P1115" t="s">
        <v>41</v>
      </c>
      <c r="Q1115" t="s">
        <v>31</v>
      </c>
      <c r="R1115">
        <v>5</v>
      </c>
      <c r="S1115" t="s">
        <v>8639</v>
      </c>
      <c r="T1115" t="s">
        <v>8640</v>
      </c>
      <c r="U1115" t="s">
        <v>8641</v>
      </c>
      <c r="V1115" t="s">
        <v>32</v>
      </c>
      <c r="W1115" t="s">
        <v>33</v>
      </c>
      <c r="X1115" t="s">
        <v>33</v>
      </c>
      <c r="Y1115" t="s">
        <v>33</v>
      </c>
      <c r="Z1115" s="16" t="s">
        <v>34</v>
      </c>
      <c r="AA1115">
        <v>-75.544512999999995</v>
      </c>
      <c r="AB1115">
        <v>6.2473419999999997</v>
      </c>
      <c r="AC1115" t="s">
        <v>135</v>
      </c>
      <c r="AD1115" t="s">
        <v>136</v>
      </c>
    </row>
    <row r="1116" spans="1:30" x14ac:dyDescent="0.25">
      <c r="A1116" t="s">
        <v>10148</v>
      </c>
      <c r="B1116" t="s">
        <v>25</v>
      </c>
      <c r="C1116" t="s">
        <v>26</v>
      </c>
      <c r="D1116" t="s">
        <v>25</v>
      </c>
      <c r="E1116" t="s">
        <v>8642</v>
      </c>
      <c r="F1116" t="s">
        <v>8643</v>
      </c>
      <c r="G1116">
        <v>800093117</v>
      </c>
      <c r="H1116" t="s">
        <v>6009</v>
      </c>
      <c r="I1116" s="4" t="s">
        <v>94</v>
      </c>
      <c r="J1116" s="4" t="s">
        <v>8014</v>
      </c>
      <c r="K1116" t="s">
        <v>8644</v>
      </c>
      <c r="L1116" t="s">
        <v>27</v>
      </c>
      <c r="M1116" t="s">
        <v>8645</v>
      </c>
      <c r="N1116" t="s">
        <v>28</v>
      </c>
      <c r="O1116" t="s">
        <v>29</v>
      </c>
      <c r="P1116" t="s">
        <v>54</v>
      </c>
      <c r="Q1116" t="s">
        <v>31</v>
      </c>
      <c r="R1116">
        <v>7</v>
      </c>
      <c r="S1116" t="s">
        <v>8646</v>
      </c>
      <c r="T1116" t="s">
        <v>8640</v>
      </c>
      <c r="U1116" t="s">
        <v>8647</v>
      </c>
      <c r="V1116" t="s">
        <v>32</v>
      </c>
      <c r="W1116" t="s">
        <v>33</v>
      </c>
      <c r="X1116" t="s">
        <v>33</v>
      </c>
      <c r="Y1116" t="s">
        <v>33</v>
      </c>
      <c r="Z1116" s="16" t="s">
        <v>34</v>
      </c>
      <c r="AA1116">
        <v>-75.574616899999995</v>
      </c>
      <c r="AB1116">
        <v>6.2194061100000004</v>
      </c>
      <c r="AC1116" t="s">
        <v>135</v>
      </c>
      <c r="AD1116" t="s">
        <v>136</v>
      </c>
    </row>
    <row r="1117" spans="1:30" x14ac:dyDescent="0.25">
      <c r="A1117" t="s">
        <v>10149</v>
      </c>
      <c r="B1117" t="s">
        <v>25</v>
      </c>
      <c r="C1117" t="s">
        <v>26</v>
      </c>
      <c r="D1117" t="s">
        <v>25</v>
      </c>
      <c r="E1117" t="s">
        <v>8648</v>
      </c>
      <c r="F1117" t="s">
        <v>8649</v>
      </c>
      <c r="G1117">
        <v>800093117</v>
      </c>
      <c r="H1117" t="s">
        <v>6009</v>
      </c>
      <c r="I1117" s="4" t="s">
        <v>94</v>
      </c>
      <c r="J1117" s="4" t="s">
        <v>8014</v>
      </c>
      <c r="K1117" t="s">
        <v>8650</v>
      </c>
      <c r="L1117" t="s">
        <v>27</v>
      </c>
      <c r="M1117" t="s">
        <v>8651</v>
      </c>
      <c r="N1117" t="s">
        <v>28</v>
      </c>
      <c r="O1117" t="s">
        <v>29</v>
      </c>
      <c r="P1117" t="s">
        <v>54</v>
      </c>
      <c r="Q1117" t="s">
        <v>31</v>
      </c>
      <c r="R1117">
        <v>7</v>
      </c>
      <c r="S1117" t="s">
        <v>8652</v>
      </c>
      <c r="T1117" t="s">
        <v>6884</v>
      </c>
      <c r="U1117" t="s">
        <v>8653</v>
      </c>
      <c r="V1117" t="s">
        <v>32</v>
      </c>
      <c r="W1117" t="s">
        <v>33</v>
      </c>
      <c r="X1117" t="s">
        <v>33</v>
      </c>
      <c r="Y1117" t="s">
        <v>33</v>
      </c>
      <c r="Z1117" s="16" t="s">
        <v>34</v>
      </c>
      <c r="AA1117">
        <v>-75.574616899999995</v>
      </c>
      <c r="AB1117">
        <v>6.2194061100000004</v>
      </c>
      <c r="AC1117" t="s">
        <v>135</v>
      </c>
      <c r="AD1117" t="s">
        <v>136</v>
      </c>
    </row>
    <row r="1118" spans="1:30" x14ac:dyDescent="0.25">
      <c r="A1118" t="s">
        <v>10150</v>
      </c>
      <c r="B1118" t="s">
        <v>25</v>
      </c>
      <c r="C1118" t="s">
        <v>26</v>
      </c>
      <c r="D1118" t="s">
        <v>25</v>
      </c>
      <c r="E1118" t="s">
        <v>8654</v>
      </c>
      <c r="F1118" t="s">
        <v>8655</v>
      </c>
      <c r="G1118">
        <v>800093117</v>
      </c>
      <c r="H1118" t="s">
        <v>6009</v>
      </c>
      <c r="I1118" s="4" t="s">
        <v>94</v>
      </c>
      <c r="J1118" s="4" t="s">
        <v>8014</v>
      </c>
      <c r="K1118" t="s">
        <v>8656</v>
      </c>
      <c r="L1118" t="s">
        <v>27</v>
      </c>
      <c r="M1118" t="s">
        <v>8657</v>
      </c>
      <c r="N1118" t="s">
        <v>28</v>
      </c>
      <c r="O1118" t="s">
        <v>29</v>
      </c>
      <c r="P1118" t="s">
        <v>54</v>
      </c>
      <c r="Q1118" t="s">
        <v>31</v>
      </c>
      <c r="R1118">
        <v>7</v>
      </c>
      <c r="S1118" t="s">
        <v>8658</v>
      </c>
      <c r="T1118" t="s">
        <v>6884</v>
      </c>
      <c r="U1118" t="s">
        <v>8653</v>
      </c>
      <c r="V1118" t="s">
        <v>32</v>
      </c>
      <c r="W1118" t="s">
        <v>33</v>
      </c>
      <c r="X1118" t="s">
        <v>33</v>
      </c>
      <c r="Y1118" t="s">
        <v>33</v>
      </c>
      <c r="Z1118" s="16" t="s">
        <v>34</v>
      </c>
      <c r="AA1118">
        <v>-75.574616899999995</v>
      </c>
      <c r="AB1118">
        <v>6.2194061100000004</v>
      </c>
      <c r="AC1118" t="s">
        <v>135</v>
      </c>
      <c r="AD1118" t="s">
        <v>136</v>
      </c>
    </row>
    <row r="1119" spans="1:30" x14ac:dyDescent="0.25">
      <c r="A1119" t="s">
        <v>10151</v>
      </c>
      <c r="B1119" t="s">
        <v>25</v>
      </c>
      <c r="C1119" t="s">
        <v>26</v>
      </c>
      <c r="D1119" t="s">
        <v>25</v>
      </c>
      <c r="E1119" t="s">
        <v>8659</v>
      </c>
      <c r="F1119" t="s">
        <v>8660</v>
      </c>
      <c r="G1119">
        <v>800093117</v>
      </c>
      <c r="H1119" t="s">
        <v>6009</v>
      </c>
      <c r="I1119" s="4" t="s">
        <v>94</v>
      </c>
      <c r="J1119" s="4" t="s">
        <v>8014</v>
      </c>
      <c r="K1119" t="s">
        <v>8661</v>
      </c>
      <c r="L1119" t="s">
        <v>27</v>
      </c>
      <c r="M1119" t="s">
        <v>8662</v>
      </c>
      <c r="N1119" t="s">
        <v>28</v>
      </c>
      <c r="O1119" t="s">
        <v>29</v>
      </c>
      <c r="P1119" t="s">
        <v>54</v>
      </c>
      <c r="Q1119" t="s">
        <v>31</v>
      </c>
      <c r="R1119">
        <v>7</v>
      </c>
      <c r="S1119" t="s">
        <v>8663</v>
      </c>
      <c r="T1119" t="s">
        <v>7051</v>
      </c>
      <c r="U1119" t="s">
        <v>1823</v>
      </c>
      <c r="V1119" t="s">
        <v>32</v>
      </c>
      <c r="W1119" t="s">
        <v>33</v>
      </c>
      <c r="X1119" t="s">
        <v>33</v>
      </c>
      <c r="Y1119" t="s">
        <v>33</v>
      </c>
      <c r="Z1119" s="16" t="s">
        <v>34</v>
      </c>
      <c r="AA1119">
        <v>-75.574616899999995</v>
      </c>
      <c r="AB1119">
        <v>6.2194061100000004</v>
      </c>
      <c r="AC1119" t="s">
        <v>135</v>
      </c>
      <c r="AD1119" t="s">
        <v>136</v>
      </c>
    </row>
    <row r="1120" spans="1:30" x14ac:dyDescent="0.25">
      <c r="A1120" t="s">
        <v>10152</v>
      </c>
      <c r="B1120" t="s">
        <v>25</v>
      </c>
      <c r="C1120" t="s">
        <v>26</v>
      </c>
      <c r="D1120" t="s">
        <v>25</v>
      </c>
      <c r="E1120" t="s">
        <v>8664</v>
      </c>
      <c r="F1120" t="s">
        <v>8665</v>
      </c>
      <c r="G1120">
        <v>800093117</v>
      </c>
      <c r="H1120" t="s">
        <v>6009</v>
      </c>
      <c r="I1120" s="4" t="s">
        <v>94</v>
      </c>
      <c r="J1120" s="4" t="s">
        <v>8014</v>
      </c>
      <c r="K1120" t="s">
        <v>8666</v>
      </c>
      <c r="L1120" t="s">
        <v>27</v>
      </c>
      <c r="M1120" t="s">
        <v>8667</v>
      </c>
      <c r="N1120" t="s">
        <v>28</v>
      </c>
      <c r="O1120" t="s">
        <v>29</v>
      </c>
      <c r="P1120" t="s">
        <v>54</v>
      </c>
      <c r="Q1120" t="s">
        <v>31</v>
      </c>
      <c r="R1120">
        <v>7</v>
      </c>
      <c r="S1120" t="s">
        <v>8668</v>
      </c>
      <c r="T1120" t="s">
        <v>7051</v>
      </c>
      <c r="U1120" t="s">
        <v>1823</v>
      </c>
      <c r="V1120" t="s">
        <v>32</v>
      </c>
      <c r="W1120" t="s">
        <v>33</v>
      </c>
      <c r="X1120" t="s">
        <v>33</v>
      </c>
      <c r="Y1120" t="s">
        <v>33</v>
      </c>
      <c r="Z1120" s="16" t="s">
        <v>34</v>
      </c>
      <c r="AA1120">
        <v>-75.574616899999995</v>
      </c>
      <c r="AB1120">
        <v>6.2194061100000004</v>
      </c>
      <c r="AC1120" t="s">
        <v>135</v>
      </c>
      <c r="AD1120" t="s">
        <v>136</v>
      </c>
    </row>
    <row r="1121" spans="1:30" x14ac:dyDescent="0.25">
      <c r="A1121" t="s">
        <v>10153</v>
      </c>
      <c r="B1121" t="s">
        <v>25</v>
      </c>
      <c r="C1121" t="s">
        <v>26</v>
      </c>
      <c r="D1121" t="s">
        <v>25</v>
      </c>
      <c r="E1121" t="s">
        <v>8669</v>
      </c>
      <c r="F1121" t="s">
        <v>8670</v>
      </c>
      <c r="G1121">
        <v>800093117</v>
      </c>
      <c r="H1121" t="s">
        <v>6009</v>
      </c>
      <c r="I1121" s="4" t="s">
        <v>94</v>
      </c>
      <c r="J1121" s="4" t="s">
        <v>8014</v>
      </c>
      <c r="K1121" t="s">
        <v>8671</v>
      </c>
      <c r="L1121" t="s">
        <v>27</v>
      </c>
      <c r="M1121" t="s">
        <v>8672</v>
      </c>
      <c r="N1121" t="s">
        <v>28</v>
      </c>
      <c r="O1121" t="s">
        <v>29</v>
      </c>
      <c r="P1121" t="s">
        <v>54</v>
      </c>
      <c r="Q1121" t="s">
        <v>31</v>
      </c>
      <c r="R1121">
        <v>7</v>
      </c>
      <c r="S1121" t="s">
        <v>8673</v>
      </c>
      <c r="T1121" t="s">
        <v>7051</v>
      </c>
      <c r="U1121" t="s">
        <v>1823</v>
      </c>
      <c r="V1121" t="s">
        <v>32</v>
      </c>
      <c r="W1121" t="s">
        <v>33</v>
      </c>
      <c r="X1121" t="s">
        <v>33</v>
      </c>
      <c r="Y1121" t="s">
        <v>33</v>
      </c>
      <c r="Z1121" s="16" t="s">
        <v>34</v>
      </c>
      <c r="AA1121">
        <v>-75.574616899999995</v>
      </c>
      <c r="AB1121">
        <v>6.2194061100000004</v>
      </c>
      <c r="AC1121" t="s">
        <v>135</v>
      </c>
      <c r="AD1121" t="s">
        <v>136</v>
      </c>
    </row>
    <row r="1122" spans="1:30" x14ac:dyDescent="0.25">
      <c r="A1122" t="s">
        <v>10154</v>
      </c>
      <c r="B1122" t="s">
        <v>25</v>
      </c>
      <c r="C1122" t="s">
        <v>26</v>
      </c>
      <c r="D1122" t="s">
        <v>25</v>
      </c>
      <c r="E1122" t="s">
        <v>8674</v>
      </c>
      <c r="F1122" t="s">
        <v>8675</v>
      </c>
      <c r="G1122">
        <v>800093117</v>
      </c>
      <c r="H1122" t="s">
        <v>6009</v>
      </c>
      <c r="I1122" s="4" t="s">
        <v>94</v>
      </c>
      <c r="J1122" s="4" t="s">
        <v>8014</v>
      </c>
      <c r="K1122" t="s">
        <v>8676</v>
      </c>
      <c r="L1122" t="s">
        <v>27</v>
      </c>
      <c r="M1122" t="s">
        <v>8677</v>
      </c>
      <c r="N1122" t="s">
        <v>28</v>
      </c>
      <c r="O1122" t="s">
        <v>29</v>
      </c>
      <c r="P1122" t="s">
        <v>54</v>
      </c>
      <c r="Q1122" t="s">
        <v>31</v>
      </c>
      <c r="R1122">
        <v>7</v>
      </c>
      <c r="S1122" t="s">
        <v>8678</v>
      </c>
      <c r="T1122" t="s">
        <v>7057</v>
      </c>
      <c r="U1122" t="s">
        <v>8679</v>
      </c>
      <c r="V1122" t="s">
        <v>32</v>
      </c>
      <c r="W1122" t="s">
        <v>33</v>
      </c>
      <c r="X1122" t="s">
        <v>33</v>
      </c>
      <c r="Y1122" t="s">
        <v>33</v>
      </c>
      <c r="Z1122" s="16" t="s">
        <v>34</v>
      </c>
      <c r="AA1122">
        <v>-75.574616899999995</v>
      </c>
      <c r="AB1122">
        <v>6.2194061100000004</v>
      </c>
      <c r="AC1122" t="s">
        <v>135</v>
      </c>
      <c r="AD1122" t="s">
        <v>136</v>
      </c>
    </row>
    <row r="1123" spans="1:30" x14ac:dyDescent="0.25">
      <c r="A1123" t="s">
        <v>10155</v>
      </c>
      <c r="B1123" t="s">
        <v>25</v>
      </c>
      <c r="C1123" t="s">
        <v>26</v>
      </c>
      <c r="D1123" t="s">
        <v>25</v>
      </c>
      <c r="E1123" t="s">
        <v>8680</v>
      </c>
      <c r="F1123" t="s">
        <v>8681</v>
      </c>
      <c r="G1123">
        <v>800093117</v>
      </c>
      <c r="H1123" t="s">
        <v>6009</v>
      </c>
      <c r="I1123" s="4" t="s">
        <v>94</v>
      </c>
      <c r="J1123" s="4" t="s">
        <v>8014</v>
      </c>
      <c r="K1123" t="s">
        <v>8682</v>
      </c>
      <c r="L1123" t="s">
        <v>27</v>
      </c>
      <c r="M1123" t="s">
        <v>8683</v>
      </c>
      <c r="N1123" t="s">
        <v>28</v>
      </c>
      <c r="O1123" t="s">
        <v>29</v>
      </c>
      <c r="P1123" t="s">
        <v>54</v>
      </c>
      <c r="Q1123" t="s">
        <v>31</v>
      </c>
      <c r="R1123">
        <v>7</v>
      </c>
      <c r="S1123" t="s">
        <v>8684</v>
      </c>
      <c r="T1123" t="s">
        <v>7215</v>
      </c>
      <c r="U1123" t="s">
        <v>7214</v>
      </c>
      <c r="V1123" t="s">
        <v>32</v>
      </c>
      <c r="W1123" t="s">
        <v>33</v>
      </c>
      <c r="X1123" t="s">
        <v>33</v>
      </c>
      <c r="Y1123" t="s">
        <v>33</v>
      </c>
      <c r="Z1123" s="16" t="s">
        <v>34</v>
      </c>
      <c r="AA1123">
        <v>-75.574616899999995</v>
      </c>
      <c r="AB1123">
        <v>6.2194061100000004</v>
      </c>
      <c r="AC1123" t="s">
        <v>135</v>
      </c>
      <c r="AD1123" t="s">
        <v>136</v>
      </c>
    </row>
    <row r="1124" spans="1:30" x14ac:dyDescent="0.25">
      <c r="A1124" t="s">
        <v>10156</v>
      </c>
      <c r="B1124" t="s">
        <v>25</v>
      </c>
      <c r="C1124" t="s">
        <v>26</v>
      </c>
      <c r="D1124" t="s">
        <v>25</v>
      </c>
      <c r="E1124" t="s">
        <v>8685</v>
      </c>
      <c r="F1124" t="s">
        <v>8686</v>
      </c>
      <c r="G1124">
        <v>800093117</v>
      </c>
      <c r="H1124" t="s">
        <v>6009</v>
      </c>
      <c r="I1124" s="4" t="s">
        <v>94</v>
      </c>
      <c r="J1124" s="4" t="s">
        <v>8014</v>
      </c>
      <c r="K1124" t="s">
        <v>8687</v>
      </c>
      <c r="L1124" t="s">
        <v>27</v>
      </c>
      <c r="M1124" t="s">
        <v>8688</v>
      </c>
      <c r="N1124" t="s">
        <v>28</v>
      </c>
      <c r="O1124" t="s">
        <v>29</v>
      </c>
      <c r="P1124" t="s">
        <v>54</v>
      </c>
      <c r="Q1124" t="s">
        <v>31</v>
      </c>
      <c r="R1124">
        <v>7</v>
      </c>
      <c r="S1124" t="s">
        <v>8689</v>
      </c>
      <c r="T1124" t="s">
        <v>7215</v>
      </c>
      <c r="U1124" t="s">
        <v>7214</v>
      </c>
      <c r="V1124" t="s">
        <v>32</v>
      </c>
      <c r="W1124" t="s">
        <v>33</v>
      </c>
      <c r="X1124" t="s">
        <v>33</v>
      </c>
      <c r="Y1124" t="s">
        <v>33</v>
      </c>
      <c r="Z1124" s="16" t="s">
        <v>34</v>
      </c>
      <c r="AA1124">
        <v>-75.574616899999995</v>
      </c>
      <c r="AB1124">
        <v>6.2194061100000004</v>
      </c>
      <c r="AC1124" t="s">
        <v>135</v>
      </c>
      <c r="AD1124" t="s">
        <v>136</v>
      </c>
    </row>
    <row r="1125" spans="1:30" x14ac:dyDescent="0.25">
      <c r="A1125" t="s">
        <v>10157</v>
      </c>
      <c r="B1125" t="s">
        <v>25</v>
      </c>
      <c r="C1125" t="s">
        <v>26</v>
      </c>
      <c r="D1125" t="s">
        <v>25</v>
      </c>
      <c r="E1125" t="s">
        <v>8690</v>
      </c>
      <c r="F1125" t="s">
        <v>8691</v>
      </c>
      <c r="G1125">
        <v>800093117</v>
      </c>
      <c r="H1125" t="s">
        <v>6009</v>
      </c>
      <c r="I1125" s="4" t="s">
        <v>94</v>
      </c>
      <c r="J1125" s="4" t="s">
        <v>8014</v>
      </c>
      <c r="K1125" t="s">
        <v>8692</v>
      </c>
      <c r="L1125" t="s">
        <v>27</v>
      </c>
      <c r="M1125" t="s">
        <v>8693</v>
      </c>
      <c r="N1125" t="s">
        <v>28</v>
      </c>
      <c r="O1125" t="s">
        <v>29</v>
      </c>
      <c r="P1125" t="s">
        <v>54</v>
      </c>
      <c r="Q1125" t="s">
        <v>31</v>
      </c>
      <c r="R1125">
        <v>7</v>
      </c>
      <c r="S1125" t="s">
        <v>8694</v>
      </c>
      <c r="T1125" t="s">
        <v>7215</v>
      </c>
      <c r="U1125" t="s">
        <v>7214</v>
      </c>
      <c r="V1125" t="s">
        <v>32</v>
      </c>
      <c r="W1125" t="s">
        <v>33</v>
      </c>
      <c r="X1125" t="s">
        <v>33</v>
      </c>
      <c r="Y1125" t="s">
        <v>33</v>
      </c>
      <c r="Z1125" s="16" t="s">
        <v>34</v>
      </c>
      <c r="AA1125">
        <v>-75.574616899999995</v>
      </c>
      <c r="AB1125">
        <v>6.2194061100000004</v>
      </c>
      <c r="AC1125" t="s">
        <v>135</v>
      </c>
      <c r="AD1125" t="s">
        <v>136</v>
      </c>
    </row>
    <row r="1126" spans="1:30" x14ac:dyDescent="0.25">
      <c r="A1126" t="s">
        <v>10158</v>
      </c>
      <c r="B1126" t="s">
        <v>25</v>
      </c>
      <c r="C1126" t="s">
        <v>26</v>
      </c>
      <c r="D1126" t="s">
        <v>25</v>
      </c>
      <c r="E1126" t="s">
        <v>8695</v>
      </c>
      <c r="F1126" t="s">
        <v>8696</v>
      </c>
      <c r="G1126">
        <v>800093117</v>
      </c>
      <c r="H1126" t="s">
        <v>6009</v>
      </c>
      <c r="I1126" s="4" t="s">
        <v>94</v>
      </c>
      <c r="J1126" s="4" t="s">
        <v>8014</v>
      </c>
      <c r="K1126" t="s">
        <v>8697</v>
      </c>
      <c r="L1126" t="s">
        <v>27</v>
      </c>
      <c r="M1126" t="s">
        <v>8698</v>
      </c>
      <c r="N1126" t="s">
        <v>28</v>
      </c>
      <c r="O1126" t="s">
        <v>29</v>
      </c>
      <c r="P1126" t="s">
        <v>54</v>
      </c>
      <c r="Q1126" t="s">
        <v>31</v>
      </c>
      <c r="R1126">
        <v>7</v>
      </c>
      <c r="S1126" t="s">
        <v>8699</v>
      </c>
      <c r="T1126" t="s">
        <v>8700</v>
      </c>
      <c r="U1126" t="s">
        <v>8701</v>
      </c>
      <c r="V1126" t="s">
        <v>32</v>
      </c>
      <c r="W1126" t="s">
        <v>33</v>
      </c>
      <c r="X1126" t="s">
        <v>33</v>
      </c>
      <c r="Y1126" t="s">
        <v>33</v>
      </c>
      <c r="Z1126" s="16" t="s">
        <v>34</v>
      </c>
      <c r="AA1126">
        <v>-75.574616899999995</v>
      </c>
      <c r="AB1126">
        <v>6.2194061100000004</v>
      </c>
      <c r="AC1126" t="s">
        <v>135</v>
      </c>
      <c r="AD1126" t="s">
        <v>136</v>
      </c>
    </row>
    <row r="1127" spans="1:30" x14ac:dyDescent="0.25">
      <c r="A1127" t="s">
        <v>10159</v>
      </c>
      <c r="B1127" t="s">
        <v>25</v>
      </c>
      <c r="C1127" t="s">
        <v>26</v>
      </c>
      <c r="D1127" t="s">
        <v>25</v>
      </c>
      <c r="E1127" t="s">
        <v>8702</v>
      </c>
      <c r="F1127" t="s">
        <v>8703</v>
      </c>
      <c r="G1127">
        <v>800093117</v>
      </c>
      <c r="H1127" t="s">
        <v>6009</v>
      </c>
      <c r="I1127" s="4" t="s">
        <v>94</v>
      </c>
      <c r="J1127" s="4" t="s">
        <v>8014</v>
      </c>
      <c r="K1127" t="s">
        <v>8704</v>
      </c>
      <c r="L1127" t="s">
        <v>27</v>
      </c>
      <c r="M1127" t="s">
        <v>8705</v>
      </c>
      <c r="N1127" t="s">
        <v>28</v>
      </c>
      <c r="O1127" t="s">
        <v>29</v>
      </c>
      <c r="P1127" t="s">
        <v>54</v>
      </c>
      <c r="Q1127" t="s">
        <v>31</v>
      </c>
      <c r="R1127">
        <v>7</v>
      </c>
      <c r="S1127" t="s">
        <v>8706</v>
      </c>
      <c r="T1127" t="s">
        <v>8700</v>
      </c>
      <c r="U1127" t="s">
        <v>8701</v>
      </c>
      <c r="V1127" t="s">
        <v>32</v>
      </c>
      <c r="W1127" t="s">
        <v>33</v>
      </c>
      <c r="X1127" t="s">
        <v>33</v>
      </c>
      <c r="Y1127" t="s">
        <v>33</v>
      </c>
      <c r="Z1127" s="16" t="s">
        <v>34</v>
      </c>
      <c r="AA1127">
        <v>-75.574616899999995</v>
      </c>
      <c r="AB1127">
        <v>6.2194061100000004</v>
      </c>
      <c r="AC1127" t="s">
        <v>135</v>
      </c>
      <c r="AD1127" t="s">
        <v>136</v>
      </c>
    </row>
    <row r="1128" spans="1:30" x14ac:dyDescent="0.25">
      <c r="A1128" t="s">
        <v>10160</v>
      </c>
      <c r="B1128" t="s">
        <v>25</v>
      </c>
      <c r="C1128" t="s">
        <v>26</v>
      </c>
      <c r="D1128" t="s">
        <v>25</v>
      </c>
      <c r="E1128" t="s">
        <v>8707</v>
      </c>
      <c r="F1128" t="s">
        <v>8708</v>
      </c>
      <c r="G1128">
        <v>800093117</v>
      </c>
      <c r="H1128" t="s">
        <v>6009</v>
      </c>
      <c r="I1128" s="4" t="s">
        <v>94</v>
      </c>
      <c r="J1128" s="4" t="s">
        <v>8014</v>
      </c>
      <c r="K1128" t="s">
        <v>8709</v>
      </c>
      <c r="L1128" t="s">
        <v>27</v>
      </c>
      <c r="M1128" t="s">
        <v>8710</v>
      </c>
      <c r="N1128" t="s">
        <v>28</v>
      </c>
      <c r="O1128" t="s">
        <v>29</v>
      </c>
      <c r="P1128" t="s">
        <v>54</v>
      </c>
      <c r="Q1128" t="s">
        <v>31</v>
      </c>
      <c r="R1128">
        <v>7</v>
      </c>
      <c r="S1128" t="s">
        <v>8711</v>
      </c>
      <c r="T1128" t="s">
        <v>3647</v>
      </c>
      <c r="U1128" t="s">
        <v>8712</v>
      </c>
      <c r="V1128" t="s">
        <v>32</v>
      </c>
      <c r="W1128" t="s">
        <v>33</v>
      </c>
      <c r="X1128" t="s">
        <v>33</v>
      </c>
      <c r="Y1128" t="s">
        <v>33</v>
      </c>
      <c r="Z1128" s="16" t="s">
        <v>34</v>
      </c>
      <c r="AA1128">
        <v>-75.574616899999995</v>
      </c>
      <c r="AB1128">
        <v>6.2194061100000004</v>
      </c>
      <c r="AC1128" t="s">
        <v>135</v>
      </c>
      <c r="AD1128" t="s">
        <v>136</v>
      </c>
    </row>
    <row r="1129" spans="1:30" x14ac:dyDescent="0.25">
      <c r="A1129" t="s">
        <v>10161</v>
      </c>
      <c r="B1129" t="s">
        <v>25</v>
      </c>
      <c r="C1129" t="s">
        <v>26</v>
      </c>
      <c r="D1129" t="s">
        <v>25</v>
      </c>
      <c r="E1129" t="s">
        <v>8713</v>
      </c>
      <c r="F1129" t="s">
        <v>8714</v>
      </c>
      <c r="G1129">
        <v>800093117</v>
      </c>
      <c r="H1129" t="s">
        <v>6009</v>
      </c>
      <c r="I1129" s="4" t="s">
        <v>94</v>
      </c>
      <c r="J1129" s="4" t="s">
        <v>8014</v>
      </c>
      <c r="K1129" t="s">
        <v>8715</v>
      </c>
      <c r="L1129" t="s">
        <v>27</v>
      </c>
      <c r="M1129" t="s">
        <v>8716</v>
      </c>
      <c r="N1129" t="s">
        <v>28</v>
      </c>
      <c r="O1129" t="s">
        <v>29</v>
      </c>
      <c r="P1129" t="s">
        <v>54</v>
      </c>
      <c r="Q1129" t="s">
        <v>31</v>
      </c>
      <c r="R1129">
        <v>7</v>
      </c>
      <c r="S1129" t="s">
        <v>8717</v>
      </c>
      <c r="T1129" t="s">
        <v>3647</v>
      </c>
      <c r="U1129" t="s">
        <v>8712</v>
      </c>
      <c r="V1129" t="s">
        <v>32</v>
      </c>
      <c r="W1129" t="s">
        <v>33</v>
      </c>
      <c r="X1129" t="s">
        <v>33</v>
      </c>
      <c r="Y1129" t="s">
        <v>33</v>
      </c>
      <c r="Z1129" s="16" t="s">
        <v>34</v>
      </c>
      <c r="AA1129">
        <v>-75.574616899999995</v>
      </c>
      <c r="AB1129">
        <v>6.2194061100000004</v>
      </c>
      <c r="AC1129" t="s">
        <v>135</v>
      </c>
      <c r="AD1129" t="s">
        <v>136</v>
      </c>
    </row>
    <row r="1130" spans="1:30" x14ac:dyDescent="0.25">
      <c r="A1130" t="s">
        <v>10162</v>
      </c>
      <c r="B1130" t="s">
        <v>25</v>
      </c>
      <c r="C1130" t="s">
        <v>26</v>
      </c>
      <c r="D1130" t="s">
        <v>25</v>
      </c>
      <c r="E1130" t="s">
        <v>8718</v>
      </c>
      <c r="F1130" t="s">
        <v>8719</v>
      </c>
      <c r="G1130">
        <v>800093117</v>
      </c>
      <c r="H1130" t="s">
        <v>6009</v>
      </c>
      <c r="I1130" s="4" t="s">
        <v>94</v>
      </c>
      <c r="J1130" s="4" t="s">
        <v>8014</v>
      </c>
      <c r="K1130" t="s">
        <v>8720</v>
      </c>
      <c r="L1130" t="s">
        <v>27</v>
      </c>
      <c r="M1130" t="s">
        <v>8721</v>
      </c>
      <c r="N1130" t="s">
        <v>28</v>
      </c>
      <c r="O1130" t="s">
        <v>29</v>
      </c>
      <c r="P1130" t="s">
        <v>54</v>
      </c>
      <c r="Q1130" t="s">
        <v>31</v>
      </c>
      <c r="R1130">
        <v>7</v>
      </c>
      <c r="S1130" t="s">
        <v>8722</v>
      </c>
      <c r="T1130" t="s">
        <v>3647</v>
      </c>
      <c r="U1130" t="s">
        <v>8712</v>
      </c>
      <c r="V1130" t="s">
        <v>32</v>
      </c>
      <c r="W1130" t="s">
        <v>33</v>
      </c>
      <c r="X1130" t="s">
        <v>33</v>
      </c>
      <c r="Y1130" t="s">
        <v>33</v>
      </c>
      <c r="Z1130" s="16" t="s">
        <v>34</v>
      </c>
      <c r="AA1130">
        <v>-75.574616899999995</v>
      </c>
      <c r="AB1130">
        <v>6.2194061100000004</v>
      </c>
      <c r="AC1130" t="s">
        <v>135</v>
      </c>
      <c r="AD1130" t="s">
        <v>136</v>
      </c>
    </row>
    <row r="1131" spans="1:30" x14ac:dyDescent="0.25">
      <c r="A1131" t="s">
        <v>10163</v>
      </c>
      <c r="B1131" t="s">
        <v>25</v>
      </c>
      <c r="C1131" t="s">
        <v>26</v>
      </c>
      <c r="D1131" t="s">
        <v>25</v>
      </c>
      <c r="E1131" t="s">
        <v>8723</v>
      </c>
      <c r="F1131" t="s">
        <v>8724</v>
      </c>
      <c r="G1131">
        <v>800093117</v>
      </c>
      <c r="H1131" t="s">
        <v>6009</v>
      </c>
      <c r="I1131" s="4" t="s">
        <v>94</v>
      </c>
      <c r="J1131" s="4" t="s">
        <v>8014</v>
      </c>
      <c r="K1131" t="s">
        <v>8725</v>
      </c>
      <c r="L1131" t="s">
        <v>27</v>
      </c>
      <c r="M1131" t="s">
        <v>8726</v>
      </c>
      <c r="N1131" t="s">
        <v>28</v>
      </c>
      <c r="O1131" t="s">
        <v>29</v>
      </c>
      <c r="P1131" t="s">
        <v>54</v>
      </c>
      <c r="Q1131" t="s">
        <v>31</v>
      </c>
      <c r="R1131">
        <v>7</v>
      </c>
      <c r="S1131" t="s">
        <v>8727</v>
      </c>
      <c r="T1131" t="s">
        <v>6909</v>
      </c>
      <c r="U1131" t="s">
        <v>6625</v>
      </c>
      <c r="V1131" t="s">
        <v>32</v>
      </c>
      <c r="W1131" t="s">
        <v>33</v>
      </c>
      <c r="X1131" t="s">
        <v>33</v>
      </c>
      <c r="Y1131" t="s">
        <v>33</v>
      </c>
      <c r="Z1131" s="16" t="s">
        <v>34</v>
      </c>
      <c r="AA1131">
        <v>-75.574616899999995</v>
      </c>
      <c r="AB1131">
        <v>6.2194061100000004</v>
      </c>
      <c r="AC1131" t="s">
        <v>135</v>
      </c>
      <c r="AD1131" t="s">
        <v>136</v>
      </c>
    </row>
    <row r="1132" spans="1:30" x14ac:dyDescent="0.25">
      <c r="A1132" t="s">
        <v>10164</v>
      </c>
      <c r="B1132" t="s">
        <v>25</v>
      </c>
      <c r="C1132" t="s">
        <v>26</v>
      </c>
      <c r="D1132" t="s">
        <v>25</v>
      </c>
      <c r="E1132" t="s">
        <v>8728</v>
      </c>
      <c r="F1132" t="s">
        <v>8729</v>
      </c>
      <c r="G1132">
        <v>800093117</v>
      </c>
      <c r="H1132" t="s">
        <v>6009</v>
      </c>
      <c r="I1132" s="4" t="s">
        <v>94</v>
      </c>
      <c r="J1132" s="4" t="s">
        <v>8014</v>
      </c>
      <c r="K1132" t="s">
        <v>8730</v>
      </c>
      <c r="L1132" t="s">
        <v>27</v>
      </c>
      <c r="M1132" t="s">
        <v>8731</v>
      </c>
      <c r="N1132" t="s">
        <v>28</v>
      </c>
      <c r="O1132" t="s">
        <v>29</v>
      </c>
      <c r="P1132" t="s">
        <v>54</v>
      </c>
      <c r="Q1132" t="s">
        <v>31</v>
      </c>
      <c r="R1132">
        <v>7</v>
      </c>
      <c r="S1132" t="s">
        <v>8732</v>
      </c>
      <c r="T1132" t="s">
        <v>6909</v>
      </c>
      <c r="U1132" t="s">
        <v>6625</v>
      </c>
      <c r="V1132" t="s">
        <v>32</v>
      </c>
      <c r="W1132" t="s">
        <v>33</v>
      </c>
      <c r="X1132" t="s">
        <v>33</v>
      </c>
      <c r="Y1132" t="s">
        <v>33</v>
      </c>
      <c r="Z1132" s="16" t="s">
        <v>34</v>
      </c>
      <c r="AA1132">
        <v>-75.574616899999995</v>
      </c>
      <c r="AB1132">
        <v>6.2194061100000004</v>
      </c>
      <c r="AC1132" t="s">
        <v>135</v>
      </c>
      <c r="AD1132" t="s">
        <v>136</v>
      </c>
    </row>
    <row r="1133" spans="1:30" x14ac:dyDescent="0.25">
      <c r="A1133" t="s">
        <v>10165</v>
      </c>
      <c r="B1133" t="s">
        <v>25</v>
      </c>
      <c r="C1133" t="s">
        <v>26</v>
      </c>
      <c r="D1133" t="s">
        <v>25</v>
      </c>
      <c r="E1133" t="s">
        <v>8733</v>
      </c>
      <c r="F1133" t="s">
        <v>8734</v>
      </c>
      <c r="G1133">
        <v>800093117</v>
      </c>
      <c r="H1133" t="s">
        <v>6009</v>
      </c>
      <c r="I1133" s="4" t="s">
        <v>94</v>
      </c>
      <c r="J1133" s="4" t="s">
        <v>8014</v>
      </c>
      <c r="K1133" t="s">
        <v>8735</v>
      </c>
      <c r="L1133" t="s">
        <v>27</v>
      </c>
      <c r="M1133" t="s">
        <v>8736</v>
      </c>
      <c r="N1133" t="s">
        <v>28</v>
      </c>
      <c r="O1133" t="s">
        <v>29</v>
      </c>
      <c r="P1133" t="s">
        <v>54</v>
      </c>
      <c r="Q1133" t="s">
        <v>31</v>
      </c>
      <c r="R1133">
        <v>7</v>
      </c>
      <c r="S1133" t="s">
        <v>8737</v>
      </c>
      <c r="T1133" t="s">
        <v>8738</v>
      </c>
      <c r="U1133" t="s">
        <v>8739</v>
      </c>
      <c r="V1133" t="s">
        <v>32</v>
      </c>
      <c r="W1133" t="s">
        <v>33</v>
      </c>
      <c r="X1133" t="s">
        <v>33</v>
      </c>
      <c r="Y1133" t="s">
        <v>33</v>
      </c>
      <c r="Z1133" s="16" t="s">
        <v>34</v>
      </c>
      <c r="AA1133">
        <v>-75.574616899999995</v>
      </c>
      <c r="AB1133">
        <v>6.2194061100000004</v>
      </c>
      <c r="AC1133" t="s">
        <v>135</v>
      </c>
      <c r="AD1133" t="s">
        <v>136</v>
      </c>
    </row>
    <row r="1134" spans="1:30" x14ac:dyDescent="0.25">
      <c r="A1134" t="s">
        <v>10166</v>
      </c>
      <c r="B1134" t="s">
        <v>25</v>
      </c>
      <c r="C1134" t="s">
        <v>26</v>
      </c>
      <c r="D1134" t="s">
        <v>25</v>
      </c>
      <c r="E1134" t="s">
        <v>8740</v>
      </c>
      <c r="F1134" t="s">
        <v>8741</v>
      </c>
      <c r="G1134">
        <v>1036674008</v>
      </c>
      <c r="H1134" t="s">
        <v>8742</v>
      </c>
      <c r="I1134" s="4" t="s">
        <v>35</v>
      </c>
      <c r="J1134" s="4" t="s">
        <v>8743</v>
      </c>
      <c r="K1134" t="s">
        <v>8744</v>
      </c>
      <c r="L1134" t="s">
        <v>44</v>
      </c>
      <c r="M1134" t="s">
        <v>8745</v>
      </c>
      <c r="N1134" t="s">
        <v>45</v>
      </c>
      <c r="O1134" t="s">
        <v>29</v>
      </c>
      <c r="P1134" t="s">
        <v>37</v>
      </c>
      <c r="Q1134" t="s">
        <v>31</v>
      </c>
      <c r="R1134">
        <v>7</v>
      </c>
      <c r="S1134" t="s">
        <v>8746</v>
      </c>
      <c r="T1134" t="s">
        <v>8747</v>
      </c>
      <c r="U1134" t="s">
        <v>2553</v>
      </c>
      <c r="V1134" t="s">
        <v>32</v>
      </c>
      <c r="W1134" t="s">
        <v>33</v>
      </c>
      <c r="X1134" t="s">
        <v>33</v>
      </c>
      <c r="Y1134" t="s">
        <v>33</v>
      </c>
      <c r="Z1134" s="16" t="s">
        <v>34</v>
      </c>
      <c r="AA1134">
        <v>-75.636459099999996</v>
      </c>
      <c r="AB1134">
        <v>6.1716654200000001</v>
      </c>
      <c r="AC1134" t="s">
        <v>135</v>
      </c>
      <c r="AD1134" t="s">
        <v>136</v>
      </c>
    </row>
    <row r="1135" spans="1:30" x14ac:dyDescent="0.25">
      <c r="A1135" t="s">
        <v>10167</v>
      </c>
      <c r="B1135" t="s">
        <v>25</v>
      </c>
      <c r="C1135" t="s">
        <v>26</v>
      </c>
      <c r="D1135" t="s">
        <v>25</v>
      </c>
      <c r="E1135" t="s">
        <v>8748</v>
      </c>
      <c r="F1135" t="s">
        <v>8749</v>
      </c>
      <c r="G1135">
        <v>70103344</v>
      </c>
      <c r="H1135" t="s">
        <v>8750</v>
      </c>
      <c r="I1135" s="4" t="s">
        <v>35</v>
      </c>
      <c r="J1135" s="4" t="s">
        <v>8751</v>
      </c>
      <c r="K1135" t="s">
        <v>8752</v>
      </c>
      <c r="L1135" t="s">
        <v>57</v>
      </c>
      <c r="M1135" t="s">
        <v>8753</v>
      </c>
      <c r="N1135" t="s">
        <v>58</v>
      </c>
      <c r="O1135" t="s">
        <v>29</v>
      </c>
      <c r="P1135" t="s">
        <v>37</v>
      </c>
      <c r="Q1135" t="s">
        <v>38</v>
      </c>
      <c r="R1135">
        <v>10</v>
      </c>
      <c r="S1135" t="s">
        <v>8754</v>
      </c>
      <c r="T1135" t="s">
        <v>8755</v>
      </c>
      <c r="U1135" t="s">
        <v>8756</v>
      </c>
      <c r="V1135" t="s">
        <v>32</v>
      </c>
      <c r="W1135" t="s">
        <v>33</v>
      </c>
      <c r="X1135" t="s">
        <v>33</v>
      </c>
      <c r="Y1135" t="s">
        <v>33</v>
      </c>
      <c r="Z1135" s="16" t="s">
        <v>34</v>
      </c>
      <c r="AA1135">
        <v>-75.630610599999997</v>
      </c>
      <c r="AB1135">
        <v>6.0470989700000004</v>
      </c>
      <c r="AC1135" t="s">
        <v>135</v>
      </c>
      <c r="AD1135" t="s">
        <v>136</v>
      </c>
    </row>
    <row r="1136" spans="1:30" x14ac:dyDescent="0.25">
      <c r="A1136" t="s">
        <v>10168</v>
      </c>
      <c r="B1136" t="s">
        <v>50</v>
      </c>
      <c r="C1136" t="s">
        <v>26</v>
      </c>
      <c r="D1136" t="s">
        <v>50</v>
      </c>
      <c r="E1136" t="s">
        <v>8757</v>
      </c>
      <c r="F1136" t="s">
        <v>8758</v>
      </c>
      <c r="G1136">
        <v>43733189</v>
      </c>
      <c r="H1136" t="s">
        <v>8759</v>
      </c>
      <c r="I1136" s="4" t="s">
        <v>35</v>
      </c>
      <c r="J1136" s="4" t="s">
        <v>8760</v>
      </c>
      <c r="K1136" t="s">
        <v>8761</v>
      </c>
      <c r="L1136" t="s">
        <v>27</v>
      </c>
      <c r="M1136" t="s">
        <v>8762</v>
      </c>
      <c r="N1136" t="s">
        <v>28</v>
      </c>
      <c r="O1136" t="s">
        <v>51</v>
      </c>
      <c r="P1136" t="s">
        <v>52</v>
      </c>
      <c r="Q1136" t="s">
        <v>31</v>
      </c>
      <c r="R1136">
        <v>11</v>
      </c>
      <c r="S1136" t="s">
        <v>8763</v>
      </c>
      <c r="T1136" t="s">
        <v>8755</v>
      </c>
      <c r="U1136" t="s">
        <v>8764</v>
      </c>
      <c r="V1136" t="s">
        <v>32</v>
      </c>
      <c r="W1136" t="s">
        <v>33</v>
      </c>
      <c r="X1136" t="s">
        <v>33</v>
      </c>
      <c r="Y1136" t="s">
        <v>33</v>
      </c>
      <c r="Z1136" s="16" t="s">
        <v>34</v>
      </c>
      <c r="AA1136">
        <v>-75.626637000000002</v>
      </c>
      <c r="AB1136">
        <v>6.2742269999999998</v>
      </c>
      <c r="AC1136" t="s">
        <v>135</v>
      </c>
      <c r="AD1136" t="s">
        <v>136</v>
      </c>
    </row>
    <row r="1137" spans="1:30" x14ac:dyDescent="0.25">
      <c r="A1137" t="s">
        <v>10169</v>
      </c>
      <c r="B1137" t="s">
        <v>61</v>
      </c>
      <c r="C1137" t="s">
        <v>26</v>
      </c>
      <c r="D1137" t="s">
        <v>61</v>
      </c>
      <c r="E1137" t="s">
        <v>8765</v>
      </c>
      <c r="F1137" t="s">
        <v>8766</v>
      </c>
      <c r="G1137">
        <v>8102764</v>
      </c>
      <c r="H1137" t="s">
        <v>8767</v>
      </c>
      <c r="I1137" s="4" t="s">
        <v>8768</v>
      </c>
      <c r="J1137" s="4" t="s">
        <v>8769</v>
      </c>
      <c r="K1137" t="s">
        <v>8770</v>
      </c>
      <c r="L1137" t="s">
        <v>48</v>
      </c>
      <c r="M1137" t="s">
        <v>8771</v>
      </c>
      <c r="N1137" t="s">
        <v>64</v>
      </c>
      <c r="O1137" t="s">
        <v>62</v>
      </c>
      <c r="P1137" t="s">
        <v>63</v>
      </c>
      <c r="Q1137" t="s">
        <v>38</v>
      </c>
      <c r="R1137">
        <v>4</v>
      </c>
      <c r="S1137" t="s">
        <v>8772</v>
      </c>
      <c r="T1137" t="s">
        <v>8773</v>
      </c>
      <c r="U1137" t="s">
        <v>7174</v>
      </c>
      <c r="V1137" t="s">
        <v>32</v>
      </c>
      <c r="W1137" t="s">
        <v>33</v>
      </c>
      <c r="X1137" t="s">
        <v>33</v>
      </c>
      <c r="Y1137" t="s">
        <v>33</v>
      </c>
      <c r="Z1137" s="16" t="s">
        <v>34</v>
      </c>
      <c r="AA1137">
        <v>-75.530072820000001</v>
      </c>
      <c r="AB1137">
        <v>6.1678201399999999</v>
      </c>
      <c r="AC1137" t="s">
        <v>135</v>
      </c>
      <c r="AD1137" t="s">
        <v>136</v>
      </c>
    </row>
    <row r="1138" spans="1:30" x14ac:dyDescent="0.25">
      <c r="A1138" t="s">
        <v>10170</v>
      </c>
      <c r="B1138" t="s">
        <v>25</v>
      </c>
      <c r="C1138" t="s">
        <v>26</v>
      </c>
      <c r="D1138" t="s">
        <v>25</v>
      </c>
      <c r="E1138" t="s">
        <v>8774</v>
      </c>
      <c r="F1138" t="s">
        <v>8775</v>
      </c>
      <c r="G1138">
        <v>800093117</v>
      </c>
      <c r="H1138" t="s">
        <v>6009</v>
      </c>
      <c r="I1138" s="4" t="s">
        <v>94</v>
      </c>
      <c r="J1138" s="4" t="s">
        <v>8014</v>
      </c>
      <c r="K1138" t="s">
        <v>8776</v>
      </c>
      <c r="L1138" t="s">
        <v>27</v>
      </c>
      <c r="M1138" t="s">
        <v>8777</v>
      </c>
      <c r="N1138" t="s">
        <v>28</v>
      </c>
      <c r="O1138" t="s">
        <v>29</v>
      </c>
      <c r="P1138" t="s">
        <v>54</v>
      </c>
      <c r="Q1138" t="s">
        <v>31</v>
      </c>
      <c r="R1138">
        <v>7</v>
      </c>
      <c r="S1138" t="s">
        <v>8778</v>
      </c>
      <c r="T1138" t="s">
        <v>7092</v>
      </c>
      <c r="U1138" t="s">
        <v>8779</v>
      </c>
      <c r="V1138" t="s">
        <v>32</v>
      </c>
      <c r="W1138" t="s">
        <v>33</v>
      </c>
      <c r="X1138" t="s">
        <v>33</v>
      </c>
      <c r="Y1138" t="s">
        <v>33</v>
      </c>
      <c r="Z1138" s="16" t="s">
        <v>34</v>
      </c>
      <c r="AA1138">
        <v>-75.574616899999995</v>
      </c>
      <c r="AB1138">
        <v>6.2194061100000004</v>
      </c>
      <c r="AC1138" t="s">
        <v>135</v>
      </c>
      <c r="AD1138" t="s">
        <v>136</v>
      </c>
    </row>
    <row r="1139" spans="1:30" x14ac:dyDescent="0.25">
      <c r="A1139" t="s">
        <v>10171</v>
      </c>
      <c r="B1139" t="s">
        <v>25</v>
      </c>
      <c r="C1139" t="s">
        <v>26</v>
      </c>
      <c r="D1139" t="s">
        <v>25</v>
      </c>
      <c r="E1139" t="s">
        <v>8780</v>
      </c>
      <c r="F1139" t="s">
        <v>8781</v>
      </c>
      <c r="G1139">
        <v>800093117</v>
      </c>
      <c r="H1139" t="s">
        <v>6009</v>
      </c>
      <c r="I1139" s="4" t="s">
        <v>94</v>
      </c>
      <c r="J1139" s="4" t="s">
        <v>8014</v>
      </c>
      <c r="K1139" t="s">
        <v>8782</v>
      </c>
      <c r="L1139" t="s">
        <v>27</v>
      </c>
      <c r="M1139" t="s">
        <v>8783</v>
      </c>
      <c r="N1139" t="s">
        <v>28</v>
      </c>
      <c r="O1139" t="s">
        <v>29</v>
      </c>
      <c r="P1139" t="s">
        <v>54</v>
      </c>
      <c r="Q1139" t="s">
        <v>31</v>
      </c>
      <c r="R1139">
        <v>7</v>
      </c>
      <c r="S1139" t="s">
        <v>8784</v>
      </c>
      <c r="T1139" t="s">
        <v>8785</v>
      </c>
      <c r="U1139" t="s">
        <v>8786</v>
      </c>
      <c r="V1139" t="s">
        <v>32</v>
      </c>
      <c r="W1139" t="s">
        <v>33</v>
      </c>
      <c r="X1139" t="s">
        <v>33</v>
      </c>
      <c r="Y1139" t="s">
        <v>33</v>
      </c>
      <c r="Z1139" s="16" t="s">
        <v>34</v>
      </c>
      <c r="AA1139">
        <v>-75.574616899999995</v>
      </c>
      <c r="AB1139">
        <v>6.2194061100000004</v>
      </c>
      <c r="AC1139" t="s">
        <v>135</v>
      </c>
      <c r="AD1139" t="s">
        <v>136</v>
      </c>
    </row>
    <row r="1140" spans="1:30" x14ac:dyDescent="0.25">
      <c r="A1140" t="s">
        <v>10172</v>
      </c>
      <c r="B1140" t="s">
        <v>25</v>
      </c>
      <c r="C1140" t="s">
        <v>26</v>
      </c>
      <c r="D1140" t="s">
        <v>25</v>
      </c>
      <c r="E1140" t="s">
        <v>8787</v>
      </c>
      <c r="F1140" t="s">
        <v>8788</v>
      </c>
      <c r="G1140">
        <v>800093117</v>
      </c>
      <c r="H1140" t="s">
        <v>6009</v>
      </c>
      <c r="I1140" s="4" t="s">
        <v>94</v>
      </c>
      <c r="J1140" s="4" t="s">
        <v>8014</v>
      </c>
      <c r="K1140" t="s">
        <v>8789</v>
      </c>
      <c r="L1140" t="s">
        <v>27</v>
      </c>
      <c r="M1140" t="s">
        <v>8790</v>
      </c>
      <c r="N1140" t="s">
        <v>28</v>
      </c>
      <c r="O1140" t="s">
        <v>29</v>
      </c>
      <c r="P1140" t="s">
        <v>54</v>
      </c>
      <c r="Q1140" t="s">
        <v>31</v>
      </c>
      <c r="R1140">
        <v>7</v>
      </c>
      <c r="S1140" t="s">
        <v>8791</v>
      </c>
      <c r="T1140" t="s">
        <v>8785</v>
      </c>
      <c r="U1140" t="s">
        <v>8786</v>
      </c>
      <c r="V1140" t="s">
        <v>32</v>
      </c>
      <c r="W1140" t="s">
        <v>33</v>
      </c>
      <c r="X1140" t="s">
        <v>33</v>
      </c>
      <c r="Y1140" t="s">
        <v>33</v>
      </c>
      <c r="Z1140" s="16" t="s">
        <v>34</v>
      </c>
      <c r="AA1140">
        <v>-75.574616899999995</v>
      </c>
      <c r="AB1140">
        <v>6.2194061100000004</v>
      </c>
      <c r="AC1140" t="s">
        <v>135</v>
      </c>
      <c r="AD1140" t="s">
        <v>136</v>
      </c>
    </row>
    <row r="1141" spans="1:30" x14ac:dyDescent="0.25">
      <c r="A1141" t="s">
        <v>10173</v>
      </c>
      <c r="B1141" t="s">
        <v>25</v>
      </c>
      <c r="C1141" t="s">
        <v>26</v>
      </c>
      <c r="D1141" t="s">
        <v>25</v>
      </c>
      <c r="E1141" t="s">
        <v>8792</v>
      </c>
      <c r="F1141" t="s">
        <v>8793</v>
      </c>
      <c r="G1141">
        <v>800093117</v>
      </c>
      <c r="H1141" t="s">
        <v>6009</v>
      </c>
      <c r="I1141" s="4" t="s">
        <v>94</v>
      </c>
      <c r="J1141" s="4" t="s">
        <v>8014</v>
      </c>
      <c r="K1141" t="s">
        <v>8794</v>
      </c>
      <c r="L1141" t="s">
        <v>27</v>
      </c>
      <c r="M1141" t="s">
        <v>8795</v>
      </c>
      <c r="N1141" t="s">
        <v>28</v>
      </c>
      <c r="O1141" t="s">
        <v>29</v>
      </c>
      <c r="P1141" t="s">
        <v>54</v>
      </c>
      <c r="Q1141" t="s">
        <v>31</v>
      </c>
      <c r="R1141">
        <v>7</v>
      </c>
      <c r="S1141" t="s">
        <v>8796</v>
      </c>
      <c r="T1141" t="s">
        <v>8797</v>
      </c>
      <c r="U1141" t="s">
        <v>8798</v>
      </c>
      <c r="V1141" t="s">
        <v>32</v>
      </c>
      <c r="W1141" t="s">
        <v>33</v>
      </c>
      <c r="X1141" t="s">
        <v>33</v>
      </c>
      <c r="Y1141" t="s">
        <v>33</v>
      </c>
      <c r="Z1141" s="16" t="s">
        <v>34</v>
      </c>
      <c r="AA1141">
        <v>-75.574616899999995</v>
      </c>
      <c r="AB1141">
        <v>6.2194061100000004</v>
      </c>
      <c r="AC1141" t="s">
        <v>135</v>
      </c>
      <c r="AD1141" t="s">
        <v>136</v>
      </c>
    </row>
    <row r="1142" spans="1:30" x14ac:dyDescent="0.25">
      <c r="A1142" t="s">
        <v>10174</v>
      </c>
      <c r="B1142" t="s">
        <v>25</v>
      </c>
      <c r="C1142" t="s">
        <v>26</v>
      </c>
      <c r="D1142" t="s">
        <v>25</v>
      </c>
      <c r="E1142" t="s">
        <v>8799</v>
      </c>
      <c r="F1142" t="s">
        <v>8800</v>
      </c>
      <c r="G1142">
        <v>800093117</v>
      </c>
      <c r="H1142" t="s">
        <v>6009</v>
      </c>
      <c r="I1142" s="4" t="s">
        <v>94</v>
      </c>
      <c r="J1142" s="4" t="s">
        <v>8014</v>
      </c>
      <c r="K1142" t="s">
        <v>8801</v>
      </c>
      <c r="L1142" t="s">
        <v>27</v>
      </c>
      <c r="M1142" t="s">
        <v>8802</v>
      </c>
      <c r="N1142" t="s">
        <v>28</v>
      </c>
      <c r="O1142" t="s">
        <v>29</v>
      </c>
      <c r="P1142" t="s">
        <v>54</v>
      </c>
      <c r="Q1142" t="s">
        <v>31</v>
      </c>
      <c r="R1142">
        <v>7</v>
      </c>
      <c r="S1142" t="s">
        <v>8803</v>
      </c>
      <c r="T1142" t="s">
        <v>8797</v>
      </c>
      <c r="U1142" t="s">
        <v>8798</v>
      </c>
      <c r="V1142" t="s">
        <v>32</v>
      </c>
      <c r="W1142" t="s">
        <v>33</v>
      </c>
      <c r="X1142" t="s">
        <v>33</v>
      </c>
      <c r="Y1142" t="s">
        <v>33</v>
      </c>
      <c r="Z1142" s="16" t="s">
        <v>34</v>
      </c>
      <c r="AA1142">
        <v>-75.574616899999995</v>
      </c>
      <c r="AB1142">
        <v>6.2194061100000004</v>
      </c>
      <c r="AC1142" t="s">
        <v>135</v>
      </c>
      <c r="AD1142" t="s">
        <v>136</v>
      </c>
    </row>
    <row r="1143" spans="1:30" x14ac:dyDescent="0.25">
      <c r="A1143" t="s">
        <v>10175</v>
      </c>
      <c r="B1143" t="s">
        <v>25</v>
      </c>
      <c r="C1143" t="s">
        <v>26</v>
      </c>
      <c r="D1143" t="s">
        <v>25</v>
      </c>
      <c r="E1143" t="s">
        <v>8804</v>
      </c>
      <c r="F1143" t="s">
        <v>8805</v>
      </c>
      <c r="G1143">
        <v>800093117</v>
      </c>
      <c r="H1143" t="s">
        <v>6009</v>
      </c>
      <c r="I1143" s="4" t="s">
        <v>94</v>
      </c>
      <c r="J1143" s="4" t="s">
        <v>8014</v>
      </c>
      <c r="K1143" t="s">
        <v>8806</v>
      </c>
      <c r="L1143" t="s">
        <v>27</v>
      </c>
      <c r="M1143" t="s">
        <v>8807</v>
      </c>
      <c r="N1143" t="s">
        <v>28</v>
      </c>
      <c r="O1143" t="s">
        <v>29</v>
      </c>
      <c r="P1143" t="s">
        <v>54</v>
      </c>
      <c r="Q1143" t="s">
        <v>31</v>
      </c>
      <c r="R1143">
        <v>7</v>
      </c>
      <c r="S1143" t="s">
        <v>8808</v>
      </c>
      <c r="T1143" t="s">
        <v>8797</v>
      </c>
      <c r="U1143" t="s">
        <v>8798</v>
      </c>
      <c r="V1143" t="s">
        <v>32</v>
      </c>
      <c r="W1143" t="s">
        <v>33</v>
      </c>
      <c r="X1143" t="s">
        <v>33</v>
      </c>
      <c r="Y1143" t="s">
        <v>33</v>
      </c>
      <c r="Z1143" s="16" t="s">
        <v>34</v>
      </c>
      <c r="AA1143">
        <v>-75.574616899999995</v>
      </c>
      <c r="AB1143">
        <v>6.2194061100000004</v>
      </c>
      <c r="AC1143" t="s">
        <v>135</v>
      </c>
      <c r="AD1143" t="s">
        <v>136</v>
      </c>
    </row>
    <row r="1144" spans="1:30" x14ac:dyDescent="0.25">
      <c r="A1144" t="s">
        <v>10176</v>
      </c>
      <c r="B1144" t="s">
        <v>25</v>
      </c>
      <c r="C1144" t="s">
        <v>26</v>
      </c>
      <c r="D1144" t="s">
        <v>25</v>
      </c>
      <c r="E1144" t="s">
        <v>8809</v>
      </c>
      <c r="F1144" t="s">
        <v>8810</v>
      </c>
      <c r="G1144">
        <v>800093117</v>
      </c>
      <c r="H1144" t="s">
        <v>6009</v>
      </c>
      <c r="I1144" s="4" t="s">
        <v>94</v>
      </c>
      <c r="J1144" s="4" t="s">
        <v>8014</v>
      </c>
      <c r="K1144" t="s">
        <v>8811</v>
      </c>
      <c r="L1144" t="s">
        <v>27</v>
      </c>
      <c r="M1144" t="s">
        <v>8812</v>
      </c>
      <c r="N1144" t="s">
        <v>28</v>
      </c>
      <c r="O1144" t="s">
        <v>29</v>
      </c>
      <c r="P1144" t="s">
        <v>54</v>
      </c>
      <c r="Q1144" t="s">
        <v>31</v>
      </c>
      <c r="R1144">
        <v>7</v>
      </c>
      <c r="S1144" t="s">
        <v>8813</v>
      </c>
      <c r="T1144" t="s">
        <v>8814</v>
      </c>
      <c r="U1144" t="s">
        <v>8815</v>
      </c>
      <c r="V1144" t="s">
        <v>32</v>
      </c>
      <c r="W1144" t="s">
        <v>33</v>
      </c>
      <c r="X1144" t="s">
        <v>33</v>
      </c>
      <c r="Y1144" t="s">
        <v>33</v>
      </c>
      <c r="Z1144" s="16" t="s">
        <v>34</v>
      </c>
      <c r="AA1144">
        <v>-75.574616899999995</v>
      </c>
      <c r="AB1144">
        <v>6.2194061100000004</v>
      </c>
      <c r="AC1144" t="s">
        <v>135</v>
      </c>
      <c r="AD1144" t="s">
        <v>136</v>
      </c>
    </row>
    <row r="1145" spans="1:30" x14ac:dyDescent="0.25">
      <c r="A1145" t="s">
        <v>10177</v>
      </c>
      <c r="B1145" t="s">
        <v>25</v>
      </c>
      <c r="C1145" t="s">
        <v>26</v>
      </c>
      <c r="D1145" t="s">
        <v>25</v>
      </c>
      <c r="E1145" t="s">
        <v>8816</v>
      </c>
      <c r="F1145" t="s">
        <v>8817</v>
      </c>
      <c r="G1145">
        <v>800093117</v>
      </c>
      <c r="H1145" t="s">
        <v>6009</v>
      </c>
      <c r="I1145" s="4" t="s">
        <v>94</v>
      </c>
      <c r="J1145" s="4" t="s">
        <v>8014</v>
      </c>
      <c r="K1145" t="s">
        <v>8818</v>
      </c>
      <c r="L1145" t="s">
        <v>27</v>
      </c>
      <c r="M1145" t="s">
        <v>8819</v>
      </c>
      <c r="N1145" t="s">
        <v>28</v>
      </c>
      <c r="O1145" t="s">
        <v>29</v>
      </c>
      <c r="P1145" t="s">
        <v>54</v>
      </c>
      <c r="Q1145" t="s">
        <v>31</v>
      </c>
      <c r="R1145">
        <v>7</v>
      </c>
      <c r="S1145" t="s">
        <v>8820</v>
      </c>
      <c r="T1145" t="s">
        <v>8814</v>
      </c>
      <c r="U1145" t="s">
        <v>8815</v>
      </c>
      <c r="V1145" t="s">
        <v>32</v>
      </c>
      <c r="W1145" t="s">
        <v>33</v>
      </c>
      <c r="X1145" t="s">
        <v>33</v>
      </c>
      <c r="Y1145" t="s">
        <v>33</v>
      </c>
      <c r="Z1145" s="16" t="s">
        <v>34</v>
      </c>
      <c r="AA1145">
        <v>-75.574616899999995</v>
      </c>
      <c r="AB1145">
        <v>6.2194061100000004</v>
      </c>
      <c r="AC1145" t="s">
        <v>135</v>
      </c>
      <c r="AD1145" t="s">
        <v>136</v>
      </c>
    </row>
    <row r="1146" spans="1:30" x14ac:dyDescent="0.25">
      <c r="A1146" t="s">
        <v>10178</v>
      </c>
      <c r="B1146" t="s">
        <v>25</v>
      </c>
      <c r="C1146" t="s">
        <v>26</v>
      </c>
      <c r="D1146" t="s">
        <v>25</v>
      </c>
      <c r="E1146" t="s">
        <v>8821</v>
      </c>
      <c r="F1146" t="s">
        <v>8822</v>
      </c>
      <c r="G1146">
        <v>800093117</v>
      </c>
      <c r="H1146" t="s">
        <v>6009</v>
      </c>
      <c r="I1146" s="4" t="s">
        <v>94</v>
      </c>
      <c r="J1146" s="4" t="s">
        <v>8014</v>
      </c>
      <c r="K1146" t="s">
        <v>8823</v>
      </c>
      <c r="L1146" t="s">
        <v>27</v>
      </c>
      <c r="M1146" t="s">
        <v>8824</v>
      </c>
      <c r="N1146" t="s">
        <v>28</v>
      </c>
      <c r="O1146" t="s">
        <v>29</v>
      </c>
      <c r="P1146" t="s">
        <v>54</v>
      </c>
      <c r="Q1146" t="s">
        <v>31</v>
      </c>
      <c r="R1146">
        <v>7</v>
      </c>
      <c r="S1146" t="s">
        <v>8825</v>
      </c>
      <c r="T1146" t="s">
        <v>8814</v>
      </c>
      <c r="U1146" t="s">
        <v>8815</v>
      </c>
      <c r="V1146" t="s">
        <v>32</v>
      </c>
      <c r="W1146" t="s">
        <v>33</v>
      </c>
      <c r="X1146" t="s">
        <v>33</v>
      </c>
      <c r="Y1146" t="s">
        <v>33</v>
      </c>
      <c r="Z1146" s="16" t="s">
        <v>34</v>
      </c>
      <c r="AA1146">
        <v>-75.574616899999995</v>
      </c>
      <c r="AB1146">
        <v>6.2194061100000004</v>
      </c>
      <c r="AC1146" t="s">
        <v>135</v>
      </c>
      <c r="AD1146" t="s">
        <v>136</v>
      </c>
    </row>
    <row r="1147" spans="1:30" x14ac:dyDescent="0.25">
      <c r="A1147" t="s">
        <v>10179</v>
      </c>
      <c r="B1147" t="s">
        <v>50</v>
      </c>
      <c r="C1147" t="s">
        <v>26</v>
      </c>
      <c r="D1147" t="s">
        <v>50</v>
      </c>
      <c r="E1147" t="s">
        <v>8826</v>
      </c>
      <c r="F1147" t="s">
        <v>8827</v>
      </c>
      <c r="G1147">
        <v>1036640032</v>
      </c>
      <c r="H1147" t="s">
        <v>8828</v>
      </c>
      <c r="I1147" s="4" t="s">
        <v>35</v>
      </c>
      <c r="J1147" s="4" t="s">
        <v>8829</v>
      </c>
      <c r="K1147" t="s">
        <v>8830</v>
      </c>
      <c r="L1147" t="s">
        <v>44</v>
      </c>
      <c r="M1147" t="s">
        <v>8831</v>
      </c>
      <c r="N1147" t="s">
        <v>45</v>
      </c>
      <c r="O1147" t="s">
        <v>51</v>
      </c>
      <c r="P1147" t="s">
        <v>52</v>
      </c>
      <c r="Q1147" t="s">
        <v>31</v>
      </c>
      <c r="R1147">
        <v>11</v>
      </c>
      <c r="S1147" t="s">
        <v>8832</v>
      </c>
      <c r="T1147" t="s">
        <v>6959</v>
      </c>
      <c r="U1147" t="s">
        <v>8833</v>
      </c>
      <c r="V1147" t="s">
        <v>32</v>
      </c>
      <c r="W1147" t="s">
        <v>33</v>
      </c>
      <c r="X1147" t="s">
        <v>33</v>
      </c>
      <c r="Y1147" t="s">
        <v>33</v>
      </c>
      <c r="Z1147" s="16" t="s">
        <v>34</v>
      </c>
      <c r="AA1147">
        <v>-75.592793819999997</v>
      </c>
      <c r="AB1147">
        <v>6.18839615</v>
      </c>
      <c r="AC1147" t="s">
        <v>135</v>
      </c>
      <c r="AD1147" t="s">
        <v>136</v>
      </c>
    </row>
    <row r="1148" spans="1:30" x14ac:dyDescent="0.25">
      <c r="A1148" t="s">
        <v>10180</v>
      </c>
      <c r="B1148" t="s">
        <v>50</v>
      </c>
      <c r="C1148" t="s">
        <v>71</v>
      </c>
      <c r="D1148" t="s">
        <v>50</v>
      </c>
      <c r="E1148" t="s">
        <v>8834</v>
      </c>
      <c r="F1148" t="s">
        <v>8835</v>
      </c>
      <c r="G1148">
        <v>43522411</v>
      </c>
      <c r="H1148" t="s">
        <v>8836</v>
      </c>
      <c r="I1148" s="4" t="s">
        <v>35</v>
      </c>
      <c r="J1148" s="4" t="s">
        <v>8837</v>
      </c>
      <c r="K1148" t="s">
        <v>8838</v>
      </c>
      <c r="L1148" t="s">
        <v>27</v>
      </c>
      <c r="M1148" t="s">
        <v>8839</v>
      </c>
      <c r="N1148" t="s">
        <v>28</v>
      </c>
      <c r="O1148" t="s">
        <v>72</v>
      </c>
      <c r="P1148" t="s">
        <v>52</v>
      </c>
      <c r="Q1148" t="s">
        <v>31</v>
      </c>
      <c r="R1148">
        <v>11</v>
      </c>
      <c r="S1148" t="s">
        <v>8840</v>
      </c>
      <c r="T1148" t="s">
        <v>8841</v>
      </c>
      <c r="U1148" t="s">
        <v>8842</v>
      </c>
      <c r="V1148" t="s">
        <v>32</v>
      </c>
      <c r="W1148" t="s">
        <v>33</v>
      </c>
      <c r="X1148" t="s">
        <v>33</v>
      </c>
      <c r="Y1148" t="s">
        <v>33</v>
      </c>
      <c r="Z1148" s="16" t="s">
        <v>34</v>
      </c>
      <c r="AA1148">
        <v>-75.596436909999994</v>
      </c>
      <c r="AB1148">
        <v>6.2513020600000004</v>
      </c>
      <c r="AC1148" t="s">
        <v>135</v>
      </c>
      <c r="AD1148" t="s">
        <v>136</v>
      </c>
    </row>
    <row r="1149" spans="1:30" x14ac:dyDescent="0.25">
      <c r="A1149" t="s">
        <v>10378</v>
      </c>
      <c r="B1149" t="s">
        <v>65</v>
      </c>
      <c r="C1149" t="s">
        <v>26</v>
      </c>
      <c r="D1149" t="s">
        <v>66</v>
      </c>
      <c r="E1149" t="s">
        <v>10379</v>
      </c>
      <c r="F1149" t="s">
        <v>10380</v>
      </c>
      <c r="G1149">
        <v>8161089</v>
      </c>
      <c r="H1149" t="s">
        <v>10381</v>
      </c>
      <c r="I1149" s="4" t="s">
        <v>10382</v>
      </c>
      <c r="J1149" s="4" t="s">
        <v>10383</v>
      </c>
      <c r="K1149" t="s">
        <v>10384</v>
      </c>
      <c r="L1149" t="s">
        <v>27</v>
      </c>
      <c r="M1149" t="s">
        <v>10385</v>
      </c>
      <c r="N1149" t="s">
        <v>28</v>
      </c>
      <c r="O1149" t="s">
        <v>68</v>
      </c>
      <c r="P1149" t="s">
        <v>70</v>
      </c>
      <c r="Q1149" t="s">
        <v>31</v>
      </c>
      <c r="R1149">
        <v>9</v>
      </c>
      <c r="S1149" t="s">
        <v>10386</v>
      </c>
      <c r="T1149" t="s">
        <v>10387</v>
      </c>
      <c r="U1149" t="s">
        <v>10388</v>
      </c>
      <c r="V1149" t="s">
        <v>32</v>
      </c>
      <c r="W1149" t="s">
        <v>33</v>
      </c>
      <c r="X1149" t="s">
        <v>33</v>
      </c>
      <c r="Y1149" t="s">
        <v>33</v>
      </c>
      <c r="Z1149" s="16" t="s">
        <v>34</v>
      </c>
      <c r="AA1149">
        <v>-75.610884501000001</v>
      </c>
      <c r="AB1149">
        <v>6.2574398200000596</v>
      </c>
      <c r="AC1149" t="s">
        <v>135</v>
      </c>
      <c r="AD1149" t="s">
        <v>136</v>
      </c>
    </row>
    <row r="1150" spans="1:30" x14ac:dyDescent="0.25">
      <c r="A1150" t="s">
        <v>10181</v>
      </c>
      <c r="B1150" t="s">
        <v>25</v>
      </c>
      <c r="C1150" t="s">
        <v>26</v>
      </c>
      <c r="D1150" t="s">
        <v>25</v>
      </c>
      <c r="E1150" t="s">
        <v>8843</v>
      </c>
      <c r="F1150" t="s">
        <v>8844</v>
      </c>
      <c r="G1150">
        <v>800093117</v>
      </c>
      <c r="H1150" t="s">
        <v>6009</v>
      </c>
      <c r="I1150" s="4" t="s">
        <v>94</v>
      </c>
      <c r="J1150" s="4" t="s">
        <v>8014</v>
      </c>
      <c r="K1150" t="s">
        <v>8845</v>
      </c>
      <c r="L1150" t="s">
        <v>27</v>
      </c>
      <c r="M1150" t="s">
        <v>8846</v>
      </c>
      <c r="N1150" t="s">
        <v>28</v>
      </c>
      <c r="O1150" t="s">
        <v>29</v>
      </c>
      <c r="P1150" t="s">
        <v>54</v>
      </c>
      <c r="Q1150" t="s">
        <v>31</v>
      </c>
      <c r="R1150">
        <v>7</v>
      </c>
      <c r="S1150" t="s">
        <v>8847</v>
      </c>
      <c r="T1150" t="s">
        <v>3754</v>
      </c>
      <c r="U1150" t="s">
        <v>5769</v>
      </c>
      <c r="V1150" t="s">
        <v>32</v>
      </c>
      <c r="W1150" t="s">
        <v>33</v>
      </c>
      <c r="X1150" t="s">
        <v>33</v>
      </c>
      <c r="Y1150" t="s">
        <v>33</v>
      </c>
      <c r="Z1150" s="16" t="s">
        <v>34</v>
      </c>
      <c r="AA1150">
        <v>-75.574616899999995</v>
      </c>
      <c r="AB1150">
        <v>6.2194061100000004</v>
      </c>
      <c r="AC1150" t="s">
        <v>135</v>
      </c>
      <c r="AD1150" t="s">
        <v>136</v>
      </c>
    </row>
    <row r="1151" spans="1:30" x14ac:dyDescent="0.25">
      <c r="A1151" t="s">
        <v>10182</v>
      </c>
      <c r="B1151" t="s">
        <v>25</v>
      </c>
      <c r="C1151" t="s">
        <v>26</v>
      </c>
      <c r="D1151" t="s">
        <v>25</v>
      </c>
      <c r="E1151" t="s">
        <v>8848</v>
      </c>
      <c r="F1151" t="s">
        <v>8849</v>
      </c>
      <c r="G1151">
        <v>800093117</v>
      </c>
      <c r="H1151" t="s">
        <v>6009</v>
      </c>
      <c r="I1151" s="4" t="s">
        <v>94</v>
      </c>
      <c r="J1151" s="4" t="s">
        <v>8014</v>
      </c>
      <c r="K1151" t="s">
        <v>8850</v>
      </c>
      <c r="L1151" t="s">
        <v>27</v>
      </c>
      <c r="M1151" t="s">
        <v>8851</v>
      </c>
      <c r="N1151" t="s">
        <v>28</v>
      </c>
      <c r="O1151" t="s">
        <v>29</v>
      </c>
      <c r="P1151" t="s">
        <v>54</v>
      </c>
      <c r="Q1151" t="s">
        <v>31</v>
      </c>
      <c r="R1151">
        <v>7</v>
      </c>
      <c r="S1151" t="s">
        <v>8852</v>
      </c>
      <c r="T1151" t="s">
        <v>3754</v>
      </c>
      <c r="U1151" t="s">
        <v>5769</v>
      </c>
      <c r="V1151" t="s">
        <v>32</v>
      </c>
      <c r="W1151" t="s">
        <v>33</v>
      </c>
      <c r="X1151" t="s">
        <v>33</v>
      </c>
      <c r="Y1151" t="s">
        <v>33</v>
      </c>
      <c r="Z1151" s="16" t="s">
        <v>34</v>
      </c>
      <c r="AA1151">
        <v>-75.574616899999995</v>
      </c>
      <c r="AB1151">
        <v>6.2194061100000004</v>
      </c>
      <c r="AC1151" t="s">
        <v>135</v>
      </c>
      <c r="AD1151" t="s">
        <v>136</v>
      </c>
    </row>
    <row r="1152" spans="1:30" x14ac:dyDescent="0.25">
      <c r="A1152" t="s">
        <v>10183</v>
      </c>
      <c r="B1152" t="s">
        <v>25</v>
      </c>
      <c r="C1152" t="s">
        <v>26</v>
      </c>
      <c r="D1152" t="s">
        <v>25</v>
      </c>
      <c r="E1152" t="s">
        <v>8853</v>
      </c>
      <c r="F1152" t="s">
        <v>8854</v>
      </c>
      <c r="G1152">
        <v>800093117</v>
      </c>
      <c r="H1152" t="s">
        <v>6009</v>
      </c>
      <c r="I1152" s="4" t="s">
        <v>94</v>
      </c>
      <c r="J1152" s="4" t="s">
        <v>8014</v>
      </c>
      <c r="K1152" t="s">
        <v>8855</v>
      </c>
      <c r="L1152" t="s">
        <v>27</v>
      </c>
      <c r="M1152" t="s">
        <v>8856</v>
      </c>
      <c r="N1152" t="s">
        <v>28</v>
      </c>
      <c r="O1152" t="s">
        <v>29</v>
      </c>
      <c r="P1152" t="s">
        <v>54</v>
      </c>
      <c r="Q1152" t="s">
        <v>31</v>
      </c>
      <c r="R1152">
        <v>7</v>
      </c>
      <c r="S1152" t="s">
        <v>8857</v>
      </c>
      <c r="T1152" t="s">
        <v>8858</v>
      </c>
      <c r="U1152" t="s">
        <v>8859</v>
      </c>
      <c r="V1152" t="s">
        <v>32</v>
      </c>
      <c r="W1152" t="s">
        <v>33</v>
      </c>
      <c r="X1152" t="s">
        <v>33</v>
      </c>
      <c r="Y1152" t="s">
        <v>33</v>
      </c>
      <c r="Z1152" s="16" t="s">
        <v>34</v>
      </c>
      <c r="AA1152">
        <v>-75.574616899999995</v>
      </c>
      <c r="AB1152">
        <v>6.2194061100000004</v>
      </c>
      <c r="AC1152" t="s">
        <v>135</v>
      </c>
      <c r="AD1152" t="s">
        <v>136</v>
      </c>
    </row>
    <row r="1153" spans="1:30" x14ac:dyDescent="0.25">
      <c r="A1153" t="s">
        <v>10184</v>
      </c>
      <c r="B1153" t="s">
        <v>25</v>
      </c>
      <c r="C1153" t="s">
        <v>26</v>
      </c>
      <c r="D1153" t="s">
        <v>25</v>
      </c>
      <c r="E1153" t="s">
        <v>8860</v>
      </c>
      <c r="F1153" t="s">
        <v>8861</v>
      </c>
      <c r="G1153">
        <v>800093117</v>
      </c>
      <c r="H1153" t="s">
        <v>6009</v>
      </c>
      <c r="I1153" s="4" t="s">
        <v>94</v>
      </c>
      <c r="J1153" s="4" t="s">
        <v>8014</v>
      </c>
      <c r="K1153" t="s">
        <v>8862</v>
      </c>
      <c r="L1153" t="s">
        <v>27</v>
      </c>
      <c r="M1153" t="s">
        <v>8863</v>
      </c>
      <c r="N1153" t="s">
        <v>28</v>
      </c>
      <c r="O1153" t="s">
        <v>29</v>
      </c>
      <c r="P1153" t="s">
        <v>54</v>
      </c>
      <c r="Q1153" t="s">
        <v>31</v>
      </c>
      <c r="R1153">
        <v>7</v>
      </c>
      <c r="S1153" t="s">
        <v>8864</v>
      </c>
      <c r="T1153" t="s">
        <v>8858</v>
      </c>
      <c r="U1153" t="s">
        <v>8859</v>
      </c>
      <c r="V1153" t="s">
        <v>32</v>
      </c>
      <c r="W1153" t="s">
        <v>33</v>
      </c>
      <c r="X1153" t="s">
        <v>33</v>
      </c>
      <c r="Y1153" t="s">
        <v>33</v>
      </c>
      <c r="Z1153" s="16" t="s">
        <v>34</v>
      </c>
      <c r="AA1153">
        <v>-75.574616899999995</v>
      </c>
      <c r="AB1153">
        <v>6.2194061100000004</v>
      </c>
      <c r="AC1153" t="s">
        <v>135</v>
      </c>
      <c r="AD1153" t="s">
        <v>136</v>
      </c>
    </row>
    <row r="1154" spans="1:30" x14ac:dyDescent="0.25">
      <c r="A1154" t="s">
        <v>10185</v>
      </c>
      <c r="B1154" t="s">
        <v>25</v>
      </c>
      <c r="C1154" t="s">
        <v>26</v>
      </c>
      <c r="D1154" t="s">
        <v>25</v>
      </c>
      <c r="E1154" t="s">
        <v>8865</v>
      </c>
      <c r="F1154" t="s">
        <v>8866</v>
      </c>
      <c r="G1154">
        <v>800093117</v>
      </c>
      <c r="H1154" t="s">
        <v>6009</v>
      </c>
      <c r="I1154" s="4" t="s">
        <v>94</v>
      </c>
      <c r="J1154" s="4" t="s">
        <v>8014</v>
      </c>
      <c r="K1154" t="s">
        <v>8867</v>
      </c>
      <c r="L1154" t="s">
        <v>27</v>
      </c>
      <c r="M1154" t="s">
        <v>8868</v>
      </c>
      <c r="N1154" t="s">
        <v>28</v>
      </c>
      <c r="O1154" t="s">
        <v>29</v>
      </c>
      <c r="P1154" t="s">
        <v>54</v>
      </c>
      <c r="Q1154" t="s">
        <v>31</v>
      </c>
      <c r="R1154">
        <v>7</v>
      </c>
      <c r="S1154" t="s">
        <v>8869</v>
      </c>
      <c r="T1154" t="s">
        <v>8858</v>
      </c>
      <c r="U1154" t="s">
        <v>8859</v>
      </c>
      <c r="V1154" t="s">
        <v>32</v>
      </c>
      <c r="W1154" t="s">
        <v>33</v>
      </c>
      <c r="X1154" t="s">
        <v>33</v>
      </c>
      <c r="Y1154" t="s">
        <v>33</v>
      </c>
      <c r="Z1154" s="16" t="s">
        <v>34</v>
      </c>
      <c r="AA1154">
        <v>-75.574616899999995</v>
      </c>
      <c r="AB1154">
        <v>6.2194061100000004</v>
      </c>
      <c r="AC1154" t="s">
        <v>135</v>
      </c>
      <c r="AD1154" t="s">
        <v>136</v>
      </c>
    </row>
    <row r="1155" spans="1:30" x14ac:dyDescent="0.25">
      <c r="A1155" t="s">
        <v>10186</v>
      </c>
      <c r="B1155" t="s">
        <v>25</v>
      </c>
      <c r="C1155" t="s">
        <v>26</v>
      </c>
      <c r="D1155" t="s">
        <v>25</v>
      </c>
      <c r="E1155" t="s">
        <v>8870</v>
      </c>
      <c r="F1155" t="s">
        <v>8871</v>
      </c>
      <c r="G1155">
        <v>800093117</v>
      </c>
      <c r="H1155" t="s">
        <v>6009</v>
      </c>
      <c r="I1155" s="4" t="s">
        <v>94</v>
      </c>
      <c r="J1155" s="4" t="s">
        <v>8014</v>
      </c>
      <c r="K1155" t="s">
        <v>8872</v>
      </c>
      <c r="L1155" t="s">
        <v>27</v>
      </c>
      <c r="M1155" t="s">
        <v>8873</v>
      </c>
      <c r="N1155" t="s">
        <v>28</v>
      </c>
      <c r="O1155" t="s">
        <v>29</v>
      </c>
      <c r="P1155" t="s">
        <v>54</v>
      </c>
      <c r="Q1155" t="s">
        <v>31</v>
      </c>
      <c r="R1155">
        <v>7</v>
      </c>
      <c r="S1155" t="s">
        <v>8874</v>
      </c>
      <c r="T1155" t="s">
        <v>8858</v>
      </c>
      <c r="U1155" t="s">
        <v>8859</v>
      </c>
      <c r="V1155" t="s">
        <v>32</v>
      </c>
      <c r="W1155" t="s">
        <v>33</v>
      </c>
      <c r="X1155" t="s">
        <v>33</v>
      </c>
      <c r="Y1155" t="s">
        <v>33</v>
      </c>
      <c r="Z1155" s="16" t="s">
        <v>34</v>
      </c>
      <c r="AA1155">
        <v>-75.574616899999995</v>
      </c>
      <c r="AB1155">
        <v>6.2194061100000004</v>
      </c>
      <c r="AC1155" t="s">
        <v>135</v>
      </c>
      <c r="AD1155" t="s">
        <v>136</v>
      </c>
    </row>
    <row r="1156" spans="1:30" x14ac:dyDescent="0.25">
      <c r="A1156" t="s">
        <v>10187</v>
      </c>
      <c r="B1156" t="s">
        <v>61</v>
      </c>
      <c r="C1156" t="s">
        <v>26</v>
      </c>
      <c r="D1156" t="s">
        <v>61</v>
      </c>
      <c r="E1156" t="s">
        <v>8875</v>
      </c>
      <c r="F1156" t="s">
        <v>8876</v>
      </c>
      <c r="G1156">
        <v>98628403</v>
      </c>
      <c r="H1156" t="s">
        <v>8877</v>
      </c>
      <c r="I1156" s="4" t="s">
        <v>35</v>
      </c>
      <c r="J1156" s="4" t="s">
        <v>8878</v>
      </c>
      <c r="K1156" t="s">
        <v>8879</v>
      </c>
      <c r="L1156" t="s">
        <v>27</v>
      </c>
      <c r="M1156" t="s">
        <v>8880</v>
      </c>
      <c r="N1156" t="s">
        <v>28</v>
      </c>
      <c r="O1156" t="s">
        <v>62</v>
      </c>
      <c r="P1156" t="s">
        <v>63</v>
      </c>
      <c r="Q1156" t="s">
        <v>31</v>
      </c>
      <c r="R1156">
        <v>4</v>
      </c>
      <c r="S1156" t="s">
        <v>8881</v>
      </c>
      <c r="T1156" t="s">
        <v>1703</v>
      </c>
      <c r="U1156" t="s">
        <v>8882</v>
      </c>
      <c r="V1156" t="s">
        <v>32</v>
      </c>
      <c r="W1156" t="s">
        <v>33</v>
      </c>
      <c r="X1156" t="s">
        <v>33</v>
      </c>
      <c r="Y1156" t="s">
        <v>33</v>
      </c>
      <c r="Z1156" s="16" t="s">
        <v>34</v>
      </c>
      <c r="AA1156">
        <v>-75.608080270000002</v>
      </c>
      <c r="AB1156">
        <v>6.2346810599999998</v>
      </c>
      <c r="AC1156" t="s">
        <v>135</v>
      </c>
      <c r="AD1156" t="s">
        <v>136</v>
      </c>
    </row>
    <row r="1157" spans="1:30" x14ac:dyDescent="0.25">
      <c r="A1157" t="s">
        <v>10188</v>
      </c>
      <c r="B1157" t="s">
        <v>61</v>
      </c>
      <c r="C1157" t="s">
        <v>26</v>
      </c>
      <c r="D1157" t="s">
        <v>61</v>
      </c>
      <c r="E1157" t="s">
        <v>8883</v>
      </c>
      <c r="F1157" t="s">
        <v>8884</v>
      </c>
      <c r="G1157">
        <v>16486382</v>
      </c>
      <c r="H1157" t="s">
        <v>8885</v>
      </c>
      <c r="I1157" s="4" t="s">
        <v>8886</v>
      </c>
      <c r="J1157" s="4" t="s">
        <v>8887</v>
      </c>
      <c r="K1157" t="s">
        <v>8888</v>
      </c>
      <c r="L1157" t="s">
        <v>48</v>
      </c>
      <c r="M1157" t="s">
        <v>8889</v>
      </c>
      <c r="N1157" t="s">
        <v>64</v>
      </c>
      <c r="O1157" t="s">
        <v>62</v>
      </c>
      <c r="P1157" t="s">
        <v>63</v>
      </c>
      <c r="Q1157" t="s">
        <v>31</v>
      </c>
      <c r="R1157">
        <v>4</v>
      </c>
      <c r="S1157" t="s">
        <v>8890</v>
      </c>
      <c r="T1157" t="s">
        <v>3775</v>
      </c>
      <c r="U1157" t="s">
        <v>3774</v>
      </c>
      <c r="V1157" t="s">
        <v>32</v>
      </c>
      <c r="W1157" t="s">
        <v>33</v>
      </c>
      <c r="X1157" t="s">
        <v>33</v>
      </c>
      <c r="Y1157" t="s">
        <v>33</v>
      </c>
      <c r="Z1157" s="16" t="s">
        <v>34</v>
      </c>
      <c r="AA1157">
        <v>-75.584828999999999</v>
      </c>
      <c r="AB1157">
        <v>6.1764032799999997</v>
      </c>
      <c r="AC1157" t="s">
        <v>135</v>
      </c>
      <c r="AD1157" t="s">
        <v>136</v>
      </c>
    </row>
    <row r="1158" spans="1:30" x14ac:dyDescent="0.25">
      <c r="A1158" t="s">
        <v>10189</v>
      </c>
      <c r="B1158" t="s">
        <v>61</v>
      </c>
      <c r="C1158" t="s">
        <v>26</v>
      </c>
      <c r="D1158" t="s">
        <v>61</v>
      </c>
      <c r="E1158" t="s">
        <v>8891</v>
      </c>
      <c r="F1158" t="s">
        <v>8892</v>
      </c>
      <c r="G1158">
        <v>71276006</v>
      </c>
      <c r="H1158" t="s">
        <v>8893</v>
      </c>
      <c r="I1158" s="4" t="s">
        <v>8894</v>
      </c>
      <c r="J1158" s="4" t="s">
        <v>8895</v>
      </c>
      <c r="K1158" t="s">
        <v>8896</v>
      </c>
      <c r="L1158" t="s">
        <v>27</v>
      </c>
      <c r="M1158" t="s">
        <v>8897</v>
      </c>
      <c r="N1158" t="s">
        <v>28</v>
      </c>
      <c r="O1158" t="s">
        <v>62</v>
      </c>
      <c r="P1158" t="s">
        <v>63</v>
      </c>
      <c r="Q1158" t="s">
        <v>31</v>
      </c>
      <c r="R1158">
        <v>4</v>
      </c>
      <c r="S1158" t="s">
        <v>8898</v>
      </c>
      <c r="T1158" t="s">
        <v>8899</v>
      </c>
      <c r="U1158" t="s">
        <v>2834</v>
      </c>
      <c r="V1158" t="s">
        <v>32</v>
      </c>
      <c r="W1158" t="s">
        <v>33</v>
      </c>
      <c r="X1158" t="s">
        <v>33</v>
      </c>
      <c r="Y1158" t="s">
        <v>33</v>
      </c>
      <c r="Z1158" s="16" t="s">
        <v>34</v>
      </c>
      <c r="AA1158">
        <v>-75.610864919999997</v>
      </c>
      <c r="AB1158">
        <v>6.22217194</v>
      </c>
      <c r="AC1158" t="s">
        <v>135</v>
      </c>
      <c r="AD1158" t="s">
        <v>136</v>
      </c>
    </row>
    <row r="1159" spans="1:30" x14ac:dyDescent="0.25">
      <c r="A1159" t="s">
        <v>10190</v>
      </c>
      <c r="B1159" t="s">
        <v>25</v>
      </c>
      <c r="C1159" t="s">
        <v>26</v>
      </c>
      <c r="D1159" t="s">
        <v>25</v>
      </c>
      <c r="E1159" t="s">
        <v>8900</v>
      </c>
      <c r="F1159" t="s">
        <v>8901</v>
      </c>
      <c r="G1159">
        <v>43405065</v>
      </c>
      <c r="H1159" t="s">
        <v>8902</v>
      </c>
      <c r="I1159" s="4" t="s">
        <v>35</v>
      </c>
      <c r="J1159" s="4" t="s">
        <v>8903</v>
      </c>
      <c r="K1159" t="s">
        <v>8904</v>
      </c>
      <c r="L1159" t="s">
        <v>44</v>
      </c>
      <c r="M1159" t="s">
        <v>8905</v>
      </c>
      <c r="N1159" t="s">
        <v>45</v>
      </c>
      <c r="O1159" t="s">
        <v>29</v>
      </c>
      <c r="P1159" t="s">
        <v>37</v>
      </c>
      <c r="Q1159" t="s">
        <v>38</v>
      </c>
      <c r="R1159">
        <v>10</v>
      </c>
      <c r="S1159" t="s">
        <v>8906</v>
      </c>
      <c r="T1159" t="s">
        <v>8907</v>
      </c>
      <c r="U1159" t="s">
        <v>8908</v>
      </c>
      <c r="V1159" t="s">
        <v>32</v>
      </c>
      <c r="W1159" t="s">
        <v>33</v>
      </c>
      <c r="X1159" t="s">
        <v>33</v>
      </c>
      <c r="Y1159" t="s">
        <v>33</v>
      </c>
      <c r="Z1159" s="16" t="s">
        <v>34</v>
      </c>
      <c r="AA1159">
        <v>-75.619076329999999</v>
      </c>
      <c r="AB1159">
        <v>6.1887325799999999</v>
      </c>
      <c r="AC1159" t="s">
        <v>135</v>
      </c>
      <c r="AD1159" t="s">
        <v>136</v>
      </c>
    </row>
    <row r="1160" spans="1:30" x14ac:dyDescent="0.25">
      <c r="A1160" t="s">
        <v>10191</v>
      </c>
      <c r="B1160" t="s">
        <v>25</v>
      </c>
      <c r="C1160" t="s">
        <v>26</v>
      </c>
      <c r="D1160" t="s">
        <v>25</v>
      </c>
      <c r="E1160" t="s">
        <v>8909</v>
      </c>
      <c r="F1160" t="s">
        <v>8910</v>
      </c>
      <c r="G1160">
        <v>901335234</v>
      </c>
      <c r="H1160" t="s">
        <v>3779</v>
      </c>
      <c r="I1160" s="4" t="s">
        <v>3780</v>
      </c>
      <c r="J1160" s="4" t="s">
        <v>8911</v>
      </c>
      <c r="K1160" t="s">
        <v>8912</v>
      </c>
      <c r="L1160" t="s">
        <v>59</v>
      </c>
      <c r="M1160" t="s">
        <v>8913</v>
      </c>
      <c r="N1160" t="s">
        <v>60</v>
      </c>
      <c r="O1160" t="s">
        <v>29</v>
      </c>
      <c r="P1160" t="s">
        <v>54</v>
      </c>
      <c r="Q1160" t="s">
        <v>31</v>
      </c>
      <c r="R1160">
        <v>7</v>
      </c>
      <c r="S1160" t="s">
        <v>8914</v>
      </c>
      <c r="T1160" t="s">
        <v>8907</v>
      </c>
      <c r="U1160" t="s">
        <v>8915</v>
      </c>
      <c r="V1160" t="s">
        <v>32</v>
      </c>
      <c r="W1160" t="s">
        <v>33</v>
      </c>
      <c r="X1160" t="s">
        <v>33</v>
      </c>
      <c r="Y1160" t="s">
        <v>33</v>
      </c>
      <c r="Z1160" s="16" t="s">
        <v>34</v>
      </c>
      <c r="AA1160">
        <v>-75.617241000000007</v>
      </c>
      <c r="AB1160">
        <v>6.1404480000000001</v>
      </c>
      <c r="AC1160" t="s">
        <v>135</v>
      </c>
      <c r="AD1160" t="s">
        <v>136</v>
      </c>
    </row>
    <row r="1161" spans="1:30" x14ac:dyDescent="0.25">
      <c r="A1161" t="s">
        <v>10192</v>
      </c>
      <c r="B1161" t="s">
        <v>61</v>
      </c>
      <c r="C1161" t="s">
        <v>26</v>
      </c>
      <c r="D1161" t="s">
        <v>61</v>
      </c>
      <c r="E1161" t="s">
        <v>8916</v>
      </c>
      <c r="F1161" t="s">
        <v>8917</v>
      </c>
      <c r="G1161">
        <v>890910110</v>
      </c>
      <c r="H1161" t="s">
        <v>8918</v>
      </c>
      <c r="I1161" s="4" t="s">
        <v>8919</v>
      </c>
      <c r="J1161" s="4" t="s">
        <v>8920</v>
      </c>
      <c r="K1161" t="s">
        <v>8921</v>
      </c>
      <c r="L1161" t="s">
        <v>27</v>
      </c>
      <c r="M1161" t="s">
        <v>8922</v>
      </c>
      <c r="N1161" t="s">
        <v>28</v>
      </c>
      <c r="O1161" t="s">
        <v>62</v>
      </c>
      <c r="P1161" t="s">
        <v>63</v>
      </c>
      <c r="Q1161" t="s">
        <v>31</v>
      </c>
      <c r="R1161">
        <v>4</v>
      </c>
      <c r="S1161" t="s">
        <v>8923</v>
      </c>
      <c r="T1161" t="s">
        <v>7404</v>
      </c>
      <c r="U1161" t="s">
        <v>1118</v>
      </c>
      <c r="V1161" t="s">
        <v>32</v>
      </c>
      <c r="W1161" t="s">
        <v>33</v>
      </c>
      <c r="X1161" t="s">
        <v>33</v>
      </c>
      <c r="Y1161" t="s">
        <v>33</v>
      </c>
      <c r="Z1161" s="16" t="s">
        <v>34</v>
      </c>
      <c r="AA1161">
        <v>-75.622090999999998</v>
      </c>
      <c r="AB1161">
        <v>6.2368920000000001</v>
      </c>
      <c r="AC1161" t="s">
        <v>135</v>
      </c>
      <c r="AD1161" t="s">
        <v>136</v>
      </c>
    </row>
    <row r="1162" spans="1:30" x14ac:dyDescent="0.25">
      <c r="A1162" t="s">
        <v>10193</v>
      </c>
      <c r="B1162" t="s">
        <v>25</v>
      </c>
      <c r="C1162" t="s">
        <v>26</v>
      </c>
      <c r="D1162" t="s">
        <v>25</v>
      </c>
      <c r="E1162" t="s">
        <v>8924</v>
      </c>
      <c r="F1162" t="s">
        <v>8925</v>
      </c>
      <c r="G1162">
        <v>3576247</v>
      </c>
      <c r="H1162" t="s">
        <v>8926</v>
      </c>
      <c r="I1162" s="4" t="s">
        <v>8927</v>
      </c>
      <c r="J1162" s="4" t="s">
        <v>8928</v>
      </c>
      <c r="K1162" t="s">
        <v>8929</v>
      </c>
      <c r="L1162" t="s">
        <v>27</v>
      </c>
      <c r="M1162" t="s">
        <v>8930</v>
      </c>
      <c r="N1162" t="s">
        <v>28</v>
      </c>
      <c r="O1162" t="s">
        <v>29</v>
      </c>
      <c r="P1162" t="s">
        <v>37</v>
      </c>
      <c r="Q1162" t="s">
        <v>31</v>
      </c>
      <c r="R1162">
        <v>7</v>
      </c>
      <c r="S1162" t="s">
        <v>8931</v>
      </c>
      <c r="T1162" t="s">
        <v>6974</v>
      </c>
      <c r="U1162" t="s">
        <v>8932</v>
      </c>
      <c r="V1162" t="s">
        <v>32</v>
      </c>
      <c r="W1162" t="s">
        <v>33</v>
      </c>
      <c r="X1162" t="s">
        <v>33</v>
      </c>
      <c r="Y1162" t="s">
        <v>33</v>
      </c>
      <c r="Z1162" s="16" t="s">
        <v>34</v>
      </c>
      <c r="AA1162">
        <v>-75.641998000000001</v>
      </c>
      <c r="AB1162">
        <v>6.2842630000000002</v>
      </c>
      <c r="AC1162" t="s">
        <v>135</v>
      </c>
      <c r="AD1162" t="s">
        <v>136</v>
      </c>
    </row>
    <row r="1163" spans="1:30" x14ac:dyDescent="0.25">
      <c r="A1163" t="s">
        <v>10194</v>
      </c>
      <c r="B1163" t="s">
        <v>42</v>
      </c>
      <c r="C1163" t="s">
        <v>75</v>
      </c>
      <c r="D1163" t="s">
        <v>42</v>
      </c>
      <c r="E1163" t="s">
        <v>8933</v>
      </c>
      <c r="F1163" t="s">
        <v>8934</v>
      </c>
      <c r="G1163">
        <v>900739796</v>
      </c>
      <c r="H1163" t="s">
        <v>8935</v>
      </c>
      <c r="I1163" s="4" t="s">
        <v>8936</v>
      </c>
      <c r="J1163" s="4" t="s">
        <v>102</v>
      </c>
      <c r="K1163" t="s">
        <v>8937</v>
      </c>
      <c r="L1163" t="s">
        <v>27</v>
      </c>
      <c r="M1163" t="s">
        <v>8938</v>
      </c>
      <c r="N1163" t="s">
        <v>28</v>
      </c>
      <c r="O1163" t="s">
        <v>76</v>
      </c>
      <c r="P1163" t="s">
        <v>30</v>
      </c>
      <c r="Q1163" t="s">
        <v>31</v>
      </c>
      <c r="R1163">
        <v>7</v>
      </c>
      <c r="S1163" t="s">
        <v>8939</v>
      </c>
      <c r="T1163" t="s">
        <v>8940</v>
      </c>
      <c r="U1163" t="s">
        <v>2658</v>
      </c>
      <c r="V1163" t="s">
        <v>32</v>
      </c>
      <c r="W1163" t="s">
        <v>33</v>
      </c>
      <c r="X1163" t="s">
        <v>33</v>
      </c>
      <c r="Y1163" t="s">
        <v>33</v>
      </c>
      <c r="Z1163" s="16" t="s">
        <v>34</v>
      </c>
      <c r="AA1163">
        <v>-75.593690730000006</v>
      </c>
      <c r="AB1163">
        <v>6.2305970999999998</v>
      </c>
      <c r="AC1163" t="s">
        <v>135</v>
      </c>
      <c r="AD1163" t="s">
        <v>136</v>
      </c>
    </row>
    <row r="1164" spans="1:30" x14ac:dyDescent="0.25">
      <c r="A1164" t="s">
        <v>10195</v>
      </c>
      <c r="B1164" t="s">
        <v>42</v>
      </c>
      <c r="C1164" t="s">
        <v>26</v>
      </c>
      <c r="D1164" t="s">
        <v>42</v>
      </c>
      <c r="E1164" t="s">
        <v>8941</v>
      </c>
      <c r="F1164" t="s">
        <v>8942</v>
      </c>
      <c r="G1164">
        <v>1037613400</v>
      </c>
      <c r="H1164" t="s">
        <v>8943</v>
      </c>
      <c r="I1164" s="4" t="s">
        <v>35</v>
      </c>
      <c r="J1164" s="4" t="s">
        <v>8944</v>
      </c>
      <c r="K1164" t="s">
        <v>8945</v>
      </c>
      <c r="L1164" t="s">
        <v>27</v>
      </c>
      <c r="M1164" t="s">
        <v>8946</v>
      </c>
      <c r="N1164" t="s">
        <v>28</v>
      </c>
      <c r="O1164" t="s">
        <v>43</v>
      </c>
      <c r="P1164" t="s">
        <v>37</v>
      </c>
      <c r="Q1164" t="s">
        <v>38</v>
      </c>
      <c r="R1164">
        <v>10</v>
      </c>
      <c r="S1164" t="s">
        <v>8947</v>
      </c>
      <c r="T1164" t="s">
        <v>8948</v>
      </c>
      <c r="U1164" t="s">
        <v>8949</v>
      </c>
      <c r="V1164" t="s">
        <v>32</v>
      </c>
      <c r="W1164" t="s">
        <v>33</v>
      </c>
      <c r="X1164" t="s">
        <v>33</v>
      </c>
      <c r="Y1164" t="s">
        <v>33</v>
      </c>
      <c r="Z1164" s="16" t="s">
        <v>34</v>
      </c>
      <c r="AA1164">
        <v>-75.646251000000007</v>
      </c>
      <c r="AB1164">
        <v>6.2882899999999999</v>
      </c>
      <c r="AC1164" t="s">
        <v>135</v>
      </c>
      <c r="AD1164" t="s">
        <v>136</v>
      </c>
    </row>
    <row r="1165" spans="1:30" x14ac:dyDescent="0.25">
      <c r="A1165" t="s">
        <v>10196</v>
      </c>
      <c r="B1165" t="s">
        <v>25</v>
      </c>
      <c r="C1165" t="s">
        <v>26</v>
      </c>
      <c r="D1165" t="s">
        <v>39</v>
      </c>
      <c r="E1165" t="s">
        <v>8950</v>
      </c>
      <c r="F1165" t="s">
        <v>8951</v>
      </c>
      <c r="G1165">
        <v>32544675</v>
      </c>
      <c r="H1165" t="s">
        <v>8952</v>
      </c>
      <c r="I1165" s="4" t="s">
        <v>35</v>
      </c>
      <c r="J1165" s="4" t="s">
        <v>8953</v>
      </c>
      <c r="K1165" t="s">
        <v>8954</v>
      </c>
      <c r="L1165" t="s">
        <v>27</v>
      </c>
      <c r="M1165" t="s">
        <v>8955</v>
      </c>
      <c r="N1165" t="s">
        <v>28</v>
      </c>
      <c r="O1165" t="s">
        <v>40</v>
      </c>
      <c r="P1165" t="s">
        <v>41</v>
      </c>
      <c r="Q1165" t="s">
        <v>31</v>
      </c>
      <c r="R1165">
        <v>5</v>
      </c>
      <c r="S1165" t="s">
        <v>8956</v>
      </c>
      <c r="T1165" t="s">
        <v>8957</v>
      </c>
      <c r="U1165" t="s">
        <v>6913</v>
      </c>
      <c r="V1165" t="s">
        <v>32</v>
      </c>
      <c r="W1165" t="s">
        <v>33</v>
      </c>
      <c r="X1165" t="s">
        <v>33</v>
      </c>
      <c r="Y1165" t="s">
        <v>33</v>
      </c>
      <c r="Z1165" s="16" t="s">
        <v>34</v>
      </c>
      <c r="AA1165">
        <v>-75.527640000000005</v>
      </c>
      <c r="AB1165">
        <v>6.2312440000000002</v>
      </c>
      <c r="AC1165" t="s">
        <v>135</v>
      </c>
      <c r="AD1165" t="s">
        <v>136</v>
      </c>
    </row>
    <row r="1166" spans="1:30" x14ac:dyDescent="0.25">
      <c r="A1166" t="s">
        <v>10197</v>
      </c>
      <c r="B1166" t="s">
        <v>25</v>
      </c>
      <c r="C1166" t="s">
        <v>26</v>
      </c>
      <c r="D1166" t="s">
        <v>25</v>
      </c>
      <c r="E1166" t="s">
        <v>8958</v>
      </c>
      <c r="F1166" t="s">
        <v>8959</v>
      </c>
      <c r="G1166">
        <v>800093117</v>
      </c>
      <c r="H1166" t="s">
        <v>6009</v>
      </c>
      <c r="I1166" s="4" t="s">
        <v>94</v>
      </c>
      <c r="J1166" s="4" t="s">
        <v>8014</v>
      </c>
      <c r="K1166" t="s">
        <v>8960</v>
      </c>
      <c r="L1166" t="s">
        <v>27</v>
      </c>
      <c r="M1166" t="s">
        <v>8961</v>
      </c>
      <c r="N1166" t="s">
        <v>28</v>
      </c>
      <c r="O1166" t="s">
        <v>29</v>
      </c>
      <c r="P1166" t="s">
        <v>54</v>
      </c>
      <c r="Q1166" t="s">
        <v>31</v>
      </c>
      <c r="R1166">
        <v>7</v>
      </c>
      <c r="S1166" t="s">
        <v>8962</v>
      </c>
      <c r="T1166" t="s">
        <v>8963</v>
      </c>
      <c r="U1166" t="s">
        <v>1472</v>
      </c>
      <c r="V1166" t="s">
        <v>32</v>
      </c>
      <c r="W1166" t="s">
        <v>33</v>
      </c>
      <c r="X1166" t="s">
        <v>33</v>
      </c>
      <c r="Y1166" t="s">
        <v>33</v>
      </c>
      <c r="Z1166" s="16" t="s">
        <v>34</v>
      </c>
      <c r="AA1166">
        <v>-75.574616899999995</v>
      </c>
      <c r="AB1166">
        <v>6.2194061100000004</v>
      </c>
      <c r="AC1166" t="s">
        <v>135</v>
      </c>
      <c r="AD1166" t="s">
        <v>136</v>
      </c>
    </row>
    <row r="1167" spans="1:30" x14ac:dyDescent="0.25">
      <c r="A1167" t="s">
        <v>10198</v>
      </c>
      <c r="B1167" t="s">
        <v>25</v>
      </c>
      <c r="C1167" t="s">
        <v>26</v>
      </c>
      <c r="D1167" t="s">
        <v>25</v>
      </c>
      <c r="E1167" t="s">
        <v>8964</v>
      </c>
      <c r="F1167" t="s">
        <v>8965</v>
      </c>
      <c r="G1167">
        <v>800093117</v>
      </c>
      <c r="H1167" t="s">
        <v>6009</v>
      </c>
      <c r="I1167" s="4" t="s">
        <v>94</v>
      </c>
      <c r="J1167" s="4" t="s">
        <v>8014</v>
      </c>
      <c r="K1167" t="s">
        <v>8966</v>
      </c>
      <c r="L1167" t="s">
        <v>27</v>
      </c>
      <c r="M1167" t="s">
        <v>8967</v>
      </c>
      <c r="N1167" t="s">
        <v>28</v>
      </c>
      <c r="O1167" t="s">
        <v>29</v>
      </c>
      <c r="P1167" t="s">
        <v>54</v>
      </c>
      <c r="Q1167" t="s">
        <v>31</v>
      </c>
      <c r="R1167">
        <v>7</v>
      </c>
      <c r="S1167" t="s">
        <v>8968</v>
      </c>
      <c r="T1167" t="s">
        <v>8963</v>
      </c>
      <c r="U1167" t="s">
        <v>1472</v>
      </c>
      <c r="V1167" t="s">
        <v>32</v>
      </c>
      <c r="W1167" t="s">
        <v>33</v>
      </c>
      <c r="X1167" t="s">
        <v>33</v>
      </c>
      <c r="Y1167" t="s">
        <v>33</v>
      </c>
      <c r="Z1167" s="16" t="s">
        <v>34</v>
      </c>
      <c r="AA1167">
        <v>-75.574616899999995</v>
      </c>
      <c r="AB1167">
        <v>6.2194061100000004</v>
      </c>
      <c r="AC1167" t="s">
        <v>135</v>
      </c>
      <c r="AD1167" t="s">
        <v>136</v>
      </c>
    </row>
    <row r="1168" spans="1:30" x14ac:dyDescent="0.25">
      <c r="A1168" t="s">
        <v>10199</v>
      </c>
      <c r="B1168" t="s">
        <v>25</v>
      </c>
      <c r="C1168" t="s">
        <v>26</v>
      </c>
      <c r="D1168" t="s">
        <v>25</v>
      </c>
      <c r="E1168" t="s">
        <v>8969</v>
      </c>
      <c r="F1168" t="s">
        <v>8970</v>
      </c>
      <c r="G1168">
        <v>71279126</v>
      </c>
      <c r="H1168" t="s">
        <v>8971</v>
      </c>
      <c r="I1168" s="4" t="s">
        <v>8972</v>
      </c>
      <c r="J1168" s="4" t="s">
        <v>8973</v>
      </c>
      <c r="K1168" t="s">
        <v>8974</v>
      </c>
      <c r="L1168" t="s">
        <v>44</v>
      </c>
      <c r="M1168" t="s">
        <v>8975</v>
      </c>
      <c r="N1168" t="s">
        <v>45</v>
      </c>
      <c r="O1168" t="s">
        <v>29</v>
      </c>
      <c r="P1168" t="s">
        <v>37</v>
      </c>
      <c r="Q1168" t="s">
        <v>38</v>
      </c>
      <c r="R1168">
        <v>10</v>
      </c>
      <c r="S1168" t="s">
        <v>8976</v>
      </c>
      <c r="T1168" t="s">
        <v>8963</v>
      </c>
      <c r="U1168" t="s">
        <v>8977</v>
      </c>
      <c r="V1168" t="s">
        <v>32</v>
      </c>
      <c r="W1168" t="s">
        <v>33</v>
      </c>
      <c r="X1168" t="s">
        <v>33</v>
      </c>
      <c r="Y1168" t="s">
        <v>33</v>
      </c>
      <c r="Z1168" s="16" t="s">
        <v>34</v>
      </c>
      <c r="AA1168">
        <v>-75.615972020000001</v>
      </c>
      <c r="AB1168">
        <v>6.1882319700000004</v>
      </c>
      <c r="AC1168" t="s">
        <v>135</v>
      </c>
      <c r="AD1168" t="s">
        <v>136</v>
      </c>
    </row>
    <row r="1169" spans="1:30" x14ac:dyDescent="0.25">
      <c r="A1169" t="s">
        <v>10200</v>
      </c>
      <c r="B1169" t="s">
        <v>25</v>
      </c>
      <c r="C1169" t="s">
        <v>26</v>
      </c>
      <c r="D1169" t="s">
        <v>25</v>
      </c>
      <c r="E1169" t="s">
        <v>8978</v>
      </c>
      <c r="F1169" t="s">
        <v>8979</v>
      </c>
      <c r="G1169">
        <v>43382213</v>
      </c>
      <c r="H1169" t="s">
        <v>8980</v>
      </c>
      <c r="I1169" s="4" t="s">
        <v>35</v>
      </c>
      <c r="J1169" s="4" t="s">
        <v>8981</v>
      </c>
      <c r="K1169" t="s">
        <v>8982</v>
      </c>
      <c r="L1169" t="s">
        <v>27</v>
      </c>
      <c r="M1169" t="s">
        <v>8983</v>
      </c>
      <c r="N1169" t="s">
        <v>28</v>
      </c>
      <c r="O1169" t="s">
        <v>29</v>
      </c>
      <c r="P1169" t="s">
        <v>37</v>
      </c>
      <c r="Q1169" t="s">
        <v>31</v>
      </c>
      <c r="R1169">
        <v>7</v>
      </c>
      <c r="S1169" t="s">
        <v>8984</v>
      </c>
      <c r="T1169" t="s">
        <v>8963</v>
      </c>
      <c r="U1169" t="s">
        <v>1472</v>
      </c>
      <c r="V1169" t="s">
        <v>32</v>
      </c>
      <c r="W1169" t="s">
        <v>33</v>
      </c>
      <c r="X1169" t="s">
        <v>33</v>
      </c>
      <c r="Y1169" t="s">
        <v>33</v>
      </c>
      <c r="Z1169" s="16" t="s">
        <v>34</v>
      </c>
      <c r="AA1169">
        <v>-75.542624000000004</v>
      </c>
      <c r="AB1169">
        <v>6.2403510000000004</v>
      </c>
      <c r="AC1169" t="s">
        <v>135</v>
      </c>
      <c r="AD1169" t="s">
        <v>136</v>
      </c>
    </row>
    <row r="1170" spans="1:30" x14ac:dyDescent="0.25">
      <c r="A1170" t="s">
        <v>10201</v>
      </c>
      <c r="B1170" t="s">
        <v>25</v>
      </c>
      <c r="C1170" t="s">
        <v>26</v>
      </c>
      <c r="D1170" t="s">
        <v>25</v>
      </c>
      <c r="E1170" t="s">
        <v>8985</v>
      </c>
      <c r="F1170" t="s">
        <v>8986</v>
      </c>
      <c r="G1170">
        <v>800093117</v>
      </c>
      <c r="H1170" t="s">
        <v>6009</v>
      </c>
      <c r="I1170" s="4" t="s">
        <v>94</v>
      </c>
      <c r="J1170" s="4" t="s">
        <v>8014</v>
      </c>
      <c r="K1170" t="s">
        <v>8987</v>
      </c>
      <c r="L1170" t="s">
        <v>27</v>
      </c>
      <c r="M1170" t="s">
        <v>8988</v>
      </c>
      <c r="N1170" t="s">
        <v>28</v>
      </c>
      <c r="O1170" t="s">
        <v>29</v>
      </c>
      <c r="P1170" t="s">
        <v>54</v>
      </c>
      <c r="Q1170" t="s">
        <v>31</v>
      </c>
      <c r="R1170">
        <v>7</v>
      </c>
      <c r="S1170" t="s">
        <v>8989</v>
      </c>
      <c r="T1170" t="s">
        <v>8963</v>
      </c>
      <c r="U1170" t="s">
        <v>1472</v>
      </c>
      <c r="V1170" t="s">
        <v>32</v>
      </c>
      <c r="W1170" t="s">
        <v>33</v>
      </c>
      <c r="X1170" t="s">
        <v>33</v>
      </c>
      <c r="Y1170" t="s">
        <v>33</v>
      </c>
      <c r="Z1170" s="16" t="s">
        <v>34</v>
      </c>
      <c r="AA1170">
        <v>-75.574616899999995</v>
      </c>
      <c r="AB1170">
        <v>6.2194061100000004</v>
      </c>
      <c r="AC1170" t="s">
        <v>135</v>
      </c>
      <c r="AD1170" t="s">
        <v>136</v>
      </c>
    </row>
    <row r="1171" spans="1:30" x14ac:dyDescent="0.25">
      <c r="A1171" t="s">
        <v>10202</v>
      </c>
      <c r="B1171" t="s">
        <v>25</v>
      </c>
      <c r="C1171" t="s">
        <v>26</v>
      </c>
      <c r="D1171" t="s">
        <v>25</v>
      </c>
      <c r="E1171" t="s">
        <v>8990</v>
      </c>
      <c r="F1171" t="s">
        <v>8991</v>
      </c>
      <c r="G1171">
        <v>800093117</v>
      </c>
      <c r="H1171" t="s">
        <v>6009</v>
      </c>
      <c r="I1171" s="4" t="s">
        <v>94</v>
      </c>
      <c r="J1171" s="4" t="s">
        <v>8014</v>
      </c>
      <c r="K1171" t="s">
        <v>8992</v>
      </c>
      <c r="L1171" t="s">
        <v>27</v>
      </c>
      <c r="M1171" t="s">
        <v>8993</v>
      </c>
      <c r="N1171" t="s">
        <v>28</v>
      </c>
      <c r="O1171" t="s">
        <v>29</v>
      </c>
      <c r="P1171" t="s">
        <v>54</v>
      </c>
      <c r="Q1171" t="s">
        <v>31</v>
      </c>
      <c r="R1171">
        <v>7</v>
      </c>
      <c r="S1171" t="s">
        <v>8994</v>
      </c>
      <c r="T1171" t="s">
        <v>8995</v>
      </c>
      <c r="U1171" t="s">
        <v>8996</v>
      </c>
      <c r="V1171" t="s">
        <v>32</v>
      </c>
      <c r="W1171" t="s">
        <v>33</v>
      </c>
      <c r="X1171" t="s">
        <v>33</v>
      </c>
      <c r="Y1171" t="s">
        <v>33</v>
      </c>
      <c r="Z1171" s="16" t="s">
        <v>34</v>
      </c>
      <c r="AA1171">
        <v>-75.574616899999995</v>
      </c>
      <c r="AB1171">
        <v>6.2194061100000004</v>
      </c>
      <c r="AC1171" t="s">
        <v>135</v>
      </c>
      <c r="AD1171" t="s">
        <v>136</v>
      </c>
    </row>
    <row r="1172" spans="1:30" x14ac:dyDescent="0.25">
      <c r="A1172" t="s">
        <v>10203</v>
      </c>
      <c r="B1172" t="s">
        <v>25</v>
      </c>
      <c r="C1172" t="s">
        <v>26</v>
      </c>
      <c r="D1172" t="s">
        <v>25</v>
      </c>
      <c r="E1172" t="s">
        <v>8997</v>
      </c>
      <c r="F1172" t="s">
        <v>8998</v>
      </c>
      <c r="G1172">
        <v>800093117</v>
      </c>
      <c r="H1172" t="s">
        <v>6009</v>
      </c>
      <c r="I1172" s="4" t="s">
        <v>94</v>
      </c>
      <c r="J1172" s="4" t="s">
        <v>8014</v>
      </c>
      <c r="K1172" t="s">
        <v>8999</v>
      </c>
      <c r="L1172" t="s">
        <v>27</v>
      </c>
      <c r="M1172" t="s">
        <v>9000</v>
      </c>
      <c r="N1172" t="s">
        <v>28</v>
      </c>
      <c r="O1172" t="s">
        <v>29</v>
      </c>
      <c r="P1172" t="s">
        <v>54</v>
      </c>
      <c r="Q1172" t="s">
        <v>31</v>
      </c>
      <c r="R1172">
        <v>7</v>
      </c>
      <c r="S1172" t="s">
        <v>9001</v>
      </c>
      <c r="T1172" t="s">
        <v>8995</v>
      </c>
      <c r="U1172" t="s">
        <v>8996</v>
      </c>
      <c r="V1172" t="s">
        <v>32</v>
      </c>
      <c r="W1172" t="s">
        <v>33</v>
      </c>
      <c r="X1172" t="s">
        <v>33</v>
      </c>
      <c r="Y1172" t="s">
        <v>33</v>
      </c>
      <c r="Z1172" s="16" t="s">
        <v>34</v>
      </c>
      <c r="AA1172">
        <v>-75.574616899999995</v>
      </c>
      <c r="AB1172">
        <v>6.2194061100000004</v>
      </c>
      <c r="AC1172" t="s">
        <v>135</v>
      </c>
      <c r="AD1172" t="s">
        <v>136</v>
      </c>
    </row>
    <row r="1173" spans="1:30" x14ac:dyDescent="0.25">
      <c r="A1173" t="s">
        <v>10204</v>
      </c>
      <c r="B1173" t="s">
        <v>25</v>
      </c>
      <c r="C1173" t="s">
        <v>26</v>
      </c>
      <c r="D1173" t="s">
        <v>25</v>
      </c>
      <c r="E1173" t="s">
        <v>9002</v>
      </c>
      <c r="F1173" t="s">
        <v>9003</v>
      </c>
      <c r="G1173">
        <v>800093117</v>
      </c>
      <c r="H1173" t="s">
        <v>6009</v>
      </c>
      <c r="I1173" s="4" t="s">
        <v>94</v>
      </c>
      <c r="J1173" s="4" t="s">
        <v>8014</v>
      </c>
      <c r="K1173" t="s">
        <v>9004</v>
      </c>
      <c r="L1173" t="s">
        <v>27</v>
      </c>
      <c r="M1173" t="s">
        <v>9005</v>
      </c>
      <c r="N1173" t="s">
        <v>28</v>
      </c>
      <c r="O1173" t="s">
        <v>29</v>
      </c>
      <c r="P1173" t="s">
        <v>54</v>
      </c>
      <c r="Q1173" t="s">
        <v>31</v>
      </c>
      <c r="R1173">
        <v>7</v>
      </c>
      <c r="S1173" t="s">
        <v>9006</v>
      </c>
      <c r="T1173" t="s">
        <v>9007</v>
      </c>
      <c r="U1173" t="s">
        <v>9008</v>
      </c>
      <c r="V1173" t="s">
        <v>32</v>
      </c>
      <c r="W1173" t="s">
        <v>33</v>
      </c>
      <c r="X1173" t="s">
        <v>33</v>
      </c>
      <c r="Y1173" t="s">
        <v>33</v>
      </c>
      <c r="Z1173" s="16" t="s">
        <v>34</v>
      </c>
      <c r="AA1173">
        <v>-75.574616899999995</v>
      </c>
      <c r="AB1173">
        <v>6.2194061100000004</v>
      </c>
      <c r="AC1173" t="s">
        <v>135</v>
      </c>
      <c r="AD1173" t="s">
        <v>136</v>
      </c>
    </row>
    <row r="1174" spans="1:30" x14ac:dyDescent="0.25">
      <c r="A1174" t="s">
        <v>10205</v>
      </c>
      <c r="B1174" t="s">
        <v>25</v>
      </c>
      <c r="C1174" t="s">
        <v>26</v>
      </c>
      <c r="D1174" t="s">
        <v>25</v>
      </c>
      <c r="E1174" t="s">
        <v>9009</v>
      </c>
      <c r="F1174" t="s">
        <v>9010</v>
      </c>
      <c r="G1174">
        <v>800093117</v>
      </c>
      <c r="H1174" t="s">
        <v>6009</v>
      </c>
      <c r="I1174" s="4" t="s">
        <v>94</v>
      </c>
      <c r="J1174" s="4" t="s">
        <v>8014</v>
      </c>
      <c r="K1174" t="s">
        <v>9011</v>
      </c>
      <c r="L1174" t="s">
        <v>27</v>
      </c>
      <c r="M1174" t="s">
        <v>9012</v>
      </c>
      <c r="N1174" t="s">
        <v>28</v>
      </c>
      <c r="O1174" t="s">
        <v>29</v>
      </c>
      <c r="P1174" t="s">
        <v>54</v>
      </c>
      <c r="Q1174" t="s">
        <v>31</v>
      </c>
      <c r="R1174">
        <v>7</v>
      </c>
      <c r="S1174" t="s">
        <v>9013</v>
      </c>
      <c r="T1174" t="s">
        <v>9007</v>
      </c>
      <c r="U1174" t="s">
        <v>9008</v>
      </c>
      <c r="V1174" t="s">
        <v>32</v>
      </c>
      <c r="W1174" t="s">
        <v>33</v>
      </c>
      <c r="X1174" t="s">
        <v>33</v>
      </c>
      <c r="Y1174" t="s">
        <v>33</v>
      </c>
      <c r="Z1174" s="16" t="s">
        <v>34</v>
      </c>
      <c r="AA1174">
        <v>-75.574616899999995</v>
      </c>
      <c r="AB1174">
        <v>6.2194061100000004</v>
      </c>
      <c r="AC1174" t="s">
        <v>135</v>
      </c>
      <c r="AD1174" t="s">
        <v>136</v>
      </c>
    </row>
    <row r="1175" spans="1:30" x14ac:dyDescent="0.25">
      <c r="A1175" t="s">
        <v>10206</v>
      </c>
      <c r="B1175" t="s">
        <v>25</v>
      </c>
      <c r="C1175" t="s">
        <v>26</v>
      </c>
      <c r="D1175" t="s">
        <v>25</v>
      </c>
      <c r="E1175" t="s">
        <v>9014</v>
      </c>
      <c r="F1175" t="s">
        <v>9015</v>
      </c>
      <c r="G1175">
        <v>800093117</v>
      </c>
      <c r="H1175" t="s">
        <v>6009</v>
      </c>
      <c r="I1175" s="4" t="s">
        <v>94</v>
      </c>
      <c r="J1175" s="4" t="s">
        <v>8014</v>
      </c>
      <c r="K1175" t="s">
        <v>9016</v>
      </c>
      <c r="L1175" t="s">
        <v>27</v>
      </c>
      <c r="M1175" t="s">
        <v>9017</v>
      </c>
      <c r="N1175" t="s">
        <v>28</v>
      </c>
      <c r="O1175" t="s">
        <v>29</v>
      </c>
      <c r="P1175" t="s">
        <v>54</v>
      </c>
      <c r="Q1175" t="s">
        <v>31</v>
      </c>
      <c r="R1175">
        <v>7</v>
      </c>
      <c r="S1175" t="s">
        <v>9018</v>
      </c>
      <c r="T1175" t="s">
        <v>2603</v>
      </c>
      <c r="U1175" t="s">
        <v>1281</v>
      </c>
      <c r="V1175" t="s">
        <v>32</v>
      </c>
      <c r="W1175" t="s">
        <v>33</v>
      </c>
      <c r="X1175" t="s">
        <v>33</v>
      </c>
      <c r="Y1175" t="s">
        <v>33</v>
      </c>
      <c r="Z1175" s="16" t="s">
        <v>34</v>
      </c>
      <c r="AA1175">
        <v>-75.574616899999995</v>
      </c>
      <c r="AB1175">
        <v>6.2194061100000004</v>
      </c>
      <c r="AC1175" t="s">
        <v>135</v>
      </c>
      <c r="AD1175" t="s">
        <v>136</v>
      </c>
    </row>
    <row r="1176" spans="1:30" x14ac:dyDescent="0.25">
      <c r="A1176" t="s">
        <v>10207</v>
      </c>
      <c r="B1176" t="s">
        <v>25</v>
      </c>
      <c r="C1176" t="s">
        <v>26</v>
      </c>
      <c r="D1176" t="s">
        <v>25</v>
      </c>
      <c r="E1176" t="s">
        <v>9019</v>
      </c>
      <c r="F1176" t="s">
        <v>9020</v>
      </c>
      <c r="G1176">
        <v>43405065</v>
      </c>
      <c r="H1176" t="s">
        <v>8902</v>
      </c>
      <c r="I1176" s="4" t="s">
        <v>35</v>
      </c>
      <c r="J1176" s="4" t="s">
        <v>8903</v>
      </c>
      <c r="K1176" t="s">
        <v>9021</v>
      </c>
      <c r="L1176" t="s">
        <v>44</v>
      </c>
      <c r="M1176" t="s">
        <v>9022</v>
      </c>
      <c r="N1176" t="s">
        <v>45</v>
      </c>
      <c r="O1176" t="s">
        <v>29</v>
      </c>
      <c r="P1176" t="s">
        <v>37</v>
      </c>
      <c r="Q1176" t="s">
        <v>38</v>
      </c>
      <c r="R1176">
        <v>10</v>
      </c>
      <c r="S1176" t="s">
        <v>9023</v>
      </c>
      <c r="T1176" t="s">
        <v>6207</v>
      </c>
      <c r="U1176" t="s">
        <v>9024</v>
      </c>
      <c r="V1176" t="s">
        <v>32</v>
      </c>
      <c r="W1176" t="s">
        <v>33</v>
      </c>
      <c r="X1176" t="s">
        <v>33</v>
      </c>
      <c r="Y1176" t="s">
        <v>33</v>
      </c>
      <c r="Z1176" s="16" t="s">
        <v>34</v>
      </c>
      <c r="AA1176">
        <v>-75.619076329999999</v>
      </c>
      <c r="AB1176">
        <v>6.1887325799999999</v>
      </c>
      <c r="AC1176" t="s">
        <v>135</v>
      </c>
      <c r="AD1176" t="s">
        <v>136</v>
      </c>
    </row>
    <row r="1177" spans="1:30" x14ac:dyDescent="0.25">
      <c r="A1177" t="s">
        <v>10208</v>
      </c>
      <c r="B1177" t="s">
        <v>25</v>
      </c>
      <c r="C1177" t="s">
        <v>26</v>
      </c>
      <c r="D1177" t="s">
        <v>25</v>
      </c>
      <c r="E1177" t="s">
        <v>9025</v>
      </c>
      <c r="F1177" t="s">
        <v>9026</v>
      </c>
      <c r="G1177">
        <v>43382213</v>
      </c>
      <c r="H1177" t="s">
        <v>8980</v>
      </c>
      <c r="I1177" s="4" t="s">
        <v>35</v>
      </c>
      <c r="J1177" s="4" t="s">
        <v>8981</v>
      </c>
      <c r="K1177" t="s">
        <v>9027</v>
      </c>
      <c r="L1177" t="s">
        <v>27</v>
      </c>
      <c r="M1177" t="s">
        <v>9028</v>
      </c>
      <c r="N1177" t="s">
        <v>28</v>
      </c>
      <c r="O1177" t="s">
        <v>29</v>
      </c>
      <c r="P1177" t="s">
        <v>37</v>
      </c>
      <c r="Q1177" t="s">
        <v>31</v>
      </c>
      <c r="R1177">
        <v>7</v>
      </c>
      <c r="S1177" t="s">
        <v>9029</v>
      </c>
      <c r="T1177" t="s">
        <v>9030</v>
      </c>
      <c r="U1177" t="s">
        <v>6849</v>
      </c>
      <c r="V1177" t="s">
        <v>32</v>
      </c>
      <c r="W1177" t="s">
        <v>33</v>
      </c>
      <c r="X1177" t="s">
        <v>33</v>
      </c>
      <c r="Y1177" t="s">
        <v>33</v>
      </c>
      <c r="Z1177" s="16" t="s">
        <v>34</v>
      </c>
      <c r="AA1177">
        <v>-75.542624000000004</v>
      </c>
      <c r="AB1177">
        <v>6.2403510000000004</v>
      </c>
      <c r="AC1177" t="s">
        <v>135</v>
      </c>
      <c r="AD1177" t="s">
        <v>136</v>
      </c>
    </row>
    <row r="1178" spans="1:30" x14ac:dyDescent="0.25">
      <c r="A1178" t="s">
        <v>10209</v>
      </c>
      <c r="B1178" t="s">
        <v>25</v>
      </c>
      <c r="C1178" t="s">
        <v>26</v>
      </c>
      <c r="D1178" t="s">
        <v>25</v>
      </c>
      <c r="E1178" t="s">
        <v>9031</v>
      </c>
      <c r="F1178" t="s">
        <v>9032</v>
      </c>
      <c r="G1178">
        <v>16639051</v>
      </c>
      <c r="H1178" t="s">
        <v>9033</v>
      </c>
      <c r="I1178" s="4" t="s">
        <v>9034</v>
      </c>
      <c r="J1178" s="4" t="s">
        <v>9035</v>
      </c>
      <c r="K1178" t="s">
        <v>9036</v>
      </c>
      <c r="L1178" t="s">
        <v>48</v>
      </c>
      <c r="M1178" t="s">
        <v>9037</v>
      </c>
      <c r="N1178" t="s">
        <v>64</v>
      </c>
      <c r="O1178" t="s">
        <v>29</v>
      </c>
      <c r="P1178" t="s">
        <v>37</v>
      </c>
      <c r="Q1178" t="s">
        <v>38</v>
      </c>
      <c r="R1178">
        <v>10</v>
      </c>
      <c r="S1178" t="s">
        <v>9038</v>
      </c>
      <c r="T1178" t="s">
        <v>9039</v>
      </c>
      <c r="U1178" t="s">
        <v>9040</v>
      </c>
      <c r="V1178" t="s">
        <v>32</v>
      </c>
      <c r="W1178" t="s">
        <v>33</v>
      </c>
      <c r="X1178" t="s">
        <v>33</v>
      </c>
      <c r="Y1178" t="s">
        <v>33</v>
      </c>
      <c r="Z1178" s="16" t="s">
        <v>34</v>
      </c>
      <c r="AA1178">
        <v>-75.492757510000004</v>
      </c>
      <c r="AB1178">
        <v>6.1715968400000003</v>
      </c>
      <c r="AC1178" t="s">
        <v>135</v>
      </c>
      <c r="AD1178" t="s">
        <v>136</v>
      </c>
    </row>
    <row r="1179" spans="1:30" x14ac:dyDescent="0.25">
      <c r="A1179" t="s">
        <v>10210</v>
      </c>
      <c r="B1179" t="s">
        <v>42</v>
      </c>
      <c r="C1179" t="s">
        <v>26</v>
      </c>
      <c r="D1179" t="s">
        <v>42</v>
      </c>
      <c r="E1179" t="s">
        <v>9041</v>
      </c>
      <c r="F1179" t="s">
        <v>9042</v>
      </c>
      <c r="G1179">
        <v>71676178</v>
      </c>
      <c r="H1179" t="s">
        <v>9043</v>
      </c>
      <c r="I1179" s="4" t="s">
        <v>35</v>
      </c>
      <c r="J1179" s="4" t="s">
        <v>9044</v>
      </c>
      <c r="K1179" t="s">
        <v>9045</v>
      </c>
      <c r="L1179" t="s">
        <v>27</v>
      </c>
      <c r="M1179" t="s">
        <v>9046</v>
      </c>
      <c r="N1179" t="s">
        <v>28</v>
      </c>
      <c r="O1179" t="s">
        <v>43</v>
      </c>
      <c r="P1179" t="s">
        <v>30</v>
      </c>
      <c r="Q1179" t="s">
        <v>31</v>
      </c>
      <c r="R1179">
        <v>7</v>
      </c>
      <c r="S1179" t="s">
        <v>9047</v>
      </c>
      <c r="T1179" t="s">
        <v>9048</v>
      </c>
      <c r="U1179" t="s">
        <v>9049</v>
      </c>
      <c r="V1179" t="s">
        <v>32</v>
      </c>
      <c r="W1179" t="s">
        <v>33</v>
      </c>
      <c r="X1179" t="s">
        <v>33</v>
      </c>
      <c r="Y1179" t="s">
        <v>33</v>
      </c>
      <c r="Z1179" s="16" t="s">
        <v>34</v>
      </c>
      <c r="AA1179">
        <v>-75.609815999999995</v>
      </c>
      <c r="AB1179">
        <v>6.2783340000000001</v>
      </c>
      <c r="AC1179" t="s">
        <v>135</v>
      </c>
      <c r="AD1179" t="s">
        <v>136</v>
      </c>
    </row>
    <row r="1180" spans="1:30" x14ac:dyDescent="0.25">
      <c r="A1180" t="s">
        <v>10211</v>
      </c>
      <c r="B1180" t="s">
        <v>25</v>
      </c>
      <c r="C1180" t="s">
        <v>26</v>
      </c>
      <c r="D1180" t="s">
        <v>39</v>
      </c>
      <c r="E1180" t="s">
        <v>9050</v>
      </c>
      <c r="F1180" t="s">
        <v>9051</v>
      </c>
      <c r="G1180">
        <v>1046904458</v>
      </c>
      <c r="H1180" t="s">
        <v>9052</v>
      </c>
      <c r="I1180" s="4" t="s">
        <v>35</v>
      </c>
      <c r="J1180" s="4" t="s">
        <v>9053</v>
      </c>
      <c r="K1180" t="s">
        <v>9054</v>
      </c>
      <c r="L1180" t="s">
        <v>27</v>
      </c>
      <c r="M1180" t="s">
        <v>9055</v>
      </c>
      <c r="N1180" t="s">
        <v>28</v>
      </c>
      <c r="O1180" t="s">
        <v>40</v>
      </c>
      <c r="P1180" t="s">
        <v>41</v>
      </c>
      <c r="Q1180" t="s">
        <v>31</v>
      </c>
      <c r="R1180">
        <v>5</v>
      </c>
      <c r="S1180" t="s">
        <v>9056</v>
      </c>
      <c r="T1180" t="s">
        <v>9057</v>
      </c>
      <c r="U1180" t="s">
        <v>9058</v>
      </c>
      <c r="V1180" t="s">
        <v>32</v>
      </c>
      <c r="W1180" t="s">
        <v>33</v>
      </c>
      <c r="X1180" t="s">
        <v>33</v>
      </c>
      <c r="Y1180" t="s">
        <v>33</v>
      </c>
      <c r="Z1180" s="16" t="s">
        <v>34</v>
      </c>
      <c r="AA1180">
        <v>-75.62485341</v>
      </c>
      <c r="AB1180">
        <v>6.2504956900000002</v>
      </c>
      <c r="AC1180" t="s">
        <v>135</v>
      </c>
      <c r="AD1180" t="s">
        <v>136</v>
      </c>
    </row>
    <row r="1181" spans="1:30" x14ac:dyDescent="0.25">
      <c r="A1181" t="s">
        <v>10212</v>
      </c>
      <c r="B1181" t="s">
        <v>42</v>
      </c>
      <c r="C1181" t="s">
        <v>26</v>
      </c>
      <c r="D1181" t="s">
        <v>42</v>
      </c>
      <c r="E1181" t="s">
        <v>9059</v>
      </c>
      <c r="F1181" t="s">
        <v>9060</v>
      </c>
      <c r="G1181">
        <v>71676178</v>
      </c>
      <c r="H1181" t="s">
        <v>9043</v>
      </c>
      <c r="I1181" s="4" t="s">
        <v>35</v>
      </c>
      <c r="J1181" s="4" t="s">
        <v>9044</v>
      </c>
      <c r="K1181" t="s">
        <v>9061</v>
      </c>
      <c r="L1181" t="s">
        <v>27</v>
      </c>
      <c r="M1181" t="s">
        <v>9062</v>
      </c>
      <c r="N1181" t="s">
        <v>28</v>
      </c>
      <c r="O1181" t="s">
        <v>43</v>
      </c>
      <c r="P1181" t="s">
        <v>37</v>
      </c>
      <c r="Q1181" t="s">
        <v>31</v>
      </c>
      <c r="R1181">
        <v>7</v>
      </c>
      <c r="S1181" t="s">
        <v>9063</v>
      </c>
      <c r="T1181" t="s">
        <v>9064</v>
      </c>
      <c r="U1181" t="s">
        <v>9065</v>
      </c>
      <c r="V1181" t="s">
        <v>32</v>
      </c>
      <c r="W1181" t="s">
        <v>33</v>
      </c>
      <c r="X1181" t="s">
        <v>33</v>
      </c>
      <c r="Y1181" t="s">
        <v>33</v>
      </c>
      <c r="Z1181" s="16" t="s">
        <v>34</v>
      </c>
      <c r="AA1181">
        <v>-75.609815999999995</v>
      </c>
      <c r="AB1181">
        <v>6.2783340000000001</v>
      </c>
      <c r="AC1181" t="s">
        <v>135</v>
      </c>
      <c r="AD1181" t="s">
        <v>136</v>
      </c>
    </row>
    <row r="1182" spans="1:30" x14ac:dyDescent="0.25">
      <c r="A1182" t="s">
        <v>10213</v>
      </c>
      <c r="B1182" t="s">
        <v>61</v>
      </c>
      <c r="C1182" t="s">
        <v>26</v>
      </c>
      <c r="D1182" t="s">
        <v>61</v>
      </c>
      <c r="E1182" t="s">
        <v>9066</v>
      </c>
      <c r="F1182" t="s">
        <v>9067</v>
      </c>
      <c r="G1182">
        <v>75088219</v>
      </c>
      <c r="H1182" t="s">
        <v>9068</v>
      </c>
      <c r="I1182" s="4" t="s">
        <v>35</v>
      </c>
      <c r="J1182" s="4" t="s">
        <v>9069</v>
      </c>
      <c r="K1182" t="s">
        <v>9070</v>
      </c>
      <c r="L1182" t="s">
        <v>27</v>
      </c>
      <c r="M1182" t="s">
        <v>9071</v>
      </c>
      <c r="N1182" t="s">
        <v>28</v>
      </c>
      <c r="O1182" t="s">
        <v>62</v>
      </c>
      <c r="P1182" t="s">
        <v>63</v>
      </c>
      <c r="Q1182" t="s">
        <v>31</v>
      </c>
      <c r="R1182">
        <v>4</v>
      </c>
      <c r="S1182" t="s">
        <v>9072</v>
      </c>
      <c r="T1182" t="s">
        <v>9073</v>
      </c>
      <c r="U1182" t="s">
        <v>6214</v>
      </c>
      <c r="V1182" t="s">
        <v>32</v>
      </c>
      <c r="W1182" t="s">
        <v>33</v>
      </c>
      <c r="X1182" t="s">
        <v>33</v>
      </c>
      <c r="Y1182" t="s">
        <v>33</v>
      </c>
      <c r="Z1182" s="16" t="s">
        <v>34</v>
      </c>
      <c r="AA1182">
        <v>-75.602476879999998</v>
      </c>
      <c r="AB1182">
        <v>6.2401743400000003</v>
      </c>
      <c r="AC1182" t="s">
        <v>135</v>
      </c>
      <c r="AD1182" t="s">
        <v>136</v>
      </c>
    </row>
    <row r="1183" spans="1:30" x14ac:dyDescent="0.25">
      <c r="A1183" t="s">
        <v>10214</v>
      </c>
      <c r="B1183" t="s">
        <v>25</v>
      </c>
      <c r="C1183" t="s">
        <v>26</v>
      </c>
      <c r="D1183" t="s">
        <v>39</v>
      </c>
      <c r="E1183" t="s">
        <v>9074</v>
      </c>
      <c r="F1183" t="s">
        <v>9075</v>
      </c>
      <c r="G1183">
        <v>1026134931</v>
      </c>
      <c r="H1183" t="s">
        <v>9076</v>
      </c>
      <c r="I1183" s="4" t="s">
        <v>35</v>
      </c>
      <c r="J1183" s="4" t="s">
        <v>9077</v>
      </c>
      <c r="K1183" t="s">
        <v>9078</v>
      </c>
      <c r="L1183" t="s">
        <v>57</v>
      </c>
      <c r="M1183" t="s">
        <v>9079</v>
      </c>
      <c r="N1183" t="s">
        <v>58</v>
      </c>
      <c r="O1183" t="s">
        <v>40</v>
      </c>
      <c r="P1183" t="s">
        <v>36</v>
      </c>
      <c r="Q1183" t="s">
        <v>38</v>
      </c>
      <c r="R1183">
        <v>8</v>
      </c>
      <c r="S1183" t="s">
        <v>9080</v>
      </c>
      <c r="T1183" t="s">
        <v>9081</v>
      </c>
      <c r="U1183" t="s">
        <v>9082</v>
      </c>
      <c r="V1183" t="s">
        <v>32</v>
      </c>
      <c r="W1183" t="s">
        <v>33</v>
      </c>
      <c r="X1183" t="s">
        <v>33</v>
      </c>
      <c r="Y1183" t="s">
        <v>33</v>
      </c>
      <c r="Z1183" s="16" t="s">
        <v>34</v>
      </c>
      <c r="AA1183">
        <v>-75.612425000000002</v>
      </c>
      <c r="AB1183">
        <v>6.0941599999999996</v>
      </c>
      <c r="AC1183" t="s">
        <v>135</v>
      </c>
      <c r="AD1183" t="s">
        <v>136</v>
      </c>
    </row>
    <row r="1184" spans="1:30" x14ac:dyDescent="0.25">
      <c r="A1184" t="s">
        <v>10215</v>
      </c>
      <c r="B1184" t="s">
        <v>25</v>
      </c>
      <c r="C1184" t="s">
        <v>26</v>
      </c>
      <c r="D1184" t="s">
        <v>25</v>
      </c>
      <c r="E1184" t="s">
        <v>9083</v>
      </c>
      <c r="F1184" t="s">
        <v>9084</v>
      </c>
      <c r="G1184">
        <v>71315257</v>
      </c>
      <c r="H1184" t="s">
        <v>9085</v>
      </c>
      <c r="I1184" s="4" t="s">
        <v>9086</v>
      </c>
      <c r="J1184" s="4" t="s">
        <v>9087</v>
      </c>
      <c r="K1184" t="s">
        <v>9088</v>
      </c>
      <c r="L1184" t="s">
        <v>27</v>
      </c>
      <c r="M1184" t="s">
        <v>9089</v>
      </c>
      <c r="N1184" t="s">
        <v>28</v>
      </c>
      <c r="O1184" t="s">
        <v>29</v>
      </c>
      <c r="P1184" t="s">
        <v>37</v>
      </c>
      <c r="Q1184" t="s">
        <v>38</v>
      </c>
      <c r="R1184">
        <v>10</v>
      </c>
      <c r="S1184" t="s">
        <v>9090</v>
      </c>
      <c r="T1184" t="s">
        <v>9091</v>
      </c>
      <c r="U1184" t="s">
        <v>9092</v>
      </c>
      <c r="V1184" t="s">
        <v>32</v>
      </c>
      <c r="W1184" t="s">
        <v>33</v>
      </c>
      <c r="X1184" t="s">
        <v>33</v>
      </c>
      <c r="Y1184" t="s">
        <v>33</v>
      </c>
      <c r="Z1184" s="16" t="s">
        <v>34</v>
      </c>
      <c r="AA1184">
        <v>-75.649908010000004</v>
      </c>
      <c r="AB1184">
        <v>6.29018707</v>
      </c>
      <c r="AC1184" t="s">
        <v>135</v>
      </c>
      <c r="AD1184" t="s">
        <v>136</v>
      </c>
    </row>
    <row r="1185" spans="1:30" x14ac:dyDescent="0.25">
      <c r="A1185" t="s">
        <v>10216</v>
      </c>
      <c r="B1185" t="s">
        <v>50</v>
      </c>
      <c r="C1185" t="s">
        <v>26</v>
      </c>
      <c r="D1185" t="s">
        <v>50</v>
      </c>
      <c r="E1185" t="s">
        <v>9093</v>
      </c>
      <c r="F1185" t="s">
        <v>9094</v>
      </c>
      <c r="G1185">
        <v>1037575846</v>
      </c>
      <c r="H1185" t="s">
        <v>9095</v>
      </c>
      <c r="I1185" s="4" t="s">
        <v>35</v>
      </c>
      <c r="J1185" s="4" t="s">
        <v>9096</v>
      </c>
      <c r="K1185" t="s">
        <v>9097</v>
      </c>
      <c r="L1185" t="s">
        <v>27</v>
      </c>
      <c r="M1185" t="s">
        <v>9098</v>
      </c>
      <c r="N1185" t="s">
        <v>28</v>
      </c>
      <c r="O1185" t="s">
        <v>40</v>
      </c>
      <c r="P1185" t="s">
        <v>41</v>
      </c>
      <c r="Q1185" t="s">
        <v>31</v>
      </c>
      <c r="R1185">
        <v>5</v>
      </c>
      <c r="S1185" t="s">
        <v>9099</v>
      </c>
      <c r="T1185" t="s">
        <v>9100</v>
      </c>
      <c r="U1185" t="s">
        <v>9101</v>
      </c>
      <c r="V1185" t="s">
        <v>32</v>
      </c>
      <c r="W1185" t="s">
        <v>33</v>
      </c>
      <c r="X1185" t="s">
        <v>33</v>
      </c>
      <c r="Y1185" t="s">
        <v>33</v>
      </c>
      <c r="Z1185" s="16" t="s">
        <v>34</v>
      </c>
      <c r="AA1185">
        <v>-75.539901880000002</v>
      </c>
      <c r="AB1185">
        <v>6.2430092100000003</v>
      </c>
      <c r="AC1185" t="s">
        <v>135</v>
      </c>
      <c r="AD1185" t="s">
        <v>136</v>
      </c>
    </row>
    <row r="1186" spans="1:30" x14ac:dyDescent="0.25">
      <c r="A1186" t="s">
        <v>10217</v>
      </c>
      <c r="B1186" t="s">
        <v>25</v>
      </c>
      <c r="C1186" t="s">
        <v>26</v>
      </c>
      <c r="D1186" t="s">
        <v>25</v>
      </c>
      <c r="E1186" t="s">
        <v>9102</v>
      </c>
      <c r="F1186" t="s">
        <v>9103</v>
      </c>
      <c r="G1186">
        <v>1128275829</v>
      </c>
      <c r="H1186" t="s">
        <v>9104</v>
      </c>
      <c r="I1186" s="4" t="s">
        <v>35</v>
      </c>
      <c r="J1186" s="4" t="s">
        <v>9105</v>
      </c>
      <c r="K1186" t="s">
        <v>9106</v>
      </c>
      <c r="L1186" t="s">
        <v>27</v>
      </c>
      <c r="M1186" t="s">
        <v>9107</v>
      </c>
      <c r="N1186" t="s">
        <v>28</v>
      </c>
      <c r="O1186" t="s">
        <v>29</v>
      </c>
      <c r="P1186" t="s">
        <v>37</v>
      </c>
      <c r="Q1186" t="s">
        <v>38</v>
      </c>
      <c r="R1186">
        <v>10</v>
      </c>
      <c r="S1186" t="s">
        <v>9108</v>
      </c>
      <c r="T1186" t="s">
        <v>7109</v>
      </c>
      <c r="U1186" t="s">
        <v>9109</v>
      </c>
      <c r="V1186" t="s">
        <v>32</v>
      </c>
      <c r="W1186" t="s">
        <v>33</v>
      </c>
      <c r="X1186" t="s">
        <v>33</v>
      </c>
      <c r="Y1186" t="s">
        <v>33</v>
      </c>
      <c r="Z1186" s="16" t="s">
        <v>34</v>
      </c>
      <c r="AA1186">
        <v>-75.631592780000005</v>
      </c>
      <c r="AB1186">
        <v>6.2033640600000002</v>
      </c>
      <c r="AC1186" t="s">
        <v>135</v>
      </c>
      <c r="AD1186" t="s">
        <v>136</v>
      </c>
    </row>
    <row r="1187" spans="1:30" x14ac:dyDescent="0.25">
      <c r="A1187" t="s">
        <v>10218</v>
      </c>
      <c r="B1187" t="s">
        <v>42</v>
      </c>
      <c r="C1187" t="s">
        <v>26</v>
      </c>
      <c r="D1187" t="s">
        <v>42</v>
      </c>
      <c r="E1187" t="s">
        <v>9110</v>
      </c>
      <c r="F1187" t="s">
        <v>9111</v>
      </c>
      <c r="G1187">
        <v>890904996</v>
      </c>
      <c r="H1187" t="s">
        <v>7994</v>
      </c>
      <c r="I1187" s="4" t="s">
        <v>53</v>
      </c>
      <c r="J1187" s="4" t="s">
        <v>7995</v>
      </c>
      <c r="K1187" t="s">
        <v>9112</v>
      </c>
      <c r="L1187" t="s">
        <v>27</v>
      </c>
      <c r="M1187" t="s">
        <v>9113</v>
      </c>
      <c r="N1187" t="s">
        <v>28</v>
      </c>
      <c r="O1187" t="s">
        <v>43</v>
      </c>
      <c r="P1187" t="s">
        <v>37</v>
      </c>
      <c r="Q1187" t="s">
        <v>31</v>
      </c>
      <c r="R1187">
        <v>7</v>
      </c>
      <c r="S1187" t="s">
        <v>9114</v>
      </c>
      <c r="T1187" t="s">
        <v>7109</v>
      </c>
      <c r="U1187" t="s">
        <v>9115</v>
      </c>
      <c r="V1187" t="s">
        <v>32</v>
      </c>
      <c r="W1187" t="s">
        <v>33</v>
      </c>
      <c r="X1187" t="s">
        <v>33</v>
      </c>
      <c r="Y1187" t="s">
        <v>33</v>
      </c>
      <c r="Z1187" s="16" t="s">
        <v>34</v>
      </c>
      <c r="AA1187">
        <v>-75.553408050000002</v>
      </c>
      <c r="AB1187">
        <v>6.2345561500000004</v>
      </c>
      <c r="AC1187" t="s">
        <v>135</v>
      </c>
      <c r="AD1187" t="s">
        <v>136</v>
      </c>
    </row>
    <row r="1188" spans="1:30" x14ac:dyDescent="0.25">
      <c r="A1188" t="s">
        <v>10219</v>
      </c>
      <c r="B1188" t="s">
        <v>25</v>
      </c>
      <c r="C1188" t="s">
        <v>26</v>
      </c>
      <c r="D1188" t="s">
        <v>25</v>
      </c>
      <c r="E1188" t="s">
        <v>9116</v>
      </c>
      <c r="F1188" t="s">
        <v>9117</v>
      </c>
      <c r="G1188">
        <v>71526288</v>
      </c>
      <c r="H1188" t="s">
        <v>9118</v>
      </c>
      <c r="I1188" s="4" t="s">
        <v>35</v>
      </c>
      <c r="J1188" s="4" t="s">
        <v>9119</v>
      </c>
      <c r="K1188" t="s">
        <v>9120</v>
      </c>
      <c r="L1188" t="s">
        <v>27</v>
      </c>
      <c r="M1188" t="s">
        <v>9121</v>
      </c>
      <c r="N1188" t="s">
        <v>28</v>
      </c>
      <c r="O1188" t="s">
        <v>29</v>
      </c>
      <c r="P1188" t="s">
        <v>37</v>
      </c>
      <c r="Q1188" t="s">
        <v>31</v>
      </c>
      <c r="R1188">
        <v>7</v>
      </c>
      <c r="S1188" t="s">
        <v>9122</v>
      </c>
      <c r="T1188" t="s">
        <v>7109</v>
      </c>
      <c r="U1188" t="s">
        <v>9115</v>
      </c>
      <c r="V1188" t="s">
        <v>32</v>
      </c>
      <c r="W1188" t="s">
        <v>33</v>
      </c>
      <c r="X1188" t="s">
        <v>33</v>
      </c>
      <c r="Y1188" t="s">
        <v>33</v>
      </c>
      <c r="Z1188" s="16" t="s">
        <v>34</v>
      </c>
      <c r="AA1188">
        <v>-75.606078539999999</v>
      </c>
      <c r="AB1188">
        <v>6.2103835299999997</v>
      </c>
      <c r="AC1188" t="s">
        <v>135</v>
      </c>
      <c r="AD1188" t="s">
        <v>136</v>
      </c>
    </row>
    <row r="1189" spans="1:30" x14ac:dyDescent="0.25">
      <c r="A1189" t="s">
        <v>10220</v>
      </c>
      <c r="B1189" t="s">
        <v>25</v>
      </c>
      <c r="C1189" t="s">
        <v>26</v>
      </c>
      <c r="D1189" t="s">
        <v>39</v>
      </c>
      <c r="E1189" t="s">
        <v>9123</v>
      </c>
      <c r="F1189" t="s">
        <v>9124</v>
      </c>
      <c r="G1189">
        <v>1148697358</v>
      </c>
      <c r="H1189" t="s">
        <v>9125</v>
      </c>
      <c r="I1189" s="4" t="s">
        <v>35</v>
      </c>
      <c r="J1189" s="4" t="s">
        <v>9126</v>
      </c>
      <c r="K1189" t="s">
        <v>9127</v>
      </c>
      <c r="L1189" t="s">
        <v>27</v>
      </c>
      <c r="M1189" t="s">
        <v>9128</v>
      </c>
      <c r="N1189" t="s">
        <v>28</v>
      </c>
      <c r="O1189" t="s">
        <v>40</v>
      </c>
      <c r="P1189" t="s">
        <v>41</v>
      </c>
      <c r="Q1189" t="s">
        <v>31</v>
      </c>
      <c r="R1189">
        <v>5</v>
      </c>
      <c r="S1189" t="s">
        <v>9129</v>
      </c>
      <c r="T1189" t="s">
        <v>7185</v>
      </c>
      <c r="U1189" t="s">
        <v>9130</v>
      </c>
      <c r="V1189" t="s">
        <v>32</v>
      </c>
      <c r="W1189" t="s">
        <v>33</v>
      </c>
      <c r="X1189" t="s">
        <v>33</v>
      </c>
      <c r="Y1189" t="s">
        <v>33</v>
      </c>
      <c r="Z1189" s="16" t="s">
        <v>34</v>
      </c>
      <c r="AA1189">
        <v>-75.614959999999996</v>
      </c>
      <c r="AB1189">
        <v>6.2192730000000003</v>
      </c>
      <c r="AC1189" t="s">
        <v>135</v>
      </c>
      <c r="AD1189" t="s">
        <v>136</v>
      </c>
    </row>
    <row r="1190" spans="1:30" x14ac:dyDescent="0.25">
      <c r="A1190" t="s">
        <v>10221</v>
      </c>
      <c r="B1190" t="s">
        <v>42</v>
      </c>
      <c r="C1190" t="s">
        <v>26</v>
      </c>
      <c r="D1190" t="s">
        <v>42</v>
      </c>
      <c r="E1190" t="s">
        <v>9131</v>
      </c>
      <c r="F1190" t="s">
        <v>9132</v>
      </c>
      <c r="G1190">
        <v>8160444</v>
      </c>
      <c r="H1190" t="s">
        <v>9133</v>
      </c>
      <c r="I1190" s="4" t="s">
        <v>9134</v>
      </c>
      <c r="J1190" s="4" t="s">
        <v>9135</v>
      </c>
      <c r="K1190" t="s">
        <v>9136</v>
      </c>
      <c r="L1190" t="s">
        <v>27</v>
      </c>
      <c r="M1190" t="s">
        <v>9137</v>
      </c>
      <c r="N1190" t="s">
        <v>28</v>
      </c>
      <c r="O1190" t="s">
        <v>43</v>
      </c>
      <c r="P1190" t="s">
        <v>37</v>
      </c>
      <c r="Q1190" t="s">
        <v>31</v>
      </c>
      <c r="R1190">
        <v>7</v>
      </c>
      <c r="S1190" t="s">
        <v>9138</v>
      </c>
      <c r="T1190" t="s">
        <v>9139</v>
      </c>
      <c r="U1190" t="s">
        <v>3446</v>
      </c>
      <c r="V1190" t="s">
        <v>32</v>
      </c>
      <c r="W1190" t="s">
        <v>33</v>
      </c>
      <c r="X1190" t="s">
        <v>33</v>
      </c>
      <c r="Y1190" t="s">
        <v>33</v>
      </c>
      <c r="Z1190" s="16" t="s">
        <v>34</v>
      </c>
      <c r="AA1190">
        <v>-75.585954529999995</v>
      </c>
      <c r="AB1190">
        <v>6.2266579999999996</v>
      </c>
      <c r="AC1190" t="s">
        <v>135</v>
      </c>
      <c r="AD1190" t="s">
        <v>136</v>
      </c>
    </row>
    <row r="1191" spans="1:30" x14ac:dyDescent="0.25">
      <c r="A1191" t="s">
        <v>10222</v>
      </c>
      <c r="B1191" t="s">
        <v>50</v>
      </c>
      <c r="C1191" t="s">
        <v>26</v>
      </c>
      <c r="D1191" t="s">
        <v>50</v>
      </c>
      <c r="E1191" t="s">
        <v>9140</v>
      </c>
      <c r="F1191" t="s">
        <v>9141</v>
      </c>
      <c r="G1191">
        <v>1104256375</v>
      </c>
      <c r="H1191" t="s">
        <v>9142</v>
      </c>
      <c r="I1191" s="4" t="s">
        <v>35</v>
      </c>
      <c r="J1191" s="4" t="s">
        <v>9143</v>
      </c>
      <c r="K1191" t="s">
        <v>9144</v>
      </c>
      <c r="L1191" t="s">
        <v>27</v>
      </c>
      <c r="M1191" t="s">
        <v>9145</v>
      </c>
      <c r="N1191" t="s">
        <v>28</v>
      </c>
      <c r="O1191" t="s">
        <v>40</v>
      </c>
      <c r="P1191" t="s">
        <v>41</v>
      </c>
      <c r="Q1191" t="s">
        <v>31</v>
      </c>
      <c r="R1191">
        <v>5</v>
      </c>
      <c r="S1191" t="s">
        <v>9146</v>
      </c>
      <c r="T1191" t="s">
        <v>9100</v>
      </c>
      <c r="U1191" t="s">
        <v>9101</v>
      </c>
      <c r="V1191" t="s">
        <v>32</v>
      </c>
      <c r="W1191" t="s">
        <v>33</v>
      </c>
      <c r="X1191" t="s">
        <v>33</v>
      </c>
      <c r="Y1191" t="s">
        <v>33</v>
      </c>
      <c r="Z1191" s="16" t="s">
        <v>34</v>
      </c>
      <c r="AA1191">
        <v>-75.539901880000002</v>
      </c>
      <c r="AB1191">
        <v>6.2430092100000003</v>
      </c>
      <c r="AC1191" t="s">
        <v>135</v>
      </c>
      <c r="AD1191" t="s">
        <v>136</v>
      </c>
    </row>
    <row r="1192" spans="1:30" x14ac:dyDescent="0.25">
      <c r="A1192" t="s">
        <v>10223</v>
      </c>
      <c r="B1192" t="s">
        <v>25</v>
      </c>
      <c r="C1192" t="s">
        <v>26</v>
      </c>
      <c r="D1192" t="s">
        <v>39</v>
      </c>
      <c r="E1192" t="s">
        <v>9147</v>
      </c>
      <c r="F1192" t="s">
        <v>9148</v>
      </c>
      <c r="G1192">
        <v>1040181898</v>
      </c>
      <c r="H1192" t="s">
        <v>9149</v>
      </c>
      <c r="I1192" s="4" t="s">
        <v>35</v>
      </c>
      <c r="J1192" s="4" t="s">
        <v>9150</v>
      </c>
      <c r="K1192" t="s">
        <v>9151</v>
      </c>
      <c r="L1192" t="s">
        <v>27</v>
      </c>
      <c r="M1192" t="s">
        <v>9152</v>
      </c>
      <c r="N1192" t="s">
        <v>28</v>
      </c>
      <c r="O1192" t="s">
        <v>40</v>
      </c>
      <c r="P1192" t="s">
        <v>41</v>
      </c>
      <c r="Q1192" t="s">
        <v>38</v>
      </c>
      <c r="R1192">
        <v>8</v>
      </c>
      <c r="S1192" t="s">
        <v>9153</v>
      </c>
      <c r="T1192" t="s">
        <v>9154</v>
      </c>
      <c r="U1192" t="s">
        <v>9155</v>
      </c>
      <c r="V1192" t="s">
        <v>32</v>
      </c>
      <c r="W1192" t="s">
        <v>33</v>
      </c>
      <c r="X1192" t="s">
        <v>33</v>
      </c>
      <c r="Y1192" t="s">
        <v>33</v>
      </c>
      <c r="Z1192" s="16" t="s">
        <v>34</v>
      </c>
      <c r="AA1192">
        <v>-75.647311000000002</v>
      </c>
      <c r="AB1192">
        <v>6.2965859999999996</v>
      </c>
      <c r="AC1192" t="s">
        <v>135</v>
      </c>
      <c r="AD1192" t="s">
        <v>136</v>
      </c>
    </row>
    <row r="1193" spans="1:30" x14ac:dyDescent="0.25">
      <c r="A1193" t="s">
        <v>10224</v>
      </c>
      <c r="B1193" t="s">
        <v>25</v>
      </c>
      <c r="C1193" t="s">
        <v>26</v>
      </c>
      <c r="D1193" t="s">
        <v>25</v>
      </c>
      <c r="E1193" t="s">
        <v>9156</v>
      </c>
      <c r="F1193" t="s">
        <v>9157</v>
      </c>
      <c r="G1193">
        <v>1107055119</v>
      </c>
      <c r="H1193" t="s">
        <v>9158</v>
      </c>
      <c r="I1193" s="4" t="s">
        <v>35</v>
      </c>
      <c r="J1193" s="4" t="s">
        <v>9159</v>
      </c>
      <c r="K1193" t="s">
        <v>9160</v>
      </c>
      <c r="L1193" t="s">
        <v>27</v>
      </c>
      <c r="M1193" t="s">
        <v>9161</v>
      </c>
      <c r="N1193" t="s">
        <v>28</v>
      </c>
      <c r="O1193" t="s">
        <v>29</v>
      </c>
      <c r="P1193" t="s">
        <v>30</v>
      </c>
      <c r="Q1193" t="s">
        <v>31</v>
      </c>
      <c r="R1193">
        <v>7</v>
      </c>
      <c r="S1193" t="s">
        <v>9162</v>
      </c>
      <c r="T1193" t="s">
        <v>9163</v>
      </c>
      <c r="U1193" t="s">
        <v>9164</v>
      </c>
      <c r="V1193" t="s">
        <v>32</v>
      </c>
      <c r="W1193" t="s">
        <v>33</v>
      </c>
      <c r="X1193" t="s">
        <v>33</v>
      </c>
      <c r="Y1193" t="s">
        <v>33</v>
      </c>
      <c r="Z1193" s="16" t="s">
        <v>34</v>
      </c>
      <c r="AA1193">
        <v>-75.545724160000006</v>
      </c>
      <c r="AB1193">
        <v>6.2459517399999998</v>
      </c>
      <c r="AC1193" t="s">
        <v>135</v>
      </c>
      <c r="AD1193" t="s">
        <v>136</v>
      </c>
    </row>
    <row r="1194" spans="1:30" x14ac:dyDescent="0.25">
      <c r="A1194" t="s">
        <v>10225</v>
      </c>
      <c r="B1194" t="s">
        <v>25</v>
      </c>
      <c r="C1194" t="s">
        <v>26</v>
      </c>
      <c r="D1194" t="s">
        <v>25</v>
      </c>
      <c r="E1194" t="s">
        <v>9165</v>
      </c>
      <c r="F1194" t="s">
        <v>9166</v>
      </c>
      <c r="G1194">
        <v>1107055119</v>
      </c>
      <c r="H1194" t="s">
        <v>9158</v>
      </c>
      <c r="I1194" s="4" t="s">
        <v>35</v>
      </c>
      <c r="J1194" s="4" t="s">
        <v>9159</v>
      </c>
      <c r="K1194" t="s">
        <v>9167</v>
      </c>
      <c r="L1194" t="s">
        <v>27</v>
      </c>
      <c r="M1194" t="s">
        <v>9168</v>
      </c>
      <c r="N1194" t="s">
        <v>28</v>
      </c>
      <c r="O1194" t="s">
        <v>29</v>
      </c>
      <c r="P1194" t="s">
        <v>30</v>
      </c>
      <c r="Q1194" t="s">
        <v>31</v>
      </c>
      <c r="R1194">
        <v>7</v>
      </c>
      <c r="S1194" t="s">
        <v>9169</v>
      </c>
      <c r="T1194" t="s">
        <v>9170</v>
      </c>
      <c r="U1194" t="s">
        <v>9171</v>
      </c>
      <c r="V1194" t="s">
        <v>32</v>
      </c>
      <c r="W1194" t="s">
        <v>33</v>
      </c>
      <c r="X1194" t="s">
        <v>33</v>
      </c>
      <c r="Y1194" t="s">
        <v>33</v>
      </c>
      <c r="Z1194" s="16" t="s">
        <v>34</v>
      </c>
      <c r="AA1194">
        <v>-75.545724160000006</v>
      </c>
      <c r="AB1194">
        <v>6.2459517399999998</v>
      </c>
      <c r="AC1194" t="s">
        <v>135</v>
      </c>
      <c r="AD1194" t="s">
        <v>136</v>
      </c>
    </row>
    <row r="1195" spans="1:30" x14ac:dyDescent="0.25">
      <c r="A1195" t="s">
        <v>10226</v>
      </c>
      <c r="B1195" t="s">
        <v>25</v>
      </c>
      <c r="C1195" t="s">
        <v>26</v>
      </c>
      <c r="D1195" t="s">
        <v>25</v>
      </c>
      <c r="E1195" t="s">
        <v>9172</v>
      </c>
      <c r="F1195" t="s">
        <v>9173</v>
      </c>
      <c r="G1195">
        <v>43052717</v>
      </c>
      <c r="H1195" t="s">
        <v>9174</v>
      </c>
      <c r="I1195" s="4" t="s">
        <v>35</v>
      </c>
      <c r="J1195" s="4" t="s">
        <v>9175</v>
      </c>
      <c r="K1195" t="s">
        <v>9176</v>
      </c>
      <c r="L1195" t="s">
        <v>27</v>
      </c>
      <c r="M1195" t="s">
        <v>9177</v>
      </c>
      <c r="N1195" t="s">
        <v>28</v>
      </c>
      <c r="O1195" t="s">
        <v>29</v>
      </c>
      <c r="P1195" t="s">
        <v>37</v>
      </c>
      <c r="Q1195" t="s">
        <v>31</v>
      </c>
      <c r="R1195">
        <v>7</v>
      </c>
      <c r="S1195" t="s">
        <v>9178</v>
      </c>
      <c r="T1195" t="s">
        <v>9179</v>
      </c>
      <c r="U1195" t="s">
        <v>9180</v>
      </c>
      <c r="V1195" t="s">
        <v>32</v>
      </c>
      <c r="W1195" t="s">
        <v>33</v>
      </c>
      <c r="X1195" t="s">
        <v>33</v>
      </c>
      <c r="Y1195" t="s">
        <v>33</v>
      </c>
      <c r="Z1195" s="16" t="s">
        <v>34</v>
      </c>
      <c r="AA1195">
        <v>-75.530088000000006</v>
      </c>
      <c r="AB1195">
        <v>6.2324799999999998</v>
      </c>
      <c r="AC1195" t="s">
        <v>135</v>
      </c>
      <c r="AD1195" t="s">
        <v>136</v>
      </c>
    </row>
    <row r="1196" spans="1:30" x14ac:dyDescent="0.25">
      <c r="A1196" t="s">
        <v>10227</v>
      </c>
      <c r="B1196" t="s">
        <v>25</v>
      </c>
      <c r="C1196" t="s">
        <v>26</v>
      </c>
      <c r="D1196" t="s">
        <v>39</v>
      </c>
      <c r="E1196" t="s">
        <v>9181</v>
      </c>
      <c r="F1196" t="s">
        <v>9182</v>
      </c>
      <c r="G1196">
        <v>43155414</v>
      </c>
      <c r="H1196" t="s">
        <v>9183</v>
      </c>
      <c r="I1196" s="4" t="s">
        <v>35</v>
      </c>
      <c r="J1196" s="4" t="s">
        <v>9184</v>
      </c>
      <c r="K1196" t="s">
        <v>9185</v>
      </c>
      <c r="L1196" t="s">
        <v>27</v>
      </c>
      <c r="M1196" t="s">
        <v>9186</v>
      </c>
      <c r="N1196" t="s">
        <v>28</v>
      </c>
      <c r="O1196" t="s">
        <v>40</v>
      </c>
      <c r="P1196" t="s">
        <v>41</v>
      </c>
      <c r="Q1196" t="s">
        <v>31</v>
      </c>
      <c r="R1196">
        <v>5</v>
      </c>
      <c r="S1196" t="s">
        <v>9187</v>
      </c>
      <c r="T1196" t="s">
        <v>7423</v>
      </c>
      <c r="U1196" t="s">
        <v>887</v>
      </c>
      <c r="V1196" t="s">
        <v>32</v>
      </c>
      <c r="W1196" t="s">
        <v>33</v>
      </c>
      <c r="X1196" t="s">
        <v>33</v>
      </c>
      <c r="Y1196" t="s">
        <v>33</v>
      </c>
      <c r="Z1196" s="16" t="s">
        <v>34</v>
      </c>
      <c r="AA1196">
        <v>-75.546323999999998</v>
      </c>
      <c r="AB1196">
        <v>6.2452680000000003</v>
      </c>
      <c r="AC1196" t="s">
        <v>135</v>
      </c>
      <c r="AD1196" t="s">
        <v>136</v>
      </c>
    </row>
    <row r="1197" spans="1:30" x14ac:dyDescent="0.25">
      <c r="A1197" t="s">
        <v>10228</v>
      </c>
      <c r="B1197" t="s">
        <v>25</v>
      </c>
      <c r="C1197" t="s">
        <v>26</v>
      </c>
      <c r="D1197" t="s">
        <v>39</v>
      </c>
      <c r="E1197" t="s">
        <v>9188</v>
      </c>
      <c r="F1197" t="s">
        <v>9189</v>
      </c>
      <c r="G1197">
        <v>31237540</v>
      </c>
      <c r="H1197" t="s">
        <v>9190</v>
      </c>
      <c r="I1197" s="4" t="s">
        <v>35</v>
      </c>
      <c r="J1197" s="4" t="s">
        <v>9191</v>
      </c>
      <c r="K1197" t="s">
        <v>9192</v>
      </c>
      <c r="L1197" t="s">
        <v>27</v>
      </c>
      <c r="M1197" t="s">
        <v>9193</v>
      </c>
      <c r="N1197" t="s">
        <v>28</v>
      </c>
      <c r="O1197" t="s">
        <v>40</v>
      </c>
      <c r="P1197" t="s">
        <v>41</v>
      </c>
      <c r="Q1197" t="s">
        <v>31</v>
      </c>
      <c r="R1197">
        <v>5</v>
      </c>
      <c r="S1197" t="s">
        <v>9194</v>
      </c>
      <c r="T1197" t="s">
        <v>9195</v>
      </c>
      <c r="U1197" t="s">
        <v>9196</v>
      </c>
      <c r="V1197" t="s">
        <v>32</v>
      </c>
      <c r="W1197" t="s">
        <v>33</v>
      </c>
      <c r="X1197" t="s">
        <v>33</v>
      </c>
      <c r="Y1197" t="s">
        <v>33</v>
      </c>
      <c r="Z1197" s="16" t="s">
        <v>34</v>
      </c>
      <c r="AA1197">
        <v>-75.541918210000006</v>
      </c>
      <c r="AB1197">
        <v>6.2511473400000002</v>
      </c>
      <c r="AC1197" t="s">
        <v>135</v>
      </c>
      <c r="AD1197" t="s">
        <v>136</v>
      </c>
    </row>
    <row r="1198" spans="1:30" x14ac:dyDescent="0.25">
      <c r="A1198" t="s">
        <v>10229</v>
      </c>
      <c r="B1198" t="s">
        <v>25</v>
      </c>
      <c r="C1198" t="s">
        <v>26</v>
      </c>
      <c r="D1198" t="s">
        <v>25</v>
      </c>
      <c r="E1198" t="s">
        <v>9197</v>
      </c>
      <c r="F1198" t="s">
        <v>9198</v>
      </c>
      <c r="G1198">
        <v>43052717</v>
      </c>
      <c r="H1198" t="s">
        <v>9174</v>
      </c>
      <c r="I1198" s="4" t="s">
        <v>35</v>
      </c>
      <c r="J1198" s="4" t="s">
        <v>9175</v>
      </c>
      <c r="K1198" t="s">
        <v>9199</v>
      </c>
      <c r="L1198" t="s">
        <v>27</v>
      </c>
      <c r="M1198" t="s">
        <v>9200</v>
      </c>
      <c r="N1198" t="s">
        <v>28</v>
      </c>
      <c r="O1198" t="s">
        <v>29</v>
      </c>
      <c r="P1198" t="s">
        <v>37</v>
      </c>
      <c r="Q1198" t="s">
        <v>31</v>
      </c>
      <c r="R1198">
        <v>7</v>
      </c>
      <c r="S1198" t="s">
        <v>9201</v>
      </c>
      <c r="T1198" t="s">
        <v>7425</v>
      </c>
      <c r="U1198" t="s">
        <v>9202</v>
      </c>
      <c r="V1198" t="s">
        <v>32</v>
      </c>
      <c r="W1198" t="s">
        <v>33</v>
      </c>
      <c r="X1198" t="s">
        <v>33</v>
      </c>
      <c r="Y1198" t="s">
        <v>33</v>
      </c>
      <c r="Z1198" s="16" t="s">
        <v>34</v>
      </c>
      <c r="AA1198">
        <v>-75.530088000000006</v>
      </c>
      <c r="AB1198">
        <v>6.2324799999999998</v>
      </c>
      <c r="AC1198" t="s">
        <v>135</v>
      </c>
      <c r="AD1198" t="s">
        <v>136</v>
      </c>
    </row>
    <row r="1199" spans="1:30" x14ac:dyDescent="0.25">
      <c r="A1199" t="s">
        <v>10230</v>
      </c>
      <c r="B1199" t="s">
        <v>25</v>
      </c>
      <c r="C1199" t="s">
        <v>26</v>
      </c>
      <c r="D1199" t="s">
        <v>39</v>
      </c>
      <c r="E1199" t="s">
        <v>9203</v>
      </c>
      <c r="F1199" t="s">
        <v>9204</v>
      </c>
      <c r="G1199">
        <v>71701312</v>
      </c>
      <c r="H1199" t="s">
        <v>9205</v>
      </c>
      <c r="I1199" s="4" t="s">
        <v>35</v>
      </c>
      <c r="J1199" s="4" t="s">
        <v>9206</v>
      </c>
      <c r="K1199" t="s">
        <v>9207</v>
      </c>
      <c r="L1199" t="s">
        <v>27</v>
      </c>
      <c r="M1199" t="s">
        <v>9208</v>
      </c>
      <c r="N1199" t="s">
        <v>28</v>
      </c>
      <c r="O1199" t="s">
        <v>40</v>
      </c>
      <c r="P1199" t="s">
        <v>41</v>
      </c>
      <c r="Q1199" t="s">
        <v>31</v>
      </c>
      <c r="R1199">
        <v>5</v>
      </c>
      <c r="S1199" t="s">
        <v>9209</v>
      </c>
      <c r="T1199" t="s">
        <v>9210</v>
      </c>
      <c r="U1199" t="s">
        <v>4732</v>
      </c>
      <c r="V1199" t="s">
        <v>32</v>
      </c>
      <c r="W1199" t="s">
        <v>33</v>
      </c>
      <c r="X1199" t="s">
        <v>33</v>
      </c>
      <c r="Y1199" t="s">
        <v>33</v>
      </c>
      <c r="Z1199" s="16" t="s">
        <v>34</v>
      </c>
      <c r="AA1199">
        <v>-75.640202900000006</v>
      </c>
      <c r="AB1199">
        <v>6.2828533200000001</v>
      </c>
      <c r="AC1199" t="s">
        <v>135</v>
      </c>
      <c r="AD1199" t="s">
        <v>136</v>
      </c>
    </row>
    <row r="1200" spans="1:30" x14ac:dyDescent="0.25">
      <c r="A1200" t="s">
        <v>10231</v>
      </c>
      <c r="B1200" t="s">
        <v>61</v>
      </c>
      <c r="C1200" t="s">
        <v>26</v>
      </c>
      <c r="D1200" t="s">
        <v>61</v>
      </c>
      <c r="E1200" t="s">
        <v>9211</v>
      </c>
      <c r="F1200" t="s">
        <v>9212</v>
      </c>
      <c r="G1200">
        <v>811037405</v>
      </c>
      <c r="H1200" t="s">
        <v>9213</v>
      </c>
      <c r="I1200" s="4" t="s">
        <v>9214</v>
      </c>
      <c r="J1200" s="4" t="s">
        <v>8911</v>
      </c>
      <c r="K1200" t="s">
        <v>9215</v>
      </c>
      <c r="L1200" t="s">
        <v>59</v>
      </c>
      <c r="M1200" t="s">
        <v>9216</v>
      </c>
      <c r="N1200" t="s">
        <v>60</v>
      </c>
      <c r="O1200" t="s">
        <v>62</v>
      </c>
      <c r="P1200" t="s">
        <v>63</v>
      </c>
      <c r="Q1200" t="s">
        <v>31</v>
      </c>
      <c r="R1200">
        <v>4</v>
      </c>
      <c r="S1200" t="s">
        <v>9217</v>
      </c>
      <c r="T1200" t="s">
        <v>9210</v>
      </c>
      <c r="U1200" t="s">
        <v>4731</v>
      </c>
      <c r="V1200" t="s">
        <v>32</v>
      </c>
      <c r="W1200" t="s">
        <v>33</v>
      </c>
      <c r="X1200" t="s">
        <v>33</v>
      </c>
      <c r="Y1200" t="s">
        <v>33</v>
      </c>
      <c r="Z1200" s="16" t="s">
        <v>34</v>
      </c>
      <c r="AA1200">
        <v>-75.627354999999994</v>
      </c>
      <c r="AB1200">
        <v>6.1459549999999998</v>
      </c>
      <c r="AC1200" t="s">
        <v>135</v>
      </c>
      <c r="AD1200" t="s">
        <v>136</v>
      </c>
    </row>
    <row r="1201" spans="1:30" x14ac:dyDescent="0.25">
      <c r="A1201" t="s">
        <v>10232</v>
      </c>
      <c r="B1201" t="s">
        <v>25</v>
      </c>
      <c r="C1201" t="s">
        <v>26</v>
      </c>
      <c r="D1201" t="s">
        <v>25</v>
      </c>
      <c r="E1201" t="s">
        <v>9218</v>
      </c>
      <c r="F1201" t="s">
        <v>9219</v>
      </c>
      <c r="G1201">
        <v>8345348</v>
      </c>
      <c r="H1201" t="s">
        <v>5272</v>
      </c>
      <c r="I1201" s="4" t="s">
        <v>5688</v>
      </c>
      <c r="J1201" s="4" t="s">
        <v>9220</v>
      </c>
      <c r="K1201" t="s">
        <v>9221</v>
      </c>
      <c r="L1201" t="s">
        <v>48</v>
      </c>
      <c r="M1201" t="s">
        <v>9222</v>
      </c>
      <c r="N1201" t="s">
        <v>64</v>
      </c>
      <c r="O1201" t="s">
        <v>29</v>
      </c>
      <c r="P1201" t="s">
        <v>30</v>
      </c>
      <c r="Q1201" t="s">
        <v>31</v>
      </c>
      <c r="R1201">
        <v>7</v>
      </c>
      <c r="S1201" t="s">
        <v>9223</v>
      </c>
      <c r="T1201" t="s">
        <v>2584</v>
      </c>
      <c r="U1201" t="s">
        <v>9224</v>
      </c>
      <c r="V1201" t="s">
        <v>32</v>
      </c>
      <c r="W1201" t="s">
        <v>33</v>
      </c>
      <c r="X1201" t="s">
        <v>33</v>
      </c>
      <c r="Y1201" t="s">
        <v>33</v>
      </c>
      <c r="Z1201" s="16" t="s">
        <v>34</v>
      </c>
      <c r="AA1201">
        <v>-75.586495479999996</v>
      </c>
      <c r="AB1201">
        <v>6.1701203700000002</v>
      </c>
      <c r="AC1201" t="s">
        <v>135</v>
      </c>
      <c r="AD1201" t="s">
        <v>136</v>
      </c>
    </row>
    <row r="1202" spans="1:30" x14ac:dyDescent="0.25">
      <c r="A1202" t="s">
        <v>10233</v>
      </c>
      <c r="B1202" t="s">
        <v>61</v>
      </c>
      <c r="C1202" t="s">
        <v>26</v>
      </c>
      <c r="D1202" t="s">
        <v>61</v>
      </c>
      <c r="E1202" t="s">
        <v>9225</v>
      </c>
      <c r="F1202" t="s">
        <v>9226</v>
      </c>
      <c r="G1202">
        <v>1037236075</v>
      </c>
      <c r="H1202" t="s">
        <v>9227</v>
      </c>
      <c r="I1202" s="4" t="s">
        <v>35</v>
      </c>
      <c r="J1202" s="4" t="s">
        <v>9228</v>
      </c>
      <c r="K1202" t="s">
        <v>9229</v>
      </c>
      <c r="L1202" t="s">
        <v>48</v>
      </c>
      <c r="M1202" t="s">
        <v>9230</v>
      </c>
      <c r="N1202" t="s">
        <v>64</v>
      </c>
      <c r="O1202" t="s">
        <v>62</v>
      </c>
      <c r="P1202" t="s">
        <v>63</v>
      </c>
      <c r="Q1202" t="s">
        <v>38</v>
      </c>
      <c r="R1202">
        <v>4</v>
      </c>
      <c r="S1202" t="s">
        <v>9231</v>
      </c>
      <c r="T1202" t="s">
        <v>6527</v>
      </c>
      <c r="U1202" t="s">
        <v>6964</v>
      </c>
      <c r="V1202" t="s">
        <v>32</v>
      </c>
      <c r="W1202" t="s">
        <v>33</v>
      </c>
      <c r="X1202" t="s">
        <v>33</v>
      </c>
      <c r="Y1202" t="s">
        <v>33</v>
      </c>
      <c r="Z1202" s="16" t="s">
        <v>34</v>
      </c>
      <c r="AA1202">
        <v>-75.504217980000007</v>
      </c>
      <c r="AB1202">
        <v>6.1697033000000001</v>
      </c>
      <c r="AC1202" t="s">
        <v>135</v>
      </c>
      <c r="AD1202" t="s">
        <v>136</v>
      </c>
    </row>
    <row r="1203" spans="1:30" x14ac:dyDescent="0.25">
      <c r="A1203" t="s">
        <v>10234</v>
      </c>
      <c r="B1203" t="s">
        <v>61</v>
      </c>
      <c r="C1203" t="s">
        <v>26</v>
      </c>
      <c r="D1203" t="s">
        <v>61</v>
      </c>
      <c r="E1203" t="s">
        <v>9232</v>
      </c>
      <c r="F1203" t="s">
        <v>9233</v>
      </c>
      <c r="G1203">
        <v>43591938</v>
      </c>
      <c r="H1203" t="s">
        <v>9234</v>
      </c>
      <c r="I1203" s="4" t="s">
        <v>35</v>
      </c>
      <c r="J1203" s="4" t="s">
        <v>9235</v>
      </c>
      <c r="K1203" t="s">
        <v>9236</v>
      </c>
      <c r="L1203" t="s">
        <v>27</v>
      </c>
      <c r="M1203" t="s">
        <v>9237</v>
      </c>
      <c r="N1203" t="s">
        <v>28</v>
      </c>
      <c r="O1203" t="s">
        <v>62</v>
      </c>
      <c r="P1203" t="s">
        <v>63</v>
      </c>
      <c r="Q1203" t="s">
        <v>31</v>
      </c>
      <c r="R1203">
        <v>4</v>
      </c>
      <c r="S1203" t="s">
        <v>9238</v>
      </c>
      <c r="T1203" t="s">
        <v>9239</v>
      </c>
      <c r="U1203" t="s">
        <v>9240</v>
      </c>
      <c r="V1203" t="s">
        <v>32</v>
      </c>
      <c r="W1203" t="s">
        <v>33</v>
      </c>
      <c r="X1203" t="s">
        <v>33</v>
      </c>
      <c r="Y1203" t="s">
        <v>33</v>
      </c>
      <c r="Z1203" s="16" t="s">
        <v>34</v>
      </c>
      <c r="AA1203">
        <v>-75.576525050000001</v>
      </c>
      <c r="AB1203">
        <v>6.2530680800000003</v>
      </c>
      <c r="AC1203" t="s">
        <v>135</v>
      </c>
      <c r="AD1203" t="s">
        <v>136</v>
      </c>
    </row>
    <row r="1204" spans="1:30" x14ac:dyDescent="0.25">
      <c r="A1204" t="s">
        <v>10235</v>
      </c>
      <c r="B1204" t="s">
        <v>25</v>
      </c>
      <c r="C1204" t="s">
        <v>26</v>
      </c>
      <c r="D1204" t="s">
        <v>25</v>
      </c>
      <c r="E1204" t="s">
        <v>9241</v>
      </c>
      <c r="F1204" t="s">
        <v>9242</v>
      </c>
      <c r="G1204">
        <v>800093117</v>
      </c>
      <c r="H1204" t="s">
        <v>6009</v>
      </c>
      <c r="I1204" s="4" t="s">
        <v>94</v>
      </c>
      <c r="J1204" s="4" t="s">
        <v>8014</v>
      </c>
      <c r="K1204" t="s">
        <v>9243</v>
      </c>
      <c r="L1204" t="s">
        <v>27</v>
      </c>
      <c r="M1204" t="s">
        <v>9244</v>
      </c>
      <c r="N1204" t="s">
        <v>28</v>
      </c>
      <c r="O1204" t="s">
        <v>29</v>
      </c>
      <c r="P1204" t="s">
        <v>54</v>
      </c>
      <c r="Q1204" t="s">
        <v>31</v>
      </c>
      <c r="R1204">
        <v>7</v>
      </c>
      <c r="S1204" t="s">
        <v>9245</v>
      </c>
      <c r="T1204" t="s">
        <v>9239</v>
      </c>
      <c r="U1204" t="s">
        <v>9246</v>
      </c>
      <c r="V1204" t="s">
        <v>32</v>
      </c>
      <c r="W1204" t="s">
        <v>33</v>
      </c>
      <c r="X1204" t="s">
        <v>33</v>
      </c>
      <c r="Y1204" t="s">
        <v>33</v>
      </c>
      <c r="Z1204" s="16" t="s">
        <v>34</v>
      </c>
      <c r="AA1204">
        <v>-75.574616899999995</v>
      </c>
      <c r="AB1204">
        <v>6.2194061100000004</v>
      </c>
      <c r="AC1204" t="s">
        <v>135</v>
      </c>
      <c r="AD1204" t="s">
        <v>136</v>
      </c>
    </row>
    <row r="1205" spans="1:30" x14ac:dyDescent="0.25">
      <c r="A1205" t="s">
        <v>10236</v>
      </c>
      <c r="B1205" t="s">
        <v>25</v>
      </c>
      <c r="C1205" t="s">
        <v>26</v>
      </c>
      <c r="D1205" t="s">
        <v>25</v>
      </c>
      <c r="E1205" t="s">
        <v>9247</v>
      </c>
      <c r="F1205" t="s">
        <v>9248</v>
      </c>
      <c r="G1205">
        <v>800093117</v>
      </c>
      <c r="H1205" t="s">
        <v>6009</v>
      </c>
      <c r="I1205" s="4" t="s">
        <v>94</v>
      </c>
      <c r="J1205" s="4" t="s">
        <v>8014</v>
      </c>
      <c r="K1205" t="s">
        <v>9249</v>
      </c>
      <c r="L1205" t="s">
        <v>27</v>
      </c>
      <c r="M1205" t="s">
        <v>9250</v>
      </c>
      <c r="N1205" t="s">
        <v>28</v>
      </c>
      <c r="O1205" t="s">
        <v>29</v>
      </c>
      <c r="P1205" t="s">
        <v>54</v>
      </c>
      <c r="Q1205" t="s">
        <v>31</v>
      </c>
      <c r="R1205">
        <v>7</v>
      </c>
      <c r="S1205" t="s">
        <v>9251</v>
      </c>
      <c r="T1205" t="s">
        <v>9239</v>
      </c>
      <c r="U1205" t="s">
        <v>9246</v>
      </c>
      <c r="V1205" t="s">
        <v>32</v>
      </c>
      <c r="W1205" t="s">
        <v>33</v>
      </c>
      <c r="X1205" t="s">
        <v>33</v>
      </c>
      <c r="Y1205" t="s">
        <v>33</v>
      </c>
      <c r="Z1205" s="16" t="s">
        <v>34</v>
      </c>
      <c r="AA1205">
        <v>-75.574616899999995</v>
      </c>
      <c r="AB1205">
        <v>6.2194061100000004</v>
      </c>
      <c r="AC1205" t="s">
        <v>135</v>
      </c>
      <c r="AD1205" t="s">
        <v>136</v>
      </c>
    </row>
    <row r="1206" spans="1:30" x14ac:dyDescent="0.25">
      <c r="A1206" t="s">
        <v>10237</v>
      </c>
      <c r="B1206" t="s">
        <v>25</v>
      </c>
      <c r="C1206" t="s">
        <v>26</v>
      </c>
      <c r="D1206" t="s">
        <v>25</v>
      </c>
      <c r="E1206" t="s">
        <v>9252</v>
      </c>
      <c r="F1206" t="s">
        <v>9253</v>
      </c>
      <c r="G1206">
        <v>800093117</v>
      </c>
      <c r="H1206" t="s">
        <v>6009</v>
      </c>
      <c r="I1206" s="4" t="s">
        <v>94</v>
      </c>
      <c r="J1206" s="4" t="s">
        <v>8014</v>
      </c>
      <c r="K1206" t="s">
        <v>9254</v>
      </c>
      <c r="L1206" t="s">
        <v>27</v>
      </c>
      <c r="M1206" t="s">
        <v>9255</v>
      </c>
      <c r="N1206" t="s">
        <v>28</v>
      </c>
      <c r="O1206" t="s">
        <v>29</v>
      </c>
      <c r="P1206" t="s">
        <v>54</v>
      </c>
      <c r="Q1206" t="s">
        <v>31</v>
      </c>
      <c r="R1206">
        <v>7</v>
      </c>
      <c r="S1206" t="s">
        <v>9256</v>
      </c>
      <c r="T1206" t="s">
        <v>9257</v>
      </c>
      <c r="U1206" t="s">
        <v>9258</v>
      </c>
      <c r="V1206" t="s">
        <v>32</v>
      </c>
      <c r="W1206" t="s">
        <v>33</v>
      </c>
      <c r="X1206" t="s">
        <v>33</v>
      </c>
      <c r="Y1206" t="s">
        <v>33</v>
      </c>
      <c r="Z1206" s="16" t="s">
        <v>34</v>
      </c>
      <c r="AA1206">
        <v>-75.574616899999995</v>
      </c>
      <c r="AB1206">
        <v>6.2194061100000004</v>
      </c>
      <c r="AC1206" t="s">
        <v>135</v>
      </c>
      <c r="AD1206" t="s">
        <v>136</v>
      </c>
    </row>
    <row r="1207" spans="1:30" x14ac:dyDescent="0.25">
      <c r="A1207" t="s">
        <v>10238</v>
      </c>
      <c r="B1207" t="s">
        <v>25</v>
      </c>
      <c r="C1207" t="s">
        <v>26</v>
      </c>
      <c r="D1207" t="s">
        <v>25</v>
      </c>
      <c r="E1207" t="s">
        <v>9259</v>
      </c>
      <c r="F1207" t="s">
        <v>9260</v>
      </c>
      <c r="G1207">
        <v>800093117</v>
      </c>
      <c r="H1207" t="s">
        <v>6009</v>
      </c>
      <c r="I1207" s="4" t="s">
        <v>94</v>
      </c>
      <c r="J1207" s="4" t="s">
        <v>8014</v>
      </c>
      <c r="K1207" t="s">
        <v>9261</v>
      </c>
      <c r="L1207" t="s">
        <v>27</v>
      </c>
      <c r="M1207" t="s">
        <v>9262</v>
      </c>
      <c r="N1207" t="s">
        <v>28</v>
      </c>
      <c r="O1207" t="s">
        <v>29</v>
      </c>
      <c r="P1207" t="s">
        <v>54</v>
      </c>
      <c r="Q1207" t="s">
        <v>31</v>
      </c>
      <c r="R1207">
        <v>7</v>
      </c>
      <c r="S1207" t="s">
        <v>9263</v>
      </c>
      <c r="T1207" t="s">
        <v>9257</v>
      </c>
      <c r="U1207" t="s">
        <v>9258</v>
      </c>
      <c r="V1207" t="s">
        <v>32</v>
      </c>
      <c r="W1207" t="s">
        <v>33</v>
      </c>
      <c r="X1207" t="s">
        <v>33</v>
      </c>
      <c r="Y1207" t="s">
        <v>33</v>
      </c>
      <c r="Z1207" s="16" t="s">
        <v>34</v>
      </c>
      <c r="AA1207">
        <v>-75.574616899999995</v>
      </c>
      <c r="AB1207">
        <v>6.2194061100000004</v>
      </c>
      <c r="AC1207" t="s">
        <v>135</v>
      </c>
      <c r="AD1207" t="s">
        <v>136</v>
      </c>
    </row>
    <row r="1208" spans="1:30" x14ac:dyDescent="0.25">
      <c r="A1208" t="s">
        <v>10239</v>
      </c>
      <c r="B1208" t="s">
        <v>25</v>
      </c>
      <c r="C1208" t="s">
        <v>26</v>
      </c>
      <c r="D1208" t="s">
        <v>39</v>
      </c>
      <c r="E1208" t="s">
        <v>9264</v>
      </c>
      <c r="F1208" t="s">
        <v>9265</v>
      </c>
      <c r="G1208">
        <v>31237540</v>
      </c>
      <c r="H1208" t="s">
        <v>9190</v>
      </c>
      <c r="I1208" s="4" t="s">
        <v>35</v>
      </c>
      <c r="J1208" s="4" t="s">
        <v>9191</v>
      </c>
      <c r="K1208" t="s">
        <v>9266</v>
      </c>
      <c r="L1208" t="s">
        <v>27</v>
      </c>
      <c r="M1208" t="s">
        <v>9267</v>
      </c>
      <c r="N1208" t="s">
        <v>28</v>
      </c>
      <c r="O1208" t="s">
        <v>40</v>
      </c>
      <c r="P1208" t="s">
        <v>41</v>
      </c>
      <c r="Q1208" t="s">
        <v>31</v>
      </c>
      <c r="R1208">
        <v>5</v>
      </c>
      <c r="S1208" t="s">
        <v>9268</v>
      </c>
      <c r="T1208" t="s">
        <v>9269</v>
      </c>
      <c r="U1208" t="s">
        <v>9270</v>
      </c>
      <c r="V1208" t="s">
        <v>32</v>
      </c>
      <c r="W1208" t="s">
        <v>33</v>
      </c>
      <c r="X1208" t="s">
        <v>33</v>
      </c>
      <c r="Y1208" t="s">
        <v>33</v>
      </c>
      <c r="Z1208" s="16" t="s">
        <v>34</v>
      </c>
      <c r="AA1208">
        <v>-75.541918210000006</v>
      </c>
      <c r="AB1208">
        <v>6.2511473400000002</v>
      </c>
      <c r="AC1208" t="s">
        <v>135</v>
      </c>
      <c r="AD1208" t="s">
        <v>136</v>
      </c>
    </row>
    <row r="1209" spans="1:30" x14ac:dyDescent="0.25">
      <c r="A1209" t="s">
        <v>10240</v>
      </c>
      <c r="B1209" t="s">
        <v>25</v>
      </c>
      <c r="C1209" t="s">
        <v>26</v>
      </c>
      <c r="D1209" t="s">
        <v>39</v>
      </c>
      <c r="E1209" t="s">
        <v>9271</v>
      </c>
      <c r="F1209" t="s">
        <v>9272</v>
      </c>
      <c r="G1209">
        <v>1036680029</v>
      </c>
      <c r="H1209" t="s">
        <v>9273</v>
      </c>
      <c r="I1209" s="4" t="s">
        <v>35</v>
      </c>
      <c r="J1209" s="4" t="s">
        <v>9274</v>
      </c>
      <c r="K1209" t="s">
        <v>9275</v>
      </c>
      <c r="L1209" t="s">
        <v>44</v>
      </c>
      <c r="M1209" t="s">
        <v>9276</v>
      </c>
      <c r="N1209" t="s">
        <v>45</v>
      </c>
      <c r="O1209" t="s">
        <v>40</v>
      </c>
      <c r="P1209" t="s">
        <v>41</v>
      </c>
      <c r="Q1209" t="s">
        <v>38</v>
      </c>
      <c r="R1209">
        <v>8</v>
      </c>
      <c r="S1209" t="s">
        <v>9277</v>
      </c>
      <c r="T1209" t="s">
        <v>6248</v>
      </c>
      <c r="U1209" t="s">
        <v>6247</v>
      </c>
      <c r="V1209" t="s">
        <v>32</v>
      </c>
      <c r="W1209" t="s">
        <v>33</v>
      </c>
      <c r="X1209" t="s">
        <v>33</v>
      </c>
      <c r="Y1209" t="s">
        <v>33</v>
      </c>
      <c r="Z1209" s="16" t="s">
        <v>34</v>
      </c>
      <c r="AA1209">
        <v>-75.614260000000002</v>
      </c>
      <c r="AB1209">
        <v>6.1770949999999996</v>
      </c>
      <c r="AC1209" t="s">
        <v>135</v>
      </c>
      <c r="AD1209" t="s">
        <v>136</v>
      </c>
    </row>
    <row r="1210" spans="1:30" x14ac:dyDescent="0.25">
      <c r="A1210" t="s">
        <v>10241</v>
      </c>
      <c r="B1210" t="s">
        <v>61</v>
      </c>
      <c r="C1210" t="s">
        <v>26</v>
      </c>
      <c r="D1210" t="s">
        <v>61</v>
      </c>
      <c r="E1210" t="s">
        <v>9278</v>
      </c>
      <c r="F1210" t="s">
        <v>9279</v>
      </c>
      <c r="G1210">
        <v>43640494</v>
      </c>
      <c r="H1210" t="s">
        <v>9280</v>
      </c>
      <c r="I1210" s="4" t="s">
        <v>35</v>
      </c>
      <c r="J1210" s="4" t="s">
        <v>9281</v>
      </c>
      <c r="K1210" t="s">
        <v>9282</v>
      </c>
      <c r="L1210" t="s">
        <v>27</v>
      </c>
      <c r="M1210" t="s">
        <v>9283</v>
      </c>
      <c r="N1210" t="s">
        <v>28</v>
      </c>
      <c r="O1210" t="s">
        <v>62</v>
      </c>
      <c r="P1210" t="s">
        <v>63</v>
      </c>
      <c r="Q1210" t="s">
        <v>31</v>
      </c>
      <c r="R1210">
        <v>4</v>
      </c>
      <c r="S1210" t="s">
        <v>9284</v>
      </c>
      <c r="T1210" t="s">
        <v>9285</v>
      </c>
      <c r="U1210" t="s">
        <v>7430</v>
      </c>
      <c r="V1210" t="s">
        <v>32</v>
      </c>
      <c r="W1210" t="s">
        <v>33</v>
      </c>
      <c r="X1210" t="s">
        <v>33</v>
      </c>
      <c r="Y1210" t="s">
        <v>33</v>
      </c>
      <c r="Z1210" s="16" t="s">
        <v>34</v>
      </c>
      <c r="AA1210">
        <v>-75.586710030000006</v>
      </c>
      <c r="AB1210">
        <v>6.25086809</v>
      </c>
      <c r="AC1210" t="s">
        <v>135</v>
      </c>
      <c r="AD1210" t="s">
        <v>136</v>
      </c>
    </row>
    <row r="1211" spans="1:30" x14ac:dyDescent="0.25">
      <c r="A1211" t="s">
        <v>10242</v>
      </c>
      <c r="B1211" t="s">
        <v>25</v>
      </c>
      <c r="C1211" t="s">
        <v>26</v>
      </c>
      <c r="D1211" t="s">
        <v>25</v>
      </c>
      <c r="E1211" t="s">
        <v>9286</v>
      </c>
      <c r="F1211" t="s">
        <v>9287</v>
      </c>
      <c r="G1211">
        <v>8345348</v>
      </c>
      <c r="H1211" t="s">
        <v>5272</v>
      </c>
      <c r="I1211" s="4" t="s">
        <v>5688</v>
      </c>
      <c r="J1211" s="4" t="s">
        <v>9220</v>
      </c>
      <c r="K1211" t="s">
        <v>9288</v>
      </c>
      <c r="L1211" t="s">
        <v>48</v>
      </c>
      <c r="M1211" t="s">
        <v>9289</v>
      </c>
      <c r="N1211" t="s">
        <v>64</v>
      </c>
      <c r="O1211" t="s">
        <v>29</v>
      </c>
      <c r="P1211" t="s">
        <v>30</v>
      </c>
      <c r="Q1211" t="s">
        <v>31</v>
      </c>
      <c r="R1211">
        <v>7</v>
      </c>
      <c r="S1211" t="s">
        <v>9290</v>
      </c>
      <c r="T1211" t="s">
        <v>9285</v>
      </c>
      <c r="U1211" t="s">
        <v>7431</v>
      </c>
      <c r="V1211" t="s">
        <v>32</v>
      </c>
      <c r="W1211" t="s">
        <v>33</v>
      </c>
      <c r="X1211" t="s">
        <v>33</v>
      </c>
      <c r="Y1211" t="s">
        <v>33</v>
      </c>
      <c r="Z1211" s="16" t="s">
        <v>34</v>
      </c>
      <c r="AA1211">
        <v>-75.586495479999996</v>
      </c>
      <c r="AB1211">
        <v>6.1701203700000002</v>
      </c>
      <c r="AC1211" t="s">
        <v>135</v>
      </c>
      <c r="AD1211" t="s">
        <v>136</v>
      </c>
    </row>
    <row r="1212" spans="1:30" x14ac:dyDescent="0.25">
      <c r="A1212" t="s">
        <v>10243</v>
      </c>
      <c r="B1212" t="s">
        <v>25</v>
      </c>
      <c r="C1212" t="s">
        <v>26</v>
      </c>
      <c r="D1212" t="s">
        <v>25</v>
      </c>
      <c r="E1212" t="s">
        <v>9291</v>
      </c>
      <c r="F1212" t="s">
        <v>9292</v>
      </c>
      <c r="G1212">
        <v>800093117</v>
      </c>
      <c r="H1212" t="s">
        <v>6009</v>
      </c>
      <c r="I1212" s="4" t="s">
        <v>94</v>
      </c>
      <c r="J1212" s="4" t="s">
        <v>8014</v>
      </c>
      <c r="K1212" t="s">
        <v>9293</v>
      </c>
      <c r="L1212" t="s">
        <v>27</v>
      </c>
      <c r="M1212" t="s">
        <v>9294</v>
      </c>
      <c r="N1212" t="s">
        <v>28</v>
      </c>
      <c r="O1212" t="s">
        <v>29</v>
      </c>
      <c r="P1212" t="s">
        <v>54</v>
      </c>
      <c r="Q1212" t="s">
        <v>31</v>
      </c>
      <c r="R1212">
        <v>7</v>
      </c>
      <c r="S1212" t="s">
        <v>9295</v>
      </c>
      <c r="T1212" t="s">
        <v>9296</v>
      </c>
      <c r="U1212" t="s">
        <v>9297</v>
      </c>
      <c r="V1212" t="s">
        <v>32</v>
      </c>
      <c r="W1212" t="s">
        <v>33</v>
      </c>
      <c r="X1212" t="s">
        <v>33</v>
      </c>
      <c r="Y1212" t="s">
        <v>33</v>
      </c>
      <c r="Z1212" s="16" t="s">
        <v>34</v>
      </c>
      <c r="AA1212">
        <v>-75.574616899999995</v>
      </c>
      <c r="AB1212">
        <v>6.2194061100000004</v>
      </c>
      <c r="AC1212" t="s">
        <v>135</v>
      </c>
      <c r="AD1212" t="s">
        <v>136</v>
      </c>
    </row>
    <row r="1213" spans="1:30" x14ac:dyDescent="0.25">
      <c r="A1213" t="s">
        <v>10244</v>
      </c>
      <c r="B1213" t="s">
        <v>25</v>
      </c>
      <c r="C1213" t="s">
        <v>26</v>
      </c>
      <c r="D1213" t="s">
        <v>25</v>
      </c>
      <c r="E1213" t="s">
        <v>9298</v>
      </c>
      <c r="F1213" t="s">
        <v>9299</v>
      </c>
      <c r="G1213">
        <v>800093117</v>
      </c>
      <c r="H1213" t="s">
        <v>6009</v>
      </c>
      <c r="I1213" s="4" t="s">
        <v>94</v>
      </c>
      <c r="J1213" s="4" t="s">
        <v>8014</v>
      </c>
      <c r="K1213" t="s">
        <v>9300</v>
      </c>
      <c r="L1213" t="s">
        <v>27</v>
      </c>
      <c r="M1213" t="s">
        <v>9301</v>
      </c>
      <c r="N1213" t="s">
        <v>28</v>
      </c>
      <c r="O1213" t="s">
        <v>29</v>
      </c>
      <c r="P1213" t="s">
        <v>54</v>
      </c>
      <c r="Q1213" t="s">
        <v>31</v>
      </c>
      <c r="R1213">
        <v>7</v>
      </c>
      <c r="S1213" t="s">
        <v>9302</v>
      </c>
      <c r="T1213" t="s">
        <v>9296</v>
      </c>
      <c r="U1213" t="s">
        <v>9297</v>
      </c>
      <c r="V1213" t="s">
        <v>32</v>
      </c>
      <c r="W1213" t="s">
        <v>33</v>
      </c>
      <c r="X1213" t="s">
        <v>33</v>
      </c>
      <c r="Y1213" t="s">
        <v>33</v>
      </c>
      <c r="Z1213" s="16" t="s">
        <v>34</v>
      </c>
      <c r="AA1213">
        <v>-75.574616899999995</v>
      </c>
      <c r="AB1213">
        <v>6.2194061100000004</v>
      </c>
      <c r="AC1213" t="s">
        <v>135</v>
      </c>
      <c r="AD1213" t="s">
        <v>136</v>
      </c>
    </row>
    <row r="1214" spans="1:30" x14ac:dyDescent="0.25">
      <c r="A1214" t="s">
        <v>10245</v>
      </c>
      <c r="B1214" t="s">
        <v>25</v>
      </c>
      <c r="C1214" t="s">
        <v>26</v>
      </c>
      <c r="D1214" t="s">
        <v>25</v>
      </c>
      <c r="E1214" t="s">
        <v>9303</v>
      </c>
      <c r="F1214" t="s">
        <v>9304</v>
      </c>
      <c r="G1214">
        <v>800093117</v>
      </c>
      <c r="H1214" t="s">
        <v>6009</v>
      </c>
      <c r="I1214" s="4" t="s">
        <v>94</v>
      </c>
      <c r="J1214" s="4" t="s">
        <v>8014</v>
      </c>
      <c r="K1214" t="s">
        <v>9305</v>
      </c>
      <c r="L1214" t="s">
        <v>27</v>
      </c>
      <c r="M1214" t="s">
        <v>9306</v>
      </c>
      <c r="N1214" t="s">
        <v>28</v>
      </c>
      <c r="O1214" t="s">
        <v>29</v>
      </c>
      <c r="P1214" t="s">
        <v>54</v>
      </c>
      <c r="Q1214" t="s">
        <v>31</v>
      </c>
      <c r="R1214">
        <v>7</v>
      </c>
      <c r="S1214" t="s">
        <v>9307</v>
      </c>
      <c r="T1214" t="s">
        <v>9296</v>
      </c>
      <c r="U1214" t="s">
        <v>9297</v>
      </c>
      <c r="V1214" t="s">
        <v>32</v>
      </c>
      <c r="W1214" t="s">
        <v>33</v>
      </c>
      <c r="X1214" t="s">
        <v>33</v>
      </c>
      <c r="Y1214" t="s">
        <v>33</v>
      </c>
      <c r="Z1214" s="16" t="s">
        <v>34</v>
      </c>
      <c r="AA1214">
        <v>-75.574616899999995</v>
      </c>
      <c r="AB1214">
        <v>6.2194061100000004</v>
      </c>
      <c r="AC1214" t="s">
        <v>135</v>
      </c>
      <c r="AD1214" t="s">
        <v>136</v>
      </c>
    </row>
    <row r="1215" spans="1:30" x14ac:dyDescent="0.25">
      <c r="A1215" t="s">
        <v>10246</v>
      </c>
      <c r="B1215" t="s">
        <v>25</v>
      </c>
      <c r="C1215" t="s">
        <v>26</v>
      </c>
      <c r="D1215" t="s">
        <v>25</v>
      </c>
      <c r="E1215" t="s">
        <v>9308</v>
      </c>
      <c r="F1215" t="s">
        <v>9309</v>
      </c>
      <c r="G1215">
        <v>800093117</v>
      </c>
      <c r="H1215" t="s">
        <v>6009</v>
      </c>
      <c r="I1215" s="4" t="s">
        <v>94</v>
      </c>
      <c r="J1215" s="4" t="s">
        <v>8014</v>
      </c>
      <c r="K1215" t="s">
        <v>9310</v>
      </c>
      <c r="L1215" t="s">
        <v>27</v>
      </c>
      <c r="M1215" t="s">
        <v>9311</v>
      </c>
      <c r="N1215" t="s">
        <v>28</v>
      </c>
      <c r="O1215" t="s">
        <v>29</v>
      </c>
      <c r="P1215" t="s">
        <v>54</v>
      </c>
      <c r="Q1215" t="s">
        <v>31</v>
      </c>
      <c r="R1215">
        <v>7</v>
      </c>
      <c r="S1215" t="s">
        <v>9312</v>
      </c>
      <c r="T1215" t="s">
        <v>9296</v>
      </c>
      <c r="U1215" t="s">
        <v>9297</v>
      </c>
      <c r="V1215" t="s">
        <v>32</v>
      </c>
      <c r="W1215" t="s">
        <v>33</v>
      </c>
      <c r="X1215" t="s">
        <v>33</v>
      </c>
      <c r="Y1215" t="s">
        <v>33</v>
      </c>
      <c r="Z1215" s="16" t="s">
        <v>34</v>
      </c>
      <c r="AA1215">
        <v>-75.574616899999995</v>
      </c>
      <c r="AB1215">
        <v>6.2194061100000004</v>
      </c>
      <c r="AC1215" t="s">
        <v>135</v>
      </c>
      <c r="AD1215" t="s">
        <v>136</v>
      </c>
    </row>
    <row r="1216" spans="1:30" x14ac:dyDescent="0.25">
      <c r="A1216" t="s">
        <v>10247</v>
      </c>
      <c r="B1216" t="s">
        <v>25</v>
      </c>
      <c r="C1216" t="s">
        <v>26</v>
      </c>
      <c r="D1216" t="s">
        <v>25</v>
      </c>
      <c r="E1216" t="s">
        <v>9313</v>
      </c>
      <c r="F1216" t="s">
        <v>9314</v>
      </c>
      <c r="G1216">
        <v>800093117</v>
      </c>
      <c r="H1216" t="s">
        <v>6009</v>
      </c>
      <c r="I1216" s="4" t="s">
        <v>94</v>
      </c>
      <c r="J1216" s="4" t="s">
        <v>8014</v>
      </c>
      <c r="K1216" t="s">
        <v>9315</v>
      </c>
      <c r="L1216" t="s">
        <v>27</v>
      </c>
      <c r="M1216" t="s">
        <v>9316</v>
      </c>
      <c r="N1216" t="s">
        <v>28</v>
      </c>
      <c r="O1216" t="s">
        <v>29</v>
      </c>
      <c r="P1216" t="s">
        <v>54</v>
      </c>
      <c r="Q1216" t="s">
        <v>31</v>
      </c>
      <c r="R1216">
        <v>7</v>
      </c>
      <c r="S1216" t="s">
        <v>9317</v>
      </c>
      <c r="T1216" t="s">
        <v>9318</v>
      </c>
      <c r="U1216" t="s">
        <v>9319</v>
      </c>
      <c r="V1216" t="s">
        <v>32</v>
      </c>
      <c r="W1216" t="s">
        <v>33</v>
      </c>
      <c r="X1216" t="s">
        <v>33</v>
      </c>
      <c r="Y1216" t="s">
        <v>33</v>
      </c>
      <c r="Z1216" s="16" t="s">
        <v>34</v>
      </c>
      <c r="AA1216">
        <v>-75.574616899999995</v>
      </c>
      <c r="AB1216">
        <v>6.2194061100000004</v>
      </c>
      <c r="AC1216" t="s">
        <v>135</v>
      </c>
      <c r="AD1216" t="s">
        <v>136</v>
      </c>
    </row>
    <row r="1217" spans="1:30" x14ac:dyDescent="0.25">
      <c r="A1217" t="s">
        <v>10248</v>
      </c>
      <c r="B1217" t="s">
        <v>25</v>
      </c>
      <c r="C1217" t="s">
        <v>26</v>
      </c>
      <c r="D1217" t="s">
        <v>25</v>
      </c>
      <c r="E1217" t="s">
        <v>9320</v>
      </c>
      <c r="F1217" t="s">
        <v>9321</v>
      </c>
      <c r="G1217">
        <v>800093117</v>
      </c>
      <c r="H1217" t="s">
        <v>6009</v>
      </c>
      <c r="I1217" s="4" t="s">
        <v>94</v>
      </c>
      <c r="J1217" s="4" t="s">
        <v>8014</v>
      </c>
      <c r="K1217" t="s">
        <v>9322</v>
      </c>
      <c r="L1217" t="s">
        <v>27</v>
      </c>
      <c r="M1217" t="s">
        <v>9323</v>
      </c>
      <c r="N1217" t="s">
        <v>28</v>
      </c>
      <c r="O1217" t="s">
        <v>29</v>
      </c>
      <c r="P1217" t="s">
        <v>54</v>
      </c>
      <c r="Q1217" t="s">
        <v>31</v>
      </c>
      <c r="R1217">
        <v>7</v>
      </c>
      <c r="S1217" t="s">
        <v>9324</v>
      </c>
      <c r="T1217" t="s">
        <v>9318</v>
      </c>
      <c r="U1217" t="s">
        <v>9319</v>
      </c>
      <c r="V1217" t="s">
        <v>32</v>
      </c>
      <c r="W1217" t="s">
        <v>33</v>
      </c>
      <c r="X1217" t="s">
        <v>33</v>
      </c>
      <c r="Y1217" t="s">
        <v>33</v>
      </c>
      <c r="Z1217" s="16" t="s">
        <v>34</v>
      </c>
      <c r="AA1217">
        <v>-75.574616899999995</v>
      </c>
      <c r="AB1217">
        <v>6.2194061100000004</v>
      </c>
      <c r="AC1217" t="s">
        <v>135</v>
      </c>
      <c r="AD1217" t="s">
        <v>136</v>
      </c>
    </row>
    <row r="1218" spans="1:30" x14ac:dyDescent="0.25">
      <c r="A1218" t="s">
        <v>10249</v>
      </c>
      <c r="B1218" t="s">
        <v>25</v>
      </c>
      <c r="C1218" t="s">
        <v>26</v>
      </c>
      <c r="D1218" t="s">
        <v>39</v>
      </c>
      <c r="E1218" t="s">
        <v>9325</v>
      </c>
      <c r="F1218" t="s">
        <v>9326</v>
      </c>
      <c r="G1218">
        <v>1216717859</v>
      </c>
      <c r="H1218" t="s">
        <v>9327</v>
      </c>
      <c r="I1218" s="4" t="s">
        <v>35</v>
      </c>
      <c r="J1218" s="4" t="s">
        <v>9328</v>
      </c>
      <c r="K1218" t="s">
        <v>9329</v>
      </c>
      <c r="L1218" t="s">
        <v>27</v>
      </c>
      <c r="M1218" t="s">
        <v>9330</v>
      </c>
      <c r="N1218" t="s">
        <v>28</v>
      </c>
      <c r="O1218" t="s">
        <v>40</v>
      </c>
      <c r="P1218" t="s">
        <v>41</v>
      </c>
      <c r="Q1218" t="s">
        <v>31</v>
      </c>
      <c r="R1218">
        <v>5</v>
      </c>
      <c r="S1218" t="s">
        <v>9331</v>
      </c>
      <c r="T1218" t="s">
        <v>9332</v>
      </c>
      <c r="U1218" t="s">
        <v>1445</v>
      </c>
      <c r="V1218" t="s">
        <v>32</v>
      </c>
      <c r="W1218" t="s">
        <v>33</v>
      </c>
      <c r="X1218" t="s">
        <v>33</v>
      </c>
      <c r="Y1218" t="s">
        <v>33</v>
      </c>
      <c r="Z1218" s="16" t="s">
        <v>34</v>
      </c>
      <c r="AA1218">
        <v>-75.542439000000002</v>
      </c>
      <c r="AB1218">
        <v>6.250928</v>
      </c>
      <c r="AC1218" t="s">
        <v>135</v>
      </c>
      <c r="AD1218" t="s">
        <v>136</v>
      </c>
    </row>
    <row r="1219" spans="1:30" x14ac:dyDescent="0.25">
      <c r="A1219" t="s">
        <v>10250</v>
      </c>
      <c r="B1219" t="s">
        <v>25</v>
      </c>
      <c r="C1219" t="s">
        <v>26</v>
      </c>
      <c r="D1219" t="s">
        <v>39</v>
      </c>
      <c r="E1219" t="s">
        <v>9333</v>
      </c>
      <c r="F1219" t="s">
        <v>9334</v>
      </c>
      <c r="G1219">
        <v>1036680029</v>
      </c>
      <c r="H1219" t="s">
        <v>9273</v>
      </c>
      <c r="I1219" s="4" t="s">
        <v>35</v>
      </c>
      <c r="J1219" s="4" t="s">
        <v>9274</v>
      </c>
      <c r="K1219" t="s">
        <v>9335</v>
      </c>
      <c r="L1219" t="s">
        <v>44</v>
      </c>
      <c r="M1219" t="s">
        <v>9336</v>
      </c>
      <c r="N1219" t="s">
        <v>45</v>
      </c>
      <c r="O1219" t="s">
        <v>40</v>
      </c>
      <c r="P1219" t="s">
        <v>41</v>
      </c>
      <c r="Q1219" t="s">
        <v>38</v>
      </c>
      <c r="R1219">
        <v>8</v>
      </c>
      <c r="S1219" t="s">
        <v>9337</v>
      </c>
      <c r="T1219" t="s">
        <v>9338</v>
      </c>
      <c r="U1219" t="s">
        <v>9339</v>
      </c>
      <c r="V1219" t="s">
        <v>32</v>
      </c>
      <c r="W1219" t="s">
        <v>33</v>
      </c>
      <c r="X1219" t="s">
        <v>33</v>
      </c>
      <c r="Y1219" t="s">
        <v>33</v>
      </c>
      <c r="Z1219" s="16" t="s">
        <v>34</v>
      </c>
      <c r="AA1219">
        <v>-75.614260000000002</v>
      </c>
      <c r="AB1219">
        <v>6.1770949999999996</v>
      </c>
      <c r="AC1219" t="s">
        <v>135</v>
      </c>
      <c r="AD1219" t="s">
        <v>136</v>
      </c>
    </row>
    <row r="1220" spans="1:30" x14ac:dyDescent="0.25">
      <c r="A1220" t="s">
        <v>10389</v>
      </c>
      <c r="B1220" t="s">
        <v>65</v>
      </c>
      <c r="C1220" t="s">
        <v>26</v>
      </c>
      <c r="D1220" t="s">
        <v>66</v>
      </c>
      <c r="E1220" t="s">
        <v>10390</v>
      </c>
      <c r="F1220" t="s">
        <v>10391</v>
      </c>
      <c r="G1220">
        <v>1020412249</v>
      </c>
      <c r="H1220" t="s">
        <v>10392</v>
      </c>
      <c r="I1220" s="4" t="s">
        <v>35</v>
      </c>
      <c r="J1220" s="4" t="s">
        <v>2824</v>
      </c>
      <c r="K1220" t="s">
        <v>10393</v>
      </c>
      <c r="L1220" t="s">
        <v>27</v>
      </c>
      <c r="M1220" t="s">
        <v>10394</v>
      </c>
      <c r="N1220" t="s">
        <v>28</v>
      </c>
      <c r="O1220" t="s">
        <v>68</v>
      </c>
      <c r="P1220" t="s">
        <v>70</v>
      </c>
      <c r="Q1220" t="s">
        <v>31</v>
      </c>
      <c r="R1220">
        <v>9</v>
      </c>
      <c r="S1220" t="s">
        <v>10395</v>
      </c>
      <c r="T1220" t="s">
        <v>10396</v>
      </c>
      <c r="U1220" t="s">
        <v>10397</v>
      </c>
      <c r="V1220" t="s">
        <v>32</v>
      </c>
      <c r="W1220" t="s">
        <v>33</v>
      </c>
      <c r="X1220" t="s">
        <v>33</v>
      </c>
      <c r="Y1220" t="s">
        <v>33</v>
      </c>
      <c r="Z1220" s="16" t="s">
        <v>34</v>
      </c>
      <c r="AA1220">
        <v>-75.5680981</v>
      </c>
      <c r="AB1220">
        <v>6.26102764</v>
      </c>
      <c r="AC1220" t="s">
        <v>135</v>
      </c>
      <c r="AD1220" t="s">
        <v>136</v>
      </c>
    </row>
    <row r="1221" spans="1:30" x14ac:dyDescent="0.25">
      <c r="A1221" t="s">
        <v>10251</v>
      </c>
      <c r="B1221" t="s">
        <v>25</v>
      </c>
      <c r="C1221" t="s">
        <v>75</v>
      </c>
      <c r="D1221" t="s">
        <v>25</v>
      </c>
      <c r="E1221" t="s">
        <v>9340</v>
      </c>
      <c r="F1221" t="s">
        <v>9341</v>
      </c>
      <c r="G1221">
        <v>43726673</v>
      </c>
      <c r="H1221" t="s">
        <v>9342</v>
      </c>
      <c r="I1221" s="4" t="s">
        <v>35</v>
      </c>
      <c r="J1221" s="4" t="s">
        <v>9343</v>
      </c>
      <c r="K1221" t="s">
        <v>9344</v>
      </c>
      <c r="L1221" t="s">
        <v>48</v>
      </c>
      <c r="M1221" t="s">
        <v>9345</v>
      </c>
      <c r="N1221" t="s">
        <v>64</v>
      </c>
      <c r="O1221" t="s">
        <v>137</v>
      </c>
      <c r="P1221" t="s">
        <v>30</v>
      </c>
      <c r="Q1221" t="s">
        <v>38</v>
      </c>
      <c r="R1221">
        <v>10</v>
      </c>
      <c r="S1221" t="s">
        <v>9346</v>
      </c>
      <c r="T1221" t="s">
        <v>9347</v>
      </c>
      <c r="U1221" t="s">
        <v>9348</v>
      </c>
      <c r="V1221" t="s">
        <v>32</v>
      </c>
      <c r="W1221" t="s">
        <v>33</v>
      </c>
      <c r="X1221" t="s">
        <v>33</v>
      </c>
      <c r="Y1221" t="s">
        <v>33</v>
      </c>
      <c r="Z1221" s="16" t="s">
        <v>34</v>
      </c>
      <c r="AA1221">
        <v>-75.522569000000004</v>
      </c>
      <c r="AB1221">
        <v>6.1608179999999999</v>
      </c>
      <c r="AC1221" t="s">
        <v>135</v>
      </c>
      <c r="AD1221" t="s">
        <v>136</v>
      </c>
    </row>
    <row r="1222" spans="1:30" x14ac:dyDescent="0.25">
      <c r="A1222" t="s">
        <v>10398</v>
      </c>
      <c r="B1222" t="s">
        <v>65</v>
      </c>
      <c r="C1222" t="s">
        <v>26</v>
      </c>
      <c r="D1222" t="s">
        <v>66</v>
      </c>
      <c r="E1222" t="s">
        <v>10399</v>
      </c>
      <c r="F1222" t="s">
        <v>10400</v>
      </c>
      <c r="G1222">
        <v>1017194638</v>
      </c>
      <c r="H1222" t="s">
        <v>10401</v>
      </c>
      <c r="I1222" s="4" t="s">
        <v>35</v>
      </c>
      <c r="J1222" s="4" t="s">
        <v>10402</v>
      </c>
      <c r="K1222" t="s">
        <v>10403</v>
      </c>
      <c r="L1222" t="s">
        <v>27</v>
      </c>
      <c r="M1222" t="s">
        <v>10404</v>
      </c>
      <c r="N1222" t="s">
        <v>28</v>
      </c>
      <c r="O1222" t="s">
        <v>68</v>
      </c>
      <c r="P1222" t="s">
        <v>70</v>
      </c>
      <c r="Q1222" t="s">
        <v>31</v>
      </c>
      <c r="R1222">
        <v>9</v>
      </c>
      <c r="S1222" t="s">
        <v>10405</v>
      </c>
      <c r="T1222" t="s">
        <v>10406</v>
      </c>
      <c r="U1222" t="s">
        <v>10407</v>
      </c>
      <c r="V1222" t="s">
        <v>32</v>
      </c>
      <c r="W1222" t="s">
        <v>33</v>
      </c>
      <c r="X1222" t="s">
        <v>33</v>
      </c>
      <c r="Y1222" t="s">
        <v>33</v>
      </c>
      <c r="Z1222" s="16" t="s">
        <v>34</v>
      </c>
      <c r="AA1222">
        <v>-75.534241179999995</v>
      </c>
      <c r="AB1222">
        <v>6.2324531500000004</v>
      </c>
      <c r="AC1222" t="s">
        <v>135</v>
      </c>
      <c r="AD1222" t="s">
        <v>136</v>
      </c>
    </row>
    <row r="1223" spans="1:30" x14ac:dyDescent="0.25">
      <c r="A1223" t="s">
        <v>10252</v>
      </c>
      <c r="B1223" t="s">
        <v>42</v>
      </c>
      <c r="C1223" t="s">
        <v>75</v>
      </c>
      <c r="D1223" t="s">
        <v>42</v>
      </c>
      <c r="E1223" t="s">
        <v>9349</v>
      </c>
      <c r="F1223" t="s">
        <v>9350</v>
      </c>
      <c r="G1223">
        <v>98619873</v>
      </c>
      <c r="H1223" t="s">
        <v>9351</v>
      </c>
      <c r="I1223" s="4" t="s">
        <v>35</v>
      </c>
      <c r="J1223" s="4" t="s">
        <v>9352</v>
      </c>
      <c r="K1223" t="s">
        <v>9353</v>
      </c>
      <c r="L1223" t="s">
        <v>27</v>
      </c>
      <c r="M1223" t="s">
        <v>9354</v>
      </c>
      <c r="N1223" t="s">
        <v>28</v>
      </c>
      <c r="O1223" t="s">
        <v>76</v>
      </c>
      <c r="P1223" t="s">
        <v>54</v>
      </c>
      <c r="Q1223" t="s">
        <v>31</v>
      </c>
      <c r="R1223">
        <v>7</v>
      </c>
      <c r="S1223" t="s">
        <v>9355</v>
      </c>
      <c r="T1223" t="s">
        <v>9356</v>
      </c>
      <c r="U1223" t="s">
        <v>9357</v>
      </c>
      <c r="V1223" t="s">
        <v>32</v>
      </c>
      <c r="W1223" t="s">
        <v>33</v>
      </c>
      <c r="X1223" t="s">
        <v>33</v>
      </c>
      <c r="Y1223" t="s">
        <v>33</v>
      </c>
      <c r="Z1223" s="16" t="s">
        <v>34</v>
      </c>
      <c r="AA1223">
        <v>-75.614793000000006</v>
      </c>
      <c r="AB1223">
        <v>6.2592119999999998</v>
      </c>
      <c r="AC1223" t="s">
        <v>135</v>
      </c>
      <c r="AD1223" t="s">
        <v>136</v>
      </c>
    </row>
    <row r="1224" spans="1:30" x14ac:dyDescent="0.25">
      <c r="A1224" t="s">
        <v>10253</v>
      </c>
      <c r="B1224" t="s">
        <v>61</v>
      </c>
      <c r="C1224" t="s">
        <v>26</v>
      </c>
      <c r="D1224" t="s">
        <v>61</v>
      </c>
      <c r="E1224" t="s">
        <v>9358</v>
      </c>
      <c r="F1224" t="s">
        <v>9359</v>
      </c>
      <c r="G1224">
        <v>11810114</v>
      </c>
      <c r="H1224" t="s">
        <v>9360</v>
      </c>
      <c r="I1224" s="4" t="s">
        <v>35</v>
      </c>
      <c r="J1224" s="4" t="s">
        <v>9361</v>
      </c>
      <c r="K1224" t="s">
        <v>9362</v>
      </c>
      <c r="L1224" t="s">
        <v>27</v>
      </c>
      <c r="M1224" t="s">
        <v>9363</v>
      </c>
      <c r="N1224" t="s">
        <v>28</v>
      </c>
      <c r="O1224" t="s">
        <v>62</v>
      </c>
      <c r="P1224" t="s">
        <v>63</v>
      </c>
      <c r="Q1224" t="s">
        <v>38</v>
      </c>
      <c r="R1224">
        <v>4</v>
      </c>
      <c r="S1224" t="s">
        <v>9364</v>
      </c>
      <c r="T1224" t="s">
        <v>9356</v>
      </c>
      <c r="U1224" t="s">
        <v>4800</v>
      </c>
      <c r="V1224" t="s">
        <v>32</v>
      </c>
      <c r="W1224" t="s">
        <v>33</v>
      </c>
      <c r="X1224" t="s">
        <v>33</v>
      </c>
      <c r="Y1224" t="s">
        <v>33</v>
      </c>
      <c r="Z1224" s="16" t="s">
        <v>34</v>
      </c>
      <c r="AA1224">
        <v>-75.513987979999996</v>
      </c>
      <c r="AB1224">
        <v>6.23001702</v>
      </c>
      <c r="AC1224" t="s">
        <v>135</v>
      </c>
      <c r="AD1224" t="s">
        <v>136</v>
      </c>
    </row>
    <row r="1225" spans="1:30" x14ac:dyDescent="0.25">
      <c r="A1225" t="s">
        <v>10254</v>
      </c>
      <c r="B1225" t="s">
        <v>61</v>
      </c>
      <c r="C1225" t="s">
        <v>26</v>
      </c>
      <c r="D1225" t="s">
        <v>61</v>
      </c>
      <c r="E1225" t="s">
        <v>9365</v>
      </c>
      <c r="F1225" t="s">
        <v>9366</v>
      </c>
      <c r="G1225">
        <v>1001394341</v>
      </c>
      <c r="H1225" t="s">
        <v>9367</v>
      </c>
      <c r="I1225" s="4" t="s">
        <v>9368</v>
      </c>
      <c r="J1225" s="4" t="s">
        <v>9369</v>
      </c>
      <c r="K1225" t="s">
        <v>9370</v>
      </c>
      <c r="L1225" t="s">
        <v>27</v>
      </c>
      <c r="M1225" t="s">
        <v>9371</v>
      </c>
      <c r="N1225" t="s">
        <v>28</v>
      </c>
      <c r="O1225" t="s">
        <v>62</v>
      </c>
      <c r="P1225" t="s">
        <v>63</v>
      </c>
      <c r="Q1225" t="s">
        <v>31</v>
      </c>
      <c r="R1225">
        <v>4</v>
      </c>
      <c r="S1225" t="s">
        <v>9372</v>
      </c>
      <c r="T1225" t="s">
        <v>2564</v>
      </c>
      <c r="U1225" t="s">
        <v>9373</v>
      </c>
      <c r="V1225" t="s">
        <v>32</v>
      </c>
      <c r="W1225" t="s">
        <v>33</v>
      </c>
      <c r="X1225" t="s">
        <v>33</v>
      </c>
      <c r="Y1225" t="s">
        <v>33</v>
      </c>
      <c r="Z1225" s="16" t="s">
        <v>34</v>
      </c>
      <c r="AA1225">
        <v>-75.563795999999996</v>
      </c>
      <c r="AB1225">
        <v>6.2542410000000004</v>
      </c>
      <c r="AC1225" t="s">
        <v>135</v>
      </c>
      <c r="AD1225" t="s">
        <v>136</v>
      </c>
    </row>
    <row r="1226" spans="1:30" x14ac:dyDescent="0.25">
      <c r="A1226" t="s">
        <v>10255</v>
      </c>
      <c r="B1226" t="s">
        <v>61</v>
      </c>
      <c r="C1226" t="s">
        <v>26</v>
      </c>
      <c r="D1226" t="s">
        <v>61</v>
      </c>
      <c r="E1226" t="s">
        <v>9374</v>
      </c>
      <c r="F1226" t="s">
        <v>9375</v>
      </c>
      <c r="G1226">
        <v>15256947</v>
      </c>
      <c r="H1226" t="s">
        <v>9376</v>
      </c>
      <c r="I1226" s="4" t="s">
        <v>35</v>
      </c>
      <c r="J1226" s="4" t="s">
        <v>9377</v>
      </c>
      <c r="K1226" t="s">
        <v>9378</v>
      </c>
      <c r="L1226" t="s">
        <v>57</v>
      </c>
      <c r="M1226" t="s">
        <v>9379</v>
      </c>
      <c r="N1226" t="s">
        <v>58</v>
      </c>
      <c r="O1226" t="s">
        <v>62</v>
      </c>
      <c r="P1226" t="s">
        <v>63</v>
      </c>
      <c r="Q1226" t="s">
        <v>38</v>
      </c>
      <c r="R1226">
        <v>4</v>
      </c>
      <c r="S1226" t="s">
        <v>9380</v>
      </c>
      <c r="T1226" t="s">
        <v>2564</v>
      </c>
      <c r="U1226" t="s">
        <v>9373</v>
      </c>
      <c r="V1226" t="s">
        <v>32</v>
      </c>
      <c r="W1226" t="s">
        <v>33</v>
      </c>
      <c r="X1226" t="s">
        <v>33</v>
      </c>
      <c r="Y1226" t="s">
        <v>33</v>
      </c>
      <c r="Z1226" s="16" t="s">
        <v>34</v>
      </c>
      <c r="AA1226">
        <v>-75.626208869999999</v>
      </c>
      <c r="AB1226">
        <v>6.0859002699999998</v>
      </c>
      <c r="AC1226" t="s">
        <v>135</v>
      </c>
      <c r="AD1226" t="s">
        <v>136</v>
      </c>
    </row>
    <row r="1227" spans="1:30" x14ac:dyDescent="0.25">
      <c r="A1227" t="s">
        <v>10256</v>
      </c>
      <c r="B1227" t="s">
        <v>25</v>
      </c>
      <c r="C1227" t="s">
        <v>26</v>
      </c>
      <c r="D1227" t="s">
        <v>39</v>
      </c>
      <c r="E1227" t="s">
        <v>9381</v>
      </c>
      <c r="F1227" t="s">
        <v>9382</v>
      </c>
      <c r="G1227">
        <v>70470389</v>
      </c>
      <c r="H1227" t="s">
        <v>9383</v>
      </c>
      <c r="I1227" s="4" t="s">
        <v>35</v>
      </c>
      <c r="J1227" s="4" t="s">
        <v>9384</v>
      </c>
      <c r="K1227" t="s">
        <v>9385</v>
      </c>
      <c r="L1227" t="s">
        <v>27</v>
      </c>
      <c r="M1227" t="s">
        <v>9386</v>
      </c>
      <c r="N1227" t="s">
        <v>28</v>
      </c>
      <c r="O1227" t="s">
        <v>40</v>
      </c>
      <c r="P1227" t="s">
        <v>41</v>
      </c>
      <c r="Q1227" t="s">
        <v>31</v>
      </c>
      <c r="R1227">
        <v>5</v>
      </c>
      <c r="S1227" t="s">
        <v>9387</v>
      </c>
      <c r="T1227" t="s">
        <v>6888</v>
      </c>
      <c r="U1227" t="s">
        <v>6901</v>
      </c>
      <c r="V1227" t="s">
        <v>32</v>
      </c>
      <c r="W1227" t="s">
        <v>33</v>
      </c>
      <c r="X1227" t="s">
        <v>33</v>
      </c>
      <c r="Y1227" t="s">
        <v>33</v>
      </c>
      <c r="Z1227" s="16" t="s">
        <v>34</v>
      </c>
      <c r="AA1227">
        <v>-75.542439000000002</v>
      </c>
      <c r="AB1227">
        <v>6.250928</v>
      </c>
      <c r="AC1227" t="s">
        <v>135</v>
      </c>
      <c r="AD1227" t="s">
        <v>136</v>
      </c>
    </row>
    <row r="1228" spans="1:30" x14ac:dyDescent="0.25">
      <c r="A1228" t="s">
        <v>10257</v>
      </c>
      <c r="B1228" t="s">
        <v>25</v>
      </c>
      <c r="C1228" t="s">
        <v>26</v>
      </c>
      <c r="D1228" t="s">
        <v>25</v>
      </c>
      <c r="E1228" t="s">
        <v>9388</v>
      </c>
      <c r="F1228" t="s">
        <v>9389</v>
      </c>
      <c r="G1228">
        <v>800093117</v>
      </c>
      <c r="H1228" t="s">
        <v>6009</v>
      </c>
      <c r="I1228" s="4" t="s">
        <v>94</v>
      </c>
      <c r="J1228" s="4" t="s">
        <v>8014</v>
      </c>
      <c r="K1228" t="s">
        <v>9390</v>
      </c>
      <c r="L1228" t="s">
        <v>27</v>
      </c>
      <c r="M1228" t="s">
        <v>9391</v>
      </c>
      <c r="N1228" t="s">
        <v>28</v>
      </c>
      <c r="O1228" t="s">
        <v>29</v>
      </c>
      <c r="P1228" t="s">
        <v>54</v>
      </c>
      <c r="Q1228" t="s">
        <v>31</v>
      </c>
      <c r="R1228">
        <v>7</v>
      </c>
      <c r="S1228" t="s">
        <v>9392</v>
      </c>
      <c r="T1228" t="s">
        <v>7438</v>
      </c>
      <c r="U1228" t="s">
        <v>9393</v>
      </c>
      <c r="V1228" t="s">
        <v>32</v>
      </c>
      <c r="W1228" t="s">
        <v>33</v>
      </c>
      <c r="X1228" t="s">
        <v>33</v>
      </c>
      <c r="Y1228" t="s">
        <v>33</v>
      </c>
      <c r="Z1228" s="16" t="s">
        <v>34</v>
      </c>
      <c r="AA1228">
        <v>-75.574616899999995</v>
      </c>
      <c r="AB1228">
        <v>6.2194061100000004</v>
      </c>
      <c r="AC1228" t="s">
        <v>135</v>
      </c>
      <c r="AD1228" t="s">
        <v>136</v>
      </c>
    </row>
    <row r="1229" spans="1:30" x14ac:dyDescent="0.25">
      <c r="A1229" t="s">
        <v>10258</v>
      </c>
      <c r="B1229" t="s">
        <v>42</v>
      </c>
      <c r="C1229" t="s">
        <v>75</v>
      </c>
      <c r="D1229" t="s">
        <v>42</v>
      </c>
      <c r="E1229" t="s">
        <v>9394</v>
      </c>
      <c r="F1229" t="s">
        <v>9395</v>
      </c>
      <c r="G1229">
        <v>98619873</v>
      </c>
      <c r="H1229" t="s">
        <v>9351</v>
      </c>
      <c r="I1229" s="4" t="s">
        <v>35</v>
      </c>
      <c r="J1229" s="4" t="s">
        <v>9352</v>
      </c>
      <c r="K1229" t="s">
        <v>9396</v>
      </c>
      <c r="L1229" t="s">
        <v>27</v>
      </c>
      <c r="M1229" t="s">
        <v>9397</v>
      </c>
      <c r="N1229" t="s">
        <v>28</v>
      </c>
      <c r="O1229" t="s">
        <v>76</v>
      </c>
      <c r="P1229" t="s">
        <v>54</v>
      </c>
      <c r="Q1229" t="s">
        <v>31</v>
      </c>
      <c r="R1229">
        <v>7</v>
      </c>
      <c r="S1229" t="s">
        <v>9398</v>
      </c>
      <c r="T1229" t="s">
        <v>7438</v>
      </c>
      <c r="U1229" t="s">
        <v>9393</v>
      </c>
      <c r="V1229" t="s">
        <v>32</v>
      </c>
      <c r="W1229" t="s">
        <v>33</v>
      </c>
      <c r="X1229" t="s">
        <v>33</v>
      </c>
      <c r="Y1229" t="s">
        <v>33</v>
      </c>
      <c r="Z1229" s="16" t="s">
        <v>34</v>
      </c>
      <c r="AA1229">
        <v>-75.614877000000007</v>
      </c>
      <c r="AB1229">
        <v>6.2592230000000004</v>
      </c>
      <c r="AC1229" t="s">
        <v>135</v>
      </c>
      <c r="AD1229" t="s">
        <v>136</v>
      </c>
    </row>
    <row r="1230" spans="1:30" x14ac:dyDescent="0.25">
      <c r="A1230" t="s">
        <v>10259</v>
      </c>
      <c r="B1230" t="s">
        <v>25</v>
      </c>
      <c r="C1230" t="s">
        <v>26</v>
      </c>
      <c r="D1230" t="s">
        <v>25</v>
      </c>
      <c r="E1230" t="s">
        <v>9399</v>
      </c>
      <c r="F1230" t="s">
        <v>9400</v>
      </c>
      <c r="G1230">
        <v>800093117</v>
      </c>
      <c r="H1230" t="s">
        <v>6009</v>
      </c>
      <c r="I1230" s="4" t="s">
        <v>94</v>
      </c>
      <c r="J1230" s="4" t="s">
        <v>8014</v>
      </c>
      <c r="K1230" t="s">
        <v>9401</v>
      </c>
      <c r="L1230" t="s">
        <v>27</v>
      </c>
      <c r="M1230" t="s">
        <v>9402</v>
      </c>
      <c r="N1230" t="s">
        <v>28</v>
      </c>
      <c r="O1230" t="s">
        <v>29</v>
      </c>
      <c r="P1230" t="s">
        <v>54</v>
      </c>
      <c r="Q1230" t="s">
        <v>31</v>
      </c>
      <c r="R1230">
        <v>7</v>
      </c>
      <c r="S1230" t="s">
        <v>9403</v>
      </c>
      <c r="T1230" t="s">
        <v>7438</v>
      </c>
      <c r="U1230" t="s">
        <v>9393</v>
      </c>
      <c r="V1230" t="s">
        <v>32</v>
      </c>
      <c r="W1230" t="s">
        <v>33</v>
      </c>
      <c r="X1230" t="s">
        <v>33</v>
      </c>
      <c r="Y1230" t="s">
        <v>33</v>
      </c>
      <c r="Z1230" s="16" t="s">
        <v>34</v>
      </c>
      <c r="AA1230">
        <v>-75.574616899999995</v>
      </c>
      <c r="AB1230">
        <v>6.2194061100000004</v>
      </c>
      <c r="AC1230" t="s">
        <v>135</v>
      </c>
      <c r="AD1230" t="s">
        <v>136</v>
      </c>
    </row>
    <row r="1231" spans="1:30" x14ac:dyDescent="0.25">
      <c r="A1231" t="s">
        <v>10260</v>
      </c>
      <c r="B1231" t="s">
        <v>25</v>
      </c>
      <c r="C1231" t="s">
        <v>26</v>
      </c>
      <c r="D1231" t="s">
        <v>25</v>
      </c>
      <c r="E1231" t="s">
        <v>9404</v>
      </c>
      <c r="F1231" t="s">
        <v>9405</v>
      </c>
      <c r="G1231">
        <v>800093117</v>
      </c>
      <c r="H1231" t="s">
        <v>6009</v>
      </c>
      <c r="I1231" s="4" t="s">
        <v>94</v>
      </c>
      <c r="J1231" s="4" t="s">
        <v>8014</v>
      </c>
      <c r="K1231" t="s">
        <v>9406</v>
      </c>
      <c r="L1231" t="s">
        <v>27</v>
      </c>
      <c r="M1231" t="s">
        <v>9407</v>
      </c>
      <c r="N1231" t="s">
        <v>28</v>
      </c>
      <c r="O1231" t="s">
        <v>29</v>
      </c>
      <c r="P1231" t="s">
        <v>54</v>
      </c>
      <c r="Q1231" t="s">
        <v>31</v>
      </c>
      <c r="R1231">
        <v>7</v>
      </c>
      <c r="S1231" t="s">
        <v>9408</v>
      </c>
      <c r="T1231" t="s">
        <v>7438</v>
      </c>
      <c r="U1231" t="s">
        <v>9393</v>
      </c>
      <c r="V1231" t="s">
        <v>32</v>
      </c>
      <c r="W1231" t="s">
        <v>33</v>
      </c>
      <c r="X1231" t="s">
        <v>33</v>
      </c>
      <c r="Y1231" t="s">
        <v>33</v>
      </c>
      <c r="Z1231" s="16" t="s">
        <v>34</v>
      </c>
      <c r="AA1231">
        <v>-75.574616899999995</v>
      </c>
      <c r="AB1231">
        <v>6.2194061100000004</v>
      </c>
      <c r="AC1231" t="s">
        <v>135</v>
      </c>
      <c r="AD1231" t="s">
        <v>136</v>
      </c>
    </row>
    <row r="1232" spans="1:30" x14ac:dyDescent="0.25">
      <c r="A1232" t="s">
        <v>10261</v>
      </c>
      <c r="B1232" t="s">
        <v>25</v>
      </c>
      <c r="C1232" t="s">
        <v>26</v>
      </c>
      <c r="D1232" t="s">
        <v>25</v>
      </c>
      <c r="E1232" t="s">
        <v>9409</v>
      </c>
      <c r="F1232" t="s">
        <v>9410</v>
      </c>
      <c r="G1232">
        <v>800093117</v>
      </c>
      <c r="H1232" t="s">
        <v>6009</v>
      </c>
      <c r="I1232" s="4" t="s">
        <v>94</v>
      </c>
      <c r="J1232" s="4" t="s">
        <v>8014</v>
      </c>
      <c r="K1232" t="s">
        <v>9411</v>
      </c>
      <c r="L1232" t="s">
        <v>27</v>
      </c>
      <c r="M1232" t="s">
        <v>9412</v>
      </c>
      <c r="N1232" t="s">
        <v>28</v>
      </c>
      <c r="O1232" t="s">
        <v>29</v>
      </c>
      <c r="P1232" t="s">
        <v>54</v>
      </c>
      <c r="Q1232" t="s">
        <v>31</v>
      </c>
      <c r="R1232">
        <v>7</v>
      </c>
      <c r="S1232" t="s">
        <v>9413</v>
      </c>
      <c r="T1232" t="s">
        <v>9414</v>
      </c>
      <c r="U1232" t="s">
        <v>9415</v>
      </c>
      <c r="V1232" t="s">
        <v>32</v>
      </c>
      <c r="W1232" t="s">
        <v>33</v>
      </c>
      <c r="X1232" t="s">
        <v>33</v>
      </c>
      <c r="Y1232" t="s">
        <v>33</v>
      </c>
      <c r="Z1232" s="16" t="s">
        <v>34</v>
      </c>
      <c r="AA1232">
        <v>-75.574616899999995</v>
      </c>
      <c r="AB1232">
        <v>6.2194061100000004</v>
      </c>
      <c r="AC1232" t="s">
        <v>135</v>
      </c>
      <c r="AD1232" t="s">
        <v>136</v>
      </c>
    </row>
    <row r="1233" spans="1:30" x14ac:dyDescent="0.25">
      <c r="A1233" t="s">
        <v>10408</v>
      </c>
      <c r="B1233" t="s">
        <v>65</v>
      </c>
      <c r="C1233" t="s">
        <v>26</v>
      </c>
      <c r="D1233" t="s">
        <v>66</v>
      </c>
      <c r="E1233" t="s">
        <v>10409</v>
      </c>
      <c r="F1233" t="s">
        <v>10410</v>
      </c>
      <c r="G1233">
        <v>43582384</v>
      </c>
      <c r="H1233" t="s">
        <v>10411</v>
      </c>
      <c r="I1233" s="4" t="s">
        <v>35</v>
      </c>
      <c r="J1233" s="4" t="s">
        <v>10412</v>
      </c>
      <c r="K1233" t="s">
        <v>10413</v>
      </c>
      <c r="L1233" t="s">
        <v>27</v>
      </c>
      <c r="M1233" t="s">
        <v>10414</v>
      </c>
      <c r="N1233" t="s">
        <v>28</v>
      </c>
      <c r="O1233" t="s">
        <v>68</v>
      </c>
      <c r="P1233" t="s">
        <v>70</v>
      </c>
      <c r="Q1233" t="s">
        <v>31</v>
      </c>
      <c r="R1233">
        <v>9</v>
      </c>
      <c r="S1233" t="s">
        <v>10415</v>
      </c>
      <c r="T1233" t="s">
        <v>7106</v>
      </c>
      <c r="U1233" t="s">
        <v>10416</v>
      </c>
      <c r="V1233" t="s">
        <v>32</v>
      </c>
      <c r="W1233" t="s">
        <v>33</v>
      </c>
      <c r="X1233" t="s">
        <v>33</v>
      </c>
      <c r="Y1233" t="s">
        <v>33</v>
      </c>
      <c r="Z1233" s="16" t="s">
        <v>34</v>
      </c>
      <c r="AA1233">
        <v>-75.541471479999998</v>
      </c>
      <c r="AB1233">
        <v>6.2331074199999996</v>
      </c>
      <c r="AC1233" t="s">
        <v>135</v>
      </c>
      <c r="AD1233" t="s">
        <v>136</v>
      </c>
    </row>
    <row r="1234" spans="1:30" x14ac:dyDescent="0.25">
      <c r="A1234" t="s">
        <v>10262</v>
      </c>
      <c r="B1234" t="s">
        <v>61</v>
      </c>
      <c r="C1234" t="s">
        <v>26</v>
      </c>
      <c r="D1234" t="s">
        <v>61</v>
      </c>
      <c r="E1234" t="s">
        <v>9416</v>
      </c>
      <c r="F1234" t="s">
        <v>9417</v>
      </c>
      <c r="G1234">
        <v>70900761</v>
      </c>
      <c r="H1234" t="s">
        <v>1576</v>
      </c>
      <c r="I1234" s="4" t="s">
        <v>35</v>
      </c>
      <c r="J1234" s="4" t="s">
        <v>9418</v>
      </c>
      <c r="K1234" t="s">
        <v>9419</v>
      </c>
      <c r="L1234" t="s">
        <v>44</v>
      </c>
      <c r="M1234" t="s">
        <v>9420</v>
      </c>
      <c r="N1234" t="s">
        <v>45</v>
      </c>
      <c r="O1234" t="s">
        <v>62</v>
      </c>
      <c r="P1234" t="s">
        <v>63</v>
      </c>
      <c r="Q1234" t="s">
        <v>31</v>
      </c>
      <c r="R1234">
        <v>4</v>
      </c>
      <c r="S1234" t="s">
        <v>9421</v>
      </c>
      <c r="T1234" t="s">
        <v>9422</v>
      </c>
      <c r="U1234" t="s">
        <v>7443</v>
      </c>
      <c r="V1234" t="s">
        <v>32</v>
      </c>
      <c r="W1234" t="s">
        <v>33</v>
      </c>
      <c r="X1234" t="s">
        <v>33</v>
      </c>
      <c r="Y1234" t="s">
        <v>33</v>
      </c>
      <c r="Z1234" s="16" t="s">
        <v>34</v>
      </c>
      <c r="AA1234">
        <v>-75.592496359999998</v>
      </c>
      <c r="AB1234">
        <v>6.1897947999999996</v>
      </c>
      <c r="AC1234" t="s">
        <v>135</v>
      </c>
      <c r="AD1234" t="s">
        <v>136</v>
      </c>
    </row>
    <row r="1235" spans="1:30" x14ac:dyDescent="0.25">
      <c r="A1235" t="s">
        <v>10417</v>
      </c>
      <c r="B1235" t="s">
        <v>65</v>
      </c>
      <c r="C1235" t="s">
        <v>26</v>
      </c>
      <c r="D1235" t="s">
        <v>66</v>
      </c>
      <c r="E1235" t="s">
        <v>10418</v>
      </c>
      <c r="F1235" t="s">
        <v>10419</v>
      </c>
      <c r="G1235">
        <v>1000538762</v>
      </c>
      <c r="H1235" t="s">
        <v>10420</v>
      </c>
      <c r="I1235" s="4" t="s">
        <v>35</v>
      </c>
      <c r="J1235" s="4" t="s">
        <v>4743</v>
      </c>
      <c r="K1235" t="s">
        <v>4744</v>
      </c>
      <c r="L1235" t="s">
        <v>27</v>
      </c>
      <c r="M1235" t="s">
        <v>4745</v>
      </c>
      <c r="N1235" t="s">
        <v>28</v>
      </c>
      <c r="O1235" t="s">
        <v>68</v>
      </c>
      <c r="P1235" t="s">
        <v>70</v>
      </c>
      <c r="Q1235" t="s">
        <v>31</v>
      </c>
      <c r="R1235">
        <v>9</v>
      </c>
      <c r="S1235" t="s">
        <v>10421</v>
      </c>
      <c r="T1235" t="s">
        <v>9827</v>
      </c>
      <c r="U1235" t="s">
        <v>10422</v>
      </c>
      <c r="V1235" t="s">
        <v>32</v>
      </c>
      <c r="W1235" t="s">
        <v>33</v>
      </c>
      <c r="X1235" t="s">
        <v>33</v>
      </c>
      <c r="Y1235" t="s">
        <v>33</v>
      </c>
      <c r="Z1235" s="16" t="s">
        <v>34</v>
      </c>
      <c r="AA1235">
        <v>-75.608658640000002</v>
      </c>
      <c r="AB1235">
        <v>6.2776701700000004</v>
      </c>
      <c r="AC1235" t="s">
        <v>135</v>
      </c>
      <c r="AD1235" t="s">
        <v>136</v>
      </c>
    </row>
    <row r="1236" spans="1:30" x14ac:dyDescent="0.25">
      <c r="A1236" t="s">
        <v>10263</v>
      </c>
      <c r="B1236" t="s">
        <v>25</v>
      </c>
      <c r="C1236" t="s">
        <v>26</v>
      </c>
      <c r="D1236" t="s">
        <v>25</v>
      </c>
      <c r="E1236" t="s">
        <v>9423</v>
      </c>
      <c r="F1236" t="s">
        <v>9424</v>
      </c>
      <c r="G1236">
        <v>71743067</v>
      </c>
      <c r="H1236" t="s">
        <v>9425</v>
      </c>
      <c r="I1236" s="4" t="s">
        <v>9426</v>
      </c>
      <c r="J1236" s="4" t="s">
        <v>9427</v>
      </c>
      <c r="K1236" t="s">
        <v>9428</v>
      </c>
      <c r="L1236" t="s">
        <v>27</v>
      </c>
      <c r="M1236" t="s">
        <v>9429</v>
      </c>
      <c r="N1236" t="s">
        <v>28</v>
      </c>
      <c r="O1236" t="s">
        <v>29</v>
      </c>
      <c r="P1236" t="s">
        <v>37</v>
      </c>
      <c r="Q1236" t="s">
        <v>31</v>
      </c>
      <c r="R1236">
        <v>7</v>
      </c>
      <c r="S1236" t="s">
        <v>9430</v>
      </c>
      <c r="T1236" t="s">
        <v>2590</v>
      </c>
      <c r="U1236" t="s">
        <v>9431</v>
      </c>
      <c r="V1236" t="s">
        <v>32</v>
      </c>
      <c r="W1236" t="s">
        <v>33</v>
      </c>
      <c r="X1236" t="s">
        <v>33</v>
      </c>
      <c r="Y1236" t="s">
        <v>33</v>
      </c>
      <c r="Z1236" s="16" t="s">
        <v>34</v>
      </c>
      <c r="AA1236">
        <v>-75.586100000000002</v>
      </c>
      <c r="AB1236">
        <v>6.2111850000000004</v>
      </c>
      <c r="AC1236" t="s">
        <v>135</v>
      </c>
      <c r="AD1236" t="s">
        <v>136</v>
      </c>
    </row>
    <row r="1237" spans="1:30" x14ac:dyDescent="0.25">
      <c r="A1237" t="s">
        <v>10264</v>
      </c>
      <c r="B1237" t="s">
        <v>25</v>
      </c>
      <c r="C1237" t="s">
        <v>26</v>
      </c>
      <c r="D1237" t="s">
        <v>25</v>
      </c>
      <c r="E1237" t="s">
        <v>9432</v>
      </c>
      <c r="F1237" t="s">
        <v>9433</v>
      </c>
      <c r="G1237">
        <v>43321714</v>
      </c>
      <c r="H1237" t="s">
        <v>9434</v>
      </c>
      <c r="I1237" s="4" t="s">
        <v>35</v>
      </c>
      <c r="J1237" s="4" t="s">
        <v>9435</v>
      </c>
      <c r="K1237" t="s">
        <v>9436</v>
      </c>
      <c r="L1237" t="s">
        <v>44</v>
      </c>
      <c r="M1237" t="s">
        <v>9437</v>
      </c>
      <c r="N1237" t="s">
        <v>45</v>
      </c>
      <c r="O1237" t="s">
        <v>29</v>
      </c>
      <c r="P1237" t="s">
        <v>37</v>
      </c>
      <c r="Q1237" t="s">
        <v>31</v>
      </c>
      <c r="R1237">
        <v>7</v>
      </c>
      <c r="S1237" t="s">
        <v>9438</v>
      </c>
      <c r="T1237" t="s">
        <v>9439</v>
      </c>
      <c r="U1237" t="s">
        <v>9440</v>
      </c>
      <c r="V1237" t="s">
        <v>32</v>
      </c>
      <c r="W1237" t="s">
        <v>33</v>
      </c>
      <c r="X1237" t="s">
        <v>33</v>
      </c>
      <c r="Y1237" t="s">
        <v>33</v>
      </c>
      <c r="Z1237" s="16" t="s">
        <v>34</v>
      </c>
      <c r="AA1237">
        <v>-75.606299930000006</v>
      </c>
      <c r="AB1237">
        <v>6.1719567499999997</v>
      </c>
      <c r="AC1237" t="s">
        <v>135</v>
      </c>
      <c r="AD1237" t="s">
        <v>136</v>
      </c>
    </row>
    <row r="1238" spans="1:30" x14ac:dyDescent="0.25">
      <c r="A1238" t="s">
        <v>10265</v>
      </c>
      <c r="B1238" t="s">
        <v>25</v>
      </c>
      <c r="C1238" t="s">
        <v>26</v>
      </c>
      <c r="D1238" t="s">
        <v>25</v>
      </c>
      <c r="E1238" t="s">
        <v>9441</v>
      </c>
      <c r="F1238" t="s">
        <v>9442</v>
      </c>
      <c r="G1238">
        <v>71743067</v>
      </c>
      <c r="H1238" t="s">
        <v>9425</v>
      </c>
      <c r="I1238" s="4" t="s">
        <v>9426</v>
      </c>
      <c r="J1238" s="4" t="s">
        <v>9427</v>
      </c>
      <c r="K1238" t="s">
        <v>9443</v>
      </c>
      <c r="L1238" t="s">
        <v>27</v>
      </c>
      <c r="M1238" t="s">
        <v>9444</v>
      </c>
      <c r="N1238" t="s">
        <v>28</v>
      </c>
      <c r="O1238" t="s">
        <v>29</v>
      </c>
      <c r="P1238" t="s">
        <v>37</v>
      </c>
      <c r="Q1238" t="s">
        <v>31</v>
      </c>
      <c r="R1238">
        <v>7</v>
      </c>
      <c r="S1238" t="s">
        <v>9445</v>
      </c>
      <c r="T1238" t="s">
        <v>9446</v>
      </c>
      <c r="U1238" t="s">
        <v>9447</v>
      </c>
      <c r="V1238" t="s">
        <v>32</v>
      </c>
      <c r="W1238" t="s">
        <v>33</v>
      </c>
      <c r="X1238" t="s">
        <v>33</v>
      </c>
      <c r="Y1238" t="s">
        <v>33</v>
      </c>
      <c r="Z1238" s="16" t="s">
        <v>34</v>
      </c>
      <c r="AA1238">
        <v>-75.586100000000002</v>
      </c>
      <c r="AB1238">
        <v>6.2111850000000004</v>
      </c>
      <c r="AC1238" t="s">
        <v>135</v>
      </c>
      <c r="AD1238" t="s">
        <v>136</v>
      </c>
    </row>
    <row r="1239" spans="1:30" x14ac:dyDescent="0.25">
      <c r="A1239" t="s">
        <v>10266</v>
      </c>
      <c r="B1239" t="s">
        <v>25</v>
      </c>
      <c r="C1239" t="s">
        <v>26</v>
      </c>
      <c r="D1239" t="s">
        <v>39</v>
      </c>
      <c r="E1239" t="s">
        <v>9448</v>
      </c>
      <c r="F1239" t="s">
        <v>9449</v>
      </c>
      <c r="G1239">
        <v>1036608150</v>
      </c>
      <c r="H1239" t="s">
        <v>9450</v>
      </c>
      <c r="I1239" s="4" t="s">
        <v>35</v>
      </c>
      <c r="J1239" s="4" t="s">
        <v>9451</v>
      </c>
      <c r="K1239" t="s">
        <v>9452</v>
      </c>
      <c r="L1239" t="s">
        <v>44</v>
      </c>
      <c r="M1239" t="s">
        <v>9453</v>
      </c>
      <c r="N1239" t="s">
        <v>45</v>
      </c>
      <c r="O1239" t="s">
        <v>40</v>
      </c>
      <c r="P1239" t="s">
        <v>41</v>
      </c>
      <c r="Q1239" t="s">
        <v>38</v>
      </c>
      <c r="R1239">
        <v>8</v>
      </c>
      <c r="S1239" t="s">
        <v>9454</v>
      </c>
      <c r="T1239" t="s">
        <v>9455</v>
      </c>
      <c r="U1239" t="s">
        <v>9456</v>
      </c>
      <c r="V1239" t="s">
        <v>32</v>
      </c>
      <c r="W1239" t="s">
        <v>33</v>
      </c>
      <c r="X1239" t="s">
        <v>33</v>
      </c>
      <c r="Y1239" t="s">
        <v>33</v>
      </c>
      <c r="Z1239" s="16" t="s">
        <v>34</v>
      </c>
      <c r="AA1239">
        <v>-75.598241340000001</v>
      </c>
      <c r="AB1239">
        <v>6.1971229499999998</v>
      </c>
      <c r="AC1239" t="s">
        <v>135</v>
      </c>
      <c r="AD1239" t="s">
        <v>136</v>
      </c>
    </row>
    <row r="1240" spans="1:30" x14ac:dyDescent="0.25">
      <c r="A1240" t="s">
        <v>10267</v>
      </c>
      <c r="B1240" t="s">
        <v>25</v>
      </c>
      <c r="C1240" t="s">
        <v>26</v>
      </c>
      <c r="D1240" t="s">
        <v>25</v>
      </c>
      <c r="E1240" t="s">
        <v>9457</v>
      </c>
      <c r="F1240" t="s">
        <v>9458</v>
      </c>
      <c r="G1240">
        <v>43556097</v>
      </c>
      <c r="H1240" t="s">
        <v>9459</v>
      </c>
      <c r="I1240" s="4" t="s">
        <v>9460</v>
      </c>
      <c r="J1240" s="4" t="s">
        <v>8743</v>
      </c>
      <c r="K1240" t="s">
        <v>9461</v>
      </c>
      <c r="L1240" t="s">
        <v>44</v>
      </c>
      <c r="M1240" t="s">
        <v>9462</v>
      </c>
      <c r="N1240" t="s">
        <v>45</v>
      </c>
      <c r="O1240" t="s">
        <v>29</v>
      </c>
      <c r="P1240" t="s">
        <v>37</v>
      </c>
      <c r="Q1240" t="s">
        <v>31</v>
      </c>
      <c r="R1240">
        <v>7</v>
      </c>
      <c r="S1240" t="s">
        <v>9463</v>
      </c>
      <c r="T1240" t="s">
        <v>9464</v>
      </c>
      <c r="U1240" t="s">
        <v>5483</v>
      </c>
      <c r="V1240" t="s">
        <v>32</v>
      </c>
      <c r="W1240" t="s">
        <v>33</v>
      </c>
      <c r="X1240" t="s">
        <v>33</v>
      </c>
      <c r="Y1240" t="s">
        <v>33</v>
      </c>
      <c r="Z1240" s="16" t="s">
        <v>34</v>
      </c>
      <c r="AA1240">
        <v>-75.616532000000007</v>
      </c>
      <c r="AB1240">
        <v>6.1752890000000003</v>
      </c>
      <c r="AC1240" t="s">
        <v>135</v>
      </c>
      <c r="AD1240" t="s">
        <v>136</v>
      </c>
    </row>
    <row r="1241" spans="1:30" x14ac:dyDescent="0.25">
      <c r="A1241" t="s">
        <v>10268</v>
      </c>
      <c r="B1241" t="s">
        <v>25</v>
      </c>
      <c r="C1241" t="s">
        <v>26</v>
      </c>
      <c r="D1241" t="s">
        <v>25</v>
      </c>
      <c r="E1241" t="s">
        <v>9465</v>
      </c>
      <c r="F1241" t="s">
        <v>9466</v>
      </c>
      <c r="G1241">
        <v>1037571560</v>
      </c>
      <c r="H1241" t="s">
        <v>9467</v>
      </c>
      <c r="I1241" s="4" t="s">
        <v>35</v>
      </c>
      <c r="J1241" s="4" t="s">
        <v>9468</v>
      </c>
      <c r="K1241" t="s">
        <v>9469</v>
      </c>
      <c r="L1241" t="s">
        <v>48</v>
      </c>
      <c r="M1241" t="s">
        <v>9470</v>
      </c>
      <c r="N1241" t="s">
        <v>64</v>
      </c>
      <c r="O1241" t="s">
        <v>29</v>
      </c>
      <c r="P1241" t="s">
        <v>37</v>
      </c>
      <c r="Q1241" t="s">
        <v>31</v>
      </c>
      <c r="R1241">
        <v>7</v>
      </c>
      <c r="S1241" t="s">
        <v>9471</v>
      </c>
      <c r="T1241" t="s">
        <v>9472</v>
      </c>
      <c r="U1241" t="s">
        <v>9473</v>
      </c>
      <c r="V1241" t="s">
        <v>32</v>
      </c>
      <c r="W1241" t="s">
        <v>33</v>
      </c>
      <c r="X1241" t="s">
        <v>33</v>
      </c>
      <c r="Y1241" t="s">
        <v>33</v>
      </c>
      <c r="Z1241" s="16" t="s">
        <v>34</v>
      </c>
      <c r="AA1241">
        <v>-75.593678229999995</v>
      </c>
      <c r="AB1241">
        <v>6.1700770299999999</v>
      </c>
      <c r="AC1241" t="s">
        <v>135</v>
      </c>
      <c r="AD1241" t="s">
        <v>136</v>
      </c>
    </row>
    <row r="1242" spans="1:30" x14ac:dyDescent="0.25">
      <c r="A1242" t="s">
        <v>10269</v>
      </c>
      <c r="B1242" t="s">
        <v>25</v>
      </c>
      <c r="C1242" t="s">
        <v>26</v>
      </c>
      <c r="D1242" t="s">
        <v>39</v>
      </c>
      <c r="E1242" t="s">
        <v>9474</v>
      </c>
      <c r="F1242" t="s">
        <v>9475</v>
      </c>
      <c r="G1242">
        <v>43507285</v>
      </c>
      <c r="H1242" t="s">
        <v>9476</v>
      </c>
      <c r="I1242" s="4" t="s">
        <v>35</v>
      </c>
      <c r="J1242" s="4" t="s">
        <v>9477</v>
      </c>
      <c r="K1242" t="s">
        <v>9478</v>
      </c>
      <c r="L1242" t="s">
        <v>27</v>
      </c>
      <c r="M1242" t="s">
        <v>9479</v>
      </c>
      <c r="N1242" t="s">
        <v>28</v>
      </c>
      <c r="O1242" t="s">
        <v>40</v>
      </c>
      <c r="P1242" t="s">
        <v>41</v>
      </c>
      <c r="Q1242" t="s">
        <v>31</v>
      </c>
      <c r="R1242">
        <v>5</v>
      </c>
      <c r="S1242" t="s">
        <v>9480</v>
      </c>
      <c r="T1242" t="s">
        <v>9481</v>
      </c>
      <c r="U1242" t="s">
        <v>9482</v>
      </c>
      <c r="V1242" t="s">
        <v>32</v>
      </c>
      <c r="W1242" t="s">
        <v>33</v>
      </c>
      <c r="X1242" t="s">
        <v>33</v>
      </c>
      <c r="Y1242" t="s">
        <v>33</v>
      </c>
      <c r="Z1242" s="16" t="s">
        <v>34</v>
      </c>
      <c r="AA1242">
        <v>-75.556861589999997</v>
      </c>
      <c r="AB1242">
        <v>6.2320537299999996</v>
      </c>
      <c r="AC1242" t="s">
        <v>135</v>
      </c>
      <c r="AD1242" t="s">
        <v>136</v>
      </c>
    </row>
    <row r="1243" spans="1:30" x14ac:dyDescent="0.25">
      <c r="A1243" t="s">
        <v>10270</v>
      </c>
      <c r="B1243" t="s">
        <v>25</v>
      </c>
      <c r="C1243" t="s">
        <v>26</v>
      </c>
      <c r="D1243" t="s">
        <v>25</v>
      </c>
      <c r="E1243" t="s">
        <v>9483</v>
      </c>
      <c r="F1243" t="s">
        <v>9484</v>
      </c>
      <c r="G1243">
        <v>1037571560</v>
      </c>
      <c r="H1243" t="s">
        <v>9467</v>
      </c>
      <c r="I1243" s="4" t="s">
        <v>35</v>
      </c>
      <c r="J1243" s="4" t="s">
        <v>9468</v>
      </c>
      <c r="K1243" t="s">
        <v>9485</v>
      </c>
      <c r="L1243" t="s">
        <v>48</v>
      </c>
      <c r="M1243" t="s">
        <v>9486</v>
      </c>
      <c r="N1243" t="s">
        <v>64</v>
      </c>
      <c r="O1243" t="s">
        <v>29</v>
      </c>
      <c r="P1243" t="s">
        <v>30</v>
      </c>
      <c r="Q1243" t="s">
        <v>31</v>
      </c>
      <c r="R1243">
        <v>7</v>
      </c>
      <c r="S1243" t="s">
        <v>9487</v>
      </c>
      <c r="T1243" t="s">
        <v>9488</v>
      </c>
      <c r="U1243" t="s">
        <v>9489</v>
      </c>
      <c r="V1243" t="s">
        <v>32</v>
      </c>
      <c r="W1243" t="s">
        <v>33</v>
      </c>
      <c r="X1243" t="s">
        <v>33</v>
      </c>
      <c r="Y1243" t="s">
        <v>33</v>
      </c>
      <c r="Z1243" s="16" t="s">
        <v>34</v>
      </c>
      <c r="AA1243">
        <v>-75.593678229999995</v>
      </c>
      <c r="AB1243">
        <v>6.1700770299999999</v>
      </c>
      <c r="AC1243" t="s">
        <v>135</v>
      </c>
      <c r="AD1243" t="s">
        <v>136</v>
      </c>
    </row>
    <row r="1244" spans="1:30" x14ac:dyDescent="0.25">
      <c r="A1244" t="s">
        <v>10271</v>
      </c>
      <c r="B1244" t="s">
        <v>50</v>
      </c>
      <c r="C1244" t="s">
        <v>26</v>
      </c>
      <c r="D1244" t="s">
        <v>50</v>
      </c>
      <c r="E1244" t="s">
        <v>9490</v>
      </c>
      <c r="F1244" t="s">
        <v>9491</v>
      </c>
      <c r="G1244">
        <v>1022146985</v>
      </c>
      <c r="H1244" t="s">
        <v>9492</v>
      </c>
      <c r="I1244" s="4" t="s">
        <v>9493</v>
      </c>
      <c r="J1244" s="4" t="s">
        <v>9494</v>
      </c>
      <c r="K1244" t="s">
        <v>9495</v>
      </c>
      <c r="L1244" t="s">
        <v>27</v>
      </c>
      <c r="M1244" t="s">
        <v>9496</v>
      </c>
      <c r="N1244" t="s">
        <v>28</v>
      </c>
      <c r="O1244" t="s">
        <v>51</v>
      </c>
      <c r="P1244" t="s">
        <v>52</v>
      </c>
      <c r="Q1244" t="s">
        <v>38</v>
      </c>
      <c r="R1244">
        <v>11</v>
      </c>
      <c r="S1244" t="s">
        <v>9497</v>
      </c>
      <c r="T1244" t="s">
        <v>9498</v>
      </c>
      <c r="U1244" t="s">
        <v>9499</v>
      </c>
      <c r="V1244" t="s">
        <v>32</v>
      </c>
      <c r="W1244" t="s">
        <v>33</v>
      </c>
      <c r="X1244" t="s">
        <v>33</v>
      </c>
      <c r="Y1244" t="s">
        <v>33</v>
      </c>
      <c r="Z1244" s="16" t="s">
        <v>34</v>
      </c>
      <c r="AA1244">
        <v>-75.633280450000001</v>
      </c>
      <c r="AB1244">
        <v>6.2343363800000002</v>
      </c>
      <c r="AC1244" t="s">
        <v>135</v>
      </c>
      <c r="AD1244" t="s">
        <v>136</v>
      </c>
    </row>
    <row r="1245" spans="1:30" x14ac:dyDescent="0.25">
      <c r="A1245" t="s">
        <v>10272</v>
      </c>
      <c r="B1245" t="s">
        <v>25</v>
      </c>
      <c r="C1245" t="s">
        <v>26</v>
      </c>
      <c r="D1245" t="s">
        <v>25</v>
      </c>
      <c r="E1245" t="s">
        <v>9500</v>
      </c>
      <c r="F1245" t="s">
        <v>9501</v>
      </c>
      <c r="G1245">
        <v>1037571560</v>
      </c>
      <c r="H1245" t="s">
        <v>9467</v>
      </c>
      <c r="I1245" s="4" t="s">
        <v>35</v>
      </c>
      <c r="J1245" s="4" t="s">
        <v>9468</v>
      </c>
      <c r="K1245" t="s">
        <v>9502</v>
      </c>
      <c r="L1245" t="s">
        <v>48</v>
      </c>
      <c r="M1245" t="s">
        <v>9503</v>
      </c>
      <c r="N1245" t="s">
        <v>64</v>
      </c>
      <c r="O1245" t="s">
        <v>29</v>
      </c>
      <c r="P1245" t="s">
        <v>37</v>
      </c>
      <c r="Q1245" t="s">
        <v>31</v>
      </c>
      <c r="R1245">
        <v>7</v>
      </c>
      <c r="S1245" t="s">
        <v>9504</v>
      </c>
      <c r="T1245" t="s">
        <v>9505</v>
      </c>
      <c r="U1245" t="s">
        <v>9506</v>
      </c>
      <c r="V1245" t="s">
        <v>32</v>
      </c>
      <c r="W1245" t="s">
        <v>33</v>
      </c>
      <c r="X1245" t="s">
        <v>33</v>
      </c>
      <c r="Y1245" t="s">
        <v>33</v>
      </c>
      <c r="Z1245" s="16" t="s">
        <v>34</v>
      </c>
      <c r="AA1245">
        <v>-75.593678229999995</v>
      </c>
      <c r="AB1245">
        <v>6.1700770299999999</v>
      </c>
      <c r="AC1245" t="s">
        <v>135</v>
      </c>
      <c r="AD1245" t="s">
        <v>136</v>
      </c>
    </row>
    <row r="1246" spans="1:30" x14ac:dyDescent="0.25">
      <c r="A1246" t="s">
        <v>10273</v>
      </c>
      <c r="B1246" t="s">
        <v>42</v>
      </c>
      <c r="C1246" t="s">
        <v>26</v>
      </c>
      <c r="D1246" t="s">
        <v>42</v>
      </c>
      <c r="E1246" t="s">
        <v>9507</v>
      </c>
      <c r="F1246" t="s">
        <v>9508</v>
      </c>
      <c r="G1246">
        <v>8273101</v>
      </c>
      <c r="H1246" t="s">
        <v>9509</v>
      </c>
      <c r="I1246" s="4" t="s">
        <v>35</v>
      </c>
      <c r="J1246" s="4" t="s">
        <v>9510</v>
      </c>
      <c r="K1246" t="s">
        <v>9511</v>
      </c>
      <c r="L1246" t="s">
        <v>27</v>
      </c>
      <c r="M1246" t="s">
        <v>9512</v>
      </c>
      <c r="N1246" t="s">
        <v>28</v>
      </c>
      <c r="O1246" t="s">
        <v>43</v>
      </c>
      <c r="P1246" t="s">
        <v>37</v>
      </c>
      <c r="Q1246" t="s">
        <v>31</v>
      </c>
      <c r="R1246">
        <v>7</v>
      </c>
      <c r="S1246" t="s">
        <v>9513</v>
      </c>
      <c r="T1246" t="s">
        <v>9514</v>
      </c>
      <c r="U1246" t="s">
        <v>9515</v>
      </c>
      <c r="V1246" t="s">
        <v>32</v>
      </c>
      <c r="W1246" t="s">
        <v>33</v>
      </c>
      <c r="X1246" t="s">
        <v>33</v>
      </c>
      <c r="Y1246" t="s">
        <v>33</v>
      </c>
      <c r="Z1246" s="16" t="s">
        <v>34</v>
      </c>
      <c r="AA1246">
        <v>-75.652731380000006</v>
      </c>
      <c r="AB1246">
        <v>6.1857651799999998</v>
      </c>
      <c r="AC1246" t="s">
        <v>135</v>
      </c>
      <c r="AD1246" t="s">
        <v>136</v>
      </c>
    </row>
    <row r="1247" spans="1:30" x14ac:dyDescent="0.25">
      <c r="A1247" t="s">
        <v>10274</v>
      </c>
      <c r="B1247" t="s">
        <v>61</v>
      </c>
      <c r="C1247" t="s">
        <v>26</v>
      </c>
      <c r="D1247" t="s">
        <v>61</v>
      </c>
      <c r="E1247" t="s">
        <v>9516</v>
      </c>
      <c r="F1247" t="s">
        <v>9517</v>
      </c>
      <c r="G1247">
        <v>890093117</v>
      </c>
      <c r="H1247" t="s">
        <v>9518</v>
      </c>
      <c r="I1247" s="4" t="s">
        <v>9519</v>
      </c>
      <c r="J1247" s="4" t="s">
        <v>9520</v>
      </c>
      <c r="K1247" t="s">
        <v>9521</v>
      </c>
      <c r="L1247" t="s">
        <v>48</v>
      </c>
      <c r="M1247" t="s">
        <v>9522</v>
      </c>
      <c r="N1247" t="s">
        <v>64</v>
      </c>
      <c r="O1247" t="s">
        <v>62</v>
      </c>
      <c r="P1247" t="s">
        <v>63</v>
      </c>
      <c r="Q1247" t="s">
        <v>31</v>
      </c>
      <c r="R1247">
        <v>4</v>
      </c>
      <c r="S1247" t="s">
        <v>9523</v>
      </c>
      <c r="T1247" t="s">
        <v>9524</v>
      </c>
      <c r="U1247" t="s">
        <v>9525</v>
      </c>
      <c r="V1247" t="s">
        <v>32</v>
      </c>
      <c r="W1247" t="s">
        <v>33</v>
      </c>
      <c r="X1247" t="s">
        <v>33</v>
      </c>
      <c r="Y1247" t="s">
        <v>33</v>
      </c>
      <c r="Z1247" s="16" t="s">
        <v>34</v>
      </c>
      <c r="AA1247">
        <v>-75.588930000000005</v>
      </c>
      <c r="AB1247">
        <v>6.1806099999999997</v>
      </c>
      <c r="AC1247" t="s">
        <v>135</v>
      </c>
      <c r="AD1247" t="s">
        <v>136</v>
      </c>
    </row>
    <row r="1248" spans="1:30" x14ac:dyDescent="0.25">
      <c r="A1248" t="s">
        <v>10423</v>
      </c>
      <c r="B1248" t="s">
        <v>65</v>
      </c>
      <c r="C1248" t="s">
        <v>26</v>
      </c>
      <c r="D1248" t="s">
        <v>66</v>
      </c>
      <c r="E1248" t="s">
        <v>10424</v>
      </c>
      <c r="F1248" t="s">
        <v>10425</v>
      </c>
      <c r="G1248">
        <v>43871057</v>
      </c>
      <c r="H1248" t="s">
        <v>10426</v>
      </c>
      <c r="I1248" s="4" t="s">
        <v>10427</v>
      </c>
      <c r="J1248" s="4" t="s">
        <v>35</v>
      </c>
      <c r="K1248" t="s">
        <v>10428</v>
      </c>
      <c r="L1248" t="s">
        <v>27</v>
      </c>
      <c r="M1248" t="s">
        <v>10429</v>
      </c>
      <c r="N1248" t="s">
        <v>28</v>
      </c>
      <c r="O1248" t="s">
        <v>68</v>
      </c>
      <c r="P1248" t="s">
        <v>70</v>
      </c>
      <c r="Q1248" t="s">
        <v>31</v>
      </c>
      <c r="R1248">
        <v>9</v>
      </c>
      <c r="S1248" t="s">
        <v>10430</v>
      </c>
      <c r="T1248" t="s">
        <v>10431</v>
      </c>
      <c r="U1248" t="s">
        <v>10432</v>
      </c>
      <c r="V1248" t="s">
        <v>32</v>
      </c>
      <c r="W1248" t="s">
        <v>33</v>
      </c>
      <c r="X1248" t="s">
        <v>33</v>
      </c>
      <c r="Y1248" t="s">
        <v>33</v>
      </c>
      <c r="Z1248" s="16" t="s">
        <v>34</v>
      </c>
      <c r="AA1248">
        <v>-75.599261459999994</v>
      </c>
      <c r="AB1248">
        <v>6.27421366</v>
      </c>
      <c r="AC1248" t="s">
        <v>135</v>
      </c>
      <c r="AD1248" t="s">
        <v>136</v>
      </c>
    </row>
    <row r="1249" spans="1:30" x14ac:dyDescent="0.25">
      <c r="A1249" t="s">
        <v>10275</v>
      </c>
      <c r="B1249" t="s">
        <v>25</v>
      </c>
      <c r="C1249" t="s">
        <v>26</v>
      </c>
      <c r="D1249" t="s">
        <v>25</v>
      </c>
      <c r="E1249" t="s">
        <v>9526</v>
      </c>
      <c r="F1249" t="s">
        <v>9527</v>
      </c>
      <c r="G1249">
        <v>800093117</v>
      </c>
      <c r="H1249" t="s">
        <v>6009</v>
      </c>
      <c r="I1249" s="4" t="s">
        <v>94</v>
      </c>
      <c r="J1249" s="4" t="s">
        <v>8014</v>
      </c>
      <c r="K1249" t="s">
        <v>9528</v>
      </c>
      <c r="L1249" t="s">
        <v>27</v>
      </c>
      <c r="M1249" t="s">
        <v>9529</v>
      </c>
      <c r="N1249" t="s">
        <v>28</v>
      </c>
      <c r="O1249" t="s">
        <v>29</v>
      </c>
      <c r="P1249" t="s">
        <v>54</v>
      </c>
      <c r="Q1249" t="s">
        <v>31</v>
      </c>
      <c r="R1249">
        <v>7</v>
      </c>
      <c r="S1249" t="s">
        <v>9530</v>
      </c>
      <c r="T1249" t="s">
        <v>9531</v>
      </c>
      <c r="U1249" t="s">
        <v>9532</v>
      </c>
      <c r="V1249" t="s">
        <v>32</v>
      </c>
      <c r="W1249" t="s">
        <v>33</v>
      </c>
      <c r="X1249" t="s">
        <v>33</v>
      </c>
      <c r="Y1249" t="s">
        <v>33</v>
      </c>
      <c r="Z1249" s="16" t="s">
        <v>34</v>
      </c>
      <c r="AA1249">
        <v>-75.574616899999995</v>
      </c>
      <c r="AB1249">
        <v>6.2194061100000004</v>
      </c>
      <c r="AC1249" t="s">
        <v>135</v>
      </c>
      <c r="AD1249" t="s">
        <v>136</v>
      </c>
    </row>
    <row r="1250" spans="1:30" x14ac:dyDescent="0.25">
      <c r="A1250" t="s">
        <v>10276</v>
      </c>
      <c r="B1250" t="s">
        <v>50</v>
      </c>
      <c r="C1250" t="s">
        <v>26</v>
      </c>
      <c r="D1250" t="s">
        <v>50</v>
      </c>
      <c r="E1250" t="s">
        <v>9533</v>
      </c>
      <c r="F1250" t="s">
        <v>9534</v>
      </c>
      <c r="G1250">
        <v>1128472883</v>
      </c>
      <c r="H1250" t="s">
        <v>9535</v>
      </c>
      <c r="I1250" s="4" t="s">
        <v>35</v>
      </c>
      <c r="J1250" s="4" t="s">
        <v>9536</v>
      </c>
      <c r="K1250" t="s">
        <v>9537</v>
      </c>
      <c r="L1250" t="s">
        <v>27</v>
      </c>
      <c r="M1250" t="s">
        <v>9538</v>
      </c>
      <c r="N1250" t="s">
        <v>28</v>
      </c>
      <c r="O1250" t="s">
        <v>51</v>
      </c>
      <c r="P1250" t="s">
        <v>52</v>
      </c>
      <c r="Q1250" t="s">
        <v>31</v>
      </c>
      <c r="R1250">
        <v>11</v>
      </c>
      <c r="S1250" t="s">
        <v>9539</v>
      </c>
      <c r="T1250" t="s">
        <v>9540</v>
      </c>
      <c r="U1250" t="s">
        <v>9541</v>
      </c>
      <c r="V1250" t="s">
        <v>32</v>
      </c>
      <c r="W1250" t="s">
        <v>33</v>
      </c>
      <c r="X1250" t="s">
        <v>33</v>
      </c>
      <c r="Y1250" t="s">
        <v>33</v>
      </c>
      <c r="Z1250" s="16" t="s">
        <v>34</v>
      </c>
      <c r="AA1250">
        <v>-75.619470000000007</v>
      </c>
      <c r="AB1250">
        <v>6.2483129999999996</v>
      </c>
      <c r="AC1250" t="s">
        <v>135</v>
      </c>
      <c r="AD1250" t="s">
        <v>136</v>
      </c>
    </row>
    <row r="1251" spans="1:30" x14ac:dyDescent="0.25">
      <c r="A1251" t="s">
        <v>10277</v>
      </c>
      <c r="B1251" t="s">
        <v>25</v>
      </c>
      <c r="C1251" t="s">
        <v>26</v>
      </c>
      <c r="D1251" t="s">
        <v>25</v>
      </c>
      <c r="E1251" t="s">
        <v>9542</v>
      </c>
      <c r="F1251" t="s">
        <v>9543</v>
      </c>
      <c r="G1251">
        <v>1037571560</v>
      </c>
      <c r="H1251" t="s">
        <v>9467</v>
      </c>
      <c r="I1251" s="4" t="s">
        <v>35</v>
      </c>
      <c r="J1251" s="4" t="s">
        <v>9468</v>
      </c>
      <c r="K1251" t="s">
        <v>9544</v>
      </c>
      <c r="L1251" t="s">
        <v>48</v>
      </c>
      <c r="M1251" t="s">
        <v>9545</v>
      </c>
      <c r="N1251" t="s">
        <v>64</v>
      </c>
      <c r="O1251" t="s">
        <v>29</v>
      </c>
      <c r="P1251" t="s">
        <v>30</v>
      </c>
      <c r="Q1251" t="s">
        <v>31</v>
      </c>
      <c r="R1251">
        <v>7</v>
      </c>
      <c r="S1251" t="s">
        <v>9546</v>
      </c>
      <c r="T1251" t="s">
        <v>9540</v>
      </c>
      <c r="U1251" t="s">
        <v>9547</v>
      </c>
      <c r="V1251" t="s">
        <v>32</v>
      </c>
      <c r="W1251" t="s">
        <v>33</v>
      </c>
      <c r="X1251" t="s">
        <v>33</v>
      </c>
      <c r="Y1251" t="s">
        <v>33</v>
      </c>
      <c r="Z1251" s="16" t="s">
        <v>34</v>
      </c>
      <c r="AA1251">
        <v>-75.593678229999995</v>
      </c>
      <c r="AB1251">
        <v>6.1700770299999999</v>
      </c>
      <c r="AC1251" t="s">
        <v>135</v>
      </c>
      <c r="AD1251" t="s">
        <v>136</v>
      </c>
    </row>
    <row r="1252" spans="1:30" x14ac:dyDescent="0.25">
      <c r="A1252" t="s">
        <v>10278</v>
      </c>
      <c r="B1252" t="s">
        <v>25</v>
      </c>
      <c r="C1252" t="s">
        <v>26</v>
      </c>
      <c r="D1252" t="s">
        <v>25</v>
      </c>
      <c r="E1252" t="s">
        <v>9548</v>
      </c>
      <c r="F1252" t="s">
        <v>9549</v>
      </c>
      <c r="G1252">
        <v>1128272191</v>
      </c>
      <c r="H1252" t="s">
        <v>9550</v>
      </c>
      <c r="I1252" s="4" t="s">
        <v>35</v>
      </c>
      <c r="J1252" s="4" t="s">
        <v>9551</v>
      </c>
      <c r="K1252" t="s">
        <v>9552</v>
      </c>
      <c r="L1252" t="s">
        <v>48</v>
      </c>
      <c r="M1252" t="s">
        <v>9553</v>
      </c>
      <c r="N1252" t="s">
        <v>64</v>
      </c>
      <c r="O1252" t="s">
        <v>29</v>
      </c>
      <c r="P1252" t="s">
        <v>37</v>
      </c>
      <c r="Q1252" t="s">
        <v>38</v>
      </c>
      <c r="R1252">
        <v>10</v>
      </c>
      <c r="S1252" t="s">
        <v>9554</v>
      </c>
      <c r="T1252" t="s">
        <v>9555</v>
      </c>
      <c r="U1252" t="s">
        <v>9556</v>
      </c>
      <c r="V1252" t="s">
        <v>32</v>
      </c>
      <c r="W1252" t="s">
        <v>33</v>
      </c>
      <c r="X1252" t="s">
        <v>33</v>
      </c>
      <c r="Y1252" t="s">
        <v>33</v>
      </c>
      <c r="Z1252" s="16" t="s">
        <v>34</v>
      </c>
      <c r="AA1252">
        <v>-75.528009159999996</v>
      </c>
      <c r="AB1252">
        <v>6.1373332500000002</v>
      </c>
      <c r="AC1252" t="s">
        <v>135</v>
      </c>
      <c r="AD1252" t="s">
        <v>136</v>
      </c>
    </row>
    <row r="1253" spans="1:30" x14ac:dyDescent="0.25">
      <c r="A1253" t="s">
        <v>10279</v>
      </c>
      <c r="B1253" t="s">
        <v>25</v>
      </c>
      <c r="C1253" t="s">
        <v>26</v>
      </c>
      <c r="D1253" t="s">
        <v>25</v>
      </c>
      <c r="E1253" t="s">
        <v>9557</v>
      </c>
      <c r="F1253" t="s">
        <v>9558</v>
      </c>
      <c r="G1253">
        <v>21573810</v>
      </c>
      <c r="H1253" t="s">
        <v>9559</v>
      </c>
      <c r="I1253" s="4" t="s">
        <v>35</v>
      </c>
      <c r="J1253" s="4" t="s">
        <v>9560</v>
      </c>
      <c r="K1253" t="s">
        <v>9561</v>
      </c>
      <c r="L1253" t="s">
        <v>59</v>
      </c>
      <c r="M1253" t="s">
        <v>9562</v>
      </c>
      <c r="N1253" t="s">
        <v>60</v>
      </c>
      <c r="O1253" t="s">
        <v>29</v>
      </c>
      <c r="P1253" t="s">
        <v>37</v>
      </c>
      <c r="Q1253" t="s">
        <v>31</v>
      </c>
      <c r="R1253">
        <v>7</v>
      </c>
      <c r="S1253" t="s">
        <v>9563</v>
      </c>
      <c r="T1253" t="s">
        <v>9564</v>
      </c>
      <c r="U1253" t="s">
        <v>9565</v>
      </c>
      <c r="V1253" t="s">
        <v>32</v>
      </c>
      <c r="W1253" t="s">
        <v>33</v>
      </c>
      <c r="X1253" t="s">
        <v>33</v>
      </c>
      <c r="Y1253" t="s">
        <v>33</v>
      </c>
      <c r="Z1253" s="16" t="s">
        <v>34</v>
      </c>
      <c r="AA1253">
        <v>-75.612622860000002</v>
      </c>
      <c r="AB1253">
        <v>6.1537111299999996</v>
      </c>
      <c r="AC1253" t="s">
        <v>135</v>
      </c>
      <c r="AD1253" t="s">
        <v>136</v>
      </c>
    </row>
    <row r="1254" spans="1:30" x14ac:dyDescent="0.25">
      <c r="A1254" t="s">
        <v>10280</v>
      </c>
      <c r="B1254" t="s">
        <v>25</v>
      </c>
      <c r="C1254" t="s">
        <v>26</v>
      </c>
      <c r="D1254" t="s">
        <v>25</v>
      </c>
      <c r="E1254" t="s">
        <v>9566</v>
      </c>
      <c r="F1254" t="s">
        <v>9567</v>
      </c>
      <c r="G1254">
        <v>1037571560</v>
      </c>
      <c r="H1254" t="s">
        <v>9467</v>
      </c>
      <c r="I1254" s="4" t="s">
        <v>35</v>
      </c>
      <c r="J1254" s="4" t="s">
        <v>9468</v>
      </c>
      <c r="K1254" t="s">
        <v>9568</v>
      </c>
      <c r="L1254" t="s">
        <v>48</v>
      </c>
      <c r="M1254" t="s">
        <v>9569</v>
      </c>
      <c r="N1254" t="s">
        <v>64</v>
      </c>
      <c r="O1254" t="s">
        <v>29</v>
      </c>
      <c r="P1254" t="s">
        <v>37</v>
      </c>
      <c r="Q1254" t="s">
        <v>31</v>
      </c>
      <c r="R1254">
        <v>7</v>
      </c>
      <c r="S1254" t="s">
        <v>9570</v>
      </c>
      <c r="T1254" t="s">
        <v>9571</v>
      </c>
      <c r="U1254" t="s">
        <v>9572</v>
      </c>
      <c r="V1254" t="s">
        <v>32</v>
      </c>
      <c r="W1254" t="s">
        <v>33</v>
      </c>
      <c r="X1254" t="s">
        <v>33</v>
      </c>
      <c r="Y1254" t="s">
        <v>33</v>
      </c>
      <c r="Z1254" s="16" t="s">
        <v>34</v>
      </c>
      <c r="AA1254">
        <v>-75.593678229999995</v>
      </c>
      <c r="AB1254">
        <v>6.1700770299999999</v>
      </c>
      <c r="AC1254" t="s">
        <v>135</v>
      </c>
      <c r="AD1254" t="s">
        <v>136</v>
      </c>
    </row>
    <row r="1255" spans="1:30" x14ac:dyDescent="0.25">
      <c r="A1255" t="s">
        <v>10281</v>
      </c>
      <c r="B1255" t="s">
        <v>25</v>
      </c>
      <c r="C1255" t="s">
        <v>26</v>
      </c>
      <c r="D1255" t="s">
        <v>39</v>
      </c>
      <c r="E1255" t="s">
        <v>9573</v>
      </c>
      <c r="F1255" t="s">
        <v>9574</v>
      </c>
      <c r="G1255">
        <v>1193458046</v>
      </c>
      <c r="H1255" t="s">
        <v>9575</v>
      </c>
      <c r="I1255" s="4" t="s">
        <v>35</v>
      </c>
      <c r="J1255" s="4" t="s">
        <v>9576</v>
      </c>
      <c r="K1255" t="s">
        <v>9577</v>
      </c>
      <c r="L1255" t="s">
        <v>27</v>
      </c>
      <c r="M1255" t="s">
        <v>9578</v>
      </c>
      <c r="N1255" t="s">
        <v>28</v>
      </c>
      <c r="O1255" t="s">
        <v>40</v>
      </c>
      <c r="P1255" t="s">
        <v>41</v>
      </c>
      <c r="Q1255" t="s">
        <v>31</v>
      </c>
      <c r="R1255">
        <v>5</v>
      </c>
      <c r="S1255" t="s">
        <v>9579</v>
      </c>
      <c r="T1255" t="s">
        <v>7466</v>
      </c>
      <c r="U1255" t="s">
        <v>9580</v>
      </c>
      <c r="V1255" t="s">
        <v>32</v>
      </c>
      <c r="W1255" t="s">
        <v>33</v>
      </c>
      <c r="X1255" t="s">
        <v>33</v>
      </c>
      <c r="Y1255" t="s">
        <v>33</v>
      </c>
      <c r="Z1255" s="16" t="s">
        <v>34</v>
      </c>
      <c r="AA1255">
        <v>-75.634218000000004</v>
      </c>
      <c r="AB1255">
        <v>6.2198909999999996</v>
      </c>
      <c r="AC1255" t="s">
        <v>135</v>
      </c>
      <c r="AD1255" t="s">
        <v>136</v>
      </c>
    </row>
    <row r="1256" spans="1:30" x14ac:dyDescent="0.25">
      <c r="A1256" t="s">
        <v>10282</v>
      </c>
      <c r="B1256" t="s">
        <v>61</v>
      </c>
      <c r="C1256" t="s">
        <v>26</v>
      </c>
      <c r="D1256" t="s">
        <v>61</v>
      </c>
      <c r="E1256" t="s">
        <v>9581</v>
      </c>
      <c r="F1256" t="s">
        <v>9582</v>
      </c>
      <c r="G1256">
        <v>98530416</v>
      </c>
      <c r="H1256" t="s">
        <v>9583</v>
      </c>
      <c r="I1256" s="4" t="s">
        <v>9584</v>
      </c>
      <c r="J1256" s="4" t="s">
        <v>9585</v>
      </c>
      <c r="K1256" t="s">
        <v>9586</v>
      </c>
      <c r="L1256" t="s">
        <v>27</v>
      </c>
      <c r="M1256" t="s">
        <v>9587</v>
      </c>
      <c r="N1256" t="s">
        <v>28</v>
      </c>
      <c r="O1256" t="s">
        <v>62</v>
      </c>
      <c r="P1256" t="s">
        <v>63</v>
      </c>
      <c r="Q1256" t="s">
        <v>31</v>
      </c>
      <c r="R1256">
        <v>4</v>
      </c>
      <c r="S1256" t="s">
        <v>9588</v>
      </c>
      <c r="T1256" t="s">
        <v>9589</v>
      </c>
      <c r="U1256" t="s">
        <v>9590</v>
      </c>
      <c r="V1256" t="s">
        <v>32</v>
      </c>
      <c r="W1256" t="s">
        <v>33</v>
      </c>
      <c r="X1256" t="s">
        <v>33</v>
      </c>
      <c r="Y1256" t="s">
        <v>33</v>
      </c>
      <c r="Z1256" s="16" t="s">
        <v>34</v>
      </c>
      <c r="AA1256">
        <v>-75.567816149999999</v>
      </c>
      <c r="AB1256">
        <v>6.2581631700000004</v>
      </c>
      <c r="AC1256" t="s">
        <v>135</v>
      </c>
      <c r="AD1256" t="s">
        <v>136</v>
      </c>
    </row>
    <row r="1257" spans="1:30" x14ac:dyDescent="0.25">
      <c r="A1257" t="s">
        <v>10433</v>
      </c>
      <c r="B1257" t="s">
        <v>65</v>
      </c>
      <c r="C1257" t="s">
        <v>26</v>
      </c>
      <c r="D1257" t="s">
        <v>66</v>
      </c>
      <c r="E1257" t="s">
        <v>10434</v>
      </c>
      <c r="F1257" t="s">
        <v>10435</v>
      </c>
      <c r="G1257">
        <v>3428437</v>
      </c>
      <c r="H1257" t="s">
        <v>10436</v>
      </c>
      <c r="I1257" s="4" t="s">
        <v>10437</v>
      </c>
      <c r="J1257" s="4" t="s">
        <v>10438</v>
      </c>
      <c r="K1257" t="s">
        <v>10439</v>
      </c>
      <c r="L1257" t="s">
        <v>27</v>
      </c>
      <c r="M1257" t="s">
        <v>10440</v>
      </c>
      <c r="N1257" t="s">
        <v>28</v>
      </c>
      <c r="O1257" t="s">
        <v>68</v>
      </c>
      <c r="P1257" t="s">
        <v>70</v>
      </c>
      <c r="Q1257" t="s">
        <v>31</v>
      </c>
      <c r="R1257">
        <v>9</v>
      </c>
      <c r="S1257" t="s">
        <v>10441</v>
      </c>
      <c r="T1257" t="s">
        <v>10442</v>
      </c>
      <c r="U1257" t="s">
        <v>10443</v>
      </c>
      <c r="V1257" t="s">
        <v>32</v>
      </c>
      <c r="W1257" t="s">
        <v>33</v>
      </c>
      <c r="X1257" t="s">
        <v>33</v>
      </c>
      <c r="Y1257" t="s">
        <v>33</v>
      </c>
      <c r="Z1257" s="16" t="s">
        <v>34</v>
      </c>
      <c r="AA1257">
        <v>-75.612684639999998</v>
      </c>
      <c r="AB1257">
        <v>6.2633181699999998</v>
      </c>
      <c r="AC1257" t="s">
        <v>135</v>
      </c>
      <c r="AD1257" t="s">
        <v>136</v>
      </c>
    </row>
    <row r="1258" spans="1:30" x14ac:dyDescent="0.25">
      <c r="A1258" t="s">
        <v>10283</v>
      </c>
      <c r="B1258" t="s">
        <v>50</v>
      </c>
      <c r="C1258" t="s">
        <v>26</v>
      </c>
      <c r="D1258" t="s">
        <v>50</v>
      </c>
      <c r="E1258" t="s">
        <v>9591</v>
      </c>
      <c r="F1258" t="s">
        <v>9592</v>
      </c>
      <c r="G1258">
        <v>1128466499</v>
      </c>
      <c r="H1258" t="s">
        <v>9593</v>
      </c>
      <c r="I1258" s="4" t="s">
        <v>9594</v>
      </c>
      <c r="J1258" s="4" t="s">
        <v>9595</v>
      </c>
      <c r="K1258" t="s">
        <v>9596</v>
      </c>
      <c r="L1258" t="s">
        <v>27</v>
      </c>
      <c r="M1258" t="s">
        <v>9597</v>
      </c>
      <c r="N1258" t="s">
        <v>28</v>
      </c>
      <c r="O1258" t="s">
        <v>51</v>
      </c>
      <c r="P1258" t="s">
        <v>52</v>
      </c>
      <c r="Q1258" t="s">
        <v>31</v>
      </c>
      <c r="R1258">
        <v>11</v>
      </c>
      <c r="S1258" t="s">
        <v>9598</v>
      </c>
      <c r="T1258" t="s">
        <v>9599</v>
      </c>
      <c r="U1258" t="s">
        <v>9600</v>
      </c>
      <c r="V1258" t="s">
        <v>32</v>
      </c>
      <c r="W1258" t="s">
        <v>33</v>
      </c>
      <c r="X1258" t="s">
        <v>33</v>
      </c>
      <c r="Y1258" t="s">
        <v>33</v>
      </c>
      <c r="Z1258" s="16" t="s">
        <v>34</v>
      </c>
      <c r="AA1258">
        <v>-75.627537419999996</v>
      </c>
      <c r="AB1258">
        <v>6.2743808300000001</v>
      </c>
      <c r="AC1258" t="s">
        <v>135</v>
      </c>
      <c r="AD1258" t="s">
        <v>136</v>
      </c>
    </row>
    <row r="1259" spans="1:30" x14ac:dyDescent="0.25">
      <c r="A1259" t="s">
        <v>10284</v>
      </c>
      <c r="B1259" t="s">
        <v>61</v>
      </c>
      <c r="C1259" t="s">
        <v>26</v>
      </c>
      <c r="D1259" t="s">
        <v>61</v>
      </c>
      <c r="E1259" t="s">
        <v>9601</v>
      </c>
      <c r="F1259" t="s">
        <v>9602</v>
      </c>
      <c r="G1259">
        <v>70565662</v>
      </c>
      <c r="H1259" t="s">
        <v>9603</v>
      </c>
      <c r="I1259" s="4" t="s">
        <v>35</v>
      </c>
      <c r="J1259" s="4" t="s">
        <v>9604</v>
      </c>
      <c r="K1259" t="s">
        <v>9362</v>
      </c>
      <c r="L1259" t="s">
        <v>27</v>
      </c>
      <c r="M1259" t="s">
        <v>9363</v>
      </c>
      <c r="N1259" t="s">
        <v>28</v>
      </c>
      <c r="O1259" t="s">
        <v>62</v>
      </c>
      <c r="P1259" t="s">
        <v>63</v>
      </c>
      <c r="Q1259" t="s">
        <v>38</v>
      </c>
      <c r="R1259">
        <v>4</v>
      </c>
      <c r="S1259" t="s">
        <v>9605</v>
      </c>
      <c r="T1259" t="s">
        <v>9606</v>
      </c>
      <c r="U1259" t="s">
        <v>9607</v>
      </c>
      <c r="V1259" t="s">
        <v>32</v>
      </c>
      <c r="W1259" t="s">
        <v>33</v>
      </c>
      <c r="X1259" t="s">
        <v>33</v>
      </c>
      <c r="Y1259" t="s">
        <v>33</v>
      </c>
      <c r="Z1259" s="16" t="s">
        <v>34</v>
      </c>
      <c r="AA1259">
        <v>-75.513987979999996</v>
      </c>
      <c r="AB1259">
        <v>6.23001702</v>
      </c>
      <c r="AC1259" t="s">
        <v>135</v>
      </c>
      <c r="AD1259" t="s">
        <v>136</v>
      </c>
    </row>
    <row r="1260" spans="1:30" x14ac:dyDescent="0.25">
      <c r="A1260" t="s">
        <v>10285</v>
      </c>
      <c r="B1260" t="s">
        <v>61</v>
      </c>
      <c r="C1260" t="s">
        <v>26</v>
      </c>
      <c r="D1260" t="s">
        <v>61</v>
      </c>
      <c r="E1260" t="s">
        <v>9608</v>
      </c>
      <c r="F1260" t="s">
        <v>9609</v>
      </c>
      <c r="G1260">
        <v>4355134</v>
      </c>
      <c r="H1260" t="s">
        <v>9610</v>
      </c>
      <c r="I1260" s="4" t="s">
        <v>35</v>
      </c>
      <c r="J1260" s="4" t="s">
        <v>9611</v>
      </c>
      <c r="K1260" t="s">
        <v>9612</v>
      </c>
      <c r="L1260" t="s">
        <v>44</v>
      </c>
      <c r="M1260" t="s">
        <v>9613</v>
      </c>
      <c r="N1260" t="s">
        <v>45</v>
      </c>
      <c r="O1260" t="s">
        <v>62</v>
      </c>
      <c r="P1260" t="s">
        <v>63</v>
      </c>
      <c r="Q1260" t="s">
        <v>31</v>
      </c>
      <c r="R1260">
        <v>4</v>
      </c>
      <c r="S1260" t="s">
        <v>9614</v>
      </c>
      <c r="T1260" t="s">
        <v>6571</v>
      </c>
      <c r="U1260" t="s">
        <v>9615</v>
      </c>
      <c r="V1260" t="s">
        <v>32</v>
      </c>
      <c r="W1260" t="s">
        <v>33</v>
      </c>
      <c r="X1260" t="s">
        <v>33</v>
      </c>
      <c r="Y1260" t="s">
        <v>33</v>
      </c>
      <c r="Z1260" s="16" t="s">
        <v>34</v>
      </c>
      <c r="AA1260">
        <v>-75.624429109999994</v>
      </c>
      <c r="AB1260">
        <v>6.1679825800000003</v>
      </c>
      <c r="AC1260" t="s">
        <v>135</v>
      </c>
      <c r="AD1260" t="s">
        <v>136</v>
      </c>
    </row>
    <row r="1261" spans="1:30" x14ac:dyDescent="0.25">
      <c r="A1261" t="s">
        <v>10286</v>
      </c>
      <c r="B1261" t="s">
        <v>50</v>
      </c>
      <c r="C1261" t="s">
        <v>26</v>
      </c>
      <c r="D1261" t="s">
        <v>50</v>
      </c>
      <c r="E1261" t="s">
        <v>9616</v>
      </c>
      <c r="F1261" t="s">
        <v>9617</v>
      </c>
      <c r="G1261">
        <v>1152462429</v>
      </c>
      <c r="H1261" t="s">
        <v>9618</v>
      </c>
      <c r="I1261" s="4" t="s">
        <v>35</v>
      </c>
      <c r="J1261" s="4" t="s">
        <v>9619</v>
      </c>
      <c r="K1261" t="s">
        <v>9620</v>
      </c>
      <c r="L1261" t="s">
        <v>27</v>
      </c>
      <c r="M1261" t="s">
        <v>9621</v>
      </c>
      <c r="N1261" t="s">
        <v>28</v>
      </c>
      <c r="O1261" t="s">
        <v>51</v>
      </c>
      <c r="P1261" t="s">
        <v>52</v>
      </c>
      <c r="Q1261" t="s">
        <v>31</v>
      </c>
      <c r="R1261">
        <v>11</v>
      </c>
      <c r="S1261" t="s">
        <v>9622</v>
      </c>
      <c r="T1261" t="s">
        <v>9623</v>
      </c>
      <c r="U1261" t="s">
        <v>9624</v>
      </c>
      <c r="V1261" t="s">
        <v>32</v>
      </c>
      <c r="W1261" t="s">
        <v>33</v>
      </c>
      <c r="X1261" t="s">
        <v>33</v>
      </c>
      <c r="Y1261" t="s">
        <v>33</v>
      </c>
      <c r="Z1261" s="16" t="s">
        <v>34</v>
      </c>
      <c r="AA1261">
        <v>-75.627278000000004</v>
      </c>
      <c r="AB1261">
        <v>6.2249410000000003</v>
      </c>
      <c r="AC1261" t="s">
        <v>135</v>
      </c>
      <c r="AD1261" t="s">
        <v>136</v>
      </c>
    </row>
    <row r="1262" spans="1:30" x14ac:dyDescent="0.25">
      <c r="A1262" t="s">
        <v>10287</v>
      </c>
      <c r="B1262" t="s">
        <v>50</v>
      </c>
      <c r="C1262" t="s">
        <v>26</v>
      </c>
      <c r="D1262" t="s">
        <v>50</v>
      </c>
      <c r="E1262" t="s">
        <v>9625</v>
      </c>
      <c r="F1262" t="s">
        <v>9626</v>
      </c>
      <c r="G1262">
        <v>43511827</v>
      </c>
      <c r="H1262" t="s">
        <v>9627</v>
      </c>
      <c r="I1262" s="4" t="s">
        <v>9628</v>
      </c>
      <c r="J1262" s="4" t="s">
        <v>9629</v>
      </c>
      <c r="K1262" t="s">
        <v>9630</v>
      </c>
      <c r="L1262" t="s">
        <v>27</v>
      </c>
      <c r="M1262" t="s">
        <v>9631</v>
      </c>
      <c r="N1262" t="s">
        <v>28</v>
      </c>
      <c r="O1262" t="s">
        <v>51</v>
      </c>
      <c r="P1262" t="s">
        <v>52</v>
      </c>
      <c r="Q1262" t="s">
        <v>31</v>
      </c>
      <c r="R1262">
        <v>11</v>
      </c>
      <c r="S1262" t="s">
        <v>9632</v>
      </c>
      <c r="T1262" t="s">
        <v>8232</v>
      </c>
      <c r="U1262" t="s">
        <v>9633</v>
      </c>
      <c r="V1262" t="s">
        <v>32</v>
      </c>
      <c r="W1262" t="s">
        <v>33</v>
      </c>
      <c r="X1262" t="s">
        <v>33</v>
      </c>
      <c r="Y1262" t="s">
        <v>33</v>
      </c>
      <c r="Z1262" s="16" t="s">
        <v>34</v>
      </c>
      <c r="AA1262">
        <v>-75.627278000000004</v>
      </c>
      <c r="AB1262">
        <v>6.2249410000000003</v>
      </c>
      <c r="AC1262" t="s">
        <v>135</v>
      </c>
      <c r="AD1262" t="s">
        <v>136</v>
      </c>
    </row>
    <row r="1263" spans="1:30" x14ac:dyDescent="0.25">
      <c r="A1263" t="s">
        <v>10288</v>
      </c>
      <c r="B1263" t="s">
        <v>25</v>
      </c>
      <c r="C1263" t="s">
        <v>26</v>
      </c>
      <c r="D1263" t="s">
        <v>25</v>
      </c>
      <c r="E1263" t="s">
        <v>9634</v>
      </c>
      <c r="F1263" t="s">
        <v>9635</v>
      </c>
      <c r="G1263">
        <v>1128420997</v>
      </c>
      <c r="H1263" t="s">
        <v>613</v>
      </c>
      <c r="I1263" s="4" t="s">
        <v>35</v>
      </c>
      <c r="J1263" s="4" t="s">
        <v>614</v>
      </c>
      <c r="K1263" t="s">
        <v>9636</v>
      </c>
      <c r="L1263" t="s">
        <v>55</v>
      </c>
      <c r="M1263" t="s">
        <v>9637</v>
      </c>
      <c r="N1263" t="s">
        <v>56</v>
      </c>
      <c r="O1263" t="s">
        <v>29</v>
      </c>
      <c r="P1263" t="s">
        <v>37</v>
      </c>
      <c r="Q1263" t="s">
        <v>31</v>
      </c>
      <c r="R1263">
        <v>7</v>
      </c>
      <c r="S1263" t="s">
        <v>9638</v>
      </c>
      <c r="T1263" t="s">
        <v>8268</v>
      </c>
      <c r="U1263" t="s">
        <v>8275</v>
      </c>
      <c r="V1263" t="s">
        <v>32</v>
      </c>
      <c r="W1263" t="s">
        <v>33</v>
      </c>
      <c r="X1263" t="s">
        <v>33</v>
      </c>
      <c r="Y1263" t="s">
        <v>33</v>
      </c>
      <c r="Z1263" s="16" t="s">
        <v>34</v>
      </c>
      <c r="AA1263">
        <v>-75.649831634999899</v>
      </c>
      <c r="AB1263">
        <v>6.1379125160000303</v>
      </c>
      <c r="AC1263" t="s">
        <v>135</v>
      </c>
      <c r="AD1263" t="s">
        <v>136</v>
      </c>
    </row>
    <row r="1264" spans="1:30" x14ac:dyDescent="0.25">
      <c r="A1264" t="s">
        <v>10289</v>
      </c>
      <c r="B1264" t="s">
        <v>50</v>
      </c>
      <c r="C1264" t="s">
        <v>26</v>
      </c>
      <c r="D1264" t="s">
        <v>50</v>
      </c>
      <c r="E1264" t="s">
        <v>9639</v>
      </c>
      <c r="F1264" t="s">
        <v>9640</v>
      </c>
      <c r="G1264">
        <v>71336495</v>
      </c>
      <c r="H1264" t="s">
        <v>9641</v>
      </c>
      <c r="I1264" s="4" t="s">
        <v>9642</v>
      </c>
      <c r="J1264" s="4" t="s">
        <v>9643</v>
      </c>
      <c r="K1264" t="s">
        <v>9644</v>
      </c>
      <c r="L1264" t="s">
        <v>44</v>
      </c>
      <c r="M1264" t="s">
        <v>9645</v>
      </c>
      <c r="N1264" t="s">
        <v>45</v>
      </c>
      <c r="O1264" t="s">
        <v>51</v>
      </c>
      <c r="P1264" t="s">
        <v>52</v>
      </c>
      <c r="Q1264" t="s">
        <v>31</v>
      </c>
      <c r="R1264">
        <v>11</v>
      </c>
      <c r="S1264" t="s">
        <v>9646</v>
      </c>
      <c r="T1264" t="s">
        <v>8345</v>
      </c>
      <c r="U1264" t="s">
        <v>9647</v>
      </c>
      <c r="V1264" t="s">
        <v>32</v>
      </c>
      <c r="W1264" t="s">
        <v>33</v>
      </c>
      <c r="X1264" t="s">
        <v>33</v>
      </c>
      <c r="Y1264" t="s">
        <v>33</v>
      </c>
      <c r="Z1264" s="16" t="s">
        <v>34</v>
      </c>
      <c r="AA1264">
        <v>-75.596157000000005</v>
      </c>
      <c r="AB1264">
        <v>6.1878840000000004</v>
      </c>
      <c r="AC1264" t="s">
        <v>135</v>
      </c>
      <c r="AD1264" t="s">
        <v>136</v>
      </c>
    </row>
    <row r="1265" spans="1:30" x14ac:dyDescent="0.25">
      <c r="A1265" t="s">
        <v>10290</v>
      </c>
      <c r="B1265" t="s">
        <v>50</v>
      </c>
      <c r="C1265" t="s">
        <v>26</v>
      </c>
      <c r="D1265" t="s">
        <v>50</v>
      </c>
      <c r="E1265" t="s">
        <v>9648</v>
      </c>
      <c r="F1265" t="s">
        <v>9649</v>
      </c>
      <c r="G1265">
        <v>71336495</v>
      </c>
      <c r="H1265" t="s">
        <v>9641</v>
      </c>
      <c r="I1265" s="4" t="s">
        <v>9642</v>
      </c>
      <c r="J1265" s="4" t="s">
        <v>9643</v>
      </c>
      <c r="K1265" t="s">
        <v>9650</v>
      </c>
      <c r="L1265" t="s">
        <v>44</v>
      </c>
      <c r="M1265" t="s">
        <v>9651</v>
      </c>
      <c r="N1265" t="s">
        <v>45</v>
      </c>
      <c r="O1265" t="s">
        <v>51</v>
      </c>
      <c r="P1265" t="s">
        <v>52</v>
      </c>
      <c r="Q1265" t="s">
        <v>31</v>
      </c>
      <c r="R1265">
        <v>11</v>
      </c>
      <c r="S1265" t="s">
        <v>9652</v>
      </c>
      <c r="T1265" t="s">
        <v>9653</v>
      </c>
      <c r="U1265" t="s">
        <v>9654</v>
      </c>
      <c r="V1265" t="s">
        <v>32</v>
      </c>
      <c r="W1265" t="s">
        <v>33</v>
      </c>
      <c r="X1265" t="s">
        <v>33</v>
      </c>
      <c r="Y1265" t="s">
        <v>33</v>
      </c>
      <c r="Z1265" s="16" t="s">
        <v>34</v>
      </c>
      <c r="AA1265">
        <v>-75.596157000000005</v>
      </c>
      <c r="AB1265">
        <v>6.1878840000000004</v>
      </c>
      <c r="AC1265" t="s">
        <v>135</v>
      </c>
      <c r="AD1265" t="s">
        <v>136</v>
      </c>
    </row>
    <row r="1266" spans="1:30" x14ac:dyDescent="0.25">
      <c r="A1266" t="s">
        <v>10291</v>
      </c>
      <c r="B1266" t="s">
        <v>25</v>
      </c>
      <c r="C1266" t="s">
        <v>26</v>
      </c>
      <c r="D1266" t="s">
        <v>25</v>
      </c>
      <c r="E1266" t="s">
        <v>9655</v>
      </c>
      <c r="F1266" t="s">
        <v>9656</v>
      </c>
      <c r="G1266">
        <v>1017156364</v>
      </c>
      <c r="H1266" t="s">
        <v>9657</v>
      </c>
      <c r="I1266" s="4" t="s">
        <v>35</v>
      </c>
      <c r="J1266" s="4" t="s">
        <v>9658</v>
      </c>
      <c r="K1266" t="s">
        <v>9659</v>
      </c>
      <c r="L1266" t="s">
        <v>27</v>
      </c>
      <c r="M1266" t="s">
        <v>9660</v>
      </c>
      <c r="N1266" t="s">
        <v>28</v>
      </c>
      <c r="O1266" t="s">
        <v>29</v>
      </c>
      <c r="P1266" t="s">
        <v>30</v>
      </c>
      <c r="Q1266" t="s">
        <v>31</v>
      </c>
      <c r="R1266">
        <v>7</v>
      </c>
      <c r="S1266" t="s">
        <v>9661</v>
      </c>
      <c r="T1266" t="s">
        <v>9662</v>
      </c>
      <c r="U1266" t="s">
        <v>9663</v>
      </c>
      <c r="V1266" t="s">
        <v>32</v>
      </c>
      <c r="W1266" t="s">
        <v>33</v>
      </c>
      <c r="X1266" t="s">
        <v>33</v>
      </c>
      <c r="Y1266" t="s">
        <v>33</v>
      </c>
      <c r="Z1266" s="16" t="s">
        <v>34</v>
      </c>
      <c r="AA1266">
        <v>-75.589552389999994</v>
      </c>
      <c r="AB1266">
        <v>6.2090949999999996</v>
      </c>
      <c r="AC1266" t="s">
        <v>135</v>
      </c>
      <c r="AD1266" t="s">
        <v>136</v>
      </c>
    </row>
    <row r="1267" spans="1:30" x14ac:dyDescent="0.25">
      <c r="A1267" t="s">
        <v>10292</v>
      </c>
      <c r="B1267" t="s">
        <v>61</v>
      </c>
      <c r="C1267" t="s">
        <v>26</v>
      </c>
      <c r="D1267" t="s">
        <v>61</v>
      </c>
      <c r="E1267" t="s">
        <v>9664</v>
      </c>
      <c r="F1267" t="s">
        <v>9665</v>
      </c>
      <c r="G1267">
        <v>71691445</v>
      </c>
      <c r="H1267" t="s">
        <v>5607</v>
      </c>
      <c r="I1267" s="4" t="s">
        <v>265</v>
      </c>
      <c r="J1267" s="4" t="s">
        <v>5608</v>
      </c>
      <c r="K1267" t="s">
        <v>9666</v>
      </c>
      <c r="L1267" t="s">
        <v>48</v>
      </c>
      <c r="M1267" t="s">
        <v>9667</v>
      </c>
      <c r="N1267" t="s">
        <v>64</v>
      </c>
      <c r="O1267" t="s">
        <v>62</v>
      </c>
      <c r="P1267" t="s">
        <v>63</v>
      </c>
      <c r="Q1267" t="s">
        <v>31</v>
      </c>
      <c r="R1267">
        <v>4</v>
      </c>
      <c r="S1267" t="s">
        <v>9668</v>
      </c>
      <c r="T1267" t="s">
        <v>9669</v>
      </c>
      <c r="U1267" t="s">
        <v>9670</v>
      </c>
      <c r="V1267" t="s">
        <v>32</v>
      </c>
      <c r="W1267" t="s">
        <v>33</v>
      </c>
      <c r="X1267" t="s">
        <v>33</v>
      </c>
      <c r="Y1267" t="s">
        <v>33</v>
      </c>
      <c r="Z1267" s="16" t="s">
        <v>34</v>
      </c>
      <c r="AA1267">
        <v>-75.567070290000004</v>
      </c>
      <c r="AB1267">
        <v>6.17555079</v>
      </c>
      <c r="AC1267" t="s">
        <v>135</v>
      </c>
      <c r="AD1267" t="s">
        <v>136</v>
      </c>
    </row>
    <row r="1268" spans="1:30" x14ac:dyDescent="0.25">
      <c r="A1268" t="s">
        <v>10293</v>
      </c>
      <c r="B1268" t="s">
        <v>61</v>
      </c>
      <c r="C1268" t="s">
        <v>26</v>
      </c>
      <c r="D1268" t="s">
        <v>61</v>
      </c>
      <c r="E1268" t="s">
        <v>9671</v>
      </c>
      <c r="F1268" t="s">
        <v>9672</v>
      </c>
      <c r="G1268">
        <v>811012208</v>
      </c>
      <c r="H1268" t="s">
        <v>725</v>
      </c>
      <c r="I1268" s="4" t="s">
        <v>4992</v>
      </c>
      <c r="J1268" s="4" t="s">
        <v>3587</v>
      </c>
      <c r="K1268" t="s">
        <v>9673</v>
      </c>
      <c r="L1268" t="s">
        <v>48</v>
      </c>
      <c r="M1268" t="s">
        <v>9674</v>
      </c>
      <c r="N1268" t="s">
        <v>64</v>
      </c>
      <c r="O1268" t="s">
        <v>62</v>
      </c>
      <c r="P1268" t="s">
        <v>63</v>
      </c>
      <c r="Q1268" t="s">
        <v>31</v>
      </c>
      <c r="R1268">
        <v>4</v>
      </c>
      <c r="S1268" t="s">
        <v>9675</v>
      </c>
      <c r="T1268" t="s">
        <v>8785</v>
      </c>
      <c r="U1268" t="s">
        <v>3721</v>
      </c>
      <c r="V1268" t="s">
        <v>32</v>
      </c>
      <c r="W1268" t="s">
        <v>33</v>
      </c>
      <c r="X1268" t="s">
        <v>33</v>
      </c>
      <c r="Y1268" t="s">
        <v>33</v>
      </c>
      <c r="Z1268" s="16" t="s">
        <v>34</v>
      </c>
      <c r="AA1268">
        <v>-75.565104000000005</v>
      </c>
      <c r="AB1268">
        <v>6.1545139999999998</v>
      </c>
      <c r="AC1268" t="s">
        <v>135</v>
      </c>
      <c r="AD1268" t="s">
        <v>136</v>
      </c>
    </row>
    <row r="1269" spans="1:30" x14ac:dyDescent="0.25">
      <c r="A1269" t="s">
        <v>10294</v>
      </c>
      <c r="B1269" t="s">
        <v>61</v>
      </c>
      <c r="C1269" t="s">
        <v>26</v>
      </c>
      <c r="D1269" t="s">
        <v>61</v>
      </c>
      <c r="E1269" t="s">
        <v>9676</v>
      </c>
      <c r="F1269" t="s">
        <v>9677</v>
      </c>
      <c r="G1269">
        <v>811012208</v>
      </c>
      <c r="H1269" t="s">
        <v>725</v>
      </c>
      <c r="I1269" s="4" t="s">
        <v>4992</v>
      </c>
      <c r="J1269" s="4" t="s">
        <v>3587</v>
      </c>
      <c r="K1269" t="s">
        <v>9678</v>
      </c>
      <c r="L1269" t="s">
        <v>48</v>
      </c>
      <c r="M1269" t="s">
        <v>9679</v>
      </c>
      <c r="N1269" t="s">
        <v>64</v>
      </c>
      <c r="O1269" t="s">
        <v>62</v>
      </c>
      <c r="P1269" t="s">
        <v>63</v>
      </c>
      <c r="Q1269" t="s">
        <v>31</v>
      </c>
      <c r="R1269">
        <v>4</v>
      </c>
      <c r="S1269" t="s">
        <v>9680</v>
      </c>
      <c r="T1269" t="s">
        <v>6959</v>
      </c>
      <c r="U1269" t="s">
        <v>6958</v>
      </c>
      <c r="V1269" t="s">
        <v>32</v>
      </c>
      <c r="W1269" t="s">
        <v>33</v>
      </c>
      <c r="X1269" t="s">
        <v>33</v>
      </c>
      <c r="Y1269" t="s">
        <v>33</v>
      </c>
      <c r="Z1269" s="16" t="s">
        <v>34</v>
      </c>
      <c r="AA1269">
        <v>-75.565512999999996</v>
      </c>
      <c r="AB1269">
        <v>6.1537069999999998</v>
      </c>
      <c r="AC1269" t="s">
        <v>135</v>
      </c>
      <c r="AD1269" t="s">
        <v>136</v>
      </c>
    </row>
    <row r="1270" spans="1:30" x14ac:dyDescent="0.25">
      <c r="A1270" t="s">
        <v>10295</v>
      </c>
      <c r="B1270" t="s">
        <v>61</v>
      </c>
      <c r="C1270" t="s">
        <v>26</v>
      </c>
      <c r="D1270" t="s">
        <v>61</v>
      </c>
      <c r="E1270" t="s">
        <v>9681</v>
      </c>
      <c r="F1270" t="s">
        <v>9682</v>
      </c>
      <c r="G1270">
        <v>811012208</v>
      </c>
      <c r="H1270" t="s">
        <v>725</v>
      </c>
      <c r="I1270" s="4" t="s">
        <v>4992</v>
      </c>
      <c r="J1270" s="4" t="s">
        <v>3587</v>
      </c>
      <c r="K1270" t="s">
        <v>9683</v>
      </c>
      <c r="L1270" t="s">
        <v>48</v>
      </c>
      <c r="M1270" t="s">
        <v>9684</v>
      </c>
      <c r="N1270" t="s">
        <v>64</v>
      </c>
      <c r="O1270" t="s">
        <v>62</v>
      </c>
      <c r="P1270" t="s">
        <v>63</v>
      </c>
      <c r="Q1270" t="s">
        <v>31</v>
      </c>
      <c r="R1270">
        <v>4</v>
      </c>
      <c r="S1270" t="s">
        <v>9685</v>
      </c>
      <c r="T1270" t="s">
        <v>9686</v>
      </c>
      <c r="U1270" t="s">
        <v>3744</v>
      </c>
      <c r="V1270" t="s">
        <v>32</v>
      </c>
      <c r="W1270" t="s">
        <v>33</v>
      </c>
      <c r="X1270" t="s">
        <v>33</v>
      </c>
      <c r="Y1270" t="s">
        <v>33</v>
      </c>
      <c r="Z1270" s="16" t="s">
        <v>34</v>
      </c>
      <c r="AA1270">
        <v>-75.564983999999995</v>
      </c>
      <c r="AB1270">
        <v>6.1536160000000004</v>
      </c>
      <c r="AC1270" t="s">
        <v>135</v>
      </c>
      <c r="AD1270" t="s">
        <v>136</v>
      </c>
    </row>
    <row r="1271" spans="1:30" x14ac:dyDescent="0.25">
      <c r="A1271" t="s">
        <v>10296</v>
      </c>
      <c r="B1271" t="s">
        <v>61</v>
      </c>
      <c r="C1271" t="s">
        <v>26</v>
      </c>
      <c r="D1271" t="s">
        <v>61</v>
      </c>
      <c r="E1271" t="s">
        <v>9687</v>
      </c>
      <c r="F1271" t="s">
        <v>9688</v>
      </c>
      <c r="G1271">
        <v>811012208</v>
      </c>
      <c r="H1271" t="s">
        <v>725</v>
      </c>
      <c r="I1271" s="4" t="s">
        <v>4992</v>
      </c>
      <c r="J1271" s="4" t="s">
        <v>3587</v>
      </c>
      <c r="K1271" t="s">
        <v>9689</v>
      </c>
      <c r="L1271" t="s">
        <v>48</v>
      </c>
      <c r="M1271" t="s">
        <v>9690</v>
      </c>
      <c r="N1271" t="s">
        <v>64</v>
      </c>
      <c r="O1271" t="s">
        <v>62</v>
      </c>
      <c r="P1271" t="s">
        <v>63</v>
      </c>
      <c r="Q1271" t="s">
        <v>31</v>
      </c>
      <c r="R1271">
        <v>4</v>
      </c>
      <c r="S1271" t="s">
        <v>9691</v>
      </c>
      <c r="T1271" t="s">
        <v>9692</v>
      </c>
      <c r="U1271" t="s">
        <v>9693</v>
      </c>
      <c r="V1271" t="s">
        <v>32</v>
      </c>
      <c r="W1271" t="s">
        <v>33</v>
      </c>
      <c r="X1271" t="s">
        <v>33</v>
      </c>
      <c r="Y1271" t="s">
        <v>33</v>
      </c>
      <c r="Z1271" s="16" t="s">
        <v>34</v>
      </c>
      <c r="AA1271">
        <v>-75.565010999999998</v>
      </c>
      <c r="AB1271">
        <v>6.1533179999999996</v>
      </c>
      <c r="AC1271" t="s">
        <v>135</v>
      </c>
      <c r="AD1271" t="s">
        <v>136</v>
      </c>
    </row>
    <row r="1272" spans="1:30" x14ac:dyDescent="0.25">
      <c r="A1272" t="s">
        <v>10297</v>
      </c>
      <c r="B1272" t="s">
        <v>61</v>
      </c>
      <c r="C1272" t="s">
        <v>26</v>
      </c>
      <c r="D1272" t="s">
        <v>61</v>
      </c>
      <c r="E1272" t="s">
        <v>9694</v>
      </c>
      <c r="F1272" t="s">
        <v>9695</v>
      </c>
      <c r="G1272">
        <v>811012208</v>
      </c>
      <c r="H1272" t="s">
        <v>725</v>
      </c>
      <c r="I1272" s="4" t="s">
        <v>4992</v>
      </c>
      <c r="J1272" s="4" t="s">
        <v>3587</v>
      </c>
      <c r="K1272" t="s">
        <v>9696</v>
      </c>
      <c r="L1272" t="s">
        <v>48</v>
      </c>
      <c r="M1272" t="s">
        <v>9697</v>
      </c>
      <c r="N1272" t="s">
        <v>64</v>
      </c>
      <c r="O1272" t="s">
        <v>62</v>
      </c>
      <c r="P1272" t="s">
        <v>63</v>
      </c>
      <c r="Q1272" t="s">
        <v>31</v>
      </c>
      <c r="R1272">
        <v>4</v>
      </c>
      <c r="S1272" t="s">
        <v>9698</v>
      </c>
      <c r="T1272" t="s">
        <v>9699</v>
      </c>
      <c r="U1272" t="s">
        <v>1139</v>
      </c>
      <c r="V1272" t="s">
        <v>32</v>
      </c>
      <c r="W1272" t="s">
        <v>33</v>
      </c>
      <c r="X1272" t="s">
        <v>33</v>
      </c>
      <c r="Y1272" t="s">
        <v>33</v>
      </c>
      <c r="Z1272" s="16" t="s">
        <v>34</v>
      </c>
      <c r="AA1272">
        <v>-75.564215000000004</v>
      </c>
      <c r="AB1272">
        <v>6.1527969999999996</v>
      </c>
      <c r="AC1272" t="s">
        <v>135</v>
      </c>
      <c r="AD1272" t="s">
        <v>136</v>
      </c>
    </row>
    <row r="1273" spans="1:30" x14ac:dyDescent="0.25">
      <c r="A1273" t="s">
        <v>10298</v>
      </c>
      <c r="B1273" t="s">
        <v>25</v>
      </c>
      <c r="C1273" t="s">
        <v>26</v>
      </c>
      <c r="D1273" t="s">
        <v>25</v>
      </c>
      <c r="E1273" t="s">
        <v>9700</v>
      </c>
      <c r="F1273" t="s">
        <v>9701</v>
      </c>
      <c r="G1273">
        <v>1152437950</v>
      </c>
      <c r="H1273" t="s">
        <v>9702</v>
      </c>
      <c r="I1273" s="4" t="s">
        <v>35</v>
      </c>
      <c r="J1273" s="4" t="s">
        <v>9703</v>
      </c>
      <c r="K1273" t="s">
        <v>9704</v>
      </c>
      <c r="L1273" t="s">
        <v>27</v>
      </c>
      <c r="M1273" t="s">
        <v>9705</v>
      </c>
      <c r="N1273" t="s">
        <v>28</v>
      </c>
      <c r="O1273" t="s">
        <v>29</v>
      </c>
      <c r="P1273" t="s">
        <v>30</v>
      </c>
      <c r="Q1273" t="s">
        <v>31</v>
      </c>
      <c r="R1273">
        <v>7</v>
      </c>
      <c r="S1273" t="s">
        <v>9706</v>
      </c>
      <c r="T1273" t="s">
        <v>9699</v>
      </c>
      <c r="U1273" t="s">
        <v>7543</v>
      </c>
      <c r="V1273" t="s">
        <v>32</v>
      </c>
      <c r="W1273" t="s">
        <v>33</v>
      </c>
      <c r="X1273" t="s">
        <v>33</v>
      </c>
      <c r="Y1273" t="s">
        <v>33</v>
      </c>
      <c r="Z1273" s="16" t="s">
        <v>34</v>
      </c>
      <c r="AA1273">
        <v>-75.589552389999994</v>
      </c>
      <c r="AB1273">
        <v>6.2090949999999996</v>
      </c>
      <c r="AC1273" t="s">
        <v>135</v>
      </c>
      <c r="AD1273" t="s">
        <v>136</v>
      </c>
    </row>
    <row r="1274" spans="1:30" x14ac:dyDescent="0.25">
      <c r="A1274" t="s">
        <v>10299</v>
      </c>
      <c r="B1274" t="s">
        <v>61</v>
      </c>
      <c r="C1274" t="s">
        <v>26</v>
      </c>
      <c r="D1274" t="s">
        <v>61</v>
      </c>
      <c r="E1274" t="s">
        <v>9707</v>
      </c>
      <c r="F1274" t="s">
        <v>9708</v>
      </c>
      <c r="G1274">
        <v>901369280</v>
      </c>
      <c r="H1274" t="s">
        <v>9709</v>
      </c>
      <c r="I1274" s="4" t="s">
        <v>4992</v>
      </c>
      <c r="J1274" s="4" t="s">
        <v>3587</v>
      </c>
      <c r="K1274" t="s">
        <v>9710</v>
      </c>
      <c r="L1274" t="s">
        <v>27</v>
      </c>
      <c r="M1274" t="s">
        <v>9711</v>
      </c>
      <c r="N1274" t="s">
        <v>28</v>
      </c>
      <c r="O1274" t="s">
        <v>62</v>
      </c>
      <c r="P1274" t="s">
        <v>63</v>
      </c>
      <c r="Q1274" t="s">
        <v>31</v>
      </c>
      <c r="R1274">
        <v>4</v>
      </c>
      <c r="S1274" t="s">
        <v>9712</v>
      </c>
      <c r="T1274" t="s">
        <v>9713</v>
      </c>
      <c r="U1274" t="s">
        <v>3763</v>
      </c>
      <c r="V1274" t="s">
        <v>32</v>
      </c>
      <c r="W1274" t="s">
        <v>33</v>
      </c>
      <c r="X1274" t="s">
        <v>33</v>
      </c>
      <c r="Y1274" t="s">
        <v>33</v>
      </c>
      <c r="Z1274" s="16" t="s">
        <v>34</v>
      </c>
      <c r="AA1274">
        <v>-75.59961629</v>
      </c>
      <c r="AB1274">
        <v>6.2435659000000001</v>
      </c>
      <c r="AC1274" t="s">
        <v>135</v>
      </c>
      <c r="AD1274" t="s">
        <v>136</v>
      </c>
    </row>
    <row r="1275" spans="1:30" x14ac:dyDescent="0.25">
      <c r="A1275" t="s">
        <v>10300</v>
      </c>
      <c r="B1275" t="s">
        <v>25</v>
      </c>
      <c r="C1275" t="s">
        <v>26</v>
      </c>
      <c r="D1275" t="s">
        <v>39</v>
      </c>
      <c r="E1275" t="s">
        <v>9714</v>
      </c>
      <c r="F1275" t="s">
        <v>9715</v>
      </c>
      <c r="G1275">
        <v>1192816161</v>
      </c>
      <c r="H1275" t="s">
        <v>9716</v>
      </c>
      <c r="I1275" s="4" t="s">
        <v>35</v>
      </c>
      <c r="J1275" s="4" t="s">
        <v>9717</v>
      </c>
      <c r="K1275" t="s">
        <v>9718</v>
      </c>
      <c r="L1275" t="s">
        <v>27</v>
      </c>
      <c r="M1275" t="s">
        <v>9719</v>
      </c>
      <c r="N1275" t="s">
        <v>28</v>
      </c>
      <c r="O1275" t="s">
        <v>40</v>
      </c>
      <c r="P1275" t="s">
        <v>41</v>
      </c>
      <c r="Q1275" t="s">
        <v>31</v>
      </c>
      <c r="R1275">
        <v>5</v>
      </c>
      <c r="S1275" t="s">
        <v>9720</v>
      </c>
      <c r="T1275" t="s">
        <v>1703</v>
      </c>
      <c r="U1275" t="s">
        <v>9721</v>
      </c>
      <c r="V1275" t="s">
        <v>32</v>
      </c>
      <c r="W1275" t="s">
        <v>33</v>
      </c>
      <c r="X1275" t="s">
        <v>33</v>
      </c>
      <c r="Y1275" t="s">
        <v>33</v>
      </c>
      <c r="Z1275" s="16" t="s">
        <v>34</v>
      </c>
      <c r="AA1275">
        <v>-75.607009000000005</v>
      </c>
      <c r="AB1275">
        <v>6.2786229999999996</v>
      </c>
      <c r="AC1275" t="s">
        <v>135</v>
      </c>
      <c r="AD1275" t="s">
        <v>136</v>
      </c>
    </row>
    <row r="1276" spans="1:30" x14ac:dyDescent="0.25">
      <c r="A1276" t="s">
        <v>10301</v>
      </c>
      <c r="B1276" t="s">
        <v>61</v>
      </c>
      <c r="C1276" t="s">
        <v>26</v>
      </c>
      <c r="D1276" t="s">
        <v>61</v>
      </c>
      <c r="E1276" t="s">
        <v>9722</v>
      </c>
      <c r="F1276" t="s">
        <v>9723</v>
      </c>
      <c r="G1276">
        <v>901725637</v>
      </c>
      <c r="H1276" t="s">
        <v>9724</v>
      </c>
      <c r="I1276" s="4" t="s">
        <v>4992</v>
      </c>
      <c r="J1276" s="4" t="s">
        <v>3587</v>
      </c>
      <c r="K1276" t="s">
        <v>9725</v>
      </c>
      <c r="L1276" t="s">
        <v>27</v>
      </c>
      <c r="M1276" t="s">
        <v>9726</v>
      </c>
      <c r="N1276" t="s">
        <v>28</v>
      </c>
      <c r="O1276" t="s">
        <v>62</v>
      </c>
      <c r="P1276" t="s">
        <v>63</v>
      </c>
      <c r="Q1276" t="s">
        <v>31</v>
      </c>
      <c r="R1276">
        <v>4</v>
      </c>
      <c r="S1276" t="s">
        <v>9727</v>
      </c>
      <c r="T1276" t="s">
        <v>3356</v>
      </c>
      <c r="U1276" t="s">
        <v>9728</v>
      </c>
      <c r="V1276" t="s">
        <v>32</v>
      </c>
      <c r="W1276" t="s">
        <v>33</v>
      </c>
      <c r="X1276" t="s">
        <v>33</v>
      </c>
      <c r="Y1276" t="s">
        <v>33</v>
      </c>
      <c r="Z1276" s="16" t="s">
        <v>34</v>
      </c>
      <c r="AA1276">
        <v>-75.597257999999997</v>
      </c>
      <c r="AB1276">
        <v>6.2407320000000004</v>
      </c>
      <c r="AC1276" t="s">
        <v>135</v>
      </c>
      <c r="AD1276" t="s">
        <v>136</v>
      </c>
    </row>
    <row r="1277" spans="1:30" x14ac:dyDescent="0.25">
      <c r="A1277" t="s">
        <v>10302</v>
      </c>
      <c r="B1277" t="s">
        <v>61</v>
      </c>
      <c r="C1277" t="s">
        <v>26</v>
      </c>
      <c r="D1277" t="s">
        <v>61</v>
      </c>
      <c r="E1277" t="s">
        <v>9729</v>
      </c>
      <c r="F1277" t="s">
        <v>9730</v>
      </c>
      <c r="G1277">
        <v>98676739</v>
      </c>
      <c r="H1277" t="s">
        <v>9731</v>
      </c>
      <c r="I1277" s="4" t="s">
        <v>9732</v>
      </c>
      <c r="J1277" s="4" t="s">
        <v>9733</v>
      </c>
      <c r="K1277" t="s">
        <v>9734</v>
      </c>
      <c r="L1277" t="s">
        <v>27</v>
      </c>
      <c r="M1277" t="s">
        <v>9735</v>
      </c>
      <c r="N1277" t="s">
        <v>28</v>
      </c>
      <c r="O1277" t="s">
        <v>62</v>
      </c>
      <c r="P1277" t="s">
        <v>63</v>
      </c>
      <c r="Q1277" t="s">
        <v>31</v>
      </c>
      <c r="R1277">
        <v>4</v>
      </c>
      <c r="S1277" t="s">
        <v>9736</v>
      </c>
      <c r="T1277" t="s">
        <v>9737</v>
      </c>
      <c r="U1277" t="s">
        <v>1638</v>
      </c>
      <c r="V1277" t="s">
        <v>32</v>
      </c>
      <c r="W1277" t="s">
        <v>33</v>
      </c>
      <c r="X1277" t="s">
        <v>33</v>
      </c>
      <c r="Y1277" t="s">
        <v>33</v>
      </c>
      <c r="Z1277" s="16" t="s">
        <v>34</v>
      </c>
      <c r="AA1277">
        <v>-75.560148620000007</v>
      </c>
      <c r="AB1277">
        <v>6.2584204699999999</v>
      </c>
      <c r="AC1277" t="s">
        <v>135</v>
      </c>
      <c r="AD1277" t="s">
        <v>136</v>
      </c>
    </row>
    <row r="1278" spans="1:30" x14ac:dyDescent="0.25">
      <c r="A1278" t="s">
        <v>10303</v>
      </c>
      <c r="B1278" t="s">
        <v>42</v>
      </c>
      <c r="C1278" t="s">
        <v>26</v>
      </c>
      <c r="D1278" t="s">
        <v>42</v>
      </c>
      <c r="E1278" t="s">
        <v>9738</v>
      </c>
      <c r="F1278" t="s">
        <v>9739</v>
      </c>
      <c r="G1278">
        <v>21803728</v>
      </c>
      <c r="H1278" t="s">
        <v>7877</v>
      </c>
      <c r="I1278" s="4" t="s">
        <v>35</v>
      </c>
      <c r="J1278" s="4" t="s">
        <v>7878</v>
      </c>
      <c r="K1278" t="s">
        <v>9740</v>
      </c>
      <c r="L1278" t="s">
        <v>27</v>
      </c>
      <c r="M1278" t="s">
        <v>9741</v>
      </c>
      <c r="N1278" t="s">
        <v>28</v>
      </c>
      <c r="O1278" t="s">
        <v>43</v>
      </c>
      <c r="P1278" t="s">
        <v>37</v>
      </c>
      <c r="Q1278" t="s">
        <v>31</v>
      </c>
      <c r="R1278">
        <v>7</v>
      </c>
      <c r="S1278" t="s">
        <v>9018</v>
      </c>
      <c r="T1278" t="s">
        <v>2603</v>
      </c>
      <c r="U1278" t="s">
        <v>1281</v>
      </c>
      <c r="V1278" t="s">
        <v>32</v>
      </c>
      <c r="W1278" t="s">
        <v>33</v>
      </c>
      <c r="X1278" t="s">
        <v>33</v>
      </c>
      <c r="Y1278" t="s">
        <v>33</v>
      </c>
      <c r="Z1278" s="16" t="s">
        <v>34</v>
      </c>
      <c r="AA1278">
        <v>-75.580830120000002</v>
      </c>
      <c r="AB1278">
        <v>6.2270874100000002</v>
      </c>
      <c r="AC1278" t="s">
        <v>135</v>
      </c>
      <c r="AD1278" t="s">
        <v>136</v>
      </c>
    </row>
    <row r="1279" spans="1:30" x14ac:dyDescent="0.25">
      <c r="A1279" t="s">
        <v>10444</v>
      </c>
      <c r="B1279" t="s">
        <v>65</v>
      </c>
      <c r="C1279" t="s">
        <v>26</v>
      </c>
      <c r="D1279" t="s">
        <v>66</v>
      </c>
      <c r="E1279" t="s">
        <v>10445</v>
      </c>
      <c r="F1279" t="s">
        <v>10446</v>
      </c>
      <c r="G1279">
        <v>43988710</v>
      </c>
      <c r="H1279" t="s">
        <v>10447</v>
      </c>
      <c r="I1279" s="4" t="s">
        <v>10448</v>
      </c>
      <c r="J1279" s="4" t="s">
        <v>10449</v>
      </c>
      <c r="K1279" t="s">
        <v>10450</v>
      </c>
      <c r="L1279" t="s">
        <v>27</v>
      </c>
      <c r="M1279" t="s">
        <v>10451</v>
      </c>
      <c r="N1279" t="s">
        <v>28</v>
      </c>
      <c r="O1279" t="s">
        <v>68</v>
      </c>
      <c r="P1279" t="s">
        <v>74</v>
      </c>
      <c r="Q1279" t="s">
        <v>31</v>
      </c>
      <c r="R1279">
        <v>9</v>
      </c>
      <c r="S1279" t="s">
        <v>10452</v>
      </c>
      <c r="T1279" t="s">
        <v>10453</v>
      </c>
      <c r="U1279" t="s">
        <v>10454</v>
      </c>
      <c r="V1279" t="s">
        <v>32</v>
      </c>
      <c r="W1279" t="s">
        <v>33</v>
      </c>
      <c r="X1279" t="s">
        <v>33</v>
      </c>
      <c r="Y1279" t="s">
        <v>33</v>
      </c>
      <c r="Z1279" s="16" t="s">
        <v>34</v>
      </c>
      <c r="AA1279">
        <v>-75.644425560000002</v>
      </c>
      <c r="AB1279">
        <v>6.1748343600000002</v>
      </c>
      <c r="AC1279" t="s">
        <v>135</v>
      </c>
      <c r="AD1279" t="s">
        <v>136</v>
      </c>
    </row>
    <row r="1280" spans="1:30" x14ac:dyDescent="0.25">
      <c r="A1280" t="s">
        <v>10304</v>
      </c>
      <c r="B1280" t="s">
        <v>61</v>
      </c>
      <c r="C1280" t="s">
        <v>26</v>
      </c>
      <c r="D1280" t="s">
        <v>61</v>
      </c>
      <c r="E1280" t="s">
        <v>9742</v>
      </c>
      <c r="F1280" t="s">
        <v>9743</v>
      </c>
      <c r="G1280">
        <v>70568790</v>
      </c>
      <c r="H1280" t="s">
        <v>9744</v>
      </c>
      <c r="I1280" s="4" t="s">
        <v>9745</v>
      </c>
      <c r="J1280" s="4" t="s">
        <v>9746</v>
      </c>
      <c r="K1280" t="s">
        <v>9747</v>
      </c>
      <c r="L1280" t="s">
        <v>48</v>
      </c>
      <c r="M1280" t="s">
        <v>9748</v>
      </c>
      <c r="N1280" t="s">
        <v>64</v>
      </c>
      <c r="O1280" t="s">
        <v>62</v>
      </c>
      <c r="P1280" t="s">
        <v>63</v>
      </c>
      <c r="Q1280" t="s">
        <v>31</v>
      </c>
      <c r="R1280">
        <v>4</v>
      </c>
      <c r="S1280" t="s">
        <v>9749</v>
      </c>
      <c r="T1280" t="s">
        <v>7406</v>
      </c>
      <c r="U1280" t="s">
        <v>4504</v>
      </c>
      <c r="V1280" t="s">
        <v>32</v>
      </c>
      <c r="W1280" t="s">
        <v>33</v>
      </c>
      <c r="X1280" t="s">
        <v>33</v>
      </c>
      <c r="Y1280" t="s">
        <v>33</v>
      </c>
      <c r="Z1280" s="16" t="s">
        <v>34</v>
      </c>
      <c r="AA1280">
        <v>-75.577827360000001</v>
      </c>
      <c r="AB1280">
        <v>6.1717325399999998</v>
      </c>
      <c r="AC1280" t="s">
        <v>135</v>
      </c>
      <c r="AD1280" t="s">
        <v>136</v>
      </c>
    </row>
    <row r="1281" spans="1:30" x14ac:dyDescent="0.25">
      <c r="A1281" t="s">
        <v>10305</v>
      </c>
      <c r="B1281" t="s">
        <v>25</v>
      </c>
      <c r="C1281" t="s">
        <v>26</v>
      </c>
      <c r="D1281" t="s">
        <v>39</v>
      </c>
      <c r="E1281" t="s">
        <v>9750</v>
      </c>
      <c r="F1281" t="s">
        <v>9751</v>
      </c>
      <c r="G1281">
        <v>1042709249</v>
      </c>
      <c r="H1281" t="s">
        <v>9752</v>
      </c>
      <c r="I1281" s="4" t="s">
        <v>35</v>
      </c>
      <c r="J1281" s="4" t="s">
        <v>9753</v>
      </c>
      <c r="K1281" t="s">
        <v>9754</v>
      </c>
      <c r="L1281" t="s">
        <v>27</v>
      </c>
      <c r="M1281" t="s">
        <v>9755</v>
      </c>
      <c r="N1281" t="s">
        <v>28</v>
      </c>
      <c r="O1281" t="s">
        <v>40</v>
      </c>
      <c r="P1281" t="s">
        <v>41</v>
      </c>
      <c r="Q1281" t="s">
        <v>31</v>
      </c>
      <c r="R1281">
        <v>5</v>
      </c>
      <c r="S1281" t="s">
        <v>9756</v>
      </c>
      <c r="T1281" t="s">
        <v>9757</v>
      </c>
      <c r="U1281" t="s">
        <v>830</v>
      </c>
      <c r="V1281" t="s">
        <v>32</v>
      </c>
      <c r="W1281" t="s">
        <v>33</v>
      </c>
      <c r="X1281" t="s">
        <v>33</v>
      </c>
      <c r="Y1281" t="s">
        <v>33</v>
      </c>
      <c r="Z1281" s="16" t="s">
        <v>34</v>
      </c>
      <c r="AA1281">
        <v>-75.625476000000006</v>
      </c>
      <c r="AB1281">
        <v>6.2733109999999996</v>
      </c>
      <c r="AC1281" t="s">
        <v>135</v>
      </c>
      <c r="AD1281" t="s">
        <v>136</v>
      </c>
    </row>
    <row r="1282" spans="1:30" x14ac:dyDescent="0.25">
      <c r="A1282" t="s">
        <v>10306</v>
      </c>
      <c r="B1282" t="s">
        <v>25</v>
      </c>
      <c r="C1282" t="s">
        <v>26</v>
      </c>
      <c r="D1282" t="s">
        <v>25</v>
      </c>
      <c r="E1282" t="s">
        <v>9758</v>
      </c>
      <c r="F1282" t="s">
        <v>9759</v>
      </c>
      <c r="G1282">
        <v>1152437950</v>
      </c>
      <c r="H1282" t="s">
        <v>9702</v>
      </c>
      <c r="I1282" s="4" t="s">
        <v>35</v>
      </c>
      <c r="J1282" s="4" t="s">
        <v>9703</v>
      </c>
      <c r="K1282" t="s">
        <v>9760</v>
      </c>
      <c r="L1282" t="s">
        <v>27</v>
      </c>
      <c r="M1282" t="s">
        <v>9761</v>
      </c>
      <c r="N1282" t="s">
        <v>28</v>
      </c>
      <c r="O1282" t="s">
        <v>29</v>
      </c>
      <c r="P1282" t="s">
        <v>30</v>
      </c>
      <c r="Q1282" t="s">
        <v>31</v>
      </c>
      <c r="R1282">
        <v>7</v>
      </c>
      <c r="S1282" t="s">
        <v>9762</v>
      </c>
      <c r="T1282" t="s">
        <v>2589</v>
      </c>
      <c r="U1282" t="s">
        <v>9763</v>
      </c>
      <c r="V1282" t="s">
        <v>32</v>
      </c>
      <c r="W1282" t="s">
        <v>33</v>
      </c>
      <c r="X1282" t="s">
        <v>33</v>
      </c>
      <c r="Y1282" t="s">
        <v>33</v>
      </c>
      <c r="Z1282" s="16" t="s">
        <v>34</v>
      </c>
      <c r="AA1282">
        <v>-75.589552389999994</v>
      </c>
      <c r="AB1282">
        <v>6.2090949999999996</v>
      </c>
      <c r="AC1282" t="s">
        <v>135</v>
      </c>
      <c r="AD1282" t="s">
        <v>136</v>
      </c>
    </row>
    <row r="1283" spans="1:30" x14ac:dyDescent="0.25">
      <c r="A1283" t="s">
        <v>10307</v>
      </c>
      <c r="B1283" t="s">
        <v>42</v>
      </c>
      <c r="C1283" t="s">
        <v>75</v>
      </c>
      <c r="D1283" t="s">
        <v>42</v>
      </c>
      <c r="E1283" t="s">
        <v>9764</v>
      </c>
      <c r="F1283" t="s">
        <v>9765</v>
      </c>
      <c r="G1283">
        <v>8354717</v>
      </c>
      <c r="H1283" t="s">
        <v>9766</v>
      </c>
      <c r="I1283" s="4" t="s">
        <v>9767</v>
      </c>
      <c r="J1283" s="4" t="s">
        <v>9768</v>
      </c>
      <c r="K1283" t="s">
        <v>9769</v>
      </c>
      <c r="L1283" t="s">
        <v>44</v>
      </c>
      <c r="M1283" t="s">
        <v>9770</v>
      </c>
      <c r="N1283" t="s">
        <v>45</v>
      </c>
      <c r="O1283" t="s">
        <v>76</v>
      </c>
      <c r="P1283" t="s">
        <v>30</v>
      </c>
      <c r="Q1283" t="s">
        <v>31</v>
      </c>
      <c r="R1283">
        <v>7</v>
      </c>
      <c r="S1283" t="s">
        <v>9771</v>
      </c>
      <c r="T1283" t="s">
        <v>9772</v>
      </c>
      <c r="U1283" t="s">
        <v>9773</v>
      </c>
      <c r="V1283" t="s">
        <v>32</v>
      </c>
      <c r="W1283" t="s">
        <v>33</v>
      </c>
      <c r="X1283" t="s">
        <v>33</v>
      </c>
      <c r="Y1283" t="s">
        <v>33</v>
      </c>
      <c r="Z1283" s="16" t="s">
        <v>34</v>
      </c>
      <c r="AA1283">
        <v>-75.612609860000006</v>
      </c>
      <c r="AB1283">
        <v>6.1695542300000001</v>
      </c>
      <c r="AC1283" t="s">
        <v>135</v>
      </c>
      <c r="AD1283" t="s">
        <v>136</v>
      </c>
    </row>
    <row r="1284" spans="1:30" x14ac:dyDescent="0.25">
      <c r="A1284" t="s">
        <v>10308</v>
      </c>
      <c r="B1284" t="s">
        <v>25</v>
      </c>
      <c r="C1284" t="s">
        <v>26</v>
      </c>
      <c r="D1284" t="s">
        <v>39</v>
      </c>
      <c r="E1284" t="s">
        <v>9774</v>
      </c>
      <c r="F1284" t="s">
        <v>9775</v>
      </c>
      <c r="G1284">
        <v>1128421225</v>
      </c>
      <c r="H1284" t="s">
        <v>9776</v>
      </c>
      <c r="I1284" s="4" t="s">
        <v>35</v>
      </c>
      <c r="J1284" s="4" t="s">
        <v>9777</v>
      </c>
      <c r="K1284" t="s">
        <v>9778</v>
      </c>
      <c r="L1284" t="s">
        <v>27</v>
      </c>
      <c r="M1284" t="s">
        <v>9779</v>
      </c>
      <c r="N1284" t="s">
        <v>28</v>
      </c>
      <c r="O1284" t="s">
        <v>40</v>
      </c>
      <c r="P1284" t="s">
        <v>41</v>
      </c>
      <c r="Q1284" t="s">
        <v>31</v>
      </c>
      <c r="R1284">
        <v>5</v>
      </c>
      <c r="S1284" t="s">
        <v>9780</v>
      </c>
      <c r="T1284" t="s">
        <v>9356</v>
      </c>
      <c r="U1284" t="s">
        <v>9781</v>
      </c>
      <c r="V1284" t="s">
        <v>32</v>
      </c>
      <c r="W1284" t="s">
        <v>33</v>
      </c>
      <c r="X1284" t="s">
        <v>33</v>
      </c>
      <c r="Y1284" t="s">
        <v>33</v>
      </c>
      <c r="Z1284" s="16" t="s">
        <v>34</v>
      </c>
      <c r="AA1284">
        <v>-75.619372150000004</v>
      </c>
      <c r="AB1284">
        <v>6.2615239300000001</v>
      </c>
      <c r="AC1284" t="s">
        <v>135</v>
      </c>
      <c r="AD1284" t="s">
        <v>136</v>
      </c>
    </row>
    <row r="1285" spans="1:30" x14ac:dyDescent="0.25">
      <c r="A1285" t="s">
        <v>10309</v>
      </c>
      <c r="B1285" t="s">
        <v>25</v>
      </c>
      <c r="C1285" t="s">
        <v>26</v>
      </c>
      <c r="D1285" t="s">
        <v>39</v>
      </c>
      <c r="E1285" t="s">
        <v>9782</v>
      </c>
      <c r="F1285" t="s">
        <v>9783</v>
      </c>
      <c r="G1285">
        <v>1128421225</v>
      </c>
      <c r="H1285" t="s">
        <v>9776</v>
      </c>
      <c r="I1285" s="4" t="s">
        <v>35</v>
      </c>
      <c r="J1285" s="4" t="s">
        <v>9777</v>
      </c>
      <c r="K1285" t="s">
        <v>9784</v>
      </c>
      <c r="L1285" t="s">
        <v>27</v>
      </c>
      <c r="M1285" t="s">
        <v>9785</v>
      </c>
      <c r="N1285" t="s">
        <v>28</v>
      </c>
      <c r="O1285" t="s">
        <v>40</v>
      </c>
      <c r="P1285" t="s">
        <v>41</v>
      </c>
      <c r="Q1285" t="s">
        <v>31</v>
      </c>
      <c r="R1285">
        <v>5</v>
      </c>
      <c r="S1285" t="s">
        <v>9786</v>
      </c>
      <c r="T1285" t="s">
        <v>9787</v>
      </c>
      <c r="U1285" t="s">
        <v>9788</v>
      </c>
      <c r="V1285" t="s">
        <v>32</v>
      </c>
      <c r="W1285" t="s">
        <v>33</v>
      </c>
      <c r="X1285" t="s">
        <v>33</v>
      </c>
      <c r="Y1285" t="s">
        <v>33</v>
      </c>
      <c r="Z1285" s="16" t="s">
        <v>34</v>
      </c>
      <c r="AA1285">
        <v>-75.619372150000004</v>
      </c>
      <c r="AB1285">
        <v>6.2615239300000001</v>
      </c>
      <c r="AC1285" t="s">
        <v>135</v>
      </c>
      <c r="AD1285" t="s">
        <v>136</v>
      </c>
    </row>
    <row r="1286" spans="1:30" x14ac:dyDescent="0.25">
      <c r="A1286" t="s">
        <v>10310</v>
      </c>
      <c r="B1286" t="s">
        <v>25</v>
      </c>
      <c r="C1286" t="s">
        <v>26</v>
      </c>
      <c r="D1286" t="s">
        <v>25</v>
      </c>
      <c r="E1286" t="s">
        <v>9789</v>
      </c>
      <c r="F1286" t="s">
        <v>9790</v>
      </c>
      <c r="G1286">
        <v>1036609476</v>
      </c>
      <c r="H1286" t="s">
        <v>9791</v>
      </c>
      <c r="I1286" s="4" t="s">
        <v>35</v>
      </c>
      <c r="J1286" s="4" t="s">
        <v>721</v>
      </c>
      <c r="K1286" t="s">
        <v>9792</v>
      </c>
      <c r="L1286" t="s">
        <v>27</v>
      </c>
      <c r="M1286" t="s">
        <v>9793</v>
      </c>
      <c r="N1286" t="s">
        <v>28</v>
      </c>
      <c r="O1286" t="s">
        <v>29</v>
      </c>
      <c r="P1286" t="s">
        <v>30</v>
      </c>
      <c r="Q1286" t="s">
        <v>31</v>
      </c>
      <c r="R1286">
        <v>7</v>
      </c>
      <c r="S1286" t="s">
        <v>9794</v>
      </c>
      <c r="T1286" t="s">
        <v>4838</v>
      </c>
      <c r="U1286" t="s">
        <v>9795</v>
      </c>
      <c r="V1286" t="s">
        <v>32</v>
      </c>
      <c r="W1286" t="s">
        <v>33</v>
      </c>
      <c r="X1286" t="s">
        <v>33</v>
      </c>
      <c r="Y1286" t="s">
        <v>33</v>
      </c>
      <c r="Z1286" s="16" t="s">
        <v>34</v>
      </c>
      <c r="AA1286">
        <v>-75.660196470000002</v>
      </c>
      <c r="AB1286">
        <v>6.1859411199999998</v>
      </c>
      <c r="AC1286" t="s">
        <v>135</v>
      </c>
      <c r="AD1286" t="s">
        <v>136</v>
      </c>
    </row>
    <row r="1287" spans="1:30" x14ac:dyDescent="0.25">
      <c r="A1287" t="s">
        <v>10311</v>
      </c>
      <c r="B1287" t="s">
        <v>61</v>
      </c>
      <c r="C1287" t="s">
        <v>26</v>
      </c>
      <c r="D1287" t="s">
        <v>61</v>
      </c>
      <c r="E1287" t="s">
        <v>9796</v>
      </c>
      <c r="F1287" t="s">
        <v>9797</v>
      </c>
      <c r="G1287">
        <v>901543313</v>
      </c>
      <c r="H1287" t="s">
        <v>9798</v>
      </c>
      <c r="I1287" s="4" t="s">
        <v>35</v>
      </c>
      <c r="J1287" s="4" t="s">
        <v>9799</v>
      </c>
      <c r="K1287" t="s">
        <v>9800</v>
      </c>
      <c r="L1287" t="s">
        <v>27</v>
      </c>
      <c r="M1287" t="s">
        <v>9801</v>
      </c>
      <c r="N1287" t="s">
        <v>28</v>
      </c>
      <c r="O1287" t="s">
        <v>62</v>
      </c>
      <c r="P1287" t="s">
        <v>63</v>
      </c>
      <c r="Q1287" t="s">
        <v>31</v>
      </c>
      <c r="R1287">
        <v>4</v>
      </c>
      <c r="S1287" t="s">
        <v>9802</v>
      </c>
      <c r="T1287" t="s">
        <v>9803</v>
      </c>
      <c r="U1287" t="s">
        <v>4847</v>
      </c>
      <c r="V1287" t="s">
        <v>32</v>
      </c>
      <c r="W1287" t="s">
        <v>33</v>
      </c>
      <c r="X1287" t="s">
        <v>33</v>
      </c>
      <c r="Y1287" t="s">
        <v>33</v>
      </c>
      <c r="Z1287" s="16" t="s">
        <v>34</v>
      </c>
      <c r="AA1287">
        <v>-75.559248519999997</v>
      </c>
      <c r="AB1287">
        <v>6.2116356399999999</v>
      </c>
      <c r="AC1287" t="s">
        <v>135</v>
      </c>
      <c r="AD1287" t="s">
        <v>136</v>
      </c>
    </row>
    <row r="1288" spans="1:30" x14ac:dyDescent="0.25">
      <c r="A1288" t="s">
        <v>10312</v>
      </c>
      <c r="B1288" t="s">
        <v>25</v>
      </c>
      <c r="C1288" t="s">
        <v>26</v>
      </c>
      <c r="D1288" t="s">
        <v>25</v>
      </c>
      <c r="E1288" t="s">
        <v>9804</v>
      </c>
      <c r="F1288" t="s">
        <v>9805</v>
      </c>
      <c r="G1288">
        <v>1036609476</v>
      </c>
      <c r="H1288" t="s">
        <v>9791</v>
      </c>
      <c r="I1288" s="4" t="s">
        <v>35</v>
      </c>
      <c r="J1288" s="4" t="s">
        <v>721</v>
      </c>
      <c r="K1288" t="s">
        <v>9806</v>
      </c>
      <c r="L1288" t="s">
        <v>27</v>
      </c>
      <c r="M1288" t="s">
        <v>9807</v>
      </c>
      <c r="N1288" t="s">
        <v>28</v>
      </c>
      <c r="O1288" t="s">
        <v>29</v>
      </c>
      <c r="P1288" t="s">
        <v>30</v>
      </c>
      <c r="Q1288" t="s">
        <v>31</v>
      </c>
      <c r="R1288">
        <v>7</v>
      </c>
      <c r="S1288" t="s">
        <v>9808</v>
      </c>
      <c r="T1288" t="s">
        <v>9809</v>
      </c>
      <c r="U1288" t="s">
        <v>7625</v>
      </c>
      <c r="V1288" t="s">
        <v>32</v>
      </c>
      <c r="W1288" t="s">
        <v>33</v>
      </c>
      <c r="X1288" t="s">
        <v>33</v>
      </c>
      <c r="Y1288" t="s">
        <v>33</v>
      </c>
      <c r="Z1288" s="16" t="s">
        <v>34</v>
      </c>
      <c r="AA1288">
        <v>-75.660196470000002</v>
      </c>
      <c r="AB1288">
        <v>6.1859411199999998</v>
      </c>
      <c r="AC1288" t="s">
        <v>135</v>
      </c>
      <c r="AD1288" t="s">
        <v>136</v>
      </c>
    </row>
    <row r="1289" spans="1:30" x14ac:dyDescent="0.25">
      <c r="A1289" t="s">
        <v>10313</v>
      </c>
      <c r="B1289" t="s">
        <v>25</v>
      </c>
      <c r="C1289" t="s">
        <v>26</v>
      </c>
      <c r="D1289" t="s">
        <v>25</v>
      </c>
      <c r="E1289" t="s">
        <v>9810</v>
      </c>
      <c r="F1289" t="s">
        <v>9811</v>
      </c>
      <c r="G1289">
        <v>1036609476</v>
      </c>
      <c r="H1289" t="s">
        <v>9791</v>
      </c>
      <c r="I1289" s="4" t="s">
        <v>35</v>
      </c>
      <c r="J1289" s="4" t="s">
        <v>721</v>
      </c>
      <c r="K1289" t="s">
        <v>9812</v>
      </c>
      <c r="L1289" t="s">
        <v>27</v>
      </c>
      <c r="M1289" t="s">
        <v>9813</v>
      </c>
      <c r="N1289" t="s">
        <v>28</v>
      </c>
      <c r="O1289" t="s">
        <v>29</v>
      </c>
      <c r="P1289" t="s">
        <v>30</v>
      </c>
      <c r="Q1289" t="s">
        <v>31</v>
      </c>
      <c r="R1289">
        <v>7</v>
      </c>
      <c r="S1289" t="s">
        <v>9814</v>
      </c>
      <c r="T1289" t="s">
        <v>9809</v>
      </c>
      <c r="U1289" t="s">
        <v>7625</v>
      </c>
      <c r="V1289" t="s">
        <v>32</v>
      </c>
      <c r="W1289" t="s">
        <v>33</v>
      </c>
      <c r="X1289" t="s">
        <v>33</v>
      </c>
      <c r="Y1289" t="s">
        <v>33</v>
      </c>
      <c r="Z1289" s="16" t="s">
        <v>34</v>
      </c>
      <c r="AA1289">
        <v>-75.660196470000002</v>
      </c>
      <c r="AB1289">
        <v>6.1859411199999998</v>
      </c>
      <c r="AC1289" t="s">
        <v>135</v>
      </c>
      <c r="AD1289" t="s">
        <v>136</v>
      </c>
    </row>
    <row r="1290" spans="1:30" x14ac:dyDescent="0.25">
      <c r="A1290" t="s">
        <v>10314</v>
      </c>
      <c r="B1290" t="s">
        <v>25</v>
      </c>
      <c r="C1290" t="s">
        <v>26</v>
      </c>
      <c r="D1290" t="s">
        <v>25</v>
      </c>
      <c r="E1290" t="s">
        <v>9815</v>
      </c>
      <c r="F1290" t="s">
        <v>9816</v>
      </c>
      <c r="G1290">
        <v>1036609476</v>
      </c>
      <c r="H1290" t="s">
        <v>9791</v>
      </c>
      <c r="I1290" s="4" t="s">
        <v>35</v>
      </c>
      <c r="J1290" s="4" t="s">
        <v>721</v>
      </c>
      <c r="K1290" t="s">
        <v>9817</v>
      </c>
      <c r="L1290" t="s">
        <v>27</v>
      </c>
      <c r="M1290" t="s">
        <v>9818</v>
      </c>
      <c r="N1290" t="s">
        <v>28</v>
      </c>
      <c r="O1290" t="s">
        <v>29</v>
      </c>
      <c r="P1290" t="s">
        <v>30</v>
      </c>
      <c r="Q1290" t="s">
        <v>31</v>
      </c>
      <c r="R1290">
        <v>7</v>
      </c>
      <c r="S1290" t="s">
        <v>9819</v>
      </c>
      <c r="T1290" t="s">
        <v>9809</v>
      </c>
      <c r="U1290" t="s">
        <v>7625</v>
      </c>
      <c r="V1290" t="s">
        <v>32</v>
      </c>
      <c r="W1290" t="s">
        <v>33</v>
      </c>
      <c r="X1290" t="s">
        <v>33</v>
      </c>
      <c r="Y1290" t="s">
        <v>33</v>
      </c>
      <c r="Z1290" s="16" t="s">
        <v>34</v>
      </c>
      <c r="AA1290">
        <v>-75.660196470000002</v>
      </c>
      <c r="AB1290">
        <v>6.1859411199999998</v>
      </c>
      <c r="AC1290" t="s">
        <v>135</v>
      </c>
      <c r="AD1290" t="s">
        <v>136</v>
      </c>
    </row>
    <row r="1291" spans="1:30" x14ac:dyDescent="0.25">
      <c r="A1291" t="s">
        <v>10315</v>
      </c>
      <c r="B1291" t="s">
        <v>25</v>
      </c>
      <c r="C1291" t="s">
        <v>26</v>
      </c>
      <c r="D1291" t="s">
        <v>25</v>
      </c>
      <c r="E1291" t="s">
        <v>9815</v>
      </c>
      <c r="F1291" t="s">
        <v>9816</v>
      </c>
      <c r="G1291">
        <v>1036609476</v>
      </c>
      <c r="H1291" t="s">
        <v>9791</v>
      </c>
      <c r="I1291" s="4" t="s">
        <v>35</v>
      </c>
      <c r="J1291" s="4" t="s">
        <v>721</v>
      </c>
      <c r="K1291" t="s">
        <v>9820</v>
      </c>
      <c r="L1291" t="s">
        <v>27</v>
      </c>
      <c r="M1291" t="s">
        <v>9821</v>
      </c>
      <c r="N1291" t="s">
        <v>28</v>
      </c>
      <c r="O1291" t="s">
        <v>29</v>
      </c>
      <c r="P1291" t="s">
        <v>30</v>
      </c>
      <c r="Q1291" t="s">
        <v>31</v>
      </c>
      <c r="R1291">
        <v>7</v>
      </c>
      <c r="S1291" t="s">
        <v>9819</v>
      </c>
      <c r="T1291" t="s">
        <v>9809</v>
      </c>
      <c r="U1291" t="s">
        <v>7625</v>
      </c>
      <c r="V1291" t="s">
        <v>32</v>
      </c>
      <c r="W1291" t="s">
        <v>33</v>
      </c>
      <c r="X1291" t="s">
        <v>33</v>
      </c>
      <c r="Y1291" t="s">
        <v>33</v>
      </c>
      <c r="Z1291" s="16" t="s">
        <v>34</v>
      </c>
      <c r="AA1291">
        <v>-75.660196470000002</v>
      </c>
      <c r="AB1291">
        <v>6.1859411199999998</v>
      </c>
      <c r="AC1291" t="s">
        <v>135</v>
      </c>
      <c r="AD1291" t="s">
        <v>136</v>
      </c>
    </row>
    <row r="1292" spans="1:30" x14ac:dyDescent="0.25">
      <c r="A1292" t="s">
        <v>10316</v>
      </c>
      <c r="B1292" t="s">
        <v>25</v>
      </c>
      <c r="C1292" t="s">
        <v>26</v>
      </c>
      <c r="D1292" t="s">
        <v>25</v>
      </c>
      <c r="E1292" t="s">
        <v>9822</v>
      </c>
      <c r="F1292" t="s">
        <v>9823</v>
      </c>
      <c r="G1292">
        <v>1036609476</v>
      </c>
      <c r="H1292" t="s">
        <v>9791</v>
      </c>
      <c r="I1292" s="4" t="s">
        <v>35</v>
      </c>
      <c r="J1292" s="4" t="s">
        <v>721</v>
      </c>
      <c r="K1292" t="s">
        <v>9824</v>
      </c>
      <c r="L1292" t="s">
        <v>27</v>
      </c>
      <c r="M1292" t="s">
        <v>9825</v>
      </c>
      <c r="N1292" t="s">
        <v>28</v>
      </c>
      <c r="O1292" t="s">
        <v>29</v>
      </c>
      <c r="P1292" t="s">
        <v>30</v>
      </c>
      <c r="Q1292" t="s">
        <v>31</v>
      </c>
      <c r="R1292">
        <v>7</v>
      </c>
      <c r="S1292" t="s">
        <v>9826</v>
      </c>
      <c r="T1292" t="s">
        <v>9827</v>
      </c>
      <c r="U1292" t="s">
        <v>4856</v>
      </c>
      <c r="V1292" t="s">
        <v>32</v>
      </c>
      <c r="W1292" t="s">
        <v>33</v>
      </c>
      <c r="X1292" t="s">
        <v>33</v>
      </c>
      <c r="Y1292" t="s">
        <v>33</v>
      </c>
      <c r="Z1292" s="16" t="s">
        <v>34</v>
      </c>
      <c r="AA1292">
        <v>-75.660196470000002</v>
      </c>
      <c r="AB1292">
        <v>6.1859411199999998</v>
      </c>
      <c r="AC1292" t="s">
        <v>135</v>
      </c>
      <c r="AD1292" t="s">
        <v>136</v>
      </c>
    </row>
    <row r="1293" spans="1:30" x14ac:dyDescent="0.25">
      <c r="A1293" t="s">
        <v>10317</v>
      </c>
      <c r="B1293" t="s">
        <v>25</v>
      </c>
      <c r="C1293" t="s">
        <v>26</v>
      </c>
      <c r="D1293" t="s">
        <v>25</v>
      </c>
      <c r="E1293" t="s">
        <v>9828</v>
      </c>
      <c r="F1293" t="s">
        <v>9829</v>
      </c>
      <c r="G1293">
        <v>1036609476</v>
      </c>
      <c r="H1293" t="s">
        <v>9791</v>
      </c>
      <c r="I1293" s="4" t="s">
        <v>35</v>
      </c>
      <c r="J1293" s="4" t="s">
        <v>721</v>
      </c>
      <c r="K1293" t="s">
        <v>9830</v>
      </c>
      <c r="L1293" t="s">
        <v>27</v>
      </c>
      <c r="M1293" t="s">
        <v>9831</v>
      </c>
      <c r="N1293" t="s">
        <v>28</v>
      </c>
      <c r="O1293" t="s">
        <v>29</v>
      </c>
      <c r="P1293" t="s">
        <v>30</v>
      </c>
      <c r="Q1293" t="s">
        <v>31</v>
      </c>
      <c r="R1293">
        <v>7</v>
      </c>
      <c r="S1293" t="s">
        <v>9832</v>
      </c>
      <c r="T1293" t="s">
        <v>9833</v>
      </c>
      <c r="U1293" t="s">
        <v>9834</v>
      </c>
      <c r="V1293" t="s">
        <v>32</v>
      </c>
      <c r="W1293" t="s">
        <v>33</v>
      </c>
      <c r="X1293" t="s">
        <v>33</v>
      </c>
      <c r="Y1293" t="s">
        <v>33</v>
      </c>
      <c r="Z1293" s="16" t="s">
        <v>34</v>
      </c>
      <c r="AA1293">
        <v>-75.660196470000002</v>
      </c>
      <c r="AB1293">
        <v>6.1859411199999998</v>
      </c>
      <c r="AC1293" t="s">
        <v>135</v>
      </c>
      <c r="AD1293" t="s">
        <v>136</v>
      </c>
    </row>
    <row r="1294" spans="1:30" x14ac:dyDescent="0.25">
      <c r="A1294" t="s">
        <v>10318</v>
      </c>
      <c r="B1294" t="s">
        <v>25</v>
      </c>
      <c r="C1294" t="s">
        <v>26</v>
      </c>
      <c r="D1294" t="s">
        <v>25</v>
      </c>
      <c r="E1294" t="s">
        <v>9835</v>
      </c>
      <c r="F1294" t="s">
        <v>9836</v>
      </c>
      <c r="G1294">
        <v>1036609476</v>
      </c>
      <c r="H1294" t="s">
        <v>9791</v>
      </c>
      <c r="I1294" s="4" t="s">
        <v>35</v>
      </c>
      <c r="J1294" s="4" t="s">
        <v>721</v>
      </c>
      <c r="K1294" t="s">
        <v>9837</v>
      </c>
      <c r="L1294" t="s">
        <v>27</v>
      </c>
      <c r="M1294" t="s">
        <v>9838</v>
      </c>
      <c r="N1294" t="s">
        <v>28</v>
      </c>
      <c r="O1294" t="s">
        <v>29</v>
      </c>
      <c r="P1294" t="s">
        <v>30</v>
      </c>
      <c r="Q1294" t="s">
        <v>31</v>
      </c>
      <c r="R1294">
        <v>7</v>
      </c>
      <c r="S1294" t="s">
        <v>9839</v>
      </c>
      <c r="T1294" t="s">
        <v>6385</v>
      </c>
      <c r="U1294" t="s">
        <v>9840</v>
      </c>
      <c r="V1294" t="s">
        <v>32</v>
      </c>
      <c r="W1294" t="s">
        <v>33</v>
      </c>
      <c r="X1294" t="s">
        <v>33</v>
      </c>
      <c r="Y1294" t="s">
        <v>33</v>
      </c>
      <c r="Z1294" s="16" t="s">
        <v>34</v>
      </c>
      <c r="AA1294">
        <v>-75.660196470000002</v>
      </c>
      <c r="AB1294">
        <v>6.1859411199999998</v>
      </c>
      <c r="AC1294" t="s">
        <v>135</v>
      </c>
      <c r="AD1294" t="s">
        <v>136</v>
      </c>
    </row>
    <row r="1295" spans="1:30" x14ac:dyDescent="0.25">
      <c r="A1295" t="s">
        <v>10319</v>
      </c>
      <c r="B1295" t="s">
        <v>25</v>
      </c>
      <c r="C1295" t="s">
        <v>26</v>
      </c>
      <c r="D1295" t="s">
        <v>25</v>
      </c>
      <c r="E1295" t="s">
        <v>9841</v>
      </c>
      <c r="F1295" t="s">
        <v>9842</v>
      </c>
      <c r="G1295">
        <v>1036609476</v>
      </c>
      <c r="H1295" t="s">
        <v>9791</v>
      </c>
      <c r="I1295" s="4" t="s">
        <v>35</v>
      </c>
      <c r="J1295" s="4" t="s">
        <v>721</v>
      </c>
      <c r="K1295" t="s">
        <v>9843</v>
      </c>
      <c r="L1295" t="s">
        <v>27</v>
      </c>
      <c r="M1295" t="s">
        <v>9844</v>
      </c>
      <c r="N1295" t="s">
        <v>28</v>
      </c>
      <c r="O1295" t="s">
        <v>29</v>
      </c>
      <c r="P1295" t="s">
        <v>30</v>
      </c>
      <c r="Q1295" t="s">
        <v>31</v>
      </c>
      <c r="R1295">
        <v>7</v>
      </c>
      <c r="S1295" t="s">
        <v>9845</v>
      </c>
      <c r="T1295" t="s">
        <v>9846</v>
      </c>
      <c r="U1295" t="s">
        <v>9847</v>
      </c>
      <c r="V1295" t="s">
        <v>32</v>
      </c>
      <c r="W1295" t="s">
        <v>33</v>
      </c>
      <c r="X1295" t="s">
        <v>33</v>
      </c>
      <c r="Y1295" t="s">
        <v>33</v>
      </c>
      <c r="Z1295" s="16" t="s">
        <v>34</v>
      </c>
      <c r="AA1295">
        <v>-75.660196470000002</v>
      </c>
      <c r="AB1295">
        <v>6.1859411199999998</v>
      </c>
      <c r="AC1295" t="s">
        <v>135</v>
      </c>
      <c r="AD1295" t="s">
        <v>136</v>
      </c>
    </row>
    <row r="1296" spans="1:30" x14ac:dyDescent="0.25">
      <c r="A1296" t="s">
        <v>10320</v>
      </c>
      <c r="B1296" t="s">
        <v>25</v>
      </c>
      <c r="C1296" t="s">
        <v>26</v>
      </c>
      <c r="D1296" t="s">
        <v>25</v>
      </c>
      <c r="E1296" t="s">
        <v>9848</v>
      </c>
      <c r="F1296" t="s">
        <v>9849</v>
      </c>
      <c r="G1296">
        <v>1036609476</v>
      </c>
      <c r="H1296" t="s">
        <v>9791</v>
      </c>
      <c r="I1296" s="4" t="s">
        <v>35</v>
      </c>
      <c r="J1296" s="4" t="s">
        <v>721</v>
      </c>
      <c r="K1296" t="s">
        <v>9850</v>
      </c>
      <c r="L1296" t="s">
        <v>27</v>
      </c>
      <c r="M1296" t="s">
        <v>9851</v>
      </c>
      <c r="N1296" t="s">
        <v>28</v>
      </c>
      <c r="O1296" t="s">
        <v>29</v>
      </c>
      <c r="P1296" t="s">
        <v>30</v>
      </c>
      <c r="Q1296" t="s">
        <v>31</v>
      </c>
      <c r="R1296">
        <v>7</v>
      </c>
      <c r="S1296" t="s">
        <v>9852</v>
      </c>
      <c r="T1296" t="s">
        <v>9853</v>
      </c>
      <c r="U1296" t="s">
        <v>9854</v>
      </c>
      <c r="V1296" t="s">
        <v>32</v>
      </c>
      <c r="W1296" t="s">
        <v>33</v>
      </c>
      <c r="X1296" t="s">
        <v>33</v>
      </c>
      <c r="Y1296" t="s">
        <v>33</v>
      </c>
      <c r="Z1296" s="16" t="s">
        <v>34</v>
      </c>
      <c r="AA1296">
        <v>-75.660196470000002</v>
      </c>
      <c r="AB1296">
        <v>6.1859411199999998</v>
      </c>
      <c r="AC1296" t="s">
        <v>135</v>
      </c>
      <c r="AD1296" t="s">
        <v>136</v>
      </c>
    </row>
    <row r="1297" spans="1:30" x14ac:dyDescent="0.25">
      <c r="A1297" t="s">
        <v>10321</v>
      </c>
      <c r="B1297" t="s">
        <v>25</v>
      </c>
      <c r="C1297" t="s">
        <v>26</v>
      </c>
      <c r="D1297" t="s">
        <v>25</v>
      </c>
      <c r="E1297" t="s">
        <v>9855</v>
      </c>
      <c r="F1297" t="s">
        <v>9856</v>
      </c>
      <c r="G1297">
        <v>1036609476</v>
      </c>
      <c r="H1297" t="s">
        <v>9791</v>
      </c>
      <c r="I1297" s="4" t="s">
        <v>35</v>
      </c>
      <c r="J1297" s="4" t="s">
        <v>721</v>
      </c>
      <c r="K1297" t="s">
        <v>9857</v>
      </c>
      <c r="L1297" t="s">
        <v>27</v>
      </c>
      <c r="M1297" t="s">
        <v>9858</v>
      </c>
      <c r="N1297" t="s">
        <v>28</v>
      </c>
      <c r="O1297" t="s">
        <v>29</v>
      </c>
      <c r="P1297" t="s">
        <v>30</v>
      </c>
      <c r="Q1297" t="s">
        <v>31</v>
      </c>
      <c r="R1297">
        <v>7</v>
      </c>
      <c r="S1297" t="s">
        <v>9859</v>
      </c>
      <c r="T1297" t="s">
        <v>9860</v>
      </c>
      <c r="U1297" t="s">
        <v>7446</v>
      </c>
      <c r="V1297" t="s">
        <v>32</v>
      </c>
      <c r="W1297" t="s">
        <v>33</v>
      </c>
      <c r="X1297" t="s">
        <v>33</v>
      </c>
      <c r="Y1297" t="s">
        <v>33</v>
      </c>
      <c r="Z1297" s="16" t="s">
        <v>34</v>
      </c>
      <c r="AA1297">
        <v>-75.660196470000002</v>
      </c>
      <c r="AB1297">
        <v>6.1859411199999998</v>
      </c>
      <c r="AC1297" t="s">
        <v>135</v>
      </c>
      <c r="AD1297" t="s">
        <v>136</v>
      </c>
    </row>
    <row r="1298" spans="1:30" x14ac:dyDescent="0.25">
      <c r="A1298" t="s">
        <v>10322</v>
      </c>
      <c r="B1298" t="s">
        <v>25</v>
      </c>
      <c r="C1298" t="s">
        <v>26</v>
      </c>
      <c r="D1298" t="s">
        <v>25</v>
      </c>
      <c r="E1298" t="s">
        <v>9861</v>
      </c>
      <c r="F1298" t="s">
        <v>9862</v>
      </c>
      <c r="G1298">
        <v>1036609476</v>
      </c>
      <c r="H1298" t="s">
        <v>9791</v>
      </c>
      <c r="I1298" s="4" t="s">
        <v>35</v>
      </c>
      <c r="J1298" s="4" t="s">
        <v>721</v>
      </c>
      <c r="K1298" t="s">
        <v>9863</v>
      </c>
      <c r="L1298" t="s">
        <v>27</v>
      </c>
      <c r="M1298" t="s">
        <v>9864</v>
      </c>
      <c r="N1298" t="s">
        <v>28</v>
      </c>
      <c r="O1298" t="s">
        <v>29</v>
      </c>
      <c r="P1298" t="s">
        <v>30</v>
      </c>
      <c r="Q1298" t="s">
        <v>31</v>
      </c>
      <c r="R1298">
        <v>7</v>
      </c>
      <c r="S1298" t="s">
        <v>9865</v>
      </c>
      <c r="T1298" t="s">
        <v>9866</v>
      </c>
      <c r="U1298" t="s">
        <v>9867</v>
      </c>
      <c r="V1298" t="s">
        <v>32</v>
      </c>
      <c r="W1298" t="s">
        <v>33</v>
      </c>
      <c r="X1298" t="s">
        <v>33</v>
      </c>
      <c r="Y1298" t="s">
        <v>33</v>
      </c>
      <c r="Z1298" s="16" t="s">
        <v>34</v>
      </c>
      <c r="AA1298">
        <v>-75.660196470000002</v>
      </c>
      <c r="AB1298">
        <v>6.1859411199999998</v>
      </c>
      <c r="AC1298" t="s">
        <v>135</v>
      </c>
      <c r="AD1298" t="s">
        <v>136</v>
      </c>
    </row>
    <row r="1299" spans="1:30" x14ac:dyDescent="0.25">
      <c r="A1299" t="s">
        <v>10455</v>
      </c>
      <c r="B1299" t="s">
        <v>65</v>
      </c>
      <c r="C1299" t="s">
        <v>26</v>
      </c>
      <c r="D1299" t="s">
        <v>66</v>
      </c>
      <c r="E1299" t="s">
        <v>10456</v>
      </c>
      <c r="F1299" t="s">
        <v>10457</v>
      </c>
      <c r="G1299">
        <v>43603268</v>
      </c>
      <c r="H1299" t="s">
        <v>10458</v>
      </c>
      <c r="I1299" s="4" t="s">
        <v>35</v>
      </c>
      <c r="J1299" s="4" t="s">
        <v>10459</v>
      </c>
      <c r="K1299" t="s">
        <v>10460</v>
      </c>
      <c r="L1299" t="s">
        <v>27</v>
      </c>
      <c r="M1299" t="s">
        <v>10461</v>
      </c>
      <c r="N1299" t="s">
        <v>28</v>
      </c>
      <c r="O1299" t="s">
        <v>68</v>
      </c>
      <c r="P1299" t="s">
        <v>70</v>
      </c>
      <c r="Q1299" t="s">
        <v>31</v>
      </c>
      <c r="R1299">
        <v>9</v>
      </c>
      <c r="S1299" t="s">
        <v>10462</v>
      </c>
      <c r="T1299" t="s">
        <v>10463</v>
      </c>
      <c r="U1299" t="s">
        <v>10464</v>
      </c>
      <c r="V1299" t="s">
        <v>32</v>
      </c>
      <c r="W1299" t="s">
        <v>33</v>
      </c>
      <c r="X1299" t="s">
        <v>33</v>
      </c>
      <c r="Y1299" t="s">
        <v>33</v>
      </c>
      <c r="Z1299" s="16" t="s">
        <v>34</v>
      </c>
      <c r="AA1299">
        <v>-75.612374200000005</v>
      </c>
      <c r="AB1299">
        <v>6.2753656099999997</v>
      </c>
      <c r="AC1299" t="s">
        <v>135</v>
      </c>
      <c r="AD1299" t="s">
        <v>136</v>
      </c>
    </row>
    <row r="1300" spans="1:30" x14ac:dyDescent="0.25">
      <c r="A1300" t="s">
        <v>10323</v>
      </c>
      <c r="B1300" t="s">
        <v>50</v>
      </c>
      <c r="C1300" t="s">
        <v>79</v>
      </c>
      <c r="D1300" t="s">
        <v>50</v>
      </c>
      <c r="E1300" t="s">
        <v>9868</v>
      </c>
      <c r="F1300" t="s">
        <v>9869</v>
      </c>
      <c r="G1300">
        <v>43757246</v>
      </c>
      <c r="H1300" t="s">
        <v>9870</v>
      </c>
      <c r="I1300" s="4" t="s">
        <v>35</v>
      </c>
      <c r="J1300" s="4" t="s">
        <v>9871</v>
      </c>
      <c r="K1300" t="s">
        <v>9872</v>
      </c>
      <c r="L1300" t="s">
        <v>27</v>
      </c>
      <c r="M1300" t="s">
        <v>9873</v>
      </c>
      <c r="N1300" t="s">
        <v>28</v>
      </c>
      <c r="O1300" t="s">
        <v>80</v>
      </c>
      <c r="P1300" t="s">
        <v>52</v>
      </c>
      <c r="Q1300" t="s">
        <v>31</v>
      </c>
      <c r="R1300">
        <v>11</v>
      </c>
      <c r="S1300" t="s">
        <v>9874</v>
      </c>
      <c r="T1300" t="s">
        <v>9875</v>
      </c>
      <c r="U1300" t="s">
        <v>9876</v>
      </c>
      <c r="V1300" t="s">
        <v>32</v>
      </c>
      <c r="W1300" t="s">
        <v>33</v>
      </c>
      <c r="X1300" t="s">
        <v>33</v>
      </c>
      <c r="Y1300" t="s">
        <v>33</v>
      </c>
      <c r="Z1300" s="16" t="s">
        <v>34</v>
      </c>
      <c r="AA1300">
        <v>-75.539898179999994</v>
      </c>
      <c r="AB1300">
        <v>6.2430250300000001</v>
      </c>
      <c r="AC1300" t="s">
        <v>135</v>
      </c>
      <c r="AD1300" t="s">
        <v>136</v>
      </c>
    </row>
    <row r="1301" spans="1:30" x14ac:dyDescent="0.25">
      <c r="A1301" t="s">
        <v>10465</v>
      </c>
      <c r="B1301" t="s">
        <v>65</v>
      </c>
      <c r="C1301" t="s">
        <v>26</v>
      </c>
      <c r="D1301" t="s">
        <v>66</v>
      </c>
      <c r="E1301" t="s">
        <v>10466</v>
      </c>
      <c r="F1301" t="s">
        <v>10467</v>
      </c>
      <c r="G1301">
        <v>15255091</v>
      </c>
      <c r="H1301" t="s">
        <v>10468</v>
      </c>
      <c r="I1301" s="4" t="s">
        <v>35</v>
      </c>
      <c r="J1301" s="4" t="s">
        <v>10469</v>
      </c>
      <c r="K1301" t="s">
        <v>10470</v>
      </c>
      <c r="L1301" t="s">
        <v>27</v>
      </c>
      <c r="M1301" t="s">
        <v>10471</v>
      </c>
      <c r="N1301" t="s">
        <v>28</v>
      </c>
      <c r="O1301" t="s">
        <v>68</v>
      </c>
      <c r="P1301" t="s">
        <v>74</v>
      </c>
      <c r="Q1301" t="s">
        <v>31</v>
      </c>
      <c r="R1301">
        <v>9</v>
      </c>
      <c r="S1301" t="s">
        <v>10472</v>
      </c>
      <c r="T1301" t="s">
        <v>10473</v>
      </c>
      <c r="U1301" t="s">
        <v>10474</v>
      </c>
      <c r="V1301" t="s">
        <v>32</v>
      </c>
      <c r="W1301" t="s">
        <v>33</v>
      </c>
      <c r="X1301" t="s">
        <v>33</v>
      </c>
      <c r="Y1301" t="s">
        <v>33</v>
      </c>
      <c r="Z1301" s="16" t="s">
        <v>34</v>
      </c>
      <c r="AA1301">
        <v>-75.655931649999999</v>
      </c>
      <c r="AB1301">
        <v>6.1876859199999998</v>
      </c>
      <c r="AC1301" t="s">
        <v>135</v>
      </c>
      <c r="AD1301" t="s">
        <v>136</v>
      </c>
    </row>
    <row r="1302" spans="1:30" x14ac:dyDescent="0.25">
      <c r="A1302" t="s">
        <v>10475</v>
      </c>
      <c r="B1302" t="s">
        <v>65</v>
      </c>
      <c r="C1302" t="s">
        <v>26</v>
      </c>
      <c r="D1302" t="s">
        <v>66</v>
      </c>
      <c r="E1302" t="s">
        <v>10476</v>
      </c>
      <c r="F1302" t="s">
        <v>10477</v>
      </c>
      <c r="G1302">
        <v>34970253</v>
      </c>
      <c r="H1302" t="s">
        <v>10478</v>
      </c>
      <c r="I1302" s="4" t="s">
        <v>10479</v>
      </c>
      <c r="J1302" s="4" t="s">
        <v>10480</v>
      </c>
      <c r="K1302" t="s">
        <v>10481</v>
      </c>
      <c r="L1302" t="s">
        <v>27</v>
      </c>
      <c r="M1302" t="s">
        <v>10482</v>
      </c>
      <c r="N1302" t="s">
        <v>28</v>
      </c>
      <c r="O1302" t="s">
        <v>68</v>
      </c>
      <c r="P1302" t="s">
        <v>70</v>
      </c>
      <c r="Q1302" t="s">
        <v>31</v>
      </c>
      <c r="R1302">
        <v>9</v>
      </c>
      <c r="S1302" t="s">
        <v>10483</v>
      </c>
      <c r="T1302" t="s">
        <v>10484</v>
      </c>
      <c r="U1302" t="s">
        <v>10485</v>
      </c>
      <c r="V1302" t="s">
        <v>32</v>
      </c>
      <c r="W1302" t="s">
        <v>33</v>
      </c>
      <c r="X1302" t="s">
        <v>33</v>
      </c>
      <c r="Y1302" t="s">
        <v>33</v>
      </c>
      <c r="Z1302" s="16" t="s">
        <v>34</v>
      </c>
      <c r="AA1302">
        <v>-75.612359690000005</v>
      </c>
      <c r="AB1302">
        <v>6.2753276099999997</v>
      </c>
      <c r="AC1302" t="s">
        <v>135</v>
      </c>
      <c r="AD1302" t="s">
        <v>136</v>
      </c>
    </row>
  </sheetData>
  <phoneticPr fontId="9" type="noConversion"/>
  <conditionalFormatting sqref="A1303:A1048576">
    <cfRule type="duplicateValues" dxfId="42" priority="153"/>
  </conditionalFormatting>
  <conditionalFormatting sqref="V2:V1302">
    <cfRule type="expression" dxfId="22" priority="1">
      <formula>$V2="VENCIDO"</formula>
    </cfRule>
    <cfRule type="expression" dxfId="21" priority="2">
      <formula>$V2="ALERTA_0 Días"</formula>
    </cfRule>
    <cfRule type="expression" dxfId="20" priority="3">
      <formula>$V2="ALERTA"</formula>
    </cfRule>
    <cfRule type="expression" dxfId="19" priority="4">
      <formula>$V2="A TIEMPO"</formula>
    </cfRule>
  </conditionalFormatting>
  <conditionalFormatting sqref="W2:W1302">
    <cfRule type="expression" dxfId="18" priority="5">
      <formula>EXACT($W2,"Ejecutado en Campo")</formula>
    </cfRule>
    <cfRule type="expression" dxfId="17" priority="6">
      <formula>OR(EXACT($W2,"Pendiente"),EXACT($W2,"En Proceso"))</formula>
    </cfRule>
    <cfRule type="expression" dxfId="16" priority="7">
      <formula>OR(EXACT($W2,"En Ejecución"),EXACT($W2,"Revisión"))</formula>
    </cfRule>
    <cfRule type="expression" dxfId="15" priority="8">
      <formula>EXACT($W2,"SIN DATO")</formula>
    </cfRule>
  </conditionalFormatting>
  <conditionalFormatting sqref="X2:X1302">
    <cfRule type="expression" dxfId="14" priority="9">
      <formula>$X2="CERRADO"</formula>
    </cfRule>
    <cfRule type="expression" dxfId="13" priority="10">
      <formula>$X2="ABIERTO"</formula>
    </cfRule>
    <cfRule type="expression" dxfId="12" priority="11">
      <formula>$X2="APUNTO DE VENCER"</formula>
    </cfRule>
    <cfRule type="expression" dxfId="11" priority="12">
      <formula>$X2="CRÍTICO"</formula>
    </cfRule>
    <cfRule type="expression" dxfId="10" priority="13">
      <formula>$X2="VENCIDO"</formula>
    </cfRule>
  </conditionalFormatting>
  <conditionalFormatting sqref="Z2:Z1302">
    <cfRule type="containsText" dxfId="9" priority="14" operator="containsText" text="A TIEMPO">
      <formula>NOT(ISERROR(SEARCH("A TIEMPO",$Z2)))</formula>
    </cfRule>
    <cfRule type="containsText" dxfId="8" priority="15" operator="containsText" text="ALERTA">
      <formula>NOT(ISERROR(SEARCH("ALERTA",$Z2)))</formula>
    </cfRule>
    <cfRule type="containsText" dxfId="7" priority="16" operator="containsText" text="ALERTA_0_DIAS">
      <formula>NOT(ISERROR(SEARCH("ALERTA_0_DIAS",$Z2)))</formula>
    </cfRule>
    <cfRule type="containsText" dxfId="6" priority="17" operator="containsText" text="CRÍTICO">
      <formula>NOT(ISERROR(SEARCH("CRÍTICO",$Z2)))</formula>
    </cfRule>
    <cfRule type="containsText" dxfId="5" priority="18" operator="containsText" text="ABIERTO">
      <formula>NOT(ISERROR(SEARCH("ABIERTO",$Z2)))</formula>
    </cfRule>
    <cfRule type="containsText" dxfId="4" priority="19" operator="containsText" text="CERRADO">
      <formula>NOT(ISERROR(SEARCH("CERRADO",$Z2)))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rgb="FF002060"/>
  </sheetPr>
  <dimension ref="B1:AO1419"/>
  <sheetViews>
    <sheetView showGridLines="0" zoomScale="85" zoomScaleNormal="85" workbookViewId="0">
      <selection activeCell="C1" sqref="C1"/>
    </sheetView>
  </sheetViews>
  <sheetFormatPr baseColWidth="10" defaultRowHeight="15" x14ac:dyDescent="0.25"/>
  <cols>
    <col min="1" max="1" width="4.28515625" style="6" customWidth="1"/>
    <col min="2" max="2" width="22" style="6" customWidth="1"/>
    <col min="3" max="3" width="17.85546875" style="6" bestFit="1" customWidth="1"/>
    <col min="4" max="4" width="19.42578125" style="6" customWidth="1"/>
    <col min="5" max="5" width="18.140625" style="6" bestFit="1" customWidth="1"/>
    <col min="6" max="6" width="18.42578125" style="6" customWidth="1"/>
    <col min="7" max="7" width="19" style="6" bestFit="1" customWidth="1"/>
    <col min="8" max="8" width="20" style="6" customWidth="1"/>
    <col min="9" max="9" width="19.85546875" style="6" customWidth="1"/>
    <col min="10" max="10" width="18" style="6" customWidth="1"/>
    <col min="11" max="11" width="13.7109375" style="6" bestFit="1" customWidth="1"/>
    <col min="12" max="12" width="20.85546875" style="6" customWidth="1"/>
    <col min="13" max="13" width="11.42578125" style="6" customWidth="1"/>
    <col min="14" max="14" width="16.5703125" style="6" bestFit="1" customWidth="1"/>
    <col min="15" max="19" width="11.42578125" style="6" customWidth="1"/>
    <col min="20" max="20" width="11.42578125" style="7" customWidth="1"/>
    <col min="21" max="21" width="11.42578125" style="6" customWidth="1"/>
    <col min="22" max="16384" width="11.42578125" style="6"/>
  </cols>
  <sheetData>
    <row r="1" spans="2:41" ht="25.5" customHeight="1" x14ac:dyDescent="0.25">
      <c r="T1" s="7" t="s">
        <v>117</v>
      </c>
    </row>
    <row r="2" spans="2:41" ht="33" x14ac:dyDescent="0.25">
      <c r="B2" s="21" t="s">
        <v>118</v>
      </c>
      <c r="C2" s="22"/>
      <c r="D2" s="22"/>
      <c r="E2" s="22"/>
      <c r="F2" s="22"/>
      <c r="G2" s="22"/>
      <c r="H2" s="22"/>
      <c r="I2" s="22"/>
      <c r="J2" s="22"/>
      <c r="K2" s="22"/>
      <c r="L2" s="22"/>
      <c r="T2" s="8">
        <f>COUNTIF(DATOS_ANS!V:V,"VENCIDO")</f>
        <v>106</v>
      </c>
      <c r="AO2" s="9"/>
    </row>
    <row r="3" spans="2:41" ht="42.75" customHeight="1" x14ac:dyDescent="0.25">
      <c r="B3" s="23"/>
      <c r="C3" s="23"/>
      <c r="T3" s="8"/>
      <c r="AO3" s="9"/>
    </row>
    <row r="4" spans="2:41" ht="33" customHeight="1" x14ac:dyDescent="0.6">
      <c r="B4" s="5"/>
      <c r="D4" s="5"/>
      <c r="E4" s="5"/>
      <c r="F4" s="5"/>
      <c r="G4" s="5"/>
      <c r="H4" s="5"/>
      <c r="I4" s="5"/>
      <c r="J4" s="5"/>
      <c r="K4" s="5"/>
      <c r="L4" s="5"/>
      <c r="N4" s="15"/>
      <c r="T4" s="8"/>
      <c r="AO4" s="9"/>
    </row>
    <row r="5" spans="2:41" ht="33" customHeight="1" x14ac:dyDescent="0.6">
      <c r="B5" s="5"/>
      <c r="C5" s="5"/>
      <c r="D5" s="5"/>
      <c r="E5" s="5"/>
      <c r="F5" s="5"/>
      <c r="G5" s="5"/>
      <c r="H5" s="5"/>
      <c r="I5" s="5"/>
      <c r="J5" s="5"/>
      <c r="K5" s="5"/>
      <c r="L5" s="5"/>
      <c r="T5" s="8"/>
      <c r="AO5" s="9"/>
    </row>
    <row r="6" spans="2:41" ht="33" customHeight="1" x14ac:dyDescent="0.6">
      <c r="B6" s="5"/>
      <c r="C6" s="5"/>
      <c r="D6" s="5"/>
      <c r="E6" s="5"/>
      <c r="F6" s="5"/>
      <c r="G6" s="5"/>
      <c r="H6" s="5"/>
      <c r="I6" s="5"/>
      <c r="J6" s="5"/>
      <c r="K6" s="5"/>
      <c r="L6" s="5"/>
      <c r="T6" s="8"/>
      <c r="AO6" s="9"/>
    </row>
    <row r="7" spans="2:41" x14ac:dyDescent="0.25">
      <c r="T7" s="8">
        <f>COUNTIF(DATOS_ANS!V:V,"A TIEMPO")</f>
        <v>884</v>
      </c>
      <c r="AO7" s="9"/>
    </row>
    <row r="8" spans="2:41" ht="17.25" customHeight="1" x14ac:dyDescent="0.3">
      <c r="B8" s="10" t="s">
        <v>119</v>
      </c>
      <c r="C8" s="11"/>
      <c r="D8" s="12"/>
      <c r="E8" s="13"/>
      <c r="T8" s="8">
        <f>COUNTIF(DATOS_ANS!V:V,"ALERTA")</f>
        <v>279</v>
      </c>
      <c r="AO8" s="9"/>
    </row>
    <row r="9" spans="2:41" ht="15.75" customHeight="1" x14ac:dyDescent="0.25">
      <c r="B9" s="11"/>
      <c r="C9" s="11"/>
      <c r="D9" s="11"/>
      <c r="T9" s="8">
        <f>COUNTIF(DATOS_ANS!V:V,"ALERTA_0 Días")</f>
        <v>31</v>
      </c>
      <c r="AO9" s="9"/>
    </row>
    <row r="10" spans="2:41" ht="17.25" customHeight="1" x14ac:dyDescent="0.3">
      <c r="B10" s="10" t="s">
        <v>120</v>
      </c>
      <c r="C10" s="11"/>
      <c r="D10" s="11"/>
      <c r="T10" s="8">
        <f>COUNTIF(DATOS_ANS!V:V,"SIN FECHA")</f>
        <v>1</v>
      </c>
      <c r="AO10" s="9"/>
    </row>
    <row r="11" spans="2:41" ht="15.75" customHeight="1" x14ac:dyDescent="0.25">
      <c r="B11" s="11"/>
      <c r="C11" s="11"/>
      <c r="D11" s="11"/>
      <c r="R11" s="14"/>
      <c r="T11" s="8">
        <f>SUM(T2:T10)</f>
        <v>1301</v>
      </c>
      <c r="AO11" s="9"/>
    </row>
    <row r="12" spans="2:41" ht="17.25" customHeight="1" x14ac:dyDescent="0.3">
      <c r="B12" s="10" t="s">
        <v>121</v>
      </c>
      <c r="C12" s="11"/>
      <c r="D12" s="11"/>
      <c r="R12" s="14"/>
      <c r="T12" s="8"/>
    </row>
    <row r="13" spans="2:41" ht="15.75" customHeight="1" x14ac:dyDescent="0.25">
      <c r="B13" s="11"/>
      <c r="C13" s="11"/>
      <c r="D13" s="11"/>
    </row>
    <row r="14" spans="2:41" ht="17.25" customHeight="1" x14ac:dyDescent="0.3">
      <c r="B14" s="10" t="s">
        <v>122</v>
      </c>
      <c r="C14" s="11"/>
      <c r="D14" s="11"/>
    </row>
    <row r="15" spans="2:41" ht="15.75" customHeight="1" x14ac:dyDescent="0.25">
      <c r="B15" s="11"/>
      <c r="C15" s="11"/>
      <c r="D15" s="11"/>
    </row>
    <row r="16" spans="2:41" ht="17.25" customHeight="1" x14ac:dyDescent="0.3">
      <c r="B16" s="10" t="s">
        <v>123</v>
      </c>
      <c r="C16" s="11"/>
      <c r="D16" s="11"/>
    </row>
    <row r="17" spans="2:11" ht="15.75" customHeight="1" x14ac:dyDescent="0.25">
      <c r="B17" s="11"/>
      <c r="C17" s="11"/>
      <c r="D17" s="11"/>
    </row>
    <row r="18" spans="2:11" ht="17.25" customHeight="1" x14ac:dyDescent="0.3">
      <c r="B18" s="10" t="s">
        <v>124</v>
      </c>
      <c r="C18" s="11"/>
      <c r="D18" s="11"/>
    </row>
    <row r="19" spans="2:11" ht="15.75" customHeight="1" x14ac:dyDescent="0.25">
      <c r="B19" s="11"/>
      <c r="C19" s="11"/>
      <c r="D19" s="11"/>
    </row>
    <row r="20" spans="2:11" ht="15.75" customHeight="1" x14ac:dyDescent="0.25">
      <c r="B20" s="11"/>
      <c r="C20" s="11"/>
      <c r="D20" s="11"/>
    </row>
    <row r="21" spans="2:11" ht="15.75" customHeight="1" x14ac:dyDescent="0.25">
      <c r="B21" s="11"/>
      <c r="C21" s="11"/>
      <c r="D21" s="11"/>
    </row>
    <row r="22" spans="2:11" ht="15.75" customHeight="1" x14ac:dyDescent="0.25">
      <c r="B22" s="11"/>
      <c r="C22" s="11"/>
      <c r="D22" s="11"/>
    </row>
    <row r="23" spans="2:11" ht="15.75" customHeight="1" x14ac:dyDescent="0.25">
      <c r="B23" s="11"/>
      <c r="C23" s="11"/>
      <c r="D23" s="11"/>
      <c r="G23" s="6" t="s">
        <v>953</v>
      </c>
    </row>
    <row r="24" spans="2:11" ht="15.75" customHeight="1" x14ac:dyDescent="0.25">
      <c r="B24" s="11"/>
      <c r="C24" s="11"/>
      <c r="D24" s="11"/>
    </row>
    <row r="25" spans="2:11" ht="15.75" customHeight="1" x14ac:dyDescent="0.25">
      <c r="B25" s="11"/>
      <c r="C25" s="11"/>
      <c r="D25" s="11"/>
    </row>
    <row r="26" spans="2:11" ht="15.75" customHeight="1" x14ac:dyDescent="0.25">
      <c r="B26" s="11"/>
      <c r="C26" s="17" t="s">
        <v>0</v>
      </c>
      <c r="D26" s="17" t="s">
        <v>5</v>
      </c>
      <c r="E26" s="17" t="s">
        <v>11</v>
      </c>
      <c r="F26" s="17" t="s">
        <v>13</v>
      </c>
      <c r="G26" s="17" t="s">
        <v>14</v>
      </c>
      <c r="H26" s="17" t="s">
        <v>16</v>
      </c>
      <c r="I26" s="17" t="s">
        <v>18</v>
      </c>
      <c r="J26" s="17" t="s">
        <v>20</v>
      </c>
      <c r="K26" s="17" t="s">
        <v>21</v>
      </c>
    </row>
    <row r="27" spans="2:11" x14ac:dyDescent="0.25">
      <c r="C27" s="25">
        <v>22706722</v>
      </c>
      <c r="D27" s="26">
        <v>45990.553796296299</v>
      </c>
      <c r="E27" s="25" t="s">
        <v>55</v>
      </c>
      <c r="F27" s="25" t="s">
        <v>56</v>
      </c>
      <c r="G27" s="25" t="s">
        <v>40</v>
      </c>
      <c r="H27" s="25" t="s">
        <v>38</v>
      </c>
      <c r="I27" s="26">
        <v>46002.553796296299</v>
      </c>
      <c r="J27" s="25" t="s">
        <v>10333</v>
      </c>
      <c r="K27" s="25" t="s">
        <v>32</v>
      </c>
    </row>
    <row r="28" spans="2:11" x14ac:dyDescent="0.25">
      <c r="C28" s="25">
        <v>22824005</v>
      </c>
      <c r="D28" s="26">
        <v>45988.9059375</v>
      </c>
      <c r="E28" s="25" t="s">
        <v>44</v>
      </c>
      <c r="F28" s="25" t="s">
        <v>45</v>
      </c>
      <c r="G28" s="25" t="s">
        <v>40</v>
      </c>
      <c r="H28" s="25" t="s">
        <v>31</v>
      </c>
      <c r="I28" s="26">
        <v>45995.9059375</v>
      </c>
      <c r="J28" s="25" t="s">
        <v>6128</v>
      </c>
      <c r="K28" s="25" t="s">
        <v>32</v>
      </c>
    </row>
    <row r="29" spans="2:11" x14ac:dyDescent="0.25">
      <c r="C29" s="25">
        <v>22845091</v>
      </c>
      <c r="D29" s="26">
        <v>45985.376759259256</v>
      </c>
      <c r="E29" s="25" t="s">
        <v>27</v>
      </c>
      <c r="F29" s="25" t="s">
        <v>28</v>
      </c>
      <c r="G29" s="25" t="s">
        <v>76</v>
      </c>
      <c r="H29" s="25" t="s">
        <v>31</v>
      </c>
      <c r="I29" s="26">
        <v>45994.376759259256</v>
      </c>
      <c r="J29" s="25" t="s">
        <v>889</v>
      </c>
      <c r="K29" s="25" t="s">
        <v>49</v>
      </c>
    </row>
    <row r="30" spans="2:11" x14ac:dyDescent="0.25">
      <c r="C30" s="25">
        <v>22869272</v>
      </c>
      <c r="D30" s="26">
        <v>45988.571087962962</v>
      </c>
      <c r="E30" s="25" t="s">
        <v>44</v>
      </c>
      <c r="F30" s="25" t="s">
        <v>45</v>
      </c>
      <c r="G30" s="25" t="s">
        <v>40</v>
      </c>
      <c r="H30" s="25" t="s">
        <v>31</v>
      </c>
      <c r="I30" s="26">
        <v>45995.571087962962</v>
      </c>
      <c r="J30" s="25" t="s">
        <v>6131</v>
      </c>
      <c r="K30" s="25" t="s">
        <v>32</v>
      </c>
    </row>
    <row r="31" spans="2:11" x14ac:dyDescent="0.25">
      <c r="C31" s="25">
        <v>23069420</v>
      </c>
      <c r="D31" s="26">
        <v>45988.90625</v>
      </c>
      <c r="E31" s="25" t="s">
        <v>27</v>
      </c>
      <c r="F31" s="25" t="s">
        <v>28</v>
      </c>
      <c r="G31" s="25" t="s">
        <v>40</v>
      </c>
      <c r="H31" s="25" t="s">
        <v>31</v>
      </c>
      <c r="I31" s="26">
        <v>45995.90625</v>
      </c>
      <c r="J31" s="25" t="s">
        <v>6141</v>
      </c>
      <c r="K31" s="25" t="s">
        <v>32</v>
      </c>
    </row>
    <row r="32" spans="2:11" x14ac:dyDescent="0.25">
      <c r="C32" s="25">
        <v>23070653</v>
      </c>
      <c r="D32" s="26">
        <v>45983.420231481483</v>
      </c>
      <c r="E32" s="25" t="s">
        <v>27</v>
      </c>
      <c r="F32" s="25" t="s">
        <v>28</v>
      </c>
      <c r="G32" s="25" t="s">
        <v>29</v>
      </c>
      <c r="H32" s="25" t="s">
        <v>31</v>
      </c>
      <c r="I32" s="26">
        <v>45993.420231481483</v>
      </c>
      <c r="J32" s="25" t="s">
        <v>6142</v>
      </c>
      <c r="K32" s="25" t="s">
        <v>49</v>
      </c>
    </row>
    <row r="33" spans="3:11" x14ac:dyDescent="0.25">
      <c r="C33" s="25">
        <v>23092855</v>
      </c>
      <c r="D33" s="26">
        <v>45987.376608796294</v>
      </c>
      <c r="E33" s="25" t="s">
        <v>27</v>
      </c>
      <c r="F33" s="25" t="s">
        <v>28</v>
      </c>
      <c r="G33" s="25" t="s">
        <v>62</v>
      </c>
      <c r="H33" s="25" t="s">
        <v>31</v>
      </c>
      <c r="I33" s="26">
        <v>45993.376608796294</v>
      </c>
      <c r="J33" s="25" t="s">
        <v>6143</v>
      </c>
      <c r="K33" s="25" t="s">
        <v>49</v>
      </c>
    </row>
    <row r="34" spans="3:11" x14ac:dyDescent="0.25">
      <c r="C34" s="25">
        <v>23102563</v>
      </c>
      <c r="D34" s="26">
        <v>45988.642569444448</v>
      </c>
      <c r="E34" s="25" t="s">
        <v>27</v>
      </c>
      <c r="F34" s="25" t="s">
        <v>28</v>
      </c>
      <c r="G34" s="25" t="s">
        <v>62</v>
      </c>
      <c r="H34" s="25" t="s">
        <v>31</v>
      </c>
      <c r="I34" s="26">
        <v>45994.642569444448</v>
      </c>
      <c r="J34" s="25" t="s">
        <v>6151</v>
      </c>
      <c r="K34" s="25" t="s">
        <v>49</v>
      </c>
    </row>
    <row r="35" spans="3:11" x14ac:dyDescent="0.25">
      <c r="C35" s="25">
        <v>23112653</v>
      </c>
      <c r="D35" s="26">
        <v>45988.460659722223</v>
      </c>
      <c r="E35" s="25" t="s">
        <v>57</v>
      </c>
      <c r="F35" s="25" t="s">
        <v>58</v>
      </c>
      <c r="G35" s="25" t="s">
        <v>29</v>
      </c>
      <c r="H35" s="25" t="s">
        <v>31</v>
      </c>
      <c r="I35" s="26">
        <v>46000.460659722223</v>
      </c>
      <c r="J35" s="25" t="s">
        <v>6153</v>
      </c>
      <c r="K35" s="25" t="s">
        <v>32</v>
      </c>
    </row>
    <row r="36" spans="3:11" x14ac:dyDescent="0.25">
      <c r="C36" s="25">
        <v>23117607</v>
      </c>
      <c r="D36" s="26">
        <v>45986.910127314812</v>
      </c>
      <c r="E36" s="25" t="s">
        <v>59</v>
      </c>
      <c r="F36" s="25" t="s">
        <v>60</v>
      </c>
      <c r="G36" s="25" t="s">
        <v>29</v>
      </c>
      <c r="H36" s="25" t="s">
        <v>31</v>
      </c>
      <c r="I36" s="26">
        <v>45995.910127314812</v>
      </c>
      <c r="J36" s="25" t="s">
        <v>1481</v>
      </c>
      <c r="K36" s="25" t="s">
        <v>32</v>
      </c>
    </row>
    <row r="37" spans="3:11" x14ac:dyDescent="0.25">
      <c r="C37" s="25">
        <v>23166279</v>
      </c>
      <c r="D37" s="26">
        <v>45986.626400462963</v>
      </c>
      <c r="E37" s="25" t="s">
        <v>27</v>
      </c>
      <c r="F37" s="25" t="s">
        <v>28</v>
      </c>
      <c r="G37" s="25" t="s">
        <v>40</v>
      </c>
      <c r="H37" s="25" t="s">
        <v>31</v>
      </c>
      <c r="I37" s="26">
        <v>45993.626400462963</v>
      </c>
      <c r="J37" s="25" t="s">
        <v>6154</v>
      </c>
      <c r="K37" s="25" t="s">
        <v>49</v>
      </c>
    </row>
    <row r="38" spans="3:11" x14ac:dyDescent="0.25">
      <c r="C38" s="25">
        <v>23184846</v>
      </c>
      <c r="D38" s="26">
        <v>45988.404247685183</v>
      </c>
      <c r="E38" s="25" t="s">
        <v>27</v>
      </c>
      <c r="F38" s="25" t="s">
        <v>28</v>
      </c>
      <c r="G38" s="25" t="s">
        <v>40</v>
      </c>
      <c r="H38" s="25" t="s">
        <v>31</v>
      </c>
      <c r="I38" s="26">
        <v>45995.404247685183</v>
      </c>
      <c r="J38" s="25" t="s">
        <v>1571</v>
      </c>
      <c r="K38" s="25" t="s">
        <v>32</v>
      </c>
    </row>
    <row r="39" spans="3:11" x14ac:dyDescent="0.25">
      <c r="C39" s="25">
        <v>23224829</v>
      </c>
      <c r="D39" s="26">
        <v>45986.510115740741</v>
      </c>
      <c r="E39" s="25" t="s">
        <v>27</v>
      </c>
      <c r="F39" s="25" t="s">
        <v>28</v>
      </c>
      <c r="G39" s="25" t="s">
        <v>43</v>
      </c>
      <c r="H39" s="25" t="s">
        <v>31</v>
      </c>
      <c r="I39" s="26">
        <v>45995.510115740741</v>
      </c>
      <c r="J39" s="25" t="s">
        <v>720</v>
      </c>
      <c r="K39" s="25" t="s">
        <v>32</v>
      </c>
    </row>
    <row r="40" spans="3:11" x14ac:dyDescent="0.25">
      <c r="C40" s="25">
        <v>23252004</v>
      </c>
      <c r="D40" s="26">
        <v>45969.369432870371</v>
      </c>
      <c r="E40" s="25" t="s">
        <v>27</v>
      </c>
      <c r="F40" s="25" t="s">
        <v>28</v>
      </c>
      <c r="G40" s="25" t="s">
        <v>137</v>
      </c>
      <c r="H40" s="25" t="s">
        <v>31</v>
      </c>
      <c r="I40" s="26">
        <v>45980.369432870371</v>
      </c>
      <c r="J40" s="25" t="s">
        <v>47</v>
      </c>
      <c r="K40" s="25" t="s">
        <v>47</v>
      </c>
    </row>
    <row r="41" spans="3:11" x14ac:dyDescent="0.25">
      <c r="C41" s="25">
        <v>23252019</v>
      </c>
      <c r="D41" s="26">
        <v>45969.369074074071</v>
      </c>
      <c r="E41" s="25" t="s">
        <v>27</v>
      </c>
      <c r="F41" s="25" t="s">
        <v>28</v>
      </c>
      <c r="G41" s="25" t="s">
        <v>137</v>
      </c>
      <c r="H41" s="25" t="s">
        <v>31</v>
      </c>
      <c r="I41" s="26">
        <v>45980.369074074071</v>
      </c>
      <c r="J41" s="25" t="s">
        <v>47</v>
      </c>
      <c r="K41" s="25" t="s">
        <v>47</v>
      </c>
    </row>
    <row r="42" spans="3:11" x14ac:dyDescent="0.25">
      <c r="C42" s="25">
        <v>23253443</v>
      </c>
      <c r="D42" s="26">
        <v>45969.364178240743</v>
      </c>
      <c r="E42" s="25" t="s">
        <v>27</v>
      </c>
      <c r="F42" s="25" t="s">
        <v>28</v>
      </c>
      <c r="G42" s="25" t="s">
        <v>137</v>
      </c>
      <c r="H42" s="25" t="s">
        <v>31</v>
      </c>
      <c r="I42" s="26">
        <v>45980.364178240743</v>
      </c>
      <c r="J42" s="25" t="s">
        <v>47</v>
      </c>
      <c r="K42" s="25" t="s">
        <v>47</v>
      </c>
    </row>
    <row r="43" spans="3:11" x14ac:dyDescent="0.25">
      <c r="C43" s="25">
        <v>23255212</v>
      </c>
      <c r="D43" s="26">
        <v>45986.833449074074</v>
      </c>
      <c r="E43" s="25" t="s">
        <v>27</v>
      </c>
      <c r="F43" s="25" t="s">
        <v>28</v>
      </c>
      <c r="G43" s="25" t="s">
        <v>62</v>
      </c>
      <c r="H43" s="25" t="s">
        <v>31</v>
      </c>
      <c r="I43" s="26">
        <v>45992.833449074074</v>
      </c>
      <c r="J43" s="25" t="s">
        <v>6158</v>
      </c>
      <c r="K43" s="25" t="s">
        <v>131</v>
      </c>
    </row>
    <row r="44" spans="3:11" x14ac:dyDescent="0.25">
      <c r="C44" s="25">
        <v>23263902</v>
      </c>
      <c r="D44" s="26">
        <v>45988.412442129629</v>
      </c>
      <c r="E44" s="25" t="s">
        <v>27</v>
      </c>
      <c r="F44" s="25" t="s">
        <v>28</v>
      </c>
      <c r="G44" s="25" t="s">
        <v>29</v>
      </c>
      <c r="H44" s="25" t="s">
        <v>31</v>
      </c>
      <c r="I44" s="26">
        <v>46000.412442129629</v>
      </c>
      <c r="J44" s="25" t="s">
        <v>6160</v>
      </c>
      <c r="K44" s="25" t="s">
        <v>32</v>
      </c>
    </row>
    <row r="45" spans="3:11" x14ac:dyDescent="0.25">
      <c r="C45" s="25">
        <v>23274649</v>
      </c>
      <c r="D45" s="26">
        <v>45989.404293981483</v>
      </c>
      <c r="E45" s="25" t="s">
        <v>27</v>
      </c>
      <c r="F45" s="25" t="s">
        <v>28</v>
      </c>
      <c r="G45" s="25" t="s">
        <v>40</v>
      </c>
      <c r="H45" s="25" t="s">
        <v>31</v>
      </c>
      <c r="I45" s="26">
        <v>45996.404293981483</v>
      </c>
      <c r="J45" s="25" t="s">
        <v>1503</v>
      </c>
      <c r="K45" s="25" t="s">
        <v>32</v>
      </c>
    </row>
    <row r="46" spans="3:11" x14ac:dyDescent="0.25">
      <c r="C46" s="25">
        <v>23296257</v>
      </c>
      <c r="D46" s="26">
        <v>45988.385925925926</v>
      </c>
      <c r="E46" s="25" t="s">
        <v>27</v>
      </c>
      <c r="F46" s="25" t="s">
        <v>28</v>
      </c>
      <c r="G46" s="25" t="s">
        <v>40</v>
      </c>
      <c r="H46" s="25" t="s">
        <v>31</v>
      </c>
      <c r="I46" s="26">
        <v>45995.385925925926</v>
      </c>
      <c r="J46" s="25" t="s">
        <v>2168</v>
      </c>
      <c r="K46" s="25" t="s">
        <v>32</v>
      </c>
    </row>
    <row r="47" spans="3:11" x14ac:dyDescent="0.25">
      <c r="C47" s="25">
        <v>23313637</v>
      </c>
      <c r="D47" s="26">
        <v>45987.625960648147</v>
      </c>
      <c r="E47" s="25" t="s">
        <v>27</v>
      </c>
      <c r="F47" s="25" t="s">
        <v>28</v>
      </c>
      <c r="G47" s="25" t="s">
        <v>29</v>
      </c>
      <c r="H47" s="25" t="s">
        <v>31</v>
      </c>
      <c r="I47" s="26">
        <v>45996.625960648147</v>
      </c>
      <c r="J47" s="25" t="s">
        <v>6170</v>
      </c>
      <c r="K47" s="25" t="s">
        <v>32</v>
      </c>
    </row>
    <row r="48" spans="3:11" x14ac:dyDescent="0.25">
      <c r="C48" s="25">
        <v>23321291</v>
      </c>
      <c r="D48" s="26">
        <v>45988.405543981484</v>
      </c>
      <c r="E48" s="25" t="s">
        <v>55</v>
      </c>
      <c r="F48" s="25" t="s">
        <v>56</v>
      </c>
      <c r="G48" s="25" t="s">
        <v>29</v>
      </c>
      <c r="H48" s="25" t="s">
        <v>38</v>
      </c>
      <c r="I48" s="26">
        <v>46003.405543981484</v>
      </c>
      <c r="J48" s="25" t="s">
        <v>6172</v>
      </c>
      <c r="K48" s="25" t="s">
        <v>32</v>
      </c>
    </row>
    <row r="49" spans="3:11" x14ac:dyDescent="0.25">
      <c r="C49" s="25">
        <v>23341522</v>
      </c>
      <c r="D49" s="26">
        <v>45988.628287037034</v>
      </c>
      <c r="E49" s="25" t="s">
        <v>44</v>
      </c>
      <c r="F49" s="25" t="s">
        <v>45</v>
      </c>
      <c r="G49" s="25" t="s">
        <v>29</v>
      </c>
      <c r="H49" s="25" t="s">
        <v>31</v>
      </c>
      <c r="I49" s="26">
        <v>46000.628287037034</v>
      </c>
      <c r="J49" s="25" t="s">
        <v>6180</v>
      </c>
      <c r="K49" s="25" t="s">
        <v>32</v>
      </c>
    </row>
    <row r="50" spans="3:11" x14ac:dyDescent="0.25">
      <c r="C50" s="25">
        <v>23343145</v>
      </c>
      <c r="D50" s="26">
        <v>45989.90761574074</v>
      </c>
      <c r="E50" s="25" t="s">
        <v>55</v>
      </c>
      <c r="F50" s="25" t="s">
        <v>56</v>
      </c>
      <c r="G50" s="25" t="s">
        <v>29</v>
      </c>
      <c r="H50" s="25" t="s">
        <v>38</v>
      </c>
      <c r="I50" s="26">
        <v>46006.90761574074</v>
      </c>
      <c r="J50" s="25" t="s">
        <v>6189</v>
      </c>
      <c r="K50" s="25" t="s">
        <v>32</v>
      </c>
    </row>
    <row r="51" spans="3:11" x14ac:dyDescent="0.25">
      <c r="C51" s="25">
        <v>23343157</v>
      </c>
      <c r="D51" s="26">
        <v>45989.907673611109</v>
      </c>
      <c r="E51" s="25" t="s">
        <v>55</v>
      </c>
      <c r="F51" s="25" t="s">
        <v>56</v>
      </c>
      <c r="G51" s="25" t="s">
        <v>29</v>
      </c>
      <c r="H51" s="25" t="s">
        <v>38</v>
      </c>
      <c r="I51" s="26">
        <v>46006.907673611109</v>
      </c>
      <c r="J51" s="25" t="s">
        <v>6196</v>
      </c>
      <c r="K51" s="25" t="s">
        <v>32</v>
      </c>
    </row>
    <row r="52" spans="3:11" x14ac:dyDescent="0.25">
      <c r="C52" s="25">
        <v>23359888</v>
      </c>
      <c r="D52" s="26">
        <v>45989.418321759258</v>
      </c>
      <c r="E52" s="25" t="s">
        <v>27</v>
      </c>
      <c r="F52" s="25" t="s">
        <v>28</v>
      </c>
      <c r="G52" s="25" t="s">
        <v>51</v>
      </c>
      <c r="H52" s="25" t="s">
        <v>31</v>
      </c>
      <c r="I52" s="26">
        <v>46007.418321759258</v>
      </c>
      <c r="J52" s="25" t="s">
        <v>6205</v>
      </c>
      <c r="K52" s="25" t="s">
        <v>32</v>
      </c>
    </row>
    <row r="53" spans="3:11" x14ac:dyDescent="0.25">
      <c r="C53" s="25">
        <v>23359888</v>
      </c>
      <c r="D53" s="26">
        <v>45989.418321759258</v>
      </c>
      <c r="E53" s="25" t="s">
        <v>27</v>
      </c>
      <c r="F53" s="25" t="s">
        <v>28</v>
      </c>
      <c r="G53" s="25" t="s">
        <v>51</v>
      </c>
      <c r="H53" s="25" t="s">
        <v>31</v>
      </c>
      <c r="I53" s="26">
        <v>46007.418321759258</v>
      </c>
      <c r="J53" s="25" t="s">
        <v>6205</v>
      </c>
      <c r="K53" s="25" t="s">
        <v>32</v>
      </c>
    </row>
    <row r="54" spans="3:11" x14ac:dyDescent="0.25">
      <c r="C54" s="25">
        <v>23379236</v>
      </c>
      <c r="D54" s="26">
        <v>45986.404340277775</v>
      </c>
      <c r="E54" s="25" t="s">
        <v>48</v>
      </c>
      <c r="F54" s="25" t="s">
        <v>64</v>
      </c>
      <c r="G54" s="25" t="s">
        <v>43</v>
      </c>
      <c r="H54" s="25" t="s">
        <v>38</v>
      </c>
      <c r="I54" s="26">
        <v>46001.404340277775</v>
      </c>
      <c r="J54" s="25" t="s">
        <v>1893</v>
      </c>
      <c r="K54" s="25" t="s">
        <v>32</v>
      </c>
    </row>
    <row r="55" spans="3:11" x14ac:dyDescent="0.25">
      <c r="C55" s="25">
        <v>23380759</v>
      </c>
      <c r="D55" s="26">
        <v>45980.605254629627</v>
      </c>
      <c r="E55" s="25" t="s">
        <v>27</v>
      </c>
      <c r="F55" s="25" t="s">
        <v>28</v>
      </c>
      <c r="G55" s="25" t="s">
        <v>29</v>
      </c>
      <c r="H55" s="25" t="s">
        <v>31</v>
      </c>
      <c r="I55" s="26">
        <v>45989.605254629627</v>
      </c>
      <c r="J55" s="25" t="s">
        <v>47</v>
      </c>
      <c r="K55" s="25" t="s">
        <v>47</v>
      </c>
    </row>
    <row r="56" spans="3:11" x14ac:dyDescent="0.25">
      <c r="C56" s="25">
        <v>23400913</v>
      </c>
      <c r="D56" s="26">
        <v>45988.4062962963</v>
      </c>
      <c r="E56" s="25" t="s">
        <v>44</v>
      </c>
      <c r="F56" s="25" t="s">
        <v>45</v>
      </c>
      <c r="G56" s="25" t="s">
        <v>29</v>
      </c>
      <c r="H56" s="25" t="s">
        <v>31</v>
      </c>
      <c r="I56" s="26">
        <v>46000.4062962963</v>
      </c>
      <c r="J56" s="25" t="s">
        <v>6209</v>
      </c>
      <c r="K56" s="25" t="s">
        <v>32</v>
      </c>
    </row>
    <row r="57" spans="3:11" x14ac:dyDescent="0.25">
      <c r="C57" s="25">
        <v>23404475</v>
      </c>
      <c r="D57" s="26">
        <v>45987.604131944441</v>
      </c>
      <c r="E57" s="25" t="s">
        <v>27</v>
      </c>
      <c r="F57" s="25" t="s">
        <v>28</v>
      </c>
      <c r="G57" s="25" t="s">
        <v>40</v>
      </c>
      <c r="H57" s="25" t="s">
        <v>31</v>
      </c>
      <c r="I57" s="26">
        <v>45994.604131944441</v>
      </c>
      <c r="J57" s="25" t="s">
        <v>592</v>
      </c>
      <c r="K57" s="25" t="s">
        <v>49</v>
      </c>
    </row>
    <row r="58" spans="3:11" x14ac:dyDescent="0.25">
      <c r="C58" s="25">
        <v>23405052</v>
      </c>
      <c r="D58" s="26">
        <v>45987.396828703706</v>
      </c>
      <c r="E58" s="25" t="s">
        <v>27</v>
      </c>
      <c r="F58" s="25" t="s">
        <v>28</v>
      </c>
      <c r="G58" s="25" t="s">
        <v>40</v>
      </c>
      <c r="H58" s="25" t="s">
        <v>31</v>
      </c>
      <c r="I58" s="26">
        <v>45994.396828703706</v>
      </c>
      <c r="J58" s="25" t="s">
        <v>891</v>
      </c>
      <c r="K58" s="25" t="s">
        <v>49</v>
      </c>
    </row>
    <row r="59" spans="3:11" x14ac:dyDescent="0.25">
      <c r="C59" s="25">
        <v>23417291</v>
      </c>
      <c r="D59" s="26">
        <v>45982.522083333337</v>
      </c>
      <c r="E59" s="25" t="s">
        <v>55</v>
      </c>
      <c r="F59" s="25" t="s">
        <v>56</v>
      </c>
      <c r="G59" s="25" t="s">
        <v>40</v>
      </c>
      <c r="H59" s="25" t="s">
        <v>38</v>
      </c>
      <c r="I59" s="26">
        <v>45994.522083333337</v>
      </c>
      <c r="J59" s="25" t="s">
        <v>2711</v>
      </c>
      <c r="K59" s="25" t="s">
        <v>49</v>
      </c>
    </row>
    <row r="60" spans="3:11" x14ac:dyDescent="0.25">
      <c r="C60" s="25">
        <v>23417321</v>
      </c>
      <c r="D60" s="26">
        <v>45982.454398148147</v>
      </c>
      <c r="E60" s="25" t="s">
        <v>55</v>
      </c>
      <c r="F60" s="25" t="s">
        <v>56</v>
      </c>
      <c r="G60" s="25" t="s">
        <v>40</v>
      </c>
      <c r="H60" s="25" t="s">
        <v>38</v>
      </c>
      <c r="I60" s="26">
        <v>45994.454398148147</v>
      </c>
      <c r="J60" s="25" t="s">
        <v>6212</v>
      </c>
      <c r="K60" s="25" t="s">
        <v>49</v>
      </c>
    </row>
    <row r="61" spans="3:11" x14ac:dyDescent="0.25">
      <c r="C61" s="25">
        <v>23418545</v>
      </c>
      <c r="D61" s="26">
        <v>45986.752939814818</v>
      </c>
      <c r="E61" s="25" t="s">
        <v>44</v>
      </c>
      <c r="F61" s="25" t="s">
        <v>45</v>
      </c>
      <c r="G61" s="25" t="s">
        <v>43</v>
      </c>
      <c r="H61" s="25" t="s">
        <v>31</v>
      </c>
      <c r="I61" s="26">
        <v>45995.752939814818</v>
      </c>
      <c r="J61" s="25" t="s">
        <v>1619</v>
      </c>
      <c r="K61" s="25" t="s">
        <v>32</v>
      </c>
    </row>
    <row r="62" spans="3:11" x14ac:dyDescent="0.25">
      <c r="C62" s="25">
        <v>23419840</v>
      </c>
      <c r="D62" s="26">
        <v>45988.475717592592</v>
      </c>
      <c r="E62" s="25" t="s">
        <v>27</v>
      </c>
      <c r="F62" s="25" t="s">
        <v>28</v>
      </c>
      <c r="G62" s="25" t="s">
        <v>46</v>
      </c>
      <c r="H62" s="25" t="s">
        <v>31</v>
      </c>
      <c r="I62" s="26">
        <v>45995.475717592592</v>
      </c>
      <c r="J62" s="25" t="s">
        <v>6214</v>
      </c>
      <c r="K62" s="25" t="s">
        <v>32</v>
      </c>
    </row>
    <row r="63" spans="3:11" x14ac:dyDescent="0.25">
      <c r="C63" s="25">
        <v>23420270</v>
      </c>
      <c r="D63" s="26">
        <v>45985.642824074072</v>
      </c>
      <c r="E63" s="25" t="s">
        <v>57</v>
      </c>
      <c r="F63" s="25" t="s">
        <v>58</v>
      </c>
      <c r="G63" s="25" t="s">
        <v>40</v>
      </c>
      <c r="H63" s="25" t="s">
        <v>31</v>
      </c>
      <c r="I63" s="26">
        <v>45992.642824074072</v>
      </c>
      <c r="J63" s="25" t="s">
        <v>6222</v>
      </c>
      <c r="K63" s="25" t="s">
        <v>131</v>
      </c>
    </row>
    <row r="64" spans="3:11" x14ac:dyDescent="0.25">
      <c r="C64" s="25">
        <v>23422327</v>
      </c>
      <c r="D64" s="26">
        <v>45973.412627314814</v>
      </c>
      <c r="E64" s="25" t="s">
        <v>57</v>
      </c>
      <c r="F64" s="25" t="s">
        <v>58</v>
      </c>
      <c r="G64" s="25" t="s">
        <v>29</v>
      </c>
      <c r="H64" s="25" t="s">
        <v>38</v>
      </c>
      <c r="I64" s="26">
        <v>45988.412627314814</v>
      </c>
      <c r="J64" s="25" t="s">
        <v>47</v>
      </c>
      <c r="K64" s="25" t="s">
        <v>47</v>
      </c>
    </row>
    <row r="65" spans="3:11" x14ac:dyDescent="0.25">
      <c r="C65" s="25">
        <v>23422371</v>
      </c>
      <c r="D65" s="26">
        <v>45973.412905092591</v>
      </c>
      <c r="E65" s="25" t="s">
        <v>27</v>
      </c>
      <c r="F65" s="25" t="s">
        <v>28</v>
      </c>
      <c r="G65" s="25" t="s">
        <v>29</v>
      </c>
      <c r="H65" s="25" t="s">
        <v>38</v>
      </c>
      <c r="I65" s="26">
        <v>45988.412905092591</v>
      </c>
      <c r="J65" s="25" t="s">
        <v>47</v>
      </c>
      <c r="K65" s="25" t="s">
        <v>47</v>
      </c>
    </row>
    <row r="66" spans="3:11" x14ac:dyDescent="0.25">
      <c r="C66" s="25">
        <v>23424424</v>
      </c>
      <c r="D66" s="26">
        <v>45973.413217592592</v>
      </c>
      <c r="E66" s="25" t="s">
        <v>57</v>
      </c>
      <c r="F66" s="25" t="s">
        <v>58</v>
      </c>
      <c r="G66" s="25" t="s">
        <v>29</v>
      </c>
      <c r="H66" s="25" t="s">
        <v>38</v>
      </c>
      <c r="I66" s="26">
        <v>45988.413217592592</v>
      </c>
      <c r="J66" s="25" t="s">
        <v>47</v>
      </c>
      <c r="K66" s="25" t="s">
        <v>47</v>
      </c>
    </row>
    <row r="67" spans="3:11" x14ac:dyDescent="0.25">
      <c r="C67" s="25">
        <v>23432797</v>
      </c>
      <c r="D67" s="26">
        <v>45985.457418981481</v>
      </c>
      <c r="E67" s="25" t="s">
        <v>27</v>
      </c>
      <c r="F67" s="25" t="s">
        <v>28</v>
      </c>
      <c r="G67" s="25" t="s">
        <v>29</v>
      </c>
      <c r="H67" s="25" t="s">
        <v>31</v>
      </c>
      <c r="I67" s="26">
        <v>45994.457418981481</v>
      </c>
      <c r="J67" s="25" t="s">
        <v>1140</v>
      </c>
      <c r="K67" s="25" t="s">
        <v>49</v>
      </c>
    </row>
    <row r="68" spans="3:11" x14ac:dyDescent="0.25">
      <c r="C68" s="25">
        <v>23444304</v>
      </c>
      <c r="D68" s="26">
        <v>45981.914756944447</v>
      </c>
      <c r="E68" s="25" t="s">
        <v>55</v>
      </c>
      <c r="F68" s="25" t="s">
        <v>56</v>
      </c>
      <c r="G68" s="25" t="s">
        <v>40</v>
      </c>
      <c r="H68" s="25" t="s">
        <v>38</v>
      </c>
      <c r="I68" s="26">
        <v>45993.914756944447</v>
      </c>
      <c r="J68" s="25" t="s">
        <v>1814</v>
      </c>
      <c r="K68" s="25" t="s">
        <v>49</v>
      </c>
    </row>
    <row r="69" spans="3:11" x14ac:dyDescent="0.25">
      <c r="C69" s="25">
        <v>23450519</v>
      </c>
      <c r="D69" s="26">
        <v>45989.724803240744</v>
      </c>
      <c r="E69" s="25" t="s">
        <v>27</v>
      </c>
      <c r="F69" s="25" t="s">
        <v>28</v>
      </c>
      <c r="G69" s="25" t="s">
        <v>43</v>
      </c>
      <c r="H69" s="25" t="s">
        <v>31</v>
      </c>
      <c r="I69" s="26">
        <v>46001.724803240744</v>
      </c>
      <c r="J69" s="25" t="s">
        <v>6234</v>
      </c>
      <c r="K69" s="25" t="s">
        <v>32</v>
      </c>
    </row>
    <row r="70" spans="3:11" x14ac:dyDescent="0.25">
      <c r="C70" s="25">
        <v>23450715</v>
      </c>
      <c r="D70" s="26">
        <v>45988.446516203701</v>
      </c>
      <c r="E70" s="25" t="s">
        <v>27</v>
      </c>
      <c r="F70" s="25" t="s">
        <v>28</v>
      </c>
      <c r="G70" s="25" t="s">
        <v>62</v>
      </c>
      <c r="H70" s="25" t="s">
        <v>31</v>
      </c>
      <c r="I70" s="26">
        <v>45994.446516203701</v>
      </c>
      <c r="J70" s="25" t="s">
        <v>6235</v>
      </c>
      <c r="K70" s="25" t="s">
        <v>49</v>
      </c>
    </row>
    <row r="71" spans="3:11" x14ac:dyDescent="0.25">
      <c r="C71" s="25">
        <v>23452577</v>
      </c>
      <c r="D71" s="26">
        <v>45989.356377314813</v>
      </c>
      <c r="E71" s="25" t="s">
        <v>27</v>
      </c>
      <c r="F71" s="25" t="s">
        <v>28</v>
      </c>
      <c r="G71" s="25" t="s">
        <v>29</v>
      </c>
      <c r="H71" s="25" t="s">
        <v>31</v>
      </c>
      <c r="I71" s="26">
        <v>46001.356377314813</v>
      </c>
      <c r="J71" s="25" t="s">
        <v>6245</v>
      </c>
      <c r="K71" s="25" t="s">
        <v>32</v>
      </c>
    </row>
    <row r="72" spans="3:11" x14ac:dyDescent="0.25">
      <c r="C72" s="25">
        <v>23454633</v>
      </c>
      <c r="D72" s="26">
        <v>45987.392650462964</v>
      </c>
      <c r="E72" s="25" t="s">
        <v>44</v>
      </c>
      <c r="F72" s="25" t="s">
        <v>45</v>
      </c>
      <c r="G72" s="25" t="s">
        <v>46</v>
      </c>
      <c r="H72" s="25" t="s">
        <v>31</v>
      </c>
      <c r="I72" s="26">
        <v>45994.392650462964</v>
      </c>
      <c r="J72" s="25" t="s">
        <v>888</v>
      </c>
      <c r="K72" s="25" t="s">
        <v>49</v>
      </c>
    </row>
    <row r="73" spans="3:11" x14ac:dyDescent="0.25">
      <c r="C73" s="25">
        <v>23460305</v>
      </c>
      <c r="D73" s="26">
        <v>45987.909085648149</v>
      </c>
      <c r="E73" s="25" t="s">
        <v>57</v>
      </c>
      <c r="F73" s="25" t="s">
        <v>58</v>
      </c>
      <c r="G73" s="25" t="s">
        <v>29</v>
      </c>
      <c r="H73" s="25" t="s">
        <v>38</v>
      </c>
      <c r="I73" s="26">
        <v>46002.909085648149</v>
      </c>
      <c r="J73" s="25" t="s">
        <v>1109</v>
      </c>
      <c r="K73" s="25" t="s">
        <v>32</v>
      </c>
    </row>
    <row r="74" spans="3:11" x14ac:dyDescent="0.25">
      <c r="C74" s="25">
        <v>23460704</v>
      </c>
      <c r="D74" s="26">
        <v>45987.484155092592</v>
      </c>
      <c r="E74" s="25" t="s">
        <v>27</v>
      </c>
      <c r="F74" s="25" t="s">
        <v>28</v>
      </c>
      <c r="G74" s="25" t="s">
        <v>29</v>
      </c>
      <c r="H74" s="25" t="s">
        <v>31</v>
      </c>
      <c r="I74" s="26">
        <v>45996.484155092592</v>
      </c>
      <c r="J74" s="25" t="s">
        <v>6246</v>
      </c>
      <c r="K74" s="25" t="s">
        <v>32</v>
      </c>
    </row>
    <row r="75" spans="3:11" x14ac:dyDescent="0.25">
      <c r="C75" s="25">
        <v>23462523</v>
      </c>
      <c r="D75" s="26">
        <v>45981.566122685188</v>
      </c>
      <c r="E75" s="25" t="s">
        <v>55</v>
      </c>
      <c r="F75" s="25" t="s">
        <v>56</v>
      </c>
      <c r="G75" s="25" t="s">
        <v>40</v>
      </c>
      <c r="H75" s="25" t="s">
        <v>38</v>
      </c>
      <c r="I75" s="26">
        <v>45993.566122685188</v>
      </c>
      <c r="J75" s="25" t="s">
        <v>6248</v>
      </c>
      <c r="K75" s="25" t="s">
        <v>49</v>
      </c>
    </row>
    <row r="76" spans="3:11" x14ac:dyDescent="0.25">
      <c r="C76" s="25">
        <v>23464079</v>
      </c>
      <c r="D76" s="26">
        <v>45986.391585648147</v>
      </c>
      <c r="E76" s="25" t="s">
        <v>44</v>
      </c>
      <c r="F76" s="25" t="s">
        <v>45</v>
      </c>
      <c r="G76" s="25" t="s">
        <v>40</v>
      </c>
      <c r="H76" s="25" t="s">
        <v>31</v>
      </c>
      <c r="I76" s="26">
        <v>45993.391585648147</v>
      </c>
      <c r="J76" s="25" t="s">
        <v>6250</v>
      </c>
      <c r="K76" s="25" t="s">
        <v>49</v>
      </c>
    </row>
    <row r="77" spans="3:11" x14ac:dyDescent="0.25">
      <c r="C77" s="25">
        <v>23467973</v>
      </c>
      <c r="D77" s="26">
        <v>45989.426458333335</v>
      </c>
      <c r="E77" s="25" t="s">
        <v>27</v>
      </c>
      <c r="F77" s="25" t="s">
        <v>28</v>
      </c>
      <c r="G77" s="25" t="s">
        <v>40</v>
      </c>
      <c r="H77" s="25" t="s">
        <v>31</v>
      </c>
      <c r="I77" s="26">
        <v>45996.426458333335</v>
      </c>
      <c r="J77" s="25" t="s">
        <v>6263</v>
      </c>
      <c r="K77" s="25" t="s">
        <v>32</v>
      </c>
    </row>
    <row r="78" spans="3:11" x14ac:dyDescent="0.25">
      <c r="C78" s="25">
        <v>23471708</v>
      </c>
      <c r="D78" s="26">
        <v>45989.510520833333</v>
      </c>
      <c r="E78" s="25" t="s">
        <v>27</v>
      </c>
      <c r="F78" s="25" t="s">
        <v>28</v>
      </c>
      <c r="G78" s="25" t="s">
        <v>43</v>
      </c>
      <c r="H78" s="25" t="s">
        <v>31</v>
      </c>
      <c r="I78" s="26">
        <v>46001.510520833333</v>
      </c>
      <c r="J78" s="25" t="s">
        <v>6272</v>
      </c>
      <c r="K78" s="25" t="s">
        <v>32</v>
      </c>
    </row>
    <row r="79" spans="3:11" x14ac:dyDescent="0.25">
      <c r="C79" s="25">
        <v>23472097</v>
      </c>
      <c r="D79" s="26">
        <v>45973.413564814815</v>
      </c>
      <c r="E79" s="25" t="s">
        <v>57</v>
      </c>
      <c r="F79" s="25" t="s">
        <v>58</v>
      </c>
      <c r="G79" s="25" t="s">
        <v>29</v>
      </c>
      <c r="H79" s="25" t="s">
        <v>38</v>
      </c>
      <c r="I79" s="26">
        <v>45988.413564814815</v>
      </c>
      <c r="J79" s="25" t="s">
        <v>47</v>
      </c>
      <c r="K79" s="25" t="s">
        <v>47</v>
      </c>
    </row>
    <row r="80" spans="3:11" x14ac:dyDescent="0.25">
      <c r="C80" s="25">
        <v>23475477</v>
      </c>
      <c r="D80" s="26">
        <v>45981.696828703702</v>
      </c>
      <c r="E80" s="25" t="s">
        <v>55</v>
      </c>
      <c r="F80" s="25" t="s">
        <v>56</v>
      </c>
      <c r="G80" s="25" t="s">
        <v>40</v>
      </c>
      <c r="H80" s="25" t="s">
        <v>38</v>
      </c>
      <c r="I80" s="26">
        <v>45993.696828703702</v>
      </c>
      <c r="J80" s="25" t="s">
        <v>6274</v>
      </c>
      <c r="K80" s="25" t="s">
        <v>49</v>
      </c>
    </row>
    <row r="81" spans="3:11" x14ac:dyDescent="0.25">
      <c r="C81" s="25">
        <v>23479817</v>
      </c>
      <c r="D81" s="26">
        <v>45989.33017361111</v>
      </c>
      <c r="E81" s="25" t="s">
        <v>55</v>
      </c>
      <c r="F81" s="25" t="s">
        <v>56</v>
      </c>
      <c r="G81" s="25" t="s">
        <v>29</v>
      </c>
      <c r="H81" s="25" t="s">
        <v>31</v>
      </c>
      <c r="I81" s="26">
        <v>46001.33017361111</v>
      </c>
      <c r="J81" s="25" t="s">
        <v>6283</v>
      </c>
      <c r="K81" s="25" t="s">
        <v>32</v>
      </c>
    </row>
    <row r="82" spans="3:11" x14ac:dyDescent="0.25">
      <c r="C82" s="25">
        <v>23480587</v>
      </c>
      <c r="D82" s="26">
        <v>45989.295810185184</v>
      </c>
      <c r="E82" s="25" t="s">
        <v>57</v>
      </c>
      <c r="F82" s="25" t="s">
        <v>58</v>
      </c>
      <c r="G82" s="25" t="s">
        <v>46</v>
      </c>
      <c r="H82" s="25" t="s">
        <v>38</v>
      </c>
      <c r="I82" s="26">
        <v>46002.295810185184</v>
      </c>
      <c r="J82" s="25" t="s">
        <v>6291</v>
      </c>
      <c r="K82" s="25" t="s">
        <v>32</v>
      </c>
    </row>
    <row r="83" spans="3:11" x14ac:dyDescent="0.25">
      <c r="C83" s="25">
        <v>23482895</v>
      </c>
      <c r="D83" s="26">
        <v>45973.413680555554</v>
      </c>
      <c r="E83" s="25" t="s">
        <v>57</v>
      </c>
      <c r="F83" s="25" t="s">
        <v>58</v>
      </c>
      <c r="G83" s="25" t="s">
        <v>40</v>
      </c>
      <c r="H83" s="25" t="s">
        <v>38</v>
      </c>
      <c r="I83" s="26">
        <v>45986.413680555554</v>
      </c>
      <c r="J83" s="25" t="s">
        <v>47</v>
      </c>
      <c r="K83" s="25" t="s">
        <v>47</v>
      </c>
    </row>
    <row r="84" spans="3:11" x14ac:dyDescent="0.25">
      <c r="C84" s="25">
        <v>23483592</v>
      </c>
      <c r="D84" s="26">
        <v>45980.390277777777</v>
      </c>
      <c r="E84" s="25" t="s">
        <v>48</v>
      </c>
      <c r="F84" s="25" t="s">
        <v>64</v>
      </c>
      <c r="G84" s="25" t="s">
        <v>137</v>
      </c>
      <c r="H84" s="25" t="s">
        <v>38</v>
      </c>
      <c r="I84" s="26">
        <v>45994.390277777777</v>
      </c>
      <c r="J84" s="25" t="s">
        <v>6293</v>
      </c>
      <c r="K84" s="25" t="s">
        <v>49</v>
      </c>
    </row>
    <row r="85" spans="3:11" x14ac:dyDescent="0.25">
      <c r="C85" s="25">
        <v>23484537</v>
      </c>
      <c r="D85" s="26">
        <v>45982.462939814817</v>
      </c>
      <c r="E85" s="25" t="s">
        <v>27</v>
      </c>
      <c r="F85" s="25" t="s">
        <v>28</v>
      </c>
      <c r="G85" s="25" t="s">
        <v>62</v>
      </c>
      <c r="H85" s="25" t="s">
        <v>38</v>
      </c>
      <c r="I85" s="26">
        <v>45988.462939814817</v>
      </c>
      <c r="J85" s="25" t="s">
        <v>47</v>
      </c>
      <c r="K85" s="25" t="s">
        <v>47</v>
      </c>
    </row>
    <row r="86" spans="3:11" x14ac:dyDescent="0.25">
      <c r="C86" s="25">
        <v>23485436</v>
      </c>
      <c r="D86" s="26">
        <v>45980.505740740744</v>
      </c>
      <c r="E86" s="25" t="s">
        <v>27</v>
      </c>
      <c r="F86" s="25" t="s">
        <v>28</v>
      </c>
      <c r="G86" s="25" t="s">
        <v>29</v>
      </c>
      <c r="H86" s="25" t="s">
        <v>31</v>
      </c>
      <c r="I86" s="26">
        <v>45989.505740740744</v>
      </c>
      <c r="J86" s="25" t="s">
        <v>47</v>
      </c>
      <c r="K86" s="25" t="s">
        <v>47</v>
      </c>
    </row>
    <row r="87" spans="3:11" x14ac:dyDescent="0.25">
      <c r="C87" s="25">
        <v>23487041</v>
      </c>
      <c r="D87" s="26">
        <v>45983.942962962959</v>
      </c>
      <c r="E87" s="25" t="s">
        <v>27</v>
      </c>
      <c r="F87" s="25" t="s">
        <v>28</v>
      </c>
      <c r="G87" s="25" t="s">
        <v>43</v>
      </c>
      <c r="H87" s="25" t="s">
        <v>38</v>
      </c>
      <c r="I87" s="26">
        <v>45996.942962962959</v>
      </c>
      <c r="J87" s="25" t="s">
        <v>6296</v>
      </c>
      <c r="K87" s="25" t="s">
        <v>32</v>
      </c>
    </row>
    <row r="88" spans="3:11" x14ac:dyDescent="0.25">
      <c r="C88" s="25">
        <v>23491968</v>
      </c>
      <c r="D88" s="26">
        <v>45973.903993055559</v>
      </c>
      <c r="E88" s="25" t="s">
        <v>27</v>
      </c>
      <c r="F88" s="25" t="s">
        <v>28</v>
      </c>
      <c r="G88" s="25" t="s">
        <v>29</v>
      </c>
      <c r="H88" s="25" t="s">
        <v>31</v>
      </c>
      <c r="I88" s="26">
        <v>45985.903993055559</v>
      </c>
      <c r="J88" s="25" t="s">
        <v>47</v>
      </c>
      <c r="K88" s="25" t="s">
        <v>47</v>
      </c>
    </row>
    <row r="89" spans="3:11" x14ac:dyDescent="0.25">
      <c r="C89" s="25">
        <v>23495581</v>
      </c>
      <c r="D89" s="26">
        <v>45979.412708333337</v>
      </c>
      <c r="E89" s="25" t="s">
        <v>27</v>
      </c>
      <c r="F89" s="25" t="s">
        <v>28</v>
      </c>
      <c r="G89" s="25" t="s">
        <v>43</v>
      </c>
      <c r="H89" s="25" t="s">
        <v>31</v>
      </c>
      <c r="I89" s="26">
        <v>45988.412708333337</v>
      </c>
      <c r="J89" s="25" t="s">
        <v>47</v>
      </c>
      <c r="K89" s="25" t="s">
        <v>47</v>
      </c>
    </row>
    <row r="90" spans="3:11" x14ac:dyDescent="0.25">
      <c r="C90" s="25">
        <v>23499103</v>
      </c>
      <c r="D90" s="26">
        <v>45985.436944444446</v>
      </c>
      <c r="E90" s="25" t="s">
        <v>48</v>
      </c>
      <c r="F90" s="25" t="s">
        <v>64</v>
      </c>
      <c r="G90" s="25" t="s">
        <v>29</v>
      </c>
      <c r="H90" s="25" t="s">
        <v>31</v>
      </c>
      <c r="I90" s="26">
        <v>45994.436944444446</v>
      </c>
      <c r="J90" s="25" t="s">
        <v>6300</v>
      </c>
      <c r="K90" s="25" t="s">
        <v>49</v>
      </c>
    </row>
    <row r="91" spans="3:11" x14ac:dyDescent="0.25">
      <c r="C91" s="25">
        <v>23502063</v>
      </c>
      <c r="D91" s="26">
        <v>45988.372129629628</v>
      </c>
      <c r="E91" s="25" t="s">
        <v>27</v>
      </c>
      <c r="F91" s="25" t="s">
        <v>28</v>
      </c>
      <c r="G91" s="25" t="s">
        <v>76</v>
      </c>
      <c r="H91" s="25" t="s">
        <v>31</v>
      </c>
      <c r="I91" s="26">
        <v>46000.372129629628</v>
      </c>
      <c r="J91" s="25" t="s">
        <v>6302</v>
      </c>
      <c r="K91" s="25" t="s">
        <v>32</v>
      </c>
    </row>
    <row r="92" spans="3:11" x14ac:dyDescent="0.25">
      <c r="C92" s="25">
        <v>23502220</v>
      </c>
      <c r="D92" s="26">
        <v>45981.914872685185</v>
      </c>
      <c r="E92" s="25" t="s">
        <v>57</v>
      </c>
      <c r="F92" s="25" t="s">
        <v>58</v>
      </c>
      <c r="G92" s="25" t="s">
        <v>46</v>
      </c>
      <c r="H92" s="25" t="s">
        <v>38</v>
      </c>
      <c r="I92" s="26">
        <v>45993.914872685185</v>
      </c>
      <c r="J92" s="25" t="s">
        <v>1814</v>
      </c>
      <c r="K92" s="25" t="s">
        <v>49</v>
      </c>
    </row>
    <row r="93" spans="3:11" x14ac:dyDescent="0.25">
      <c r="C93" s="25">
        <v>23503045</v>
      </c>
      <c r="D93" s="26">
        <v>45976.901898148149</v>
      </c>
      <c r="E93" s="25" t="s">
        <v>44</v>
      </c>
      <c r="F93" s="25" t="s">
        <v>45</v>
      </c>
      <c r="G93" s="25" t="s">
        <v>29</v>
      </c>
      <c r="H93" s="25" t="s">
        <v>31</v>
      </c>
      <c r="I93" s="26">
        <v>45987.901898148149</v>
      </c>
      <c r="J93" s="25" t="s">
        <v>47</v>
      </c>
      <c r="K93" s="25" t="s">
        <v>47</v>
      </c>
    </row>
    <row r="94" spans="3:11" x14ac:dyDescent="0.25">
      <c r="C94" s="25">
        <v>23503817</v>
      </c>
      <c r="D94" s="26">
        <v>45989.645243055558</v>
      </c>
      <c r="E94" s="25" t="s">
        <v>27</v>
      </c>
      <c r="F94" s="25" t="s">
        <v>28</v>
      </c>
      <c r="G94" s="25" t="s">
        <v>40</v>
      </c>
      <c r="H94" s="25" t="s">
        <v>31</v>
      </c>
      <c r="I94" s="26">
        <v>45996.645243055558</v>
      </c>
      <c r="J94" s="25" t="s">
        <v>6312</v>
      </c>
      <c r="K94" s="25" t="s">
        <v>32</v>
      </c>
    </row>
    <row r="95" spans="3:11" x14ac:dyDescent="0.25">
      <c r="C95" s="25">
        <v>23505532</v>
      </c>
      <c r="D95" s="26">
        <v>45988.626250000001</v>
      </c>
      <c r="E95" s="25" t="s">
        <v>27</v>
      </c>
      <c r="F95" s="25" t="s">
        <v>28</v>
      </c>
      <c r="G95" s="25" t="s">
        <v>72</v>
      </c>
      <c r="H95" s="25" t="s">
        <v>31</v>
      </c>
      <c r="I95" s="26">
        <v>46006.626250000001</v>
      </c>
      <c r="J95" s="25" t="s">
        <v>6320</v>
      </c>
      <c r="K95" s="25" t="s">
        <v>32</v>
      </c>
    </row>
    <row r="96" spans="3:11" x14ac:dyDescent="0.25">
      <c r="C96" s="25">
        <v>23506543</v>
      </c>
      <c r="D96" s="26">
        <v>45980.669745370367</v>
      </c>
      <c r="E96" s="25" t="s">
        <v>27</v>
      </c>
      <c r="F96" s="25" t="s">
        <v>28</v>
      </c>
      <c r="G96" s="25" t="s">
        <v>29</v>
      </c>
      <c r="H96" s="25" t="s">
        <v>31</v>
      </c>
      <c r="I96" s="26">
        <v>45989.669745370367</v>
      </c>
      <c r="J96" s="25" t="s">
        <v>47</v>
      </c>
      <c r="K96" s="25" t="s">
        <v>47</v>
      </c>
    </row>
    <row r="97" spans="3:11" x14ac:dyDescent="0.25">
      <c r="C97" s="25">
        <v>23506565</v>
      </c>
      <c r="D97" s="26">
        <v>45980.668020833335</v>
      </c>
      <c r="E97" s="25" t="s">
        <v>27</v>
      </c>
      <c r="F97" s="25" t="s">
        <v>28</v>
      </c>
      <c r="G97" s="25" t="s">
        <v>29</v>
      </c>
      <c r="H97" s="25" t="s">
        <v>31</v>
      </c>
      <c r="I97" s="26">
        <v>45989.668020833335</v>
      </c>
      <c r="J97" s="25" t="s">
        <v>47</v>
      </c>
      <c r="K97" s="25" t="s">
        <v>47</v>
      </c>
    </row>
    <row r="98" spans="3:11" x14ac:dyDescent="0.25">
      <c r="C98" s="25">
        <v>23507490</v>
      </c>
      <c r="D98" s="26">
        <v>45989.509942129633</v>
      </c>
      <c r="E98" s="25" t="s">
        <v>48</v>
      </c>
      <c r="F98" s="25" t="s">
        <v>64</v>
      </c>
      <c r="G98" s="25" t="s">
        <v>29</v>
      </c>
      <c r="H98" s="25" t="s">
        <v>31</v>
      </c>
      <c r="I98" s="26">
        <v>46001.509942129633</v>
      </c>
      <c r="J98" s="25" t="s">
        <v>6331</v>
      </c>
      <c r="K98" s="25" t="s">
        <v>32</v>
      </c>
    </row>
    <row r="99" spans="3:11" x14ac:dyDescent="0.25">
      <c r="C99" s="25">
        <v>23509049</v>
      </c>
      <c r="D99" s="26">
        <v>45986.910844907405</v>
      </c>
      <c r="E99" s="25" t="s">
        <v>27</v>
      </c>
      <c r="F99" s="25" t="s">
        <v>28</v>
      </c>
      <c r="G99" s="25" t="s">
        <v>29</v>
      </c>
      <c r="H99" s="25" t="s">
        <v>31</v>
      </c>
      <c r="I99" s="26">
        <v>45995.910844907405</v>
      </c>
      <c r="J99" s="25" t="s">
        <v>885</v>
      </c>
      <c r="K99" s="25" t="s">
        <v>32</v>
      </c>
    </row>
    <row r="100" spans="3:11" x14ac:dyDescent="0.25">
      <c r="C100" s="25">
        <v>23509695</v>
      </c>
      <c r="D100" s="26">
        <v>45989.50917824074</v>
      </c>
      <c r="E100" s="25" t="s">
        <v>48</v>
      </c>
      <c r="F100" s="25" t="s">
        <v>64</v>
      </c>
      <c r="G100" s="25" t="s">
        <v>29</v>
      </c>
      <c r="H100" s="25" t="s">
        <v>31</v>
      </c>
      <c r="I100" s="26">
        <v>46001.50917824074</v>
      </c>
      <c r="J100" s="25" t="s">
        <v>902</v>
      </c>
      <c r="K100" s="25" t="s">
        <v>32</v>
      </c>
    </row>
    <row r="101" spans="3:11" x14ac:dyDescent="0.25">
      <c r="C101" s="25">
        <v>23509698</v>
      </c>
      <c r="D101" s="26">
        <v>45985.611956018518</v>
      </c>
      <c r="E101" s="25" t="s">
        <v>27</v>
      </c>
      <c r="F101" s="25" t="s">
        <v>28</v>
      </c>
      <c r="G101" s="25" t="s">
        <v>46</v>
      </c>
      <c r="H101" s="25" t="s">
        <v>38</v>
      </c>
      <c r="I101" s="26">
        <v>45995.611956018518</v>
      </c>
      <c r="J101" s="25" t="s">
        <v>6338</v>
      </c>
      <c r="K101" s="25" t="s">
        <v>32</v>
      </c>
    </row>
    <row r="102" spans="3:11" x14ac:dyDescent="0.25">
      <c r="C102" s="25">
        <v>23510125</v>
      </c>
      <c r="D102" s="26">
        <v>45983.936840277776</v>
      </c>
      <c r="E102" s="25" t="s">
        <v>27</v>
      </c>
      <c r="F102" s="25" t="s">
        <v>28</v>
      </c>
      <c r="G102" s="25" t="s">
        <v>29</v>
      </c>
      <c r="H102" s="25" t="s">
        <v>31</v>
      </c>
      <c r="I102" s="26">
        <v>45993.936840277776</v>
      </c>
      <c r="J102" s="25" t="s">
        <v>6340</v>
      </c>
      <c r="K102" s="25" t="s">
        <v>49</v>
      </c>
    </row>
    <row r="103" spans="3:11" x14ac:dyDescent="0.25">
      <c r="C103" s="25">
        <v>23512182</v>
      </c>
      <c r="D103" s="26">
        <v>45989.374444444446</v>
      </c>
      <c r="E103" s="25" t="s">
        <v>27</v>
      </c>
      <c r="F103" s="25" t="s">
        <v>28</v>
      </c>
      <c r="G103" s="25" t="s">
        <v>29</v>
      </c>
      <c r="H103" s="25" t="s">
        <v>31</v>
      </c>
      <c r="I103" s="26">
        <v>46001.374444444446</v>
      </c>
      <c r="J103" s="25" t="s">
        <v>6349</v>
      </c>
      <c r="K103" s="25" t="s">
        <v>32</v>
      </c>
    </row>
    <row r="104" spans="3:11" x14ac:dyDescent="0.25">
      <c r="C104" s="25">
        <v>23512401</v>
      </c>
      <c r="D104" s="26">
        <v>45981.915543981479</v>
      </c>
      <c r="E104" s="25" t="s">
        <v>27</v>
      </c>
      <c r="F104" s="25" t="s">
        <v>28</v>
      </c>
      <c r="G104" s="25" t="s">
        <v>29</v>
      </c>
      <c r="H104" s="25" t="s">
        <v>31</v>
      </c>
      <c r="I104" s="26">
        <v>45992.915543981479</v>
      </c>
      <c r="J104" s="25" t="s">
        <v>6351</v>
      </c>
      <c r="K104" s="25" t="s">
        <v>131</v>
      </c>
    </row>
    <row r="105" spans="3:11" x14ac:dyDescent="0.25">
      <c r="C105" s="25">
        <v>23512919</v>
      </c>
      <c r="D105" s="26">
        <v>45986.404710648145</v>
      </c>
      <c r="E105" s="25" t="s">
        <v>55</v>
      </c>
      <c r="F105" s="25" t="s">
        <v>56</v>
      </c>
      <c r="G105" s="25" t="s">
        <v>40</v>
      </c>
      <c r="H105" s="25" t="s">
        <v>31</v>
      </c>
      <c r="I105" s="26">
        <v>45993.404710648145</v>
      </c>
      <c r="J105" s="25" t="s">
        <v>6168</v>
      </c>
      <c r="K105" s="25" t="s">
        <v>49</v>
      </c>
    </row>
    <row r="106" spans="3:11" x14ac:dyDescent="0.25">
      <c r="C106" s="25">
        <v>23513266</v>
      </c>
      <c r="D106" s="26">
        <v>45987.389826388891</v>
      </c>
      <c r="E106" s="25" t="s">
        <v>27</v>
      </c>
      <c r="F106" s="25" t="s">
        <v>28</v>
      </c>
      <c r="G106" s="25" t="s">
        <v>29</v>
      </c>
      <c r="H106" s="25" t="s">
        <v>31</v>
      </c>
      <c r="I106" s="26">
        <v>45996.389826388891</v>
      </c>
      <c r="J106" s="25" t="s">
        <v>6352</v>
      </c>
      <c r="K106" s="25" t="s">
        <v>32</v>
      </c>
    </row>
    <row r="107" spans="3:11" x14ac:dyDescent="0.25">
      <c r="C107" s="25">
        <v>23513566</v>
      </c>
      <c r="D107" s="26">
        <v>45989.305381944447</v>
      </c>
      <c r="E107" s="25" t="s">
        <v>27</v>
      </c>
      <c r="F107" s="25" t="s">
        <v>28</v>
      </c>
      <c r="G107" s="25" t="s">
        <v>46</v>
      </c>
      <c r="H107" s="25" t="s">
        <v>31</v>
      </c>
      <c r="I107" s="26">
        <v>45996.305381944447</v>
      </c>
      <c r="J107" s="25" t="s">
        <v>3636</v>
      </c>
      <c r="K107" s="25" t="s">
        <v>32</v>
      </c>
    </row>
    <row r="108" spans="3:11" x14ac:dyDescent="0.25">
      <c r="C108" s="25">
        <v>23513834</v>
      </c>
      <c r="D108" s="26">
        <v>45989.907083333332</v>
      </c>
      <c r="E108" s="25" t="s">
        <v>27</v>
      </c>
      <c r="F108" s="25" t="s">
        <v>28</v>
      </c>
      <c r="G108" s="25" t="s">
        <v>40</v>
      </c>
      <c r="H108" s="25" t="s">
        <v>31</v>
      </c>
      <c r="I108" s="26">
        <v>45996.907083333332</v>
      </c>
      <c r="J108" s="25" t="s">
        <v>6369</v>
      </c>
      <c r="K108" s="25" t="s">
        <v>32</v>
      </c>
    </row>
    <row r="109" spans="3:11" x14ac:dyDescent="0.25">
      <c r="C109" s="25">
        <v>23513852</v>
      </c>
      <c r="D109" s="26">
        <v>45989.907141203701</v>
      </c>
      <c r="E109" s="25" t="s">
        <v>27</v>
      </c>
      <c r="F109" s="25" t="s">
        <v>28</v>
      </c>
      <c r="G109" s="25" t="s">
        <v>40</v>
      </c>
      <c r="H109" s="25" t="s">
        <v>31</v>
      </c>
      <c r="I109" s="26">
        <v>45996.907141203701</v>
      </c>
      <c r="J109" s="25" t="s">
        <v>6369</v>
      </c>
      <c r="K109" s="25" t="s">
        <v>32</v>
      </c>
    </row>
    <row r="110" spans="3:11" x14ac:dyDescent="0.25">
      <c r="C110" s="25">
        <v>23514427</v>
      </c>
      <c r="D110" s="26">
        <v>45981.696898148148</v>
      </c>
      <c r="E110" s="25" t="s">
        <v>55</v>
      </c>
      <c r="F110" s="25" t="s">
        <v>56</v>
      </c>
      <c r="G110" s="25" t="s">
        <v>29</v>
      </c>
      <c r="H110" s="25" t="s">
        <v>38</v>
      </c>
      <c r="I110" s="26">
        <v>45995.696898148148</v>
      </c>
      <c r="J110" s="25" t="s">
        <v>6377</v>
      </c>
      <c r="K110" s="25" t="s">
        <v>32</v>
      </c>
    </row>
    <row r="111" spans="3:11" x14ac:dyDescent="0.25">
      <c r="C111" s="25">
        <v>23514708</v>
      </c>
      <c r="D111" s="26">
        <v>45983.937395833331</v>
      </c>
      <c r="E111" s="25" t="s">
        <v>27</v>
      </c>
      <c r="F111" s="25" t="s">
        <v>28</v>
      </c>
      <c r="G111" s="25" t="s">
        <v>29</v>
      </c>
      <c r="H111" s="25" t="s">
        <v>31</v>
      </c>
      <c r="I111" s="26">
        <v>45993.937395833331</v>
      </c>
      <c r="J111" s="25" t="s">
        <v>6340</v>
      </c>
      <c r="K111" s="25" t="s">
        <v>49</v>
      </c>
    </row>
    <row r="112" spans="3:11" x14ac:dyDescent="0.25">
      <c r="C112" s="25">
        <v>23516267</v>
      </c>
      <c r="D112" s="26">
        <v>45981.696979166663</v>
      </c>
      <c r="E112" s="25" t="s">
        <v>55</v>
      </c>
      <c r="F112" s="25" t="s">
        <v>56</v>
      </c>
      <c r="G112" s="25" t="s">
        <v>40</v>
      </c>
      <c r="H112" s="25" t="s">
        <v>38</v>
      </c>
      <c r="I112" s="26">
        <v>45993.696979166663</v>
      </c>
      <c r="J112" s="25" t="s">
        <v>6274</v>
      </c>
      <c r="K112" s="25" t="s">
        <v>49</v>
      </c>
    </row>
    <row r="113" spans="3:11" x14ac:dyDescent="0.25">
      <c r="C113" s="25">
        <v>23516279</v>
      </c>
      <c r="D113" s="26">
        <v>45989.619641203702</v>
      </c>
      <c r="E113" s="25" t="s">
        <v>27</v>
      </c>
      <c r="F113" s="25" t="s">
        <v>28</v>
      </c>
      <c r="G113" s="25" t="s">
        <v>40</v>
      </c>
      <c r="H113" s="25" t="s">
        <v>31</v>
      </c>
      <c r="I113" s="26">
        <v>45996.619641203702</v>
      </c>
      <c r="J113" s="25" t="s">
        <v>6386</v>
      </c>
      <c r="K113" s="25" t="s">
        <v>32</v>
      </c>
    </row>
    <row r="114" spans="3:11" x14ac:dyDescent="0.25">
      <c r="C114" s="25">
        <v>23516976</v>
      </c>
      <c r="D114" s="26">
        <v>45983.936782407407</v>
      </c>
      <c r="E114" s="25" t="s">
        <v>44</v>
      </c>
      <c r="F114" s="25" t="s">
        <v>45</v>
      </c>
      <c r="G114" s="25" t="s">
        <v>29</v>
      </c>
      <c r="H114" s="25" t="s">
        <v>31</v>
      </c>
      <c r="I114" s="26">
        <v>45993.936782407407</v>
      </c>
      <c r="J114" s="25" t="s">
        <v>6388</v>
      </c>
      <c r="K114" s="25" t="s">
        <v>49</v>
      </c>
    </row>
    <row r="115" spans="3:11" x14ac:dyDescent="0.25">
      <c r="C115" s="25">
        <v>23517392</v>
      </c>
      <c r="D115" s="26">
        <v>45973.415277777778</v>
      </c>
      <c r="E115" s="25" t="s">
        <v>57</v>
      </c>
      <c r="F115" s="25" t="s">
        <v>58</v>
      </c>
      <c r="G115" s="25" t="s">
        <v>29</v>
      </c>
      <c r="H115" s="25" t="s">
        <v>38</v>
      </c>
      <c r="I115" s="26">
        <v>45988.415277777778</v>
      </c>
      <c r="J115" s="25" t="s">
        <v>47</v>
      </c>
      <c r="K115" s="25" t="s">
        <v>47</v>
      </c>
    </row>
    <row r="116" spans="3:11" x14ac:dyDescent="0.25">
      <c r="C116" s="25">
        <v>23517681</v>
      </c>
      <c r="D116" s="26">
        <v>45987.591365740744</v>
      </c>
      <c r="E116" s="25" t="s">
        <v>27</v>
      </c>
      <c r="F116" s="25" t="s">
        <v>28</v>
      </c>
      <c r="G116" s="25" t="s">
        <v>29</v>
      </c>
      <c r="H116" s="25" t="s">
        <v>31</v>
      </c>
      <c r="I116" s="26">
        <v>45996.591365740744</v>
      </c>
      <c r="J116" s="25" t="s">
        <v>6391</v>
      </c>
      <c r="K116" s="25" t="s">
        <v>32</v>
      </c>
    </row>
    <row r="117" spans="3:11" x14ac:dyDescent="0.25">
      <c r="C117" s="25">
        <v>23518427</v>
      </c>
      <c r="D117" s="26">
        <v>45988.913124999999</v>
      </c>
      <c r="E117" s="25" t="s">
        <v>48</v>
      </c>
      <c r="F117" s="25" t="s">
        <v>64</v>
      </c>
      <c r="G117" s="25" t="s">
        <v>29</v>
      </c>
      <c r="H117" s="25" t="s">
        <v>31</v>
      </c>
      <c r="I117" s="26">
        <v>46000.913124999999</v>
      </c>
      <c r="J117" s="25" t="s">
        <v>1833</v>
      </c>
      <c r="K117" s="25" t="s">
        <v>32</v>
      </c>
    </row>
    <row r="118" spans="3:11" x14ac:dyDescent="0.25">
      <c r="C118" s="25">
        <v>23518559</v>
      </c>
      <c r="D118" s="26">
        <v>45988.912870370368</v>
      </c>
      <c r="E118" s="25" t="s">
        <v>27</v>
      </c>
      <c r="F118" s="25" t="s">
        <v>28</v>
      </c>
      <c r="G118" s="25" t="s">
        <v>29</v>
      </c>
      <c r="H118" s="25" t="s">
        <v>31</v>
      </c>
      <c r="I118" s="26">
        <v>46000.912870370368</v>
      </c>
      <c r="J118" s="25" t="s">
        <v>1833</v>
      </c>
      <c r="K118" s="25" t="s">
        <v>32</v>
      </c>
    </row>
    <row r="119" spans="3:11" x14ac:dyDescent="0.25">
      <c r="C119" s="25">
        <v>23520528</v>
      </c>
      <c r="D119" s="26">
        <v>45980.504363425927</v>
      </c>
      <c r="E119" s="25" t="s">
        <v>27</v>
      </c>
      <c r="F119" s="25" t="s">
        <v>28</v>
      </c>
      <c r="G119" s="25" t="s">
        <v>29</v>
      </c>
      <c r="H119" s="25" t="s">
        <v>31</v>
      </c>
      <c r="I119" s="26">
        <v>45989.504363425927</v>
      </c>
      <c r="J119" s="25" t="s">
        <v>47</v>
      </c>
      <c r="K119" s="25" t="s">
        <v>47</v>
      </c>
    </row>
    <row r="120" spans="3:11" x14ac:dyDescent="0.25">
      <c r="C120" s="25">
        <v>23521342</v>
      </c>
      <c r="D120" s="26">
        <v>45982.6090625</v>
      </c>
      <c r="E120" s="25" t="s">
        <v>27</v>
      </c>
      <c r="F120" s="25" t="s">
        <v>28</v>
      </c>
      <c r="G120" s="25" t="s">
        <v>29</v>
      </c>
      <c r="H120" s="25" t="s">
        <v>31</v>
      </c>
      <c r="I120" s="26">
        <v>45993.6090625</v>
      </c>
      <c r="J120" s="25" t="s">
        <v>6410</v>
      </c>
      <c r="K120" s="25" t="s">
        <v>49</v>
      </c>
    </row>
    <row r="121" spans="3:11" x14ac:dyDescent="0.25">
      <c r="C121" s="25">
        <v>23521512</v>
      </c>
      <c r="D121" s="26">
        <v>45986.489224537036</v>
      </c>
      <c r="E121" s="25" t="s">
        <v>27</v>
      </c>
      <c r="F121" s="25" t="s">
        <v>28</v>
      </c>
      <c r="G121" s="25" t="s">
        <v>40</v>
      </c>
      <c r="H121" s="25" t="s">
        <v>31</v>
      </c>
      <c r="I121" s="26">
        <v>45993.489224537036</v>
      </c>
      <c r="J121" s="25" t="s">
        <v>6412</v>
      </c>
      <c r="K121" s="25" t="s">
        <v>49</v>
      </c>
    </row>
    <row r="122" spans="3:11" x14ac:dyDescent="0.25">
      <c r="C122" s="25">
        <v>23521718</v>
      </c>
      <c r="D122" s="26">
        <v>45986.911030092589</v>
      </c>
      <c r="E122" s="25" t="s">
        <v>27</v>
      </c>
      <c r="F122" s="25" t="s">
        <v>28</v>
      </c>
      <c r="G122" s="25" t="s">
        <v>40</v>
      </c>
      <c r="H122" s="25" t="s">
        <v>31</v>
      </c>
      <c r="I122" s="26">
        <v>45993.911030092589</v>
      </c>
      <c r="J122" s="25" t="s">
        <v>6413</v>
      </c>
      <c r="K122" s="25" t="s">
        <v>49</v>
      </c>
    </row>
    <row r="123" spans="3:11" x14ac:dyDescent="0.25">
      <c r="C123" s="25">
        <v>23522515</v>
      </c>
      <c r="D123" s="26">
        <v>45989.406319444446</v>
      </c>
      <c r="E123" s="25" t="s">
        <v>55</v>
      </c>
      <c r="F123" s="25" t="s">
        <v>56</v>
      </c>
      <c r="G123" s="25" t="s">
        <v>29</v>
      </c>
      <c r="H123" s="25" t="s">
        <v>38</v>
      </c>
      <c r="I123" s="26">
        <v>46006.406319444446</v>
      </c>
      <c r="J123" s="25" t="s">
        <v>6422</v>
      </c>
      <c r="K123" s="25" t="s">
        <v>32</v>
      </c>
    </row>
    <row r="124" spans="3:11" x14ac:dyDescent="0.25">
      <c r="C124" s="25">
        <v>23522866</v>
      </c>
      <c r="D124" s="26">
        <v>45990.593171296299</v>
      </c>
      <c r="E124" s="25" t="s">
        <v>27</v>
      </c>
      <c r="F124" s="25" t="s">
        <v>28</v>
      </c>
      <c r="G124" s="25" t="s">
        <v>29</v>
      </c>
      <c r="H124" s="25" t="s">
        <v>31</v>
      </c>
      <c r="I124" s="26">
        <v>46001.593171296299</v>
      </c>
      <c r="J124" s="25" t="s">
        <v>6432</v>
      </c>
      <c r="K124" s="25" t="s">
        <v>32</v>
      </c>
    </row>
    <row r="125" spans="3:11" x14ac:dyDescent="0.25">
      <c r="C125" s="25">
        <v>23522996</v>
      </c>
      <c r="D125" s="26">
        <v>45989.610798611109</v>
      </c>
      <c r="E125" s="25" t="s">
        <v>27</v>
      </c>
      <c r="F125" s="25" t="s">
        <v>28</v>
      </c>
      <c r="G125" s="25" t="s">
        <v>43</v>
      </c>
      <c r="H125" s="25" t="s">
        <v>31</v>
      </c>
      <c r="I125" s="26">
        <v>46001.610798611109</v>
      </c>
      <c r="J125" s="25" t="s">
        <v>6442</v>
      </c>
      <c r="K125" s="25" t="s">
        <v>32</v>
      </c>
    </row>
    <row r="126" spans="3:11" x14ac:dyDescent="0.25">
      <c r="C126" s="25">
        <v>23523085</v>
      </c>
      <c r="D126" s="26">
        <v>45975.63685185185</v>
      </c>
      <c r="E126" s="25" t="s">
        <v>59</v>
      </c>
      <c r="F126" s="25" t="s">
        <v>60</v>
      </c>
      <c r="G126" s="25" t="s">
        <v>29</v>
      </c>
      <c r="H126" s="25" t="s">
        <v>31</v>
      </c>
      <c r="I126" s="26">
        <v>45987.63685185185</v>
      </c>
      <c r="J126" s="25" t="s">
        <v>47</v>
      </c>
      <c r="K126" s="25" t="s">
        <v>47</v>
      </c>
    </row>
    <row r="127" spans="3:11" x14ac:dyDescent="0.25">
      <c r="C127" s="25">
        <v>23523231</v>
      </c>
      <c r="D127" s="26">
        <v>45981.915231481478</v>
      </c>
      <c r="E127" s="25" t="s">
        <v>27</v>
      </c>
      <c r="F127" s="25" t="s">
        <v>28</v>
      </c>
      <c r="G127" s="25" t="s">
        <v>29</v>
      </c>
      <c r="H127" s="25" t="s">
        <v>31</v>
      </c>
      <c r="I127" s="26">
        <v>45992.915231481478</v>
      </c>
      <c r="J127" s="25" t="s">
        <v>6444</v>
      </c>
      <c r="K127" s="25" t="s">
        <v>131</v>
      </c>
    </row>
    <row r="128" spans="3:11" x14ac:dyDescent="0.25">
      <c r="C128" s="25">
        <v>23524192</v>
      </c>
      <c r="D128" s="26">
        <v>45986.910231481481</v>
      </c>
      <c r="E128" s="25" t="s">
        <v>57</v>
      </c>
      <c r="F128" s="25" t="s">
        <v>58</v>
      </c>
      <c r="G128" s="25" t="s">
        <v>40</v>
      </c>
      <c r="H128" s="25" t="s">
        <v>38</v>
      </c>
      <c r="I128" s="26">
        <v>45996.910231481481</v>
      </c>
      <c r="J128" s="25" t="s">
        <v>1482</v>
      </c>
      <c r="K128" s="25" t="s">
        <v>32</v>
      </c>
    </row>
    <row r="129" spans="3:11" x14ac:dyDescent="0.25">
      <c r="C129" s="25">
        <v>23525401</v>
      </c>
      <c r="D129" s="26">
        <v>45988.905266203707</v>
      </c>
      <c r="E129" s="25" t="s">
        <v>27</v>
      </c>
      <c r="F129" s="25" t="s">
        <v>28</v>
      </c>
      <c r="G129" s="25" t="s">
        <v>29</v>
      </c>
      <c r="H129" s="25" t="s">
        <v>31</v>
      </c>
      <c r="I129" s="26">
        <v>46000.905266203707</v>
      </c>
      <c r="J129" s="25" t="s">
        <v>6460</v>
      </c>
      <c r="K129" s="25" t="s">
        <v>32</v>
      </c>
    </row>
    <row r="130" spans="3:11" x14ac:dyDescent="0.25">
      <c r="C130" s="25">
        <v>23525427</v>
      </c>
      <c r="D130" s="26">
        <v>45988.905312499999</v>
      </c>
      <c r="E130" s="25" t="s">
        <v>27</v>
      </c>
      <c r="F130" s="25" t="s">
        <v>28</v>
      </c>
      <c r="G130" s="25" t="s">
        <v>29</v>
      </c>
      <c r="H130" s="25" t="s">
        <v>31</v>
      </c>
      <c r="I130" s="26">
        <v>46000.905312499999</v>
      </c>
      <c r="J130" s="25" t="s">
        <v>6460</v>
      </c>
      <c r="K130" s="25" t="s">
        <v>32</v>
      </c>
    </row>
    <row r="131" spans="3:11" x14ac:dyDescent="0.25">
      <c r="C131" s="25">
        <v>23525448</v>
      </c>
      <c r="D131" s="26">
        <v>45981.91510416667</v>
      </c>
      <c r="E131" s="25" t="s">
        <v>27</v>
      </c>
      <c r="F131" s="25" t="s">
        <v>28</v>
      </c>
      <c r="G131" s="25" t="s">
        <v>29</v>
      </c>
      <c r="H131" s="25" t="s">
        <v>31</v>
      </c>
      <c r="I131" s="26">
        <v>45992.91510416667</v>
      </c>
      <c r="J131" s="25" t="s">
        <v>6444</v>
      </c>
      <c r="K131" s="25" t="s">
        <v>131</v>
      </c>
    </row>
    <row r="132" spans="3:11" x14ac:dyDescent="0.25">
      <c r="C132" s="25">
        <v>23525803</v>
      </c>
      <c r="D132" s="26">
        <v>45973.903946759259</v>
      </c>
      <c r="E132" s="25" t="s">
        <v>27</v>
      </c>
      <c r="F132" s="25" t="s">
        <v>28</v>
      </c>
      <c r="G132" s="25" t="s">
        <v>29</v>
      </c>
      <c r="H132" s="25" t="s">
        <v>31</v>
      </c>
      <c r="I132" s="26">
        <v>45985.903946759259</v>
      </c>
      <c r="J132" s="25" t="s">
        <v>47</v>
      </c>
      <c r="K132" s="25" t="s">
        <v>47</v>
      </c>
    </row>
    <row r="133" spans="3:11" x14ac:dyDescent="0.25">
      <c r="C133" s="25">
        <v>23525819</v>
      </c>
      <c r="D133" s="26">
        <v>45969.498877314814</v>
      </c>
      <c r="E133" s="25" t="s">
        <v>27</v>
      </c>
      <c r="F133" s="25" t="s">
        <v>28</v>
      </c>
      <c r="G133" s="25" t="s">
        <v>76</v>
      </c>
      <c r="H133" s="25" t="s">
        <v>31</v>
      </c>
      <c r="I133" s="26">
        <v>45980.498877314814</v>
      </c>
      <c r="J133" s="25" t="s">
        <v>47</v>
      </c>
      <c r="K133" s="25" t="s">
        <v>47</v>
      </c>
    </row>
    <row r="134" spans="3:11" x14ac:dyDescent="0.25">
      <c r="C134" s="25">
        <v>23526333</v>
      </c>
      <c r="D134" s="26">
        <v>45973.909224537034</v>
      </c>
      <c r="E134" s="25" t="s">
        <v>27</v>
      </c>
      <c r="F134" s="25" t="s">
        <v>28</v>
      </c>
      <c r="G134" s="25" t="s">
        <v>43</v>
      </c>
      <c r="H134" s="25" t="s">
        <v>31</v>
      </c>
      <c r="I134" s="26">
        <v>45985.909224537034</v>
      </c>
      <c r="J134" s="25" t="s">
        <v>47</v>
      </c>
      <c r="K134" s="25" t="s">
        <v>47</v>
      </c>
    </row>
    <row r="135" spans="3:11" x14ac:dyDescent="0.25">
      <c r="C135" s="25">
        <v>23526471</v>
      </c>
      <c r="D135" s="26">
        <v>45973.415555555555</v>
      </c>
      <c r="E135" s="25" t="s">
        <v>57</v>
      </c>
      <c r="F135" s="25" t="s">
        <v>58</v>
      </c>
      <c r="G135" s="25" t="s">
        <v>29</v>
      </c>
      <c r="H135" s="25" t="s">
        <v>38</v>
      </c>
      <c r="I135" s="26">
        <v>45988.415555555555</v>
      </c>
      <c r="J135" s="25" t="s">
        <v>47</v>
      </c>
      <c r="K135" s="25" t="s">
        <v>47</v>
      </c>
    </row>
    <row r="136" spans="3:11" x14ac:dyDescent="0.25">
      <c r="C136" s="25">
        <v>23527471</v>
      </c>
      <c r="D136" s="26">
        <v>45973.367858796293</v>
      </c>
      <c r="E136" s="25" t="s">
        <v>55</v>
      </c>
      <c r="F136" s="25" t="s">
        <v>56</v>
      </c>
      <c r="G136" s="25" t="s">
        <v>29</v>
      </c>
      <c r="H136" s="25" t="s">
        <v>38</v>
      </c>
      <c r="I136" s="26">
        <v>45988.367858796293</v>
      </c>
      <c r="J136" s="25" t="s">
        <v>47</v>
      </c>
      <c r="K136" s="25" t="s">
        <v>47</v>
      </c>
    </row>
    <row r="137" spans="3:11" x14ac:dyDescent="0.25">
      <c r="C137" s="25">
        <v>23527934</v>
      </c>
      <c r="D137" s="26">
        <v>45980.599583333336</v>
      </c>
      <c r="E137" s="25" t="s">
        <v>27</v>
      </c>
      <c r="F137" s="25" t="s">
        <v>28</v>
      </c>
      <c r="G137" s="25" t="s">
        <v>29</v>
      </c>
      <c r="H137" s="25" t="s">
        <v>31</v>
      </c>
      <c r="I137" s="26">
        <v>45989.599583333336</v>
      </c>
      <c r="J137" s="25" t="s">
        <v>47</v>
      </c>
      <c r="K137" s="25" t="s">
        <v>47</v>
      </c>
    </row>
    <row r="138" spans="3:11" x14ac:dyDescent="0.25">
      <c r="C138" s="25">
        <v>23528676</v>
      </c>
      <c r="D138" s="26">
        <v>45989.40824074074</v>
      </c>
      <c r="E138" s="25" t="s">
        <v>55</v>
      </c>
      <c r="F138" s="25" t="s">
        <v>56</v>
      </c>
      <c r="G138" s="25" t="s">
        <v>29</v>
      </c>
      <c r="H138" s="25" t="s">
        <v>38</v>
      </c>
      <c r="I138" s="26">
        <v>46006.40824074074</v>
      </c>
      <c r="J138" s="25" t="s">
        <v>6479</v>
      </c>
      <c r="K138" s="25" t="s">
        <v>32</v>
      </c>
    </row>
    <row r="139" spans="3:11" x14ac:dyDescent="0.25">
      <c r="C139" s="25">
        <v>23530703</v>
      </c>
      <c r="D139" s="26">
        <v>45974.989756944444</v>
      </c>
      <c r="E139" s="25" t="s">
        <v>55</v>
      </c>
      <c r="F139" s="25" t="s">
        <v>56</v>
      </c>
      <c r="G139" s="25" t="s">
        <v>29</v>
      </c>
      <c r="H139" s="25" t="s">
        <v>38</v>
      </c>
      <c r="I139" s="26">
        <v>45989.989756944444</v>
      </c>
      <c r="J139" s="25" t="s">
        <v>47</v>
      </c>
      <c r="K139" s="25" t="s">
        <v>47</v>
      </c>
    </row>
    <row r="140" spans="3:11" x14ac:dyDescent="0.25">
      <c r="C140" s="25">
        <v>23531667</v>
      </c>
      <c r="D140" s="26">
        <v>45983.912893518522</v>
      </c>
      <c r="E140" s="25" t="s">
        <v>27</v>
      </c>
      <c r="F140" s="25" t="s">
        <v>28</v>
      </c>
      <c r="G140" s="25" t="s">
        <v>29</v>
      </c>
      <c r="H140" s="25" t="s">
        <v>31</v>
      </c>
      <c r="I140" s="26">
        <v>45993.912893518522</v>
      </c>
      <c r="J140" s="25" t="s">
        <v>6482</v>
      </c>
      <c r="K140" s="25" t="s">
        <v>49</v>
      </c>
    </row>
    <row r="141" spans="3:11" x14ac:dyDescent="0.25">
      <c r="C141" s="25">
        <v>23532115</v>
      </c>
      <c r="D141" s="26">
        <v>45987.457592592589</v>
      </c>
      <c r="E141" s="25" t="s">
        <v>27</v>
      </c>
      <c r="F141" s="25" t="s">
        <v>28</v>
      </c>
      <c r="G141" s="25" t="s">
        <v>43</v>
      </c>
      <c r="H141" s="25" t="s">
        <v>31</v>
      </c>
      <c r="I141" s="26">
        <v>45996.457592592589</v>
      </c>
      <c r="J141" s="25" t="s">
        <v>1637</v>
      </c>
      <c r="K141" s="25" t="s">
        <v>32</v>
      </c>
    </row>
    <row r="142" spans="3:11" x14ac:dyDescent="0.25">
      <c r="C142" s="25">
        <v>23533556</v>
      </c>
      <c r="D142" s="26">
        <v>45981.910243055558</v>
      </c>
      <c r="E142" s="25" t="s">
        <v>48</v>
      </c>
      <c r="F142" s="25" t="s">
        <v>64</v>
      </c>
      <c r="G142" s="25" t="s">
        <v>43</v>
      </c>
      <c r="H142" s="25" t="s">
        <v>31</v>
      </c>
      <c r="I142" s="26">
        <v>45992.910243055558</v>
      </c>
      <c r="J142" s="25" t="s">
        <v>6484</v>
      </c>
      <c r="K142" s="25" t="s">
        <v>131</v>
      </c>
    </row>
    <row r="143" spans="3:11" x14ac:dyDescent="0.25">
      <c r="C143" s="25">
        <v>23533715</v>
      </c>
      <c r="D143" s="26">
        <v>45989.543194444443</v>
      </c>
      <c r="E143" s="25" t="s">
        <v>44</v>
      </c>
      <c r="F143" s="25" t="s">
        <v>45</v>
      </c>
      <c r="G143" s="25" t="s">
        <v>29</v>
      </c>
      <c r="H143" s="25" t="s">
        <v>31</v>
      </c>
      <c r="I143" s="26">
        <v>46001.543194444443</v>
      </c>
      <c r="J143" s="25" t="s">
        <v>6494</v>
      </c>
      <c r="K143" s="25" t="s">
        <v>32</v>
      </c>
    </row>
    <row r="144" spans="3:11" x14ac:dyDescent="0.25">
      <c r="C144" s="25">
        <v>23533893</v>
      </c>
      <c r="D144" s="26">
        <v>45981.5153587963</v>
      </c>
      <c r="E144" s="25" t="s">
        <v>55</v>
      </c>
      <c r="F144" s="25" t="s">
        <v>56</v>
      </c>
      <c r="G144" s="25" t="s">
        <v>40</v>
      </c>
      <c r="H144" s="25" t="s">
        <v>38</v>
      </c>
      <c r="I144" s="26">
        <v>45993.5153587963</v>
      </c>
      <c r="J144" s="25" t="s">
        <v>4713</v>
      </c>
      <c r="K144" s="25" t="s">
        <v>49</v>
      </c>
    </row>
    <row r="145" spans="3:11" x14ac:dyDescent="0.25">
      <c r="C145" s="25">
        <v>23534712</v>
      </c>
      <c r="D145" s="26">
        <v>45985.673425925925</v>
      </c>
      <c r="E145" s="25" t="s">
        <v>44</v>
      </c>
      <c r="F145" s="25" t="s">
        <v>45</v>
      </c>
      <c r="G145" s="25" t="s">
        <v>51</v>
      </c>
      <c r="H145" s="25" t="s">
        <v>31</v>
      </c>
      <c r="I145" s="26">
        <v>46001.673425925925</v>
      </c>
      <c r="J145" s="25" t="s">
        <v>6497</v>
      </c>
      <c r="K145" s="25" t="s">
        <v>32</v>
      </c>
    </row>
    <row r="146" spans="3:11" x14ac:dyDescent="0.25">
      <c r="C146" s="25">
        <v>23534946</v>
      </c>
      <c r="D146" s="26">
        <v>45970.904872685183</v>
      </c>
      <c r="E146" s="25" t="s">
        <v>55</v>
      </c>
      <c r="F146" s="25" t="s">
        <v>56</v>
      </c>
      <c r="G146" s="25" t="s">
        <v>40</v>
      </c>
      <c r="H146" s="25" t="s">
        <v>31</v>
      </c>
      <c r="I146" s="26">
        <v>45975.904872685183</v>
      </c>
      <c r="J146" s="25" t="s">
        <v>47</v>
      </c>
      <c r="K146" s="25" t="s">
        <v>47</v>
      </c>
    </row>
    <row r="147" spans="3:11" x14ac:dyDescent="0.25">
      <c r="C147" s="25">
        <v>23539478</v>
      </c>
      <c r="D147" s="26">
        <v>45985.543437499997</v>
      </c>
      <c r="E147" s="25" t="s">
        <v>27</v>
      </c>
      <c r="F147" s="25" t="s">
        <v>28</v>
      </c>
      <c r="G147" s="25" t="s">
        <v>29</v>
      </c>
      <c r="H147" s="25" t="s">
        <v>31</v>
      </c>
      <c r="I147" s="26">
        <v>45994.543437499997</v>
      </c>
      <c r="J147" s="25" t="s">
        <v>5284</v>
      </c>
      <c r="K147" s="25" t="s">
        <v>49</v>
      </c>
    </row>
    <row r="148" spans="3:11" x14ac:dyDescent="0.25">
      <c r="C148" s="25">
        <v>23539513</v>
      </c>
      <c r="D148" s="26">
        <v>45985.542129629626</v>
      </c>
      <c r="E148" s="25" t="s">
        <v>27</v>
      </c>
      <c r="F148" s="25" t="s">
        <v>28</v>
      </c>
      <c r="G148" s="25" t="s">
        <v>29</v>
      </c>
      <c r="H148" s="25" t="s">
        <v>31</v>
      </c>
      <c r="I148" s="26">
        <v>45994.542129629626</v>
      </c>
      <c r="J148" s="25" t="s">
        <v>6501</v>
      </c>
      <c r="K148" s="25" t="s">
        <v>49</v>
      </c>
    </row>
    <row r="149" spans="3:11" x14ac:dyDescent="0.25">
      <c r="C149" s="25">
        <v>23539530</v>
      </c>
      <c r="D149" s="26">
        <v>45985.539780092593</v>
      </c>
      <c r="E149" s="25" t="s">
        <v>27</v>
      </c>
      <c r="F149" s="25" t="s">
        <v>28</v>
      </c>
      <c r="G149" s="25" t="s">
        <v>76</v>
      </c>
      <c r="H149" s="25" t="s">
        <v>31</v>
      </c>
      <c r="I149" s="26">
        <v>45994.539780092593</v>
      </c>
      <c r="J149" s="25" t="s">
        <v>2574</v>
      </c>
      <c r="K149" s="25" t="s">
        <v>49</v>
      </c>
    </row>
    <row r="150" spans="3:11" x14ac:dyDescent="0.25">
      <c r="C150" s="25">
        <v>23540723</v>
      </c>
      <c r="D150" s="26">
        <v>45988.90488425926</v>
      </c>
      <c r="E150" s="25" t="s">
        <v>27</v>
      </c>
      <c r="F150" s="25" t="s">
        <v>28</v>
      </c>
      <c r="G150" s="25" t="s">
        <v>29</v>
      </c>
      <c r="H150" s="25" t="s">
        <v>31</v>
      </c>
      <c r="I150" s="26">
        <v>46000.90488425926</v>
      </c>
      <c r="J150" s="25" t="s">
        <v>6460</v>
      </c>
      <c r="K150" s="25" t="s">
        <v>32</v>
      </c>
    </row>
    <row r="151" spans="3:11" x14ac:dyDescent="0.25">
      <c r="C151" s="25">
        <v>23540725</v>
      </c>
      <c r="D151" s="26">
        <v>45981.904988425929</v>
      </c>
      <c r="E151" s="25" t="s">
        <v>57</v>
      </c>
      <c r="F151" s="25" t="s">
        <v>58</v>
      </c>
      <c r="G151" s="25" t="s">
        <v>40</v>
      </c>
      <c r="H151" s="25" t="s">
        <v>38</v>
      </c>
      <c r="I151" s="26">
        <v>45993.904988425929</v>
      </c>
      <c r="J151" s="25" t="s">
        <v>6509</v>
      </c>
      <c r="K151" s="25" t="s">
        <v>49</v>
      </c>
    </row>
    <row r="152" spans="3:11" x14ac:dyDescent="0.25">
      <c r="C152" s="25">
        <v>23540876</v>
      </c>
      <c r="D152" s="26">
        <v>45980.905081018522</v>
      </c>
      <c r="E152" s="25" t="s">
        <v>27</v>
      </c>
      <c r="F152" s="25" t="s">
        <v>28</v>
      </c>
      <c r="G152" s="25" t="s">
        <v>29</v>
      </c>
      <c r="H152" s="25" t="s">
        <v>31</v>
      </c>
      <c r="I152" s="26">
        <v>45989.905081018522</v>
      </c>
      <c r="J152" s="25" t="s">
        <v>47</v>
      </c>
      <c r="K152" s="25" t="s">
        <v>47</v>
      </c>
    </row>
    <row r="153" spans="3:11" x14ac:dyDescent="0.25">
      <c r="C153" s="25">
        <v>23541723</v>
      </c>
      <c r="D153" s="26">
        <v>45988.404756944445</v>
      </c>
      <c r="E153" s="25" t="s">
        <v>44</v>
      </c>
      <c r="F153" s="25" t="s">
        <v>45</v>
      </c>
      <c r="G153" s="25" t="s">
        <v>29</v>
      </c>
      <c r="H153" s="25" t="s">
        <v>31</v>
      </c>
      <c r="I153" s="26">
        <v>46000.404756944445</v>
      </c>
      <c r="J153" s="25" t="s">
        <v>2599</v>
      </c>
      <c r="K153" s="25" t="s">
        <v>32</v>
      </c>
    </row>
    <row r="154" spans="3:11" x14ac:dyDescent="0.25">
      <c r="C154" s="25">
        <v>23541742</v>
      </c>
      <c r="D154" s="26">
        <v>45986.910173611112</v>
      </c>
      <c r="E154" s="25" t="s">
        <v>27</v>
      </c>
      <c r="F154" s="25" t="s">
        <v>28</v>
      </c>
      <c r="G154" s="25" t="s">
        <v>29</v>
      </c>
      <c r="H154" s="25" t="s">
        <v>31</v>
      </c>
      <c r="I154" s="26">
        <v>45995.910173611112</v>
      </c>
      <c r="J154" s="25" t="s">
        <v>1481</v>
      </c>
      <c r="K154" s="25" t="s">
        <v>32</v>
      </c>
    </row>
    <row r="155" spans="3:11" x14ac:dyDescent="0.25">
      <c r="C155" s="25">
        <v>23542632</v>
      </c>
      <c r="D155" s="26">
        <v>45983.9297337963</v>
      </c>
      <c r="E155" s="25" t="s">
        <v>27</v>
      </c>
      <c r="F155" s="25" t="s">
        <v>28</v>
      </c>
      <c r="G155" s="25" t="s">
        <v>29</v>
      </c>
      <c r="H155" s="25" t="s">
        <v>31</v>
      </c>
      <c r="I155" s="26">
        <v>45993.9297337963</v>
      </c>
      <c r="J155" s="25" t="s">
        <v>6512</v>
      </c>
      <c r="K155" s="25" t="s">
        <v>49</v>
      </c>
    </row>
    <row r="156" spans="3:11" x14ac:dyDescent="0.25">
      <c r="C156" s="25">
        <v>23542749</v>
      </c>
      <c r="D156" s="26">
        <v>45973.909490740742</v>
      </c>
      <c r="E156" s="25" t="s">
        <v>57</v>
      </c>
      <c r="F156" s="25" t="s">
        <v>58</v>
      </c>
      <c r="G156" s="25" t="s">
        <v>29</v>
      </c>
      <c r="H156" s="25" t="s">
        <v>38</v>
      </c>
      <c r="I156" s="26">
        <v>45988.909490740742</v>
      </c>
      <c r="J156" s="25" t="s">
        <v>47</v>
      </c>
      <c r="K156" s="25" t="s">
        <v>47</v>
      </c>
    </row>
    <row r="157" spans="3:11" x14ac:dyDescent="0.25">
      <c r="C157" s="25">
        <v>23543030</v>
      </c>
      <c r="D157" s="26">
        <v>45981.697083333333</v>
      </c>
      <c r="E157" s="25" t="s">
        <v>55</v>
      </c>
      <c r="F157" s="25" t="s">
        <v>56</v>
      </c>
      <c r="G157" s="25" t="s">
        <v>40</v>
      </c>
      <c r="H157" s="25" t="s">
        <v>38</v>
      </c>
      <c r="I157" s="26">
        <v>45993.697083333333</v>
      </c>
      <c r="J157" s="25" t="s">
        <v>6274</v>
      </c>
      <c r="K157" s="25" t="s">
        <v>49</v>
      </c>
    </row>
    <row r="158" spans="3:11" x14ac:dyDescent="0.25">
      <c r="C158" s="25">
        <v>23543388</v>
      </c>
      <c r="D158" s="26">
        <v>45973.909444444442</v>
      </c>
      <c r="E158" s="25" t="s">
        <v>57</v>
      </c>
      <c r="F158" s="25" t="s">
        <v>58</v>
      </c>
      <c r="G158" s="25" t="s">
        <v>29</v>
      </c>
      <c r="H158" s="25" t="s">
        <v>38</v>
      </c>
      <c r="I158" s="26">
        <v>45988.909444444442</v>
      </c>
      <c r="J158" s="25" t="s">
        <v>47</v>
      </c>
      <c r="K158" s="25" t="s">
        <v>47</v>
      </c>
    </row>
    <row r="159" spans="3:11" x14ac:dyDescent="0.25">
      <c r="C159" s="25">
        <v>23543450</v>
      </c>
      <c r="D159" s="26">
        <v>45981.915335648147</v>
      </c>
      <c r="E159" s="25" t="s">
        <v>27</v>
      </c>
      <c r="F159" s="25" t="s">
        <v>28</v>
      </c>
      <c r="G159" s="25" t="s">
        <v>29</v>
      </c>
      <c r="H159" s="25" t="s">
        <v>31</v>
      </c>
      <c r="I159" s="26">
        <v>45992.915335648147</v>
      </c>
      <c r="J159" s="25" t="s">
        <v>6351</v>
      </c>
      <c r="K159" s="25" t="s">
        <v>131</v>
      </c>
    </row>
    <row r="160" spans="3:11" x14ac:dyDescent="0.25">
      <c r="C160" s="25">
        <v>23543463</v>
      </c>
      <c r="D160" s="26">
        <v>45981.915381944447</v>
      </c>
      <c r="E160" s="25" t="s">
        <v>27</v>
      </c>
      <c r="F160" s="25" t="s">
        <v>28</v>
      </c>
      <c r="G160" s="25" t="s">
        <v>29</v>
      </c>
      <c r="H160" s="25" t="s">
        <v>31</v>
      </c>
      <c r="I160" s="26">
        <v>45992.915381944447</v>
      </c>
      <c r="J160" s="25" t="s">
        <v>6351</v>
      </c>
      <c r="K160" s="25" t="s">
        <v>131</v>
      </c>
    </row>
    <row r="161" spans="3:11" x14ac:dyDescent="0.25">
      <c r="C161" s="25">
        <v>23543533</v>
      </c>
      <c r="D161" s="26">
        <v>45988.905381944445</v>
      </c>
      <c r="E161" s="25" t="s">
        <v>27</v>
      </c>
      <c r="F161" s="25" t="s">
        <v>28</v>
      </c>
      <c r="G161" s="25" t="s">
        <v>43</v>
      </c>
      <c r="H161" s="25" t="s">
        <v>31</v>
      </c>
      <c r="I161" s="26">
        <v>46000.905381944445</v>
      </c>
      <c r="J161" s="25" t="s">
        <v>6460</v>
      </c>
      <c r="K161" s="25" t="s">
        <v>32</v>
      </c>
    </row>
    <row r="162" spans="3:11" x14ac:dyDescent="0.25">
      <c r="C162" s="25">
        <v>23543674</v>
      </c>
      <c r="D162" s="26">
        <v>45971.355023148149</v>
      </c>
      <c r="E162" s="25" t="s">
        <v>57</v>
      </c>
      <c r="F162" s="25" t="s">
        <v>58</v>
      </c>
      <c r="G162" s="25" t="s">
        <v>43</v>
      </c>
      <c r="H162" s="25" t="s">
        <v>31</v>
      </c>
      <c r="I162" s="26">
        <v>45981.355023148149</v>
      </c>
      <c r="J162" s="25" t="s">
        <v>47</v>
      </c>
      <c r="K162" s="25" t="s">
        <v>47</v>
      </c>
    </row>
    <row r="163" spans="3:11" x14ac:dyDescent="0.25">
      <c r="C163" s="25">
        <v>23545646</v>
      </c>
      <c r="D163" s="26">
        <v>45988.501747685186</v>
      </c>
      <c r="E163" s="25" t="s">
        <v>27</v>
      </c>
      <c r="F163" s="25" t="s">
        <v>28</v>
      </c>
      <c r="G163" s="25" t="s">
        <v>40</v>
      </c>
      <c r="H163" s="25" t="s">
        <v>31</v>
      </c>
      <c r="I163" s="26">
        <v>45995.501747685186</v>
      </c>
      <c r="J163" s="25" t="s">
        <v>6522</v>
      </c>
      <c r="K163" s="25" t="s">
        <v>32</v>
      </c>
    </row>
    <row r="164" spans="3:11" x14ac:dyDescent="0.25">
      <c r="C164" s="25">
        <v>23546046</v>
      </c>
      <c r="D164" s="26">
        <v>45981.697106481479</v>
      </c>
      <c r="E164" s="25" t="s">
        <v>55</v>
      </c>
      <c r="F164" s="25" t="s">
        <v>56</v>
      </c>
      <c r="G164" s="25" t="s">
        <v>29</v>
      </c>
      <c r="H164" s="25" t="s">
        <v>38</v>
      </c>
      <c r="I164" s="26">
        <v>45995.697106481479</v>
      </c>
      <c r="J164" s="25" t="s">
        <v>6377</v>
      </c>
      <c r="K164" s="25" t="s">
        <v>32</v>
      </c>
    </row>
    <row r="165" spans="3:11" x14ac:dyDescent="0.25">
      <c r="C165" s="25">
        <v>23546592</v>
      </c>
      <c r="D165" s="26">
        <v>45973.415601851855</v>
      </c>
      <c r="E165" s="25" t="s">
        <v>57</v>
      </c>
      <c r="F165" s="25" t="s">
        <v>58</v>
      </c>
      <c r="G165" s="25" t="s">
        <v>40</v>
      </c>
      <c r="H165" s="25" t="s">
        <v>38</v>
      </c>
      <c r="I165" s="26">
        <v>45986.415601851855</v>
      </c>
      <c r="J165" s="25" t="s">
        <v>47</v>
      </c>
      <c r="K165" s="25" t="s">
        <v>47</v>
      </c>
    </row>
    <row r="166" spans="3:11" x14ac:dyDescent="0.25">
      <c r="C166" s="25">
        <v>23546595</v>
      </c>
      <c r="D166" s="26">
        <v>45981.915439814817</v>
      </c>
      <c r="E166" s="25" t="s">
        <v>27</v>
      </c>
      <c r="F166" s="25" t="s">
        <v>28</v>
      </c>
      <c r="G166" s="25" t="s">
        <v>29</v>
      </c>
      <c r="H166" s="25" t="s">
        <v>31</v>
      </c>
      <c r="I166" s="26">
        <v>45992.915439814817</v>
      </c>
      <c r="J166" s="25" t="s">
        <v>6351</v>
      </c>
      <c r="K166" s="25" t="s">
        <v>131</v>
      </c>
    </row>
    <row r="167" spans="3:11" x14ac:dyDescent="0.25">
      <c r="C167" s="25">
        <v>23546598</v>
      </c>
      <c r="D167" s="26">
        <v>45981.91547453704</v>
      </c>
      <c r="E167" s="25" t="s">
        <v>27</v>
      </c>
      <c r="F167" s="25" t="s">
        <v>28</v>
      </c>
      <c r="G167" s="25" t="s">
        <v>29</v>
      </c>
      <c r="H167" s="25" t="s">
        <v>31</v>
      </c>
      <c r="I167" s="26">
        <v>45992.91547453704</v>
      </c>
      <c r="J167" s="25" t="s">
        <v>6351</v>
      </c>
      <c r="K167" s="25" t="s">
        <v>131</v>
      </c>
    </row>
    <row r="168" spans="3:11" x14ac:dyDescent="0.25">
      <c r="C168" s="25">
        <v>23546621</v>
      </c>
      <c r="D168" s="26">
        <v>45973.910069444442</v>
      </c>
      <c r="E168" s="25" t="s">
        <v>57</v>
      </c>
      <c r="F168" s="25" t="s">
        <v>58</v>
      </c>
      <c r="G168" s="25" t="s">
        <v>40</v>
      </c>
      <c r="H168" s="25" t="s">
        <v>38</v>
      </c>
      <c r="I168" s="26">
        <v>45986.910069444442</v>
      </c>
      <c r="J168" s="25" t="s">
        <v>47</v>
      </c>
      <c r="K168" s="25" t="s">
        <v>47</v>
      </c>
    </row>
    <row r="169" spans="3:11" x14ac:dyDescent="0.25">
      <c r="C169" s="25">
        <v>23546805</v>
      </c>
      <c r="D169" s="26">
        <v>45969.93476851852</v>
      </c>
      <c r="E169" s="25" t="s">
        <v>48</v>
      </c>
      <c r="F169" s="25" t="s">
        <v>64</v>
      </c>
      <c r="G169" s="25" t="s">
        <v>43</v>
      </c>
      <c r="H169" s="25" t="s">
        <v>31</v>
      </c>
      <c r="I169" s="26">
        <v>45980.93476851852</v>
      </c>
      <c r="J169" s="25" t="s">
        <v>47</v>
      </c>
      <c r="K169" s="25" t="s">
        <v>47</v>
      </c>
    </row>
    <row r="170" spans="3:11" x14ac:dyDescent="0.25">
      <c r="C170" s="25">
        <v>23547075</v>
      </c>
      <c r="D170" s="26">
        <v>45979.556585648148</v>
      </c>
      <c r="E170" s="25" t="s">
        <v>48</v>
      </c>
      <c r="F170" s="25" t="s">
        <v>64</v>
      </c>
      <c r="G170" s="25" t="s">
        <v>43</v>
      </c>
      <c r="H170" s="25" t="s">
        <v>38</v>
      </c>
      <c r="I170" s="26">
        <v>45993.556585648148</v>
      </c>
      <c r="J170" s="25" t="s">
        <v>6527</v>
      </c>
      <c r="K170" s="25" t="s">
        <v>49</v>
      </c>
    </row>
    <row r="171" spans="3:11" x14ac:dyDescent="0.25">
      <c r="C171" s="25">
        <v>23547105</v>
      </c>
      <c r="D171" s="26">
        <v>45973.415648148148</v>
      </c>
      <c r="E171" s="25" t="s">
        <v>57</v>
      </c>
      <c r="F171" s="25" t="s">
        <v>58</v>
      </c>
      <c r="G171" s="25" t="s">
        <v>40</v>
      </c>
      <c r="H171" s="25" t="s">
        <v>38</v>
      </c>
      <c r="I171" s="26">
        <v>45986.415648148148</v>
      </c>
      <c r="J171" s="25" t="s">
        <v>47</v>
      </c>
      <c r="K171" s="25" t="s">
        <v>47</v>
      </c>
    </row>
    <row r="172" spans="3:11" x14ac:dyDescent="0.25">
      <c r="C172" s="25">
        <v>23547326</v>
      </c>
      <c r="D172" s="26">
        <v>45981.697129629632</v>
      </c>
      <c r="E172" s="25" t="s">
        <v>55</v>
      </c>
      <c r="F172" s="25" t="s">
        <v>56</v>
      </c>
      <c r="G172" s="25" t="s">
        <v>40</v>
      </c>
      <c r="H172" s="25" t="s">
        <v>38</v>
      </c>
      <c r="I172" s="26">
        <v>45993.697129629632</v>
      </c>
      <c r="J172" s="25" t="s">
        <v>6274</v>
      </c>
      <c r="K172" s="25" t="s">
        <v>49</v>
      </c>
    </row>
    <row r="173" spans="3:11" x14ac:dyDescent="0.25">
      <c r="C173" s="25">
        <v>23547980</v>
      </c>
      <c r="D173" s="26">
        <v>45981.697141203702</v>
      </c>
      <c r="E173" s="25" t="s">
        <v>55</v>
      </c>
      <c r="F173" s="25" t="s">
        <v>56</v>
      </c>
      <c r="G173" s="25" t="s">
        <v>40</v>
      </c>
      <c r="H173" s="25" t="s">
        <v>38</v>
      </c>
      <c r="I173" s="26">
        <v>45993.697141203702</v>
      </c>
      <c r="J173" s="25" t="s">
        <v>6274</v>
      </c>
      <c r="K173" s="25" t="s">
        <v>49</v>
      </c>
    </row>
    <row r="174" spans="3:11" x14ac:dyDescent="0.25">
      <c r="C174" s="25">
        <v>23547989</v>
      </c>
      <c r="D174" s="26">
        <v>45989.906076388892</v>
      </c>
      <c r="E174" s="25" t="s">
        <v>27</v>
      </c>
      <c r="F174" s="25" t="s">
        <v>28</v>
      </c>
      <c r="G174" s="25" t="s">
        <v>29</v>
      </c>
      <c r="H174" s="25" t="s">
        <v>31</v>
      </c>
      <c r="I174" s="26">
        <v>46001.906076388892</v>
      </c>
      <c r="J174" s="25" t="s">
        <v>6532</v>
      </c>
      <c r="K174" s="25" t="s">
        <v>32</v>
      </c>
    </row>
    <row r="175" spans="3:11" x14ac:dyDescent="0.25">
      <c r="C175" s="25">
        <v>23548143</v>
      </c>
      <c r="D175" s="26">
        <v>45986.909444444442</v>
      </c>
      <c r="E175" s="25" t="s">
        <v>55</v>
      </c>
      <c r="F175" s="25" t="s">
        <v>56</v>
      </c>
      <c r="G175" s="25" t="s">
        <v>29</v>
      </c>
      <c r="H175" s="25" t="s">
        <v>38</v>
      </c>
      <c r="I175" s="26">
        <v>46001.909444444442</v>
      </c>
      <c r="J175" s="25" t="s">
        <v>6534</v>
      </c>
      <c r="K175" s="25" t="s">
        <v>32</v>
      </c>
    </row>
    <row r="176" spans="3:11" x14ac:dyDescent="0.25">
      <c r="C176" s="25">
        <v>23548384</v>
      </c>
      <c r="D176" s="26">
        <v>45988.904594907406</v>
      </c>
      <c r="E176" s="25" t="s">
        <v>27</v>
      </c>
      <c r="F176" s="25" t="s">
        <v>28</v>
      </c>
      <c r="G176" s="25" t="s">
        <v>29</v>
      </c>
      <c r="H176" s="25" t="s">
        <v>31</v>
      </c>
      <c r="I176" s="26">
        <v>46000.904594907406</v>
      </c>
      <c r="J176" s="25" t="s">
        <v>6544</v>
      </c>
      <c r="K176" s="25" t="s">
        <v>32</v>
      </c>
    </row>
    <row r="177" spans="3:11" x14ac:dyDescent="0.25">
      <c r="C177" s="25">
        <v>23548763</v>
      </c>
      <c r="D177" s="26">
        <v>45989.581817129627</v>
      </c>
      <c r="E177" s="25" t="s">
        <v>57</v>
      </c>
      <c r="F177" s="25" t="s">
        <v>58</v>
      </c>
      <c r="G177" s="25" t="s">
        <v>29</v>
      </c>
      <c r="H177" s="25" t="s">
        <v>38</v>
      </c>
      <c r="I177" s="26">
        <v>46006.581817129627</v>
      </c>
      <c r="J177" s="25" t="s">
        <v>6554</v>
      </c>
      <c r="K177" s="25" t="s">
        <v>32</v>
      </c>
    </row>
    <row r="178" spans="3:11" x14ac:dyDescent="0.25">
      <c r="C178" s="25">
        <v>23548897</v>
      </c>
      <c r="D178" s="26">
        <v>45988.907280092593</v>
      </c>
      <c r="E178" s="25" t="s">
        <v>27</v>
      </c>
      <c r="F178" s="25" t="s">
        <v>28</v>
      </c>
      <c r="G178" s="25" t="s">
        <v>29</v>
      </c>
      <c r="H178" s="25" t="s">
        <v>38</v>
      </c>
      <c r="I178" s="26">
        <v>46003.907280092593</v>
      </c>
      <c r="J178" s="25" t="s">
        <v>6563</v>
      </c>
      <c r="K178" s="25" t="s">
        <v>32</v>
      </c>
    </row>
    <row r="179" spans="3:11" x14ac:dyDescent="0.25">
      <c r="C179" s="25">
        <v>23548922</v>
      </c>
      <c r="D179" s="26">
        <v>45973.415960648148</v>
      </c>
      <c r="E179" s="25" t="s">
        <v>57</v>
      </c>
      <c r="F179" s="25" t="s">
        <v>58</v>
      </c>
      <c r="G179" s="25" t="s">
        <v>29</v>
      </c>
      <c r="H179" s="25" t="s">
        <v>38</v>
      </c>
      <c r="I179" s="26">
        <v>45988.415960648148</v>
      </c>
      <c r="J179" s="25" t="s">
        <v>47</v>
      </c>
      <c r="K179" s="25" t="s">
        <v>47</v>
      </c>
    </row>
    <row r="180" spans="3:11" x14ac:dyDescent="0.25">
      <c r="C180" s="25">
        <v>23549064</v>
      </c>
      <c r="D180" s="26">
        <v>45986.910069444442</v>
      </c>
      <c r="E180" s="25" t="s">
        <v>59</v>
      </c>
      <c r="F180" s="25" t="s">
        <v>60</v>
      </c>
      <c r="G180" s="25" t="s">
        <v>29</v>
      </c>
      <c r="H180" s="25" t="s">
        <v>31</v>
      </c>
      <c r="I180" s="26">
        <v>45995.910069444442</v>
      </c>
      <c r="J180" s="25" t="s">
        <v>1481</v>
      </c>
      <c r="K180" s="25" t="s">
        <v>32</v>
      </c>
    </row>
    <row r="181" spans="3:11" x14ac:dyDescent="0.25">
      <c r="C181" s="25">
        <v>23549201</v>
      </c>
      <c r="D181" s="26">
        <v>45981.369270833333</v>
      </c>
      <c r="E181" s="25" t="s">
        <v>55</v>
      </c>
      <c r="F181" s="25" t="s">
        <v>56</v>
      </c>
      <c r="G181" s="25" t="s">
        <v>40</v>
      </c>
      <c r="H181" s="25" t="s">
        <v>38</v>
      </c>
      <c r="I181" s="26">
        <v>45993.369270833333</v>
      </c>
      <c r="J181" s="25" t="s">
        <v>6565</v>
      </c>
      <c r="K181" s="25" t="s">
        <v>49</v>
      </c>
    </row>
    <row r="182" spans="3:11" x14ac:dyDescent="0.25">
      <c r="C182" s="25">
        <v>23549216</v>
      </c>
      <c r="D182" s="26">
        <v>45981.368020833332</v>
      </c>
      <c r="E182" s="25" t="s">
        <v>55</v>
      </c>
      <c r="F182" s="25" t="s">
        <v>56</v>
      </c>
      <c r="G182" s="25" t="s">
        <v>40</v>
      </c>
      <c r="H182" s="25" t="s">
        <v>38</v>
      </c>
      <c r="I182" s="26">
        <v>45993.368020833332</v>
      </c>
      <c r="J182" s="25" t="s">
        <v>6567</v>
      </c>
      <c r="K182" s="25" t="s">
        <v>49</v>
      </c>
    </row>
    <row r="183" spans="3:11" x14ac:dyDescent="0.25">
      <c r="C183" s="25">
        <v>23549218</v>
      </c>
      <c r="D183" s="26">
        <v>45986.903981481482</v>
      </c>
      <c r="E183" s="25" t="s">
        <v>27</v>
      </c>
      <c r="F183" s="25" t="s">
        <v>28</v>
      </c>
      <c r="G183" s="25" t="s">
        <v>43</v>
      </c>
      <c r="H183" s="25" t="s">
        <v>31</v>
      </c>
      <c r="I183" s="26">
        <v>45995.903981481482</v>
      </c>
      <c r="J183" s="25" t="s">
        <v>1106</v>
      </c>
      <c r="K183" s="25" t="s">
        <v>32</v>
      </c>
    </row>
    <row r="184" spans="3:11" x14ac:dyDescent="0.25">
      <c r="C184" s="25">
        <v>23549229</v>
      </c>
      <c r="D184" s="26">
        <v>45981.36990740741</v>
      </c>
      <c r="E184" s="25" t="s">
        <v>55</v>
      </c>
      <c r="F184" s="25" t="s">
        <v>56</v>
      </c>
      <c r="G184" s="25" t="s">
        <v>40</v>
      </c>
      <c r="H184" s="25" t="s">
        <v>38</v>
      </c>
      <c r="I184" s="26">
        <v>45993.36990740741</v>
      </c>
      <c r="J184" s="25" t="s">
        <v>6569</v>
      </c>
      <c r="K184" s="25" t="s">
        <v>49</v>
      </c>
    </row>
    <row r="185" spans="3:11" x14ac:dyDescent="0.25">
      <c r="C185" s="25">
        <v>23549479</v>
      </c>
      <c r="D185" s="26">
        <v>45981.697164351855</v>
      </c>
      <c r="E185" s="25" t="s">
        <v>55</v>
      </c>
      <c r="F185" s="25" t="s">
        <v>56</v>
      </c>
      <c r="G185" s="25" t="s">
        <v>40</v>
      </c>
      <c r="H185" s="25" t="s">
        <v>31</v>
      </c>
      <c r="I185" s="26">
        <v>45988.697164351855</v>
      </c>
      <c r="J185" s="25" t="s">
        <v>47</v>
      </c>
      <c r="K185" s="25" t="s">
        <v>47</v>
      </c>
    </row>
    <row r="186" spans="3:11" x14ac:dyDescent="0.25">
      <c r="C186" s="25">
        <v>23549772</v>
      </c>
      <c r="D186" s="26">
        <v>45983.918854166666</v>
      </c>
      <c r="E186" s="25" t="s">
        <v>27</v>
      </c>
      <c r="F186" s="25" t="s">
        <v>28</v>
      </c>
      <c r="G186" s="25" t="s">
        <v>29</v>
      </c>
      <c r="H186" s="25" t="s">
        <v>31</v>
      </c>
      <c r="I186" s="26">
        <v>45993.918854166666</v>
      </c>
      <c r="J186" s="25" t="s">
        <v>6571</v>
      </c>
      <c r="K186" s="25" t="s">
        <v>49</v>
      </c>
    </row>
    <row r="187" spans="3:11" x14ac:dyDescent="0.25">
      <c r="C187" s="25">
        <v>23551142</v>
      </c>
      <c r="D187" s="26">
        <v>45988.718587962961</v>
      </c>
      <c r="E187" s="25" t="s">
        <v>27</v>
      </c>
      <c r="F187" s="25" t="s">
        <v>28</v>
      </c>
      <c r="G187" s="25" t="s">
        <v>43</v>
      </c>
      <c r="H187" s="25" t="s">
        <v>31</v>
      </c>
      <c r="I187" s="26">
        <v>46000.718587962961</v>
      </c>
      <c r="J187" s="25" t="s">
        <v>6579</v>
      </c>
      <c r="K187" s="25" t="s">
        <v>32</v>
      </c>
    </row>
    <row r="188" spans="3:11" x14ac:dyDescent="0.25">
      <c r="C188" s="25">
        <v>23551166</v>
      </c>
      <c r="D188" s="26">
        <v>45979.678379629629</v>
      </c>
      <c r="E188" s="25" t="s">
        <v>27</v>
      </c>
      <c r="F188" s="25" t="s">
        <v>28</v>
      </c>
      <c r="G188" s="25" t="s">
        <v>29</v>
      </c>
      <c r="H188" s="25" t="s">
        <v>31</v>
      </c>
      <c r="I188" s="26">
        <v>45988.678379629629</v>
      </c>
      <c r="J188" s="25" t="s">
        <v>47</v>
      </c>
      <c r="K188" s="25" t="s">
        <v>47</v>
      </c>
    </row>
    <row r="189" spans="3:11" x14ac:dyDescent="0.25">
      <c r="C189" s="25">
        <v>23551325</v>
      </c>
      <c r="D189" s="26">
        <v>45988.906585648147</v>
      </c>
      <c r="E189" s="25" t="s">
        <v>27</v>
      </c>
      <c r="F189" s="25" t="s">
        <v>28</v>
      </c>
      <c r="G189" s="25" t="s">
        <v>40</v>
      </c>
      <c r="H189" s="25" t="s">
        <v>38</v>
      </c>
      <c r="I189" s="26">
        <v>46001.906585648147</v>
      </c>
      <c r="J189" s="25" t="s">
        <v>6590</v>
      </c>
      <c r="K189" s="25" t="s">
        <v>32</v>
      </c>
    </row>
    <row r="190" spans="3:11" x14ac:dyDescent="0.25">
      <c r="C190" s="25">
        <v>23551421</v>
      </c>
      <c r="D190" s="26">
        <v>45981.697187500002</v>
      </c>
      <c r="E190" s="25" t="s">
        <v>55</v>
      </c>
      <c r="F190" s="25" t="s">
        <v>56</v>
      </c>
      <c r="G190" s="25" t="s">
        <v>40</v>
      </c>
      <c r="H190" s="25" t="s">
        <v>38</v>
      </c>
      <c r="I190" s="26">
        <v>45993.697187500002</v>
      </c>
      <c r="J190" s="25" t="s">
        <v>6274</v>
      </c>
      <c r="K190" s="25" t="s">
        <v>49</v>
      </c>
    </row>
    <row r="191" spans="3:11" x14ac:dyDescent="0.25">
      <c r="C191" s="25">
        <v>23551591</v>
      </c>
      <c r="D191" s="26">
        <v>45981.905497685184</v>
      </c>
      <c r="E191" s="25" t="s">
        <v>55</v>
      </c>
      <c r="F191" s="25" t="s">
        <v>56</v>
      </c>
      <c r="G191" s="25" t="s">
        <v>40</v>
      </c>
      <c r="H191" s="25" t="s">
        <v>38</v>
      </c>
      <c r="I191" s="26">
        <v>45993.905497685184</v>
      </c>
      <c r="J191" s="25" t="s">
        <v>6509</v>
      </c>
      <c r="K191" s="25" t="s">
        <v>49</v>
      </c>
    </row>
    <row r="192" spans="3:11" x14ac:dyDescent="0.25">
      <c r="C192" s="25">
        <v>23551735</v>
      </c>
      <c r="D192" s="26">
        <v>45983.918958333335</v>
      </c>
      <c r="E192" s="25" t="s">
        <v>48</v>
      </c>
      <c r="F192" s="25" t="s">
        <v>64</v>
      </c>
      <c r="G192" s="25" t="s">
        <v>29</v>
      </c>
      <c r="H192" s="25" t="s">
        <v>38</v>
      </c>
      <c r="I192" s="26">
        <v>45996.918958333335</v>
      </c>
      <c r="J192" s="25" t="s">
        <v>6591</v>
      </c>
      <c r="K192" s="25" t="s">
        <v>32</v>
      </c>
    </row>
    <row r="193" spans="3:11" x14ac:dyDescent="0.25">
      <c r="C193" s="25">
        <v>23551858</v>
      </c>
      <c r="D193" s="26">
        <v>45989.450879629629</v>
      </c>
      <c r="E193" s="25" t="s">
        <v>55</v>
      </c>
      <c r="F193" s="25" t="s">
        <v>56</v>
      </c>
      <c r="G193" s="25" t="s">
        <v>40</v>
      </c>
      <c r="H193" s="25" t="s">
        <v>38</v>
      </c>
      <c r="I193" s="26">
        <v>46002.450879629629</v>
      </c>
      <c r="J193" s="25" t="s">
        <v>6600</v>
      </c>
      <c r="K193" s="25" t="s">
        <v>32</v>
      </c>
    </row>
    <row r="194" spans="3:11" x14ac:dyDescent="0.25">
      <c r="C194" s="25">
        <v>23552182</v>
      </c>
      <c r="D194" s="26">
        <v>45988.905729166669</v>
      </c>
      <c r="E194" s="25" t="s">
        <v>27</v>
      </c>
      <c r="F194" s="25" t="s">
        <v>28</v>
      </c>
      <c r="G194" s="25" t="s">
        <v>29</v>
      </c>
      <c r="H194" s="25" t="s">
        <v>31</v>
      </c>
      <c r="I194" s="26">
        <v>46000.905729166669</v>
      </c>
      <c r="J194" s="25" t="s">
        <v>6608</v>
      </c>
      <c r="K194" s="25" t="s">
        <v>32</v>
      </c>
    </row>
    <row r="195" spans="3:11" x14ac:dyDescent="0.25">
      <c r="C195" s="25">
        <v>23552893</v>
      </c>
      <c r="D195" s="26">
        <v>45988.905671296299</v>
      </c>
      <c r="E195" s="25" t="s">
        <v>27</v>
      </c>
      <c r="F195" s="25" t="s">
        <v>28</v>
      </c>
      <c r="G195" s="25" t="s">
        <v>29</v>
      </c>
      <c r="H195" s="25" t="s">
        <v>31</v>
      </c>
      <c r="I195" s="26">
        <v>46000.905671296299</v>
      </c>
      <c r="J195" s="25" t="s">
        <v>6608</v>
      </c>
      <c r="K195" s="25" t="s">
        <v>32</v>
      </c>
    </row>
    <row r="196" spans="3:11" x14ac:dyDescent="0.25">
      <c r="C196" s="25">
        <v>23552973</v>
      </c>
      <c r="D196" s="26">
        <v>45988.461909722224</v>
      </c>
      <c r="E196" s="25" t="s">
        <v>27</v>
      </c>
      <c r="F196" s="25" t="s">
        <v>28</v>
      </c>
      <c r="G196" s="25" t="s">
        <v>40</v>
      </c>
      <c r="H196" s="25" t="s">
        <v>31</v>
      </c>
      <c r="I196" s="26">
        <v>45995.461909722224</v>
      </c>
      <c r="J196" s="25" t="s">
        <v>6616</v>
      </c>
      <c r="K196" s="25" t="s">
        <v>32</v>
      </c>
    </row>
    <row r="197" spans="3:11" x14ac:dyDescent="0.25">
      <c r="C197" s="25">
        <v>23553386</v>
      </c>
      <c r="D197" s="26">
        <v>45981.690486111111</v>
      </c>
      <c r="E197" s="25" t="s">
        <v>27</v>
      </c>
      <c r="F197" s="25" t="s">
        <v>28</v>
      </c>
      <c r="G197" s="25" t="s">
        <v>29</v>
      </c>
      <c r="H197" s="25" t="s">
        <v>31</v>
      </c>
      <c r="I197" s="26">
        <v>45992.690486111111</v>
      </c>
      <c r="J197" s="25" t="s">
        <v>6617</v>
      </c>
      <c r="K197" s="25" t="s">
        <v>131</v>
      </c>
    </row>
    <row r="198" spans="3:11" x14ac:dyDescent="0.25">
      <c r="C198" s="25">
        <v>23553652</v>
      </c>
      <c r="D198" s="26">
        <v>45988.425567129627</v>
      </c>
      <c r="E198" s="25" t="s">
        <v>44</v>
      </c>
      <c r="F198" s="25" t="s">
        <v>45</v>
      </c>
      <c r="G198" s="25" t="s">
        <v>46</v>
      </c>
      <c r="H198" s="25" t="s">
        <v>38</v>
      </c>
      <c r="I198" s="26">
        <v>46001.425567129627</v>
      </c>
      <c r="J198" s="25" t="s">
        <v>6619</v>
      </c>
      <c r="K198" s="25" t="s">
        <v>32</v>
      </c>
    </row>
    <row r="199" spans="3:11" x14ac:dyDescent="0.25">
      <c r="C199" s="25">
        <v>23553817</v>
      </c>
      <c r="D199" s="26">
        <v>45981.298032407409</v>
      </c>
      <c r="E199" s="25" t="s">
        <v>27</v>
      </c>
      <c r="F199" s="25" t="s">
        <v>28</v>
      </c>
      <c r="G199" s="25" t="s">
        <v>29</v>
      </c>
      <c r="H199" s="25" t="s">
        <v>31</v>
      </c>
      <c r="I199" s="26">
        <v>45992.298032407409</v>
      </c>
      <c r="J199" s="25" t="s">
        <v>47</v>
      </c>
      <c r="K199" s="25" t="s">
        <v>47</v>
      </c>
    </row>
    <row r="200" spans="3:11" x14ac:dyDescent="0.25">
      <c r="C200" s="25">
        <v>23553818</v>
      </c>
      <c r="D200" s="26">
        <v>45981.301655092589</v>
      </c>
      <c r="E200" s="25" t="s">
        <v>27</v>
      </c>
      <c r="F200" s="25" t="s">
        <v>28</v>
      </c>
      <c r="G200" s="25" t="s">
        <v>29</v>
      </c>
      <c r="H200" s="25" t="s">
        <v>31</v>
      </c>
      <c r="I200" s="26">
        <v>45992.301655092589</v>
      </c>
      <c r="J200" s="25" t="s">
        <v>47</v>
      </c>
      <c r="K200" s="25" t="s">
        <v>47</v>
      </c>
    </row>
    <row r="201" spans="3:11" x14ac:dyDescent="0.25">
      <c r="C201" s="25">
        <v>23553819</v>
      </c>
      <c r="D201" s="26">
        <v>45981.301018518519</v>
      </c>
      <c r="E201" s="25" t="s">
        <v>27</v>
      </c>
      <c r="F201" s="25" t="s">
        <v>28</v>
      </c>
      <c r="G201" s="25" t="s">
        <v>29</v>
      </c>
      <c r="H201" s="25" t="s">
        <v>31</v>
      </c>
      <c r="I201" s="26">
        <v>45992.301018518519</v>
      </c>
      <c r="J201" s="25" t="s">
        <v>47</v>
      </c>
      <c r="K201" s="25" t="s">
        <v>47</v>
      </c>
    </row>
    <row r="202" spans="3:11" x14ac:dyDescent="0.25">
      <c r="C202" s="25">
        <v>23553823</v>
      </c>
      <c r="D202" s="26">
        <v>45981.303680555553</v>
      </c>
      <c r="E202" s="25" t="s">
        <v>27</v>
      </c>
      <c r="F202" s="25" t="s">
        <v>28</v>
      </c>
      <c r="G202" s="25" t="s">
        <v>43</v>
      </c>
      <c r="H202" s="25" t="s">
        <v>31</v>
      </c>
      <c r="I202" s="26">
        <v>45992.303680555553</v>
      </c>
      <c r="J202" s="25" t="s">
        <v>47</v>
      </c>
      <c r="K202" s="25" t="s">
        <v>47</v>
      </c>
    </row>
    <row r="203" spans="3:11" x14ac:dyDescent="0.25">
      <c r="C203" s="25">
        <v>23553824</v>
      </c>
      <c r="D203" s="26">
        <v>45981.299490740741</v>
      </c>
      <c r="E203" s="25" t="s">
        <v>27</v>
      </c>
      <c r="F203" s="25" t="s">
        <v>28</v>
      </c>
      <c r="G203" s="25" t="s">
        <v>29</v>
      </c>
      <c r="H203" s="25" t="s">
        <v>31</v>
      </c>
      <c r="I203" s="26">
        <v>45992.299490740741</v>
      </c>
      <c r="J203" s="25" t="s">
        <v>47</v>
      </c>
      <c r="K203" s="25" t="s">
        <v>47</v>
      </c>
    </row>
    <row r="204" spans="3:11" x14ac:dyDescent="0.25">
      <c r="C204" s="25">
        <v>23554440</v>
      </c>
      <c r="D204" s="26">
        <v>45986.389918981484</v>
      </c>
      <c r="E204" s="25" t="s">
        <v>27</v>
      </c>
      <c r="F204" s="25" t="s">
        <v>28</v>
      </c>
      <c r="G204" s="25" t="s">
        <v>29</v>
      </c>
      <c r="H204" s="25" t="s">
        <v>38</v>
      </c>
      <c r="I204" s="26">
        <v>46001.389918981484</v>
      </c>
      <c r="J204" s="25" t="s">
        <v>6625</v>
      </c>
      <c r="K204" s="25" t="s">
        <v>32</v>
      </c>
    </row>
    <row r="205" spans="3:11" x14ac:dyDescent="0.25">
      <c r="C205" s="25">
        <v>23556160</v>
      </c>
      <c r="D205" s="26">
        <v>45981.697187500002</v>
      </c>
      <c r="E205" s="25" t="s">
        <v>55</v>
      </c>
      <c r="F205" s="25" t="s">
        <v>56</v>
      </c>
      <c r="G205" s="25" t="s">
        <v>40</v>
      </c>
      <c r="H205" s="25" t="s">
        <v>38</v>
      </c>
      <c r="I205" s="26">
        <v>45993.697187500002</v>
      </c>
      <c r="J205" s="25" t="s">
        <v>6274</v>
      </c>
      <c r="K205" s="25" t="s">
        <v>49</v>
      </c>
    </row>
    <row r="206" spans="3:11" x14ac:dyDescent="0.25">
      <c r="C206" s="25">
        <v>23556232</v>
      </c>
      <c r="D206" s="26">
        <v>45988.906342592592</v>
      </c>
      <c r="E206" s="25" t="s">
        <v>27</v>
      </c>
      <c r="F206" s="25" t="s">
        <v>28</v>
      </c>
      <c r="G206" s="25" t="s">
        <v>40</v>
      </c>
      <c r="H206" s="25" t="s">
        <v>38</v>
      </c>
      <c r="I206" s="26">
        <v>46001.906342592592</v>
      </c>
      <c r="J206" s="25" t="s">
        <v>6590</v>
      </c>
      <c r="K206" s="25" t="s">
        <v>32</v>
      </c>
    </row>
    <row r="207" spans="3:11" x14ac:dyDescent="0.25">
      <c r="C207" s="25">
        <v>23556259</v>
      </c>
      <c r="D207" s="26">
        <v>45988.9062962963</v>
      </c>
      <c r="E207" s="25" t="s">
        <v>27</v>
      </c>
      <c r="F207" s="25" t="s">
        <v>28</v>
      </c>
      <c r="G207" s="25" t="s">
        <v>40</v>
      </c>
      <c r="H207" s="25" t="s">
        <v>38</v>
      </c>
      <c r="I207" s="26">
        <v>46001.9062962963</v>
      </c>
      <c r="J207" s="25" t="s">
        <v>6590</v>
      </c>
      <c r="K207" s="25" t="s">
        <v>32</v>
      </c>
    </row>
    <row r="208" spans="3:11" x14ac:dyDescent="0.25">
      <c r="C208" s="25">
        <v>23556313</v>
      </c>
      <c r="D208" s="26">
        <v>45986.911157407405</v>
      </c>
      <c r="E208" s="25" t="s">
        <v>27</v>
      </c>
      <c r="F208" s="25" t="s">
        <v>28</v>
      </c>
      <c r="G208" s="25" t="s">
        <v>40</v>
      </c>
      <c r="H208" s="25" t="s">
        <v>31</v>
      </c>
      <c r="I208" s="26">
        <v>45993.911157407405</v>
      </c>
      <c r="J208" s="25" t="s">
        <v>6639</v>
      </c>
      <c r="K208" s="25" t="s">
        <v>49</v>
      </c>
    </row>
    <row r="209" spans="3:11" x14ac:dyDescent="0.25">
      <c r="C209" s="25">
        <v>23556819</v>
      </c>
      <c r="D209" s="26">
        <v>45936.368067129632</v>
      </c>
      <c r="E209" s="25" t="s">
        <v>27</v>
      </c>
      <c r="F209" s="25" t="s">
        <v>28</v>
      </c>
      <c r="G209" s="25" t="s">
        <v>40</v>
      </c>
      <c r="H209" s="25" t="s">
        <v>31</v>
      </c>
      <c r="I209" s="26">
        <v>45944.368067129632</v>
      </c>
      <c r="J209" s="25" t="s">
        <v>47</v>
      </c>
      <c r="K209" s="25" t="s">
        <v>47</v>
      </c>
    </row>
    <row r="210" spans="3:11" x14ac:dyDescent="0.25">
      <c r="C210" s="25">
        <v>23557086</v>
      </c>
      <c r="D210" s="26">
        <v>45989.907858796294</v>
      </c>
      <c r="E210" s="25" t="s">
        <v>27</v>
      </c>
      <c r="F210" s="25" t="s">
        <v>28</v>
      </c>
      <c r="G210" s="25" t="s">
        <v>29</v>
      </c>
      <c r="H210" s="25" t="s">
        <v>31</v>
      </c>
      <c r="I210" s="26">
        <v>46001.907858796294</v>
      </c>
      <c r="J210" s="25" t="s">
        <v>6649</v>
      </c>
      <c r="K210" s="25" t="s">
        <v>32</v>
      </c>
    </row>
    <row r="211" spans="3:11" x14ac:dyDescent="0.25">
      <c r="C211" s="25">
        <v>23557188</v>
      </c>
      <c r="D211" s="26">
        <v>45988.906388888892</v>
      </c>
      <c r="E211" s="25" t="s">
        <v>27</v>
      </c>
      <c r="F211" s="25" t="s">
        <v>28</v>
      </c>
      <c r="G211" s="25" t="s">
        <v>40</v>
      </c>
      <c r="H211" s="25" t="s">
        <v>38</v>
      </c>
      <c r="I211" s="26">
        <v>46001.906388888892</v>
      </c>
      <c r="J211" s="25" t="s">
        <v>6590</v>
      </c>
      <c r="K211" s="25" t="s">
        <v>32</v>
      </c>
    </row>
    <row r="212" spans="3:11" x14ac:dyDescent="0.25">
      <c r="C212" s="25">
        <v>23557196</v>
      </c>
      <c r="D212" s="26">
        <v>45988.906435185185</v>
      </c>
      <c r="E212" s="25" t="s">
        <v>27</v>
      </c>
      <c r="F212" s="25" t="s">
        <v>28</v>
      </c>
      <c r="G212" s="25" t="s">
        <v>40</v>
      </c>
      <c r="H212" s="25" t="s">
        <v>38</v>
      </c>
      <c r="I212" s="26">
        <v>46001.906435185185</v>
      </c>
      <c r="J212" s="25" t="s">
        <v>6590</v>
      </c>
      <c r="K212" s="25" t="s">
        <v>32</v>
      </c>
    </row>
    <row r="213" spans="3:11" x14ac:dyDescent="0.25">
      <c r="C213" s="25">
        <v>23557211</v>
      </c>
      <c r="D213" s="26">
        <v>45988.906539351854</v>
      </c>
      <c r="E213" s="25" t="s">
        <v>27</v>
      </c>
      <c r="F213" s="25" t="s">
        <v>28</v>
      </c>
      <c r="G213" s="25" t="s">
        <v>40</v>
      </c>
      <c r="H213" s="25" t="s">
        <v>38</v>
      </c>
      <c r="I213" s="26">
        <v>46001.906539351854</v>
      </c>
      <c r="J213" s="25" t="s">
        <v>6590</v>
      </c>
      <c r="K213" s="25" t="s">
        <v>32</v>
      </c>
    </row>
    <row r="214" spans="3:11" x14ac:dyDescent="0.25">
      <c r="C214" s="25">
        <v>23557387</v>
      </c>
      <c r="D214" s="26">
        <v>45988.905798611115</v>
      </c>
      <c r="E214" s="25" t="s">
        <v>27</v>
      </c>
      <c r="F214" s="25" t="s">
        <v>28</v>
      </c>
      <c r="G214" s="25" t="s">
        <v>40</v>
      </c>
      <c r="H214" s="25" t="s">
        <v>31</v>
      </c>
      <c r="I214" s="26">
        <v>45995.905798611115</v>
      </c>
      <c r="J214" s="25" t="s">
        <v>6128</v>
      </c>
      <c r="K214" s="25" t="s">
        <v>32</v>
      </c>
    </row>
    <row r="215" spans="3:11" x14ac:dyDescent="0.25">
      <c r="C215" s="25">
        <v>23557530</v>
      </c>
      <c r="D215" s="26">
        <v>45988.906631944446</v>
      </c>
      <c r="E215" s="25" t="s">
        <v>27</v>
      </c>
      <c r="F215" s="25" t="s">
        <v>28</v>
      </c>
      <c r="G215" s="25" t="s">
        <v>40</v>
      </c>
      <c r="H215" s="25" t="s">
        <v>38</v>
      </c>
      <c r="I215" s="26">
        <v>46001.906631944446</v>
      </c>
      <c r="J215" s="25" t="s">
        <v>6590</v>
      </c>
      <c r="K215" s="25" t="s">
        <v>32</v>
      </c>
    </row>
    <row r="216" spans="3:11" x14ac:dyDescent="0.25">
      <c r="C216" s="25">
        <v>23557539</v>
      </c>
      <c r="D216" s="26">
        <v>45988.906678240739</v>
      </c>
      <c r="E216" s="25" t="s">
        <v>27</v>
      </c>
      <c r="F216" s="25" t="s">
        <v>28</v>
      </c>
      <c r="G216" s="25" t="s">
        <v>40</v>
      </c>
      <c r="H216" s="25" t="s">
        <v>38</v>
      </c>
      <c r="I216" s="26">
        <v>46001.906678240739</v>
      </c>
      <c r="J216" s="25" t="s">
        <v>6590</v>
      </c>
      <c r="K216" s="25" t="s">
        <v>32</v>
      </c>
    </row>
    <row r="217" spans="3:11" x14ac:dyDescent="0.25">
      <c r="C217" s="25">
        <v>23557541</v>
      </c>
      <c r="D217" s="26">
        <v>45989.906736111108</v>
      </c>
      <c r="E217" s="25" t="s">
        <v>27</v>
      </c>
      <c r="F217" s="25" t="s">
        <v>28</v>
      </c>
      <c r="G217" s="25" t="s">
        <v>29</v>
      </c>
      <c r="H217" s="25" t="s">
        <v>31</v>
      </c>
      <c r="I217" s="26">
        <v>46001.906736111108</v>
      </c>
      <c r="J217" s="25" t="s">
        <v>6590</v>
      </c>
      <c r="K217" s="25" t="s">
        <v>32</v>
      </c>
    </row>
    <row r="218" spans="3:11" x14ac:dyDescent="0.25">
      <c r="C218" s="25">
        <v>23557589</v>
      </c>
      <c r="D218" s="26">
        <v>45988.906840277778</v>
      </c>
      <c r="E218" s="25" t="s">
        <v>27</v>
      </c>
      <c r="F218" s="25" t="s">
        <v>28</v>
      </c>
      <c r="G218" s="25" t="s">
        <v>40</v>
      </c>
      <c r="H218" s="25" t="s">
        <v>38</v>
      </c>
      <c r="I218" s="26">
        <v>46001.906840277778</v>
      </c>
      <c r="J218" s="25" t="s">
        <v>6590</v>
      </c>
      <c r="K218" s="25" t="s">
        <v>32</v>
      </c>
    </row>
    <row r="219" spans="3:11" x14ac:dyDescent="0.25">
      <c r="C219" s="25">
        <v>23557590</v>
      </c>
      <c r="D219" s="26">
        <v>45988.906886574077</v>
      </c>
      <c r="E219" s="25" t="s">
        <v>27</v>
      </c>
      <c r="F219" s="25" t="s">
        <v>28</v>
      </c>
      <c r="G219" s="25" t="s">
        <v>40</v>
      </c>
      <c r="H219" s="25" t="s">
        <v>38</v>
      </c>
      <c r="I219" s="26">
        <v>46001.906886574077</v>
      </c>
      <c r="J219" s="25" t="s">
        <v>6590</v>
      </c>
      <c r="K219" s="25" t="s">
        <v>32</v>
      </c>
    </row>
    <row r="220" spans="3:11" x14ac:dyDescent="0.25">
      <c r="C220" s="25">
        <v>23557598</v>
      </c>
      <c r="D220" s="26">
        <v>45988.906921296293</v>
      </c>
      <c r="E220" s="25" t="s">
        <v>27</v>
      </c>
      <c r="F220" s="25" t="s">
        <v>28</v>
      </c>
      <c r="G220" s="25" t="s">
        <v>40</v>
      </c>
      <c r="H220" s="25" t="s">
        <v>38</v>
      </c>
      <c r="I220" s="26">
        <v>46001.906921296293</v>
      </c>
      <c r="J220" s="25" t="s">
        <v>6590</v>
      </c>
      <c r="K220" s="25" t="s">
        <v>32</v>
      </c>
    </row>
    <row r="221" spans="3:11" x14ac:dyDescent="0.25">
      <c r="C221" s="25">
        <v>23557797</v>
      </c>
      <c r="D221" s="26">
        <v>45989.907037037039</v>
      </c>
      <c r="E221" s="25" t="s">
        <v>27</v>
      </c>
      <c r="F221" s="25" t="s">
        <v>28</v>
      </c>
      <c r="G221" s="25" t="s">
        <v>40</v>
      </c>
      <c r="H221" s="25" t="s">
        <v>31</v>
      </c>
      <c r="I221" s="26">
        <v>45996.907037037039</v>
      </c>
      <c r="J221" s="25" t="s">
        <v>6369</v>
      </c>
      <c r="K221" s="25" t="s">
        <v>32</v>
      </c>
    </row>
    <row r="222" spans="3:11" x14ac:dyDescent="0.25">
      <c r="C222" s="25">
        <v>23558074</v>
      </c>
      <c r="D222" s="26">
        <v>45989.906944444447</v>
      </c>
      <c r="E222" s="25" t="s">
        <v>27</v>
      </c>
      <c r="F222" s="25" t="s">
        <v>28</v>
      </c>
      <c r="G222" s="25" t="s">
        <v>29</v>
      </c>
      <c r="H222" s="25" t="s">
        <v>31</v>
      </c>
      <c r="I222" s="26">
        <v>46001.906944444447</v>
      </c>
      <c r="J222" s="25" t="s">
        <v>6737</v>
      </c>
      <c r="K222" s="25" t="s">
        <v>32</v>
      </c>
    </row>
    <row r="223" spans="3:11" x14ac:dyDescent="0.25">
      <c r="C223" s="25">
        <v>23558078</v>
      </c>
      <c r="D223" s="26">
        <v>45989.906898148147</v>
      </c>
      <c r="E223" s="25" t="s">
        <v>27</v>
      </c>
      <c r="F223" s="25" t="s">
        <v>28</v>
      </c>
      <c r="G223" s="25" t="s">
        <v>29</v>
      </c>
      <c r="H223" s="25" t="s">
        <v>31</v>
      </c>
      <c r="I223" s="26">
        <v>46001.906898148147</v>
      </c>
      <c r="J223" s="25" t="s">
        <v>6590</v>
      </c>
      <c r="K223" s="25" t="s">
        <v>32</v>
      </c>
    </row>
    <row r="224" spans="3:11" x14ac:dyDescent="0.25">
      <c r="C224" s="25">
        <v>23558082</v>
      </c>
      <c r="D224" s="26">
        <v>45989.906840277778</v>
      </c>
      <c r="E224" s="25" t="s">
        <v>27</v>
      </c>
      <c r="F224" s="25" t="s">
        <v>28</v>
      </c>
      <c r="G224" s="25" t="s">
        <v>29</v>
      </c>
      <c r="H224" s="25" t="s">
        <v>31</v>
      </c>
      <c r="I224" s="26">
        <v>46001.906840277778</v>
      </c>
      <c r="J224" s="25" t="s">
        <v>6590</v>
      </c>
      <c r="K224" s="25" t="s">
        <v>32</v>
      </c>
    </row>
    <row r="225" spans="3:11" x14ac:dyDescent="0.25">
      <c r="C225" s="25">
        <v>23558127</v>
      </c>
      <c r="D225" s="26">
        <v>45981.271932870368</v>
      </c>
      <c r="E225" s="25" t="s">
        <v>27</v>
      </c>
      <c r="F225" s="25" t="s">
        <v>28</v>
      </c>
      <c r="G225" s="25" t="s">
        <v>29</v>
      </c>
      <c r="H225" s="25" t="s">
        <v>31</v>
      </c>
      <c r="I225" s="26">
        <v>45992.271932870368</v>
      </c>
      <c r="J225" s="25" t="s">
        <v>47</v>
      </c>
      <c r="K225" s="25" t="s">
        <v>47</v>
      </c>
    </row>
    <row r="226" spans="3:11" x14ac:dyDescent="0.25">
      <c r="C226" s="25">
        <v>23558128</v>
      </c>
      <c r="D226" s="26">
        <v>45988.907048611109</v>
      </c>
      <c r="E226" s="25" t="s">
        <v>27</v>
      </c>
      <c r="F226" s="25" t="s">
        <v>28</v>
      </c>
      <c r="G226" s="25" t="s">
        <v>40</v>
      </c>
      <c r="H226" s="25" t="s">
        <v>38</v>
      </c>
      <c r="I226" s="26">
        <v>46001.907048611109</v>
      </c>
      <c r="J226" s="25" t="s">
        <v>6737</v>
      </c>
      <c r="K226" s="25" t="s">
        <v>32</v>
      </c>
    </row>
    <row r="227" spans="3:11" x14ac:dyDescent="0.25">
      <c r="C227" s="25">
        <v>23558137</v>
      </c>
      <c r="D227" s="26">
        <v>45981.273356481484</v>
      </c>
      <c r="E227" s="25" t="s">
        <v>27</v>
      </c>
      <c r="F227" s="25" t="s">
        <v>28</v>
      </c>
      <c r="G227" s="25" t="s">
        <v>29</v>
      </c>
      <c r="H227" s="25" t="s">
        <v>31</v>
      </c>
      <c r="I227" s="26">
        <v>45992.273356481484</v>
      </c>
      <c r="J227" s="25" t="s">
        <v>47</v>
      </c>
      <c r="K227" s="25" t="s">
        <v>47</v>
      </c>
    </row>
    <row r="228" spans="3:11" x14ac:dyDescent="0.25">
      <c r="C228" s="25">
        <v>23558288</v>
      </c>
      <c r="D228" s="26">
        <v>45988.907094907408</v>
      </c>
      <c r="E228" s="25" t="s">
        <v>44</v>
      </c>
      <c r="F228" s="25" t="s">
        <v>45</v>
      </c>
      <c r="G228" s="25" t="s">
        <v>40</v>
      </c>
      <c r="H228" s="25" t="s">
        <v>38</v>
      </c>
      <c r="I228" s="26">
        <v>46001.907094907408</v>
      </c>
      <c r="J228" s="25" t="s">
        <v>6737</v>
      </c>
      <c r="K228" s="25" t="s">
        <v>32</v>
      </c>
    </row>
    <row r="229" spans="3:11" x14ac:dyDescent="0.25">
      <c r="C229" s="25">
        <v>23558454</v>
      </c>
      <c r="D229" s="26">
        <v>45988.9059837963</v>
      </c>
      <c r="E229" s="25" t="s">
        <v>27</v>
      </c>
      <c r="F229" s="25" t="s">
        <v>28</v>
      </c>
      <c r="G229" s="25" t="s">
        <v>40</v>
      </c>
      <c r="H229" s="25" t="s">
        <v>31</v>
      </c>
      <c r="I229" s="26">
        <v>45995.9059837963</v>
      </c>
      <c r="J229" s="25" t="s">
        <v>6128</v>
      </c>
      <c r="K229" s="25" t="s">
        <v>32</v>
      </c>
    </row>
    <row r="230" spans="3:11" x14ac:dyDescent="0.25">
      <c r="C230" s="25">
        <v>23558712</v>
      </c>
      <c r="D230" s="26">
        <v>45989.906655092593</v>
      </c>
      <c r="E230" s="25" t="s">
        <v>48</v>
      </c>
      <c r="F230" s="25" t="s">
        <v>64</v>
      </c>
      <c r="G230" s="25" t="s">
        <v>29</v>
      </c>
      <c r="H230" s="25" t="s">
        <v>31</v>
      </c>
      <c r="I230" s="26">
        <v>46001.906655092593</v>
      </c>
      <c r="J230" s="25" t="s">
        <v>6590</v>
      </c>
      <c r="K230" s="25" t="s">
        <v>32</v>
      </c>
    </row>
    <row r="231" spans="3:11" x14ac:dyDescent="0.25">
      <c r="C231" s="25">
        <v>23558817</v>
      </c>
      <c r="D231" s="26">
        <v>45988.906064814815</v>
      </c>
      <c r="E231" s="25" t="s">
        <v>44</v>
      </c>
      <c r="F231" s="25" t="s">
        <v>45</v>
      </c>
      <c r="G231" s="25" t="s">
        <v>40</v>
      </c>
      <c r="H231" s="25" t="s">
        <v>31</v>
      </c>
      <c r="I231" s="26">
        <v>45995.906064814815</v>
      </c>
      <c r="J231" s="25" t="s">
        <v>6128</v>
      </c>
      <c r="K231" s="25" t="s">
        <v>32</v>
      </c>
    </row>
    <row r="232" spans="3:11" x14ac:dyDescent="0.25">
      <c r="C232" s="25">
        <v>23559194</v>
      </c>
      <c r="D232" s="26">
        <v>45985.537662037037</v>
      </c>
      <c r="E232" s="25" t="s">
        <v>27</v>
      </c>
      <c r="F232" s="25" t="s">
        <v>28</v>
      </c>
      <c r="G232" s="25" t="s">
        <v>29</v>
      </c>
      <c r="H232" s="25" t="s">
        <v>31</v>
      </c>
      <c r="I232" s="26">
        <v>45994.537662037037</v>
      </c>
      <c r="J232" s="25" t="s">
        <v>6789</v>
      </c>
      <c r="K232" s="25" t="s">
        <v>49</v>
      </c>
    </row>
    <row r="233" spans="3:11" x14ac:dyDescent="0.25">
      <c r="C233" s="25">
        <v>23559305</v>
      </c>
      <c r="D233" s="26">
        <v>45988.906111111108</v>
      </c>
      <c r="E233" s="25" t="s">
        <v>27</v>
      </c>
      <c r="F233" s="25" t="s">
        <v>28</v>
      </c>
      <c r="G233" s="25" t="s">
        <v>40</v>
      </c>
      <c r="H233" s="25" t="s">
        <v>31</v>
      </c>
      <c r="I233" s="26">
        <v>45995.906111111108</v>
      </c>
      <c r="J233" s="25" t="s">
        <v>6128</v>
      </c>
      <c r="K233" s="25" t="s">
        <v>32</v>
      </c>
    </row>
    <row r="234" spans="3:11" x14ac:dyDescent="0.25">
      <c r="C234" s="25">
        <v>23559381</v>
      </c>
      <c r="D234" s="26">
        <v>45989.907187500001</v>
      </c>
      <c r="E234" s="25" t="s">
        <v>27</v>
      </c>
      <c r="F234" s="25" t="s">
        <v>28</v>
      </c>
      <c r="G234" s="25" t="s">
        <v>40</v>
      </c>
      <c r="H234" s="25" t="s">
        <v>31</v>
      </c>
      <c r="I234" s="26">
        <v>45996.907187500001</v>
      </c>
      <c r="J234" s="25" t="s">
        <v>6369</v>
      </c>
      <c r="K234" s="25" t="s">
        <v>32</v>
      </c>
    </row>
    <row r="235" spans="3:11" x14ac:dyDescent="0.25">
      <c r="C235" s="25">
        <v>23559454</v>
      </c>
      <c r="D235" s="26">
        <v>45988.906157407408</v>
      </c>
      <c r="E235" s="25" t="s">
        <v>27</v>
      </c>
      <c r="F235" s="25" t="s">
        <v>28</v>
      </c>
      <c r="G235" s="25" t="s">
        <v>40</v>
      </c>
      <c r="H235" s="25" t="s">
        <v>31</v>
      </c>
      <c r="I235" s="26">
        <v>45995.906157407408</v>
      </c>
      <c r="J235" s="25" t="s">
        <v>6128</v>
      </c>
      <c r="K235" s="25" t="s">
        <v>32</v>
      </c>
    </row>
    <row r="236" spans="3:11" x14ac:dyDescent="0.25">
      <c r="C236" s="25">
        <v>23559540</v>
      </c>
      <c r="D236" s="26">
        <v>45988.907233796293</v>
      </c>
      <c r="E236" s="25" t="s">
        <v>44</v>
      </c>
      <c r="F236" s="25" t="s">
        <v>45</v>
      </c>
      <c r="G236" s="25" t="s">
        <v>40</v>
      </c>
      <c r="H236" s="25" t="s">
        <v>38</v>
      </c>
      <c r="I236" s="26">
        <v>46001.907233796293</v>
      </c>
      <c r="J236" s="25" t="s">
        <v>6737</v>
      </c>
      <c r="K236" s="25" t="s">
        <v>32</v>
      </c>
    </row>
    <row r="237" spans="3:11" x14ac:dyDescent="0.25">
      <c r="C237" s="25">
        <v>23559549</v>
      </c>
      <c r="D237" s="26">
        <v>45989.907222222224</v>
      </c>
      <c r="E237" s="25" t="s">
        <v>27</v>
      </c>
      <c r="F237" s="25" t="s">
        <v>28</v>
      </c>
      <c r="G237" s="25" t="s">
        <v>40</v>
      </c>
      <c r="H237" s="25" t="s">
        <v>38</v>
      </c>
      <c r="I237" s="26">
        <v>46002.907222222224</v>
      </c>
      <c r="J237" s="25" t="s">
        <v>6826</v>
      </c>
      <c r="K237" s="25" t="s">
        <v>32</v>
      </c>
    </row>
    <row r="238" spans="3:11" x14ac:dyDescent="0.25">
      <c r="C238" s="25">
        <v>23560594</v>
      </c>
      <c r="D238" s="26">
        <v>45973.415995370371</v>
      </c>
      <c r="E238" s="25" t="s">
        <v>57</v>
      </c>
      <c r="F238" s="25" t="s">
        <v>58</v>
      </c>
      <c r="G238" s="25" t="s">
        <v>40</v>
      </c>
      <c r="H238" s="25" t="s">
        <v>38</v>
      </c>
      <c r="I238" s="26">
        <v>45986.415995370371</v>
      </c>
      <c r="J238" s="25" t="s">
        <v>47</v>
      </c>
      <c r="K238" s="25" t="s">
        <v>47</v>
      </c>
    </row>
    <row r="239" spans="3:11" x14ac:dyDescent="0.25">
      <c r="C239" s="25">
        <v>23560771</v>
      </c>
      <c r="D239" s="26">
        <v>45988.341284722221</v>
      </c>
      <c r="E239" s="25" t="s">
        <v>48</v>
      </c>
      <c r="F239" s="25" t="s">
        <v>64</v>
      </c>
      <c r="G239" s="25" t="s">
        <v>137</v>
      </c>
      <c r="H239" s="25" t="s">
        <v>38</v>
      </c>
      <c r="I239" s="26">
        <v>46003.341284722221</v>
      </c>
      <c r="J239" s="25" t="s">
        <v>6829</v>
      </c>
      <c r="K239" s="25" t="s">
        <v>32</v>
      </c>
    </row>
    <row r="240" spans="3:11" x14ac:dyDescent="0.25">
      <c r="C240" s="25">
        <v>23560979</v>
      </c>
      <c r="D240" s="26">
        <v>45990.54346064815</v>
      </c>
      <c r="E240" s="25" t="s">
        <v>27</v>
      </c>
      <c r="F240" s="25" t="s">
        <v>28</v>
      </c>
      <c r="G240" s="25" t="s">
        <v>29</v>
      </c>
      <c r="H240" s="25" t="s">
        <v>38</v>
      </c>
      <c r="I240" s="26">
        <v>46006.54346064815</v>
      </c>
      <c r="J240" s="25" t="s">
        <v>6838</v>
      </c>
      <c r="K240" s="25" t="s">
        <v>32</v>
      </c>
    </row>
    <row r="241" spans="3:11" x14ac:dyDescent="0.25">
      <c r="C241" s="25">
        <v>23561699</v>
      </c>
      <c r="D241" s="26">
        <v>45986.399675925924</v>
      </c>
      <c r="E241" s="25" t="s">
        <v>27</v>
      </c>
      <c r="F241" s="25" t="s">
        <v>28</v>
      </c>
      <c r="G241" s="25" t="s">
        <v>40</v>
      </c>
      <c r="H241" s="25" t="s">
        <v>31</v>
      </c>
      <c r="I241" s="26">
        <v>45993.399675925924</v>
      </c>
      <c r="J241" s="25" t="s">
        <v>6840</v>
      </c>
      <c r="K241" s="25" t="s">
        <v>49</v>
      </c>
    </row>
    <row r="242" spans="3:11" x14ac:dyDescent="0.25">
      <c r="C242" s="25">
        <v>23561908</v>
      </c>
      <c r="D242" s="26">
        <v>45973.416006944448</v>
      </c>
      <c r="E242" s="25" t="s">
        <v>57</v>
      </c>
      <c r="F242" s="25" t="s">
        <v>58</v>
      </c>
      <c r="G242" s="25" t="s">
        <v>40</v>
      </c>
      <c r="H242" s="25" t="s">
        <v>38</v>
      </c>
      <c r="I242" s="26">
        <v>45986.416006944448</v>
      </c>
      <c r="J242" s="25" t="s">
        <v>47</v>
      </c>
      <c r="K242" s="25" t="s">
        <v>47</v>
      </c>
    </row>
    <row r="243" spans="3:11" x14ac:dyDescent="0.25">
      <c r="C243" s="25">
        <v>23562465</v>
      </c>
      <c r="D243" s="26">
        <v>45986.637106481481</v>
      </c>
      <c r="E243" s="25" t="s">
        <v>55</v>
      </c>
      <c r="F243" s="25" t="s">
        <v>56</v>
      </c>
      <c r="G243" s="25" t="s">
        <v>29</v>
      </c>
      <c r="H243" s="25" t="s">
        <v>31</v>
      </c>
      <c r="I243" s="26">
        <v>45995.637106481481</v>
      </c>
      <c r="J243" s="25" t="s">
        <v>1121</v>
      </c>
      <c r="K243" s="25" t="s">
        <v>32</v>
      </c>
    </row>
    <row r="244" spans="3:11" x14ac:dyDescent="0.25">
      <c r="C244" s="25">
        <v>23562883</v>
      </c>
      <c r="D244" s="26">
        <v>45981.697222222225</v>
      </c>
      <c r="E244" s="25" t="s">
        <v>55</v>
      </c>
      <c r="F244" s="25" t="s">
        <v>56</v>
      </c>
      <c r="G244" s="25" t="s">
        <v>29</v>
      </c>
      <c r="H244" s="25" t="s">
        <v>38</v>
      </c>
      <c r="I244" s="26">
        <v>45995.697222222225</v>
      </c>
      <c r="J244" s="25" t="s">
        <v>6842</v>
      </c>
      <c r="K244" s="25" t="s">
        <v>32</v>
      </c>
    </row>
    <row r="245" spans="3:11" x14ac:dyDescent="0.25">
      <c r="C245" s="25">
        <v>23563259</v>
      </c>
      <c r="D245" s="26">
        <v>45988.424618055556</v>
      </c>
      <c r="E245" s="25" t="s">
        <v>27</v>
      </c>
      <c r="F245" s="25" t="s">
        <v>28</v>
      </c>
      <c r="G245" s="25" t="s">
        <v>40</v>
      </c>
      <c r="H245" s="25" t="s">
        <v>31</v>
      </c>
      <c r="I245" s="26">
        <v>45995.424618055556</v>
      </c>
      <c r="J245" s="25" t="s">
        <v>3731</v>
      </c>
      <c r="K245" s="25" t="s">
        <v>32</v>
      </c>
    </row>
    <row r="246" spans="3:11" x14ac:dyDescent="0.25">
      <c r="C246" s="25">
        <v>23563271</v>
      </c>
      <c r="D246" s="26">
        <v>45973.416018518517</v>
      </c>
      <c r="E246" s="25" t="s">
        <v>57</v>
      </c>
      <c r="F246" s="25" t="s">
        <v>58</v>
      </c>
      <c r="G246" s="25" t="s">
        <v>40</v>
      </c>
      <c r="H246" s="25" t="s">
        <v>38</v>
      </c>
      <c r="I246" s="26">
        <v>45986.416018518517</v>
      </c>
      <c r="J246" s="25" t="s">
        <v>47</v>
      </c>
      <c r="K246" s="25" t="s">
        <v>47</v>
      </c>
    </row>
    <row r="247" spans="3:11" x14ac:dyDescent="0.25">
      <c r="C247" s="25">
        <v>23563310</v>
      </c>
      <c r="D247" s="26">
        <v>45973.416030092594</v>
      </c>
      <c r="E247" s="25" t="s">
        <v>57</v>
      </c>
      <c r="F247" s="25" t="s">
        <v>58</v>
      </c>
      <c r="G247" s="25" t="s">
        <v>40</v>
      </c>
      <c r="H247" s="25" t="s">
        <v>38</v>
      </c>
      <c r="I247" s="26">
        <v>45986.416030092594</v>
      </c>
      <c r="J247" s="25" t="s">
        <v>47</v>
      </c>
      <c r="K247" s="25" t="s">
        <v>47</v>
      </c>
    </row>
    <row r="248" spans="3:11" x14ac:dyDescent="0.25">
      <c r="C248" s="25">
        <v>23563329</v>
      </c>
      <c r="D248" s="26">
        <v>45973.416041666664</v>
      </c>
      <c r="E248" s="25" t="s">
        <v>57</v>
      </c>
      <c r="F248" s="25" t="s">
        <v>58</v>
      </c>
      <c r="G248" s="25" t="s">
        <v>40</v>
      </c>
      <c r="H248" s="25" t="s">
        <v>38</v>
      </c>
      <c r="I248" s="26">
        <v>45986.416041666664</v>
      </c>
      <c r="J248" s="25" t="s">
        <v>47</v>
      </c>
      <c r="K248" s="25" t="s">
        <v>47</v>
      </c>
    </row>
    <row r="249" spans="3:11" x14ac:dyDescent="0.25">
      <c r="C249" s="25">
        <v>23563342</v>
      </c>
      <c r="D249" s="26">
        <v>45987.616319444445</v>
      </c>
      <c r="E249" s="25" t="s">
        <v>57</v>
      </c>
      <c r="F249" s="25" t="s">
        <v>58</v>
      </c>
      <c r="G249" s="25" t="s">
        <v>29</v>
      </c>
      <c r="H249" s="25" t="s">
        <v>31</v>
      </c>
      <c r="I249" s="26">
        <v>45996.616319444445</v>
      </c>
      <c r="J249" s="25" t="s">
        <v>6845</v>
      </c>
      <c r="K249" s="25" t="s">
        <v>32</v>
      </c>
    </row>
    <row r="250" spans="3:11" x14ac:dyDescent="0.25">
      <c r="C250" s="25">
        <v>23563485</v>
      </c>
      <c r="D250" s="26">
        <v>45980.441932870373</v>
      </c>
      <c r="E250" s="25" t="s">
        <v>59</v>
      </c>
      <c r="F250" s="25" t="s">
        <v>60</v>
      </c>
      <c r="G250" s="25" t="s">
        <v>29</v>
      </c>
      <c r="H250" s="25" t="s">
        <v>31</v>
      </c>
      <c r="I250" s="26">
        <v>45989.441932870373</v>
      </c>
      <c r="J250" s="25" t="s">
        <v>47</v>
      </c>
      <c r="K250" s="25" t="s">
        <v>47</v>
      </c>
    </row>
    <row r="251" spans="3:11" x14ac:dyDescent="0.25">
      <c r="C251" s="25">
        <v>23563911</v>
      </c>
      <c r="D251" s="26">
        <v>45984.911759259259</v>
      </c>
      <c r="E251" s="25" t="s">
        <v>27</v>
      </c>
      <c r="F251" s="25" t="s">
        <v>28</v>
      </c>
      <c r="G251" s="25" t="s">
        <v>43</v>
      </c>
      <c r="H251" s="25" t="s">
        <v>31</v>
      </c>
      <c r="I251" s="26">
        <v>45993.911759259259</v>
      </c>
      <c r="J251" s="25" t="s">
        <v>6639</v>
      </c>
      <c r="K251" s="25" t="s">
        <v>49</v>
      </c>
    </row>
    <row r="252" spans="3:11" x14ac:dyDescent="0.25">
      <c r="C252" s="25">
        <v>23563994</v>
      </c>
      <c r="D252" s="26">
        <v>45973.41605324074</v>
      </c>
      <c r="E252" s="25" t="s">
        <v>57</v>
      </c>
      <c r="F252" s="25" t="s">
        <v>58</v>
      </c>
      <c r="G252" s="25" t="s">
        <v>40</v>
      </c>
      <c r="H252" s="25" t="s">
        <v>38</v>
      </c>
      <c r="I252" s="26">
        <v>45986.41605324074</v>
      </c>
      <c r="J252" s="25" t="s">
        <v>47</v>
      </c>
      <c r="K252" s="25" t="s">
        <v>47</v>
      </c>
    </row>
    <row r="253" spans="3:11" x14ac:dyDescent="0.25">
      <c r="C253" s="25">
        <v>23564416</v>
      </c>
      <c r="D253" s="26">
        <v>45973.416064814817</v>
      </c>
      <c r="E253" s="25" t="s">
        <v>57</v>
      </c>
      <c r="F253" s="25" t="s">
        <v>58</v>
      </c>
      <c r="G253" s="25" t="s">
        <v>40</v>
      </c>
      <c r="H253" s="25" t="s">
        <v>38</v>
      </c>
      <c r="I253" s="26">
        <v>45986.416064814817</v>
      </c>
      <c r="J253" s="25" t="s">
        <v>47</v>
      </c>
      <c r="K253" s="25" t="s">
        <v>47</v>
      </c>
    </row>
    <row r="254" spans="3:11" x14ac:dyDescent="0.25">
      <c r="C254" s="25">
        <v>23564550</v>
      </c>
      <c r="D254" s="26">
        <v>45971.63486111111</v>
      </c>
      <c r="E254" s="25" t="s">
        <v>55</v>
      </c>
      <c r="F254" s="25" t="s">
        <v>56</v>
      </c>
      <c r="G254" s="25" t="s">
        <v>29</v>
      </c>
      <c r="H254" s="25" t="s">
        <v>38</v>
      </c>
      <c r="I254" s="26">
        <v>45986.63486111111</v>
      </c>
      <c r="J254" s="25" t="s">
        <v>47</v>
      </c>
      <c r="K254" s="25" t="s">
        <v>47</v>
      </c>
    </row>
    <row r="255" spans="3:11" x14ac:dyDescent="0.25">
      <c r="C255" s="25">
        <v>23565001</v>
      </c>
      <c r="D255" s="26">
        <v>45973.416076388887</v>
      </c>
      <c r="E255" s="25" t="s">
        <v>57</v>
      </c>
      <c r="F255" s="25" t="s">
        <v>58</v>
      </c>
      <c r="G255" s="25" t="s">
        <v>40</v>
      </c>
      <c r="H255" s="25" t="s">
        <v>38</v>
      </c>
      <c r="I255" s="26">
        <v>45986.416076388887</v>
      </c>
      <c r="J255" s="25" t="s">
        <v>47</v>
      </c>
      <c r="K255" s="25" t="s">
        <v>47</v>
      </c>
    </row>
    <row r="256" spans="3:11" x14ac:dyDescent="0.25">
      <c r="C256" s="25">
        <v>23565305</v>
      </c>
      <c r="D256" s="26">
        <v>45988.464814814812</v>
      </c>
      <c r="E256" s="25" t="s">
        <v>27</v>
      </c>
      <c r="F256" s="25" t="s">
        <v>28</v>
      </c>
      <c r="G256" s="25" t="s">
        <v>46</v>
      </c>
      <c r="H256" s="25" t="s">
        <v>38</v>
      </c>
      <c r="I256" s="26">
        <v>46001.464814814812</v>
      </c>
      <c r="J256" s="25" t="s">
        <v>6849</v>
      </c>
      <c r="K256" s="25" t="s">
        <v>32</v>
      </c>
    </row>
    <row r="257" spans="3:11" x14ac:dyDescent="0.25">
      <c r="C257" s="25">
        <v>23565411</v>
      </c>
      <c r="D257" s="26">
        <v>45985.255370370367</v>
      </c>
      <c r="E257" s="25" t="s">
        <v>44</v>
      </c>
      <c r="F257" s="25" t="s">
        <v>45</v>
      </c>
      <c r="G257" s="25" t="s">
        <v>46</v>
      </c>
      <c r="H257" s="25" t="s">
        <v>38</v>
      </c>
      <c r="I257" s="26">
        <v>45995.255370370367</v>
      </c>
      <c r="J257" s="25" t="s">
        <v>6851</v>
      </c>
      <c r="K257" s="25" t="s">
        <v>32</v>
      </c>
    </row>
    <row r="258" spans="3:11" x14ac:dyDescent="0.25">
      <c r="C258" s="25">
        <v>23565552</v>
      </c>
      <c r="D258" s="26">
        <v>45973.416087962964</v>
      </c>
      <c r="E258" s="25" t="s">
        <v>57</v>
      </c>
      <c r="F258" s="25" t="s">
        <v>58</v>
      </c>
      <c r="G258" s="25" t="s">
        <v>40</v>
      </c>
      <c r="H258" s="25" t="s">
        <v>38</v>
      </c>
      <c r="I258" s="26">
        <v>45986.416087962964</v>
      </c>
      <c r="J258" s="25" t="s">
        <v>47</v>
      </c>
      <c r="K258" s="25" t="s">
        <v>47</v>
      </c>
    </row>
    <row r="259" spans="3:11" x14ac:dyDescent="0.25">
      <c r="C259" s="25">
        <v>23565554</v>
      </c>
      <c r="D259" s="26">
        <v>45987.326377314814</v>
      </c>
      <c r="E259" s="25" t="s">
        <v>48</v>
      </c>
      <c r="F259" s="25" t="s">
        <v>64</v>
      </c>
      <c r="G259" s="25" t="s">
        <v>29</v>
      </c>
      <c r="H259" s="25" t="s">
        <v>31</v>
      </c>
      <c r="I259" s="26">
        <v>45996.326377314814</v>
      </c>
      <c r="J259" s="25" t="s">
        <v>6853</v>
      </c>
      <c r="K259" s="25" t="s">
        <v>32</v>
      </c>
    </row>
    <row r="260" spans="3:11" x14ac:dyDescent="0.25">
      <c r="C260" s="25">
        <v>23566102</v>
      </c>
      <c r="D260" s="26">
        <v>45973.41609953704</v>
      </c>
      <c r="E260" s="25" t="s">
        <v>57</v>
      </c>
      <c r="F260" s="25" t="s">
        <v>58</v>
      </c>
      <c r="G260" s="25" t="s">
        <v>40</v>
      </c>
      <c r="H260" s="25" t="s">
        <v>38</v>
      </c>
      <c r="I260" s="26">
        <v>45986.41609953704</v>
      </c>
      <c r="J260" s="25" t="s">
        <v>47</v>
      </c>
      <c r="K260" s="25" t="s">
        <v>47</v>
      </c>
    </row>
    <row r="261" spans="3:11" x14ac:dyDescent="0.25">
      <c r="C261" s="25">
        <v>23566222</v>
      </c>
      <c r="D261" s="26">
        <v>45985.385891203703</v>
      </c>
      <c r="E261" s="25" t="s">
        <v>27</v>
      </c>
      <c r="F261" s="25" t="s">
        <v>28</v>
      </c>
      <c r="G261" s="25" t="s">
        <v>29</v>
      </c>
      <c r="H261" s="25" t="s">
        <v>31</v>
      </c>
      <c r="I261" s="26">
        <v>45994.385891203703</v>
      </c>
      <c r="J261" s="25" t="s">
        <v>5108</v>
      </c>
      <c r="K261" s="25" t="s">
        <v>49</v>
      </c>
    </row>
    <row r="262" spans="3:11" x14ac:dyDescent="0.25">
      <c r="C262" s="25">
        <v>23567454</v>
      </c>
      <c r="D262" s="26">
        <v>45968.415775462963</v>
      </c>
      <c r="E262" s="25" t="s">
        <v>55</v>
      </c>
      <c r="F262" s="25" t="s">
        <v>56</v>
      </c>
      <c r="G262" s="25" t="s">
        <v>40</v>
      </c>
      <c r="H262" s="25" t="s">
        <v>38</v>
      </c>
      <c r="I262" s="26">
        <v>45981.415775462963</v>
      </c>
      <c r="J262" s="25" t="s">
        <v>47</v>
      </c>
      <c r="K262" s="25" t="s">
        <v>47</v>
      </c>
    </row>
    <row r="263" spans="3:11" x14ac:dyDescent="0.25">
      <c r="C263" s="25">
        <v>23567606</v>
      </c>
      <c r="D263" s="26">
        <v>45981.697233796294</v>
      </c>
      <c r="E263" s="25" t="s">
        <v>55</v>
      </c>
      <c r="F263" s="25" t="s">
        <v>56</v>
      </c>
      <c r="G263" s="25" t="s">
        <v>40</v>
      </c>
      <c r="H263" s="25" t="s">
        <v>38</v>
      </c>
      <c r="I263" s="26">
        <v>45993.697233796294</v>
      </c>
      <c r="J263" s="25" t="s">
        <v>6856</v>
      </c>
      <c r="K263" s="25" t="s">
        <v>49</v>
      </c>
    </row>
    <row r="264" spans="3:11" x14ac:dyDescent="0.25">
      <c r="C264" s="25">
        <v>23567608</v>
      </c>
      <c r="D264" s="26">
        <v>45985.25267361111</v>
      </c>
      <c r="E264" s="25" t="s">
        <v>27</v>
      </c>
      <c r="F264" s="25" t="s">
        <v>28</v>
      </c>
      <c r="G264" s="25" t="s">
        <v>46</v>
      </c>
      <c r="H264" s="25" t="s">
        <v>31</v>
      </c>
      <c r="I264" s="26">
        <v>45992.25267361111</v>
      </c>
      <c r="J264" s="25" t="s">
        <v>47</v>
      </c>
      <c r="K264" s="25" t="s">
        <v>47</v>
      </c>
    </row>
    <row r="265" spans="3:11" x14ac:dyDescent="0.25">
      <c r="C265" s="25">
        <v>23567809</v>
      </c>
      <c r="D265" s="26">
        <v>45975.349895833337</v>
      </c>
      <c r="E265" s="25" t="s">
        <v>55</v>
      </c>
      <c r="F265" s="25" t="s">
        <v>56</v>
      </c>
      <c r="G265" s="25" t="s">
        <v>40</v>
      </c>
      <c r="H265" s="25" t="s">
        <v>31</v>
      </c>
      <c r="I265" s="26">
        <v>45985.349895833337</v>
      </c>
      <c r="J265" s="25" t="s">
        <v>47</v>
      </c>
      <c r="K265" s="25" t="s">
        <v>47</v>
      </c>
    </row>
    <row r="266" spans="3:11" x14ac:dyDescent="0.25">
      <c r="C266" s="25">
        <v>23567957</v>
      </c>
      <c r="D266" s="26">
        <v>45973.41611111111</v>
      </c>
      <c r="E266" s="25" t="s">
        <v>57</v>
      </c>
      <c r="F266" s="25" t="s">
        <v>58</v>
      </c>
      <c r="G266" s="25" t="s">
        <v>40</v>
      </c>
      <c r="H266" s="25" t="s">
        <v>38</v>
      </c>
      <c r="I266" s="26">
        <v>45986.41611111111</v>
      </c>
      <c r="J266" s="25" t="s">
        <v>47</v>
      </c>
      <c r="K266" s="25" t="s">
        <v>47</v>
      </c>
    </row>
    <row r="267" spans="3:11" x14ac:dyDescent="0.25">
      <c r="C267" s="25">
        <v>23568486</v>
      </c>
      <c r="D267" s="26">
        <v>45987.480868055558</v>
      </c>
      <c r="E267" s="25" t="s">
        <v>27</v>
      </c>
      <c r="F267" s="25" t="s">
        <v>28</v>
      </c>
      <c r="G267" s="25" t="s">
        <v>51</v>
      </c>
      <c r="H267" s="25" t="s">
        <v>38</v>
      </c>
      <c r="I267" s="26">
        <v>46003.480868055558</v>
      </c>
      <c r="J267" s="25" t="s">
        <v>6860</v>
      </c>
      <c r="K267" s="25" t="s">
        <v>32</v>
      </c>
    </row>
    <row r="268" spans="3:11" x14ac:dyDescent="0.25">
      <c r="C268" s="25">
        <v>23568985</v>
      </c>
      <c r="D268" s="26">
        <v>45973.416134259256</v>
      </c>
      <c r="E268" s="25" t="s">
        <v>57</v>
      </c>
      <c r="F268" s="25" t="s">
        <v>58</v>
      </c>
      <c r="G268" s="25" t="s">
        <v>40</v>
      </c>
      <c r="H268" s="25" t="s">
        <v>38</v>
      </c>
      <c r="I268" s="26">
        <v>45986.416134259256</v>
      </c>
      <c r="J268" s="25" t="s">
        <v>47</v>
      </c>
      <c r="K268" s="25" t="s">
        <v>47</v>
      </c>
    </row>
    <row r="269" spans="3:11" x14ac:dyDescent="0.25">
      <c r="C269" s="25">
        <v>23568995</v>
      </c>
      <c r="D269" s="26">
        <v>45973.416145833333</v>
      </c>
      <c r="E269" s="25" t="s">
        <v>57</v>
      </c>
      <c r="F269" s="25" t="s">
        <v>58</v>
      </c>
      <c r="G269" s="25" t="s">
        <v>40</v>
      </c>
      <c r="H269" s="25" t="s">
        <v>38</v>
      </c>
      <c r="I269" s="26">
        <v>45986.416145833333</v>
      </c>
      <c r="J269" s="25" t="s">
        <v>47</v>
      </c>
      <c r="K269" s="25" t="s">
        <v>47</v>
      </c>
    </row>
    <row r="270" spans="3:11" x14ac:dyDescent="0.25">
      <c r="C270" s="25">
        <v>23569381</v>
      </c>
      <c r="D270" s="26">
        <v>45973.416168981479</v>
      </c>
      <c r="E270" s="25" t="s">
        <v>57</v>
      </c>
      <c r="F270" s="25" t="s">
        <v>58</v>
      </c>
      <c r="G270" s="25" t="s">
        <v>40</v>
      </c>
      <c r="H270" s="25" t="s">
        <v>38</v>
      </c>
      <c r="I270" s="26">
        <v>45986.416168981479</v>
      </c>
      <c r="J270" s="25" t="s">
        <v>47</v>
      </c>
      <c r="K270" s="25" t="s">
        <v>47</v>
      </c>
    </row>
    <row r="271" spans="3:11" x14ac:dyDescent="0.25">
      <c r="C271" s="25">
        <v>23570071</v>
      </c>
      <c r="D271" s="26">
        <v>45985.731956018521</v>
      </c>
      <c r="E271" s="25" t="s">
        <v>48</v>
      </c>
      <c r="F271" s="25" t="s">
        <v>64</v>
      </c>
      <c r="G271" s="25" t="s">
        <v>40</v>
      </c>
      <c r="H271" s="25" t="s">
        <v>31</v>
      </c>
      <c r="I271" s="26">
        <v>45992.731956018521</v>
      </c>
      <c r="J271" s="25" t="s">
        <v>6862</v>
      </c>
      <c r="K271" s="25" t="s">
        <v>131</v>
      </c>
    </row>
    <row r="272" spans="3:11" x14ac:dyDescent="0.25">
      <c r="C272" s="25">
        <v>23570715</v>
      </c>
      <c r="D272" s="26">
        <v>45985.387615740743</v>
      </c>
      <c r="E272" s="25" t="s">
        <v>27</v>
      </c>
      <c r="F272" s="25" t="s">
        <v>28</v>
      </c>
      <c r="G272" s="25" t="s">
        <v>29</v>
      </c>
      <c r="H272" s="25" t="s">
        <v>31</v>
      </c>
      <c r="I272" s="26">
        <v>45994.387615740743</v>
      </c>
      <c r="J272" s="25" t="s">
        <v>2654</v>
      </c>
      <c r="K272" s="25" t="s">
        <v>49</v>
      </c>
    </row>
    <row r="273" spans="3:11" x14ac:dyDescent="0.25">
      <c r="C273" s="25">
        <v>23571579</v>
      </c>
      <c r="D273" s="26">
        <v>45988.460856481484</v>
      </c>
      <c r="E273" s="25" t="s">
        <v>27</v>
      </c>
      <c r="F273" s="25" t="s">
        <v>28</v>
      </c>
      <c r="G273" s="25" t="s">
        <v>46</v>
      </c>
      <c r="H273" s="25" t="s">
        <v>38</v>
      </c>
      <c r="I273" s="26">
        <v>46001.460856481484</v>
      </c>
      <c r="J273" s="25" t="s">
        <v>1472</v>
      </c>
      <c r="K273" s="25" t="s">
        <v>32</v>
      </c>
    </row>
    <row r="274" spans="3:11" x14ac:dyDescent="0.25">
      <c r="C274" s="25">
        <v>23571669</v>
      </c>
      <c r="D274" s="26">
        <v>45981.553182870368</v>
      </c>
      <c r="E274" s="25" t="s">
        <v>27</v>
      </c>
      <c r="F274" s="25" t="s">
        <v>28</v>
      </c>
      <c r="G274" s="25" t="s">
        <v>80</v>
      </c>
      <c r="H274" s="25" t="s">
        <v>31</v>
      </c>
      <c r="I274" s="26">
        <v>45996.553182870368</v>
      </c>
      <c r="J274" s="25" t="s">
        <v>6864</v>
      </c>
      <c r="K274" s="25" t="s">
        <v>32</v>
      </c>
    </row>
    <row r="275" spans="3:11" x14ac:dyDescent="0.25">
      <c r="C275" s="25">
        <v>23571691</v>
      </c>
      <c r="D275" s="26">
        <v>45985.687916666669</v>
      </c>
      <c r="E275" s="25" t="s">
        <v>27</v>
      </c>
      <c r="F275" s="25" t="s">
        <v>28</v>
      </c>
      <c r="G275" s="25" t="s">
        <v>76</v>
      </c>
      <c r="H275" s="25" t="s">
        <v>31</v>
      </c>
      <c r="I275" s="26">
        <v>45994.687916666669</v>
      </c>
      <c r="J275" s="25" t="s">
        <v>6866</v>
      </c>
      <c r="K275" s="25" t="s">
        <v>49</v>
      </c>
    </row>
    <row r="276" spans="3:11" x14ac:dyDescent="0.25">
      <c r="C276" s="25">
        <v>23571696</v>
      </c>
      <c r="D276" s="26">
        <v>45990.436956018515</v>
      </c>
      <c r="E276" s="25" t="s">
        <v>27</v>
      </c>
      <c r="F276" s="25" t="s">
        <v>28</v>
      </c>
      <c r="G276" s="25" t="s">
        <v>40</v>
      </c>
      <c r="H276" s="25" t="s">
        <v>38</v>
      </c>
      <c r="I276" s="26">
        <v>46002.436956018515</v>
      </c>
      <c r="J276" s="25" t="s">
        <v>6875</v>
      </c>
      <c r="K276" s="25" t="s">
        <v>32</v>
      </c>
    </row>
    <row r="277" spans="3:11" x14ac:dyDescent="0.25">
      <c r="C277" s="25">
        <v>23571812</v>
      </c>
      <c r="D277" s="26">
        <v>45989.361875000002</v>
      </c>
      <c r="E277" s="25" t="s">
        <v>27</v>
      </c>
      <c r="F277" s="25" t="s">
        <v>28</v>
      </c>
      <c r="G277" s="25" t="s">
        <v>46</v>
      </c>
      <c r="H277" s="25" t="s">
        <v>31</v>
      </c>
      <c r="I277" s="26">
        <v>45996.361875000002</v>
      </c>
      <c r="J277" s="25" t="s">
        <v>1126</v>
      </c>
      <c r="K277" s="25" t="s">
        <v>32</v>
      </c>
    </row>
    <row r="278" spans="3:11" x14ac:dyDescent="0.25">
      <c r="C278" s="25">
        <v>23571838</v>
      </c>
      <c r="D278" s="26">
        <v>45987.456932870373</v>
      </c>
      <c r="E278" s="25" t="s">
        <v>57</v>
      </c>
      <c r="F278" s="25" t="s">
        <v>58</v>
      </c>
      <c r="G278" s="25" t="s">
        <v>29</v>
      </c>
      <c r="H278" s="25" t="s">
        <v>31</v>
      </c>
      <c r="I278" s="26">
        <v>45996.456932870373</v>
      </c>
      <c r="J278" s="25" t="s">
        <v>1128</v>
      </c>
      <c r="K278" s="25" t="s">
        <v>32</v>
      </c>
    </row>
    <row r="279" spans="3:11" x14ac:dyDescent="0.25">
      <c r="C279" s="25">
        <v>23571847</v>
      </c>
      <c r="D279" s="26">
        <v>45987.457800925928</v>
      </c>
      <c r="E279" s="25" t="s">
        <v>57</v>
      </c>
      <c r="F279" s="25" t="s">
        <v>58</v>
      </c>
      <c r="G279" s="25" t="s">
        <v>29</v>
      </c>
      <c r="H279" s="25" t="s">
        <v>31</v>
      </c>
      <c r="I279" s="26">
        <v>45996.457800925928</v>
      </c>
      <c r="J279" s="25" t="s">
        <v>6885</v>
      </c>
      <c r="K279" s="25" t="s">
        <v>32</v>
      </c>
    </row>
    <row r="280" spans="3:11" x14ac:dyDescent="0.25">
      <c r="C280" s="25">
        <v>23572180</v>
      </c>
      <c r="D280" s="26">
        <v>45986.389016203706</v>
      </c>
      <c r="E280" s="25" t="s">
        <v>27</v>
      </c>
      <c r="F280" s="25" t="s">
        <v>28</v>
      </c>
      <c r="G280" s="25" t="s">
        <v>51</v>
      </c>
      <c r="H280" s="25" t="s">
        <v>31</v>
      </c>
      <c r="I280" s="26">
        <v>46002.389016203706</v>
      </c>
      <c r="J280" s="25" t="s">
        <v>6887</v>
      </c>
      <c r="K280" s="25" t="s">
        <v>32</v>
      </c>
    </row>
    <row r="281" spans="3:11" x14ac:dyDescent="0.25">
      <c r="C281" s="25">
        <v>23572681</v>
      </c>
      <c r="D281" s="26">
        <v>45974.315462962964</v>
      </c>
      <c r="E281" s="25" t="s">
        <v>27</v>
      </c>
      <c r="F281" s="25" t="s">
        <v>28</v>
      </c>
      <c r="G281" s="25" t="s">
        <v>476</v>
      </c>
      <c r="H281" s="25" t="s">
        <v>31</v>
      </c>
      <c r="I281" s="26"/>
      <c r="J281" s="25"/>
      <c r="K281" s="25" t="s">
        <v>132</v>
      </c>
    </row>
    <row r="282" spans="3:11" x14ac:dyDescent="0.25">
      <c r="C282" s="25">
        <v>23573236</v>
      </c>
      <c r="D282" s="26">
        <v>45989.715277777781</v>
      </c>
      <c r="E282" s="25" t="s">
        <v>48</v>
      </c>
      <c r="F282" s="25" t="s">
        <v>64</v>
      </c>
      <c r="G282" s="25" t="s">
        <v>29</v>
      </c>
      <c r="H282" s="25" t="s">
        <v>31</v>
      </c>
      <c r="I282" s="26">
        <v>46001.715277777781</v>
      </c>
      <c r="J282" s="25" t="s">
        <v>6898</v>
      </c>
      <c r="K282" s="25" t="s">
        <v>32</v>
      </c>
    </row>
    <row r="283" spans="3:11" x14ac:dyDescent="0.25">
      <c r="C283" s="25">
        <v>23574357</v>
      </c>
      <c r="D283" s="26">
        <v>45957.794849537036</v>
      </c>
      <c r="E283" s="25" t="s">
        <v>27</v>
      </c>
      <c r="F283" s="25" t="s">
        <v>28</v>
      </c>
      <c r="G283" s="25" t="s">
        <v>68</v>
      </c>
      <c r="H283" s="25" t="s">
        <v>38</v>
      </c>
      <c r="I283" s="26">
        <v>45979.794849537036</v>
      </c>
      <c r="J283" s="25" t="s">
        <v>47</v>
      </c>
      <c r="K283" s="25" t="s">
        <v>47</v>
      </c>
    </row>
    <row r="284" spans="3:11" x14ac:dyDescent="0.25">
      <c r="C284" s="25">
        <v>23575140</v>
      </c>
      <c r="D284" s="26">
        <v>45987.594074074077</v>
      </c>
      <c r="E284" s="25" t="s">
        <v>27</v>
      </c>
      <c r="F284" s="25" t="s">
        <v>28</v>
      </c>
      <c r="G284" s="25" t="s">
        <v>29</v>
      </c>
      <c r="H284" s="25" t="s">
        <v>31</v>
      </c>
      <c r="I284" s="26">
        <v>45996.594074074077</v>
      </c>
      <c r="J284" s="25" t="s">
        <v>6901</v>
      </c>
      <c r="K284" s="25" t="s">
        <v>32</v>
      </c>
    </row>
    <row r="285" spans="3:11" x14ac:dyDescent="0.25">
      <c r="C285" s="25">
        <v>23575971</v>
      </c>
      <c r="D285" s="26">
        <v>45985.334363425929</v>
      </c>
      <c r="E285" s="25" t="s">
        <v>27</v>
      </c>
      <c r="F285" s="25" t="s">
        <v>28</v>
      </c>
      <c r="G285" s="25" t="s">
        <v>62</v>
      </c>
      <c r="H285" s="25" t="s">
        <v>31</v>
      </c>
      <c r="I285" s="26">
        <v>45989.334363425929</v>
      </c>
      <c r="J285" s="25" t="s">
        <v>47</v>
      </c>
      <c r="K285" s="25" t="s">
        <v>47</v>
      </c>
    </row>
    <row r="286" spans="3:11" x14ac:dyDescent="0.25">
      <c r="C286" s="25">
        <v>23576552</v>
      </c>
      <c r="D286" s="26">
        <v>45989.390243055554</v>
      </c>
      <c r="E286" s="25" t="s">
        <v>27</v>
      </c>
      <c r="F286" s="25" t="s">
        <v>28</v>
      </c>
      <c r="G286" s="25" t="s">
        <v>29</v>
      </c>
      <c r="H286" s="25" t="s">
        <v>31</v>
      </c>
      <c r="I286" s="26">
        <v>46001.390243055554</v>
      </c>
      <c r="J286" s="25" t="s">
        <v>6625</v>
      </c>
      <c r="K286" s="25" t="s">
        <v>32</v>
      </c>
    </row>
    <row r="287" spans="3:11" x14ac:dyDescent="0.25">
      <c r="C287" s="25">
        <v>23576600</v>
      </c>
      <c r="D287" s="26">
        <v>45987.359733796293</v>
      </c>
      <c r="E287" s="25" t="s">
        <v>27</v>
      </c>
      <c r="F287" s="25" t="s">
        <v>28</v>
      </c>
      <c r="G287" s="25" t="s">
        <v>62</v>
      </c>
      <c r="H287" s="25" t="s">
        <v>31</v>
      </c>
      <c r="I287" s="26">
        <v>45993.359733796293</v>
      </c>
      <c r="J287" s="25" t="s">
        <v>6911</v>
      </c>
      <c r="K287" s="25" t="s">
        <v>49</v>
      </c>
    </row>
    <row r="288" spans="3:11" x14ac:dyDescent="0.25">
      <c r="C288" s="25">
        <v>23576818</v>
      </c>
      <c r="D288" s="26">
        <v>45987.460277777776</v>
      </c>
      <c r="E288" s="25" t="s">
        <v>27</v>
      </c>
      <c r="F288" s="25" t="s">
        <v>28</v>
      </c>
      <c r="G288" s="25" t="s">
        <v>29</v>
      </c>
      <c r="H288" s="25" t="s">
        <v>31</v>
      </c>
      <c r="I288" s="26">
        <v>45996.460277777776</v>
      </c>
      <c r="J288" s="25" t="s">
        <v>6913</v>
      </c>
      <c r="K288" s="25" t="s">
        <v>32</v>
      </c>
    </row>
    <row r="289" spans="3:11" x14ac:dyDescent="0.25">
      <c r="C289" s="25">
        <v>23576849</v>
      </c>
      <c r="D289" s="26">
        <v>45988.626423611109</v>
      </c>
      <c r="E289" s="25" t="s">
        <v>27</v>
      </c>
      <c r="F289" s="25" t="s">
        <v>28</v>
      </c>
      <c r="G289" s="25" t="s">
        <v>40</v>
      </c>
      <c r="H289" s="25" t="s">
        <v>31</v>
      </c>
      <c r="I289" s="26">
        <v>45995.626423611109</v>
      </c>
      <c r="J289" s="25" t="s">
        <v>1492</v>
      </c>
      <c r="K289" s="25" t="s">
        <v>32</v>
      </c>
    </row>
    <row r="290" spans="3:11" x14ac:dyDescent="0.25">
      <c r="C290" s="25">
        <v>23576911</v>
      </c>
      <c r="D290" s="26">
        <v>45988.415150462963</v>
      </c>
      <c r="E290" s="25" t="s">
        <v>27</v>
      </c>
      <c r="F290" s="25" t="s">
        <v>28</v>
      </c>
      <c r="G290" s="25" t="s">
        <v>29</v>
      </c>
      <c r="H290" s="25" t="s">
        <v>31</v>
      </c>
      <c r="I290" s="26">
        <v>46000.415150462963</v>
      </c>
      <c r="J290" s="25" t="s">
        <v>6922</v>
      </c>
      <c r="K290" s="25" t="s">
        <v>32</v>
      </c>
    </row>
    <row r="291" spans="3:11" x14ac:dyDescent="0.25">
      <c r="C291" s="25">
        <v>23576920</v>
      </c>
      <c r="D291" s="26">
        <v>45989.482210648152</v>
      </c>
      <c r="E291" s="25" t="s">
        <v>27</v>
      </c>
      <c r="F291" s="25" t="s">
        <v>28</v>
      </c>
      <c r="G291" s="25" t="s">
        <v>40</v>
      </c>
      <c r="H291" s="25" t="s">
        <v>38</v>
      </c>
      <c r="I291" s="26">
        <v>46002.482210648152</v>
      </c>
      <c r="J291" s="25" t="s">
        <v>6931</v>
      </c>
      <c r="K291" s="25" t="s">
        <v>32</v>
      </c>
    </row>
    <row r="292" spans="3:11" x14ac:dyDescent="0.25">
      <c r="C292" s="25">
        <v>23577619</v>
      </c>
      <c r="D292" s="26">
        <v>45986.676261574074</v>
      </c>
      <c r="E292" s="25" t="s">
        <v>44</v>
      </c>
      <c r="F292" s="25" t="s">
        <v>45</v>
      </c>
      <c r="G292" s="25" t="s">
        <v>29</v>
      </c>
      <c r="H292" s="25" t="s">
        <v>31</v>
      </c>
      <c r="I292" s="26">
        <v>45995.676261574074</v>
      </c>
      <c r="J292" s="25" t="s">
        <v>2294</v>
      </c>
      <c r="K292" s="25" t="s">
        <v>32</v>
      </c>
    </row>
    <row r="293" spans="3:11" x14ac:dyDescent="0.25">
      <c r="C293" s="25">
        <v>23577622</v>
      </c>
      <c r="D293" s="26">
        <v>45986.677939814814</v>
      </c>
      <c r="E293" s="25" t="s">
        <v>44</v>
      </c>
      <c r="F293" s="25" t="s">
        <v>45</v>
      </c>
      <c r="G293" s="25" t="s">
        <v>29</v>
      </c>
      <c r="H293" s="25" t="s">
        <v>31</v>
      </c>
      <c r="I293" s="26">
        <v>45995.677939814814</v>
      </c>
      <c r="J293" s="25" t="s">
        <v>1113</v>
      </c>
      <c r="K293" s="25" t="s">
        <v>32</v>
      </c>
    </row>
    <row r="294" spans="3:11" x14ac:dyDescent="0.25">
      <c r="C294" s="25">
        <v>23577789</v>
      </c>
      <c r="D294" s="26">
        <v>45987.750706018516</v>
      </c>
      <c r="E294" s="25" t="s">
        <v>27</v>
      </c>
      <c r="F294" s="25" t="s">
        <v>28</v>
      </c>
      <c r="G294" s="25" t="s">
        <v>29</v>
      </c>
      <c r="H294" s="25" t="s">
        <v>31</v>
      </c>
      <c r="I294" s="26">
        <v>45996.750706018516</v>
      </c>
      <c r="J294" s="25" t="s">
        <v>6933</v>
      </c>
      <c r="K294" s="25" t="s">
        <v>32</v>
      </c>
    </row>
    <row r="295" spans="3:11" x14ac:dyDescent="0.25">
      <c r="C295" s="25">
        <v>23578445</v>
      </c>
      <c r="D295" s="26">
        <v>45988.69771990741</v>
      </c>
      <c r="E295" s="25" t="s">
        <v>27</v>
      </c>
      <c r="F295" s="25" t="s">
        <v>28</v>
      </c>
      <c r="G295" s="25" t="s">
        <v>29</v>
      </c>
      <c r="H295" s="25" t="s">
        <v>38</v>
      </c>
      <c r="I295" s="26">
        <v>46003.69771990741</v>
      </c>
      <c r="J295" s="25" t="s">
        <v>6941</v>
      </c>
      <c r="K295" s="25" t="s">
        <v>32</v>
      </c>
    </row>
    <row r="296" spans="3:11" x14ac:dyDescent="0.25">
      <c r="C296" s="25">
        <v>23578452</v>
      </c>
      <c r="D296" s="26">
        <v>45989.303182870368</v>
      </c>
      <c r="E296" s="25" t="s">
        <v>27</v>
      </c>
      <c r="F296" s="25" t="s">
        <v>28</v>
      </c>
      <c r="G296" s="25" t="s">
        <v>46</v>
      </c>
      <c r="H296" s="25" t="s">
        <v>31</v>
      </c>
      <c r="I296" s="26">
        <v>45996.303182870368</v>
      </c>
      <c r="J296" s="25" t="s">
        <v>6951</v>
      </c>
      <c r="K296" s="25" t="s">
        <v>32</v>
      </c>
    </row>
    <row r="297" spans="3:11" x14ac:dyDescent="0.25">
      <c r="C297" s="25">
        <v>23578468</v>
      </c>
      <c r="D297" s="26">
        <v>45987.483414351853</v>
      </c>
      <c r="E297" s="25" t="s">
        <v>27</v>
      </c>
      <c r="F297" s="25" t="s">
        <v>28</v>
      </c>
      <c r="G297" s="25" t="s">
        <v>51</v>
      </c>
      <c r="H297" s="25" t="s">
        <v>31</v>
      </c>
      <c r="I297" s="26">
        <v>46003.483414351853</v>
      </c>
      <c r="J297" s="25" t="s">
        <v>6953</v>
      </c>
      <c r="K297" s="25" t="s">
        <v>32</v>
      </c>
    </row>
    <row r="298" spans="3:11" x14ac:dyDescent="0.25">
      <c r="C298" s="25">
        <v>23579461</v>
      </c>
      <c r="D298" s="26">
        <v>45987.482743055552</v>
      </c>
      <c r="E298" s="25" t="s">
        <v>27</v>
      </c>
      <c r="F298" s="25" t="s">
        <v>28</v>
      </c>
      <c r="G298" s="25" t="s">
        <v>46</v>
      </c>
      <c r="H298" s="25" t="s">
        <v>31</v>
      </c>
      <c r="I298" s="26">
        <v>45994.482743055552</v>
      </c>
      <c r="J298" s="25" t="s">
        <v>2322</v>
      </c>
      <c r="K298" s="25" t="s">
        <v>49</v>
      </c>
    </row>
    <row r="299" spans="3:11" x14ac:dyDescent="0.25">
      <c r="C299" s="25">
        <v>23579578</v>
      </c>
      <c r="D299" s="26">
        <v>45982.564050925925</v>
      </c>
      <c r="E299" s="25" t="s">
        <v>27</v>
      </c>
      <c r="F299" s="25" t="s">
        <v>28</v>
      </c>
      <c r="G299" s="25" t="s">
        <v>46</v>
      </c>
      <c r="H299" s="25" t="s">
        <v>38</v>
      </c>
      <c r="I299" s="26">
        <v>45994.564050925925</v>
      </c>
      <c r="J299" s="25" t="s">
        <v>6955</v>
      </c>
      <c r="K299" s="25" t="s">
        <v>49</v>
      </c>
    </row>
    <row r="300" spans="3:11" x14ac:dyDescent="0.25">
      <c r="C300" s="25">
        <v>23579879</v>
      </c>
      <c r="D300" s="26">
        <v>45985.715104166666</v>
      </c>
      <c r="E300" s="25" t="s">
        <v>57</v>
      </c>
      <c r="F300" s="25" t="s">
        <v>58</v>
      </c>
      <c r="G300" s="25" t="s">
        <v>29</v>
      </c>
      <c r="H300" s="25" t="s">
        <v>31</v>
      </c>
      <c r="I300" s="26">
        <v>45994.715104166666</v>
      </c>
      <c r="J300" s="25" t="s">
        <v>6957</v>
      </c>
      <c r="K300" s="25" t="s">
        <v>49</v>
      </c>
    </row>
    <row r="301" spans="3:11" x14ac:dyDescent="0.25">
      <c r="C301" s="25">
        <v>23580305</v>
      </c>
      <c r="D301" s="26">
        <v>45987.426261574074</v>
      </c>
      <c r="E301" s="25" t="s">
        <v>59</v>
      </c>
      <c r="F301" s="25" t="s">
        <v>60</v>
      </c>
      <c r="G301" s="25" t="s">
        <v>62</v>
      </c>
      <c r="H301" s="25" t="s">
        <v>31</v>
      </c>
      <c r="I301" s="26">
        <v>45993.426261574074</v>
      </c>
      <c r="J301" s="25" t="s">
        <v>6959</v>
      </c>
      <c r="K301" s="25" t="s">
        <v>49</v>
      </c>
    </row>
    <row r="302" spans="3:11" x14ac:dyDescent="0.25">
      <c r="C302" s="25">
        <v>23580726</v>
      </c>
      <c r="D302" s="26">
        <v>45987.482164351852</v>
      </c>
      <c r="E302" s="25" t="s">
        <v>27</v>
      </c>
      <c r="F302" s="25" t="s">
        <v>28</v>
      </c>
      <c r="G302" s="25" t="s">
        <v>51</v>
      </c>
      <c r="H302" s="25" t="s">
        <v>31</v>
      </c>
      <c r="I302" s="26">
        <v>46003.482164351852</v>
      </c>
      <c r="J302" s="25" t="s">
        <v>6961</v>
      </c>
      <c r="K302" s="25" t="s">
        <v>32</v>
      </c>
    </row>
    <row r="303" spans="3:11" x14ac:dyDescent="0.25">
      <c r="C303" s="25">
        <v>23581106</v>
      </c>
      <c r="D303" s="26">
        <v>45980.698564814818</v>
      </c>
      <c r="E303" s="25" t="s">
        <v>27</v>
      </c>
      <c r="F303" s="25" t="s">
        <v>28</v>
      </c>
      <c r="G303" s="25" t="s">
        <v>80</v>
      </c>
      <c r="H303" s="25" t="s">
        <v>31</v>
      </c>
      <c r="I303" s="26">
        <v>45995.698564814818</v>
      </c>
      <c r="J303" s="25" t="s">
        <v>6963</v>
      </c>
      <c r="K303" s="25" t="s">
        <v>32</v>
      </c>
    </row>
    <row r="304" spans="3:11" x14ac:dyDescent="0.25">
      <c r="C304" s="25">
        <v>23581431</v>
      </c>
      <c r="D304" s="26">
        <v>45987.480243055557</v>
      </c>
      <c r="E304" s="25" t="s">
        <v>27</v>
      </c>
      <c r="F304" s="25" t="s">
        <v>28</v>
      </c>
      <c r="G304" s="25" t="s">
        <v>46</v>
      </c>
      <c r="H304" s="25" t="s">
        <v>31</v>
      </c>
      <c r="I304" s="26">
        <v>45994.480243055557</v>
      </c>
      <c r="J304" s="25" t="s">
        <v>2358</v>
      </c>
      <c r="K304" s="25" t="s">
        <v>49</v>
      </c>
    </row>
    <row r="305" spans="3:11" x14ac:dyDescent="0.25">
      <c r="C305" s="25">
        <v>23581476</v>
      </c>
      <c r="D305" s="26">
        <v>45992.466574074075</v>
      </c>
      <c r="E305" s="25" t="s">
        <v>44</v>
      </c>
      <c r="F305" s="25" t="s">
        <v>45</v>
      </c>
      <c r="G305" s="25" t="s">
        <v>76</v>
      </c>
      <c r="H305" s="25" t="s">
        <v>31</v>
      </c>
      <c r="I305" s="26">
        <v>46002.466574074075</v>
      </c>
      <c r="J305" s="25" t="s">
        <v>10344</v>
      </c>
      <c r="K305" s="25" t="s">
        <v>32</v>
      </c>
    </row>
    <row r="306" spans="3:11" x14ac:dyDescent="0.25">
      <c r="C306" s="25">
        <v>23581485</v>
      </c>
      <c r="D306" s="26">
        <v>45992.299942129626</v>
      </c>
      <c r="E306" s="25" t="s">
        <v>27</v>
      </c>
      <c r="F306" s="25" t="s">
        <v>28</v>
      </c>
      <c r="G306" s="25" t="s">
        <v>62</v>
      </c>
      <c r="H306" s="25" t="s">
        <v>31</v>
      </c>
      <c r="I306" s="26">
        <v>45996.299942129626</v>
      </c>
      <c r="J306" s="25" t="s">
        <v>10354</v>
      </c>
      <c r="K306" s="25" t="s">
        <v>32</v>
      </c>
    </row>
    <row r="307" spans="3:11" x14ac:dyDescent="0.25">
      <c r="C307" s="25">
        <v>23581655</v>
      </c>
      <c r="D307" s="26">
        <v>45987.55672453704</v>
      </c>
      <c r="E307" s="25" t="s">
        <v>59</v>
      </c>
      <c r="F307" s="25" t="s">
        <v>60</v>
      </c>
      <c r="G307" s="25" t="s">
        <v>40</v>
      </c>
      <c r="H307" s="25" t="s">
        <v>38</v>
      </c>
      <c r="I307" s="26">
        <v>46000.55672453704</v>
      </c>
      <c r="J307" s="25" t="s">
        <v>6965</v>
      </c>
      <c r="K307" s="25" t="s">
        <v>32</v>
      </c>
    </row>
    <row r="308" spans="3:11" x14ac:dyDescent="0.25">
      <c r="C308" s="25">
        <v>23581809</v>
      </c>
      <c r="D308" s="26">
        <v>45989.452719907407</v>
      </c>
      <c r="E308" s="25" t="s">
        <v>44</v>
      </c>
      <c r="F308" s="25" t="s">
        <v>45</v>
      </c>
      <c r="G308" s="25" t="s">
        <v>62</v>
      </c>
      <c r="H308" s="25" t="s">
        <v>31</v>
      </c>
      <c r="I308" s="26">
        <v>45995.452719907407</v>
      </c>
      <c r="J308" s="25" t="s">
        <v>6975</v>
      </c>
      <c r="K308" s="25" t="s">
        <v>32</v>
      </c>
    </row>
    <row r="309" spans="3:11" x14ac:dyDescent="0.25">
      <c r="C309" s="25">
        <v>23581929</v>
      </c>
      <c r="D309" s="26">
        <v>45989.65315972222</v>
      </c>
      <c r="E309" s="25" t="s">
        <v>57</v>
      </c>
      <c r="F309" s="25" t="s">
        <v>58</v>
      </c>
      <c r="G309" s="25" t="s">
        <v>40</v>
      </c>
      <c r="H309" s="25" t="s">
        <v>38</v>
      </c>
      <c r="I309" s="26">
        <v>46002.65315972222</v>
      </c>
      <c r="J309" s="25" t="s">
        <v>6985</v>
      </c>
      <c r="K309" s="25" t="s">
        <v>32</v>
      </c>
    </row>
    <row r="310" spans="3:11" x14ac:dyDescent="0.25">
      <c r="C310" s="25">
        <v>23581952</v>
      </c>
      <c r="D310" s="26">
        <v>45983.40048611111</v>
      </c>
      <c r="E310" s="25" t="s">
        <v>48</v>
      </c>
      <c r="F310" s="25" t="s">
        <v>64</v>
      </c>
      <c r="G310" s="25" t="s">
        <v>29</v>
      </c>
      <c r="H310" s="25" t="s">
        <v>38</v>
      </c>
      <c r="I310" s="26">
        <v>45996.40048611111</v>
      </c>
      <c r="J310" s="25" t="s">
        <v>6987</v>
      </c>
      <c r="K310" s="25" t="s">
        <v>32</v>
      </c>
    </row>
    <row r="311" spans="3:11" x14ac:dyDescent="0.25">
      <c r="C311" s="25">
        <v>23582032</v>
      </c>
      <c r="D311" s="26">
        <v>45986.673634259256</v>
      </c>
      <c r="E311" s="25" t="s">
        <v>59</v>
      </c>
      <c r="F311" s="25" t="s">
        <v>60</v>
      </c>
      <c r="G311" s="25" t="s">
        <v>43</v>
      </c>
      <c r="H311" s="25" t="s">
        <v>31</v>
      </c>
      <c r="I311" s="26">
        <v>45995.673634259256</v>
      </c>
      <c r="J311" s="25" t="s">
        <v>2384</v>
      </c>
      <c r="K311" s="25" t="s">
        <v>32</v>
      </c>
    </row>
    <row r="312" spans="3:11" x14ac:dyDescent="0.25">
      <c r="C312" s="25">
        <v>23582117</v>
      </c>
      <c r="D312" s="26">
        <v>45988.47760416667</v>
      </c>
      <c r="E312" s="25" t="s">
        <v>27</v>
      </c>
      <c r="F312" s="25" t="s">
        <v>28</v>
      </c>
      <c r="G312" s="25" t="s">
        <v>46</v>
      </c>
      <c r="H312" s="25" t="s">
        <v>31</v>
      </c>
      <c r="I312" s="26">
        <v>45995.47760416667</v>
      </c>
      <c r="J312" s="25" t="s">
        <v>3841</v>
      </c>
      <c r="K312" s="25" t="s">
        <v>32</v>
      </c>
    </row>
    <row r="313" spans="3:11" x14ac:dyDescent="0.25">
      <c r="C313" s="25">
        <v>23582328</v>
      </c>
      <c r="D313" s="26">
        <v>45985.604224537034</v>
      </c>
      <c r="E313" s="25" t="s">
        <v>27</v>
      </c>
      <c r="F313" s="25" t="s">
        <v>28</v>
      </c>
      <c r="G313" s="25" t="s">
        <v>46</v>
      </c>
      <c r="H313" s="25" t="s">
        <v>31</v>
      </c>
      <c r="I313" s="26">
        <v>45992.604224537034</v>
      </c>
      <c r="J313" s="25" t="s">
        <v>3500</v>
      </c>
      <c r="K313" s="25" t="s">
        <v>131</v>
      </c>
    </row>
    <row r="314" spans="3:11" x14ac:dyDescent="0.25">
      <c r="C314" s="25">
        <v>23582533</v>
      </c>
      <c r="D314" s="26">
        <v>45985.60460648148</v>
      </c>
      <c r="E314" s="25" t="s">
        <v>27</v>
      </c>
      <c r="F314" s="25" t="s">
        <v>28</v>
      </c>
      <c r="G314" s="25" t="s">
        <v>43</v>
      </c>
      <c r="H314" s="25" t="s">
        <v>31</v>
      </c>
      <c r="I314" s="26">
        <v>45994.60460648148</v>
      </c>
      <c r="J314" s="25" t="s">
        <v>2527</v>
      </c>
      <c r="K314" s="25" t="s">
        <v>49</v>
      </c>
    </row>
    <row r="315" spans="3:11" x14ac:dyDescent="0.25">
      <c r="C315" s="25">
        <v>23582546</v>
      </c>
      <c r="D315" s="26">
        <v>45985.607141203705</v>
      </c>
      <c r="E315" s="25" t="s">
        <v>27</v>
      </c>
      <c r="F315" s="25" t="s">
        <v>28</v>
      </c>
      <c r="G315" s="25" t="s">
        <v>43</v>
      </c>
      <c r="H315" s="25" t="s">
        <v>31</v>
      </c>
      <c r="I315" s="26">
        <v>45994.607141203705</v>
      </c>
      <c r="J315" s="25" t="s">
        <v>6989</v>
      </c>
      <c r="K315" s="25" t="s">
        <v>49</v>
      </c>
    </row>
    <row r="316" spans="3:11" x14ac:dyDescent="0.25">
      <c r="C316" s="25">
        <v>23583169</v>
      </c>
      <c r="D316" s="26">
        <v>45985.421238425923</v>
      </c>
      <c r="E316" s="25" t="s">
        <v>44</v>
      </c>
      <c r="F316" s="25" t="s">
        <v>45</v>
      </c>
      <c r="G316" s="25" t="s">
        <v>43</v>
      </c>
      <c r="H316" s="25" t="s">
        <v>31</v>
      </c>
      <c r="I316" s="26">
        <v>45994.421238425923</v>
      </c>
      <c r="J316" s="25" t="s">
        <v>6991</v>
      </c>
      <c r="K316" s="25" t="s">
        <v>49</v>
      </c>
    </row>
    <row r="317" spans="3:11" x14ac:dyDescent="0.25">
      <c r="C317" s="25">
        <v>23583170</v>
      </c>
      <c r="D317" s="26">
        <v>45989.578321759262</v>
      </c>
      <c r="E317" s="25" t="s">
        <v>57</v>
      </c>
      <c r="F317" s="25" t="s">
        <v>58</v>
      </c>
      <c r="G317" s="25" t="s">
        <v>40</v>
      </c>
      <c r="H317" s="25" t="s">
        <v>31</v>
      </c>
      <c r="I317" s="26">
        <v>45996.578321759262</v>
      </c>
      <c r="J317" s="25" t="s">
        <v>6999</v>
      </c>
      <c r="K317" s="25" t="s">
        <v>32</v>
      </c>
    </row>
    <row r="318" spans="3:11" x14ac:dyDescent="0.25">
      <c r="C318" s="25">
        <v>23583184</v>
      </c>
      <c r="D318" s="26">
        <v>45989.572094907409</v>
      </c>
      <c r="E318" s="25" t="s">
        <v>57</v>
      </c>
      <c r="F318" s="25" t="s">
        <v>58</v>
      </c>
      <c r="G318" s="25" t="s">
        <v>40</v>
      </c>
      <c r="H318" s="25" t="s">
        <v>31</v>
      </c>
      <c r="I318" s="26">
        <v>45996.572094907409</v>
      </c>
      <c r="J318" s="25" t="s">
        <v>7006</v>
      </c>
      <c r="K318" s="25" t="s">
        <v>32</v>
      </c>
    </row>
    <row r="319" spans="3:11" x14ac:dyDescent="0.25">
      <c r="C319" s="25">
        <v>23583188</v>
      </c>
      <c r="D319" s="26">
        <v>45989.570219907408</v>
      </c>
      <c r="E319" s="25" t="s">
        <v>57</v>
      </c>
      <c r="F319" s="25" t="s">
        <v>58</v>
      </c>
      <c r="G319" s="25" t="s">
        <v>40</v>
      </c>
      <c r="H319" s="25" t="s">
        <v>31</v>
      </c>
      <c r="I319" s="26">
        <v>45996.570219907408</v>
      </c>
      <c r="J319" s="25" t="s">
        <v>7014</v>
      </c>
      <c r="K319" s="25" t="s">
        <v>32</v>
      </c>
    </row>
    <row r="320" spans="3:11" x14ac:dyDescent="0.25">
      <c r="C320" s="25">
        <v>23583283</v>
      </c>
      <c r="D320" s="26">
        <v>45981.348854166667</v>
      </c>
      <c r="E320" s="25" t="s">
        <v>27</v>
      </c>
      <c r="F320" s="25" t="s">
        <v>28</v>
      </c>
      <c r="G320" s="25" t="s">
        <v>46</v>
      </c>
      <c r="H320" s="25" t="s">
        <v>31</v>
      </c>
      <c r="I320" s="26">
        <v>45988.348854166667</v>
      </c>
      <c r="J320" s="25" t="s">
        <v>47</v>
      </c>
      <c r="K320" s="25" t="s">
        <v>47</v>
      </c>
    </row>
    <row r="321" spans="3:11" x14ac:dyDescent="0.25">
      <c r="C321" s="25">
        <v>23583917</v>
      </c>
      <c r="D321" s="26">
        <v>45967.669791666667</v>
      </c>
      <c r="E321" s="25" t="s">
        <v>44</v>
      </c>
      <c r="F321" s="25" t="s">
        <v>45</v>
      </c>
      <c r="G321" s="25" t="s">
        <v>68</v>
      </c>
      <c r="H321" s="25" t="s">
        <v>31</v>
      </c>
      <c r="I321" s="26">
        <v>45981.669791666667</v>
      </c>
      <c r="J321" s="25" t="s">
        <v>47</v>
      </c>
      <c r="K321" s="25" t="s">
        <v>47</v>
      </c>
    </row>
    <row r="322" spans="3:11" x14ac:dyDescent="0.25">
      <c r="C322" s="25">
        <v>23584434</v>
      </c>
      <c r="D322" s="26">
        <v>45986.436041666668</v>
      </c>
      <c r="E322" s="25" t="s">
        <v>27</v>
      </c>
      <c r="F322" s="25" t="s">
        <v>28</v>
      </c>
      <c r="G322" s="25" t="s">
        <v>43</v>
      </c>
      <c r="H322" s="25" t="s">
        <v>31</v>
      </c>
      <c r="I322" s="26">
        <v>45995.436041666668</v>
      </c>
      <c r="J322" s="25" t="s">
        <v>2436</v>
      </c>
      <c r="K322" s="25" t="s">
        <v>32</v>
      </c>
    </row>
    <row r="323" spans="3:11" x14ac:dyDescent="0.25">
      <c r="C323" s="25">
        <v>23584537</v>
      </c>
      <c r="D323" s="26">
        <v>45988.408668981479</v>
      </c>
      <c r="E323" s="25" t="s">
        <v>27</v>
      </c>
      <c r="F323" s="25" t="s">
        <v>28</v>
      </c>
      <c r="G323" s="25" t="s">
        <v>29</v>
      </c>
      <c r="H323" s="25" t="s">
        <v>31</v>
      </c>
      <c r="I323" s="26">
        <v>46000.408668981479</v>
      </c>
      <c r="J323" s="25" t="s">
        <v>7019</v>
      </c>
      <c r="K323" s="25" t="s">
        <v>32</v>
      </c>
    </row>
    <row r="324" spans="3:11" x14ac:dyDescent="0.25">
      <c r="C324" s="25">
        <v>23584639</v>
      </c>
      <c r="D324" s="26">
        <v>45985.602430555555</v>
      </c>
      <c r="E324" s="25" t="s">
        <v>27</v>
      </c>
      <c r="F324" s="25" t="s">
        <v>28</v>
      </c>
      <c r="G324" s="25" t="s">
        <v>46</v>
      </c>
      <c r="H324" s="25" t="s">
        <v>31</v>
      </c>
      <c r="I324" s="26">
        <v>45992.602430555555</v>
      </c>
      <c r="J324" s="25" t="s">
        <v>7021</v>
      </c>
      <c r="K324" s="25" t="s">
        <v>131</v>
      </c>
    </row>
    <row r="325" spans="3:11" x14ac:dyDescent="0.25">
      <c r="C325" s="25">
        <v>23584689</v>
      </c>
      <c r="D325" s="26">
        <v>45988.660624999997</v>
      </c>
      <c r="E325" s="25" t="s">
        <v>27</v>
      </c>
      <c r="F325" s="25" t="s">
        <v>28</v>
      </c>
      <c r="G325" s="25" t="s">
        <v>40</v>
      </c>
      <c r="H325" s="25" t="s">
        <v>31</v>
      </c>
      <c r="I325" s="26">
        <v>45995.660624999997</v>
      </c>
      <c r="J325" s="25" t="s">
        <v>7031</v>
      </c>
      <c r="K325" s="25" t="s">
        <v>32</v>
      </c>
    </row>
    <row r="326" spans="3:11" x14ac:dyDescent="0.25">
      <c r="C326" s="25">
        <v>23584810</v>
      </c>
      <c r="D326" s="26">
        <v>45968.498900462961</v>
      </c>
      <c r="E326" s="25" t="s">
        <v>57</v>
      </c>
      <c r="F326" s="25" t="s">
        <v>58</v>
      </c>
      <c r="G326" s="25" t="s">
        <v>40</v>
      </c>
      <c r="H326" s="25" t="s">
        <v>38</v>
      </c>
      <c r="I326" s="26">
        <v>45981.498900462961</v>
      </c>
      <c r="J326" s="25" t="s">
        <v>47</v>
      </c>
      <c r="K326" s="25" t="s">
        <v>47</v>
      </c>
    </row>
    <row r="327" spans="3:11" x14ac:dyDescent="0.25">
      <c r="C327" s="25">
        <v>23584834</v>
      </c>
      <c r="D327" s="26">
        <v>45987.822106481479</v>
      </c>
      <c r="E327" s="25" t="s">
        <v>27</v>
      </c>
      <c r="F327" s="25" t="s">
        <v>28</v>
      </c>
      <c r="G327" s="25" t="s">
        <v>40</v>
      </c>
      <c r="H327" s="25" t="s">
        <v>31</v>
      </c>
      <c r="I327" s="26">
        <v>45994.822106481479</v>
      </c>
      <c r="J327" s="25" t="s">
        <v>2463</v>
      </c>
      <c r="K327" s="25" t="s">
        <v>49</v>
      </c>
    </row>
    <row r="328" spans="3:11" x14ac:dyDescent="0.25">
      <c r="C328" s="25">
        <v>23584841</v>
      </c>
      <c r="D328" s="26">
        <v>45992.388749999998</v>
      </c>
      <c r="E328" s="25" t="s">
        <v>59</v>
      </c>
      <c r="F328" s="25" t="s">
        <v>60</v>
      </c>
      <c r="G328" s="25" t="s">
        <v>29</v>
      </c>
      <c r="H328" s="25" t="s">
        <v>31</v>
      </c>
      <c r="I328" s="26">
        <v>46002.388749999998</v>
      </c>
      <c r="J328" s="25" t="s">
        <v>10367</v>
      </c>
      <c r="K328" s="25" t="s">
        <v>32</v>
      </c>
    </row>
    <row r="329" spans="3:11" x14ac:dyDescent="0.25">
      <c r="C329" s="25">
        <v>23584851</v>
      </c>
      <c r="D329" s="26">
        <v>45989.487453703703</v>
      </c>
      <c r="E329" s="25" t="s">
        <v>44</v>
      </c>
      <c r="F329" s="25" t="s">
        <v>45</v>
      </c>
      <c r="G329" s="25" t="s">
        <v>29</v>
      </c>
      <c r="H329" s="25" t="s">
        <v>31</v>
      </c>
      <c r="I329" s="26">
        <v>46001.487453703703</v>
      </c>
      <c r="J329" s="25" t="s">
        <v>7040</v>
      </c>
      <c r="K329" s="25" t="s">
        <v>32</v>
      </c>
    </row>
    <row r="330" spans="3:11" x14ac:dyDescent="0.25">
      <c r="C330" s="25">
        <v>23584931</v>
      </c>
      <c r="D330" s="26">
        <v>45987.422476851854</v>
      </c>
      <c r="E330" s="25" t="s">
        <v>48</v>
      </c>
      <c r="F330" s="25" t="s">
        <v>64</v>
      </c>
      <c r="G330" s="25" t="s">
        <v>76</v>
      </c>
      <c r="H330" s="25" t="s">
        <v>31</v>
      </c>
      <c r="I330" s="26">
        <v>45996.422476851854</v>
      </c>
      <c r="J330" s="25" t="s">
        <v>7042</v>
      </c>
      <c r="K330" s="25" t="s">
        <v>32</v>
      </c>
    </row>
    <row r="331" spans="3:11" x14ac:dyDescent="0.25">
      <c r="C331" s="25">
        <v>23585389</v>
      </c>
      <c r="D331" s="26">
        <v>45969.430543981478</v>
      </c>
      <c r="E331" s="25" t="s">
        <v>55</v>
      </c>
      <c r="F331" s="25" t="s">
        <v>56</v>
      </c>
      <c r="G331" s="25" t="s">
        <v>29</v>
      </c>
      <c r="H331" s="25" t="s">
        <v>31</v>
      </c>
      <c r="I331" s="26">
        <v>45980.430543981478</v>
      </c>
      <c r="J331" s="25" t="s">
        <v>47</v>
      </c>
      <c r="K331" s="25" t="s">
        <v>47</v>
      </c>
    </row>
    <row r="332" spans="3:11" x14ac:dyDescent="0.25">
      <c r="C332" s="25">
        <v>23585588</v>
      </c>
      <c r="D332" s="26">
        <v>45989.363159722219</v>
      </c>
      <c r="E332" s="25" t="s">
        <v>27</v>
      </c>
      <c r="F332" s="25" t="s">
        <v>28</v>
      </c>
      <c r="G332" s="25" t="s">
        <v>46</v>
      </c>
      <c r="H332" s="25" t="s">
        <v>31</v>
      </c>
      <c r="I332" s="26">
        <v>45996.363159722219</v>
      </c>
      <c r="J332" s="25" t="s">
        <v>2785</v>
      </c>
      <c r="K332" s="25" t="s">
        <v>32</v>
      </c>
    </row>
    <row r="333" spans="3:11" x14ac:dyDescent="0.25">
      <c r="C333" s="25">
        <v>23585591</v>
      </c>
      <c r="D333" s="26">
        <v>45989.363599537035</v>
      </c>
      <c r="E333" s="25" t="s">
        <v>27</v>
      </c>
      <c r="F333" s="25" t="s">
        <v>28</v>
      </c>
      <c r="G333" s="25" t="s">
        <v>46</v>
      </c>
      <c r="H333" s="25" t="s">
        <v>31</v>
      </c>
      <c r="I333" s="26">
        <v>45996.363599537035</v>
      </c>
      <c r="J333" s="25" t="s">
        <v>7058</v>
      </c>
      <c r="K333" s="25" t="s">
        <v>32</v>
      </c>
    </row>
    <row r="334" spans="3:11" x14ac:dyDescent="0.25">
      <c r="C334" s="25">
        <v>23586100</v>
      </c>
      <c r="D334" s="26">
        <v>45986.340717592589</v>
      </c>
      <c r="E334" s="25" t="s">
        <v>27</v>
      </c>
      <c r="F334" s="25" t="s">
        <v>28</v>
      </c>
      <c r="G334" s="25" t="s">
        <v>68</v>
      </c>
      <c r="H334" s="25" t="s">
        <v>31</v>
      </c>
      <c r="I334" s="26">
        <v>46000.340717592589</v>
      </c>
      <c r="J334" s="25" t="s">
        <v>7060</v>
      </c>
      <c r="K334" s="25" t="s">
        <v>32</v>
      </c>
    </row>
    <row r="335" spans="3:11" x14ac:dyDescent="0.25">
      <c r="C335" s="25">
        <v>23586429</v>
      </c>
      <c r="D335" s="26">
        <v>45972.135763888888</v>
      </c>
      <c r="E335" s="25" t="s">
        <v>55</v>
      </c>
      <c r="F335" s="25" t="s">
        <v>56</v>
      </c>
      <c r="G335" s="25" t="s">
        <v>40</v>
      </c>
      <c r="H335" s="25" t="s">
        <v>38</v>
      </c>
      <c r="I335" s="26">
        <v>45985.135763888888</v>
      </c>
      <c r="J335" s="25" t="s">
        <v>47</v>
      </c>
      <c r="K335" s="25" t="s">
        <v>47</v>
      </c>
    </row>
    <row r="336" spans="3:11" x14ac:dyDescent="0.25">
      <c r="C336" s="25">
        <v>23586512</v>
      </c>
      <c r="D336" s="26">
        <v>45972.208634259259</v>
      </c>
      <c r="E336" s="25" t="s">
        <v>55</v>
      </c>
      <c r="F336" s="25" t="s">
        <v>56</v>
      </c>
      <c r="G336" s="25" t="s">
        <v>40</v>
      </c>
      <c r="H336" s="25" t="s">
        <v>38</v>
      </c>
      <c r="I336" s="26">
        <v>45985.208634259259</v>
      </c>
      <c r="J336" s="25" t="s">
        <v>47</v>
      </c>
      <c r="K336" s="25" t="s">
        <v>47</v>
      </c>
    </row>
    <row r="337" spans="3:11" x14ac:dyDescent="0.25">
      <c r="C337" s="25">
        <v>23586554</v>
      </c>
      <c r="D337" s="26">
        <v>45988.350706018522</v>
      </c>
      <c r="E337" s="25" t="s">
        <v>27</v>
      </c>
      <c r="F337" s="25" t="s">
        <v>28</v>
      </c>
      <c r="G337" s="25" t="s">
        <v>40</v>
      </c>
      <c r="H337" s="25" t="s">
        <v>38</v>
      </c>
      <c r="I337" s="26">
        <v>46001.350706018522</v>
      </c>
      <c r="J337" s="25" t="s">
        <v>7064</v>
      </c>
      <c r="K337" s="25" t="s">
        <v>32</v>
      </c>
    </row>
    <row r="338" spans="3:11" x14ac:dyDescent="0.25">
      <c r="C338" s="25">
        <v>23586633</v>
      </c>
      <c r="D338" s="26">
        <v>45985.454201388886</v>
      </c>
      <c r="E338" s="25" t="s">
        <v>27</v>
      </c>
      <c r="F338" s="25" t="s">
        <v>28</v>
      </c>
      <c r="G338" s="25" t="s">
        <v>62</v>
      </c>
      <c r="H338" s="25" t="s">
        <v>31</v>
      </c>
      <c r="I338" s="26">
        <v>45989.454201388886</v>
      </c>
      <c r="J338" s="25" t="s">
        <v>47</v>
      </c>
      <c r="K338" s="25" t="s">
        <v>47</v>
      </c>
    </row>
    <row r="339" spans="3:11" x14ac:dyDescent="0.25">
      <c r="C339" s="25">
        <v>23586829</v>
      </c>
      <c r="D339" s="26">
        <v>45987.561006944445</v>
      </c>
      <c r="E339" s="25" t="s">
        <v>27</v>
      </c>
      <c r="F339" s="25" t="s">
        <v>28</v>
      </c>
      <c r="G339" s="25" t="s">
        <v>40</v>
      </c>
      <c r="H339" s="25" t="s">
        <v>31</v>
      </c>
      <c r="I339" s="26">
        <v>45994.561006944445</v>
      </c>
      <c r="J339" s="25" t="s">
        <v>2508</v>
      </c>
      <c r="K339" s="25" t="s">
        <v>49</v>
      </c>
    </row>
    <row r="340" spans="3:11" x14ac:dyDescent="0.25">
      <c r="C340" s="25">
        <v>23586950</v>
      </c>
      <c r="D340" s="26">
        <v>45989.704722222225</v>
      </c>
      <c r="E340" s="25" t="s">
        <v>27</v>
      </c>
      <c r="F340" s="25" t="s">
        <v>28</v>
      </c>
      <c r="G340" s="25" t="s">
        <v>29</v>
      </c>
      <c r="H340" s="25" t="s">
        <v>31</v>
      </c>
      <c r="I340" s="26">
        <v>46001.704722222225</v>
      </c>
      <c r="J340" s="25" t="s">
        <v>7073</v>
      </c>
      <c r="K340" s="25" t="s">
        <v>32</v>
      </c>
    </row>
    <row r="341" spans="3:11" x14ac:dyDescent="0.25">
      <c r="C341" s="25">
        <v>23586952</v>
      </c>
      <c r="D341" s="26">
        <v>45989.704016203701</v>
      </c>
      <c r="E341" s="25" t="s">
        <v>27</v>
      </c>
      <c r="F341" s="25" t="s">
        <v>28</v>
      </c>
      <c r="G341" s="25" t="s">
        <v>29</v>
      </c>
      <c r="H341" s="25" t="s">
        <v>31</v>
      </c>
      <c r="I341" s="26">
        <v>46001.704016203701</v>
      </c>
      <c r="J341" s="25" t="s">
        <v>7080</v>
      </c>
      <c r="K341" s="25" t="s">
        <v>32</v>
      </c>
    </row>
    <row r="342" spans="3:11" x14ac:dyDescent="0.25">
      <c r="C342" s="25">
        <v>23587104</v>
      </c>
      <c r="D342" s="26">
        <v>45985.575520833336</v>
      </c>
      <c r="E342" s="25" t="s">
        <v>27</v>
      </c>
      <c r="F342" s="25" t="s">
        <v>28</v>
      </c>
      <c r="G342" s="25" t="s">
        <v>43</v>
      </c>
      <c r="H342" s="25" t="s">
        <v>31</v>
      </c>
      <c r="I342" s="26">
        <v>45994.575520833336</v>
      </c>
      <c r="J342" s="25" t="s">
        <v>7082</v>
      </c>
      <c r="K342" s="25" t="s">
        <v>49</v>
      </c>
    </row>
    <row r="343" spans="3:11" x14ac:dyDescent="0.25">
      <c r="C343" s="25">
        <v>23587430</v>
      </c>
      <c r="D343" s="26">
        <v>45972.56417824074</v>
      </c>
      <c r="E343" s="25" t="s">
        <v>55</v>
      </c>
      <c r="F343" s="25" t="s">
        <v>56</v>
      </c>
      <c r="G343" s="25" t="s">
        <v>40</v>
      </c>
      <c r="H343" s="25" t="s">
        <v>38</v>
      </c>
      <c r="I343" s="26">
        <v>45985.56417824074</v>
      </c>
      <c r="J343" s="25" t="s">
        <v>47</v>
      </c>
      <c r="K343" s="25" t="s">
        <v>47</v>
      </c>
    </row>
    <row r="344" spans="3:11" x14ac:dyDescent="0.25">
      <c r="C344" s="25">
        <v>23587500</v>
      </c>
      <c r="D344" s="26">
        <v>45972.6018287037</v>
      </c>
      <c r="E344" s="25" t="s">
        <v>55</v>
      </c>
      <c r="F344" s="25" t="s">
        <v>56</v>
      </c>
      <c r="G344" s="25" t="s">
        <v>40</v>
      </c>
      <c r="H344" s="25" t="s">
        <v>38</v>
      </c>
      <c r="I344" s="26">
        <v>45985.6018287037</v>
      </c>
      <c r="J344" s="25" t="s">
        <v>47</v>
      </c>
      <c r="K344" s="25" t="s">
        <v>47</v>
      </c>
    </row>
    <row r="345" spans="3:11" x14ac:dyDescent="0.25">
      <c r="C345" s="25">
        <v>23587709</v>
      </c>
      <c r="D345" s="26">
        <v>45990.422800925924</v>
      </c>
      <c r="E345" s="25" t="s">
        <v>59</v>
      </c>
      <c r="F345" s="25" t="s">
        <v>60</v>
      </c>
      <c r="G345" s="25" t="s">
        <v>62</v>
      </c>
      <c r="H345" s="25" t="s">
        <v>31</v>
      </c>
      <c r="I345" s="26">
        <v>45995.422800925924</v>
      </c>
      <c r="J345" s="25" t="s">
        <v>7041</v>
      </c>
      <c r="K345" s="25" t="s">
        <v>32</v>
      </c>
    </row>
    <row r="346" spans="3:11" x14ac:dyDescent="0.25">
      <c r="C346" s="25">
        <v>23587774</v>
      </c>
      <c r="D346" s="26">
        <v>45987.740937499999</v>
      </c>
      <c r="E346" s="25" t="s">
        <v>27</v>
      </c>
      <c r="F346" s="25" t="s">
        <v>28</v>
      </c>
      <c r="G346" s="25" t="s">
        <v>62</v>
      </c>
      <c r="H346" s="25" t="s">
        <v>31</v>
      </c>
      <c r="I346" s="26">
        <v>45993.740937499999</v>
      </c>
      <c r="J346" s="25" t="s">
        <v>7094</v>
      </c>
      <c r="K346" s="25" t="s">
        <v>49</v>
      </c>
    </row>
    <row r="347" spans="3:11" x14ac:dyDescent="0.25">
      <c r="C347" s="25">
        <v>23588038</v>
      </c>
      <c r="D347" s="26">
        <v>45985.406261574077</v>
      </c>
      <c r="E347" s="25" t="s">
        <v>27</v>
      </c>
      <c r="F347" s="25" t="s">
        <v>28</v>
      </c>
      <c r="G347" s="25" t="s">
        <v>29</v>
      </c>
      <c r="H347" s="25" t="s">
        <v>31</v>
      </c>
      <c r="I347" s="26">
        <v>45994.406261574077</v>
      </c>
      <c r="J347" s="25" t="s">
        <v>6208</v>
      </c>
      <c r="K347" s="25" t="s">
        <v>49</v>
      </c>
    </row>
    <row r="348" spans="3:11" x14ac:dyDescent="0.25">
      <c r="C348" s="25">
        <v>23588138</v>
      </c>
      <c r="D348" s="26">
        <v>45987.488298611112</v>
      </c>
      <c r="E348" s="25" t="s">
        <v>27</v>
      </c>
      <c r="F348" s="25" t="s">
        <v>28</v>
      </c>
      <c r="G348" s="25" t="s">
        <v>46</v>
      </c>
      <c r="H348" s="25" t="s">
        <v>38</v>
      </c>
      <c r="I348" s="26">
        <v>46000.488298611112</v>
      </c>
      <c r="J348" s="25" t="s">
        <v>4653</v>
      </c>
      <c r="K348" s="25" t="s">
        <v>32</v>
      </c>
    </row>
    <row r="349" spans="3:11" x14ac:dyDescent="0.25">
      <c r="C349" s="25">
        <v>23588761</v>
      </c>
      <c r="D349" s="26">
        <v>45973.683495370373</v>
      </c>
      <c r="E349" s="25" t="s">
        <v>55</v>
      </c>
      <c r="F349" s="25" t="s">
        <v>56</v>
      </c>
      <c r="G349" s="25" t="s">
        <v>40</v>
      </c>
      <c r="H349" s="25" t="s">
        <v>38</v>
      </c>
      <c r="I349" s="26">
        <v>45986.683495370373</v>
      </c>
      <c r="J349" s="25" t="s">
        <v>47</v>
      </c>
      <c r="K349" s="25" t="s">
        <v>47</v>
      </c>
    </row>
    <row r="350" spans="3:11" x14ac:dyDescent="0.25">
      <c r="C350" s="25">
        <v>23588809</v>
      </c>
      <c r="D350" s="26">
        <v>45973.700648148151</v>
      </c>
      <c r="E350" s="25" t="s">
        <v>55</v>
      </c>
      <c r="F350" s="25" t="s">
        <v>56</v>
      </c>
      <c r="G350" s="25" t="s">
        <v>40</v>
      </c>
      <c r="H350" s="25" t="s">
        <v>31</v>
      </c>
      <c r="I350" s="26">
        <v>45981.700648148151</v>
      </c>
      <c r="J350" s="25" t="s">
        <v>47</v>
      </c>
      <c r="K350" s="25" t="s">
        <v>47</v>
      </c>
    </row>
    <row r="351" spans="3:11" x14ac:dyDescent="0.25">
      <c r="C351" s="25">
        <v>23589686</v>
      </c>
      <c r="D351" s="26">
        <v>45987.453703703701</v>
      </c>
      <c r="E351" s="25" t="s">
        <v>27</v>
      </c>
      <c r="F351" s="25" t="s">
        <v>28</v>
      </c>
      <c r="G351" s="25" t="s">
        <v>46</v>
      </c>
      <c r="H351" s="25" t="s">
        <v>31</v>
      </c>
      <c r="I351" s="26">
        <v>45994.453703703701</v>
      </c>
      <c r="J351" s="25" t="s">
        <v>2074</v>
      </c>
      <c r="K351" s="25" t="s">
        <v>49</v>
      </c>
    </row>
    <row r="352" spans="3:11" x14ac:dyDescent="0.25">
      <c r="C352" s="25">
        <v>23589913</v>
      </c>
      <c r="D352" s="26">
        <v>45975.179988425924</v>
      </c>
      <c r="E352" s="25" t="s">
        <v>55</v>
      </c>
      <c r="F352" s="25" t="s">
        <v>56</v>
      </c>
      <c r="G352" s="25" t="s">
        <v>40</v>
      </c>
      <c r="H352" s="25" t="s">
        <v>38</v>
      </c>
      <c r="I352" s="26">
        <v>45988.179988425924</v>
      </c>
      <c r="J352" s="25" t="s">
        <v>47</v>
      </c>
      <c r="K352" s="25" t="s">
        <v>47</v>
      </c>
    </row>
    <row r="353" spans="3:11" x14ac:dyDescent="0.25">
      <c r="C353" s="25">
        <v>23590002</v>
      </c>
      <c r="D353" s="26">
        <v>45992.465682870374</v>
      </c>
      <c r="E353" s="25" t="s">
        <v>59</v>
      </c>
      <c r="F353" s="25" t="s">
        <v>60</v>
      </c>
      <c r="G353" s="25" t="s">
        <v>43</v>
      </c>
      <c r="H353" s="25" t="s">
        <v>31</v>
      </c>
      <c r="I353" s="26">
        <v>46002.465682870374</v>
      </c>
      <c r="J353" s="25" t="s">
        <v>10377</v>
      </c>
      <c r="K353" s="25" t="s">
        <v>32</v>
      </c>
    </row>
    <row r="354" spans="3:11" x14ac:dyDescent="0.25">
      <c r="C354" s="25">
        <v>23590020</v>
      </c>
      <c r="D354" s="26">
        <v>45975.329247685186</v>
      </c>
      <c r="E354" s="25" t="s">
        <v>57</v>
      </c>
      <c r="F354" s="25" t="s">
        <v>58</v>
      </c>
      <c r="G354" s="25" t="s">
        <v>40</v>
      </c>
      <c r="H354" s="25" t="s">
        <v>38</v>
      </c>
      <c r="I354" s="26">
        <v>45988.329247685186</v>
      </c>
      <c r="J354" s="25" t="s">
        <v>47</v>
      </c>
      <c r="K354" s="25" t="s">
        <v>47</v>
      </c>
    </row>
    <row r="355" spans="3:11" x14ac:dyDescent="0.25">
      <c r="C355" s="25">
        <v>23590024</v>
      </c>
      <c r="D355" s="26">
        <v>45975.331712962965</v>
      </c>
      <c r="E355" s="25" t="s">
        <v>55</v>
      </c>
      <c r="F355" s="25" t="s">
        <v>56</v>
      </c>
      <c r="G355" s="25" t="s">
        <v>40</v>
      </c>
      <c r="H355" s="25" t="s">
        <v>38</v>
      </c>
      <c r="I355" s="26">
        <v>45988.331712962965</v>
      </c>
      <c r="J355" s="25" t="s">
        <v>47</v>
      </c>
      <c r="K355" s="25" t="s">
        <v>47</v>
      </c>
    </row>
    <row r="356" spans="3:11" x14ac:dyDescent="0.25">
      <c r="C356" s="25">
        <v>23590049</v>
      </c>
      <c r="D356" s="26">
        <v>45987.393553240741</v>
      </c>
      <c r="E356" s="25" t="s">
        <v>27</v>
      </c>
      <c r="F356" s="25" t="s">
        <v>28</v>
      </c>
      <c r="G356" s="25" t="s">
        <v>46</v>
      </c>
      <c r="H356" s="25" t="s">
        <v>38</v>
      </c>
      <c r="I356" s="26">
        <v>46000.393553240741</v>
      </c>
      <c r="J356" s="25" t="s">
        <v>7100</v>
      </c>
      <c r="K356" s="25" t="s">
        <v>32</v>
      </c>
    </row>
    <row r="357" spans="3:11" x14ac:dyDescent="0.25">
      <c r="C357" s="25">
        <v>23590635</v>
      </c>
      <c r="D357" s="26">
        <v>45987.682974537034</v>
      </c>
      <c r="E357" s="25" t="s">
        <v>27</v>
      </c>
      <c r="F357" s="25" t="s">
        <v>28</v>
      </c>
      <c r="G357" s="25" t="s">
        <v>29</v>
      </c>
      <c r="H357" s="25" t="s">
        <v>31</v>
      </c>
      <c r="I357" s="26">
        <v>45996.682974537034</v>
      </c>
      <c r="J357" s="25" t="s">
        <v>7104</v>
      </c>
      <c r="K357" s="25" t="s">
        <v>32</v>
      </c>
    </row>
    <row r="358" spans="3:11" x14ac:dyDescent="0.25">
      <c r="C358" s="25">
        <v>23590750</v>
      </c>
      <c r="D358" s="26">
        <v>45975.606458333335</v>
      </c>
      <c r="E358" s="25" t="s">
        <v>44</v>
      </c>
      <c r="F358" s="25" t="s">
        <v>45</v>
      </c>
      <c r="G358" s="25" t="s">
        <v>72</v>
      </c>
      <c r="H358" s="25" t="s">
        <v>31</v>
      </c>
      <c r="I358" s="26">
        <v>45993.606458333335</v>
      </c>
      <c r="J358" s="25" t="s">
        <v>7106</v>
      </c>
      <c r="K358" s="25" t="s">
        <v>49</v>
      </c>
    </row>
    <row r="359" spans="3:11" x14ac:dyDescent="0.25">
      <c r="C359" s="25">
        <v>23590826</v>
      </c>
      <c r="D359" s="26">
        <v>45975.641296296293</v>
      </c>
      <c r="E359" s="25" t="s">
        <v>57</v>
      </c>
      <c r="F359" s="25" t="s">
        <v>58</v>
      </c>
      <c r="G359" s="25" t="s">
        <v>40</v>
      </c>
      <c r="H359" s="25" t="s">
        <v>38</v>
      </c>
      <c r="I359" s="26">
        <v>45988.641296296293</v>
      </c>
      <c r="J359" s="25" t="s">
        <v>47</v>
      </c>
      <c r="K359" s="25" t="s">
        <v>47</v>
      </c>
    </row>
    <row r="360" spans="3:11" x14ac:dyDescent="0.25">
      <c r="C360" s="25">
        <v>23590847</v>
      </c>
      <c r="D360" s="26">
        <v>45981.653854166667</v>
      </c>
      <c r="E360" s="25" t="s">
        <v>44</v>
      </c>
      <c r="F360" s="25" t="s">
        <v>45</v>
      </c>
      <c r="G360" s="25" t="s">
        <v>68</v>
      </c>
      <c r="H360" s="25" t="s">
        <v>38</v>
      </c>
      <c r="I360" s="26">
        <v>46002.653854166667</v>
      </c>
      <c r="J360" s="25" t="s">
        <v>7108</v>
      </c>
      <c r="K360" s="25" t="s">
        <v>32</v>
      </c>
    </row>
    <row r="361" spans="3:11" x14ac:dyDescent="0.25">
      <c r="C361" s="25">
        <v>23590914</v>
      </c>
      <c r="D361" s="26">
        <v>45986.371018518519</v>
      </c>
      <c r="E361" s="25" t="s">
        <v>27</v>
      </c>
      <c r="F361" s="25" t="s">
        <v>28</v>
      </c>
      <c r="G361" s="25" t="s">
        <v>29</v>
      </c>
      <c r="H361" s="25" t="s">
        <v>31</v>
      </c>
      <c r="I361" s="26">
        <v>45995.371018518519</v>
      </c>
      <c r="J361" s="25" t="s">
        <v>2573</v>
      </c>
      <c r="K361" s="25" t="s">
        <v>32</v>
      </c>
    </row>
    <row r="362" spans="3:11" x14ac:dyDescent="0.25">
      <c r="C362" s="25">
        <v>23591823</v>
      </c>
      <c r="D362" s="26">
        <v>45987.485821759263</v>
      </c>
      <c r="E362" s="25" t="s">
        <v>44</v>
      </c>
      <c r="F362" s="25" t="s">
        <v>45</v>
      </c>
      <c r="G362" s="25" t="s">
        <v>62</v>
      </c>
      <c r="H362" s="25" t="s">
        <v>31</v>
      </c>
      <c r="I362" s="26">
        <v>45993.485821759263</v>
      </c>
      <c r="J362" s="25" t="s">
        <v>7109</v>
      </c>
      <c r="K362" s="25" t="s">
        <v>49</v>
      </c>
    </row>
    <row r="363" spans="3:11" x14ac:dyDescent="0.25">
      <c r="C363" s="25">
        <v>23591926</v>
      </c>
      <c r="D363" s="26">
        <v>45979.355069444442</v>
      </c>
      <c r="E363" s="25" t="s">
        <v>27</v>
      </c>
      <c r="F363" s="25" t="s">
        <v>28</v>
      </c>
      <c r="G363" s="25" t="s">
        <v>29</v>
      </c>
      <c r="H363" s="25" t="s">
        <v>31</v>
      </c>
      <c r="I363" s="26">
        <v>45988.355069444442</v>
      </c>
      <c r="J363" s="25" t="s">
        <v>47</v>
      </c>
      <c r="K363" s="25" t="s">
        <v>47</v>
      </c>
    </row>
    <row r="364" spans="3:11" x14ac:dyDescent="0.25">
      <c r="C364" s="25">
        <v>23591991</v>
      </c>
      <c r="D364" s="26">
        <v>45990.612523148149</v>
      </c>
      <c r="E364" s="25" t="s">
        <v>27</v>
      </c>
      <c r="F364" s="25" t="s">
        <v>28</v>
      </c>
      <c r="G364" s="25" t="s">
        <v>29</v>
      </c>
      <c r="H364" s="25" t="s">
        <v>31</v>
      </c>
      <c r="I364" s="26">
        <v>46001.612523148149</v>
      </c>
      <c r="J364" s="25" t="s">
        <v>7119</v>
      </c>
      <c r="K364" s="25" t="s">
        <v>32</v>
      </c>
    </row>
    <row r="365" spans="3:11" x14ac:dyDescent="0.25">
      <c r="C365" s="25">
        <v>23592065</v>
      </c>
      <c r="D365" s="26">
        <v>45979.387870370374</v>
      </c>
      <c r="E365" s="25" t="s">
        <v>57</v>
      </c>
      <c r="F365" s="25" t="s">
        <v>58</v>
      </c>
      <c r="G365" s="25" t="s">
        <v>40</v>
      </c>
      <c r="H365" s="25" t="s">
        <v>38</v>
      </c>
      <c r="I365" s="26">
        <v>45989.387870370374</v>
      </c>
      <c r="J365" s="25" t="s">
        <v>47</v>
      </c>
      <c r="K365" s="25" t="s">
        <v>47</v>
      </c>
    </row>
    <row r="366" spans="3:11" x14ac:dyDescent="0.25">
      <c r="C366" s="25">
        <v>23592201</v>
      </c>
      <c r="D366" s="26">
        <v>45979.394953703704</v>
      </c>
      <c r="E366" s="25" t="s">
        <v>27</v>
      </c>
      <c r="F366" s="25" t="s">
        <v>28</v>
      </c>
      <c r="G366" s="25" t="s">
        <v>29</v>
      </c>
      <c r="H366" s="25" t="s">
        <v>31</v>
      </c>
      <c r="I366" s="26">
        <v>45988.394953703704</v>
      </c>
      <c r="J366" s="25" t="s">
        <v>47</v>
      </c>
      <c r="K366" s="25" t="s">
        <v>47</v>
      </c>
    </row>
    <row r="367" spans="3:11" x14ac:dyDescent="0.25">
      <c r="C367" s="25">
        <v>23592207</v>
      </c>
      <c r="D367" s="26">
        <v>45979.397152777776</v>
      </c>
      <c r="E367" s="25" t="s">
        <v>27</v>
      </c>
      <c r="F367" s="25" t="s">
        <v>28</v>
      </c>
      <c r="G367" s="25" t="s">
        <v>29</v>
      </c>
      <c r="H367" s="25" t="s">
        <v>31</v>
      </c>
      <c r="I367" s="26">
        <v>45988.397152777776</v>
      </c>
      <c r="J367" s="25" t="s">
        <v>47</v>
      </c>
      <c r="K367" s="25" t="s">
        <v>47</v>
      </c>
    </row>
    <row r="368" spans="3:11" x14ac:dyDescent="0.25">
      <c r="C368" s="25">
        <v>23592214</v>
      </c>
      <c r="D368" s="26">
        <v>45979.398657407408</v>
      </c>
      <c r="E368" s="25" t="s">
        <v>27</v>
      </c>
      <c r="F368" s="25" t="s">
        <v>28</v>
      </c>
      <c r="G368" s="25" t="s">
        <v>29</v>
      </c>
      <c r="H368" s="25" t="s">
        <v>31</v>
      </c>
      <c r="I368" s="26">
        <v>45988.398657407408</v>
      </c>
      <c r="J368" s="25" t="s">
        <v>47</v>
      </c>
      <c r="K368" s="25" t="s">
        <v>47</v>
      </c>
    </row>
    <row r="369" spans="3:11" x14ac:dyDescent="0.25">
      <c r="C369" s="25">
        <v>23592225</v>
      </c>
      <c r="D369" s="26">
        <v>45979.400034722225</v>
      </c>
      <c r="E369" s="25" t="s">
        <v>27</v>
      </c>
      <c r="F369" s="25" t="s">
        <v>28</v>
      </c>
      <c r="G369" s="25" t="s">
        <v>29</v>
      </c>
      <c r="H369" s="25" t="s">
        <v>31</v>
      </c>
      <c r="I369" s="26">
        <v>45988.400034722225</v>
      </c>
      <c r="J369" s="25" t="s">
        <v>47</v>
      </c>
      <c r="K369" s="25" t="s">
        <v>47</v>
      </c>
    </row>
    <row r="370" spans="3:11" x14ac:dyDescent="0.25">
      <c r="C370" s="25">
        <v>23592245</v>
      </c>
      <c r="D370" s="26">
        <v>45979.407581018517</v>
      </c>
      <c r="E370" s="25" t="s">
        <v>27</v>
      </c>
      <c r="F370" s="25" t="s">
        <v>28</v>
      </c>
      <c r="G370" s="25" t="s">
        <v>29</v>
      </c>
      <c r="H370" s="25" t="s">
        <v>31</v>
      </c>
      <c r="I370" s="26">
        <v>45988.407581018517</v>
      </c>
      <c r="J370" s="25" t="s">
        <v>47</v>
      </c>
      <c r="K370" s="25" t="s">
        <v>47</v>
      </c>
    </row>
    <row r="371" spans="3:11" x14ac:dyDescent="0.25">
      <c r="C371" s="25">
        <v>23592246</v>
      </c>
      <c r="D371" s="26">
        <v>45979.408009259256</v>
      </c>
      <c r="E371" s="25" t="s">
        <v>27</v>
      </c>
      <c r="F371" s="25" t="s">
        <v>28</v>
      </c>
      <c r="G371" s="25" t="s">
        <v>29</v>
      </c>
      <c r="H371" s="25" t="s">
        <v>31</v>
      </c>
      <c r="I371" s="26">
        <v>45988.408009259256</v>
      </c>
      <c r="J371" s="25" t="s">
        <v>47</v>
      </c>
      <c r="K371" s="25" t="s">
        <v>47</v>
      </c>
    </row>
    <row r="372" spans="3:11" x14ac:dyDescent="0.25">
      <c r="C372" s="25">
        <v>23592291</v>
      </c>
      <c r="D372" s="26">
        <v>45979.425902777781</v>
      </c>
      <c r="E372" s="25" t="s">
        <v>57</v>
      </c>
      <c r="F372" s="25" t="s">
        <v>58</v>
      </c>
      <c r="G372" s="25" t="s">
        <v>40</v>
      </c>
      <c r="H372" s="25" t="s">
        <v>38</v>
      </c>
      <c r="I372" s="26">
        <v>45989.425902777781</v>
      </c>
      <c r="J372" s="25" t="s">
        <v>47</v>
      </c>
      <c r="K372" s="25" t="s">
        <v>47</v>
      </c>
    </row>
    <row r="373" spans="3:11" x14ac:dyDescent="0.25">
      <c r="C373" s="25">
        <v>23592324</v>
      </c>
      <c r="D373" s="26">
        <v>45979.434039351851</v>
      </c>
      <c r="E373" s="25" t="s">
        <v>57</v>
      </c>
      <c r="F373" s="25" t="s">
        <v>58</v>
      </c>
      <c r="G373" s="25" t="s">
        <v>40</v>
      </c>
      <c r="H373" s="25" t="s">
        <v>38</v>
      </c>
      <c r="I373" s="26">
        <v>45989.434039351851</v>
      </c>
      <c r="J373" s="25" t="s">
        <v>47</v>
      </c>
      <c r="K373" s="25" t="s">
        <v>47</v>
      </c>
    </row>
    <row r="374" spans="3:11" x14ac:dyDescent="0.25">
      <c r="C374" s="25">
        <v>23592382</v>
      </c>
      <c r="D374" s="26">
        <v>45986.37699074074</v>
      </c>
      <c r="E374" s="25" t="s">
        <v>27</v>
      </c>
      <c r="F374" s="25" t="s">
        <v>28</v>
      </c>
      <c r="G374" s="25" t="s">
        <v>29</v>
      </c>
      <c r="H374" s="25" t="s">
        <v>38</v>
      </c>
      <c r="I374" s="26">
        <v>46001.37699074074</v>
      </c>
      <c r="J374" s="25" t="s">
        <v>2242</v>
      </c>
      <c r="K374" s="25" t="s">
        <v>32</v>
      </c>
    </row>
    <row r="375" spans="3:11" x14ac:dyDescent="0.25">
      <c r="C375" s="25">
        <v>23592383</v>
      </c>
      <c r="D375" s="26">
        <v>45989.357245370367</v>
      </c>
      <c r="E375" s="25" t="s">
        <v>48</v>
      </c>
      <c r="F375" s="25" t="s">
        <v>64</v>
      </c>
      <c r="G375" s="25" t="s">
        <v>29</v>
      </c>
      <c r="H375" s="25" t="s">
        <v>31</v>
      </c>
      <c r="I375" s="26">
        <v>46001.357245370367</v>
      </c>
      <c r="J375" s="25" t="s">
        <v>7134</v>
      </c>
      <c r="K375" s="25" t="s">
        <v>32</v>
      </c>
    </row>
    <row r="376" spans="3:11" x14ac:dyDescent="0.25">
      <c r="C376" s="25">
        <v>23592517</v>
      </c>
      <c r="D376" s="26">
        <v>45988.749791666669</v>
      </c>
      <c r="E376" s="25" t="s">
        <v>27</v>
      </c>
      <c r="F376" s="25" t="s">
        <v>28</v>
      </c>
      <c r="G376" s="25" t="s">
        <v>40</v>
      </c>
      <c r="H376" s="25" t="s">
        <v>31</v>
      </c>
      <c r="I376" s="26">
        <v>45995.749791666669</v>
      </c>
      <c r="J376" s="25" t="s">
        <v>7143</v>
      </c>
      <c r="K376" s="25" t="s">
        <v>32</v>
      </c>
    </row>
    <row r="377" spans="3:11" x14ac:dyDescent="0.25">
      <c r="C377" s="25">
        <v>23592849</v>
      </c>
      <c r="D377" s="26">
        <v>45988.402280092596</v>
      </c>
      <c r="E377" s="25" t="s">
        <v>27</v>
      </c>
      <c r="F377" s="25" t="s">
        <v>28</v>
      </c>
      <c r="G377" s="25" t="s">
        <v>40</v>
      </c>
      <c r="H377" s="25" t="s">
        <v>31</v>
      </c>
      <c r="I377" s="26">
        <v>45995.402280092596</v>
      </c>
      <c r="J377" s="25" t="s">
        <v>7145</v>
      </c>
      <c r="K377" s="25" t="s">
        <v>32</v>
      </c>
    </row>
    <row r="378" spans="3:11" x14ac:dyDescent="0.25">
      <c r="C378" s="25">
        <v>23593305</v>
      </c>
      <c r="D378" s="26">
        <v>45980.363900462966</v>
      </c>
      <c r="E378" s="25" t="s">
        <v>27</v>
      </c>
      <c r="F378" s="25" t="s">
        <v>28</v>
      </c>
      <c r="G378" s="25" t="s">
        <v>29</v>
      </c>
      <c r="H378" s="25" t="s">
        <v>38</v>
      </c>
      <c r="I378" s="26">
        <v>45994.363900462966</v>
      </c>
      <c r="J378" s="25" t="s">
        <v>7147</v>
      </c>
      <c r="K378" s="25" t="s">
        <v>49</v>
      </c>
    </row>
    <row r="379" spans="3:11" x14ac:dyDescent="0.25">
      <c r="C379" s="25">
        <v>23593447</v>
      </c>
      <c r="D379" s="26">
        <v>45980.425462962965</v>
      </c>
      <c r="E379" s="25" t="s">
        <v>57</v>
      </c>
      <c r="F379" s="25" t="s">
        <v>58</v>
      </c>
      <c r="G379" s="25" t="s">
        <v>40</v>
      </c>
      <c r="H379" s="25" t="s">
        <v>38</v>
      </c>
      <c r="I379" s="26">
        <v>45992.425462962965</v>
      </c>
      <c r="J379" s="25" t="s">
        <v>47</v>
      </c>
      <c r="K379" s="25" t="s">
        <v>47</v>
      </c>
    </row>
    <row r="380" spans="3:11" x14ac:dyDescent="0.25">
      <c r="C380" s="25">
        <v>23593830</v>
      </c>
      <c r="D380" s="26">
        <v>45980.55395833333</v>
      </c>
      <c r="E380" s="25" t="s">
        <v>27</v>
      </c>
      <c r="F380" s="25" t="s">
        <v>28</v>
      </c>
      <c r="G380" s="25" t="s">
        <v>40</v>
      </c>
      <c r="H380" s="25" t="s">
        <v>38</v>
      </c>
      <c r="I380" s="26">
        <v>45992.55395833333</v>
      </c>
      <c r="J380" s="25" t="s">
        <v>7150</v>
      </c>
      <c r="K380" s="25" t="s">
        <v>131</v>
      </c>
    </row>
    <row r="381" spans="3:11" x14ac:dyDescent="0.25">
      <c r="C381" s="25">
        <v>23593835</v>
      </c>
      <c r="D381" s="26">
        <v>45988.515879629631</v>
      </c>
      <c r="E381" s="25" t="s">
        <v>27</v>
      </c>
      <c r="F381" s="25" t="s">
        <v>28</v>
      </c>
      <c r="G381" s="25" t="s">
        <v>40</v>
      </c>
      <c r="H381" s="25" t="s">
        <v>31</v>
      </c>
      <c r="I381" s="26">
        <v>45995.515879629631</v>
      </c>
      <c r="J381" s="25" t="s">
        <v>4712</v>
      </c>
      <c r="K381" s="25" t="s">
        <v>32</v>
      </c>
    </row>
    <row r="382" spans="3:11" x14ac:dyDescent="0.25">
      <c r="C382" s="25">
        <v>23593880</v>
      </c>
      <c r="D382" s="26">
        <v>45980.575821759259</v>
      </c>
      <c r="E382" s="25" t="s">
        <v>57</v>
      </c>
      <c r="F382" s="25" t="s">
        <v>58</v>
      </c>
      <c r="G382" s="25" t="s">
        <v>40</v>
      </c>
      <c r="H382" s="25" t="s">
        <v>38</v>
      </c>
      <c r="I382" s="26">
        <v>45992.575821759259</v>
      </c>
      <c r="J382" s="25" t="s">
        <v>7152</v>
      </c>
      <c r="K382" s="25" t="s">
        <v>131</v>
      </c>
    </row>
    <row r="383" spans="3:11" x14ac:dyDescent="0.25">
      <c r="C383" s="25">
        <v>23593888</v>
      </c>
      <c r="D383" s="26">
        <v>45980.579212962963</v>
      </c>
      <c r="E383" s="25" t="s">
        <v>27</v>
      </c>
      <c r="F383" s="25" t="s">
        <v>28</v>
      </c>
      <c r="G383" s="25" t="s">
        <v>80</v>
      </c>
      <c r="H383" s="25" t="s">
        <v>31</v>
      </c>
      <c r="I383" s="26">
        <v>45995.579212962963</v>
      </c>
      <c r="J383" s="25" t="s">
        <v>7154</v>
      </c>
      <c r="K383" s="25" t="s">
        <v>32</v>
      </c>
    </row>
    <row r="384" spans="3:11" x14ac:dyDescent="0.25">
      <c r="C384" s="25">
        <v>23593926</v>
      </c>
      <c r="D384" s="26">
        <v>45980.592986111114</v>
      </c>
      <c r="E384" s="25" t="s">
        <v>44</v>
      </c>
      <c r="F384" s="25" t="s">
        <v>45</v>
      </c>
      <c r="G384" s="25" t="s">
        <v>40</v>
      </c>
      <c r="H384" s="25" t="s">
        <v>38</v>
      </c>
      <c r="I384" s="26">
        <v>45992.592986111114</v>
      </c>
      <c r="J384" s="25" t="s">
        <v>7156</v>
      </c>
      <c r="K384" s="25" t="s">
        <v>131</v>
      </c>
    </row>
    <row r="385" spans="3:11" x14ac:dyDescent="0.25">
      <c r="C385" s="25">
        <v>23594031</v>
      </c>
      <c r="D385" s="26">
        <v>45980.63753472222</v>
      </c>
      <c r="E385" s="25" t="s">
        <v>57</v>
      </c>
      <c r="F385" s="25" t="s">
        <v>58</v>
      </c>
      <c r="G385" s="25" t="s">
        <v>40</v>
      </c>
      <c r="H385" s="25" t="s">
        <v>38</v>
      </c>
      <c r="I385" s="26">
        <v>45992.63753472222</v>
      </c>
      <c r="J385" s="25" t="s">
        <v>7158</v>
      </c>
      <c r="K385" s="25" t="s">
        <v>131</v>
      </c>
    </row>
    <row r="386" spans="3:11" x14ac:dyDescent="0.25">
      <c r="C386" s="25">
        <v>23594051</v>
      </c>
      <c r="D386" s="26">
        <v>45980.640810185185</v>
      </c>
      <c r="E386" s="25" t="s">
        <v>27</v>
      </c>
      <c r="F386" s="25" t="s">
        <v>28</v>
      </c>
      <c r="G386" s="25" t="s">
        <v>29</v>
      </c>
      <c r="H386" s="25" t="s">
        <v>31</v>
      </c>
      <c r="I386" s="26">
        <v>45989.640810185185</v>
      </c>
      <c r="J386" s="25" t="s">
        <v>47</v>
      </c>
      <c r="K386" s="25" t="s">
        <v>47</v>
      </c>
    </row>
    <row r="387" spans="3:11" x14ac:dyDescent="0.25">
      <c r="C387" s="25">
        <v>23594085</v>
      </c>
      <c r="D387" s="26">
        <v>45980.652662037035</v>
      </c>
      <c r="E387" s="25" t="s">
        <v>27</v>
      </c>
      <c r="F387" s="25" t="s">
        <v>28</v>
      </c>
      <c r="G387" s="25" t="s">
        <v>68</v>
      </c>
      <c r="H387" s="25" t="s">
        <v>31</v>
      </c>
      <c r="I387" s="26">
        <v>45993.652662037035</v>
      </c>
      <c r="J387" s="25" t="s">
        <v>7161</v>
      </c>
      <c r="K387" s="25" t="s">
        <v>49</v>
      </c>
    </row>
    <row r="388" spans="3:11" x14ac:dyDescent="0.25">
      <c r="C388" s="25">
        <v>23594102</v>
      </c>
      <c r="D388" s="26">
        <v>45980.65662037037</v>
      </c>
      <c r="E388" s="25" t="s">
        <v>27</v>
      </c>
      <c r="F388" s="25" t="s">
        <v>28</v>
      </c>
      <c r="G388" s="25" t="s">
        <v>29</v>
      </c>
      <c r="H388" s="25" t="s">
        <v>31</v>
      </c>
      <c r="I388" s="26">
        <v>45989.65662037037</v>
      </c>
      <c r="J388" s="25" t="s">
        <v>47</v>
      </c>
      <c r="K388" s="25" t="s">
        <v>47</v>
      </c>
    </row>
    <row r="389" spans="3:11" x14ac:dyDescent="0.25">
      <c r="C389" s="25">
        <v>23594200</v>
      </c>
      <c r="D389" s="26">
        <v>45980.690405092595</v>
      </c>
      <c r="E389" s="25" t="s">
        <v>27</v>
      </c>
      <c r="F389" s="25" t="s">
        <v>28</v>
      </c>
      <c r="G389" s="25" t="s">
        <v>68</v>
      </c>
      <c r="H389" s="25" t="s">
        <v>38</v>
      </c>
      <c r="I389" s="26">
        <v>46001.690405092595</v>
      </c>
      <c r="J389" s="25" t="s">
        <v>1244</v>
      </c>
      <c r="K389" s="25" t="s">
        <v>32</v>
      </c>
    </row>
    <row r="390" spans="3:11" x14ac:dyDescent="0.25">
      <c r="C390" s="25">
        <v>23594211</v>
      </c>
      <c r="D390" s="26">
        <v>45986.365868055553</v>
      </c>
      <c r="E390" s="25" t="s">
        <v>27</v>
      </c>
      <c r="F390" s="25" t="s">
        <v>28</v>
      </c>
      <c r="G390" s="25" t="s">
        <v>40</v>
      </c>
      <c r="H390" s="25" t="s">
        <v>31</v>
      </c>
      <c r="I390" s="26">
        <v>45993.365868055553</v>
      </c>
      <c r="J390" s="25" t="s">
        <v>3646</v>
      </c>
      <c r="K390" s="25" t="s">
        <v>49</v>
      </c>
    </row>
    <row r="391" spans="3:11" x14ac:dyDescent="0.25">
      <c r="C391" s="25">
        <v>23594291</v>
      </c>
      <c r="D391" s="26">
        <v>45987.630509259259</v>
      </c>
      <c r="E391" s="25" t="s">
        <v>48</v>
      </c>
      <c r="F391" s="25" t="s">
        <v>64</v>
      </c>
      <c r="G391" s="25" t="s">
        <v>29</v>
      </c>
      <c r="H391" s="25" t="s">
        <v>38</v>
      </c>
      <c r="I391" s="26">
        <v>46002.630509259259</v>
      </c>
      <c r="J391" s="25" t="s">
        <v>7166</v>
      </c>
      <c r="K391" s="25" t="s">
        <v>32</v>
      </c>
    </row>
    <row r="392" spans="3:11" x14ac:dyDescent="0.25">
      <c r="C392" s="25">
        <v>23594914</v>
      </c>
      <c r="D392" s="26">
        <v>45981.363935185182</v>
      </c>
      <c r="E392" s="25" t="s">
        <v>44</v>
      </c>
      <c r="F392" s="25" t="s">
        <v>45</v>
      </c>
      <c r="G392" s="25" t="s">
        <v>72</v>
      </c>
      <c r="H392" s="25" t="s">
        <v>31</v>
      </c>
      <c r="I392" s="26">
        <v>45996.363935185182</v>
      </c>
      <c r="J392" s="25" t="s">
        <v>7167</v>
      </c>
      <c r="K392" s="25" t="s">
        <v>32</v>
      </c>
    </row>
    <row r="393" spans="3:11" x14ac:dyDescent="0.25">
      <c r="C393" s="25">
        <v>23594956</v>
      </c>
      <c r="D393" s="26">
        <v>45981.379143518519</v>
      </c>
      <c r="E393" s="25" t="s">
        <v>27</v>
      </c>
      <c r="F393" s="25" t="s">
        <v>28</v>
      </c>
      <c r="G393" s="25" t="s">
        <v>72</v>
      </c>
      <c r="H393" s="25" t="s">
        <v>31</v>
      </c>
      <c r="I393" s="26">
        <v>45996.379143518519</v>
      </c>
      <c r="J393" s="25" t="s">
        <v>7169</v>
      </c>
      <c r="K393" s="25" t="s">
        <v>32</v>
      </c>
    </row>
    <row r="394" spans="3:11" x14ac:dyDescent="0.25">
      <c r="C394" s="25">
        <v>23594987</v>
      </c>
      <c r="D394" s="26">
        <v>45981.398912037039</v>
      </c>
      <c r="E394" s="25" t="s">
        <v>44</v>
      </c>
      <c r="F394" s="25" t="s">
        <v>45</v>
      </c>
      <c r="G394" s="25" t="s">
        <v>29</v>
      </c>
      <c r="H394" s="25" t="s">
        <v>31</v>
      </c>
      <c r="I394" s="26">
        <v>45992.398912037039</v>
      </c>
      <c r="J394" s="25" t="s">
        <v>47</v>
      </c>
      <c r="K394" s="25" t="s">
        <v>47</v>
      </c>
    </row>
    <row r="395" spans="3:11" x14ac:dyDescent="0.25">
      <c r="C395" s="25">
        <v>23594991</v>
      </c>
      <c r="D395" s="26">
        <v>45981.400868055556</v>
      </c>
      <c r="E395" s="25" t="s">
        <v>27</v>
      </c>
      <c r="F395" s="25" t="s">
        <v>28</v>
      </c>
      <c r="G395" s="25" t="s">
        <v>68</v>
      </c>
      <c r="H395" s="25" t="s">
        <v>31</v>
      </c>
      <c r="I395" s="26">
        <v>45994.400868055556</v>
      </c>
      <c r="J395" s="25" t="s">
        <v>7172</v>
      </c>
      <c r="K395" s="25" t="s">
        <v>49</v>
      </c>
    </row>
    <row r="396" spans="3:11" x14ac:dyDescent="0.25">
      <c r="C396" s="25">
        <v>23595000</v>
      </c>
      <c r="D396" s="26">
        <v>45981.404247685183</v>
      </c>
      <c r="E396" s="25" t="s">
        <v>27</v>
      </c>
      <c r="F396" s="25" t="s">
        <v>28</v>
      </c>
      <c r="G396" s="25" t="s">
        <v>51</v>
      </c>
      <c r="H396" s="25" t="s">
        <v>31</v>
      </c>
      <c r="I396" s="26">
        <v>45996.404247685183</v>
      </c>
      <c r="J396" s="25" t="s">
        <v>1503</v>
      </c>
      <c r="K396" s="25" t="s">
        <v>32</v>
      </c>
    </row>
    <row r="397" spans="3:11" x14ac:dyDescent="0.25">
      <c r="C397" s="25">
        <v>23595053</v>
      </c>
      <c r="D397" s="26">
        <v>45988.413495370369</v>
      </c>
      <c r="E397" s="25" t="s">
        <v>27</v>
      </c>
      <c r="F397" s="25" t="s">
        <v>28</v>
      </c>
      <c r="G397" s="25" t="s">
        <v>40</v>
      </c>
      <c r="H397" s="25" t="s">
        <v>31</v>
      </c>
      <c r="I397" s="26">
        <v>45995.413495370369</v>
      </c>
      <c r="J397" s="25" t="s">
        <v>7174</v>
      </c>
      <c r="K397" s="25" t="s">
        <v>32</v>
      </c>
    </row>
    <row r="398" spans="3:11" x14ac:dyDescent="0.25">
      <c r="C398" s="25">
        <v>23595177</v>
      </c>
      <c r="D398" s="26">
        <v>45989.365706018521</v>
      </c>
      <c r="E398" s="25" t="s">
        <v>59</v>
      </c>
      <c r="F398" s="25" t="s">
        <v>60</v>
      </c>
      <c r="G398" s="25" t="s">
        <v>46</v>
      </c>
      <c r="H398" s="25" t="s">
        <v>38</v>
      </c>
      <c r="I398" s="26">
        <v>46002.365706018521</v>
      </c>
      <c r="J398" s="25" t="s">
        <v>7182</v>
      </c>
      <c r="K398" s="25" t="s">
        <v>32</v>
      </c>
    </row>
    <row r="399" spans="3:11" x14ac:dyDescent="0.25">
      <c r="C399" s="25">
        <v>23595243</v>
      </c>
      <c r="D399" s="26">
        <v>45981.490648148145</v>
      </c>
      <c r="E399" s="25" t="s">
        <v>27</v>
      </c>
      <c r="F399" s="25" t="s">
        <v>28</v>
      </c>
      <c r="G399" s="25" t="s">
        <v>68</v>
      </c>
      <c r="H399" s="25" t="s">
        <v>31</v>
      </c>
      <c r="I399" s="26">
        <v>45994.490648148145</v>
      </c>
      <c r="J399" s="25" t="s">
        <v>7184</v>
      </c>
      <c r="K399" s="25" t="s">
        <v>49</v>
      </c>
    </row>
    <row r="400" spans="3:11" x14ac:dyDescent="0.25">
      <c r="C400" s="25">
        <v>23595250</v>
      </c>
      <c r="D400" s="26">
        <v>45981.492685185185</v>
      </c>
      <c r="E400" s="25" t="s">
        <v>57</v>
      </c>
      <c r="F400" s="25" t="s">
        <v>58</v>
      </c>
      <c r="G400" s="25" t="s">
        <v>40</v>
      </c>
      <c r="H400" s="25" t="s">
        <v>38</v>
      </c>
      <c r="I400" s="26">
        <v>45993.492685185185</v>
      </c>
      <c r="J400" s="25" t="s">
        <v>7185</v>
      </c>
      <c r="K400" s="25" t="s">
        <v>49</v>
      </c>
    </row>
    <row r="401" spans="3:11" x14ac:dyDescent="0.25">
      <c r="C401" s="25">
        <v>23595347</v>
      </c>
      <c r="D401" s="26">
        <v>45981.553194444445</v>
      </c>
      <c r="E401" s="25" t="s">
        <v>27</v>
      </c>
      <c r="F401" s="25" t="s">
        <v>28</v>
      </c>
      <c r="G401" s="25" t="s">
        <v>62</v>
      </c>
      <c r="H401" s="25" t="s">
        <v>31</v>
      </c>
      <c r="I401" s="26">
        <v>45987.553194444445</v>
      </c>
      <c r="J401" s="25" t="s">
        <v>47</v>
      </c>
      <c r="K401" s="25" t="s">
        <v>47</v>
      </c>
    </row>
    <row r="402" spans="3:11" x14ac:dyDescent="0.25">
      <c r="C402" s="25">
        <v>23595360</v>
      </c>
      <c r="D402" s="26">
        <v>45981.559583333335</v>
      </c>
      <c r="E402" s="25" t="s">
        <v>27</v>
      </c>
      <c r="F402" s="25" t="s">
        <v>28</v>
      </c>
      <c r="G402" s="25" t="s">
        <v>29</v>
      </c>
      <c r="H402" s="25" t="s">
        <v>31</v>
      </c>
      <c r="I402" s="26">
        <v>45992.559583333335</v>
      </c>
      <c r="J402" s="25" t="s">
        <v>7187</v>
      </c>
      <c r="K402" s="25" t="s">
        <v>131</v>
      </c>
    </row>
    <row r="403" spans="3:11" x14ac:dyDescent="0.25">
      <c r="C403" s="25">
        <v>23595554</v>
      </c>
      <c r="D403" s="26">
        <v>45981.627754629626</v>
      </c>
      <c r="E403" s="25" t="s">
        <v>27</v>
      </c>
      <c r="F403" s="25" t="s">
        <v>28</v>
      </c>
      <c r="G403" s="25" t="s">
        <v>68</v>
      </c>
      <c r="H403" s="25" t="s">
        <v>38</v>
      </c>
      <c r="I403" s="26">
        <v>46002.627754629626</v>
      </c>
      <c r="J403" s="25" t="s">
        <v>7188</v>
      </c>
      <c r="K403" s="25" t="s">
        <v>32</v>
      </c>
    </row>
    <row r="404" spans="3:11" x14ac:dyDescent="0.25">
      <c r="C404" s="25">
        <v>23595571</v>
      </c>
      <c r="D404" s="26">
        <v>45981.635254629633</v>
      </c>
      <c r="E404" s="25" t="s">
        <v>27</v>
      </c>
      <c r="F404" s="25" t="s">
        <v>28</v>
      </c>
      <c r="G404" s="25" t="s">
        <v>72</v>
      </c>
      <c r="H404" s="25" t="s">
        <v>31</v>
      </c>
      <c r="I404" s="26">
        <v>45996.635254629633</v>
      </c>
      <c r="J404" s="25" t="s">
        <v>7190</v>
      </c>
      <c r="K404" s="25" t="s">
        <v>32</v>
      </c>
    </row>
    <row r="405" spans="3:11" x14ac:dyDescent="0.25">
      <c r="C405" s="25">
        <v>23595614</v>
      </c>
      <c r="D405" s="26">
        <v>45981.648796296293</v>
      </c>
      <c r="E405" s="25" t="s">
        <v>27</v>
      </c>
      <c r="F405" s="25" t="s">
        <v>28</v>
      </c>
      <c r="G405" s="25" t="s">
        <v>80</v>
      </c>
      <c r="H405" s="25" t="s">
        <v>31</v>
      </c>
      <c r="I405" s="26">
        <v>45996.648796296293</v>
      </c>
      <c r="J405" s="25" t="s">
        <v>7192</v>
      </c>
      <c r="K405" s="25" t="s">
        <v>32</v>
      </c>
    </row>
    <row r="406" spans="3:11" x14ac:dyDescent="0.25">
      <c r="C406" s="25">
        <v>23595655</v>
      </c>
      <c r="D406" s="26">
        <v>45981.660277777781</v>
      </c>
      <c r="E406" s="25" t="s">
        <v>27</v>
      </c>
      <c r="F406" s="25" t="s">
        <v>28</v>
      </c>
      <c r="G406" s="25" t="s">
        <v>72</v>
      </c>
      <c r="H406" s="25" t="s">
        <v>31</v>
      </c>
      <c r="I406" s="26">
        <v>45996.660277777781</v>
      </c>
      <c r="J406" s="25" t="s">
        <v>3538</v>
      </c>
      <c r="K406" s="25" t="s">
        <v>32</v>
      </c>
    </row>
    <row r="407" spans="3:11" x14ac:dyDescent="0.25">
      <c r="C407" s="25">
        <v>23595670</v>
      </c>
      <c r="D407" s="26">
        <v>45986.516134259262</v>
      </c>
      <c r="E407" s="25" t="s">
        <v>27</v>
      </c>
      <c r="F407" s="25" t="s">
        <v>28</v>
      </c>
      <c r="G407" s="25" t="s">
        <v>40</v>
      </c>
      <c r="H407" s="25" t="s">
        <v>38</v>
      </c>
      <c r="I407" s="26">
        <v>45996.516134259262</v>
      </c>
      <c r="J407" s="25" t="s">
        <v>7194</v>
      </c>
      <c r="K407" s="25" t="s">
        <v>32</v>
      </c>
    </row>
    <row r="408" spans="3:11" x14ac:dyDescent="0.25">
      <c r="C408" s="25">
        <v>23595782</v>
      </c>
      <c r="D408" s="26">
        <v>45990.612314814818</v>
      </c>
      <c r="E408" s="25" t="s">
        <v>27</v>
      </c>
      <c r="F408" s="25" t="s">
        <v>28</v>
      </c>
      <c r="G408" s="25" t="s">
        <v>29</v>
      </c>
      <c r="H408" s="25" t="s">
        <v>31</v>
      </c>
      <c r="I408" s="26">
        <v>46001.612314814818</v>
      </c>
      <c r="J408" s="25" t="s">
        <v>7201</v>
      </c>
      <c r="K408" s="25" t="s">
        <v>32</v>
      </c>
    </row>
    <row r="409" spans="3:11" x14ac:dyDescent="0.25">
      <c r="C409" s="25">
        <v>23596263</v>
      </c>
      <c r="D409" s="26">
        <v>45982.338819444441</v>
      </c>
      <c r="E409" s="25" t="s">
        <v>44</v>
      </c>
      <c r="F409" s="25" t="s">
        <v>45</v>
      </c>
      <c r="G409" s="25" t="s">
        <v>68</v>
      </c>
      <c r="H409" s="25" t="s">
        <v>38</v>
      </c>
      <c r="I409" s="26">
        <v>46003.338819444441</v>
      </c>
      <c r="J409" s="25" t="s">
        <v>7203</v>
      </c>
      <c r="K409" s="25" t="s">
        <v>32</v>
      </c>
    </row>
    <row r="410" spans="3:11" x14ac:dyDescent="0.25">
      <c r="C410" s="25">
        <v>23596269</v>
      </c>
      <c r="D410" s="26">
        <v>45982.341539351852</v>
      </c>
      <c r="E410" s="25" t="s">
        <v>27</v>
      </c>
      <c r="F410" s="25" t="s">
        <v>28</v>
      </c>
      <c r="G410" s="25" t="s">
        <v>68</v>
      </c>
      <c r="H410" s="25" t="s">
        <v>31</v>
      </c>
      <c r="I410" s="26">
        <v>45995.341539351852</v>
      </c>
      <c r="J410" s="25" t="s">
        <v>7205</v>
      </c>
      <c r="K410" s="25" t="s">
        <v>32</v>
      </c>
    </row>
    <row r="411" spans="3:11" x14ac:dyDescent="0.25">
      <c r="C411" s="25">
        <v>23596283</v>
      </c>
      <c r="D411" s="26">
        <v>45982.347210648149</v>
      </c>
      <c r="E411" s="25" t="s">
        <v>27</v>
      </c>
      <c r="F411" s="25" t="s">
        <v>28</v>
      </c>
      <c r="G411" s="25" t="s">
        <v>68</v>
      </c>
      <c r="H411" s="25" t="s">
        <v>31</v>
      </c>
      <c r="I411" s="26">
        <v>45995.347210648149</v>
      </c>
      <c r="J411" s="25" t="s">
        <v>7207</v>
      </c>
      <c r="K411" s="25" t="s">
        <v>32</v>
      </c>
    </row>
    <row r="412" spans="3:11" x14ac:dyDescent="0.25">
      <c r="C412" s="25">
        <v>23596304</v>
      </c>
      <c r="D412" s="26">
        <v>45982.358495370368</v>
      </c>
      <c r="E412" s="25" t="s">
        <v>57</v>
      </c>
      <c r="F412" s="25" t="s">
        <v>58</v>
      </c>
      <c r="G412" s="25" t="s">
        <v>40</v>
      </c>
      <c r="H412" s="25" t="s">
        <v>38</v>
      </c>
      <c r="I412" s="26">
        <v>45994.358495370368</v>
      </c>
      <c r="J412" s="25" t="s">
        <v>7209</v>
      </c>
      <c r="K412" s="25" t="s">
        <v>49</v>
      </c>
    </row>
    <row r="413" spans="3:11" x14ac:dyDescent="0.25">
      <c r="C413" s="25">
        <v>23596333</v>
      </c>
      <c r="D413" s="26">
        <v>45988.267083333332</v>
      </c>
      <c r="E413" s="25" t="s">
        <v>27</v>
      </c>
      <c r="F413" s="25" t="s">
        <v>28</v>
      </c>
      <c r="G413" s="25" t="s">
        <v>46</v>
      </c>
      <c r="H413" s="25" t="s">
        <v>31</v>
      </c>
      <c r="I413" s="26">
        <v>45995.267083333332</v>
      </c>
      <c r="J413" s="25" t="s">
        <v>7211</v>
      </c>
      <c r="K413" s="25" t="s">
        <v>32</v>
      </c>
    </row>
    <row r="414" spans="3:11" x14ac:dyDescent="0.25">
      <c r="C414" s="25">
        <v>23596341</v>
      </c>
      <c r="D414" s="26">
        <v>45982.378159722219</v>
      </c>
      <c r="E414" s="25" t="s">
        <v>27</v>
      </c>
      <c r="F414" s="25" t="s">
        <v>28</v>
      </c>
      <c r="G414" s="25" t="s">
        <v>76</v>
      </c>
      <c r="H414" s="25" t="s">
        <v>31</v>
      </c>
      <c r="I414" s="26">
        <v>45993.378159722219</v>
      </c>
      <c r="J414" s="25" t="s">
        <v>7213</v>
      </c>
      <c r="K414" s="25" t="s">
        <v>49</v>
      </c>
    </row>
    <row r="415" spans="3:11" x14ac:dyDescent="0.25">
      <c r="C415" s="25">
        <v>23596355</v>
      </c>
      <c r="D415" s="26">
        <v>45982.387986111113</v>
      </c>
      <c r="E415" s="25" t="s">
        <v>27</v>
      </c>
      <c r="F415" s="25" t="s">
        <v>28</v>
      </c>
      <c r="G415" s="25" t="s">
        <v>29</v>
      </c>
      <c r="H415" s="25" t="s">
        <v>31</v>
      </c>
      <c r="I415" s="26">
        <v>45993.387986111113</v>
      </c>
      <c r="J415" s="25" t="s">
        <v>7215</v>
      </c>
      <c r="K415" s="25" t="s">
        <v>49</v>
      </c>
    </row>
    <row r="416" spans="3:11" x14ac:dyDescent="0.25">
      <c r="C416" s="25">
        <v>23596476</v>
      </c>
      <c r="D416" s="26">
        <v>45982.450902777775</v>
      </c>
      <c r="E416" s="25" t="s">
        <v>27</v>
      </c>
      <c r="F416" s="25" t="s">
        <v>28</v>
      </c>
      <c r="G416" s="25" t="s">
        <v>80</v>
      </c>
      <c r="H416" s="25" t="s">
        <v>31</v>
      </c>
      <c r="I416" s="26">
        <v>46000.450902777775</v>
      </c>
      <c r="J416" s="25" t="s">
        <v>2655</v>
      </c>
      <c r="K416" s="25" t="s">
        <v>32</v>
      </c>
    </row>
    <row r="417" spans="3:11" x14ac:dyDescent="0.25">
      <c r="C417" s="25">
        <v>23596488</v>
      </c>
      <c r="D417" s="26">
        <v>45982.455289351848</v>
      </c>
      <c r="E417" s="25" t="s">
        <v>27</v>
      </c>
      <c r="F417" s="25" t="s">
        <v>28</v>
      </c>
      <c r="G417" s="25" t="s">
        <v>72</v>
      </c>
      <c r="H417" s="25" t="s">
        <v>31</v>
      </c>
      <c r="I417" s="26">
        <v>46000.455289351848</v>
      </c>
      <c r="J417" s="25" t="s">
        <v>2657</v>
      </c>
      <c r="K417" s="25" t="s">
        <v>32</v>
      </c>
    </row>
    <row r="418" spans="3:11" x14ac:dyDescent="0.25">
      <c r="C418" s="25">
        <v>23596514</v>
      </c>
      <c r="D418" s="26">
        <v>45982.471782407411</v>
      </c>
      <c r="E418" s="25" t="s">
        <v>27</v>
      </c>
      <c r="F418" s="25" t="s">
        <v>28</v>
      </c>
      <c r="G418" s="25" t="s">
        <v>68</v>
      </c>
      <c r="H418" s="25" t="s">
        <v>31</v>
      </c>
      <c r="I418" s="26">
        <v>45995.471782407411</v>
      </c>
      <c r="J418" s="25" t="s">
        <v>7217</v>
      </c>
      <c r="K418" s="25" t="s">
        <v>32</v>
      </c>
    </row>
    <row r="419" spans="3:11" x14ac:dyDescent="0.25">
      <c r="C419" s="25">
        <v>23596553</v>
      </c>
      <c r="D419" s="26">
        <v>45982.486678240741</v>
      </c>
      <c r="E419" s="25" t="s">
        <v>27</v>
      </c>
      <c r="F419" s="25" t="s">
        <v>28</v>
      </c>
      <c r="G419" s="25" t="s">
        <v>68</v>
      </c>
      <c r="H419" s="25" t="s">
        <v>31</v>
      </c>
      <c r="I419" s="26">
        <v>45995.486678240741</v>
      </c>
      <c r="J419" s="25" t="s">
        <v>7219</v>
      </c>
      <c r="K419" s="25" t="s">
        <v>32</v>
      </c>
    </row>
    <row r="420" spans="3:11" x14ac:dyDescent="0.25">
      <c r="C420" s="25">
        <v>23596556</v>
      </c>
      <c r="D420" s="26">
        <v>45982.48810185185</v>
      </c>
      <c r="E420" s="25" t="s">
        <v>27</v>
      </c>
      <c r="F420" s="25" t="s">
        <v>28</v>
      </c>
      <c r="G420" s="25" t="s">
        <v>51</v>
      </c>
      <c r="H420" s="25" t="s">
        <v>38</v>
      </c>
      <c r="I420" s="26">
        <v>46000.48810185185</v>
      </c>
      <c r="J420" s="25" t="s">
        <v>1117</v>
      </c>
      <c r="K420" s="25" t="s">
        <v>32</v>
      </c>
    </row>
    <row r="421" spans="3:11" x14ac:dyDescent="0.25">
      <c r="C421" s="25">
        <v>23596600</v>
      </c>
      <c r="D421" s="26">
        <v>45982.50540509259</v>
      </c>
      <c r="E421" s="25" t="s">
        <v>27</v>
      </c>
      <c r="F421" s="25" t="s">
        <v>28</v>
      </c>
      <c r="G421" s="25" t="s">
        <v>68</v>
      </c>
      <c r="H421" s="25" t="s">
        <v>31</v>
      </c>
      <c r="I421" s="26">
        <v>45995.50540509259</v>
      </c>
      <c r="J421" s="25" t="s">
        <v>4676</v>
      </c>
      <c r="K421" s="25" t="s">
        <v>32</v>
      </c>
    </row>
    <row r="422" spans="3:11" x14ac:dyDescent="0.25">
      <c r="C422" s="25">
        <v>23596601</v>
      </c>
      <c r="D422" s="26">
        <v>45982.506469907406</v>
      </c>
      <c r="E422" s="25" t="s">
        <v>55</v>
      </c>
      <c r="F422" s="25" t="s">
        <v>56</v>
      </c>
      <c r="G422" s="25" t="s">
        <v>72</v>
      </c>
      <c r="H422" s="25" t="s">
        <v>38</v>
      </c>
      <c r="I422" s="26">
        <v>46000.506469907406</v>
      </c>
      <c r="J422" s="25" t="s">
        <v>2685</v>
      </c>
      <c r="K422" s="25" t="s">
        <v>32</v>
      </c>
    </row>
    <row r="423" spans="3:11" x14ac:dyDescent="0.25">
      <c r="C423" s="25">
        <v>23596623</v>
      </c>
      <c r="D423" s="26">
        <v>45982.515648148146</v>
      </c>
      <c r="E423" s="25" t="s">
        <v>44</v>
      </c>
      <c r="F423" s="25" t="s">
        <v>45</v>
      </c>
      <c r="G423" s="25" t="s">
        <v>137</v>
      </c>
      <c r="H423" s="25" t="s">
        <v>31</v>
      </c>
      <c r="I423" s="26">
        <v>45993.515648148146</v>
      </c>
      <c r="J423" s="25" t="s">
        <v>4713</v>
      </c>
      <c r="K423" s="25" t="s">
        <v>49</v>
      </c>
    </row>
    <row r="424" spans="3:11" x14ac:dyDescent="0.25">
      <c r="C424" s="25">
        <v>23596638</v>
      </c>
      <c r="D424" s="26">
        <v>45982.521886574075</v>
      </c>
      <c r="E424" s="25" t="s">
        <v>27</v>
      </c>
      <c r="F424" s="25" t="s">
        <v>28</v>
      </c>
      <c r="G424" s="25" t="s">
        <v>68</v>
      </c>
      <c r="H424" s="25" t="s">
        <v>31</v>
      </c>
      <c r="I424" s="26">
        <v>45995.521886574075</v>
      </c>
      <c r="J424" s="25" t="s">
        <v>1600</v>
      </c>
      <c r="K424" s="25" t="s">
        <v>32</v>
      </c>
    </row>
    <row r="425" spans="3:11" x14ac:dyDescent="0.25">
      <c r="C425" s="25">
        <v>23596639</v>
      </c>
      <c r="D425" s="26">
        <v>45982.521956018521</v>
      </c>
      <c r="E425" s="25" t="s">
        <v>27</v>
      </c>
      <c r="F425" s="25" t="s">
        <v>28</v>
      </c>
      <c r="G425" s="25" t="s">
        <v>29</v>
      </c>
      <c r="H425" s="25" t="s">
        <v>31</v>
      </c>
      <c r="I425" s="26">
        <v>45993.521956018521</v>
      </c>
      <c r="J425" s="25" t="s">
        <v>7221</v>
      </c>
      <c r="K425" s="25" t="s">
        <v>49</v>
      </c>
    </row>
    <row r="426" spans="3:11" x14ac:dyDescent="0.25">
      <c r="C426" s="25">
        <v>23596669</v>
      </c>
      <c r="D426" s="26">
        <v>45982.541539351849</v>
      </c>
      <c r="E426" s="25" t="s">
        <v>27</v>
      </c>
      <c r="F426" s="25" t="s">
        <v>28</v>
      </c>
      <c r="G426" s="25" t="s">
        <v>68</v>
      </c>
      <c r="H426" s="25" t="s">
        <v>31</v>
      </c>
      <c r="I426" s="26">
        <v>45995.541539351849</v>
      </c>
      <c r="J426" s="25" t="s">
        <v>7223</v>
      </c>
      <c r="K426" s="25" t="s">
        <v>32</v>
      </c>
    </row>
    <row r="427" spans="3:11" x14ac:dyDescent="0.25">
      <c r="C427" s="25">
        <v>23596686</v>
      </c>
      <c r="D427" s="26">
        <v>45982.563217592593</v>
      </c>
      <c r="E427" s="25" t="s">
        <v>27</v>
      </c>
      <c r="F427" s="25" t="s">
        <v>28</v>
      </c>
      <c r="G427" s="25" t="s">
        <v>29</v>
      </c>
      <c r="H427" s="25" t="s">
        <v>31</v>
      </c>
      <c r="I427" s="26">
        <v>45993.563217592593</v>
      </c>
      <c r="J427" s="25" t="s">
        <v>7225</v>
      </c>
      <c r="K427" s="25" t="s">
        <v>49</v>
      </c>
    </row>
    <row r="428" spans="3:11" x14ac:dyDescent="0.25">
      <c r="C428" s="25">
        <v>23596704</v>
      </c>
      <c r="D428" s="26">
        <v>45982.586527777778</v>
      </c>
      <c r="E428" s="25" t="s">
        <v>27</v>
      </c>
      <c r="F428" s="25" t="s">
        <v>28</v>
      </c>
      <c r="G428" s="25" t="s">
        <v>137</v>
      </c>
      <c r="H428" s="25" t="s">
        <v>31</v>
      </c>
      <c r="I428" s="26">
        <v>45993.586527777778</v>
      </c>
      <c r="J428" s="25" t="s">
        <v>4799</v>
      </c>
      <c r="K428" s="25" t="s">
        <v>49</v>
      </c>
    </row>
    <row r="429" spans="3:11" x14ac:dyDescent="0.25">
      <c r="C429" s="25">
        <v>23597482</v>
      </c>
      <c r="D429" s="26">
        <v>45985.302499999998</v>
      </c>
      <c r="E429" s="25" t="s">
        <v>44</v>
      </c>
      <c r="F429" s="25" t="s">
        <v>45</v>
      </c>
      <c r="G429" s="25" t="s">
        <v>68</v>
      </c>
      <c r="H429" s="25" t="s">
        <v>31</v>
      </c>
      <c r="I429" s="26">
        <v>45996.302499999998</v>
      </c>
      <c r="J429" s="25" t="s">
        <v>2742</v>
      </c>
      <c r="K429" s="25" t="s">
        <v>32</v>
      </c>
    </row>
    <row r="430" spans="3:11" x14ac:dyDescent="0.25">
      <c r="C430" s="25">
        <v>23597501</v>
      </c>
      <c r="D430" s="26">
        <v>45985.679525462961</v>
      </c>
      <c r="E430" s="25" t="s">
        <v>27</v>
      </c>
      <c r="F430" s="25" t="s">
        <v>28</v>
      </c>
      <c r="G430" s="25" t="s">
        <v>40</v>
      </c>
      <c r="H430" s="25" t="s">
        <v>31</v>
      </c>
      <c r="I430" s="26">
        <v>45992.679525462961</v>
      </c>
      <c r="J430" s="25" t="s">
        <v>7228</v>
      </c>
      <c r="K430" s="25" t="s">
        <v>131</v>
      </c>
    </row>
    <row r="431" spans="3:11" x14ac:dyDescent="0.25">
      <c r="C431" s="25">
        <v>23597515</v>
      </c>
      <c r="D431" s="26">
        <v>45985.349293981482</v>
      </c>
      <c r="E431" s="25" t="s">
        <v>27</v>
      </c>
      <c r="F431" s="25" t="s">
        <v>28</v>
      </c>
      <c r="G431" s="25" t="s">
        <v>62</v>
      </c>
      <c r="H431" s="25" t="s">
        <v>38</v>
      </c>
      <c r="I431" s="26">
        <v>45989.349293981482</v>
      </c>
      <c r="J431" s="25" t="s">
        <v>47</v>
      </c>
      <c r="K431" s="25" t="s">
        <v>47</v>
      </c>
    </row>
    <row r="432" spans="3:11" x14ac:dyDescent="0.25">
      <c r="C432" s="25">
        <v>23597516</v>
      </c>
      <c r="D432" s="26">
        <v>45985.350092592591</v>
      </c>
      <c r="E432" s="25" t="s">
        <v>27</v>
      </c>
      <c r="F432" s="25" t="s">
        <v>28</v>
      </c>
      <c r="G432" s="25" t="s">
        <v>43</v>
      </c>
      <c r="H432" s="25" t="s">
        <v>31</v>
      </c>
      <c r="I432" s="26">
        <v>45994.350092592591</v>
      </c>
      <c r="J432" s="25" t="s">
        <v>7231</v>
      </c>
      <c r="K432" s="25" t="s">
        <v>49</v>
      </c>
    </row>
    <row r="433" spans="3:11" x14ac:dyDescent="0.25">
      <c r="C433" s="25">
        <v>23597530</v>
      </c>
      <c r="D433" s="26">
        <v>45985.362349537034</v>
      </c>
      <c r="E433" s="25" t="s">
        <v>27</v>
      </c>
      <c r="F433" s="25" t="s">
        <v>28</v>
      </c>
      <c r="G433" s="25" t="s">
        <v>68</v>
      </c>
      <c r="H433" s="25" t="s">
        <v>31</v>
      </c>
      <c r="I433" s="26">
        <v>45996.362349537034</v>
      </c>
      <c r="J433" s="25" t="s">
        <v>1126</v>
      </c>
      <c r="K433" s="25" t="s">
        <v>32</v>
      </c>
    </row>
    <row r="434" spans="3:11" x14ac:dyDescent="0.25">
      <c r="C434" s="25">
        <v>23597531</v>
      </c>
      <c r="D434" s="26">
        <v>45985.362557870372</v>
      </c>
      <c r="E434" s="25" t="s">
        <v>27</v>
      </c>
      <c r="F434" s="25" t="s">
        <v>28</v>
      </c>
      <c r="G434" s="25" t="s">
        <v>68</v>
      </c>
      <c r="H434" s="25" t="s">
        <v>31</v>
      </c>
      <c r="I434" s="26">
        <v>45996.362557870372</v>
      </c>
      <c r="J434" s="25" t="s">
        <v>2785</v>
      </c>
      <c r="K434" s="25" t="s">
        <v>32</v>
      </c>
    </row>
    <row r="435" spans="3:11" x14ac:dyDescent="0.25">
      <c r="C435" s="25">
        <v>23597539</v>
      </c>
      <c r="D435" s="26">
        <v>45985.369629629633</v>
      </c>
      <c r="E435" s="25" t="s">
        <v>27</v>
      </c>
      <c r="F435" s="25" t="s">
        <v>28</v>
      </c>
      <c r="G435" s="25" t="s">
        <v>29</v>
      </c>
      <c r="H435" s="25" t="s">
        <v>38</v>
      </c>
      <c r="I435" s="26">
        <v>46000.369629629633</v>
      </c>
      <c r="J435" s="25" t="s">
        <v>7232</v>
      </c>
      <c r="K435" s="25" t="s">
        <v>32</v>
      </c>
    </row>
    <row r="436" spans="3:11" x14ac:dyDescent="0.25">
      <c r="C436" s="25">
        <v>23597551</v>
      </c>
      <c r="D436" s="26">
        <v>45985.373877314814</v>
      </c>
      <c r="E436" s="25" t="s">
        <v>27</v>
      </c>
      <c r="F436" s="25" t="s">
        <v>28</v>
      </c>
      <c r="G436" s="25" t="s">
        <v>29</v>
      </c>
      <c r="H436" s="25" t="s">
        <v>31</v>
      </c>
      <c r="I436" s="26">
        <v>45994.373877314814</v>
      </c>
      <c r="J436" s="25" t="s">
        <v>1134</v>
      </c>
      <c r="K436" s="25" t="s">
        <v>49</v>
      </c>
    </row>
    <row r="437" spans="3:11" x14ac:dyDescent="0.25">
      <c r="C437" s="25">
        <v>23597656</v>
      </c>
      <c r="D437" s="26">
        <v>45985.43105324074</v>
      </c>
      <c r="E437" s="25" t="s">
        <v>27</v>
      </c>
      <c r="F437" s="25" t="s">
        <v>28</v>
      </c>
      <c r="G437" s="25" t="s">
        <v>40</v>
      </c>
      <c r="H437" s="25" t="s">
        <v>31</v>
      </c>
      <c r="I437" s="26">
        <v>45992.43105324074</v>
      </c>
      <c r="J437" s="25" t="s">
        <v>47</v>
      </c>
      <c r="K437" s="25" t="s">
        <v>47</v>
      </c>
    </row>
    <row r="438" spans="3:11" x14ac:dyDescent="0.25">
      <c r="C438" s="25">
        <v>23597663</v>
      </c>
      <c r="D438" s="26">
        <v>45985.433437500003</v>
      </c>
      <c r="E438" s="25" t="s">
        <v>55</v>
      </c>
      <c r="F438" s="25" t="s">
        <v>56</v>
      </c>
      <c r="G438" s="25" t="s">
        <v>29</v>
      </c>
      <c r="H438" s="25" t="s">
        <v>31</v>
      </c>
      <c r="I438" s="26">
        <v>45994.433437500003</v>
      </c>
      <c r="J438" s="25" t="s">
        <v>7237</v>
      </c>
      <c r="K438" s="25" t="s">
        <v>49</v>
      </c>
    </row>
    <row r="439" spans="3:11" x14ac:dyDescent="0.25">
      <c r="C439" s="25">
        <v>23597684</v>
      </c>
      <c r="D439" s="26">
        <v>45985.441423611112</v>
      </c>
      <c r="E439" s="25" t="s">
        <v>27</v>
      </c>
      <c r="F439" s="25" t="s">
        <v>28</v>
      </c>
      <c r="G439" s="25" t="s">
        <v>76</v>
      </c>
      <c r="H439" s="25" t="s">
        <v>31</v>
      </c>
      <c r="I439" s="26">
        <v>45994.441423611112</v>
      </c>
      <c r="J439" s="25" t="s">
        <v>7239</v>
      </c>
      <c r="K439" s="25" t="s">
        <v>49</v>
      </c>
    </row>
    <row r="440" spans="3:11" x14ac:dyDescent="0.25">
      <c r="C440" s="25">
        <v>23597699</v>
      </c>
      <c r="D440" s="26">
        <v>45985.446562500001</v>
      </c>
      <c r="E440" s="25" t="s">
        <v>55</v>
      </c>
      <c r="F440" s="25" t="s">
        <v>56</v>
      </c>
      <c r="G440" s="25" t="s">
        <v>29</v>
      </c>
      <c r="H440" s="25" t="s">
        <v>31</v>
      </c>
      <c r="I440" s="26">
        <v>45994.446562500001</v>
      </c>
      <c r="J440" s="25" t="s">
        <v>7241</v>
      </c>
      <c r="K440" s="25" t="s">
        <v>49</v>
      </c>
    </row>
    <row r="441" spans="3:11" x14ac:dyDescent="0.25">
      <c r="C441" s="25">
        <v>23597700</v>
      </c>
      <c r="D441" s="26">
        <v>45985.446597222224</v>
      </c>
      <c r="E441" s="25" t="s">
        <v>55</v>
      </c>
      <c r="F441" s="25" t="s">
        <v>56</v>
      </c>
      <c r="G441" s="25" t="s">
        <v>29</v>
      </c>
      <c r="H441" s="25" t="s">
        <v>31</v>
      </c>
      <c r="I441" s="26">
        <v>45994.446597222224</v>
      </c>
      <c r="J441" s="25" t="s">
        <v>7241</v>
      </c>
      <c r="K441" s="25" t="s">
        <v>49</v>
      </c>
    </row>
    <row r="442" spans="3:11" x14ac:dyDescent="0.25">
      <c r="C442" s="25">
        <v>23597701</v>
      </c>
      <c r="D442" s="26">
        <v>45985.446608796294</v>
      </c>
      <c r="E442" s="25" t="s">
        <v>55</v>
      </c>
      <c r="F442" s="25" t="s">
        <v>56</v>
      </c>
      <c r="G442" s="25" t="s">
        <v>29</v>
      </c>
      <c r="H442" s="25" t="s">
        <v>31</v>
      </c>
      <c r="I442" s="26">
        <v>45994.446608796294</v>
      </c>
      <c r="J442" s="25" t="s">
        <v>7241</v>
      </c>
      <c r="K442" s="25" t="s">
        <v>49</v>
      </c>
    </row>
    <row r="443" spans="3:11" x14ac:dyDescent="0.25">
      <c r="C443" s="25">
        <v>23597702</v>
      </c>
      <c r="D443" s="26">
        <v>45985.446631944447</v>
      </c>
      <c r="E443" s="25" t="s">
        <v>55</v>
      </c>
      <c r="F443" s="25" t="s">
        <v>56</v>
      </c>
      <c r="G443" s="25" t="s">
        <v>29</v>
      </c>
      <c r="H443" s="25" t="s">
        <v>31</v>
      </c>
      <c r="I443" s="26">
        <v>45994.446631944447</v>
      </c>
      <c r="J443" s="25" t="s">
        <v>7241</v>
      </c>
      <c r="K443" s="25" t="s">
        <v>49</v>
      </c>
    </row>
    <row r="444" spans="3:11" x14ac:dyDescent="0.25">
      <c r="C444" s="25">
        <v>23597703</v>
      </c>
      <c r="D444" s="26">
        <v>45985.446631944447</v>
      </c>
      <c r="E444" s="25" t="s">
        <v>55</v>
      </c>
      <c r="F444" s="25" t="s">
        <v>56</v>
      </c>
      <c r="G444" s="25" t="s">
        <v>29</v>
      </c>
      <c r="H444" s="25" t="s">
        <v>31</v>
      </c>
      <c r="I444" s="26">
        <v>45994.446631944447</v>
      </c>
      <c r="J444" s="25" t="s">
        <v>7241</v>
      </c>
      <c r="K444" s="25" t="s">
        <v>49</v>
      </c>
    </row>
    <row r="445" spans="3:11" x14ac:dyDescent="0.25">
      <c r="C445" s="25">
        <v>23597704</v>
      </c>
      <c r="D445" s="26">
        <v>45985.446643518517</v>
      </c>
      <c r="E445" s="25" t="s">
        <v>55</v>
      </c>
      <c r="F445" s="25" t="s">
        <v>56</v>
      </c>
      <c r="G445" s="25" t="s">
        <v>29</v>
      </c>
      <c r="H445" s="25" t="s">
        <v>31</v>
      </c>
      <c r="I445" s="26">
        <v>45994.446643518517</v>
      </c>
      <c r="J445" s="25" t="s">
        <v>7241</v>
      </c>
      <c r="K445" s="25" t="s">
        <v>49</v>
      </c>
    </row>
    <row r="446" spans="3:11" x14ac:dyDescent="0.25">
      <c r="C446" s="25">
        <v>23597705</v>
      </c>
      <c r="D446" s="26">
        <v>45985.446643518517</v>
      </c>
      <c r="E446" s="25" t="s">
        <v>55</v>
      </c>
      <c r="F446" s="25" t="s">
        <v>56</v>
      </c>
      <c r="G446" s="25" t="s">
        <v>29</v>
      </c>
      <c r="H446" s="25" t="s">
        <v>31</v>
      </c>
      <c r="I446" s="26">
        <v>45994.446643518517</v>
      </c>
      <c r="J446" s="25" t="s">
        <v>7241</v>
      </c>
      <c r="K446" s="25" t="s">
        <v>49</v>
      </c>
    </row>
    <row r="447" spans="3:11" x14ac:dyDescent="0.25">
      <c r="C447" s="25">
        <v>23597706</v>
      </c>
      <c r="D447" s="26">
        <v>45985.446666666663</v>
      </c>
      <c r="E447" s="25" t="s">
        <v>55</v>
      </c>
      <c r="F447" s="25" t="s">
        <v>56</v>
      </c>
      <c r="G447" s="25" t="s">
        <v>29</v>
      </c>
      <c r="H447" s="25" t="s">
        <v>31</v>
      </c>
      <c r="I447" s="26">
        <v>45994.446666666663</v>
      </c>
      <c r="J447" s="25" t="s">
        <v>7241</v>
      </c>
      <c r="K447" s="25" t="s">
        <v>49</v>
      </c>
    </row>
    <row r="448" spans="3:11" x14ac:dyDescent="0.25">
      <c r="C448" s="25">
        <v>23597707</v>
      </c>
      <c r="D448" s="26">
        <v>45985.446666666663</v>
      </c>
      <c r="E448" s="25" t="s">
        <v>55</v>
      </c>
      <c r="F448" s="25" t="s">
        <v>56</v>
      </c>
      <c r="G448" s="25" t="s">
        <v>29</v>
      </c>
      <c r="H448" s="25" t="s">
        <v>31</v>
      </c>
      <c r="I448" s="26">
        <v>45994.446666666663</v>
      </c>
      <c r="J448" s="25" t="s">
        <v>7241</v>
      </c>
      <c r="K448" s="25" t="s">
        <v>49</v>
      </c>
    </row>
    <row r="449" spans="3:11" x14ac:dyDescent="0.25">
      <c r="C449" s="25">
        <v>23597708</v>
      </c>
      <c r="D449" s="26">
        <v>45985.44667824074</v>
      </c>
      <c r="E449" s="25" t="s">
        <v>55</v>
      </c>
      <c r="F449" s="25" t="s">
        <v>56</v>
      </c>
      <c r="G449" s="25" t="s">
        <v>29</v>
      </c>
      <c r="H449" s="25" t="s">
        <v>31</v>
      </c>
      <c r="I449" s="26">
        <v>45994.44667824074</v>
      </c>
      <c r="J449" s="25" t="s">
        <v>7241</v>
      </c>
      <c r="K449" s="25" t="s">
        <v>49</v>
      </c>
    </row>
    <row r="450" spans="3:11" x14ac:dyDescent="0.25">
      <c r="C450" s="25">
        <v>23597709</v>
      </c>
      <c r="D450" s="26">
        <v>45985.446689814817</v>
      </c>
      <c r="E450" s="25" t="s">
        <v>55</v>
      </c>
      <c r="F450" s="25" t="s">
        <v>56</v>
      </c>
      <c r="G450" s="25" t="s">
        <v>29</v>
      </c>
      <c r="H450" s="25" t="s">
        <v>31</v>
      </c>
      <c r="I450" s="26">
        <v>45994.446689814817</v>
      </c>
      <c r="J450" s="25" t="s">
        <v>7241</v>
      </c>
      <c r="K450" s="25" t="s">
        <v>49</v>
      </c>
    </row>
    <row r="451" spans="3:11" x14ac:dyDescent="0.25">
      <c r="C451" s="25">
        <v>23597710</v>
      </c>
      <c r="D451" s="26">
        <v>45985.446712962963</v>
      </c>
      <c r="E451" s="25" t="s">
        <v>55</v>
      </c>
      <c r="F451" s="25" t="s">
        <v>56</v>
      </c>
      <c r="G451" s="25" t="s">
        <v>29</v>
      </c>
      <c r="H451" s="25" t="s">
        <v>31</v>
      </c>
      <c r="I451" s="26">
        <v>45994.446712962963</v>
      </c>
      <c r="J451" s="25" t="s">
        <v>7241</v>
      </c>
      <c r="K451" s="25" t="s">
        <v>49</v>
      </c>
    </row>
    <row r="452" spans="3:11" x14ac:dyDescent="0.25">
      <c r="C452" s="25">
        <v>23597711</v>
      </c>
      <c r="D452" s="26">
        <v>45985.446712962963</v>
      </c>
      <c r="E452" s="25" t="s">
        <v>55</v>
      </c>
      <c r="F452" s="25" t="s">
        <v>56</v>
      </c>
      <c r="G452" s="25" t="s">
        <v>29</v>
      </c>
      <c r="H452" s="25" t="s">
        <v>31</v>
      </c>
      <c r="I452" s="26">
        <v>45994.446712962963</v>
      </c>
      <c r="J452" s="25" t="s">
        <v>7241</v>
      </c>
      <c r="K452" s="25" t="s">
        <v>49</v>
      </c>
    </row>
    <row r="453" spans="3:11" x14ac:dyDescent="0.25">
      <c r="C453" s="25">
        <v>23597712</v>
      </c>
      <c r="D453" s="26">
        <v>45985.446712962963</v>
      </c>
      <c r="E453" s="25" t="s">
        <v>55</v>
      </c>
      <c r="F453" s="25" t="s">
        <v>56</v>
      </c>
      <c r="G453" s="25" t="s">
        <v>29</v>
      </c>
      <c r="H453" s="25" t="s">
        <v>31</v>
      </c>
      <c r="I453" s="26">
        <v>45994.446712962963</v>
      </c>
      <c r="J453" s="25" t="s">
        <v>7241</v>
      </c>
      <c r="K453" s="25" t="s">
        <v>49</v>
      </c>
    </row>
    <row r="454" spans="3:11" x14ac:dyDescent="0.25">
      <c r="C454" s="25">
        <v>23597713</v>
      </c>
      <c r="D454" s="26">
        <v>45985.446736111109</v>
      </c>
      <c r="E454" s="25" t="s">
        <v>55</v>
      </c>
      <c r="F454" s="25" t="s">
        <v>56</v>
      </c>
      <c r="G454" s="25" t="s">
        <v>29</v>
      </c>
      <c r="H454" s="25" t="s">
        <v>31</v>
      </c>
      <c r="I454" s="26">
        <v>45994.446736111109</v>
      </c>
      <c r="J454" s="25" t="s">
        <v>7241</v>
      </c>
      <c r="K454" s="25" t="s">
        <v>49</v>
      </c>
    </row>
    <row r="455" spans="3:11" x14ac:dyDescent="0.25">
      <c r="C455" s="25">
        <v>23597714</v>
      </c>
      <c r="D455" s="26">
        <v>45985.446736111109</v>
      </c>
      <c r="E455" s="25" t="s">
        <v>55</v>
      </c>
      <c r="F455" s="25" t="s">
        <v>56</v>
      </c>
      <c r="G455" s="25" t="s">
        <v>29</v>
      </c>
      <c r="H455" s="25" t="s">
        <v>31</v>
      </c>
      <c r="I455" s="26">
        <v>45994.446736111109</v>
      </c>
      <c r="J455" s="25" t="s">
        <v>7241</v>
      </c>
      <c r="K455" s="25" t="s">
        <v>49</v>
      </c>
    </row>
    <row r="456" spans="3:11" x14ac:dyDescent="0.25">
      <c r="C456" s="25">
        <v>23597715</v>
      </c>
      <c r="D456" s="26">
        <v>45985.446736111109</v>
      </c>
      <c r="E456" s="25" t="s">
        <v>55</v>
      </c>
      <c r="F456" s="25" t="s">
        <v>56</v>
      </c>
      <c r="G456" s="25" t="s">
        <v>29</v>
      </c>
      <c r="H456" s="25" t="s">
        <v>31</v>
      </c>
      <c r="I456" s="26">
        <v>45994.446736111109</v>
      </c>
      <c r="J456" s="25" t="s">
        <v>7241</v>
      </c>
      <c r="K456" s="25" t="s">
        <v>49</v>
      </c>
    </row>
    <row r="457" spans="3:11" x14ac:dyDescent="0.25">
      <c r="C457" s="25">
        <v>23597716</v>
      </c>
      <c r="D457" s="26">
        <v>45985.446759259263</v>
      </c>
      <c r="E457" s="25" t="s">
        <v>55</v>
      </c>
      <c r="F457" s="25" t="s">
        <v>56</v>
      </c>
      <c r="G457" s="25" t="s">
        <v>29</v>
      </c>
      <c r="H457" s="25" t="s">
        <v>31</v>
      </c>
      <c r="I457" s="26">
        <v>45994.446759259263</v>
      </c>
      <c r="J457" s="25" t="s">
        <v>7241</v>
      </c>
      <c r="K457" s="25" t="s">
        <v>49</v>
      </c>
    </row>
    <row r="458" spans="3:11" x14ac:dyDescent="0.25">
      <c r="C458" s="25">
        <v>23597717</v>
      </c>
      <c r="D458" s="26">
        <v>45985.446759259263</v>
      </c>
      <c r="E458" s="25" t="s">
        <v>55</v>
      </c>
      <c r="F458" s="25" t="s">
        <v>56</v>
      </c>
      <c r="G458" s="25" t="s">
        <v>29</v>
      </c>
      <c r="H458" s="25" t="s">
        <v>31</v>
      </c>
      <c r="I458" s="26">
        <v>45994.446759259263</v>
      </c>
      <c r="J458" s="25" t="s">
        <v>7241</v>
      </c>
      <c r="K458" s="25" t="s">
        <v>49</v>
      </c>
    </row>
    <row r="459" spans="3:11" x14ac:dyDescent="0.25">
      <c r="C459" s="25">
        <v>23597718</v>
      </c>
      <c r="D459" s="26">
        <v>45985.446828703702</v>
      </c>
      <c r="E459" s="25" t="s">
        <v>55</v>
      </c>
      <c r="F459" s="25" t="s">
        <v>56</v>
      </c>
      <c r="G459" s="25" t="s">
        <v>29</v>
      </c>
      <c r="H459" s="25" t="s">
        <v>31</v>
      </c>
      <c r="I459" s="26">
        <v>45994.446828703702</v>
      </c>
      <c r="J459" s="25" t="s">
        <v>7241</v>
      </c>
      <c r="K459" s="25" t="s">
        <v>49</v>
      </c>
    </row>
    <row r="460" spans="3:11" x14ac:dyDescent="0.25">
      <c r="C460" s="25">
        <v>23597719</v>
      </c>
      <c r="D460" s="26">
        <v>45985.446817129632</v>
      </c>
      <c r="E460" s="25" t="s">
        <v>55</v>
      </c>
      <c r="F460" s="25" t="s">
        <v>56</v>
      </c>
      <c r="G460" s="25" t="s">
        <v>29</v>
      </c>
      <c r="H460" s="25" t="s">
        <v>31</v>
      </c>
      <c r="I460" s="26">
        <v>45994.446817129632</v>
      </c>
      <c r="J460" s="25" t="s">
        <v>7241</v>
      </c>
      <c r="K460" s="25" t="s">
        <v>49</v>
      </c>
    </row>
    <row r="461" spans="3:11" x14ac:dyDescent="0.25">
      <c r="C461" s="25">
        <v>23597720</v>
      </c>
      <c r="D461" s="26">
        <v>45985.446828703702</v>
      </c>
      <c r="E461" s="25" t="s">
        <v>55</v>
      </c>
      <c r="F461" s="25" t="s">
        <v>56</v>
      </c>
      <c r="G461" s="25" t="s">
        <v>29</v>
      </c>
      <c r="H461" s="25" t="s">
        <v>31</v>
      </c>
      <c r="I461" s="26">
        <v>45994.446828703702</v>
      </c>
      <c r="J461" s="25" t="s">
        <v>7241</v>
      </c>
      <c r="K461" s="25" t="s">
        <v>49</v>
      </c>
    </row>
    <row r="462" spans="3:11" x14ac:dyDescent="0.25">
      <c r="C462" s="25">
        <v>23597721</v>
      </c>
      <c r="D462" s="26">
        <v>45985.446828703702</v>
      </c>
      <c r="E462" s="25" t="s">
        <v>55</v>
      </c>
      <c r="F462" s="25" t="s">
        <v>56</v>
      </c>
      <c r="G462" s="25" t="s">
        <v>29</v>
      </c>
      <c r="H462" s="25" t="s">
        <v>31</v>
      </c>
      <c r="I462" s="26">
        <v>45994.446828703702</v>
      </c>
      <c r="J462" s="25" t="s">
        <v>7241</v>
      </c>
      <c r="K462" s="25" t="s">
        <v>49</v>
      </c>
    </row>
    <row r="463" spans="3:11" x14ac:dyDescent="0.25">
      <c r="C463" s="25">
        <v>23597722</v>
      </c>
      <c r="D463" s="26">
        <v>45985.446840277778</v>
      </c>
      <c r="E463" s="25" t="s">
        <v>55</v>
      </c>
      <c r="F463" s="25" t="s">
        <v>56</v>
      </c>
      <c r="G463" s="25" t="s">
        <v>29</v>
      </c>
      <c r="H463" s="25" t="s">
        <v>31</v>
      </c>
      <c r="I463" s="26">
        <v>45994.446840277778</v>
      </c>
      <c r="J463" s="25" t="s">
        <v>7241</v>
      </c>
      <c r="K463" s="25" t="s">
        <v>49</v>
      </c>
    </row>
    <row r="464" spans="3:11" x14ac:dyDescent="0.25">
      <c r="C464" s="25">
        <v>23597723</v>
      </c>
      <c r="D464" s="26">
        <v>45985.446851851855</v>
      </c>
      <c r="E464" s="25" t="s">
        <v>55</v>
      </c>
      <c r="F464" s="25" t="s">
        <v>56</v>
      </c>
      <c r="G464" s="25" t="s">
        <v>29</v>
      </c>
      <c r="H464" s="25" t="s">
        <v>31</v>
      </c>
      <c r="I464" s="26">
        <v>45994.446851851855</v>
      </c>
      <c r="J464" s="25" t="s">
        <v>7241</v>
      </c>
      <c r="K464" s="25" t="s">
        <v>49</v>
      </c>
    </row>
    <row r="465" spans="3:11" x14ac:dyDescent="0.25">
      <c r="C465" s="25">
        <v>23597724</v>
      </c>
      <c r="D465" s="26">
        <v>45985.446851851855</v>
      </c>
      <c r="E465" s="25" t="s">
        <v>55</v>
      </c>
      <c r="F465" s="25" t="s">
        <v>56</v>
      </c>
      <c r="G465" s="25" t="s">
        <v>29</v>
      </c>
      <c r="H465" s="25" t="s">
        <v>31</v>
      </c>
      <c r="I465" s="26">
        <v>45994.446851851855</v>
      </c>
      <c r="J465" s="25" t="s">
        <v>7241</v>
      </c>
      <c r="K465" s="25" t="s">
        <v>49</v>
      </c>
    </row>
    <row r="466" spans="3:11" x14ac:dyDescent="0.25">
      <c r="C466" s="25">
        <v>23597725</v>
      </c>
      <c r="D466" s="26">
        <v>45985.446875000001</v>
      </c>
      <c r="E466" s="25" t="s">
        <v>55</v>
      </c>
      <c r="F466" s="25" t="s">
        <v>56</v>
      </c>
      <c r="G466" s="25" t="s">
        <v>29</v>
      </c>
      <c r="H466" s="25" t="s">
        <v>31</v>
      </c>
      <c r="I466" s="26">
        <v>45994.446875000001</v>
      </c>
      <c r="J466" s="25" t="s">
        <v>7241</v>
      </c>
      <c r="K466" s="25" t="s">
        <v>49</v>
      </c>
    </row>
    <row r="467" spans="3:11" x14ac:dyDescent="0.25">
      <c r="C467" s="25">
        <v>23597726</v>
      </c>
      <c r="D467" s="26">
        <v>45985.446898148148</v>
      </c>
      <c r="E467" s="25" t="s">
        <v>55</v>
      </c>
      <c r="F467" s="25" t="s">
        <v>56</v>
      </c>
      <c r="G467" s="25" t="s">
        <v>29</v>
      </c>
      <c r="H467" s="25" t="s">
        <v>31</v>
      </c>
      <c r="I467" s="26">
        <v>45994.446898148148</v>
      </c>
      <c r="J467" s="25" t="s">
        <v>7241</v>
      </c>
      <c r="K467" s="25" t="s">
        <v>49</v>
      </c>
    </row>
    <row r="468" spans="3:11" x14ac:dyDescent="0.25">
      <c r="C468" s="25">
        <v>23597727</v>
      </c>
      <c r="D468" s="26">
        <v>45985.446909722225</v>
      </c>
      <c r="E468" s="25" t="s">
        <v>55</v>
      </c>
      <c r="F468" s="25" t="s">
        <v>56</v>
      </c>
      <c r="G468" s="25" t="s">
        <v>29</v>
      </c>
      <c r="H468" s="25" t="s">
        <v>31</v>
      </c>
      <c r="I468" s="26">
        <v>45994.446909722225</v>
      </c>
      <c r="J468" s="25" t="s">
        <v>7241</v>
      </c>
      <c r="K468" s="25" t="s">
        <v>49</v>
      </c>
    </row>
    <row r="469" spans="3:11" x14ac:dyDescent="0.25">
      <c r="C469" s="25">
        <v>23597728</v>
      </c>
      <c r="D469" s="26">
        <v>45985.446921296294</v>
      </c>
      <c r="E469" s="25" t="s">
        <v>55</v>
      </c>
      <c r="F469" s="25" t="s">
        <v>56</v>
      </c>
      <c r="G469" s="25" t="s">
        <v>29</v>
      </c>
      <c r="H469" s="25" t="s">
        <v>31</v>
      </c>
      <c r="I469" s="26">
        <v>45994.446921296294</v>
      </c>
      <c r="J469" s="25" t="s">
        <v>7241</v>
      </c>
      <c r="K469" s="25" t="s">
        <v>49</v>
      </c>
    </row>
    <row r="470" spans="3:11" x14ac:dyDescent="0.25">
      <c r="C470" s="25">
        <v>23597729</v>
      </c>
      <c r="D470" s="26">
        <v>45985.446932870371</v>
      </c>
      <c r="E470" s="25" t="s">
        <v>55</v>
      </c>
      <c r="F470" s="25" t="s">
        <v>56</v>
      </c>
      <c r="G470" s="25" t="s">
        <v>29</v>
      </c>
      <c r="H470" s="25" t="s">
        <v>31</v>
      </c>
      <c r="I470" s="26">
        <v>45994.446932870371</v>
      </c>
      <c r="J470" s="25" t="s">
        <v>7241</v>
      </c>
      <c r="K470" s="25" t="s">
        <v>49</v>
      </c>
    </row>
    <row r="471" spans="3:11" x14ac:dyDescent="0.25">
      <c r="C471" s="25">
        <v>23597730</v>
      </c>
      <c r="D471" s="26">
        <v>45985.446967592594</v>
      </c>
      <c r="E471" s="25" t="s">
        <v>55</v>
      </c>
      <c r="F471" s="25" t="s">
        <v>56</v>
      </c>
      <c r="G471" s="25" t="s">
        <v>29</v>
      </c>
      <c r="H471" s="25" t="s">
        <v>31</v>
      </c>
      <c r="I471" s="26">
        <v>45994.446967592594</v>
      </c>
      <c r="J471" s="25" t="s">
        <v>7241</v>
      </c>
      <c r="K471" s="25" t="s">
        <v>49</v>
      </c>
    </row>
    <row r="472" spans="3:11" x14ac:dyDescent="0.25">
      <c r="C472" s="25">
        <v>23597731</v>
      </c>
      <c r="D472" s="26">
        <v>45985.446967592594</v>
      </c>
      <c r="E472" s="25" t="s">
        <v>55</v>
      </c>
      <c r="F472" s="25" t="s">
        <v>56</v>
      </c>
      <c r="G472" s="25" t="s">
        <v>29</v>
      </c>
      <c r="H472" s="25" t="s">
        <v>31</v>
      </c>
      <c r="I472" s="26">
        <v>45994.446967592594</v>
      </c>
      <c r="J472" s="25" t="s">
        <v>7241</v>
      </c>
      <c r="K472" s="25" t="s">
        <v>49</v>
      </c>
    </row>
    <row r="473" spans="3:11" x14ac:dyDescent="0.25">
      <c r="C473" s="25">
        <v>23597732</v>
      </c>
      <c r="D473" s="26">
        <v>45985.446979166663</v>
      </c>
      <c r="E473" s="25" t="s">
        <v>55</v>
      </c>
      <c r="F473" s="25" t="s">
        <v>56</v>
      </c>
      <c r="G473" s="25" t="s">
        <v>29</v>
      </c>
      <c r="H473" s="25" t="s">
        <v>31</v>
      </c>
      <c r="I473" s="26">
        <v>45994.446979166663</v>
      </c>
      <c r="J473" s="25" t="s">
        <v>7241</v>
      </c>
      <c r="K473" s="25" t="s">
        <v>49</v>
      </c>
    </row>
    <row r="474" spans="3:11" x14ac:dyDescent="0.25">
      <c r="C474" s="25">
        <v>23597733</v>
      </c>
      <c r="D474" s="26">
        <v>45985.446979166663</v>
      </c>
      <c r="E474" s="25" t="s">
        <v>55</v>
      </c>
      <c r="F474" s="25" t="s">
        <v>56</v>
      </c>
      <c r="G474" s="25" t="s">
        <v>29</v>
      </c>
      <c r="H474" s="25" t="s">
        <v>31</v>
      </c>
      <c r="I474" s="26">
        <v>45994.446979166663</v>
      </c>
      <c r="J474" s="25" t="s">
        <v>7241</v>
      </c>
      <c r="K474" s="25" t="s">
        <v>49</v>
      </c>
    </row>
    <row r="475" spans="3:11" x14ac:dyDescent="0.25">
      <c r="C475" s="25">
        <v>23597734</v>
      </c>
      <c r="D475" s="26">
        <v>45985.447013888886</v>
      </c>
      <c r="E475" s="25" t="s">
        <v>55</v>
      </c>
      <c r="F475" s="25" t="s">
        <v>56</v>
      </c>
      <c r="G475" s="25" t="s">
        <v>29</v>
      </c>
      <c r="H475" s="25" t="s">
        <v>31</v>
      </c>
      <c r="I475" s="26">
        <v>45994.447013888886</v>
      </c>
      <c r="J475" s="25" t="s">
        <v>7241</v>
      </c>
      <c r="K475" s="25" t="s">
        <v>49</v>
      </c>
    </row>
    <row r="476" spans="3:11" x14ac:dyDescent="0.25">
      <c r="C476" s="25">
        <v>23597735</v>
      </c>
      <c r="D476" s="26">
        <v>45985.447094907409</v>
      </c>
      <c r="E476" s="25" t="s">
        <v>55</v>
      </c>
      <c r="F476" s="25" t="s">
        <v>56</v>
      </c>
      <c r="G476" s="25" t="s">
        <v>29</v>
      </c>
      <c r="H476" s="25" t="s">
        <v>31</v>
      </c>
      <c r="I476" s="26">
        <v>45994.447094907409</v>
      </c>
      <c r="J476" s="25" t="s">
        <v>7241</v>
      </c>
      <c r="K476" s="25" t="s">
        <v>49</v>
      </c>
    </row>
    <row r="477" spans="3:11" x14ac:dyDescent="0.25">
      <c r="C477" s="25">
        <v>23597736</v>
      </c>
      <c r="D477" s="26">
        <v>45985.447094907409</v>
      </c>
      <c r="E477" s="25" t="s">
        <v>55</v>
      </c>
      <c r="F477" s="25" t="s">
        <v>56</v>
      </c>
      <c r="G477" s="25" t="s">
        <v>29</v>
      </c>
      <c r="H477" s="25" t="s">
        <v>31</v>
      </c>
      <c r="I477" s="26">
        <v>45994.447094907409</v>
      </c>
      <c r="J477" s="25" t="s">
        <v>7241</v>
      </c>
      <c r="K477" s="25" t="s">
        <v>49</v>
      </c>
    </row>
    <row r="478" spans="3:11" x14ac:dyDescent="0.25">
      <c r="C478" s="25">
        <v>23597737</v>
      </c>
      <c r="D478" s="26">
        <v>45985.447141203702</v>
      </c>
      <c r="E478" s="25" t="s">
        <v>55</v>
      </c>
      <c r="F478" s="25" t="s">
        <v>56</v>
      </c>
      <c r="G478" s="25" t="s">
        <v>29</v>
      </c>
      <c r="H478" s="25" t="s">
        <v>31</v>
      </c>
      <c r="I478" s="26">
        <v>45994.447141203702</v>
      </c>
      <c r="J478" s="25" t="s">
        <v>7241</v>
      </c>
      <c r="K478" s="25" t="s">
        <v>49</v>
      </c>
    </row>
    <row r="479" spans="3:11" x14ac:dyDescent="0.25">
      <c r="C479" s="25">
        <v>23597738</v>
      </c>
      <c r="D479" s="26">
        <v>45985.447141203702</v>
      </c>
      <c r="E479" s="25" t="s">
        <v>55</v>
      </c>
      <c r="F479" s="25" t="s">
        <v>56</v>
      </c>
      <c r="G479" s="25" t="s">
        <v>29</v>
      </c>
      <c r="H479" s="25" t="s">
        <v>31</v>
      </c>
      <c r="I479" s="26">
        <v>45994.447141203702</v>
      </c>
      <c r="J479" s="25" t="s">
        <v>7241</v>
      </c>
      <c r="K479" s="25" t="s">
        <v>49</v>
      </c>
    </row>
    <row r="480" spans="3:11" x14ac:dyDescent="0.25">
      <c r="C480" s="25">
        <v>23597739</v>
      </c>
      <c r="D480" s="26">
        <v>45985.447175925925</v>
      </c>
      <c r="E480" s="25" t="s">
        <v>55</v>
      </c>
      <c r="F480" s="25" t="s">
        <v>56</v>
      </c>
      <c r="G480" s="25" t="s">
        <v>29</v>
      </c>
      <c r="H480" s="25" t="s">
        <v>31</v>
      </c>
      <c r="I480" s="26">
        <v>45994.447175925925</v>
      </c>
      <c r="J480" s="25" t="s">
        <v>7241</v>
      </c>
      <c r="K480" s="25" t="s">
        <v>49</v>
      </c>
    </row>
    <row r="481" spans="3:11" x14ac:dyDescent="0.25">
      <c r="C481" s="25">
        <v>23597740</v>
      </c>
      <c r="D481" s="26">
        <v>45985.447187500002</v>
      </c>
      <c r="E481" s="25" t="s">
        <v>55</v>
      </c>
      <c r="F481" s="25" t="s">
        <v>56</v>
      </c>
      <c r="G481" s="25" t="s">
        <v>29</v>
      </c>
      <c r="H481" s="25" t="s">
        <v>31</v>
      </c>
      <c r="I481" s="26">
        <v>45994.447187500002</v>
      </c>
      <c r="J481" s="25" t="s">
        <v>7241</v>
      </c>
      <c r="K481" s="25" t="s">
        <v>49</v>
      </c>
    </row>
    <row r="482" spans="3:11" x14ac:dyDescent="0.25">
      <c r="C482" s="25">
        <v>23597741</v>
      </c>
      <c r="D482" s="26">
        <v>45985.447210648148</v>
      </c>
      <c r="E482" s="25" t="s">
        <v>55</v>
      </c>
      <c r="F482" s="25" t="s">
        <v>56</v>
      </c>
      <c r="G482" s="25" t="s">
        <v>29</v>
      </c>
      <c r="H482" s="25" t="s">
        <v>31</v>
      </c>
      <c r="I482" s="26">
        <v>45994.447210648148</v>
      </c>
      <c r="J482" s="25" t="s">
        <v>7241</v>
      </c>
      <c r="K482" s="25" t="s">
        <v>49</v>
      </c>
    </row>
    <row r="483" spans="3:11" x14ac:dyDescent="0.25">
      <c r="C483" s="25">
        <v>23597742</v>
      </c>
      <c r="D483" s="26">
        <v>45985.447222222225</v>
      </c>
      <c r="E483" s="25" t="s">
        <v>55</v>
      </c>
      <c r="F483" s="25" t="s">
        <v>56</v>
      </c>
      <c r="G483" s="25" t="s">
        <v>29</v>
      </c>
      <c r="H483" s="25" t="s">
        <v>31</v>
      </c>
      <c r="I483" s="26">
        <v>45994.447222222225</v>
      </c>
      <c r="J483" s="25" t="s">
        <v>7243</v>
      </c>
      <c r="K483" s="25" t="s">
        <v>49</v>
      </c>
    </row>
    <row r="484" spans="3:11" x14ac:dyDescent="0.25">
      <c r="C484" s="25">
        <v>23597743</v>
      </c>
      <c r="D484" s="26">
        <v>45985.447222222225</v>
      </c>
      <c r="E484" s="25" t="s">
        <v>55</v>
      </c>
      <c r="F484" s="25" t="s">
        <v>56</v>
      </c>
      <c r="G484" s="25" t="s">
        <v>29</v>
      </c>
      <c r="H484" s="25" t="s">
        <v>31</v>
      </c>
      <c r="I484" s="26">
        <v>45994.447222222225</v>
      </c>
      <c r="J484" s="25" t="s">
        <v>7243</v>
      </c>
      <c r="K484" s="25" t="s">
        <v>49</v>
      </c>
    </row>
    <row r="485" spans="3:11" x14ac:dyDescent="0.25">
      <c r="C485" s="25">
        <v>23597744</v>
      </c>
      <c r="D485" s="26">
        <v>45985.447233796294</v>
      </c>
      <c r="E485" s="25" t="s">
        <v>55</v>
      </c>
      <c r="F485" s="25" t="s">
        <v>56</v>
      </c>
      <c r="G485" s="25" t="s">
        <v>29</v>
      </c>
      <c r="H485" s="25" t="s">
        <v>31</v>
      </c>
      <c r="I485" s="26">
        <v>45994.447233796294</v>
      </c>
      <c r="J485" s="25" t="s">
        <v>7243</v>
      </c>
      <c r="K485" s="25" t="s">
        <v>49</v>
      </c>
    </row>
    <row r="486" spans="3:11" x14ac:dyDescent="0.25">
      <c r="C486" s="25">
        <v>23597745</v>
      </c>
      <c r="D486" s="26">
        <v>45985.447233796294</v>
      </c>
      <c r="E486" s="25" t="s">
        <v>55</v>
      </c>
      <c r="F486" s="25" t="s">
        <v>56</v>
      </c>
      <c r="G486" s="25" t="s">
        <v>29</v>
      </c>
      <c r="H486" s="25" t="s">
        <v>31</v>
      </c>
      <c r="I486" s="26">
        <v>45994.447233796294</v>
      </c>
      <c r="J486" s="25" t="s">
        <v>7243</v>
      </c>
      <c r="K486" s="25" t="s">
        <v>49</v>
      </c>
    </row>
    <row r="487" spans="3:11" x14ac:dyDescent="0.25">
      <c r="C487" s="25">
        <v>23597746</v>
      </c>
      <c r="D487" s="26">
        <v>45985.447245370371</v>
      </c>
      <c r="E487" s="25" t="s">
        <v>55</v>
      </c>
      <c r="F487" s="25" t="s">
        <v>56</v>
      </c>
      <c r="G487" s="25" t="s">
        <v>29</v>
      </c>
      <c r="H487" s="25" t="s">
        <v>31</v>
      </c>
      <c r="I487" s="26">
        <v>45994.447245370371</v>
      </c>
      <c r="J487" s="25" t="s">
        <v>7243</v>
      </c>
      <c r="K487" s="25" t="s">
        <v>49</v>
      </c>
    </row>
    <row r="488" spans="3:11" x14ac:dyDescent="0.25">
      <c r="C488" s="25">
        <v>23597747</v>
      </c>
      <c r="D488" s="26">
        <v>45985.447256944448</v>
      </c>
      <c r="E488" s="25" t="s">
        <v>55</v>
      </c>
      <c r="F488" s="25" t="s">
        <v>56</v>
      </c>
      <c r="G488" s="25" t="s">
        <v>29</v>
      </c>
      <c r="H488" s="25" t="s">
        <v>31</v>
      </c>
      <c r="I488" s="26">
        <v>45994.447256944448</v>
      </c>
      <c r="J488" s="25" t="s">
        <v>7243</v>
      </c>
      <c r="K488" s="25" t="s">
        <v>49</v>
      </c>
    </row>
    <row r="489" spans="3:11" x14ac:dyDescent="0.25">
      <c r="C489" s="25">
        <v>23597748</v>
      </c>
      <c r="D489" s="26">
        <v>45985.447291666664</v>
      </c>
      <c r="E489" s="25" t="s">
        <v>55</v>
      </c>
      <c r="F489" s="25" t="s">
        <v>56</v>
      </c>
      <c r="G489" s="25" t="s">
        <v>29</v>
      </c>
      <c r="H489" s="25" t="s">
        <v>31</v>
      </c>
      <c r="I489" s="26">
        <v>45994.447291666664</v>
      </c>
      <c r="J489" s="25" t="s">
        <v>7243</v>
      </c>
      <c r="K489" s="25" t="s">
        <v>49</v>
      </c>
    </row>
    <row r="490" spans="3:11" x14ac:dyDescent="0.25">
      <c r="C490" s="25">
        <v>23597749</v>
      </c>
      <c r="D490" s="26">
        <v>45985.447291666664</v>
      </c>
      <c r="E490" s="25" t="s">
        <v>55</v>
      </c>
      <c r="F490" s="25" t="s">
        <v>56</v>
      </c>
      <c r="G490" s="25" t="s">
        <v>29</v>
      </c>
      <c r="H490" s="25" t="s">
        <v>31</v>
      </c>
      <c r="I490" s="26">
        <v>45994.447291666664</v>
      </c>
      <c r="J490" s="25" t="s">
        <v>7243</v>
      </c>
      <c r="K490" s="25" t="s">
        <v>49</v>
      </c>
    </row>
    <row r="491" spans="3:11" x14ac:dyDescent="0.25">
      <c r="C491" s="25">
        <v>23597750</v>
      </c>
      <c r="D491" s="26">
        <v>45985.447337962964</v>
      </c>
      <c r="E491" s="25" t="s">
        <v>55</v>
      </c>
      <c r="F491" s="25" t="s">
        <v>56</v>
      </c>
      <c r="G491" s="25" t="s">
        <v>29</v>
      </c>
      <c r="H491" s="25" t="s">
        <v>31</v>
      </c>
      <c r="I491" s="26">
        <v>45994.447337962964</v>
      </c>
      <c r="J491" s="25" t="s">
        <v>7243</v>
      </c>
      <c r="K491" s="25" t="s">
        <v>49</v>
      </c>
    </row>
    <row r="492" spans="3:11" x14ac:dyDescent="0.25">
      <c r="C492" s="25">
        <v>23597751</v>
      </c>
      <c r="D492" s="26">
        <v>45985.44734953704</v>
      </c>
      <c r="E492" s="25" t="s">
        <v>55</v>
      </c>
      <c r="F492" s="25" t="s">
        <v>56</v>
      </c>
      <c r="G492" s="25" t="s">
        <v>29</v>
      </c>
      <c r="H492" s="25" t="s">
        <v>31</v>
      </c>
      <c r="I492" s="26">
        <v>45994.44734953704</v>
      </c>
      <c r="J492" s="25" t="s">
        <v>7243</v>
      </c>
      <c r="K492" s="25" t="s">
        <v>49</v>
      </c>
    </row>
    <row r="493" spans="3:11" x14ac:dyDescent="0.25">
      <c r="C493" s="25">
        <v>23597752</v>
      </c>
      <c r="D493" s="26">
        <v>45985.44736111111</v>
      </c>
      <c r="E493" s="25" t="s">
        <v>55</v>
      </c>
      <c r="F493" s="25" t="s">
        <v>56</v>
      </c>
      <c r="G493" s="25" t="s">
        <v>29</v>
      </c>
      <c r="H493" s="25" t="s">
        <v>31</v>
      </c>
      <c r="I493" s="26">
        <v>45994.44736111111</v>
      </c>
      <c r="J493" s="25" t="s">
        <v>7243</v>
      </c>
      <c r="K493" s="25" t="s">
        <v>49</v>
      </c>
    </row>
    <row r="494" spans="3:11" x14ac:dyDescent="0.25">
      <c r="C494" s="25">
        <v>23597753</v>
      </c>
      <c r="D494" s="26">
        <v>45985.447372685187</v>
      </c>
      <c r="E494" s="25" t="s">
        <v>55</v>
      </c>
      <c r="F494" s="25" t="s">
        <v>56</v>
      </c>
      <c r="G494" s="25" t="s">
        <v>29</v>
      </c>
      <c r="H494" s="25" t="s">
        <v>31</v>
      </c>
      <c r="I494" s="26">
        <v>45994.447372685187</v>
      </c>
      <c r="J494" s="25" t="s">
        <v>7243</v>
      </c>
      <c r="K494" s="25" t="s">
        <v>49</v>
      </c>
    </row>
    <row r="495" spans="3:11" x14ac:dyDescent="0.25">
      <c r="C495" s="25">
        <v>23597754</v>
      </c>
      <c r="D495" s="26">
        <v>45985.447384259256</v>
      </c>
      <c r="E495" s="25" t="s">
        <v>55</v>
      </c>
      <c r="F495" s="25" t="s">
        <v>56</v>
      </c>
      <c r="G495" s="25" t="s">
        <v>29</v>
      </c>
      <c r="H495" s="25" t="s">
        <v>31</v>
      </c>
      <c r="I495" s="26">
        <v>45994.447384259256</v>
      </c>
      <c r="J495" s="25" t="s">
        <v>7243</v>
      </c>
      <c r="K495" s="25" t="s">
        <v>49</v>
      </c>
    </row>
    <row r="496" spans="3:11" x14ac:dyDescent="0.25">
      <c r="C496" s="25">
        <v>23597755</v>
      </c>
      <c r="D496" s="26">
        <v>45985.447384259256</v>
      </c>
      <c r="E496" s="25" t="s">
        <v>55</v>
      </c>
      <c r="F496" s="25" t="s">
        <v>56</v>
      </c>
      <c r="G496" s="25" t="s">
        <v>29</v>
      </c>
      <c r="H496" s="25" t="s">
        <v>31</v>
      </c>
      <c r="I496" s="26">
        <v>45994.447384259256</v>
      </c>
      <c r="J496" s="25" t="s">
        <v>7243</v>
      </c>
      <c r="K496" s="25" t="s">
        <v>49</v>
      </c>
    </row>
    <row r="497" spans="3:11" x14ac:dyDescent="0.25">
      <c r="C497" s="25">
        <v>23597757</v>
      </c>
      <c r="D497" s="26">
        <v>45985.44740740741</v>
      </c>
      <c r="E497" s="25" t="s">
        <v>55</v>
      </c>
      <c r="F497" s="25" t="s">
        <v>56</v>
      </c>
      <c r="G497" s="25" t="s">
        <v>29</v>
      </c>
      <c r="H497" s="25" t="s">
        <v>31</v>
      </c>
      <c r="I497" s="26">
        <v>45994.44740740741</v>
      </c>
      <c r="J497" s="25" t="s">
        <v>7243</v>
      </c>
      <c r="K497" s="25" t="s">
        <v>49</v>
      </c>
    </row>
    <row r="498" spans="3:11" x14ac:dyDescent="0.25">
      <c r="C498" s="25">
        <v>23597758</v>
      </c>
      <c r="D498" s="26">
        <v>45985.44740740741</v>
      </c>
      <c r="E498" s="25" t="s">
        <v>55</v>
      </c>
      <c r="F498" s="25" t="s">
        <v>56</v>
      </c>
      <c r="G498" s="25" t="s">
        <v>29</v>
      </c>
      <c r="H498" s="25" t="s">
        <v>31</v>
      </c>
      <c r="I498" s="26">
        <v>45994.44740740741</v>
      </c>
      <c r="J498" s="25" t="s">
        <v>7243</v>
      </c>
      <c r="K498" s="25" t="s">
        <v>49</v>
      </c>
    </row>
    <row r="499" spans="3:11" x14ac:dyDescent="0.25">
      <c r="C499" s="25">
        <v>23597759</v>
      </c>
      <c r="D499" s="26">
        <v>45985.447430555556</v>
      </c>
      <c r="E499" s="25" t="s">
        <v>55</v>
      </c>
      <c r="F499" s="25" t="s">
        <v>56</v>
      </c>
      <c r="G499" s="25" t="s">
        <v>29</v>
      </c>
      <c r="H499" s="25" t="s">
        <v>31</v>
      </c>
      <c r="I499" s="26">
        <v>45994.447430555556</v>
      </c>
      <c r="J499" s="25" t="s">
        <v>7243</v>
      </c>
      <c r="K499" s="25" t="s">
        <v>49</v>
      </c>
    </row>
    <row r="500" spans="3:11" x14ac:dyDescent="0.25">
      <c r="C500" s="25">
        <v>23597760</v>
      </c>
      <c r="D500" s="26">
        <v>45985.447430555556</v>
      </c>
      <c r="E500" s="25" t="s">
        <v>55</v>
      </c>
      <c r="F500" s="25" t="s">
        <v>56</v>
      </c>
      <c r="G500" s="25" t="s">
        <v>29</v>
      </c>
      <c r="H500" s="25" t="s">
        <v>31</v>
      </c>
      <c r="I500" s="26">
        <v>45994.447430555556</v>
      </c>
      <c r="J500" s="25" t="s">
        <v>7243</v>
      </c>
      <c r="K500" s="25" t="s">
        <v>49</v>
      </c>
    </row>
    <row r="501" spans="3:11" x14ac:dyDescent="0.25">
      <c r="C501" s="25">
        <v>23597761</v>
      </c>
      <c r="D501" s="26">
        <v>45985.447453703702</v>
      </c>
      <c r="E501" s="25" t="s">
        <v>55</v>
      </c>
      <c r="F501" s="25" t="s">
        <v>56</v>
      </c>
      <c r="G501" s="25" t="s">
        <v>29</v>
      </c>
      <c r="H501" s="25" t="s">
        <v>31</v>
      </c>
      <c r="I501" s="26">
        <v>45994.447453703702</v>
      </c>
      <c r="J501" s="25" t="s">
        <v>7243</v>
      </c>
      <c r="K501" s="25" t="s">
        <v>49</v>
      </c>
    </row>
    <row r="502" spans="3:11" x14ac:dyDescent="0.25">
      <c r="C502" s="25">
        <v>23597762</v>
      </c>
      <c r="D502" s="26">
        <v>45985.447453703702</v>
      </c>
      <c r="E502" s="25" t="s">
        <v>55</v>
      </c>
      <c r="F502" s="25" t="s">
        <v>56</v>
      </c>
      <c r="G502" s="25" t="s">
        <v>29</v>
      </c>
      <c r="H502" s="25" t="s">
        <v>31</v>
      </c>
      <c r="I502" s="26">
        <v>45994.447453703702</v>
      </c>
      <c r="J502" s="25" t="s">
        <v>7243</v>
      </c>
      <c r="K502" s="25" t="s">
        <v>49</v>
      </c>
    </row>
    <row r="503" spans="3:11" x14ac:dyDescent="0.25">
      <c r="C503" s="25">
        <v>23597763</v>
      </c>
      <c r="D503" s="26">
        <v>45985.447488425925</v>
      </c>
      <c r="E503" s="25" t="s">
        <v>55</v>
      </c>
      <c r="F503" s="25" t="s">
        <v>56</v>
      </c>
      <c r="G503" s="25" t="s">
        <v>29</v>
      </c>
      <c r="H503" s="25" t="s">
        <v>31</v>
      </c>
      <c r="I503" s="26">
        <v>45994.447488425925</v>
      </c>
      <c r="J503" s="25" t="s">
        <v>7243</v>
      </c>
      <c r="K503" s="25" t="s">
        <v>49</v>
      </c>
    </row>
    <row r="504" spans="3:11" x14ac:dyDescent="0.25">
      <c r="C504" s="25">
        <v>23597764</v>
      </c>
      <c r="D504" s="26">
        <v>45985.447500000002</v>
      </c>
      <c r="E504" s="25" t="s">
        <v>55</v>
      </c>
      <c r="F504" s="25" t="s">
        <v>56</v>
      </c>
      <c r="G504" s="25" t="s">
        <v>29</v>
      </c>
      <c r="H504" s="25" t="s">
        <v>31</v>
      </c>
      <c r="I504" s="26">
        <v>45994.447500000002</v>
      </c>
      <c r="J504" s="25" t="s">
        <v>7243</v>
      </c>
      <c r="K504" s="25" t="s">
        <v>49</v>
      </c>
    </row>
    <row r="505" spans="3:11" x14ac:dyDescent="0.25">
      <c r="C505" s="25">
        <v>23597765</v>
      </c>
      <c r="D505" s="26">
        <v>45985.447500000002</v>
      </c>
      <c r="E505" s="25" t="s">
        <v>55</v>
      </c>
      <c r="F505" s="25" t="s">
        <v>56</v>
      </c>
      <c r="G505" s="25" t="s">
        <v>29</v>
      </c>
      <c r="H505" s="25" t="s">
        <v>31</v>
      </c>
      <c r="I505" s="26">
        <v>45994.447500000002</v>
      </c>
      <c r="J505" s="25" t="s">
        <v>7243</v>
      </c>
      <c r="K505" s="25" t="s">
        <v>49</v>
      </c>
    </row>
    <row r="506" spans="3:11" x14ac:dyDescent="0.25">
      <c r="C506" s="25">
        <v>23597766</v>
      </c>
      <c r="D506" s="26">
        <v>45985.447500000002</v>
      </c>
      <c r="E506" s="25" t="s">
        <v>55</v>
      </c>
      <c r="F506" s="25" t="s">
        <v>56</v>
      </c>
      <c r="G506" s="25" t="s">
        <v>29</v>
      </c>
      <c r="H506" s="25" t="s">
        <v>31</v>
      </c>
      <c r="I506" s="26">
        <v>45994.447500000002</v>
      </c>
      <c r="J506" s="25" t="s">
        <v>7243</v>
      </c>
      <c r="K506" s="25" t="s">
        <v>49</v>
      </c>
    </row>
    <row r="507" spans="3:11" x14ac:dyDescent="0.25">
      <c r="C507" s="25">
        <v>23597767</v>
      </c>
      <c r="D507" s="26">
        <v>45985.447500000002</v>
      </c>
      <c r="E507" s="25" t="s">
        <v>55</v>
      </c>
      <c r="F507" s="25" t="s">
        <v>56</v>
      </c>
      <c r="G507" s="25" t="s">
        <v>29</v>
      </c>
      <c r="H507" s="25" t="s">
        <v>31</v>
      </c>
      <c r="I507" s="26">
        <v>45994.447500000002</v>
      </c>
      <c r="J507" s="25" t="s">
        <v>7243</v>
      </c>
      <c r="K507" s="25" t="s">
        <v>49</v>
      </c>
    </row>
    <row r="508" spans="3:11" x14ac:dyDescent="0.25">
      <c r="C508" s="25">
        <v>23597768</v>
      </c>
      <c r="D508" s="26">
        <v>45985.447500000002</v>
      </c>
      <c r="E508" s="25" t="s">
        <v>55</v>
      </c>
      <c r="F508" s="25" t="s">
        <v>56</v>
      </c>
      <c r="G508" s="25" t="s">
        <v>29</v>
      </c>
      <c r="H508" s="25" t="s">
        <v>31</v>
      </c>
      <c r="I508" s="26">
        <v>45994.447500000002</v>
      </c>
      <c r="J508" s="25" t="s">
        <v>7243</v>
      </c>
      <c r="K508" s="25" t="s">
        <v>49</v>
      </c>
    </row>
    <row r="509" spans="3:11" x14ac:dyDescent="0.25">
      <c r="C509" s="25">
        <v>23597769</v>
      </c>
      <c r="D509" s="26">
        <v>45985.447500000002</v>
      </c>
      <c r="E509" s="25" t="s">
        <v>55</v>
      </c>
      <c r="F509" s="25" t="s">
        <v>56</v>
      </c>
      <c r="G509" s="25" t="s">
        <v>29</v>
      </c>
      <c r="H509" s="25" t="s">
        <v>31</v>
      </c>
      <c r="I509" s="26">
        <v>45994.447500000002</v>
      </c>
      <c r="J509" s="25" t="s">
        <v>7243</v>
      </c>
      <c r="K509" s="25" t="s">
        <v>49</v>
      </c>
    </row>
    <row r="510" spans="3:11" x14ac:dyDescent="0.25">
      <c r="C510" s="25">
        <v>23597770</v>
      </c>
      <c r="D510" s="26">
        <v>45985.447511574072</v>
      </c>
      <c r="E510" s="25" t="s">
        <v>55</v>
      </c>
      <c r="F510" s="25" t="s">
        <v>56</v>
      </c>
      <c r="G510" s="25" t="s">
        <v>29</v>
      </c>
      <c r="H510" s="25" t="s">
        <v>31</v>
      </c>
      <c r="I510" s="26">
        <v>45994.447511574072</v>
      </c>
      <c r="J510" s="25" t="s">
        <v>7243</v>
      </c>
      <c r="K510" s="25" t="s">
        <v>49</v>
      </c>
    </row>
    <row r="511" spans="3:11" x14ac:dyDescent="0.25">
      <c r="C511" s="25">
        <v>23597771</v>
      </c>
      <c r="D511" s="26">
        <v>45985.447500000002</v>
      </c>
      <c r="E511" s="25" t="s">
        <v>55</v>
      </c>
      <c r="F511" s="25" t="s">
        <v>56</v>
      </c>
      <c r="G511" s="25" t="s">
        <v>29</v>
      </c>
      <c r="H511" s="25" t="s">
        <v>31</v>
      </c>
      <c r="I511" s="26">
        <v>45994.447500000002</v>
      </c>
      <c r="J511" s="25" t="s">
        <v>7243</v>
      </c>
      <c r="K511" s="25" t="s">
        <v>49</v>
      </c>
    </row>
    <row r="512" spans="3:11" x14ac:dyDescent="0.25">
      <c r="C512" s="25">
        <v>23597772</v>
      </c>
      <c r="D512" s="26">
        <v>45985.447511574072</v>
      </c>
      <c r="E512" s="25" t="s">
        <v>55</v>
      </c>
      <c r="F512" s="25" t="s">
        <v>56</v>
      </c>
      <c r="G512" s="25" t="s">
        <v>29</v>
      </c>
      <c r="H512" s="25" t="s">
        <v>31</v>
      </c>
      <c r="I512" s="26">
        <v>45994.447511574072</v>
      </c>
      <c r="J512" s="25" t="s">
        <v>7243</v>
      </c>
      <c r="K512" s="25" t="s">
        <v>49</v>
      </c>
    </row>
    <row r="513" spans="3:11" x14ac:dyDescent="0.25">
      <c r="C513" s="25">
        <v>23597774</v>
      </c>
      <c r="D513" s="26">
        <v>45985.447523148148</v>
      </c>
      <c r="E513" s="25" t="s">
        <v>55</v>
      </c>
      <c r="F513" s="25" t="s">
        <v>56</v>
      </c>
      <c r="G513" s="25" t="s">
        <v>29</v>
      </c>
      <c r="H513" s="25" t="s">
        <v>31</v>
      </c>
      <c r="I513" s="26">
        <v>45994.447523148148</v>
      </c>
      <c r="J513" s="25" t="s">
        <v>7243</v>
      </c>
      <c r="K513" s="25" t="s">
        <v>49</v>
      </c>
    </row>
    <row r="514" spans="3:11" x14ac:dyDescent="0.25">
      <c r="C514" s="25">
        <v>23597775</v>
      </c>
      <c r="D514" s="26">
        <v>45985.447523148148</v>
      </c>
      <c r="E514" s="25" t="s">
        <v>55</v>
      </c>
      <c r="F514" s="25" t="s">
        <v>56</v>
      </c>
      <c r="G514" s="25" t="s">
        <v>29</v>
      </c>
      <c r="H514" s="25" t="s">
        <v>31</v>
      </c>
      <c r="I514" s="26">
        <v>45994.447523148148</v>
      </c>
      <c r="J514" s="25" t="s">
        <v>7243</v>
      </c>
      <c r="K514" s="25" t="s">
        <v>49</v>
      </c>
    </row>
    <row r="515" spans="3:11" x14ac:dyDescent="0.25">
      <c r="C515" s="25">
        <v>23597776</v>
      </c>
      <c r="D515" s="26">
        <v>45985.447534722225</v>
      </c>
      <c r="E515" s="25" t="s">
        <v>55</v>
      </c>
      <c r="F515" s="25" t="s">
        <v>56</v>
      </c>
      <c r="G515" s="25" t="s">
        <v>29</v>
      </c>
      <c r="H515" s="25" t="s">
        <v>31</v>
      </c>
      <c r="I515" s="26">
        <v>45994.447534722225</v>
      </c>
      <c r="J515" s="25" t="s">
        <v>7243</v>
      </c>
      <c r="K515" s="25" t="s">
        <v>49</v>
      </c>
    </row>
    <row r="516" spans="3:11" x14ac:dyDescent="0.25">
      <c r="C516" s="25">
        <v>23597777</v>
      </c>
      <c r="D516" s="26">
        <v>45985.447581018518</v>
      </c>
      <c r="E516" s="25" t="s">
        <v>55</v>
      </c>
      <c r="F516" s="25" t="s">
        <v>56</v>
      </c>
      <c r="G516" s="25" t="s">
        <v>29</v>
      </c>
      <c r="H516" s="25" t="s">
        <v>31</v>
      </c>
      <c r="I516" s="26">
        <v>45994.447581018518</v>
      </c>
      <c r="J516" s="25" t="s">
        <v>7243</v>
      </c>
      <c r="K516" s="25" t="s">
        <v>49</v>
      </c>
    </row>
    <row r="517" spans="3:11" x14ac:dyDescent="0.25">
      <c r="C517" s="25">
        <v>23597778</v>
      </c>
      <c r="D517" s="26">
        <v>45985.447581018518</v>
      </c>
      <c r="E517" s="25" t="s">
        <v>55</v>
      </c>
      <c r="F517" s="25" t="s">
        <v>56</v>
      </c>
      <c r="G517" s="25" t="s">
        <v>29</v>
      </c>
      <c r="H517" s="25" t="s">
        <v>31</v>
      </c>
      <c r="I517" s="26">
        <v>45994.447581018518</v>
      </c>
      <c r="J517" s="25" t="s">
        <v>7243</v>
      </c>
      <c r="K517" s="25" t="s">
        <v>49</v>
      </c>
    </row>
    <row r="518" spans="3:11" x14ac:dyDescent="0.25">
      <c r="C518" s="25">
        <v>23597779</v>
      </c>
      <c r="D518" s="26">
        <v>45985.447581018518</v>
      </c>
      <c r="E518" s="25" t="s">
        <v>55</v>
      </c>
      <c r="F518" s="25" t="s">
        <v>56</v>
      </c>
      <c r="G518" s="25" t="s">
        <v>29</v>
      </c>
      <c r="H518" s="25" t="s">
        <v>31</v>
      </c>
      <c r="I518" s="26">
        <v>45994.447581018518</v>
      </c>
      <c r="J518" s="25" t="s">
        <v>7243</v>
      </c>
      <c r="K518" s="25" t="s">
        <v>49</v>
      </c>
    </row>
    <row r="519" spans="3:11" x14ac:dyDescent="0.25">
      <c r="C519" s="25">
        <v>23597780</v>
      </c>
      <c r="D519" s="26">
        <v>45985.447581018518</v>
      </c>
      <c r="E519" s="25" t="s">
        <v>55</v>
      </c>
      <c r="F519" s="25" t="s">
        <v>56</v>
      </c>
      <c r="G519" s="25" t="s">
        <v>29</v>
      </c>
      <c r="H519" s="25" t="s">
        <v>31</v>
      </c>
      <c r="I519" s="26">
        <v>45994.447581018518</v>
      </c>
      <c r="J519" s="25" t="s">
        <v>7243</v>
      </c>
      <c r="K519" s="25" t="s">
        <v>49</v>
      </c>
    </row>
    <row r="520" spans="3:11" x14ac:dyDescent="0.25">
      <c r="C520" s="25">
        <v>23597781</v>
      </c>
      <c r="D520" s="26">
        <v>45985.447581018518</v>
      </c>
      <c r="E520" s="25" t="s">
        <v>55</v>
      </c>
      <c r="F520" s="25" t="s">
        <v>56</v>
      </c>
      <c r="G520" s="25" t="s">
        <v>29</v>
      </c>
      <c r="H520" s="25" t="s">
        <v>31</v>
      </c>
      <c r="I520" s="26">
        <v>45994.447581018518</v>
      </c>
      <c r="J520" s="25" t="s">
        <v>7243</v>
      </c>
      <c r="K520" s="25" t="s">
        <v>49</v>
      </c>
    </row>
    <row r="521" spans="3:11" x14ac:dyDescent="0.25">
      <c r="C521" s="25">
        <v>23597782</v>
      </c>
      <c r="D521" s="26">
        <v>45985.447581018518</v>
      </c>
      <c r="E521" s="25" t="s">
        <v>55</v>
      </c>
      <c r="F521" s="25" t="s">
        <v>56</v>
      </c>
      <c r="G521" s="25" t="s">
        <v>29</v>
      </c>
      <c r="H521" s="25" t="s">
        <v>31</v>
      </c>
      <c r="I521" s="26">
        <v>45994.447581018518</v>
      </c>
      <c r="J521" s="25" t="s">
        <v>7243</v>
      </c>
      <c r="K521" s="25" t="s">
        <v>49</v>
      </c>
    </row>
    <row r="522" spans="3:11" x14ac:dyDescent="0.25">
      <c r="C522" s="25">
        <v>23597783</v>
      </c>
      <c r="D522" s="26">
        <v>45985.447592592594</v>
      </c>
      <c r="E522" s="25" t="s">
        <v>55</v>
      </c>
      <c r="F522" s="25" t="s">
        <v>56</v>
      </c>
      <c r="G522" s="25" t="s">
        <v>29</v>
      </c>
      <c r="H522" s="25" t="s">
        <v>31</v>
      </c>
      <c r="I522" s="26">
        <v>45994.447592592594</v>
      </c>
      <c r="J522" s="25" t="s">
        <v>7243</v>
      </c>
      <c r="K522" s="25" t="s">
        <v>49</v>
      </c>
    </row>
    <row r="523" spans="3:11" x14ac:dyDescent="0.25">
      <c r="C523" s="25">
        <v>23597784</v>
      </c>
      <c r="D523" s="26">
        <v>45985.447615740741</v>
      </c>
      <c r="E523" s="25" t="s">
        <v>55</v>
      </c>
      <c r="F523" s="25" t="s">
        <v>56</v>
      </c>
      <c r="G523" s="25" t="s">
        <v>29</v>
      </c>
      <c r="H523" s="25" t="s">
        <v>31</v>
      </c>
      <c r="I523" s="26">
        <v>45994.447615740741</v>
      </c>
      <c r="J523" s="25" t="s">
        <v>7243</v>
      </c>
      <c r="K523" s="25" t="s">
        <v>49</v>
      </c>
    </row>
    <row r="524" spans="3:11" x14ac:dyDescent="0.25">
      <c r="C524" s="25">
        <v>23597785</v>
      </c>
      <c r="D524" s="26">
        <v>45985.447627314818</v>
      </c>
      <c r="E524" s="25" t="s">
        <v>55</v>
      </c>
      <c r="F524" s="25" t="s">
        <v>56</v>
      </c>
      <c r="G524" s="25" t="s">
        <v>29</v>
      </c>
      <c r="H524" s="25" t="s">
        <v>31</v>
      </c>
      <c r="I524" s="26">
        <v>45994.447627314818</v>
      </c>
      <c r="J524" s="25" t="s">
        <v>7243</v>
      </c>
      <c r="K524" s="25" t="s">
        <v>49</v>
      </c>
    </row>
    <row r="525" spans="3:11" x14ac:dyDescent="0.25">
      <c r="C525" s="25">
        <v>23597786</v>
      </c>
      <c r="D525" s="26">
        <v>45985.447615740741</v>
      </c>
      <c r="E525" s="25" t="s">
        <v>55</v>
      </c>
      <c r="F525" s="25" t="s">
        <v>56</v>
      </c>
      <c r="G525" s="25" t="s">
        <v>29</v>
      </c>
      <c r="H525" s="25" t="s">
        <v>31</v>
      </c>
      <c r="I525" s="26">
        <v>45994.447615740741</v>
      </c>
      <c r="J525" s="25" t="s">
        <v>7243</v>
      </c>
      <c r="K525" s="25" t="s">
        <v>49</v>
      </c>
    </row>
    <row r="526" spans="3:11" x14ac:dyDescent="0.25">
      <c r="C526" s="25">
        <v>23597787</v>
      </c>
      <c r="D526" s="26">
        <v>45985.447615740741</v>
      </c>
      <c r="E526" s="25" t="s">
        <v>55</v>
      </c>
      <c r="F526" s="25" t="s">
        <v>56</v>
      </c>
      <c r="G526" s="25" t="s">
        <v>29</v>
      </c>
      <c r="H526" s="25" t="s">
        <v>31</v>
      </c>
      <c r="I526" s="26">
        <v>45994.447615740741</v>
      </c>
      <c r="J526" s="25" t="s">
        <v>7243</v>
      </c>
      <c r="K526" s="25" t="s">
        <v>49</v>
      </c>
    </row>
    <row r="527" spans="3:11" x14ac:dyDescent="0.25">
      <c r="C527" s="25">
        <v>23597788</v>
      </c>
      <c r="D527" s="26">
        <v>45985.447627314818</v>
      </c>
      <c r="E527" s="25" t="s">
        <v>55</v>
      </c>
      <c r="F527" s="25" t="s">
        <v>56</v>
      </c>
      <c r="G527" s="25" t="s">
        <v>29</v>
      </c>
      <c r="H527" s="25" t="s">
        <v>31</v>
      </c>
      <c r="I527" s="26">
        <v>45994.447627314818</v>
      </c>
      <c r="J527" s="25" t="s">
        <v>7243</v>
      </c>
      <c r="K527" s="25" t="s">
        <v>49</v>
      </c>
    </row>
    <row r="528" spans="3:11" x14ac:dyDescent="0.25">
      <c r="C528" s="25">
        <v>23597789</v>
      </c>
      <c r="D528" s="26">
        <v>45985.447638888887</v>
      </c>
      <c r="E528" s="25" t="s">
        <v>55</v>
      </c>
      <c r="F528" s="25" t="s">
        <v>56</v>
      </c>
      <c r="G528" s="25" t="s">
        <v>29</v>
      </c>
      <c r="H528" s="25" t="s">
        <v>31</v>
      </c>
      <c r="I528" s="26">
        <v>45994.447638888887</v>
      </c>
      <c r="J528" s="25" t="s">
        <v>7243</v>
      </c>
      <c r="K528" s="25" t="s">
        <v>49</v>
      </c>
    </row>
    <row r="529" spans="3:11" x14ac:dyDescent="0.25">
      <c r="C529" s="25">
        <v>23597790</v>
      </c>
      <c r="D529" s="26">
        <v>45985.447662037041</v>
      </c>
      <c r="E529" s="25" t="s">
        <v>55</v>
      </c>
      <c r="F529" s="25" t="s">
        <v>56</v>
      </c>
      <c r="G529" s="25" t="s">
        <v>29</v>
      </c>
      <c r="H529" s="25" t="s">
        <v>31</v>
      </c>
      <c r="I529" s="26">
        <v>45994.447662037041</v>
      </c>
      <c r="J529" s="25" t="s">
        <v>7243</v>
      </c>
      <c r="K529" s="25" t="s">
        <v>49</v>
      </c>
    </row>
    <row r="530" spans="3:11" x14ac:dyDescent="0.25">
      <c r="C530" s="25">
        <v>23597791</v>
      </c>
      <c r="D530" s="26">
        <v>45985.447662037041</v>
      </c>
      <c r="E530" s="25" t="s">
        <v>55</v>
      </c>
      <c r="F530" s="25" t="s">
        <v>56</v>
      </c>
      <c r="G530" s="25" t="s">
        <v>29</v>
      </c>
      <c r="H530" s="25" t="s">
        <v>31</v>
      </c>
      <c r="I530" s="26">
        <v>45994.447662037041</v>
      </c>
      <c r="J530" s="25" t="s">
        <v>7243</v>
      </c>
      <c r="K530" s="25" t="s">
        <v>49</v>
      </c>
    </row>
    <row r="531" spans="3:11" x14ac:dyDescent="0.25">
      <c r="C531" s="25">
        <v>23597792</v>
      </c>
      <c r="D531" s="26">
        <v>45985.447662037041</v>
      </c>
      <c r="E531" s="25" t="s">
        <v>55</v>
      </c>
      <c r="F531" s="25" t="s">
        <v>56</v>
      </c>
      <c r="G531" s="25" t="s">
        <v>29</v>
      </c>
      <c r="H531" s="25" t="s">
        <v>31</v>
      </c>
      <c r="I531" s="26">
        <v>45994.447662037041</v>
      </c>
      <c r="J531" s="25" t="s">
        <v>7243</v>
      </c>
      <c r="K531" s="25" t="s">
        <v>49</v>
      </c>
    </row>
    <row r="532" spans="3:11" x14ac:dyDescent="0.25">
      <c r="C532" s="25">
        <v>23597793</v>
      </c>
      <c r="D532" s="26">
        <v>45985.44767361111</v>
      </c>
      <c r="E532" s="25" t="s">
        <v>55</v>
      </c>
      <c r="F532" s="25" t="s">
        <v>56</v>
      </c>
      <c r="G532" s="25" t="s">
        <v>29</v>
      </c>
      <c r="H532" s="25" t="s">
        <v>31</v>
      </c>
      <c r="I532" s="26">
        <v>45994.44767361111</v>
      </c>
      <c r="J532" s="25" t="s">
        <v>7243</v>
      </c>
      <c r="K532" s="25" t="s">
        <v>49</v>
      </c>
    </row>
    <row r="533" spans="3:11" x14ac:dyDescent="0.25">
      <c r="C533" s="25">
        <v>23597794</v>
      </c>
      <c r="D533" s="26">
        <v>45985.44767361111</v>
      </c>
      <c r="E533" s="25" t="s">
        <v>55</v>
      </c>
      <c r="F533" s="25" t="s">
        <v>56</v>
      </c>
      <c r="G533" s="25" t="s">
        <v>29</v>
      </c>
      <c r="H533" s="25" t="s">
        <v>31</v>
      </c>
      <c r="I533" s="26">
        <v>45994.44767361111</v>
      </c>
      <c r="J533" s="25" t="s">
        <v>7243</v>
      </c>
      <c r="K533" s="25" t="s">
        <v>49</v>
      </c>
    </row>
    <row r="534" spans="3:11" x14ac:dyDescent="0.25">
      <c r="C534" s="25">
        <v>23597795</v>
      </c>
      <c r="D534" s="26">
        <v>45985.44767361111</v>
      </c>
      <c r="E534" s="25" t="s">
        <v>55</v>
      </c>
      <c r="F534" s="25" t="s">
        <v>56</v>
      </c>
      <c r="G534" s="25" t="s">
        <v>29</v>
      </c>
      <c r="H534" s="25" t="s">
        <v>31</v>
      </c>
      <c r="I534" s="26">
        <v>45994.44767361111</v>
      </c>
      <c r="J534" s="25" t="s">
        <v>7243</v>
      </c>
      <c r="K534" s="25" t="s">
        <v>49</v>
      </c>
    </row>
    <row r="535" spans="3:11" x14ac:dyDescent="0.25">
      <c r="C535" s="25">
        <v>23597796</v>
      </c>
      <c r="D535" s="26">
        <v>45985.447685185187</v>
      </c>
      <c r="E535" s="25" t="s">
        <v>55</v>
      </c>
      <c r="F535" s="25" t="s">
        <v>56</v>
      </c>
      <c r="G535" s="25" t="s">
        <v>29</v>
      </c>
      <c r="H535" s="25" t="s">
        <v>31</v>
      </c>
      <c r="I535" s="26">
        <v>45994.447685185187</v>
      </c>
      <c r="J535" s="25" t="s">
        <v>7243</v>
      </c>
      <c r="K535" s="25" t="s">
        <v>49</v>
      </c>
    </row>
    <row r="536" spans="3:11" x14ac:dyDescent="0.25">
      <c r="C536" s="25">
        <v>23597797</v>
      </c>
      <c r="D536" s="26">
        <v>45985.447685185187</v>
      </c>
      <c r="E536" s="25" t="s">
        <v>55</v>
      </c>
      <c r="F536" s="25" t="s">
        <v>56</v>
      </c>
      <c r="G536" s="25" t="s">
        <v>29</v>
      </c>
      <c r="H536" s="25" t="s">
        <v>31</v>
      </c>
      <c r="I536" s="26">
        <v>45994.447685185187</v>
      </c>
      <c r="J536" s="25" t="s">
        <v>7243</v>
      </c>
      <c r="K536" s="25" t="s">
        <v>49</v>
      </c>
    </row>
    <row r="537" spans="3:11" x14ac:dyDescent="0.25">
      <c r="C537" s="25">
        <v>23597798</v>
      </c>
      <c r="D537" s="26">
        <v>45985.447696759256</v>
      </c>
      <c r="E537" s="25" t="s">
        <v>55</v>
      </c>
      <c r="F537" s="25" t="s">
        <v>56</v>
      </c>
      <c r="G537" s="25" t="s">
        <v>29</v>
      </c>
      <c r="H537" s="25" t="s">
        <v>31</v>
      </c>
      <c r="I537" s="26">
        <v>45994.447696759256</v>
      </c>
      <c r="J537" s="25" t="s">
        <v>7243</v>
      </c>
      <c r="K537" s="25" t="s">
        <v>49</v>
      </c>
    </row>
    <row r="538" spans="3:11" x14ac:dyDescent="0.25">
      <c r="C538" s="25">
        <v>23597799</v>
      </c>
      <c r="D538" s="26">
        <v>45985.447708333333</v>
      </c>
      <c r="E538" s="25" t="s">
        <v>55</v>
      </c>
      <c r="F538" s="25" t="s">
        <v>56</v>
      </c>
      <c r="G538" s="25" t="s">
        <v>29</v>
      </c>
      <c r="H538" s="25" t="s">
        <v>31</v>
      </c>
      <c r="I538" s="26">
        <v>45994.447708333333</v>
      </c>
      <c r="J538" s="25" t="s">
        <v>7243</v>
      </c>
      <c r="K538" s="25" t="s">
        <v>49</v>
      </c>
    </row>
    <row r="539" spans="3:11" x14ac:dyDescent="0.25">
      <c r="C539" s="25">
        <v>23597800</v>
      </c>
      <c r="D539" s="26">
        <v>45985.44771990741</v>
      </c>
      <c r="E539" s="25" t="s">
        <v>55</v>
      </c>
      <c r="F539" s="25" t="s">
        <v>56</v>
      </c>
      <c r="G539" s="25" t="s">
        <v>29</v>
      </c>
      <c r="H539" s="25" t="s">
        <v>31</v>
      </c>
      <c r="I539" s="26">
        <v>45994.44771990741</v>
      </c>
      <c r="J539" s="25" t="s">
        <v>7243</v>
      </c>
      <c r="K539" s="25" t="s">
        <v>49</v>
      </c>
    </row>
    <row r="540" spans="3:11" x14ac:dyDescent="0.25">
      <c r="C540" s="25">
        <v>23597801</v>
      </c>
      <c r="D540" s="26">
        <v>45985.447743055556</v>
      </c>
      <c r="E540" s="25" t="s">
        <v>55</v>
      </c>
      <c r="F540" s="25" t="s">
        <v>56</v>
      </c>
      <c r="G540" s="25" t="s">
        <v>29</v>
      </c>
      <c r="H540" s="25" t="s">
        <v>31</v>
      </c>
      <c r="I540" s="26">
        <v>45994.447743055556</v>
      </c>
      <c r="J540" s="25" t="s">
        <v>7243</v>
      </c>
      <c r="K540" s="25" t="s">
        <v>49</v>
      </c>
    </row>
    <row r="541" spans="3:11" x14ac:dyDescent="0.25">
      <c r="C541" s="25">
        <v>23597802</v>
      </c>
      <c r="D541" s="26">
        <v>45985.447800925926</v>
      </c>
      <c r="E541" s="25" t="s">
        <v>55</v>
      </c>
      <c r="F541" s="25" t="s">
        <v>56</v>
      </c>
      <c r="G541" s="25" t="s">
        <v>29</v>
      </c>
      <c r="H541" s="25" t="s">
        <v>31</v>
      </c>
      <c r="I541" s="26">
        <v>45994.447800925926</v>
      </c>
      <c r="J541" s="25" t="s">
        <v>7243</v>
      </c>
      <c r="K541" s="25" t="s">
        <v>49</v>
      </c>
    </row>
    <row r="542" spans="3:11" x14ac:dyDescent="0.25">
      <c r="C542" s="25">
        <v>23597803</v>
      </c>
      <c r="D542" s="26">
        <v>45985.447835648149</v>
      </c>
      <c r="E542" s="25" t="s">
        <v>55</v>
      </c>
      <c r="F542" s="25" t="s">
        <v>56</v>
      </c>
      <c r="G542" s="25" t="s">
        <v>29</v>
      </c>
      <c r="H542" s="25" t="s">
        <v>31</v>
      </c>
      <c r="I542" s="26">
        <v>45994.447835648149</v>
      </c>
      <c r="J542" s="25" t="s">
        <v>7243</v>
      </c>
      <c r="K542" s="25" t="s">
        <v>49</v>
      </c>
    </row>
    <row r="543" spans="3:11" x14ac:dyDescent="0.25">
      <c r="C543" s="25">
        <v>23597804</v>
      </c>
      <c r="D543" s="26">
        <v>45985.447835648149</v>
      </c>
      <c r="E543" s="25" t="s">
        <v>55</v>
      </c>
      <c r="F543" s="25" t="s">
        <v>56</v>
      </c>
      <c r="G543" s="25" t="s">
        <v>29</v>
      </c>
      <c r="H543" s="25" t="s">
        <v>31</v>
      </c>
      <c r="I543" s="26">
        <v>45994.447835648149</v>
      </c>
      <c r="J543" s="25" t="s">
        <v>7243</v>
      </c>
      <c r="K543" s="25" t="s">
        <v>49</v>
      </c>
    </row>
    <row r="544" spans="3:11" x14ac:dyDescent="0.25">
      <c r="C544" s="25">
        <v>23597805</v>
      </c>
      <c r="D544" s="26">
        <v>45985.447847222225</v>
      </c>
      <c r="E544" s="25" t="s">
        <v>55</v>
      </c>
      <c r="F544" s="25" t="s">
        <v>56</v>
      </c>
      <c r="G544" s="25" t="s">
        <v>29</v>
      </c>
      <c r="H544" s="25" t="s">
        <v>31</v>
      </c>
      <c r="I544" s="26">
        <v>45994.447847222225</v>
      </c>
      <c r="J544" s="25" t="s">
        <v>7243</v>
      </c>
      <c r="K544" s="25" t="s">
        <v>49</v>
      </c>
    </row>
    <row r="545" spans="3:11" x14ac:dyDescent="0.25">
      <c r="C545" s="25">
        <v>23597806</v>
      </c>
      <c r="D545" s="26">
        <v>45985.447881944441</v>
      </c>
      <c r="E545" s="25" t="s">
        <v>55</v>
      </c>
      <c r="F545" s="25" t="s">
        <v>56</v>
      </c>
      <c r="G545" s="25" t="s">
        <v>29</v>
      </c>
      <c r="H545" s="25" t="s">
        <v>31</v>
      </c>
      <c r="I545" s="26">
        <v>45994.447881944441</v>
      </c>
      <c r="J545" s="25" t="s">
        <v>7243</v>
      </c>
      <c r="K545" s="25" t="s">
        <v>49</v>
      </c>
    </row>
    <row r="546" spans="3:11" x14ac:dyDescent="0.25">
      <c r="C546" s="25">
        <v>23597807</v>
      </c>
      <c r="D546" s="26">
        <v>45985.447939814818</v>
      </c>
      <c r="E546" s="25" t="s">
        <v>55</v>
      </c>
      <c r="F546" s="25" t="s">
        <v>56</v>
      </c>
      <c r="G546" s="25" t="s">
        <v>29</v>
      </c>
      <c r="H546" s="25" t="s">
        <v>31</v>
      </c>
      <c r="I546" s="26">
        <v>45994.447939814818</v>
      </c>
      <c r="J546" s="25" t="s">
        <v>7245</v>
      </c>
      <c r="K546" s="25" t="s">
        <v>49</v>
      </c>
    </row>
    <row r="547" spans="3:11" x14ac:dyDescent="0.25">
      <c r="C547" s="25">
        <v>23597808</v>
      </c>
      <c r="D547" s="26">
        <v>45985.447962962964</v>
      </c>
      <c r="E547" s="25" t="s">
        <v>55</v>
      </c>
      <c r="F547" s="25" t="s">
        <v>56</v>
      </c>
      <c r="G547" s="25" t="s">
        <v>29</v>
      </c>
      <c r="H547" s="25" t="s">
        <v>31</v>
      </c>
      <c r="I547" s="26">
        <v>45994.447962962964</v>
      </c>
      <c r="J547" s="25" t="s">
        <v>7245</v>
      </c>
      <c r="K547" s="25" t="s">
        <v>49</v>
      </c>
    </row>
    <row r="548" spans="3:11" x14ac:dyDescent="0.25">
      <c r="C548" s="25">
        <v>23597809</v>
      </c>
      <c r="D548" s="26">
        <v>45985.44798611111</v>
      </c>
      <c r="E548" s="25" t="s">
        <v>55</v>
      </c>
      <c r="F548" s="25" t="s">
        <v>56</v>
      </c>
      <c r="G548" s="25" t="s">
        <v>29</v>
      </c>
      <c r="H548" s="25" t="s">
        <v>31</v>
      </c>
      <c r="I548" s="26">
        <v>45994.44798611111</v>
      </c>
      <c r="J548" s="25" t="s">
        <v>7245</v>
      </c>
      <c r="K548" s="25" t="s">
        <v>49</v>
      </c>
    </row>
    <row r="549" spans="3:11" x14ac:dyDescent="0.25">
      <c r="C549" s="25">
        <v>23597810</v>
      </c>
      <c r="D549" s="26">
        <v>45985.448020833333</v>
      </c>
      <c r="E549" s="25" t="s">
        <v>55</v>
      </c>
      <c r="F549" s="25" t="s">
        <v>56</v>
      </c>
      <c r="G549" s="25" t="s">
        <v>29</v>
      </c>
      <c r="H549" s="25" t="s">
        <v>31</v>
      </c>
      <c r="I549" s="26">
        <v>45994.448020833333</v>
      </c>
      <c r="J549" s="25" t="s">
        <v>7245</v>
      </c>
      <c r="K549" s="25" t="s">
        <v>49</v>
      </c>
    </row>
    <row r="550" spans="3:11" x14ac:dyDescent="0.25">
      <c r="C550" s="25">
        <v>23597830</v>
      </c>
      <c r="D550" s="26">
        <v>45985.454548611109</v>
      </c>
      <c r="E550" s="25" t="s">
        <v>44</v>
      </c>
      <c r="F550" s="25" t="s">
        <v>45</v>
      </c>
      <c r="G550" s="25" t="s">
        <v>29</v>
      </c>
      <c r="H550" s="25" t="s">
        <v>31</v>
      </c>
      <c r="I550" s="26">
        <v>45994.454548611109</v>
      </c>
      <c r="J550" s="25" t="s">
        <v>6212</v>
      </c>
      <c r="K550" s="25" t="s">
        <v>49</v>
      </c>
    </row>
    <row r="551" spans="3:11" x14ac:dyDescent="0.25">
      <c r="C551" s="25">
        <v>23597833</v>
      </c>
      <c r="D551" s="26">
        <v>45985.455555555556</v>
      </c>
      <c r="E551" s="25" t="s">
        <v>55</v>
      </c>
      <c r="F551" s="25" t="s">
        <v>56</v>
      </c>
      <c r="G551" s="25" t="s">
        <v>29</v>
      </c>
      <c r="H551" s="25" t="s">
        <v>31</v>
      </c>
      <c r="I551" s="26">
        <v>45994.455555555556</v>
      </c>
      <c r="J551" s="25" t="s">
        <v>2602</v>
      </c>
      <c r="K551" s="25" t="s">
        <v>49</v>
      </c>
    </row>
    <row r="552" spans="3:11" x14ac:dyDescent="0.25">
      <c r="C552" s="25">
        <v>23597834</v>
      </c>
      <c r="D552" s="26">
        <v>45985.455567129633</v>
      </c>
      <c r="E552" s="25" t="s">
        <v>55</v>
      </c>
      <c r="F552" s="25" t="s">
        <v>56</v>
      </c>
      <c r="G552" s="25" t="s">
        <v>29</v>
      </c>
      <c r="H552" s="25" t="s">
        <v>31</v>
      </c>
      <c r="I552" s="26">
        <v>45994.455567129633</v>
      </c>
      <c r="J552" s="25" t="s">
        <v>2602</v>
      </c>
      <c r="K552" s="25" t="s">
        <v>49</v>
      </c>
    </row>
    <row r="553" spans="3:11" x14ac:dyDescent="0.25">
      <c r="C553" s="25">
        <v>23597842</v>
      </c>
      <c r="D553" s="26">
        <v>45985.456793981481</v>
      </c>
      <c r="E553" s="25" t="s">
        <v>44</v>
      </c>
      <c r="F553" s="25" t="s">
        <v>45</v>
      </c>
      <c r="G553" s="25" t="s">
        <v>29</v>
      </c>
      <c r="H553" s="25" t="s">
        <v>31</v>
      </c>
      <c r="I553" s="26">
        <v>45994.456793981481</v>
      </c>
      <c r="J553" s="25" t="s">
        <v>2230</v>
      </c>
      <c r="K553" s="25" t="s">
        <v>49</v>
      </c>
    </row>
    <row r="554" spans="3:11" x14ac:dyDescent="0.25">
      <c r="C554" s="25">
        <v>23597845</v>
      </c>
      <c r="D554" s="26">
        <v>45985.457418981481</v>
      </c>
      <c r="E554" s="25" t="s">
        <v>27</v>
      </c>
      <c r="F554" s="25" t="s">
        <v>28</v>
      </c>
      <c r="G554" s="25" t="s">
        <v>68</v>
      </c>
      <c r="H554" s="25" t="s">
        <v>31</v>
      </c>
      <c r="I554" s="26">
        <v>45996.457418981481</v>
      </c>
      <c r="J554" s="25" t="s">
        <v>1637</v>
      </c>
      <c r="K554" s="25" t="s">
        <v>32</v>
      </c>
    </row>
    <row r="555" spans="3:11" x14ac:dyDescent="0.25">
      <c r="C555" s="25">
        <v>23597898</v>
      </c>
      <c r="D555" s="26">
        <v>45985.477256944447</v>
      </c>
      <c r="E555" s="25" t="s">
        <v>27</v>
      </c>
      <c r="F555" s="25" t="s">
        <v>28</v>
      </c>
      <c r="G555" s="25" t="s">
        <v>68</v>
      </c>
      <c r="H555" s="25" t="s">
        <v>31</v>
      </c>
      <c r="I555" s="26">
        <v>45996.477256944447</v>
      </c>
      <c r="J555" s="25" t="s">
        <v>2395</v>
      </c>
      <c r="K555" s="25" t="s">
        <v>32</v>
      </c>
    </row>
    <row r="556" spans="3:11" x14ac:dyDescent="0.25">
      <c r="C556" s="25">
        <v>23597904</v>
      </c>
      <c r="D556" s="26">
        <v>45985.478368055556</v>
      </c>
      <c r="E556" s="25" t="s">
        <v>57</v>
      </c>
      <c r="F556" s="25" t="s">
        <v>58</v>
      </c>
      <c r="G556" s="25" t="s">
        <v>137</v>
      </c>
      <c r="H556" s="25" t="s">
        <v>31</v>
      </c>
      <c r="I556" s="26">
        <v>45994.478368055556</v>
      </c>
      <c r="J556" s="25" t="s">
        <v>7248</v>
      </c>
      <c r="K556" s="25" t="s">
        <v>49</v>
      </c>
    </row>
    <row r="557" spans="3:11" x14ac:dyDescent="0.25">
      <c r="C557" s="25">
        <v>23597917</v>
      </c>
      <c r="D557" s="26">
        <v>45985.481365740743</v>
      </c>
      <c r="E557" s="25" t="s">
        <v>55</v>
      </c>
      <c r="F557" s="25" t="s">
        <v>56</v>
      </c>
      <c r="G557" s="25" t="s">
        <v>29</v>
      </c>
      <c r="H557" s="25" t="s">
        <v>31</v>
      </c>
      <c r="I557" s="26">
        <v>45994.481365740743</v>
      </c>
      <c r="J557" s="25" t="s">
        <v>7250</v>
      </c>
      <c r="K557" s="25" t="s">
        <v>49</v>
      </c>
    </row>
    <row r="558" spans="3:11" x14ac:dyDescent="0.25">
      <c r="C558" s="25">
        <v>23597918</v>
      </c>
      <c r="D558" s="26">
        <v>45985.481400462966</v>
      </c>
      <c r="E558" s="25" t="s">
        <v>55</v>
      </c>
      <c r="F558" s="25" t="s">
        <v>56</v>
      </c>
      <c r="G558" s="25" t="s">
        <v>29</v>
      </c>
      <c r="H558" s="25" t="s">
        <v>31</v>
      </c>
      <c r="I558" s="26">
        <v>45994.481400462966</v>
      </c>
      <c r="J558" s="25" t="s">
        <v>7250</v>
      </c>
      <c r="K558" s="25" t="s">
        <v>49</v>
      </c>
    </row>
    <row r="559" spans="3:11" x14ac:dyDescent="0.25">
      <c r="C559" s="25">
        <v>23597919</v>
      </c>
      <c r="D559" s="26">
        <v>45985.481446759259</v>
      </c>
      <c r="E559" s="25" t="s">
        <v>55</v>
      </c>
      <c r="F559" s="25" t="s">
        <v>56</v>
      </c>
      <c r="G559" s="25" t="s">
        <v>29</v>
      </c>
      <c r="H559" s="25" t="s">
        <v>31</v>
      </c>
      <c r="I559" s="26">
        <v>45994.481446759259</v>
      </c>
      <c r="J559" s="25" t="s">
        <v>7250</v>
      </c>
      <c r="K559" s="25" t="s">
        <v>49</v>
      </c>
    </row>
    <row r="560" spans="3:11" x14ac:dyDescent="0.25">
      <c r="C560" s="25">
        <v>23597920</v>
      </c>
      <c r="D560" s="26">
        <v>45985.481458333335</v>
      </c>
      <c r="E560" s="25" t="s">
        <v>55</v>
      </c>
      <c r="F560" s="25" t="s">
        <v>56</v>
      </c>
      <c r="G560" s="25" t="s">
        <v>29</v>
      </c>
      <c r="H560" s="25" t="s">
        <v>31</v>
      </c>
      <c r="I560" s="26">
        <v>45994.481458333335</v>
      </c>
      <c r="J560" s="25" t="s">
        <v>7250</v>
      </c>
      <c r="K560" s="25" t="s">
        <v>49</v>
      </c>
    </row>
    <row r="561" spans="3:11" x14ac:dyDescent="0.25">
      <c r="C561" s="25">
        <v>23597921</v>
      </c>
      <c r="D561" s="26">
        <v>45985.481458333335</v>
      </c>
      <c r="E561" s="25" t="s">
        <v>55</v>
      </c>
      <c r="F561" s="25" t="s">
        <v>56</v>
      </c>
      <c r="G561" s="25" t="s">
        <v>29</v>
      </c>
      <c r="H561" s="25" t="s">
        <v>31</v>
      </c>
      <c r="I561" s="26">
        <v>45994.481458333335</v>
      </c>
      <c r="J561" s="25" t="s">
        <v>7250</v>
      </c>
      <c r="K561" s="25" t="s">
        <v>49</v>
      </c>
    </row>
    <row r="562" spans="3:11" x14ac:dyDescent="0.25">
      <c r="C562" s="25">
        <v>23597922</v>
      </c>
      <c r="D562" s="26">
        <v>45985.481504629628</v>
      </c>
      <c r="E562" s="25" t="s">
        <v>55</v>
      </c>
      <c r="F562" s="25" t="s">
        <v>56</v>
      </c>
      <c r="G562" s="25" t="s">
        <v>29</v>
      </c>
      <c r="H562" s="25" t="s">
        <v>31</v>
      </c>
      <c r="I562" s="26">
        <v>45994.481504629628</v>
      </c>
      <c r="J562" s="25" t="s">
        <v>7250</v>
      </c>
      <c r="K562" s="25" t="s">
        <v>49</v>
      </c>
    </row>
    <row r="563" spans="3:11" x14ac:dyDescent="0.25">
      <c r="C563" s="25">
        <v>23597923</v>
      </c>
      <c r="D563" s="26">
        <v>45985.481516203705</v>
      </c>
      <c r="E563" s="25" t="s">
        <v>55</v>
      </c>
      <c r="F563" s="25" t="s">
        <v>56</v>
      </c>
      <c r="G563" s="25" t="s">
        <v>29</v>
      </c>
      <c r="H563" s="25" t="s">
        <v>31</v>
      </c>
      <c r="I563" s="26">
        <v>45994.481516203705</v>
      </c>
      <c r="J563" s="25" t="s">
        <v>7250</v>
      </c>
      <c r="K563" s="25" t="s">
        <v>49</v>
      </c>
    </row>
    <row r="564" spans="3:11" x14ac:dyDescent="0.25">
      <c r="C564" s="25">
        <v>23597970</v>
      </c>
      <c r="D564" s="26">
        <v>45985.504537037035</v>
      </c>
      <c r="E564" s="25" t="s">
        <v>27</v>
      </c>
      <c r="F564" s="25" t="s">
        <v>28</v>
      </c>
      <c r="G564" s="25" t="s">
        <v>68</v>
      </c>
      <c r="H564" s="25" t="s">
        <v>31</v>
      </c>
      <c r="I564" s="26">
        <v>45996.504537037035</v>
      </c>
      <c r="J564" s="25" t="s">
        <v>3456</v>
      </c>
      <c r="K564" s="25" t="s">
        <v>32</v>
      </c>
    </row>
    <row r="565" spans="3:11" x14ac:dyDescent="0.25">
      <c r="C565" s="25">
        <v>23597975</v>
      </c>
      <c r="D565" s="26">
        <v>45985.508831018517</v>
      </c>
      <c r="E565" s="25" t="s">
        <v>27</v>
      </c>
      <c r="F565" s="25" t="s">
        <v>28</v>
      </c>
      <c r="G565" s="25" t="s">
        <v>29</v>
      </c>
      <c r="H565" s="25" t="s">
        <v>31</v>
      </c>
      <c r="I565" s="26">
        <v>45994.508831018517</v>
      </c>
      <c r="J565" s="25" t="s">
        <v>601</v>
      </c>
      <c r="K565" s="25" t="s">
        <v>49</v>
      </c>
    </row>
    <row r="566" spans="3:11" x14ac:dyDescent="0.25">
      <c r="C566" s="25">
        <v>23597993</v>
      </c>
      <c r="D566" s="26">
        <v>45985.523773148147</v>
      </c>
      <c r="E566" s="25" t="s">
        <v>27</v>
      </c>
      <c r="F566" s="25" t="s">
        <v>28</v>
      </c>
      <c r="G566" s="25" t="s">
        <v>43</v>
      </c>
      <c r="H566" s="25" t="s">
        <v>31</v>
      </c>
      <c r="I566" s="26">
        <v>45994.523773148147</v>
      </c>
      <c r="J566" s="25" t="s">
        <v>7253</v>
      </c>
      <c r="K566" s="25" t="s">
        <v>49</v>
      </c>
    </row>
    <row r="567" spans="3:11" x14ac:dyDescent="0.25">
      <c r="C567" s="25">
        <v>23598000</v>
      </c>
      <c r="D567" s="26">
        <v>45985.528460648151</v>
      </c>
      <c r="E567" s="25" t="s">
        <v>55</v>
      </c>
      <c r="F567" s="25" t="s">
        <v>56</v>
      </c>
      <c r="G567" s="25" t="s">
        <v>29</v>
      </c>
      <c r="H567" s="25" t="s">
        <v>38</v>
      </c>
      <c r="I567" s="26">
        <v>46000.528460648151</v>
      </c>
      <c r="J567" s="25" t="s">
        <v>7254</v>
      </c>
      <c r="K567" s="25" t="s">
        <v>32</v>
      </c>
    </row>
    <row r="568" spans="3:11" x14ac:dyDescent="0.25">
      <c r="C568" s="25">
        <v>23598041</v>
      </c>
      <c r="D568" s="26">
        <v>45985.563958333332</v>
      </c>
      <c r="E568" s="25" t="s">
        <v>27</v>
      </c>
      <c r="F568" s="25" t="s">
        <v>28</v>
      </c>
      <c r="G568" s="25" t="s">
        <v>40</v>
      </c>
      <c r="H568" s="25" t="s">
        <v>31</v>
      </c>
      <c r="I568" s="26">
        <v>45992.563958333332</v>
      </c>
      <c r="J568" s="25" t="s">
        <v>7255</v>
      </c>
      <c r="K568" s="25" t="s">
        <v>131</v>
      </c>
    </row>
    <row r="569" spans="3:11" x14ac:dyDescent="0.25">
      <c r="C569" s="25">
        <v>23598080</v>
      </c>
      <c r="D569" s="26">
        <v>45985.592164351852</v>
      </c>
      <c r="E569" s="25" t="s">
        <v>27</v>
      </c>
      <c r="F569" s="25" t="s">
        <v>28</v>
      </c>
      <c r="G569" s="25" t="s">
        <v>68</v>
      </c>
      <c r="H569" s="25" t="s">
        <v>31</v>
      </c>
      <c r="I569" s="26">
        <v>45996.592164351852</v>
      </c>
      <c r="J569" s="25" t="s">
        <v>3499</v>
      </c>
      <c r="K569" s="25" t="s">
        <v>32</v>
      </c>
    </row>
    <row r="570" spans="3:11" x14ac:dyDescent="0.25">
      <c r="C570" s="25">
        <v>23598138</v>
      </c>
      <c r="D570" s="26">
        <v>45985.617847222224</v>
      </c>
      <c r="E570" s="25" t="s">
        <v>27</v>
      </c>
      <c r="F570" s="25" t="s">
        <v>28</v>
      </c>
      <c r="G570" s="25" t="s">
        <v>68</v>
      </c>
      <c r="H570" s="25" t="s">
        <v>31</v>
      </c>
      <c r="I570" s="26">
        <v>45996.617847222224</v>
      </c>
      <c r="J570" s="25" t="s">
        <v>3509</v>
      </c>
      <c r="K570" s="25" t="s">
        <v>32</v>
      </c>
    </row>
    <row r="571" spans="3:11" x14ac:dyDescent="0.25">
      <c r="C571" s="25">
        <v>23598153</v>
      </c>
      <c r="D571" s="26">
        <v>45989.29923611111</v>
      </c>
      <c r="E571" s="25" t="s">
        <v>27</v>
      </c>
      <c r="F571" s="25" t="s">
        <v>28</v>
      </c>
      <c r="G571" s="25" t="s">
        <v>46</v>
      </c>
      <c r="H571" s="25" t="s">
        <v>31</v>
      </c>
      <c r="I571" s="26">
        <v>45996.29923611111</v>
      </c>
      <c r="J571" s="25" t="s">
        <v>7265</v>
      </c>
      <c r="K571" s="25" t="s">
        <v>32</v>
      </c>
    </row>
    <row r="572" spans="3:11" x14ac:dyDescent="0.25">
      <c r="C572" s="25">
        <v>23598161</v>
      </c>
      <c r="D572" s="26">
        <v>45985.626666666663</v>
      </c>
      <c r="E572" s="25" t="s">
        <v>27</v>
      </c>
      <c r="F572" s="25" t="s">
        <v>28</v>
      </c>
      <c r="G572" s="25" t="s">
        <v>68</v>
      </c>
      <c r="H572" s="25" t="s">
        <v>31</v>
      </c>
      <c r="I572" s="26">
        <v>45996.626666666663</v>
      </c>
      <c r="J572" s="25" t="s">
        <v>3520</v>
      </c>
      <c r="K572" s="25" t="s">
        <v>32</v>
      </c>
    </row>
    <row r="573" spans="3:11" x14ac:dyDescent="0.25">
      <c r="C573" s="25">
        <v>23598228</v>
      </c>
      <c r="D573" s="26">
        <v>45985.653414351851</v>
      </c>
      <c r="E573" s="25" t="s">
        <v>27</v>
      </c>
      <c r="F573" s="25" t="s">
        <v>28</v>
      </c>
      <c r="G573" s="25" t="s">
        <v>62</v>
      </c>
      <c r="H573" s="25" t="s">
        <v>31</v>
      </c>
      <c r="I573" s="26">
        <v>45989.653414351851</v>
      </c>
      <c r="J573" s="25" t="s">
        <v>47</v>
      </c>
      <c r="K573" s="25" t="s">
        <v>47</v>
      </c>
    </row>
    <row r="574" spans="3:11" x14ac:dyDescent="0.25">
      <c r="C574" s="25">
        <v>23598253</v>
      </c>
      <c r="D574" s="26">
        <v>45985.659953703704</v>
      </c>
      <c r="E574" s="25" t="s">
        <v>48</v>
      </c>
      <c r="F574" s="25" t="s">
        <v>64</v>
      </c>
      <c r="G574" s="25" t="s">
        <v>29</v>
      </c>
      <c r="H574" s="25" t="s">
        <v>31</v>
      </c>
      <c r="I574" s="26">
        <v>45994.659953703704</v>
      </c>
      <c r="J574" s="25" t="s">
        <v>7267</v>
      </c>
      <c r="K574" s="25" t="s">
        <v>49</v>
      </c>
    </row>
    <row r="575" spans="3:11" x14ac:dyDescent="0.25">
      <c r="C575" s="25">
        <v>23598261</v>
      </c>
      <c r="D575" s="26">
        <v>45985.663877314815</v>
      </c>
      <c r="E575" s="25" t="s">
        <v>27</v>
      </c>
      <c r="F575" s="25" t="s">
        <v>28</v>
      </c>
      <c r="G575" s="25" t="s">
        <v>29</v>
      </c>
      <c r="H575" s="25" t="s">
        <v>31</v>
      </c>
      <c r="I575" s="26">
        <v>45994.663877314815</v>
      </c>
      <c r="J575" s="25" t="s">
        <v>7269</v>
      </c>
      <c r="K575" s="25" t="s">
        <v>49</v>
      </c>
    </row>
    <row r="576" spans="3:11" x14ac:dyDescent="0.25">
      <c r="C576" s="25">
        <v>23598263</v>
      </c>
      <c r="D576" s="26">
        <v>45989.395439814813</v>
      </c>
      <c r="E576" s="25" t="s">
        <v>27</v>
      </c>
      <c r="F576" s="25" t="s">
        <v>28</v>
      </c>
      <c r="G576" s="25" t="s">
        <v>40</v>
      </c>
      <c r="H576" s="25" t="s">
        <v>38</v>
      </c>
      <c r="I576" s="26">
        <v>46002.395439814813</v>
      </c>
      <c r="J576" s="25" t="s">
        <v>7278</v>
      </c>
      <c r="K576" s="25" t="s">
        <v>32</v>
      </c>
    </row>
    <row r="577" spans="3:11" x14ac:dyDescent="0.25">
      <c r="C577" s="25">
        <v>23598271</v>
      </c>
      <c r="D577" s="26">
        <v>45985.666851851849</v>
      </c>
      <c r="E577" s="25" t="s">
        <v>27</v>
      </c>
      <c r="F577" s="25" t="s">
        <v>28</v>
      </c>
      <c r="G577" s="25" t="s">
        <v>43</v>
      </c>
      <c r="H577" s="25" t="s">
        <v>31</v>
      </c>
      <c r="I577" s="26">
        <v>45994.666851851849</v>
      </c>
      <c r="J577" s="25" t="s">
        <v>7280</v>
      </c>
      <c r="K577" s="25" t="s">
        <v>49</v>
      </c>
    </row>
    <row r="578" spans="3:11" x14ac:dyDescent="0.25">
      <c r="C578" s="25">
        <v>23598283</v>
      </c>
      <c r="D578" s="26">
        <v>45985.674155092594</v>
      </c>
      <c r="E578" s="25" t="s">
        <v>27</v>
      </c>
      <c r="F578" s="25" t="s">
        <v>28</v>
      </c>
      <c r="G578" s="25" t="s">
        <v>43</v>
      </c>
      <c r="H578" s="25" t="s">
        <v>31</v>
      </c>
      <c r="I578" s="26">
        <v>45994.674155092594</v>
      </c>
      <c r="J578" s="25" t="s">
        <v>7282</v>
      </c>
      <c r="K578" s="25" t="s">
        <v>49</v>
      </c>
    </row>
    <row r="579" spans="3:11" x14ac:dyDescent="0.25">
      <c r="C579" s="25">
        <v>23598369</v>
      </c>
      <c r="D579" s="26">
        <v>45985.710370370369</v>
      </c>
      <c r="E579" s="25" t="s">
        <v>48</v>
      </c>
      <c r="F579" s="25" t="s">
        <v>64</v>
      </c>
      <c r="G579" s="25" t="s">
        <v>29</v>
      </c>
      <c r="H579" s="25" t="s">
        <v>31</v>
      </c>
      <c r="I579" s="26">
        <v>45994.710370370369</v>
      </c>
      <c r="J579" s="25" t="s">
        <v>7285</v>
      </c>
      <c r="K579" s="25" t="s">
        <v>49</v>
      </c>
    </row>
    <row r="580" spans="3:11" x14ac:dyDescent="0.25">
      <c r="C580" s="25">
        <v>23598373</v>
      </c>
      <c r="D580" s="26">
        <v>45985.71199074074</v>
      </c>
      <c r="E580" s="25" t="s">
        <v>27</v>
      </c>
      <c r="F580" s="25" t="s">
        <v>28</v>
      </c>
      <c r="G580" s="25" t="s">
        <v>29</v>
      </c>
      <c r="H580" s="25" t="s">
        <v>31</v>
      </c>
      <c r="I580" s="26">
        <v>45994.71199074074</v>
      </c>
      <c r="J580" s="25" t="s">
        <v>7287</v>
      </c>
      <c r="K580" s="25" t="s">
        <v>49</v>
      </c>
    </row>
    <row r="581" spans="3:11" x14ac:dyDescent="0.25">
      <c r="C581" s="25">
        <v>23598379</v>
      </c>
      <c r="D581" s="26">
        <v>45985.714282407411</v>
      </c>
      <c r="E581" s="25" t="s">
        <v>44</v>
      </c>
      <c r="F581" s="25" t="s">
        <v>45</v>
      </c>
      <c r="G581" s="25" t="s">
        <v>29</v>
      </c>
      <c r="H581" s="25" t="s">
        <v>38</v>
      </c>
      <c r="I581" s="26">
        <v>46000.714282407411</v>
      </c>
      <c r="J581" s="25" t="s">
        <v>4959</v>
      </c>
      <c r="K581" s="25" t="s">
        <v>32</v>
      </c>
    </row>
    <row r="582" spans="3:11" x14ac:dyDescent="0.25">
      <c r="C582" s="25">
        <v>23598630</v>
      </c>
      <c r="D582" s="26">
        <v>45986.289548611108</v>
      </c>
      <c r="E582" s="25" t="s">
        <v>57</v>
      </c>
      <c r="F582" s="25" t="s">
        <v>58</v>
      </c>
      <c r="G582" s="25" t="s">
        <v>68</v>
      </c>
      <c r="H582" s="25" t="s">
        <v>38</v>
      </c>
      <c r="I582" s="26">
        <v>46007.289548611108</v>
      </c>
      <c r="J582" s="25" t="s">
        <v>7289</v>
      </c>
      <c r="K582" s="25" t="s">
        <v>32</v>
      </c>
    </row>
    <row r="583" spans="3:11" x14ac:dyDescent="0.25">
      <c r="C583" s="25">
        <v>23598639</v>
      </c>
      <c r="D583" s="26">
        <v>45986.300219907411</v>
      </c>
      <c r="E583" s="25" t="s">
        <v>27</v>
      </c>
      <c r="F583" s="25" t="s">
        <v>28</v>
      </c>
      <c r="G583" s="25" t="s">
        <v>29</v>
      </c>
      <c r="H583" s="25" t="s">
        <v>31</v>
      </c>
      <c r="I583" s="26">
        <v>45995.300219907411</v>
      </c>
      <c r="J583" s="25" t="s">
        <v>3606</v>
      </c>
      <c r="K583" s="25" t="s">
        <v>32</v>
      </c>
    </row>
    <row r="584" spans="3:11" x14ac:dyDescent="0.25">
      <c r="C584" s="25">
        <v>23598640</v>
      </c>
      <c r="D584" s="26">
        <v>45986.301018518519</v>
      </c>
      <c r="E584" s="25" t="s">
        <v>27</v>
      </c>
      <c r="F584" s="25" t="s">
        <v>28</v>
      </c>
      <c r="G584" s="25" t="s">
        <v>29</v>
      </c>
      <c r="H584" s="25" t="s">
        <v>31</v>
      </c>
      <c r="I584" s="26">
        <v>45995.301018518519</v>
      </c>
      <c r="J584" s="25" t="s">
        <v>3614</v>
      </c>
      <c r="K584" s="25" t="s">
        <v>32</v>
      </c>
    </row>
    <row r="585" spans="3:11" x14ac:dyDescent="0.25">
      <c r="C585" s="25">
        <v>23598642</v>
      </c>
      <c r="D585" s="26">
        <v>45986.301307870373</v>
      </c>
      <c r="E585" s="25" t="s">
        <v>27</v>
      </c>
      <c r="F585" s="25" t="s">
        <v>28</v>
      </c>
      <c r="G585" s="25" t="s">
        <v>29</v>
      </c>
      <c r="H585" s="25" t="s">
        <v>31</v>
      </c>
      <c r="I585" s="26">
        <v>45995.301307870373</v>
      </c>
      <c r="J585" s="25" t="s">
        <v>3614</v>
      </c>
      <c r="K585" s="25" t="s">
        <v>32</v>
      </c>
    </row>
    <row r="586" spans="3:11" x14ac:dyDescent="0.25">
      <c r="C586" s="25">
        <v>23598646</v>
      </c>
      <c r="D586" s="26">
        <v>45986.302083333336</v>
      </c>
      <c r="E586" s="25" t="s">
        <v>27</v>
      </c>
      <c r="F586" s="25" t="s">
        <v>28</v>
      </c>
      <c r="G586" s="25" t="s">
        <v>29</v>
      </c>
      <c r="H586" s="25" t="s">
        <v>31</v>
      </c>
      <c r="I586" s="26">
        <v>45995.302083333336</v>
      </c>
      <c r="J586" s="25" t="s">
        <v>3628</v>
      </c>
      <c r="K586" s="25" t="s">
        <v>32</v>
      </c>
    </row>
    <row r="587" spans="3:11" x14ac:dyDescent="0.25">
      <c r="C587" s="25">
        <v>23598649</v>
      </c>
      <c r="D587" s="26">
        <v>45986.305289351854</v>
      </c>
      <c r="E587" s="25" t="s">
        <v>27</v>
      </c>
      <c r="F587" s="25" t="s">
        <v>28</v>
      </c>
      <c r="G587" s="25" t="s">
        <v>29</v>
      </c>
      <c r="H587" s="25" t="s">
        <v>31</v>
      </c>
      <c r="I587" s="26">
        <v>45995.305289351854</v>
      </c>
      <c r="J587" s="25" t="s">
        <v>3635</v>
      </c>
      <c r="K587" s="25" t="s">
        <v>32</v>
      </c>
    </row>
    <row r="588" spans="3:11" x14ac:dyDescent="0.25">
      <c r="C588" s="25">
        <v>23598716</v>
      </c>
      <c r="D588" s="26">
        <v>45989.300162037034</v>
      </c>
      <c r="E588" s="25" t="s">
        <v>27</v>
      </c>
      <c r="F588" s="25" t="s">
        <v>28</v>
      </c>
      <c r="G588" s="25" t="s">
        <v>46</v>
      </c>
      <c r="H588" s="25" t="s">
        <v>31</v>
      </c>
      <c r="I588" s="26">
        <v>45996.300162037034</v>
      </c>
      <c r="J588" s="25" t="s">
        <v>3607</v>
      </c>
      <c r="K588" s="25" t="s">
        <v>32</v>
      </c>
    </row>
    <row r="589" spans="3:11" x14ac:dyDescent="0.25">
      <c r="C589" s="25">
        <v>23598720</v>
      </c>
      <c r="D589" s="26">
        <v>45989.300613425927</v>
      </c>
      <c r="E589" s="25" t="s">
        <v>27</v>
      </c>
      <c r="F589" s="25" t="s">
        <v>28</v>
      </c>
      <c r="G589" s="25" t="s">
        <v>46</v>
      </c>
      <c r="H589" s="25" t="s">
        <v>31</v>
      </c>
      <c r="I589" s="26">
        <v>45996.300613425927</v>
      </c>
      <c r="J589" s="25" t="s">
        <v>3607</v>
      </c>
      <c r="K589" s="25" t="s">
        <v>32</v>
      </c>
    </row>
    <row r="590" spans="3:11" x14ac:dyDescent="0.25">
      <c r="C590" s="25">
        <v>23598744</v>
      </c>
      <c r="D590" s="26">
        <v>45986.36314814815</v>
      </c>
      <c r="E590" s="25" t="s">
        <v>27</v>
      </c>
      <c r="F590" s="25" t="s">
        <v>28</v>
      </c>
      <c r="G590" s="25" t="s">
        <v>68</v>
      </c>
      <c r="H590" s="25" t="s">
        <v>31</v>
      </c>
      <c r="I590" s="26">
        <v>46000.36314814815</v>
      </c>
      <c r="J590" s="25" t="s">
        <v>2786</v>
      </c>
      <c r="K590" s="25" t="s">
        <v>32</v>
      </c>
    </row>
    <row r="591" spans="3:11" x14ac:dyDescent="0.25">
      <c r="C591" s="25">
        <v>23598832</v>
      </c>
      <c r="D591" s="26">
        <v>45986.393460648149</v>
      </c>
      <c r="E591" s="25" t="s">
        <v>48</v>
      </c>
      <c r="F591" s="25" t="s">
        <v>64</v>
      </c>
      <c r="G591" s="25" t="s">
        <v>43</v>
      </c>
      <c r="H591" s="25" t="s">
        <v>31</v>
      </c>
      <c r="I591" s="26">
        <v>45995.393460648149</v>
      </c>
      <c r="J591" s="25" t="s">
        <v>2313</v>
      </c>
      <c r="K591" s="25" t="s">
        <v>32</v>
      </c>
    </row>
    <row r="592" spans="3:11" x14ac:dyDescent="0.25">
      <c r="C592" s="25">
        <v>23598836</v>
      </c>
      <c r="D592" s="26">
        <v>45986.395324074074</v>
      </c>
      <c r="E592" s="25" t="s">
        <v>27</v>
      </c>
      <c r="F592" s="25" t="s">
        <v>28</v>
      </c>
      <c r="G592" s="25" t="s">
        <v>137</v>
      </c>
      <c r="H592" s="25" t="s">
        <v>31</v>
      </c>
      <c r="I592" s="26">
        <v>45995.395324074074</v>
      </c>
      <c r="J592" s="25" t="s">
        <v>1115</v>
      </c>
      <c r="K592" s="25" t="s">
        <v>32</v>
      </c>
    </row>
    <row r="593" spans="3:11" x14ac:dyDescent="0.25">
      <c r="C593" s="25">
        <v>23598849</v>
      </c>
      <c r="D593" s="26">
        <v>45986.643449074072</v>
      </c>
      <c r="E593" s="25" t="s">
        <v>27</v>
      </c>
      <c r="F593" s="25" t="s">
        <v>28</v>
      </c>
      <c r="G593" s="25" t="s">
        <v>40</v>
      </c>
      <c r="H593" s="25" t="s">
        <v>31</v>
      </c>
      <c r="I593" s="26">
        <v>45993.643449074072</v>
      </c>
      <c r="J593" s="25" t="s">
        <v>7305</v>
      </c>
      <c r="K593" s="25" t="s">
        <v>49</v>
      </c>
    </row>
    <row r="594" spans="3:11" x14ac:dyDescent="0.25">
      <c r="C594" s="25">
        <v>23598879</v>
      </c>
      <c r="D594" s="26">
        <v>45986.41033564815</v>
      </c>
      <c r="E594" s="25" t="s">
        <v>48</v>
      </c>
      <c r="F594" s="25" t="s">
        <v>64</v>
      </c>
      <c r="G594" s="25" t="s">
        <v>62</v>
      </c>
      <c r="H594" s="25" t="s">
        <v>31</v>
      </c>
      <c r="I594" s="26">
        <v>45992.41033564815</v>
      </c>
      <c r="J594" s="25" t="s">
        <v>47</v>
      </c>
      <c r="K594" s="25" t="s">
        <v>47</v>
      </c>
    </row>
    <row r="595" spans="3:11" x14ac:dyDescent="0.25">
      <c r="C595" s="25">
        <v>23598880</v>
      </c>
      <c r="D595" s="26">
        <v>45986.410370370373</v>
      </c>
      <c r="E595" s="25" t="s">
        <v>55</v>
      </c>
      <c r="F595" s="25" t="s">
        <v>56</v>
      </c>
      <c r="G595" s="25" t="s">
        <v>29</v>
      </c>
      <c r="H595" s="25" t="s">
        <v>38</v>
      </c>
      <c r="I595" s="26">
        <v>46001.410370370373</v>
      </c>
      <c r="J595" s="25" t="s">
        <v>7307</v>
      </c>
      <c r="K595" s="25" t="s">
        <v>32</v>
      </c>
    </row>
    <row r="596" spans="3:11" x14ac:dyDescent="0.25">
      <c r="C596" s="25">
        <v>23598885</v>
      </c>
      <c r="D596" s="26">
        <v>45986.412673611114</v>
      </c>
      <c r="E596" s="25" t="s">
        <v>27</v>
      </c>
      <c r="F596" s="25" t="s">
        <v>28</v>
      </c>
      <c r="G596" s="25" t="s">
        <v>62</v>
      </c>
      <c r="H596" s="25" t="s">
        <v>31</v>
      </c>
      <c r="I596" s="26">
        <v>45992.412673611114</v>
      </c>
      <c r="J596" s="25" t="s">
        <v>47</v>
      </c>
      <c r="K596" s="25" t="s">
        <v>47</v>
      </c>
    </row>
    <row r="597" spans="3:11" x14ac:dyDescent="0.25">
      <c r="C597" s="25">
        <v>23598886</v>
      </c>
      <c r="D597" s="26">
        <v>45986.412962962961</v>
      </c>
      <c r="E597" s="25" t="s">
        <v>27</v>
      </c>
      <c r="F597" s="25" t="s">
        <v>28</v>
      </c>
      <c r="G597" s="25" t="s">
        <v>40</v>
      </c>
      <c r="H597" s="25" t="s">
        <v>31</v>
      </c>
      <c r="I597" s="26">
        <v>45993.412962962961</v>
      </c>
      <c r="J597" s="25" t="s">
        <v>3697</v>
      </c>
      <c r="K597" s="25" t="s">
        <v>49</v>
      </c>
    </row>
    <row r="598" spans="3:11" x14ac:dyDescent="0.25">
      <c r="C598" s="25">
        <v>23598909</v>
      </c>
      <c r="D598" s="26">
        <v>45986.421284722222</v>
      </c>
      <c r="E598" s="25" t="s">
        <v>27</v>
      </c>
      <c r="F598" s="25" t="s">
        <v>28</v>
      </c>
      <c r="G598" s="25" t="s">
        <v>62</v>
      </c>
      <c r="H598" s="25" t="s">
        <v>31</v>
      </c>
      <c r="I598" s="26">
        <v>45992.421284722222</v>
      </c>
      <c r="J598" s="25" t="s">
        <v>47</v>
      </c>
      <c r="K598" s="25" t="s">
        <v>47</v>
      </c>
    </row>
    <row r="599" spans="3:11" x14ac:dyDescent="0.25">
      <c r="C599" s="25">
        <v>23598919</v>
      </c>
      <c r="D599" s="26">
        <v>45986.423043981478</v>
      </c>
      <c r="E599" s="25" t="s">
        <v>27</v>
      </c>
      <c r="F599" s="25" t="s">
        <v>28</v>
      </c>
      <c r="G599" s="25" t="s">
        <v>72</v>
      </c>
      <c r="H599" s="25" t="s">
        <v>31</v>
      </c>
      <c r="I599" s="26">
        <v>46002.423043981478</v>
      </c>
      <c r="J599" s="25" t="s">
        <v>7310</v>
      </c>
      <c r="K599" s="25" t="s">
        <v>32</v>
      </c>
    </row>
    <row r="600" spans="3:11" x14ac:dyDescent="0.25">
      <c r="C600" s="25">
        <v>23598924</v>
      </c>
      <c r="D600" s="26">
        <v>45986.424791666665</v>
      </c>
      <c r="E600" s="25" t="s">
        <v>27</v>
      </c>
      <c r="F600" s="25" t="s">
        <v>28</v>
      </c>
      <c r="G600" s="25" t="s">
        <v>72</v>
      </c>
      <c r="H600" s="25" t="s">
        <v>31</v>
      </c>
      <c r="I600" s="26">
        <v>46002.424791666665</v>
      </c>
      <c r="J600" s="25" t="s">
        <v>7311</v>
      </c>
      <c r="K600" s="25" t="s">
        <v>32</v>
      </c>
    </row>
    <row r="601" spans="3:11" x14ac:dyDescent="0.25">
      <c r="C601" s="25">
        <v>23598927</v>
      </c>
      <c r="D601" s="26">
        <v>45986.425208333334</v>
      </c>
      <c r="E601" s="25" t="s">
        <v>27</v>
      </c>
      <c r="F601" s="25" t="s">
        <v>28</v>
      </c>
      <c r="G601" s="25" t="s">
        <v>62</v>
      </c>
      <c r="H601" s="25" t="s">
        <v>38</v>
      </c>
      <c r="I601" s="26">
        <v>45992.425208333334</v>
      </c>
      <c r="J601" s="25" t="s">
        <v>47</v>
      </c>
      <c r="K601" s="25" t="s">
        <v>47</v>
      </c>
    </row>
    <row r="602" spans="3:11" x14ac:dyDescent="0.25">
      <c r="C602" s="25">
        <v>23598934</v>
      </c>
      <c r="D602" s="26">
        <v>45986.428136574075</v>
      </c>
      <c r="E602" s="25" t="s">
        <v>48</v>
      </c>
      <c r="F602" s="25" t="s">
        <v>64</v>
      </c>
      <c r="G602" s="25" t="s">
        <v>43</v>
      </c>
      <c r="H602" s="25" t="s">
        <v>31</v>
      </c>
      <c r="I602" s="26">
        <v>45995.428136574075</v>
      </c>
      <c r="J602" s="25" t="s">
        <v>3744</v>
      </c>
      <c r="K602" s="25" t="s">
        <v>32</v>
      </c>
    </row>
    <row r="603" spans="3:11" x14ac:dyDescent="0.25">
      <c r="C603" s="25">
        <v>23598935</v>
      </c>
      <c r="D603" s="26">
        <v>45986.428749999999</v>
      </c>
      <c r="E603" s="25" t="s">
        <v>48</v>
      </c>
      <c r="F603" s="25" t="s">
        <v>64</v>
      </c>
      <c r="G603" s="25" t="s">
        <v>43</v>
      </c>
      <c r="H603" s="25" t="s">
        <v>31</v>
      </c>
      <c r="I603" s="26">
        <v>45995.428749999999</v>
      </c>
      <c r="J603" s="25" t="s">
        <v>3752</v>
      </c>
      <c r="K603" s="25" t="s">
        <v>32</v>
      </c>
    </row>
    <row r="604" spans="3:11" x14ac:dyDescent="0.25">
      <c r="C604" s="25">
        <v>23598957</v>
      </c>
      <c r="D604" s="26">
        <v>45986.441747685189</v>
      </c>
      <c r="E604" s="25" t="s">
        <v>27</v>
      </c>
      <c r="F604" s="25" t="s">
        <v>28</v>
      </c>
      <c r="G604" s="25" t="s">
        <v>51</v>
      </c>
      <c r="H604" s="25" t="s">
        <v>31</v>
      </c>
      <c r="I604" s="26">
        <v>46002.441747685189</v>
      </c>
      <c r="J604" s="25" t="s">
        <v>2126</v>
      </c>
      <c r="K604" s="25" t="s">
        <v>32</v>
      </c>
    </row>
    <row r="605" spans="3:11" x14ac:dyDescent="0.25">
      <c r="C605" s="25">
        <v>23598960</v>
      </c>
      <c r="D605" s="26">
        <v>45986.444155092591</v>
      </c>
      <c r="E605" s="25" t="s">
        <v>48</v>
      </c>
      <c r="F605" s="25" t="s">
        <v>64</v>
      </c>
      <c r="G605" s="25" t="s">
        <v>62</v>
      </c>
      <c r="H605" s="25" t="s">
        <v>38</v>
      </c>
      <c r="I605" s="26">
        <v>45992.444155092591</v>
      </c>
      <c r="J605" s="25" t="s">
        <v>47</v>
      </c>
      <c r="K605" s="25" t="s">
        <v>47</v>
      </c>
    </row>
    <row r="606" spans="3:11" x14ac:dyDescent="0.25">
      <c r="C606" s="25">
        <v>23599038</v>
      </c>
      <c r="D606" s="26">
        <v>45986.476469907408</v>
      </c>
      <c r="E606" s="25" t="s">
        <v>59</v>
      </c>
      <c r="F606" s="25" t="s">
        <v>60</v>
      </c>
      <c r="G606" s="25" t="s">
        <v>29</v>
      </c>
      <c r="H606" s="25" t="s">
        <v>31</v>
      </c>
      <c r="I606" s="26">
        <v>45995.476469907408</v>
      </c>
      <c r="J606" s="25" t="s">
        <v>3785</v>
      </c>
      <c r="K606" s="25" t="s">
        <v>32</v>
      </c>
    </row>
    <row r="607" spans="3:11" x14ac:dyDescent="0.25">
      <c r="C607" s="25">
        <v>23599039</v>
      </c>
      <c r="D607" s="26">
        <v>45986.476458333331</v>
      </c>
      <c r="E607" s="25" t="s">
        <v>59</v>
      </c>
      <c r="F607" s="25" t="s">
        <v>60</v>
      </c>
      <c r="G607" s="25" t="s">
        <v>29</v>
      </c>
      <c r="H607" s="25" t="s">
        <v>31</v>
      </c>
      <c r="I607" s="26">
        <v>45995.476458333331</v>
      </c>
      <c r="J607" s="25" t="s">
        <v>3785</v>
      </c>
      <c r="K607" s="25" t="s">
        <v>32</v>
      </c>
    </row>
    <row r="608" spans="3:11" x14ac:dyDescent="0.25">
      <c r="C608" s="25">
        <v>23599040</v>
      </c>
      <c r="D608" s="26">
        <v>45986.476504629631</v>
      </c>
      <c r="E608" s="25" t="s">
        <v>59</v>
      </c>
      <c r="F608" s="25" t="s">
        <v>60</v>
      </c>
      <c r="G608" s="25" t="s">
        <v>29</v>
      </c>
      <c r="H608" s="25" t="s">
        <v>31</v>
      </c>
      <c r="I608" s="26">
        <v>45995.476504629631</v>
      </c>
      <c r="J608" s="25" t="s">
        <v>3785</v>
      </c>
      <c r="K608" s="25" t="s">
        <v>32</v>
      </c>
    </row>
    <row r="609" spans="3:11" x14ac:dyDescent="0.25">
      <c r="C609" s="25">
        <v>23599041</v>
      </c>
      <c r="D609" s="26">
        <v>45986.4765162037</v>
      </c>
      <c r="E609" s="25" t="s">
        <v>59</v>
      </c>
      <c r="F609" s="25" t="s">
        <v>60</v>
      </c>
      <c r="G609" s="25" t="s">
        <v>29</v>
      </c>
      <c r="H609" s="25" t="s">
        <v>31</v>
      </c>
      <c r="I609" s="26">
        <v>45995.4765162037</v>
      </c>
      <c r="J609" s="25" t="s">
        <v>3785</v>
      </c>
      <c r="K609" s="25" t="s">
        <v>32</v>
      </c>
    </row>
    <row r="610" spans="3:11" x14ac:dyDescent="0.25">
      <c r="C610" s="25">
        <v>23599042</v>
      </c>
      <c r="D610" s="26">
        <v>45986.4765162037</v>
      </c>
      <c r="E610" s="25" t="s">
        <v>59</v>
      </c>
      <c r="F610" s="25" t="s">
        <v>60</v>
      </c>
      <c r="G610" s="25" t="s">
        <v>29</v>
      </c>
      <c r="H610" s="25" t="s">
        <v>31</v>
      </c>
      <c r="I610" s="26">
        <v>45995.4765162037</v>
      </c>
      <c r="J610" s="25" t="s">
        <v>3785</v>
      </c>
      <c r="K610" s="25" t="s">
        <v>32</v>
      </c>
    </row>
    <row r="611" spans="3:11" x14ac:dyDescent="0.25">
      <c r="C611" s="25">
        <v>23599043</v>
      </c>
      <c r="D611" s="26">
        <v>45986.476527777777</v>
      </c>
      <c r="E611" s="25" t="s">
        <v>59</v>
      </c>
      <c r="F611" s="25" t="s">
        <v>60</v>
      </c>
      <c r="G611" s="25" t="s">
        <v>29</v>
      </c>
      <c r="H611" s="25" t="s">
        <v>31</v>
      </c>
      <c r="I611" s="26">
        <v>45995.476527777777</v>
      </c>
      <c r="J611" s="25" t="s">
        <v>3785</v>
      </c>
      <c r="K611" s="25" t="s">
        <v>32</v>
      </c>
    </row>
    <row r="612" spans="3:11" x14ac:dyDescent="0.25">
      <c r="C612" s="25">
        <v>23599044</v>
      </c>
      <c r="D612" s="26">
        <v>45986.476527777777</v>
      </c>
      <c r="E612" s="25" t="s">
        <v>59</v>
      </c>
      <c r="F612" s="25" t="s">
        <v>60</v>
      </c>
      <c r="G612" s="25" t="s">
        <v>29</v>
      </c>
      <c r="H612" s="25" t="s">
        <v>31</v>
      </c>
      <c r="I612" s="26">
        <v>45995.476527777777</v>
      </c>
      <c r="J612" s="25" t="s">
        <v>3785</v>
      </c>
      <c r="K612" s="25" t="s">
        <v>32</v>
      </c>
    </row>
    <row r="613" spans="3:11" x14ac:dyDescent="0.25">
      <c r="C613" s="25">
        <v>23599045</v>
      </c>
      <c r="D613" s="26">
        <v>45986.4766087963</v>
      </c>
      <c r="E613" s="25" t="s">
        <v>59</v>
      </c>
      <c r="F613" s="25" t="s">
        <v>60</v>
      </c>
      <c r="G613" s="25" t="s">
        <v>29</v>
      </c>
      <c r="H613" s="25" t="s">
        <v>31</v>
      </c>
      <c r="I613" s="26">
        <v>45995.4766087963</v>
      </c>
      <c r="J613" s="25" t="s">
        <v>3785</v>
      </c>
      <c r="K613" s="25" t="s">
        <v>32</v>
      </c>
    </row>
    <row r="614" spans="3:11" x14ac:dyDescent="0.25">
      <c r="C614" s="25">
        <v>23599046</v>
      </c>
      <c r="D614" s="26">
        <v>45986.476620370369</v>
      </c>
      <c r="E614" s="25" t="s">
        <v>59</v>
      </c>
      <c r="F614" s="25" t="s">
        <v>60</v>
      </c>
      <c r="G614" s="25" t="s">
        <v>29</v>
      </c>
      <c r="H614" s="25" t="s">
        <v>31</v>
      </c>
      <c r="I614" s="26">
        <v>45995.476620370369</v>
      </c>
      <c r="J614" s="25" t="s">
        <v>3785</v>
      </c>
      <c r="K614" s="25" t="s">
        <v>32</v>
      </c>
    </row>
    <row r="615" spans="3:11" x14ac:dyDescent="0.25">
      <c r="C615" s="25">
        <v>23599047</v>
      </c>
      <c r="D615" s="26">
        <v>45986.476620370369</v>
      </c>
      <c r="E615" s="25" t="s">
        <v>59</v>
      </c>
      <c r="F615" s="25" t="s">
        <v>60</v>
      </c>
      <c r="G615" s="25" t="s">
        <v>29</v>
      </c>
      <c r="H615" s="25" t="s">
        <v>31</v>
      </c>
      <c r="I615" s="26">
        <v>45995.476620370369</v>
      </c>
      <c r="J615" s="25" t="s">
        <v>3785</v>
      </c>
      <c r="K615" s="25" t="s">
        <v>32</v>
      </c>
    </row>
    <row r="616" spans="3:11" x14ac:dyDescent="0.25">
      <c r="C616" s="25">
        <v>23599048</v>
      </c>
      <c r="D616" s="26">
        <v>45986.476620370369</v>
      </c>
      <c r="E616" s="25" t="s">
        <v>59</v>
      </c>
      <c r="F616" s="25" t="s">
        <v>60</v>
      </c>
      <c r="G616" s="25" t="s">
        <v>29</v>
      </c>
      <c r="H616" s="25" t="s">
        <v>31</v>
      </c>
      <c r="I616" s="26">
        <v>45995.476620370369</v>
      </c>
      <c r="J616" s="25" t="s">
        <v>3785</v>
      </c>
      <c r="K616" s="25" t="s">
        <v>32</v>
      </c>
    </row>
    <row r="617" spans="3:11" x14ac:dyDescent="0.25">
      <c r="C617" s="25">
        <v>23599051</v>
      </c>
      <c r="D617" s="26">
        <v>45986.47724537037</v>
      </c>
      <c r="E617" s="25" t="s">
        <v>59</v>
      </c>
      <c r="F617" s="25" t="s">
        <v>60</v>
      </c>
      <c r="G617" s="25" t="s">
        <v>29</v>
      </c>
      <c r="H617" s="25" t="s">
        <v>31</v>
      </c>
      <c r="I617" s="26">
        <v>45995.47724537037</v>
      </c>
      <c r="J617" s="25" t="s">
        <v>3841</v>
      </c>
      <c r="K617" s="25" t="s">
        <v>32</v>
      </c>
    </row>
    <row r="618" spans="3:11" x14ac:dyDescent="0.25">
      <c r="C618" s="25">
        <v>23599052</v>
      </c>
      <c r="D618" s="26">
        <v>45986.477256944447</v>
      </c>
      <c r="E618" s="25" t="s">
        <v>59</v>
      </c>
      <c r="F618" s="25" t="s">
        <v>60</v>
      </c>
      <c r="G618" s="25" t="s">
        <v>29</v>
      </c>
      <c r="H618" s="25" t="s">
        <v>31</v>
      </c>
      <c r="I618" s="26">
        <v>45995.477256944447</v>
      </c>
      <c r="J618" s="25" t="s">
        <v>3841</v>
      </c>
      <c r="K618" s="25" t="s">
        <v>32</v>
      </c>
    </row>
    <row r="619" spans="3:11" x14ac:dyDescent="0.25">
      <c r="C619" s="25">
        <v>23599053</v>
      </c>
      <c r="D619" s="26">
        <v>45986.477256944447</v>
      </c>
      <c r="E619" s="25" t="s">
        <v>59</v>
      </c>
      <c r="F619" s="25" t="s">
        <v>60</v>
      </c>
      <c r="G619" s="25" t="s">
        <v>29</v>
      </c>
      <c r="H619" s="25" t="s">
        <v>31</v>
      </c>
      <c r="I619" s="26">
        <v>45995.477256944447</v>
      </c>
      <c r="J619" s="25" t="s">
        <v>3841</v>
      </c>
      <c r="K619" s="25" t="s">
        <v>32</v>
      </c>
    </row>
    <row r="620" spans="3:11" x14ac:dyDescent="0.25">
      <c r="C620" s="25">
        <v>23599054</v>
      </c>
      <c r="D620" s="26">
        <v>45986.477268518516</v>
      </c>
      <c r="E620" s="25" t="s">
        <v>59</v>
      </c>
      <c r="F620" s="25" t="s">
        <v>60</v>
      </c>
      <c r="G620" s="25" t="s">
        <v>29</v>
      </c>
      <c r="H620" s="25" t="s">
        <v>31</v>
      </c>
      <c r="I620" s="26">
        <v>45995.477268518516</v>
      </c>
      <c r="J620" s="25" t="s">
        <v>3841</v>
      </c>
      <c r="K620" s="25" t="s">
        <v>32</v>
      </c>
    </row>
    <row r="621" spans="3:11" x14ac:dyDescent="0.25">
      <c r="C621" s="25">
        <v>23599055</v>
      </c>
      <c r="D621" s="26">
        <v>45986.477268518516</v>
      </c>
      <c r="E621" s="25" t="s">
        <v>59</v>
      </c>
      <c r="F621" s="25" t="s">
        <v>60</v>
      </c>
      <c r="G621" s="25" t="s">
        <v>29</v>
      </c>
      <c r="H621" s="25" t="s">
        <v>31</v>
      </c>
      <c r="I621" s="26">
        <v>45995.477268518516</v>
      </c>
      <c r="J621" s="25" t="s">
        <v>3841</v>
      </c>
      <c r="K621" s="25" t="s">
        <v>32</v>
      </c>
    </row>
    <row r="622" spans="3:11" x14ac:dyDescent="0.25">
      <c r="C622" s="25">
        <v>23599056</v>
      </c>
      <c r="D622" s="26">
        <v>45986.477268518516</v>
      </c>
      <c r="E622" s="25" t="s">
        <v>59</v>
      </c>
      <c r="F622" s="25" t="s">
        <v>60</v>
      </c>
      <c r="G622" s="25" t="s">
        <v>29</v>
      </c>
      <c r="H622" s="25" t="s">
        <v>31</v>
      </c>
      <c r="I622" s="26">
        <v>45995.477268518516</v>
      </c>
      <c r="J622" s="25" t="s">
        <v>3841</v>
      </c>
      <c r="K622" s="25" t="s">
        <v>32</v>
      </c>
    </row>
    <row r="623" spans="3:11" x14ac:dyDescent="0.25">
      <c r="C623" s="25">
        <v>23599057</v>
      </c>
      <c r="D623" s="26">
        <v>45986.477280092593</v>
      </c>
      <c r="E623" s="25" t="s">
        <v>59</v>
      </c>
      <c r="F623" s="25" t="s">
        <v>60</v>
      </c>
      <c r="G623" s="25" t="s">
        <v>29</v>
      </c>
      <c r="H623" s="25" t="s">
        <v>31</v>
      </c>
      <c r="I623" s="26">
        <v>45995.477280092593</v>
      </c>
      <c r="J623" s="25" t="s">
        <v>3841</v>
      </c>
      <c r="K623" s="25" t="s">
        <v>32</v>
      </c>
    </row>
    <row r="624" spans="3:11" x14ac:dyDescent="0.25">
      <c r="C624" s="25">
        <v>23599058</v>
      </c>
      <c r="D624" s="26">
        <v>45986.47729166667</v>
      </c>
      <c r="E624" s="25" t="s">
        <v>59</v>
      </c>
      <c r="F624" s="25" t="s">
        <v>60</v>
      </c>
      <c r="G624" s="25" t="s">
        <v>29</v>
      </c>
      <c r="H624" s="25" t="s">
        <v>31</v>
      </c>
      <c r="I624" s="26">
        <v>45995.47729166667</v>
      </c>
      <c r="J624" s="25" t="s">
        <v>3841</v>
      </c>
      <c r="K624" s="25" t="s">
        <v>32</v>
      </c>
    </row>
    <row r="625" spans="3:11" x14ac:dyDescent="0.25">
      <c r="C625" s="25">
        <v>23599059</v>
      </c>
      <c r="D625" s="26">
        <v>45986.477314814816</v>
      </c>
      <c r="E625" s="25" t="s">
        <v>59</v>
      </c>
      <c r="F625" s="25" t="s">
        <v>60</v>
      </c>
      <c r="G625" s="25" t="s">
        <v>29</v>
      </c>
      <c r="H625" s="25" t="s">
        <v>31</v>
      </c>
      <c r="I625" s="26">
        <v>45995.477314814816</v>
      </c>
      <c r="J625" s="25" t="s">
        <v>3841</v>
      </c>
      <c r="K625" s="25" t="s">
        <v>32</v>
      </c>
    </row>
    <row r="626" spans="3:11" x14ac:dyDescent="0.25">
      <c r="C626" s="25">
        <v>23599060</v>
      </c>
      <c r="D626" s="26">
        <v>45986.477314814816</v>
      </c>
      <c r="E626" s="25" t="s">
        <v>59</v>
      </c>
      <c r="F626" s="25" t="s">
        <v>60</v>
      </c>
      <c r="G626" s="25" t="s">
        <v>29</v>
      </c>
      <c r="H626" s="25" t="s">
        <v>31</v>
      </c>
      <c r="I626" s="26">
        <v>45995.477314814816</v>
      </c>
      <c r="J626" s="25" t="s">
        <v>3841</v>
      </c>
      <c r="K626" s="25" t="s">
        <v>32</v>
      </c>
    </row>
    <row r="627" spans="3:11" x14ac:dyDescent="0.25">
      <c r="C627" s="25">
        <v>23599061</v>
      </c>
      <c r="D627" s="26">
        <v>45986.477349537039</v>
      </c>
      <c r="E627" s="25" t="s">
        <v>59</v>
      </c>
      <c r="F627" s="25" t="s">
        <v>60</v>
      </c>
      <c r="G627" s="25" t="s">
        <v>29</v>
      </c>
      <c r="H627" s="25" t="s">
        <v>31</v>
      </c>
      <c r="I627" s="26">
        <v>45995.477349537039</v>
      </c>
      <c r="J627" s="25" t="s">
        <v>3841</v>
      </c>
      <c r="K627" s="25" t="s">
        <v>32</v>
      </c>
    </row>
    <row r="628" spans="3:11" x14ac:dyDescent="0.25">
      <c r="C628" s="25">
        <v>23599062</v>
      </c>
      <c r="D628" s="26">
        <v>45986.477349537039</v>
      </c>
      <c r="E628" s="25" t="s">
        <v>59</v>
      </c>
      <c r="F628" s="25" t="s">
        <v>60</v>
      </c>
      <c r="G628" s="25" t="s">
        <v>29</v>
      </c>
      <c r="H628" s="25" t="s">
        <v>31</v>
      </c>
      <c r="I628" s="26">
        <v>45995.477349537039</v>
      </c>
      <c r="J628" s="25" t="s">
        <v>3841</v>
      </c>
      <c r="K628" s="25" t="s">
        <v>32</v>
      </c>
    </row>
    <row r="629" spans="3:11" x14ac:dyDescent="0.25">
      <c r="C629" s="25">
        <v>23599063</v>
      </c>
      <c r="D629" s="26">
        <v>45986.477337962962</v>
      </c>
      <c r="E629" s="25" t="s">
        <v>59</v>
      </c>
      <c r="F629" s="25" t="s">
        <v>60</v>
      </c>
      <c r="G629" s="25" t="s">
        <v>29</v>
      </c>
      <c r="H629" s="25" t="s">
        <v>31</v>
      </c>
      <c r="I629" s="26">
        <v>45995.477337962962</v>
      </c>
      <c r="J629" s="25" t="s">
        <v>3841</v>
      </c>
      <c r="K629" s="25" t="s">
        <v>32</v>
      </c>
    </row>
    <row r="630" spans="3:11" x14ac:dyDescent="0.25">
      <c r="C630" s="25">
        <v>23599064</v>
      </c>
      <c r="D630" s="26">
        <v>45986.477349537039</v>
      </c>
      <c r="E630" s="25" t="s">
        <v>59</v>
      </c>
      <c r="F630" s="25" t="s">
        <v>60</v>
      </c>
      <c r="G630" s="25" t="s">
        <v>29</v>
      </c>
      <c r="H630" s="25" t="s">
        <v>31</v>
      </c>
      <c r="I630" s="26">
        <v>45995.477349537039</v>
      </c>
      <c r="J630" s="25" t="s">
        <v>3841</v>
      </c>
      <c r="K630" s="25" t="s">
        <v>32</v>
      </c>
    </row>
    <row r="631" spans="3:11" x14ac:dyDescent="0.25">
      <c r="C631" s="25">
        <v>23599065</v>
      </c>
      <c r="D631" s="26">
        <v>45986.477361111109</v>
      </c>
      <c r="E631" s="25" t="s">
        <v>59</v>
      </c>
      <c r="F631" s="25" t="s">
        <v>60</v>
      </c>
      <c r="G631" s="25" t="s">
        <v>29</v>
      </c>
      <c r="H631" s="25" t="s">
        <v>31</v>
      </c>
      <c r="I631" s="26">
        <v>45995.477361111109</v>
      </c>
      <c r="J631" s="25" t="s">
        <v>3841</v>
      </c>
      <c r="K631" s="25" t="s">
        <v>32</v>
      </c>
    </row>
    <row r="632" spans="3:11" x14ac:dyDescent="0.25">
      <c r="C632" s="25">
        <v>23599066</v>
      </c>
      <c r="D632" s="26">
        <v>45986.477361111109</v>
      </c>
      <c r="E632" s="25" t="s">
        <v>59</v>
      </c>
      <c r="F632" s="25" t="s">
        <v>60</v>
      </c>
      <c r="G632" s="25" t="s">
        <v>29</v>
      </c>
      <c r="H632" s="25" t="s">
        <v>31</v>
      </c>
      <c r="I632" s="26">
        <v>45995.477361111109</v>
      </c>
      <c r="J632" s="25" t="s">
        <v>3841</v>
      </c>
      <c r="K632" s="25" t="s">
        <v>32</v>
      </c>
    </row>
    <row r="633" spans="3:11" x14ac:dyDescent="0.25">
      <c r="C633" s="25">
        <v>23599067</v>
      </c>
      <c r="D633" s="26">
        <v>45986.477361111109</v>
      </c>
      <c r="E633" s="25" t="s">
        <v>59</v>
      </c>
      <c r="F633" s="25" t="s">
        <v>60</v>
      </c>
      <c r="G633" s="25" t="s">
        <v>29</v>
      </c>
      <c r="H633" s="25" t="s">
        <v>31</v>
      </c>
      <c r="I633" s="26">
        <v>45995.477361111109</v>
      </c>
      <c r="J633" s="25" t="s">
        <v>3841</v>
      </c>
      <c r="K633" s="25" t="s">
        <v>32</v>
      </c>
    </row>
    <row r="634" spans="3:11" x14ac:dyDescent="0.25">
      <c r="C634" s="25">
        <v>23599068</v>
      </c>
      <c r="D634" s="26">
        <v>45986.477361111109</v>
      </c>
      <c r="E634" s="25" t="s">
        <v>59</v>
      </c>
      <c r="F634" s="25" t="s">
        <v>60</v>
      </c>
      <c r="G634" s="25" t="s">
        <v>29</v>
      </c>
      <c r="H634" s="25" t="s">
        <v>31</v>
      </c>
      <c r="I634" s="26">
        <v>45995.477361111109</v>
      </c>
      <c r="J634" s="25" t="s">
        <v>3841</v>
      </c>
      <c r="K634" s="25" t="s">
        <v>32</v>
      </c>
    </row>
    <row r="635" spans="3:11" x14ac:dyDescent="0.25">
      <c r="C635" s="25">
        <v>23599069</v>
      </c>
      <c r="D635" s="26">
        <v>45986.477361111109</v>
      </c>
      <c r="E635" s="25" t="s">
        <v>59</v>
      </c>
      <c r="F635" s="25" t="s">
        <v>60</v>
      </c>
      <c r="G635" s="25" t="s">
        <v>29</v>
      </c>
      <c r="H635" s="25" t="s">
        <v>31</v>
      </c>
      <c r="I635" s="26">
        <v>45995.477361111109</v>
      </c>
      <c r="J635" s="25" t="s">
        <v>3841</v>
      </c>
      <c r="K635" s="25" t="s">
        <v>32</v>
      </c>
    </row>
    <row r="636" spans="3:11" x14ac:dyDescent="0.25">
      <c r="C636" s="25">
        <v>23599070</v>
      </c>
      <c r="D636" s="26">
        <v>45986.477361111109</v>
      </c>
      <c r="E636" s="25" t="s">
        <v>59</v>
      </c>
      <c r="F636" s="25" t="s">
        <v>60</v>
      </c>
      <c r="G636" s="25" t="s">
        <v>29</v>
      </c>
      <c r="H636" s="25" t="s">
        <v>31</v>
      </c>
      <c r="I636" s="26">
        <v>45995.477361111109</v>
      </c>
      <c r="J636" s="25" t="s">
        <v>3841</v>
      </c>
      <c r="K636" s="25" t="s">
        <v>32</v>
      </c>
    </row>
    <row r="637" spans="3:11" x14ac:dyDescent="0.25">
      <c r="C637" s="25">
        <v>23599071</v>
      </c>
      <c r="D637" s="26">
        <v>45986.477372685185</v>
      </c>
      <c r="E637" s="25" t="s">
        <v>59</v>
      </c>
      <c r="F637" s="25" t="s">
        <v>60</v>
      </c>
      <c r="G637" s="25" t="s">
        <v>29</v>
      </c>
      <c r="H637" s="25" t="s">
        <v>31</v>
      </c>
      <c r="I637" s="26">
        <v>45995.477372685185</v>
      </c>
      <c r="J637" s="25" t="s">
        <v>3841</v>
      </c>
      <c r="K637" s="25" t="s">
        <v>32</v>
      </c>
    </row>
    <row r="638" spans="3:11" x14ac:dyDescent="0.25">
      <c r="C638" s="25">
        <v>23599072</v>
      </c>
      <c r="D638" s="26">
        <v>45986.477372685185</v>
      </c>
      <c r="E638" s="25" t="s">
        <v>59</v>
      </c>
      <c r="F638" s="25" t="s">
        <v>60</v>
      </c>
      <c r="G638" s="25" t="s">
        <v>29</v>
      </c>
      <c r="H638" s="25" t="s">
        <v>31</v>
      </c>
      <c r="I638" s="26">
        <v>45995.477372685185</v>
      </c>
      <c r="J638" s="25" t="s">
        <v>3841</v>
      </c>
      <c r="K638" s="25" t="s">
        <v>32</v>
      </c>
    </row>
    <row r="639" spans="3:11" x14ac:dyDescent="0.25">
      <c r="C639" s="25">
        <v>23599073</v>
      </c>
      <c r="D639" s="26">
        <v>45986.477384259262</v>
      </c>
      <c r="E639" s="25" t="s">
        <v>59</v>
      </c>
      <c r="F639" s="25" t="s">
        <v>60</v>
      </c>
      <c r="G639" s="25" t="s">
        <v>29</v>
      </c>
      <c r="H639" s="25" t="s">
        <v>31</v>
      </c>
      <c r="I639" s="26">
        <v>45995.477384259262</v>
      </c>
      <c r="J639" s="25" t="s">
        <v>3841</v>
      </c>
      <c r="K639" s="25" t="s">
        <v>32</v>
      </c>
    </row>
    <row r="640" spans="3:11" x14ac:dyDescent="0.25">
      <c r="C640" s="25">
        <v>23599074</v>
      </c>
      <c r="D640" s="26">
        <v>45986.477384259262</v>
      </c>
      <c r="E640" s="25" t="s">
        <v>59</v>
      </c>
      <c r="F640" s="25" t="s">
        <v>60</v>
      </c>
      <c r="G640" s="25" t="s">
        <v>29</v>
      </c>
      <c r="H640" s="25" t="s">
        <v>31</v>
      </c>
      <c r="I640" s="26">
        <v>45995.477384259262</v>
      </c>
      <c r="J640" s="25" t="s">
        <v>3841</v>
      </c>
      <c r="K640" s="25" t="s">
        <v>32</v>
      </c>
    </row>
    <row r="641" spans="3:11" x14ac:dyDescent="0.25">
      <c r="C641" s="25">
        <v>23599075</v>
      </c>
      <c r="D641" s="26">
        <v>45986.477395833332</v>
      </c>
      <c r="E641" s="25" t="s">
        <v>59</v>
      </c>
      <c r="F641" s="25" t="s">
        <v>60</v>
      </c>
      <c r="G641" s="25" t="s">
        <v>29</v>
      </c>
      <c r="H641" s="25" t="s">
        <v>31</v>
      </c>
      <c r="I641" s="26">
        <v>45995.477395833332</v>
      </c>
      <c r="J641" s="25" t="s">
        <v>3841</v>
      </c>
      <c r="K641" s="25" t="s">
        <v>32</v>
      </c>
    </row>
    <row r="642" spans="3:11" x14ac:dyDescent="0.25">
      <c r="C642" s="25">
        <v>23599076</v>
      </c>
      <c r="D642" s="26">
        <v>45986.477407407408</v>
      </c>
      <c r="E642" s="25" t="s">
        <v>59</v>
      </c>
      <c r="F642" s="25" t="s">
        <v>60</v>
      </c>
      <c r="G642" s="25" t="s">
        <v>29</v>
      </c>
      <c r="H642" s="25" t="s">
        <v>31</v>
      </c>
      <c r="I642" s="26">
        <v>45995.477407407408</v>
      </c>
      <c r="J642" s="25" t="s">
        <v>3841</v>
      </c>
      <c r="K642" s="25" t="s">
        <v>32</v>
      </c>
    </row>
    <row r="643" spans="3:11" x14ac:dyDescent="0.25">
      <c r="C643" s="25">
        <v>23599077</v>
      </c>
      <c r="D643" s="26">
        <v>45986.477407407408</v>
      </c>
      <c r="E643" s="25" t="s">
        <v>59</v>
      </c>
      <c r="F643" s="25" t="s">
        <v>60</v>
      </c>
      <c r="G643" s="25" t="s">
        <v>29</v>
      </c>
      <c r="H643" s="25" t="s">
        <v>31</v>
      </c>
      <c r="I643" s="26">
        <v>45995.477407407408</v>
      </c>
      <c r="J643" s="25" t="s">
        <v>3841</v>
      </c>
      <c r="K643" s="25" t="s">
        <v>32</v>
      </c>
    </row>
    <row r="644" spans="3:11" x14ac:dyDescent="0.25">
      <c r="C644" s="25">
        <v>23599078</v>
      </c>
      <c r="D644" s="26">
        <v>45986.477418981478</v>
      </c>
      <c r="E644" s="25" t="s">
        <v>59</v>
      </c>
      <c r="F644" s="25" t="s">
        <v>60</v>
      </c>
      <c r="G644" s="25" t="s">
        <v>29</v>
      </c>
      <c r="H644" s="25" t="s">
        <v>31</v>
      </c>
      <c r="I644" s="26">
        <v>45995.477418981478</v>
      </c>
      <c r="J644" s="25" t="s">
        <v>3841</v>
      </c>
      <c r="K644" s="25" t="s">
        <v>32</v>
      </c>
    </row>
    <row r="645" spans="3:11" x14ac:dyDescent="0.25">
      <c r="C645" s="25">
        <v>23599079</v>
      </c>
      <c r="D645" s="26">
        <v>45986.477418981478</v>
      </c>
      <c r="E645" s="25" t="s">
        <v>59</v>
      </c>
      <c r="F645" s="25" t="s">
        <v>60</v>
      </c>
      <c r="G645" s="25" t="s">
        <v>29</v>
      </c>
      <c r="H645" s="25" t="s">
        <v>31</v>
      </c>
      <c r="I645" s="26">
        <v>45995.477418981478</v>
      </c>
      <c r="J645" s="25" t="s">
        <v>3841</v>
      </c>
      <c r="K645" s="25" t="s">
        <v>32</v>
      </c>
    </row>
    <row r="646" spans="3:11" x14ac:dyDescent="0.25">
      <c r="C646" s="25">
        <v>23599080</v>
      </c>
      <c r="D646" s="26">
        <v>45986.477442129632</v>
      </c>
      <c r="E646" s="25" t="s">
        <v>59</v>
      </c>
      <c r="F646" s="25" t="s">
        <v>60</v>
      </c>
      <c r="G646" s="25" t="s">
        <v>29</v>
      </c>
      <c r="H646" s="25" t="s">
        <v>31</v>
      </c>
      <c r="I646" s="26">
        <v>45995.477442129632</v>
      </c>
      <c r="J646" s="25" t="s">
        <v>3841</v>
      </c>
      <c r="K646" s="25" t="s">
        <v>32</v>
      </c>
    </row>
    <row r="647" spans="3:11" x14ac:dyDescent="0.25">
      <c r="C647" s="25">
        <v>23599081</v>
      </c>
      <c r="D647" s="26">
        <v>45986.477430555555</v>
      </c>
      <c r="E647" s="25" t="s">
        <v>59</v>
      </c>
      <c r="F647" s="25" t="s">
        <v>60</v>
      </c>
      <c r="G647" s="25" t="s">
        <v>29</v>
      </c>
      <c r="H647" s="25" t="s">
        <v>31</v>
      </c>
      <c r="I647" s="26">
        <v>45995.477430555555</v>
      </c>
      <c r="J647" s="25" t="s">
        <v>3841</v>
      </c>
      <c r="K647" s="25" t="s">
        <v>32</v>
      </c>
    </row>
    <row r="648" spans="3:11" x14ac:dyDescent="0.25">
      <c r="C648" s="25">
        <v>23599082</v>
      </c>
      <c r="D648" s="26">
        <v>45986.477442129632</v>
      </c>
      <c r="E648" s="25" t="s">
        <v>59</v>
      </c>
      <c r="F648" s="25" t="s">
        <v>60</v>
      </c>
      <c r="G648" s="25" t="s">
        <v>29</v>
      </c>
      <c r="H648" s="25" t="s">
        <v>31</v>
      </c>
      <c r="I648" s="26">
        <v>45995.477442129632</v>
      </c>
      <c r="J648" s="25" t="s">
        <v>3841</v>
      </c>
      <c r="K648" s="25" t="s">
        <v>32</v>
      </c>
    </row>
    <row r="649" spans="3:11" x14ac:dyDescent="0.25">
      <c r="C649" s="25">
        <v>23599083</v>
      </c>
      <c r="D649" s="26">
        <v>45986.477453703701</v>
      </c>
      <c r="E649" s="25" t="s">
        <v>59</v>
      </c>
      <c r="F649" s="25" t="s">
        <v>60</v>
      </c>
      <c r="G649" s="25" t="s">
        <v>29</v>
      </c>
      <c r="H649" s="25" t="s">
        <v>31</v>
      </c>
      <c r="I649" s="26">
        <v>45995.477453703701</v>
      </c>
      <c r="J649" s="25" t="s">
        <v>3841</v>
      </c>
      <c r="K649" s="25" t="s">
        <v>32</v>
      </c>
    </row>
    <row r="650" spans="3:11" x14ac:dyDescent="0.25">
      <c r="C650" s="25">
        <v>23599084</v>
      </c>
      <c r="D650" s="26">
        <v>45986.477476851855</v>
      </c>
      <c r="E650" s="25" t="s">
        <v>59</v>
      </c>
      <c r="F650" s="25" t="s">
        <v>60</v>
      </c>
      <c r="G650" s="25" t="s">
        <v>29</v>
      </c>
      <c r="H650" s="25" t="s">
        <v>31</v>
      </c>
      <c r="I650" s="26">
        <v>45995.477476851855</v>
      </c>
      <c r="J650" s="25" t="s">
        <v>3841</v>
      </c>
      <c r="K650" s="25" t="s">
        <v>32</v>
      </c>
    </row>
    <row r="651" spans="3:11" x14ac:dyDescent="0.25">
      <c r="C651" s="25">
        <v>23599085</v>
      </c>
      <c r="D651" s="26">
        <v>45986.477476851855</v>
      </c>
      <c r="E651" s="25" t="s">
        <v>59</v>
      </c>
      <c r="F651" s="25" t="s">
        <v>60</v>
      </c>
      <c r="G651" s="25" t="s">
        <v>29</v>
      </c>
      <c r="H651" s="25" t="s">
        <v>31</v>
      </c>
      <c r="I651" s="26">
        <v>45995.477476851855</v>
      </c>
      <c r="J651" s="25" t="s">
        <v>3841</v>
      </c>
      <c r="K651" s="25" t="s">
        <v>32</v>
      </c>
    </row>
    <row r="652" spans="3:11" x14ac:dyDescent="0.25">
      <c r="C652" s="25">
        <v>23599086</v>
      </c>
      <c r="D652" s="26">
        <v>45986.477488425924</v>
      </c>
      <c r="E652" s="25" t="s">
        <v>59</v>
      </c>
      <c r="F652" s="25" t="s">
        <v>60</v>
      </c>
      <c r="G652" s="25" t="s">
        <v>29</v>
      </c>
      <c r="H652" s="25" t="s">
        <v>31</v>
      </c>
      <c r="I652" s="26">
        <v>45995.477488425924</v>
      </c>
      <c r="J652" s="25" t="s">
        <v>3841</v>
      </c>
      <c r="K652" s="25" t="s">
        <v>32</v>
      </c>
    </row>
    <row r="653" spans="3:11" x14ac:dyDescent="0.25">
      <c r="C653" s="25">
        <v>23599087</v>
      </c>
      <c r="D653" s="26">
        <v>45986.477500000001</v>
      </c>
      <c r="E653" s="25" t="s">
        <v>59</v>
      </c>
      <c r="F653" s="25" t="s">
        <v>60</v>
      </c>
      <c r="G653" s="25" t="s">
        <v>29</v>
      </c>
      <c r="H653" s="25" t="s">
        <v>31</v>
      </c>
      <c r="I653" s="26">
        <v>45995.477500000001</v>
      </c>
      <c r="J653" s="25" t="s">
        <v>3841</v>
      </c>
      <c r="K653" s="25" t="s">
        <v>32</v>
      </c>
    </row>
    <row r="654" spans="3:11" x14ac:dyDescent="0.25">
      <c r="C654" s="25">
        <v>23599088</v>
      </c>
      <c r="D654" s="26">
        <v>45986.477500000001</v>
      </c>
      <c r="E654" s="25" t="s">
        <v>59</v>
      </c>
      <c r="F654" s="25" t="s">
        <v>60</v>
      </c>
      <c r="G654" s="25" t="s">
        <v>29</v>
      </c>
      <c r="H654" s="25" t="s">
        <v>31</v>
      </c>
      <c r="I654" s="26">
        <v>45995.477500000001</v>
      </c>
      <c r="J654" s="25" t="s">
        <v>3841</v>
      </c>
      <c r="K654" s="25" t="s">
        <v>32</v>
      </c>
    </row>
    <row r="655" spans="3:11" x14ac:dyDescent="0.25">
      <c r="C655" s="25">
        <v>23599089</v>
      </c>
      <c r="D655" s="26">
        <v>45986.477500000001</v>
      </c>
      <c r="E655" s="25" t="s">
        <v>59</v>
      </c>
      <c r="F655" s="25" t="s">
        <v>60</v>
      </c>
      <c r="G655" s="25" t="s">
        <v>29</v>
      </c>
      <c r="H655" s="25" t="s">
        <v>31</v>
      </c>
      <c r="I655" s="26">
        <v>45995.477500000001</v>
      </c>
      <c r="J655" s="25" t="s">
        <v>3841</v>
      </c>
      <c r="K655" s="25" t="s">
        <v>32</v>
      </c>
    </row>
    <row r="656" spans="3:11" x14ac:dyDescent="0.25">
      <c r="C656" s="25">
        <v>23599090</v>
      </c>
      <c r="D656" s="26">
        <v>45986.477500000001</v>
      </c>
      <c r="E656" s="25" t="s">
        <v>59</v>
      </c>
      <c r="F656" s="25" t="s">
        <v>60</v>
      </c>
      <c r="G656" s="25" t="s">
        <v>29</v>
      </c>
      <c r="H656" s="25" t="s">
        <v>31</v>
      </c>
      <c r="I656" s="26">
        <v>45995.477500000001</v>
      </c>
      <c r="J656" s="25" t="s">
        <v>3841</v>
      </c>
      <c r="K656" s="25" t="s">
        <v>32</v>
      </c>
    </row>
    <row r="657" spans="3:11" x14ac:dyDescent="0.25">
      <c r="C657" s="25">
        <v>23599091</v>
      </c>
      <c r="D657" s="26">
        <v>45986.477511574078</v>
      </c>
      <c r="E657" s="25" t="s">
        <v>59</v>
      </c>
      <c r="F657" s="25" t="s">
        <v>60</v>
      </c>
      <c r="G657" s="25" t="s">
        <v>29</v>
      </c>
      <c r="H657" s="25" t="s">
        <v>31</v>
      </c>
      <c r="I657" s="26">
        <v>45995.477511574078</v>
      </c>
      <c r="J657" s="25" t="s">
        <v>3841</v>
      </c>
      <c r="K657" s="25" t="s">
        <v>32</v>
      </c>
    </row>
    <row r="658" spans="3:11" x14ac:dyDescent="0.25">
      <c r="C658" s="25">
        <v>23599092</v>
      </c>
      <c r="D658" s="26">
        <v>45986.477523148147</v>
      </c>
      <c r="E658" s="25" t="s">
        <v>59</v>
      </c>
      <c r="F658" s="25" t="s">
        <v>60</v>
      </c>
      <c r="G658" s="25" t="s">
        <v>29</v>
      </c>
      <c r="H658" s="25" t="s">
        <v>31</v>
      </c>
      <c r="I658" s="26">
        <v>45995.477523148147</v>
      </c>
      <c r="J658" s="25" t="s">
        <v>3841</v>
      </c>
      <c r="K658" s="25" t="s">
        <v>32</v>
      </c>
    </row>
    <row r="659" spans="3:11" x14ac:dyDescent="0.25">
      <c r="C659" s="25">
        <v>23599093</v>
      </c>
      <c r="D659" s="26">
        <v>45986.477534722224</v>
      </c>
      <c r="E659" s="25" t="s">
        <v>59</v>
      </c>
      <c r="F659" s="25" t="s">
        <v>60</v>
      </c>
      <c r="G659" s="25" t="s">
        <v>29</v>
      </c>
      <c r="H659" s="25" t="s">
        <v>31</v>
      </c>
      <c r="I659" s="26">
        <v>45995.477534722224</v>
      </c>
      <c r="J659" s="25" t="s">
        <v>3841</v>
      </c>
      <c r="K659" s="25" t="s">
        <v>32</v>
      </c>
    </row>
    <row r="660" spans="3:11" x14ac:dyDescent="0.25">
      <c r="C660" s="25">
        <v>23599094</v>
      </c>
      <c r="D660" s="26">
        <v>45986.477534722224</v>
      </c>
      <c r="E660" s="25" t="s">
        <v>59</v>
      </c>
      <c r="F660" s="25" t="s">
        <v>60</v>
      </c>
      <c r="G660" s="25" t="s">
        <v>29</v>
      </c>
      <c r="H660" s="25" t="s">
        <v>31</v>
      </c>
      <c r="I660" s="26">
        <v>45995.477534722224</v>
      </c>
      <c r="J660" s="25" t="s">
        <v>3841</v>
      </c>
      <c r="K660" s="25" t="s">
        <v>32</v>
      </c>
    </row>
    <row r="661" spans="3:11" x14ac:dyDescent="0.25">
      <c r="C661" s="25">
        <v>23599095</v>
      </c>
      <c r="D661" s="26">
        <v>45986.477534722224</v>
      </c>
      <c r="E661" s="25" t="s">
        <v>59</v>
      </c>
      <c r="F661" s="25" t="s">
        <v>60</v>
      </c>
      <c r="G661" s="25" t="s">
        <v>29</v>
      </c>
      <c r="H661" s="25" t="s">
        <v>31</v>
      </c>
      <c r="I661" s="26">
        <v>45995.477534722224</v>
      </c>
      <c r="J661" s="25" t="s">
        <v>3841</v>
      </c>
      <c r="K661" s="25" t="s">
        <v>32</v>
      </c>
    </row>
    <row r="662" spans="3:11" x14ac:dyDescent="0.25">
      <c r="C662" s="25">
        <v>23599096</v>
      </c>
      <c r="D662" s="26">
        <v>45986.477546296293</v>
      </c>
      <c r="E662" s="25" t="s">
        <v>59</v>
      </c>
      <c r="F662" s="25" t="s">
        <v>60</v>
      </c>
      <c r="G662" s="25" t="s">
        <v>29</v>
      </c>
      <c r="H662" s="25" t="s">
        <v>31</v>
      </c>
      <c r="I662" s="26">
        <v>45995.477546296293</v>
      </c>
      <c r="J662" s="25" t="s">
        <v>3841</v>
      </c>
      <c r="K662" s="25" t="s">
        <v>32</v>
      </c>
    </row>
    <row r="663" spans="3:11" x14ac:dyDescent="0.25">
      <c r="C663" s="25">
        <v>23599097</v>
      </c>
      <c r="D663" s="26">
        <v>45986.477546296293</v>
      </c>
      <c r="E663" s="25" t="s">
        <v>59</v>
      </c>
      <c r="F663" s="25" t="s">
        <v>60</v>
      </c>
      <c r="G663" s="25" t="s">
        <v>29</v>
      </c>
      <c r="H663" s="25" t="s">
        <v>31</v>
      </c>
      <c r="I663" s="26">
        <v>45995.477546296293</v>
      </c>
      <c r="J663" s="25" t="s">
        <v>3841</v>
      </c>
      <c r="K663" s="25" t="s">
        <v>32</v>
      </c>
    </row>
    <row r="664" spans="3:11" x14ac:dyDescent="0.25">
      <c r="C664" s="25">
        <v>23599098</v>
      </c>
      <c r="D664" s="26">
        <v>45986.477546296293</v>
      </c>
      <c r="E664" s="25" t="s">
        <v>59</v>
      </c>
      <c r="F664" s="25" t="s">
        <v>60</v>
      </c>
      <c r="G664" s="25" t="s">
        <v>29</v>
      </c>
      <c r="H664" s="25" t="s">
        <v>31</v>
      </c>
      <c r="I664" s="26">
        <v>45995.477546296293</v>
      </c>
      <c r="J664" s="25" t="s">
        <v>3841</v>
      </c>
      <c r="K664" s="25" t="s">
        <v>32</v>
      </c>
    </row>
    <row r="665" spans="3:11" x14ac:dyDescent="0.25">
      <c r="C665" s="25">
        <v>23599099</v>
      </c>
      <c r="D665" s="26">
        <v>45986.477546296293</v>
      </c>
      <c r="E665" s="25" t="s">
        <v>59</v>
      </c>
      <c r="F665" s="25" t="s">
        <v>60</v>
      </c>
      <c r="G665" s="25" t="s">
        <v>29</v>
      </c>
      <c r="H665" s="25" t="s">
        <v>31</v>
      </c>
      <c r="I665" s="26">
        <v>45995.477546296293</v>
      </c>
      <c r="J665" s="25" t="s">
        <v>3841</v>
      </c>
      <c r="K665" s="25" t="s">
        <v>32</v>
      </c>
    </row>
    <row r="666" spans="3:11" x14ac:dyDescent="0.25">
      <c r="C666" s="25">
        <v>23599100</v>
      </c>
      <c r="D666" s="26">
        <v>45986.47755787037</v>
      </c>
      <c r="E666" s="25" t="s">
        <v>59</v>
      </c>
      <c r="F666" s="25" t="s">
        <v>60</v>
      </c>
      <c r="G666" s="25" t="s">
        <v>29</v>
      </c>
      <c r="H666" s="25" t="s">
        <v>31</v>
      </c>
      <c r="I666" s="26">
        <v>45995.47755787037</v>
      </c>
      <c r="J666" s="25" t="s">
        <v>3841</v>
      </c>
      <c r="K666" s="25" t="s">
        <v>32</v>
      </c>
    </row>
    <row r="667" spans="3:11" x14ac:dyDescent="0.25">
      <c r="C667" s="25">
        <v>23599101</v>
      </c>
      <c r="D667" s="26">
        <v>45986.477569444447</v>
      </c>
      <c r="E667" s="25" t="s">
        <v>59</v>
      </c>
      <c r="F667" s="25" t="s">
        <v>60</v>
      </c>
      <c r="G667" s="25" t="s">
        <v>29</v>
      </c>
      <c r="H667" s="25" t="s">
        <v>31</v>
      </c>
      <c r="I667" s="26">
        <v>45995.477569444447</v>
      </c>
      <c r="J667" s="25" t="s">
        <v>3841</v>
      </c>
      <c r="K667" s="25" t="s">
        <v>32</v>
      </c>
    </row>
    <row r="668" spans="3:11" x14ac:dyDescent="0.25">
      <c r="C668" s="25">
        <v>23599102</v>
      </c>
      <c r="D668" s="26">
        <v>45986.477569444447</v>
      </c>
      <c r="E668" s="25" t="s">
        <v>59</v>
      </c>
      <c r="F668" s="25" t="s">
        <v>60</v>
      </c>
      <c r="G668" s="25" t="s">
        <v>29</v>
      </c>
      <c r="H668" s="25" t="s">
        <v>31</v>
      </c>
      <c r="I668" s="26">
        <v>45995.477569444447</v>
      </c>
      <c r="J668" s="25" t="s">
        <v>3841</v>
      </c>
      <c r="K668" s="25" t="s">
        <v>32</v>
      </c>
    </row>
    <row r="669" spans="3:11" x14ac:dyDescent="0.25">
      <c r="C669" s="25">
        <v>23599103</v>
      </c>
      <c r="D669" s="26">
        <v>45986.477569444447</v>
      </c>
      <c r="E669" s="25" t="s">
        <v>59</v>
      </c>
      <c r="F669" s="25" t="s">
        <v>60</v>
      </c>
      <c r="G669" s="25" t="s">
        <v>29</v>
      </c>
      <c r="H669" s="25" t="s">
        <v>31</v>
      </c>
      <c r="I669" s="26">
        <v>45995.477569444447</v>
      </c>
      <c r="J669" s="25" t="s">
        <v>3841</v>
      </c>
      <c r="K669" s="25" t="s">
        <v>32</v>
      </c>
    </row>
    <row r="670" spans="3:11" x14ac:dyDescent="0.25">
      <c r="C670" s="25">
        <v>23599104</v>
      </c>
      <c r="D670" s="26">
        <v>45986.477569444447</v>
      </c>
      <c r="E670" s="25" t="s">
        <v>59</v>
      </c>
      <c r="F670" s="25" t="s">
        <v>60</v>
      </c>
      <c r="G670" s="25" t="s">
        <v>29</v>
      </c>
      <c r="H670" s="25" t="s">
        <v>31</v>
      </c>
      <c r="I670" s="26">
        <v>45995.477569444447</v>
      </c>
      <c r="J670" s="25" t="s">
        <v>3841</v>
      </c>
      <c r="K670" s="25" t="s">
        <v>32</v>
      </c>
    </row>
    <row r="671" spans="3:11" x14ac:dyDescent="0.25">
      <c r="C671" s="25">
        <v>23599105</v>
      </c>
      <c r="D671" s="26">
        <v>45986.477581018517</v>
      </c>
      <c r="E671" s="25" t="s">
        <v>59</v>
      </c>
      <c r="F671" s="25" t="s">
        <v>60</v>
      </c>
      <c r="G671" s="25" t="s">
        <v>29</v>
      </c>
      <c r="H671" s="25" t="s">
        <v>31</v>
      </c>
      <c r="I671" s="26">
        <v>45995.477581018517</v>
      </c>
      <c r="J671" s="25" t="s">
        <v>3841</v>
      </c>
      <c r="K671" s="25" t="s">
        <v>32</v>
      </c>
    </row>
    <row r="672" spans="3:11" x14ac:dyDescent="0.25">
      <c r="C672" s="25">
        <v>23599106</v>
      </c>
      <c r="D672" s="26">
        <v>45986.477581018517</v>
      </c>
      <c r="E672" s="25" t="s">
        <v>59</v>
      </c>
      <c r="F672" s="25" t="s">
        <v>60</v>
      </c>
      <c r="G672" s="25" t="s">
        <v>29</v>
      </c>
      <c r="H672" s="25" t="s">
        <v>31</v>
      </c>
      <c r="I672" s="26">
        <v>45995.477581018517</v>
      </c>
      <c r="J672" s="25" t="s">
        <v>3841</v>
      </c>
      <c r="K672" s="25" t="s">
        <v>32</v>
      </c>
    </row>
    <row r="673" spans="3:11" x14ac:dyDescent="0.25">
      <c r="C673" s="25">
        <v>23599107</v>
      </c>
      <c r="D673" s="26">
        <v>45986.477592592593</v>
      </c>
      <c r="E673" s="25" t="s">
        <v>59</v>
      </c>
      <c r="F673" s="25" t="s">
        <v>60</v>
      </c>
      <c r="G673" s="25" t="s">
        <v>29</v>
      </c>
      <c r="H673" s="25" t="s">
        <v>31</v>
      </c>
      <c r="I673" s="26">
        <v>45995.477592592593</v>
      </c>
      <c r="J673" s="25" t="s">
        <v>3841</v>
      </c>
      <c r="K673" s="25" t="s">
        <v>32</v>
      </c>
    </row>
    <row r="674" spans="3:11" x14ac:dyDescent="0.25">
      <c r="C674" s="25">
        <v>23599108</v>
      </c>
      <c r="D674" s="26">
        <v>45986.47760416667</v>
      </c>
      <c r="E674" s="25" t="s">
        <v>59</v>
      </c>
      <c r="F674" s="25" t="s">
        <v>60</v>
      </c>
      <c r="G674" s="25" t="s">
        <v>29</v>
      </c>
      <c r="H674" s="25" t="s">
        <v>31</v>
      </c>
      <c r="I674" s="26">
        <v>45995.47760416667</v>
      </c>
      <c r="J674" s="25" t="s">
        <v>3841</v>
      </c>
      <c r="K674" s="25" t="s">
        <v>32</v>
      </c>
    </row>
    <row r="675" spans="3:11" x14ac:dyDescent="0.25">
      <c r="C675" s="25">
        <v>23599109</v>
      </c>
      <c r="D675" s="26">
        <v>45986.47761574074</v>
      </c>
      <c r="E675" s="25" t="s">
        <v>59</v>
      </c>
      <c r="F675" s="25" t="s">
        <v>60</v>
      </c>
      <c r="G675" s="25" t="s">
        <v>29</v>
      </c>
      <c r="H675" s="25" t="s">
        <v>31</v>
      </c>
      <c r="I675" s="26">
        <v>45995.47761574074</v>
      </c>
      <c r="J675" s="25" t="s">
        <v>3841</v>
      </c>
      <c r="K675" s="25" t="s">
        <v>32</v>
      </c>
    </row>
    <row r="676" spans="3:11" x14ac:dyDescent="0.25">
      <c r="C676" s="25">
        <v>23599110</v>
      </c>
      <c r="D676" s="26">
        <v>45986.477627314816</v>
      </c>
      <c r="E676" s="25" t="s">
        <v>59</v>
      </c>
      <c r="F676" s="25" t="s">
        <v>60</v>
      </c>
      <c r="G676" s="25" t="s">
        <v>29</v>
      </c>
      <c r="H676" s="25" t="s">
        <v>31</v>
      </c>
      <c r="I676" s="26">
        <v>45995.477627314816</v>
      </c>
      <c r="J676" s="25" t="s">
        <v>3841</v>
      </c>
      <c r="K676" s="25" t="s">
        <v>32</v>
      </c>
    </row>
    <row r="677" spans="3:11" x14ac:dyDescent="0.25">
      <c r="C677" s="25">
        <v>23599111</v>
      </c>
      <c r="D677" s="26">
        <v>45986.477650462963</v>
      </c>
      <c r="E677" s="25" t="s">
        <v>59</v>
      </c>
      <c r="F677" s="25" t="s">
        <v>60</v>
      </c>
      <c r="G677" s="25" t="s">
        <v>29</v>
      </c>
      <c r="H677" s="25" t="s">
        <v>31</v>
      </c>
      <c r="I677" s="26">
        <v>45995.477650462963</v>
      </c>
      <c r="J677" s="25" t="s">
        <v>3841</v>
      </c>
      <c r="K677" s="25" t="s">
        <v>32</v>
      </c>
    </row>
    <row r="678" spans="3:11" x14ac:dyDescent="0.25">
      <c r="C678" s="25">
        <v>23599112</v>
      </c>
      <c r="D678" s="26">
        <v>45986.477673611109</v>
      </c>
      <c r="E678" s="25" t="s">
        <v>59</v>
      </c>
      <c r="F678" s="25" t="s">
        <v>60</v>
      </c>
      <c r="G678" s="25" t="s">
        <v>29</v>
      </c>
      <c r="H678" s="25" t="s">
        <v>31</v>
      </c>
      <c r="I678" s="26">
        <v>45995.477673611109</v>
      </c>
      <c r="J678" s="25" t="s">
        <v>3841</v>
      </c>
      <c r="K678" s="25" t="s">
        <v>32</v>
      </c>
    </row>
    <row r="679" spans="3:11" x14ac:dyDescent="0.25">
      <c r="C679" s="25">
        <v>23599113</v>
      </c>
      <c r="D679" s="26">
        <v>45986.477719907409</v>
      </c>
      <c r="E679" s="25" t="s">
        <v>59</v>
      </c>
      <c r="F679" s="25" t="s">
        <v>60</v>
      </c>
      <c r="G679" s="25" t="s">
        <v>29</v>
      </c>
      <c r="H679" s="25" t="s">
        <v>31</v>
      </c>
      <c r="I679" s="26">
        <v>45995.477719907409</v>
      </c>
      <c r="J679" s="25" t="s">
        <v>3841</v>
      </c>
      <c r="K679" s="25" t="s">
        <v>32</v>
      </c>
    </row>
    <row r="680" spans="3:11" x14ac:dyDescent="0.25">
      <c r="C680" s="25">
        <v>23599114</v>
      </c>
      <c r="D680" s="26">
        <v>45986.477754629632</v>
      </c>
      <c r="E680" s="25" t="s">
        <v>59</v>
      </c>
      <c r="F680" s="25" t="s">
        <v>60</v>
      </c>
      <c r="G680" s="25" t="s">
        <v>29</v>
      </c>
      <c r="H680" s="25" t="s">
        <v>31</v>
      </c>
      <c r="I680" s="26">
        <v>45995.477754629632</v>
      </c>
      <c r="J680" s="25" t="s">
        <v>3841</v>
      </c>
      <c r="K680" s="25" t="s">
        <v>32</v>
      </c>
    </row>
    <row r="681" spans="3:11" x14ac:dyDescent="0.25">
      <c r="C681" s="25">
        <v>23599115</v>
      </c>
      <c r="D681" s="26">
        <v>45986.477789351855</v>
      </c>
      <c r="E681" s="25" t="s">
        <v>59</v>
      </c>
      <c r="F681" s="25" t="s">
        <v>60</v>
      </c>
      <c r="G681" s="25" t="s">
        <v>29</v>
      </c>
      <c r="H681" s="25" t="s">
        <v>31</v>
      </c>
      <c r="I681" s="26">
        <v>45995.477789351855</v>
      </c>
      <c r="J681" s="25" t="s">
        <v>3406</v>
      </c>
      <c r="K681" s="25" t="s">
        <v>32</v>
      </c>
    </row>
    <row r="682" spans="3:11" x14ac:dyDescent="0.25">
      <c r="C682" s="25">
        <v>23599116</v>
      </c>
      <c r="D682" s="26">
        <v>45986.477789351855</v>
      </c>
      <c r="E682" s="25" t="s">
        <v>59</v>
      </c>
      <c r="F682" s="25" t="s">
        <v>60</v>
      </c>
      <c r="G682" s="25" t="s">
        <v>29</v>
      </c>
      <c r="H682" s="25" t="s">
        <v>31</v>
      </c>
      <c r="I682" s="26">
        <v>45995.477789351855</v>
      </c>
      <c r="J682" s="25" t="s">
        <v>3406</v>
      </c>
      <c r="K682" s="25" t="s">
        <v>32</v>
      </c>
    </row>
    <row r="683" spans="3:11" x14ac:dyDescent="0.25">
      <c r="C683" s="25">
        <v>23599117</v>
      </c>
      <c r="D683" s="26">
        <v>45986.477881944447</v>
      </c>
      <c r="E683" s="25" t="s">
        <v>59</v>
      </c>
      <c r="F683" s="25" t="s">
        <v>60</v>
      </c>
      <c r="G683" s="25" t="s">
        <v>29</v>
      </c>
      <c r="H683" s="25" t="s">
        <v>31</v>
      </c>
      <c r="I683" s="26">
        <v>45995.477881944447</v>
      </c>
      <c r="J683" s="25" t="s">
        <v>3406</v>
      </c>
      <c r="K683" s="25" t="s">
        <v>32</v>
      </c>
    </row>
    <row r="684" spans="3:11" x14ac:dyDescent="0.25">
      <c r="C684" s="25">
        <v>23599118</v>
      </c>
      <c r="D684" s="26">
        <v>45986.477893518517</v>
      </c>
      <c r="E684" s="25" t="s">
        <v>59</v>
      </c>
      <c r="F684" s="25" t="s">
        <v>60</v>
      </c>
      <c r="G684" s="25" t="s">
        <v>29</v>
      </c>
      <c r="H684" s="25" t="s">
        <v>31</v>
      </c>
      <c r="I684" s="26">
        <v>45995.477893518517</v>
      </c>
      <c r="J684" s="25" t="s">
        <v>3406</v>
      </c>
      <c r="K684" s="25" t="s">
        <v>32</v>
      </c>
    </row>
    <row r="685" spans="3:11" x14ac:dyDescent="0.25">
      <c r="C685" s="25">
        <v>23599119</v>
      </c>
      <c r="D685" s="26">
        <v>45986.477905092594</v>
      </c>
      <c r="E685" s="25" t="s">
        <v>59</v>
      </c>
      <c r="F685" s="25" t="s">
        <v>60</v>
      </c>
      <c r="G685" s="25" t="s">
        <v>29</v>
      </c>
      <c r="H685" s="25" t="s">
        <v>31</v>
      </c>
      <c r="I685" s="26">
        <v>45995.477905092594</v>
      </c>
      <c r="J685" s="25" t="s">
        <v>3406</v>
      </c>
      <c r="K685" s="25" t="s">
        <v>32</v>
      </c>
    </row>
    <row r="686" spans="3:11" x14ac:dyDescent="0.25">
      <c r="C686" s="25">
        <v>23599120</v>
      </c>
      <c r="D686" s="26">
        <v>45986.477916666663</v>
      </c>
      <c r="E686" s="25" t="s">
        <v>59</v>
      </c>
      <c r="F686" s="25" t="s">
        <v>60</v>
      </c>
      <c r="G686" s="25" t="s">
        <v>29</v>
      </c>
      <c r="H686" s="25" t="s">
        <v>31</v>
      </c>
      <c r="I686" s="26">
        <v>45995.477916666663</v>
      </c>
      <c r="J686" s="25" t="s">
        <v>3406</v>
      </c>
      <c r="K686" s="25" t="s">
        <v>32</v>
      </c>
    </row>
    <row r="687" spans="3:11" x14ac:dyDescent="0.25">
      <c r="C687" s="25">
        <v>23599121</v>
      </c>
      <c r="D687" s="26">
        <v>45986.477916666663</v>
      </c>
      <c r="E687" s="25" t="s">
        <v>59</v>
      </c>
      <c r="F687" s="25" t="s">
        <v>60</v>
      </c>
      <c r="G687" s="25" t="s">
        <v>29</v>
      </c>
      <c r="H687" s="25" t="s">
        <v>31</v>
      </c>
      <c r="I687" s="26">
        <v>45995.477916666663</v>
      </c>
      <c r="J687" s="25" t="s">
        <v>3406</v>
      </c>
      <c r="K687" s="25" t="s">
        <v>32</v>
      </c>
    </row>
    <row r="688" spans="3:11" x14ac:dyDescent="0.25">
      <c r="C688" s="25">
        <v>23599122</v>
      </c>
      <c r="D688" s="26">
        <v>45986.477916666663</v>
      </c>
      <c r="E688" s="25" t="s">
        <v>59</v>
      </c>
      <c r="F688" s="25" t="s">
        <v>60</v>
      </c>
      <c r="G688" s="25" t="s">
        <v>29</v>
      </c>
      <c r="H688" s="25" t="s">
        <v>31</v>
      </c>
      <c r="I688" s="26">
        <v>45995.477916666663</v>
      </c>
      <c r="J688" s="25" t="s">
        <v>3406</v>
      </c>
      <c r="K688" s="25" t="s">
        <v>32</v>
      </c>
    </row>
    <row r="689" spans="3:11" x14ac:dyDescent="0.25">
      <c r="C689" s="25">
        <v>23599123</v>
      </c>
      <c r="D689" s="26">
        <v>45986.477916666663</v>
      </c>
      <c r="E689" s="25" t="s">
        <v>59</v>
      </c>
      <c r="F689" s="25" t="s">
        <v>60</v>
      </c>
      <c r="G689" s="25" t="s">
        <v>29</v>
      </c>
      <c r="H689" s="25" t="s">
        <v>31</v>
      </c>
      <c r="I689" s="26">
        <v>45995.477916666663</v>
      </c>
      <c r="J689" s="25" t="s">
        <v>3406</v>
      </c>
      <c r="K689" s="25" t="s">
        <v>32</v>
      </c>
    </row>
    <row r="690" spans="3:11" x14ac:dyDescent="0.25">
      <c r="C690" s="25">
        <v>23599124</v>
      </c>
      <c r="D690" s="26">
        <v>45986.477951388886</v>
      </c>
      <c r="E690" s="25" t="s">
        <v>59</v>
      </c>
      <c r="F690" s="25" t="s">
        <v>60</v>
      </c>
      <c r="G690" s="25" t="s">
        <v>29</v>
      </c>
      <c r="H690" s="25" t="s">
        <v>31</v>
      </c>
      <c r="I690" s="26">
        <v>45995.477951388886</v>
      </c>
      <c r="J690" s="25" t="s">
        <v>3406</v>
      </c>
      <c r="K690" s="25" t="s">
        <v>32</v>
      </c>
    </row>
    <row r="691" spans="3:11" x14ac:dyDescent="0.25">
      <c r="C691" s="25">
        <v>23599125</v>
      </c>
      <c r="D691" s="26">
        <v>45986.477962962963</v>
      </c>
      <c r="E691" s="25" t="s">
        <v>59</v>
      </c>
      <c r="F691" s="25" t="s">
        <v>60</v>
      </c>
      <c r="G691" s="25" t="s">
        <v>29</v>
      </c>
      <c r="H691" s="25" t="s">
        <v>31</v>
      </c>
      <c r="I691" s="26">
        <v>45995.477962962963</v>
      </c>
      <c r="J691" s="25" t="s">
        <v>3406</v>
      </c>
      <c r="K691" s="25" t="s">
        <v>32</v>
      </c>
    </row>
    <row r="692" spans="3:11" x14ac:dyDescent="0.25">
      <c r="C692" s="25">
        <v>23599126</v>
      </c>
      <c r="D692" s="26">
        <v>45986.47797453704</v>
      </c>
      <c r="E692" s="25" t="s">
        <v>59</v>
      </c>
      <c r="F692" s="25" t="s">
        <v>60</v>
      </c>
      <c r="G692" s="25" t="s">
        <v>29</v>
      </c>
      <c r="H692" s="25" t="s">
        <v>31</v>
      </c>
      <c r="I692" s="26">
        <v>45995.47797453704</v>
      </c>
      <c r="J692" s="25" t="s">
        <v>3406</v>
      </c>
      <c r="K692" s="25" t="s">
        <v>32</v>
      </c>
    </row>
    <row r="693" spans="3:11" x14ac:dyDescent="0.25">
      <c r="C693" s="25">
        <v>23599127</v>
      </c>
      <c r="D693" s="26">
        <v>45986.477997685186</v>
      </c>
      <c r="E693" s="25" t="s">
        <v>59</v>
      </c>
      <c r="F693" s="25" t="s">
        <v>60</v>
      </c>
      <c r="G693" s="25" t="s">
        <v>29</v>
      </c>
      <c r="H693" s="25" t="s">
        <v>31</v>
      </c>
      <c r="I693" s="26">
        <v>45995.477997685186</v>
      </c>
      <c r="J693" s="25" t="s">
        <v>3406</v>
      </c>
      <c r="K693" s="25" t="s">
        <v>32</v>
      </c>
    </row>
    <row r="694" spans="3:11" x14ac:dyDescent="0.25">
      <c r="C694" s="25">
        <v>23599128</v>
      </c>
      <c r="D694" s="26">
        <v>45986.478032407409</v>
      </c>
      <c r="E694" s="25" t="s">
        <v>59</v>
      </c>
      <c r="F694" s="25" t="s">
        <v>60</v>
      </c>
      <c r="G694" s="25" t="s">
        <v>29</v>
      </c>
      <c r="H694" s="25" t="s">
        <v>31</v>
      </c>
      <c r="I694" s="26">
        <v>45995.478032407409</v>
      </c>
      <c r="J694" s="25" t="s">
        <v>3406</v>
      </c>
      <c r="K694" s="25" t="s">
        <v>32</v>
      </c>
    </row>
    <row r="695" spans="3:11" x14ac:dyDescent="0.25">
      <c r="C695" s="25">
        <v>23599129</v>
      </c>
      <c r="D695" s="26">
        <v>45986.478032407409</v>
      </c>
      <c r="E695" s="25" t="s">
        <v>59</v>
      </c>
      <c r="F695" s="25" t="s">
        <v>60</v>
      </c>
      <c r="G695" s="25" t="s">
        <v>29</v>
      </c>
      <c r="H695" s="25" t="s">
        <v>31</v>
      </c>
      <c r="I695" s="26">
        <v>45995.478032407409</v>
      </c>
      <c r="J695" s="25" t="s">
        <v>3406</v>
      </c>
      <c r="K695" s="25" t="s">
        <v>32</v>
      </c>
    </row>
    <row r="696" spans="3:11" x14ac:dyDescent="0.25">
      <c r="C696" s="25">
        <v>23599130</v>
      </c>
      <c r="D696" s="26">
        <v>45986.478032407409</v>
      </c>
      <c r="E696" s="25" t="s">
        <v>59</v>
      </c>
      <c r="F696" s="25" t="s">
        <v>60</v>
      </c>
      <c r="G696" s="25" t="s">
        <v>29</v>
      </c>
      <c r="H696" s="25" t="s">
        <v>31</v>
      </c>
      <c r="I696" s="26">
        <v>45995.478032407409</v>
      </c>
      <c r="J696" s="25" t="s">
        <v>3406</v>
      </c>
      <c r="K696" s="25" t="s">
        <v>32</v>
      </c>
    </row>
    <row r="697" spans="3:11" x14ac:dyDescent="0.25">
      <c r="C697" s="25">
        <v>23599131</v>
      </c>
      <c r="D697" s="26">
        <v>45986.478032407409</v>
      </c>
      <c r="E697" s="25" t="s">
        <v>59</v>
      </c>
      <c r="F697" s="25" t="s">
        <v>60</v>
      </c>
      <c r="G697" s="25" t="s">
        <v>29</v>
      </c>
      <c r="H697" s="25" t="s">
        <v>31</v>
      </c>
      <c r="I697" s="26">
        <v>45995.478032407409</v>
      </c>
      <c r="J697" s="25" t="s">
        <v>3406</v>
      </c>
      <c r="K697" s="25" t="s">
        <v>32</v>
      </c>
    </row>
    <row r="698" spans="3:11" x14ac:dyDescent="0.25">
      <c r="C698" s="25">
        <v>23599132</v>
      </c>
      <c r="D698" s="26">
        <v>45986.478043981479</v>
      </c>
      <c r="E698" s="25" t="s">
        <v>59</v>
      </c>
      <c r="F698" s="25" t="s">
        <v>60</v>
      </c>
      <c r="G698" s="25" t="s">
        <v>29</v>
      </c>
      <c r="H698" s="25" t="s">
        <v>31</v>
      </c>
      <c r="I698" s="26">
        <v>45995.478043981479</v>
      </c>
      <c r="J698" s="25" t="s">
        <v>3406</v>
      </c>
      <c r="K698" s="25" t="s">
        <v>32</v>
      </c>
    </row>
    <row r="699" spans="3:11" x14ac:dyDescent="0.25">
      <c r="C699" s="25">
        <v>23599133</v>
      </c>
      <c r="D699" s="26">
        <v>45986.478043981479</v>
      </c>
      <c r="E699" s="25" t="s">
        <v>59</v>
      </c>
      <c r="F699" s="25" t="s">
        <v>60</v>
      </c>
      <c r="G699" s="25" t="s">
        <v>29</v>
      </c>
      <c r="H699" s="25" t="s">
        <v>31</v>
      </c>
      <c r="I699" s="26">
        <v>45995.478043981479</v>
      </c>
      <c r="J699" s="25" t="s">
        <v>3406</v>
      </c>
      <c r="K699" s="25" t="s">
        <v>32</v>
      </c>
    </row>
    <row r="700" spans="3:11" x14ac:dyDescent="0.25">
      <c r="C700" s="25">
        <v>23599134</v>
      </c>
      <c r="D700" s="26">
        <v>45986.478043981479</v>
      </c>
      <c r="E700" s="25" t="s">
        <v>59</v>
      </c>
      <c r="F700" s="25" t="s">
        <v>60</v>
      </c>
      <c r="G700" s="25" t="s">
        <v>29</v>
      </c>
      <c r="H700" s="25" t="s">
        <v>31</v>
      </c>
      <c r="I700" s="26">
        <v>45995.478043981479</v>
      </c>
      <c r="J700" s="25" t="s">
        <v>3406</v>
      </c>
      <c r="K700" s="25" t="s">
        <v>32</v>
      </c>
    </row>
    <row r="701" spans="3:11" x14ac:dyDescent="0.25">
      <c r="C701" s="25">
        <v>23599135</v>
      </c>
      <c r="D701" s="26">
        <v>45986.478055555555</v>
      </c>
      <c r="E701" s="25" t="s">
        <v>59</v>
      </c>
      <c r="F701" s="25" t="s">
        <v>60</v>
      </c>
      <c r="G701" s="25" t="s">
        <v>29</v>
      </c>
      <c r="H701" s="25" t="s">
        <v>31</v>
      </c>
      <c r="I701" s="26">
        <v>45995.478055555555</v>
      </c>
      <c r="J701" s="25" t="s">
        <v>3406</v>
      </c>
      <c r="K701" s="25" t="s">
        <v>32</v>
      </c>
    </row>
    <row r="702" spans="3:11" x14ac:dyDescent="0.25">
      <c r="C702" s="25">
        <v>23599136</v>
      </c>
      <c r="D702" s="26">
        <v>45986.478067129632</v>
      </c>
      <c r="E702" s="25" t="s">
        <v>59</v>
      </c>
      <c r="F702" s="25" t="s">
        <v>60</v>
      </c>
      <c r="G702" s="25" t="s">
        <v>29</v>
      </c>
      <c r="H702" s="25" t="s">
        <v>31</v>
      </c>
      <c r="I702" s="26">
        <v>45995.478067129632</v>
      </c>
      <c r="J702" s="25" t="s">
        <v>3406</v>
      </c>
      <c r="K702" s="25" t="s">
        <v>32</v>
      </c>
    </row>
    <row r="703" spans="3:11" x14ac:dyDescent="0.25">
      <c r="C703" s="25">
        <v>23599137</v>
      </c>
      <c r="D703" s="26">
        <v>45986.478078703702</v>
      </c>
      <c r="E703" s="25" t="s">
        <v>59</v>
      </c>
      <c r="F703" s="25" t="s">
        <v>60</v>
      </c>
      <c r="G703" s="25" t="s">
        <v>29</v>
      </c>
      <c r="H703" s="25" t="s">
        <v>31</v>
      </c>
      <c r="I703" s="26">
        <v>45995.478078703702</v>
      </c>
      <c r="J703" s="25" t="s">
        <v>3406</v>
      </c>
      <c r="K703" s="25" t="s">
        <v>32</v>
      </c>
    </row>
    <row r="704" spans="3:11" x14ac:dyDescent="0.25">
      <c r="C704" s="25">
        <v>23599138</v>
      </c>
      <c r="D704" s="26">
        <v>45986.478078703702</v>
      </c>
      <c r="E704" s="25" t="s">
        <v>59</v>
      </c>
      <c r="F704" s="25" t="s">
        <v>60</v>
      </c>
      <c r="G704" s="25" t="s">
        <v>29</v>
      </c>
      <c r="H704" s="25" t="s">
        <v>31</v>
      </c>
      <c r="I704" s="26">
        <v>45995.478078703702</v>
      </c>
      <c r="J704" s="25" t="s">
        <v>3406</v>
      </c>
      <c r="K704" s="25" t="s">
        <v>32</v>
      </c>
    </row>
    <row r="705" spans="3:11" x14ac:dyDescent="0.25">
      <c r="C705" s="25">
        <v>23599139</v>
      </c>
      <c r="D705" s="26">
        <v>45986.478078703702</v>
      </c>
      <c r="E705" s="25" t="s">
        <v>59</v>
      </c>
      <c r="F705" s="25" t="s">
        <v>60</v>
      </c>
      <c r="G705" s="25" t="s">
        <v>29</v>
      </c>
      <c r="H705" s="25" t="s">
        <v>31</v>
      </c>
      <c r="I705" s="26">
        <v>45995.478078703702</v>
      </c>
      <c r="J705" s="25" t="s">
        <v>3406</v>
      </c>
      <c r="K705" s="25" t="s">
        <v>32</v>
      </c>
    </row>
    <row r="706" spans="3:11" x14ac:dyDescent="0.25">
      <c r="C706" s="25">
        <v>23599140</v>
      </c>
      <c r="D706" s="26">
        <v>45986.478090277778</v>
      </c>
      <c r="E706" s="25" t="s">
        <v>59</v>
      </c>
      <c r="F706" s="25" t="s">
        <v>60</v>
      </c>
      <c r="G706" s="25" t="s">
        <v>29</v>
      </c>
      <c r="H706" s="25" t="s">
        <v>31</v>
      </c>
      <c r="I706" s="26">
        <v>45995.478090277778</v>
      </c>
      <c r="J706" s="25" t="s">
        <v>3406</v>
      </c>
      <c r="K706" s="25" t="s">
        <v>32</v>
      </c>
    </row>
    <row r="707" spans="3:11" x14ac:dyDescent="0.25">
      <c r="C707" s="25">
        <v>23599141</v>
      </c>
      <c r="D707" s="26">
        <v>45986.478090277778</v>
      </c>
      <c r="E707" s="25" t="s">
        <v>59</v>
      </c>
      <c r="F707" s="25" t="s">
        <v>60</v>
      </c>
      <c r="G707" s="25" t="s">
        <v>29</v>
      </c>
      <c r="H707" s="25" t="s">
        <v>31</v>
      </c>
      <c r="I707" s="26">
        <v>45995.478090277778</v>
      </c>
      <c r="J707" s="25" t="s">
        <v>3406</v>
      </c>
      <c r="K707" s="25" t="s">
        <v>32</v>
      </c>
    </row>
    <row r="708" spans="3:11" x14ac:dyDescent="0.25">
      <c r="C708" s="25">
        <v>23599142</v>
      </c>
      <c r="D708" s="26">
        <v>45986.478101851855</v>
      </c>
      <c r="E708" s="25" t="s">
        <v>59</v>
      </c>
      <c r="F708" s="25" t="s">
        <v>60</v>
      </c>
      <c r="G708" s="25" t="s">
        <v>29</v>
      </c>
      <c r="H708" s="25" t="s">
        <v>31</v>
      </c>
      <c r="I708" s="26">
        <v>45995.478101851855</v>
      </c>
      <c r="J708" s="25" t="s">
        <v>3406</v>
      </c>
      <c r="K708" s="25" t="s">
        <v>32</v>
      </c>
    </row>
    <row r="709" spans="3:11" x14ac:dyDescent="0.25">
      <c r="C709" s="25">
        <v>23599143</v>
      </c>
      <c r="D709" s="26">
        <v>45986.478125000001</v>
      </c>
      <c r="E709" s="25" t="s">
        <v>59</v>
      </c>
      <c r="F709" s="25" t="s">
        <v>60</v>
      </c>
      <c r="G709" s="25" t="s">
        <v>29</v>
      </c>
      <c r="H709" s="25" t="s">
        <v>31</v>
      </c>
      <c r="I709" s="26">
        <v>45995.478125000001</v>
      </c>
      <c r="J709" s="25" t="s">
        <v>3406</v>
      </c>
      <c r="K709" s="25" t="s">
        <v>32</v>
      </c>
    </row>
    <row r="710" spans="3:11" x14ac:dyDescent="0.25">
      <c r="C710" s="25">
        <v>23599144</v>
      </c>
      <c r="D710" s="26">
        <v>45986.478125000001</v>
      </c>
      <c r="E710" s="25" t="s">
        <v>59</v>
      </c>
      <c r="F710" s="25" t="s">
        <v>60</v>
      </c>
      <c r="G710" s="25" t="s">
        <v>29</v>
      </c>
      <c r="H710" s="25" t="s">
        <v>31</v>
      </c>
      <c r="I710" s="26">
        <v>45995.478125000001</v>
      </c>
      <c r="J710" s="25" t="s">
        <v>3406</v>
      </c>
      <c r="K710" s="25" t="s">
        <v>32</v>
      </c>
    </row>
    <row r="711" spans="3:11" x14ac:dyDescent="0.25">
      <c r="C711" s="25">
        <v>23599145</v>
      </c>
      <c r="D711" s="26">
        <v>45986.478136574071</v>
      </c>
      <c r="E711" s="25" t="s">
        <v>59</v>
      </c>
      <c r="F711" s="25" t="s">
        <v>60</v>
      </c>
      <c r="G711" s="25" t="s">
        <v>29</v>
      </c>
      <c r="H711" s="25" t="s">
        <v>31</v>
      </c>
      <c r="I711" s="26">
        <v>45995.478136574071</v>
      </c>
      <c r="J711" s="25" t="s">
        <v>3406</v>
      </c>
      <c r="K711" s="25" t="s">
        <v>32</v>
      </c>
    </row>
    <row r="712" spans="3:11" x14ac:dyDescent="0.25">
      <c r="C712" s="25">
        <v>23599146</v>
      </c>
      <c r="D712" s="26">
        <v>45986.478148148148</v>
      </c>
      <c r="E712" s="25" t="s">
        <v>59</v>
      </c>
      <c r="F712" s="25" t="s">
        <v>60</v>
      </c>
      <c r="G712" s="25" t="s">
        <v>29</v>
      </c>
      <c r="H712" s="25" t="s">
        <v>31</v>
      </c>
      <c r="I712" s="26">
        <v>45995.478148148148</v>
      </c>
      <c r="J712" s="25" t="s">
        <v>3406</v>
      </c>
      <c r="K712" s="25" t="s">
        <v>32</v>
      </c>
    </row>
    <row r="713" spans="3:11" x14ac:dyDescent="0.25">
      <c r="C713" s="25">
        <v>23599147</v>
      </c>
      <c r="D713" s="26">
        <v>45986.478148148148</v>
      </c>
      <c r="E713" s="25" t="s">
        <v>59</v>
      </c>
      <c r="F713" s="25" t="s">
        <v>60</v>
      </c>
      <c r="G713" s="25" t="s">
        <v>29</v>
      </c>
      <c r="H713" s="25" t="s">
        <v>31</v>
      </c>
      <c r="I713" s="26">
        <v>45995.478148148148</v>
      </c>
      <c r="J713" s="25" t="s">
        <v>3406</v>
      </c>
      <c r="K713" s="25" t="s">
        <v>32</v>
      </c>
    </row>
    <row r="714" spans="3:11" x14ac:dyDescent="0.25">
      <c r="C714" s="25">
        <v>23599148</v>
      </c>
      <c r="D714" s="26">
        <v>45986.478159722225</v>
      </c>
      <c r="E714" s="25" t="s">
        <v>59</v>
      </c>
      <c r="F714" s="25" t="s">
        <v>60</v>
      </c>
      <c r="G714" s="25" t="s">
        <v>29</v>
      </c>
      <c r="H714" s="25" t="s">
        <v>31</v>
      </c>
      <c r="I714" s="26">
        <v>45995.478159722225</v>
      </c>
      <c r="J714" s="25" t="s">
        <v>3406</v>
      </c>
      <c r="K714" s="25" t="s">
        <v>32</v>
      </c>
    </row>
    <row r="715" spans="3:11" x14ac:dyDescent="0.25">
      <c r="C715" s="25">
        <v>23599149</v>
      </c>
      <c r="D715" s="26">
        <v>45986.478159722225</v>
      </c>
      <c r="E715" s="25" t="s">
        <v>59</v>
      </c>
      <c r="F715" s="25" t="s">
        <v>60</v>
      </c>
      <c r="G715" s="25" t="s">
        <v>29</v>
      </c>
      <c r="H715" s="25" t="s">
        <v>31</v>
      </c>
      <c r="I715" s="26">
        <v>45995.478159722225</v>
      </c>
      <c r="J715" s="25" t="s">
        <v>3406</v>
      </c>
      <c r="K715" s="25" t="s">
        <v>32</v>
      </c>
    </row>
    <row r="716" spans="3:11" x14ac:dyDescent="0.25">
      <c r="C716" s="25">
        <v>23599150</v>
      </c>
      <c r="D716" s="26">
        <v>45986.478217592594</v>
      </c>
      <c r="E716" s="25" t="s">
        <v>59</v>
      </c>
      <c r="F716" s="25" t="s">
        <v>60</v>
      </c>
      <c r="G716" s="25" t="s">
        <v>29</v>
      </c>
      <c r="H716" s="25" t="s">
        <v>31</v>
      </c>
      <c r="I716" s="26">
        <v>45995.478217592594</v>
      </c>
      <c r="J716" s="25" t="s">
        <v>3406</v>
      </c>
      <c r="K716" s="25" t="s">
        <v>32</v>
      </c>
    </row>
    <row r="717" spans="3:11" x14ac:dyDescent="0.25">
      <c r="C717" s="25">
        <v>23599151</v>
      </c>
      <c r="D717" s="26">
        <v>45986.47824074074</v>
      </c>
      <c r="E717" s="25" t="s">
        <v>59</v>
      </c>
      <c r="F717" s="25" t="s">
        <v>60</v>
      </c>
      <c r="G717" s="25" t="s">
        <v>29</v>
      </c>
      <c r="H717" s="25" t="s">
        <v>31</v>
      </c>
      <c r="I717" s="26">
        <v>45995.47824074074</v>
      </c>
      <c r="J717" s="25" t="s">
        <v>3406</v>
      </c>
      <c r="K717" s="25" t="s">
        <v>32</v>
      </c>
    </row>
    <row r="718" spans="3:11" x14ac:dyDescent="0.25">
      <c r="C718" s="25">
        <v>23599152</v>
      </c>
      <c r="D718" s="26">
        <v>45986.47824074074</v>
      </c>
      <c r="E718" s="25" t="s">
        <v>59</v>
      </c>
      <c r="F718" s="25" t="s">
        <v>60</v>
      </c>
      <c r="G718" s="25" t="s">
        <v>29</v>
      </c>
      <c r="H718" s="25" t="s">
        <v>31</v>
      </c>
      <c r="I718" s="26">
        <v>45995.47824074074</v>
      </c>
      <c r="J718" s="25" t="s">
        <v>3406</v>
      </c>
      <c r="K718" s="25" t="s">
        <v>32</v>
      </c>
    </row>
    <row r="719" spans="3:11" x14ac:dyDescent="0.25">
      <c r="C719" s="25">
        <v>23599155</v>
      </c>
      <c r="D719" s="26">
        <v>45986.478518518517</v>
      </c>
      <c r="E719" s="25" t="s">
        <v>59</v>
      </c>
      <c r="F719" s="25" t="s">
        <v>60</v>
      </c>
      <c r="G719" s="25" t="s">
        <v>29</v>
      </c>
      <c r="H719" s="25" t="s">
        <v>31</v>
      </c>
      <c r="I719" s="26">
        <v>45995.478518518517</v>
      </c>
      <c r="J719" s="25" t="s">
        <v>4318</v>
      </c>
      <c r="K719" s="25" t="s">
        <v>32</v>
      </c>
    </row>
    <row r="720" spans="3:11" x14ac:dyDescent="0.25">
      <c r="C720" s="25">
        <v>23599156</v>
      </c>
      <c r="D720" s="26">
        <v>45986.478541666664</v>
      </c>
      <c r="E720" s="25" t="s">
        <v>59</v>
      </c>
      <c r="F720" s="25" t="s">
        <v>60</v>
      </c>
      <c r="G720" s="25" t="s">
        <v>29</v>
      </c>
      <c r="H720" s="25" t="s">
        <v>31</v>
      </c>
      <c r="I720" s="26">
        <v>45995.478541666664</v>
      </c>
      <c r="J720" s="25" t="s">
        <v>4318</v>
      </c>
      <c r="K720" s="25" t="s">
        <v>32</v>
      </c>
    </row>
    <row r="721" spans="3:11" x14ac:dyDescent="0.25">
      <c r="C721" s="25">
        <v>23599157</v>
      </c>
      <c r="D721" s="26">
        <v>45986.47855324074</v>
      </c>
      <c r="E721" s="25" t="s">
        <v>59</v>
      </c>
      <c r="F721" s="25" t="s">
        <v>60</v>
      </c>
      <c r="G721" s="25" t="s">
        <v>29</v>
      </c>
      <c r="H721" s="25" t="s">
        <v>31</v>
      </c>
      <c r="I721" s="26">
        <v>45995.47855324074</v>
      </c>
      <c r="J721" s="25" t="s">
        <v>4318</v>
      </c>
      <c r="K721" s="25" t="s">
        <v>32</v>
      </c>
    </row>
    <row r="722" spans="3:11" x14ac:dyDescent="0.25">
      <c r="C722" s="25">
        <v>23599158</v>
      </c>
      <c r="D722" s="26">
        <v>45986.478576388887</v>
      </c>
      <c r="E722" s="25" t="s">
        <v>59</v>
      </c>
      <c r="F722" s="25" t="s">
        <v>60</v>
      </c>
      <c r="G722" s="25" t="s">
        <v>29</v>
      </c>
      <c r="H722" s="25" t="s">
        <v>31</v>
      </c>
      <c r="I722" s="26">
        <v>45995.478576388887</v>
      </c>
      <c r="J722" s="25" t="s">
        <v>4318</v>
      </c>
      <c r="K722" s="25" t="s">
        <v>32</v>
      </c>
    </row>
    <row r="723" spans="3:11" x14ac:dyDescent="0.25">
      <c r="C723" s="25">
        <v>23599159</v>
      </c>
      <c r="D723" s="26">
        <v>45986.478587962964</v>
      </c>
      <c r="E723" s="25" t="s">
        <v>59</v>
      </c>
      <c r="F723" s="25" t="s">
        <v>60</v>
      </c>
      <c r="G723" s="25" t="s">
        <v>29</v>
      </c>
      <c r="H723" s="25" t="s">
        <v>31</v>
      </c>
      <c r="I723" s="26">
        <v>45995.478587962964</v>
      </c>
      <c r="J723" s="25" t="s">
        <v>4318</v>
      </c>
      <c r="K723" s="25" t="s">
        <v>32</v>
      </c>
    </row>
    <row r="724" spans="3:11" x14ac:dyDescent="0.25">
      <c r="C724" s="25">
        <v>23599160</v>
      </c>
      <c r="D724" s="26">
        <v>45986.47859953704</v>
      </c>
      <c r="E724" s="25" t="s">
        <v>59</v>
      </c>
      <c r="F724" s="25" t="s">
        <v>60</v>
      </c>
      <c r="G724" s="25" t="s">
        <v>29</v>
      </c>
      <c r="H724" s="25" t="s">
        <v>31</v>
      </c>
      <c r="I724" s="26">
        <v>45995.47859953704</v>
      </c>
      <c r="J724" s="25" t="s">
        <v>4318</v>
      </c>
      <c r="K724" s="25" t="s">
        <v>32</v>
      </c>
    </row>
    <row r="725" spans="3:11" x14ac:dyDescent="0.25">
      <c r="C725" s="25">
        <v>23599161</v>
      </c>
      <c r="D725" s="26">
        <v>45986.47859953704</v>
      </c>
      <c r="E725" s="25" t="s">
        <v>59</v>
      </c>
      <c r="F725" s="25" t="s">
        <v>60</v>
      </c>
      <c r="G725" s="25" t="s">
        <v>29</v>
      </c>
      <c r="H725" s="25" t="s">
        <v>31</v>
      </c>
      <c r="I725" s="26">
        <v>45995.47859953704</v>
      </c>
      <c r="J725" s="25" t="s">
        <v>4318</v>
      </c>
      <c r="K725" s="25" t="s">
        <v>32</v>
      </c>
    </row>
    <row r="726" spans="3:11" x14ac:dyDescent="0.25">
      <c r="C726" s="25">
        <v>23599162</v>
      </c>
      <c r="D726" s="26">
        <v>45986.478622685187</v>
      </c>
      <c r="E726" s="25" t="s">
        <v>59</v>
      </c>
      <c r="F726" s="25" t="s">
        <v>60</v>
      </c>
      <c r="G726" s="25" t="s">
        <v>29</v>
      </c>
      <c r="H726" s="25" t="s">
        <v>31</v>
      </c>
      <c r="I726" s="26">
        <v>45995.478622685187</v>
      </c>
      <c r="J726" s="25" t="s">
        <v>4318</v>
      </c>
      <c r="K726" s="25" t="s">
        <v>32</v>
      </c>
    </row>
    <row r="727" spans="3:11" x14ac:dyDescent="0.25">
      <c r="C727" s="25">
        <v>23599163</v>
      </c>
      <c r="D727" s="26">
        <v>45986.478622685187</v>
      </c>
      <c r="E727" s="25" t="s">
        <v>59</v>
      </c>
      <c r="F727" s="25" t="s">
        <v>60</v>
      </c>
      <c r="G727" s="25" t="s">
        <v>29</v>
      </c>
      <c r="H727" s="25" t="s">
        <v>31</v>
      </c>
      <c r="I727" s="26">
        <v>45995.478622685187</v>
      </c>
      <c r="J727" s="25" t="s">
        <v>4318</v>
      </c>
      <c r="K727" s="25" t="s">
        <v>32</v>
      </c>
    </row>
    <row r="728" spans="3:11" x14ac:dyDescent="0.25">
      <c r="C728" s="25">
        <v>23599164</v>
      </c>
      <c r="D728" s="26">
        <v>45986.478622685187</v>
      </c>
      <c r="E728" s="25" t="s">
        <v>59</v>
      </c>
      <c r="F728" s="25" t="s">
        <v>60</v>
      </c>
      <c r="G728" s="25" t="s">
        <v>29</v>
      </c>
      <c r="H728" s="25" t="s">
        <v>31</v>
      </c>
      <c r="I728" s="26">
        <v>45995.478622685187</v>
      </c>
      <c r="J728" s="25" t="s">
        <v>4318</v>
      </c>
      <c r="K728" s="25" t="s">
        <v>32</v>
      </c>
    </row>
    <row r="729" spans="3:11" x14ac:dyDescent="0.25">
      <c r="C729" s="25">
        <v>23599165</v>
      </c>
      <c r="D729" s="26">
        <v>45986.478634259256</v>
      </c>
      <c r="E729" s="25" t="s">
        <v>59</v>
      </c>
      <c r="F729" s="25" t="s">
        <v>60</v>
      </c>
      <c r="G729" s="25" t="s">
        <v>29</v>
      </c>
      <c r="H729" s="25" t="s">
        <v>31</v>
      </c>
      <c r="I729" s="26">
        <v>45995.478634259256</v>
      </c>
      <c r="J729" s="25" t="s">
        <v>4318</v>
      </c>
      <c r="K729" s="25" t="s">
        <v>32</v>
      </c>
    </row>
    <row r="730" spans="3:11" x14ac:dyDescent="0.25">
      <c r="C730" s="25">
        <v>23599166</v>
      </c>
      <c r="D730" s="26">
        <v>45986.478645833333</v>
      </c>
      <c r="E730" s="25" t="s">
        <v>59</v>
      </c>
      <c r="F730" s="25" t="s">
        <v>60</v>
      </c>
      <c r="G730" s="25" t="s">
        <v>29</v>
      </c>
      <c r="H730" s="25" t="s">
        <v>31</v>
      </c>
      <c r="I730" s="26">
        <v>45995.478645833333</v>
      </c>
      <c r="J730" s="25" t="s">
        <v>4318</v>
      </c>
      <c r="K730" s="25" t="s">
        <v>32</v>
      </c>
    </row>
    <row r="731" spans="3:11" x14ac:dyDescent="0.25">
      <c r="C731" s="25">
        <v>23599167</v>
      </c>
      <c r="D731" s="26">
        <v>45986.478645833333</v>
      </c>
      <c r="E731" s="25" t="s">
        <v>59</v>
      </c>
      <c r="F731" s="25" t="s">
        <v>60</v>
      </c>
      <c r="G731" s="25" t="s">
        <v>29</v>
      </c>
      <c r="H731" s="25" t="s">
        <v>31</v>
      </c>
      <c r="I731" s="26">
        <v>45995.478645833333</v>
      </c>
      <c r="J731" s="25" t="s">
        <v>4318</v>
      </c>
      <c r="K731" s="25" t="s">
        <v>32</v>
      </c>
    </row>
    <row r="732" spans="3:11" x14ac:dyDescent="0.25">
      <c r="C732" s="25">
        <v>23599168</v>
      </c>
      <c r="D732" s="26">
        <v>45986.47865740741</v>
      </c>
      <c r="E732" s="25" t="s">
        <v>59</v>
      </c>
      <c r="F732" s="25" t="s">
        <v>60</v>
      </c>
      <c r="G732" s="25" t="s">
        <v>29</v>
      </c>
      <c r="H732" s="25" t="s">
        <v>31</v>
      </c>
      <c r="I732" s="26">
        <v>45995.47865740741</v>
      </c>
      <c r="J732" s="25" t="s">
        <v>4318</v>
      </c>
      <c r="K732" s="25" t="s">
        <v>32</v>
      </c>
    </row>
    <row r="733" spans="3:11" x14ac:dyDescent="0.25">
      <c r="C733" s="25">
        <v>23599169</v>
      </c>
      <c r="D733" s="26">
        <v>45986.47865740741</v>
      </c>
      <c r="E733" s="25" t="s">
        <v>59</v>
      </c>
      <c r="F733" s="25" t="s">
        <v>60</v>
      </c>
      <c r="G733" s="25" t="s">
        <v>29</v>
      </c>
      <c r="H733" s="25" t="s">
        <v>31</v>
      </c>
      <c r="I733" s="26">
        <v>45995.47865740741</v>
      </c>
      <c r="J733" s="25" t="s">
        <v>4318</v>
      </c>
      <c r="K733" s="25" t="s">
        <v>32</v>
      </c>
    </row>
    <row r="734" spans="3:11" x14ac:dyDescent="0.25">
      <c r="C734" s="25">
        <v>23599170</v>
      </c>
      <c r="D734" s="26">
        <v>45986.478692129633</v>
      </c>
      <c r="E734" s="25" t="s">
        <v>59</v>
      </c>
      <c r="F734" s="25" t="s">
        <v>60</v>
      </c>
      <c r="G734" s="25" t="s">
        <v>29</v>
      </c>
      <c r="H734" s="25" t="s">
        <v>31</v>
      </c>
      <c r="I734" s="26">
        <v>45995.478692129633</v>
      </c>
      <c r="J734" s="25" t="s">
        <v>4318</v>
      </c>
      <c r="K734" s="25" t="s">
        <v>32</v>
      </c>
    </row>
    <row r="735" spans="3:11" x14ac:dyDescent="0.25">
      <c r="C735" s="25">
        <v>23599171</v>
      </c>
      <c r="D735" s="26">
        <v>45986.478703703702</v>
      </c>
      <c r="E735" s="25" t="s">
        <v>59</v>
      </c>
      <c r="F735" s="25" t="s">
        <v>60</v>
      </c>
      <c r="G735" s="25" t="s">
        <v>29</v>
      </c>
      <c r="H735" s="25" t="s">
        <v>31</v>
      </c>
      <c r="I735" s="26">
        <v>45995.478703703702</v>
      </c>
      <c r="J735" s="25" t="s">
        <v>4318</v>
      </c>
      <c r="K735" s="25" t="s">
        <v>32</v>
      </c>
    </row>
    <row r="736" spans="3:11" x14ac:dyDescent="0.25">
      <c r="C736" s="25">
        <v>23599172</v>
      </c>
      <c r="D736" s="26">
        <v>45986.478715277779</v>
      </c>
      <c r="E736" s="25" t="s">
        <v>59</v>
      </c>
      <c r="F736" s="25" t="s">
        <v>60</v>
      </c>
      <c r="G736" s="25" t="s">
        <v>29</v>
      </c>
      <c r="H736" s="25" t="s">
        <v>31</v>
      </c>
      <c r="I736" s="26">
        <v>45995.478715277779</v>
      </c>
      <c r="J736" s="25" t="s">
        <v>4318</v>
      </c>
      <c r="K736" s="25" t="s">
        <v>32</v>
      </c>
    </row>
    <row r="737" spans="3:11" x14ac:dyDescent="0.25">
      <c r="C737" s="25">
        <v>23599173</v>
      </c>
      <c r="D737" s="26">
        <v>45986.478715277779</v>
      </c>
      <c r="E737" s="25" t="s">
        <v>59</v>
      </c>
      <c r="F737" s="25" t="s">
        <v>60</v>
      </c>
      <c r="G737" s="25" t="s">
        <v>29</v>
      </c>
      <c r="H737" s="25" t="s">
        <v>31</v>
      </c>
      <c r="I737" s="26">
        <v>45995.478715277779</v>
      </c>
      <c r="J737" s="25" t="s">
        <v>4318</v>
      </c>
      <c r="K737" s="25" t="s">
        <v>32</v>
      </c>
    </row>
    <row r="738" spans="3:11" x14ac:dyDescent="0.25">
      <c r="C738" s="25">
        <v>23599174</v>
      </c>
      <c r="D738" s="26">
        <v>45986.478750000002</v>
      </c>
      <c r="E738" s="25" t="s">
        <v>59</v>
      </c>
      <c r="F738" s="25" t="s">
        <v>60</v>
      </c>
      <c r="G738" s="25" t="s">
        <v>29</v>
      </c>
      <c r="H738" s="25" t="s">
        <v>31</v>
      </c>
      <c r="I738" s="26">
        <v>45995.478750000002</v>
      </c>
      <c r="J738" s="25" t="s">
        <v>4318</v>
      </c>
      <c r="K738" s="25" t="s">
        <v>32</v>
      </c>
    </row>
    <row r="739" spans="3:11" x14ac:dyDescent="0.25">
      <c r="C739" s="25">
        <v>23599175</v>
      </c>
      <c r="D739" s="26">
        <v>45986.478750000002</v>
      </c>
      <c r="E739" s="25" t="s">
        <v>59</v>
      </c>
      <c r="F739" s="25" t="s">
        <v>60</v>
      </c>
      <c r="G739" s="25" t="s">
        <v>29</v>
      </c>
      <c r="H739" s="25" t="s">
        <v>31</v>
      </c>
      <c r="I739" s="26">
        <v>45995.478750000002</v>
      </c>
      <c r="J739" s="25" t="s">
        <v>4318</v>
      </c>
      <c r="K739" s="25" t="s">
        <v>32</v>
      </c>
    </row>
    <row r="740" spans="3:11" x14ac:dyDescent="0.25">
      <c r="C740" s="25">
        <v>23599176</v>
      </c>
      <c r="D740" s="26">
        <v>45986.478750000002</v>
      </c>
      <c r="E740" s="25" t="s">
        <v>59</v>
      </c>
      <c r="F740" s="25" t="s">
        <v>60</v>
      </c>
      <c r="G740" s="25" t="s">
        <v>29</v>
      </c>
      <c r="H740" s="25" t="s">
        <v>31</v>
      </c>
      <c r="I740" s="26">
        <v>45995.478750000002</v>
      </c>
      <c r="J740" s="25" t="s">
        <v>4318</v>
      </c>
      <c r="K740" s="25" t="s">
        <v>32</v>
      </c>
    </row>
    <row r="741" spans="3:11" x14ac:dyDescent="0.25">
      <c r="C741" s="25">
        <v>23599177</v>
      </c>
      <c r="D741" s="26">
        <v>45986.478750000002</v>
      </c>
      <c r="E741" s="25" t="s">
        <v>59</v>
      </c>
      <c r="F741" s="25" t="s">
        <v>60</v>
      </c>
      <c r="G741" s="25" t="s">
        <v>29</v>
      </c>
      <c r="H741" s="25" t="s">
        <v>31</v>
      </c>
      <c r="I741" s="26">
        <v>45995.478750000002</v>
      </c>
      <c r="J741" s="25" t="s">
        <v>4318</v>
      </c>
      <c r="K741" s="25" t="s">
        <v>32</v>
      </c>
    </row>
    <row r="742" spans="3:11" x14ac:dyDescent="0.25">
      <c r="C742" s="25">
        <v>23599178</v>
      </c>
      <c r="D742" s="26">
        <v>45986.478761574072</v>
      </c>
      <c r="E742" s="25" t="s">
        <v>59</v>
      </c>
      <c r="F742" s="25" t="s">
        <v>60</v>
      </c>
      <c r="G742" s="25" t="s">
        <v>29</v>
      </c>
      <c r="H742" s="25" t="s">
        <v>31</v>
      </c>
      <c r="I742" s="26">
        <v>45995.478761574072</v>
      </c>
      <c r="J742" s="25" t="s">
        <v>4318</v>
      </c>
      <c r="K742" s="25" t="s">
        <v>32</v>
      </c>
    </row>
    <row r="743" spans="3:11" x14ac:dyDescent="0.25">
      <c r="C743" s="25">
        <v>23599180</v>
      </c>
      <c r="D743" s="26">
        <v>45986.478761574072</v>
      </c>
      <c r="E743" s="25" t="s">
        <v>59</v>
      </c>
      <c r="F743" s="25" t="s">
        <v>60</v>
      </c>
      <c r="G743" s="25" t="s">
        <v>29</v>
      </c>
      <c r="H743" s="25" t="s">
        <v>31</v>
      </c>
      <c r="I743" s="26">
        <v>45995.478761574072</v>
      </c>
      <c r="J743" s="25" t="s">
        <v>4318</v>
      </c>
      <c r="K743" s="25" t="s">
        <v>32</v>
      </c>
    </row>
    <row r="744" spans="3:11" x14ac:dyDescent="0.25">
      <c r="C744" s="25">
        <v>23599181</v>
      </c>
      <c r="D744" s="26">
        <v>45986.478773148148</v>
      </c>
      <c r="E744" s="25" t="s">
        <v>59</v>
      </c>
      <c r="F744" s="25" t="s">
        <v>60</v>
      </c>
      <c r="G744" s="25" t="s">
        <v>29</v>
      </c>
      <c r="H744" s="25" t="s">
        <v>31</v>
      </c>
      <c r="I744" s="26">
        <v>45995.478773148148</v>
      </c>
      <c r="J744" s="25" t="s">
        <v>4318</v>
      </c>
      <c r="K744" s="25" t="s">
        <v>32</v>
      </c>
    </row>
    <row r="745" spans="3:11" x14ac:dyDescent="0.25">
      <c r="C745" s="25">
        <v>23599182</v>
      </c>
      <c r="D745" s="26">
        <v>45986.478773148148</v>
      </c>
      <c r="E745" s="25" t="s">
        <v>59</v>
      </c>
      <c r="F745" s="25" t="s">
        <v>60</v>
      </c>
      <c r="G745" s="25" t="s">
        <v>29</v>
      </c>
      <c r="H745" s="25" t="s">
        <v>31</v>
      </c>
      <c r="I745" s="26">
        <v>45995.478773148148</v>
      </c>
      <c r="J745" s="25" t="s">
        <v>4318</v>
      </c>
      <c r="K745" s="25" t="s">
        <v>32</v>
      </c>
    </row>
    <row r="746" spans="3:11" x14ac:dyDescent="0.25">
      <c r="C746" s="25">
        <v>23599183</v>
      </c>
      <c r="D746" s="26">
        <v>45986.478796296295</v>
      </c>
      <c r="E746" s="25" t="s">
        <v>59</v>
      </c>
      <c r="F746" s="25" t="s">
        <v>60</v>
      </c>
      <c r="G746" s="25" t="s">
        <v>29</v>
      </c>
      <c r="H746" s="25" t="s">
        <v>31</v>
      </c>
      <c r="I746" s="26">
        <v>45995.478796296295</v>
      </c>
      <c r="J746" s="25" t="s">
        <v>4318</v>
      </c>
      <c r="K746" s="25" t="s">
        <v>32</v>
      </c>
    </row>
    <row r="747" spans="3:11" x14ac:dyDescent="0.25">
      <c r="C747" s="25">
        <v>23599184</v>
      </c>
      <c r="D747" s="26">
        <v>45986.478807870371</v>
      </c>
      <c r="E747" s="25" t="s">
        <v>59</v>
      </c>
      <c r="F747" s="25" t="s">
        <v>60</v>
      </c>
      <c r="G747" s="25" t="s">
        <v>29</v>
      </c>
      <c r="H747" s="25" t="s">
        <v>31</v>
      </c>
      <c r="I747" s="26">
        <v>45995.478807870371</v>
      </c>
      <c r="J747" s="25" t="s">
        <v>4318</v>
      </c>
      <c r="K747" s="25" t="s">
        <v>32</v>
      </c>
    </row>
    <row r="748" spans="3:11" x14ac:dyDescent="0.25">
      <c r="C748" s="25">
        <v>23599185</v>
      </c>
      <c r="D748" s="26">
        <v>45986.478819444441</v>
      </c>
      <c r="E748" s="25" t="s">
        <v>59</v>
      </c>
      <c r="F748" s="25" t="s">
        <v>60</v>
      </c>
      <c r="G748" s="25" t="s">
        <v>29</v>
      </c>
      <c r="H748" s="25" t="s">
        <v>31</v>
      </c>
      <c r="I748" s="26">
        <v>45995.478819444441</v>
      </c>
      <c r="J748" s="25" t="s">
        <v>4318</v>
      </c>
      <c r="K748" s="25" t="s">
        <v>32</v>
      </c>
    </row>
    <row r="749" spans="3:11" x14ac:dyDescent="0.25">
      <c r="C749" s="25">
        <v>23599186</v>
      </c>
      <c r="D749" s="26">
        <v>45986.478854166664</v>
      </c>
      <c r="E749" s="25" t="s">
        <v>59</v>
      </c>
      <c r="F749" s="25" t="s">
        <v>60</v>
      </c>
      <c r="G749" s="25" t="s">
        <v>29</v>
      </c>
      <c r="H749" s="25" t="s">
        <v>31</v>
      </c>
      <c r="I749" s="26">
        <v>45995.478854166664</v>
      </c>
      <c r="J749" s="25" t="s">
        <v>4318</v>
      </c>
      <c r="K749" s="25" t="s">
        <v>32</v>
      </c>
    </row>
    <row r="750" spans="3:11" x14ac:dyDescent="0.25">
      <c r="C750" s="25">
        <v>23599187</v>
      </c>
      <c r="D750" s="26">
        <v>45986.478854166664</v>
      </c>
      <c r="E750" s="25" t="s">
        <v>59</v>
      </c>
      <c r="F750" s="25" t="s">
        <v>60</v>
      </c>
      <c r="G750" s="25" t="s">
        <v>29</v>
      </c>
      <c r="H750" s="25" t="s">
        <v>31</v>
      </c>
      <c r="I750" s="26">
        <v>45995.478854166664</v>
      </c>
      <c r="J750" s="25" t="s">
        <v>4318</v>
      </c>
      <c r="K750" s="25" t="s">
        <v>32</v>
      </c>
    </row>
    <row r="751" spans="3:11" x14ac:dyDescent="0.25">
      <c r="C751" s="25">
        <v>23599188</v>
      </c>
      <c r="D751" s="26">
        <v>45986.478865740741</v>
      </c>
      <c r="E751" s="25" t="s">
        <v>59</v>
      </c>
      <c r="F751" s="25" t="s">
        <v>60</v>
      </c>
      <c r="G751" s="25" t="s">
        <v>29</v>
      </c>
      <c r="H751" s="25" t="s">
        <v>31</v>
      </c>
      <c r="I751" s="26">
        <v>45995.478865740741</v>
      </c>
      <c r="J751" s="25" t="s">
        <v>4318</v>
      </c>
      <c r="K751" s="25" t="s">
        <v>32</v>
      </c>
    </row>
    <row r="752" spans="3:11" x14ac:dyDescent="0.25">
      <c r="C752" s="25">
        <v>23599189</v>
      </c>
      <c r="D752" s="26">
        <v>45986.478877314818</v>
      </c>
      <c r="E752" s="25" t="s">
        <v>59</v>
      </c>
      <c r="F752" s="25" t="s">
        <v>60</v>
      </c>
      <c r="G752" s="25" t="s">
        <v>29</v>
      </c>
      <c r="H752" s="25" t="s">
        <v>31</v>
      </c>
      <c r="I752" s="26">
        <v>45995.478877314818</v>
      </c>
      <c r="J752" s="25" t="s">
        <v>4318</v>
      </c>
      <c r="K752" s="25" t="s">
        <v>32</v>
      </c>
    </row>
    <row r="753" spans="3:11" x14ac:dyDescent="0.25">
      <c r="C753" s="25">
        <v>23599190</v>
      </c>
      <c r="D753" s="26">
        <v>45986.47892361111</v>
      </c>
      <c r="E753" s="25" t="s">
        <v>59</v>
      </c>
      <c r="F753" s="25" t="s">
        <v>60</v>
      </c>
      <c r="G753" s="25" t="s">
        <v>29</v>
      </c>
      <c r="H753" s="25" t="s">
        <v>31</v>
      </c>
      <c r="I753" s="26">
        <v>45995.47892361111</v>
      </c>
      <c r="J753" s="25" t="s">
        <v>4318</v>
      </c>
      <c r="K753" s="25" t="s">
        <v>32</v>
      </c>
    </row>
    <row r="754" spans="3:11" x14ac:dyDescent="0.25">
      <c r="C754" s="25">
        <v>23599191</v>
      </c>
      <c r="D754" s="26">
        <v>45986.47892361111</v>
      </c>
      <c r="E754" s="25" t="s">
        <v>59</v>
      </c>
      <c r="F754" s="25" t="s">
        <v>60</v>
      </c>
      <c r="G754" s="25" t="s">
        <v>29</v>
      </c>
      <c r="H754" s="25" t="s">
        <v>31</v>
      </c>
      <c r="I754" s="26">
        <v>45995.47892361111</v>
      </c>
      <c r="J754" s="25" t="s">
        <v>4318</v>
      </c>
      <c r="K754" s="25" t="s">
        <v>32</v>
      </c>
    </row>
    <row r="755" spans="3:11" x14ac:dyDescent="0.25">
      <c r="C755" s="25">
        <v>23599192</v>
      </c>
      <c r="D755" s="26">
        <v>45986.479097222225</v>
      </c>
      <c r="E755" s="25" t="s">
        <v>59</v>
      </c>
      <c r="F755" s="25" t="s">
        <v>60</v>
      </c>
      <c r="G755" s="25" t="s">
        <v>29</v>
      </c>
      <c r="H755" s="25" t="s">
        <v>31</v>
      </c>
      <c r="I755" s="26">
        <v>45995.479097222225</v>
      </c>
      <c r="J755" s="25" t="s">
        <v>4318</v>
      </c>
      <c r="K755" s="25" t="s">
        <v>32</v>
      </c>
    </row>
    <row r="756" spans="3:11" x14ac:dyDescent="0.25">
      <c r="C756" s="25">
        <v>23599193</v>
      </c>
      <c r="D756" s="26">
        <v>45986.479224537034</v>
      </c>
      <c r="E756" s="25" t="s">
        <v>59</v>
      </c>
      <c r="F756" s="25" t="s">
        <v>60</v>
      </c>
      <c r="G756" s="25" t="s">
        <v>29</v>
      </c>
      <c r="H756" s="25" t="s">
        <v>31</v>
      </c>
      <c r="I756" s="26">
        <v>45995.479224537034</v>
      </c>
      <c r="J756" s="25" t="s">
        <v>4504</v>
      </c>
      <c r="K756" s="25" t="s">
        <v>32</v>
      </c>
    </row>
    <row r="757" spans="3:11" x14ac:dyDescent="0.25">
      <c r="C757" s="25">
        <v>23599194</v>
      </c>
      <c r="D757" s="26">
        <v>45986.479224537034</v>
      </c>
      <c r="E757" s="25" t="s">
        <v>59</v>
      </c>
      <c r="F757" s="25" t="s">
        <v>60</v>
      </c>
      <c r="G757" s="25" t="s">
        <v>29</v>
      </c>
      <c r="H757" s="25" t="s">
        <v>31</v>
      </c>
      <c r="I757" s="26">
        <v>45995.479224537034</v>
      </c>
      <c r="J757" s="25" t="s">
        <v>4504</v>
      </c>
      <c r="K757" s="25" t="s">
        <v>32</v>
      </c>
    </row>
    <row r="758" spans="3:11" x14ac:dyDescent="0.25">
      <c r="C758" s="25">
        <v>23599195</v>
      </c>
      <c r="D758" s="26">
        <v>45986.479247685187</v>
      </c>
      <c r="E758" s="25" t="s">
        <v>59</v>
      </c>
      <c r="F758" s="25" t="s">
        <v>60</v>
      </c>
      <c r="G758" s="25" t="s">
        <v>29</v>
      </c>
      <c r="H758" s="25" t="s">
        <v>31</v>
      </c>
      <c r="I758" s="26">
        <v>45995.479247685187</v>
      </c>
      <c r="J758" s="25" t="s">
        <v>4504</v>
      </c>
      <c r="K758" s="25" t="s">
        <v>32</v>
      </c>
    </row>
    <row r="759" spans="3:11" x14ac:dyDescent="0.25">
      <c r="C759" s="25">
        <v>23599196</v>
      </c>
      <c r="D759" s="26">
        <v>45986.479247685187</v>
      </c>
      <c r="E759" s="25" t="s">
        <v>59</v>
      </c>
      <c r="F759" s="25" t="s">
        <v>60</v>
      </c>
      <c r="G759" s="25" t="s">
        <v>29</v>
      </c>
      <c r="H759" s="25" t="s">
        <v>31</v>
      </c>
      <c r="I759" s="26">
        <v>45995.479247685187</v>
      </c>
      <c r="J759" s="25" t="s">
        <v>4504</v>
      </c>
      <c r="K759" s="25" t="s">
        <v>32</v>
      </c>
    </row>
    <row r="760" spans="3:11" x14ac:dyDescent="0.25">
      <c r="C760" s="25">
        <v>23599197</v>
      </c>
      <c r="D760" s="26">
        <v>45986.479247685187</v>
      </c>
      <c r="E760" s="25" t="s">
        <v>59</v>
      </c>
      <c r="F760" s="25" t="s">
        <v>60</v>
      </c>
      <c r="G760" s="25" t="s">
        <v>29</v>
      </c>
      <c r="H760" s="25" t="s">
        <v>31</v>
      </c>
      <c r="I760" s="26">
        <v>45995.479247685187</v>
      </c>
      <c r="J760" s="25" t="s">
        <v>4504</v>
      </c>
      <c r="K760" s="25" t="s">
        <v>32</v>
      </c>
    </row>
    <row r="761" spans="3:11" x14ac:dyDescent="0.25">
      <c r="C761" s="25">
        <v>23599198</v>
      </c>
      <c r="D761" s="26">
        <v>45986.479259259257</v>
      </c>
      <c r="E761" s="25" t="s">
        <v>59</v>
      </c>
      <c r="F761" s="25" t="s">
        <v>60</v>
      </c>
      <c r="G761" s="25" t="s">
        <v>29</v>
      </c>
      <c r="H761" s="25" t="s">
        <v>31</v>
      </c>
      <c r="I761" s="26">
        <v>45995.479259259257</v>
      </c>
      <c r="J761" s="25" t="s">
        <v>4504</v>
      </c>
      <c r="K761" s="25" t="s">
        <v>32</v>
      </c>
    </row>
    <row r="762" spans="3:11" x14ac:dyDescent="0.25">
      <c r="C762" s="25">
        <v>23599199</v>
      </c>
      <c r="D762" s="26">
        <v>45986.479259259257</v>
      </c>
      <c r="E762" s="25" t="s">
        <v>59</v>
      </c>
      <c r="F762" s="25" t="s">
        <v>60</v>
      </c>
      <c r="G762" s="25" t="s">
        <v>29</v>
      </c>
      <c r="H762" s="25" t="s">
        <v>31</v>
      </c>
      <c r="I762" s="26">
        <v>45995.479259259257</v>
      </c>
      <c r="J762" s="25" t="s">
        <v>4504</v>
      </c>
      <c r="K762" s="25" t="s">
        <v>32</v>
      </c>
    </row>
    <row r="763" spans="3:11" x14ac:dyDescent="0.25">
      <c r="C763" s="25">
        <v>23599200</v>
      </c>
      <c r="D763" s="26">
        <v>45986.479305555556</v>
      </c>
      <c r="E763" s="25" t="s">
        <v>59</v>
      </c>
      <c r="F763" s="25" t="s">
        <v>60</v>
      </c>
      <c r="G763" s="25" t="s">
        <v>29</v>
      </c>
      <c r="H763" s="25" t="s">
        <v>31</v>
      </c>
      <c r="I763" s="26">
        <v>45995.479305555556</v>
      </c>
      <c r="J763" s="25" t="s">
        <v>4504</v>
      </c>
      <c r="K763" s="25" t="s">
        <v>32</v>
      </c>
    </row>
    <row r="764" spans="3:11" x14ac:dyDescent="0.25">
      <c r="C764" s="25">
        <v>23599201</v>
      </c>
      <c r="D764" s="26">
        <v>45986.479317129626</v>
      </c>
      <c r="E764" s="25" t="s">
        <v>59</v>
      </c>
      <c r="F764" s="25" t="s">
        <v>60</v>
      </c>
      <c r="G764" s="25" t="s">
        <v>29</v>
      </c>
      <c r="H764" s="25" t="s">
        <v>31</v>
      </c>
      <c r="I764" s="26">
        <v>45995.479317129626</v>
      </c>
      <c r="J764" s="25" t="s">
        <v>4504</v>
      </c>
      <c r="K764" s="25" t="s">
        <v>32</v>
      </c>
    </row>
    <row r="765" spans="3:11" x14ac:dyDescent="0.25">
      <c r="C765" s="25">
        <v>23599202</v>
      </c>
      <c r="D765" s="26">
        <v>45986.479317129626</v>
      </c>
      <c r="E765" s="25" t="s">
        <v>59</v>
      </c>
      <c r="F765" s="25" t="s">
        <v>60</v>
      </c>
      <c r="G765" s="25" t="s">
        <v>29</v>
      </c>
      <c r="H765" s="25" t="s">
        <v>31</v>
      </c>
      <c r="I765" s="26">
        <v>45995.479317129626</v>
      </c>
      <c r="J765" s="25" t="s">
        <v>4504</v>
      </c>
      <c r="K765" s="25" t="s">
        <v>32</v>
      </c>
    </row>
    <row r="766" spans="3:11" x14ac:dyDescent="0.25">
      <c r="C766" s="25">
        <v>23599203</v>
      </c>
      <c r="D766" s="26">
        <v>45986.479317129626</v>
      </c>
      <c r="E766" s="25" t="s">
        <v>59</v>
      </c>
      <c r="F766" s="25" t="s">
        <v>60</v>
      </c>
      <c r="G766" s="25" t="s">
        <v>29</v>
      </c>
      <c r="H766" s="25" t="s">
        <v>31</v>
      </c>
      <c r="I766" s="26">
        <v>45995.479317129626</v>
      </c>
      <c r="J766" s="25" t="s">
        <v>4504</v>
      </c>
      <c r="K766" s="25" t="s">
        <v>32</v>
      </c>
    </row>
    <row r="767" spans="3:11" x14ac:dyDescent="0.25">
      <c r="C767" s="25">
        <v>23599204</v>
      </c>
      <c r="D767" s="26">
        <v>45986.479317129626</v>
      </c>
      <c r="E767" s="25" t="s">
        <v>59</v>
      </c>
      <c r="F767" s="25" t="s">
        <v>60</v>
      </c>
      <c r="G767" s="25" t="s">
        <v>29</v>
      </c>
      <c r="H767" s="25" t="s">
        <v>31</v>
      </c>
      <c r="I767" s="26">
        <v>45995.479317129626</v>
      </c>
      <c r="J767" s="25" t="s">
        <v>4504</v>
      </c>
      <c r="K767" s="25" t="s">
        <v>32</v>
      </c>
    </row>
    <row r="768" spans="3:11" x14ac:dyDescent="0.25">
      <c r="C768" s="25">
        <v>23599205</v>
      </c>
      <c r="D768" s="26">
        <v>45986.479328703703</v>
      </c>
      <c r="E768" s="25" t="s">
        <v>59</v>
      </c>
      <c r="F768" s="25" t="s">
        <v>60</v>
      </c>
      <c r="G768" s="25" t="s">
        <v>29</v>
      </c>
      <c r="H768" s="25" t="s">
        <v>31</v>
      </c>
      <c r="I768" s="26">
        <v>45995.479328703703</v>
      </c>
      <c r="J768" s="25" t="s">
        <v>4504</v>
      </c>
      <c r="K768" s="25" t="s">
        <v>32</v>
      </c>
    </row>
    <row r="769" spans="3:11" x14ac:dyDescent="0.25">
      <c r="C769" s="25">
        <v>23599206</v>
      </c>
      <c r="D769" s="26">
        <v>45986.479328703703</v>
      </c>
      <c r="E769" s="25" t="s">
        <v>59</v>
      </c>
      <c r="F769" s="25" t="s">
        <v>60</v>
      </c>
      <c r="G769" s="25" t="s">
        <v>29</v>
      </c>
      <c r="H769" s="25" t="s">
        <v>31</v>
      </c>
      <c r="I769" s="26">
        <v>45995.479328703703</v>
      </c>
      <c r="J769" s="25" t="s">
        <v>4504</v>
      </c>
      <c r="K769" s="25" t="s">
        <v>32</v>
      </c>
    </row>
    <row r="770" spans="3:11" x14ac:dyDescent="0.25">
      <c r="C770" s="25">
        <v>23599207</v>
      </c>
      <c r="D770" s="26">
        <v>45986.47934027778</v>
      </c>
      <c r="E770" s="25" t="s">
        <v>59</v>
      </c>
      <c r="F770" s="25" t="s">
        <v>60</v>
      </c>
      <c r="G770" s="25" t="s">
        <v>29</v>
      </c>
      <c r="H770" s="25" t="s">
        <v>31</v>
      </c>
      <c r="I770" s="26">
        <v>45995.47934027778</v>
      </c>
      <c r="J770" s="25" t="s">
        <v>4504</v>
      </c>
      <c r="K770" s="25" t="s">
        <v>32</v>
      </c>
    </row>
    <row r="771" spans="3:11" x14ac:dyDescent="0.25">
      <c r="C771" s="25">
        <v>23599208</v>
      </c>
      <c r="D771" s="26">
        <v>45986.47934027778</v>
      </c>
      <c r="E771" s="25" t="s">
        <v>59</v>
      </c>
      <c r="F771" s="25" t="s">
        <v>60</v>
      </c>
      <c r="G771" s="25" t="s">
        <v>29</v>
      </c>
      <c r="H771" s="25" t="s">
        <v>31</v>
      </c>
      <c r="I771" s="26">
        <v>45995.47934027778</v>
      </c>
      <c r="J771" s="25" t="s">
        <v>4504</v>
      </c>
      <c r="K771" s="25" t="s">
        <v>32</v>
      </c>
    </row>
    <row r="772" spans="3:11" x14ac:dyDescent="0.25">
      <c r="C772" s="25">
        <v>23599209</v>
      </c>
      <c r="D772" s="26">
        <v>45986.479363425926</v>
      </c>
      <c r="E772" s="25" t="s">
        <v>59</v>
      </c>
      <c r="F772" s="25" t="s">
        <v>60</v>
      </c>
      <c r="G772" s="25" t="s">
        <v>29</v>
      </c>
      <c r="H772" s="25" t="s">
        <v>31</v>
      </c>
      <c r="I772" s="26">
        <v>45995.479363425926</v>
      </c>
      <c r="J772" s="25" t="s">
        <v>4504</v>
      </c>
      <c r="K772" s="25" t="s">
        <v>32</v>
      </c>
    </row>
    <row r="773" spans="3:11" x14ac:dyDescent="0.25">
      <c r="C773" s="25">
        <v>23599210</v>
      </c>
      <c r="D773" s="26">
        <v>45986.479398148149</v>
      </c>
      <c r="E773" s="25" t="s">
        <v>59</v>
      </c>
      <c r="F773" s="25" t="s">
        <v>60</v>
      </c>
      <c r="G773" s="25" t="s">
        <v>29</v>
      </c>
      <c r="H773" s="25" t="s">
        <v>31</v>
      </c>
      <c r="I773" s="26">
        <v>45995.479398148149</v>
      </c>
      <c r="J773" s="25" t="s">
        <v>4504</v>
      </c>
      <c r="K773" s="25" t="s">
        <v>32</v>
      </c>
    </row>
    <row r="774" spans="3:11" x14ac:dyDescent="0.25">
      <c r="C774" s="25">
        <v>23599211</v>
      </c>
      <c r="D774" s="26">
        <v>45986.479432870372</v>
      </c>
      <c r="E774" s="25" t="s">
        <v>59</v>
      </c>
      <c r="F774" s="25" t="s">
        <v>60</v>
      </c>
      <c r="G774" s="25" t="s">
        <v>29</v>
      </c>
      <c r="H774" s="25" t="s">
        <v>31</v>
      </c>
      <c r="I774" s="26">
        <v>45995.479432870372</v>
      </c>
      <c r="J774" s="25" t="s">
        <v>4504</v>
      </c>
      <c r="K774" s="25" t="s">
        <v>32</v>
      </c>
    </row>
    <row r="775" spans="3:11" x14ac:dyDescent="0.25">
      <c r="C775" s="25">
        <v>23599212</v>
      </c>
      <c r="D775" s="26">
        <v>45986.479444444441</v>
      </c>
      <c r="E775" s="25" t="s">
        <v>59</v>
      </c>
      <c r="F775" s="25" t="s">
        <v>60</v>
      </c>
      <c r="G775" s="25" t="s">
        <v>29</v>
      </c>
      <c r="H775" s="25" t="s">
        <v>31</v>
      </c>
      <c r="I775" s="26">
        <v>45995.479444444441</v>
      </c>
      <c r="J775" s="25" t="s">
        <v>4504</v>
      </c>
      <c r="K775" s="25" t="s">
        <v>32</v>
      </c>
    </row>
    <row r="776" spans="3:11" x14ac:dyDescent="0.25">
      <c r="C776" s="25">
        <v>23599213</v>
      </c>
      <c r="D776" s="26">
        <v>45986.479444444441</v>
      </c>
      <c r="E776" s="25" t="s">
        <v>59</v>
      </c>
      <c r="F776" s="25" t="s">
        <v>60</v>
      </c>
      <c r="G776" s="25" t="s">
        <v>29</v>
      </c>
      <c r="H776" s="25" t="s">
        <v>31</v>
      </c>
      <c r="I776" s="26">
        <v>45995.479444444441</v>
      </c>
      <c r="J776" s="25" t="s">
        <v>4504</v>
      </c>
      <c r="K776" s="25" t="s">
        <v>32</v>
      </c>
    </row>
    <row r="777" spans="3:11" x14ac:dyDescent="0.25">
      <c r="C777" s="25">
        <v>23599214</v>
      </c>
      <c r="D777" s="26">
        <v>45986.479456018518</v>
      </c>
      <c r="E777" s="25" t="s">
        <v>59</v>
      </c>
      <c r="F777" s="25" t="s">
        <v>60</v>
      </c>
      <c r="G777" s="25" t="s">
        <v>29</v>
      </c>
      <c r="H777" s="25" t="s">
        <v>31</v>
      </c>
      <c r="I777" s="26">
        <v>45995.479456018518</v>
      </c>
      <c r="J777" s="25" t="s">
        <v>4504</v>
      </c>
      <c r="K777" s="25" t="s">
        <v>32</v>
      </c>
    </row>
    <row r="778" spans="3:11" x14ac:dyDescent="0.25">
      <c r="C778" s="25">
        <v>23599215</v>
      </c>
      <c r="D778" s="26">
        <v>45986.479467592595</v>
      </c>
      <c r="E778" s="25" t="s">
        <v>59</v>
      </c>
      <c r="F778" s="25" t="s">
        <v>60</v>
      </c>
      <c r="G778" s="25" t="s">
        <v>29</v>
      </c>
      <c r="H778" s="25" t="s">
        <v>31</v>
      </c>
      <c r="I778" s="26">
        <v>45995.479467592595</v>
      </c>
      <c r="J778" s="25" t="s">
        <v>4504</v>
      </c>
      <c r="K778" s="25" t="s">
        <v>32</v>
      </c>
    </row>
    <row r="779" spans="3:11" x14ac:dyDescent="0.25">
      <c r="C779" s="25">
        <v>23599216</v>
      </c>
      <c r="D779" s="26">
        <v>45986.479467592595</v>
      </c>
      <c r="E779" s="25" t="s">
        <v>59</v>
      </c>
      <c r="F779" s="25" t="s">
        <v>60</v>
      </c>
      <c r="G779" s="25" t="s">
        <v>29</v>
      </c>
      <c r="H779" s="25" t="s">
        <v>31</v>
      </c>
      <c r="I779" s="26">
        <v>45995.479467592595</v>
      </c>
      <c r="J779" s="25" t="s">
        <v>4504</v>
      </c>
      <c r="K779" s="25" t="s">
        <v>32</v>
      </c>
    </row>
    <row r="780" spans="3:11" x14ac:dyDescent="0.25">
      <c r="C780" s="25">
        <v>23599217</v>
      </c>
      <c r="D780" s="26">
        <v>45986.479467592595</v>
      </c>
      <c r="E780" s="25" t="s">
        <v>59</v>
      </c>
      <c r="F780" s="25" t="s">
        <v>60</v>
      </c>
      <c r="G780" s="25" t="s">
        <v>29</v>
      </c>
      <c r="H780" s="25" t="s">
        <v>31</v>
      </c>
      <c r="I780" s="26">
        <v>45995.479467592595</v>
      </c>
      <c r="J780" s="25" t="s">
        <v>4504</v>
      </c>
      <c r="K780" s="25" t="s">
        <v>32</v>
      </c>
    </row>
    <row r="781" spans="3:11" x14ac:dyDescent="0.25">
      <c r="C781" s="25">
        <v>23599218</v>
      </c>
      <c r="D781" s="26">
        <v>45986.479479166665</v>
      </c>
      <c r="E781" s="25" t="s">
        <v>59</v>
      </c>
      <c r="F781" s="25" t="s">
        <v>60</v>
      </c>
      <c r="G781" s="25" t="s">
        <v>29</v>
      </c>
      <c r="H781" s="25" t="s">
        <v>31</v>
      </c>
      <c r="I781" s="26">
        <v>45995.479479166665</v>
      </c>
      <c r="J781" s="25" t="s">
        <v>4504</v>
      </c>
      <c r="K781" s="25" t="s">
        <v>32</v>
      </c>
    </row>
    <row r="782" spans="3:11" x14ac:dyDescent="0.25">
      <c r="C782" s="25">
        <v>23599219</v>
      </c>
      <c r="D782" s="26">
        <v>45986.479479166665</v>
      </c>
      <c r="E782" s="25" t="s">
        <v>59</v>
      </c>
      <c r="F782" s="25" t="s">
        <v>60</v>
      </c>
      <c r="G782" s="25" t="s">
        <v>29</v>
      </c>
      <c r="H782" s="25" t="s">
        <v>31</v>
      </c>
      <c r="I782" s="26">
        <v>45995.479479166665</v>
      </c>
      <c r="J782" s="25" t="s">
        <v>4504</v>
      </c>
      <c r="K782" s="25" t="s">
        <v>32</v>
      </c>
    </row>
    <row r="783" spans="3:11" x14ac:dyDescent="0.25">
      <c r="C783" s="25">
        <v>23599220</v>
      </c>
      <c r="D783" s="26">
        <v>45986.479479166665</v>
      </c>
      <c r="E783" s="25" t="s">
        <v>59</v>
      </c>
      <c r="F783" s="25" t="s">
        <v>60</v>
      </c>
      <c r="G783" s="25" t="s">
        <v>29</v>
      </c>
      <c r="H783" s="25" t="s">
        <v>31</v>
      </c>
      <c r="I783" s="26">
        <v>45995.479479166665</v>
      </c>
      <c r="J783" s="25" t="s">
        <v>4504</v>
      </c>
      <c r="K783" s="25" t="s">
        <v>32</v>
      </c>
    </row>
    <row r="784" spans="3:11" x14ac:dyDescent="0.25">
      <c r="C784" s="25">
        <v>23599221</v>
      </c>
      <c r="D784" s="26">
        <v>45986.479490740741</v>
      </c>
      <c r="E784" s="25" t="s">
        <v>59</v>
      </c>
      <c r="F784" s="25" t="s">
        <v>60</v>
      </c>
      <c r="G784" s="25" t="s">
        <v>29</v>
      </c>
      <c r="H784" s="25" t="s">
        <v>31</v>
      </c>
      <c r="I784" s="26">
        <v>45995.479490740741</v>
      </c>
      <c r="J784" s="25" t="s">
        <v>4504</v>
      </c>
      <c r="K784" s="25" t="s">
        <v>32</v>
      </c>
    </row>
    <row r="785" spans="3:11" x14ac:dyDescent="0.25">
      <c r="C785" s="25">
        <v>23599223</v>
      </c>
      <c r="D785" s="26">
        <v>45986.479768518519</v>
      </c>
      <c r="E785" s="25" t="s">
        <v>59</v>
      </c>
      <c r="F785" s="25" t="s">
        <v>60</v>
      </c>
      <c r="G785" s="25" t="s">
        <v>29</v>
      </c>
      <c r="H785" s="25" t="s">
        <v>31</v>
      </c>
      <c r="I785" s="26">
        <v>45995.479768518519</v>
      </c>
      <c r="J785" s="25" t="s">
        <v>4504</v>
      </c>
      <c r="K785" s="25" t="s">
        <v>32</v>
      </c>
    </row>
    <row r="786" spans="3:11" x14ac:dyDescent="0.25">
      <c r="C786" s="25">
        <v>23599233</v>
      </c>
      <c r="D786" s="26">
        <v>45986.484479166669</v>
      </c>
      <c r="E786" s="25" t="s">
        <v>44</v>
      </c>
      <c r="F786" s="25" t="s">
        <v>45</v>
      </c>
      <c r="G786" s="25" t="s">
        <v>62</v>
      </c>
      <c r="H786" s="25" t="s">
        <v>31</v>
      </c>
      <c r="I786" s="26">
        <v>45992.484479166669</v>
      </c>
      <c r="J786" s="25" t="s">
        <v>47</v>
      </c>
      <c r="K786" s="25" t="s">
        <v>47</v>
      </c>
    </row>
    <row r="787" spans="3:11" x14ac:dyDescent="0.25">
      <c r="C787" s="25">
        <v>23599240</v>
      </c>
      <c r="D787" s="26">
        <v>45986.643460648149</v>
      </c>
      <c r="E787" s="25" t="s">
        <v>59</v>
      </c>
      <c r="F787" s="25" t="s">
        <v>60</v>
      </c>
      <c r="G787" s="25" t="s">
        <v>40</v>
      </c>
      <c r="H787" s="25" t="s">
        <v>31</v>
      </c>
      <c r="I787" s="26">
        <v>45993.643460648149</v>
      </c>
      <c r="J787" s="25" t="s">
        <v>7305</v>
      </c>
      <c r="K787" s="25" t="s">
        <v>49</v>
      </c>
    </row>
    <row r="788" spans="3:11" x14ac:dyDescent="0.25">
      <c r="C788" s="25">
        <v>23599257</v>
      </c>
      <c r="D788" s="26">
        <v>45986.495069444441</v>
      </c>
      <c r="E788" s="25" t="s">
        <v>27</v>
      </c>
      <c r="F788" s="25" t="s">
        <v>28</v>
      </c>
      <c r="G788" s="25" t="s">
        <v>40</v>
      </c>
      <c r="H788" s="25" t="s">
        <v>31</v>
      </c>
      <c r="I788" s="26">
        <v>45993.495069444441</v>
      </c>
      <c r="J788" s="25" t="s">
        <v>7317</v>
      </c>
      <c r="K788" s="25" t="s">
        <v>49</v>
      </c>
    </row>
    <row r="789" spans="3:11" x14ac:dyDescent="0.25">
      <c r="C789" s="25">
        <v>23599261</v>
      </c>
      <c r="D789" s="26">
        <v>45986.497835648152</v>
      </c>
      <c r="E789" s="25" t="s">
        <v>27</v>
      </c>
      <c r="F789" s="25" t="s">
        <v>28</v>
      </c>
      <c r="G789" s="25" t="s">
        <v>40</v>
      </c>
      <c r="H789" s="25" t="s">
        <v>31</v>
      </c>
      <c r="I789" s="26">
        <v>45993.497835648152</v>
      </c>
      <c r="J789" s="25" t="s">
        <v>7319</v>
      </c>
      <c r="K789" s="25" t="s">
        <v>49</v>
      </c>
    </row>
    <row r="790" spans="3:11" x14ac:dyDescent="0.25">
      <c r="C790" s="25">
        <v>23599278</v>
      </c>
      <c r="D790" s="26">
        <v>45986.50503472222</v>
      </c>
      <c r="E790" s="25" t="s">
        <v>57</v>
      </c>
      <c r="F790" s="25" t="s">
        <v>58</v>
      </c>
      <c r="G790" s="25" t="s">
        <v>72</v>
      </c>
      <c r="H790" s="25" t="s">
        <v>38</v>
      </c>
      <c r="I790" s="26">
        <v>46002.50503472222</v>
      </c>
      <c r="J790" s="25" t="s">
        <v>7320</v>
      </c>
      <c r="K790" s="25" t="s">
        <v>32</v>
      </c>
    </row>
    <row r="791" spans="3:11" x14ac:dyDescent="0.25">
      <c r="C791" s="25">
        <v>23599279</v>
      </c>
      <c r="D791" s="26">
        <v>45986.505648148152</v>
      </c>
      <c r="E791" s="25" t="s">
        <v>44</v>
      </c>
      <c r="F791" s="25" t="s">
        <v>45</v>
      </c>
      <c r="G791" s="25" t="s">
        <v>62</v>
      </c>
      <c r="H791" s="25" t="s">
        <v>31</v>
      </c>
      <c r="I791" s="26">
        <v>45992.505648148152</v>
      </c>
      <c r="J791" s="25" t="s">
        <v>1695</v>
      </c>
      <c r="K791" s="25" t="s">
        <v>131</v>
      </c>
    </row>
    <row r="792" spans="3:11" x14ac:dyDescent="0.25">
      <c r="C792" s="25">
        <v>23599282</v>
      </c>
      <c r="D792" s="26">
        <v>45986.50644675926</v>
      </c>
      <c r="E792" s="25" t="s">
        <v>44</v>
      </c>
      <c r="F792" s="25" t="s">
        <v>45</v>
      </c>
      <c r="G792" s="25" t="s">
        <v>40</v>
      </c>
      <c r="H792" s="25" t="s">
        <v>38</v>
      </c>
      <c r="I792" s="26">
        <v>45996.50644675926</v>
      </c>
      <c r="J792" s="25" t="s">
        <v>7322</v>
      </c>
      <c r="K792" s="25" t="s">
        <v>32</v>
      </c>
    </row>
    <row r="793" spans="3:11" x14ac:dyDescent="0.25">
      <c r="C793" s="25">
        <v>23599294</v>
      </c>
      <c r="D793" s="26">
        <v>45986.512199074074</v>
      </c>
      <c r="E793" s="25" t="s">
        <v>27</v>
      </c>
      <c r="F793" s="25" t="s">
        <v>28</v>
      </c>
      <c r="G793" s="25" t="s">
        <v>62</v>
      </c>
      <c r="H793" s="25" t="s">
        <v>31</v>
      </c>
      <c r="I793" s="26">
        <v>45992.512199074074</v>
      </c>
      <c r="J793" s="25" t="s">
        <v>7324</v>
      </c>
      <c r="K793" s="25" t="s">
        <v>131</v>
      </c>
    </row>
    <row r="794" spans="3:11" x14ac:dyDescent="0.25">
      <c r="C794" s="25">
        <v>23599299</v>
      </c>
      <c r="D794" s="26">
        <v>45986.515648148146</v>
      </c>
      <c r="E794" s="25" t="s">
        <v>27</v>
      </c>
      <c r="F794" s="25" t="s">
        <v>28</v>
      </c>
      <c r="G794" s="25" t="s">
        <v>62</v>
      </c>
      <c r="H794" s="25" t="s">
        <v>31</v>
      </c>
      <c r="I794" s="26">
        <v>45992.515648148146</v>
      </c>
      <c r="J794" s="25" t="s">
        <v>2587</v>
      </c>
      <c r="K794" s="25" t="s">
        <v>131</v>
      </c>
    </row>
    <row r="795" spans="3:11" x14ac:dyDescent="0.25">
      <c r="C795" s="25">
        <v>23599313</v>
      </c>
      <c r="D795" s="26">
        <v>45986.532152777778</v>
      </c>
      <c r="E795" s="25" t="s">
        <v>27</v>
      </c>
      <c r="F795" s="25" t="s">
        <v>28</v>
      </c>
      <c r="G795" s="25" t="s">
        <v>68</v>
      </c>
      <c r="H795" s="25" t="s">
        <v>31</v>
      </c>
      <c r="I795" s="26">
        <v>46000.532152777778</v>
      </c>
      <c r="J795" s="25" t="s">
        <v>7326</v>
      </c>
      <c r="K795" s="25" t="s">
        <v>32</v>
      </c>
    </row>
    <row r="796" spans="3:11" x14ac:dyDescent="0.25">
      <c r="C796" s="25">
        <v>23599337</v>
      </c>
      <c r="D796" s="26">
        <v>45986.551585648151</v>
      </c>
      <c r="E796" s="25" t="s">
        <v>44</v>
      </c>
      <c r="F796" s="25" t="s">
        <v>45</v>
      </c>
      <c r="G796" s="25" t="s">
        <v>43</v>
      </c>
      <c r="H796" s="25" t="s">
        <v>31</v>
      </c>
      <c r="I796" s="26">
        <v>45995.551585648151</v>
      </c>
      <c r="J796" s="25" t="s">
        <v>4731</v>
      </c>
      <c r="K796" s="25" t="s">
        <v>32</v>
      </c>
    </row>
    <row r="797" spans="3:11" x14ac:dyDescent="0.25">
      <c r="C797" s="25">
        <v>23599355</v>
      </c>
      <c r="D797" s="26">
        <v>45986.565775462965</v>
      </c>
      <c r="E797" s="25" t="s">
        <v>27</v>
      </c>
      <c r="F797" s="25" t="s">
        <v>28</v>
      </c>
      <c r="G797" s="25" t="s">
        <v>29</v>
      </c>
      <c r="H797" s="25" t="s">
        <v>31</v>
      </c>
      <c r="I797" s="26">
        <v>45995.565775462965</v>
      </c>
      <c r="J797" s="25" t="s">
        <v>4741</v>
      </c>
      <c r="K797" s="25" t="s">
        <v>32</v>
      </c>
    </row>
    <row r="798" spans="3:11" x14ac:dyDescent="0.25">
      <c r="C798" s="25">
        <v>23599368</v>
      </c>
      <c r="D798" s="26">
        <v>45986.572835648149</v>
      </c>
      <c r="E798" s="25" t="s">
        <v>27</v>
      </c>
      <c r="F798" s="25" t="s">
        <v>28</v>
      </c>
      <c r="G798" s="25" t="s">
        <v>29</v>
      </c>
      <c r="H798" s="25" t="s">
        <v>31</v>
      </c>
      <c r="I798" s="26">
        <v>45995.572835648149</v>
      </c>
      <c r="J798" s="25" t="s">
        <v>1155</v>
      </c>
      <c r="K798" s="25" t="s">
        <v>32</v>
      </c>
    </row>
    <row r="799" spans="3:11" x14ac:dyDescent="0.25">
      <c r="C799" s="25">
        <v>23599375</v>
      </c>
      <c r="D799" s="26">
        <v>45986.576493055552</v>
      </c>
      <c r="E799" s="25" t="s">
        <v>59</v>
      </c>
      <c r="F799" s="25" t="s">
        <v>60</v>
      </c>
      <c r="G799" s="25" t="s">
        <v>29</v>
      </c>
      <c r="H799" s="25" t="s">
        <v>31</v>
      </c>
      <c r="I799" s="26">
        <v>45995.576493055552</v>
      </c>
      <c r="J799" s="25" t="s">
        <v>890</v>
      </c>
      <c r="K799" s="25" t="s">
        <v>32</v>
      </c>
    </row>
    <row r="800" spans="3:11" x14ac:dyDescent="0.25">
      <c r="C800" s="25">
        <v>23599377</v>
      </c>
      <c r="D800" s="26">
        <v>45986.576574074075</v>
      </c>
      <c r="E800" s="25" t="s">
        <v>59</v>
      </c>
      <c r="F800" s="25" t="s">
        <v>60</v>
      </c>
      <c r="G800" s="25" t="s">
        <v>29</v>
      </c>
      <c r="H800" s="25" t="s">
        <v>31</v>
      </c>
      <c r="I800" s="26">
        <v>45995.576574074075</v>
      </c>
      <c r="J800" s="25" t="s">
        <v>890</v>
      </c>
      <c r="K800" s="25" t="s">
        <v>32</v>
      </c>
    </row>
    <row r="801" spans="3:11" x14ac:dyDescent="0.25">
      <c r="C801" s="25">
        <v>23599378</v>
      </c>
      <c r="D801" s="26">
        <v>45986.576678240737</v>
      </c>
      <c r="E801" s="25" t="s">
        <v>59</v>
      </c>
      <c r="F801" s="25" t="s">
        <v>60</v>
      </c>
      <c r="G801" s="25" t="s">
        <v>29</v>
      </c>
      <c r="H801" s="25" t="s">
        <v>31</v>
      </c>
      <c r="I801" s="26">
        <v>45995.576678240737</v>
      </c>
      <c r="J801" s="25" t="s">
        <v>890</v>
      </c>
      <c r="K801" s="25" t="s">
        <v>32</v>
      </c>
    </row>
    <row r="802" spans="3:11" x14ac:dyDescent="0.25">
      <c r="C802" s="25">
        <v>23599379</v>
      </c>
      <c r="D802" s="26">
        <v>45986.576736111114</v>
      </c>
      <c r="E802" s="25" t="s">
        <v>59</v>
      </c>
      <c r="F802" s="25" t="s">
        <v>60</v>
      </c>
      <c r="G802" s="25" t="s">
        <v>29</v>
      </c>
      <c r="H802" s="25" t="s">
        <v>31</v>
      </c>
      <c r="I802" s="26">
        <v>45995.576736111114</v>
      </c>
      <c r="J802" s="25" t="s">
        <v>890</v>
      </c>
      <c r="K802" s="25" t="s">
        <v>32</v>
      </c>
    </row>
    <row r="803" spans="3:11" x14ac:dyDescent="0.25">
      <c r="C803" s="25">
        <v>23599392</v>
      </c>
      <c r="D803" s="26">
        <v>45986.584317129629</v>
      </c>
      <c r="E803" s="25" t="s">
        <v>27</v>
      </c>
      <c r="F803" s="25" t="s">
        <v>28</v>
      </c>
      <c r="G803" s="25" t="s">
        <v>40</v>
      </c>
      <c r="H803" s="25" t="s">
        <v>31</v>
      </c>
      <c r="I803" s="26">
        <v>45993.584317129629</v>
      </c>
      <c r="J803" s="25" t="s">
        <v>7328</v>
      </c>
      <c r="K803" s="25" t="s">
        <v>49</v>
      </c>
    </row>
    <row r="804" spans="3:11" x14ac:dyDescent="0.25">
      <c r="C804" s="25">
        <v>23599395</v>
      </c>
      <c r="D804" s="26">
        <v>45986.5856712963</v>
      </c>
      <c r="E804" s="25" t="s">
        <v>57</v>
      </c>
      <c r="F804" s="25" t="s">
        <v>58</v>
      </c>
      <c r="G804" s="25" t="s">
        <v>40</v>
      </c>
      <c r="H804" s="25" t="s">
        <v>38</v>
      </c>
      <c r="I804" s="26">
        <v>45996.5856712963</v>
      </c>
      <c r="J804" s="25" t="s">
        <v>7336</v>
      </c>
      <c r="K804" s="25" t="s">
        <v>32</v>
      </c>
    </row>
    <row r="805" spans="3:11" x14ac:dyDescent="0.25">
      <c r="C805" s="25">
        <v>23599399</v>
      </c>
      <c r="D805" s="26">
        <v>45986.586736111109</v>
      </c>
      <c r="E805" s="25" t="s">
        <v>27</v>
      </c>
      <c r="F805" s="25" t="s">
        <v>28</v>
      </c>
      <c r="G805" s="25" t="s">
        <v>62</v>
      </c>
      <c r="H805" s="25" t="s">
        <v>38</v>
      </c>
      <c r="I805" s="26">
        <v>45992.586736111109</v>
      </c>
      <c r="J805" s="25" t="s">
        <v>7338</v>
      </c>
      <c r="K805" s="25" t="s">
        <v>131</v>
      </c>
    </row>
    <row r="806" spans="3:11" x14ac:dyDescent="0.25">
      <c r="C806" s="25">
        <v>23599515</v>
      </c>
      <c r="D806" s="26">
        <v>45989.30097222222</v>
      </c>
      <c r="E806" s="25" t="s">
        <v>27</v>
      </c>
      <c r="F806" s="25" t="s">
        <v>28</v>
      </c>
      <c r="G806" s="25" t="s">
        <v>46</v>
      </c>
      <c r="H806" s="25" t="s">
        <v>31</v>
      </c>
      <c r="I806" s="26">
        <v>45996.30097222222</v>
      </c>
      <c r="J806" s="25" t="s">
        <v>3615</v>
      </c>
      <c r="K806" s="25" t="s">
        <v>32</v>
      </c>
    </row>
    <row r="807" spans="3:11" x14ac:dyDescent="0.25">
      <c r="C807" s="25">
        <v>23599601</v>
      </c>
      <c r="D807" s="26">
        <v>45986.594837962963</v>
      </c>
      <c r="E807" s="25" t="s">
        <v>44</v>
      </c>
      <c r="F807" s="25" t="s">
        <v>45</v>
      </c>
      <c r="G807" s="25" t="s">
        <v>43</v>
      </c>
      <c r="H807" s="25" t="s">
        <v>31</v>
      </c>
      <c r="I807" s="26">
        <v>45995.594837962963</v>
      </c>
      <c r="J807" s="25" t="s">
        <v>1156</v>
      </c>
      <c r="K807" s="25" t="s">
        <v>32</v>
      </c>
    </row>
    <row r="808" spans="3:11" x14ac:dyDescent="0.25">
      <c r="C808" s="25">
        <v>23599602</v>
      </c>
      <c r="D808" s="26">
        <v>45986.595092592594</v>
      </c>
      <c r="E808" s="25" t="s">
        <v>27</v>
      </c>
      <c r="F808" s="25" t="s">
        <v>28</v>
      </c>
      <c r="G808" s="25" t="s">
        <v>68</v>
      </c>
      <c r="H808" s="25" t="s">
        <v>31</v>
      </c>
      <c r="I808" s="26">
        <v>46000.595092592594</v>
      </c>
      <c r="J808" s="25" t="s">
        <v>7346</v>
      </c>
      <c r="K808" s="25" t="s">
        <v>32</v>
      </c>
    </row>
    <row r="809" spans="3:11" x14ac:dyDescent="0.25">
      <c r="C809" s="25">
        <v>23599660</v>
      </c>
      <c r="D809" s="26">
        <v>45986.602662037039</v>
      </c>
      <c r="E809" s="25" t="s">
        <v>27</v>
      </c>
      <c r="F809" s="25" t="s">
        <v>28</v>
      </c>
      <c r="G809" s="25" t="s">
        <v>72</v>
      </c>
      <c r="H809" s="25" t="s">
        <v>31</v>
      </c>
      <c r="I809" s="26">
        <v>46002.602662037039</v>
      </c>
      <c r="J809" s="25" t="s">
        <v>7347</v>
      </c>
      <c r="K809" s="25" t="s">
        <v>32</v>
      </c>
    </row>
    <row r="810" spans="3:11" x14ac:dyDescent="0.25">
      <c r="C810" s="25">
        <v>23599692</v>
      </c>
      <c r="D810" s="26">
        <v>45986.61347222222</v>
      </c>
      <c r="E810" s="25" t="s">
        <v>27</v>
      </c>
      <c r="F810" s="25" t="s">
        <v>28</v>
      </c>
      <c r="G810" s="25" t="s">
        <v>62</v>
      </c>
      <c r="H810" s="25" t="s">
        <v>38</v>
      </c>
      <c r="I810" s="26">
        <v>45992.61347222222</v>
      </c>
      <c r="J810" s="25" t="s">
        <v>5958</v>
      </c>
      <c r="K810" s="25" t="s">
        <v>131</v>
      </c>
    </row>
    <row r="811" spans="3:11" x14ac:dyDescent="0.25">
      <c r="C811" s="25">
        <v>23599696</v>
      </c>
      <c r="D811" s="26">
        <v>45986.615393518521</v>
      </c>
      <c r="E811" s="25" t="s">
        <v>27</v>
      </c>
      <c r="F811" s="25" t="s">
        <v>28</v>
      </c>
      <c r="G811" s="25" t="s">
        <v>29</v>
      </c>
      <c r="H811" s="25" t="s">
        <v>31</v>
      </c>
      <c r="I811" s="26">
        <v>45995.615393518521</v>
      </c>
      <c r="J811" s="25" t="s">
        <v>4847</v>
      </c>
      <c r="K811" s="25" t="s">
        <v>32</v>
      </c>
    </row>
    <row r="812" spans="3:11" x14ac:dyDescent="0.25">
      <c r="C812" s="25">
        <v>23599700</v>
      </c>
      <c r="D812" s="26">
        <v>45986.617349537039</v>
      </c>
      <c r="E812" s="25" t="s">
        <v>27</v>
      </c>
      <c r="F812" s="25" t="s">
        <v>28</v>
      </c>
      <c r="G812" s="25" t="s">
        <v>68</v>
      </c>
      <c r="H812" s="25" t="s">
        <v>31</v>
      </c>
      <c r="I812" s="26">
        <v>46000.617349537039</v>
      </c>
      <c r="J812" s="25" t="s">
        <v>7349</v>
      </c>
      <c r="K812" s="25" t="s">
        <v>32</v>
      </c>
    </row>
    <row r="813" spans="3:11" x14ac:dyDescent="0.25">
      <c r="C813" s="25">
        <v>23599758</v>
      </c>
      <c r="D813" s="26">
        <v>45986.641770833332</v>
      </c>
      <c r="E813" s="25" t="s">
        <v>27</v>
      </c>
      <c r="F813" s="25" t="s">
        <v>28</v>
      </c>
      <c r="G813" s="25" t="s">
        <v>68</v>
      </c>
      <c r="H813" s="25" t="s">
        <v>31</v>
      </c>
      <c r="I813" s="26">
        <v>46000.641770833332</v>
      </c>
      <c r="J813" s="25" t="s">
        <v>2438</v>
      </c>
      <c r="K813" s="25" t="s">
        <v>32</v>
      </c>
    </row>
    <row r="814" spans="3:11" x14ac:dyDescent="0.25">
      <c r="C814" s="25">
        <v>23599798</v>
      </c>
      <c r="D814" s="26">
        <v>45986.661493055559</v>
      </c>
      <c r="E814" s="25" t="s">
        <v>27</v>
      </c>
      <c r="F814" s="25" t="s">
        <v>28</v>
      </c>
      <c r="G814" s="25" t="s">
        <v>62</v>
      </c>
      <c r="H814" s="25" t="s">
        <v>31</v>
      </c>
      <c r="I814" s="26">
        <v>45992.661493055559</v>
      </c>
      <c r="J814" s="25" t="s">
        <v>7351</v>
      </c>
      <c r="K814" s="25" t="s">
        <v>131</v>
      </c>
    </row>
    <row r="815" spans="3:11" x14ac:dyDescent="0.25">
      <c r="C815" s="25">
        <v>23599799</v>
      </c>
      <c r="D815" s="26">
        <v>45986.661400462966</v>
      </c>
      <c r="E815" s="25" t="s">
        <v>57</v>
      </c>
      <c r="F815" s="25" t="s">
        <v>58</v>
      </c>
      <c r="G815" s="25" t="s">
        <v>62</v>
      </c>
      <c r="H815" s="25" t="s">
        <v>38</v>
      </c>
      <c r="I815" s="26">
        <v>45992.661400462966</v>
      </c>
      <c r="J815" s="25" t="s">
        <v>7351</v>
      </c>
      <c r="K815" s="25" t="s">
        <v>131</v>
      </c>
    </row>
    <row r="816" spans="3:11" x14ac:dyDescent="0.25">
      <c r="C816" s="25">
        <v>23599802</v>
      </c>
      <c r="D816" s="26">
        <v>45986.662395833337</v>
      </c>
      <c r="E816" s="25" t="s">
        <v>27</v>
      </c>
      <c r="F816" s="25" t="s">
        <v>28</v>
      </c>
      <c r="G816" s="25" t="s">
        <v>51</v>
      </c>
      <c r="H816" s="25" t="s">
        <v>31</v>
      </c>
      <c r="I816" s="26">
        <v>46002.662395833337</v>
      </c>
      <c r="J816" s="25" t="s">
        <v>7353</v>
      </c>
      <c r="K816" s="25" t="s">
        <v>32</v>
      </c>
    </row>
    <row r="817" spans="3:11" x14ac:dyDescent="0.25">
      <c r="C817" s="25">
        <v>23599807</v>
      </c>
      <c r="D817" s="26">
        <v>45986.664664351854</v>
      </c>
      <c r="E817" s="25" t="s">
        <v>27</v>
      </c>
      <c r="F817" s="25" t="s">
        <v>28</v>
      </c>
      <c r="G817" s="25" t="s">
        <v>51</v>
      </c>
      <c r="H817" s="25" t="s">
        <v>31</v>
      </c>
      <c r="I817" s="26">
        <v>46002.664664351854</v>
      </c>
      <c r="J817" s="25" t="s">
        <v>7355</v>
      </c>
      <c r="K817" s="25" t="s">
        <v>32</v>
      </c>
    </row>
    <row r="818" spans="3:11" x14ac:dyDescent="0.25">
      <c r="C818" s="25">
        <v>23599816</v>
      </c>
      <c r="D818" s="26">
        <v>45986.668009259258</v>
      </c>
      <c r="E818" s="25" t="s">
        <v>27</v>
      </c>
      <c r="F818" s="25" t="s">
        <v>28</v>
      </c>
      <c r="G818" s="25" t="s">
        <v>68</v>
      </c>
      <c r="H818" s="25" t="s">
        <v>31</v>
      </c>
      <c r="I818" s="26">
        <v>46000.668009259258</v>
      </c>
      <c r="J818" s="25" t="s">
        <v>7357</v>
      </c>
      <c r="K818" s="25" t="s">
        <v>32</v>
      </c>
    </row>
    <row r="819" spans="3:11" x14ac:dyDescent="0.25">
      <c r="C819" s="25">
        <v>23599830</v>
      </c>
      <c r="D819" s="26">
        <v>45986.676990740743</v>
      </c>
      <c r="E819" s="25" t="s">
        <v>27</v>
      </c>
      <c r="F819" s="25" t="s">
        <v>28</v>
      </c>
      <c r="G819" s="25" t="s">
        <v>51</v>
      </c>
      <c r="H819" s="25" t="s">
        <v>38</v>
      </c>
      <c r="I819" s="26">
        <v>46002.676990740743</v>
      </c>
      <c r="J819" s="25" t="s">
        <v>7359</v>
      </c>
      <c r="K819" s="25" t="s">
        <v>32</v>
      </c>
    </row>
    <row r="820" spans="3:11" x14ac:dyDescent="0.25">
      <c r="C820" s="25">
        <v>23599832</v>
      </c>
      <c r="D820" s="26">
        <v>45986.677557870367</v>
      </c>
      <c r="E820" s="25" t="s">
        <v>27</v>
      </c>
      <c r="F820" s="25" t="s">
        <v>28</v>
      </c>
      <c r="G820" s="25" t="s">
        <v>40</v>
      </c>
      <c r="H820" s="25" t="s">
        <v>31</v>
      </c>
      <c r="I820" s="26">
        <v>45993.677557870367</v>
      </c>
      <c r="J820" s="25" t="s">
        <v>7361</v>
      </c>
      <c r="K820" s="25" t="s">
        <v>49</v>
      </c>
    </row>
    <row r="821" spans="3:11" x14ac:dyDescent="0.25">
      <c r="C821" s="25">
        <v>23599837</v>
      </c>
      <c r="D821" s="26">
        <v>45986.679097222222</v>
      </c>
      <c r="E821" s="25" t="s">
        <v>27</v>
      </c>
      <c r="F821" s="25" t="s">
        <v>28</v>
      </c>
      <c r="G821" s="25" t="s">
        <v>51</v>
      </c>
      <c r="H821" s="25" t="s">
        <v>38</v>
      </c>
      <c r="I821" s="26">
        <v>46002.679097222222</v>
      </c>
      <c r="J821" s="25" t="s">
        <v>7362</v>
      </c>
      <c r="K821" s="25" t="s">
        <v>32</v>
      </c>
    </row>
    <row r="822" spans="3:11" x14ac:dyDescent="0.25">
      <c r="C822" s="25">
        <v>23599838</v>
      </c>
      <c r="D822" s="26">
        <v>45986.679594907408</v>
      </c>
      <c r="E822" s="25" t="s">
        <v>27</v>
      </c>
      <c r="F822" s="25" t="s">
        <v>28</v>
      </c>
      <c r="G822" s="25" t="s">
        <v>51</v>
      </c>
      <c r="H822" s="25" t="s">
        <v>38</v>
      </c>
      <c r="I822" s="26">
        <v>46002.679594907408</v>
      </c>
      <c r="J822" s="25" t="s">
        <v>7363</v>
      </c>
      <c r="K822" s="25" t="s">
        <v>32</v>
      </c>
    </row>
    <row r="823" spans="3:11" x14ac:dyDescent="0.25">
      <c r="C823" s="25">
        <v>23599846</v>
      </c>
      <c r="D823" s="26">
        <v>45986.683599537035</v>
      </c>
      <c r="E823" s="25" t="s">
        <v>27</v>
      </c>
      <c r="F823" s="25" t="s">
        <v>28</v>
      </c>
      <c r="G823" s="25" t="s">
        <v>62</v>
      </c>
      <c r="H823" s="25" t="s">
        <v>31</v>
      </c>
      <c r="I823" s="26">
        <v>45992.683599537035</v>
      </c>
      <c r="J823" s="25" t="s">
        <v>7365</v>
      </c>
      <c r="K823" s="25" t="s">
        <v>131</v>
      </c>
    </row>
    <row r="824" spans="3:11" x14ac:dyDescent="0.25">
      <c r="C824" s="25">
        <v>23599875</v>
      </c>
      <c r="D824" s="26">
        <v>45986.704050925924</v>
      </c>
      <c r="E824" s="25" t="s">
        <v>27</v>
      </c>
      <c r="F824" s="25" t="s">
        <v>28</v>
      </c>
      <c r="G824" s="25" t="s">
        <v>29</v>
      </c>
      <c r="H824" s="25" t="s">
        <v>31</v>
      </c>
      <c r="I824" s="26">
        <v>45995.704050925924</v>
      </c>
      <c r="J824" s="25" t="s">
        <v>4949</v>
      </c>
      <c r="K824" s="25" t="s">
        <v>32</v>
      </c>
    </row>
    <row r="825" spans="3:11" x14ac:dyDescent="0.25">
      <c r="C825" s="25">
        <v>23599887</v>
      </c>
      <c r="D825" s="26">
        <v>45986.713946759257</v>
      </c>
      <c r="E825" s="25" t="s">
        <v>48</v>
      </c>
      <c r="F825" s="25" t="s">
        <v>64</v>
      </c>
      <c r="G825" s="25" t="s">
        <v>40</v>
      </c>
      <c r="H825" s="25" t="s">
        <v>38</v>
      </c>
      <c r="I825" s="26">
        <v>45996.713946759257</v>
      </c>
      <c r="J825" s="25" t="s">
        <v>3585</v>
      </c>
      <c r="K825" s="25" t="s">
        <v>32</v>
      </c>
    </row>
    <row r="826" spans="3:11" x14ac:dyDescent="0.25">
      <c r="C826" s="25">
        <v>23599896</v>
      </c>
      <c r="D826" s="26">
        <v>45986.725555555553</v>
      </c>
      <c r="E826" s="25" t="s">
        <v>27</v>
      </c>
      <c r="F826" s="25" t="s">
        <v>28</v>
      </c>
      <c r="G826" s="25" t="s">
        <v>68</v>
      </c>
      <c r="H826" s="25" t="s">
        <v>31</v>
      </c>
      <c r="I826" s="26">
        <v>46000.725555555553</v>
      </c>
      <c r="J826" s="25" t="s">
        <v>7367</v>
      </c>
      <c r="K826" s="25" t="s">
        <v>32</v>
      </c>
    </row>
    <row r="827" spans="3:11" x14ac:dyDescent="0.25">
      <c r="C827" s="25">
        <v>23599904</v>
      </c>
      <c r="D827" s="26">
        <v>45986.73847222222</v>
      </c>
      <c r="E827" s="25" t="s">
        <v>27</v>
      </c>
      <c r="F827" s="25" t="s">
        <v>28</v>
      </c>
      <c r="G827" s="25" t="s">
        <v>51</v>
      </c>
      <c r="H827" s="25" t="s">
        <v>38</v>
      </c>
      <c r="I827" s="26">
        <v>46002.73847222222</v>
      </c>
      <c r="J827" s="25" t="s">
        <v>7369</v>
      </c>
      <c r="K827" s="25" t="s">
        <v>32</v>
      </c>
    </row>
    <row r="828" spans="3:11" x14ac:dyDescent="0.25">
      <c r="C828" s="25">
        <v>23599912</v>
      </c>
      <c r="D828" s="26">
        <v>45986.744699074072</v>
      </c>
      <c r="E828" s="25" t="s">
        <v>27</v>
      </c>
      <c r="F828" s="25" t="s">
        <v>28</v>
      </c>
      <c r="G828" s="25" t="s">
        <v>62</v>
      </c>
      <c r="H828" s="25" t="s">
        <v>31</v>
      </c>
      <c r="I828" s="26">
        <v>45992.744699074072</v>
      </c>
      <c r="J828" s="25" t="s">
        <v>7371</v>
      </c>
      <c r="K828" s="25" t="s">
        <v>131</v>
      </c>
    </row>
    <row r="829" spans="3:11" x14ac:dyDescent="0.25">
      <c r="C829" s="25">
        <v>23599919</v>
      </c>
      <c r="D829" s="26">
        <v>45986.759456018517</v>
      </c>
      <c r="E829" s="25" t="s">
        <v>57</v>
      </c>
      <c r="F829" s="25" t="s">
        <v>58</v>
      </c>
      <c r="G829" s="25" t="s">
        <v>62</v>
      </c>
      <c r="H829" s="25" t="s">
        <v>31</v>
      </c>
      <c r="I829" s="26">
        <v>45992.759456018517</v>
      </c>
      <c r="J829" s="25" t="s">
        <v>7373</v>
      </c>
      <c r="K829" s="25" t="s">
        <v>131</v>
      </c>
    </row>
    <row r="830" spans="3:11" x14ac:dyDescent="0.25">
      <c r="C830" s="25">
        <v>23600149</v>
      </c>
      <c r="D830" s="26">
        <v>45987.291064814817</v>
      </c>
      <c r="E830" s="25" t="s">
        <v>27</v>
      </c>
      <c r="F830" s="25" t="s">
        <v>28</v>
      </c>
      <c r="G830" s="25" t="s">
        <v>43</v>
      </c>
      <c r="H830" s="25" t="s">
        <v>31</v>
      </c>
      <c r="I830" s="26">
        <v>45996.291064814817</v>
      </c>
      <c r="J830" s="25" t="s">
        <v>7375</v>
      </c>
      <c r="K830" s="25" t="s">
        <v>32</v>
      </c>
    </row>
    <row r="831" spans="3:11" x14ac:dyDescent="0.25">
      <c r="C831" s="25">
        <v>23600160</v>
      </c>
      <c r="D831" s="26">
        <v>45987.29583333333</v>
      </c>
      <c r="E831" s="25" t="s">
        <v>27</v>
      </c>
      <c r="F831" s="25" t="s">
        <v>28</v>
      </c>
      <c r="G831" s="25" t="s">
        <v>43</v>
      </c>
      <c r="H831" s="25" t="s">
        <v>31</v>
      </c>
      <c r="I831" s="26">
        <v>45996.29583333333</v>
      </c>
      <c r="J831" s="25" t="s">
        <v>7377</v>
      </c>
      <c r="K831" s="25" t="s">
        <v>32</v>
      </c>
    </row>
    <row r="832" spans="3:11" x14ac:dyDescent="0.25">
      <c r="C832" s="25">
        <v>23600166</v>
      </c>
      <c r="D832" s="26">
        <v>45987.305023148147</v>
      </c>
      <c r="E832" s="25" t="s">
        <v>55</v>
      </c>
      <c r="F832" s="25" t="s">
        <v>56</v>
      </c>
      <c r="G832" s="25" t="s">
        <v>68</v>
      </c>
      <c r="H832" s="25" t="s">
        <v>31</v>
      </c>
      <c r="I832" s="26">
        <v>46001.305023148147</v>
      </c>
      <c r="J832" s="25" t="s">
        <v>7378</v>
      </c>
      <c r="K832" s="25" t="s">
        <v>32</v>
      </c>
    </row>
    <row r="833" spans="3:11" x14ac:dyDescent="0.25">
      <c r="C833" s="25">
        <v>23600181</v>
      </c>
      <c r="D833" s="26">
        <v>45987.316435185188</v>
      </c>
      <c r="E833" s="25" t="s">
        <v>27</v>
      </c>
      <c r="F833" s="25" t="s">
        <v>28</v>
      </c>
      <c r="G833" s="25" t="s">
        <v>51</v>
      </c>
      <c r="H833" s="25" t="s">
        <v>38</v>
      </c>
      <c r="I833" s="26">
        <v>46003.316435185188</v>
      </c>
      <c r="J833" s="25" t="s">
        <v>7380</v>
      </c>
      <c r="K833" s="25" t="s">
        <v>32</v>
      </c>
    </row>
    <row r="834" spans="3:11" x14ac:dyDescent="0.25">
      <c r="C834" s="25">
        <v>23600188</v>
      </c>
      <c r="D834" s="26">
        <v>45987.321296296293</v>
      </c>
      <c r="E834" s="25" t="s">
        <v>44</v>
      </c>
      <c r="F834" s="25" t="s">
        <v>45</v>
      </c>
      <c r="G834" s="25" t="s">
        <v>40</v>
      </c>
      <c r="H834" s="25" t="s">
        <v>31</v>
      </c>
      <c r="I834" s="26">
        <v>45994.321296296293</v>
      </c>
      <c r="J834" s="25" t="s">
        <v>5024</v>
      </c>
      <c r="K834" s="25" t="s">
        <v>49</v>
      </c>
    </row>
    <row r="835" spans="3:11" x14ac:dyDescent="0.25">
      <c r="C835" s="25">
        <v>23600192</v>
      </c>
      <c r="D835" s="26">
        <v>45987.324131944442</v>
      </c>
      <c r="E835" s="25" t="s">
        <v>57</v>
      </c>
      <c r="F835" s="25" t="s">
        <v>58</v>
      </c>
      <c r="G835" s="25" t="s">
        <v>62</v>
      </c>
      <c r="H835" s="25" t="s">
        <v>38</v>
      </c>
      <c r="I835" s="26">
        <v>45993.324131944442</v>
      </c>
      <c r="J835" s="25" t="s">
        <v>7382</v>
      </c>
      <c r="K835" s="25" t="s">
        <v>49</v>
      </c>
    </row>
    <row r="836" spans="3:11" x14ac:dyDescent="0.25">
      <c r="C836" s="25">
        <v>23600204</v>
      </c>
      <c r="D836" s="26">
        <v>45987.328055555554</v>
      </c>
      <c r="E836" s="25" t="s">
        <v>27</v>
      </c>
      <c r="F836" s="25" t="s">
        <v>28</v>
      </c>
      <c r="G836" s="25" t="s">
        <v>62</v>
      </c>
      <c r="H836" s="25" t="s">
        <v>31</v>
      </c>
      <c r="I836" s="26">
        <v>45993.328055555554</v>
      </c>
      <c r="J836" s="25" t="s">
        <v>7384</v>
      </c>
      <c r="K836" s="25" t="s">
        <v>49</v>
      </c>
    </row>
    <row r="837" spans="3:11" x14ac:dyDescent="0.25">
      <c r="C837" s="25">
        <v>23600216</v>
      </c>
      <c r="D837" s="26">
        <v>45987.334236111114</v>
      </c>
      <c r="E837" s="25" t="s">
        <v>48</v>
      </c>
      <c r="F837" s="25" t="s">
        <v>64</v>
      </c>
      <c r="G837" s="25" t="s">
        <v>137</v>
      </c>
      <c r="H837" s="25" t="s">
        <v>31</v>
      </c>
      <c r="I837" s="26">
        <v>45996.334236111114</v>
      </c>
      <c r="J837" s="25" t="s">
        <v>1125</v>
      </c>
      <c r="K837" s="25" t="s">
        <v>32</v>
      </c>
    </row>
    <row r="838" spans="3:11" x14ac:dyDescent="0.25">
      <c r="C838" s="25">
        <v>23600232</v>
      </c>
      <c r="D838" s="26">
        <v>45987.344652777778</v>
      </c>
      <c r="E838" s="25" t="s">
        <v>27</v>
      </c>
      <c r="F838" s="25" t="s">
        <v>28</v>
      </c>
      <c r="G838" s="25" t="s">
        <v>68</v>
      </c>
      <c r="H838" s="25" t="s">
        <v>31</v>
      </c>
      <c r="I838" s="26">
        <v>46001.344652777778</v>
      </c>
      <c r="J838" s="25" t="s">
        <v>7387</v>
      </c>
      <c r="K838" s="25" t="s">
        <v>32</v>
      </c>
    </row>
    <row r="839" spans="3:11" x14ac:dyDescent="0.25">
      <c r="C839" s="25">
        <v>23600245</v>
      </c>
      <c r="D839" s="26">
        <v>45987.348414351851</v>
      </c>
      <c r="E839" s="25" t="s">
        <v>27</v>
      </c>
      <c r="F839" s="25" t="s">
        <v>28</v>
      </c>
      <c r="G839" s="25" t="s">
        <v>68</v>
      </c>
      <c r="H839" s="25" t="s">
        <v>31</v>
      </c>
      <c r="I839" s="26">
        <v>46001.348414351851</v>
      </c>
      <c r="J839" s="25" t="s">
        <v>7389</v>
      </c>
      <c r="K839" s="25" t="s">
        <v>32</v>
      </c>
    </row>
    <row r="840" spans="3:11" x14ac:dyDescent="0.25">
      <c r="C840" s="25">
        <v>23600276</v>
      </c>
      <c r="D840" s="26">
        <v>45987.363298611112</v>
      </c>
      <c r="E840" s="25" t="s">
        <v>27</v>
      </c>
      <c r="F840" s="25" t="s">
        <v>28</v>
      </c>
      <c r="G840" s="25" t="s">
        <v>43</v>
      </c>
      <c r="H840" s="25" t="s">
        <v>31</v>
      </c>
      <c r="I840" s="26">
        <v>45996.363298611112</v>
      </c>
      <c r="J840" s="25" t="s">
        <v>7058</v>
      </c>
      <c r="K840" s="25" t="s">
        <v>32</v>
      </c>
    </row>
    <row r="841" spans="3:11" x14ac:dyDescent="0.25">
      <c r="C841" s="25">
        <v>23600287</v>
      </c>
      <c r="D841" s="26">
        <v>45987.368518518517</v>
      </c>
      <c r="E841" s="25" t="s">
        <v>27</v>
      </c>
      <c r="F841" s="25" t="s">
        <v>28</v>
      </c>
      <c r="G841" s="25" t="s">
        <v>62</v>
      </c>
      <c r="H841" s="25" t="s">
        <v>31</v>
      </c>
      <c r="I841" s="26">
        <v>45993.368518518517</v>
      </c>
      <c r="J841" s="25" t="s">
        <v>7392</v>
      </c>
      <c r="K841" s="25" t="s">
        <v>49</v>
      </c>
    </row>
    <row r="842" spans="3:11" x14ac:dyDescent="0.25">
      <c r="C842" s="25">
        <v>23600299</v>
      </c>
      <c r="D842" s="26">
        <v>45987.374143518522</v>
      </c>
      <c r="E842" s="25" t="s">
        <v>27</v>
      </c>
      <c r="F842" s="25" t="s">
        <v>28</v>
      </c>
      <c r="G842" s="25" t="s">
        <v>51</v>
      </c>
      <c r="H842" s="25" t="s">
        <v>38</v>
      </c>
      <c r="I842" s="26">
        <v>46003.374143518522</v>
      </c>
      <c r="J842" s="25" t="s">
        <v>7393</v>
      </c>
      <c r="K842" s="25" t="s">
        <v>32</v>
      </c>
    </row>
    <row r="843" spans="3:11" x14ac:dyDescent="0.25">
      <c r="C843" s="25">
        <v>23600313</v>
      </c>
      <c r="D843" s="26">
        <v>45987.38517361111</v>
      </c>
      <c r="E843" s="25" t="s">
        <v>27</v>
      </c>
      <c r="F843" s="25" t="s">
        <v>28</v>
      </c>
      <c r="G843" s="25" t="s">
        <v>62</v>
      </c>
      <c r="H843" s="25" t="s">
        <v>31</v>
      </c>
      <c r="I843" s="26">
        <v>45993.38517361111</v>
      </c>
      <c r="J843" s="25" t="s">
        <v>7395</v>
      </c>
      <c r="K843" s="25" t="s">
        <v>49</v>
      </c>
    </row>
    <row r="844" spans="3:11" x14ac:dyDescent="0.25">
      <c r="C844" s="25">
        <v>23600314</v>
      </c>
      <c r="D844" s="26">
        <v>45987.385625000003</v>
      </c>
      <c r="E844" s="25" t="s">
        <v>27</v>
      </c>
      <c r="F844" s="25" t="s">
        <v>28</v>
      </c>
      <c r="G844" s="25" t="s">
        <v>62</v>
      </c>
      <c r="H844" s="25" t="s">
        <v>31</v>
      </c>
      <c r="I844" s="26">
        <v>45993.385625000003</v>
      </c>
      <c r="J844" s="25" t="s">
        <v>7396</v>
      </c>
      <c r="K844" s="25" t="s">
        <v>49</v>
      </c>
    </row>
    <row r="845" spans="3:11" x14ac:dyDescent="0.25">
      <c r="C845" s="25">
        <v>23600369</v>
      </c>
      <c r="D845" s="26">
        <v>45987.416435185187</v>
      </c>
      <c r="E845" s="25" t="s">
        <v>44</v>
      </c>
      <c r="F845" s="25" t="s">
        <v>45</v>
      </c>
      <c r="G845" s="25" t="s">
        <v>68</v>
      </c>
      <c r="H845" s="25" t="s">
        <v>31</v>
      </c>
      <c r="I845" s="26">
        <v>46001.416435185187</v>
      </c>
      <c r="J845" s="25" t="s">
        <v>7398</v>
      </c>
      <c r="K845" s="25" t="s">
        <v>32</v>
      </c>
    </row>
    <row r="846" spans="3:11" x14ac:dyDescent="0.25">
      <c r="C846" s="25">
        <v>23600402</v>
      </c>
      <c r="D846" s="26">
        <v>45987.428599537037</v>
      </c>
      <c r="E846" s="25" t="s">
        <v>27</v>
      </c>
      <c r="F846" s="25" t="s">
        <v>28</v>
      </c>
      <c r="G846" s="25" t="s">
        <v>62</v>
      </c>
      <c r="H846" s="25" t="s">
        <v>31</v>
      </c>
      <c r="I846" s="26">
        <v>45993.428599537037</v>
      </c>
      <c r="J846" s="25" t="s">
        <v>7399</v>
      </c>
      <c r="K846" s="25" t="s">
        <v>49</v>
      </c>
    </row>
    <row r="847" spans="3:11" x14ac:dyDescent="0.25">
      <c r="C847" s="25">
        <v>23600405</v>
      </c>
      <c r="D847" s="26">
        <v>45987.431284722225</v>
      </c>
      <c r="E847" s="25" t="s">
        <v>27</v>
      </c>
      <c r="F847" s="25" t="s">
        <v>28</v>
      </c>
      <c r="G847" s="25" t="s">
        <v>40</v>
      </c>
      <c r="H847" s="25" t="s">
        <v>31</v>
      </c>
      <c r="I847" s="26">
        <v>45994.431284722225</v>
      </c>
      <c r="J847" s="25" t="s">
        <v>1138</v>
      </c>
      <c r="K847" s="25" t="s">
        <v>49</v>
      </c>
    </row>
    <row r="848" spans="3:11" x14ac:dyDescent="0.25">
      <c r="C848" s="25">
        <v>23600416</v>
      </c>
      <c r="D848" s="26">
        <v>45987.435810185183</v>
      </c>
      <c r="E848" s="25" t="s">
        <v>59</v>
      </c>
      <c r="F848" s="25" t="s">
        <v>60</v>
      </c>
      <c r="G848" s="25" t="s">
        <v>29</v>
      </c>
      <c r="H848" s="25" t="s">
        <v>38</v>
      </c>
      <c r="I848" s="26">
        <v>46002.435810185183</v>
      </c>
      <c r="J848" s="25" t="s">
        <v>7400</v>
      </c>
      <c r="K848" s="25" t="s">
        <v>32</v>
      </c>
    </row>
    <row r="849" spans="3:11" x14ac:dyDescent="0.25">
      <c r="C849" s="25">
        <v>23600423</v>
      </c>
      <c r="D849" s="26">
        <v>45987.439212962963</v>
      </c>
      <c r="E849" s="25" t="s">
        <v>27</v>
      </c>
      <c r="F849" s="25" t="s">
        <v>28</v>
      </c>
      <c r="G849" s="25" t="s">
        <v>62</v>
      </c>
      <c r="H849" s="25" t="s">
        <v>31</v>
      </c>
      <c r="I849" s="26">
        <v>45993.439212962963</v>
      </c>
      <c r="J849" s="25" t="s">
        <v>3754</v>
      </c>
      <c r="K849" s="25" t="s">
        <v>49</v>
      </c>
    </row>
    <row r="850" spans="3:11" x14ac:dyDescent="0.25">
      <c r="C850" s="25">
        <v>23600432</v>
      </c>
      <c r="D850" s="26">
        <v>45987.44253472222</v>
      </c>
      <c r="E850" s="25" t="s">
        <v>27</v>
      </c>
      <c r="F850" s="25" t="s">
        <v>28</v>
      </c>
      <c r="G850" s="25" t="s">
        <v>29</v>
      </c>
      <c r="H850" s="25" t="s">
        <v>38</v>
      </c>
      <c r="I850" s="26">
        <v>46002.44253472222</v>
      </c>
      <c r="J850" s="25" t="s">
        <v>7402</v>
      </c>
      <c r="K850" s="25" t="s">
        <v>32</v>
      </c>
    </row>
    <row r="851" spans="3:11" x14ac:dyDescent="0.25">
      <c r="C851" s="25">
        <v>23600434</v>
      </c>
      <c r="D851" s="26">
        <v>45987.442696759259</v>
      </c>
      <c r="E851" s="25" t="s">
        <v>27</v>
      </c>
      <c r="F851" s="25" t="s">
        <v>28</v>
      </c>
      <c r="G851" s="25" t="s">
        <v>62</v>
      </c>
      <c r="H851" s="25" t="s">
        <v>31</v>
      </c>
      <c r="I851" s="26">
        <v>45993.442696759259</v>
      </c>
      <c r="J851" s="25" t="s">
        <v>7403</v>
      </c>
      <c r="K851" s="25" t="s">
        <v>49</v>
      </c>
    </row>
    <row r="852" spans="3:11" x14ac:dyDescent="0.25">
      <c r="C852" s="25">
        <v>23600446</v>
      </c>
      <c r="D852" s="26">
        <v>45987.45040509259</v>
      </c>
      <c r="E852" s="25" t="s">
        <v>48</v>
      </c>
      <c r="F852" s="25" t="s">
        <v>64</v>
      </c>
      <c r="G852" s="25" t="s">
        <v>62</v>
      </c>
      <c r="H852" s="25" t="s">
        <v>31</v>
      </c>
      <c r="I852" s="26">
        <v>45993.45040509259</v>
      </c>
      <c r="J852" s="25" t="s">
        <v>7404</v>
      </c>
      <c r="K852" s="25" t="s">
        <v>49</v>
      </c>
    </row>
    <row r="853" spans="3:11" x14ac:dyDescent="0.25">
      <c r="C853" s="25">
        <v>23600502</v>
      </c>
      <c r="D853" s="26">
        <v>45987.477488425924</v>
      </c>
      <c r="E853" s="25" t="s">
        <v>27</v>
      </c>
      <c r="F853" s="25" t="s">
        <v>28</v>
      </c>
      <c r="G853" s="25" t="s">
        <v>29</v>
      </c>
      <c r="H853" s="25" t="s">
        <v>31</v>
      </c>
      <c r="I853" s="26">
        <v>45996.477488425924</v>
      </c>
      <c r="J853" s="25" t="s">
        <v>2395</v>
      </c>
      <c r="K853" s="25" t="s">
        <v>32</v>
      </c>
    </row>
    <row r="854" spans="3:11" x14ac:dyDescent="0.25">
      <c r="C854" s="25">
        <v>23600505</v>
      </c>
      <c r="D854" s="26">
        <v>45987.479594907411</v>
      </c>
      <c r="E854" s="25" t="s">
        <v>27</v>
      </c>
      <c r="F854" s="25" t="s">
        <v>28</v>
      </c>
      <c r="G854" s="25" t="s">
        <v>62</v>
      </c>
      <c r="H854" s="25" t="s">
        <v>38</v>
      </c>
      <c r="I854" s="26">
        <v>45993.479594907411</v>
      </c>
      <c r="J854" s="25" t="s">
        <v>7406</v>
      </c>
      <c r="K854" s="25" t="s">
        <v>49</v>
      </c>
    </row>
    <row r="855" spans="3:11" x14ac:dyDescent="0.25">
      <c r="C855" s="25">
        <v>23600529</v>
      </c>
      <c r="D855" s="26">
        <v>45987.488576388889</v>
      </c>
      <c r="E855" s="25" t="s">
        <v>27</v>
      </c>
      <c r="F855" s="25" t="s">
        <v>28</v>
      </c>
      <c r="G855" s="25" t="s">
        <v>72</v>
      </c>
      <c r="H855" s="25" t="s">
        <v>31</v>
      </c>
      <c r="I855" s="26">
        <v>46003.488576388889</v>
      </c>
      <c r="J855" s="25" t="s">
        <v>7407</v>
      </c>
      <c r="K855" s="25" t="s">
        <v>32</v>
      </c>
    </row>
    <row r="856" spans="3:11" x14ac:dyDescent="0.25">
      <c r="C856" s="25">
        <v>23600530</v>
      </c>
      <c r="D856" s="26">
        <v>45987.488599537035</v>
      </c>
      <c r="E856" s="25" t="s">
        <v>59</v>
      </c>
      <c r="F856" s="25" t="s">
        <v>60</v>
      </c>
      <c r="G856" s="25" t="s">
        <v>43</v>
      </c>
      <c r="H856" s="25" t="s">
        <v>31</v>
      </c>
      <c r="I856" s="26">
        <v>45996.488599537035</v>
      </c>
      <c r="J856" s="25" t="s">
        <v>7315</v>
      </c>
      <c r="K856" s="25" t="s">
        <v>32</v>
      </c>
    </row>
    <row r="857" spans="3:11" x14ac:dyDescent="0.25">
      <c r="C857" s="25">
        <v>23600532</v>
      </c>
      <c r="D857" s="26">
        <v>45987.490208333336</v>
      </c>
      <c r="E857" s="25" t="s">
        <v>27</v>
      </c>
      <c r="F857" s="25" t="s">
        <v>28</v>
      </c>
      <c r="G857" s="25" t="s">
        <v>80</v>
      </c>
      <c r="H857" s="25" t="s">
        <v>31</v>
      </c>
      <c r="I857" s="26">
        <v>46003.490208333336</v>
      </c>
      <c r="J857" s="25" t="s">
        <v>7409</v>
      </c>
      <c r="K857" s="25" t="s">
        <v>32</v>
      </c>
    </row>
    <row r="858" spans="3:11" x14ac:dyDescent="0.25">
      <c r="C858" s="25">
        <v>23600534</v>
      </c>
      <c r="D858" s="26">
        <v>45987.491550925923</v>
      </c>
      <c r="E858" s="25" t="s">
        <v>48</v>
      </c>
      <c r="F858" s="25" t="s">
        <v>64</v>
      </c>
      <c r="G858" s="25" t="s">
        <v>29</v>
      </c>
      <c r="H858" s="25" t="s">
        <v>31</v>
      </c>
      <c r="I858" s="26">
        <v>45996.491550925923</v>
      </c>
      <c r="J858" s="25" t="s">
        <v>7411</v>
      </c>
      <c r="K858" s="25" t="s">
        <v>32</v>
      </c>
    </row>
    <row r="859" spans="3:11" x14ac:dyDescent="0.25">
      <c r="C859" s="25">
        <v>23600540</v>
      </c>
      <c r="D859" s="26">
        <v>45987.492789351854</v>
      </c>
      <c r="E859" s="25" t="s">
        <v>27</v>
      </c>
      <c r="F859" s="25" t="s">
        <v>28</v>
      </c>
      <c r="G859" s="25" t="s">
        <v>68</v>
      </c>
      <c r="H859" s="25" t="s">
        <v>31</v>
      </c>
      <c r="I859" s="26">
        <v>46001.492789351854</v>
      </c>
      <c r="J859" s="25" t="s">
        <v>2612</v>
      </c>
      <c r="K859" s="25" t="s">
        <v>32</v>
      </c>
    </row>
    <row r="860" spans="3:11" x14ac:dyDescent="0.25">
      <c r="C860" s="25">
        <v>23600541</v>
      </c>
      <c r="D860" s="26">
        <v>45987.492962962962</v>
      </c>
      <c r="E860" s="25" t="s">
        <v>27</v>
      </c>
      <c r="F860" s="25" t="s">
        <v>28</v>
      </c>
      <c r="G860" s="25" t="s">
        <v>62</v>
      </c>
      <c r="H860" s="25" t="s">
        <v>31</v>
      </c>
      <c r="I860" s="26">
        <v>45993.492962962962</v>
      </c>
      <c r="J860" s="25" t="s">
        <v>7185</v>
      </c>
      <c r="K860" s="25" t="s">
        <v>49</v>
      </c>
    </row>
    <row r="861" spans="3:11" x14ac:dyDescent="0.25">
      <c r="C861" s="25">
        <v>23600548</v>
      </c>
      <c r="D861" s="26">
        <v>45987.503564814811</v>
      </c>
      <c r="E861" s="25" t="s">
        <v>27</v>
      </c>
      <c r="F861" s="25" t="s">
        <v>28</v>
      </c>
      <c r="G861" s="25" t="s">
        <v>62</v>
      </c>
      <c r="H861" s="25" t="s">
        <v>31</v>
      </c>
      <c r="I861" s="26">
        <v>45993.503564814811</v>
      </c>
      <c r="J861" s="25" t="s">
        <v>7414</v>
      </c>
      <c r="K861" s="25" t="s">
        <v>49</v>
      </c>
    </row>
    <row r="862" spans="3:11" x14ac:dyDescent="0.25">
      <c r="C862" s="25">
        <v>23600559</v>
      </c>
      <c r="D862" s="26">
        <v>45987.512291666666</v>
      </c>
      <c r="E862" s="25" t="s">
        <v>44</v>
      </c>
      <c r="F862" s="25" t="s">
        <v>45</v>
      </c>
      <c r="G862" s="25" t="s">
        <v>68</v>
      </c>
      <c r="H862" s="25" t="s">
        <v>31</v>
      </c>
      <c r="I862" s="26">
        <v>46001.512291666666</v>
      </c>
      <c r="J862" s="25" t="s">
        <v>1107</v>
      </c>
      <c r="K862" s="25" t="s">
        <v>32</v>
      </c>
    </row>
    <row r="863" spans="3:11" x14ac:dyDescent="0.25">
      <c r="C863" s="25">
        <v>23600561</v>
      </c>
      <c r="D863" s="26">
        <v>45987.51326388889</v>
      </c>
      <c r="E863" s="25" t="s">
        <v>55</v>
      </c>
      <c r="F863" s="25" t="s">
        <v>56</v>
      </c>
      <c r="G863" s="25" t="s">
        <v>62</v>
      </c>
      <c r="H863" s="25" t="s">
        <v>31</v>
      </c>
      <c r="I863" s="26">
        <v>45993.51326388889</v>
      </c>
      <c r="J863" s="25" t="s">
        <v>7416</v>
      </c>
      <c r="K863" s="25" t="s">
        <v>49</v>
      </c>
    </row>
    <row r="864" spans="3:11" x14ac:dyDescent="0.25">
      <c r="C864" s="25">
        <v>23600565</v>
      </c>
      <c r="D864" s="26">
        <v>45987.515416666669</v>
      </c>
      <c r="E864" s="25" t="s">
        <v>27</v>
      </c>
      <c r="F864" s="25" t="s">
        <v>28</v>
      </c>
      <c r="G864" s="25" t="s">
        <v>62</v>
      </c>
      <c r="H864" s="25" t="s">
        <v>31</v>
      </c>
      <c r="I864" s="26">
        <v>45993.515416666669</v>
      </c>
      <c r="J864" s="25" t="s">
        <v>4713</v>
      </c>
      <c r="K864" s="25" t="s">
        <v>49</v>
      </c>
    </row>
    <row r="865" spans="3:11" x14ac:dyDescent="0.25">
      <c r="C865" s="25">
        <v>23600571</v>
      </c>
      <c r="D865" s="26">
        <v>45987.520613425928</v>
      </c>
      <c r="E865" s="25" t="s">
        <v>57</v>
      </c>
      <c r="F865" s="25" t="s">
        <v>58</v>
      </c>
      <c r="G865" s="25" t="s">
        <v>62</v>
      </c>
      <c r="H865" s="25" t="s">
        <v>31</v>
      </c>
      <c r="I865" s="26">
        <v>45993.520613425928</v>
      </c>
      <c r="J865" s="25" t="s">
        <v>7418</v>
      </c>
      <c r="K865" s="25" t="s">
        <v>49</v>
      </c>
    </row>
    <row r="866" spans="3:11" x14ac:dyDescent="0.25">
      <c r="C866" s="25">
        <v>23600572</v>
      </c>
      <c r="D866" s="26">
        <v>45987.520949074074</v>
      </c>
      <c r="E866" s="25" t="s">
        <v>48</v>
      </c>
      <c r="F866" s="25" t="s">
        <v>64</v>
      </c>
      <c r="G866" s="25" t="s">
        <v>62</v>
      </c>
      <c r="H866" s="25" t="s">
        <v>31</v>
      </c>
      <c r="I866" s="26">
        <v>45993.520949074074</v>
      </c>
      <c r="J866" s="25" t="s">
        <v>7420</v>
      </c>
      <c r="K866" s="25" t="s">
        <v>49</v>
      </c>
    </row>
    <row r="867" spans="3:11" x14ac:dyDescent="0.25">
      <c r="C867" s="25">
        <v>23600596</v>
      </c>
      <c r="D867" s="26">
        <v>45987.543136574073</v>
      </c>
      <c r="E867" s="25" t="s">
        <v>48</v>
      </c>
      <c r="F867" s="25" t="s">
        <v>64</v>
      </c>
      <c r="G867" s="25" t="s">
        <v>62</v>
      </c>
      <c r="H867" s="25" t="s">
        <v>31</v>
      </c>
      <c r="I867" s="26">
        <v>45993.543136574073</v>
      </c>
      <c r="J867" s="25" t="s">
        <v>6493</v>
      </c>
      <c r="K867" s="25" t="s">
        <v>49</v>
      </c>
    </row>
    <row r="868" spans="3:11" x14ac:dyDescent="0.25">
      <c r="C868" s="25">
        <v>23600639</v>
      </c>
      <c r="D868" s="26">
        <v>45987.544444444444</v>
      </c>
      <c r="E868" s="25" t="s">
        <v>27</v>
      </c>
      <c r="F868" s="25" t="s">
        <v>28</v>
      </c>
      <c r="G868" s="25" t="s">
        <v>51</v>
      </c>
      <c r="H868" s="25" t="s">
        <v>31</v>
      </c>
      <c r="I868" s="26">
        <v>46003.544444444444</v>
      </c>
      <c r="J868" s="25" t="s">
        <v>7422</v>
      </c>
      <c r="K868" s="25" t="s">
        <v>32</v>
      </c>
    </row>
    <row r="869" spans="3:11" x14ac:dyDescent="0.25">
      <c r="C869" s="25">
        <v>23600659</v>
      </c>
      <c r="D869" s="26">
        <v>45987.545590277776</v>
      </c>
      <c r="E869" s="25" t="s">
        <v>57</v>
      </c>
      <c r="F869" s="25" t="s">
        <v>58</v>
      </c>
      <c r="G869" s="25" t="s">
        <v>62</v>
      </c>
      <c r="H869" s="25" t="s">
        <v>31</v>
      </c>
      <c r="I869" s="26">
        <v>45993.545590277776</v>
      </c>
      <c r="J869" s="25" t="s">
        <v>7423</v>
      </c>
      <c r="K869" s="25" t="s">
        <v>49</v>
      </c>
    </row>
    <row r="870" spans="3:11" x14ac:dyDescent="0.25">
      <c r="C870" s="25">
        <v>23600665</v>
      </c>
      <c r="D870" s="26">
        <v>45987.548310185186</v>
      </c>
      <c r="E870" s="25" t="s">
        <v>27</v>
      </c>
      <c r="F870" s="25" t="s">
        <v>28</v>
      </c>
      <c r="G870" s="25" t="s">
        <v>62</v>
      </c>
      <c r="H870" s="25" t="s">
        <v>31</v>
      </c>
      <c r="I870" s="26">
        <v>45993.548310185186</v>
      </c>
      <c r="J870" s="25" t="s">
        <v>7425</v>
      </c>
      <c r="K870" s="25" t="s">
        <v>49</v>
      </c>
    </row>
    <row r="871" spans="3:11" x14ac:dyDescent="0.25">
      <c r="C871" s="25">
        <v>23600683</v>
      </c>
      <c r="D871" s="26">
        <v>45987.550428240742</v>
      </c>
      <c r="E871" s="25" t="s">
        <v>27</v>
      </c>
      <c r="F871" s="25" t="s">
        <v>28</v>
      </c>
      <c r="G871" s="25" t="s">
        <v>68</v>
      </c>
      <c r="H871" s="25" t="s">
        <v>31</v>
      </c>
      <c r="I871" s="26">
        <v>46001.550428240742</v>
      </c>
      <c r="J871" s="25" t="s">
        <v>7427</v>
      </c>
      <c r="K871" s="25" t="s">
        <v>32</v>
      </c>
    </row>
    <row r="872" spans="3:11" x14ac:dyDescent="0.25">
      <c r="C872" s="25">
        <v>23600686</v>
      </c>
      <c r="D872" s="26">
        <v>45987.553680555553</v>
      </c>
      <c r="E872" s="25" t="s">
        <v>59</v>
      </c>
      <c r="F872" s="25" t="s">
        <v>60</v>
      </c>
      <c r="G872" s="25" t="s">
        <v>62</v>
      </c>
      <c r="H872" s="25" t="s">
        <v>31</v>
      </c>
      <c r="I872" s="26">
        <v>45993.553680555553</v>
      </c>
      <c r="J872" s="25" t="s">
        <v>2584</v>
      </c>
      <c r="K872" s="25" t="s">
        <v>49</v>
      </c>
    </row>
    <row r="873" spans="3:11" x14ac:dyDescent="0.25">
      <c r="C873" s="25">
        <v>23600701</v>
      </c>
      <c r="D873" s="26">
        <v>45987.561018518521</v>
      </c>
      <c r="E873" s="25" t="s">
        <v>27</v>
      </c>
      <c r="F873" s="25" t="s">
        <v>28</v>
      </c>
      <c r="G873" s="25" t="s">
        <v>29</v>
      </c>
      <c r="H873" s="25" t="s">
        <v>31</v>
      </c>
      <c r="I873" s="26">
        <v>45996.561018518521</v>
      </c>
      <c r="J873" s="25" t="s">
        <v>7429</v>
      </c>
      <c r="K873" s="25" t="s">
        <v>32</v>
      </c>
    </row>
    <row r="874" spans="3:11" x14ac:dyDescent="0.25">
      <c r="C874" s="25">
        <v>23600714</v>
      </c>
      <c r="D874" s="26">
        <v>45987.56726851852</v>
      </c>
      <c r="E874" s="25" t="s">
        <v>27</v>
      </c>
      <c r="F874" s="25" t="s">
        <v>28</v>
      </c>
      <c r="G874" s="25" t="s">
        <v>68</v>
      </c>
      <c r="H874" s="25" t="s">
        <v>31</v>
      </c>
      <c r="I874" s="26">
        <v>46001.56726851852</v>
      </c>
      <c r="J874" s="25" t="s">
        <v>7431</v>
      </c>
      <c r="K874" s="25" t="s">
        <v>32</v>
      </c>
    </row>
    <row r="875" spans="3:11" x14ac:dyDescent="0.25">
      <c r="C875" s="25">
        <v>23600717</v>
      </c>
      <c r="D875" s="26">
        <v>45987.568796296298</v>
      </c>
      <c r="E875" s="25" t="s">
        <v>27</v>
      </c>
      <c r="F875" s="25" t="s">
        <v>28</v>
      </c>
      <c r="G875" s="25" t="s">
        <v>62</v>
      </c>
      <c r="H875" s="25" t="s">
        <v>31</v>
      </c>
      <c r="I875" s="26">
        <v>45993.568796296298</v>
      </c>
      <c r="J875" s="25" t="s">
        <v>7327</v>
      </c>
      <c r="K875" s="25" t="s">
        <v>49</v>
      </c>
    </row>
    <row r="876" spans="3:11" x14ac:dyDescent="0.25">
      <c r="C876" s="25">
        <v>23600730</v>
      </c>
      <c r="D876" s="26">
        <v>45987.574837962966</v>
      </c>
      <c r="E876" s="25" t="s">
        <v>27</v>
      </c>
      <c r="F876" s="25" t="s">
        <v>28</v>
      </c>
      <c r="G876" s="25" t="s">
        <v>29</v>
      </c>
      <c r="H876" s="25" t="s">
        <v>31</v>
      </c>
      <c r="I876" s="26">
        <v>45996.574837962966</v>
      </c>
      <c r="J876" s="25" t="s">
        <v>7433</v>
      </c>
      <c r="K876" s="25" t="s">
        <v>32</v>
      </c>
    </row>
    <row r="877" spans="3:11" x14ac:dyDescent="0.25">
      <c r="C877" s="25">
        <v>23600733</v>
      </c>
      <c r="D877" s="26">
        <v>45987.576481481483</v>
      </c>
      <c r="E877" s="25" t="s">
        <v>27</v>
      </c>
      <c r="F877" s="25" t="s">
        <v>28</v>
      </c>
      <c r="G877" s="25" t="s">
        <v>29</v>
      </c>
      <c r="H877" s="25" t="s">
        <v>31</v>
      </c>
      <c r="I877" s="26">
        <v>45996.576481481483</v>
      </c>
      <c r="J877" s="25" t="s">
        <v>4762</v>
      </c>
      <c r="K877" s="25" t="s">
        <v>32</v>
      </c>
    </row>
    <row r="878" spans="3:11" x14ac:dyDescent="0.25">
      <c r="C878" s="25">
        <v>23600735</v>
      </c>
      <c r="D878" s="26">
        <v>45987.57739583333</v>
      </c>
      <c r="E878" s="25" t="s">
        <v>27</v>
      </c>
      <c r="F878" s="25" t="s">
        <v>28</v>
      </c>
      <c r="G878" s="25" t="s">
        <v>40</v>
      </c>
      <c r="H878" s="25" t="s">
        <v>31</v>
      </c>
      <c r="I878" s="26">
        <v>45994.57739583333</v>
      </c>
      <c r="J878" s="25" t="s">
        <v>893</v>
      </c>
      <c r="K878" s="25" t="s">
        <v>49</v>
      </c>
    </row>
    <row r="879" spans="3:11" x14ac:dyDescent="0.25">
      <c r="C879" s="25">
        <v>23600736</v>
      </c>
      <c r="D879" s="26">
        <v>45987.577499999999</v>
      </c>
      <c r="E879" s="25" t="s">
        <v>27</v>
      </c>
      <c r="F879" s="25" t="s">
        <v>28</v>
      </c>
      <c r="G879" s="25" t="s">
        <v>68</v>
      </c>
      <c r="H879" s="25" t="s">
        <v>31</v>
      </c>
      <c r="I879" s="26">
        <v>46001.577499999999</v>
      </c>
      <c r="J879" s="25" t="s">
        <v>7434</v>
      </c>
      <c r="K879" s="25" t="s">
        <v>32</v>
      </c>
    </row>
    <row r="880" spans="3:11" x14ac:dyDescent="0.25">
      <c r="C880" s="25">
        <v>23600737</v>
      </c>
      <c r="D880" s="26">
        <v>45987.578819444447</v>
      </c>
      <c r="E880" s="25" t="s">
        <v>57</v>
      </c>
      <c r="F880" s="25" t="s">
        <v>58</v>
      </c>
      <c r="G880" s="25" t="s">
        <v>76</v>
      </c>
      <c r="H880" s="25" t="s">
        <v>31</v>
      </c>
      <c r="I880" s="26">
        <v>45996.578819444447</v>
      </c>
      <c r="J880" s="25" t="s">
        <v>7436</v>
      </c>
      <c r="K880" s="25" t="s">
        <v>32</v>
      </c>
    </row>
    <row r="881" spans="3:11" x14ac:dyDescent="0.25">
      <c r="C881" s="25">
        <v>23600772</v>
      </c>
      <c r="D881" s="26">
        <v>45987.600347222222</v>
      </c>
      <c r="E881" s="25" t="s">
        <v>27</v>
      </c>
      <c r="F881" s="25" t="s">
        <v>28</v>
      </c>
      <c r="G881" s="25" t="s">
        <v>62</v>
      </c>
      <c r="H881" s="25" t="s">
        <v>31</v>
      </c>
      <c r="I881" s="26">
        <v>45993.600347222222</v>
      </c>
      <c r="J881" s="25" t="s">
        <v>7438</v>
      </c>
      <c r="K881" s="25" t="s">
        <v>49</v>
      </c>
    </row>
    <row r="882" spans="3:11" x14ac:dyDescent="0.25">
      <c r="C882" s="25">
        <v>23600773</v>
      </c>
      <c r="D882" s="26">
        <v>45987.603321759256</v>
      </c>
      <c r="E882" s="25" t="s">
        <v>57</v>
      </c>
      <c r="F882" s="25" t="s">
        <v>58</v>
      </c>
      <c r="G882" s="25" t="s">
        <v>62</v>
      </c>
      <c r="H882" s="25" t="s">
        <v>31</v>
      </c>
      <c r="I882" s="26">
        <v>45993.603321759256</v>
      </c>
      <c r="J882" s="25" t="s">
        <v>7440</v>
      </c>
      <c r="K882" s="25" t="s">
        <v>49</v>
      </c>
    </row>
    <row r="883" spans="3:11" x14ac:dyDescent="0.25">
      <c r="C883" s="25">
        <v>23600775</v>
      </c>
      <c r="D883" s="26">
        <v>45987.603900462964</v>
      </c>
      <c r="E883" s="25" t="s">
        <v>44</v>
      </c>
      <c r="F883" s="25" t="s">
        <v>45</v>
      </c>
      <c r="G883" s="25" t="s">
        <v>62</v>
      </c>
      <c r="H883" s="25" t="s">
        <v>31</v>
      </c>
      <c r="I883" s="26">
        <v>45993.603900462964</v>
      </c>
      <c r="J883" s="25" t="s">
        <v>7441</v>
      </c>
      <c r="K883" s="25" t="s">
        <v>49</v>
      </c>
    </row>
    <row r="884" spans="3:11" x14ac:dyDescent="0.25">
      <c r="C884" s="25">
        <v>23600776</v>
      </c>
      <c r="D884" s="26">
        <v>45987.604039351849</v>
      </c>
      <c r="E884" s="25" t="s">
        <v>48</v>
      </c>
      <c r="F884" s="25" t="s">
        <v>64</v>
      </c>
      <c r="G884" s="25" t="s">
        <v>29</v>
      </c>
      <c r="H884" s="25" t="s">
        <v>31</v>
      </c>
      <c r="I884" s="26">
        <v>45996.604039351849</v>
      </c>
      <c r="J884" s="25" t="s">
        <v>7442</v>
      </c>
      <c r="K884" s="25" t="s">
        <v>32</v>
      </c>
    </row>
    <row r="885" spans="3:11" x14ac:dyDescent="0.25">
      <c r="C885" s="25">
        <v>23600790</v>
      </c>
      <c r="D885" s="26">
        <v>45987.61105324074</v>
      </c>
      <c r="E885" s="25" t="s">
        <v>27</v>
      </c>
      <c r="F885" s="25" t="s">
        <v>28</v>
      </c>
      <c r="G885" s="25" t="s">
        <v>40</v>
      </c>
      <c r="H885" s="25" t="s">
        <v>31</v>
      </c>
      <c r="I885" s="26">
        <v>45994.61105324074</v>
      </c>
      <c r="J885" s="25" t="s">
        <v>5429</v>
      </c>
      <c r="K885" s="25" t="s">
        <v>49</v>
      </c>
    </row>
    <row r="886" spans="3:11" x14ac:dyDescent="0.25">
      <c r="C886" s="25">
        <v>23600794</v>
      </c>
      <c r="D886" s="26">
        <v>45987.613935185182</v>
      </c>
      <c r="E886" s="25" t="s">
        <v>44</v>
      </c>
      <c r="F886" s="25" t="s">
        <v>45</v>
      </c>
      <c r="G886" s="25" t="s">
        <v>72</v>
      </c>
      <c r="H886" s="25" t="s">
        <v>31</v>
      </c>
      <c r="I886" s="26">
        <v>46003.613935185182</v>
      </c>
      <c r="J886" s="25" t="s">
        <v>7444</v>
      </c>
      <c r="K886" s="25" t="s">
        <v>32</v>
      </c>
    </row>
    <row r="887" spans="3:11" x14ac:dyDescent="0.25">
      <c r="C887" s="25">
        <v>23600817</v>
      </c>
      <c r="D887" s="26">
        <v>45987.629143518519</v>
      </c>
      <c r="E887" s="25" t="s">
        <v>27</v>
      </c>
      <c r="F887" s="25" t="s">
        <v>28</v>
      </c>
      <c r="G887" s="25" t="s">
        <v>68</v>
      </c>
      <c r="H887" s="25" t="s">
        <v>31</v>
      </c>
      <c r="I887" s="26">
        <v>46001.629143518519</v>
      </c>
      <c r="J887" s="25" t="s">
        <v>7446</v>
      </c>
      <c r="K887" s="25" t="s">
        <v>32</v>
      </c>
    </row>
    <row r="888" spans="3:11" x14ac:dyDescent="0.25">
      <c r="C888" s="25">
        <v>23600829</v>
      </c>
      <c r="D888" s="26">
        <v>45987.636446759258</v>
      </c>
      <c r="E888" s="25" t="s">
        <v>27</v>
      </c>
      <c r="F888" s="25" t="s">
        <v>28</v>
      </c>
      <c r="G888" s="25" t="s">
        <v>40</v>
      </c>
      <c r="H888" s="25" t="s">
        <v>31</v>
      </c>
      <c r="I888" s="26">
        <v>45994.636446759258</v>
      </c>
      <c r="J888" s="25" t="s">
        <v>5455</v>
      </c>
      <c r="K888" s="25" t="s">
        <v>49</v>
      </c>
    </row>
    <row r="889" spans="3:11" x14ac:dyDescent="0.25">
      <c r="C889" s="25">
        <v>23600836</v>
      </c>
      <c r="D889" s="26">
        <v>45987.638831018521</v>
      </c>
      <c r="E889" s="25" t="s">
        <v>27</v>
      </c>
      <c r="F889" s="25" t="s">
        <v>28</v>
      </c>
      <c r="G889" s="25" t="s">
        <v>40</v>
      </c>
      <c r="H889" s="25" t="s">
        <v>31</v>
      </c>
      <c r="I889" s="26">
        <v>45994.638831018521</v>
      </c>
      <c r="J889" s="25" t="s">
        <v>5465</v>
      </c>
      <c r="K889" s="25" t="s">
        <v>49</v>
      </c>
    </row>
    <row r="890" spans="3:11" x14ac:dyDescent="0.25">
      <c r="C890" s="25">
        <v>23600849</v>
      </c>
      <c r="D890" s="26">
        <v>45987.646412037036</v>
      </c>
      <c r="E890" s="25" t="s">
        <v>48</v>
      </c>
      <c r="F890" s="25" t="s">
        <v>64</v>
      </c>
      <c r="G890" s="25" t="s">
        <v>43</v>
      </c>
      <c r="H890" s="25" t="s">
        <v>38</v>
      </c>
      <c r="I890" s="26">
        <v>46002.646412037036</v>
      </c>
      <c r="J890" s="25" t="s">
        <v>7448</v>
      </c>
      <c r="K890" s="25" t="s">
        <v>32</v>
      </c>
    </row>
    <row r="891" spans="3:11" x14ac:dyDescent="0.25">
      <c r="C891" s="25">
        <v>23600852</v>
      </c>
      <c r="D891" s="26">
        <v>45987.647129629629</v>
      </c>
      <c r="E891" s="25" t="s">
        <v>27</v>
      </c>
      <c r="F891" s="25" t="s">
        <v>28</v>
      </c>
      <c r="G891" s="25" t="s">
        <v>40</v>
      </c>
      <c r="H891" s="25" t="s">
        <v>38</v>
      </c>
      <c r="I891" s="26">
        <v>46000.647129629629</v>
      </c>
      <c r="J891" s="25" t="s">
        <v>7450</v>
      </c>
      <c r="K891" s="25" t="s">
        <v>32</v>
      </c>
    </row>
    <row r="892" spans="3:11" x14ac:dyDescent="0.25">
      <c r="C892" s="25">
        <v>23600853</v>
      </c>
      <c r="D892" s="26">
        <v>45987.647141203706</v>
      </c>
      <c r="E892" s="25" t="s">
        <v>59</v>
      </c>
      <c r="F892" s="25" t="s">
        <v>60</v>
      </c>
      <c r="G892" s="25" t="s">
        <v>29</v>
      </c>
      <c r="H892" s="25" t="s">
        <v>38</v>
      </c>
      <c r="I892" s="26">
        <v>46002.647141203706</v>
      </c>
      <c r="J892" s="25" t="s">
        <v>7451</v>
      </c>
      <c r="K892" s="25" t="s">
        <v>32</v>
      </c>
    </row>
    <row r="893" spans="3:11" x14ac:dyDescent="0.25">
      <c r="C893" s="25">
        <v>23600866</v>
      </c>
      <c r="D893" s="26">
        <v>45987.653067129628</v>
      </c>
      <c r="E893" s="25" t="s">
        <v>27</v>
      </c>
      <c r="F893" s="25" t="s">
        <v>28</v>
      </c>
      <c r="G893" s="25" t="s">
        <v>40</v>
      </c>
      <c r="H893" s="25" t="s">
        <v>31</v>
      </c>
      <c r="I893" s="26">
        <v>45994.653067129628</v>
      </c>
      <c r="J893" s="25" t="s">
        <v>654</v>
      </c>
      <c r="K893" s="25" t="s">
        <v>49</v>
      </c>
    </row>
    <row r="894" spans="3:11" x14ac:dyDescent="0.25">
      <c r="C894" s="25">
        <v>23600906</v>
      </c>
      <c r="D894" s="26">
        <v>45987.669756944444</v>
      </c>
      <c r="E894" s="25" t="s">
        <v>27</v>
      </c>
      <c r="F894" s="25" t="s">
        <v>28</v>
      </c>
      <c r="G894" s="25" t="s">
        <v>29</v>
      </c>
      <c r="H894" s="25" t="s">
        <v>31</v>
      </c>
      <c r="I894" s="26">
        <v>45996.669756944444</v>
      </c>
      <c r="J894" s="25" t="s">
        <v>7453</v>
      </c>
      <c r="K894" s="25" t="s">
        <v>32</v>
      </c>
    </row>
    <row r="895" spans="3:11" x14ac:dyDescent="0.25">
      <c r="C895" s="25">
        <v>23600918</v>
      </c>
      <c r="D895" s="26">
        <v>45987.67528935185</v>
      </c>
      <c r="E895" s="25" t="s">
        <v>27</v>
      </c>
      <c r="F895" s="25" t="s">
        <v>28</v>
      </c>
      <c r="G895" s="25" t="s">
        <v>40</v>
      </c>
      <c r="H895" s="25" t="s">
        <v>31</v>
      </c>
      <c r="I895" s="26">
        <v>45994.67528935185</v>
      </c>
      <c r="J895" s="25" t="s">
        <v>5518</v>
      </c>
      <c r="K895" s="25" t="s">
        <v>49</v>
      </c>
    </row>
    <row r="896" spans="3:11" x14ac:dyDescent="0.25">
      <c r="C896" s="25">
        <v>23600947</v>
      </c>
      <c r="D896" s="26">
        <v>45987.692280092589</v>
      </c>
      <c r="E896" s="25" t="s">
        <v>57</v>
      </c>
      <c r="F896" s="25" t="s">
        <v>58</v>
      </c>
      <c r="G896" s="25" t="s">
        <v>29</v>
      </c>
      <c r="H896" s="25" t="s">
        <v>31</v>
      </c>
      <c r="I896" s="26">
        <v>45996.692280092589</v>
      </c>
      <c r="J896" s="25" t="s">
        <v>7455</v>
      </c>
      <c r="K896" s="25" t="s">
        <v>32</v>
      </c>
    </row>
    <row r="897" spans="3:11" x14ac:dyDescent="0.25">
      <c r="C897" s="25">
        <v>23600949</v>
      </c>
      <c r="D897" s="26">
        <v>45987.692476851851</v>
      </c>
      <c r="E897" s="25" t="s">
        <v>57</v>
      </c>
      <c r="F897" s="25" t="s">
        <v>58</v>
      </c>
      <c r="G897" s="25" t="s">
        <v>29</v>
      </c>
      <c r="H897" s="25" t="s">
        <v>31</v>
      </c>
      <c r="I897" s="26">
        <v>45996.692476851851</v>
      </c>
      <c r="J897" s="25" t="s">
        <v>7457</v>
      </c>
      <c r="K897" s="25" t="s">
        <v>32</v>
      </c>
    </row>
    <row r="898" spans="3:11" x14ac:dyDescent="0.25">
      <c r="C898" s="25">
        <v>23600964</v>
      </c>
      <c r="D898" s="26">
        <v>45987.702268518522</v>
      </c>
      <c r="E898" s="25" t="s">
        <v>48</v>
      </c>
      <c r="F898" s="25" t="s">
        <v>64</v>
      </c>
      <c r="G898" s="25" t="s">
        <v>43</v>
      </c>
      <c r="H898" s="25" t="s">
        <v>31</v>
      </c>
      <c r="I898" s="26">
        <v>45996.702268518522</v>
      </c>
      <c r="J898" s="25" t="s">
        <v>7464</v>
      </c>
      <c r="K898" s="25" t="s">
        <v>32</v>
      </c>
    </row>
    <row r="899" spans="3:11" x14ac:dyDescent="0.25">
      <c r="C899" s="25">
        <v>23600975</v>
      </c>
      <c r="D899" s="26">
        <v>45987.708171296297</v>
      </c>
      <c r="E899" s="25" t="s">
        <v>27</v>
      </c>
      <c r="F899" s="25" t="s">
        <v>28</v>
      </c>
      <c r="G899" s="25" t="s">
        <v>62</v>
      </c>
      <c r="H899" s="25" t="s">
        <v>31</v>
      </c>
      <c r="I899" s="26">
        <v>45993.708171296297</v>
      </c>
      <c r="J899" s="25" t="s">
        <v>7466</v>
      </c>
      <c r="K899" s="25" t="s">
        <v>49</v>
      </c>
    </row>
    <row r="900" spans="3:11" x14ac:dyDescent="0.25">
      <c r="C900" s="25">
        <v>23600976</v>
      </c>
      <c r="D900" s="26">
        <v>45987.709432870368</v>
      </c>
      <c r="E900" s="25" t="s">
        <v>55</v>
      </c>
      <c r="F900" s="25" t="s">
        <v>56</v>
      </c>
      <c r="G900" s="25" t="s">
        <v>40</v>
      </c>
      <c r="H900" s="25" t="s">
        <v>38</v>
      </c>
      <c r="I900" s="26">
        <v>46000.709432870368</v>
      </c>
      <c r="J900" s="25" t="s">
        <v>7475</v>
      </c>
      <c r="K900" s="25" t="s">
        <v>32</v>
      </c>
    </row>
    <row r="901" spans="3:11" x14ac:dyDescent="0.25">
      <c r="C901" s="25">
        <v>23600994</v>
      </c>
      <c r="D901" s="26">
        <v>45987.722233796296</v>
      </c>
      <c r="E901" s="25" t="s">
        <v>27</v>
      </c>
      <c r="F901" s="25" t="s">
        <v>28</v>
      </c>
      <c r="G901" s="25" t="s">
        <v>68</v>
      </c>
      <c r="H901" s="25" t="s">
        <v>31</v>
      </c>
      <c r="I901" s="26">
        <v>46001.722233796296</v>
      </c>
      <c r="J901" s="25" t="s">
        <v>7477</v>
      </c>
      <c r="K901" s="25" t="s">
        <v>32</v>
      </c>
    </row>
    <row r="902" spans="3:11" x14ac:dyDescent="0.25">
      <c r="C902" s="25">
        <v>23600995</v>
      </c>
      <c r="D902" s="26">
        <v>45987.722581018519</v>
      </c>
      <c r="E902" s="25" t="s">
        <v>27</v>
      </c>
      <c r="F902" s="25" t="s">
        <v>28</v>
      </c>
      <c r="G902" s="25" t="s">
        <v>76</v>
      </c>
      <c r="H902" s="25" t="s">
        <v>31</v>
      </c>
      <c r="I902" s="26">
        <v>45996.722581018519</v>
      </c>
      <c r="J902" s="25" t="s">
        <v>7478</v>
      </c>
      <c r="K902" s="25" t="s">
        <v>32</v>
      </c>
    </row>
    <row r="903" spans="3:11" x14ac:dyDescent="0.25">
      <c r="C903" s="25">
        <v>23601006</v>
      </c>
      <c r="D903" s="26">
        <v>45987.731631944444</v>
      </c>
      <c r="E903" s="25" t="s">
        <v>27</v>
      </c>
      <c r="F903" s="25" t="s">
        <v>28</v>
      </c>
      <c r="G903" s="25" t="s">
        <v>76</v>
      </c>
      <c r="H903" s="25" t="s">
        <v>31</v>
      </c>
      <c r="I903" s="26">
        <v>45996.731631944444</v>
      </c>
      <c r="J903" s="25" t="s">
        <v>7480</v>
      </c>
      <c r="K903" s="25" t="s">
        <v>32</v>
      </c>
    </row>
    <row r="904" spans="3:11" x14ac:dyDescent="0.25">
      <c r="C904" s="25">
        <v>23601012</v>
      </c>
      <c r="D904" s="26">
        <v>45987.739328703705</v>
      </c>
      <c r="E904" s="25" t="s">
        <v>27</v>
      </c>
      <c r="F904" s="25" t="s">
        <v>28</v>
      </c>
      <c r="G904" s="25" t="s">
        <v>40</v>
      </c>
      <c r="H904" s="25" t="s">
        <v>38</v>
      </c>
      <c r="I904" s="26">
        <v>46000.739328703705</v>
      </c>
      <c r="J904" s="25" t="s">
        <v>7482</v>
      </c>
      <c r="K904" s="25" t="s">
        <v>32</v>
      </c>
    </row>
    <row r="905" spans="3:11" x14ac:dyDescent="0.25">
      <c r="C905" s="25">
        <v>23601016</v>
      </c>
      <c r="D905" s="26">
        <v>45987.74113425926</v>
      </c>
      <c r="E905" s="25" t="s">
        <v>59</v>
      </c>
      <c r="F905" s="25" t="s">
        <v>60</v>
      </c>
      <c r="G905" s="25" t="s">
        <v>43</v>
      </c>
      <c r="H905" s="25" t="s">
        <v>38</v>
      </c>
      <c r="I905" s="26">
        <v>46002.74113425926</v>
      </c>
      <c r="J905" s="25" t="s">
        <v>7490</v>
      </c>
      <c r="K905" s="25" t="s">
        <v>32</v>
      </c>
    </row>
    <row r="906" spans="3:11" x14ac:dyDescent="0.25">
      <c r="C906" s="25">
        <v>23601018</v>
      </c>
      <c r="D906" s="26">
        <v>45987.74422453704</v>
      </c>
      <c r="E906" s="25" t="s">
        <v>59</v>
      </c>
      <c r="F906" s="25" t="s">
        <v>60</v>
      </c>
      <c r="G906" s="25" t="s">
        <v>43</v>
      </c>
      <c r="H906" s="25" t="s">
        <v>38</v>
      </c>
      <c r="I906" s="26">
        <v>46002.74422453704</v>
      </c>
      <c r="J906" s="25" t="s">
        <v>7497</v>
      </c>
      <c r="K906" s="25" t="s">
        <v>32</v>
      </c>
    </row>
    <row r="907" spans="3:11" x14ac:dyDescent="0.25">
      <c r="C907" s="25">
        <v>23601020</v>
      </c>
      <c r="D907" s="26">
        <v>45987.746932870374</v>
      </c>
      <c r="E907" s="25" t="s">
        <v>55</v>
      </c>
      <c r="F907" s="25" t="s">
        <v>56</v>
      </c>
      <c r="G907" s="25" t="s">
        <v>62</v>
      </c>
      <c r="H907" s="25" t="s">
        <v>38</v>
      </c>
      <c r="I907" s="26">
        <v>45993.746932870374</v>
      </c>
      <c r="J907" s="25" t="s">
        <v>7499</v>
      </c>
      <c r="K907" s="25" t="s">
        <v>49</v>
      </c>
    </row>
    <row r="908" spans="3:11" x14ac:dyDescent="0.25">
      <c r="C908" s="25">
        <v>23601024</v>
      </c>
      <c r="D908" s="26">
        <v>45987.755567129629</v>
      </c>
      <c r="E908" s="25" t="s">
        <v>27</v>
      </c>
      <c r="F908" s="25" t="s">
        <v>28</v>
      </c>
      <c r="G908" s="25" t="s">
        <v>68</v>
      </c>
      <c r="H908" s="25" t="s">
        <v>31</v>
      </c>
      <c r="I908" s="26">
        <v>46001.755567129629</v>
      </c>
      <c r="J908" s="25" t="s">
        <v>7501</v>
      </c>
      <c r="K908" s="25" t="s">
        <v>32</v>
      </c>
    </row>
    <row r="909" spans="3:11" x14ac:dyDescent="0.25">
      <c r="C909" s="25">
        <v>23601026</v>
      </c>
      <c r="D909" s="26">
        <v>45987.762673611112</v>
      </c>
      <c r="E909" s="25" t="s">
        <v>59</v>
      </c>
      <c r="F909" s="25" t="s">
        <v>60</v>
      </c>
      <c r="G909" s="25" t="s">
        <v>62</v>
      </c>
      <c r="H909" s="25" t="s">
        <v>38</v>
      </c>
      <c r="I909" s="26">
        <v>45993.762673611112</v>
      </c>
      <c r="J909" s="25" t="s">
        <v>7503</v>
      </c>
      <c r="K909" s="25" t="s">
        <v>49</v>
      </c>
    </row>
    <row r="910" spans="3:11" x14ac:dyDescent="0.25">
      <c r="C910" s="25">
        <v>23601029</v>
      </c>
      <c r="D910" s="26">
        <v>45987.776805555557</v>
      </c>
      <c r="E910" s="25" t="s">
        <v>27</v>
      </c>
      <c r="F910" s="25" t="s">
        <v>28</v>
      </c>
      <c r="G910" s="25" t="s">
        <v>29</v>
      </c>
      <c r="H910" s="25" t="s">
        <v>31</v>
      </c>
      <c r="I910" s="26">
        <v>45996.776805555557</v>
      </c>
      <c r="J910" s="25" t="s">
        <v>7505</v>
      </c>
      <c r="K910" s="25" t="s">
        <v>32</v>
      </c>
    </row>
    <row r="911" spans="3:11" x14ac:dyDescent="0.25">
      <c r="C911" s="25">
        <v>23601041</v>
      </c>
      <c r="D911" s="26">
        <v>45987.999224537038</v>
      </c>
      <c r="E911" s="25" t="s">
        <v>27</v>
      </c>
      <c r="F911" s="25" t="s">
        <v>28</v>
      </c>
      <c r="G911" s="25" t="s">
        <v>62</v>
      </c>
      <c r="H911" s="25" t="s">
        <v>31</v>
      </c>
      <c r="I911" s="26">
        <v>45993.999224537038</v>
      </c>
      <c r="J911" s="25" t="s">
        <v>7507</v>
      </c>
      <c r="K911" s="25" t="s">
        <v>49</v>
      </c>
    </row>
    <row r="912" spans="3:11" x14ac:dyDescent="0.25">
      <c r="C912" s="25">
        <v>23601042</v>
      </c>
      <c r="D912" s="26">
        <v>45988.022488425922</v>
      </c>
      <c r="E912" s="25" t="s">
        <v>27</v>
      </c>
      <c r="F912" s="25" t="s">
        <v>28</v>
      </c>
      <c r="G912" s="25" t="s">
        <v>62</v>
      </c>
      <c r="H912" s="25" t="s">
        <v>31</v>
      </c>
      <c r="I912" s="26">
        <v>45994.022488425922</v>
      </c>
      <c r="J912" s="25" t="s">
        <v>7508</v>
      </c>
      <c r="K912" s="25" t="s">
        <v>49</v>
      </c>
    </row>
    <row r="913" spans="3:11" x14ac:dyDescent="0.25">
      <c r="C913" s="25">
        <v>23601043</v>
      </c>
      <c r="D913" s="26">
        <v>45988.035601851851</v>
      </c>
      <c r="E913" s="25" t="s">
        <v>48</v>
      </c>
      <c r="F913" s="25" t="s">
        <v>64</v>
      </c>
      <c r="G913" s="25" t="s">
        <v>62</v>
      </c>
      <c r="H913" s="25" t="s">
        <v>31</v>
      </c>
      <c r="I913" s="26">
        <v>45994.035601851851</v>
      </c>
      <c r="J913" s="25" t="s">
        <v>7509</v>
      </c>
      <c r="K913" s="25" t="s">
        <v>49</v>
      </c>
    </row>
    <row r="914" spans="3:11" x14ac:dyDescent="0.25">
      <c r="C914" s="25">
        <v>23601247</v>
      </c>
      <c r="D914" s="26">
        <v>45988.33357638889</v>
      </c>
      <c r="E914" s="25" t="s">
        <v>27</v>
      </c>
      <c r="F914" s="25" t="s">
        <v>28</v>
      </c>
      <c r="G914" s="25" t="s">
        <v>40</v>
      </c>
      <c r="H914" s="25" t="s">
        <v>31</v>
      </c>
      <c r="I914" s="26">
        <v>45995.33357638889</v>
      </c>
      <c r="J914" s="25" t="s">
        <v>7511</v>
      </c>
      <c r="K914" s="25" t="s">
        <v>32</v>
      </c>
    </row>
    <row r="915" spans="3:11" x14ac:dyDescent="0.25">
      <c r="C915" s="25">
        <v>23601249</v>
      </c>
      <c r="D915" s="26">
        <v>45988.338310185187</v>
      </c>
      <c r="E915" s="25" t="s">
        <v>27</v>
      </c>
      <c r="F915" s="25" t="s">
        <v>28</v>
      </c>
      <c r="G915" s="25" t="s">
        <v>62</v>
      </c>
      <c r="H915" s="25" t="s">
        <v>31</v>
      </c>
      <c r="I915" s="26">
        <v>45994.338310185187</v>
      </c>
      <c r="J915" s="25" t="s">
        <v>7512</v>
      </c>
      <c r="K915" s="25" t="s">
        <v>49</v>
      </c>
    </row>
    <row r="916" spans="3:11" x14ac:dyDescent="0.25">
      <c r="C916" s="25">
        <v>23601257</v>
      </c>
      <c r="D916" s="26">
        <v>45988.347546296296</v>
      </c>
      <c r="E916" s="25" t="s">
        <v>27</v>
      </c>
      <c r="F916" s="25" t="s">
        <v>28</v>
      </c>
      <c r="G916" s="25" t="s">
        <v>62</v>
      </c>
      <c r="H916" s="25" t="s">
        <v>31</v>
      </c>
      <c r="I916" s="26">
        <v>45994.347546296296</v>
      </c>
      <c r="J916" s="25" t="s">
        <v>7513</v>
      </c>
      <c r="K916" s="25" t="s">
        <v>49</v>
      </c>
    </row>
    <row r="917" spans="3:11" x14ac:dyDescent="0.25">
      <c r="C917" s="25">
        <v>23601261</v>
      </c>
      <c r="D917" s="26">
        <v>45988.34957175926</v>
      </c>
      <c r="E917" s="25" t="s">
        <v>27</v>
      </c>
      <c r="F917" s="25" t="s">
        <v>28</v>
      </c>
      <c r="G917" s="25" t="s">
        <v>62</v>
      </c>
      <c r="H917" s="25" t="s">
        <v>31</v>
      </c>
      <c r="I917" s="26">
        <v>45994.34957175926</v>
      </c>
      <c r="J917" s="25" t="s">
        <v>7514</v>
      </c>
      <c r="K917" s="25" t="s">
        <v>49</v>
      </c>
    </row>
    <row r="918" spans="3:11" x14ac:dyDescent="0.25">
      <c r="C918" s="25">
        <v>23601263</v>
      </c>
      <c r="D918" s="26">
        <v>45988.350138888891</v>
      </c>
      <c r="E918" s="25" t="s">
        <v>27</v>
      </c>
      <c r="F918" s="25" t="s">
        <v>28</v>
      </c>
      <c r="G918" s="25" t="s">
        <v>40</v>
      </c>
      <c r="H918" s="25" t="s">
        <v>31</v>
      </c>
      <c r="I918" s="26">
        <v>45995.350138888891</v>
      </c>
      <c r="J918" s="25" t="s">
        <v>655</v>
      </c>
      <c r="K918" s="25" t="s">
        <v>32</v>
      </c>
    </row>
    <row r="919" spans="3:11" x14ac:dyDescent="0.25">
      <c r="C919" s="25">
        <v>23601266</v>
      </c>
      <c r="D919" s="26">
        <v>45988.351527777777</v>
      </c>
      <c r="E919" s="25" t="s">
        <v>27</v>
      </c>
      <c r="F919" s="25" t="s">
        <v>28</v>
      </c>
      <c r="G919" s="25" t="s">
        <v>40</v>
      </c>
      <c r="H919" s="25" t="s">
        <v>31</v>
      </c>
      <c r="I919" s="26">
        <v>45995.351527777777</v>
      </c>
      <c r="J919" s="25" t="s">
        <v>7515</v>
      </c>
      <c r="K919" s="25" t="s">
        <v>32</v>
      </c>
    </row>
    <row r="920" spans="3:11" x14ac:dyDescent="0.25">
      <c r="C920" s="25">
        <v>23601271</v>
      </c>
      <c r="D920" s="26">
        <v>45988.353807870371</v>
      </c>
      <c r="E920" s="25" t="s">
        <v>27</v>
      </c>
      <c r="F920" s="25" t="s">
        <v>28</v>
      </c>
      <c r="G920" s="25" t="s">
        <v>51</v>
      </c>
      <c r="H920" s="25" t="s">
        <v>31</v>
      </c>
      <c r="I920" s="26">
        <v>46006.353807870371</v>
      </c>
      <c r="J920" s="25" t="s">
        <v>7517</v>
      </c>
      <c r="K920" s="25" t="s">
        <v>32</v>
      </c>
    </row>
    <row r="921" spans="3:11" x14ac:dyDescent="0.25">
      <c r="C921" s="25">
        <v>23601280</v>
      </c>
      <c r="D921" s="26">
        <v>45988.357430555552</v>
      </c>
      <c r="E921" s="25" t="s">
        <v>27</v>
      </c>
      <c r="F921" s="25" t="s">
        <v>28</v>
      </c>
      <c r="G921" s="25" t="s">
        <v>62</v>
      </c>
      <c r="H921" s="25" t="s">
        <v>31</v>
      </c>
      <c r="I921" s="26">
        <v>45994.357430555552</v>
      </c>
      <c r="J921" s="25" t="s">
        <v>7518</v>
      </c>
      <c r="K921" s="25" t="s">
        <v>49</v>
      </c>
    </row>
    <row r="922" spans="3:11" x14ac:dyDescent="0.25">
      <c r="C922" s="25">
        <v>23601289</v>
      </c>
      <c r="D922" s="26">
        <v>45988.365416666667</v>
      </c>
      <c r="E922" s="25" t="s">
        <v>48</v>
      </c>
      <c r="F922" s="25" t="s">
        <v>64</v>
      </c>
      <c r="G922" s="25" t="s">
        <v>43</v>
      </c>
      <c r="H922" s="25" t="s">
        <v>38</v>
      </c>
      <c r="I922" s="26">
        <v>46003.365416666667</v>
      </c>
      <c r="J922" s="25" t="s">
        <v>7527</v>
      </c>
      <c r="K922" s="25" t="s">
        <v>32</v>
      </c>
    </row>
    <row r="923" spans="3:11" x14ac:dyDescent="0.25">
      <c r="C923" s="25">
        <v>23601293</v>
      </c>
      <c r="D923" s="26">
        <v>45988.369097222225</v>
      </c>
      <c r="E923" s="25" t="s">
        <v>27</v>
      </c>
      <c r="F923" s="25" t="s">
        <v>28</v>
      </c>
      <c r="G923" s="25" t="s">
        <v>40</v>
      </c>
      <c r="H923" s="25" t="s">
        <v>31</v>
      </c>
      <c r="I923" s="26">
        <v>45995.369097222225</v>
      </c>
      <c r="J923" s="25" t="s">
        <v>7528</v>
      </c>
      <c r="K923" s="25" t="s">
        <v>32</v>
      </c>
    </row>
    <row r="924" spans="3:11" x14ac:dyDescent="0.25">
      <c r="C924" s="25">
        <v>23601295</v>
      </c>
      <c r="D924" s="26">
        <v>45988.369664351849</v>
      </c>
      <c r="E924" s="25" t="s">
        <v>27</v>
      </c>
      <c r="F924" s="25" t="s">
        <v>28</v>
      </c>
      <c r="G924" s="25" t="s">
        <v>51</v>
      </c>
      <c r="H924" s="25" t="s">
        <v>31</v>
      </c>
      <c r="I924" s="26">
        <v>46006.369664351849</v>
      </c>
      <c r="J924" s="25" t="s">
        <v>7529</v>
      </c>
      <c r="K924" s="25" t="s">
        <v>32</v>
      </c>
    </row>
    <row r="925" spans="3:11" x14ac:dyDescent="0.25">
      <c r="C925" s="25">
        <v>23601300</v>
      </c>
      <c r="D925" s="26">
        <v>45988.373680555553</v>
      </c>
      <c r="E925" s="25" t="s">
        <v>27</v>
      </c>
      <c r="F925" s="25" t="s">
        <v>28</v>
      </c>
      <c r="G925" s="25" t="s">
        <v>68</v>
      </c>
      <c r="H925" s="25" t="s">
        <v>38</v>
      </c>
      <c r="I925" s="26">
        <v>46009.373680555553</v>
      </c>
      <c r="J925" s="25" t="s">
        <v>7530</v>
      </c>
      <c r="K925" s="25" t="s">
        <v>32</v>
      </c>
    </row>
    <row r="926" spans="3:11" x14ac:dyDescent="0.25">
      <c r="C926" s="25">
        <v>23601311</v>
      </c>
      <c r="D926" s="26">
        <v>45988.37777777778</v>
      </c>
      <c r="E926" s="25" t="s">
        <v>48</v>
      </c>
      <c r="F926" s="25" t="s">
        <v>64</v>
      </c>
      <c r="G926" s="25" t="s">
        <v>62</v>
      </c>
      <c r="H926" s="25" t="s">
        <v>31</v>
      </c>
      <c r="I926" s="26">
        <v>45994.37777777778</v>
      </c>
      <c r="J926" s="25" t="s">
        <v>1136</v>
      </c>
      <c r="K926" s="25" t="s">
        <v>49</v>
      </c>
    </row>
    <row r="927" spans="3:11" x14ac:dyDescent="0.25">
      <c r="C927" s="25">
        <v>23601325</v>
      </c>
      <c r="D927" s="26">
        <v>45988.392800925925</v>
      </c>
      <c r="E927" s="25" t="s">
        <v>27</v>
      </c>
      <c r="F927" s="25" t="s">
        <v>28</v>
      </c>
      <c r="G927" s="25" t="s">
        <v>62</v>
      </c>
      <c r="H927" s="25" t="s">
        <v>31</v>
      </c>
      <c r="I927" s="26">
        <v>45994.392800925925</v>
      </c>
      <c r="J927" s="25" t="s">
        <v>888</v>
      </c>
      <c r="K927" s="25" t="s">
        <v>49</v>
      </c>
    </row>
    <row r="928" spans="3:11" x14ac:dyDescent="0.25">
      <c r="C928" s="25">
        <v>23601327</v>
      </c>
      <c r="D928" s="26">
        <v>45988.394097222219</v>
      </c>
      <c r="E928" s="25" t="s">
        <v>27</v>
      </c>
      <c r="F928" s="25" t="s">
        <v>28</v>
      </c>
      <c r="G928" s="25" t="s">
        <v>40</v>
      </c>
      <c r="H928" s="25" t="s">
        <v>38</v>
      </c>
      <c r="I928" s="26">
        <v>46001.394097222219</v>
      </c>
      <c r="J928" s="25" t="s">
        <v>7532</v>
      </c>
      <c r="K928" s="25" t="s">
        <v>32</v>
      </c>
    </row>
    <row r="929" spans="3:11" x14ac:dyDescent="0.25">
      <c r="C929" s="25">
        <v>23601329</v>
      </c>
      <c r="D929" s="26">
        <v>45988.39570601852</v>
      </c>
      <c r="E929" s="25" t="s">
        <v>27</v>
      </c>
      <c r="F929" s="25" t="s">
        <v>28</v>
      </c>
      <c r="G929" s="25" t="s">
        <v>40</v>
      </c>
      <c r="H929" s="25" t="s">
        <v>31</v>
      </c>
      <c r="I929" s="26">
        <v>45995.39570601852</v>
      </c>
      <c r="J929" s="25" t="s">
        <v>1115</v>
      </c>
      <c r="K929" s="25" t="s">
        <v>32</v>
      </c>
    </row>
    <row r="930" spans="3:11" x14ac:dyDescent="0.25">
      <c r="C930" s="25">
        <v>23601337</v>
      </c>
      <c r="D930" s="26">
        <v>45988.397002314814</v>
      </c>
      <c r="E930" s="25" t="s">
        <v>48</v>
      </c>
      <c r="F930" s="25" t="s">
        <v>64</v>
      </c>
      <c r="G930" s="25" t="s">
        <v>29</v>
      </c>
      <c r="H930" s="25" t="s">
        <v>38</v>
      </c>
      <c r="I930" s="26">
        <v>46003.397002314814</v>
      </c>
      <c r="J930" s="25" t="s">
        <v>1119</v>
      </c>
      <c r="K930" s="25" t="s">
        <v>32</v>
      </c>
    </row>
    <row r="931" spans="3:11" x14ac:dyDescent="0.25">
      <c r="C931" s="25">
        <v>23601361</v>
      </c>
      <c r="D931" s="26">
        <v>45988.406863425924</v>
      </c>
      <c r="E931" s="25" t="s">
        <v>57</v>
      </c>
      <c r="F931" s="25" t="s">
        <v>58</v>
      </c>
      <c r="G931" s="25" t="s">
        <v>68</v>
      </c>
      <c r="H931" s="25" t="s">
        <v>38</v>
      </c>
      <c r="I931" s="26">
        <v>46009.406863425924</v>
      </c>
      <c r="J931" s="25" t="s">
        <v>7534</v>
      </c>
      <c r="K931" s="25" t="s">
        <v>32</v>
      </c>
    </row>
    <row r="932" spans="3:11" x14ac:dyDescent="0.25">
      <c r="C932" s="25">
        <v>23601363</v>
      </c>
      <c r="D932" s="26">
        <v>45988.407696759263</v>
      </c>
      <c r="E932" s="25" t="s">
        <v>27</v>
      </c>
      <c r="F932" s="25" t="s">
        <v>28</v>
      </c>
      <c r="G932" s="25" t="s">
        <v>40</v>
      </c>
      <c r="H932" s="25" t="s">
        <v>31</v>
      </c>
      <c r="I932" s="26">
        <v>45995.407696759263</v>
      </c>
      <c r="J932" s="25" t="s">
        <v>7536</v>
      </c>
      <c r="K932" s="25" t="s">
        <v>32</v>
      </c>
    </row>
    <row r="933" spans="3:11" x14ac:dyDescent="0.25">
      <c r="C933" s="25">
        <v>23601392</v>
      </c>
      <c r="D933" s="26">
        <v>45989.620138888888</v>
      </c>
      <c r="E933" s="25" t="s">
        <v>44</v>
      </c>
      <c r="F933" s="25" t="s">
        <v>45</v>
      </c>
      <c r="G933" s="25" t="s">
        <v>76</v>
      </c>
      <c r="H933" s="25" t="s">
        <v>31</v>
      </c>
      <c r="I933" s="26">
        <v>46001.620138888888</v>
      </c>
      <c r="J933" s="25" t="s">
        <v>7540</v>
      </c>
      <c r="K933" s="25" t="s">
        <v>32</v>
      </c>
    </row>
    <row r="934" spans="3:11" x14ac:dyDescent="0.25">
      <c r="C934" s="25">
        <v>23601398</v>
      </c>
      <c r="D934" s="26">
        <v>45988.422453703701</v>
      </c>
      <c r="E934" s="25" t="s">
        <v>27</v>
      </c>
      <c r="F934" s="25" t="s">
        <v>28</v>
      </c>
      <c r="G934" s="25" t="s">
        <v>68</v>
      </c>
      <c r="H934" s="25" t="s">
        <v>38</v>
      </c>
      <c r="I934" s="26">
        <v>46009.422453703701</v>
      </c>
      <c r="J934" s="25" t="s">
        <v>7541</v>
      </c>
      <c r="K934" s="25" t="s">
        <v>32</v>
      </c>
    </row>
    <row r="935" spans="3:11" x14ac:dyDescent="0.25">
      <c r="C935" s="25">
        <v>23601414</v>
      </c>
      <c r="D935" s="26">
        <v>45988.429884259262</v>
      </c>
      <c r="E935" s="25" t="s">
        <v>57</v>
      </c>
      <c r="F935" s="25" t="s">
        <v>58</v>
      </c>
      <c r="G935" s="25" t="s">
        <v>29</v>
      </c>
      <c r="H935" s="25" t="s">
        <v>31</v>
      </c>
      <c r="I935" s="26">
        <v>46000.429884259262</v>
      </c>
      <c r="J935" s="25" t="s">
        <v>7234</v>
      </c>
      <c r="K935" s="25" t="s">
        <v>32</v>
      </c>
    </row>
    <row r="936" spans="3:11" x14ac:dyDescent="0.25">
      <c r="C936" s="25">
        <v>23601420</v>
      </c>
      <c r="D936" s="26">
        <v>45988.432523148149</v>
      </c>
      <c r="E936" s="25" t="s">
        <v>27</v>
      </c>
      <c r="F936" s="25" t="s">
        <v>28</v>
      </c>
      <c r="G936" s="25" t="s">
        <v>29</v>
      </c>
      <c r="H936" s="25" t="s">
        <v>31</v>
      </c>
      <c r="I936" s="26">
        <v>46000.432523148149</v>
      </c>
      <c r="J936" s="25" t="s">
        <v>7545</v>
      </c>
      <c r="K936" s="25" t="s">
        <v>32</v>
      </c>
    </row>
    <row r="937" spans="3:11" x14ac:dyDescent="0.25">
      <c r="C937" s="25">
        <v>23601428</v>
      </c>
      <c r="D937" s="26">
        <v>45988.434953703705</v>
      </c>
      <c r="E937" s="25" t="s">
        <v>44</v>
      </c>
      <c r="F937" s="25" t="s">
        <v>45</v>
      </c>
      <c r="G937" s="25" t="s">
        <v>68</v>
      </c>
      <c r="H937" s="25" t="s">
        <v>31</v>
      </c>
      <c r="I937" s="26">
        <v>46002.434953703705</v>
      </c>
      <c r="J937" s="25" t="s">
        <v>7547</v>
      </c>
      <c r="K937" s="25" t="s">
        <v>32</v>
      </c>
    </row>
    <row r="938" spans="3:11" x14ac:dyDescent="0.25">
      <c r="C938" s="25">
        <v>23601432</v>
      </c>
      <c r="D938" s="26">
        <v>45988.438113425924</v>
      </c>
      <c r="E938" s="25" t="s">
        <v>27</v>
      </c>
      <c r="F938" s="25" t="s">
        <v>28</v>
      </c>
      <c r="G938" s="25" t="s">
        <v>62</v>
      </c>
      <c r="H938" s="25" t="s">
        <v>31</v>
      </c>
      <c r="I938" s="26">
        <v>45994.438113425924</v>
      </c>
      <c r="J938" s="25" t="s">
        <v>7548</v>
      </c>
      <c r="K938" s="25" t="s">
        <v>49</v>
      </c>
    </row>
    <row r="939" spans="3:11" x14ac:dyDescent="0.25">
      <c r="C939" s="25">
        <v>23601436</v>
      </c>
      <c r="D939" s="26">
        <v>45988.439085648148</v>
      </c>
      <c r="E939" s="25" t="s">
        <v>27</v>
      </c>
      <c r="F939" s="25" t="s">
        <v>28</v>
      </c>
      <c r="G939" s="25" t="s">
        <v>29</v>
      </c>
      <c r="H939" s="25" t="s">
        <v>31</v>
      </c>
      <c r="I939" s="26">
        <v>46000.439085648148</v>
      </c>
      <c r="J939" s="25" t="s">
        <v>7549</v>
      </c>
      <c r="K939" s="25" t="s">
        <v>32</v>
      </c>
    </row>
    <row r="940" spans="3:11" x14ac:dyDescent="0.25">
      <c r="C940" s="25">
        <v>23601439</v>
      </c>
      <c r="D940" s="26">
        <v>45988.440138888887</v>
      </c>
      <c r="E940" s="25" t="s">
        <v>48</v>
      </c>
      <c r="F940" s="25" t="s">
        <v>64</v>
      </c>
      <c r="G940" s="25" t="s">
        <v>137</v>
      </c>
      <c r="H940" s="25" t="s">
        <v>38</v>
      </c>
      <c r="I940" s="26">
        <v>46003.440138888887</v>
      </c>
      <c r="J940" s="25" t="s">
        <v>7552</v>
      </c>
      <c r="K940" s="25" t="s">
        <v>32</v>
      </c>
    </row>
    <row r="941" spans="3:11" x14ac:dyDescent="0.25">
      <c r="C941" s="25">
        <v>23601454</v>
      </c>
      <c r="D941" s="26">
        <v>45988.451064814813</v>
      </c>
      <c r="E941" s="25" t="s">
        <v>27</v>
      </c>
      <c r="F941" s="25" t="s">
        <v>28</v>
      </c>
      <c r="G941" s="25" t="s">
        <v>40</v>
      </c>
      <c r="H941" s="25" t="s">
        <v>31</v>
      </c>
      <c r="I941" s="26">
        <v>45995.451064814813</v>
      </c>
      <c r="J941" s="25" t="s">
        <v>7405</v>
      </c>
      <c r="K941" s="25" t="s">
        <v>32</v>
      </c>
    </row>
    <row r="942" spans="3:11" x14ac:dyDescent="0.25">
      <c r="C942" s="25">
        <v>23601464</v>
      </c>
      <c r="D942" s="26">
        <v>45988.454988425925</v>
      </c>
      <c r="E942" s="25" t="s">
        <v>48</v>
      </c>
      <c r="F942" s="25" t="s">
        <v>64</v>
      </c>
      <c r="G942" s="25" t="s">
        <v>76</v>
      </c>
      <c r="H942" s="25" t="s">
        <v>31</v>
      </c>
      <c r="I942" s="26">
        <v>46000.454988425925</v>
      </c>
      <c r="J942" s="25" t="s">
        <v>2657</v>
      </c>
      <c r="K942" s="25" t="s">
        <v>32</v>
      </c>
    </row>
    <row r="943" spans="3:11" x14ac:dyDescent="0.25">
      <c r="C943" s="25">
        <v>23601467</v>
      </c>
      <c r="D943" s="26">
        <v>45988.455740740741</v>
      </c>
      <c r="E943" s="25" t="s">
        <v>27</v>
      </c>
      <c r="F943" s="25" t="s">
        <v>28</v>
      </c>
      <c r="G943" s="25" t="s">
        <v>68</v>
      </c>
      <c r="H943" s="25" t="s">
        <v>38</v>
      </c>
      <c r="I943" s="26">
        <v>46009.455740740741</v>
      </c>
      <c r="J943" s="25" t="s">
        <v>7554</v>
      </c>
      <c r="K943" s="25" t="s">
        <v>32</v>
      </c>
    </row>
    <row r="944" spans="3:11" x14ac:dyDescent="0.25">
      <c r="C944" s="25">
        <v>23601493</v>
      </c>
      <c r="D944" s="26">
        <v>45989.310960648145</v>
      </c>
      <c r="E944" s="25" t="s">
        <v>27</v>
      </c>
      <c r="F944" s="25" t="s">
        <v>28</v>
      </c>
      <c r="G944" s="25" t="s">
        <v>40</v>
      </c>
      <c r="H944" s="25" t="s">
        <v>31</v>
      </c>
      <c r="I944" s="26">
        <v>45996.310960648145</v>
      </c>
      <c r="J944" s="25" t="s">
        <v>7563</v>
      </c>
      <c r="K944" s="25" t="s">
        <v>32</v>
      </c>
    </row>
    <row r="945" spans="3:11" x14ac:dyDescent="0.25">
      <c r="C945" s="25">
        <v>23601499</v>
      </c>
      <c r="D945" s="26">
        <v>45989.310960648145</v>
      </c>
      <c r="E945" s="25" t="s">
        <v>27</v>
      </c>
      <c r="F945" s="25" t="s">
        <v>28</v>
      </c>
      <c r="G945" s="25" t="s">
        <v>40</v>
      </c>
      <c r="H945" s="25" t="s">
        <v>31</v>
      </c>
      <c r="I945" s="26">
        <v>45996.310960648145</v>
      </c>
      <c r="J945" s="25" t="s">
        <v>7563</v>
      </c>
      <c r="K945" s="25" t="s">
        <v>32</v>
      </c>
    </row>
    <row r="946" spans="3:11" x14ac:dyDescent="0.25">
      <c r="C946" s="25">
        <v>23601508</v>
      </c>
      <c r="D946" s="26">
        <v>45989.310949074075</v>
      </c>
      <c r="E946" s="25" t="s">
        <v>27</v>
      </c>
      <c r="F946" s="25" t="s">
        <v>28</v>
      </c>
      <c r="G946" s="25" t="s">
        <v>40</v>
      </c>
      <c r="H946" s="25" t="s">
        <v>31</v>
      </c>
      <c r="I946" s="26">
        <v>45996.310949074075</v>
      </c>
      <c r="J946" s="25" t="s">
        <v>7563</v>
      </c>
      <c r="K946" s="25" t="s">
        <v>32</v>
      </c>
    </row>
    <row r="947" spans="3:11" x14ac:dyDescent="0.25">
      <c r="C947" s="25">
        <v>23601514</v>
      </c>
      <c r="D947" s="26">
        <v>45988.481215277781</v>
      </c>
      <c r="E947" s="25" t="s">
        <v>27</v>
      </c>
      <c r="F947" s="25" t="s">
        <v>28</v>
      </c>
      <c r="G947" s="25" t="s">
        <v>40</v>
      </c>
      <c r="H947" s="25" t="s">
        <v>31</v>
      </c>
      <c r="I947" s="26">
        <v>45995.481215277781</v>
      </c>
      <c r="J947" s="25" t="s">
        <v>6859</v>
      </c>
      <c r="K947" s="25" t="s">
        <v>32</v>
      </c>
    </row>
    <row r="948" spans="3:11" x14ac:dyDescent="0.25">
      <c r="C948" s="25">
        <v>23601515</v>
      </c>
      <c r="D948" s="26">
        <v>45988.481770833336</v>
      </c>
      <c r="E948" s="25" t="s">
        <v>27</v>
      </c>
      <c r="F948" s="25" t="s">
        <v>28</v>
      </c>
      <c r="G948" s="25" t="s">
        <v>62</v>
      </c>
      <c r="H948" s="25" t="s">
        <v>31</v>
      </c>
      <c r="I948" s="26">
        <v>45994.481770833336</v>
      </c>
      <c r="J948" s="25" t="s">
        <v>7250</v>
      </c>
      <c r="K948" s="25" t="s">
        <v>49</v>
      </c>
    </row>
    <row r="949" spans="3:11" x14ac:dyDescent="0.25">
      <c r="C949" s="25">
        <v>23601543</v>
      </c>
      <c r="D949" s="26">
        <v>45988.499675925923</v>
      </c>
      <c r="E949" s="25" t="s">
        <v>27</v>
      </c>
      <c r="F949" s="25" t="s">
        <v>28</v>
      </c>
      <c r="G949" s="25" t="s">
        <v>40</v>
      </c>
      <c r="H949" s="25" t="s">
        <v>31</v>
      </c>
      <c r="I949" s="26">
        <v>45995.499675925923</v>
      </c>
      <c r="J949" s="25" t="s">
        <v>5824</v>
      </c>
      <c r="K949" s="25" t="s">
        <v>32</v>
      </c>
    </row>
    <row r="950" spans="3:11" x14ac:dyDescent="0.25">
      <c r="C950" s="25">
        <v>23601544</v>
      </c>
      <c r="D950" s="26">
        <v>45988.499756944446</v>
      </c>
      <c r="E950" s="25" t="s">
        <v>27</v>
      </c>
      <c r="F950" s="25" t="s">
        <v>28</v>
      </c>
      <c r="G950" s="25" t="s">
        <v>62</v>
      </c>
      <c r="H950" s="25" t="s">
        <v>31</v>
      </c>
      <c r="I950" s="26">
        <v>45994.499756944446</v>
      </c>
      <c r="J950" s="25" t="s">
        <v>7572</v>
      </c>
      <c r="K950" s="25" t="s">
        <v>49</v>
      </c>
    </row>
    <row r="951" spans="3:11" x14ac:dyDescent="0.25">
      <c r="C951" s="25">
        <v>23601545</v>
      </c>
      <c r="D951" s="26">
        <v>45988.499849537038</v>
      </c>
      <c r="E951" s="25" t="s">
        <v>27</v>
      </c>
      <c r="F951" s="25" t="s">
        <v>28</v>
      </c>
      <c r="G951" s="25" t="s">
        <v>68</v>
      </c>
      <c r="H951" s="25" t="s">
        <v>31</v>
      </c>
      <c r="I951" s="26">
        <v>46002.499849537038</v>
      </c>
      <c r="J951" s="25" t="s">
        <v>7573</v>
      </c>
      <c r="K951" s="25" t="s">
        <v>32</v>
      </c>
    </row>
    <row r="952" spans="3:11" x14ac:dyDescent="0.25">
      <c r="C952" s="25">
        <v>23601546</v>
      </c>
      <c r="D952" s="26">
        <v>45988.501493055555</v>
      </c>
      <c r="E952" s="25" t="s">
        <v>27</v>
      </c>
      <c r="F952" s="25" t="s">
        <v>28</v>
      </c>
      <c r="G952" s="25" t="s">
        <v>40</v>
      </c>
      <c r="H952" s="25" t="s">
        <v>31</v>
      </c>
      <c r="I952" s="26">
        <v>45995.501493055555</v>
      </c>
      <c r="J952" s="25" t="s">
        <v>6522</v>
      </c>
      <c r="K952" s="25" t="s">
        <v>32</v>
      </c>
    </row>
    <row r="953" spans="3:11" x14ac:dyDescent="0.25">
      <c r="C953" s="25">
        <v>23601549</v>
      </c>
      <c r="D953" s="26">
        <v>45988.502916666665</v>
      </c>
      <c r="E953" s="25" t="s">
        <v>27</v>
      </c>
      <c r="F953" s="25" t="s">
        <v>28</v>
      </c>
      <c r="G953" s="25" t="s">
        <v>29</v>
      </c>
      <c r="H953" s="25" t="s">
        <v>31</v>
      </c>
      <c r="I953" s="26">
        <v>46000.502916666665</v>
      </c>
      <c r="J953" s="25" t="s">
        <v>7575</v>
      </c>
      <c r="K953" s="25" t="s">
        <v>32</v>
      </c>
    </row>
    <row r="954" spans="3:11" x14ac:dyDescent="0.25">
      <c r="C954" s="25">
        <v>23601554</v>
      </c>
      <c r="D954" s="26">
        <v>45988.506053240744</v>
      </c>
      <c r="E954" s="25" t="s">
        <v>27</v>
      </c>
      <c r="F954" s="25" t="s">
        <v>28</v>
      </c>
      <c r="G954" s="25" t="s">
        <v>40</v>
      </c>
      <c r="H954" s="25" t="s">
        <v>38</v>
      </c>
      <c r="I954" s="26">
        <v>46001.506053240744</v>
      </c>
      <c r="J954" s="25" t="s">
        <v>7577</v>
      </c>
      <c r="K954" s="25" t="s">
        <v>32</v>
      </c>
    </row>
    <row r="955" spans="3:11" x14ac:dyDescent="0.25">
      <c r="C955" s="25">
        <v>23601556</v>
      </c>
      <c r="D955" s="26">
        <v>45988.506377314814</v>
      </c>
      <c r="E955" s="25" t="s">
        <v>55</v>
      </c>
      <c r="F955" s="25" t="s">
        <v>56</v>
      </c>
      <c r="G955" s="25" t="s">
        <v>137</v>
      </c>
      <c r="H955" s="25" t="s">
        <v>31</v>
      </c>
      <c r="I955" s="26">
        <v>46000.506377314814</v>
      </c>
      <c r="J955" s="25" t="s">
        <v>2685</v>
      </c>
      <c r="K955" s="25" t="s">
        <v>32</v>
      </c>
    </row>
    <row r="956" spans="3:11" x14ac:dyDescent="0.25">
      <c r="C956" s="25">
        <v>23601557</v>
      </c>
      <c r="D956" s="26">
        <v>45988.50675925926</v>
      </c>
      <c r="E956" s="25" t="s">
        <v>44</v>
      </c>
      <c r="F956" s="25" t="s">
        <v>45</v>
      </c>
      <c r="G956" s="25" t="s">
        <v>43</v>
      </c>
      <c r="H956" s="25" t="s">
        <v>38</v>
      </c>
      <c r="I956" s="26">
        <v>46003.50675925926</v>
      </c>
      <c r="J956" s="25" t="s">
        <v>7587</v>
      </c>
      <c r="K956" s="25" t="s">
        <v>32</v>
      </c>
    </row>
    <row r="957" spans="3:11" x14ac:dyDescent="0.25">
      <c r="C957" s="25">
        <v>23601560</v>
      </c>
      <c r="D957" s="26">
        <v>45988.508206018516</v>
      </c>
      <c r="E957" s="25" t="s">
        <v>27</v>
      </c>
      <c r="F957" s="25" t="s">
        <v>28</v>
      </c>
      <c r="G957" s="25" t="s">
        <v>68</v>
      </c>
      <c r="H957" s="25" t="s">
        <v>31</v>
      </c>
      <c r="I957" s="26">
        <v>46002.508206018516</v>
      </c>
      <c r="J957" s="25" t="s">
        <v>7589</v>
      </c>
      <c r="K957" s="25" t="s">
        <v>32</v>
      </c>
    </row>
    <row r="958" spans="3:11" x14ac:dyDescent="0.25">
      <c r="C958" s="25">
        <v>23601576</v>
      </c>
      <c r="D958" s="26">
        <v>45988.524745370371</v>
      </c>
      <c r="E958" s="25" t="s">
        <v>27</v>
      </c>
      <c r="F958" s="25" t="s">
        <v>28</v>
      </c>
      <c r="G958" s="25" t="s">
        <v>29</v>
      </c>
      <c r="H958" s="25" t="s">
        <v>31</v>
      </c>
      <c r="I958" s="26">
        <v>46000.524745370371</v>
      </c>
      <c r="J958" s="25" t="s">
        <v>7591</v>
      </c>
      <c r="K958" s="25" t="s">
        <v>32</v>
      </c>
    </row>
    <row r="959" spans="3:11" x14ac:dyDescent="0.25">
      <c r="C959" s="25">
        <v>23601581</v>
      </c>
      <c r="D959" s="26">
        <v>45988.52888888889</v>
      </c>
      <c r="E959" s="25" t="s">
        <v>57</v>
      </c>
      <c r="F959" s="25" t="s">
        <v>58</v>
      </c>
      <c r="G959" s="25" t="s">
        <v>29</v>
      </c>
      <c r="H959" s="25" t="s">
        <v>31</v>
      </c>
      <c r="I959" s="26">
        <v>46000.52888888889</v>
      </c>
      <c r="J959" s="25" t="s">
        <v>7593</v>
      </c>
      <c r="K959" s="25" t="s">
        <v>32</v>
      </c>
    </row>
    <row r="960" spans="3:11" x14ac:dyDescent="0.25">
      <c r="C960" s="25">
        <v>23601586</v>
      </c>
      <c r="D960" s="26">
        <v>45988.53266203704</v>
      </c>
      <c r="E960" s="25" t="s">
        <v>27</v>
      </c>
      <c r="F960" s="25" t="s">
        <v>28</v>
      </c>
      <c r="G960" s="25" t="s">
        <v>68</v>
      </c>
      <c r="H960" s="25" t="s">
        <v>38</v>
      </c>
      <c r="I960" s="26">
        <v>46009.53266203704</v>
      </c>
      <c r="J960" s="25" t="s">
        <v>7595</v>
      </c>
      <c r="K960" s="25" t="s">
        <v>32</v>
      </c>
    </row>
    <row r="961" spans="3:11" x14ac:dyDescent="0.25">
      <c r="C961" s="25">
        <v>23601595</v>
      </c>
      <c r="D961" s="26">
        <v>45988.546203703707</v>
      </c>
      <c r="E961" s="25" t="s">
        <v>27</v>
      </c>
      <c r="F961" s="25" t="s">
        <v>28</v>
      </c>
      <c r="G961" s="25" t="s">
        <v>43</v>
      </c>
      <c r="H961" s="25" t="s">
        <v>31</v>
      </c>
      <c r="I961" s="26">
        <v>46000.546203703707</v>
      </c>
      <c r="J961" s="25" t="s">
        <v>7602</v>
      </c>
      <c r="K961" s="25" t="s">
        <v>32</v>
      </c>
    </row>
    <row r="962" spans="3:11" x14ac:dyDescent="0.25">
      <c r="C962" s="25">
        <v>23601599</v>
      </c>
      <c r="D962" s="26">
        <v>45988.552986111114</v>
      </c>
      <c r="E962" s="25" t="s">
        <v>27</v>
      </c>
      <c r="F962" s="25" t="s">
        <v>28</v>
      </c>
      <c r="G962" s="25" t="s">
        <v>76</v>
      </c>
      <c r="H962" s="25" t="s">
        <v>31</v>
      </c>
      <c r="I962" s="26">
        <v>46000.552986111114</v>
      </c>
      <c r="J962" s="25" t="s">
        <v>2218</v>
      </c>
      <c r="K962" s="25" t="s">
        <v>32</v>
      </c>
    </row>
    <row r="963" spans="3:11" x14ac:dyDescent="0.25">
      <c r="C963" s="25">
        <v>23601606</v>
      </c>
      <c r="D963" s="26">
        <v>45988.561562499999</v>
      </c>
      <c r="E963" s="25" t="s">
        <v>27</v>
      </c>
      <c r="F963" s="25" t="s">
        <v>28</v>
      </c>
      <c r="G963" s="25" t="s">
        <v>62</v>
      </c>
      <c r="H963" s="25" t="s">
        <v>31</v>
      </c>
      <c r="I963" s="26">
        <v>45994.561562499999</v>
      </c>
      <c r="J963" s="25" t="s">
        <v>7604</v>
      </c>
      <c r="K963" s="25" t="s">
        <v>49</v>
      </c>
    </row>
    <row r="964" spans="3:11" x14ac:dyDescent="0.25">
      <c r="C964" s="25">
        <v>23601613</v>
      </c>
      <c r="D964" s="26">
        <v>45988.568831018521</v>
      </c>
      <c r="E964" s="25" t="s">
        <v>27</v>
      </c>
      <c r="F964" s="25" t="s">
        <v>28</v>
      </c>
      <c r="G964" s="25" t="s">
        <v>40</v>
      </c>
      <c r="H964" s="25" t="s">
        <v>31</v>
      </c>
      <c r="I964" s="26">
        <v>45995.568831018521</v>
      </c>
      <c r="J964" s="25" t="s">
        <v>4746</v>
      </c>
      <c r="K964" s="25" t="s">
        <v>32</v>
      </c>
    </row>
    <row r="965" spans="3:11" x14ac:dyDescent="0.25">
      <c r="C965" s="25">
        <v>23601635</v>
      </c>
      <c r="D965" s="26">
        <v>45988.581377314818</v>
      </c>
      <c r="E965" s="25" t="s">
        <v>59</v>
      </c>
      <c r="F965" s="25" t="s">
        <v>60</v>
      </c>
      <c r="G965" s="25" t="s">
        <v>62</v>
      </c>
      <c r="H965" s="25" t="s">
        <v>31</v>
      </c>
      <c r="I965" s="26">
        <v>45994.581377314818</v>
      </c>
      <c r="J965" s="25" t="s">
        <v>7605</v>
      </c>
      <c r="K965" s="25" t="s">
        <v>49</v>
      </c>
    </row>
    <row r="966" spans="3:11" x14ac:dyDescent="0.25">
      <c r="C966" s="25">
        <v>23601649</v>
      </c>
      <c r="D966" s="26">
        <v>45988.590810185182</v>
      </c>
      <c r="E966" s="25" t="s">
        <v>59</v>
      </c>
      <c r="F966" s="25" t="s">
        <v>60</v>
      </c>
      <c r="G966" s="25" t="s">
        <v>62</v>
      </c>
      <c r="H966" s="25" t="s">
        <v>31</v>
      </c>
      <c r="I966" s="26">
        <v>45994.590810185182</v>
      </c>
      <c r="J966" s="25" t="s">
        <v>7606</v>
      </c>
      <c r="K966" s="25" t="s">
        <v>49</v>
      </c>
    </row>
    <row r="967" spans="3:11" x14ac:dyDescent="0.25">
      <c r="C967" s="25">
        <v>23601654</v>
      </c>
      <c r="D967" s="26">
        <v>45988.593807870369</v>
      </c>
      <c r="E967" s="25" t="s">
        <v>27</v>
      </c>
      <c r="F967" s="25" t="s">
        <v>28</v>
      </c>
      <c r="G967" s="25" t="s">
        <v>68</v>
      </c>
      <c r="H967" s="25" t="s">
        <v>38</v>
      </c>
      <c r="I967" s="26">
        <v>46009.593807870369</v>
      </c>
      <c r="J967" s="25" t="s">
        <v>7607</v>
      </c>
      <c r="K967" s="25" t="s">
        <v>32</v>
      </c>
    </row>
    <row r="968" spans="3:11" x14ac:dyDescent="0.25">
      <c r="C968" s="25">
        <v>23601664</v>
      </c>
      <c r="D968" s="26">
        <v>45988.598692129628</v>
      </c>
      <c r="E968" s="25" t="s">
        <v>27</v>
      </c>
      <c r="F968" s="25" t="s">
        <v>28</v>
      </c>
      <c r="G968" s="25" t="s">
        <v>40</v>
      </c>
      <c r="H968" s="25" t="s">
        <v>38</v>
      </c>
      <c r="I968" s="26">
        <v>46001.598692129628</v>
      </c>
      <c r="J968" s="25" t="s">
        <v>7609</v>
      </c>
      <c r="K968" s="25" t="s">
        <v>32</v>
      </c>
    </row>
    <row r="969" spans="3:11" x14ac:dyDescent="0.25">
      <c r="C969" s="25">
        <v>23601665</v>
      </c>
      <c r="D969" s="26">
        <v>45988.600590277776</v>
      </c>
      <c r="E969" s="25" t="s">
        <v>27</v>
      </c>
      <c r="F969" s="25" t="s">
        <v>28</v>
      </c>
      <c r="G969" s="25" t="s">
        <v>40</v>
      </c>
      <c r="H969" s="25" t="s">
        <v>31</v>
      </c>
      <c r="I969" s="26">
        <v>45995.600590277776</v>
      </c>
      <c r="J969" s="25" t="s">
        <v>7437</v>
      </c>
      <c r="K969" s="25" t="s">
        <v>32</v>
      </c>
    </row>
    <row r="970" spans="3:11" x14ac:dyDescent="0.25">
      <c r="C970" s="25">
        <v>23601673</v>
      </c>
      <c r="D970" s="26">
        <v>45988.604317129626</v>
      </c>
      <c r="E970" s="25" t="s">
        <v>27</v>
      </c>
      <c r="F970" s="25" t="s">
        <v>28</v>
      </c>
      <c r="G970" s="25" t="s">
        <v>40</v>
      </c>
      <c r="H970" s="25" t="s">
        <v>31</v>
      </c>
      <c r="I970" s="26">
        <v>45995.604317129626</v>
      </c>
      <c r="J970" s="25" t="s">
        <v>2407</v>
      </c>
      <c r="K970" s="25" t="s">
        <v>32</v>
      </c>
    </row>
    <row r="971" spans="3:11" x14ac:dyDescent="0.25">
      <c r="C971" s="25">
        <v>23601677</v>
      </c>
      <c r="D971" s="26">
        <v>45988.605381944442</v>
      </c>
      <c r="E971" s="25" t="s">
        <v>27</v>
      </c>
      <c r="F971" s="25" t="s">
        <v>28</v>
      </c>
      <c r="G971" s="25" t="s">
        <v>43</v>
      </c>
      <c r="H971" s="25" t="s">
        <v>31</v>
      </c>
      <c r="I971" s="26">
        <v>46000.605381944442</v>
      </c>
      <c r="J971" s="25" t="s">
        <v>7619</v>
      </c>
      <c r="K971" s="25" t="s">
        <v>32</v>
      </c>
    </row>
    <row r="972" spans="3:11" x14ac:dyDescent="0.25">
      <c r="C972" s="25">
        <v>23601678</v>
      </c>
      <c r="D972" s="26">
        <v>45988.606527777774</v>
      </c>
      <c r="E972" s="25" t="s">
        <v>27</v>
      </c>
      <c r="F972" s="25" t="s">
        <v>28</v>
      </c>
      <c r="G972" s="25" t="s">
        <v>40</v>
      </c>
      <c r="H972" s="25" t="s">
        <v>31</v>
      </c>
      <c r="I972" s="26">
        <v>45995.606527777774</v>
      </c>
      <c r="J972" s="25" t="s">
        <v>7620</v>
      </c>
      <c r="K972" s="25" t="s">
        <v>32</v>
      </c>
    </row>
    <row r="973" spans="3:11" x14ac:dyDescent="0.25">
      <c r="C973" s="25">
        <v>23601680</v>
      </c>
      <c r="D973" s="26">
        <v>45988.607673611114</v>
      </c>
      <c r="E973" s="25" t="s">
        <v>27</v>
      </c>
      <c r="F973" s="25" t="s">
        <v>28</v>
      </c>
      <c r="G973" s="25" t="s">
        <v>29</v>
      </c>
      <c r="H973" s="25" t="s">
        <v>31</v>
      </c>
      <c r="I973" s="26">
        <v>46000.607673611114</v>
      </c>
      <c r="J973" s="25" t="s">
        <v>7622</v>
      </c>
      <c r="K973" s="25" t="s">
        <v>32</v>
      </c>
    </row>
    <row r="974" spans="3:11" x14ac:dyDescent="0.25">
      <c r="C974" s="25">
        <v>23601683</v>
      </c>
      <c r="D974" s="26">
        <v>45988.608622685184</v>
      </c>
      <c r="E974" s="25" t="s">
        <v>27</v>
      </c>
      <c r="F974" s="25" t="s">
        <v>28</v>
      </c>
      <c r="G974" s="25" t="s">
        <v>40</v>
      </c>
      <c r="H974" s="25" t="s">
        <v>31</v>
      </c>
      <c r="I974" s="26">
        <v>45995.608622685184</v>
      </c>
      <c r="J974" s="25" t="s">
        <v>7624</v>
      </c>
      <c r="K974" s="25" t="s">
        <v>32</v>
      </c>
    </row>
    <row r="975" spans="3:11" x14ac:dyDescent="0.25">
      <c r="C975" s="25">
        <v>23601698</v>
      </c>
      <c r="D975" s="26">
        <v>45988.616550925923</v>
      </c>
      <c r="E975" s="25" t="s">
        <v>44</v>
      </c>
      <c r="F975" s="25" t="s">
        <v>45</v>
      </c>
      <c r="G975" s="25" t="s">
        <v>40</v>
      </c>
      <c r="H975" s="25" t="s">
        <v>38</v>
      </c>
      <c r="I975" s="26">
        <v>46001.616550925923</v>
      </c>
      <c r="J975" s="25" t="s">
        <v>7625</v>
      </c>
      <c r="K975" s="25" t="s">
        <v>32</v>
      </c>
    </row>
    <row r="976" spans="3:11" x14ac:dyDescent="0.25">
      <c r="C976" s="25">
        <v>23601701</v>
      </c>
      <c r="D976" s="26">
        <v>45988.618159722224</v>
      </c>
      <c r="E976" s="25" t="s">
        <v>27</v>
      </c>
      <c r="F976" s="25" t="s">
        <v>28</v>
      </c>
      <c r="G976" s="25" t="s">
        <v>40</v>
      </c>
      <c r="H976" s="25" t="s">
        <v>31</v>
      </c>
      <c r="I976" s="26">
        <v>45995.618159722224</v>
      </c>
      <c r="J976" s="25" t="s">
        <v>1131</v>
      </c>
      <c r="K976" s="25" t="s">
        <v>32</v>
      </c>
    </row>
    <row r="977" spans="3:11" x14ac:dyDescent="0.25">
      <c r="C977" s="25">
        <v>23601702</v>
      </c>
      <c r="D977" s="26">
        <v>45988.618726851855</v>
      </c>
      <c r="E977" s="25" t="s">
        <v>55</v>
      </c>
      <c r="F977" s="25" t="s">
        <v>56</v>
      </c>
      <c r="G977" s="25" t="s">
        <v>62</v>
      </c>
      <c r="H977" s="25" t="s">
        <v>38</v>
      </c>
      <c r="I977" s="26">
        <v>45994.618726851855</v>
      </c>
      <c r="J977" s="25" t="s">
        <v>7626</v>
      </c>
      <c r="K977" s="25" t="s">
        <v>49</v>
      </c>
    </row>
    <row r="978" spans="3:11" x14ac:dyDescent="0.25">
      <c r="C978" s="25">
        <v>23601708</v>
      </c>
      <c r="D978" s="26">
        <v>45988.620682870373</v>
      </c>
      <c r="E978" s="25" t="s">
        <v>27</v>
      </c>
      <c r="F978" s="25" t="s">
        <v>28</v>
      </c>
      <c r="G978" s="25" t="s">
        <v>40</v>
      </c>
      <c r="H978" s="25" t="s">
        <v>31</v>
      </c>
      <c r="I978" s="26">
        <v>45995.620682870373</v>
      </c>
      <c r="J978" s="25" t="s">
        <v>7628</v>
      </c>
      <c r="K978" s="25" t="s">
        <v>32</v>
      </c>
    </row>
    <row r="979" spans="3:11" x14ac:dyDescent="0.25">
      <c r="C979" s="25">
        <v>23601709</v>
      </c>
      <c r="D979" s="26">
        <v>45988.621006944442</v>
      </c>
      <c r="E979" s="25" t="s">
        <v>27</v>
      </c>
      <c r="F979" s="25" t="s">
        <v>28</v>
      </c>
      <c r="G979" s="25" t="s">
        <v>40</v>
      </c>
      <c r="H979" s="25" t="s">
        <v>31</v>
      </c>
      <c r="I979" s="26">
        <v>45995.621006944442</v>
      </c>
      <c r="J979" s="25" t="s">
        <v>3511</v>
      </c>
      <c r="K979" s="25" t="s">
        <v>32</v>
      </c>
    </row>
    <row r="980" spans="3:11" x14ac:dyDescent="0.25">
      <c r="C980" s="25">
        <v>23601710</v>
      </c>
      <c r="D980" s="26">
        <v>45988.621006944442</v>
      </c>
      <c r="E980" s="25" t="s">
        <v>27</v>
      </c>
      <c r="F980" s="25" t="s">
        <v>28</v>
      </c>
      <c r="G980" s="25" t="s">
        <v>40</v>
      </c>
      <c r="H980" s="25" t="s">
        <v>31</v>
      </c>
      <c r="I980" s="26">
        <v>45995.621006944442</v>
      </c>
      <c r="J980" s="25" t="s">
        <v>3511</v>
      </c>
      <c r="K980" s="25" t="s">
        <v>32</v>
      </c>
    </row>
    <row r="981" spans="3:11" x14ac:dyDescent="0.25">
      <c r="C981" s="25">
        <v>23601716</v>
      </c>
      <c r="D981" s="26">
        <v>45988.622754629629</v>
      </c>
      <c r="E981" s="25" t="s">
        <v>27</v>
      </c>
      <c r="F981" s="25" t="s">
        <v>28</v>
      </c>
      <c r="G981" s="25" t="s">
        <v>40</v>
      </c>
      <c r="H981" s="25" t="s">
        <v>31</v>
      </c>
      <c r="I981" s="26">
        <v>45995.622754629629</v>
      </c>
      <c r="J981" s="25" t="s">
        <v>7631</v>
      </c>
      <c r="K981" s="25" t="s">
        <v>32</v>
      </c>
    </row>
    <row r="982" spans="3:11" x14ac:dyDescent="0.25">
      <c r="C982" s="25">
        <v>23601719</v>
      </c>
      <c r="D982" s="26">
        <v>45988.623576388891</v>
      </c>
      <c r="E982" s="25" t="s">
        <v>27</v>
      </c>
      <c r="F982" s="25" t="s">
        <v>28</v>
      </c>
      <c r="G982" s="25" t="s">
        <v>62</v>
      </c>
      <c r="H982" s="25" t="s">
        <v>31</v>
      </c>
      <c r="I982" s="26">
        <v>45994.623576388891</v>
      </c>
      <c r="J982" s="25" t="s">
        <v>7640</v>
      </c>
      <c r="K982" s="25" t="s">
        <v>49</v>
      </c>
    </row>
    <row r="983" spans="3:11" x14ac:dyDescent="0.25">
      <c r="C983" s="25">
        <v>23601724</v>
      </c>
      <c r="D983" s="26">
        <v>45988.625694444447</v>
      </c>
      <c r="E983" s="25" t="s">
        <v>44</v>
      </c>
      <c r="F983" s="25" t="s">
        <v>45</v>
      </c>
      <c r="G983" s="25" t="s">
        <v>40</v>
      </c>
      <c r="H983" s="25" t="s">
        <v>31</v>
      </c>
      <c r="I983" s="26">
        <v>45995.625694444447</v>
      </c>
      <c r="J983" s="25" t="s">
        <v>6169</v>
      </c>
      <c r="K983" s="25" t="s">
        <v>32</v>
      </c>
    </row>
    <row r="984" spans="3:11" x14ac:dyDescent="0.25">
      <c r="C984" s="25">
        <v>23601725</v>
      </c>
      <c r="D984" s="26">
        <v>45988.625752314816</v>
      </c>
      <c r="E984" s="25" t="s">
        <v>44</v>
      </c>
      <c r="F984" s="25" t="s">
        <v>45</v>
      </c>
      <c r="G984" s="25" t="s">
        <v>29</v>
      </c>
      <c r="H984" s="25" t="s">
        <v>31</v>
      </c>
      <c r="I984" s="26">
        <v>46000.625752314816</v>
      </c>
      <c r="J984" s="25" t="s">
        <v>1553</v>
      </c>
      <c r="K984" s="25" t="s">
        <v>32</v>
      </c>
    </row>
    <row r="985" spans="3:11" x14ac:dyDescent="0.25">
      <c r="C985" s="25">
        <v>23601726</v>
      </c>
      <c r="D985" s="26">
        <v>45988.626226851855</v>
      </c>
      <c r="E985" s="25" t="s">
        <v>27</v>
      </c>
      <c r="F985" s="25" t="s">
        <v>28</v>
      </c>
      <c r="G985" s="25" t="s">
        <v>29</v>
      </c>
      <c r="H985" s="25" t="s">
        <v>31</v>
      </c>
      <c r="I985" s="26">
        <v>46000.626226851855</v>
      </c>
      <c r="J985" s="25" t="s">
        <v>1553</v>
      </c>
      <c r="K985" s="25" t="s">
        <v>32</v>
      </c>
    </row>
    <row r="986" spans="3:11" x14ac:dyDescent="0.25">
      <c r="C986" s="25">
        <v>23601738</v>
      </c>
      <c r="D986" s="26">
        <v>45988.630069444444</v>
      </c>
      <c r="E986" s="25" t="s">
        <v>27</v>
      </c>
      <c r="F986" s="25" t="s">
        <v>28</v>
      </c>
      <c r="G986" s="25" t="s">
        <v>29</v>
      </c>
      <c r="H986" s="25" t="s">
        <v>31</v>
      </c>
      <c r="I986" s="26">
        <v>46000.630069444444</v>
      </c>
      <c r="J986" s="25" t="s">
        <v>7668</v>
      </c>
      <c r="K986" s="25" t="s">
        <v>32</v>
      </c>
    </row>
    <row r="987" spans="3:11" x14ac:dyDescent="0.25">
      <c r="C987" s="25">
        <v>23601739</v>
      </c>
      <c r="D987" s="26">
        <v>45988.63008101852</v>
      </c>
      <c r="E987" s="25" t="s">
        <v>55</v>
      </c>
      <c r="F987" s="25" t="s">
        <v>56</v>
      </c>
      <c r="G987" s="25" t="s">
        <v>62</v>
      </c>
      <c r="H987" s="25" t="s">
        <v>38</v>
      </c>
      <c r="I987" s="26">
        <v>45994.63008101852</v>
      </c>
      <c r="J987" s="25" t="s">
        <v>1144</v>
      </c>
      <c r="K987" s="25" t="s">
        <v>49</v>
      </c>
    </row>
    <row r="988" spans="3:11" x14ac:dyDescent="0.25">
      <c r="C988" s="25">
        <v>23601741</v>
      </c>
      <c r="D988" s="26">
        <v>45988.630787037036</v>
      </c>
      <c r="E988" s="25" t="s">
        <v>44</v>
      </c>
      <c r="F988" s="25" t="s">
        <v>45</v>
      </c>
      <c r="G988" s="25" t="s">
        <v>29</v>
      </c>
      <c r="H988" s="25" t="s">
        <v>31</v>
      </c>
      <c r="I988" s="26">
        <v>46000.630787037036</v>
      </c>
      <c r="J988" s="25" t="s">
        <v>7682</v>
      </c>
      <c r="K988" s="25" t="s">
        <v>32</v>
      </c>
    </row>
    <row r="989" spans="3:11" x14ac:dyDescent="0.25">
      <c r="C989" s="25">
        <v>23601746</v>
      </c>
      <c r="D989" s="26">
        <v>45988.633958333332</v>
      </c>
      <c r="E989" s="25" t="s">
        <v>27</v>
      </c>
      <c r="F989" s="25" t="s">
        <v>28</v>
      </c>
      <c r="G989" s="25" t="s">
        <v>40</v>
      </c>
      <c r="H989" s="25" t="s">
        <v>31</v>
      </c>
      <c r="I989" s="26">
        <v>45995.633958333332</v>
      </c>
      <c r="J989" s="25" t="s">
        <v>7691</v>
      </c>
      <c r="K989" s="25" t="s">
        <v>32</v>
      </c>
    </row>
    <row r="990" spans="3:11" x14ac:dyDescent="0.25">
      <c r="C990" s="25">
        <v>23601759</v>
      </c>
      <c r="D990" s="26">
        <v>45988.641099537039</v>
      </c>
      <c r="E990" s="25" t="s">
        <v>27</v>
      </c>
      <c r="F990" s="25" t="s">
        <v>28</v>
      </c>
      <c r="G990" s="25" t="s">
        <v>51</v>
      </c>
      <c r="H990" s="25" t="s">
        <v>31</v>
      </c>
      <c r="I990" s="26">
        <v>46006.641099537039</v>
      </c>
      <c r="J990" s="25" t="s">
        <v>2565</v>
      </c>
      <c r="K990" s="25" t="s">
        <v>32</v>
      </c>
    </row>
    <row r="991" spans="3:11" x14ac:dyDescent="0.25">
      <c r="C991" s="25">
        <v>23601761</v>
      </c>
      <c r="D991" s="26">
        <v>45988.641504629632</v>
      </c>
      <c r="E991" s="25" t="s">
        <v>44</v>
      </c>
      <c r="F991" s="25" t="s">
        <v>45</v>
      </c>
      <c r="G991" s="25" t="s">
        <v>51</v>
      </c>
      <c r="H991" s="25" t="s">
        <v>38</v>
      </c>
      <c r="I991" s="26">
        <v>46006.641504629632</v>
      </c>
      <c r="J991" s="25" t="s">
        <v>2565</v>
      </c>
      <c r="K991" s="25" t="s">
        <v>32</v>
      </c>
    </row>
    <row r="992" spans="3:11" x14ac:dyDescent="0.25">
      <c r="C992" s="25">
        <v>23601769</v>
      </c>
      <c r="D992" s="26">
        <v>45988.645509259259</v>
      </c>
      <c r="E992" s="25" t="s">
        <v>27</v>
      </c>
      <c r="F992" s="25" t="s">
        <v>28</v>
      </c>
      <c r="G992" s="25" t="s">
        <v>29</v>
      </c>
      <c r="H992" s="25" t="s">
        <v>31</v>
      </c>
      <c r="I992" s="26">
        <v>46000.645509259259</v>
      </c>
      <c r="J992" s="25" t="s">
        <v>7714</v>
      </c>
      <c r="K992" s="25" t="s">
        <v>32</v>
      </c>
    </row>
    <row r="993" spans="3:11" x14ac:dyDescent="0.25">
      <c r="C993" s="25">
        <v>23601770</v>
      </c>
      <c r="D993" s="26">
        <v>45988.645821759259</v>
      </c>
      <c r="E993" s="25" t="s">
        <v>27</v>
      </c>
      <c r="F993" s="25" t="s">
        <v>28</v>
      </c>
      <c r="G993" s="25" t="s">
        <v>51</v>
      </c>
      <c r="H993" s="25" t="s">
        <v>38</v>
      </c>
      <c r="I993" s="26">
        <v>46006.645821759259</v>
      </c>
      <c r="J993" s="25" t="s">
        <v>7722</v>
      </c>
      <c r="K993" s="25" t="s">
        <v>32</v>
      </c>
    </row>
    <row r="994" spans="3:11" x14ac:dyDescent="0.25">
      <c r="C994" s="25">
        <v>23601776</v>
      </c>
      <c r="D994" s="26">
        <v>45988.647349537037</v>
      </c>
      <c r="E994" s="25" t="s">
        <v>59</v>
      </c>
      <c r="F994" s="25" t="s">
        <v>60</v>
      </c>
      <c r="G994" s="25" t="s">
        <v>68</v>
      </c>
      <c r="H994" s="25" t="s">
        <v>31</v>
      </c>
      <c r="I994" s="26">
        <v>46002.647349537037</v>
      </c>
      <c r="J994" s="25" t="s">
        <v>6525</v>
      </c>
      <c r="K994" s="25" t="s">
        <v>32</v>
      </c>
    </row>
    <row r="995" spans="3:11" x14ac:dyDescent="0.25">
      <c r="C995" s="25">
        <v>23601780</v>
      </c>
      <c r="D995" s="26">
        <v>45988.647835648146</v>
      </c>
      <c r="E995" s="25" t="s">
        <v>44</v>
      </c>
      <c r="F995" s="25" t="s">
        <v>45</v>
      </c>
      <c r="G995" s="25" t="s">
        <v>40</v>
      </c>
      <c r="H995" s="25" t="s">
        <v>38</v>
      </c>
      <c r="I995" s="26">
        <v>46001.647835648146</v>
      </c>
      <c r="J995" s="25" t="s">
        <v>1112</v>
      </c>
      <c r="K995" s="25" t="s">
        <v>32</v>
      </c>
    </row>
    <row r="996" spans="3:11" x14ac:dyDescent="0.25">
      <c r="C996" s="25">
        <v>23601786</v>
      </c>
      <c r="D996" s="26">
        <v>45988.648726851854</v>
      </c>
      <c r="E996" s="25" t="s">
        <v>27</v>
      </c>
      <c r="F996" s="25" t="s">
        <v>28</v>
      </c>
      <c r="G996" s="25" t="s">
        <v>40</v>
      </c>
      <c r="H996" s="25" t="s">
        <v>38</v>
      </c>
      <c r="I996" s="26">
        <v>46001.648726851854</v>
      </c>
      <c r="J996" s="25" t="s">
        <v>2614</v>
      </c>
      <c r="K996" s="25" t="s">
        <v>32</v>
      </c>
    </row>
    <row r="997" spans="3:11" x14ac:dyDescent="0.25">
      <c r="C997" s="25">
        <v>23601801</v>
      </c>
      <c r="D997" s="26">
        <v>45988.650659722225</v>
      </c>
      <c r="E997" s="25" t="s">
        <v>27</v>
      </c>
      <c r="F997" s="25" t="s">
        <v>28</v>
      </c>
      <c r="G997" s="25" t="s">
        <v>40</v>
      </c>
      <c r="H997" s="25" t="s">
        <v>31</v>
      </c>
      <c r="I997" s="26">
        <v>45995.650659722225</v>
      </c>
      <c r="J997" s="25" t="s">
        <v>3522</v>
      </c>
      <c r="K997" s="25" t="s">
        <v>32</v>
      </c>
    </row>
    <row r="998" spans="3:11" x14ac:dyDescent="0.25">
      <c r="C998" s="25">
        <v>23601820</v>
      </c>
      <c r="D998" s="26">
        <v>45988.65488425926</v>
      </c>
      <c r="E998" s="25" t="s">
        <v>57</v>
      </c>
      <c r="F998" s="25" t="s">
        <v>58</v>
      </c>
      <c r="G998" s="25" t="s">
        <v>40</v>
      </c>
      <c r="H998" s="25" t="s">
        <v>31</v>
      </c>
      <c r="I998" s="26">
        <v>45995.65488425926</v>
      </c>
      <c r="J998" s="25" t="s">
        <v>7753</v>
      </c>
      <c r="K998" s="25" t="s">
        <v>32</v>
      </c>
    </row>
    <row r="999" spans="3:11" x14ac:dyDescent="0.25">
      <c r="C999" s="25">
        <v>23601839</v>
      </c>
      <c r="D999" s="26">
        <v>45988.661030092589</v>
      </c>
      <c r="E999" s="25" t="s">
        <v>27</v>
      </c>
      <c r="F999" s="25" t="s">
        <v>28</v>
      </c>
      <c r="G999" s="25" t="s">
        <v>29</v>
      </c>
      <c r="H999" s="25" t="s">
        <v>31</v>
      </c>
      <c r="I999" s="26">
        <v>46000.661030092589</v>
      </c>
      <c r="J999" s="25" t="s">
        <v>7761</v>
      </c>
      <c r="K999" s="25" t="s">
        <v>32</v>
      </c>
    </row>
    <row r="1000" spans="3:11" x14ac:dyDescent="0.25">
      <c r="C1000" s="25">
        <v>23601840</v>
      </c>
      <c r="D1000" s="26">
        <v>45988.661909722221</v>
      </c>
      <c r="E1000" s="25" t="s">
        <v>27</v>
      </c>
      <c r="F1000" s="25" t="s">
        <v>28</v>
      </c>
      <c r="G1000" s="25" t="s">
        <v>51</v>
      </c>
      <c r="H1000" s="25" t="s">
        <v>31</v>
      </c>
      <c r="I1000" s="26">
        <v>46006.661909722221</v>
      </c>
      <c r="J1000" s="25" t="s">
        <v>7771</v>
      </c>
      <c r="K1000" s="25" t="s">
        <v>32</v>
      </c>
    </row>
    <row r="1001" spans="3:11" x14ac:dyDescent="0.25">
      <c r="C1001" s="25">
        <v>23601857</v>
      </c>
      <c r="D1001" s="26">
        <v>45988.664212962962</v>
      </c>
      <c r="E1001" s="25" t="s">
        <v>44</v>
      </c>
      <c r="F1001" s="25" t="s">
        <v>45</v>
      </c>
      <c r="G1001" s="25" t="s">
        <v>29</v>
      </c>
      <c r="H1001" s="25" t="s">
        <v>31</v>
      </c>
      <c r="I1001" s="26">
        <v>46000.664212962962</v>
      </c>
      <c r="J1001" s="25" t="s">
        <v>7780</v>
      </c>
      <c r="K1001" s="25" t="s">
        <v>32</v>
      </c>
    </row>
    <row r="1002" spans="3:11" x14ac:dyDescent="0.25">
      <c r="C1002" s="25">
        <v>23601863</v>
      </c>
      <c r="D1002" s="26">
        <v>45988.665162037039</v>
      </c>
      <c r="E1002" s="25" t="s">
        <v>27</v>
      </c>
      <c r="F1002" s="25" t="s">
        <v>28</v>
      </c>
      <c r="G1002" s="25" t="s">
        <v>40</v>
      </c>
      <c r="H1002" s="25" t="s">
        <v>31</v>
      </c>
      <c r="I1002" s="26">
        <v>45995.665162037039</v>
      </c>
      <c r="J1002" s="25" t="s">
        <v>1132</v>
      </c>
      <c r="K1002" s="25" t="s">
        <v>32</v>
      </c>
    </row>
    <row r="1003" spans="3:11" x14ac:dyDescent="0.25">
      <c r="C1003" s="25">
        <v>23601864</v>
      </c>
      <c r="D1003" s="26">
        <v>45988.665196759262</v>
      </c>
      <c r="E1003" s="25" t="s">
        <v>27</v>
      </c>
      <c r="F1003" s="25" t="s">
        <v>28</v>
      </c>
      <c r="G1003" s="25" t="s">
        <v>40</v>
      </c>
      <c r="H1003" s="25" t="s">
        <v>38</v>
      </c>
      <c r="I1003" s="26">
        <v>46001.665196759262</v>
      </c>
      <c r="J1003" s="25" t="s">
        <v>7794</v>
      </c>
      <c r="K1003" s="25" t="s">
        <v>32</v>
      </c>
    </row>
    <row r="1004" spans="3:11" x14ac:dyDescent="0.25">
      <c r="C1004" s="25">
        <v>23601865</v>
      </c>
      <c r="D1004" s="26">
        <v>45988.665335648147</v>
      </c>
      <c r="E1004" s="25" t="s">
        <v>27</v>
      </c>
      <c r="F1004" s="25" t="s">
        <v>28</v>
      </c>
      <c r="G1004" s="25" t="s">
        <v>29</v>
      </c>
      <c r="H1004" s="25" t="s">
        <v>31</v>
      </c>
      <c r="I1004" s="26">
        <v>46000.665335648147</v>
      </c>
      <c r="J1004" s="25" t="s">
        <v>7803</v>
      </c>
      <c r="K1004" s="25" t="s">
        <v>32</v>
      </c>
    </row>
    <row r="1005" spans="3:11" x14ac:dyDescent="0.25">
      <c r="C1005" s="25">
        <v>23601867</v>
      </c>
      <c r="D1005" s="26">
        <v>45988.665636574071</v>
      </c>
      <c r="E1005" s="25" t="s">
        <v>27</v>
      </c>
      <c r="F1005" s="25" t="s">
        <v>28</v>
      </c>
      <c r="G1005" s="25" t="s">
        <v>29</v>
      </c>
      <c r="H1005" s="25" t="s">
        <v>38</v>
      </c>
      <c r="I1005" s="26">
        <v>46003.665636574071</v>
      </c>
      <c r="J1005" s="25" t="s">
        <v>7811</v>
      </c>
      <c r="K1005" s="25" t="s">
        <v>32</v>
      </c>
    </row>
    <row r="1006" spans="3:11" x14ac:dyDescent="0.25">
      <c r="C1006" s="25">
        <v>23601868</v>
      </c>
      <c r="D1006" s="26">
        <v>45988.66605324074</v>
      </c>
      <c r="E1006" s="25" t="s">
        <v>27</v>
      </c>
      <c r="F1006" s="25" t="s">
        <v>28</v>
      </c>
      <c r="G1006" s="25" t="s">
        <v>40</v>
      </c>
      <c r="H1006" s="25" t="s">
        <v>31</v>
      </c>
      <c r="I1006" s="26">
        <v>45995.66605324074</v>
      </c>
      <c r="J1006" s="25" t="s">
        <v>7819</v>
      </c>
      <c r="K1006" s="25" t="s">
        <v>32</v>
      </c>
    </row>
    <row r="1007" spans="3:11" x14ac:dyDescent="0.25">
      <c r="C1007" s="25">
        <v>23601878</v>
      </c>
      <c r="D1007" s="26">
        <v>45988.670324074075</v>
      </c>
      <c r="E1007" s="25" t="s">
        <v>27</v>
      </c>
      <c r="F1007" s="25" t="s">
        <v>28</v>
      </c>
      <c r="G1007" s="25" t="s">
        <v>40</v>
      </c>
      <c r="H1007" s="25" t="s">
        <v>31</v>
      </c>
      <c r="I1007" s="26">
        <v>45995.670324074075</v>
      </c>
      <c r="J1007" s="25" t="s">
        <v>7828</v>
      </c>
      <c r="K1007" s="25" t="s">
        <v>32</v>
      </c>
    </row>
    <row r="1008" spans="3:11" x14ac:dyDescent="0.25">
      <c r="C1008" s="25">
        <v>23601880</v>
      </c>
      <c r="D1008" s="26">
        <v>45988.670798611114</v>
      </c>
      <c r="E1008" s="25" t="s">
        <v>27</v>
      </c>
      <c r="F1008" s="25" t="s">
        <v>28</v>
      </c>
      <c r="G1008" s="25" t="s">
        <v>40</v>
      </c>
      <c r="H1008" s="25" t="s">
        <v>31</v>
      </c>
      <c r="I1008" s="26">
        <v>45995.670798611114</v>
      </c>
      <c r="J1008" s="25" t="s">
        <v>7828</v>
      </c>
      <c r="K1008" s="25" t="s">
        <v>32</v>
      </c>
    </row>
    <row r="1009" spans="3:11" x14ac:dyDescent="0.25">
      <c r="C1009" s="25">
        <v>23601883</v>
      </c>
      <c r="D1009" s="26">
        <v>45988.671875</v>
      </c>
      <c r="E1009" s="25" t="s">
        <v>27</v>
      </c>
      <c r="F1009" s="25" t="s">
        <v>28</v>
      </c>
      <c r="G1009" s="25" t="s">
        <v>137</v>
      </c>
      <c r="H1009" s="25" t="s">
        <v>31</v>
      </c>
      <c r="I1009" s="26">
        <v>46000.671875</v>
      </c>
      <c r="J1009" s="25" t="s">
        <v>7843</v>
      </c>
      <c r="K1009" s="25" t="s">
        <v>32</v>
      </c>
    </row>
    <row r="1010" spans="3:11" x14ac:dyDescent="0.25">
      <c r="C1010" s="25">
        <v>23601888</v>
      </c>
      <c r="D1010" s="26">
        <v>45988.674097222225</v>
      </c>
      <c r="E1010" s="25" t="s">
        <v>27</v>
      </c>
      <c r="F1010" s="25" t="s">
        <v>28</v>
      </c>
      <c r="G1010" s="25" t="s">
        <v>29</v>
      </c>
      <c r="H1010" s="25" t="s">
        <v>38</v>
      </c>
      <c r="I1010" s="26">
        <v>46003.674097222225</v>
      </c>
      <c r="J1010" s="25" t="s">
        <v>7849</v>
      </c>
      <c r="K1010" s="25" t="s">
        <v>32</v>
      </c>
    </row>
    <row r="1011" spans="3:11" x14ac:dyDescent="0.25">
      <c r="C1011" s="25">
        <v>23601889</v>
      </c>
      <c r="D1011" s="26">
        <v>45988.674120370371</v>
      </c>
      <c r="E1011" s="25" t="s">
        <v>27</v>
      </c>
      <c r="F1011" s="25" t="s">
        <v>28</v>
      </c>
      <c r="G1011" s="25" t="s">
        <v>40</v>
      </c>
      <c r="H1011" s="25" t="s">
        <v>31</v>
      </c>
      <c r="I1011" s="26">
        <v>45995.674120370371</v>
      </c>
      <c r="J1011" s="25" t="s">
        <v>2384</v>
      </c>
      <c r="K1011" s="25" t="s">
        <v>32</v>
      </c>
    </row>
    <row r="1012" spans="3:11" x14ac:dyDescent="0.25">
      <c r="C1012" s="25">
        <v>23601892</v>
      </c>
      <c r="D1012" s="26">
        <v>45988.674826388888</v>
      </c>
      <c r="E1012" s="25" t="s">
        <v>27</v>
      </c>
      <c r="F1012" s="25" t="s">
        <v>28</v>
      </c>
      <c r="G1012" s="25" t="s">
        <v>29</v>
      </c>
      <c r="H1012" s="25" t="s">
        <v>31</v>
      </c>
      <c r="I1012" s="26">
        <v>46000.674826388888</v>
      </c>
      <c r="J1012" s="25" t="s">
        <v>7866</v>
      </c>
      <c r="K1012" s="25" t="s">
        <v>32</v>
      </c>
    </row>
    <row r="1013" spans="3:11" x14ac:dyDescent="0.25">
      <c r="C1013" s="25">
        <v>23601894</v>
      </c>
      <c r="D1013" s="26">
        <v>45988.675138888888</v>
      </c>
      <c r="E1013" s="25" t="s">
        <v>27</v>
      </c>
      <c r="F1013" s="25" t="s">
        <v>28</v>
      </c>
      <c r="G1013" s="25" t="s">
        <v>29</v>
      </c>
      <c r="H1013" s="25" t="s">
        <v>31</v>
      </c>
      <c r="I1013" s="26">
        <v>46000.675138888888</v>
      </c>
      <c r="J1013" s="25" t="s">
        <v>7874</v>
      </c>
      <c r="K1013" s="25" t="s">
        <v>32</v>
      </c>
    </row>
    <row r="1014" spans="3:11" x14ac:dyDescent="0.25">
      <c r="C1014" s="25">
        <v>23601900</v>
      </c>
      <c r="D1014" s="26">
        <v>45988.678518518522</v>
      </c>
      <c r="E1014" s="25" t="s">
        <v>27</v>
      </c>
      <c r="F1014" s="25" t="s">
        <v>28</v>
      </c>
      <c r="G1014" s="25" t="s">
        <v>43</v>
      </c>
      <c r="H1014" s="25" t="s">
        <v>31</v>
      </c>
      <c r="I1014" s="26">
        <v>46000.678518518522</v>
      </c>
      <c r="J1014" s="25" t="s">
        <v>7283</v>
      </c>
      <c r="K1014" s="25" t="s">
        <v>32</v>
      </c>
    </row>
    <row r="1015" spans="3:11" x14ac:dyDescent="0.25">
      <c r="C1015" s="25">
        <v>23601901</v>
      </c>
      <c r="D1015" s="26">
        <v>45988.678807870368</v>
      </c>
      <c r="E1015" s="25" t="s">
        <v>55</v>
      </c>
      <c r="F1015" s="25" t="s">
        <v>56</v>
      </c>
      <c r="G1015" s="25" t="s">
        <v>51</v>
      </c>
      <c r="H1015" s="25" t="s">
        <v>38</v>
      </c>
      <c r="I1015" s="26">
        <v>46006.678807870368</v>
      </c>
      <c r="J1015" s="25" t="s">
        <v>7890</v>
      </c>
      <c r="K1015" s="25" t="s">
        <v>32</v>
      </c>
    </row>
    <row r="1016" spans="3:11" x14ac:dyDescent="0.25">
      <c r="C1016" s="25">
        <v>23601914</v>
      </c>
      <c r="D1016" s="26">
        <v>45988.682581018518</v>
      </c>
      <c r="E1016" s="25" t="s">
        <v>27</v>
      </c>
      <c r="F1016" s="25" t="s">
        <v>28</v>
      </c>
      <c r="G1016" s="25" t="s">
        <v>29</v>
      </c>
      <c r="H1016" s="25" t="s">
        <v>38</v>
      </c>
      <c r="I1016" s="26">
        <v>46003.682581018518</v>
      </c>
      <c r="J1016" s="25" t="s">
        <v>7897</v>
      </c>
      <c r="K1016" s="25" t="s">
        <v>32</v>
      </c>
    </row>
    <row r="1017" spans="3:11" x14ac:dyDescent="0.25">
      <c r="C1017" s="25">
        <v>23601922</v>
      </c>
      <c r="D1017" s="26">
        <v>45988.684560185182</v>
      </c>
      <c r="E1017" s="25" t="s">
        <v>27</v>
      </c>
      <c r="F1017" s="25" t="s">
        <v>28</v>
      </c>
      <c r="G1017" s="25" t="s">
        <v>51</v>
      </c>
      <c r="H1017" s="25" t="s">
        <v>31</v>
      </c>
      <c r="I1017" s="26">
        <v>46006.684560185182</v>
      </c>
      <c r="J1017" s="25" t="s">
        <v>7906</v>
      </c>
      <c r="K1017" s="25" t="s">
        <v>32</v>
      </c>
    </row>
    <row r="1018" spans="3:11" x14ac:dyDescent="0.25">
      <c r="C1018" s="25">
        <v>23601924</v>
      </c>
      <c r="D1018" s="26">
        <v>45988.685231481482</v>
      </c>
      <c r="E1018" s="25" t="s">
        <v>27</v>
      </c>
      <c r="F1018" s="25" t="s">
        <v>28</v>
      </c>
      <c r="G1018" s="25" t="s">
        <v>29</v>
      </c>
      <c r="H1018" s="25" t="s">
        <v>38</v>
      </c>
      <c r="I1018" s="26">
        <v>46003.685231481482</v>
      </c>
      <c r="J1018" s="25" t="s">
        <v>7913</v>
      </c>
      <c r="K1018" s="25" t="s">
        <v>32</v>
      </c>
    </row>
    <row r="1019" spans="3:11" x14ac:dyDescent="0.25">
      <c r="C1019" s="25">
        <v>23601926</v>
      </c>
      <c r="D1019" s="26">
        <v>45988.685972222222</v>
      </c>
      <c r="E1019" s="25" t="s">
        <v>48</v>
      </c>
      <c r="F1019" s="25" t="s">
        <v>64</v>
      </c>
      <c r="G1019" s="25" t="s">
        <v>29</v>
      </c>
      <c r="H1019" s="25" t="s">
        <v>38</v>
      </c>
      <c r="I1019" s="26">
        <v>46003.685972222222</v>
      </c>
      <c r="J1019" s="25" t="s">
        <v>7922</v>
      </c>
      <c r="K1019" s="25" t="s">
        <v>32</v>
      </c>
    </row>
    <row r="1020" spans="3:11" x14ac:dyDescent="0.25">
      <c r="C1020" s="25">
        <v>23601930</v>
      </c>
      <c r="D1020" s="26">
        <v>45988.687777777777</v>
      </c>
      <c r="E1020" s="25" t="s">
        <v>27</v>
      </c>
      <c r="F1020" s="25" t="s">
        <v>28</v>
      </c>
      <c r="G1020" s="25" t="s">
        <v>62</v>
      </c>
      <c r="H1020" s="25" t="s">
        <v>31</v>
      </c>
      <c r="I1020" s="26">
        <v>45994.687777777777</v>
      </c>
      <c r="J1020" s="25" t="s">
        <v>6866</v>
      </c>
      <c r="K1020" s="25" t="s">
        <v>49</v>
      </c>
    </row>
    <row r="1021" spans="3:11" x14ac:dyDescent="0.25">
      <c r="C1021" s="25">
        <v>23601934</v>
      </c>
      <c r="D1021" s="26">
        <v>45988.693668981483</v>
      </c>
      <c r="E1021" s="25" t="s">
        <v>27</v>
      </c>
      <c r="F1021" s="25" t="s">
        <v>28</v>
      </c>
      <c r="G1021" s="25" t="s">
        <v>43</v>
      </c>
      <c r="H1021" s="25" t="s">
        <v>31</v>
      </c>
      <c r="I1021" s="26">
        <v>46000.693668981483</v>
      </c>
      <c r="J1021" s="25" t="s">
        <v>7939</v>
      </c>
      <c r="K1021" s="25" t="s">
        <v>32</v>
      </c>
    </row>
    <row r="1022" spans="3:11" x14ac:dyDescent="0.25">
      <c r="C1022" s="25">
        <v>23601935</v>
      </c>
      <c r="D1022" s="26">
        <v>45988.693807870368</v>
      </c>
      <c r="E1022" s="25" t="s">
        <v>27</v>
      </c>
      <c r="F1022" s="25" t="s">
        <v>28</v>
      </c>
      <c r="G1022" s="25" t="s">
        <v>43</v>
      </c>
      <c r="H1022" s="25" t="s">
        <v>31</v>
      </c>
      <c r="I1022" s="26">
        <v>46000.693807870368</v>
      </c>
      <c r="J1022" s="25" t="s">
        <v>7949</v>
      </c>
      <c r="K1022" s="25" t="s">
        <v>32</v>
      </c>
    </row>
    <row r="1023" spans="3:11" x14ac:dyDescent="0.25">
      <c r="C1023" s="25">
        <v>23601941</v>
      </c>
      <c r="D1023" s="26">
        <v>45988.696076388886</v>
      </c>
      <c r="E1023" s="25" t="s">
        <v>27</v>
      </c>
      <c r="F1023" s="25" t="s">
        <v>28</v>
      </c>
      <c r="G1023" s="25" t="s">
        <v>29</v>
      </c>
      <c r="H1023" s="25" t="s">
        <v>31</v>
      </c>
      <c r="I1023" s="26">
        <v>46000.696076388886</v>
      </c>
      <c r="J1023" s="25" t="s">
        <v>7956</v>
      </c>
      <c r="K1023" s="25" t="s">
        <v>32</v>
      </c>
    </row>
    <row r="1024" spans="3:11" x14ac:dyDescent="0.25">
      <c r="C1024" s="25">
        <v>23601942</v>
      </c>
      <c r="D1024" s="26">
        <v>45988.696342592593</v>
      </c>
      <c r="E1024" s="25" t="s">
        <v>27</v>
      </c>
      <c r="F1024" s="25" t="s">
        <v>28</v>
      </c>
      <c r="G1024" s="25" t="s">
        <v>62</v>
      </c>
      <c r="H1024" s="25" t="s">
        <v>31</v>
      </c>
      <c r="I1024" s="26">
        <v>45994.696342592593</v>
      </c>
      <c r="J1024" s="25" t="s">
        <v>7955</v>
      </c>
      <c r="K1024" s="25" t="s">
        <v>49</v>
      </c>
    </row>
    <row r="1025" spans="3:11" x14ac:dyDescent="0.25">
      <c r="C1025" s="25">
        <v>23601948</v>
      </c>
      <c r="D1025" s="26">
        <v>45988.700624999998</v>
      </c>
      <c r="E1025" s="25" t="s">
        <v>27</v>
      </c>
      <c r="F1025" s="25" t="s">
        <v>28</v>
      </c>
      <c r="G1025" s="25" t="s">
        <v>68</v>
      </c>
      <c r="H1025" s="25" t="s">
        <v>31</v>
      </c>
      <c r="I1025" s="26">
        <v>46002.700624999998</v>
      </c>
      <c r="J1025" s="25" t="s">
        <v>7964</v>
      </c>
      <c r="K1025" s="25" t="s">
        <v>32</v>
      </c>
    </row>
    <row r="1026" spans="3:11" x14ac:dyDescent="0.25">
      <c r="C1026" s="25">
        <v>23601965</v>
      </c>
      <c r="D1026" s="26">
        <v>45988.707916666666</v>
      </c>
      <c r="E1026" s="25" t="s">
        <v>27</v>
      </c>
      <c r="F1026" s="25" t="s">
        <v>28</v>
      </c>
      <c r="G1026" s="25" t="s">
        <v>29</v>
      </c>
      <c r="H1026" s="25" t="s">
        <v>31</v>
      </c>
      <c r="I1026" s="26">
        <v>46000.707916666666</v>
      </c>
      <c r="J1026" s="25" t="s">
        <v>7973</v>
      </c>
      <c r="K1026" s="25" t="s">
        <v>32</v>
      </c>
    </row>
    <row r="1027" spans="3:11" x14ac:dyDescent="0.25">
      <c r="C1027" s="25">
        <v>23601966</v>
      </c>
      <c r="D1027" s="26">
        <v>45988.708275462966</v>
      </c>
      <c r="E1027" s="25" t="s">
        <v>27</v>
      </c>
      <c r="F1027" s="25" t="s">
        <v>28</v>
      </c>
      <c r="G1027" s="25" t="s">
        <v>29</v>
      </c>
      <c r="H1027" s="25" t="s">
        <v>31</v>
      </c>
      <c r="I1027" s="26">
        <v>46000.708275462966</v>
      </c>
      <c r="J1027" s="25" t="s">
        <v>7973</v>
      </c>
      <c r="K1027" s="25" t="s">
        <v>32</v>
      </c>
    </row>
    <row r="1028" spans="3:11" x14ac:dyDescent="0.25">
      <c r="C1028" s="25">
        <v>23601982</v>
      </c>
      <c r="D1028" s="26">
        <v>45988.733252314814</v>
      </c>
      <c r="E1028" s="25" t="s">
        <v>27</v>
      </c>
      <c r="F1028" s="25" t="s">
        <v>28</v>
      </c>
      <c r="G1028" s="25" t="s">
        <v>40</v>
      </c>
      <c r="H1028" s="25" t="s">
        <v>31</v>
      </c>
      <c r="I1028" s="26">
        <v>45995.733252314814</v>
      </c>
      <c r="J1028" s="25" t="s">
        <v>7991</v>
      </c>
      <c r="K1028" s="25" t="s">
        <v>32</v>
      </c>
    </row>
    <row r="1029" spans="3:11" x14ac:dyDescent="0.25">
      <c r="C1029" s="25">
        <v>23601985</v>
      </c>
      <c r="D1029" s="26">
        <v>45988.742604166669</v>
      </c>
      <c r="E1029" s="25" t="s">
        <v>27</v>
      </c>
      <c r="F1029" s="25" t="s">
        <v>28</v>
      </c>
      <c r="G1029" s="25" t="s">
        <v>43</v>
      </c>
      <c r="H1029" s="25" t="s">
        <v>31</v>
      </c>
      <c r="I1029" s="26">
        <v>46000.742604166669</v>
      </c>
      <c r="J1029" s="25" t="s">
        <v>8000</v>
      </c>
      <c r="K1029" s="25" t="s">
        <v>32</v>
      </c>
    </row>
    <row r="1030" spans="3:11" x14ac:dyDescent="0.25">
      <c r="C1030" s="25">
        <v>23601994</v>
      </c>
      <c r="D1030" s="26">
        <v>45988.829814814817</v>
      </c>
      <c r="E1030" s="25" t="s">
        <v>27</v>
      </c>
      <c r="F1030" s="25" t="s">
        <v>28</v>
      </c>
      <c r="G1030" s="25" t="s">
        <v>68</v>
      </c>
      <c r="H1030" s="25" t="s">
        <v>31</v>
      </c>
      <c r="I1030" s="26">
        <v>46002.829814814817</v>
      </c>
      <c r="J1030" s="25" t="s">
        <v>8002</v>
      </c>
      <c r="K1030" s="25" t="s">
        <v>32</v>
      </c>
    </row>
    <row r="1031" spans="3:11" x14ac:dyDescent="0.25">
      <c r="C1031" s="25">
        <v>23602012</v>
      </c>
      <c r="D1031" s="26">
        <v>45989.260636574072</v>
      </c>
      <c r="E1031" s="25" t="s">
        <v>55</v>
      </c>
      <c r="F1031" s="25" t="s">
        <v>56</v>
      </c>
      <c r="G1031" s="25" t="s">
        <v>62</v>
      </c>
      <c r="H1031" s="25" t="s">
        <v>38</v>
      </c>
      <c r="I1031" s="26">
        <v>45995.260636574072</v>
      </c>
      <c r="J1031" s="25" t="s">
        <v>8011</v>
      </c>
      <c r="K1031" s="25" t="s">
        <v>32</v>
      </c>
    </row>
    <row r="1032" spans="3:11" x14ac:dyDescent="0.25">
      <c r="C1032" s="25">
        <v>23602014</v>
      </c>
      <c r="D1032" s="26">
        <v>45989.264108796298</v>
      </c>
      <c r="E1032" s="25" t="s">
        <v>27</v>
      </c>
      <c r="F1032" s="25" t="s">
        <v>28</v>
      </c>
      <c r="G1032" s="25" t="s">
        <v>29</v>
      </c>
      <c r="H1032" s="25" t="s">
        <v>31</v>
      </c>
      <c r="I1032" s="26">
        <v>46001.264108796298</v>
      </c>
      <c r="J1032" s="25" t="s">
        <v>8019</v>
      </c>
      <c r="K1032" s="25" t="s">
        <v>32</v>
      </c>
    </row>
    <row r="1033" spans="3:11" x14ac:dyDescent="0.25">
      <c r="C1033" s="25">
        <v>23602015</v>
      </c>
      <c r="D1033" s="26">
        <v>45989.264108796298</v>
      </c>
      <c r="E1033" s="25" t="s">
        <v>27</v>
      </c>
      <c r="F1033" s="25" t="s">
        <v>28</v>
      </c>
      <c r="G1033" s="25" t="s">
        <v>29</v>
      </c>
      <c r="H1033" s="25" t="s">
        <v>31</v>
      </c>
      <c r="I1033" s="26">
        <v>46001.264108796298</v>
      </c>
      <c r="J1033" s="25" t="s">
        <v>8019</v>
      </c>
      <c r="K1033" s="25" t="s">
        <v>32</v>
      </c>
    </row>
    <row r="1034" spans="3:11" x14ac:dyDescent="0.25">
      <c r="C1034" s="25">
        <v>23602016</v>
      </c>
      <c r="D1034" s="26">
        <v>45989.264120370368</v>
      </c>
      <c r="E1034" s="25" t="s">
        <v>27</v>
      </c>
      <c r="F1034" s="25" t="s">
        <v>28</v>
      </c>
      <c r="G1034" s="25" t="s">
        <v>29</v>
      </c>
      <c r="H1034" s="25" t="s">
        <v>31</v>
      </c>
      <c r="I1034" s="26">
        <v>46001.264120370368</v>
      </c>
      <c r="J1034" s="25" t="s">
        <v>8019</v>
      </c>
      <c r="K1034" s="25" t="s">
        <v>32</v>
      </c>
    </row>
    <row r="1035" spans="3:11" x14ac:dyDescent="0.25">
      <c r="C1035" s="25">
        <v>23602017</v>
      </c>
      <c r="D1035" s="26">
        <v>45989.264189814814</v>
      </c>
      <c r="E1035" s="25" t="s">
        <v>27</v>
      </c>
      <c r="F1035" s="25" t="s">
        <v>28</v>
      </c>
      <c r="G1035" s="25" t="s">
        <v>29</v>
      </c>
      <c r="H1035" s="25" t="s">
        <v>31</v>
      </c>
      <c r="I1035" s="26">
        <v>46001.264189814814</v>
      </c>
      <c r="J1035" s="25" t="s">
        <v>8019</v>
      </c>
      <c r="K1035" s="25" t="s">
        <v>32</v>
      </c>
    </row>
    <row r="1036" spans="3:11" x14ac:dyDescent="0.25">
      <c r="C1036" s="25">
        <v>23602018</v>
      </c>
      <c r="D1036" s="26">
        <v>45989.264398148145</v>
      </c>
      <c r="E1036" s="25" t="s">
        <v>27</v>
      </c>
      <c r="F1036" s="25" t="s">
        <v>28</v>
      </c>
      <c r="G1036" s="25" t="s">
        <v>29</v>
      </c>
      <c r="H1036" s="25" t="s">
        <v>31</v>
      </c>
      <c r="I1036" s="26">
        <v>46001.264398148145</v>
      </c>
      <c r="J1036" s="25" t="s">
        <v>8019</v>
      </c>
      <c r="K1036" s="25" t="s">
        <v>32</v>
      </c>
    </row>
    <row r="1037" spans="3:11" x14ac:dyDescent="0.25">
      <c r="C1037" s="25">
        <v>23602020</v>
      </c>
      <c r="D1037" s="26">
        <v>45989.264675925922</v>
      </c>
      <c r="E1037" s="25" t="s">
        <v>27</v>
      </c>
      <c r="F1037" s="25" t="s">
        <v>28</v>
      </c>
      <c r="G1037" s="25" t="s">
        <v>29</v>
      </c>
      <c r="H1037" s="25" t="s">
        <v>31</v>
      </c>
      <c r="I1037" s="26">
        <v>46001.264675925922</v>
      </c>
      <c r="J1037" s="25" t="s">
        <v>8043</v>
      </c>
      <c r="K1037" s="25" t="s">
        <v>32</v>
      </c>
    </row>
    <row r="1038" spans="3:11" x14ac:dyDescent="0.25">
      <c r="C1038" s="25">
        <v>23602021</v>
      </c>
      <c r="D1038" s="26">
        <v>45989.2653587963</v>
      </c>
      <c r="E1038" s="25" t="s">
        <v>27</v>
      </c>
      <c r="F1038" s="25" t="s">
        <v>28</v>
      </c>
      <c r="G1038" s="25" t="s">
        <v>29</v>
      </c>
      <c r="H1038" s="25" t="s">
        <v>31</v>
      </c>
      <c r="I1038" s="26">
        <v>46001.2653587963</v>
      </c>
      <c r="J1038" s="25" t="s">
        <v>8050</v>
      </c>
      <c r="K1038" s="25" t="s">
        <v>32</v>
      </c>
    </row>
    <row r="1039" spans="3:11" x14ac:dyDescent="0.25">
      <c r="C1039" s="25">
        <v>23602022</v>
      </c>
      <c r="D1039" s="26">
        <v>45989.265625</v>
      </c>
      <c r="E1039" s="25" t="s">
        <v>27</v>
      </c>
      <c r="F1039" s="25" t="s">
        <v>28</v>
      </c>
      <c r="G1039" s="25" t="s">
        <v>29</v>
      </c>
      <c r="H1039" s="25" t="s">
        <v>31</v>
      </c>
      <c r="I1039" s="26">
        <v>46001.265625</v>
      </c>
      <c r="J1039" s="25" t="s">
        <v>8050</v>
      </c>
      <c r="K1039" s="25" t="s">
        <v>32</v>
      </c>
    </row>
    <row r="1040" spans="3:11" x14ac:dyDescent="0.25">
      <c r="C1040" s="25">
        <v>23602023</v>
      </c>
      <c r="D1040" s="26">
        <v>45989.265682870369</v>
      </c>
      <c r="E1040" s="25" t="s">
        <v>27</v>
      </c>
      <c r="F1040" s="25" t="s">
        <v>28</v>
      </c>
      <c r="G1040" s="25" t="s">
        <v>29</v>
      </c>
      <c r="H1040" s="25" t="s">
        <v>31</v>
      </c>
      <c r="I1040" s="26">
        <v>46001.265682870369</v>
      </c>
      <c r="J1040" s="25" t="s">
        <v>8050</v>
      </c>
      <c r="K1040" s="25" t="s">
        <v>32</v>
      </c>
    </row>
    <row r="1041" spans="3:11" x14ac:dyDescent="0.25">
      <c r="C1041" s="25">
        <v>23602024</v>
      </c>
      <c r="D1041" s="26">
        <v>45989.265706018516</v>
      </c>
      <c r="E1041" s="25" t="s">
        <v>27</v>
      </c>
      <c r="F1041" s="25" t="s">
        <v>28</v>
      </c>
      <c r="G1041" s="25" t="s">
        <v>29</v>
      </c>
      <c r="H1041" s="25" t="s">
        <v>31</v>
      </c>
      <c r="I1041" s="26">
        <v>46001.265706018516</v>
      </c>
      <c r="J1041" s="25" t="s">
        <v>8050</v>
      </c>
      <c r="K1041" s="25" t="s">
        <v>32</v>
      </c>
    </row>
    <row r="1042" spans="3:11" x14ac:dyDescent="0.25">
      <c r="C1042" s="25">
        <v>23602025</v>
      </c>
      <c r="D1042" s="26">
        <v>45989.266122685185</v>
      </c>
      <c r="E1042" s="25" t="s">
        <v>27</v>
      </c>
      <c r="F1042" s="25" t="s">
        <v>28</v>
      </c>
      <c r="G1042" s="25" t="s">
        <v>29</v>
      </c>
      <c r="H1042" s="25" t="s">
        <v>31</v>
      </c>
      <c r="I1042" s="26">
        <v>46001.266122685185</v>
      </c>
      <c r="J1042" s="25" t="s">
        <v>8072</v>
      </c>
      <c r="K1042" s="25" t="s">
        <v>32</v>
      </c>
    </row>
    <row r="1043" spans="3:11" x14ac:dyDescent="0.25">
      <c r="C1043" s="25">
        <v>23602026</v>
      </c>
      <c r="D1043" s="26">
        <v>45989.266296296293</v>
      </c>
      <c r="E1043" s="25" t="s">
        <v>27</v>
      </c>
      <c r="F1043" s="25" t="s">
        <v>28</v>
      </c>
      <c r="G1043" s="25" t="s">
        <v>29</v>
      </c>
      <c r="H1043" s="25" t="s">
        <v>31</v>
      </c>
      <c r="I1043" s="26">
        <v>46001.266296296293</v>
      </c>
      <c r="J1043" s="25" t="s">
        <v>8072</v>
      </c>
      <c r="K1043" s="25" t="s">
        <v>32</v>
      </c>
    </row>
    <row r="1044" spans="3:11" x14ac:dyDescent="0.25">
      <c r="C1044" s="25">
        <v>23602027</v>
      </c>
      <c r="D1044" s="26">
        <v>45989.266365740739</v>
      </c>
      <c r="E1044" s="25" t="s">
        <v>27</v>
      </c>
      <c r="F1044" s="25" t="s">
        <v>28</v>
      </c>
      <c r="G1044" s="25" t="s">
        <v>29</v>
      </c>
      <c r="H1044" s="25" t="s">
        <v>31</v>
      </c>
      <c r="I1044" s="26">
        <v>46001.266365740739</v>
      </c>
      <c r="J1044" s="25" t="s">
        <v>8072</v>
      </c>
      <c r="K1044" s="25" t="s">
        <v>32</v>
      </c>
    </row>
    <row r="1045" spans="3:11" x14ac:dyDescent="0.25">
      <c r="C1045" s="25">
        <v>23602028</v>
      </c>
      <c r="D1045" s="26">
        <v>45989.266643518517</v>
      </c>
      <c r="E1045" s="25" t="s">
        <v>27</v>
      </c>
      <c r="F1045" s="25" t="s">
        <v>28</v>
      </c>
      <c r="G1045" s="25" t="s">
        <v>29</v>
      </c>
      <c r="H1045" s="25" t="s">
        <v>31</v>
      </c>
      <c r="I1045" s="26">
        <v>46001.266643518517</v>
      </c>
      <c r="J1045" s="25" t="s">
        <v>8072</v>
      </c>
      <c r="K1045" s="25" t="s">
        <v>32</v>
      </c>
    </row>
    <row r="1046" spans="3:11" x14ac:dyDescent="0.25">
      <c r="C1046" s="25">
        <v>23602029</v>
      </c>
      <c r="D1046" s="26">
        <v>45989.267384259256</v>
      </c>
      <c r="E1046" s="25" t="s">
        <v>27</v>
      </c>
      <c r="F1046" s="25" t="s">
        <v>28</v>
      </c>
      <c r="G1046" s="25" t="s">
        <v>29</v>
      </c>
      <c r="H1046" s="25" t="s">
        <v>31</v>
      </c>
      <c r="I1046" s="26">
        <v>46001.267384259256</v>
      </c>
      <c r="J1046" s="25" t="s">
        <v>8094</v>
      </c>
      <c r="K1046" s="25" t="s">
        <v>32</v>
      </c>
    </row>
    <row r="1047" spans="3:11" x14ac:dyDescent="0.25">
      <c r="C1047" s="25">
        <v>23602030</v>
      </c>
      <c r="D1047" s="26">
        <v>45989.267418981479</v>
      </c>
      <c r="E1047" s="25" t="s">
        <v>27</v>
      </c>
      <c r="F1047" s="25" t="s">
        <v>28</v>
      </c>
      <c r="G1047" s="25" t="s">
        <v>29</v>
      </c>
      <c r="H1047" s="25" t="s">
        <v>31</v>
      </c>
      <c r="I1047" s="26">
        <v>46001.267418981479</v>
      </c>
      <c r="J1047" s="25" t="s">
        <v>8094</v>
      </c>
      <c r="K1047" s="25" t="s">
        <v>32</v>
      </c>
    </row>
    <row r="1048" spans="3:11" x14ac:dyDescent="0.25">
      <c r="C1048" s="25">
        <v>23602031</v>
      </c>
      <c r="D1048" s="26">
        <v>45989.267476851855</v>
      </c>
      <c r="E1048" s="25" t="s">
        <v>27</v>
      </c>
      <c r="F1048" s="25" t="s">
        <v>28</v>
      </c>
      <c r="G1048" s="25" t="s">
        <v>29</v>
      </c>
      <c r="H1048" s="25" t="s">
        <v>31</v>
      </c>
      <c r="I1048" s="26">
        <v>46001.267476851855</v>
      </c>
      <c r="J1048" s="25" t="s">
        <v>8094</v>
      </c>
      <c r="K1048" s="25" t="s">
        <v>32</v>
      </c>
    </row>
    <row r="1049" spans="3:11" x14ac:dyDescent="0.25">
      <c r="C1049" s="25">
        <v>23602033</v>
      </c>
      <c r="D1049" s="26">
        <v>45989.267638888887</v>
      </c>
      <c r="E1049" s="25" t="s">
        <v>27</v>
      </c>
      <c r="F1049" s="25" t="s">
        <v>28</v>
      </c>
      <c r="G1049" s="25" t="s">
        <v>29</v>
      </c>
      <c r="H1049" s="25" t="s">
        <v>31</v>
      </c>
      <c r="I1049" s="26">
        <v>46001.267638888887</v>
      </c>
      <c r="J1049" s="25" t="s">
        <v>8094</v>
      </c>
      <c r="K1049" s="25" t="s">
        <v>32</v>
      </c>
    </row>
    <row r="1050" spans="3:11" x14ac:dyDescent="0.25">
      <c r="C1050" s="25">
        <v>23602034</v>
      </c>
      <c r="D1050" s="26">
        <v>45989.267905092594</v>
      </c>
      <c r="E1050" s="25" t="s">
        <v>27</v>
      </c>
      <c r="F1050" s="25" t="s">
        <v>28</v>
      </c>
      <c r="G1050" s="25" t="s">
        <v>29</v>
      </c>
      <c r="H1050" s="25" t="s">
        <v>31</v>
      </c>
      <c r="I1050" s="26">
        <v>46001.267905092594</v>
      </c>
      <c r="J1050" s="25" t="s">
        <v>8094</v>
      </c>
      <c r="K1050" s="25" t="s">
        <v>32</v>
      </c>
    </row>
    <row r="1051" spans="3:11" x14ac:dyDescent="0.25">
      <c r="C1051" s="25">
        <v>23602035</v>
      </c>
      <c r="D1051" s="26">
        <v>45989.26803240741</v>
      </c>
      <c r="E1051" s="25" t="s">
        <v>27</v>
      </c>
      <c r="F1051" s="25" t="s">
        <v>28</v>
      </c>
      <c r="G1051" s="25" t="s">
        <v>29</v>
      </c>
      <c r="H1051" s="25" t="s">
        <v>31</v>
      </c>
      <c r="I1051" s="26">
        <v>46001.26803240741</v>
      </c>
      <c r="J1051" s="25" t="s">
        <v>8094</v>
      </c>
      <c r="K1051" s="25" t="s">
        <v>32</v>
      </c>
    </row>
    <row r="1052" spans="3:11" x14ac:dyDescent="0.25">
      <c r="C1052" s="25">
        <v>23602036</v>
      </c>
      <c r="D1052" s="26">
        <v>45989.268333333333</v>
      </c>
      <c r="E1052" s="25" t="s">
        <v>27</v>
      </c>
      <c r="F1052" s="25" t="s">
        <v>28</v>
      </c>
      <c r="G1052" s="25" t="s">
        <v>29</v>
      </c>
      <c r="H1052" s="25" t="s">
        <v>31</v>
      </c>
      <c r="I1052" s="26">
        <v>46001.268333333333</v>
      </c>
      <c r="J1052" s="25" t="s">
        <v>8126</v>
      </c>
      <c r="K1052" s="25" t="s">
        <v>32</v>
      </c>
    </row>
    <row r="1053" spans="3:11" x14ac:dyDescent="0.25">
      <c r="C1053" s="25">
        <v>23602037</v>
      </c>
      <c r="D1053" s="26">
        <v>45989.268599537034</v>
      </c>
      <c r="E1053" s="25" t="s">
        <v>27</v>
      </c>
      <c r="F1053" s="25" t="s">
        <v>28</v>
      </c>
      <c r="G1053" s="25" t="s">
        <v>29</v>
      </c>
      <c r="H1053" s="25" t="s">
        <v>31</v>
      </c>
      <c r="I1053" s="26">
        <v>46001.268599537034</v>
      </c>
      <c r="J1053" s="25" t="s">
        <v>8126</v>
      </c>
      <c r="K1053" s="25" t="s">
        <v>32</v>
      </c>
    </row>
    <row r="1054" spans="3:11" x14ac:dyDescent="0.25">
      <c r="C1054" s="25">
        <v>23602038</v>
      </c>
      <c r="D1054" s="26">
        <v>45989.268807870372</v>
      </c>
      <c r="E1054" s="25" t="s">
        <v>27</v>
      </c>
      <c r="F1054" s="25" t="s">
        <v>28</v>
      </c>
      <c r="G1054" s="25" t="s">
        <v>29</v>
      </c>
      <c r="H1054" s="25" t="s">
        <v>31</v>
      </c>
      <c r="I1054" s="26">
        <v>46001.268807870372</v>
      </c>
      <c r="J1054" s="25" t="s">
        <v>8138</v>
      </c>
      <c r="K1054" s="25" t="s">
        <v>32</v>
      </c>
    </row>
    <row r="1055" spans="3:11" x14ac:dyDescent="0.25">
      <c r="C1055" s="25">
        <v>23602039</v>
      </c>
      <c r="D1055" s="26">
        <v>45989.268935185188</v>
      </c>
      <c r="E1055" s="25" t="s">
        <v>27</v>
      </c>
      <c r="F1055" s="25" t="s">
        <v>28</v>
      </c>
      <c r="G1055" s="25" t="s">
        <v>29</v>
      </c>
      <c r="H1055" s="25" t="s">
        <v>31</v>
      </c>
      <c r="I1055" s="26">
        <v>46001.268935185188</v>
      </c>
      <c r="J1055" s="25" t="s">
        <v>8138</v>
      </c>
      <c r="K1055" s="25" t="s">
        <v>32</v>
      </c>
    </row>
    <row r="1056" spans="3:11" x14ac:dyDescent="0.25">
      <c r="C1056" s="25">
        <v>23602042</v>
      </c>
      <c r="D1056" s="26">
        <v>45989.276307870372</v>
      </c>
      <c r="E1056" s="25" t="s">
        <v>27</v>
      </c>
      <c r="F1056" s="25" t="s">
        <v>28</v>
      </c>
      <c r="G1056" s="25" t="s">
        <v>29</v>
      </c>
      <c r="H1056" s="25" t="s">
        <v>31</v>
      </c>
      <c r="I1056" s="26">
        <v>46001.276307870372</v>
      </c>
      <c r="J1056" s="25" t="s">
        <v>8150</v>
      </c>
      <c r="K1056" s="25" t="s">
        <v>32</v>
      </c>
    </row>
    <row r="1057" spans="3:11" x14ac:dyDescent="0.25">
      <c r="C1057" s="25">
        <v>23602043</v>
      </c>
      <c r="D1057" s="26">
        <v>45989.276493055557</v>
      </c>
      <c r="E1057" s="25" t="s">
        <v>27</v>
      </c>
      <c r="F1057" s="25" t="s">
        <v>28</v>
      </c>
      <c r="G1057" s="25" t="s">
        <v>29</v>
      </c>
      <c r="H1057" s="25" t="s">
        <v>31</v>
      </c>
      <c r="I1057" s="26">
        <v>46001.276493055557</v>
      </c>
      <c r="J1057" s="25" t="s">
        <v>8157</v>
      </c>
      <c r="K1057" s="25" t="s">
        <v>32</v>
      </c>
    </row>
    <row r="1058" spans="3:11" x14ac:dyDescent="0.25">
      <c r="C1058" s="25">
        <v>23602044</v>
      </c>
      <c r="D1058" s="26">
        <v>45989.276574074072</v>
      </c>
      <c r="E1058" s="25" t="s">
        <v>27</v>
      </c>
      <c r="F1058" s="25" t="s">
        <v>28</v>
      </c>
      <c r="G1058" s="25" t="s">
        <v>29</v>
      </c>
      <c r="H1058" s="25" t="s">
        <v>31</v>
      </c>
      <c r="I1058" s="26">
        <v>46001.276574074072</v>
      </c>
      <c r="J1058" s="25" t="s">
        <v>8157</v>
      </c>
      <c r="K1058" s="25" t="s">
        <v>32</v>
      </c>
    </row>
    <row r="1059" spans="3:11" x14ac:dyDescent="0.25">
      <c r="C1059" s="25">
        <v>23602045</v>
      </c>
      <c r="D1059" s="26">
        <v>45989.276724537034</v>
      </c>
      <c r="E1059" s="25" t="s">
        <v>27</v>
      </c>
      <c r="F1059" s="25" t="s">
        <v>28</v>
      </c>
      <c r="G1059" s="25" t="s">
        <v>29</v>
      </c>
      <c r="H1059" s="25" t="s">
        <v>31</v>
      </c>
      <c r="I1059" s="26">
        <v>46001.276724537034</v>
      </c>
      <c r="J1059" s="25" t="s">
        <v>8157</v>
      </c>
      <c r="K1059" s="25" t="s">
        <v>32</v>
      </c>
    </row>
    <row r="1060" spans="3:11" x14ac:dyDescent="0.25">
      <c r="C1060" s="25">
        <v>23602046</v>
      </c>
      <c r="D1060" s="26">
        <v>45989.276817129627</v>
      </c>
      <c r="E1060" s="25" t="s">
        <v>27</v>
      </c>
      <c r="F1060" s="25" t="s">
        <v>28</v>
      </c>
      <c r="G1060" s="25" t="s">
        <v>29</v>
      </c>
      <c r="H1060" s="25" t="s">
        <v>31</v>
      </c>
      <c r="I1060" s="26">
        <v>46001.276817129627</v>
      </c>
      <c r="J1060" s="25" t="s">
        <v>8157</v>
      </c>
      <c r="K1060" s="25" t="s">
        <v>32</v>
      </c>
    </row>
    <row r="1061" spans="3:11" x14ac:dyDescent="0.25">
      <c r="C1061" s="25">
        <v>23602047</v>
      </c>
      <c r="D1061" s="26">
        <v>45989.276967592596</v>
      </c>
      <c r="E1061" s="25" t="s">
        <v>27</v>
      </c>
      <c r="F1061" s="25" t="s">
        <v>28</v>
      </c>
      <c r="G1061" s="25" t="s">
        <v>29</v>
      </c>
      <c r="H1061" s="25" t="s">
        <v>31</v>
      </c>
      <c r="I1061" s="26">
        <v>46001.276967592596</v>
      </c>
      <c r="J1061" s="25" t="s">
        <v>8157</v>
      </c>
      <c r="K1061" s="25" t="s">
        <v>32</v>
      </c>
    </row>
    <row r="1062" spans="3:11" x14ac:dyDescent="0.25">
      <c r="C1062" s="25">
        <v>23602048</v>
      </c>
      <c r="D1062" s="26">
        <v>45989.277303240742</v>
      </c>
      <c r="E1062" s="25" t="s">
        <v>27</v>
      </c>
      <c r="F1062" s="25" t="s">
        <v>28</v>
      </c>
      <c r="G1062" s="25" t="s">
        <v>29</v>
      </c>
      <c r="H1062" s="25" t="s">
        <v>31</v>
      </c>
      <c r="I1062" s="26">
        <v>46001.277303240742</v>
      </c>
      <c r="J1062" s="25" t="s">
        <v>8184</v>
      </c>
      <c r="K1062" s="25" t="s">
        <v>32</v>
      </c>
    </row>
    <row r="1063" spans="3:11" x14ac:dyDescent="0.25">
      <c r="C1063" s="25">
        <v>23602051</v>
      </c>
      <c r="D1063" s="26">
        <v>45989.288912037038</v>
      </c>
      <c r="E1063" s="25" t="s">
        <v>27</v>
      </c>
      <c r="F1063" s="25" t="s">
        <v>28</v>
      </c>
      <c r="G1063" s="25" t="s">
        <v>29</v>
      </c>
      <c r="H1063" s="25" t="s">
        <v>31</v>
      </c>
      <c r="I1063" s="26">
        <v>46001.288912037038</v>
      </c>
      <c r="J1063" s="25" t="s">
        <v>8191</v>
      </c>
      <c r="K1063" s="25" t="s">
        <v>32</v>
      </c>
    </row>
    <row r="1064" spans="3:11" x14ac:dyDescent="0.25">
      <c r="C1064" s="25">
        <v>23602052</v>
      </c>
      <c r="D1064" s="26">
        <v>45989.288981481484</v>
      </c>
      <c r="E1064" s="25" t="s">
        <v>27</v>
      </c>
      <c r="F1064" s="25" t="s">
        <v>28</v>
      </c>
      <c r="G1064" s="25" t="s">
        <v>29</v>
      </c>
      <c r="H1064" s="25" t="s">
        <v>31</v>
      </c>
      <c r="I1064" s="26">
        <v>46001.288981481484</v>
      </c>
      <c r="J1064" s="25" t="s">
        <v>8191</v>
      </c>
      <c r="K1064" s="25" t="s">
        <v>32</v>
      </c>
    </row>
    <row r="1065" spans="3:11" x14ac:dyDescent="0.25">
      <c r="C1065" s="25">
        <v>23602053</v>
      </c>
      <c r="D1065" s="26">
        <v>45989.289224537039</v>
      </c>
      <c r="E1065" s="25" t="s">
        <v>27</v>
      </c>
      <c r="F1065" s="25" t="s">
        <v>28</v>
      </c>
      <c r="G1065" s="25" t="s">
        <v>29</v>
      </c>
      <c r="H1065" s="25" t="s">
        <v>31</v>
      </c>
      <c r="I1065" s="26">
        <v>46001.289224537039</v>
      </c>
      <c r="J1065" s="25" t="s">
        <v>8191</v>
      </c>
      <c r="K1065" s="25" t="s">
        <v>32</v>
      </c>
    </row>
    <row r="1066" spans="3:11" x14ac:dyDescent="0.25">
      <c r="C1066" s="25">
        <v>23602054</v>
      </c>
      <c r="D1066" s="26">
        <v>45989.289270833331</v>
      </c>
      <c r="E1066" s="25" t="s">
        <v>27</v>
      </c>
      <c r="F1066" s="25" t="s">
        <v>28</v>
      </c>
      <c r="G1066" s="25" t="s">
        <v>29</v>
      </c>
      <c r="H1066" s="25" t="s">
        <v>31</v>
      </c>
      <c r="I1066" s="26">
        <v>46001.289270833331</v>
      </c>
      <c r="J1066" s="25" t="s">
        <v>8191</v>
      </c>
      <c r="K1066" s="25" t="s">
        <v>32</v>
      </c>
    </row>
    <row r="1067" spans="3:11" x14ac:dyDescent="0.25">
      <c r="C1067" s="25">
        <v>23602055</v>
      </c>
      <c r="D1067" s="26">
        <v>45989.289606481485</v>
      </c>
      <c r="E1067" s="25" t="s">
        <v>27</v>
      </c>
      <c r="F1067" s="25" t="s">
        <v>28</v>
      </c>
      <c r="G1067" s="25" t="s">
        <v>29</v>
      </c>
      <c r="H1067" s="25" t="s">
        <v>31</v>
      </c>
      <c r="I1067" s="26">
        <v>46001.289606481485</v>
      </c>
      <c r="J1067" s="25" t="s">
        <v>6252</v>
      </c>
      <c r="K1067" s="25" t="s">
        <v>32</v>
      </c>
    </row>
    <row r="1068" spans="3:11" x14ac:dyDescent="0.25">
      <c r="C1068" s="25">
        <v>23602056</v>
      </c>
      <c r="D1068" s="26">
        <v>45989.289756944447</v>
      </c>
      <c r="E1068" s="25" t="s">
        <v>27</v>
      </c>
      <c r="F1068" s="25" t="s">
        <v>28</v>
      </c>
      <c r="G1068" s="25" t="s">
        <v>29</v>
      </c>
      <c r="H1068" s="25" t="s">
        <v>31</v>
      </c>
      <c r="I1068" s="26">
        <v>46001.289756944447</v>
      </c>
      <c r="J1068" s="25" t="s">
        <v>6252</v>
      </c>
      <c r="K1068" s="25" t="s">
        <v>32</v>
      </c>
    </row>
    <row r="1069" spans="3:11" x14ac:dyDescent="0.25">
      <c r="C1069" s="25">
        <v>23602057</v>
      </c>
      <c r="D1069" s="26">
        <v>45989.290219907409</v>
      </c>
      <c r="E1069" s="25" t="s">
        <v>27</v>
      </c>
      <c r="F1069" s="25" t="s">
        <v>28</v>
      </c>
      <c r="G1069" s="25" t="s">
        <v>29</v>
      </c>
      <c r="H1069" s="25" t="s">
        <v>31</v>
      </c>
      <c r="I1069" s="26">
        <v>46001.290219907409</v>
      </c>
      <c r="J1069" s="25" t="s">
        <v>6252</v>
      </c>
      <c r="K1069" s="25" t="s">
        <v>32</v>
      </c>
    </row>
    <row r="1070" spans="3:11" x14ac:dyDescent="0.25">
      <c r="C1070" s="25">
        <v>23602058</v>
      </c>
      <c r="D1070" s="26">
        <v>45989.290266203701</v>
      </c>
      <c r="E1070" s="25" t="s">
        <v>27</v>
      </c>
      <c r="F1070" s="25" t="s">
        <v>28</v>
      </c>
      <c r="G1070" s="25" t="s">
        <v>29</v>
      </c>
      <c r="H1070" s="25" t="s">
        <v>31</v>
      </c>
      <c r="I1070" s="26">
        <v>46001.290266203701</v>
      </c>
      <c r="J1070" s="25" t="s">
        <v>6252</v>
      </c>
      <c r="K1070" s="25" t="s">
        <v>32</v>
      </c>
    </row>
    <row r="1071" spans="3:11" x14ac:dyDescent="0.25">
      <c r="C1071" s="25">
        <v>23602059</v>
      </c>
      <c r="D1071" s="26">
        <v>45989.290393518517</v>
      </c>
      <c r="E1071" s="25" t="s">
        <v>27</v>
      </c>
      <c r="F1071" s="25" t="s">
        <v>28</v>
      </c>
      <c r="G1071" s="25" t="s">
        <v>29</v>
      </c>
      <c r="H1071" s="25" t="s">
        <v>31</v>
      </c>
      <c r="I1071" s="26">
        <v>46001.290393518517</v>
      </c>
      <c r="J1071" s="25" t="s">
        <v>8233</v>
      </c>
      <c r="K1071" s="25" t="s">
        <v>32</v>
      </c>
    </row>
    <row r="1072" spans="3:11" x14ac:dyDescent="0.25">
      <c r="C1072" s="25">
        <v>23602060</v>
      </c>
      <c r="D1072" s="26">
        <v>45989.290729166663</v>
      </c>
      <c r="E1072" s="25" t="s">
        <v>27</v>
      </c>
      <c r="F1072" s="25" t="s">
        <v>28</v>
      </c>
      <c r="G1072" s="25" t="s">
        <v>29</v>
      </c>
      <c r="H1072" s="25" t="s">
        <v>31</v>
      </c>
      <c r="I1072" s="26">
        <v>46001.290729166663</v>
      </c>
      <c r="J1072" s="25" t="s">
        <v>8233</v>
      </c>
      <c r="K1072" s="25" t="s">
        <v>32</v>
      </c>
    </row>
    <row r="1073" spans="3:11" x14ac:dyDescent="0.25">
      <c r="C1073" s="25">
        <v>23602061</v>
      </c>
      <c r="D1073" s="26">
        <v>45989.290925925925</v>
      </c>
      <c r="E1073" s="25" t="s">
        <v>27</v>
      </c>
      <c r="F1073" s="25" t="s">
        <v>28</v>
      </c>
      <c r="G1073" s="25" t="s">
        <v>29</v>
      </c>
      <c r="H1073" s="25" t="s">
        <v>31</v>
      </c>
      <c r="I1073" s="26">
        <v>46001.290925925925</v>
      </c>
      <c r="J1073" s="25" t="s">
        <v>8233</v>
      </c>
      <c r="K1073" s="25" t="s">
        <v>32</v>
      </c>
    </row>
    <row r="1074" spans="3:11" x14ac:dyDescent="0.25">
      <c r="C1074" s="25">
        <v>23602062</v>
      </c>
      <c r="D1074" s="26">
        <v>45989.290925925925</v>
      </c>
      <c r="E1074" s="25" t="s">
        <v>27</v>
      </c>
      <c r="F1074" s="25" t="s">
        <v>28</v>
      </c>
      <c r="G1074" s="25" t="s">
        <v>29</v>
      </c>
      <c r="H1074" s="25" t="s">
        <v>31</v>
      </c>
      <c r="I1074" s="26">
        <v>46001.290925925925</v>
      </c>
      <c r="J1074" s="25" t="s">
        <v>8233</v>
      </c>
      <c r="K1074" s="25" t="s">
        <v>32</v>
      </c>
    </row>
    <row r="1075" spans="3:11" x14ac:dyDescent="0.25">
      <c r="C1075" s="25">
        <v>23602063</v>
      </c>
      <c r="D1075" s="26">
        <v>45989.290925925925</v>
      </c>
      <c r="E1075" s="25" t="s">
        <v>27</v>
      </c>
      <c r="F1075" s="25" t="s">
        <v>28</v>
      </c>
      <c r="G1075" s="25" t="s">
        <v>29</v>
      </c>
      <c r="H1075" s="25" t="s">
        <v>31</v>
      </c>
      <c r="I1075" s="26">
        <v>46001.290925925925</v>
      </c>
      <c r="J1075" s="25" t="s">
        <v>8233</v>
      </c>
      <c r="K1075" s="25" t="s">
        <v>32</v>
      </c>
    </row>
    <row r="1076" spans="3:11" x14ac:dyDescent="0.25">
      <c r="C1076" s="25">
        <v>23602064</v>
      </c>
      <c r="D1076" s="26">
        <v>45989.291307870371</v>
      </c>
      <c r="E1076" s="25" t="s">
        <v>27</v>
      </c>
      <c r="F1076" s="25" t="s">
        <v>28</v>
      </c>
      <c r="G1076" s="25" t="s">
        <v>29</v>
      </c>
      <c r="H1076" s="25" t="s">
        <v>31</v>
      </c>
      <c r="I1076" s="26">
        <v>46001.291307870371</v>
      </c>
      <c r="J1076" s="25" t="s">
        <v>6254</v>
      </c>
      <c r="K1076" s="25" t="s">
        <v>32</v>
      </c>
    </row>
    <row r="1077" spans="3:11" x14ac:dyDescent="0.25">
      <c r="C1077" s="25">
        <v>23602065</v>
      </c>
      <c r="D1077" s="26">
        <v>45989.29142361111</v>
      </c>
      <c r="E1077" s="25" t="s">
        <v>27</v>
      </c>
      <c r="F1077" s="25" t="s">
        <v>28</v>
      </c>
      <c r="G1077" s="25" t="s">
        <v>29</v>
      </c>
      <c r="H1077" s="25" t="s">
        <v>31</v>
      </c>
      <c r="I1077" s="26">
        <v>46001.29142361111</v>
      </c>
      <c r="J1077" s="25" t="s">
        <v>6254</v>
      </c>
      <c r="K1077" s="25" t="s">
        <v>32</v>
      </c>
    </row>
    <row r="1078" spans="3:11" x14ac:dyDescent="0.25">
      <c r="C1078" s="25">
        <v>23602066</v>
      </c>
      <c r="D1078" s="26">
        <v>45989.291481481479</v>
      </c>
      <c r="E1078" s="25" t="s">
        <v>27</v>
      </c>
      <c r="F1078" s="25" t="s">
        <v>28</v>
      </c>
      <c r="G1078" s="25" t="s">
        <v>29</v>
      </c>
      <c r="H1078" s="25" t="s">
        <v>31</v>
      </c>
      <c r="I1078" s="26">
        <v>46001.291481481479</v>
      </c>
      <c r="J1078" s="25" t="s">
        <v>6254</v>
      </c>
      <c r="K1078" s="25" t="s">
        <v>32</v>
      </c>
    </row>
    <row r="1079" spans="3:11" x14ac:dyDescent="0.25">
      <c r="C1079" s="25">
        <v>23602067</v>
      </c>
      <c r="D1079" s="26">
        <v>45989.291666666664</v>
      </c>
      <c r="E1079" s="25" t="s">
        <v>27</v>
      </c>
      <c r="F1079" s="25" t="s">
        <v>28</v>
      </c>
      <c r="G1079" s="25" t="s">
        <v>40</v>
      </c>
      <c r="H1079" s="25" t="s">
        <v>31</v>
      </c>
      <c r="I1079" s="26">
        <v>45996.291666666664</v>
      </c>
      <c r="J1079" s="25" t="s">
        <v>8269</v>
      </c>
      <c r="K1079" s="25" t="s">
        <v>32</v>
      </c>
    </row>
    <row r="1080" spans="3:11" x14ac:dyDescent="0.25">
      <c r="C1080" s="25">
        <v>23602068</v>
      </c>
      <c r="D1080" s="26">
        <v>45989.291747685187</v>
      </c>
      <c r="E1080" s="25" t="s">
        <v>27</v>
      </c>
      <c r="F1080" s="25" t="s">
        <v>28</v>
      </c>
      <c r="G1080" s="25" t="s">
        <v>29</v>
      </c>
      <c r="H1080" s="25" t="s">
        <v>31</v>
      </c>
      <c r="I1080" s="26">
        <v>46001.291747685187</v>
      </c>
      <c r="J1080" s="25" t="s">
        <v>8275</v>
      </c>
      <c r="K1080" s="25" t="s">
        <v>32</v>
      </c>
    </row>
    <row r="1081" spans="3:11" x14ac:dyDescent="0.25">
      <c r="C1081" s="25">
        <v>23602069</v>
      </c>
      <c r="D1081" s="26">
        <v>45989.291932870372</v>
      </c>
      <c r="E1081" s="25" t="s">
        <v>27</v>
      </c>
      <c r="F1081" s="25" t="s">
        <v>28</v>
      </c>
      <c r="G1081" s="25" t="s">
        <v>29</v>
      </c>
      <c r="H1081" s="25" t="s">
        <v>31</v>
      </c>
      <c r="I1081" s="26">
        <v>46001.291932870372</v>
      </c>
      <c r="J1081" s="25" t="s">
        <v>8275</v>
      </c>
      <c r="K1081" s="25" t="s">
        <v>32</v>
      </c>
    </row>
    <row r="1082" spans="3:11" x14ac:dyDescent="0.25">
      <c r="C1082" s="25">
        <v>23602070</v>
      </c>
      <c r="D1082" s="26">
        <v>45989.294016203705</v>
      </c>
      <c r="E1082" s="25" t="s">
        <v>27</v>
      </c>
      <c r="F1082" s="25" t="s">
        <v>28</v>
      </c>
      <c r="G1082" s="25" t="s">
        <v>40</v>
      </c>
      <c r="H1082" s="25" t="s">
        <v>31</v>
      </c>
      <c r="I1082" s="26">
        <v>45996.294016203705</v>
      </c>
      <c r="J1082" s="25" t="s">
        <v>8287</v>
      </c>
      <c r="K1082" s="25" t="s">
        <v>32</v>
      </c>
    </row>
    <row r="1083" spans="3:11" x14ac:dyDescent="0.25">
      <c r="C1083" s="25">
        <v>23602071</v>
      </c>
      <c r="D1083" s="26">
        <v>45989.295381944445</v>
      </c>
      <c r="E1083" s="25" t="s">
        <v>27</v>
      </c>
      <c r="F1083" s="25" t="s">
        <v>28</v>
      </c>
      <c r="G1083" s="25" t="s">
        <v>51</v>
      </c>
      <c r="H1083" s="25" t="s">
        <v>31</v>
      </c>
      <c r="I1083" s="26">
        <v>46007.295381944445</v>
      </c>
      <c r="J1083" s="25" t="s">
        <v>8295</v>
      </c>
      <c r="K1083" s="25" t="s">
        <v>32</v>
      </c>
    </row>
    <row r="1084" spans="3:11" x14ac:dyDescent="0.25">
      <c r="C1084" s="25">
        <v>23602072</v>
      </c>
      <c r="D1084" s="26">
        <v>45989.297418981485</v>
      </c>
      <c r="E1084" s="25" t="s">
        <v>27</v>
      </c>
      <c r="F1084" s="25" t="s">
        <v>28</v>
      </c>
      <c r="G1084" s="25" t="s">
        <v>40</v>
      </c>
      <c r="H1084" s="25" t="s">
        <v>31</v>
      </c>
      <c r="I1084" s="26">
        <v>45996.297418981485</v>
      </c>
      <c r="J1084" s="25" t="s">
        <v>7102</v>
      </c>
      <c r="K1084" s="25" t="s">
        <v>32</v>
      </c>
    </row>
    <row r="1085" spans="3:11" x14ac:dyDescent="0.25">
      <c r="C1085" s="25">
        <v>23602076</v>
      </c>
      <c r="D1085" s="26">
        <v>45989.305312500001</v>
      </c>
      <c r="E1085" s="25" t="s">
        <v>27</v>
      </c>
      <c r="F1085" s="25" t="s">
        <v>28</v>
      </c>
      <c r="G1085" s="25" t="s">
        <v>29</v>
      </c>
      <c r="H1085" s="25" t="s">
        <v>31</v>
      </c>
      <c r="I1085" s="26">
        <v>46001.305312500001</v>
      </c>
      <c r="J1085" s="25" t="s">
        <v>7378</v>
      </c>
      <c r="K1085" s="25" t="s">
        <v>32</v>
      </c>
    </row>
    <row r="1086" spans="3:11" x14ac:dyDescent="0.25">
      <c r="C1086" s="25">
        <v>23602077</v>
      </c>
      <c r="D1086" s="26">
        <v>45989.305324074077</v>
      </c>
      <c r="E1086" s="25" t="s">
        <v>27</v>
      </c>
      <c r="F1086" s="25" t="s">
        <v>28</v>
      </c>
      <c r="G1086" s="25" t="s">
        <v>29</v>
      </c>
      <c r="H1086" s="25" t="s">
        <v>31</v>
      </c>
      <c r="I1086" s="26">
        <v>46001.305324074077</v>
      </c>
      <c r="J1086" s="25" t="s">
        <v>7378</v>
      </c>
      <c r="K1086" s="25" t="s">
        <v>32</v>
      </c>
    </row>
    <row r="1087" spans="3:11" x14ac:dyDescent="0.25">
      <c r="C1087" s="25">
        <v>23602078</v>
      </c>
      <c r="D1087" s="26">
        <v>45989.305405092593</v>
      </c>
      <c r="E1087" s="25" t="s">
        <v>27</v>
      </c>
      <c r="F1087" s="25" t="s">
        <v>28</v>
      </c>
      <c r="G1087" s="25" t="s">
        <v>29</v>
      </c>
      <c r="H1087" s="25" t="s">
        <v>31</v>
      </c>
      <c r="I1087" s="26">
        <v>46001.305405092593</v>
      </c>
      <c r="J1087" s="25" t="s">
        <v>7378</v>
      </c>
      <c r="K1087" s="25" t="s">
        <v>32</v>
      </c>
    </row>
    <row r="1088" spans="3:11" x14ac:dyDescent="0.25">
      <c r="C1088" s="25">
        <v>23602079</v>
      </c>
      <c r="D1088" s="26">
        <v>45989.305428240739</v>
      </c>
      <c r="E1088" s="25" t="s">
        <v>27</v>
      </c>
      <c r="F1088" s="25" t="s">
        <v>28</v>
      </c>
      <c r="G1088" s="25" t="s">
        <v>29</v>
      </c>
      <c r="H1088" s="25" t="s">
        <v>31</v>
      </c>
      <c r="I1088" s="26">
        <v>46001.305428240739</v>
      </c>
      <c r="J1088" s="25" t="s">
        <v>7378</v>
      </c>
      <c r="K1088" s="25" t="s">
        <v>32</v>
      </c>
    </row>
    <row r="1089" spans="3:11" x14ac:dyDescent="0.25">
      <c r="C1089" s="25">
        <v>23602080</v>
      </c>
      <c r="D1089" s="26">
        <v>45989.305613425924</v>
      </c>
      <c r="E1089" s="25" t="s">
        <v>27</v>
      </c>
      <c r="F1089" s="25" t="s">
        <v>28</v>
      </c>
      <c r="G1089" s="25" t="s">
        <v>29</v>
      </c>
      <c r="H1089" s="25" t="s">
        <v>31</v>
      </c>
      <c r="I1089" s="26">
        <v>46001.305613425924</v>
      </c>
      <c r="J1089" s="25" t="s">
        <v>8327</v>
      </c>
      <c r="K1089" s="25" t="s">
        <v>32</v>
      </c>
    </row>
    <row r="1090" spans="3:11" x14ac:dyDescent="0.25">
      <c r="C1090" s="25">
        <v>23602081</v>
      </c>
      <c r="D1090" s="26">
        <v>45989.305763888886</v>
      </c>
      <c r="E1090" s="25" t="s">
        <v>27</v>
      </c>
      <c r="F1090" s="25" t="s">
        <v>28</v>
      </c>
      <c r="G1090" s="25" t="s">
        <v>29</v>
      </c>
      <c r="H1090" s="25" t="s">
        <v>31</v>
      </c>
      <c r="I1090" s="26">
        <v>46001.305763888886</v>
      </c>
      <c r="J1090" s="25" t="s">
        <v>8327</v>
      </c>
      <c r="K1090" s="25" t="s">
        <v>32</v>
      </c>
    </row>
    <row r="1091" spans="3:11" x14ac:dyDescent="0.25">
      <c r="C1091" s="25">
        <v>23602082</v>
      </c>
      <c r="D1091" s="26">
        <v>45989.305902777778</v>
      </c>
      <c r="E1091" s="25" t="s">
        <v>27</v>
      </c>
      <c r="F1091" s="25" t="s">
        <v>28</v>
      </c>
      <c r="G1091" s="25" t="s">
        <v>29</v>
      </c>
      <c r="H1091" s="25" t="s">
        <v>31</v>
      </c>
      <c r="I1091" s="26">
        <v>46001.305902777778</v>
      </c>
      <c r="J1091" s="25" t="s">
        <v>8327</v>
      </c>
      <c r="K1091" s="25" t="s">
        <v>32</v>
      </c>
    </row>
    <row r="1092" spans="3:11" x14ac:dyDescent="0.25">
      <c r="C1092" s="25">
        <v>23602084</v>
      </c>
      <c r="D1092" s="26">
        <v>45989.309004629627</v>
      </c>
      <c r="E1092" s="25" t="s">
        <v>27</v>
      </c>
      <c r="F1092" s="25" t="s">
        <v>28</v>
      </c>
      <c r="G1092" s="25" t="s">
        <v>62</v>
      </c>
      <c r="H1092" s="25" t="s">
        <v>31</v>
      </c>
      <c r="I1092" s="26">
        <v>45995.309004629627</v>
      </c>
      <c r="J1092" s="25" t="s">
        <v>8346</v>
      </c>
      <c r="K1092" s="25" t="s">
        <v>32</v>
      </c>
    </row>
    <row r="1093" spans="3:11" x14ac:dyDescent="0.25">
      <c r="C1093" s="25">
        <v>23602086</v>
      </c>
      <c r="D1093" s="26">
        <v>45989.312696759262</v>
      </c>
      <c r="E1093" s="25" t="s">
        <v>27</v>
      </c>
      <c r="F1093" s="25" t="s">
        <v>28</v>
      </c>
      <c r="G1093" s="25" t="s">
        <v>29</v>
      </c>
      <c r="H1093" s="25" t="s">
        <v>31</v>
      </c>
      <c r="I1093" s="26">
        <v>46001.312696759262</v>
      </c>
      <c r="J1093" s="25" t="s">
        <v>8353</v>
      </c>
      <c r="K1093" s="25" t="s">
        <v>32</v>
      </c>
    </row>
    <row r="1094" spans="3:11" x14ac:dyDescent="0.25">
      <c r="C1094" s="25">
        <v>23602087</v>
      </c>
      <c r="D1094" s="26">
        <v>45989.312905092593</v>
      </c>
      <c r="E1094" s="25" t="s">
        <v>27</v>
      </c>
      <c r="F1094" s="25" t="s">
        <v>28</v>
      </c>
      <c r="G1094" s="25" t="s">
        <v>29</v>
      </c>
      <c r="H1094" s="25" t="s">
        <v>31</v>
      </c>
      <c r="I1094" s="26">
        <v>46001.312905092593</v>
      </c>
      <c r="J1094" s="25" t="s">
        <v>8353</v>
      </c>
      <c r="K1094" s="25" t="s">
        <v>32</v>
      </c>
    </row>
    <row r="1095" spans="3:11" x14ac:dyDescent="0.25">
      <c r="C1095" s="25">
        <v>23602088</v>
      </c>
      <c r="D1095" s="26">
        <v>45989.313032407408</v>
      </c>
      <c r="E1095" s="25" t="s">
        <v>27</v>
      </c>
      <c r="F1095" s="25" t="s">
        <v>28</v>
      </c>
      <c r="G1095" s="25" t="s">
        <v>29</v>
      </c>
      <c r="H1095" s="25" t="s">
        <v>31</v>
      </c>
      <c r="I1095" s="26">
        <v>46001.313032407408</v>
      </c>
      <c r="J1095" s="25" t="s">
        <v>8353</v>
      </c>
      <c r="K1095" s="25" t="s">
        <v>32</v>
      </c>
    </row>
    <row r="1096" spans="3:11" x14ac:dyDescent="0.25">
      <c r="C1096" s="25">
        <v>23602089</v>
      </c>
      <c r="D1096" s="26">
        <v>45989.313252314816</v>
      </c>
      <c r="E1096" s="25" t="s">
        <v>27</v>
      </c>
      <c r="F1096" s="25" t="s">
        <v>28</v>
      </c>
      <c r="G1096" s="25" t="s">
        <v>29</v>
      </c>
      <c r="H1096" s="25" t="s">
        <v>31</v>
      </c>
      <c r="I1096" s="26">
        <v>46001.313252314816</v>
      </c>
      <c r="J1096" s="25" t="s">
        <v>8370</v>
      </c>
      <c r="K1096" s="25" t="s">
        <v>32</v>
      </c>
    </row>
    <row r="1097" spans="3:11" x14ac:dyDescent="0.25">
      <c r="C1097" s="25">
        <v>23602092</v>
      </c>
      <c r="D1097" s="26">
        <v>45989.317627314813</v>
      </c>
      <c r="E1097" s="25" t="s">
        <v>27</v>
      </c>
      <c r="F1097" s="25" t="s">
        <v>28</v>
      </c>
      <c r="G1097" s="25" t="s">
        <v>76</v>
      </c>
      <c r="H1097" s="25" t="s">
        <v>31</v>
      </c>
      <c r="I1097" s="26">
        <v>46001.317627314813</v>
      </c>
      <c r="J1097" s="25" t="s">
        <v>8378</v>
      </c>
      <c r="K1097" s="25" t="s">
        <v>32</v>
      </c>
    </row>
    <row r="1098" spans="3:11" x14ac:dyDescent="0.25">
      <c r="C1098" s="25">
        <v>23602093</v>
      </c>
      <c r="D1098" s="26">
        <v>45989.319120370368</v>
      </c>
      <c r="E1098" s="25" t="s">
        <v>27</v>
      </c>
      <c r="F1098" s="25" t="s">
        <v>28</v>
      </c>
      <c r="G1098" s="25" t="s">
        <v>51</v>
      </c>
      <c r="H1098" s="25" t="s">
        <v>31</v>
      </c>
      <c r="I1098" s="26">
        <v>46007.319120370368</v>
      </c>
      <c r="J1098" s="25" t="s">
        <v>8387</v>
      </c>
      <c r="K1098" s="25" t="s">
        <v>32</v>
      </c>
    </row>
    <row r="1099" spans="3:11" x14ac:dyDescent="0.25">
      <c r="C1099" s="25">
        <v>23602100</v>
      </c>
      <c r="D1099" s="26">
        <v>45989.320416666669</v>
      </c>
      <c r="E1099" s="25" t="s">
        <v>27</v>
      </c>
      <c r="F1099" s="25" t="s">
        <v>28</v>
      </c>
      <c r="G1099" s="25" t="s">
        <v>29</v>
      </c>
      <c r="H1099" s="25" t="s">
        <v>31</v>
      </c>
      <c r="I1099" s="26">
        <v>46001.320416666669</v>
      </c>
      <c r="J1099" s="25" t="s">
        <v>8394</v>
      </c>
      <c r="K1099" s="25" t="s">
        <v>32</v>
      </c>
    </row>
    <row r="1100" spans="3:11" x14ac:dyDescent="0.25">
      <c r="C1100" s="25">
        <v>23602103</v>
      </c>
      <c r="D1100" s="26">
        <v>45989.320949074077</v>
      </c>
      <c r="E1100" s="25" t="s">
        <v>27</v>
      </c>
      <c r="F1100" s="25" t="s">
        <v>28</v>
      </c>
      <c r="G1100" s="25" t="s">
        <v>29</v>
      </c>
      <c r="H1100" s="25" t="s">
        <v>31</v>
      </c>
      <c r="I1100" s="26">
        <v>46001.320949074077</v>
      </c>
      <c r="J1100" s="25" t="s">
        <v>8401</v>
      </c>
      <c r="K1100" s="25" t="s">
        <v>32</v>
      </c>
    </row>
    <row r="1101" spans="3:11" x14ac:dyDescent="0.25">
      <c r="C1101" s="25">
        <v>23602104</v>
      </c>
      <c r="D1101" s="26">
        <v>45989.321145833332</v>
      </c>
      <c r="E1101" s="25" t="s">
        <v>27</v>
      </c>
      <c r="F1101" s="25" t="s">
        <v>28</v>
      </c>
      <c r="G1101" s="25" t="s">
        <v>29</v>
      </c>
      <c r="H1101" s="25" t="s">
        <v>31</v>
      </c>
      <c r="I1101" s="26">
        <v>46001.321145833332</v>
      </c>
      <c r="J1101" s="25" t="s">
        <v>8401</v>
      </c>
      <c r="K1101" s="25" t="s">
        <v>32</v>
      </c>
    </row>
    <row r="1102" spans="3:11" x14ac:dyDescent="0.25">
      <c r="C1102" s="25">
        <v>23602105</v>
      </c>
      <c r="D1102" s="26">
        <v>45989.321215277778</v>
      </c>
      <c r="E1102" s="25" t="s">
        <v>27</v>
      </c>
      <c r="F1102" s="25" t="s">
        <v>28</v>
      </c>
      <c r="G1102" s="25" t="s">
        <v>29</v>
      </c>
      <c r="H1102" s="25" t="s">
        <v>31</v>
      </c>
      <c r="I1102" s="26">
        <v>46001.321215277778</v>
      </c>
      <c r="J1102" s="25" t="s">
        <v>8401</v>
      </c>
      <c r="K1102" s="25" t="s">
        <v>32</v>
      </c>
    </row>
    <row r="1103" spans="3:11" x14ac:dyDescent="0.25">
      <c r="C1103" s="25">
        <v>23602106</v>
      </c>
      <c r="D1103" s="26">
        <v>45989.321319444447</v>
      </c>
      <c r="E1103" s="25" t="s">
        <v>27</v>
      </c>
      <c r="F1103" s="25" t="s">
        <v>28</v>
      </c>
      <c r="G1103" s="25" t="s">
        <v>29</v>
      </c>
      <c r="H1103" s="25" t="s">
        <v>31</v>
      </c>
      <c r="I1103" s="26">
        <v>46001.321319444447</v>
      </c>
      <c r="J1103" s="25" t="s">
        <v>8401</v>
      </c>
      <c r="K1103" s="25" t="s">
        <v>32</v>
      </c>
    </row>
    <row r="1104" spans="3:11" x14ac:dyDescent="0.25">
      <c r="C1104" s="25">
        <v>23602107</v>
      </c>
      <c r="D1104" s="26">
        <v>45989.321585648147</v>
      </c>
      <c r="E1104" s="25" t="s">
        <v>27</v>
      </c>
      <c r="F1104" s="25" t="s">
        <v>28</v>
      </c>
      <c r="G1104" s="25" t="s">
        <v>29</v>
      </c>
      <c r="H1104" s="25" t="s">
        <v>31</v>
      </c>
      <c r="I1104" s="26">
        <v>46001.321585648147</v>
      </c>
      <c r="J1104" s="25" t="s">
        <v>8423</v>
      </c>
      <c r="K1104" s="25" t="s">
        <v>32</v>
      </c>
    </row>
    <row r="1105" spans="3:11" x14ac:dyDescent="0.25">
      <c r="C1105" s="25">
        <v>23602108</v>
      </c>
      <c r="D1105" s="26">
        <v>45989.321736111109</v>
      </c>
      <c r="E1105" s="25" t="s">
        <v>27</v>
      </c>
      <c r="F1105" s="25" t="s">
        <v>28</v>
      </c>
      <c r="G1105" s="25" t="s">
        <v>29</v>
      </c>
      <c r="H1105" s="25" t="s">
        <v>31</v>
      </c>
      <c r="I1105" s="26">
        <v>46001.321736111109</v>
      </c>
      <c r="J1105" s="25" t="s">
        <v>8423</v>
      </c>
      <c r="K1105" s="25" t="s">
        <v>32</v>
      </c>
    </row>
    <row r="1106" spans="3:11" x14ac:dyDescent="0.25">
      <c r="C1106" s="25">
        <v>23602112</v>
      </c>
      <c r="D1106" s="26">
        <v>45989.324849537035</v>
      </c>
      <c r="E1106" s="25" t="s">
        <v>27</v>
      </c>
      <c r="F1106" s="25" t="s">
        <v>28</v>
      </c>
      <c r="G1106" s="25" t="s">
        <v>51</v>
      </c>
      <c r="H1106" s="25" t="s">
        <v>38</v>
      </c>
      <c r="I1106" s="26">
        <v>46007.324849537035</v>
      </c>
      <c r="J1106" s="25" t="s">
        <v>8437</v>
      </c>
      <c r="K1106" s="25" t="s">
        <v>32</v>
      </c>
    </row>
    <row r="1107" spans="3:11" x14ac:dyDescent="0.25">
      <c r="C1107" s="25">
        <v>23602119</v>
      </c>
      <c r="D1107" s="26">
        <v>45989.326550925929</v>
      </c>
      <c r="E1107" s="25" t="s">
        <v>27</v>
      </c>
      <c r="F1107" s="25" t="s">
        <v>28</v>
      </c>
      <c r="G1107" s="25" t="s">
        <v>40</v>
      </c>
      <c r="H1107" s="25" t="s">
        <v>31</v>
      </c>
      <c r="I1107" s="26">
        <v>45996.326550925929</v>
      </c>
      <c r="J1107" s="25" t="s">
        <v>8444</v>
      </c>
      <c r="K1107" s="25" t="s">
        <v>32</v>
      </c>
    </row>
    <row r="1108" spans="3:11" x14ac:dyDescent="0.25">
      <c r="C1108" s="25">
        <v>23602124</v>
      </c>
      <c r="D1108" s="26">
        <v>45989.331331018519</v>
      </c>
      <c r="E1108" s="25" t="s">
        <v>27</v>
      </c>
      <c r="F1108" s="25" t="s">
        <v>28</v>
      </c>
      <c r="G1108" s="25" t="s">
        <v>40</v>
      </c>
      <c r="H1108" s="25" t="s">
        <v>31</v>
      </c>
      <c r="I1108" s="26">
        <v>45996.331331018519</v>
      </c>
      <c r="J1108" s="25" t="s">
        <v>8452</v>
      </c>
      <c r="K1108" s="25" t="s">
        <v>32</v>
      </c>
    </row>
    <row r="1109" spans="3:11" x14ac:dyDescent="0.25">
      <c r="C1109" s="25">
        <v>23602132</v>
      </c>
      <c r="D1109" s="26">
        <v>45989.335682870369</v>
      </c>
      <c r="E1109" s="25" t="s">
        <v>27</v>
      </c>
      <c r="F1109" s="25" t="s">
        <v>28</v>
      </c>
      <c r="G1109" s="25" t="s">
        <v>29</v>
      </c>
      <c r="H1109" s="25" t="s">
        <v>31</v>
      </c>
      <c r="I1109" s="26">
        <v>46001.335682870369</v>
      </c>
      <c r="J1109" s="25" t="s">
        <v>8459</v>
      </c>
      <c r="K1109" s="25" t="s">
        <v>32</v>
      </c>
    </row>
    <row r="1110" spans="3:11" x14ac:dyDescent="0.25">
      <c r="C1110" s="25">
        <v>23602133</v>
      </c>
      <c r="D1110" s="26">
        <v>45989.335960648146</v>
      </c>
      <c r="E1110" s="25" t="s">
        <v>27</v>
      </c>
      <c r="F1110" s="25" t="s">
        <v>28</v>
      </c>
      <c r="G1110" s="25" t="s">
        <v>29</v>
      </c>
      <c r="H1110" s="25" t="s">
        <v>31</v>
      </c>
      <c r="I1110" s="26">
        <v>46001.335960648146</v>
      </c>
      <c r="J1110" s="25" t="s">
        <v>8459</v>
      </c>
      <c r="K1110" s="25" t="s">
        <v>32</v>
      </c>
    </row>
    <row r="1111" spans="3:11" x14ac:dyDescent="0.25">
      <c r="C1111" s="25">
        <v>23602134</v>
      </c>
      <c r="D1111" s="26">
        <v>45989.336296296293</v>
      </c>
      <c r="E1111" s="25" t="s">
        <v>27</v>
      </c>
      <c r="F1111" s="25" t="s">
        <v>28</v>
      </c>
      <c r="G1111" s="25" t="s">
        <v>29</v>
      </c>
      <c r="H1111" s="25" t="s">
        <v>31</v>
      </c>
      <c r="I1111" s="26">
        <v>46001.336296296293</v>
      </c>
      <c r="J1111" s="25" t="s">
        <v>8471</v>
      </c>
      <c r="K1111" s="25" t="s">
        <v>32</v>
      </c>
    </row>
    <row r="1112" spans="3:11" x14ac:dyDescent="0.25">
      <c r="C1112" s="25">
        <v>23602135</v>
      </c>
      <c r="D1112" s="26">
        <v>45989.336527777778</v>
      </c>
      <c r="E1112" s="25" t="s">
        <v>27</v>
      </c>
      <c r="F1112" s="25" t="s">
        <v>28</v>
      </c>
      <c r="G1112" s="25" t="s">
        <v>29</v>
      </c>
      <c r="H1112" s="25" t="s">
        <v>31</v>
      </c>
      <c r="I1112" s="26">
        <v>46001.336527777778</v>
      </c>
      <c r="J1112" s="25" t="s">
        <v>8471</v>
      </c>
      <c r="K1112" s="25" t="s">
        <v>32</v>
      </c>
    </row>
    <row r="1113" spans="3:11" x14ac:dyDescent="0.25">
      <c r="C1113" s="25">
        <v>23602136</v>
      </c>
      <c r="D1113" s="26">
        <v>45989.336562500001</v>
      </c>
      <c r="E1113" s="25" t="s">
        <v>27</v>
      </c>
      <c r="F1113" s="25" t="s">
        <v>28</v>
      </c>
      <c r="G1113" s="25" t="s">
        <v>29</v>
      </c>
      <c r="H1113" s="25" t="s">
        <v>31</v>
      </c>
      <c r="I1113" s="26">
        <v>46001.336562500001</v>
      </c>
      <c r="J1113" s="25" t="s">
        <v>8471</v>
      </c>
      <c r="K1113" s="25" t="s">
        <v>32</v>
      </c>
    </row>
    <row r="1114" spans="3:11" x14ac:dyDescent="0.25">
      <c r="C1114" s="25">
        <v>23602140</v>
      </c>
      <c r="D1114" s="26">
        <v>45989.336967592593</v>
      </c>
      <c r="E1114" s="25" t="s">
        <v>27</v>
      </c>
      <c r="F1114" s="25" t="s">
        <v>28</v>
      </c>
      <c r="G1114" s="25" t="s">
        <v>29</v>
      </c>
      <c r="H1114" s="25" t="s">
        <v>31</v>
      </c>
      <c r="I1114" s="26">
        <v>46001.336967592593</v>
      </c>
      <c r="J1114" s="25" t="s">
        <v>8488</v>
      </c>
      <c r="K1114" s="25" t="s">
        <v>32</v>
      </c>
    </row>
    <row r="1115" spans="3:11" x14ac:dyDescent="0.25">
      <c r="C1115" s="25">
        <v>23602141</v>
      </c>
      <c r="D1115" s="26">
        <v>45989.337025462963</v>
      </c>
      <c r="E1115" s="25" t="s">
        <v>27</v>
      </c>
      <c r="F1115" s="25" t="s">
        <v>28</v>
      </c>
      <c r="G1115" s="25" t="s">
        <v>29</v>
      </c>
      <c r="H1115" s="25" t="s">
        <v>31</v>
      </c>
      <c r="I1115" s="26">
        <v>46001.337025462963</v>
      </c>
      <c r="J1115" s="25" t="s">
        <v>8488</v>
      </c>
      <c r="K1115" s="25" t="s">
        <v>32</v>
      </c>
    </row>
    <row r="1116" spans="3:11" x14ac:dyDescent="0.25">
      <c r="C1116" s="25">
        <v>23602143</v>
      </c>
      <c r="D1116" s="26">
        <v>45989.337175925924</v>
      </c>
      <c r="E1116" s="25" t="s">
        <v>27</v>
      </c>
      <c r="F1116" s="25" t="s">
        <v>28</v>
      </c>
      <c r="G1116" s="25" t="s">
        <v>29</v>
      </c>
      <c r="H1116" s="25" t="s">
        <v>31</v>
      </c>
      <c r="I1116" s="26">
        <v>46001.337175925924</v>
      </c>
      <c r="J1116" s="25" t="s">
        <v>8488</v>
      </c>
      <c r="K1116" s="25" t="s">
        <v>32</v>
      </c>
    </row>
    <row r="1117" spans="3:11" x14ac:dyDescent="0.25">
      <c r="C1117" s="25">
        <v>23602157</v>
      </c>
      <c r="D1117" s="26">
        <v>45989.33902777778</v>
      </c>
      <c r="E1117" s="25" t="s">
        <v>27</v>
      </c>
      <c r="F1117" s="25" t="s">
        <v>28</v>
      </c>
      <c r="G1117" s="25" t="s">
        <v>29</v>
      </c>
      <c r="H1117" s="25" t="s">
        <v>31</v>
      </c>
      <c r="I1117" s="26">
        <v>46001.33902777778</v>
      </c>
      <c r="J1117" s="25" t="s">
        <v>8505</v>
      </c>
      <c r="K1117" s="25" t="s">
        <v>32</v>
      </c>
    </row>
    <row r="1118" spans="3:11" x14ac:dyDescent="0.25">
      <c r="C1118" s="25">
        <v>23602161</v>
      </c>
      <c r="D1118" s="26">
        <v>45989.339166666665</v>
      </c>
      <c r="E1118" s="25" t="s">
        <v>27</v>
      </c>
      <c r="F1118" s="25" t="s">
        <v>28</v>
      </c>
      <c r="G1118" s="25" t="s">
        <v>29</v>
      </c>
      <c r="H1118" s="25" t="s">
        <v>31</v>
      </c>
      <c r="I1118" s="26">
        <v>46001.339166666665</v>
      </c>
      <c r="J1118" s="25" t="s">
        <v>8505</v>
      </c>
      <c r="K1118" s="25" t="s">
        <v>32</v>
      </c>
    </row>
    <row r="1119" spans="3:11" x14ac:dyDescent="0.25">
      <c r="C1119" s="25">
        <v>23602162</v>
      </c>
      <c r="D1119" s="26">
        <v>45989.339444444442</v>
      </c>
      <c r="E1119" s="25" t="s">
        <v>27</v>
      </c>
      <c r="F1119" s="25" t="s">
        <v>28</v>
      </c>
      <c r="G1119" s="25" t="s">
        <v>29</v>
      </c>
      <c r="H1119" s="25" t="s">
        <v>31</v>
      </c>
      <c r="I1119" s="26">
        <v>46001.339444444442</v>
      </c>
      <c r="J1119" s="25" t="s">
        <v>8505</v>
      </c>
      <c r="K1119" s="25" t="s">
        <v>32</v>
      </c>
    </row>
    <row r="1120" spans="3:11" x14ac:dyDescent="0.25">
      <c r="C1120" s="25">
        <v>23602168</v>
      </c>
      <c r="D1120" s="26">
        <v>45989.340555555558</v>
      </c>
      <c r="E1120" s="25" t="s">
        <v>27</v>
      </c>
      <c r="F1120" s="25" t="s">
        <v>28</v>
      </c>
      <c r="G1120" s="25" t="s">
        <v>29</v>
      </c>
      <c r="H1120" s="25" t="s">
        <v>31</v>
      </c>
      <c r="I1120" s="26">
        <v>46001.340555555558</v>
      </c>
      <c r="J1120" s="25" t="s">
        <v>2481</v>
      </c>
      <c r="K1120" s="25" t="s">
        <v>32</v>
      </c>
    </row>
    <row r="1121" spans="3:11" x14ac:dyDescent="0.25">
      <c r="C1121" s="25">
        <v>23602169</v>
      </c>
      <c r="D1121" s="26">
        <v>45989.341145833336</v>
      </c>
      <c r="E1121" s="25" t="s">
        <v>27</v>
      </c>
      <c r="F1121" s="25" t="s">
        <v>28</v>
      </c>
      <c r="G1121" s="25" t="s">
        <v>29</v>
      </c>
      <c r="H1121" s="25" t="s">
        <v>31</v>
      </c>
      <c r="I1121" s="26">
        <v>46001.341145833336</v>
      </c>
      <c r="J1121" s="25" t="s">
        <v>7204</v>
      </c>
      <c r="K1121" s="25" t="s">
        <v>32</v>
      </c>
    </row>
    <row r="1122" spans="3:11" x14ac:dyDescent="0.25">
      <c r="C1122" s="25">
        <v>23602172</v>
      </c>
      <c r="D1122" s="26">
        <v>45989.341365740744</v>
      </c>
      <c r="E1122" s="25" t="s">
        <v>27</v>
      </c>
      <c r="F1122" s="25" t="s">
        <v>28</v>
      </c>
      <c r="G1122" s="25" t="s">
        <v>29</v>
      </c>
      <c r="H1122" s="25" t="s">
        <v>31</v>
      </c>
      <c r="I1122" s="26">
        <v>46001.341365740744</v>
      </c>
      <c r="J1122" s="25" t="s">
        <v>7204</v>
      </c>
      <c r="K1122" s="25" t="s">
        <v>32</v>
      </c>
    </row>
    <row r="1123" spans="3:11" x14ac:dyDescent="0.25">
      <c r="C1123" s="25">
        <v>23602178</v>
      </c>
      <c r="D1123" s="26">
        <v>45989.341643518521</v>
      </c>
      <c r="E1123" s="25" t="s">
        <v>27</v>
      </c>
      <c r="F1123" s="25" t="s">
        <v>28</v>
      </c>
      <c r="G1123" s="25" t="s">
        <v>29</v>
      </c>
      <c r="H1123" s="25" t="s">
        <v>31</v>
      </c>
      <c r="I1123" s="26">
        <v>46001.341643518521</v>
      </c>
      <c r="J1123" s="25" t="s">
        <v>7204</v>
      </c>
      <c r="K1123" s="25" t="s">
        <v>32</v>
      </c>
    </row>
    <row r="1124" spans="3:11" x14ac:dyDescent="0.25">
      <c r="C1124" s="25">
        <v>23602180</v>
      </c>
      <c r="D1124" s="26">
        <v>45989.341724537036</v>
      </c>
      <c r="E1124" s="25" t="s">
        <v>27</v>
      </c>
      <c r="F1124" s="25" t="s">
        <v>28</v>
      </c>
      <c r="G1124" s="25" t="s">
        <v>29</v>
      </c>
      <c r="H1124" s="25" t="s">
        <v>31</v>
      </c>
      <c r="I1124" s="26">
        <v>46001.341724537036</v>
      </c>
      <c r="J1124" s="25" t="s">
        <v>8544</v>
      </c>
      <c r="K1124" s="25" t="s">
        <v>32</v>
      </c>
    </row>
    <row r="1125" spans="3:11" x14ac:dyDescent="0.25">
      <c r="C1125" s="25">
        <v>23602181</v>
      </c>
      <c r="D1125" s="26">
        <v>45989.341747685183</v>
      </c>
      <c r="E1125" s="25" t="s">
        <v>27</v>
      </c>
      <c r="F1125" s="25" t="s">
        <v>28</v>
      </c>
      <c r="G1125" s="25" t="s">
        <v>29</v>
      </c>
      <c r="H1125" s="25" t="s">
        <v>31</v>
      </c>
      <c r="I1125" s="26">
        <v>46001.341747685183</v>
      </c>
      <c r="J1125" s="25" t="s">
        <v>8544</v>
      </c>
      <c r="K1125" s="25" t="s">
        <v>32</v>
      </c>
    </row>
    <row r="1126" spans="3:11" x14ac:dyDescent="0.25">
      <c r="C1126" s="25">
        <v>23602182</v>
      </c>
      <c r="D1126" s="26">
        <v>45989.341736111113</v>
      </c>
      <c r="E1126" s="25" t="s">
        <v>27</v>
      </c>
      <c r="F1126" s="25" t="s">
        <v>28</v>
      </c>
      <c r="G1126" s="25" t="s">
        <v>29</v>
      </c>
      <c r="H1126" s="25" t="s">
        <v>31</v>
      </c>
      <c r="I1126" s="26">
        <v>46001.341736111113</v>
      </c>
      <c r="J1126" s="25" t="s">
        <v>8544</v>
      </c>
      <c r="K1126" s="25" t="s">
        <v>32</v>
      </c>
    </row>
    <row r="1127" spans="3:11" x14ac:dyDescent="0.25">
      <c r="C1127" s="25">
        <v>23602183</v>
      </c>
      <c r="D1127" s="26">
        <v>45989.341770833336</v>
      </c>
      <c r="E1127" s="25" t="s">
        <v>27</v>
      </c>
      <c r="F1127" s="25" t="s">
        <v>28</v>
      </c>
      <c r="G1127" s="25" t="s">
        <v>29</v>
      </c>
      <c r="H1127" s="25" t="s">
        <v>31</v>
      </c>
      <c r="I1127" s="26">
        <v>46001.341770833336</v>
      </c>
      <c r="J1127" s="25" t="s">
        <v>8544</v>
      </c>
      <c r="K1127" s="25" t="s">
        <v>32</v>
      </c>
    </row>
    <row r="1128" spans="3:11" x14ac:dyDescent="0.25">
      <c r="C1128" s="25">
        <v>23602184</v>
      </c>
      <c r="D1128" s="26">
        <v>45989.341886574075</v>
      </c>
      <c r="E1128" s="25" t="s">
        <v>27</v>
      </c>
      <c r="F1128" s="25" t="s">
        <v>28</v>
      </c>
      <c r="G1128" s="25" t="s">
        <v>29</v>
      </c>
      <c r="H1128" s="25" t="s">
        <v>31</v>
      </c>
      <c r="I1128" s="26">
        <v>46001.341886574075</v>
      </c>
      <c r="J1128" s="25" t="s">
        <v>8544</v>
      </c>
      <c r="K1128" s="25" t="s">
        <v>32</v>
      </c>
    </row>
    <row r="1129" spans="3:11" x14ac:dyDescent="0.25">
      <c r="C1129" s="25">
        <v>23602190</v>
      </c>
      <c r="D1129" s="26">
        <v>45989.342372685183</v>
      </c>
      <c r="E1129" s="25" t="s">
        <v>55</v>
      </c>
      <c r="F1129" s="25" t="s">
        <v>56</v>
      </c>
      <c r="G1129" s="25" t="s">
        <v>40</v>
      </c>
      <c r="H1129" s="25" t="s">
        <v>38</v>
      </c>
      <c r="I1129" s="26">
        <v>46002.342372685183</v>
      </c>
      <c r="J1129" s="25" t="s">
        <v>8574</v>
      </c>
      <c r="K1129" s="25" t="s">
        <v>32</v>
      </c>
    </row>
    <row r="1130" spans="3:11" x14ac:dyDescent="0.25">
      <c r="C1130" s="25">
        <v>23602193</v>
      </c>
      <c r="D1130" s="26">
        <v>45989.342534722222</v>
      </c>
      <c r="E1130" s="25" t="s">
        <v>27</v>
      </c>
      <c r="F1130" s="25" t="s">
        <v>28</v>
      </c>
      <c r="G1130" s="25" t="s">
        <v>29</v>
      </c>
      <c r="H1130" s="25" t="s">
        <v>31</v>
      </c>
      <c r="I1130" s="26">
        <v>46001.342534722222</v>
      </c>
      <c r="J1130" s="25" t="s">
        <v>8580</v>
      </c>
      <c r="K1130" s="25" t="s">
        <v>32</v>
      </c>
    </row>
    <row r="1131" spans="3:11" x14ac:dyDescent="0.25">
      <c r="C1131" s="25">
        <v>23602196</v>
      </c>
      <c r="D1131" s="26">
        <v>45989.342638888891</v>
      </c>
      <c r="E1131" s="25" t="s">
        <v>27</v>
      </c>
      <c r="F1131" s="25" t="s">
        <v>28</v>
      </c>
      <c r="G1131" s="25" t="s">
        <v>29</v>
      </c>
      <c r="H1131" s="25" t="s">
        <v>31</v>
      </c>
      <c r="I1131" s="26">
        <v>46001.342638888891</v>
      </c>
      <c r="J1131" s="25" t="s">
        <v>8580</v>
      </c>
      <c r="K1131" s="25" t="s">
        <v>32</v>
      </c>
    </row>
    <row r="1132" spans="3:11" x14ac:dyDescent="0.25">
      <c r="C1132" s="25">
        <v>23602197</v>
      </c>
      <c r="D1132" s="26">
        <v>45989.342673611114</v>
      </c>
      <c r="E1132" s="25" t="s">
        <v>27</v>
      </c>
      <c r="F1132" s="25" t="s">
        <v>28</v>
      </c>
      <c r="G1132" s="25" t="s">
        <v>29</v>
      </c>
      <c r="H1132" s="25" t="s">
        <v>31</v>
      </c>
      <c r="I1132" s="26">
        <v>46001.342673611114</v>
      </c>
      <c r="J1132" s="25" t="s">
        <v>8580</v>
      </c>
      <c r="K1132" s="25" t="s">
        <v>32</v>
      </c>
    </row>
    <row r="1133" spans="3:11" x14ac:dyDescent="0.25">
      <c r="C1133" s="25">
        <v>23602198</v>
      </c>
      <c r="D1133" s="26">
        <v>45989.342731481483</v>
      </c>
      <c r="E1133" s="25" t="s">
        <v>27</v>
      </c>
      <c r="F1133" s="25" t="s">
        <v>28</v>
      </c>
      <c r="G1133" s="25" t="s">
        <v>29</v>
      </c>
      <c r="H1133" s="25" t="s">
        <v>31</v>
      </c>
      <c r="I1133" s="26">
        <v>46001.342731481483</v>
      </c>
      <c r="J1133" s="25" t="s">
        <v>8580</v>
      </c>
      <c r="K1133" s="25" t="s">
        <v>32</v>
      </c>
    </row>
    <row r="1134" spans="3:11" x14ac:dyDescent="0.25">
      <c r="C1134" s="25">
        <v>23602201</v>
      </c>
      <c r="D1134" s="26">
        <v>45989.342835648145</v>
      </c>
      <c r="E1134" s="25" t="s">
        <v>27</v>
      </c>
      <c r="F1134" s="25" t="s">
        <v>28</v>
      </c>
      <c r="G1134" s="25" t="s">
        <v>29</v>
      </c>
      <c r="H1134" s="25" t="s">
        <v>31</v>
      </c>
      <c r="I1134" s="26">
        <v>46001.342835648145</v>
      </c>
      <c r="J1134" s="25" t="s">
        <v>8580</v>
      </c>
      <c r="K1134" s="25" t="s">
        <v>32</v>
      </c>
    </row>
    <row r="1135" spans="3:11" x14ac:dyDescent="0.25">
      <c r="C1135" s="25">
        <v>23602203</v>
      </c>
      <c r="D1135" s="26">
        <v>45989.342905092592</v>
      </c>
      <c r="E1135" s="25" t="s">
        <v>27</v>
      </c>
      <c r="F1135" s="25" t="s">
        <v>28</v>
      </c>
      <c r="G1135" s="25" t="s">
        <v>29</v>
      </c>
      <c r="H1135" s="25" t="s">
        <v>31</v>
      </c>
      <c r="I1135" s="26">
        <v>46001.342905092592</v>
      </c>
      <c r="J1135" s="25" t="s">
        <v>8580</v>
      </c>
      <c r="K1135" s="25" t="s">
        <v>32</v>
      </c>
    </row>
    <row r="1136" spans="3:11" x14ac:dyDescent="0.25">
      <c r="C1136" s="25">
        <v>23602212</v>
      </c>
      <c r="D1136" s="26">
        <v>45989.347800925927</v>
      </c>
      <c r="E1136" s="25" t="s">
        <v>27</v>
      </c>
      <c r="F1136" s="25" t="s">
        <v>28</v>
      </c>
      <c r="G1136" s="25" t="s">
        <v>29</v>
      </c>
      <c r="H1136" s="25" t="s">
        <v>31</v>
      </c>
      <c r="I1136" s="26">
        <v>46001.347800925927</v>
      </c>
      <c r="J1136" s="25" t="s">
        <v>8612</v>
      </c>
      <c r="K1136" s="25" t="s">
        <v>32</v>
      </c>
    </row>
    <row r="1137" spans="3:11" x14ac:dyDescent="0.25">
      <c r="C1137" s="25">
        <v>23602213</v>
      </c>
      <c r="D1137" s="26">
        <v>45989.347881944443</v>
      </c>
      <c r="E1137" s="25" t="s">
        <v>27</v>
      </c>
      <c r="F1137" s="25" t="s">
        <v>28</v>
      </c>
      <c r="G1137" s="25" t="s">
        <v>29</v>
      </c>
      <c r="H1137" s="25" t="s">
        <v>31</v>
      </c>
      <c r="I1137" s="26">
        <v>46001.347881944443</v>
      </c>
      <c r="J1137" s="25" t="s">
        <v>8612</v>
      </c>
      <c r="K1137" s="25" t="s">
        <v>32</v>
      </c>
    </row>
    <row r="1138" spans="3:11" x14ac:dyDescent="0.25">
      <c r="C1138" s="25">
        <v>23602214</v>
      </c>
      <c r="D1138" s="26">
        <v>45989.348043981481</v>
      </c>
      <c r="E1138" s="25" t="s">
        <v>27</v>
      </c>
      <c r="F1138" s="25" t="s">
        <v>28</v>
      </c>
      <c r="G1138" s="25" t="s">
        <v>29</v>
      </c>
      <c r="H1138" s="25" t="s">
        <v>31</v>
      </c>
      <c r="I1138" s="26">
        <v>46001.348043981481</v>
      </c>
      <c r="J1138" s="25" t="s">
        <v>7389</v>
      </c>
      <c r="K1138" s="25" t="s">
        <v>32</v>
      </c>
    </row>
    <row r="1139" spans="3:11" x14ac:dyDescent="0.25">
      <c r="C1139" s="25">
        <v>23602232</v>
      </c>
      <c r="D1139" s="26">
        <v>45989.357766203706</v>
      </c>
      <c r="E1139" s="25" t="s">
        <v>27</v>
      </c>
      <c r="F1139" s="25" t="s">
        <v>28</v>
      </c>
      <c r="G1139" s="25" t="s">
        <v>40</v>
      </c>
      <c r="H1139" s="25" t="s">
        <v>31</v>
      </c>
      <c r="I1139" s="26">
        <v>45996.357766203706</v>
      </c>
      <c r="J1139" s="25" t="s">
        <v>8632</v>
      </c>
      <c r="K1139" s="25" t="s">
        <v>32</v>
      </c>
    </row>
    <row r="1140" spans="3:11" x14ac:dyDescent="0.25">
      <c r="C1140" s="25">
        <v>23602238</v>
      </c>
      <c r="D1140" s="26">
        <v>45989.361377314817</v>
      </c>
      <c r="E1140" s="25" t="s">
        <v>27</v>
      </c>
      <c r="F1140" s="25" t="s">
        <v>28</v>
      </c>
      <c r="G1140" s="25" t="s">
        <v>40</v>
      </c>
      <c r="H1140" s="25" t="s">
        <v>31</v>
      </c>
      <c r="I1140" s="26">
        <v>45996.361377314817</v>
      </c>
      <c r="J1140" s="25" t="s">
        <v>8641</v>
      </c>
      <c r="K1140" s="25" t="s">
        <v>32</v>
      </c>
    </row>
    <row r="1141" spans="3:11" x14ac:dyDescent="0.25">
      <c r="C1141" s="25">
        <v>23602240</v>
      </c>
      <c r="D1141" s="26">
        <v>45989.361724537041</v>
      </c>
      <c r="E1141" s="25" t="s">
        <v>27</v>
      </c>
      <c r="F1141" s="25" t="s">
        <v>28</v>
      </c>
      <c r="G1141" s="25" t="s">
        <v>29</v>
      </c>
      <c r="H1141" s="25" t="s">
        <v>31</v>
      </c>
      <c r="I1141" s="26">
        <v>46001.361724537041</v>
      </c>
      <c r="J1141" s="25" t="s">
        <v>8647</v>
      </c>
      <c r="K1141" s="25" t="s">
        <v>32</v>
      </c>
    </row>
    <row r="1142" spans="3:11" x14ac:dyDescent="0.25">
      <c r="C1142" s="25">
        <v>23602241</v>
      </c>
      <c r="D1142" s="26">
        <v>45989.361944444441</v>
      </c>
      <c r="E1142" s="25" t="s">
        <v>27</v>
      </c>
      <c r="F1142" s="25" t="s">
        <v>28</v>
      </c>
      <c r="G1142" s="25" t="s">
        <v>29</v>
      </c>
      <c r="H1142" s="25" t="s">
        <v>31</v>
      </c>
      <c r="I1142" s="26">
        <v>46001.361944444441</v>
      </c>
      <c r="J1142" s="25" t="s">
        <v>8653</v>
      </c>
      <c r="K1142" s="25" t="s">
        <v>32</v>
      </c>
    </row>
    <row r="1143" spans="3:11" x14ac:dyDescent="0.25">
      <c r="C1143" s="25">
        <v>23602245</v>
      </c>
      <c r="D1143" s="26">
        <v>45989.362071759257</v>
      </c>
      <c r="E1143" s="25" t="s">
        <v>27</v>
      </c>
      <c r="F1143" s="25" t="s">
        <v>28</v>
      </c>
      <c r="G1143" s="25" t="s">
        <v>29</v>
      </c>
      <c r="H1143" s="25" t="s">
        <v>31</v>
      </c>
      <c r="I1143" s="26">
        <v>46001.362071759257</v>
      </c>
      <c r="J1143" s="25" t="s">
        <v>8653</v>
      </c>
      <c r="K1143" s="25" t="s">
        <v>32</v>
      </c>
    </row>
    <row r="1144" spans="3:11" x14ac:dyDescent="0.25">
      <c r="C1144" s="25">
        <v>23602246</v>
      </c>
      <c r="D1144" s="26">
        <v>45989.362939814811</v>
      </c>
      <c r="E1144" s="25" t="s">
        <v>27</v>
      </c>
      <c r="F1144" s="25" t="s">
        <v>28</v>
      </c>
      <c r="G1144" s="25" t="s">
        <v>29</v>
      </c>
      <c r="H1144" s="25" t="s">
        <v>31</v>
      </c>
      <c r="I1144" s="26">
        <v>46001.362939814811</v>
      </c>
      <c r="J1144" s="25" t="s">
        <v>1823</v>
      </c>
      <c r="K1144" s="25" t="s">
        <v>32</v>
      </c>
    </row>
    <row r="1145" spans="3:11" x14ac:dyDescent="0.25">
      <c r="C1145" s="25">
        <v>23602247</v>
      </c>
      <c r="D1145" s="26">
        <v>45989.362997685188</v>
      </c>
      <c r="E1145" s="25" t="s">
        <v>27</v>
      </c>
      <c r="F1145" s="25" t="s">
        <v>28</v>
      </c>
      <c r="G1145" s="25" t="s">
        <v>29</v>
      </c>
      <c r="H1145" s="25" t="s">
        <v>31</v>
      </c>
      <c r="I1145" s="26">
        <v>46001.362997685188</v>
      </c>
      <c r="J1145" s="25" t="s">
        <v>1823</v>
      </c>
      <c r="K1145" s="25" t="s">
        <v>32</v>
      </c>
    </row>
    <row r="1146" spans="3:11" x14ac:dyDescent="0.25">
      <c r="C1146" s="25">
        <v>23602248</v>
      </c>
      <c r="D1146" s="26">
        <v>45989.36314814815</v>
      </c>
      <c r="E1146" s="25" t="s">
        <v>27</v>
      </c>
      <c r="F1146" s="25" t="s">
        <v>28</v>
      </c>
      <c r="G1146" s="25" t="s">
        <v>29</v>
      </c>
      <c r="H1146" s="25" t="s">
        <v>31</v>
      </c>
      <c r="I1146" s="26">
        <v>46001.36314814815</v>
      </c>
      <c r="J1146" s="25" t="s">
        <v>1823</v>
      </c>
      <c r="K1146" s="25" t="s">
        <v>32</v>
      </c>
    </row>
    <row r="1147" spans="3:11" x14ac:dyDescent="0.25">
      <c r="C1147" s="25">
        <v>23602249</v>
      </c>
      <c r="D1147" s="26">
        <v>45989.363321759258</v>
      </c>
      <c r="E1147" s="25" t="s">
        <v>27</v>
      </c>
      <c r="F1147" s="25" t="s">
        <v>28</v>
      </c>
      <c r="G1147" s="25" t="s">
        <v>29</v>
      </c>
      <c r="H1147" s="25" t="s">
        <v>31</v>
      </c>
      <c r="I1147" s="26">
        <v>46001.363321759258</v>
      </c>
      <c r="J1147" s="25" t="s">
        <v>8679</v>
      </c>
      <c r="K1147" s="25" t="s">
        <v>32</v>
      </c>
    </row>
    <row r="1148" spans="3:11" x14ac:dyDescent="0.25">
      <c r="C1148" s="25">
        <v>23602283</v>
      </c>
      <c r="D1148" s="26">
        <v>45989.387569444443</v>
      </c>
      <c r="E1148" s="25" t="s">
        <v>27</v>
      </c>
      <c r="F1148" s="25" t="s">
        <v>28</v>
      </c>
      <c r="G1148" s="25" t="s">
        <v>29</v>
      </c>
      <c r="H1148" s="25" t="s">
        <v>31</v>
      </c>
      <c r="I1148" s="26">
        <v>46001.387569444443</v>
      </c>
      <c r="J1148" s="25" t="s">
        <v>7214</v>
      </c>
      <c r="K1148" s="25" t="s">
        <v>32</v>
      </c>
    </row>
    <row r="1149" spans="3:11" x14ac:dyDescent="0.25">
      <c r="C1149" s="25">
        <v>23602284</v>
      </c>
      <c r="D1149" s="26">
        <v>45989.387708333335</v>
      </c>
      <c r="E1149" s="25" t="s">
        <v>27</v>
      </c>
      <c r="F1149" s="25" t="s">
        <v>28</v>
      </c>
      <c r="G1149" s="25" t="s">
        <v>29</v>
      </c>
      <c r="H1149" s="25" t="s">
        <v>31</v>
      </c>
      <c r="I1149" s="26">
        <v>46001.387708333335</v>
      </c>
      <c r="J1149" s="25" t="s">
        <v>7214</v>
      </c>
      <c r="K1149" s="25" t="s">
        <v>32</v>
      </c>
    </row>
    <row r="1150" spans="3:11" x14ac:dyDescent="0.25">
      <c r="C1150" s="25">
        <v>23602287</v>
      </c>
      <c r="D1150" s="26">
        <v>45989.388171296298</v>
      </c>
      <c r="E1150" s="25" t="s">
        <v>27</v>
      </c>
      <c r="F1150" s="25" t="s">
        <v>28</v>
      </c>
      <c r="G1150" s="25" t="s">
        <v>29</v>
      </c>
      <c r="H1150" s="25" t="s">
        <v>31</v>
      </c>
      <c r="I1150" s="26">
        <v>46001.388171296298</v>
      </c>
      <c r="J1150" s="25" t="s">
        <v>7214</v>
      </c>
      <c r="K1150" s="25" t="s">
        <v>32</v>
      </c>
    </row>
    <row r="1151" spans="3:11" x14ac:dyDescent="0.25">
      <c r="C1151" s="25">
        <v>23602289</v>
      </c>
      <c r="D1151" s="26">
        <v>45989.388738425929</v>
      </c>
      <c r="E1151" s="25" t="s">
        <v>27</v>
      </c>
      <c r="F1151" s="25" t="s">
        <v>28</v>
      </c>
      <c r="G1151" s="25" t="s">
        <v>29</v>
      </c>
      <c r="H1151" s="25" t="s">
        <v>31</v>
      </c>
      <c r="I1151" s="26">
        <v>46001.388738425929</v>
      </c>
      <c r="J1151" s="25" t="s">
        <v>8701</v>
      </c>
      <c r="K1151" s="25" t="s">
        <v>32</v>
      </c>
    </row>
    <row r="1152" spans="3:11" x14ac:dyDescent="0.25">
      <c r="C1152" s="25">
        <v>23602291</v>
      </c>
      <c r="D1152" s="26">
        <v>45989.388877314814</v>
      </c>
      <c r="E1152" s="25" t="s">
        <v>27</v>
      </c>
      <c r="F1152" s="25" t="s">
        <v>28</v>
      </c>
      <c r="G1152" s="25" t="s">
        <v>29</v>
      </c>
      <c r="H1152" s="25" t="s">
        <v>31</v>
      </c>
      <c r="I1152" s="26">
        <v>46001.388877314814</v>
      </c>
      <c r="J1152" s="25" t="s">
        <v>8701</v>
      </c>
      <c r="K1152" s="25" t="s">
        <v>32</v>
      </c>
    </row>
    <row r="1153" spans="3:11" x14ac:dyDescent="0.25">
      <c r="C1153" s="25">
        <v>23602292</v>
      </c>
      <c r="D1153" s="26">
        <v>45989.389016203706</v>
      </c>
      <c r="E1153" s="25" t="s">
        <v>27</v>
      </c>
      <c r="F1153" s="25" t="s">
        <v>28</v>
      </c>
      <c r="G1153" s="25" t="s">
        <v>29</v>
      </c>
      <c r="H1153" s="25" t="s">
        <v>31</v>
      </c>
      <c r="I1153" s="26">
        <v>46001.389016203706</v>
      </c>
      <c r="J1153" s="25" t="s">
        <v>8712</v>
      </c>
      <c r="K1153" s="25" t="s">
        <v>32</v>
      </c>
    </row>
    <row r="1154" spans="3:11" x14ac:dyDescent="0.25">
      <c r="C1154" s="25">
        <v>23602294</v>
      </c>
      <c r="D1154" s="26">
        <v>45989.389236111114</v>
      </c>
      <c r="E1154" s="25" t="s">
        <v>27</v>
      </c>
      <c r="F1154" s="25" t="s">
        <v>28</v>
      </c>
      <c r="G1154" s="25" t="s">
        <v>29</v>
      </c>
      <c r="H1154" s="25" t="s">
        <v>31</v>
      </c>
      <c r="I1154" s="26">
        <v>46001.389236111114</v>
      </c>
      <c r="J1154" s="25" t="s">
        <v>8712</v>
      </c>
      <c r="K1154" s="25" t="s">
        <v>32</v>
      </c>
    </row>
    <row r="1155" spans="3:11" x14ac:dyDescent="0.25">
      <c r="C1155" s="25">
        <v>23602295</v>
      </c>
      <c r="D1155" s="26">
        <v>45989.389374999999</v>
      </c>
      <c r="E1155" s="25" t="s">
        <v>27</v>
      </c>
      <c r="F1155" s="25" t="s">
        <v>28</v>
      </c>
      <c r="G1155" s="25" t="s">
        <v>29</v>
      </c>
      <c r="H1155" s="25" t="s">
        <v>31</v>
      </c>
      <c r="I1155" s="26">
        <v>46001.389374999999</v>
      </c>
      <c r="J1155" s="25" t="s">
        <v>8712</v>
      </c>
      <c r="K1155" s="25" t="s">
        <v>32</v>
      </c>
    </row>
    <row r="1156" spans="3:11" x14ac:dyDescent="0.25">
      <c r="C1156" s="25">
        <v>23602296</v>
      </c>
      <c r="D1156" s="26">
        <v>45989.38994212963</v>
      </c>
      <c r="E1156" s="25" t="s">
        <v>27</v>
      </c>
      <c r="F1156" s="25" t="s">
        <v>28</v>
      </c>
      <c r="G1156" s="25" t="s">
        <v>29</v>
      </c>
      <c r="H1156" s="25" t="s">
        <v>31</v>
      </c>
      <c r="I1156" s="26">
        <v>46001.38994212963</v>
      </c>
      <c r="J1156" s="25" t="s">
        <v>6625</v>
      </c>
      <c r="K1156" s="25" t="s">
        <v>32</v>
      </c>
    </row>
    <row r="1157" spans="3:11" x14ac:dyDescent="0.25">
      <c r="C1157" s="25">
        <v>23602298</v>
      </c>
      <c r="D1157" s="26">
        <v>45989.390162037038</v>
      </c>
      <c r="E1157" s="25" t="s">
        <v>27</v>
      </c>
      <c r="F1157" s="25" t="s">
        <v>28</v>
      </c>
      <c r="G1157" s="25" t="s">
        <v>29</v>
      </c>
      <c r="H1157" s="25" t="s">
        <v>31</v>
      </c>
      <c r="I1157" s="26">
        <v>46001.390162037038</v>
      </c>
      <c r="J1157" s="25" t="s">
        <v>6625</v>
      </c>
      <c r="K1157" s="25" t="s">
        <v>32</v>
      </c>
    </row>
    <row r="1158" spans="3:11" x14ac:dyDescent="0.25">
      <c r="C1158" s="25">
        <v>23602299</v>
      </c>
      <c r="D1158" s="26">
        <v>45989.390428240738</v>
      </c>
      <c r="E1158" s="25" t="s">
        <v>27</v>
      </c>
      <c r="F1158" s="25" t="s">
        <v>28</v>
      </c>
      <c r="G1158" s="25" t="s">
        <v>29</v>
      </c>
      <c r="H1158" s="25" t="s">
        <v>31</v>
      </c>
      <c r="I1158" s="26">
        <v>46001.390428240738</v>
      </c>
      <c r="J1158" s="25" t="s">
        <v>8739</v>
      </c>
      <c r="K1158" s="25" t="s">
        <v>32</v>
      </c>
    </row>
    <row r="1159" spans="3:11" x14ac:dyDescent="0.25">
      <c r="C1159" s="25">
        <v>23602312</v>
      </c>
      <c r="D1159" s="26">
        <v>45989.393483796295</v>
      </c>
      <c r="E1159" s="25" t="s">
        <v>44</v>
      </c>
      <c r="F1159" s="25" t="s">
        <v>45</v>
      </c>
      <c r="G1159" s="25" t="s">
        <v>29</v>
      </c>
      <c r="H1159" s="25" t="s">
        <v>31</v>
      </c>
      <c r="I1159" s="26">
        <v>46001.393483796295</v>
      </c>
      <c r="J1159" s="25" t="s">
        <v>2553</v>
      </c>
      <c r="K1159" s="25" t="s">
        <v>32</v>
      </c>
    </row>
    <row r="1160" spans="3:11" x14ac:dyDescent="0.25">
      <c r="C1160" s="25">
        <v>23602318</v>
      </c>
      <c r="D1160" s="26">
        <v>45989.396053240744</v>
      </c>
      <c r="E1160" s="25" t="s">
        <v>57</v>
      </c>
      <c r="F1160" s="25" t="s">
        <v>58</v>
      </c>
      <c r="G1160" s="25" t="s">
        <v>29</v>
      </c>
      <c r="H1160" s="25" t="s">
        <v>38</v>
      </c>
      <c r="I1160" s="26">
        <v>46006.396053240744</v>
      </c>
      <c r="J1160" s="25" t="s">
        <v>8756</v>
      </c>
      <c r="K1160" s="25" t="s">
        <v>32</v>
      </c>
    </row>
    <row r="1161" spans="3:11" x14ac:dyDescent="0.25">
      <c r="C1161" s="25">
        <v>23602319</v>
      </c>
      <c r="D1161" s="26">
        <v>45989.396134259259</v>
      </c>
      <c r="E1161" s="25" t="s">
        <v>27</v>
      </c>
      <c r="F1161" s="25" t="s">
        <v>28</v>
      </c>
      <c r="G1161" s="25" t="s">
        <v>51</v>
      </c>
      <c r="H1161" s="25" t="s">
        <v>31</v>
      </c>
      <c r="I1161" s="26">
        <v>46007.396134259259</v>
      </c>
      <c r="J1161" s="25" t="s">
        <v>8764</v>
      </c>
      <c r="K1161" s="25" t="s">
        <v>32</v>
      </c>
    </row>
    <row r="1162" spans="3:11" x14ac:dyDescent="0.25">
      <c r="C1162" s="25">
        <v>23602347</v>
      </c>
      <c r="D1162" s="26">
        <v>45989.413298611114</v>
      </c>
      <c r="E1162" s="25" t="s">
        <v>48</v>
      </c>
      <c r="F1162" s="25" t="s">
        <v>64</v>
      </c>
      <c r="G1162" s="25" t="s">
        <v>62</v>
      </c>
      <c r="H1162" s="25" t="s">
        <v>38</v>
      </c>
      <c r="I1162" s="26">
        <v>45995.413298611114</v>
      </c>
      <c r="J1162" s="25" t="s">
        <v>7174</v>
      </c>
      <c r="K1162" s="25" t="s">
        <v>32</v>
      </c>
    </row>
    <row r="1163" spans="3:11" x14ac:dyDescent="0.25">
      <c r="C1163" s="25">
        <v>23602364</v>
      </c>
      <c r="D1163" s="26">
        <v>45989.42287037037</v>
      </c>
      <c r="E1163" s="25" t="s">
        <v>27</v>
      </c>
      <c r="F1163" s="25" t="s">
        <v>28</v>
      </c>
      <c r="G1163" s="25" t="s">
        <v>29</v>
      </c>
      <c r="H1163" s="25" t="s">
        <v>31</v>
      </c>
      <c r="I1163" s="26">
        <v>46001.42287037037</v>
      </c>
      <c r="J1163" s="25" t="s">
        <v>8779</v>
      </c>
      <c r="K1163" s="25" t="s">
        <v>32</v>
      </c>
    </row>
    <row r="1164" spans="3:11" x14ac:dyDescent="0.25">
      <c r="C1164" s="25">
        <v>23602365</v>
      </c>
      <c r="D1164" s="26">
        <v>45989.422997685186</v>
      </c>
      <c r="E1164" s="25" t="s">
        <v>27</v>
      </c>
      <c r="F1164" s="25" t="s">
        <v>28</v>
      </c>
      <c r="G1164" s="25" t="s">
        <v>29</v>
      </c>
      <c r="H1164" s="25" t="s">
        <v>31</v>
      </c>
      <c r="I1164" s="26">
        <v>46001.422997685186</v>
      </c>
      <c r="J1164" s="25" t="s">
        <v>8786</v>
      </c>
      <c r="K1164" s="25" t="s">
        <v>32</v>
      </c>
    </row>
    <row r="1165" spans="3:11" x14ac:dyDescent="0.25">
      <c r="C1165" s="25">
        <v>23602366</v>
      </c>
      <c r="D1165" s="26">
        <v>45989.423113425924</v>
      </c>
      <c r="E1165" s="25" t="s">
        <v>27</v>
      </c>
      <c r="F1165" s="25" t="s">
        <v>28</v>
      </c>
      <c r="G1165" s="25" t="s">
        <v>29</v>
      </c>
      <c r="H1165" s="25" t="s">
        <v>31</v>
      </c>
      <c r="I1165" s="26">
        <v>46001.423113425924</v>
      </c>
      <c r="J1165" s="25" t="s">
        <v>8786</v>
      </c>
      <c r="K1165" s="25" t="s">
        <v>32</v>
      </c>
    </row>
    <row r="1166" spans="3:11" x14ac:dyDescent="0.25">
      <c r="C1166" s="25">
        <v>23602369</v>
      </c>
      <c r="D1166" s="26">
        <v>45989.423935185187</v>
      </c>
      <c r="E1166" s="25" t="s">
        <v>27</v>
      </c>
      <c r="F1166" s="25" t="s">
        <v>28</v>
      </c>
      <c r="G1166" s="25" t="s">
        <v>29</v>
      </c>
      <c r="H1166" s="25" t="s">
        <v>31</v>
      </c>
      <c r="I1166" s="26">
        <v>46001.423935185187</v>
      </c>
      <c r="J1166" s="25" t="s">
        <v>8798</v>
      </c>
      <c r="K1166" s="25" t="s">
        <v>32</v>
      </c>
    </row>
    <row r="1167" spans="3:11" x14ac:dyDescent="0.25">
      <c r="C1167" s="25">
        <v>23602371</v>
      </c>
      <c r="D1167" s="26">
        <v>45989.424143518518</v>
      </c>
      <c r="E1167" s="25" t="s">
        <v>27</v>
      </c>
      <c r="F1167" s="25" t="s">
        <v>28</v>
      </c>
      <c r="G1167" s="25" t="s">
        <v>29</v>
      </c>
      <c r="H1167" s="25" t="s">
        <v>31</v>
      </c>
      <c r="I1167" s="26">
        <v>46001.424143518518</v>
      </c>
      <c r="J1167" s="25" t="s">
        <v>8798</v>
      </c>
      <c r="K1167" s="25" t="s">
        <v>32</v>
      </c>
    </row>
    <row r="1168" spans="3:11" x14ac:dyDescent="0.25">
      <c r="C1168" s="25">
        <v>23602373</v>
      </c>
      <c r="D1168" s="26">
        <v>45989.42428240741</v>
      </c>
      <c r="E1168" s="25" t="s">
        <v>27</v>
      </c>
      <c r="F1168" s="25" t="s">
        <v>28</v>
      </c>
      <c r="G1168" s="25" t="s">
        <v>29</v>
      </c>
      <c r="H1168" s="25" t="s">
        <v>31</v>
      </c>
      <c r="I1168" s="26">
        <v>46001.42428240741</v>
      </c>
      <c r="J1168" s="25" t="s">
        <v>8798</v>
      </c>
      <c r="K1168" s="25" t="s">
        <v>32</v>
      </c>
    </row>
    <row r="1169" spans="3:11" x14ac:dyDescent="0.25">
      <c r="C1169" s="25">
        <v>23602375</v>
      </c>
      <c r="D1169" s="26">
        <v>45989.424490740741</v>
      </c>
      <c r="E1169" s="25" t="s">
        <v>27</v>
      </c>
      <c r="F1169" s="25" t="s">
        <v>28</v>
      </c>
      <c r="G1169" s="25" t="s">
        <v>29</v>
      </c>
      <c r="H1169" s="25" t="s">
        <v>31</v>
      </c>
      <c r="I1169" s="26">
        <v>46001.424490740741</v>
      </c>
      <c r="J1169" s="25" t="s">
        <v>8815</v>
      </c>
      <c r="K1169" s="25" t="s">
        <v>32</v>
      </c>
    </row>
    <row r="1170" spans="3:11" x14ac:dyDescent="0.25">
      <c r="C1170" s="25">
        <v>23602376</v>
      </c>
      <c r="D1170" s="26">
        <v>45989.424710648149</v>
      </c>
      <c r="E1170" s="25" t="s">
        <v>27</v>
      </c>
      <c r="F1170" s="25" t="s">
        <v>28</v>
      </c>
      <c r="G1170" s="25" t="s">
        <v>29</v>
      </c>
      <c r="H1170" s="25" t="s">
        <v>31</v>
      </c>
      <c r="I1170" s="26">
        <v>46001.424710648149</v>
      </c>
      <c r="J1170" s="25" t="s">
        <v>8815</v>
      </c>
      <c r="K1170" s="25" t="s">
        <v>32</v>
      </c>
    </row>
    <row r="1171" spans="3:11" x14ac:dyDescent="0.25">
      <c r="C1171" s="25">
        <v>23602377</v>
      </c>
      <c r="D1171" s="26">
        <v>45989.424733796295</v>
      </c>
      <c r="E1171" s="25" t="s">
        <v>27</v>
      </c>
      <c r="F1171" s="25" t="s">
        <v>28</v>
      </c>
      <c r="G1171" s="25" t="s">
        <v>29</v>
      </c>
      <c r="H1171" s="25" t="s">
        <v>31</v>
      </c>
      <c r="I1171" s="26">
        <v>46001.424733796295</v>
      </c>
      <c r="J1171" s="25" t="s">
        <v>8815</v>
      </c>
      <c r="K1171" s="25" t="s">
        <v>32</v>
      </c>
    </row>
    <row r="1172" spans="3:11" x14ac:dyDescent="0.25">
      <c r="C1172" s="25">
        <v>23602379</v>
      </c>
      <c r="D1172" s="26">
        <v>45989.425891203704</v>
      </c>
      <c r="E1172" s="25" t="s">
        <v>44</v>
      </c>
      <c r="F1172" s="25" t="s">
        <v>45</v>
      </c>
      <c r="G1172" s="25" t="s">
        <v>51</v>
      </c>
      <c r="H1172" s="25" t="s">
        <v>31</v>
      </c>
      <c r="I1172" s="26">
        <v>46007.425891203704</v>
      </c>
      <c r="J1172" s="25" t="s">
        <v>8833</v>
      </c>
      <c r="K1172" s="25" t="s">
        <v>32</v>
      </c>
    </row>
    <row r="1173" spans="3:11" x14ac:dyDescent="0.25">
      <c r="C1173" s="25">
        <v>23602384</v>
      </c>
      <c r="D1173" s="26">
        <v>45989.427418981482</v>
      </c>
      <c r="E1173" s="25" t="s">
        <v>27</v>
      </c>
      <c r="F1173" s="25" t="s">
        <v>28</v>
      </c>
      <c r="G1173" s="25" t="s">
        <v>72</v>
      </c>
      <c r="H1173" s="25" t="s">
        <v>31</v>
      </c>
      <c r="I1173" s="26">
        <v>46007.427418981482</v>
      </c>
      <c r="J1173" s="25" t="s">
        <v>8842</v>
      </c>
      <c r="K1173" s="25" t="s">
        <v>32</v>
      </c>
    </row>
    <row r="1174" spans="3:11" x14ac:dyDescent="0.25">
      <c r="C1174" s="25">
        <v>23602390</v>
      </c>
      <c r="D1174" s="26">
        <v>45989.431145833332</v>
      </c>
      <c r="E1174" s="25" t="s">
        <v>27</v>
      </c>
      <c r="F1174" s="25" t="s">
        <v>28</v>
      </c>
      <c r="G1174" s="25" t="s">
        <v>68</v>
      </c>
      <c r="H1174" s="25" t="s">
        <v>31</v>
      </c>
      <c r="I1174" s="26">
        <v>46003.431145833332</v>
      </c>
      <c r="J1174" s="25" t="s">
        <v>10388</v>
      </c>
      <c r="K1174" s="25" t="s">
        <v>32</v>
      </c>
    </row>
    <row r="1175" spans="3:11" x14ac:dyDescent="0.25">
      <c r="C1175" s="25">
        <v>23602405</v>
      </c>
      <c r="D1175" s="26">
        <v>45989.439004629632</v>
      </c>
      <c r="E1175" s="25" t="s">
        <v>27</v>
      </c>
      <c r="F1175" s="25" t="s">
        <v>28</v>
      </c>
      <c r="G1175" s="25" t="s">
        <v>29</v>
      </c>
      <c r="H1175" s="25" t="s">
        <v>31</v>
      </c>
      <c r="I1175" s="26">
        <v>46001.439004629632</v>
      </c>
      <c r="J1175" s="25" t="s">
        <v>5769</v>
      </c>
      <c r="K1175" s="25" t="s">
        <v>32</v>
      </c>
    </row>
    <row r="1176" spans="3:11" x14ac:dyDescent="0.25">
      <c r="C1176" s="25">
        <v>23602406</v>
      </c>
      <c r="D1176" s="26">
        <v>45989.439293981479</v>
      </c>
      <c r="E1176" s="25" t="s">
        <v>27</v>
      </c>
      <c r="F1176" s="25" t="s">
        <v>28</v>
      </c>
      <c r="G1176" s="25" t="s">
        <v>29</v>
      </c>
      <c r="H1176" s="25" t="s">
        <v>31</v>
      </c>
      <c r="I1176" s="26">
        <v>46001.439293981479</v>
      </c>
      <c r="J1176" s="25" t="s">
        <v>5769</v>
      </c>
      <c r="K1176" s="25" t="s">
        <v>32</v>
      </c>
    </row>
    <row r="1177" spans="3:11" x14ac:dyDescent="0.25">
      <c r="C1177" s="25">
        <v>23602409</v>
      </c>
      <c r="D1177" s="26">
        <v>45989.439826388887</v>
      </c>
      <c r="E1177" s="25" t="s">
        <v>27</v>
      </c>
      <c r="F1177" s="25" t="s">
        <v>28</v>
      </c>
      <c r="G1177" s="25" t="s">
        <v>29</v>
      </c>
      <c r="H1177" s="25" t="s">
        <v>31</v>
      </c>
      <c r="I1177" s="26">
        <v>46001.439826388887</v>
      </c>
      <c r="J1177" s="25" t="s">
        <v>8859</v>
      </c>
      <c r="K1177" s="25" t="s">
        <v>32</v>
      </c>
    </row>
    <row r="1178" spans="3:11" x14ac:dyDescent="0.25">
      <c r="C1178" s="25">
        <v>23602410</v>
      </c>
      <c r="D1178" s="26">
        <v>45989.439930555556</v>
      </c>
      <c r="E1178" s="25" t="s">
        <v>27</v>
      </c>
      <c r="F1178" s="25" t="s">
        <v>28</v>
      </c>
      <c r="G1178" s="25" t="s">
        <v>29</v>
      </c>
      <c r="H1178" s="25" t="s">
        <v>31</v>
      </c>
      <c r="I1178" s="26">
        <v>46001.439930555556</v>
      </c>
      <c r="J1178" s="25" t="s">
        <v>8859</v>
      </c>
      <c r="K1178" s="25" t="s">
        <v>32</v>
      </c>
    </row>
    <row r="1179" spans="3:11" x14ac:dyDescent="0.25">
      <c r="C1179" s="25">
        <v>23602411</v>
      </c>
      <c r="D1179" s="26">
        <v>45989.440104166664</v>
      </c>
      <c r="E1179" s="25" t="s">
        <v>27</v>
      </c>
      <c r="F1179" s="25" t="s">
        <v>28</v>
      </c>
      <c r="G1179" s="25" t="s">
        <v>29</v>
      </c>
      <c r="H1179" s="25" t="s">
        <v>31</v>
      </c>
      <c r="I1179" s="26">
        <v>46001.440104166664</v>
      </c>
      <c r="J1179" s="25" t="s">
        <v>8859</v>
      </c>
      <c r="K1179" s="25" t="s">
        <v>32</v>
      </c>
    </row>
    <row r="1180" spans="3:11" x14ac:dyDescent="0.25">
      <c r="C1180" s="25">
        <v>23602412</v>
      </c>
      <c r="D1180" s="26">
        <v>45989.440254629626</v>
      </c>
      <c r="E1180" s="25" t="s">
        <v>27</v>
      </c>
      <c r="F1180" s="25" t="s">
        <v>28</v>
      </c>
      <c r="G1180" s="25" t="s">
        <v>29</v>
      </c>
      <c r="H1180" s="25" t="s">
        <v>31</v>
      </c>
      <c r="I1180" s="26">
        <v>46001.440254629626</v>
      </c>
      <c r="J1180" s="25" t="s">
        <v>8859</v>
      </c>
      <c r="K1180" s="25" t="s">
        <v>32</v>
      </c>
    </row>
    <row r="1181" spans="3:11" x14ac:dyDescent="0.25">
      <c r="C1181" s="25">
        <v>23602428</v>
      </c>
      <c r="D1181" s="26">
        <v>45989.443379629629</v>
      </c>
      <c r="E1181" s="25" t="s">
        <v>27</v>
      </c>
      <c r="F1181" s="25" t="s">
        <v>28</v>
      </c>
      <c r="G1181" s="25" t="s">
        <v>62</v>
      </c>
      <c r="H1181" s="25" t="s">
        <v>31</v>
      </c>
      <c r="I1181" s="26">
        <v>45995.443379629629</v>
      </c>
      <c r="J1181" s="25" t="s">
        <v>8882</v>
      </c>
      <c r="K1181" s="25" t="s">
        <v>32</v>
      </c>
    </row>
    <row r="1182" spans="3:11" x14ac:dyDescent="0.25">
      <c r="C1182" s="25">
        <v>23602430</v>
      </c>
      <c r="D1182" s="26">
        <v>45989.444155092591</v>
      </c>
      <c r="E1182" s="25" t="s">
        <v>48</v>
      </c>
      <c r="F1182" s="25" t="s">
        <v>64</v>
      </c>
      <c r="G1182" s="25" t="s">
        <v>62</v>
      </c>
      <c r="H1182" s="25" t="s">
        <v>31</v>
      </c>
      <c r="I1182" s="26">
        <v>45995.444155092591</v>
      </c>
      <c r="J1182" s="25" t="s">
        <v>3774</v>
      </c>
      <c r="K1182" s="25" t="s">
        <v>32</v>
      </c>
    </row>
    <row r="1183" spans="3:11" x14ac:dyDescent="0.25">
      <c r="C1183" s="25">
        <v>23602438</v>
      </c>
      <c r="D1183" s="26">
        <v>45989.447094907409</v>
      </c>
      <c r="E1183" s="25" t="s">
        <v>27</v>
      </c>
      <c r="F1183" s="25" t="s">
        <v>28</v>
      </c>
      <c r="G1183" s="25" t="s">
        <v>62</v>
      </c>
      <c r="H1183" s="25" t="s">
        <v>31</v>
      </c>
      <c r="I1183" s="26">
        <v>45995.447094907409</v>
      </c>
      <c r="J1183" s="25" t="s">
        <v>2834</v>
      </c>
      <c r="K1183" s="25" t="s">
        <v>32</v>
      </c>
    </row>
    <row r="1184" spans="3:11" x14ac:dyDescent="0.25">
      <c r="C1184" s="25">
        <v>23602439</v>
      </c>
      <c r="D1184" s="26">
        <v>45989.44740740741</v>
      </c>
      <c r="E1184" s="25" t="s">
        <v>44</v>
      </c>
      <c r="F1184" s="25" t="s">
        <v>45</v>
      </c>
      <c r="G1184" s="25" t="s">
        <v>29</v>
      </c>
      <c r="H1184" s="25" t="s">
        <v>38</v>
      </c>
      <c r="I1184" s="26">
        <v>46006.44740740741</v>
      </c>
      <c r="J1184" s="25" t="s">
        <v>8908</v>
      </c>
      <c r="K1184" s="25" t="s">
        <v>32</v>
      </c>
    </row>
    <row r="1185" spans="3:11" x14ac:dyDescent="0.25">
      <c r="C1185" s="25">
        <v>23602440</v>
      </c>
      <c r="D1185" s="26">
        <v>45989.447627314818</v>
      </c>
      <c r="E1185" s="25" t="s">
        <v>59</v>
      </c>
      <c r="F1185" s="25" t="s">
        <v>60</v>
      </c>
      <c r="G1185" s="25" t="s">
        <v>29</v>
      </c>
      <c r="H1185" s="25" t="s">
        <v>31</v>
      </c>
      <c r="I1185" s="26">
        <v>46001.447627314818</v>
      </c>
      <c r="J1185" s="25" t="s">
        <v>8915</v>
      </c>
      <c r="K1185" s="25" t="s">
        <v>32</v>
      </c>
    </row>
    <row r="1186" spans="3:11" x14ac:dyDescent="0.25">
      <c r="C1186" s="25">
        <v>23602467</v>
      </c>
      <c r="D1186" s="26">
        <v>45989.450300925928</v>
      </c>
      <c r="E1186" s="25" t="s">
        <v>27</v>
      </c>
      <c r="F1186" s="25" t="s">
        <v>28</v>
      </c>
      <c r="G1186" s="25" t="s">
        <v>62</v>
      </c>
      <c r="H1186" s="25" t="s">
        <v>31</v>
      </c>
      <c r="I1186" s="26">
        <v>45995.450300925928</v>
      </c>
      <c r="J1186" s="25" t="s">
        <v>1118</v>
      </c>
      <c r="K1186" s="25" t="s">
        <v>32</v>
      </c>
    </row>
    <row r="1187" spans="3:11" x14ac:dyDescent="0.25">
      <c r="C1187" s="25">
        <v>23602509</v>
      </c>
      <c r="D1187" s="26">
        <v>45989.452488425923</v>
      </c>
      <c r="E1187" s="25" t="s">
        <v>27</v>
      </c>
      <c r="F1187" s="25" t="s">
        <v>28</v>
      </c>
      <c r="G1187" s="25" t="s">
        <v>29</v>
      </c>
      <c r="H1187" s="25" t="s">
        <v>31</v>
      </c>
      <c r="I1187" s="26">
        <v>46001.452488425923</v>
      </c>
      <c r="J1187" s="25" t="s">
        <v>8932</v>
      </c>
      <c r="K1187" s="25" t="s">
        <v>32</v>
      </c>
    </row>
    <row r="1188" spans="3:11" x14ac:dyDescent="0.25">
      <c r="C1188" s="25">
        <v>23602543</v>
      </c>
      <c r="D1188" s="26">
        <v>45989.45516203704</v>
      </c>
      <c r="E1188" s="25" t="s">
        <v>27</v>
      </c>
      <c r="F1188" s="25" t="s">
        <v>28</v>
      </c>
      <c r="G1188" s="25" t="s">
        <v>76</v>
      </c>
      <c r="H1188" s="25" t="s">
        <v>31</v>
      </c>
      <c r="I1188" s="26">
        <v>46001.45516203704</v>
      </c>
      <c r="J1188" s="25" t="s">
        <v>2658</v>
      </c>
      <c r="K1188" s="25" t="s">
        <v>32</v>
      </c>
    </row>
    <row r="1189" spans="3:11" x14ac:dyDescent="0.25">
      <c r="C1189" s="25">
        <v>23602600</v>
      </c>
      <c r="D1189" s="26">
        <v>45989.459166666667</v>
      </c>
      <c r="E1189" s="25" t="s">
        <v>27</v>
      </c>
      <c r="F1189" s="25" t="s">
        <v>28</v>
      </c>
      <c r="G1189" s="25" t="s">
        <v>43</v>
      </c>
      <c r="H1189" s="25" t="s">
        <v>38</v>
      </c>
      <c r="I1189" s="26">
        <v>46006.459166666667</v>
      </c>
      <c r="J1189" s="25" t="s">
        <v>8949</v>
      </c>
      <c r="K1189" s="25" t="s">
        <v>32</v>
      </c>
    </row>
    <row r="1190" spans="3:11" x14ac:dyDescent="0.25">
      <c r="C1190" s="25">
        <v>23602601</v>
      </c>
      <c r="D1190" s="26">
        <v>45989.459768518522</v>
      </c>
      <c r="E1190" s="25" t="s">
        <v>27</v>
      </c>
      <c r="F1190" s="25" t="s">
        <v>28</v>
      </c>
      <c r="G1190" s="25" t="s">
        <v>40</v>
      </c>
      <c r="H1190" s="25" t="s">
        <v>31</v>
      </c>
      <c r="I1190" s="26">
        <v>45996.459768518522</v>
      </c>
      <c r="J1190" s="25" t="s">
        <v>6913</v>
      </c>
      <c r="K1190" s="25" t="s">
        <v>32</v>
      </c>
    </row>
    <row r="1191" spans="3:11" x14ac:dyDescent="0.25">
      <c r="C1191" s="25">
        <v>23602603</v>
      </c>
      <c r="D1191" s="26">
        <v>45989.46056712963</v>
      </c>
      <c r="E1191" s="25" t="s">
        <v>27</v>
      </c>
      <c r="F1191" s="25" t="s">
        <v>28</v>
      </c>
      <c r="G1191" s="25" t="s">
        <v>29</v>
      </c>
      <c r="H1191" s="25" t="s">
        <v>31</v>
      </c>
      <c r="I1191" s="26">
        <v>46001.46056712963</v>
      </c>
      <c r="J1191" s="25" t="s">
        <v>1472</v>
      </c>
      <c r="K1191" s="25" t="s">
        <v>32</v>
      </c>
    </row>
    <row r="1192" spans="3:11" x14ac:dyDescent="0.25">
      <c r="C1192" s="25">
        <v>23602604</v>
      </c>
      <c r="D1192" s="26">
        <v>45989.460648148146</v>
      </c>
      <c r="E1192" s="25" t="s">
        <v>27</v>
      </c>
      <c r="F1192" s="25" t="s">
        <v>28</v>
      </c>
      <c r="G1192" s="25" t="s">
        <v>29</v>
      </c>
      <c r="H1192" s="25" t="s">
        <v>31</v>
      </c>
      <c r="I1192" s="26">
        <v>46001.460648148146</v>
      </c>
      <c r="J1192" s="25" t="s">
        <v>1472</v>
      </c>
      <c r="K1192" s="25" t="s">
        <v>32</v>
      </c>
    </row>
    <row r="1193" spans="3:11" x14ac:dyDescent="0.25">
      <c r="C1193" s="25">
        <v>23602605</v>
      </c>
      <c r="D1193" s="26">
        <v>45989.4608912037</v>
      </c>
      <c r="E1193" s="25" t="s">
        <v>44</v>
      </c>
      <c r="F1193" s="25" t="s">
        <v>45</v>
      </c>
      <c r="G1193" s="25" t="s">
        <v>29</v>
      </c>
      <c r="H1193" s="25" t="s">
        <v>38</v>
      </c>
      <c r="I1193" s="26">
        <v>46006.4608912037</v>
      </c>
      <c r="J1193" s="25" t="s">
        <v>8977</v>
      </c>
      <c r="K1193" s="25" t="s">
        <v>32</v>
      </c>
    </row>
    <row r="1194" spans="3:11" x14ac:dyDescent="0.25">
      <c r="C1194" s="25">
        <v>23602606</v>
      </c>
      <c r="D1194" s="26">
        <v>45989.4609375</v>
      </c>
      <c r="E1194" s="25" t="s">
        <v>27</v>
      </c>
      <c r="F1194" s="25" t="s">
        <v>28</v>
      </c>
      <c r="G1194" s="25" t="s">
        <v>29</v>
      </c>
      <c r="H1194" s="25" t="s">
        <v>31</v>
      </c>
      <c r="I1194" s="26">
        <v>46001.4609375</v>
      </c>
      <c r="J1194" s="25" t="s">
        <v>1472</v>
      </c>
      <c r="K1194" s="25" t="s">
        <v>32</v>
      </c>
    </row>
    <row r="1195" spans="3:11" x14ac:dyDescent="0.25">
      <c r="C1195" s="25">
        <v>23602607</v>
      </c>
      <c r="D1195" s="26">
        <v>45989.461053240739</v>
      </c>
      <c r="E1195" s="25" t="s">
        <v>27</v>
      </c>
      <c r="F1195" s="25" t="s">
        <v>28</v>
      </c>
      <c r="G1195" s="25" t="s">
        <v>29</v>
      </c>
      <c r="H1195" s="25" t="s">
        <v>31</v>
      </c>
      <c r="I1195" s="26">
        <v>46001.461053240739</v>
      </c>
      <c r="J1195" s="25" t="s">
        <v>1472</v>
      </c>
      <c r="K1195" s="25" t="s">
        <v>32</v>
      </c>
    </row>
    <row r="1196" spans="3:11" x14ac:dyDescent="0.25">
      <c r="C1196" s="25">
        <v>23602608</v>
      </c>
      <c r="D1196" s="26">
        <v>45989.461122685185</v>
      </c>
      <c r="E1196" s="25" t="s">
        <v>27</v>
      </c>
      <c r="F1196" s="25" t="s">
        <v>28</v>
      </c>
      <c r="G1196" s="25" t="s">
        <v>29</v>
      </c>
      <c r="H1196" s="25" t="s">
        <v>31</v>
      </c>
      <c r="I1196" s="26">
        <v>46001.461122685185</v>
      </c>
      <c r="J1196" s="25" t="s">
        <v>8996</v>
      </c>
      <c r="K1196" s="25" t="s">
        <v>32</v>
      </c>
    </row>
    <row r="1197" spans="3:11" x14ac:dyDescent="0.25">
      <c r="C1197" s="25">
        <v>23602609</v>
      </c>
      <c r="D1197" s="26">
        <v>45989.461331018516</v>
      </c>
      <c r="E1197" s="25" t="s">
        <v>27</v>
      </c>
      <c r="F1197" s="25" t="s">
        <v>28</v>
      </c>
      <c r="G1197" s="25" t="s">
        <v>29</v>
      </c>
      <c r="H1197" s="25" t="s">
        <v>31</v>
      </c>
      <c r="I1197" s="26">
        <v>46001.461331018516</v>
      </c>
      <c r="J1197" s="25" t="s">
        <v>8996</v>
      </c>
      <c r="K1197" s="25" t="s">
        <v>32</v>
      </c>
    </row>
    <row r="1198" spans="3:11" x14ac:dyDescent="0.25">
      <c r="C1198" s="25">
        <v>23602610</v>
      </c>
      <c r="D1198" s="26">
        <v>45989.461805555555</v>
      </c>
      <c r="E1198" s="25" t="s">
        <v>27</v>
      </c>
      <c r="F1198" s="25" t="s">
        <v>28</v>
      </c>
      <c r="G1198" s="25" t="s">
        <v>29</v>
      </c>
      <c r="H1198" s="25" t="s">
        <v>31</v>
      </c>
      <c r="I1198" s="26">
        <v>46001.461805555555</v>
      </c>
      <c r="J1198" s="25" t="s">
        <v>9008</v>
      </c>
      <c r="K1198" s="25" t="s">
        <v>32</v>
      </c>
    </row>
    <row r="1199" spans="3:11" x14ac:dyDescent="0.25">
      <c r="C1199" s="25">
        <v>23602614</v>
      </c>
      <c r="D1199" s="26">
        <v>45989.462372685186</v>
      </c>
      <c r="E1199" s="25" t="s">
        <v>27</v>
      </c>
      <c r="F1199" s="25" t="s">
        <v>28</v>
      </c>
      <c r="G1199" s="25" t="s">
        <v>29</v>
      </c>
      <c r="H1199" s="25" t="s">
        <v>31</v>
      </c>
      <c r="I1199" s="26">
        <v>46001.462372685186</v>
      </c>
      <c r="J1199" s="25" t="s">
        <v>9008</v>
      </c>
      <c r="K1199" s="25" t="s">
        <v>32</v>
      </c>
    </row>
    <row r="1200" spans="3:11" x14ac:dyDescent="0.25">
      <c r="C1200" s="25">
        <v>23602615</v>
      </c>
      <c r="D1200" s="26">
        <v>45989.46261574074</v>
      </c>
      <c r="E1200" s="25" t="s">
        <v>27</v>
      </c>
      <c r="F1200" s="25" t="s">
        <v>28</v>
      </c>
      <c r="G1200" s="25" t="s">
        <v>29</v>
      </c>
      <c r="H1200" s="25" t="s">
        <v>31</v>
      </c>
      <c r="I1200" s="26">
        <v>46001.46261574074</v>
      </c>
      <c r="J1200" s="25" t="s">
        <v>1281</v>
      </c>
      <c r="K1200" s="25" t="s">
        <v>32</v>
      </c>
    </row>
    <row r="1201" spans="3:11" x14ac:dyDescent="0.25">
      <c r="C1201" s="25">
        <v>23602616</v>
      </c>
      <c r="D1201" s="26">
        <v>45989.463692129626</v>
      </c>
      <c r="E1201" s="25" t="s">
        <v>44</v>
      </c>
      <c r="F1201" s="25" t="s">
        <v>45</v>
      </c>
      <c r="G1201" s="25" t="s">
        <v>29</v>
      </c>
      <c r="H1201" s="25" t="s">
        <v>38</v>
      </c>
      <c r="I1201" s="26">
        <v>46006.463692129626</v>
      </c>
      <c r="J1201" s="25" t="s">
        <v>9024</v>
      </c>
      <c r="K1201" s="25" t="s">
        <v>32</v>
      </c>
    </row>
    <row r="1202" spans="3:11" x14ac:dyDescent="0.25">
      <c r="C1202" s="25">
        <v>23602621</v>
      </c>
      <c r="D1202" s="26">
        <v>45989.464849537035</v>
      </c>
      <c r="E1202" s="25" t="s">
        <v>27</v>
      </c>
      <c r="F1202" s="25" t="s">
        <v>28</v>
      </c>
      <c r="G1202" s="25" t="s">
        <v>29</v>
      </c>
      <c r="H1202" s="25" t="s">
        <v>31</v>
      </c>
      <c r="I1202" s="26">
        <v>46001.464849537035</v>
      </c>
      <c r="J1202" s="25" t="s">
        <v>6849</v>
      </c>
      <c r="K1202" s="25" t="s">
        <v>32</v>
      </c>
    </row>
    <row r="1203" spans="3:11" x14ac:dyDescent="0.25">
      <c r="C1203" s="25">
        <v>23602643</v>
      </c>
      <c r="D1203" s="26">
        <v>45989.46738425926</v>
      </c>
      <c r="E1203" s="25" t="s">
        <v>48</v>
      </c>
      <c r="F1203" s="25" t="s">
        <v>64</v>
      </c>
      <c r="G1203" s="25" t="s">
        <v>29</v>
      </c>
      <c r="H1203" s="25" t="s">
        <v>38</v>
      </c>
      <c r="I1203" s="26">
        <v>46006.46738425926</v>
      </c>
      <c r="J1203" s="25" t="s">
        <v>9040</v>
      </c>
      <c r="K1203" s="25" t="s">
        <v>32</v>
      </c>
    </row>
    <row r="1204" spans="3:11" x14ac:dyDescent="0.25">
      <c r="C1204" s="25">
        <v>23602651</v>
      </c>
      <c r="D1204" s="26">
        <v>45989.470636574071</v>
      </c>
      <c r="E1204" s="25" t="s">
        <v>27</v>
      </c>
      <c r="F1204" s="25" t="s">
        <v>28</v>
      </c>
      <c r="G1204" s="25" t="s">
        <v>43</v>
      </c>
      <c r="H1204" s="25" t="s">
        <v>31</v>
      </c>
      <c r="I1204" s="26">
        <v>46001.470636574071</v>
      </c>
      <c r="J1204" s="25" t="s">
        <v>9049</v>
      </c>
      <c r="K1204" s="25" t="s">
        <v>32</v>
      </c>
    </row>
    <row r="1205" spans="3:11" x14ac:dyDescent="0.25">
      <c r="C1205" s="25">
        <v>23602653</v>
      </c>
      <c r="D1205" s="26">
        <v>45989.471180555556</v>
      </c>
      <c r="E1205" s="25" t="s">
        <v>27</v>
      </c>
      <c r="F1205" s="25" t="s">
        <v>28</v>
      </c>
      <c r="G1205" s="25" t="s">
        <v>40</v>
      </c>
      <c r="H1205" s="25" t="s">
        <v>31</v>
      </c>
      <c r="I1205" s="26">
        <v>45996.471180555556</v>
      </c>
      <c r="J1205" s="25" t="s">
        <v>9058</v>
      </c>
      <c r="K1205" s="25" t="s">
        <v>32</v>
      </c>
    </row>
    <row r="1206" spans="3:11" x14ac:dyDescent="0.25">
      <c r="C1206" s="25">
        <v>23602657</v>
      </c>
      <c r="D1206" s="26">
        <v>45989.474722222221</v>
      </c>
      <c r="E1206" s="25" t="s">
        <v>27</v>
      </c>
      <c r="F1206" s="25" t="s">
        <v>28</v>
      </c>
      <c r="G1206" s="25" t="s">
        <v>43</v>
      </c>
      <c r="H1206" s="25" t="s">
        <v>31</v>
      </c>
      <c r="I1206" s="26">
        <v>46001.474722222221</v>
      </c>
      <c r="J1206" s="25" t="s">
        <v>9065</v>
      </c>
      <c r="K1206" s="25" t="s">
        <v>32</v>
      </c>
    </row>
    <row r="1207" spans="3:11" x14ac:dyDescent="0.25">
      <c r="C1207" s="25">
        <v>23602658</v>
      </c>
      <c r="D1207" s="26">
        <v>45989.476215277777</v>
      </c>
      <c r="E1207" s="25" t="s">
        <v>27</v>
      </c>
      <c r="F1207" s="25" t="s">
        <v>28</v>
      </c>
      <c r="G1207" s="25" t="s">
        <v>62</v>
      </c>
      <c r="H1207" s="25" t="s">
        <v>31</v>
      </c>
      <c r="I1207" s="26">
        <v>45995.476215277777</v>
      </c>
      <c r="J1207" s="25" t="s">
        <v>6214</v>
      </c>
      <c r="K1207" s="25" t="s">
        <v>32</v>
      </c>
    </row>
    <row r="1208" spans="3:11" x14ac:dyDescent="0.25">
      <c r="C1208" s="25">
        <v>23602660</v>
      </c>
      <c r="D1208" s="26">
        <v>45989.476736111108</v>
      </c>
      <c r="E1208" s="25" t="s">
        <v>57</v>
      </c>
      <c r="F1208" s="25" t="s">
        <v>58</v>
      </c>
      <c r="G1208" s="25" t="s">
        <v>40</v>
      </c>
      <c r="H1208" s="25" t="s">
        <v>38</v>
      </c>
      <c r="I1208" s="26">
        <v>46002.476736111108</v>
      </c>
      <c r="J1208" s="25" t="s">
        <v>9082</v>
      </c>
      <c r="K1208" s="25" t="s">
        <v>32</v>
      </c>
    </row>
    <row r="1209" spans="3:11" x14ac:dyDescent="0.25">
      <c r="C1209" s="25">
        <v>23602665</v>
      </c>
      <c r="D1209" s="26">
        <v>45989.478090277778</v>
      </c>
      <c r="E1209" s="25" t="s">
        <v>27</v>
      </c>
      <c r="F1209" s="25" t="s">
        <v>28</v>
      </c>
      <c r="G1209" s="25" t="s">
        <v>29</v>
      </c>
      <c r="H1209" s="25" t="s">
        <v>38</v>
      </c>
      <c r="I1209" s="26">
        <v>46006.478090277778</v>
      </c>
      <c r="J1209" s="25" t="s">
        <v>9092</v>
      </c>
      <c r="K1209" s="25" t="s">
        <v>32</v>
      </c>
    </row>
    <row r="1210" spans="3:11" x14ac:dyDescent="0.25">
      <c r="C1210" s="25">
        <v>23602667</v>
      </c>
      <c r="D1210" s="26">
        <v>45989.6721875</v>
      </c>
      <c r="E1210" s="25" t="s">
        <v>27</v>
      </c>
      <c r="F1210" s="25" t="s">
        <v>28</v>
      </c>
      <c r="G1210" s="25" t="s">
        <v>40</v>
      </c>
      <c r="H1210" s="25" t="s">
        <v>31</v>
      </c>
      <c r="I1210" s="26">
        <v>45996.6721875</v>
      </c>
      <c r="J1210" s="25" t="s">
        <v>9101</v>
      </c>
      <c r="K1210" s="25" t="s">
        <v>32</v>
      </c>
    </row>
    <row r="1211" spans="3:11" x14ac:dyDescent="0.25">
      <c r="C1211" s="25">
        <v>23602677</v>
      </c>
      <c r="D1211" s="26">
        <v>45989.485636574071</v>
      </c>
      <c r="E1211" s="25" t="s">
        <v>27</v>
      </c>
      <c r="F1211" s="25" t="s">
        <v>28</v>
      </c>
      <c r="G1211" s="25" t="s">
        <v>29</v>
      </c>
      <c r="H1211" s="25" t="s">
        <v>38</v>
      </c>
      <c r="I1211" s="26">
        <v>46006.485636574071</v>
      </c>
      <c r="J1211" s="25" t="s">
        <v>9109</v>
      </c>
      <c r="K1211" s="25" t="s">
        <v>32</v>
      </c>
    </row>
    <row r="1212" spans="3:11" x14ac:dyDescent="0.25">
      <c r="C1212" s="25">
        <v>23602678</v>
      </c>
      <c r="D1212" s="26">
        <v>45989.486018518517</v>
      </c>
      <c r="E1212" s="25" t="s">
        <v>27</v>
      </c>
      <c r="F1212" s="25" t="s">
        <v>28</v>
      </c>
      <c r="G1212" s="25" t="s">
        <v>43</v>
      </c>
      <c r="H1212" s="25" t="s">
        <v>31</v>
      </c>
      <c r="I1212" s="26">
        <v>46001.486018518517</v>
      </c>
      <c r="J1212" s="25" t="s">
        <v>9115</v>
      </c>
      <c r="K1212" s="25" t="s">
        <v>32</v>
      </c>
    </row>
    <row r="1213" spans="3:11" x14ac:dyDescent="0.25">
      <c r="C1213" s="25">
        <v>23602679</v>
      </c>
      <c r="D1213" s="26">
        <v>45989.486076388886</v>
      </c>
      <c r="E1213" s="25" t="s">
        <v>27</v>
      </c>
      <c r="F1213" s="25" t="s">
        <v>28</v>
      </c>
      <c r="G1213" s="25" t="s">
        <v>29</v>
      </c>
      <c r="H1213" s="25" t="s">
        <v>31</v>
      </c>
      <c r="I1213" s="26">
        <v>46001.486076388886</v>
      </c>
      <c r="J1213" s="25" t="s">
        <v>9115</v>
      </c>
      <c r="K1213" s="25" t="s">
        <v>32</v>
      </c>
    </row>
    <row r="1214" spans="3:11" x14ac:dyDescent="0.25">
      <c r="C1214" s="25">
        <v>23602689</v>
      </c>
      <c r="D1214" s="26">
        <v>45989.492465277777</v>
      </c>
      <c r="E1214" s="25" t="s">
        <v>27</v>
      </c>
      <c r="F1214" s="25" t="s">
        <v>28</v>
      </c>
      <c r="G1214" s="25" t="s">
        <v>40</v>
      </c>
      <c r="H1214" s="25" t="s">
        <v>31</v>
      </c>
      <c r="I1214" s="26">
        <v>45996.492465277777</v>
      </c>
      <c r="J1214" s="25" t="s">
        <v>9130</v>
      </c>
      <c r="K1214" s="25" t="s">
        <v>32</v>
      </c>
    </row>
    <row r="1215" spans="3:11" x14ac:dyDescent="0.25">
      <c r="C1215" s="25">
        <v>23602704</v>
      </c>
      <c r="D1215" s="26">
        <v>45989.498657407406</v>
      </c>
      <c r="E1215" s="25" t="s">
        <v>27</v>
      </c>
      <c r="F1215" s="25" t="s">
        <v>28</v>
      </c>
      <c r="G1215" s="25" t="s">
        <v>43</v>
      </c>
      <c r="H1215" s="25" t="s">
        <v>31</v>
      </c>
      <c r="I1215" s="26">
        <v>46001.498657407406</v>
      </c>
      <c r="J1215" s="25" t="s">
        <v>3446</v>
      </c>
      <c r="K1215" s="25" t="s">
        <v>32</v>
      </c>
    </row>
    <row r="1216" spans="3:11" x14ac:dyDescent="0.25">
      <c r="C1216" s="25">
        <v>23602713</v>
      </c>
      <c r="D1216" s="26">
        <v>45989.672152777777</v>
      </c>
      <c r="E1216" s="25" t="s">
        <v>27</v>
      </c>
      <c r="F1216" s="25" t="s">
        <v>28</v>
      </c>
      <c r="G1216" s="25" t="s">
        <v>40</v>
      </c>
      <c r="H1216" s="25" t="s">
        <v>31</v>
      </c>
      <c r="I1216" s="26">
        <v>45996.672152777777</v>
      </c>
      <c r="J1216" s="25" t="s">
        <v>9101</v>
      </c>
      <c r="K1216" s="25" t="s">
        <v>32</v>
      </c>
    </row>
    <row r="1217" spans="3:11" x14ac:dyDescent="0.25">
      <c r="C1217" s="25">
        <v>23602714</v>
      </c>
      <c r="D1217" s="26">
        <v>45989.503229166665</v>
      </c>
      <c r="E1217" s="25" t="s">
        <v>27</v>
      </c>
      <c r="F1217" s="25" t="s">
        <v>28</v>
      </c>
      <c r="G1217" s="25" t="s">
        <v>40</v>
      </c>
      <c r="H1217" s="25" t="s">
        <v>38</v>
      </c>
      <c r="I1217" s="26">
        <v>46002.503229166665</v>
      </c>
      <c r="J1217" s="25" t="s">
        <v>9155</v>
      </c>
      <c r="K1217" s="25" t="s">
        <v>32</v>
      </c>
    </row>
    <row r="1218" spans="3:11" x14ac:dyDescent="0.25">
      <c r="C1218" s="25">
        <v>23602717</v>
      </c>
      <c r="D1218" s="26">
        <v>45989.507013888891</v>
      </c>
      <c r="E1218" s="25" t="s">
        <v>27</v>
      </c>
      <c r="F1218" s="25" t="s">
        <v>28</v>
      </c>
      <c r="G1218" s="25" t="s">
        <v>29</v>
      </c>
      <c r="H1218" s="25" t="s">
        <v>31</v>
      </c>
      <c r="I1218" s="26">
        <v>46001.507013888891</v>
      </c>
      <c r="J1218" s="25" t="s">
        <v>9164</v>
      </c>
      <c r="K1218" s="25" t="s">
        <v>32</v>
      </c>
    </row>
    <row r="1219" spans="3:11" x14ac:dyDescent="0.25">
      <c r="C1219" s="25">
        <v>23602736</v>
      </c>
      <c r="D1219" s="26">
        <v>45989.531724537039</v>
      </c>
      <c r="E1219" s="25" t="s">
        <v>27</v>
      </c>
      <c r="F1219" s="25" t="s">
        <v>28</v>
      </c>
      <c r="G1219" s="25" t="s">
        <v>29</v>
      </c>
      <c r="H1219" s="25" t="s">
        <v>31</v>
      </c>
      <c r="I1219" s="26">
        <v>46001.531724537039</v>
      </c>
      <c r="J1219" s="25" t="s">
        <v>9171</v>
      </c>
      <c r="K1219" s="25" t="s">
        <v>32</v>
      </c>
    </row>
    <row r="1220" spans="3:11" x14ac:dyDescent="0.25">
      <c r="C1220" s="25">
        <v>23602741</v>
      </c>
      <c r="D1220" s="26">
        <v>45989.543819444443</v>
      </c>
      <c r="E1220" s="25" t="s">
        <v>27</v>
      </c>
      <c r="F1220" s="25" t="s">
        <v>28</v>
      </c>
      <c r="G1220" s="25" t="s">
        <v>29</v>
      </c>
      <c r="H1220" s="25" t="s">
        <v>31</v>
      </c>
      <c r="I1220" s="26">
        <v>46001.543819444443</v>
      </c>
      <c r="J1220" s="25" t="s">
        <v>9180</v>
      </c>
      <c r="K1220" s="25" t="s">
        <v>32</v>
      </c>
    </row>
    <row r="1221" spans="3:11" x14ac:dyDescent="0.25">
      <c r="C1221" s="25">
        <v>23602742</v>
      </c>
      <c r="D1221" s="26">
        <v>45989.545277777775</v>
      </c>
      <c r="E1221" s="25" t="s">
        <v>27</v>
      </c>
      <c r="F1221" s="25" t="s">
        <v>28</v>
      </c>
      <c r="G1221" s="25" t="s">
        <v>40</v>
      </c>
      <c r="H1221" s="25" t="s">
        <v>31</v>
      </c>
      <c r="I1221" s="26">
        <v>45996.545277777775</v>
      </c>
      <c r="J1221" s="25" t="s">
        <v>887</v>
      </c>
      <c r="K1221" s="25" t="s">
        <v>32</v>
      </c>
    </row>
    <row r="1222" spans="3:11" x14ac:dyDescent="0.25">
      <c r="C1222" s="25">
        <v>23602745</v>
      </c>
      <c r="D1222" s="26">
        <v>45989.545960648145</v>
      </c>
      <c r="E1222" s="25" t="s">
        <v>27</v>
      </c>
      <c r="F1222" s="25" t="s">
        <v>28</v>
      </c>
      <c r="G1222" s="25" t="s">
        <v>40</v>
      </c>
      <c r="H1222" s="25" t="s">
        <v>31</v>
      </c>
      <c r="I1222" s="26">
        <v>45996.545960648145</v>
      </c>
      <c r="J1222" s="25" t="s">
        <v>9196</v>
      </c>
      <c r="K1222" s="25" t="s">
        <v>32</v>
      </c>
    </row>
    <row r="1223" spans="3:11" x14ac:dyDescent="0.25">
      <c r="C1223" s="25">
        <v>23602746</v>
      </c>
      <c r="D1223" s="26">
        <v>45989.54791666667</v>
      </c>
      <c r="E1223" s="25" t="s">
        <v>27</v>
      </c>
      <c r="F1223" s="25" t="s">
        <v>28</v>
      </c>
      <c r="G1223" s="25" t="s">
        <v>29</v>
      </c>
      <c r="H1223" s="25" t="s">
        <v>31</v>
      </c>
      <c r="I1223" s="26">
        <v>46001.54791666667</v>
      </c>
      <c r="J1223" s="25" t="s">
        <v>9202</v>
      </c>
      <c r="K1223" s="25" t="s">
        <v>32</v>
      </c>
    </row>
    <row r="1224" spans="3:11" x14ac:dyDescent="0.25">
      <c r="C1224" s="25">
        <v>23602751</v>
      </c>
      <c r="D1224" s="26">
        <v>45989.551979166667</v>
      </c>
      <c r="E1224" s="25" t="s">
        <v>27</v>
      </c>
      <c r="F1224" s="25" t="s">
        <v>28</v>
      </c>
      <c r="G1224" s="25" t="s">
        <v>40</v>
      </c>
      <c r="H1224" s="25" t="s">
        <v>31</v>
      </c>
      <c r="I1224" s="26">
        <v>45996.551979166667</v>
      </c>
      <c r="J1224" s="25" t="s">
        <v>4732</v>
      </c>
      <c r="K1224" s="25" t="s">
        <v>32</v>
      </c>
    </row>
    <row r="1225" spans="3:11" x14ac:dyDescent="0.25">
      <c r="C1225" s="25">
        <v>23602752</v>
      </c>
      <c r="D1225" s="26">
        <v>45989.552048611113</v>
      </c>
      <c r="E1225" s="25" t="s">
        <v>59</v>
      </c>
      <c r="F1225" s="25" t="s">
        <v>60</v>
      </c>
      <c r="G1225" s="25" t="s">
        <v>62</v>
      </c>
      <c r="H1225" s="25" t="s">
        <v>31</v>
      </c>
      <c r="I1225" s="26">
        <v>45995.552048611113</v>
      </c>
      <c r="J1225" s="25" t="s">
        <v>4731</v>
      </c>
      <c r="K1225" s="25" t="s">
        <v>32</v>
      </c>
    </row>
    <row r="1226" spans="3:11" x14ac:dyDescent="0.25">
      <c r="C1226" s="25">
        <v>23602756</v>
      </c>
      <c r="D1226" s="26">
        <v>45989.553888888891</v>
      </c>
      <c r="E1226" s="25" t="s">
        <v>48</v>
      </c>
      <c r="F1226" s="25" t="s">
        <v>64</v>
      </c>
      <c r="G1226" s="25" t="s">
        <v>29</v>
      </c>
      <c r="H1226" s="25" t="s">
        <v>31</v>
      </c>
      <c r="I1226" s="26">
        <v>46001.553888888891</v>
      </c>
      <c r="J1226" s="25" t="s">
        <v>9224</v>
      </c>
      <c r="K1226" s="25" t="s">
        <v>32</v>
      </c>
    </row>
    <row r="1227" spans="3:11" x14ac:dyDescent="0.25">
      <c r="C1227" s="25">
        <v>23602757</v>
      </c>
      <c r="D1227" s="26">
        <v>45989.556631944448</v>
      </c>
      <c r="E1227" s="25" t="s">
        <v>48</v>
      </c>
      <c r="F1227" s="25" t="s">
        <v>64</v>
      </c>
      <c r="G1227" s="25" t="s">
        <v>62</v>
      </c>
      <c r="H1227" s="25" t="s">
        <v>38</v>
      </c>
      <c r="I1227" s="26">
        <v>45995.556631944448</v>
      </c>
      <c r="J1227" s="25" t="s">
        <v>6964</v>
      </c>
      <c r="K1227" s="25" t="s">
        <v>32</v>
      </c>
    </row>
    <row r="1228" spans="3:11" x14ac:dyDescent="0.25">
      <c r="C1228" s="25">
        <v>23602761</v>
      </c>
      <c r="D1228" s="26">
        <v>45989.560173611113</v>
      </c>
      <c r="E1228" s="25" t="s">
        <v>27</v>
      </c>
      <c r="F1228" s="25" t="s">
        <v>28</v>
      </c>
      <c r="G1228" s="25" t="s">
        <v>62</v>
      </c>
      <c r="H1228" s="25" t="s">
        <v>31</v>
      </c>
      <c r="I1228" s="26">
        <v>45995.560173611113</v>
      </c>
      <c r="J1228" s="25" t="s">
        <v>9240</v>
      </c>
      <c r="K1228" s="25" t="s">
        <v>32</v>
      </c>
    </row>
    <row r="1229" spans="3:11" x14ac:dyDescent="0.25">
      <c r="C1229" s="25">
        <v>23602762</v>
      </c>
      <c r="D1229" s="26">
        <v>45989.560300925928</v>
      </c>
      <c r="E1229" s="25" t="s">
        <v>27</v>
      </c>
      <c r="F1229" s="25" t="s">
        <v>28</v>
      </c>
      <c r="G1229" s="25" t="s">
        <v>29</v>
      </c>
      <c r="H1229" s="25" t="s">
        <v>31</v>
      </c>
      <c r="I1229" s="26">
        <v>46001.560300925928</v>
      </c>
      <c r="J1229" s="25" t="s">
        <v>9246</v>
      </c>
      <c r="K1229" s="25" t="s">
        <v>32</v>
      </c>
    </row>
    <row r="1230" spans="3:11" x14ac:dyDescent="0.25">
      <c r="C1230" s="25">
        <v>23602763</v>
      </c>
      <c r="D1230" s="26">
        <v>45989.560393518521</v>
      </c>
      <c r="E1230" s="25" t="s">
        <v>27</v>
      </c>
      <c r="F1230" s="25" t="s">
        <v>28</v>
      </c>
      <c r="G1230" s="25" t="s">
        <v>29</v>
      </c>
      <c r="H1230" s="25" t="s">
        <v>31</v>
      </c>
      <c r="I1230" s="26">
        <v>46001.560393518521</v>
      </c>
      <c r="J1230" s="25" t="s">
        <v>9246</v>
      </c>
      <c r="K1230" s="25" t="s">
        <v>32</v>
      </c>
    </row>
    <row r="1231" spans="3:11" x14ac:dyDescent="0.25">
      <c r="C1231" s="25">
        <v>23602765</v>
      </c>
      <c r="D1231" s="26">
        <v>45989.56077546296</v>
      </c>
      <c r="E1231" s="25" t="s">
        <v>27</v>
      </c>
      <c r="F1231" s="25" t="s">
        <v>28</v>
      </c>
      <c r="G1231" s="25" t="s">
        <v>29</v>
      </c>
      <c r="H1231" s="25" t="s">
        <v>31</v>
      </c>
      <c r="I1231" s="26">
        <v>46001.56077546296</v>
      </c>
      <c r="J1231" s="25" t="s">
        <v>9258</v>
      </c>
      <c r="K1231" s="25" t="s">
        <v>32</v>
      </c>
    </row>
    <row r="1232" spans="3:11" x14ac:dyDescent="0.25">
      <c r="C1232" s="25">
        <v>23602766</v>
      </c>
      <c r="D1232" s="26">
        <v>45989.561053240737</v>
      </c>
      <c r="E1232" s="25" t="s">
        <v>27</v>
      </c>
      <c r="F1232" s="25" t="s">
        <v>28</v>
      </c>
      <c r="G1232" s="25" t="s">
        <v>29</v>
      </c>
      <c r="H1232" s="25" t="s">
        <v>31</v>
      </c>
      <c r="I1232" s="26">
        <v>46001.561053240737</v>
      </c>
      <c r="J1232" s="25" t="s">
        <v>9258</v>
      </c>
      <c r="K1232" s="25" t="s">
        <v>32</v>
      </c>
    </row>
    <row r="1233" spans="3:11" x14ac:dyDescent="0.25">
      <c r="C1233" s="25">
        <v>23602774</v>
      </c>
      <c r="D1233" s="26">
        <v>45989.564988425926</v>
      </c>
      <c r="E1233" s="25" t="s">
        <v>27</v>
      </c>
      <c r="F1233" s="25" t="s">
        <v>28</v>
      </c>
      <c r="G1233" s="25" t="s">
        <v>40</v>
      </c>
      <c r="H1233" s="25" t="s">
        <v>31</v>
      </c>
      <c r="I1233" s="26">
        <v>45996.564988425926</v>
      </c>
      <c r="J1233" s="25" t="s">
        <v>9270</v>
      </c>
      <c r="K1233" s="25" t="s">
        <v>32</v>
      </c>
    </row>
    <row r="1234" spans="3:11" x14ac:dyDescent="0.25">
      <c r="C1234" s="25">
        <v>23602776</v>
      </c>
      <c r="D1234" s="26">
        <v>45989.566342592596</v>
      </c>
      <c r="E1234" s="25" t="s">
        <v>44</v>
      </c>
      <c r="F1234" s="25" t="s">
        <v>45</v>
      </c>
      <c r="G1234" s="25" t="s">
        <v>40</v>
      </c>
      <c r="H1234" s="25" t="s">
        <v>38</v>
      </c>
      <c r="I1234" s="26">
        <v>46002.566342592596</v>
      </c>
      <c r="J1234" s="25" t="s">
        <v>6247</v>
      </c>
      <c r="K1234" s="25" t="s">
        <v>32</v>
      </c>
    </row>
    <row r="1235" spans="3:11" x14ac:dyDescent="0.25">
      <c r="C1235" s="25">
        <v>23602777</v>
      </c>
      <c r="D1235" s="26">
        <v>45989.566851851851</v>
      </c>
      <c r="E1235" s="25" t="s">
        <v>27</v>
      </c>
      <c r="F1235" s="25" t="s">
        <v>28</v>
      </c>
      <c r="G1235" s="25" t="s">
        <v>62</v>
      </c>
      <c r="H1235" s="25" t="s">
        <v>31</v>
      </c>
      <c r="I1235" s="26">
        <v>45995.566851851851</v>
      </c>
      <c r="J1235" s="25" t="s">
        <v>7430</v>
      </c>
      <c r="K1235" s="25" t="s">
        <v>32</v>
      </c>
    </row>
    <row r="1236" spans="3:11" x14ac:dyDescent="0.25">
      <c r="C1236" s="25">
        <v>23602778</v>
      </c>
      <c r="D1236" s="26">
        <v>45989.567106481481</v>
      </c>
      <c r="E1236" s="25" t="s">
        <v>48</v>
      </c>
      <c r="F1236" s="25" t="s">
        <v>64</v>
      </c>
      <c r="G1236" s="25" t="s">
        <v>29</v>
      </c>
      <c r="H1236" s="25" t="s">
        <v>31</v>
      </c>
      <c r="I1236" s="26">
        <v>46001.567106481481</v>
      </c>
      <c r="J1236" s="25" t="s">
        <v>7431</v>
      </c>
      <c r="K1236" s="25" t="s">
        <v>32</v>
      </c>
    </row>
    <row r="1237" spans="3:11" x14ac:dyDescent="0.25">
      <c r="C1237" s="25">
        <v>23602779</v>
      </c>
      <c r="D1237" s="26">
        <v>45989.567523148151</v>
      </c>
      <c r="E1237" s="25" t="s">
        <v>27</v>
      </c>
      <c r="F1237" s="25" t="s">
        <v>28</v>
      </c>
      <c r="G1237" s="25" t="s">
        <v>29</v>
      </c>
      <c r="H1237" s="25" t="s">
        <v>31</v>
      </c>
      <c r="I1237" s="26">
        <v>46001.567523148151</v>
      </c>
      <c r="J1237" s="25" t="s">
        <v>9297</v>
      </c>
      <c r="K1237" s="25" t="s">
        <v>32</v>
      </c>
    </row>
    <row r="1238" spans="3:11" x14ac:dyDescent="0.25">
      <c r="C1238" s="25">
        <v>23602780</v>
      </c>
      <c r="D1238" s="26">
        <v>45989.56759259259</v>
      </c>
      <c r="E1238" s="25" t="s">
        <v>27</v>
      </c>
      <c r="F1238" s="25" t="s">
        <v>28</v>
      </c>
      <c r="G1238" s="25" t="s">
        <v>29</v>
      </c>
      <c r="H1238" s="25" t="s">
        <v>31</v>
      </c>
      <c r="I1238" s="26">
        <v>46001.56759259259</v>
      </c>
      <c r="J1238" s="25" t="s">
        <v>9297</v>
      </c>
      <c r="K1238" s="25" t="s">
        <v>32</v>
      </c>
    </row>
    <row r="1239" spans="3:11" x14ac:dyDescent="0.25">
      <c r="C1239" s="25">
        <v>23602781</v>
      </c>
      <c r="D1239" s="26">
        <v>45989.567673611113</v>
      </c>
      <c r="E1239" s="25" t="s">
        <v>27</v>
      </c>
      <c r="F1239" s="25" t="s">
        <v>28</v>
      </c>
      <c r="G1239" s="25" t="s">
        <v>29</v>
      </c>
      <c r="H1239" s="25" t="s">
        <v>31</v>
      </c>
      <c r="I1239" s="26">
        <v>46001.567673611113</v>
      </c>
      <c r="J1239" s="25" t="s">
        <v>9297</v>
      </c>
      <c r="K1239" s="25" t="s">
        <v>32</v>
      </c>
    </row>
    <row r="1240" spans="3:11" x14ac:dyDescent="0.25">
      <c r="C1240" s="25">
        <v>23602783</v>
      </c>
      <c r="D1240" s="26">
        <v>45989.568043981482</v>
      </c>
      <c r="E1240" s="25" t="s">
        <v>27</v>
      </c>
      <c r="F1240" s="25" t="s">
        <v>28</v>
      </c>
      <c r="G1240" s="25" t="s">
        <v>29</v>
      </c>
      <c r="H1240" s="25" t="s">
        <v>31</v>
      </c>
      <c r="I1240" s="26">
        <v>46001.568043981482</v>
      </c>
      <c r="J1240" s="25" t="s">
        <v>9297</v>
      </c>
      <c r="K1240" s="25" t="s">
        <v>32</v>
      </c>
    </row>
    <row r="1241" spans="3:11" x14ac:dyDescent="0.25">
      <c r="C1241" s="25">
        <v>23602784</v>
      </c>
      <c r="D1241" s="26">
        <v>45989.568206018521</v>
      </c>
      <c r="E1241" s="25" t="s">
        <v>27</v>
      </c>
      <c r="F1241" s="25" t="s">
        <v>28</v>
      </c>
      <c r="G1241" s="25" t="s">
        <v>29</v>
      </c>
      <c r="H1241" s="25" t="s">
        <v>31</v>
      </c>
      <c r="I1241" s="26">
        <v>46001.568206018521</v>
      </c>
      <c r="J1241" s="25" t="s">
        <v>9319</v>
      </c>
      <c r="K1241" s="25" t="s">
        <v>32</v>
      </c>
    </row>
    <row r="1242" spans="3:11" x14ac:dyDescent="0.25">
      <c r="C1242" s="25">
        <v>23602785</v>
      </c>
      <c r="D1242" s="26">
        <v>45989.568495370368</v>
      </c>
      <c r="E1242" s="25" t="s">
        <v>27</v>
      </c>
      <c r="F1242" s="25" t="s">
        <v>28</v>
      </c>
      <c r="G1242" s="25" t="s">
        <v>29</v>
      </c>
      <c r="H1242" s="25" t="s">
        <v>31</v>
      </c>
      <c r="I1242" s="26">
        <v>46001.568495370368</v>
      </c>
      <c r="J1242" s="25" t="s">
        <v>9319</v>
      </c>
      <c r="K1242" s="25" t="s">
        <v>32</v>
      </c>
    </row>
    <row r="1243" spans="3:11" x14ac:dyDescent="0.25">
      <c r="C1243" s="25">
        <v>23602789</v>
      </c>
      <c r="D1243" s="26">
        <v>45989.571030092593</v>
      </c>
      <c r="E1243" s="25" t="s">
        <v>27</v>
      </c>
      <c r="F1243" s="25" t="s">
        <v>28</v>
      </c>
      <c r="G1243" s="25" t="s">
        <v>40</v>
      </c>
      <c r="H1243" s="25" t="s">
        <v>31</v>
      </c>
      <c r="I1243" s="26">
        <v>45996.571030092593</v>
      </c>
      <c r="J1243" s="25" t="s">
        <v>1445</v>
      </c>
      <c r="K1243" s="25" t="s">
        <v>32</v>
      </c>
    </row>
    <row r="1244" spans="3:11" x14ac:dyDescent="0.25">
      <c r="C1244" s="25">
        <v>23602799</v>
      </c>
      <c r="D1244" s="26">
        <v>45989.57402777778</v>
      </c>
      <c r="E1244" s="25" t="s">
        <v>44</v>
      </c>
      <c r="F1244" s="25" t="s">
        <v>45</v>
      </c>
      <c r="G1244" s="25" t="s">
        <v>40</v>
      </c>
      <c r="H1244" s="25" t="s">
        <v>38</v>
      </c>
      <c r="I1244" s="26">
        <v>46002.57402777778</v>
      </c>
      <c r="J1244" s="25" t="s">
        <v>9339</v>
      </c>
      <c r="K1244" s="25" t="s">
        <v>32</v>
      </c>
    </row>
    <row r="1245" spans="3:11" x14ac:dyDescent="0.25">
      <c r="C1245" s="25">
        <v>23602805</v>
      </c>
      <c r="D1245" s="26">
        <v>45989.576724537037</v>
      </c>
      <c r="E1245" s="25" t="s">
        <v>27</v>
      </c>
      <c r="F1245" s="25" t="s">
        <v>28</v>
      </c>
      <c r="G1245" s="25" t="s">
        <v>68</v>
      </c>
      <c r="H1245" s="25" t="s">
        <v>31</v>
      </c>
      <c r="I1245" s="26">
        <v>46003.576724537037</v>
      </c>
      <c r="J1245" s="25" t="s">
        <v>10397</v>
      </c>
      <c r="K1245" s="25" t="s">
        <v>32</v>
      </c>
    </row>
    <row r="1246" spans="3:11" x14ac:dyDescent="0.25">
      <c r="C1246" s="25">
        <v>23602824</v>
      </c>
      <c r="D1246" s="26">
        <v>45989.586805555555</v>
      </c>
      <c r="E1246" s="25" t="s">
        <v>48</v>
      </c>
      <c r="F1246" s="25" t="s">
        <v>64</v>
      </c>
      <c r="G1246" s="25" t="s">
        <v>137</v>
      </c>
      <c r="H1246" s="25" t="s">
        <v>38</v>
      </c>
      <c r="I1246" s="26">
        <v>46006.586805555555</v>
      </c>
      <c r="J1246" s="25" t="s">
        <v>9348</v>
      </c>
      <c r="K1246" s="25" t="s">
        <v>32</v>
      </c>
    </row>
    <row r="1247" spans="3:11" x14ac:dyDescent="0.25">
      <c r="C1247" s="25">
        <v>23602826</v>
      </c>
      <c r="D1247" s="26">
        <v>45989.588113425925</v>
      </c>
      <c r="E1247" s="25" t="s">
        <v>27</v>
      </c>
      <c r="F1247" s="25" t="s">
        <v>28</v>
      </c>
      <c r="G1247" s="25" t="s">
        <v>68</v>
      </c>
      <c r="H1247" s="25" t="s">
        <v>31</v>
      </c>
      <c r="I1247" s="26">
        <v>46003.588113425925</v>
      </c>
      <c r="J1247" s="25" t="s">
        <v>10407</v>
      </c>
      <c r="K1247" s="25" t="s">
        <v>32</v>
      </c>
    </row>
    <row r="1248" spans="3:11" x14ac:dyDescent="0.25">
      <c r="C1248" s="25">
        <v>23602833</v>
      </c>
      <c r="D1248" s="26">
        <v>45989.590405092589</v>
      </c>
      <c r="E1248" s="25" t="s">
        <v>27</v>
      </c>
      <c r="F1248" s="25" t="s">
        <v>28</v>
      </c>
      <c r="G1248" s="25" t="s">
        <v>76</v>
      </c>
      <c r="H1248" s="25" t="s">
        <v>31</v>
      </c>
      <c r="I1248" s="26">
        <v>46001.590405092589</v>
      </c>
      <c r="J1248" s="25" t="s">
        <v>9357</v>
      </c>
      <c r="K1248" s="25" t="s">
        <v>32</v>
      </c>
    </row>
    <row r="1249" spans="3:11" x14ac:dyDescent="0.25">
      <c r="C1249" s="25">
        <v>23602836</v>
      </c>
      <c r="D1249" s="26">
        <v>45989.590763888889</v>
      </c>
      <c r="E1249" s="25" t="s">
        <v>27</v>
      </c>
      <c r="F1249" s="25" t="s">
        <v>28</v>
      </c>
      <c r="G1249" s="25" t="s">
        <v>62</v>
      </c>
      <c r="H1249" s="25" t="s">
        <v>38</v>
      </c>
      <c r="I1249" s="26">
        <v>45995.590763888889</v>
      </c>
      <c r="J1249" s="25" t="s">
        <v>4800</v>
      </c>
      <c r="K1249" s="25" t="s">
        <v>32</v>
      </c>
    </row>
    <row r="1250" spans="3:11" x14ac:dyDescent="0.25">
      <c r="C1250" s="25">
        <v>23602844</v>
      </c>
      <c r="D1250" s="26">
        <v>45989.59270833333</v>
      </c>
      <c r="E1250" s="25" t="s">
        <v>27</v>
      </c>
      <c r="F1250" s="25" t="s">
        <v>28</v>
      </c>
      <c r="G1250" s="25" t="s">
        <v>62</v>
      </c>
      <c r="H1250" s="25" t="s">
        <v>31</v>
      </c>
      <c r="I1250" s="26">
        <v>45995.59270833333</v>
      </c>
      <c r="J1250" s="25" t="s">
        <v>9373</v>
      </c>
      <c r="K1250" s="25" t="s">
        <v>32</v>
      </c>
    </row>
    <row r="1251" spans="3:11" x14ac:dyDescent="0.25">
      <c r="C1251" s="25">
        <v>23602845</v>
      </c>
      <c r="D1251" s="26">
        <v>45989.592719907407</v>
      </c>
      <c r="E1251" s="25" t="s">
        <v>57</v>
      </c>
      <c r="F1251" s="25" t="s">
        <v>58</v>
      </c>
      <c r="G1251" s="25" t="s">
        <v>62</v>
      </c>
      <c r="H1251" s="25" t="s">
        <v>38</v>
      </c>
      <c r="I1251" s="26">
        <v>45995.592719907407</v>
      </c>
      <c r="J1251" s="25" t="s">
        <v>9373</v>
      </c>
      <c r="K1251" s="25" t="s">
        <v>32</v>
      </c>
    </row>
    <row r="1252" spans="3:11" x14ac:dyDescent="0.25">
      <c r="C1252" s="25">
        <v>23602851</v>
      </c>
      <c r="D1252" s="26">
        <v>45989.593842592592</v>
      </c>
      <c r="E1252" s="25" t="s">
        <v>27</v>
      </c>
      <c r="F1252" s="25" t="s">
        <v>28</v>
      </c>
      <c r="G1252" s="25" t="s">
        <v>40</v>
      </c>
      <c r="H1252" s="25" t="s">
        <v>31</v>
      </c>
      <c r="I1252" s="26">
        <v>45996.593842592592</v>
      </c>
      <c r="J1252" s="25" t="s">
        <v>6901</v>
      </c>
      <c r="K1252" s="25" t="s">
        <v>32</v>
      </c>
    </row>
    <row r="1253" spans="3:11" x14ac:dyDescent="0.25">
      <c r="C1253" s="25">
        <v>23602872</v>
      </c>
      <c r="D1253" s="26">
        <v>45989.600219907406</v>
      </c>
      <c r="E1253" s="25" t="s">
        <v>27</v>
      </c>
      <c r="F1253" s="25" t="s">
        <v>28</v>
      </c>
      <c r="G1253" s="25" t="s">
        <v>29</v>
      </c>
      <c r="H1253" s="25" t="s">
        <v>31</v>
      </c>
      <c r="I1253" s="26">
        <v>46001.600219907406</v>
      </c>
      <c r="J1253" s="25" t="s">
        <v>9393</v>
      </c>
      <c r="K1253" s="25" t="s">
        <v>32</v>
      </c>
    </row>
    <row r="1254" spans="3:11" x14ac:dyDescent="0.25">
      <c r="C1254" s="25">
        <v>23602873</v>
      </c>
      <c r="D1254" s="26">
        <v>45989.600416666668</v>
      </c>
      <c r="E1254" s="25" t="s">
        <v>27</v>
      </c>
      <c r="F1254" s="25" t="s">
        <v>28</v>
      </c>
      <c r="G1254" s="25" t="s">
        <v>76</v>
      </c>
      <c r="H1254" s="25" t="s">
        <v>31</v>
      </c>
      <c r="I1254" s="26">
        <v>46001.600416666668</v>
      </c>
      <c r="J1254" s="25" t="s">
        <v>9393</v>
      </c>
      <c r="K1254" s="25" t="s">
        <v>32</v>
      </c>
    </row>
    <row r="1255" spans="3:11" x14ac:dyDescent="0.25">
      <c r="C1255" s="25">
        <v>23602874</v>
      </c>
      <c r="D1255" s="26">
        <v>45989.600486111114</v>
      </c>
      <c r="E1255" s="25" t="s">
        <v>27</v>
      </c>
      <c r="F1255" s="25" t="s">
        <v>28</v>
      </c>
      <c r="G1255" s="25" t="s">
        <v>29</v>
      </c>
      <c r="H1255" s="25" t="s">
        <v>31</v>
      </c>
      <c r="I1255" s="26">
        <v>46001.600486111114</v>
      </c>
      <c r="J1255" s="25" t="s">
        <v>9393</v>
      </c>
      <c r="K1255" s="25" t="s">
        <v>32</v>
      </c>
    </row>
    <row r="1256" spans="3:11" x14ac:dyDescent="0.25">
      <c r="C1256" s="25">
        <v>23602876</v>
      </c>
      <c r="D1256" s="26">
        <v>45989.600613425922</v>
      </c>
      <c r="E1256" s="25" t="s">
        <v>27</v>
      </c>
      <c r="F1256" s="25" t="s">
        <v>28</v>
      </c>
      <c r="G1256" s="25" t="s">
        <v>29</v>
      </c>
      <c r="H1256" s="25" t="s">
        <v>31</v>
      </c>
      <c r="I1256" s="26">
        <v>46001.600613425922</v>
      </c>
      <c r="J1256" s="25" t="s">
        <v>9393</v>
      </c>
      <c r="K1256" s="25" t="s">
        <v>32</v>
      </c>
    </row>
    <row r="1257" spans="3:11" x14ac:dyDescent="0.25">
      <c r="C1257" s="25">
        <v>23602878</v>
      </c>
      <c r="D1257" s="26">
        <v>45989.600787037038</v>
      </c>
      <c r="E1257" s="25" t="s">
        <v>27</v>
      </c>
      <c r="F1257" s="25" t="s">
        <v>28</v>
      </c>
      <c r="G1257" s="25" t="s">
        <v>29</v>
      </c>
      <c r="H1257" s="25" t="s">
        <v>31</v>
      </c>
      <c r="I1257" s="26">
        <v>46001.600787037038</v>
      </c>
      <c r="J1257" s="25" t="s">
        <v>9415</v>
      </c>
      <c r="K1257" s="25" t="s">
        <v>32</v>
      </c>
    </row>
    <row r="1258" spans="3:11" x14ac:dyDescent="0.25">
      <c r="C1258" s="25">
        <v>23602888</v>
      </c>
      <c r="D1258" s="26">
        <v>45989.606574074074</v>
      </c>
      <c r="E1258" s="25" t="s">
        <v>27</v>
      </c>
      <c r="F1258" s="25" t="s">
        <v>28</v>
      </c>
      <c r="G1258" s="25" t="s">
        <v>68</v>
      </c>
      <c r="H1258" s="25" t="s">
        <v>31</v>
      </c>
      <c r="I1258" s="26">
        <v>46003.606574074074</v>
      </c>
      <c r="J1258" s="25" t="s">
        <v>10416</v>
      </c>
      <c r="K1258" s="25" t="s">
        <v>32</v>
      </c>
    </row>
    <row r="1259" spans="3:11" x14ac:dyDescent="0.25">
      <c r="C1259" s="25">
        <v>23602900</v>
      </c>
      <c r="D1259" s="26">
        <v>45989.614131944443</v>
      </c>
      <c r="E1259" s="25" t="s">
        <v>44</v>
      </c>
      <c r="F1259" s="25" t="s">
        <v>45</v>
      </c>
      <c r="G1259" s="25" t="s">
        <v>62</v>
      </c>
      <c r="H1259" s="25" t="s">
        <v>31</v>
      </c>
      <c r="I1259" s="26">
        <v>45995.614131944443</v>
      </c>
      <c r="J1259" s="25" t="s">
        <v>7443</v>
      </c>
      <c r="K1259" s="25" t="s">
        <v>32</v>
      </c>
    </row>
    <row r="1260" spans="3:11" x14ac:dyDescent="0.25">
      <c r="C1260" s="25">
        <v>23602905</v>
      </c>
      <c r="D1260" s="26">
        <v>45989.617037037038</v>
      </c>
      <c r="E1260" s="25" t="s">
        <v>27</v>
      </c>
      <c r="F1260" s="25" t="s">
        <v>28</v>
      </c>
      <c r="G1260" s="25" t="s">
        <v>68</v>
      </c>
      <c r="H1260" s="25" t="s">
        <v>31</v>
      </c>
      <c r="I1260" s="26">
        <v>46003.617037037038</v>
      </c>
      <c r="J1260" s="25" t="s">
        <v>10422</v>
      </c>
      <c r="K1260" s="25" t="s">
        <v>32</v>
      </c>
    </row>
    <row r="1261" spans="3:11" x14ac:dyDescent="0.25">
      <c r="C1261" s="25">
        <v>23602963</v>
      </c>
      <c r="D1261" s="26">
        <v>45989.637812499997</v>
      </c>
      <c r="E1261" s="25" t="s">
        <v>27</v>
      </c>
      <c r="F1261" s="25" t="s">
        <v>28</v>
      </c>
      <c r="G1261" s="25" t="s">
        <v>29</v>
      </c>
      <c r="H1261" s="25" t="s">
        <v>31</v>
      </c>
      <c r="I1261" s="26">
        <v>46001.637812499997</v>
      </c>
      <c r="J1261" s="25" t="s">
        <v>9431</v>
      </c>
      <c r="K1261" s="25" t="s">
        <v>32</v>
      </c>
    </row>
    <row r="1262" spans="3:11" x14ac:dyDescent="0.25">
      <c r="C1262" s="25">
        <v>23602965</v>
      </c>
      <c r="D1262" s="26">
        <v>45989.638680555552</v>
      </c>
      <c r="E1262" s="25" t="s">
        <v>44</v>
      </c>
      <c r="F1262" s="25" t="s">
        <v>45</v>
      </c>
      <c r="G1262" s="25" t="s">
        <v>29</v>
      </c>
      <c r="H1262" s="25" t="s">
        <v>31</v>
      </c>
      <c r="I1262" s="26">
        <v>46001.638680555552</v>
      </c>
      <c r="J1262" s="25" t="s">
        <v>9440</v>
      </c>
      <c r="K1262" s="25" t="s">
        <v>32</v>
      </c>
    </row>
    <row r="1263" spans="3:11" x14ac:dyDescent="0.25">
      <c r="C1263" s="25">
        <v>23602967</v>
      </c>
      <c r="D1263" s="26">
        <v>45989.640243055554</v>
      </c>
      <c r="E1263" s="25" t="s">
        <v>27</v>
      </c>
      <c r="F1263" s="25" t="s">
        <v>28</v>
      </c>
      <c r="G1263" s="25" t="s">
        <v>29</v>
      </c>
      <c r="H1263" s="25" t="s">
        <v>31</v>
      </c>
      <c r="I1263" s="26">
        <v>46001.640243055554</v>
      </c>
      <c r="J1263" s="25" t="s">
        <v>9447</v>
      </c>
      <c r="K1263" s="25" t="s">
        <v>32</v>
      </c>
    </row>
    <row r="1264" spans="3:11" x14ac:dyDescent="0.25">
      <c r="C1264" s="25">
        <v>23602975</v>
      </c>
      <c r="D1264" s="26">
        <v>45989.642013888886</v>
      </c>
      <c r="E1264" s="25" t="s">
        <v>44</v>
      </c>
      <c r="F1264" s="25" t="s">
        <v>45</v>
      </c>
      <c r="G1264" s="25" t="s">
        <v>40</v>
      </c>
      <c r="H1264" s="25" t="s">
        <v>38</v>
      </c>
      <c r="I1264" s="26">
        <v>46002.642013888886</v>
      </c>
      <c r="J1264" s="25" t="s">
        <v>9456</v>
      </c>
      <c r="K1264" s="25" t="s">
        <v>32</v>
      </c>
    </row>
    <row r="1265" spans="3:11" x14ac:dyDescent="0.25">
      <c r="C1265" s="25">
        <v>23602982</v>
      </c>
      <c r="D1265" s="26">
        <v>45989.647210648145</v>
      </c>
      <c r="E1265" s="25" t="s">
        <v>44</v>
      </c>
      <c r="F1265" s="25" t="s">
        <v>45</v>
      </c>
      <c r="G1265" s="25" t="s">
        <v>29</v>
      </c>
      <c r="H1265" s="25" t="s">
        <v>31</v>
      </c>
      <c r="I1265" s="26">
        <v>46001.647210648145</v>
      </c>
      <c r="J1265" s="25" t="s">
        <v>5483</v>
      </c>
      <c r="K1265" s="25" t="s">
        <v>32</v>
      </c>
    </row>
    <row r="1266" spans="3:11" x14ac:dyDescent="0.25">
      <c r="C1266" s="25">
        <v>23602984</v>
      </c>
      <c r="D1266" s="26">
        <v>45989.647986111115</v>
      </c>
      <c r="E1266" s="25" t="s">
        <v>48</v>
      </c>
      <c r="F1266" s="25" t="s">
        <v>64</v>
      </c>
      <c r="G1266" s="25" t="s">
        <v>29</v>
      </c>
      <c r="H1266" s="25" t="s">
        <v>31</v>
      </c>
      <c r="I1266" s="26">
        <v>46001.647986111115</v>
      </c>
      <c r="J1266" s="25" t="s">
        <v>9473</v>
      </c>
      <c r="K1266" s="25" t="s">
        <v>32</v>
      </c>
    </row>
    <row r="1267" spans="3:11" x14ac:dyDescent="0.25">
      <c r="C1267" s="25">
        <v>23602995</v>
      </c>
      <c r="D1267" s="26">
        <v>45989.657523148147</v>
      </c>
      <c r="E1267" s="25" t="s">
        <v>27</v>
      </c>
      <c r="F1267" s="25" t="s">
        <v>28</v>
      </c>
      <c r="G1267" s="25" t="s">
        <v>40</v>
      </c>
      <c r="H1267" s="25" t="s">
        <v>31</v>
      </c>
      <c r="I1267" s="26">
        <v>45996.657523148147</v>
      </c>
      <c r="J1267" s="25" t="s">
        <v>9482</v>
      </c>
      <c r="K1267" s="25" t="s">
        <v>32</v>
      </c>
    </row>
    <row r="1268" spans="3:11" x14ac:dyDescent="0.25">
      <c r="C1268" s="25">
        <v>23602996</v>
      </c>
      <c r="D1268" s="26">
        <v>45989.657824074071</v>
      </c>
      <c r="E1268" s="25" t="s">
        <v>48</v>
      </c>
      <c r="F1268" s="25" t="s">
        <v>64</v>
      </c>
      <c r="G1268" s="25" t="s">
        <v>29</v>
      </c>
      <c r="H1268" s="25" t="s">
        <v>31</v>
      </c>
      <c r="I1268" s="26">
        <v>46001.657824074071</v>
      </c>
      <c r="J1268" s="25" t="s">
        <v>9489</v>
      </c>
      <c r="K1268" s="25" t="s">
        <v>32</v>
      </c>
    </row>
    <row r="1269" spans="3:11" x14ac:dyDescent="0.25">
      <c r="C1269" s="25">
        <v>23603002</v>
      </c>
      <c r="D1269" s="26">
        <v>45989.660833333335</v>
      </c>
      <c r="E1269" s="25" t="s">
        <v>27</v>
      </c>
      <c r="F1269" s="25" t="s">
        <v>28</v>
      </c>
      <c r="G1269" s="25" t="s">
        <v>51</v>
      </c>
      <c r="H1269" s="25" t="s">
        <v>38</v>
      </c>
      <c r="I1269" s="26">
        <v>46007.660833333335</v>
      </c>
      <c r="J1269" s="25" t="s">
        <v>9499</v>
      </c>
      <c r="K1269" s="25" t="s">
        <v>32</v>
      </c>
    </row>
    <row r="1270" spans="3:11" x14ac:dyDescent="0.25">
      <c r="C1270" s="25">
        <v>23603020</v>
      </c>
      <c r="D1270" s="26">
        <v>45989.669131944444</v>
      </c>
      <c r="E1270" s="25" t="s">
        <v>48</v>
      </c>
      <c r="F1270" s="25" t="s">
        <v>64</v>
      </c>
      <c r="G1270" s="25" t="s">
        <v>29</v>
      </c>
      <c r="H1270" s="25" t="s">
        <v>31</v>
      </c>
      <c r="I1270" s="26">
        <v>46001.669131944444</v>
      </c>
      <c r="J1270" s="25" t="s">
        <v>9506</v>
      </c>
      <c r="K1270" s="25" t="s">
        <v>32</v>
      </c>
    </row>
    <row r="1271" spans="3:11" x14ac:dyDescent="0.25">
      <c r="C1271" s="25">
        <v>23603024</v>
      </c>
      <c r="D1271" s="26">
        <v>45989.671435185184</v>
      </c>
      <c r="E1271" s="25" t="s">
        <v>27</v>
      </c>
      <c r="F1271" s="25" t="s">
        <v>28</v>
      </c>
      <c r="G1271" s="25" t="s">
        <v>43</v>
      </c>
      <c r="H1271" s="25" t="s">
        <v>31</v>
      </c>
      <c r="I1271" s="26">
        <v>46001.671435185184</v>
      </c>
      <c r="J1271" s="25" t="s">
        <v>9515</v>
      </c>
      <c r="K1271" s="25" t="s">
        <v>32</v>
      </c>
    </row>
    <row r="1272" spans="3:11" x14ac:dyDescent="0.25">
      <c r="C1272" s="25">
        <v>23603027</v>
      </c>
      <c r="D1272" s="26">
        <v>45989.672627314816</v>
      </c>
      <c r="E1272" s="25" t="s">
        <v>48</v>
      </c>
      <c r="F1272" s="25" t="s">
        <v>64</v>
      </c>
      <c r="G1272" s="25" t="s">
        <v>62</v>
      </c>
      <c r="H1272" s="25" t="s">
        <v>31</v>
      </c>
      <c r="I1272" s="26">
        <v>45995.672627314816</v>
      </c>
      <c r="J1272" s="25" t="s">
        <v>9525</v>
      </c>
      <c r="K1272" s="25" t="s">
        <v>32</v>
      </c>
    </row>
    <row r="1273" spans="3:11" x14ac:dyDescent="0.25">
      <c r="C1273" s="25">
        <v>23603029</v>
      </c>
      <c r="D1273" s="26">
        <v>45989.673101851855</v>
      </c>
      <c r="E1273" s="25" t="s">
        <v>27</v>
      </c>
      <c r="F1273" s="25" t="s">
        <v>28</v>
      </c>
      <c r="G1273" s="25" t="s">
        <v>68</v>
      </c>
      <c r="H1273" s="25" t="s">
        <v>31</v>
      </c>
      <c r="I1273" s="26">
        <v>46003.673101851855</v>
      </c>
      <c r="J1273" s="25" t="s">
        <v>10432</v>
      </c>
      <c r="K1273" s="25" t="s">
        <v>32</v>
      </c>
    </row>
    <row r="1274" spans="3:11" x14ac:dyDescent="0.25">
      <c r="C1274" s="25">
        <v>23603030</v>
      </c>
      <c r="D1274" s="26">
        <v>45989.674039351848</v>
      </c>
      <c r="E1274" s="25" t="s">
        <v>27</v>
      </c>
      <c r="F1274" s="25" t="s">
        <v>28</v>
      </c>
      <c r="G1274" s="25" t="s">
        <v>29</v>
      </c>
      <c r="H1274" s="25" t="s">
        <v>31</v>
      </c>
      <c r="I1274" s="26">
        <v>46001.674039351848</v>
      </c>
      <c r="J1274" s="25" t="s">
        <v>9532</v>
      </c>
      <c r="K1274" s="25" t="s">
        <v>32</v>
      </c>
    </row>
    <row r="1275" spans="3:11" x14ac:dyDescent="0.25">
      <c r="C1275" s="25">
        <v>23603043</v>
      </c>
      <c r="D1275" s="26">
        <v>45989.681342592594</v>
      </c>
      <c r="E1275" s="25" t="s">
        <v>27</v>
      </c>
      <c r="F1275" s="25" t="s">
        <v>28</v>
      </c>
      <c r="G1275" s="25" t="s">
        <v>51</v>
      </c>
      <c r="H1275" s="25" t="s">
        <v>31</v>
      </c>
      <c r="I1275" s="26">
        <v>46007.681342592594</v>
      </c>
      <c r="J1275" s="25" t="s">
        <v>9541</v>
      </c>
      <c r="K1275" s="25" t="s">
        <v>32</v>
      </c>
    </row>
    <row r="1276" spans="3:11" x14ac:dyDescent="0.25">
      <c r="C1276" s="25">
        <v>23603044</v>
      </c>
      <c r="D1276" s="26">
        <v>45989.681597222225</v>
      </c>
      <c r="E1276" s="25" t="s">
        <v>48</v>
      </c>
      <c r="F1276" s="25" t="s">
        <v>64</v>
      </c>
      <c r="G1276" s="25" t="s">
        <v>29</v>
      </c>
      <c r="H1276" s="25" t="s">
        <v>31</v>
      </c>
      <c r="I1276" s="26">
        <v>46001.681597222225</v>
      </c>
      <c r="J1276" s="25" t="s">
        <v>9547</v>
      </c>
      <c r="K1276" s="25" t="s">
        <v>32</v>
      </c>
    </row>
    <row r="1277" spans="3:11" x14ac:dyDescent="0.25">
      <c r="C1277" s="25">
        <v>23603058</v>
      </c>
      <c r="D1277" s="26">
        <v>45989.690243055556</v>
      </c>
      <c r="E1277" s="25" t="s">
        <v>48</v>
      </c>
      <c r="F1277" s="25" t="s">
        <v>64</v>
      </c>
      <c r="G1277" s="25" t="s">
        <v>29</v>
      </c>
      <c r="H1277" s="25" t="s">
        <v>38</v>
      </c>
      <c r="I1277" s="26">
        <v>46006.690243055556</v>
      </c>
      <c r="J1277" s="25" t="s">
        <v>9556</v>
      </c>
      <c r="K1277" s="25" t="s">
        <v>32</v>
      </c>
    </row>
    <row r="1278" spans="3:11" x14ac:dyDescent="0.25">
      <c r="C1278" s="25">
        <v>23603062</v>
      </c>
      <c r="D1278" s="26">
        <v>45989.692372685182</v>
      </c>
      <c r="E1278" s="25" t="s">
        <v>59</v>
      </c>
      <c r="F1278" s="25" t="s">
        <v>60</v>
      </c>
      <c r="G1278" s="25" t="s">
        <v>29</v>
      </c>
      <c r="H1278" s="25" t="s">
        <v>31</v>
      </c>
      <c r="I1278" s="26">
        <v>46001.692372685182</v>
      </c>
      <c r="J1278" s="25" t="s">
        <v>9565</v>
      </c>
      <c r="K1278" s="25" t="s">
        <v>32</v>
      </c>
    </row>
    <row r="1279" spans="3:11" x14ac:dyDescent="0.25">
      <c r="C1279" s="25">
        <v>23603063</v>
      </c>
      <c r="D1279" s="26">
        <v>45989.69332175926</v>
      </c>
      <c r="E1279" s="25" t="s">
        <v>48</v>
      </c>
      <c r="F1279" s="25" t="s">
        <v>64</v>
      </c>
      <c r="G1279" s="25" t="s">
        <v>29</v>
      </c>
      <c r="H1279" s="25" t="s">
        <v>31</v>
      </c>
      <c r="I1279" s="26">
        <v>46001.69332175926</v>
      </c>
      <c r="J1279" s="25" t="s">
        <v>9572</v>
      </c>
      <c r="K1279" s="25" t="s">
        <v>32</v>
      </c>
    </row>
    <row r="1280" spans="3:11" x14ac:dyDescent="0.25">
      <c r="C1280" s="25">
        <v>23603077</v>
      </c>
      <c r="D1280" s="26">
        <v>45989.708032407405</v>
      </c>
      <c r="E1280" s="25" t="s">
        <v>27</v>
      </c>
      <c r="F1280" s="25" t="s">
        <v>28</v>
      </c>
      <c r="G1280" s="25" t="s">
        <v>40</v>
      </c>
      <c r="H1280" s="25" t="s">
        <v>31</v>
      </c>
      <c r="I1280" s="26">
        <v>45996.708032407405</v>
      </c>
      <c r="J1280" s="25" t="s">
        <v>9580</v>
      </c>
      <c r="K1280" s="25" t="s">
        <v>32</v>
      </c>
    </row>
    <row r="1281" spans="3:11" x14ac:dyDescent="0.25">
      <c r="C1281" s="25">
        <v>23603080</v>
      </c>
      <c r="D1281" s="26">
        <v>45989.708877314813</v>
      </c>
      <c r="E1281" s="25" t="s">
        <v>27</v>
      </c>
      <c r="F1281" s="25" t="s">
        <v>28</v>
      </c>
      <c r="G1281" s="25" t="s">
        <v>62</v>
      </c>
      <c r="H1281" s="25" t="s">
        <v>31</v>
      </c>
      <c r="I1281" s="26">
        <v>45995.708877314813</v>
      </c>
      <c r="J1281" s="25" t="s">
        <v>9590</v>
      </c>
      <c r="K1281" s="25" t="s">
        <v>32</v>
      </c>
    </row>
    <row r="1282" spans="3:11" x14ac:dyDescent="0.25">
      <c r="C1282" s="25">
        <v>23603093</v>
      </c>
      <c r="D1282" s="26">
        <v>45989.721666666665</v>
      </c>
      <c r="E1282" s="25" t="s">
        <v>27</v>
      </c>
      <c r="F1282" s="25" t="s">
        <v>28</v>
      </c>
      <c r="G1282" s="25" t="s">
        <v>68</v>
      </c>
      <c r="H1282" s="25" t="s">
        <v>31</v>
      </c>
      <c r="I1282" s="26">
        <v>46003.721666666665</v>
      </c>
      <c r="J1282" s="25" t="s">
        <v>10443</v>
      </c>
      <c r="K1282" s="25" t="s">
        <v>32</v>
      </c>
    </row>
    <row r="1283" spans="3:11" x14ac:dyDescent="0.25">
      <c r="C1283" s="25">
        <v>23603098</v>
      </c>
      <c r="D1283" s="26">
        <v>45989.734988425924</v>
      </c>
      <c r="E1283" s="25" t="s">
        <v>27</v>
      </c>
      <c r="F1283" s="25" t="s">
        <v>28</v>
      </c>
      <c r="G1283" s="25" t="s">
        <v>51</v>
      </c>
      <c r="H1283" s="25" t="s">
        <v>31</v>
      </c>
      <c r="I1283" s="26">
        <v>46007.734988425924</v>
      </c>
      <c r="J1283" s="25" t="s">
        <v>9600</v>
      </c>
      <c r="K1283" s="25" t="s">
        <v>32</v>
      </c>
    </row>
    <row r="1284" spans="3:11" x14ac:dyDescent="0.25">
      <c r="C1284" s="25">
        <v>23603109</v>
      </c>
      <c r="D1284" s="26">
        <v>45989.83730324074</v>
      </c>
      <c r="E1284" s="25" t="s">
        <v>27</v>
      </c>
      <c r="F1284" s="25" t="s">
        <v>28</v>
      </c>
      <c r="G1284" s="25" t="s">
        <v>62</v>
      </c>
      <c r="H1284" s="25" t="s">
        <v>38</v>
      </c>
      <c r="I1284" s="26">
        <v>45995.83730324074</v>
      </c>
      <c r="J1284" s="25" t="s">
        <v>9607</v>
      </c>
      <c r="K1284" s="25" t="s">
        <v>32</v>
      </c>
    </row>
    <row r="1285" spans="3:11" x14ac:dyDescent="0.25">
      <c r="C1285" s="25">
        <v>23603111</v>
      </c>
      <c r="D1285" s="26">
        <v>45989.919120370374</v>
      </c>
      <c r="E1285" s="25" t="s">
        <v>44</v>
      </c>
      <c r="F1285" s="25" t="s">
        <v>45</v>
      </c>
      <c r="G1285" s="25" t="s">
        <v>62</v>
      </c>
      <c r="H1285" s="25" t="s">
        <v>31</v>
      </c>
      <c r="I1285" s="26">
        <v>45995.919120370374</v>
      </c>
      <c r="J1285" s="25" t="s">
        <v>9615</v>
      </c>
      <c r="K1285" s="25" t="s">
        <v>32</v>
      </c>
    </row>
    <row r="1286" spans="3:11" x14ac:dyDescent="0.25">
      <c r="C1286" s="25">
        <v>23603298</v>
      </c>
      <c r="D1286" s="26">
        <v>45990.284780092596</v>
      </c>
      <c r="E1286" s="25" t="s">
        <v>27</v>
      </c>
      <c r="F1286" s="25" t="s">
        <v>28</v>
      </c>
      <c r="G1286" s="25" t="s">
        <v>51</v>
      </c>
      <c r="H1286" s="25" t="s">
        <v>31</v>
      </c>
      <c r="I1286" s="26">
        <v>46007.284780092596</v>
      </c>
      <c r="J1286" s="25" t="s">
        <v>9624</v>
      </c>
      <c r="K1286" s="25" t="s">
        <v>32</v>
      </c>
    </row>
    <row r="1287" spans="3:11" x14ac:dyDescent="0.25">
      <c r="C1287" s="25">
        <v>23603303</v>
      </c>
      <c r="D1287" s="26">
        <v>45990.290763888886</v>
      </c>
      <c r="E1287" s="25" t="s">
        <v>27</v>
      </c>
      <c r="F1287" s="25" t="s">
        <v>28</v>
      </c>
      <c r="G1287" s="25" t="s">
        <v>51</v>
      </c>
      <c r="H1287" s="25" t="s">
        <v>31</v>
      </c>
      <c r="I1287" s="26">
        <v>46007.290763888886</v>
      </c>
      <c r="J1287" s="25" t="s">
        <v>9633</v>
      </c>
      <c r="K1287" s="25" t="s">
        <v>32</v>
      </c>
    </row>
    <row r="1288" spans="3:11" x14ac:dyDescent="0.25">
      <c r="C1288" s="25">
        <v>23603305</v>
      </c>
      <c r="D1288" s="26">
        <v>45990.292199074072</v>
      </c>
      <c r="E1288" s="25" t="s">
        <v>55</v>
      </c>
      <c r="F1288" s="25" t="s">
        <v>56</v>
      </c>
      <c r="G1288" s="25" t="s">
        <v>29</v>
      </c>
      <c r="H1288" s="25" t="s">
        <v>31</v>
      </c>
      <c r="I1288" s="26">
        <v>46001.292199074072</v>
      </c>
      <c r="J1288" s="25" t="s">
        <v>8275</v>
      </c>
      <c r="K1288" s="25" t="s">
        <v>32</v>
      </c>
    </row>
    <row r="1289" spans="3:11" x14ac:dyDescent="0.25">
      <c r="C1289" s="25">
        <v>23603310</v>
      </c>
      <c r="D1289" s="26">
        <v>45990.308715277781</v>
      </c>
      <c r="E1289" s="25" t="s">
        <v>44</v>
      </c>
      <c r="F1289" s="25" t="s">
        <v>45</v>
      </c>
      <c r="G1289" s="25" t="s">
        <v>51</v>
      </c>
      <c r="H1289" s="25" t="s">
        <v>31</v>
      </c>
      <c r="I1289" s="26">
        <v>46007.308715277781</v>
      </c>
      <c r="J1289" s="25" t="s">
        <v>9647</v>
      </c>
      <c r="K1289" s="25" t="s">
        <v>32</v>
      </c>
    </row>
    <row r="1290" spans="3:11" x14ac:dyDescent="0.25">
      <c r="C1290" s="25">
        <v>23603319</v>
      </c>
      <c r="D1290" s="26">
        <v>45990.343472222223</v>
      </c>
      <c r="E1290" s="25" t="s">
        <v>44</v>
      </c>
      <c r="F1290" s="25" t="s">
        <v>45</v>
      </c>
      <c r="G1290" s="25" t="s">
        <v>51</v>
      </c>
      <c r="H1290" s="25" t="s">
        <v>31</v>
      </c>
      <c r="I1290" s="26">
        <v>46007.343472222223</v>
      </c>
      <c r="J1290" s="25" t="s">
        <v>9654</v>
      </c>
      <c r="K1290" s="25" t="s">
        <v>32</v>
      </c>
    </row>
    <row r="1291" spans="3:11" x14ac:dyDescent="0.25">
      <c r="C1291" s="25">
        <v>23603397</v>
      </c>
      <c r="D1291" s="26">
        <v>45990.402037037034</v>
      </c>
      <c r="E1291" s="25" t="s">
        <v>27</v>
      </c>
      <c r="F1291" s="25" t="s">
        <v>28</v>
      </c>
      <c r="G1291" s="25" t="s">
        <v>29</v>
      </c>
      <c r="H1291" s="25" t="s">
        <v>31</v>
      </c>
      <c r="I1291" s="26">
        <v>46001.402037037034</v>
      </c>
      <c r="J1291" s="25" t="s">
        <v>9663</v>
      </c>
      <c r="K1291" s="25" t="s">
        <v>32</v>
      </c>
    </row>
    <row r="1292" spans="3:11" x14ac:dyDescent="0.25">
      <c r="C1292" s="25">
        <v>23603402</v>
      </c>
      <c r="D1292" s="26">
        <v>45990.406215277777</v>
      </c>
      <c r="E1292" s="25" t="s">
        <v>48</v>
      </c>
      <c r="F1292" s="25" t="s">
        <v>64</v>
      </c>
      <c r="G1292" s="25" t="s">
        <v>62</v>
      </c>
      <c r="H1292" s="25" t="s">
        <v>31</v>
      </c>
      <c r="I1292" s="26">
        <v>45995.406215277777</v>
      </c>
      <c r="J1292" s="25" t="s">
        <v>9670</v>
      </c>
      <c r="K1292" s="25" t="s">
        <v>32</v>
      </c>
    </row>
    <row r="1293" spans="3:11" x14ac:dyDescent="0.25">
      <c r="C1293" s="25">
        <v>23603418</v>
      </c>
      <c r="D1293" s="26">
        <v>45990.423564814817</v>
      </c>
      <c r="E1293" s="25" t="s">
        <v>48</v>
      </c>
      <c r="F1293" s="25" t="s">
        <v>64</v>
      </c>
      <c r="G1293" s="25" t="s">
        <v>62</v>
      </c>
      <c r="H1293" s="25" t="s">
        <v>31</v>
      </c>
      <c r="I1293" s="26">
        <v>45995.423564814817</v>
      </c>
      <c r="J1293" s="25" t="s">
        <v>3721</v>
      </c>
      <c r="K1293" s="25" t="s">
        <v>32</v>
      </c>
    </row>
    <row r="1294" spans="3:11" x14ac:dyDescent="0.25">
      <c r="C1294" s="25">
        <v>23603419</v>
      </c>
      <c r="D1294" s="26">
        <v>45990.426261574074</v>
      </c>
      <c r="E1294" s="25" t="s">
        <v>48</v>
      </c>
      <c r="F1294" s="25" t="s">
        <v>64</v>
      </c>
      <c r="G1294" s="25" t="s">
        <v>62</v>
      </c>
      <c r="H1294" s="25" t="s">
        <v>31</v>
      </c>
      <c r="I1294" s="26">
        <v>45995.426261574074</v>
      </c>
      <c r="J1294" s="25" t="s">
        <v>6958</v>
      </c>
      <c r="K1294" s="25" t="s">
        <v>32</v>
      </c>
    </row>
    <row r="1295" spans="3:11" x14ac:dyDescent="0.25">
      <c r="C1295" s="25">
        <v>23603421</v>
      </c>
      <c r="D1295" s="26">
        <v>45990.427800925929</v>
      </c>
      <c r="E1295" s="25" t="s">
        <v>48</v>
      </c>
      <c r="F1295" s="25" t="s">
        <v>64</v>
      </c>
      <c r="G1295" s="25" t="s">
        <v>62</v>
      </c>
      <c r="H1295" s="25" t="s">
        <v>31</v>
      </c>
      <c r="I1295" s="26">
        <v>45995.427800925929</v>
      </c>
      <c r="J1295" s="25" t="s">
        <v>3744</v>
      </c>
      <c r="K1295" s="25" t="s">
        <v>32</v>
      </c>
    </row>
    <row r="1296" spans="3:11" x14ac:dyDescent="0.25">
      <c r="C1296" s="25">
        <v>23603424</v>
      </c>
      <c r="D1296" s="26">
        <v>45990.429236111115</v>
      </c>
      <c r="E1296" s="25" t="s">
        <v>48</v>
      </c>
      <c r="F1296" s="25" t="s">
        <v>64</v>
      </c>
      <c r="G1296" s="25" t="s">
        <v>62</v>
      </c>
      <c r="H1296" s="25" t="s">
        <v>31</v>
      </c>
      <c r="I1296" s="26">
        <v>45995.429236111115</v>
      </c>
      <c r="J1296" s="25" t="s">
        <v>9693</v>
      </c>
      <c r="K1296" s="25" t="s">
        <v>32</v>
      </c>
    </row>
    <row r="1297" spans="3:11" x14ac:dyDescent="0.25">
      <c r="C1297" s="25">
        <v>23603427</v>
      </c>
      <c r="D1297" s="26">
        <v>45990.431562500002</v>
      </c>
      <c r="E1297" s="25" t="s">
        <v>48</v>
      </c>
      <c r="F1297" s="25" t="s">
        <v>64</v>
      </c>
      <c r="G1297" s="25" t="s">
        <v>62</v>
      </c>
      <c r="H1297" s="25" t="s">
        <v>31</v>
      </c>
      <c r="I1297" s="26">
        <v>45995.431562500002</v>
      </c>
      <c r="J1297" s="25" t="s">
        <v>1139</v>
      </c>
      <c r="K1297" s="25" t="s">
        <v>32</v>
      </c>
    </row>
    <row r="1298" spans="3:11" x14ac:dyDescent="0.25">
      <c r="C1298" s="25">
        <v>23603428</v>
      </c>
      <c r="D1298" s="26">
        <v>45990.431689814817</v>
      </c>
      <c r="E1298" s="25" t="s">
        <v>27</v>
      </c>
      <c r="F1298" s="25" t="s">
        <v>28</v>
      </c>
      <c r="G1298" s="25" t="s">
        <v>29</v>
      </c>
      <c r="H1298" s="25" t="s">
        <v>31</v>
      </c>
      <c r="I1298" s="26">
        <v>46001.431689814817</v>
      </c>
      <c r="J1298" s="25" t="s">
        <v>7543</v>
      </c>
      <c r="K1298" s="25" t="s">
        <v>32</v>
      </c>
    </row>
    <row r="1299" spans="3:11" x14ac:dyDescent="0.25">
      <c r="C1299" s="25">
        <v>23603435</v>
      </c>
      <c r="D1299" s="26">
        <v>45990.442164351851</v>
      </c>
      <c r="E1299" s="25" t="s">
        <v>27</v>
      </c>
      <c r="F1299" s="25" t="s">
        <v>28</v>
      </c>
      <c r="G1299" s="25" t="s">
        <v>62</v>
      </c>
      <c r="H1299" s="25" t="s">
        <v>31</v>
      </c>
      <c r="I1299" s="26">
        <v>45995.442164351851</v>
      </c>
      <c r="J1299" s="25" t="s">
        <v>3763</v>
      </c>
      <c r="K1299" s="25" t="s">
        <v>32</v>
      </c>
    </row>
    <row r="1300" spans="3:11" x14ac:dyDescent="0.25">
      <c r="C1300" s="25">
        <v>23603436</v>
      </c>
      <c r="D1300" s="26">
        <v>45990.443113425928</v>
      </c>
      <c r="E1300" s="25" t="s">
        <v>27</v>
      </c>
      <c r="F1300" s="25" t="s">
        <v>28</v>
      </c>
      <c r="G1300" s="25" t="s">
        <v>40</v>
      </c>
      <c r="H1300" s="25" t="s">
        <v>31</v>
      </c>
      <c r="I1300" s="26">
        <v>45996.443113425928</v>
      </c>
      <c r="J1300" s="25" t="s">
        <v>9721</v>
      </c>
      <c r="K1300" s="25" t="s">
        <v>32</v>
      </c>
    </row>
    <row r="1301" spans="3:11" x14ac:dyDescent="0.25">
      <c r="C1301" s="25">
        <v>23603441</v>
      </c>
      <c r="D1301" s="26">
        <v>45990.451967592591</v>
      </c>
      <c r="E1301" s="25" t="s">
        <v>27</v>
      </c>
      <c r="F1301" s="25" t="s">
        <v>28</v>
      </c>
      <c r="G1301" s="25" t="s">
        <v>62</v>
      </c>
      <c r="H1301" s="25" t="s">
        <v>31</v>
      </c>
      <c r="I1301" s="26">
        <v>45995.451967592591</v>
      </c>
      <c r="J1301" s="25" t="s">
        <v>9728</v>
      </c>
      <c r="K1301" s="25" t="s">
        <v>32</v>
      </c>
    </row>
    <row r="1302" spans="3:11" x14ac:dyDescent="0.25">
      <c r="C1302" s="25">
        <v>23603446</v>
      </c>
      <c r="D1302" s="26">
        <v>45990.45721064815</v>
      </c>
      <c r="E1302" s="25" t="s">
        <v>27</v>
      </c>
      <c r="F1302" s="25" t="s">
        <v>28</v>
      </c>
      <c r="G1302" s="25" t="s">
        <v>62</v>
      </c>
      <c r="H1302" s="25" t="s">
        <v>31</v>
      </c>
      <c r="I1302" s="26">
        <v>45995.45721064815</v>
      </c>
      <c r="J1302" s="25" t="s">
        <v>1638</v>
      </c>
      <c r="K1302" s="25" t="s">
        <v>32</v>
      </c>
    </row>
    <row r="1303" spans="3:11" x14ac:dyDescent="0.25">
      <c r="C1303" s="25">
        <v>23603448</v>
      </c>
      <c r="D1303" s="26">
        <v>45990.46261574074</v>
      </c>
      <c r="E1303" s="25" t="s">
        <v>27</v>
      </c>
      <c r="F1303" s="25" t="s">
        <v>28</v>
      </c>
      <c r="G1303" s="25" t="s">
        <v>43</v>
      </c>
      <c r="H1303" s="25" t="s">
        <v>31</v>
      </c>
      <c r="I1303" s="26">
        <v>46001.46261574074</v>
      </c>
      <c r="J1303" s="25" t="s">
        <v>1281</v>
      </c>
      <c r="K1303" s="25" t="s">
        <v>32</v>
      </c>
    </row>
    <row r="1304" spans="3:11" x14ac:dyDescent="0.25">
      <c r="C1304" s="25">
        <v>23603454</v>
      </c>
      <c r="D1304" s="26">
        <v>45990.466157407405</v>
      </c>
      <c r="E1304" s="25" t="s">
        <v>27</v>
      </c>
      <c r="F1304" s="25" t="s">
        <v>28</v>
      </c>
      <c r="G1304" s="25" t="s">
        <v>68</v>
      </c>
      <c r="H1304" s="25" t="s">
        <v>31</v>
      </c>
      <c r="I1304" s="26">
        <v>46003.466157407405</v>
      </c>
      <c r="J1304" s="25" t="s">
        <v>10454</v>
      </c>
      <c r="K1304" s="25" t="s">
        <v>32</v>
      </c>
    </row>
    <row r="1305" spans="3:11" x14ac:dyDescent="0.25">
      <c r="C1305" s="25">
        <v>23603467</v>
      </c>
      <c r="D1305" s="26">
        <v>45990.479537037034</v>
      </c>
      <c r="E1305" s="25" t="s">
        <v>48</v>
      </c>
      <c r="F1305" s="25" t="s">
        <v>64</v>
      </c>
      <c r="G1305" s="25" t="s">
        <v>62</v>
      </c>
      <c r="H1305" s="25" t="s">
        <v>31</v>
      </c>
      <c r="I1305" s="26">
        <v>45995.479537037034</v>
      </c>
      <c r="J1305" s="25" t="s">
        <v>4504</v>
      </c>
      <c r="K1305" s="25" t="s">
        <v>32</v>
      </c>
    </row>
    <row r="1306" spans="3:11" x14ac:dyDescent="0.25">
      <c r="C1306" s="25">
        <v>23603476</v>
      </c>
      <c r="D1306" s="26">
        <v>45990.481249999997</v>
      </c>
      <c r="E1306" s="25" t="s">
        <v>27</v>
      </c>
      <c r="F1306" s="25" t="s">
        <v>28</v>
      </c>
      <c r="G1306" s="25" t="s">
        <v>40</v>
      </c>
      <c r="H1306" s="25" t="s">
        <v>31</v>
      </c>
      <c r="I1306" s="26">
        <v>45996.481249999997</v>
      </c>
      <c r="J1306" s="25" t="s">
        <v>830</v>
      </c>
      <c r="K1306" s="25" t="s">
        <v>32</v>
      </c>
    </row>
    <row r="1307" spans="3:11" x14ac:dyDescent="0.25">
      <c r="C1307" s="25">
        <v>23603550</v>
      </c>
      <c r="D1307" s="26">
        <v>45990.575995370367</v>
      </c>
      <c r="E1307" s="25" t="s">
        <v>27</v>
      </c>
      <c r="F1307" s="25" t="s">
        <v>28</v>
      </c>
      <c r="G1307" s="25" t="s">
        <v>29</v>
      </c>
      <c r="H1307" s="25" t="s">
        <v>31</v>
      </c>
      <c r="I1307" s="26">
        <v>46001.575995370367</v>
      </c>
      <c r="J1307" s="25" t="s">
        <v>9763</v>
      </c>
      <c r="K1307" s="25" t="s">
        <v>32</v>
      </c>
    </row>
    <row r="1308" spans="3:11" x14ac:dyDescent="0.25">
      <c r="C1308" s="25">
        <v>23603559</v>
      </c>
      <c r="D1308" s="26">
        <v>45990.582905092589</v>
      </c>
      <c r="E1308" s="25" t="s">
        <v>44</v>
      </c>
      <c r="F1308" s="25" t="s">
        <v>45</v>
      </c>
      <c r="G1308" s="25" t="s">
        <v>76</v>
      </c>
      <c r="H1308" s="25" t="s">
        <v>31</v>
      </c>
      <c r="I1308" s="26">
        <v>46001.582905092589</v>
      </c>
      <c r="J1308" s="25" t="s">
        <v>9773</v>
      </c>
      <c r="K1308" s="25" t="s">
        <v>32</v>
      </c>
    </row>
    <row r="1309" spans="3:11" x14ac:dyDescent="0.25">
      <c r="C1309" s="25">
        <v>23603565</v>
      </c>
      <c r="D1309" s="26">
        <v>45990.590543981481</v>
      </c>
      <c r="E1309" s="25" t="s">
        <v>27</v>
      </c>
      <c r="F1309" s="25" t="s">
        <v>28</v>
      </c>
      <c r="G1309" s="25" t="s">
        <v>40</v>
      </c>
      <c r="H1309" s="25" t="s">
        <v>31</v>
      </c>
      <c r="I1309" s="26">
        <v>45996.590543981481</v>
      </c>
      <c r="J1309" s="25" t="s">
        <v>9781</v>
      </c>
      <c r="K1309" s="25" t="s">
        <v>32</v>
      </c>
    </row>
    <row r="1310" spans="3:11" x14ac:dyDescent="0.25">
      <c r="C1310" s="25">
        <v>23603573</v>
      </c>
      <c r="D1310" s="26">
        <v>45990.595729166664</v>
      </c>
      <c r="E1310" s="25" t="s">
        <v>27</v>
      </c>
      <c r="F1310" s="25" t="s">
        <v>28</v>
      </c>
      <c r="G1310" s="25" t="s">
        <v>40</v>
      </c>
      <c r="H1310" s="25" t="s">
        <v>31</v>
      </c>
      <c r="I1310" s="26">
        <v>45996.595729166664</v>
      </c>
      <c r="J1310" s="25" t="s">
        <v>9788</v>
      </c>
      <c r="K1310" s="25" t="s">
        <v>32</v>
      </c>
    </row>
    <row r="1311" spans="3:11" x14ac:dyDescent="0.25">
      <c r="C1311" s="25">
        <v>23603581</v>
      </c>
      <c r="D1311" s="26">
        <v>45990.613634259258</v>
      </c>
      <c r="E1311" s="25" t="s">
        <v>27</v>
      </c>
      <c r="F1311" s="25" t="s">
        <v>28</v>
      </c>
      <c r="G1311" s="25" t="s">
        <v>29</v>
      </c>
      <c r="H1311" s="25" t="s">
        <v>31</v>
      </c>
      <c r="I1311" s="26">
        <v>46001.613634259258</v>
      </c>
      <c r="J1311" s="25" t="s">
        <v>9795</v>
      </c>
      <c r="K1311" s="25" t="s">
        <v>32</v>
      </c>
    </row>
    <row r="1312" spans="3:11" x14ac:dyDescent="0.25">
      <c r="C1312" s="25">
        <v>23603582</v>
      </c>
      <c r="D1312" s="26">
        <v>45990.615324074075</v>
      </c>
      <c r="E1312" s="25" t="s">
        <v>27</v>
      </c>
      <c r="F1312" s="25" t="s">
        <v>28</v>
      </c>
      <c r="G1312" s="25" t="s">
        <v>62</v>
      </c>
      <c r="H1312" s="25" t="s">
        <v>31</v>
      </c>
      <c r="I1312" s="26">
        <v>45995.615324074075</v>
      </c>
      <c r="J1312" s="25" t="s">
        <v>4847</v>
      </c>
      <c r="K1312" s="25" t="s">
        <v>32</v>
      </c>
    </row>
    <row r="1313" spans="3:11" x14ac:dyDescent="0.25">
      <c r="C1313" s="25">
        <v>23603583</v>
      </c>
      <c r="D1313" s="26">
        <v>45990.615983796299</v>
      </c>
      <c r="E1313" s="25" t="s">
        <v>27</v>
      </c>
      <c r="F1313" s="25" t="s">
        <v>28</v>
      </c>
      <c r="G1313" s="25" t="s">
        <v>29</v>
      </c>
      <c r="H1313" s="25" t="s">
        <v>31</v>
      </c>
      <c r="I1313" s="26">
        <v>46001.615983796299</v>
      </c>
      <c r="J1313" s="25" t="s">
        <v>7625</v>
      </c>
      <c r="K1313" s="25" t="s">
        <v>32</v>
      </c>
    </row>
    <row r="1314" spans="3:11" x14ac:dyDescent="0.25">
      <c r="C1314" s="25">
        <v>23603584</v>
      </c>
      <c r="D1314" s="26">
        <v>45990.616249999999</v>
      </c>
      <c r="E1314" s="25" t="s">
        <v>27</v>
      </c>
      <c r="F1314" s="25" t="s">
        <v>28</v>
      </c>
      <c r="G1314" s="25" t="s">
        <v>29</v>
      </c>
      <c r="H1314" s="25" t="s">
        <v>31</v>
      </c>
      <c r="I1314" s="26">
        <v>46001.616249999999</v>
      </c>
      <c r="J1314" s="25" t="s">
        <v>7625</v>
      </c>
      <c r="K1314" s="25" t="s">
        <v>32</v>
      </c>
    </row>
    <row r="1315" spans="3:11" x14ac:dyDescent="0.25">
      <c r="C1315" s="25">
        <v>23603585</v>
      </c>
      <c r="D1315" s="26">
        <v>45990.616481481484</v>
      </c>
      <c r="E1315" s="25" t="s">
        <v>27</v>
      </c>
      <c r="F1315" s="25" t="s">
        <v>28</v>
      </c>
      <c r="G1315" s="25" t="s">
        <v>29</v>
      </c>
      <c r="H1315" s="25" t="s">
        <v>31</v>
      </c>
      <c r="I1315" s="26">
        <v>46001.616481481484</v>
      </c>
      <c r="J1315" s="25" t="s">
        <v>7625</v>
      </c>
      <c r="K1315" s="25" t="s">
        <v>32</v>
      </c>
    </row>
    <row r="1316" spans="3:11" x14ac:dyDescent="0.25">
      <c r="C1316" s="25">
        <v>23603586</v>
      </c>
      <c r="D1316" s="26">
        <v>45990.616481481484</v>
      </c>
      <c r="E1316" s="25" t="s">
        <v>27</v>
      </c>
      <c r="F1316" s="25" t="s">
        <v>28</v>
      </c>
      <c r="G1316" s="25" t="s">
        <v>29</v>
      </c>
      <c r="H1316" s="25" t="s">
        <v>31</v>
      </c>
      <c r="I1316" s="26">
        <v>46001.616481481484</v>
      </c>
      <c r="J1316" s="25" t="s">
        <v>7625</v>
      </c>
      <c r="K1316" s="25" t="s">
        <v>32</v>
      </c>
    </row>
    <row r="1317" spans="3:11" x14ac:dyDescent="0.25">
      <c r="C1317" s="25">
        <v>23603587</v>
      </c>
      <c r="D1317" s="26">
        <v>45990.616724537038</v>
      </c>
      <c r="E1317" s="25" t="s">
        <v>27</v>
      </c>
      <c r="F1317" s="25" t="s">
        <v>28</v>
      </c>
      <c r="G1317" s="25" t="s">
        <v>29</v>
      </c>
      <c r="H1317" s="25" t="s">
        <v>31</v>
      </c>
      <c r="I1317" s="26">
        <v>46001.616724537038</v>
      </c>
      <c r="J1317" s="25" t="s">
        <v>4856</v>
      </c>
      <c r="K1317" s="25" t="s">
        <v>32</v>
      </c>
    </row>
    <row r="1318" spans="3:11" x14ac:dyDescent="0.25">
      <c r="C1318" s="25">
        <v>23603589</v>
      </c>
      <c r="D1318" s="26">
        <v>45990.619409722225</v>
      </c>
      <c r="E1318" s="25" t="s">
        <v>27</v>
      </c>
      <c r="F1318" s="25" t="s">
        <v>28</v>
      </c>
      <c r="G1318" s="25" t="s">
        <v>29</v>
      </c>
      <c r="H1318" s="25" t="s">
        <v>31</v>
      </c>
      <c r="I1318" s="26">
        <v>46001.619409722225</v>
      </c>
      <c r="J1318" s="25" t="s">
        <v>9834</v>
      </c>
      <c r="K1318" s="25" t="s">
        <v>32</v>
      </c>
    </row>
    <row r="1319" spans="3:11" x14ac:dyDescent="0.25">
      <c r="C1319" s="25">
        <v>23603590</v>
      </c>
      <c r="D1319" s="26">
        <v>45990.619988425926</v>
      </c>
      <c r="E1319" s="25" t="s">
        <v>27</v>
      </c>
      <c r="F1319" s="25" t="s">
        <v>28</v>
      </c>
      <c r="G1319" s="25" t="s">
        <v>29</v>
      </c>
      <c r="H1319" s="25" t="s">
        <v>31</v>
      </c>
      <c r="I1319" s="26">
        <v>46001.619988425926</v>
      </c>
      <c r="J1319" s="25" t="s">
        <v>9840</v>
      </c>
      <c r="K1319" s="25" t="s">
        <v>32</v>
      </c>
    </row>
    <row r="1320" spans="3:11" x14ac:dyDescent="0.25">
      <c r="C1320" s="25">
        <v>23603594</v>
      </c>
      <c r="D1320" s="26">
        <v>45990.622766203705</v>
      </c>
      <c r="E1320" s="25" t="s">
        <v>27</v>
      </c>
      <c r="F1320" s="25" t="s">
        <v>28</v>
      </c>
      <c r="G1320" s="25" t="s">
        <v>29</v>
      </c>
      <c r="H1320" s="25" t="s">
        <v>31</v>
      </c>
      <c r="I1320" s="26">
        <v>46001.622766203705</v>
      </c>
      <c r="J1320" s="25" t="s">
        <v>9847</v>
      </c>
      <c r="K1320" s="25" t="s">
        <v>32</v>
      </c>
    </row>
    <row r="1321" spans="3:11" x14ac:dyDescent="0.25">
      <c r="C1321" s="25">
        <v>23603595</v>
      </c>
      <c r="D1321" s="26">
        <v>45990.622974537036</v>
      </c>
      <c r="E1321" s="25" t="s">
        <v>27</v>
      </c>
      <c r="F1321" s="25" t="s">
        <v>28</v>
      </c>
      <c r="G1321" s="25" t="s">
        <v>29</v>
      </c>
      <c r="H1321" s="25" t="s">
        <v>31</v>
      </c>
      <c r="I1321" s="26">
        <v>46001.622974537036</v>
      </c>
      <c r="J1321" s="25" t="s">
        <v>9854</v>
      </c>
      <c r="K1321" s="25" t="s">
        <v>32</v>
      </c>
    </row>
    <row r="1322" spans="3:11" x14ac:dyDescent="0.25">
      <c r="C1322" s="25">
        <v>23603597</v>
      </c>
      <c r="D1322" s="26">
        <v>45990.628518518519</v>
      </c>
      <c r="E1322" s="25" t="s">
        <v>27</v>
      </c>
      <c r="F1322" s="25" t="s">
        <v>28</v>
      </c>
      <c r="G1322" s="25" t="s">
        <v>29</v>
      </c>
      <c r="H1322" s="25" t="s">
        <v>31</v>
      </c>
      <c r="I1322" s="26">
        <v>46001.628518518519</v>
      </c>
      <c r="J1322" s="25" t="s">
        <v>7446</v>
      </c>
      <c r="K1322" s="25" t="s">
        <v>32</v>
      </c>
    </row>
    <row r="1323" spans="3:11" x14ac:dyDescent="0.25">
      <c r="C1323" s="25">
        <v>23603599</v>
      </c>
      <c r="D1323" s="26">
        <v>45990.630046296297</v>
      </c>
      <c r="E1323" s="25" t="s">
        <v>27</v>
      </c>
      <c r="F1323" s="25" t="s">
        <v>28</v>
      </c>
      <c r="G1323" s="25" t="s">
        <v>29</v>
      </c>
      <c r="H1323" s="25" t="s">
        <v>31</v>
      </c>
      <c r="I1323" s="26">
        <v>46001.630046296297</v>
      </c>
      <c r="J1323" s="25" t="s">
        <v>9867</v>
      </c>
      <c r="K1323" s="25" t="s">
        <v>32</v>
      </c>
    </row>
    <row r="1324" spans="3:11" x14ac:dyDescent="0.25">
      <c r="C1324" s="25">
        <v>23603635</v>
      </c>
      <c r="D1324" s="26">
        <v>45990.925081018519</v>
      </c>
      <c r="E1324" s="25" t="s">
        <v>27</v>
      </c>
      <c r="F1324" s="25" t="s">
        <v>28</v>
      </c>
      <c r="G1324" s="25" t="s">
        <v>68</v>
      </c>
      <c r="H1324" s="25" t="s">
        <v>31</v>
      </c>
      <c r="I1324" s="26">
        <v>46003.925081018519</v>
      </c>
      <c r="J1324" s="25" t="s">
        <v>10464</v>
      </c>
      <c r="K1324" s="25" t="s">
        <v>32</v>
      </c>
    </row>
    <row r="1325" spans="3:11" x14ac:dyDescent="0.25">
      <c r="C1325" s="25">
        <v>23603744</v>
      </c>
      <c r="D1325" s="26">
        <v>45991.480393518519</v>
      </c>
      <c r="E1325" s="25" t="s">
        <v>27</v>
      </c>
      <c r="F1325" s="25" t="s">
        <v>28</v>
      </c>
      <c r="G1325" s="25" t="s">
        <v>80</v>
      </c>
      <c r="H1325" s="25" t="s">
        <v>31</v>
      </c>
      <c r="I1325" s="26">
        <v>46007.480393518519</v>
      </c>
      <c r="J1325" s="25" t="s">
        <v>9876</v>
      </c>
      <c r="K1325" s="25" t="s">
        <v>32</v>
      </c>
    </row>
    <row r="1326" spans="3:11" x14ac:dyDescent="0.25">
      <c r="C1326" s="25">
        <v>23603758</v>
      </c>
      <c r="D1326" s="26">
        <v>45991.581087962964</v>
      </c>
      <c r="E1326" s="25" t="s">
        <v>27</v>
      </c>
      <c r="F1326" s="25" t="s">
        <v>28</v>
      </c>
      <c r="G1326" s="25" t="s">
        <v>68</v>
      </c>
      <c r="H1326" s="25" t="s">
        <v>31</v>
      </c>
      <c r="I1326" s="26">
        <v>46003.581087962964</v>
      </c>
      <c r="J1326" s="25" t="s">
        <v>10474</v>
      </c>
      <c r="K1326" s="25" t="s">
        <v>32</v>
      </c>
    </row>
    <row r="1327" spans="3:11" x14ac:dyDescent="0.25">
      <c r="C1327" s="25">
        <v>23603764</v>
      </c>
      <c r="D1327" s="26">
        <v>45991.700069444443</v>
      </c>
      <c r="E1327" s="25" t="s">
        <v>27</v>
      </c>
      <c r="F1327" s="25" t="s">
        <v>28</v>
      </c>
      <c r="G1327" s="25" t="s">
        <v>68</v>
      </c>
      <c r="H1327" s="25" t="s">
        <v>31</v>
      </c>
      <c r="I1327" s="26">
        <v>46003.700069444443</v>
      </c>
      <c r="J1327" s="25" t="s">
        <v>10485</v>
      </c>
      <c r="K1327" s="25" t="s">
        <v>32</v>
      </c>
    </row>
    <row r="1328" spans="3:11" x14ac:dyDescent="0.25">
      <c r="C1328" s="25"/>
      <c r="D1328" s="26"/>
      <c r="E1328" s="25"/>
      <c r="F1328" s="25"/>
      <c r="G1328" s="25"/>
      <c r="H1328" s="25"/>
      <c r="I1328" s="26"/>
      <c r="J1328" s="25"/>
      <c r="K1328" s="25"/>
    </row>
    <row r="1329" spans="3:11" x14ac:dyDescent="0.25">
      <c r="C1329" s="25"/>
      <c r="D1329" s="26"/>
      <c r="E1329" s="25"/>
      <c r="F1329" s="25"/>
      <c r="G1329" s="25"/>
      <c r="H1329" s="25"/>
      <c r="I1329" s="26"/>
      <c r="J1329" s="25"/>
      <c r="K1329" s="25"/>
    </row>
    <row r="1330" spans="3:11" x14ac:dyDescent="0.25">
      <c r="C1330" s="25"/>
      <c r="D1330" s="26"/>
      <c r="E1330" s="25"/>
      <c r="F1330" s="25"/>
      <c r="G1330" s="25"/>
      <c r="H1330" s="25"/>
      <c r="I1330" s="26"/>
      <c r="J1330" s="25"/>
      <c r="K1330" s="25"/>
    </row>
    <row r="1331" spans="3:11" x14ac:dyDescent="0.25">
      <c r="C1331" s="25"/>
      <c r="D1331" s="26"/>
      <c r="E1331" s="25"/>
      <c r="F1331" s="25"/>
      <c r="G1331" s="25"/>
      <c r="H1331" s="25"/>
      <c r="I1331" s="26"/>
      <c r="J1331" s="25"/>
      <c r="K1331" s="25"/>
    </row>
    <row r="1332" spans="3:11" x14ac:dyDescent="0.25">
      <c r="C1332" s="25"/>
      <c r="D1332" s="26"/>
      <c r="E1332" s="25"/>
      <c r="F1332" s="25"/>
      <c r="G1332" s="25"/>
      <c r="H1332" s="25"/>
      <c r="I1332" s="26"/>
      <c r="J1332" s="25"/>
      <c r="K1332" s="25"/>
    </row>
    <row r="1333" spans="3:11" x14ac:dyDescent="0.25">
      <c r="C1333" s="25"/>
      <c r="D1333" s="26"/>
      <c r="E1333" s="25"/>
      <c r="F1333" s="25"/>
      <c r="G1333" s="25"/>
      <c r="H1333" s="25"/>
      <c r="I1333" s="26"/>
      <c r="J1333" s="25"/>
      <c r="K1333" s="25"/>
    </row>
    <row r="1334" spans="3:11" x14ac:dyDescent="0.25">
      <c r="C1334" s="25"/>
      <c r="D1334" s="26"/>
      <c r="E1334" s="25"/>
      <c r="F1334" s="25"/>
      <c r="G1334" s="25"/>
      <c r="H1334" s="25"/>
      <c r="I1334" s="26"/>
      <c r="J1334" s="25"/>
      <c r="K1334" s="25"/>
    </row>
    <row r="1335" spans="3:11" x14ac:dyDescent="0.25">
      <c r="C1335" s="25"/>
      <c r="D1335" s="26"/>
      <c r="E1335" s="25"/>
      <c r="F1335" s="25"/>
      <c r="G1335" s="25"/>
      <c r="H1335" s="25"/>
      <c r="I1335" s="26"/>
      <c r="J1335" s="25"/>
      <c r="K1335" s="25"/>
    </row>
    <row r="1336" spans="3:11" x14ac:dyDescent="0.25">
      <c r="C1336" s="25"/>
      <c r="D1336" s="26"/>
      <c r="E1336" s="25"/>
      <c r="F1336" s="25"/>
      <c r="G1336" s="25"/>
      <c r="H1336" s="25"/>
      <c r="I1336" s="26"/>
      <c r="J1336" s="25"/>
      <c r="K1336" s="25"/>
    </row>
    <row r="1337" spans="3:11" x14ac:dyDescent="0.25">
      <c r="C1337" s="25"/>
      <c r="D1337" s="26"/>
      <c r="E1337" s="25"/>
      <c r="F1337" s="25"/>
      <c r="G1337" s="25"/>
      <c r="H1337" s="25"/>
      <c r="I1337" s="26"/>
      <c r="J1337" s="25"/>
      <c r="K1337" s="25"/>
    </row>
    <row r="1338" spans="3:11" x14ac:dyDescent="0.25">
      <c r="C1338" s="25"/>
      <c r="D1338" s="26"/>
      <c r="E1338" s="25"/>
      <c r="F1338" s="25"/>
      <c r="G1338" s="25"/>
      <c r="H1338" s="25"/>
      <c r="I1338" s="26"/>
      <c r="J1338" s="25"/>
      <c r="K1338" s="25"/>
    </row>
    <row r="1339" spans="3:11" x14ac:dyDescent="0.25">
      <c r="C1339" s="25"/>
      <c r="D1339" s="26"/>
      <c r="E1339" s="25"/>
      <c r="F1339" s="25"/>
      <c r="G1339" s="25"/>
      <c r="H1339" s="25"/>
      <c r="I1339" s="26"/>
      <c r="J1339" s="25"/>
      <c r="K1339" s="25"/>
    </row>
    <row r="1340" spans="3:11" x14ac:dyDescent="0.25">
      <c r="C1340" s="25"/>
      <c r="D1340" s="26"/>
      <c r="E1340" s="25"/>
      <c r="F1340" s="25"/>
      <c r="G1340" s="25"/>
      <c r="H1340" s="25"/>
      <c r="I1340" s="26"/>
      <c r="J1340" s="25"/>
      <c r="K1340" s="25"/>
    </row>
    <row r="1341" spans="3:11" x14ac:dyDescent="0.25">
      <c r="C1341" s="25"/>
      <c r="D1341" s="26"/>
      <c r="E1341" s="25"/>
      <c r="F1341" s="25"/>
      <c r="G1341" s="25"/>
      <c r="H1341" s="25"/>
      <c r="I1341" s="26"/>
      <c r="J1341" s="25"/>
      <c r="K1341" s="25"/>
    </row>
    <row r="1342" spans="3:11" x14ac:dyDescent="0.25">
      <c r="C1342" s="25"/>
      <c r="D1342" s="26"/>
      <c r="E1342" s="25"/>
      <c r="F1342" s="25"/>
      <c r="G1342" s="25"/>
      <c r="H1342" s="25"/>
      <c r="I1342" s="26"/>
      <c r="J1342" s="25"/>
      <c r="K1342" s="25"/>
    </row>
    <row r="1343" spans="3:11" x14ac:dyDescent="0.25">
      <c r="C1343" s="25"/>
      <c r="D1343" s="26"/>
      <c r="E1343" s="25"/>
      <c r="F1343" s="25"/>
      <c r="G1343" s="25"/>
      <c r="H1343" s="25"/>
      <c r="I1343" s="26"/>
      <c r="J1343" s="25"/>
      <c r="K1343" s="25"/>
    </row>
    <row r="1344" spans="3:11" x14ac:dyDescent="0.25">
      <c r="C1344" s="25"/>
      <c r="D1344" s="26"/>
      <c r="E1344" s="25"/>
      <c r="F1344" s="25"/>
      <c r="G1344" s="25"/>
      <c r="H1344" s="25"/>
      <c r="I1344" s="26"/>
      <c r="J1344" s="25"/>
      <c r="K1344" s="25"/>
    </row>
    <row r="1345" spans="3:11" x14ac:dyDescent="0.25">
      <c r="C1345" s="25"/>
      <c r="D1345" s="26"/>
      <c r="E1345" s="25"/>
      <c r="F1345" s="25"/>
      <c r="G1345" s="25"/>
      <c r="H1345" s="25"/>
      <c r="I1345" s="26"/>
      <c r="J1345" s="25"/>
      <c r="K1345" s="25"/>
    </row>
    <row r="1346" spans="3:11" x14ac:dyDescent="0.25">
      <c r="C1346" s="25"/>
      <c r="D1346" s="26"/>
      <c r="E1346" s="25"/>
      <c r="F1346" s="25"/>
      <c r="G1346" s="25"/>
      <c r="H1346" s="25"/>
      <c r="I1346" s="26"/>
      <c r="J1346" s="25"/>
      <c r="K1346" s="25"/>
    </row>
    <row r="1347" spans="3:11" x14ac:dyDescent="0.25">
      <c r="C1347" s="25"/>
      <c r="D1347" s="26"/>
      <c r="E1347" s="25"/>
      <c r="F1347" s="25"/>
      <c r="G1347" s="25"/>
      <c r="H1347" s="25"/>
      <c r="I1347" s="26"/>
      <c r="J1347" s="25"/>
      <c r="K1347" s="25"/>
    </row>
    <row r="1348" spans="3:11" x14ac:dyDescent="0.25">
      <c r="C1348" s="25"/>
      <c r="D1348" s="26"/>
      <c r="E1348" s="25"/>
      <c r="F1348" s="25"/>
      <c r="G1348" s="25"/>
      <c r="H1348" s="25"/>
      <c r="I1348" s="26"/>
      <c r="J1348" s="25"/>
      <c r="K1348" s="25"/>
    </row>
    <row r="1349" spans="3:11" x14ac:dyDescent="0.25">
      <c r="C1349" s="25"/>
      <c r="D1349" s="26"/>
      <c r="E1349" s="25"/>
      <c r="F1349" s="25"/>
      <c r="G1349" s="25"/>
      <c r="H1349" s="25"/>
      <c r="I1349" s="26"/>
      <c r="J1349" s="25"/>
      <c r="K1349" s="25"/>
    </row>
    <row r="1350" spans="3:11" x14ac:dyDescent="0.25">
      <c r="C1350" s="25"/>
      <c r="D1350" s="26"/>
      <c r="E1350" s="25"/>
      <c r="F1350" s="25"/>
      <c r="G1350" s="25"/>
      <c r="H1350" s="25"/>
      <c r="I1350" s="26"/>
      <c r="J1350" s="25"/>
      <c r="K1350" s="25"/>
    </row>
    <row r="1351" spans="3:11" x14ac:dyDescent="0.25">
      <c r="C1351" s="25"/>
      <c r="D1351" s="26"/>
      <c r="E1351" s="25"/>
      <c r="F1351" s="25"/>
      <c r="G1351" s="25"/>
      <c r="H1351" s="25"/>
      <c r="I1351" s="26"/>
      <c r="J1351" s="25"/>
      <c r="K1351" s="25"/>
    </row>
    <row r="1352" spans="3:11" x14ac:dyDescent="0.25">
      <c r="C1352" s="25"/>
      <c r="D1352" s="26"/>
      <c r="E1352" s="25"/>
      <c r="F1352" s="25"/>
      <c r="G1352" s="25"/>
      <c r="H1352" s="25"/>
      <c r="I1352" s="26"/>
      <c r="J1352" s="25"/>
      <c r="K1352" s="25"/>
    </row>
    <row r="1353" spans="3:11" x14ac:dyDescent="0.25">
      <c r="C1353" s="25"/>
      <c r="D1353" s="26"/>
      <c r="E1353" s="25"/>
      <c r="F1353" s="25"/>
      <c r="G1353" s="25"/>
      <c r="H1353" s="25"/>
      <c r="I1353" s="26"/>
      <c r="J1353" s="25"/>
      <c r="K1353" s="25"/>
    </row>
    <row r="1354" spans="3:11" x14ac:dyDescent="0.25">
      <c r="C1354" s="25"/>
      <c r="D1354" s="26"/>
      <c r="E1354" s="25"/>
      <c r="F1354" s="25"/>
      <c r="G1354" s="25"/>
      <c r="H1354" s="25"/>
      <c r="I1354" s="26"/>
      <c r="J1354" s="25"/>
      <c r="K1354" s="25"/>
    </row>
    <row r="1355" spans="3:11" x14ac:dyDescent="0.25">
      <c r="C1355" s="25"/>
      <c r="D1355" s="26"/>
      <c r="E1355" s="25"/>
      <c r="F1355" s="25"/>
      <c r="G1355" s="25"/>
      <c r="H1355" s="25"/>
      <c r="I1355" s="26"/>
      <c r="J1355" s="25"/>
      <c r="K1355" s="25"/>
    </row>
    <row r="1356" spans="3:11" x14ac:dyDescent="0.25">
      <c r="C1356" s="25"/>
      <c r="D1356" s="26"/>
      <c r="E1356" s="25"/>
      <c r="F1356" s="25"/>
      <c r="G1356" s="25"/>
      <c r="H1356" s="25"/>
      <c r="I1356" s="26"/>
      <c r="J1356" s="25"/>
      <c r="K1356" s="25"/>
    </row>
    <row r="1357" spans="3:11" x14ac:dyDescent="0.25">
      <c r="C1357" s="25"/>
      <c r="D1357" s="26"/>
      <c r="E1357" s="25"/>
      <c r="F1357" s="25"/>
      <c r="G1357" s="25"/>
      <c r="H1357" s="25"/>
      <c r="I1357" s="26"/>
      <c r="J1357" s="25"/>
      <c r="K1357" s="25"/>
    </row>
    <row r="1358" spans="3:11" x14ac:dyDescent="0.25">
      <c r="C1358" s="25"/>
      <c r="D1358" s="26"/>
      <c r="E1358" s="25"/>
      <c r="F1358" s="25"/>
      <c r="G1358" s="25"/>
      <c r="H1358" s="25"/>
      <c r="I1358" s="26"/>
      <c r="J1358" s="25"/>
      <c r="K1358" s="25"/>
    </row>
    <row r="1359" spans="3:11" x14ac:dyDescent="0.25">
      <c r="C1359" s="25"/>
      <c r="D1359" s="26"/>
      <c r="E1359" s="25"/>
      <c r="F1359" s="25"/>
      <c r="G1359" s="25"/>
      <c r="H1359" s="25"/>
      <c r="I1359" s="26"/>
      <c r="J1359" s="25"/>
      <c r="K1359" s="25"/>
    </row>
    <row r="1360" spans="3:11" x14ac:dyDescent="0.25">
      <c r="C1360" s="25"/>
      <c r="D1360" s="26"/>
      <c r="E1360" s="25"/>
      <c r="F1360" s="25"/>
      <c r="G1360" s="25"/>
      <c r="H1360" s="25"/>
      <c r="I1360" s="26"/>
      <c r="J1360" s="25"/>
      <c r="K1360" s="25"/>
    </row>
    <row r="1361" spans="3:11" x14ac:dyDescent="0.25">
      <c r="C1361" s="25"/>
      <c r="D1361" s="26"/>
      <c r="E1361" s="25"/>
      <c r="F1361" s="25"/>
      <c r="G1361" s="25"/>
      <c r="H1361" s="25"/>
      <c r="I1361" s="26"/>
      <c r="J1361" s="25"/>
      <c r="K1361" s="25"/>
    </row>
    <row r="1362" spans="3:11" x14ac:dyDescent="0.25">
      <c r="C1362" s="25"/>
      <c r="D1362" s="26"/>
      <c r="E1362" s="25"/>
      <c r="F1362" s="25"/>
      <c r="G1362" s="25"/>
      <c r="H1362" s="25"/>
      <c r="I1362" s="26"/>
      <c r="J1362" s="25"/>
      <c r="K1362" s="25"/>
    </row>
    <row r="1363" spans="3:11" x14ac:dyDescent="0.25">
      <c r="C1363" s="25"/>
      <c r="D1363" s="26"/>
      <c r="E1363" s="25"/>
      <c r="F1363" s="25"/>
      <c r="G1363" s="25"/>
      <c r="H1363" s="25"/>
      <c r="I1363" s="26"/>
      <c r="J1363" s="25"/>
      <c r="K1363" s="25"/>
    </row>
    <row r="1364" spans="3:11" x14ac:dyDescent="0.25">
      <c r="C1364" s="25"/>
      <c r="D1364" s="26"/>
      <c r="E1364" s="25"/>
      <c r="F1364" s="25"/>
      <c r="G1364" s="25"/>
      <c r="H1364" s="25"/>
      <c r="I1364" s="26"/>
      <c r="J1364" s="25"/>
      <c r="K1364" s="25"/>
    </row>
    <row r="1365" spans="3:11" x14ac:dyDescent="0.25">
      <c r="C1365" s="25"/>
      <c r="D1365" s="26"/>
      <c r="E1365" s="25"/>
      <c r="F1365" s="25"/>
      <c r="G1365" s="25"/>
      <c r="H1365" s="25"/>
      <c r="I1365" s="26"/>
      <c r="J1365" s="25"/>
      <c r="K1365" s="25"/>
    </row>
    <row r="1366" spans="3:11" x14ac:dyDescent="0.25">
      <c r="C1366" s="25"/>
      <c r="D1366" s="26"/>
      <c r="E1366" s="25"/>
      <c r="F1366" s="25"/>
      <c r="G1366" s="25"/>
      <c r="H1366" s="25"/>
      <c r="I1366" s="26"/>
      <c r="J1366" s="25"/>
      <c r="K1366" s="25"/>
    </row>
    <row r="1367" spans="3:11" x14ac:dyDescent="0.25">
      <c r="C1367" s="25"/>
      <c r="D1367" s="26"/>
      <c r="E1367" s="25"/>
      <c r="F1367" s="25"/>
      <c r="G1367" s="25"/>
      <c r="H1367" s="25"/>
      <c r="I1367" s="26"/>
      <c r="J1367" s="25"/>
      <c r="K1367" s="25"/>
    </row>
    <row r="1368" spans="3:11" x14ac:dyDescent="0.25">
      <c r="C1368" s="25"/>
      <c r="D1368" s="26"/>
      <c r="E1368" s="25"/>
      <c r="F1368" s="25"/>
      <c r="G1368" s="25"/>
      <c r="H1368" s="25"/>
      <c r="I1368" s="26"/>
      <c r="J1368" s="25"/>
      <c r="K1368" s="25"/>
    </row>
    <row r="1369" spans="3:11" x14ac:dyDescent="0.25">
      <c r="C1369" s="25"/>
      <c r="D1369" s="26"/>
      <c r="E1369" s="25"/>
      <c r="F1369" s="25"/>
      <c r="G1369" s="25"/>
      <c r="H1369" s="25"/>
      <c r="I1369" s="26"/>
      <c r="J1369" s="25"/>
      <c r="K1369" s="25"/>
    </row>
    <row r="1370" spans="3:11" x14ac:dyDescent="0.25">
      <c r="C1370" s="25"/>
      <c r="D1370" s="26"/>
      <c r="E1370" s="25"/>
      <c r="F1370" s="25"/>
      <c r="G1370" s="25"/>
      <c r="H1370" s="25"/>
      <c r="I1370" s="26"/>
      <c r="J1370" s="25"/>
      <c r="K1370" s="25"/>
    </row>
    <row r="1371" spans="3:11" x14ac:dyDescent="0.25">
      <c r="C1371" s="25"/>
      <c r="D1371" s="26"/>
      <c r="E1371" s="25"/>
      <c r="F1371" s="25"/>
      <c r="G1371" s="25"/>
      <c r="H1371" s="25"/>
      <c r="I1371" s="26"/>
      <c r="J1371" s="25"/>
      <c r="K1371" s="25"/>
    </row>
    <row r="1372" spans="3:11" x14ac:dyDescent="0.25">
      <c r="C1372" s="25"/>
      <c r="D1372" s="26"/>
      <c r="E1372" s="25"/>
      <c r="F1372" s="25"/>
      <c r="G1372" s="25"/>
      <c r="H1372" s="25"/>
      <c r="I1372" s="26"/>
      <c r="J1372" s="25"/>
      <c r="K1372" s="25"/>
    </row>
    <row r="1373" spans="3:11" x14ac:dyDescent="0.25">
      <c r="C1373" s="25"/>
      <c r="D1373" s="26"/>
      <c r="E1373" s="25"/>
      <c r="F1373" s="25"/>
      <c r="G1373" s="25"/>
      <c r="H1373" s="25"/>
      <c r="I1373" s="26"/>
      <c r="J1373" s="25"/>
      <c r="K1373" s="25"/>
    </row>
    <row r="1374" spans="3:11" x14ac:dyDescent="0.25">
      <c r="C1374" s="25"/>
      <c r="D1374" s="26"/>
      <c r="E1374" s="25"/>
      <c r="F1374" s="25"/>
      <c r="G1374" s="25"/>
      <c r="H1374" s="25"/>
      <c r="I1374" s="26"/>
      <c r="J1374" s="25"/>
      <c r="K1374" s="25"/>
    </row>
    <row r="1375" spans="3:11" x14ac:dyDescent="0.25">
      <c r="C1375" s="25"/>
      <c r="D1375" s="26"/>
      <c r="E1375" s="25"/>
      <c r="F1375" s="25"/>
      <c r="G1375" s="25"/>
      <c r="H1375" s="25"/>
      <c r="I1375" s="26"/>
      <c r="J1375" s="25"/>
      <c r="K1375" s="25"/>
    </row>
    <row r="1376" spans="3:11" x14ac:dyDescent="0.25">
      <c r="C1376" s="25"/>
      <c r="D1376" s="26"/>
      <c r="E1376" s="25"/>
      <c r="F1376" s="25"/>
      <c r="G1376" s="25"/>
      <c r="H1376" s="25"/>
      <c r="I1376" s="26"/>
      <c r="J1376" s="25"/>
      <c r="K1376" s="25"/>
    </row>
    <row r="1377" spans="3:11" x14ac:dyDescent="0.25">
      <c r="C1377" s="25"/>
      <c r="D1377" s="26"/>
      <c r="E1377" s="25"/>
      <c r="F1377" s="25"/>
      <c r="G1377" s="25"/>
      <c r="H1377" s="25"/>
      <c r="I1377" s="26"/>
      <c r="J1377" s="25"/>
      <c r="K1377" s="25"/>
    </row>
    <row r="1378" spans="3:11" x14ac:dyDescent="0.25">
      <c r="C1378" s="25"/>
      <c r="D1378" s="26"/>
      <c r="E1378" s="25"/>
      <c r="F1378" s="25"/>
      <c r="G1378" s="25"/>
      <c r="H1378" s="25"/>
      <c r="I1378" s="26"/>
      <c r="J1378" s="25"/>
      <c r="K1378" s="25"/>
    </row>
    <row r="1379" spans="3:11" x14ac:dyDescent="0.25">
      <c r="C1379" s="25"/>
      <c r="D1379" s="26"/>
      <c r="E1379" s="25"/>
      <c r="F1379" s="25"/>
      <c r="G1379" s="25"/>
      <c r="H1379" s="25"/>
      <c r="I1379" s="26"/>
      <c r="J1379" s="25"/>
      <c r="K1379" s="25"/>
    </row>
    <row r="1380" spans="3:11" x14ac:dyDescent="0.25">
      <c r="C1380" s="25"/>
      <c r="D1380" s="26"/>
      <c r="E1380" s="25"/>
      <c r="F1380" s="25"/>
      <c r="G1380" s="25"/>
      <c r="H1380" s="25"/>
      <c r="I1380" s="26"/>
      <c r="J1380" s="25"/>
      <c r="K1380" s="25"/>
    </row>
    <row r="1381" spans="3:11" x14ac:dyDescent="0.25">
      <c r="C1381" s="25"/>
      <c r="D1381" s="26"/>
      <c r="E1381" s="25"/>
      <c r="F1381" s="25"/>
      <c r="G1381" s="25"/>
      <c r="H1381" s="25"/>
      <c r="I1381" s="26"/>
      <c r="J1381" s="25"/>
      <c r="K1381" s="25"/>
    </row>
    <row r="1382" spans="3:11" x14ac:dyDescent="0.25">
      <c r="C1382" s="25"/>
      <c r="D1382" s="26"/>
      <c r="E1382" s="25"/>
      <c r="F1382" s="25"/>
      <c r="G1382" s="25"/>
      <c r="H1382" s="25"/>
      <c r="I1382" s="26"/>
      <c r="J1382" s="25"/>
      <c r="K1382" s="25"/>
    </row>
    <row r="1383" spans="3:11" x14ac:dyDescent="0.25">
      <c r="C1383" s="25"/>
      <c r="D1383" s="26"/>
      <c r="E1383" s="25"/>
      <c r="F1383" s="25"/>
      <c r="G1383" s="25"/>
      <c r="H1383" s="25"/>
      <c r="I1383" s="26"/>
      <c r="J1383" s="25"/>
      <c r="K1383" s="25"/>
    </row>
    <row r="1384" spans="3:11" x14ac:dyDescent="0.25">
      <c r="C1384" s="25"/>
      <c r="D1384" s="26"/>
      <c r="E1384" s="25"/>
      <c r="F1384" s="25"/>
      <c r="G1384" s="25"/>
      <c r="H1384" s="25"/>
      <c r="I1384" s="26"/>
      <c r="J1384" s="25"/>
      <c r="K1384" s="25"/>
    </row>
    <row r="1385" spans="3:11" x14ac:dyDescent="0.25">
      <c r="C1385" s="25"/>
      <c r="D1385" s="26"/>
      <c r="E1385" s="25"/>
      <c r="F1385" s="25"/>
      <c r="G1385" s="25"/>
      <c r="H1385" s="25"/>
      <c r="I1385" s="26"/>
      <c r="J1385" s="25"/>
      <c r="K1385" s="25"/>
    </row>
    <row r="1386" spans="3:11" x14ac:dyDescent="0.25">
      <c r="C1386" s="25"/>
      <c r="D1386" s="26"/>
      <c r="E1386" s="25"/>
      <c r="F1386" s="25"/>
      <c r="G1386" s="25"/>
      <c r="H1386" s="25"/>
      <c r="I1386" s="26"/>
      <c r="J1386" s="25"/>
      <c r="K1386" s="25"/>
    </row>
    <row r="1387" spans="3:11" x14ac:dyDescent="0.25">
      <c r="C1387" s="25"/>
      <c r="D1387" s="26"/>
      <c r="E1387" s="25"/>
      <c r="F1387" s="25"/>
      <c r="G1387" s="25"/>
      <c r="H1387" s="25"/>
      <c r="I1387" s="26"/>
      <c r="J1387" s="25"/>
      <c r="K1387" s="25"/>
    </row>
    <row r="1388" spans="3:11" x14ac:dyDescent="0.25">
      <c r="C1388" s="25"/>
      <c r="D1388" s="26"/>
      <c r="E1388" s="25"/>
      <c r="F1388" s="25"/>
      <c r="G1388" s="25"/>
      <c r="H1388" s="25"/>
      <c r="I1388" s="26"/>
      <c r="J1388" s="25"/>
      <c r="K1388" s="25"/>
    </row>
    <row r="1389" spans="3:11" x14ac:dyDescent="0.25">
      <c r="C1389" s="25"/>
      <c r="D1389" s="26"/>
      <c r="E1389" s="25"/>
      <c r="F1389" s="25"/>
      <c r="G1389" s="25"/>
      <c r="H1389" s="25"/>
      <c r="I1389" s="26"/>
      <c r="J1389" s="25"/>
      <c r="K1389" s="25"/>
    </row>
    <row r="1390" spans="3:11" x14ac:dyDescent="0.25">
      <c r="C1390" s="25"/>
      <c r="D1390" s="26"/>
      <c r="E1390" s="25"/>
      <c r="F1390" s="25"/>
      <c r="G1390" s="25"/>
      <c r="H1390" s="25"/>
      <c r="I1390" s="26"/>
      <c r="J1390" s="25"/>
      <c r="K1390" s="25"/>
    </row>
    <row r="1391" spans="3:11" x14ac:dyDescent="0.25">
      <c r="C1391" s="25"/>
      <c r="D1391" s="26"/>
      <c r="E1391" s="25"/>
      <c r="F1391" s="25"/>
      <c r="G1391" s="25"/>
      <c r="H1391" s="25"/>
      <c r="I1391" s="26"/>
      <c r="J1391" s="25"/>
      <c r="K1391" s="25"/>
    </row>
    <row r="1392" spans="3:11" x14ac:dyDescent="0.25">
      <c r="C1392" s="25"/>
      <c r="D1392" s="26"/>
      <c r="E1392" s="25"/>
      <c r="F1392" s="25"/>
      <c r="G1392" s="25"/>
      <c r="H1392" s="25"/>
      <c r="I1392" s="26"/>
      <c r="J1392" s="25"/>
      <c r="K1392" s="25"/>
    </row>
    <row r="1393" spans="3:11" x14ac:dyDescent="0.25">
      <c r="C1393" s="25"/>
      <c r="D1393" s="26"/>
      <c r="E1393" s="25"/>
      <c r="F1393" s="25"/>
      <c r="G1393" s="25"/>
      <c r="H1393" s="25"/>
      <c r="I1393" s="26"/>
      <c r="J1393" s="25"/>
      <c r="K1393" s="25"/>
    </row>
    <row r="1394" spans="3:11" x14ac:dyDescent="0.25">
      <c r="C1394" s="25"/>
      <c r="D1394" s="26"/>
      <c r="E1394" s="25"/>
      <c r="F1394" s="25"/>
      <c r="G1394" s="25"/>
      <c r="H1394" s="25"/>
      <c r="I1394" s="26"/>
      <c r="J1394" s="25"/>
      <c r="K1394" s="25"/>
    </row>
    <row r="1395" spans="3:11" x14ac:dyDescent="0.25">
      <c r="C1395" s="25"/>
      <c r="D1395" s="26"/>
      <c r="E1395" s="25"/>
      <c r="F1395" s="25"/>
      <c r="G1395" s="25"/>
      <c r="H1395" s="25"/>
      <c r="I1395" s="26"/>
      <c r="J1395" s="25"/>
      <c r="K1395" s="25"/>
    </row>
    <row r="1396" spans="3:11" x14ac:dyDescent="0.25">
      <c r="C1396" s="25"/>
      <c r="D1396" s="26"/>
      <c r="E1396" s="25"/>
      <c r="F1396" s="25"/>
      <c r="G1396" s="25"/>
      <c r="H1396" s="25"/>
      <c r="I1396" s="26"/>
      <c r="J1396" s="25"/>
      <c r="K1396" s="25"/>
    </row>
    <row r="1397" spans="3:11" x14ac:dyDescent="0.25">
      <c r="C1397" s="25"/>
      <c r="D1397" s="26"/>
      <c r="E1397" s="25"/>
      <c r="F1397" s="25"/>
      <c r="G1397" s="25"/>
      <c r="H1397" s="25"/>
      <c r="I1397" s="26"/>
      <c r="J1397" s="25"/>
      <c r="K1397" s="25"/>
    </row>
    <row r="1398" spans="3:11" x14ac:dyDescent="0.25">
      <c r="C1398" s="25"/>
      <c r="D1398" s="26"/>
      <c r="E1398" s="25"/>
      <c r="F1398" s="25"/>
      <c r="G1398" s="25"/>
      <c r="H1398" s="25"/>
      <c r="I1398" s="26"/>
      <c r="J1398" s="25"/>
      <c r="K1398" s="25"/>
    </row>
    <row r="1399" spans="3:11" x14ac:dyDescent="0.25">
      <c r="C1399" s="25"/>
      <c r="D1399" s="26"/>
      <c r="E1399" s="25"/>
      <c r="F1399" s="25"/>
      <c r="G1399" s="25"/>
      <c r="H1399" s="25"/>
      <c r="I1399" s="26"/>
      <c r="J1399" s="25"/>
      <c r="K1399" s="25"/>
    </row>
    <row r="1400" spans="3:11" x14ac:dyDescent="0.25">
      <c r="C1400" s="25"/>
      <c r="D1400" s="26"/>
      <c r="E1400" s="25"/>
      <c r="F1400" s="25"/>
      <c r="G1400" s="25"/>
      <c r="H1400" s="25"/>
      <c r="I1400" s="26"/>
      <c r="J1400" s="25"/>
      <c r="K1400" s="25"/>
    </row>
    <row r="1401" spans="3:11" x14ac:dyDescent="0.25">
      <c r="C1401" s="25"/>
      <c r="D1401" s="26"/>
      <c r="E1401" s="25"/>
      <c r="F1401" s="25"/>
      <c r="G1401" s="25"/>
      <c r="H1401" s="25"/>
      <c r="I1401" s="26"/>
      <c r="J1401" s="25"/>
      <c r="K1401" s="25"/>
    </row>
    <row r="1402" spans="3:11" x14ac:dyDescent="0.25">
      <c r="C1402" s="25"/>
      <c r="D1402" s="26"/>
      <c r="E1402" s="25"/>
      <c r="F1402" s="25"/>
      <c r="G1402" s="25"/>
      <c r="H1402" s="25"/>
      <c r="I1402" s="26"/>
      <c r="J1402" s="25"/>
      <c r="K1402" s="25"/>
    </row>
    <row r="1403" spans="3:11" x14ac:dyDescent="0.25">
      <c r="C1403" s="25"/>
      <c r="D1403" s="26"/>
      <c r="E1403" s="25"/>
      <c r="F1403" s="25"/>
      <c r="G1403" s="25"/>
      <c r="H1403" s="25"/>
      <c r="I1403" s="26"/>
      <c r="J1403" s="25"/>
      <c r="K1403" s="25"/>
    </row>
    <row r="1404" spans="3:11" x14ac:dyDescent="0.25">
      <c r="C1404" s="25"/>
      <c r="D1404" s="26"/>
      <c r="E1404" s="25"/>
      <c r="F1404" s="25"/>
      <c r="G1404" s="25"/>
      <c r="H1404" s="25"/>
      <c r="I1404" s="26"/>
      <c r="J1404" s="25"/>
      <c r="K1404" s="25"/>
    </row>
    <row r="1405" spans="3:11" x14ac:dyDescent="0.25">
      <c r="C1405" s="25"/>
      <c r="D1405" s="26"/>
      <c r="E1405" s="25"/>
      <c r="F1405" s="25"/>
      <c r="G1405" s="25"/>
      <c r="H1405" s="25"/>
      <c r="I1405" s="26"/>
      <c r="J1405" s="25"/>
      <c r="K1405" s="25"/>
    </row>
    <row r="1406" spans="3:11" x14ac:dyDescent="0.25">
      <c r="C1406" s="25"/>
      <c r="D1406" s="26"/>
      <c r="E1406" s="25"/>
      <c r="F1406" s="25"/>
      <c r="G1406" s="25"/>
      <c r="H1406" s="25"/>
      <c r="I1406" s="26"/>
      <c r="J1406" s="25"/>
      <c r="K1406" s="25"/>
    </row>
    <row r="1407" spans="3:11" x14ac:dyDescent="0.25">
      <c r="C1407" s="25"/>
      <c r="D1407" s="26"/>
      <c r="E1407" s="25"/>
      <c r="F1407" s="25"/>
      <c r="G1407" s="25"/>
      <c r="H1407" s="25"/>
      <c r="I1407" s="26"/>
      <c r="J1407" s="25"/>
      <c r="K1407" s="25"/>
    </row>
    <row r="1408" spans="3:11" x14ac:dyDescent="0.25">
      <c r="C1408" s="25"/>
      <c r="D1408" s="26"/>
      <c r="E1408" s="25"/>
      <c r="F1408" s="25"/>
      <c r="G1408" s="25"/>
      <c r="H1408" s="25"/>
      <c r="I1408" s="26"/>
      <c r="J1408" s="25"/>
      <c r="K1408" s="25"/>
    </row>
    <row r="1409" spans="3:11" x14ac:dyDescent="0.25">
      <c r="C1409" s="25"/>
      <c r="D1409" s="26"/>
      <c r="E1409" s="25"/>
      <c r="F1409" s="25"/>
      <c r="G1409" s="25"/>
      <c r="H1409" s="25"/>
      <c r="I1409" s="26"/>
      <c r="J1409" s="25"/>
      <c r="K1409" s="25"/>
    </row>
    <row r="1410" spans="3:11" x14ac:dyDescent="0.25">
      <c r="C1410" s="25"/>
      <c r="D1410" s="26"/>
      <c r="E1410" s="25"/>
      <c r="F1410" s="25"/>
      <c r="G1410" s="25"/>
      <c r="H1410" s="25"/>
      <c r="I1410" s="26"/>
      <c r="J1410" s="25"/>
      <c r="K1410" s="25"/>
    </row>
    <row r="1411" spans="3:11" x14ac:dyDescent="0.25">
      <c r="C1411" s="25"/>
      <c r="D1411" s="26"/>
      <c r="E1411" s="25"/>
      <c r="F1411" s="25"/>
      <c r="G1411" s="25"/>
      <c r="H1411" s="25"/>
      <c r="I1411" s="26"/>
      <c r="J1411" s="25"/>
      <c r="K1411" s="25"/>
    </row>
    <row r="1412" spans="3:11" x14ac:dyDescent="0.25">
      <c r="C1412" s="25"/>
      <c r="D1412" s="26"/>
      <c r="E1412" s="25"/>
      <c r="F1412" s="25"/>
      <c r="G1412" s="25"/>
      <c r="H1412" s="25"/>
      <c r="I1412" s="26"/>
      <c r="J1412" s="25"/>
      <c r="K1412" s="25"/>
    </row>
    <row r="1413" spans="3:11" x14ac:dyDescent="0.25">
      <c r="C1413" s="25"/>
      <c r="D1413" s="26"/>
      <c r="E1413" s="25"/>
      <c r="F1413" s="25"/>
      <c r="G1413" s="25"/>
      <c r="H1413" s="25"/>
      <c r="I1413" s="26"/>
      <c r="J1413" s="25"/>
      <c r="K1413" s="25"/>
    </row>
    <row r="1414" spans="3:11" x14ac:dyDescent="0.25">
      <c r="C1414" s="25"/>
      <c r="D1414" s="26"/>
      <c r="E1414" s="25"/>
      <c r="F1414" s="25"/>
      <c r="G1414" s="25"/>
      <c r="H1414" s="25"/>
      <c r="I1414" s="26"/>
      <c r="J1414" s="25"/>
      <c r="K1414" s="25"/>
    </row>
    <row r="1415" spans="3:11" x14ac:dyDescent="0.25">
      <c r="C1415" s="25"/>
      <c r="D1415" s="26"/>
      <c r="E1415" s="25"/>
      <c r="F1415" s="25"/>
      <c r="G1415" s="25"/>
      <c r="H1415" s="25"/>
      <c r="I1415" s="26"/>
      <c r="J1415" s="25"/>
      <c r="K1415" s="25"/>
    </row>
    <row r="1416" spans="3:11" x14ac:dyDescent="0.25">
      <c r="C1416" s="25"/>
      <c r="D1416" s="26"/>
      <c r="E1416" s="25"/>
      <c r="F1416" s="25"/>
      <c r="G1416" s="25"/>
      <c r="H1416" s="25"/>
      <c r="I1416" s="26"/>
      <c r="J1416" s="25"/>
      <c r="K1416" s="25"/>
    </row>
    <row r="1417" spans="3:11" x14ac:dyDescent="0.25">
      <c r="C1417" s="25"/>
      <c r="D1417" s="26"/>
      <c r="E1417" s="25"/>
      <c r="F1417" s="25"/>
      <c r="G1417" s="25"/>
      <c r="H1417" s="25"/>
      <c r="I1417" s="26"/>
      <c r="J1417" s="25"/>
      <c r="K1417" s="25"/>
    </row>
    <row r="1418" spans="3:11" x14ac:dyDescent="0.25">
      <c r="C1418" s="25"/>
      <c r="D1418" s="26"/>
      <c r="E1418" s="25"/>
      <c r="F1418" s="25"/>
      <c r="G1418" s="25"/>
      <c r="H1418" s="25"/>
      <c r="I1418" s="26"/>
      <c r="J1418" s="25"/>
      <c r="K1418" s="25"/>
    </row>
    <row r="1419" spans="3:11" x14ac:dyDescent="0.25">
      <c r="C1419" s="25"/>
      <c r="D1419" s="26"/>
      <c r="E1419" s="25"/>
      <c r="F1419" s="25"/>
      <c r="G1419" s="25"/>
      <c r="H1419" s="25"/>
      <c r="I1419" s="26"/>
      <c r="J1419" s="25"/>
      <c r="K1419" s="25"/>
    </row>
  </sheetData>
  <mergeCells count="2">
    <mergeCell ref="B2:L2"/>
    <mergeCell ref="B3:C3"/>
  </mergeCells>
  <conditionalFormatting sqref="K27:K1419">
    <cfRule type="containsText" dxfId="3" priority="1" operator="containsText" text="A TIEMPO">
      <formula>NOT(ISERROR(SEARCH("A TIEMPO",K27)))</formula>
    </cfRule>
    <cfRule type="containsText" dxfId="2" priority="2" operator="containsText" text="ALERTA_0 Días">
      <formula>NOT(ISERROR(SEARCH("ALERTA_0 Días",K27)))</formula>
    </cfRule>
    <cfRule type="containsText" dxfId="1" priority="3" operator="containsText" text="ALERTA">
      <formula>NOT(ISERROR(SEARCH("ALERTA",K27)))</formula>
    </cfRule>
    <cfRule type="containsText" dxfId="0" priority="4" operator="containsText" text="VENCIDO">
      <formula>NOT(ISERROR(SEARCH("VENCIDO",K27)))</formula>
    </cfRule>
  </conditionalFormatting>
  <pageMargins left="0.7" right="0.7" top="0.75" bottom="0.75" header="0.3" footer="0.3"/>
  <pageSetup orientation="portrait"/>
  <drawing r:id="rId1"/>
  <tableParts count="1">
    <tablePart r:id="rId2"/>
  </tableParts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38C9B-0543-4533-8B7B-CAABA012DC03}">
  <sheetPr codeName="Hoja4"/>
  <dimension ref="A1"/>
  <sheetViews>
    <sheetView workbookViewId="0"/>
  </sheetViews>
  <sheetFormatPr baseColWidth="10" defaultRowHeight="15" x14ac:dyDescent="0.25"/>
  <sheetData>
    <row r="1" spans="1:1" x14ac:dyDescent="0.25">
      <c r="A1" t="s">
        <v>1426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2:L29"/>
  <sheetViews>
    <sheetView workbookViewId="0">
      <selection activeCell="K6" sqref="K6"/>
    </sheetView>
  </sheetViews>
  <sheetFormatPr baseColWidth="10" defaultRowHeight="15" x14ac:dyDescent="0.25"/>
  <cols>
    <col min="1" max="1" width="17.85546875" bestFit="1" customWidth="1"/>
    <col min="2" max="2" width="18.140625" bestFit="1" customWidth="1"/>
    <col min="4" max="5" width="17.85546875" bestFit="1" customWidth="1"/>
    <col min="6" max="6" width="18.140625" bestFit="1" customWidth="1"/>
    <col min="8" max="8" width="17.85546875" bestFit="1" customWidth="1"/>
    <col min="9" max="9" width="26.85546875" bestFit="1" customWidth="1"/>
    <col min="12" max="12" width="13.5703125" bestFit="1" customWidth="1"/>
  </cols>
  <sheetData>
    <row r="2" spans="1:12" x14ac:dyDescent="0.25">
      <c r="K2" t="s">
        <v>130</v>
      </c>
    </row>
    <row r="3" spans="1:12" x14ac:dyDescent="0.25">
      <c r="A3" s="1" t="s">
        <v>125</v>
      </c>
      <c r="B3" t="s">
        <v>126</v>
      </c>
      <c r="E3" s="1" t="s">
        <v>125</v>
      </c>
      <c r="F3" t="s">
        <v>126</v>
      </c>
      <c r="H3" s="1" t="s">
        <v>125</v>
      </c>
      <c r="I3" t="s">
        <v>127</v>
      </c>
      <c r="K3">
        <f>COUNTIF(DATOS_ANS!V:V,"VENCIDO")</f>
        <v>106</v>
      </c>
      <c r="L3" t="s">
        <v>47</v>
      </c>
    </row>
    <row r="4" spans="1:12" x14ac:dyDescent="0.25">
      <c r="A4" s="2" t="s">
        <v>32</v>
      </c>
      <c r="B4" s="24">
        <v>884</v>
      </c>
      <c r="E4" s="2" t="s">
        <v>32</v>
      </c>
      <c r="F4" s="3">
        <v>0.67947732513451187</v>
      </c>
      <c r="H4" s="2" t="s">
        <v>38</v>
      </c>
      <c r="I4" s="24">
        <v>224</v>
      </c>
      <c r="K4">
        <f>COUNTIF(DATOS_ANS!V:V,"ALERTA")</f>
        <v>279</v>
      </c>
      <c r="L4" t="s">
        <v>49</v>
      </c>
    </row>
    <row r="5" spans="1:12" x14ac:dyDescent="0.25">
      <c r="A5" s="2" t="s">
        <v>49</v>
      </c>
      <c r="B5" s="24">
        <v>279</v>
      </c>
      <c r="E5" s="2" t="s">
        <v>49</v>
      </c>
      <c r="F5" s="3">
        <v>0.21445042275172943</v>
      </c>
      <c r="H5" s="2" t="s">
        <v>31</v>
      </c>
      <c r="I5" s="24">
        <v>1077</v>
      </c>
      <c r="K5">
        <f>COUNTIF(DATOS_ANS!V:V,"A TIEMPO")</f>
        <v>884</v>
      </c>
      <c r="L5" t="s">
        <v>32</v>
      </c>
    </row>
    <row r="6" spans="1:12" x14ac:dyDescent="0.25">
      <c r="A6" s="2" t="s">
        <v>47</v>
      </c>
      <c r="B6" s="24">
        <v>106</v>
      </c>
      <c r="E6" s="2" t="s">
        <v>47</v>
      </c>
      <c r="F6" s="3">
        <v>8.1475787855495779E-2</v>
      </c>
      <c r="H6" s="2" t="s">
        <v>128</v>
      </c>
      <c r="I6" s="24">
        <v>1301</v>
      </c>
      <c r="K6">
        <f>COUNTIF(DATOS_ANS!V:V,"ALERTA_0 Días")</f>
        <v>31</v>
      </c>
      <c r="L6" t="s">
        <v>131</v>
      </c>
    </row>
    <row r="7" spans="1:12" x14ac:dyDescent="0.25">
      <c r="A7" s="2" t="s">
        <v>132</v>
      </c>
      <c r="B7" s="24">
        <v>1</v>
      </c>
      <c r="E7" s="2" t="s">
        <v>132</v>
      </c>
      <c r="F7" s="3">
        <v>7.6863950807071484E-4</v>
      </c>
      <c r="K7">
        <f>COUNTIF(DATOS_ANS!V:V,"SIN FECHA")</f>
        <v>1</v>
      </c>
      <c r="L7" t="s">
        <v>132</v>
      </c>
    </row>
    <row r="8" spans="1:12" x14ac:dyDescent="0.25">
      <c r="A8" s="2" t="s">
        <v>131</v>
      </c>
      <c r="B8" s="24">
        <v>31</v>
      </c>
      <c r="E8" s="2" t="s">
        <v>131</v>
      </c>
      <c r="F8" s="3">
        <v>2.3827824750192159E-2</v>
      </c>
      <c r="K8">
        <f>SUM(K3:K7)</f>
        <v>1301</v>
      </c>
      <c r="L8" t="s">
        <v>133</v>
      </c>
    </row>
    <row r="9" spans="1:12" x14ac:dyDescent="0.25">
      <c r="A9" s="2" t="s">
        <v>128</v>
      </c>
      <c r="B9" s="24">
        <v>1301</v>
      </c>
      <c r="E9" s="2" t="s">
        <v>128</v>
      </c>
      <c r="F9" s="3">
        <v>1</v>
      </c>
    </row>
    <row r="16" spans="1:12" x14ac:dyDescent="0.25">
      <c r="A16" s="1" t="s">
        <v>125</v>
      </c>
      <c r="B16" t="s">
        <v>129</v>
      </c>
      <c r="D16" s="1" t="s">
        <v>125</v>
      </c>
    </row>
    <row r="17" spans="1:4" x14ac:dyDescent="0.25">
      <c r="A17" s="2" t="s">
        <v>76</v>
      </c>
      <c r="B17" s="24">
        <v>20</v>
      </c>
      <c r="D17" s="2" t="s">
        <v>57</v>
      </c>
    </row>
    <row r="18" spans="1:4" x14ac:dyDescent="0.25">
      <c r="A18" s="2" t="s">
        <v>62</v>
      </c>
      <c r="B18" s="24">
        <v>111</v>
      </c>
      <c r="D18" s="2" t="s">
        <v>48</v>
      </c>
    </row>
    <row r="19" spans="1:4" x14ac:dyDescent="0.25">
      <c r="A19" s="2" t="s">
        <v>46</v>
      </c>
      <c r="B19" s="24">
        <v>31</v>
      </c>
      <c r="D19" s="2" t="s">
        <v>44</v>
      </c>
    </row>
    <row r="20" spans="1:4" x14ac:dyDescent="0.25">
      <c r="A20" s="2" t="s">
        <v>29</v>
      </c>
      <c r="B20" s="24">
        <v>711</v>
      </c>
      <c r="D20" s="2" t="s">
        <v>55</v>
      </c>
    </row>
    <row r="21" spans="1:4" x14ac:dyDescent="0.25">
      <c r="A21" s="2" t="s">
        <v>43</v>
      </c>
      <c r="B21" s="24">
        <v>58</v>
      </c>
      <c r="D21" s="2" t="s">
        <v>27</v>
      </c>
    </row>
    <row r="22" spans="1:4" x14ac:dyDescent="0.25">
      <c r="A22" s="2" t="s">
        <v>68</v>
      </c>
      <c r="B22" s="24">
        <v>69</v>
      </c>
      <c r="D22" s="2" t="s">
        <v>59</v>
      </c>
    </row>
    <row r="23" spans="1:4" x14ac:dyDescent="0.25">
      <c r="A23" s="2" t="s">
        <v>40</v>
      </c>
      <c r="B23" s="24">
        <v>225</v>
      </c>
      <c r="D23" s="2" t="s">
        <v>128</v>
      </c>
    </row>
    <row r="24" spans="1:4" x14ac:dyDescent="0.25">
      <c r="A24" s="2" t="s">
        <v>72</v>
      </c>
      <c r="B24" s="24">
        <v>15</v>
      </c>
    </row>
    <row r="25" spans="1:4" x14ac:dyDescent="0.25">
      <c r="A25" s="2" t="s">
        <v>51</v>
      </c>
      <c r="B25" s="24">
        <v>39</v>
      </c>
    </row>
    <row r="26" spans="1:4" x14ac:dyDescent="0.25">
      <c r="A26" s="2" t="s">
        <v>80</v>
      </c>
      <c r="B26" s="24">
        <v>7</v>
      </c>
    </row>
    <row r="27" spans="1:4" x14ac:dyDescent="0.25">
      <c r="A27" s="2" t="s">
        <v>137</v>
      </c>
      <c r="B27" s="24">
        <v>14</v>
      </c>
    </row>
    <row r="28" spans="1:4" x14ac:dyDescent="0.25">
      <c r="A28" s="2" t="s">
        <v>476</v>
      </c>
      <c r="B28" s="24">
        <v>1</v>
      </c>
    </row>
    <row r="29" spans="1:4" x14ac:dyDescent="0.25">
      <c r="A29" s="2" t="s">
        <v>128</v>
      </c>
      <c r="B29" s="24">
        <v>1301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DATOS_ANS</vt:lpstr>
      <vt:lpstr>DASHBOARD_ANS</vt:lpstr>
      <vt:lpstr>TC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Gaviria</dc:creator>
  <cp:lastModifiedBy>Hector Alejandro Gaviria</cp:lastModifiedBy>
  <dcterms:created xsi:type="dcterms:W3CDTF">2025-11-08T21:59:13Z</dcterms:created>
  <dcterms:modified xsi:type="dcterms:W3CDTF">2025-12-01T16:54:01Z</dcterms:modified>
</cp:coreProperties>
</file>