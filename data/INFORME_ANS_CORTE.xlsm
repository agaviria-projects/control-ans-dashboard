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ector.gaviria\Desktop\Plantilla Dashboard_V5\"/>
    </mc:Choice>
  </mc:AlternateContent>
  <xr:revisionPtr revIDLastSave="0" documentId="13_ncr:1_{84BC00E4-2ABC-46EE-8F1F-0A1B796AA9C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TOS_ANS" sheetId="2" r:id="rId1"/>
    <sheet name="DASHBOARD_ANS" sheetId="3" r:id="rId2"/>
    <sheet name="TC" sheetId="5" state="hidden" r:id="rId3"/>
    <sheet name="TD" sheetId="4" state="veryHidden" r:id="rId4"/>
  </sheets>
  <functionGroups builtInGroupCount="19"/>
  <definedNames>
    <definedName name="RutaMapaANS">'C':\Users\hector.gaviria\OneDrive - Elite Ingenieros SAS\Control_ANS\mapa_ans.html</definedName>
    <definedName name="SegmentaciónDeDatos_ACTIVIDAD">#N/A</definedName>
    <definedName name="SegmentaciónDeDatos_ACTIVIDAD1">#N/A</definedName>
    <definedName name="SegmentaciónDeDatos_ACTIVIDAD2">#N/A</definedName>
    <definedName name="SegmentaciónDeDatos_ESTADO">#N/A</definedName>
    <definedName name="SegmentaciónDeDatos_MUNICIPIO">#N/A</definedName>
    <definedName name="SegmentaciónDeDatos_TIPO_DIRECCION">#N/A</definedName>
    <definedName name="SegmentaciónDeDatos_TIPO_DIRECCION1">#N/A</definedName>
  </definedNames>
  <calcPr calcId="191029"/>
  <pivotCaches>
    <pivotCache cacheId="31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5" i="4"/>
  <c r="K4" i="4"/>
  <c r="K3" i="4"/>
  <c r="T10" i="3"/>
  <c r="T9" i="3"/>
  <c r="T8" i="3"/>
  <c r="T7" i="3"/>
  <c r="T2" i="3"/>
  <c r="K8" i="4" l="1"/>
  <c r="T11" i="3"/>
</calcChain>
</file>

<file path=xl/sharedStrings.xml><?xml version="1.0" encoding="utf-8"?>
<sst xmlns="http://schemas.openxmlformats.org/spreadsheetml/2006/main" count="18647" uniqueCount="5643">
  <si>
    <t>PEDIDO</t>
  </si>
  <si>
    <t>PRODUCTO_ID</t>
  </si>
  <si>
    <t>TIPO_TRABAJO</t>
  </si>
  <si>
    <t>TIPO_ELEMENTO_ID</t>
  </si>
  <si>
    <t>FECHA_RECIBO</t>
  </si>
  <si>
    <t>FECHA_INICIO_ANS</t>
  </si>
  <si>
    <t>CLIENTEID</t>
  </si>
  <si>
    <t>NOMBRE_CLIENTE</t>
  </si>
  <si>
    <t>TELEFONO_CONTACTO</t>
  </si>
  <si>
    <t>CELULAR_CONTACTO</t>
  </si>
  <si>
    <t>DIRECCION</t>
  </si>
  <si>
    <t>MUNICIPIO</t>
  </si>
  <si>
    <t>INSTALACION</t>
  </si>
  <si>
    <t>AREA_TRABAJO</t>
  </si>
  <si>
    <t>ACTIVIDAD</t>
  </si>
  <si>
    <t>NOMBRE</t>
  </si>
  <si>
    <t>TIPO_DIRECCION</t>
  </si>
  <si>
    <t>DIAS_PACTADOS</t>
  </si>
  <si>
    <t>FECHA_LIMITE_ANS</t>
  </si>
  <si>
    <t>DIAS_TRANSCURRIDOS</t>
  </si>
  <si>
    <t>DIAS_RESTANTES</t>
  </si>
  <si>
    <t>ESTADO</t>
  </si>
  <si>
    <t>REPORTE_TECNICO</t>
  </si>
  <si>
    <t>TECNICO_EJECUTA</t>
  </si>
  <si>
    <t>ESTADO_FENIX</t>
  </si>
  <si>
    <t>ENERES</t>
  </si>
  <si>
    <t>NUEVO</t>
  </si>
  <si>
    <t>MEDELLÍN</t>
  </si>
  <si>
    <t>Medellín</t>
  </si>
  <si>
    <t>ALEGA</t>
  </si>
  <si>
    <t>METROSUR Vin. Leg. Ref. Concentrada</t>
  </si>
  <si>
    <t>Urbano</t>
  </si>
  <si>
    <t>A TIEMPO</t>
  </si>
  <si>
    <t>SIN DATO</t>
  </si>
  <si>
    <t>ABIERTO</t>
  </si>
  <si>
    <t>SIN DATOS</t>
  </si>
  <si>
    <t>Revisor Instal. Regadas Metrosur</t>
  </si>
  <si>
    <t>Rural</t>
  </si>
  <si>
    <t>ENEDOM</t>
  </si>
  <si>
    <t>ARTER</t>
  </si>
  <si>
    <t>Habilitación Viviendas Metrosur</t>
  </si>
  <si>
    <t>ENENOR</t>
  </si>
  <si>
    <t>ALEGN</t>
  </si>
  <si>
    <t>ITAGUÍ</t>
  </si>
  <si>
    <t>Itaguí</t>
  </si>
  <si>
    <t>AEJDO</t>
  </si>
  <si>
    <t>VENCIDO</t>
  </si>
  <si>
    <t>ENVIGADO</t>
  </si>
  <si>
    <t>ALERTA</t>
  </si>
  <si>
    <t>ENEPRE</t>
  </si>
  <si>
    <t>INPRE</t>
  </si>
  <si>
    <t>Energía Prepago Metrosur</t>
  </si>
  <si>
    <t>3808080</t>
  </si>
  <si>
    <t>LA ESTRELLA</t>
  </si>
  <si>
    <t>La Estrella</t>
  </si>
  <si>
    <t>CALDAS</t>
  </si>
  <si>
    <t>Caldas</t>
  </si>
  <si>
    <t>SABANETA</t>
  </si>
  <si>
    <t>Sabaneta</t>
  </si>
  <si>
    <t>ENECNX</t>
  </si>
  <si>
    <t>ACREV</t>
  </si>
  <si>
    <t>Revisor Puntos de Conexión Metrosur</t>
  </si>
  <si>
    <t>Envigado</t>
  </si>
  <si>
    <t>ENEMRT</t>
  </si>
  <si>
    <t>ENEMVI</t>
  </si>
  <si>
    <t>AMRTR</t>
  </si>
  <si>
    <t>METR Mov Red Trans Anderson Castaño</t>
  </si>
  <si>
    <t>RETIR</t>
  </si>
  <si>
    <t>DIPRE</t>
  </si>
  <si>
    <t>Mov Red Trans Dairo Gil</t>
  </si>
  <si>
    <t>CAMBI</t>
  </si>
  <si>
    <t>ACAMN</t>
  </si>
  <si>
    <t>REUBI</t>
  </si>
  <si>
    <t>REEQU</t>
  </si>
  <si>
    <t>3017375950</t>
  </si>
  <si>
    <t>CARLOS ANDRES GOMEZ ARBOLEDA</t>
  </si>
  <si>
    <t>3148226825</t>
  </si>
  <si>
    <t>0</t>
  </si>
  <si>
    <t>formulas</t>
  </si>
  <si>
    <t>DASHBOARD CONTROL ANS</t>
  </si>
  <si>
    <t>Total Pedidos</t>
  </si>
  <si>
    <t>A tiempo</t>
  </si>
  <si>
    <t>Alerta</t>
  </si>
  <si>
    <t>Vencidos</t>
  </si>
  <si>
    <t>Alerta_0 Días</t>
  </si>
  <si>
    <t>Sin Fecha</t>
  </si>
  <si>
    <t>Etiquetas de fila</t>
  </si>
  <si>
    <t>Cuenta de ESTADO</t>
  </si>
  <si>
    <t>Cuenta de TIPO_DIRECCION</t>
  </si>
  <si>
    <t>Total general</t>
  </si>
  <si>
    <t>Cuenta de ACTIVIDAD</t>
  </si>
  <si>
    <t>FORMULAS</t>
  </si>
  <si>
    <t>ALERTA_0 Días</t>
  </si>
  <si>
    <t>SIN FECHA</t>
  </si>
  <si>
    <t>TOTAL PEDIDOS</t>
  </si>
  <si>
    <t>CUMPLIDO</t>
  </si>
  <si>
    <t>SUR-ENE</t>
  </si>
  <si>
    <t>Metropolitana Sur</t>
  </si>
  <si>
    <t>ALECA</t>
  </si>
  <si>
    <t>COORDENADAX</t>
  </si>
  <si>
    <t>COORDENADAY</t>
  </si>
  <si>
    <t>AREA_OPERATIVA</t>
  </si>
  <si>
    <t>SUBZONA</t>
  </si>
  <si>
    <t>23543674</t>
  </si>
  <si>
    <t>19/09/2025 12:51:35</t>
  </si>
  <si>
    <t>OSCAR DARIO CORREA VELEZ</t>
  </si>
  <si>
    <t>3004072</t>
  </si>
  <si>
    <t>3128171344</t>
  </si>
  <si>
    <t>CR 51 CL 129 SUR -59</t>
  </si>
  <si>
    <t>002521009000590000</t>
  </si>
  <si>
    <t>23547105</t>
  </si>
  <si>
    <t>LIBARDO DE JESUS ARRUBLA LOPEZ</t>
  </si>
  <si>
    <t>3122106406</t>
  </si>
  <si>
    <t>161004600000000004</t>
  </si>
  <si>
    <t>RIGOBERTO DE JESUS PEREZ CARDENAS</t>
  </si>
  <si>
    <t>2782464</t>
  </si>
  <si>
    <t>3016711530</t>
  </si>
  <si>
    <t>23567957</t>
  </si>
  <si>
    <t>161023686000000002</t>
  </si>
  <si>
    <t>23572681</t>
  </si>
  <si>
    <t>13/11/2025 07:34:16</t>
  </si>
  <si>
    <t>2025-11-13 07:34:16</t>
  </si>
  <si>
    <t>KARLA YARLEDI CARTAGENA MUÑOZ</t>
  </si>
  <si>
    <t>3006708847</t>
  </si>
  <si>
    <t>CL 39 DA CR 119 C -145 (INTERIOR 108 )</t>
  </si>
  <si>
    <t>083119419301450108</t>
  </si>
  <si>
    <t>APLIN</t>
  </si>
  <si>
    <t>23591823</t>
  </si>
  <si>
    <t>DANIEL MARTINEZ RIOS</t>
  </si>
  <si>
    <t>3207319362</t>
  </si>
  <si>
    <t>CR 57 CL 74 -4</t>
  </si>
  <si>
    <t>077527004000040000</t>
  </si>
  <si>
    <t>ALEXANDER SIERRA VARGAS</t>
  </si>
  <si>
    <t>3014298465</t>
  </si>
  <si>
    <t>3002049670</t>
  </si>
  <si>
    <t>ENVIASEO E.S.P.</t>
  </si>
  <si>
    <t>3105072582</t>
  </si>
  <si>
    <t>3 días 11:37</t>
  </si>
  <si>
    <t>r</t>
  </si>
  <si>
    <t>LINA MARIA RESTREPO SALINAS</t>
  </si>
  <si>
    <t>3116314937</t>
  </si>
  <si>
    <t>163017848500000202_LOMA LOS ZULETA</t>
  </si>
  <si>
    <t>900053600001852053</t>
  </si>
  <si>
    <t>3117268685</t>
  </si>
  <si>
    <t>3 días 09:29</t>
  </si>
  <si>
    <t>23595554</t>
  </si>
  <si>
    <t>20/11/2025 15:03:58</t>
  </si>
  <si>
    <t>2025-11-20 15:03:58</t>
  </si>
  <si>
    <t>NURY DEL CARMEN TORRES SANCHEZ</t>
  </si>
  <si>
    <t>3004999389</t>
  </si>
  <si>
    <t>RURAL_147048860000000001_ VEREDA TRAVESIAS</t>
  </si>
  <si>
    <t>147048860000000001</t>
  </si>
  <si>
    <t>2025-12-11 15:03:58</t>
  </si>
  <si>
    <t>3136478725</t>
  </si>
  <si>
    <t>23521342</t>
  </si>
  <si>
    <t>ENEGED</t>
  </si>
  <si>
    <t>25/08/2025 10:40:27</t>
  </si>
  <si>
    <t>2025-11-21 14:37:03</t>
  </si>
  <si>
    <t>MASIVO DE OCCIDENTE SAS</t>
  </si>
  <si>
    <t>3043786563</t>
  </si>
  <si>
    <t>CL 8 B CR 65 -281</t>
  </si>
  <si>
    <t>050618205002810000</t>
  </si>
  <si>
    <t>AGPE Metropolitana Sur</t>
  </si>
  <si>
    <t>2025-12-02 14:37:03</t>
  </si>
  <si>
    <t>23595571</t>
  </si>
  <si>
    <t>20/11/2025 15:14:46</t>
  </si>
  <si>
    <t>2025-11-20 15:14:46</t>
  </si>
  <si>
    <t>FRANCISCO ALBERTO MONTOYA SANCHEZ</t>
  </si>
  <si>
    <t>3102205501</t>
  </si>
  <si>
    <t>CL 16 CR 55 -82</t>
  </si>
  <si>
    <t>051516005000820000-ENEPRE</t>
  </si>
  <si>
    <t>2025-12-05 15:14:46</t>
  </si>
  <si>
    <t>23595614</t>
  </si>
  <si>
    <t>20/11/2025 15:34:16</t>
  </si>
  <si>
    <t>2025-11-20 15:34:16</t>
  </si>
  <si>
    <t>GILBERTO COSSIO SERNA</t>
  </si>
  <si>
    <t>3214405929</t>
  </si>
  <si>
    <t>CR 8 A CL 58 B -101 (INTERIOR 175 )</t>
  </si>
  <si>
    <t>055028108201010175</t>
  </si>
  <si>
    <t>2025-12-05 15:34:16</t>
  </si>
  <si>
    <t>23595670</t>
  </si>
  <si>
    <t>20/11/2025 15:54:47</t>
  </si>
  <si>
    <t>FRANCY NETH RENGIFO LOPEZ</t>
  </si>
  <si>
    <t>2343748</t>
  </si>
  <si>
    <t>3114182296</t>
  </si>
  <si>
    <t>RURAL_147036900000000101_EL NARANJAL</t>
  </si>
  <si>
    <t>147036900000000101</t>
  </si>
  <si>
    <t>23596476</t>
  </si>
  <si>
    <t>21/11/2025 10:49:18</t>
  </si>
  <si>
    <t>2025-11-21 10:49:18</t>
  </si>
  <si>
    <t>WILLIAN ALBERTO ORTIZ CASTAÑEDA</t>
  </si>
  <si>
    <t>3427411</t>
  </si>
  <si>
    <t>3113147433</t>
  </si>
  <si>
    <t>CR 106 CL 31 AA -139 (INTERIOR 155 )</t>
  </si>
  <si>
    <t>083026001111390155</t>
  </si>
  <si>
    <t>2025-12-09 10:49:18</t>
  </si>
  <si>
    <t>23596556</t>
  </si>
  <si>
    <t>21/11/2025 11:42:52</t>
  </si>
  <si>
    <t>2025-11-21 11:42:52</t>
  </si>
  <si>
    <t>LUZ STELLA ESCUDERO GALLEGO</t>
  </si>
  <si>
    <t>3168563574</t>
  </si>
  <si>
    <t>RURAL_116007800000000000_116007800000000000</t>
  </si>
  <si>
    <t>116007800000000000</t>
  </si>
  <si>
    <t>2025-12-09 11:42:52</t>
  </si>
  <si>
    <t>OBSERVACION</t>
  </si>
  <si>
    <t>C:\Users\hector.gaviria\OneDrive - Elite Ingenieros SAS\Control_ANS\mapa_ans.html</t>
  </si>
  <si>
    <t>3012590569</t>
  </si>
  <si>
    <t>JUAN GUILLERMO RIVERA MAZO</t>
  </si>
  <si>
    <t>JESUS DAVID CASTAÑO HOYOS</t>
  </si>
  <si>
    <t>DESCARTADO</t>
  </si>
  <si>
    <t>23462523</t>
  </si>
  <si>
    <t>11/06/2025 12:57:12</t>
  </si>
  <si>
    <t>2025-11-20 13:35:13</t>
  </si>
  <si>
    <t>DORA ALBA ESCOBAR SANCHEZ</t>
  </si>
  <si>
    <t>3006107409</t>
  </si>
  <si>
    <t>RURAL_159158454000000301</t>
  </si>
  <si>
    <t>159158454000000301</t>
  </si>
  <si>
    <t>METROSUR-Vinculaciones-HV-Prepago</t>
  </si>
  <si>
    <t>23572180</t>
  </si>
  <si>
    <t>24/10/2025 08:11:01</t>
  </si>
  <si>
    <t>2025-11-25 09:20:11</t>
  </si>
  <si>
    <t>CIELO ZULEIMA MARIN DIAZ</t>
  </si>
  <si>
    <t>3022190077</t>
  </si>
  <si>
    <t>CR 18 B CL 56 F -28 (INTERIOR 242 )</t>
  </si>
  <si>
    <t>055128206600280242</t>
  </si>
  <si>
    <t>2025-12-11 09:20:11</t>
  </si>
  <si>
    <t>3117968418</t>
  </si>
  <si>
    <t>26/11/2025 11:39:35</t>
  </si>
  <si>
    <t>2025-11-26 11:39:35</t>
  </si>
  <si>
    <t>2025-12-02 11:39:35</t>
  </si>
  <si>
    <t>2025-11-25 12:23:14</t>
  </si>
  <si>
    <t>2025-12-05 12:23:14</t>
  </si>
  <si>
    <t>3136452476</t>
  </si>
  <si>
    <t>23597482</t>
  </si>
  <si>
    <t>24/11/2025 07:15:36</t>
  </si>
  <si>
    <t>2025-11-24 07:15:36</t>
  </si>
  <si>
    <t>2025-12-05 07:15:36</t>
  </si>
  <si>
    <t>23597539</t>
  </si>
  <si>
    <t>24/11/2025 08:52:16</t>
  </si>
  <si>
    <t>2025-11-24 08:52:16</t>
  </si>
  <si>
    <t>SINDY DANIELA PINILLOS ZABALA</t>
  </si>
  <si>
    <t>3005701732</t>
  </si>
  <si>
    <t>RURAL_146001904000000038</t>
  </si>
  <si>
    <t>146001904000000038</t>
  </si>
  <si>
    <t>2025-12-09 08:52:16</t>
  </si>
  <si>
    <t>3012584149</t>
  </si>
  <si>
    <t>4032000</t>
  </si>
  <si>
    <t>YERMAN ANDRES PALACIOS MOSQUERA</t>
  </si>
  <si>
    <t>2847580</t>
  </si>
  <si>
    <t>3218527147</t>
  </si>
  <si>
    <t>23598744</t>
  </si>
  <si>
    <t>25/11/2025 08:42:56</t>
  </si>
  <si>
    <t>2025-11-25 08:42:56</t>
  </si>
  <si>
    <t>JOSSEPH EDWIN HERNANDEZ SANCHEZ</t>
  </si>
  <si>
    <t>3015127392</t>
  </si>
  <si>
    <t>CL 61 CR 126 -31</t>
  </si>
  <si>
    <t>086211006000310000</t>
  </si>
  <si>
    <t>2025-12-09 08:42:56</t>
  </si>
  <si>
    <t>23598919</t>
  </si>
  <si>
    <t>25/11/2025 10:09:11</t>
  </si>
  <si>
    <t>2025-11-25 10:09:11</t>
  </si>
  <si>
    <t>KELLY CAROLINA RODRIGUEZ MUÑOZ</t>
  </si>
  <si>
    <t>3014090599</t>
  </si>
  <si>
    <t>CL 57 B CR 23 -85</t>
  </si>
  <si>
    <t>055217203000850000-ENEPRE</t>
  </si>
  <si>
    <t>2025-12-11 10:09:11</t>
  </si>
  <si>
    <t>23598924</t>
  </si>
  <si>
    <t>25/11/2025 10:11:42</t>
  </si>
  <si>
    <t>2025-11-25 10:11:42</t>
  </si>
  <si>
    <t>AMANDA DEL SOCORRO ABREU AGUDELO</t>
  </si>
  <si>
    <t>3632336</t>
  </si>
  <si>
    <t>3206718777</t>
  </si>
  <si>
    <t>CL 10 CR 52 -70 (INTERIOR 7000 )</t>
  </si>
  <si>
    <t>051510002000707000-ENEPRE</t>
  </si>
  <si>
    <t>2025-12-11 10:11:42</t>
  </si>
  <si>
    <t>CATALINA MARIA ALVAREZ HERRERA</t>
  </si>
  <si>
    <t>3555100</t>
  </si>
  <si>
    <t>23599278</t>
  </si>
  <si>
    <t>25/11/2025 12:07:15</t>
  </si>
  <si>
    <t>2025-11-25 12:07:15</t>
  </si>
  <si>
    <t>ISRAEL DE JESUS GRANADOS PEREZ</t>
  </si>
  <si>
    <t>3104954546</t>
  </si>
  <si>
    <t>RURAL_161021700000000000_RURAL CALDAS LA CHUSCALA</t>
  </si>
  <si>
    <t>161021700000000000-ENEPRE</t>
  </si>
  <si>
    <t>2025-12-11 12:07:15</t>
  </si>
  <si>
    <t>3006753557</t>
  </si>
  <si>
    <t>3133324621</t>
  </si>
  <si>
    <t>CR 98 A CL 62 -106 (INTERIOR 1001 )</t>
  </si>
  <si>
    <t>056928102001061001</t>
  </si>
  <si>
    <t>23599602</t>
  </si>
  <si>
    <t>25/11/2025 14:16:56</t>
  </si>
  <si>
    <t>2025-11-25 14:16:56</t>
  </si>
  <si>
    <t>MARIA EUGENIA FLOREZ DE VELEZ</t>
  </si>
  <si>
    <t>2682211</t>
  </si>
  <si>
    <t>3145147984</t>
  </si>
  <si>
    <t>TRAN 12 A CR 32 -116</t>
  </si>
  <si>
    <t>051312102001160000</t>
  </si>
  <si>
    <t>2025-12-09 14:16:56</t>
  </si>
  <si>
    <t>23599660</t>
  </si>
  <si>
    <t>25/11/2025 14:27:50</t>
  </si>
  <si>
    <t>2025-11-25 14:27:50</t>
  </si>
  <si>
    <t>JOHANA MILEYDI RIVERO MARTINEZ</t>
  </si>
  <si>
    <t>4821020</t>
  </si>
  <si>
    <t>3176276890</t>
  </si>
  <si>
    <t>CR 22 B CL 59 B -40 (INTERIOR 9902 )</t>
  </si>
  <si>
    <t>055222209200409902-ENEPRE</t>
  </si>
  <si>
    <t>2025-12-11 14:27:50</t>
  </si>
  <si>
    <t>23599802</t>
  </si>
  <si>
    <t>25/11/2025 15:53:51</t>
  </si>
  <si>
    <t>2025-11-25 15:53:51</t>
  </si>
  <si>
    <t>GILDARDO MONTOYA VARGAS</t>
  </si>
  <si>
    <t>3214969930</t>
  </si>
  <si>
    <t>CR 85 D CL 57 A -18 (INTERIOR 9505 )</t>
  </si>
  <si>
    <t>055825407100189505</t>
  </si>
  <si>
    <t>2025-12-11 15:53:51</t>
  </si>
  <si>
    <t>23599807</t>
  </si>
  <si>
    <t>25/11/2025 15:57:07</t>
  </si>
  <si>
    <t>2025-11-25 15:57:07</t>
  </si>
  <si>
    <t>LUIS GEISER ZAPATA DURANGO</t>
  </si>
  <si>
    <t>3163966135</t>
  </si>
  <si>
    <t>CL 19 D CR 104 B -20 (INTERIOR 149 )</t>
  </si>
  <si>
    <t>081019404200200149</t>
  </si>
  <si>
    <t>2025-12-11 15:57:07</t>
  </si>
  <si>
    <t>23599830</t>
  </si>
  <si>
    <t>25/11/2025 16:14:52</t>
  </si>
  <si>
    <t>2025-11-25 16:14:52</t>
  </si>
  <si>
    <t>JUAN SALVADOR GONZALEZ ALVAREZ</t>
  </si>
  <si>
    <t>3205145270</t>
  </si>
  <si>
    <t>RURAL_116005312515100201_116005312515100201</t>
  </si>
  <si>
    <t>116005312515100201</t>
  </si>
  <si>
    <t>2025-12-11 16:14:52</t>
  </si>
  <si>
    <t>23599837</t>
  </si>
  <si>
    <t>25/11/2025 16:17:54</t>
  </si>
  <si>
    <t>2025-11-25 16:17:54</t>
  </si>
  <si>
    <t>CLAUDIA PATRICIA DURANGO YEPES</t>
  </si>
  <si>
    <t>2994577</t>
  </si>
  <si>
    <t>3215397677</t>
  </si>
  <si>
    <t>RURAL_116005319400000101_116005319400000101</t>
  </si>
  <si>
    <t>116005319400000101</t>
  </si>
  <si>
    <t>2025-12-11 16:17:54</t>
  </si>
  <si>
    <t>23599896</t>
  </si>
  <si>
    <t>25/11/2025 17:24:48</t>
  </si>
  <si>
    <t>2025-11-25 17:24:48</t>
  </si>
  <si>
    <t>MARIA JIMENA USUGA GRACIANO</t>
  </si>
  <si>
    <t>3116202804</t>
  </si>
  <si>
    <t>CR 143 CL 68 -20 (INTERIOR 114 )</t>
  </si>
  <si>
    <t>086423008000200114</t>
  </si>
  <si>
    <t>2025-12-09 17:24:48</t>
  </si>
  <si>
    <t>3855555</t>
  </si>
  <si>
    <t>23600299</t>
  </si>
  <si>
    <t>26/11/2025 08:58:46</t>
  </si>
  <si>
    <t>2025-11-26 08:58:46</t>
  </si>
  <si>
    <t>MARIA ADELAIDA MUÑOZ SEGURO</t>
  </si>
  <si>
    <t>3107709865</t>
  </si>
  <si>
    <t>RURAL_116005537080000000_116005537080000000</t>
  </si>
  <si>
    <t>116005537080000000</t>
  </si>
  <si>
    <t>2025-12-12 08:58:46</t>
  </si>
  <si>
    <t>2 días 10:49</t>
  </si>
  <si>
    <t>23600529</t>
  </si>
  <si>
    <t>26/11/2025 11:43:33</t>
  </si>
  <si>
    <t>2025-11-26 11:43:33</t>
  </si>
  <si>
    <t>YOVER ALFONSO SUAREZ RESTREPO</t>
  </si>
  <si>
    <t>3024466199</t>
  </si>
  <si>
    <t>CL 42 B SUR CR 63 -58 (INTERIOR 402 )</t>
  </si>
  <si>
    <t>044612203000580402-ENEPRE</t>
  </si>
  <si>
    <t>2025-12-12 11:43:33</t>
  </si>
  <si>
    <t>23600532</t>
  </si>
  <si>
    <t>26/11/2025 11:45:54</t>
  </si>
  <si>
    <t>2025-11-26 11:45:54</t>
  </si>
  <si>
    <t>JOHN ELKIN VARELAS TORRES</t>
  </si>
  <si>
    <t>3137698363</t>
  </si>
  <si>
    <t>CR 132 A CL 59 -34</t>
  </si>
  <si>
    <t>085322109000340000</t>
  </si>
  <si>
    <t>2025-12-12 11:45:54</t>
  </si>
  <si>
    <t>23600683</t>
  </si>
  <si>
    <t>26/11/2025 13:12:37</t>
  </si>
  <si>
    <t>2025-11-26 13:12:37</t>
  </si>
  <si>
    <t>MARTA CECILIA BENAVIDES GALVIS</t>
  </si>
  <si>
    <t>3052083833</t>
  </si>
  <si>
    <t>CL 56 BB CR 20 C -1 (INTERIOR 202 )</t>
  </si>
  <si>
    <t>055216220300010202</t>
  </si>
  <si>
    <t>2025-12-10 13:12:37</t>
  </si>
  <si>
    <t>23600794</t>
  </si>
  <si>
    <t>26/11/2025 14:44:04</t>
  </si>
  <si>
    <t>2025-11-26 14:44:04</t>
  </si>
  <si>
    <t>AURA ROSA RODRIGUEZ ACEVEDO</t>
  </si>
  <si>
    <t>3014113600</t>
  </si>
  <si>
    <t>CR 55 B CL 55 -36 (INTERIOR 210 )</t>
  </si>
  <si>
    <t>075525205000360210-ENEPRE</t>
  </si>
  <si>
    <t>2025-12-12 14:44:04</t>
  </si>
  <si>
    <t>23601257</t>
  </si>
  <si>
    <t>27/11/2025 08:20:28</t>
  </si>
  <si>
    <t>2025-11-27 08:20:28</t>
  </si>
  <si>
    <t>3003420288</t>
  </si>
  <si>
    <t>CL 52 CR 51 -11</t>
  </si>
  <si>
    <t>055512001000110000</t>
  </si>
  <si>
    <t>2025-12-03 08:20:28</t>
  </si>
  <si>
    <t>23601392</t>
  </si>
  <si>
    <t>27/11/2025 10:05:30</t>
  </si>
  <si>
    <t>JADER ELMER MEJIA RENDON</t>
  </si>
  <si>
    <t>2342375</t>
  </si>
  <si>
    <t>3127884788</t>
  </si>
  <si>
    <t>CR 58 CL 79 -141</t>
  </si>
  <si>
    <t>077528009001410000</t>
  </si>
  <si>
    <t>23601439</t>
  </si>
  <si>
    <t>27/11/2025 10:33:48</t>
  </si>
  <si>
    <t>2025-11-27 10:33:48</t>
  </si>
  <si>
    <t>ARNOLDO MEDINA GELVEZ</t>
  </si>
  <si>
    <t>3124490988</t>
  </si>
  <si>
    <t>140004954401000000</t>
  </si>
  <si>
    <t>23601464</t>
  </si>
  <si>
    <t>27/11/2025 10:55:11</t>
  </si>
  <si>
    <t>2025-11-27 10:55:11</t>
  </si>
  <si>
    <t>RUBEN DARIO LONDOÑO RESTREPO</t>
  </si>
  <si>
    <t>6115213</t>
  </si>
  <si>
    <t>CR 39 CL 35 SUR -15</t>
  </si>
  <si>
    <t>023329005000150000</t>
  </si>
  <si>
    <t>2025-12-09 10:55:11</t>
  </si>
  <si>
    <t>VERONICA AGUDELO LOPEZ</t>
  </si>
  <si>
    <t>3116747895</t>
  </si>
  <si>
    <t>MAYRA ALEJANDRA QUINTANA TOBON</t>
  </si>
  <si>
    <t>3012876800</t>
  </si>
  <si>
    <t>23601556</t>
  </si>
  <si>
    <t>27/11/2025 12:09:11</t>
  </si>
  <si>
    <t>2025-11-27 12:09:11</t>
  </si>
  <si>
    <t>JUAN EUGENIO RIOS VILLA</t>
  </si>
  <si>
    <t>3006092484</t>
  </si>
  <si>
    <t>CR 55 B CL 79 C SUR -44</t>
  </si>
  <si>
    <t>037525209300440000</t>
  </si>
  <si>
    <t>2025-12-09 12:09:11</t>
  </si>
  <si>
    <t>23601680</t>
  </si>
  <si>
    <t>27/11/2025 14:35:03</t>
  </si>
  <si>
    <t>2025-11-27 14:35:03</t>
  </si>
  <si>
    <t>BLANCA MIRIAM ROJAS LOAIZA</t>
  </si>
  <si>
    <t>3113817324</t>
  </si>
  <si>
    <t>CR 27 CL 58 -45 (INTERIOR 301 )</t>
  </si>
  <si>
    <t>055227008000450301</t>
  </si>
  <si>
    <t>2025-12-09 14:35:03</t>
  </si>
  <si>
    <t>23600994</t>
  </si>
  <si>
    <t>26/11/2025 17:20:01</t>
  </si>
  <si>
    <t>2025-11-26 17:20:01</t>
  </si>
  <si>
    <t>JUAN  LEONEL SILVA CHIVATA</t>
  </si>
  <si>
    <t>6034831</t>
  </si>
  <si>
    <t>CL 65 AA CR 39 A -38</t>
  </si>
  <si>
    <t>056315119100380000</t>
  </si>
  <si>
    <t>2025-12-10 17:20:01</t>
  </si>
  <si>
    <t>23601024</t>
  </si>
  <si>
    <t>26/11/2025 18:08:01</t>
  </si>
  <si>
    <t>2025-11-26 18:08:01</t>
  </si>
  <si>
    <t>MARIA CRISTINA ALVAREZ HERNADEZ</t>
  </si>
  <si>
    <t>3213801787</t>
  </si>
  <si>
    <t>CL 55 CR 129 -137</t>
  </si>
  <si>
    <t>085215009001370000</t>
  </si>
  <si>
    <t>2025-12-10 18:08:01</t>
  </si>
  <si>
    <t>23601300</t>
  </si>
  <si>
    <t>27/11/2025 08:58:06</t>
  </si>
  <si>
    <t>2025-11-27 08:58:06</t>
  </si>
  <si>
    <t>MAGNOLIA JARAMILLO RESTREPO</t>
  </si>
  <si>
    <t>5925287</t>
  </si>
  <si>
    <t>3137008386</t>
  </si>
  <si>
    <t>RURAL_114013451100000000_114013451100000000</t>
  </si>
  <si>
    <t>114013451100000000</t>
  </si>
  <si>
    <t>23601398</t>
  </si>
  <si>
    <t>27/11/2025 10:08:20</t>
  </si>
  <si>
    <t>2025-11-27 10:08:20</t>
  </si>
  <si>
    <t>NICOLAS ALBEIRO AGUDELO BARRIENTOS</t>
  </si>
  <si>
    <t>3162760629</t>
  </si>
  <si>
    <t>RURAL_122014511800000001_VDA MAZO</t>
  </si>
  <si>
    <t>122014511800000001</t>
  </si>
  <si>
    <t>2025-12-18 10:08:20</t>
  </si>
  <si>
    <t>23601428</t>
  </si>
  <si>
    <t>27/11/2025 10:26:20</t>
  </si>
  <si>
    <t>2025-11-27 10:26:20</t>
  </si>
  <si>
    <t>GABRIEL ANTONIO RESTREPO RESTREPO</t>
  </si>
  <si>
    <t>3206851166</t>
  </si>
  <si>
    <t>DIAG 47 A CL 31 A -31 (INTERIOR 302 )</t>
  </si>
  <si>
    <t>073477101100310302</t>
  </si>
  <si>
    <t>2025-12-11 10:26:20</t>
  </si>
  <si>
    <t>23601467</t>
  </si>
  <si>
    <t>27/11/2025 10:56:16</t>
  </si>
  <si>
    <t>2025-11-27 10:56:16</t>
  </si>
  <si>
    <t>IVAN DE JESUS CARDONA ALVAREZ</t>
  </si>
  <si>
    <t>RURAL_147048816000000201_147048816000000201</t>
  </si>
  <si>
    <t>147048816000000201</t>
  </si>
  <si>
    <t>2025-12-18 10:56:16</t>
  </si>
  <si>
    <t>23601545</t>
  </si>
  <si>
    <t>27/11/2025 11:59:47</t>
  </si>
  <si>
    <t>2025-11-27 11:59:47</t>
  </si>
  <si>
    <t>MARIA CAMILA RAMIREZ RODAS</t>
  </si>
  <si>
    <t>3504849159</t>
  </si>
  <si>
    <t>CL 39 AD CR 117 B -64 (INTERIOR 205 )</t>
  </si>
  <si>
    <t>083119147200640205</t>
  </si>
  <si>
    <t>2025-12-11 11:59:47</t>
  </si>
  <si>
    <t>23601586</t>
  </si>
  <si>
    <t>27/11/2025 12:47:02</t>
  </si>
  <si>
    <t>2025-11-27 12:47:02</t>
  </si>
  <si>
    <t>DIANA MARCELA TRUJILLO GALLEGO</t>
  </si>
  <si>
    <t>2347019</t>
  </si>
  <si>
    <t>3218955145</t>
  </si>
  <si>
    <t>RURAL_136029754320000000_CL 58B CR 98-106 (IN 101)</t>
  </si>
  <si>
    <t>136029754320000000</t>
  </si>
  <si>
    <t>23601654</t>
  </si>
  <si>
    <t>27/11/2025 14:15:05</t>
  </si>
  <si>
    <t>2025-11-27 14:15:05</t>
  </si>
  <si>
    <t>CARLOS MARIO CANO MUÑOZ</t>
  </si>
  <si>
    <t>3146167430</t>
  </si>
  <si>
    <t>RURAL_147024400000000000_EL UVITO</t>
  </si>
  <si>
    <t>147024400000000000</t>
  </si>
  <si>
    <t>2025-12-18 14:15:05</t>
  </si>
  <si>
    <t>23601776</t>
  </si>
  <si>
    <t>27/11/2025 15:32:11</t>
  </si>
  <si>
    <t>2025-11-27 15:32:11</t>
  </si>
  <si>
    <t>COLORETTO S.A. EN REORGANIZACION</t>
  </si>
  <si>
    <t>3011542</t>
  </si>
  <si>
    <t>3155900115</t>
  </si>
  <si>
    <t>CR 49 CL 81 SUR -90</t>
  </si>
  <si>
    <t>018429001000900000</t>
  </si>
  <si>
    <t>2025-12-11 15:32:11</t>
  </si>
  <si>
    <t>23601948</t>
  </si>
  <si>
    <t>27/11/2025 16:48:54</t>
  </si>
  <si>
    <t>2025-11-27 16:48:54</t>
  </si>
  <si>
    <t>JULIO HECTOR ASPRILLA RIVAS</t>
  </si>
  <si>
    <t>3159495800</t>
  </si>
  <si>
    <t>CL 39 E CR 115 A -113</t>
  </si>
  <si>
    <t>083119505101130000</t>
  </si>
  <si>
    <t>2025-12-11 16:48:54</t>
  </si>
  <si>
    <t>23601994</t>
  </si>
  <si>
    <t>27/11/2025 19:54:56</t>
  </si>
  <si>
    <t>2025-11-27 19:54:56</t>
  </si>
  <si>
    <t>CL 57 EE CR 22 B -52</t>
  </si>
  <si>
    <t>055217552200520000</t>
  </si>
  <si>
    <t>2025-12-11 19:54:56</t>
  </si>
  <si>
    <t>21/08/2025 12:03:55</t>
  </si>
  <si>
    <t>2025-11-27 21:54:54</t>
  </si>
  <si>
    <t>ANA MARIA ORTEGA ALVAREZ</t>
  </si>
  <si>
    <t>3194191348</t>
  </si>
  <si>
    <t>RURAL_023222005002200136_PROV.VDA SANTA CATALINA</t>
  </si>
  <si>
    <t>023222005002200136</t>
  </si>
  <si>
    <t>3014809239</t>
  </si>
  <si>
    <t>16/09/2025 11:47:25</t>
  </si>
  <si>
    <t>2025-11-27 21:43:02</t>
  </si>
  <si>
    <t>AURA ALICIA ARAQUE ACEVEDO</t>
  </si>
  <si>
    <t>3126081367</t>
  </si>
  <si>
    <t>CR 118 CL 39 A -38 (INTERIOR 401 )</t>
  </si>
  <si>
    <t>083128009100380401</t>
  </si>
  <si>
    <t>2025-12-09 21:43:02</t>
  </si>
  <si>
    <t>08/10/2025 12:54:28</t>
  </si>
  <si>
    <t>2025-11-28 21:46:24</t>
  </si>
  <si>
    <t>DUVERNEY CARDONA HENAO</t>
  </si>
  <si>
    <t>4275913</t>
  </si>
  <si>
    <t>3106845109</t>
  </si>
  <si>
    <t>RURAL_146019299009500001_LA ALDEA</t>
  </si>
  <si>
    <t>146019299009500001</t>
  </si>
  <si>
    <t>2025-12-11 21:46:24</t>
  </si>
  <si>
    <t>09/10/2025 16:19:30</t>
  </si>
  <si>
    <t>2025-11-29 13:02:35</t>
  </si>
  <si>
    <t>WILMAR ALONSO RODRIGUEZ ZAPATA</t>
  </si>
  <si>
    <t>5851364</t>
  </si>
  <si>
    <t>3128927675</t>
  </si>
  <si>
    <t>RURAL_116005480300000101_VEREDA BELEN AGUAS FRIAS</t>
  </si>
  <si>
    <t>116005480300000101</t>
  </si>
  <si>
    <t>4 días 14:47</t>
  </si>
  <si>
    <t>28/11/2025 07:16:35</t>
  </si>
  <si>
    <t>2025-11-28 07:16:35</t>
  </si>
  <si>
    <t>JUAN DE JESUS GUISAO MARIN</t>
  </si>
  <si>
    <t>4461115</t>
  </si>
  <si>
    <t>3128996452</t>
  </si>
  <si>
    <t>CL 56 CR 102 -156 (INTERIOR 216 )</t>
  </si>
  <si>
    <t>085016002001560216</t>
  </si>
  <si>
    <t>2025-12-05 07:16:35</t>
  </si>
  <si>
    <t>28/11/2025 10:51:55</t>
  </si>
  <si>
    <t>2025-11-28 10:51:55</t>
  </si>
  <si>
    <t>HUMBERTO GIRALDO VELEZ</t>
  </si>
  <si>
    <t>4449982</t>
  </si>
  <si>
    <t>3103876485</t>
  </si>
  <si>
    <t>CR 41 CL 46 -103</t>
  </si>
  <si>
    <t>074421006001030000</t>
  </si>
  <si>
    <t>2025-12-04 10:51:55</t>
  </si>
  <si>
    <t>29/11/2025 10:08:50</t>
  </si>
  <si>
    <t>2025-11-29 10:08:50</t>
  </si>
  <si>
    <t>HERNEY HERNANDEZ MARIN</t>
  </si>
  <si>
    <t>3113686079</t>
  </si>
  <si>
    <t>CL 80 SUR CR 47 E -19</t>
  </si>
  <si>
    <t>018410007500190000</t>
  </si>
  <si>
    <t>2025-12-04 10:08:50</t>
  </si>
  <si>
    <t>4 días 12:09</t>
  </si>
  <si>
    <t>3 días 10:49</t>
  </si>
  <si>
    <t>3 días 11:49</t>
  </si>
  <si>
    <t>5 días 15:31</t>
  </si>
  <si>
    <t>26/11/2025 16:51:16</t>
  </si>
  <si>
    <t>2025-11-26 16:51:16</t>
  </si>
  <si>
    <t>CR 38 CL 46 F SUR -1 (INTERIOR 6100 )</t>
  </si>
  <si>
    <t>024328006600016100</t>
  </si>
  <si>
    <t>2025-12-05 16:51:16</t>
  </si>
  <si>
    <t>3 días 09:47</t>
  </si>
  <si>
    <t>2025-11-28 14:53:00</t>
  </si>
  <si>
    <t>2025-12-10 14:53:00</t>
  </si>
  <si>
    <t>RURAL_140004954401000000_140004954401000000</t>
  </si>
  <si>
    <t>2 días 10:55</t>
  </si>
  <si>
    <t>27/11/2025 15:07:18</t>
  </si>
  <si>
    <t>2025-11-27 15:07:18</t>
  </si>
  <si>
    <t>CR 27 CL 58 -45</t>
  </si>
  <si>
    <t>055227008000450000</t>
  </si>
  <si>
    <t>2025-12-09 15:07:18</t>
  </si>
  <si>
    <t>27/11/2025 15:23:11</t>
  </si>
  <si>
    <t>2025-11-27 15:23:11</t>
  </si>
  <si>
    <t>JESUS DAVID HERNANDEZ SANCHEZ</t>
  </si>
  <si>
    <t>3045790687</t>
  </si>
  <si>
    <t>CR 120 F CL 54 -173 (INTERIOR 2279 )</t>
  </si>
  <si>
    <t>085220604001732279</t>
  </si>
  <si>
    <t>2025-12-15 15:23:11</t>
  </si>
  <si>
    <t>27/11/2025 15:29:32</t>
  </si>
  <si>
    <t>2025-11-27 15:29:32</t>
  </si>
  <si>
    <t>CR 27 CL 58 -45 (INTERIOR 201 )</t>
  </si>
  <si>
    <t>055227008000450201</t>
  </si>
  <si>
    <t>2025-12-09 15:29:32</t>
  </si>
  <si>
    <t>27/11/2025 15:29:59</t>
  </si>
  <si>
    <t>2025-11-27 15:29:59</t>
  </si>
  <si>
    <t>LUZ MERY FLOREZ FLOREZ</t>
  </si>
  <si>
    <t>3147107471</t>
  </si>
  <si>
    <t>RURAL_116005536000000301_116005536000000301</t>
  </si>
  <si>
    <t>116005536000000301</t>
  </si>
  <si>
    <t>2025-12-15 15:29:59</t>
  </si>
  <si>
    <t>27/11/2025 15:34:10</t>
  </si>
  <si>
    <t>2025-11-27 15:34:10</t>
  </si>
  <si>
    <t>NATALIA  SERNA BARRERA</t>
  </si>
  <si>
    <t>3004674312</t>
  </si>
  <si>
    <t>RURAL_122003570000000101_122003570000000101</t>
  </si>
  <si>
    <t>122003570000000101</t>
  </si>
  <si>
    <t>2025-12-10 15:34:10</t>
  </si>
  <si>
    <t>27/11/2025 15:53:09</t>
  </si>
  <si>
    <t>2025-11-27 15:53:09</t>
  </si>
  <si>
    <t>OSCAR DE JESUS AGUDELO ARAQUE</t>
  </si>
  <si>
    <t>5580282</t>
  </si>
  <si>
    <t>3135395979</t>
  </si>
  <si>
    <t>CL 69 CR 121 -250 (INTERIOR 185 )</t>
  </si>
  <si>
    <t>086219001002500185</t>
  </si>
  <si>
    <t>2025-12-15 15:53:09</t>
  </si>
  <si>
    <t>27/11/2025 15:57:53</t>
  </si>
  <si>
    <t>2025-11-27 15:57:53</t>
  </si>
  <si>
    <t>RURAL_122003570000000103</t>
  </si>
  <si>
    <t>122003570000000103</t>
  </si>
  <si>
    <t>2025-12-10 15:57:53</t>
  </si>
  <si>
    <t>MARIA FLORELIA VALDES DE LOPEZ</t>
  </si>
  <si>
    <t>3002462563</t>
  </si>
  <si>
    <t>27/11/2025 16:25:46</t>
  </si>
  <si>
    <t>2025-11-27 16:25:46</t>
  </si>
  <si>
    <t>WESLLY DAIANA LOAIZA ZULUAGA</t>
  </si>
  <si>
    <t>3005121823</t>
  </si>
  <si>
    <t>CL 18 D CR 89 -11 (INTERIOR 375 )</t>
  </si>
  <si>
    <t>051818409000110375</t>
  </si>
  <si>
    <t>2025-12-15 16:25:46</t>
  </si>
  <si>
    <t>EMPRESAS PUBLICAS DE MEDELLIN E.S.P.</t>
  </si>
  <si>
    <t>3006085217</t>
  </si>
  <si>
    <t>28/11/2025 07:05:21</t>
  </si>
  <si>
    <t>2025-11-28 07:05:21</t>
  </si>
  <si>
    <t>DANIELA ANDREA QUINTERO RAMIREZ</t>
  </si>
  <si>
    <t>3214368400</t>
  </si>
  <si>
    <t>CL 18 D CR 89 -11 (INTERIOR 1193 )</t>
  </si>
  <si>
    <t>051818409000111193</t>
  </si>
  <si>
    <t>2025-12-16 07:05:21</t>
  </si>
  <si>
    <t>3042182152</t>
  </si>
  <si>
    <t>28/11/2025 10:15:29</t>
  </si>
  <si>
    <t>2025-11-28 10:15:29</t>
  </si>
  <si>
    <t>DIANA MARCELA JIMENEZ GIRALDO</t>
  </si>
  <si>
    <t>3136563837</t>
  </si>
  <si>
    <t>CL 45 CR 77 -68</t>
  </si>
  <si>
    <t>054715007000680000-ENEPRE</t>
  </si>
  <si>
    <t>2025-12-16 10:15:29</t>
  </si>
  <si>
    <t>3 días 10:38</t>
  </si>
  <si>
    <t>28/11/2025 11:01:12</t>
  </si>
  <si>
    <t>2025-11-28 11:01:12</t>
  </si>
  <si>
    <t>DANIEL BETANCUR BERNAL</t>
  </si>
  <si>
    <t>3188858580</t>
  </si>
  <si>
    <t>RURAL_147049990000000115_PROV.VEREDA TRAVESIAS</t>
  </si>
  <si>
    <t>147049990000000115</t>
  </si>
  <si>
    <t>2025-12-15 11:01:12</t>
  </si>
  <si>
    <t>3188748600</t>
  </si>
  <si>
    <t>28/11/2025 11:28:27</t>
  </si>
  <si>
    <t>2025-11-28 11:28:27</t>
  </si>
  <si>
    <t>HENRY ZULETA PIEDRAHITA</t>
  </si>
  <si>
    <t>2130684</t>
  </si>
  <si>
    <t>3135690765</t>
  </si>
  <si>
    <t>RURAL_147024610000000102_EL UVITO CL 70 CR 152 A -</t>
  </si>
  <si>
    <t>147024610000000102</t>
  </si>
  <si>
    <t>2025-12-15 11:28:27</t>
  </si>
  <si>
    <t>28/11/2025 11:39:19</t>
  </si>
  <si>
    <t>2025-11-28 11:39:19</t>
  </si>
  <si>
    <t>JOHN ALEXANDER SOTO POSADA</t>
  </si>
  <si>
    <t>3136557544</t>
  </si>
  <si>
    <t>RURAL_114004479040100103_114004479040100103</t>
  </si>
  <si>
    <t>114004479040100103</t>
  </si>
  <si>
    <t>28/11/2025 11:39:52</t>
  </si>
  <si>
    <t>2025-11-28 11:39:52</t>
  </si>
  <si>
    <t>CR 27 CL 41 -37 (INTERIOR 1 )</t>
  </si>
  <si>
    <t>054227001000370001</t>
  </si>
  <si>
    <t>2025-12-10 11:39:52</t>
  </si>
  <si>
    <t>28/11/2025 13:26:39</t>
  </si>
  <si>
    <t>2025-11-28 13:26:39</t>
  </si>
  <si>
    <t>CLAUDIA HELENA VALLEJO ORTIZ</t>
  </si>
  <si>
    <t>3113737370</t>
  </si>
  <si>
    <t>TRAN 49 D CR 59 -95</t>
  </si>
  <si>
    <t>054519409000950000</t>
  </si>
  <si>
    <t>2025-12-04 13:26:39</t>
  </si>
  <si>
    <t>3503765427</t>
  </si>
  <si>
    <t>28/11/2025 14:10:42</t>
  </si>
  <si>
    <t>2025-11-28 14:10:42</t>
  </si>
  <si>
    <t>LUIS EDUARD CORREA VELASQUEZ</t>
  </si>
  <si>
    <t>3205741752</t>
  </si>
  <si>
    <t>RURAL_122002980000000000_122002980000000000</t>
  </si>
  <si>
    <t>122002980000000000</t>
  </si>
  <si>
    <t>2025-12-04 14:10:42</t>
  </si>
  <si>
    <t>28/11/2025 14:13:30</t>
  </si>
  <si>
    <t>2025-11-28 14:13:30</t>
  </si>
  <si>
    <t>JHERALDIN LUJAN</t>
  </si>
  <si>
    <t>1310261</t>
  </si>
  <si>
    <t>3002068765</t>
  </si>
  <si>
    <t>CR 49 CL 56 -44</t>
  </si>
  <si>
    <t>055429006000440000</t>
  </si>
  <si>
    <t>2025-12-04 14:13:30</t>
  </si>
  <si>
    <t>28/11/2025 14:13:31</t>
  </si>
  <si>
    <t>2025-11-28 14:13:31</t>
  </si>
  <si>
    <t>DIEGO DE JESUS GALLEGO CASTAÑEDA</t>
  </si>
  <si>
    <t>3132720721</t>
  </si>
  <si>
    <t>RURAL_161105312000000001_PROV.BR LA CORRALA</t>
  </si>
  <si>
    <t>161105312000000001</t>
  </si>
  <si>
    <t>2025-12-04 14:13:31</t>
  </si>
  <si>
    <t>28/11/2025 14:44:21</t>
  </si>
  <si>
    <t>2025-11-28 14:44:21</t>
  </si>
  <si>
    <t>3225509608</t>
  </si>
  <si>
    <t>CR 51 CL 83 -6 (INTERIOR 101 )</t>
  </si>
  <si>
    <t>078521003000060101</t>
  </si>
  <si>
    <t>2025-12-04 14:44:21</t>
  </si>
  <si>
    <t>28/11/2025 15:31:59</t>
  </si>
  <si>
    <t>2025-11-28 15:31:59</t>
  </si>
  <si>
    <t>ROSALBA DEL ROCIO FLOREZ RODRIGUEZ</t>
  </si>
  <si>
    <t>3798342</t>
  </si>
  <si>
    <t>CR 57 CL 44 -31 (INTERIOR 306 )</t>
  </si>
  <si>
    <t>074527004000310306</t>
  </si>
  <si>
    <t>2025-12-10 15:31:59</t>
  </si>
  <si>
    <t>28/11/2025 15:51:36</t>
  </si>
  <si>
    <t>2025-11-28 15:51:36</t>
  </si>
  <si>
    <t>JUAN DAVID MUÑOZ GONZALEZ</t>
  </si>
  <si>
    <t>4782690</t>
  </si>
  <si>
    <t>3214782690</t>
  </si>
  <si>
    <t>RURAL_116005351680000000_116005351680000000</t>
  </si>
  <si>
    <t>116005351680000000</t>
  </si>
  <si>
    <t>2025-12-16 15:51:36</t>
  </si>
  <si>
    <t>28/11/2025 16:06:52</t>
  </si>
  <si>
    <t>2025-11-28 16:06:52</t>
  </si>
  <si>
    <t>JOSE IGNACIO ACOSTA BETANCUR</t>
  </si>
  <si>
    <t>3114399404</t>
  </si>
  <si>
    <t>CL 40 SUR CR 74 A -5</t>
  </si>
  <si>
    <t>044710004100050000</t>
  </si>
  <si>
    <t>2025-12-10 16:06:52</t>
  </si>
  <si>
    <t>28/11/2025 16:08:35</t>
  </si>
  <si>
    <t>2025-11-28 16:08:35</t>
  </si>
  <si>
    <t>ARQUITECTURA Y CONCRETO S A</t>
  </si>
  <si>
    <t>2468622</t>
  </si>
  <si>
    <t>3128948263</t>
  </si>
  <si>
    <t>CR 49 CL 29 SUR -140 (INTERIOR 7 )</t>
  </si>
  <si>
    <t>022429009001400007</t>
  </si>
  <si>
    <t>2025-12-04 16:08:35</t>
  </si>
  <si>
    <t>28/11/2025 16:21:08</t>
  </si>
  <si>
    <t>2025-11-28 16:21:08</t>
  </si>
  <si>
    <t>DORIS PATRICIA RINCON ARANGO</t>
  </si>
  <si>
    <t>3216079225</t>
  </si>
  <si>
    <t>CR 107 CL 35 -110 (INTERIOR 102 )</t>
  </si>
  <si>
    <t>083027005001100102</t>
  </si>
  <si>
    <t>2025-12-16 16:21:08</t>
  </si>
  <si>
    <t>28/11/2025 16:33:57</t>
  </si>
  <si>
    <t>2025-11-28 16:33:57</t>
  </si>
  <si>
    <t>MARIA ALEJANDRA HOYOS SIERRA</t>
  </si>
  <si>
    <t>3104509421</t>
  </si>
  <si>
    <t>RURAL_140004950000000024_PROV.VOLTA HOUSING CR 3A</t>
  </si>
  <si>
    <t>140004950000000024</t>
  </si>
  <si>
    <t>28/11/2025 17:00:47</t>
  </si>
  <si>
    <t>2025-11-28 17:00:47</t>
  </si>
  <si>
    <t>JULIO CESAR GARCIA VASQUEZ</t>
  </si>
  <si>
    <t>3474644</t>
  </si>
  <si>
    <t>3175097039</t>
  </si>
  <si>
    <t>CL 59 CR 52 -26</t>
  </si>
  <si>
    <t>055519002000260000</t>
  </si>
  <si>
    <t>2025-12-04 17:00:47</t>
  </si>
  <si>
    <t>28/11/2025 20:05:43</t>
  </si>
  <si>
    <t>2025-11-28 20:05:43</t>
  </si>
  <si>
    <t>VICTOR HUGO PARRA VALENCIA</t>
  </si>
  <si>
    <t>3016002852</t>
  </si>
  <si>
    <t>2025-12-04 20:05:43</t>
  </si>
  <si>
    <t>28/11/2025 22:03:32</t>
  </si>
  <si>
    <t>2025-11-28 22:03:32</t>
  </si>
  <si>
    <t>GILDARDO MARTINEZ GOMEZ</t>
  </si>
  <si>
    <t>3193290909</t>
  </si>
  <si>
    <t>CL 34 A CR 54 A -54</t>
  </si>
  <si>
    <t>073514104100540000</t>
  </si>
  <si>
    <t>2025-12-04 22:03:32</t>
  </si>
  <si>
    <t>29/11/2025 06:50:05</t>
  </si>
  <si>
    <t>2025-11-29 06:50:05</t>
  </si>
  <si>
    <t>ANGGIE VANESA BERMUDEZ CANO</t>
  </si>
  <si>
    <t>3148235694</t>
  </si>
  <si>
    <t>CL 19 CR 105 -40 (INTERIOR 203 )</t>
  </si>
  <si>
    <t>081019005000400203</t>
  </si>
  <si>
    <t>2025-12-16 06:50:05</t>
  </si>
  <si>
    <t>29/11/2025 06:58:42</t>
  </si>
  <si>
    <t>2025-11-29 06:58:42</t>
  </si>
  <si>
    <t>MARIA NOHELIA CANO QUINCHIA</t>
  </si>
  <si>
    <t>5374315</t>
  </si>
  <si>
    <t>3106671137</t>
  </si>
  <si>
    <t>CL 19 CR 105 -40 (INTERIOR 2203 )</t>
  </si>
  <si>
    <t>081019005000402203</t>
  </si>
  <si>
    <t>2025-12-16 06:58:42</t>
  </si>
  <si>
    <t>29/11/2025 07:00:46</t>
  </si>
  <si>
    <t>2025-11-29 07:00:46</t>
  </si>
  <si>
    <t>CL 81 SUR CR 69 -99</t>
  </si>
  <si>
    <t>038611009000990000</t>
  </si>
  <si>
    <t>2025-12-10 07:00:46</t>
  </si>
  <si>
    <t>29/11/2025 13:59:22</t>
  </si>
  <si>
    <t>2025-11-29 13:59:23</t>
  </si>
  <si>
    <t>ARMANDO LEON JARAMILLO SANCHEZ</t>
  </si>
  <si>
    <t>3128185</t>
  </si>
  <si>
    <t>3146629497</t>
  </si>
  <si>
    <t>CR 49 CL 45 -35 (INTERIOR 101 )</t>
  </si>
  <si>
    <t>074429005000350101</t>
  </si>
  <si>
    <t>2025-12-10 13:59:23</t>
  </si>
  <si>
    <t>JULIAN ALVAREZ</t>
  </si>
  <si>
    <t>3216092689</t>
  </si>
  <si>
    <t>CL 48 CC CR 103 A -7 (INTERIOR 200 )</t>
  </si>
  <si>
    <t>084018333100070200</t>
  </si>
  <si>
    <t>CL 48 CC CR 103 A -7 (INTERIOR 221 )</t>
  </si>
  <si>
    <t>084018333100070221</t>
  </si>
  <si>
    <t>30/11/2025 11:31:46</t>
  </si>
  <si>
    <t>2025-11-30 11:31:46</t>
  </si>
  <si>
    <t>EURELIS GONZALEZ</t>
  </si>
  <si>
    <t>3042738291</t>
  </si>
  <si>
    <t>CR 17 B CL 56 EE -50 (INTERIOR 165 )</t>
  </si>
  <si>
    <t>055127206550500165</t>
  </si>
  <si>
    <t>2025-12-16 11:31:46</t>
  </si>
  <si>
    <t>23518427</t>
  </si>
  <si>
    <t>23540723</t>
  </si>
  <si>
    <t>23559549</t>
  </si>
  <si>
    <t>23560979</t>
  </si>
  <si>
    <t>23578452</t>
  </si>
  <si>
    <t>23581809</t>
  </si>
  <si>
    <t>23587709</t>
  </si>
  <si>
    <t>23600964</t>
  </si>
  <si>
    <t>23601738</t>
  </si>
  <si>
    <t>23601759</t>
  </si>
  <si>
    <t>23601769</t>
  </si>
  <si>
    <t>23601770</t>
  </si>
  <si>
    <t>23601786</t>
  </si>
  <si>
    <t>23601840</t>
  </si>
  <si>
    <t>23601864</t>
  </si>
  <si>
    <t>23601922</t>
  </si>
  <si>
    <t>23602071</t>
  </si>
  <si>
    <t>23602384</t>
  </si>
  <si>
    <t>23602600</t>
  </si>
  <si>
    <t>23602665</t>
  </si>
  <si>
    <t>23602677</t>
  </si>
  <si>
    <t>23602678</t>
  </si>
  <si>
    <t>23602761</t>
  </si>
  <si>
    <t>23602836</t>
  </si>
  <si>
    <t>23602844</t>
  </si>
  <si>
    <t>23602845</t>
  </si>
  <si>
    <t>23602900</t>
  </si>
  <si>
    <t>23602982</t>
  </si>
  <si>
    <t>23603002</t>
  </si>
  <si>
    <t>23603024</t>
  </si>
  <si>
    <t>23603027</t>
  </si>
  <si>
    <t>23603043</t>
  </si>
  <si>
    <t>23603058</t>
  </si>
  <si>
    <t>23603080</t>
  </si>
  <si>
    <t>23603109</t>
  </si>
  <si>
    <t>23603111</t>
  </si>
  <si>
    <t>23603298</t>
  </si>
  <si>
    <t>23603303</t>
  </si>
  <si>
    <t>23603305</t>
  </si>
  <si>
    <t>23603559</t>
  </si>
  <si>
    <t>23603565</t>
  </si>
  <si>
    <t>23603573</t>
  </si>
  <si>
    <t>23603744</t>
  </si>
  <si>
    <t>23590002</t>
  </si>
  <si>
    <t>14/11/2025 07:24:47</t>
  </si>
  <si>
    <t>2025-12-01 11:10:35</t>
  </si>
  <si>
    <t>EMPRESA DE SERVICIS PUBLICOS DE SABANETA</t>
  </si>
  <si>
    <t>3215202060</t>
  </si>
  <si>
    <t>CL 75 B SUR CR 40 -20 (INTERIOR 6100 )</t>
  </si>
  <si>
    <t>017415200000206100</t>
  </si>
  <si>
    <t>2025-12-11 11:10:35</t>
  </si>
  <si>
    <t>23602390</t>
  </si>
  <si>
    <t>28/11/2025 10:20:51</t>
  </si>
  <si>
    <t>2025-11-28 10:20:51</t>
  </si>
  <si>
    <t>CAMILO ANGEL MACHADO</t>
  </si>
  <si>
    <t>2669168</t>
  </si>
  <si>
    <t>3166908498</t>
  </si>
  <si>
    <t>PAJARITO 170050100160991</t>
  </si>
  <si>
    <t>000000000000000000</t>
  </si>
  <si>
    <t>2025-12-12 10:20:51</t>
  </si>
  <si>
    <t>23602805</t>
  </si>
  <si>
    <t>28/11/2025 13:50:29</t>
  </si>
  <si>
    <t>2025-11-28 13:50:29</t>
  </si>
  <si>
    <t>LINA MARCELA LOPERA PULGARIN</t>
  </si>
  <si>
    <t>CR 53 CL 61 A -47</t>
  </si>
  <si>
    <t>056523001100470000</t>
  </si>
  <si>
    <t>2025-12-12 13:50:29</t>
  </si>
  <si>
    <t>23602826</t>
  </si>
  <si>
    <t>28/11/2025 14:06:53</t>
  </si>
  <si>
    <t>2025-11-28 14:06:53</t>
  </si>
  <si>
    <t>LINA MARIA MARTINEZ QUINTERO</t>
  </si>
  <si>
    <t>3226267656</t>
  </si>
  <si>
    <t>CL 52 CR 5 -27</t>
  </si>
  <si>
    <t>055012005000270000</t>
  </si>
  <si>
    <t>2025-12-12 14:06:53</t>
  </si>
  <si>
    <t>23602888</t>
  </si>
  <si>
    <t>28/11/2025 14:33:28</t>
  </si>
  <si>
    <t>2025-11-28 14:33:28</t>
  </si>
  <si>
    <t>SANDRA JANETH FLOREZ VELEZ</t>
  </si>
  <si>
    <t>3127811408</t>
  </si>
  <si>
    <t>CR 14 A CL 49 -20 (INTERIOR 301 )</t>
  </si>
  <si>
    <t>054124109000200301</t>
  </si>
  <si>
    <t>2025-12-12 14:33:28</t>
  </si>
  <si>
    <t>23602905</t>
  </si>
  <si>
    <t>28/11/2025 14:48:32</t>
  </si>
  <si>
    <t>2025-11-28 14:48:32</t>
  </si>
  <si>
    <t>LAURA NATALLY MUÑOZ GUARIN</t>
  </si>
  <si>
    <t>2025-12-12 14:48:32</t>
  </si>
  <si>
    <t>23603029</t>
  </si>
  <si>
    <t>28/11/2025 16:09:16</t>
  </si>
  <si>
    <t>2025-11-28 16:09:16</t>
  </si>
  <si>
    <t>DIANA PATRICIA SALAZAR PANESSO</t>
  </si>
  <si>
    <t>4216976</t>
  </si>
  <si>
    <t>CR 87 CL 58 CC -90</t>
  </si>
  <si>
    <t>055827008330900000</t>
  </si>
  <si>
    <t>2025-12-12 16:09:16</t>
  </si>
  <si>
    <t>23603093</t>
  </si>
  <si>
    <t>28/11/2025 17:19:12</t>
  </si>
  <si>
    <t>2025-11-28 17:19:12</t>
  </si>
  <si>
    <t>JOSE RAMIRO GOMEZ ARANGO</t>
  </si>
  <si>
    <t>5047939</t>
  </si>
  <si>
    <t>3138259843</t>
  </si>
  <si>
    <t>CL 49 CR 99 -49</t>
  </si>
  <si>
    <t>054919009000490000</t>
  </si>
  <si>
    <t>2025-12-12 17:19:12</t>
  </si>
  <si>
    <t>23603454</t>
  </si>
  <si>
    <t>29/11/2025 11:11:16</t>
  </si>
  <si>
    <t>2025-11-29 11:11:16</t>
  </si>
  <si>
    <t>DIANA PATRICIA TILANO CASTAÑEDA</t>
  </si>
  <si>
    <t>2868126</t>
  </si>
  <si>
    <t>3186206816</t>
  </si>
  <si>
    <t>CL 54 SUR CR 62 D -11</t>
  </si>
  <si>
    <t>045614002400110000</t>
  </si>
  <si>
    <t>2025-12-12 11:11:16</t>
  </si>
  <si>
    <t>23603635</t>
  </si>
  <si>
    <t>29/11/2025 22:12:07</t>
  </si>
  <si>
    <t>2025-11-29 22:12:07</t>
  </si>
  <si>
    <t>ANA AYDE CHAVERRA CORDOBA</t>
  </si>
  <si>
    <t>3235620711</t>
  </si>
  <si>
    <t>CR 103 B CL 60 C -43</t>
  </si>
  <si>
    <t>086023200300430000</t>
  </si>
  <si>
    <t>2025-12-12 22:12:07</t>
  </si>
  <si>
    <t>23603758</t>
  </si>
  <si>
    <t>30/11/2025 13:56:46</t>
  </si>
  <si>
    <t>2025-11-30 13:56:46</t>
  </si>
  <si>
    <t>LUIS FERNANDO CORREA FLOREZ</t>
  </si>
  <si>
    <t>3207371319</t>
  </si>
  <si>
    <t>CL 36 B SUR CR 79 -17</t>
  </si>
  <si>
    <t>043716209000170000</t>
  </si>
  <si>
    <t>2025-12-12 13:56:46</t>
  </si>
  <si>
    <t>23603764</t>
  </si>
  <si>
    <t>30/11/2025 16:48:06</t>
  </si>
  <si>
    <t>2025-11-30 16:48:06</t>
  </si>
  <si>
    <t>ELIDA DEL CARMEN RESTAM CUITIVA</t>
  </si>
  <si>
    <t>3576111</t>
  </si>
  <si>
    <t>3225619389</t>
  </si>
  <si>
    <t>CR 103 B CL 60 C -37</t>
  </si>
  <si>
    <t>086023200300370000</t>
  </si>
  <si>
    <t>2025-12-12 16:48:06</t>
  </si>
  <si>
    <t>23370807</t>
  </si>
  <si>
    <t>31/10/2025 14:33:45</t>
  </si>
  <si>
    <t>2025-12-01 11:40:23</t>
  </si>
  <si>
    <t>GUSTAVO HUMBERTO JARAMILLO TORRES</t>
  </si>
  <si>
    <t>3017892548</t>
  </si>
  <si>
    <t>RURAL_166035980000000004</t>
  </si>
  <si>
    <t>166035980000000004</t>
  </si>
  <si>
    <t>2025-12-12 11:40:23</t>
  </si>
  <si>
    <t>DISTRITO ESPECIAL DE CIENCIA - TECNOLOGIA</t>
  </si>
  <si>
    <t>23543635</t>
  </si>
  <si>
    <t>01/12/2025 11:29:03</t>
  </si>
  <si>
    <t>2025-12-01 11:29:03</t>
  </si>
  <si>
    <t>SOLUCIONES PLASTICAS S.A.S</t>
  </si>
  <si>
    <t>4443168</t>
  </si>
  <si>
    <t>CR 45 A CL 72 -74</t>
  </si>
  <si>
    <t>077425102000740000</t>
  </si>
  <si>
    <t>2025-12-05 11:29:03</t>
  </si>
  <si>
    <t>23543653</t>
  </si>
  <si>
    <t>01/12/2025 11:44:27</t>
  </si>
  <si>
    <t>2025-12-01 11:44:27</t>
  </si>
  <si>
    <t>CR 45 A CL 72 -56</t>
  </si>
  <si>
    <t>077425102000560000</t>
  </si>
  <si>
    <t>2025-12-05 11:44:27</t>
  </si>
  <si>
    <t>23543684</t>
  </si>
  <si>
    <t>01/12/2025 12:58:27</t>
  </si>
  <si>
    <t>2025-12-01 12:58:27</t>
  </si>
  <si>
    <t>CR 45 A CL 72 -72</t>
  </si>
  <si>
    <t>077425102000720000</t>
  </si>
  <si>
    <t>2025-12-05 12:58:27</t>
  </si>
  <si>
    <t>23553892</t>
  </si>
  <si>
    <t>01/10/2025 16:19:46</t>
  </si>
  <si>
    <t>2025-12-01 10:53:24</t>
  </si>
  <si>
    <t>VIVANA ALEJANDRA CARTAGENA CLAVIJO</t>
  </si>
  <si>
    <t>3011790989</t>
  </si>
  <si>
    <t>CR 17 D CL 56 BB -58 (INTERIOR 201 )</t>
  </si>
  <si>
    <t>055127406220580201</t>
  </si>
  <si>
    <t>2025-12-09 10:53:24</t>
  </si>
  <si>
    <t>23558445</t>
  </si>
  <si>
    <t>09/10/2025 14:41:25</t>
  </si>
  <si>
    <t>2025-12-01 11:50:02</t>
  </si>
  <si>
    <t>MARIA ISABEL ALZATE IDARRAGA</t>
  </si>
  <si>
    <t>3138789836</t>
  </si>
  <si>
    <t>RURAL_163007734700000231_PROV.163007734700000230</t>
  </si>
  <si>
    <t>163007734700000231</t>
  </si>
  <si>
    <t>2025-12-09 11:50:02</t>
  </si>
  <si>
    <t>23590046</t>
  </si>
  <si>
    <t>01/12/2025 07:42:01</t>
  </si>
  <si>
    <t>2025-12-01 07:42:01</t>
  </si>
  <si>
    <t>JULIAN  DAVID COLORADO  MURIEL</t>
  </si>
  <si>
    <t>3019030504</t>
  </si>
  <si>
    <t>CL 57 B CR 31 -70 (INTERIOR 201 )</t>
  </si>
  <si>
    <t>055317201000700201</t>
  </si>
  <si>
    <t>2025-12-09 07:42:01</t>
  </si>
  <si>
    <t>23599287</t>
  </si>
  <si>
    <t>01/12/2025 09:47:54</t>
  </si>
  <si>
    <t>2025-12-01 09:47:54</t>
  </si>
  <si>
    <t>ANIBAL DE JESUS SANCHEZ BUITRAGO</t>
  </si>
  <si>
    <t>3153824042</t>
  </si>
  <si>
    <t>RURAL_083025204220350103</t>
  </si>
  <si>
    <t>083025204220350103</t>
  </si>
  <si>
    <t>23603919</t>
  </si>
  <si>
    <t>01/12/2025 08:15:31</t>
  </si>
  <si>
    <t>2025-12-01 08:15:31</t>
  </si>
  <si>
    <t>OSWALDO DE JESUS ALVAREZ TAMAYO</t>
  </si>
  <si>
    <t>4273453</t>
  </si>
  <si>
    <t>3128416800</t>
  </si>
  <si>
    <t>RURAL_147001550000000000_LA PALMA</t>
  </si>
  <si>
    <t>147001550000000000</t>
  </si>
  <si>
    <t>2025-12-05 08:15:31</t>
  </si>
  <si>
    <t>23603973</t>
  </si>
  <si>
    <t>01/12/2025 09:18:32</t>
  </si>
  <si>
    <t>2025-12-01 09:18:32</t>
  </si>
  <si>
    <t>CL 46 SUR CR 46 AA -34</t>
  </si>
  <si>
    <t>024416006110340000</t>
  </si>
  <si>
    <t>2025-12-05 09:18:32</t>
  </si>
  <si>
    <t>23603980</t>
  </si>
  <si>
    <t>01/12/2025 09:25:51</t>
  </si>
  <si>
    <t>2025-12-01 09:25:51</t>
  </si>
  <si>
    <t>LUIS EMILIO GARCIA SALAZAR</t>
  </si>
  <si>
    <t>3116073044</t>
  </si>
  <si>
    <t>CR 52 D CL 81 -35 (INTERIOR 204 )</t>
  </si>
  <si>
    <t>078522401000350204</t>
  </si>
  <si>
    <t>2025-12-05 09:25:51</t>
  </si>
  <si>
    <t>23604071</t>
  </si>
  <si>
    <t>01/12/2025 10:36:20</t>
  </si>
  <si>
    <t>2025-12-01 10:36:20</t>
  </si>
  <si>
    <t>RURAL_125004766200000101_125004766200000101</t>
  </si>
  <si>
    <t>125004766200000101</t>
  </si>
  <si>
    <t>2025-12-05 10:36:20</t>
  </si>
  <si>
    <t>23604154</t>
  </si>
  <si>
    <t>01/12/2025 11:15:57</t>
  </si>
  <si>
    <t>2025-12-01 11:15:57</t>
  </si>
  <si>
    <t>JULIO CESAR BENITEZ BENITEZ</t>
  </si>
  <si>
    <t>3582252</t>
  </si>
  <si>
    <t>3004288928</t>
  </si>
  <si>
    <t>CR 45 CL 52 -40</t>
  </si>
  <si>
    <t>055425002000400000</t>
  </si>
  <si>
    <t>2025-12-05 11:15:57</t>
  </si>
  <si>
    <t>23604177</t>
  </si>
  <si>
    <t>01/12/2025 11:32:23</t>
  </si>
  <si>
    <t>2025-12-01 11:32:23</t>
  </si>
  <si>
    <t>MARIA FLORISA ARIAS VALDERRAMA</t>
  </si>
  <si>
    <t>4899499</t>
  </si>
  <si>
    <t>3126212102</t>
  </si>
  <si>
    <t>CR 90 C CL 15 -67 (INTERIOR 401 )</t>
  </si>
  <si>
    <t>051920305000670401</t>
  </si>
  <si>
    <t>2025-12-17 11:32:23</t>
  </si>
  <si>
    <t>23604211</t>
  </si>
  <si>
    <t>01/12/2025 11:58:25</t>
  </si>
  <si>
    <t>2025-12-01 11:58:25</t>
  </si>
  <si>
    <t>MATEO ANDRES SIERRA SALAZAR</t>
  </si>
  <si>
    <t>3012799474</t>
  </si>
  <si>
    <t>CIRC 1 CR 66 B -168</t>
  </si>
  <si>
    <t>053657006201680000</t>
  </si>
  <si>
    <t>2025-12-05 11:58:25</t>
  </si>
  <si>
    <t>23604259</t>
  </si>
  <si>
    <t>01/12/2025 13:03:40</t>
  </si>
  <si>
    <t>2025-12-01 13:03:40</t>
  </si>
  <si>
    <t>OSCAR EDUARDO ALVAREZ ARROYAVE</t>
  </si>
  <si>
    <t>3113681382</t>
  </si>
  <si>
    <t>CL 51 B CR 1 -46 (INTERIOR 300 )</t>
  </si>
  <si>
    <t>055011201000460300</t>
  </si>
  <si>
    <t>2025-12-09 13:03:40</t>
  </si>
  <si>
    <t>23604267</t>
  </si>
  <si>
    <t>01/12/2025 13:09:09</t>
  </si>
  <si>
    <t>2025-12-01 13:09:09</t>
  </si>
  <si>
    <t>CR 83 CL 17 -97</t>
  </si>
  <si>
    <t>051823007000970000</t>
  </si>
  <si>
    <t>2025-12-05 13:09:09</t>
  </si>
  <si>
    <t>23604310</t>
  </si>
  <si>
    <t>01/12/2025 13:47:44</t>
  </si>
  <si>
    <t>2025-12-01 13:47:44</t>
  </si>
  <si>
    <t>CONSTRUCTORA MOLINO VIEJO S.A.S.</t>
  </si>
  <si>
    <t>4487595</t>
  </si>
  <si>
    <t>3015010997</t>
  </si>
  <si>
    <t>CR 63 CL 37 -25</t>
  </si>
  <si>
    <t>053623007000250000</t>
  </si>
  <si>
    <t>2025-12-05 13:47:44</t>
  </si>
  <si>
    <t>23604322</t>
  </si>
  <si>
    <t>01/12/2025 13:59:00</t>
  </si>
  <si>
    <t>2025-12-01 13:59:00</t>
  </si>
  <si>
    <t>PINTURAS Y YESOS S.A.S</t>
  </si>
  <si>
    <t>4481802</t>
  </si>
  <si>
    <t>3202011767</t>
  </si>
  <si>
    <t>CL 43 CR 46 -20</t>
  </si>
  <si>
    <t>054413006000200000</t>
  </si>
  <si>
    <t>2025-12-05 13:59:00</t>
  </si>
  <si>
    <t>3 días 08:55</t>
  </si>
  <si>
    <t>4 días 08:55</t>
  </si>
  <si>
    <t>5 días 21:46</t>
  </si>
  <si>
    <t>4 días 10:55</t>
  </si>
  <si>
    <t>3 días 12:09</t>
  </si>
  <si>
    <t>5 días 15:53</t>
  </si>
  <si>
    <t>6 días 15:53</t>
  </si>
  <si>
    <t>4 días 08:58</t>
  </si>
  <si>
    <t>4 días 10:48</t>
  </si>
  <si>
    <t>4 días 15:31</t>
  </si>
  <si>
    <t>3 días 10:26</t>
  </si>
  <si>
    <t>3 días 10:55</t>
  </si>
  <si>
    <t>2 días 10:38</t>
  </si>
  <si>
    <t>2 días 10:43</t>
  </si>
  <si>
    <t>2 días 11:49</t>
  </si>
  <si>
    <t>2 días 10:36</t>
  </si>
  <si>
    <t>0 días 10:03</t>
  </si>
  <si>
    <t>4 días 10:03</t>
  </si>
  <si>
    <t>2025-12-02 09:30:26</t>
  </si>
  <si>
    <t>2025-12-12 09:30:26</t>
  </si>
  <si>
    <t>02/12/2025 09:13:40</t>
  </si>
  <si>
    <t>2025-12-02 09:13:40</t>
  </si>
  <si>
    <t>161004600000000101</t>
  </si>
  <si>
    <t>2025-12-15 09:13:40</t>
  </si>
  <si>
    <t>02/12/2025 09:26:46</t>
  </si>
  <si>
    <t>2025-12-02 09:26:46</t>
  </si>
  <si>
    <t>161023684000000301</t>
  </si>
  <si>
    <t>2025-12-15 09:26:46</t>
  </si>
  <si>
    <t>23576738</t>
  </si>
  <si>
    <t>02/12/2025 10:12:35</t>
  </si>
  <si>
    <t>2025-12-02 10:12:35</t>
  </si>
  <si>
    <t>YAMILE ANDREA HENAO ATEHORTUA</t>
  </si>
  <si>
    <t>3244697953</t>
  </si>
  <si>
    <t>161021515000000201</t>
  </si>
  <si>
    <t>161021516000000005</t>
  </si>
  <si>
    <t>2025-12-15 10:12:35</t>
  </si>
  <si>
    <t>23601291</t>
  </si>
  <si>
    <t>27/11/2025 08:50:51</t>
  </si>
  <si>
    <t>2025-11-27 08:50:51</t>
  </si>
  <si>
    <t>NANCY OROZCO CARDONA</t>
  </si>
  <si>
    <t>2515107</t>
  </si>
  <si>
    <t>3113358311</t>
  </si>
  <si>
    <t>RURAL_122044400000000101_SANTA ELENA</t>
  </si>
  <si>
    <t>122044400000000101</t>
  </si>
  <si>
    <t>Revisor Instalac. Regadas Oriente</t>
  </si>
  <si>
    <t>2025-12-12 08:50:51</t>
  </si>
  <si>
    <t>23603954</t>
  </si>
  <si>
    <t>01/12/2025 09:05:04</t>
  </si>
  <si>
    <t>2025-12-01 09:05:04</t>
  </si>
  <si>
    <t>CAMILO PICO</t>
  </si>
  <si>
    <t>3138514883</t>
  </si>
  <si>
    <t>CL 45 CR 60 -57</t>
  </si>
  <si>
    <t>054615000000570000</t>
  </si>
  <si>
    <t>2025-12-15 09:05:04</t>
  </si>
  <si>
    <t>23604122</t>
  </si>
  <si>
    <t>01/12/2025 10:55:10</t>
  </si>
  <si>
    <t>2025-12-01 10:55:10</t>
  </si>
  <si>
    <t>ALBEIRO DE JESUS BARRIENTOS ARBOLEDA</t>
  </si>
  <si>
    <t>2171923</t>
  </si>
  <si>
    <t>3028165140</t>
  </si>
  <si>
    <t>CL 34 CR 33 -73</t>
  </si>
  <si>
    <t>053314003000730000</t>
  </si>
  <si>
    <t>2025-12-15 10:55:10</t>
  </si>
  <si>
    <t>23604223</t>
  </si>
  <si>
    <t>01/12/2025 12:09:47</t>
  </si>
  <si>
    <t>2025-12-01 12:09:47</t>
  </si>
  <si>
    <t>WILFER VASQUEZ SOTO</t>
  </si>
  <si>
    <t>3155942735</t>
  </si>
  <si>
    <t>CL 40 SUR CR 30 -39 (INTERIOR 126 )</t>
  </si>
  <si>
    <t>024310000000390126</t>
  </si>
  <si>
    <t>2025-12-15 12:09:47</t>
  </si>
  <si>
    <t>23604275</t>
  </si>
  <si>
    <t>01/12/2025 13:12:48</t>
  </si>
  <si>
    <t>2025-12-01 13:12:48</t>
  </si>
  <si>
    <t>BEATRIZ ALEJANDRA CARDONA ARROYAVE</t>
  </si>
  <si>
    <t>2161884</t>
  </si>
  <si>
    <t>3017072598</t>
  </si>
  <si>
    <t>CL 57 B CR 34 -60</t>
  </si>
  <si>
    <t>055317204000600000</t>
  </si>
  <si>
    <t>2025-12-15 13:12:48</t>
  </si>
  <si>
    <t>23604315</t>
  </si>
  <si>
    <t>01/12/2025 13:52:25</t>
  </si>
  <si>
    <t>2025-12-01 13:52:25</t>
  </si>
  <si>
    <t>YEYSON ARMANDO RIOS RIOS</t>
  </si>
  <si>
    <t>5388362</t>
  </si>
  <si>
    <t>3104683709</t>
  </si>
  <si>
    <t>RURAL_146024705000000000_146024705000000000</t>
  </si>
  <si>
    <t>146024705000000000</t>
  </si>
  <si>
    <t>2025-12-22 13:52:25</t>
  </si>
  <si>
    <t>23604382</t>
  </si>
  <si>
    <t>01/12/2025 14:34:18</t>
  </si>
  <si>
    <t>2025-12-01 14:34:18</t>
  </si>
  <si>
    <t>LUIS ALBERTO DUQUE VARGAS</t>
  </si>
  <si>
    <t>3226540799</t>
  </si>
  <si>
    <t>RURAL_136032709000000000_CR 105 CL 57A-30</t>
  </si>
  <si>
    <t>136032709000000000</t>
  </si>
  <si>
    <t>23604561</t>
  </si>
  <si>
    <t>01/12/2025 16:34:09</t>
  </si>
  <si>
    <t>2025-12-01 16:34:09</t>
  </si>
  <si>
    <t>BEATRIZ ELENA GIRALDO CASTRO</t>
  </si>
  <si>
    <t>3176670766</t>
  </si>
  <si>
    <t>CL 26 SUR CR 22 -3 (INTERIOR 106 )</t>
  </si>
  <si>
    <t>022216002000030106</t>
  </si>
  <si>
    <t>2025-12-15 16:34:09</t>
  </si>
  <si>
    <t>22609940</t>
  </si>
  <si>
    <t>07/12/2022 12:36:02</t>
  </si>
  <si>
    <t>2025-12-02 10:19:04</t>
  </si>
  <si>
    <t>NATALIA ANDREA GARCIA LEZCANO</t>
  </si>
  <si>
    <t>3023420093</t>
  </si>
  <si>
    <t>RURAL_146005698800000001</t>
  </si>
  <si>
    <t>146005698800000001</t>
  </si>
  <si>
    <t>2025-12-15 10:19:04</t>
  </si>
  <si>
    <t>2025-12-02 09:49:55</t>
  </si>
  <si>
    <t>2025-12-10 09:49:55</t>
  </si>
  <si>
    <t>23412993</t>
  </si>
  <si>
    <t>02/12/2025 08:24:02</t>
  </si>
  <si>
    <t>2025-12-02 08:24:02</t>
  </si>
  <si>
    <t>ANDRES BOTERO GARCIA</t>
  </si>
  <si>
    <t>CL 60 CR 74 A -174 (INTERIOR 101 )</t>
  </si>
  <si>
    <t>056710004101740101</t>
  </si>
  <si>
    <t>2025-12-09 08:24:02</t>
  </si>
  <si>
    <t>2025-11-27 13:35:13</t>
  </si>
  <si>
    <t>23474614</t>
  </si>
  <si>
    <t>26/06/2025 14:32:40</t>
  </si>
  <si>
    <t>2025-12-02 09:31:11</t>
  </si>
  <si>
    <t>JUAN DIEGO VELEZ MORALES</t>
  </si>
  <si>
    <t>3226471113</t>
  </si>
  <si>
    <t>CR 99 EC CL 48 BB -18</t>
  </si>
  <si>
    <t>054929538220180000</t>
  </si>
  <si>
    <t>2025-12-10 09:31:11</t>
  </si>
  <si>
    <t>23480561</t>
  </si>
  <si>
    <t>02/12/2025 08:44:30</t>
  </si>
  <si>
    <t>2025-12-02 08:44:30</t>
  </si>
  <si>
    <t>HECTOR ALONSO CORRALES RESTREPO</t>
  </si>
  <si>
    <t>4484015</t>
  </si>
  <si>
    <t>CL 44 CR 71 -36</t>
  </si>
  <si>
    <t>054714001000360000</t>
  </si>
  <si>
    <t>2025-12-09 08:44:30</t>
  </si>
  <si>
    <t>2025-12-12 21:54:54</t>
  </si>
  <si>
    <t>23525881</t>
  </si>
  <si>
    <t>02/12/2025 14:49:52</t>
  </si>
  <si>
    <t>2025-12-02 14:49:52</t>
  </si>
  <si>
    <t>PREMIER PADEL S.A.S</t>
  </si>
  <si>
    <t>3165238845</t>
  </si>
  <si>
    <t>CR 43 A CL 46 SUR -49</t>
  </si>
  <si>
    <t>024423106000490000</t>
  </si>
  <si>
    <t>2025-12-09 14:49:52</t>
  </si>
  <si>
    <t>23543495</t>
  </si>
  <si>
    <t>19/09/2025 10:23:20</t>
  </si>
  <si>
    <t>2025-12-02 12:29:27</t>
  </si>
  <si>
    <t>LUZ DARY MENDOZA PARRA</t>
  </si>
  <si>
    <t>3014890587</t>
  </si>
  <si>
    <t>RURAL_116005322810100059_CL 31C 110A 50(101)</t>
  </si>
  <si>
    <t>116005322810100059</t>
  </si>
  <si>
    <t>2025-12-10 12:29:27</t>
  </si>
  <si>
    <t>23543664</t>
  </si>
  <si>
    <t>02/12/2025 13:20:05</t>
  </si>
  <si>
    <t>2025-12-02 13:20:05</t>
  </si>
  <si>
    <t>CR 45 A CL 72 -66</t>
  </si>
  <si>
    <t>077425102000660000</t>
  </si>
  <si>
    <t>2025-12-09 13:20:05</t>
  </si>
  <si>
    <t>23549171</t>
  </si>
  <si>
    <t>25/09/2025 13:01:02</t>
  </si>
  <si>
    <t>KELLY JHOANA GONZALEZ ALVAREZ</t>
  </si>
  <si>
    <t>3128736678</t>
  </si>
  <si>
    <t>CL 39 AD CR 117 B -54 (INTERIOR 301 )</t>
  </si>
  <si>
    <t>083119147200540301</t>
  </si>
  <si>
    <t>2025-12-10 13:02:35</t>
  </si>
  <si>
    <t>23584540</t>
  </si>
  <si>
    <t>07/11/2025 09:49:33</t>
  </si>
  <si>
    <t>2025-12-02 10:48:33</t>
  </si>
  <si>
    <t>YALENY CRISTINA OQUENDO HIGUITA</t>
  </si>
  <si>
    <t>3168520710</t>
  </si>
  <si>
    <t>CR 94 B CL 62 AA -20 (INTERIOR 109 )</t>
  </si>
  <si>
    <t>056924202110200109</t>
  </si>
  <si>
    <t>2025-12-10 10:48:33</t>
  </si>
  <si>
    <t>23585759</t>
  </si>
  <si>
    <t>10/11/2025 09:58:19</t>
  </si>
  <si>
    <t>2025-12-02 10:32:50</t>
  </si>
  <si>
    <t>ALBANY PINO ASPRILLA</t>
  </si>
  <si>
    <t>3245133432</t>
  </si>
  <si>
    <t>CL 65 CR 16 DD -19 (INTERIOR 1183 )</t>
  </si>
  <si>
    <t>056115006440191183</t>
  </si>
  <si>
    <t>2025-12-10 10:32:50</t>
  </si>
  <si>
    <t>23585784</t>
  </si>
  <si>
    <t>10/11/2025 10:13:36</t>
  </si>
  <si>
    <t>2025-12-02 09:34:24</t>
  </si>
  <si>
    <t>FERNEY DE JESUS JIMENEZ ARANZAZU</t>
  </si>
  <si>
    <t>3009088972</t>
  </si>
  <si>
    <t>CL 65 CR 16 DD -19 (INTERIOR 1272 )</t>
  </si>
  <si>
    <t>056115006440191272</t>
  </si>
  <si>
    <t>2025-12-10 09:34:24</t>
  </si>
  <si>
    <t>23592446</t>
  </si>
  <si>
    <t>18/11/2025 11:17:31</t>
  </si>
  <si>
    <t>2025-12-01 14:20:37</t>
  </si>
  <si>
    <t>GLORIA AMPARO URREGO RESTREPO</t>
  </si>
  <si>
    <t>3145361309</t>
  </si>
  <si>
    <t>CR 119 CL 39 DA -25 (INTERIOR 301 )</t>
  </si>
  <si>
    <t>083129009410250301</t>
  </si>
  <si>
    <t>2025-12-09 14:20:37</t>
  </si>
  <si>
    <t>23595171</t>
  </si>
  <si>
    <t>25/11/2025 10:32:49</t>
  </si>
  <si>
    <t>2025-12-01 15:04:42</t>
  </si>
  <si>
    <t>DURLEY RODRIGUEZ RESTREPO</t>
  </si>
  <si>
    <t>3734780</t>
  </si>
  <si>
    <t>3017914634</t>
  </si>
  <si>
    <t>CL 35 CR 51 -4 (INTERIOR 101 )</t>
  </si>
  <si>
    <t>073515001000040101</t>
  </si>
  <si>
    <t>2025-12-09 15:04:42</t>
  </si>
  <si>
    <t>2025-12-12 09:47:54</t>
  </si>
  <si>
    <t>23599346</t>
  </si>
  <si>
    <t>25/11/2025 13:23:14</t>
  </si>
  <si>
    <t>2025-12-01 15:43:43</t>
  </si>
  <si>
    <t>ANDRES FELIPE ROJAS AMAYA</t>
  </si>
  <si>
    <t>3217171001</t>
  </si>
  <si>
    <t>CL 47 C CR 102 -15</t>
  </si>
  <si>
    <t>084017302000150000</t>
  </si>
  <si>
    <t>2025-12-17 15:43:43</t>
  </si>
  <si>
    <t>3 días 15:31</t>
  </si>
  <si>
    <t>2025-12-11 08:58:06</t>
  </si>
  <si>
    <t>6 días 08:58</t>
  </si>
  <si>
    <t>2025-12-09 10:33:48</t>
  </si>
  <si>
    <t>2025-12-11 12:47:02</t>
  </si>
  <si>
    <t>2025-12-10 11:39:19</t>
  </si>
  <si>
    <t>2025-12-10 16:33:57</t>
  </si>
  <si>
    <t>02/12/2025 13:26:35</t>
  </si>
  <si>
    <t>2025-12-02 13:26:35</t>
  </si>
  <si>
    <t>2025-12-10 13:26:35</t>
  </si>
  <si>
    <t>02/12/2025 13:27:26</t>
  </si>
  <si>
    <t>2025-12-02 13:27:26</t>
  </si>
  <si>
    <t>2025-12-10 13:27:26</t>
  </si>
  <si>
    <t>23604359</t>
  </si>
  <si>
    <t>01/12/2025 14:25:35</t>
  </si>
  <si>
    <t>2025-12-01 14:25:35</t>
  </si>
  <si>
    <t>SANTIAGO CARDONA SIERRA</t>
  </si>
  <si>
    <t>4978093</t>
  </si>
  <si>
    <t>3103860285</t>
  </si>
  <si>
    <t>RURAL_125006700000000175_PARCELACION LAS PALMAS LO</t>
  </si>
  <si>
    <t>125006700000000175</t>
  </si>
  <si>
    <t>2025-12-05 14:25:35</t>
  </si>
  <si>
    <t>2025-12-15 14:34:18</t>
  </si>
  <si>
    <t>23604444</t>
  </si>
  <si>
    <t>01/12/2025 15:05:14</t>
  </si>
  <si>
    <t>2025-12-01 15:05:14</t>
  </si>
  <si>
    <t>ANDREA NIETO LAVERDE</t>
  </si>
  <si>
    <t>3013875725</t>
  </si>
  <si>
    <t>CR 118 CL 39 -66 (INTERIOR 301 )</t>
  </si>
  <si>
    <t>083128009000660301</t>
  </si>
  <si>
    <t>2025-12-09 15:05:14</t>
  </si>
  <si>
    <t>23604495</t>
  </si>
  <si>
    <t>01/12/2025 15:41:25</t>
  </si>
  <si>
    <t>2025-12-01 15:41:25</t>
  </si>
  <si>
    <t>JOHN JAIRO ALVAREZ ARBOLEDA</t>
  </si>
  <si>
    <t>3218780574</t>
  </si>
  <si>
    <t>CL 57 CR 82 A -98 (INTERIOR 401 )</t>
  </si>
  <si>
    <t>055817002100980401</t>
  </si>
  <si>
    <t>2025-12-09 15:41:25</t>
  </si>
  <si>
    <t>23604534</t>
  </si>
  <si>
    <t>01/12/2025 16:12:05</t>
  </si>
  <si>
    <t>2025-12-01 16:12:05</t>
  </si>
  <si>
    <t>CLAUDIA YANET ACEVEDO PEREZ</t>
  </si>
  <si>
    <t>3008347443</t>
  </si>
  <si>
    <t>CR 3 CL 55 FF -70</t>
  </si>
  <si>
    <t>055023005660700000</t>
  </si>
  <si>
    <t>2025-12-17 16:12:05</t>
  </si>
  <si>
    <t>3008196847</t>
  </si>
  <si>
    <t>23604557</t>
  </si>
  <si>
    <t>01/12/2025 16:28:58</t>
  </si>
  <si>
    <t>2025-12-01 16:28:58</t>
  </si>
  <si>
    <t>JOSE ANGEL CARDONA GONZALEZ</t>
  </si>
  <si>
    <t>3885408</t>
  </si>
  <si>
    <t>CR 25 AA CL 56 -58 (INTERIOR 201 )</t>
  </si>
  <si>
    <t>055225116000580201</t>
  </si>
  <si>
    <t>2025-12-05 16:28:58</t>
  </si>
  <si>
    <t>23604636</t>
  </si>
  <si>
    <t>01/12/2025 19:20:16</t>
  </si>
  <si>
    <t>2025-12-01 19:20:16</t>
  </si>
  <si>
    <t>LUZ MERY HIGUITA MONRROY</t>
  </si>
  <si>
    <t>3137939408</t>
  </si>
  <si>
    <t>CL 58 CR 94 -107 (INTERIOR 110 )</t>
  </si>
  <si>
    <t>055918004001070110</t>
  </si>
  <si>
    <t>2025-12-09 19:20:16</t>
  </si>
  <si>
    <t>23604830</t>
  </si>
  <si>
    <t>02/12/2025 06:21:12</t>
  </si>
  <si>
    <t>2025-12-02 06:21:12</t>
  </si>
  <si>
    <t>SERGIO ANDRES MONTOYA GIRALDO</t>
  </si>
  <si>
    <t>3154741612</t>
  </si>
  <si>
    <t>RURAL_146013704000000000_RURAL_PALMITAS</t>
  </si>
  <si>
    <t>146013704000000000</t>
  </si>
  <si>
    <t>2025-12-09 06:21:12</t>
  </si>
  <si>
    <t>23604913</t>
  </si>
  <si>
    <t>02/12/2025 08:35:33</t>
  </si>
  <si>
    <t>2025-12-02 08:35:33</t>
  </si>
  <si>
    <t>JOMAR ALEXIS HENAO RESTREPO</t>
  </si>
  <si>
    <t>2659441</t>
  </si>
  <si>
    <t>3154292193</t>
  </si>
  <si>
    <t>CL 29 AA CR 50 -9</t>
  </si>
  <si>
    <t>052519110000090000</t>
  </si>
  <si>
    <t>2025-12-09 08:35:33</t>
  </si>
  <si>
    <t>23604937</t>
  </si>
  <si>
    <t>02/12/2025 08:57:34</t>
  </si>
  <si>
    <t>2025-12-02 08:57:34</t>
  </si>
  <si>
    <t>BENJAMIN  FRANCO SUAZA</t>
  </si>
  <si>
    <t>3148345264</t>
  </si>
  <si>
    <t>CR 99 DE CL 48 BC -41</t>
  </si>
  <si>
    <t>054929458230410000</t>
  </si>
  <si>
    <t>2025-12-18 08:57:34</t>
  </si>
  <si>
    <t>23604942</t>
  </si>
  <si>
    <t>02/12/2025 09:08:46</t>
  </si>
  <si>
    <t>2025-12-02 09:08:46</t>
  </si>
  <si>
    <t>ROGELIO ANTONIO CALLE ZAMUDIO</t>
  </si>
  <si>
    <t>2120349</t>
  </si>
  <si>
    <t>3008192534</t>
  </si>
  <si>
    <t>CR 43 CL 66 -38 (INTERIOR 231 )</t>
  </si>
  <si>
    <t>056423006000380231</t>
  </si>
  <si>
    <t>2025-12-09 09:08:46</t>
  </si>
  <si>
    <t>23604948</t>
  </si>
  <si>
    <t>02/12/2025 09:13:29</t>
  </si>
  <si>
    <t>2025-12-02 09:13:29</t>
  </si>
  <si>
    <t>JAIRO DE JESUS CASTAÑO CARDENAS</t>
  </si>
  <si>
    <t>2578056</t>
  </si>
  <si>
    <t>3016748034</t>
  </si>
  <si>
    <t>CL 49 CR 99 F -100 (INTERIOR 1111 )</t>
  </si>
  <si>
    <t>054919009601001111</t>
  </si>
  <si>
    <t>2025-12-10 09:13:29</t>
  </si>
  <si>
    <t>23604963</t>
  </si>
  <si>
    <t>02/12/2025 09:36:31</t>
  </si>
  <si>
    <t>2025-12-02 09:36:31</t>
  </si>
  <si>
    <t>LEIDY JOHANA TRUJILLO OCAMPO</t>
  </si>
  <si>
    <t>3137905203</t>
  </si>
  <si>
    <t>CL 56 A CR 25 BB -29 (INTERIOR 2207 )</t>
  </si>
  <si>
    <t>055216105220292207</t>
  </si>
  <si>
    <t>2025-12-10 09:36:31</t>
  </si>
  <si>
    <t>23604964</t>
  </si>
  <si>
    <t>02/12/2025 09:36:41</t>
  </si>
  <si>
    <t>2025-12-02 09:36:41</t>
  </si>
  <si>
    <t>CL 56 A CR 25 BB -29 (INTERIOR 2208 )</t>
  </si>
  <si>
    <t>055216105220292208</t>
  </si>
  <si>
    <t>2025-12-10 09:36:41</t>
  </si>
  <si>
    <t>23604973</t>
  </si>
  <si>
    <t>02/12/2025 09:47:17</t>
  </si>
  <si>
    <t>2025-12-02 09:47:17</t>
  </si>
  <si>
    <t>CATALINA MARIA LEDESMA SOTO</t>
  </si>
  <si>
    <t>3117794658</t>
  </si>
  <si>
    <t>CL 29 B CR 84 -77</t>
  </si>
  <si>
    <t>052819204000770000-ENEPRE</t>
  </si>
  <si>
    <t>2025-12-18 09:47:17</t>
  </si>
  <si>
    <t>23604988</t>
  </si>
  <si>
    <t>02/12/2025 10:03:43</t>
  </si>
  <si>
    <t>2025-12-02 10:03:43</t>
  </si>
  <si>
    <t>MARIO VARGAS BEDOYA</t>
  </si>
  <si>
    <t>3217842057</t>
  </si>
  <si>
    <t>CR 19 CL 53 -20 (INTERIOR 201 )</t>
  </si>
  <si>
    <t>055129003000200201</t>
  </si>
  <si>
    <t>2025-12-10 10:03:43</t>
  </si>
  <si>
    <t>23605015</t>
  </si>
  <si>
    <t>02/12/2025 10:26:13</t>
  </si>
  <si>
    <t>2025-12-02 10:26:13</t>
  </si>
  <si>
    <t>BEATRIZ EUGENIA HERNANDEZ BANDA</t>
  </si>
  <si>
    <t>3148355898</t>
  </si>
  <si>
    <t>RURAL_163010541000000005</t>
  </si>
  <si>
    <t>163010541000000005</t>
  </si>
  <si>
    <t>2025-12-10 10:26:13</t>
  </si>
  <si>
    <t>23605017</t>
  </si>
  <si>
    <t>02/12/2025 10:26:49</t>
  </si>
  <si>
    <t>2025-12-02 10:26:49</t>
  </si>
  <si>
    <t>ROBINSON ANDRES RODRIGUEZ CORRAL</t>
  </si>
  <si>
    <t>5836653</t>
  </si>
  <si>
    <t>3142037751</t>
  </si>
  <si>
    <t>RURAL_125004473000000000_125004473000000000</t>
  </si>
  <si>
    <t>125004473000000000</t>
  </si>
  <si>
    <t>2025-12-09 10:26:49</t>
  </si>
  <si>
    <t>4 días 10:26</t>
  </si>
  <si>
    <t>23605031</t>
  </si>
  <si>
    <t>02/12/2025 10:36:33</t>
  </si>
  <si>
    <t>2025-12-02 10:36:33</t>
  </si>
  <si>
    <t>KARLA JULIETH ZABALA CARDENAS</t>
  </si>
  <si>
    <t>3245116945</t>
  </si>
  <si>
    <t>CL 56 E CR 17 B -20 (INTERIOR 202 )</t>
  </si>
  <si>
    <t>055116507200200202</t>
  </si>
  <si>
    <t>2025-12-10 10:36:33</t>
  </si>
  <si>
    <t>23605032</t>
  </si>
  <si>
    <t>02/12/2025 10:38:31</t>
  </si>
  <si>
    <t>2025-12-02 10:38:31</t>
  </si>
  <si>
    <t>LAURA ISABEL GIRALDO OSORIO</t>
  </si>
  <si>
    <t>3004308795</t>
  </si>
  <si>
    <t>CR 20 B CL 53 -30 (INTERIOR 210 )</t>
  </si>
  <si>
    <t>055220203000300210</t>
  </si>
  <si>
    <t>2025-12-10 10:38:31</t>
  </si>
  <si>
    <t>23605037</t>
  </si>
  <si>
    <t>02/12/2025 10:40:58</t>
  </si>
  <si>
    <t>2025-12-02 10:40:58</t>
  </si>
  <si>
    <t>ADELMO DE JESUS MONSALVE PEREZ</t>
  </si>
  <si>
    <t>5046765</t>
  </si>
  <si>
    <t>3127135698</t>
  </si>
  <si>
    <t>CR 25 CL 56 -28 (INTERIOR 201 )</t>
  </si>
  <si>
    <t>055225006000280201</t>
  </si>
  <si>
    <t>2025-12-10 10:40:58</t>
  </si>
  <si>
    <t>23605044</t>
  </si>
  <si>
    <t>02/12/2025 10:43:11</t>
  </si>
  <si>
    <t>2025-12-02 10:43:11</t>
  </si>
  <si>
    <t>GLORIA ELENA SANCHEZ RESTREPO</t>
  </si>
  <si>
    <t>3126075365</t>
  </si>
  <si>
    <t>RURAL_163010541000000006</t>
  </si>
  <si>
    <t>163010541000000006</t>
  </si>
  <si>
    <t>2025-12-10 10:43:11</t>
  </si>
  <si>
    <t>23605045</t>
  </si>
  <si>
    <t>02/12/2025 10:43:32</t>
  </si>
  <si>
    <t>2025-12-02 10:43:32</t>
  </si>
  <si>
    <t>ELSY DEL SOCORRO BEDOYA SERNA</t>
  </si>
  <si>
    <t>4444115</t>
  </si>
  <si>
    <t>3106764110</t>
  </si>
  <si>
    <t>CR 25 CL 56 -28 (INTERIOR 202 )</t>
  </si>
  <si>
    <t>055225006000280202</t>
  </si>
  <si>
    <t>2025-12-10 10:43:32</t>
  </si>
  <si>
    <t>23605116</t>
  </si>
  <si>
    <t>02/12/2025 11:37:24</t>
  </si>
  <si>
    <t>2025-12-02 11:37:24</t>
  </si>
  <si>
    <t>HECTOR MEJIA GONZALEZ</t>
  </si>
  <si>
    <t>3015159246</t>
  </si>
  <si>
    <t>CL 34 C CR 89 -18 (INTERIOR 201 )</t>
  </si>
  <si>
    <t>053814309000180201</t>
  </si>
  <si>
    <t>2025-12-09 11:37:24</t>
  </si>
  <si>
    <t>23605118</t>
  </si>
  <si>
    <t>02/12/2025 11:37:23</t>
  </si>
  <si>
    <t>2025-12-02 11:37:23</t>
  </si>
  <si>
    <t>BLANCA DORIS ZAPATA MONSALVE</t>
  </si>
  <si>
    <t>3013149459</t>
  </si>
  <si>
    <t>CR 17 D CL 56 BB -53 (INTERIOR 201 )</t>
  </si>
  <si>
    <t>055127406220530201</t>
  </si>
  <si>
    <t>2025-12-10 11:37:23</t>
  </si>
  <si>
    <t>23605147</t>
  </si>
  <si>
    <t>02/12/2025 11:55:08</t>
  </si>
  <si>
    <t>2025-12-02 11:55:08</t>
  </si>
  <si>
    <t>PAULA JOHANNA RESTREPO OSORIO</t>
  </si>
  <si>
    <t>3243022020</t>
  </si>
  <si>
    <t>CL 56 D CR 14 -29 (INTERIOR 202 )</t>
  </si>
  <si>
    <t>055116404000290202</t>
  </si>
  <si>
    <t>2025-12-10 11:55:08</t>
  </si>
  <si>
    <t>23605163</t>
  </si>
  <si>
    <t>02/12/2025 12:03:59</t>
  </si>
  <si>
    <t>2025-12-02 12:03:59</t>
  </si>
  <si>
    <t>MARIA ALEJANDRA CARTAGENA JIMENEZ</t>
  </si>
  <si>
    <t>3127593402</t>
  </si>
  <si>
    <t>CL 56 E CR 17 B -10 (INTERIOR 201 )</t>
  </si>
  <si>
    <t>055116507200100201</t>
  </si>
  <si>
    <t>2025-12-10 12:03:59</t>
  </si>
  <si>
    <t>23605190</t>
  </si>
  <si>
    <t>02/12/2025 12:26:33</t>
  </si>
  <si>
    <t>2025-12-02 12:26:33</t>
  </si>
  <si>
    <t>JUAN ESTEBAN PINEDA CAÑAVERAL</t>
  </si>
  <si>
    <t>3006886345</t>
  </si>
  <si>
    <t>CR 81 CL 5 -5 (INTERIOR 5 )</t>
  </si>
  <si>
    <t>050821005000050005</t>
  </si>
  <si>
    <t>2025-12-09 12:26:33</t>
  </si>
  <si>
    <t>23605246</t>
  </si>
  <si>
    <t>02/12/2025 13:23:14</t>
  </si>
  <si>
    <t>2025-12-02 13:23:14</t>
  </si>
  <si>
    <t>INVERSIONES FERBIENES SAS</t>
  </si>
  <si>
    <t>6046393</t>
  </si>
  <si>
    <t>3126042153</t>
  </si>
  <si>
    <t>CL 82 SUR CR 47 F -85 (INTERIOR 1 )</t>
  </si>
  <si>
    <t>018412007600850001</t>
  </si>
  <si>
    <t>2025-12-09 13:23:14</t>
  </si>
  <si>
    <t>23605247</t>
  </si>
  <si>
    <t>02/12/2025 13:24:02</t>
  </si>
  <si>
    <t>2025-12-02 13:24:02</t>
  </si>
  <si>
    <t>VICTOR HUGO ROJAS OSPINA</t>
  </si>
  <si>
    <t>3148069183</t>
  </si>
  <si>
    <t>CR 148 CL 65 A -41 (INTERIOR 101 )</t>
  </si>
  <si>
    <t>086428005100410101</t>
  </si>
  <si>
    <t>2025-12-10 13:24:02</t>
  </si>
  <si>
    <t>23605262</t>
  </si>
  <si>
    <t>02/12/2025 13:37:31</t>
  </si>
  <si>
    <t>2025-12-02 13:37:31</t>
  </si>
  <si>
    <t>LEOPOLDO ADOLFO LOPEZ CASAS</t>
  </si>
  <si>
    <t>3217021202</t>
  </si>
  <si>
    <t>CL 56 BB CR 21 -136 (INTERIOR 101 )</t>
  </si>
  <si>
    <t>055216221001360101</t>
  </si>
  <si>
    <t>2025-12-10 13:37:31</t>
  </si>
  <si>
    <t>23605270</t>
  </si>
  <si>
    <t>02/12/2025 13:53:45</t>
  </si>
  <si>
    <t>2025-12-02 13:53:45</t>
  </si>
  <si>
    <t>CL 56 BB CR 21 -136 (INTERIOR 201 )</t>
  </si>
  <si>
    <t>055216221001360201</t>
  </si>
  <si>
    <t>2025-12-10 13:53:45</t>
  </si>
  <si>
    <t>23605301</t>
  </si>
  <si>
    <t>02/12/2025 14:15:35</t>
  </si>
  <si>
    <t>2025-12-02 14:15:35</t>
  </si>
  <si>
    <t>CONJUNTO AVIVA PH</t>
  </si>
  <si>
    <t>3108278415</t>
  </si>
  <si>
    <t>CR 84 F CL 3 D -150 (INTERIOR 13 )</t>
  </si>
  <si>
    <t>050824603401500013</t>
  </si>
  <si>
    <t>2025-12-09 14:15:35</t>
  </si>
  <si>
    <t>23605330</t>
  </si>
  <si>
    <t>02/12/2025 14:30:24</t>
  </si>
  <si>
    <t>2025-12-02 14:30:24</t>
  </si>
  <si>
    <t>DAMARLY REYES TORRES</t>
  </si>
  <si>
    <t>4480620</t>
  </si>
  <si>
    <t>3007888372</t>
  </si>
  <si>
    <t>CR 65 CL 29 D -2</t>
  </si>
  <si>
    <t>052625009400020000</t>
  </si>
  <si>
    <t>2025-12-09 14:30:24</t>
  </si>
  <si>
    <t>23605333</t>
  </si>
  <si>
    <t>02/12/2025 14:36:01</t>
  </si>
  <si>
    <t>2025-12-02 14:36:01</t>
  </si>
  <si>
    <t>REDYCO SAS</t>
  </si>
  <si>
    <t>4482321</t>
  </si>
  <si>
    <t>3217958413</t>
  </si>
  <si>
    <t>CR 50 CL 98 A SUR -202</t>
  </si>
  <si>
    <t>039520008102020000</t>
  </si>
  <si>
    <t>2025-12-09 14:36:01</t>
  </si>
  <si>
    <t>23605345</t>
  </si>
  <si>
    <t>02/12/2025 14:46:20</t>
  </si>
  <si>
    <t>2025-12-02 14:46:20</t>
  </si>
  <si>
    <t>CR 49 D CL 97 A SUR -270 (INTERIOR 8000 )</t>
  </si>
  <si>
    <t>039429407102708000</t>
  </si>
  <si>
    <t>2025-12-09 14:46:20</t>
  </si>
  <si>
    <t>3 días 09:30</t>
  </si>
  <si>
    <t>2 días 11:44</t>
  </si>
  <si>
    <t>4 días 11:05</t>
  </si>
  <si>
    <t>3 días 13:21</t>
  </si>
  <si>
    <t>2 días 11:50</t>
  </si>
  <si>
    <t>3 días 11:50</t>
  </si>
  <si>
    <t>3 días 10:51</t>
  </si>
  <si>
    <t>0 días 09:34</t>
  </si>
  <si>
    <t>4 días 09:34</t>
  </si>
  <si>
    <t>2 días 14:20</t>
  </si>
  <si>
    <t>3 días 14:20</t>
  </si>
  <si>
    <t>2 días 15:50</t>
  </si>
  <si>
    <t>3 días 13:32</t>
  </si>
  <si>
    <t>6 días 11:45</t>
  </si>
  <si>
    <t>2 días 13:27</t>
  </si>
  <si>
    <t>5 días 14:44</t>
  </si>
  <si>
    <t>6 días 14:44</t>
  </si>
  <si>
    <t>4 días 09:29</t>
  </si>
  <si>
    <t>4 días 14:53</t>
  </si>
  <si>
    <t>4 días 12:47</t>
  </si>
  <si>
    <t>23601590</t>
  </si>
  <si>
    <t>27/11/2025 12:58:14</t>
  </si>
  <si>
    <t>2025-12-01 12:35:50</t>
  </si>
  <si>
    <t>DANIEL ALEJANDRO CARDONA MONCADA</t>
  </si>
  <si>
    <t>6066696</t>
  </si>
  <si>
    <t>3217576295</t>
  </si>
  <si>
    <t>RURAL_159065000000000004</t>
  </si>
  <si>
    <t>159065000000000004</t>
  </si>
  <si>
    <t>2025-12-11 12:35:50</t>
  </si>
  <si>
    <t>4 días 15:34</t>
  </si>
  <si>
    <t>4 días 16:30</t>
  </si>
  <si>
    <t>4 días 16:42</t>
  </si>
  <si>
    <t>4 días 16:48</t>
  </si>
  <si>
    <t>5 días 16:48</t>
  </si>
  <si>
    <t>3 días 10:43</t>
  </si>
  <si>
    <t>3 días 10:48</t>
  </si>
  <si>
    <t>3 días 13:26</t>
  </si>
  <si>
    <t>3 días 14:44</t>
  </si>
  <si>
    <t>3 días 16:06</t>
  </si>
  <si>
    <t>4 días 16:06</t>
  </si>
  <si>
    <t>4 días 13:59</t>
  </si>
  <si>
    <t>4 días 13:26</t>
  </si>
  <si>
    <t>3 días 14:46</t>
  </si>
  <si>
    <t>2 días 09:08</t>
  </si>
  <si>
    <t>3 días 09:08</t>
  </si>
  <si>
    <t>2 días 09:13</t>
  </si>
  <si>
    <t>3 días 09:13</t>
  </si>
  <si>
    <t>2 días 10:35</t>
  </si>
  <si>
    <t>3 días 10:35</t>
  </si>
  <si>
    <t>2 días 12:09</t>
  </si>
  <si>
    <t>3 días 14:27</t>
  </si>
  <si>
    <t>2 días 15:41</t>
  </si>
  <si>
    <t>0 días 08:35</t>
  </si>
  <si>
    <t>3 días 08:35</t>
  </si>
  <si>
    <t>0 días 10:38</t>
  </si>
  <si>
    <t>4 días 10:38</t>
  </si>
  <si>
    <t>0 días 14:15</t>
  </si>
  <si>
    <t>3 días 14:30</t>
  </si>
  <si>
    <t>0 días 14:36</t>
  </si>
  <si>
    <t>23183419</t>
  </si>
  <si>
    <t>14/08/2024 14:40:12</t>
  </si>
  <si>
    <t>2025-12-01 11:51:24</t>
  </si>
  <si>
    <t>JHONY GONGORA RIOS</t>
  </si>
  <si>
    <t>3234815088</t>
  </si>
  <si>
    <t>RURAL_122015999400000201</t>
  </si>
  <si>
    <t>122015999400000201</t>
  </si>
  <si>
    <t>2025-12-16 11:51:24</t>
  </si>
  <si>
    <t>23293124</t>
  </si>
  <si>
    <t>29/11/2024 08:47:07</t>
  </si>
  <si>
    <t>2025-12-01 09:29:44</t>
  </si>
  <si>
    <t>CARLOS EMILIO MONSALVE QUINTERO</t>
  </si>
  <si>
    <t>5227491</t>
  </si>
  <si>
    <t>3206379324</t>
  </si>
  <si>
    <t>CR 9 A CL 44 AA -47</t>
  </si>
  <si>
    <t>054029104110470000</t>
  </si>
  <si>
    <t>2025-12-11 09:29:44</t>
  </si>
  <si>
    <t>23359284</t>
  </si>
  <si>
    <t>13/02/2025 16:26:35</t>
  </si>
  <si>
    <t>2025-12-02 21:48:55</t>
  </si>
  <si>
    <t>ELKIN ALONSO ESCOBAR FERNANDEZ</t>
  </si>
  <si>
    <t>5983097</t>
  </si>
  <si>
    <t>3185503677</t>
  </si>
  <si>
    <t>CL 47 C CR 61 -81 (INTERIOR 1191 )</t>
  </si>
  <si>
    <t>074617301000811191</t>
  </si>
  <si>
    <t>2025-12-12 21:48:55</t>
  </si>
  <si>
    <t>23432407</t>
  </si>
  <si>
    <t>07/05/2025 15:51:03</t>
  </si>
  <si>
    <t>2025-12-01 14:47:45</t>
  </si>
  <si>
    <t>ALBERTO  CUERVO CARDONA</t>
  </si>
  <si>
    <t>3007621723</t>
  </si>
  <si>
    <t>CR 47 CL 64 -27 (INTERIOR 501 )</t>
  </si>
  <si>
    <t>056427004000270501</t>
  </si>
  <si>
    <t>2025-12-11 14:47:45</t>
  </si>
  <si>
    <t>23474689</t>
  </si>
  <si>
    <t>26/06/2025 15:16:29</t>
  </si>
  <si>
    <t>2025-12-02 16:29:25</t>
  </si>
  <si>
    <t>LUZ JHENIFER GALLEGO GIRALDO</t>
  </si>
  <si>
    <t>3043626981</t>
  </si>
  <si>
    <t>CR 8 ESTE CL 54 B -61 (INTERIOR 101 )</t>
  </si>
  <si>
    <t>705028004200610101</t>
  </si>
  <si>
    <t>2025-12-10 16:29:25</t>
  </si>
  <si>
    <t>23479039</t>
  </si>
  <si>
    <t>03/07/2025 11:52:41</t>
  </si>
  <si>
    <t>2025-12-02 15:56:44</t>
  </si>
  <si>
    <t>DANIEL AGUDELO QUIROS</t>
  </si>
  <si>
    <t>5576240</t>
  </si>
  <si>
    <t>3113758735</t>
  </si>
  <si>
    <t>CR 65 A CL 26 -51</t>
  </si>
  <si>
    <t>052625106000510000</t>
  </si>
  <si>
    <t>2025-12-12 15:56:44</t>
  </si>
  <si>
    <t>3185999447</t>
  </si>
  <si>
    <t>6 días 15:23</t>
  </si>
  <si>
    <t>23493014</t>
  </si>
  <si>
    <t>21/07/2025 15:09:30</t>
  </si>
  <si>
    <t>2025-12-02 16:31:26</t>
  </si>
  <si>
    <t>BLANCA NUBIA MESA ALVAREZ</t>
  </si>
  <si>
    <t>3330795</t>
  </si>
  <si>
    <t>3008619909</t>
  </si>
  <si>
    <t>CL 40 F SUR CR 40 A -22 (INTERIOR 401 )</t>
  </si>
  <si>
    <t>024410600100220401</t>
  </si>
  <si>
    <t>2025-12-12 16:31:26</t>
  </si>
  <si>
    <t>23511895</t>
  </si>
  <si>
    <t>13/08/2025 07:36:28</t>
  </si>
  <si>
    <t>2025-12-02 16:50:30</t>
  </si>
  <si>
    <t>MARIO PEREZ MEJIA</t>
  </si>
  <si>
    <t>CL 66 CR 48 -34 (INTERIOR 601 )</t>
  </si>
  <si>
    <t>056416008000340601</t>
  </si>
  <si>
    <t>2025-12-12 16:50:30</t>
  </si>
  <si>
    <t>23511896</t>
  </si>
  <si>
    <t>13/08/2025 07:36:31</t>
  </si>
  <si>
    <t>2025-12-02 16:49:11</t>
  </si>
  <si>
    <t>CL 66 CR 48 -34 (INTERIOR 501 )</t>
  </si>
  <si>
    <t>056416008000340501</t>
  </si>
  <si>
    <t>2025-12-12 16:49:11</t>
  </si>
  <si>
    <t>23513590</t>
  </si>
  <si>
    <t>14/08/2025 14:52:44</t>
  </si>
  <si>
    <t>2025-12-01 16:30:14</t>
  </si>
  <si>
    <t>JORGE ANDRES MARIN HINCAPIE</t>
  </si>
  <si>
    <t>3235128529</t>
  </si>
  <si>
    <t>CR 70 A CL 19 -34 (INTERIOR 102 )</t>
  </si>
  <si>
    <t>051720109000340102</t>
  </si>
  <si>
    <t>2025-12-11 16:30:14</t>
  </si>
  <si>
    <t>23517681</t>
  </si>
  <si>
    <t>20/08/2025 17:07:15</t>
  </si>
  <si>
    <t>2025-12-02 12:13:06</t>
  </si>
  <si>
    <t>LUZ MARINA MARIN VALENCIA</t>
  </si>
  <si>
    <t>4539142</t>
  </si>
  <si>
    <t>3217942765</t>
  </si>
  <si>
    <t>CL 9 A SUR CR 56 D -21 (INTERIOR 111 )</t>
  </si>
  <si>
    <t>040519106400210111</t>
  </si>
  <si>
    <t>2025-12-12 12:13:06</t>
  </si>
  <si>
    <t>460 falta marcación en acrílico en la puerta de gabinete y en los breakers corregir la entrada de la acometida interna esta no debe pasar por los compartimientos de acometida principal y medidores debe ser directa al compartimiento de los breakers</t>
  </si>
  <si>
    <t>23522946</t>
  </si>
  <si>
    <t>26/08/2025 13:07:59</t>
  </si>
  <si>
    <t>2025-12-02 21:48:44</t>
  </si>
  <si>
    <t>CLAUDIA ISABEL DURANGO</t>
  </si>
  <si>
    <t>3106000860</t>
  </si>
  <si>
    <t>CL 59 CR 16 D -153 (INTERIOR 104 )</t>
  </si>
  <si>
    <t>055119006401530104</t>
  </si>
  <si>
    <t>2025-12-10 21:48:44</t>
  </si>
  <si>
    <t>23524616</t>
  </si>
  <si>
    <t>27/08/2025 15:30:44</t>
  </si>
  <si>
    <t>2025-12-03 08:46:33</t>
  </si>
  <si>
    <t>NELSON ALBERTO HENAO MAYA</t>
  </si>
  <si>
    <t>5826101</t>
  </si>
  <si>
    <t>3046495032</t>
  </si>
  <si>
    <t>CL 43 C CR 115 B -10</t>
  </si>
  <si>
    <t>084113305200100000</t>
  </si>
  <si>
    <t>2025-12-15 08:46:33</t>
  </si>
  <si>
    <t>23534910</t>
  </si>
  <si>
    <t>09/09/2025 13:58:05</t>
  </si>
  <si>
    <t>2025-12-02 21:42:14</t>
  </si>
  <si>
    <t>CLAUDIA YANED VILLA RESTREPO</t>
  </si>
  <si>
    <t>4747052</t>
  </si>
  <si>
    <t>3007853552</t>
  </si>
  <si>
    <t>CL 46 E SUR CR 38 -33 (INTERIOR 301 )</t>
  </si>
  <si>
    <t>024316508000330301</t>
  </si>
  <si>
    <t>2025-12-12 21:42:14</t>
  </si>
  <si>
    <t>23542405</t>
  </si>
  <si>
    <t>18/09/2025 08:44:58</t>
  </si>
  <si>
    <t>2025-12-02 15:11:28</t>
  </si>
  <si>
    <t>SHIRLEY QUINTERO DE AGUAS</t>
  </si>
  <si>
    <t>3206333548</t>
  </si>
  <si>
    <t>CL 62 B CR 94 B -58</t>
  </si>
  <si>
    <t>056912204200580000</t>
  </si>
  <si>
    <t>2025-12-12 15:11:28</t>
  </si>
  <si>
    <t>23542424</t>
  </si>
  <si>
    <t>18/09/2025 09:02:58</t>
  </si>
  <si>
    <t>2025-12-02 11:14:43</t>
  </si>
  <si>
    <t>CL 62 B CR 94 B -58 (INTERIOR 201 )</t>
  </si>
  <si>
    <t>056912204200580201</t>
  </si>
  <si>
    <t>2025-12-12 11:14:43</t>
  </si>
  <si>
    <t>23543746</t>
  </si>
  <si>
    <t>19/09/2025 14:00:24</t>
  </si>
  <si>
    <t>2025-12-01 15:35:25</t>
  </si>
  <si>
    <t>JOVAN ARLEY PEREZ LOAIZA</t>
  </si>
  <si>
    <t>3217051391</t>
  </si>
  <si>
    <t>CL 44 AA CR 10 C -12 (INTERIOR 209 )</t>
  </si>
  <si>
    <t>054114110300120209</t>
  </si>
  <si>
    <t>2025-12-11 15:35:25</t>
  </si>
  <si>
    <t>2 días 15:35</t>
  </si>
  <si>
    <t>23543747</t>
  </si>
  <si>
    <t>19/09/2025 14:01:20</t>
  </si>
  <si>
    <t>2025-12-01 15:34:38</t>
  </si>
  <si>
    <t>3243514453</t>
  </si>
  <si>
    <t>CR 10 C CL 44 AA -11 (INTERIOR 301 )</t>
  </si>
  <si>
    <t>054120304110110301</t>
  </si>
  <si>
    <t>2025-12-11 15:34:38</t>
  </si>
  <si>
    <t>23547778</t>
  </si>
  <si>
    <t>24/09/2025 08:38:46</t>
  </si>
  <si>
    <t>2025-12-01 09:14:26</t>
  </si>
  <si>
    <t>HUMBERTO DE JESUS LOPEZ ALZATE</t>
  </si>
  <si>
    <t>5047400</t>
  </si>
  <si>
    <t>3154247826</t>
  </si>
  <si>
    <t>CL 59 A CR 21 B -38 (INTERIOR 210 )</t>
  </si>
  <si>
    <t>055219101200380210</t>
  </si>
  <si>
    <t>2025-12-11 09:14:26</t>
  </si>
  <si>
    <t>23551937</t>
  </si>
  <si>
    <t>29/09/2025 17:31:16</t>
  </si>
  <si>
    <t>2025-12-02 21:48:58</t>
  </si>
  <si>
    <t>MARTHA ISABEL MONTOYA METRIO</t>
  </si>
  <si>
    <t>4194121</t>
  </si>
  <si>
    <t>3502519825</t>
  </si>
  <si>
    <t>RURAL_147048080000000002_PROV.LA CUMBRE - TRAVESIA</t>
  </si>
  <si>
    <t>147048080000000002</t>
  </si>
  <si>
    <t>2025-12-17 21:48:58</t>
  </si>
  <si>
    <t>23559440</t>
  </si>
  <si>
    <t>08/10/2025 11:32:54</t>
  </si>
  <si>
    <t>2025-12-02 21:48:51</t>
  </si>
  <si>
    <t>ALEIDA TATIANA OROZCO OROZCO</t>
  </si>
  <si>
    <t>3045688593</t>
  </si>
  <si>
    <t>CL 47 D CR 1 -1 (INTERIOR 103 )</t>
  </si>
  <si>
    <t>054017401000010103</t>
  </si>
  <si>
    <t>2025-12-10 21:48:51</t>
  </si>
  <si>
    <t>23560543</t>
  </si>
  <si>
    <t>09/10/2025 10:46:07</t>
  </si>
  <si>
    <t>2025-12-02 21:48:39</t>
  </si>
  <si>
    <t>ARTURO NELSON CEBALLOS VERGARA</t>
  </si>
  <si>
    <t>3128646193</t>
  </si>
  <si>
    <t>CR 49 CL 88 -59 (INTERIOR 301 )</t>
  </si>
  <si>
    <t>078429008000590301</t>
  </si>
  <si>
    <t>2025-12-10 21:48:39</t>
  </si>
  <si>
    <t>23561419</t>
  </si>
  <si>
    <t>10/10/2025 09:31:24</t>
  </si>
  <si>
    <t>2025-12-02 21:48:35</t>
  </si>
  <si>
    <t>JUAN FELIPE RESTREPO MONCADA</t>
  </si>
  <si>
    <t>2863630</t>
  </si>
  <si>
    <t>3153493190</t>
  </si>
  <si>
    <t>RURAL_103014839900000000</t>
  </si>
  <si>
    <t>103014839900000000</t>
  </si>
  <si>
    <t>2025-12-10 21:48:35</t>
  </si>
  <si>
    <t>23573225</t>
  </si>
  <si>
    <t>27/10/2025 07:47:22</t>
  </si>
  <si>
    <t>2025-11-30 21:43:56</t>
  </si>
  <si>
    <t>JAIR ALEXANDER HOYOS LEGARDA</t>
  </si>
  <si>
    <t>3208662</t>
  </si>
  <si>
    <t>3215594494</t>
  </si>
  <si>
    <t>CL 39 F CR 115 A -113 (INTERIOR 219 )</t>
  </si>
  <si>
    <t>083119605101130219</t>
  </si>
  <si>
    <t>2025-12-10 21:43:56</t>
  </si>
  <si>
    <t>23575439</t>
  </si>
  <si>
    <t>28/10/2025 17:02:08</t>
  </si>
  <si>
    <t>2025-11-30 21:44:02</t>
  </si>
  <si>
    <t>EDILBERTO CASTAÑO PALACIO</t>
  </si>
  <si>
    <t>3004993960</t>
  </si>
  <si>
    <t>CL 9 A CR 15 -398 (INTERIOR 101 )</t>
  </si>
  <si>
    <t>050119105003980101</t>
  </si>
  <si>
    <t>2025-12-10 21:44:02</t>
  </si>
  <si>
    <t>23581581</t>
  </si>
  <si>
    <t>05/11/2025 07:32:17</t>
  </si>
  <si>
    <t>2025-12-02 12:52:44</t>
  </si>
  <si>
    <t>NOLBERTO DE JESUS BARRERA VELEZ</t>
  </si>
  <si>
    <t>3215081446</t>
  </si>
  <si>
    <t>RURAL_159066075000000101_VDA_LABERMEJALA</t>
  </si>
  <si>
    <t>159066075000000101</t>
  </si>
  <si>
    <t>2025-12-12 12:52:44</t>
  </si>
  <si>
    <t>23584029</t>
  </si>
  <si>
    <t>06/11/2025 17:16:08</t>
  </si>
  <si>
    <t>2025-12-01 09:52:51</t>
  </si>
  <si>
    <t>ISABEL CRISTINA CORREA BETANCUR</t>
  </si>
  <si>
    <t>2651806</t>
  </si>
  <si>
    <t>3104551527</t>
  </si>
  <si>
    <t>CR 65 B CL 25 -23 (INTERIOR 101 )</t>
  </si>
  <si>
    <t>052625205000230101</t>
  </si>
  <si>
    <t>2025-12-11 09:52:51</t>
  </si>
  <si>
    <t>23585511</t>
  </si>
  <si>
    <t>08/11/2025 14:44:33</t>
  </si>
  <si>
    <t>2025-12-02 17:16:26</t>
  </si>
  <si>
    <t>JOSE EDGAR ZAPATA MONTOYA</t>
  </si>
  <si>
    <t>3136724052</t>
  </si>
  <si>
    <t>CL 60 CR 45 D -6 (INTERIOR 301 )</t>
  </si>
  <si>
    <t>056410005400060301</t>
  </si>
  <si>
    <t>2025-12-12 17:16:26</t>
  </si>
  <si>
    <t>23585514</t>
  </si>
  <si>
    <t>08/11/2025 14:48:18</t>
  </si>
  <si>
    <t>2025-12-02 17:14:41</t>
  </si>
  <si>
    <t>CL 60 CR 45 D -6 (INTERIOR 302 )</t>
  </si>
  <si>
    <t>056410005400060302</t>
  </si>
  <si>
    <t>2025-12-12 17:14:41</t>
  </si>
  <si>
    <t>23592996</t>
  </si>
  <si>
    <t>18/11/2025 17:37:29</t>
  </si>
  <si>
    <t>2025-12-01 12:47:51</t>
  </si>
  <si>
    <t>ALEXANDER VALENCIA</t>
  </si>
  <si>
    <t>3168976</t>
  </si>
  <si>
    <t>3003296658</t>
  </si>
  <si>
    <t>CR 26 DD CL 37 -76 (INTERIOR 401 )</t>
  </si>
  <si>
    <t>053226447000760401</t>
  </si>
  <si>
    <t>2025-12-11 12:47:51</t>
  </si>
  <si>
    <t>23594362</t>
  </si>
  <si>
    <t>19/11/2025 17:38:20</t>
  </si>
  <si>
    <t>2025-12-03 06:25:11</t>
  </si>
  <si>
    <t>LYDA ESTHER ACOSTA MONTOYA</t>
  </si>
  <si>
    <t>5124010</t>
  </si>
  <si>
    <t>3105998171</t>
  </si>
  <si>
    <t>CL 48 A CR 69 A -59 (INTERIOR 307 )</t>
  </si>
  <si>
    <t>054618109100590307</t>
  </si>
  <si>
    <t>2025-12-15 06:25:11</t>
  </si>
  <si>
    <t>23595813</t>
  </si>
  <si>
    <t>20/11/2025 17:53:26</t>
  </si>
  <si>
    <t>2025-12-02 13:05:13</t>
  </si>
  <si>
    <t>GIRLEZA MARTINEZ ANGULO</t>
  </si>
  <si>
    <t>3106006556</t>
  </si>
  <si>
    <t>CL 26 CR 84 -41 (INTERIOR 408 )</t>
  </si>
  <si>
    <t>052816004000410408</t>
  </si>
  <si>
    <t>2025-12-12 13:05:13</t>
  </si>
  <si>
    <t>23598893</t>
  </si>
  <si>
    <t>25/11/2025 09:59:38</t>
  </si>
  <si>
    <t>2025-12-02 11:48:23</t>
  </si>
  <si>
    <t>JOSE GABRIEL ORTIZ BETANCUR</t>
  </si>
  <si>
    <t>3114311222</t>
  </si>
  <si>
    <t>CL 38 C CR 26 EE -135 (INTERIOR 201 )</t>
  </si>
  <si>
    <t>053218306551350201</t>
  </si>
  <si>
    <t>2025-12-12 11:48:23</t>
  </si>
  <si>
    <t>23598895</t>
  </si>
  <si>
    <t>25/11/2025 10:01:07</t>
  </si>
  <si>
    <t>2025-12-02 11:47:29</t>
  </si>
  <si>
    <t>CL 38 C CR 26 EE -135 (INTERIOR 301 )</t>
  </si>
  <si>
    <t>053218306551350301</t>
  </si>
  <si>
    <t>2025-12-12 11:47:29</t>
  </si>
  <si>
    <t>23600995</t>
  </si>
  <si>
    <t>26/11/2025 17:20:31</t>
  </si>
  <si>
    <t>2025-12-01 14:46:06</t>
  </si>
  <si>
    <t>PROYECTOS DE INGENIERIA AVANZADA</t>
  </si>
  <si>
    <t>2650555</t>
  </si>
  <si>
    <t>3183451080</t>
  </si>
  <si>
    <t>CR 43 C CL 5 -69</t>
  </si>
  <si>
    <t>050423305000690000</t>
  </si>
  <si>
    <t>2025-12-11 14:46:06</t>
  </si>
  <si>
    <t>23601006</t>
  </si>
  <si>
    <t>26/11/2025 17:33:33</t>
  </si>
  <si>
    <t>2025-12-01 14:44:29</t>
  </si>
  <si>
    <t>CR 43 C CL 5 -69 (INTERIOR 6 )</t>
  </si>
  <si>
    <t>050423305000690006</t>
  </si>
  <si>
    <t>2025-12-11 14:44:29</t>
  </si>
  <si>
    <t>23602857</t>
  </si>
  <si>
    <t>28/11/2025 14:17:42</t>
  </si>
  <si>
    <t>2025-11-28 14:17:42</t>
  </si>
  <si>
    <t>DIEGO ANDRES SANCHEZ LONDOÑO</t>
  </si>
  <si>
    <t>3127740750</t>
  </si>
  <si>
    <t>CR 70 CL 44 -23</t>
  </si>
  <si>
    <t>054720004000230000</t>
  </si>
  <si>
    <t>2025-12-04 14:17:42</t>
  </si>
  <si>
    <t>23603893</t>
  </si>
  <si>
    <t>01/12/2025 07:50:56</t>
  </si>
  <si>
    <t>2025-12-01 07:50:56</t>
  </si>
  <si>
    <t>BBI COLOMBIA S.A.S.</t>
  </si>
  <si>
    <t>3136185338</t>
  </si>
  <si>
    <t>CR 43 A CL 34 -95 (INTERIOR 264 )</t>
  </si>
  <si>
    <t>053423104000950264</t>
  </si>
  <si>
    <t>2025-12-11 07:50:56</t>
  </si>
  <si>
    <t>23603894</t>
  </si>
  <si>
    <t>01/12/2025 07:51:06</t>
  </si>
  <si>
    <t>2025-12-01 07:51:06</t>
  </si>
  <si>
    <t>JORGE URIBE</t>
  </si>
  <si>
    <t>CR 68 A CL 44 B -67</t>
  </si>
  <si>
    <t>054628104200670000</t>
  </si>
  <si>
    <t>2025-12-11 07:51:06</t>
  </si>
  <si>
    <t>23603901</t>
  </si>
  <si>
    <t>01/12/2025 07:59:48</t>
  </si>
  <si>
    <t>2025-12-01 07:59:48</t>
  </si>
  <si>
    <t>MARIA OMAIRA RESTREPO CANO</t>
  </si>
  <si>
    <t>3104651133</t>
  </si>
  <si>
    <t>RURAL_119032640400000301_RURAL_119032640400000301</t>
  </si>
  <si>
    <t>119032640400000301</t>
  </si>
  <si>
    <t>2025-12-11 07:59:48</t>
  </si>
  <si>
    <t>23603947</t>
  </si>
  <si>
    <t>01/12/2025 08:55:48</t>
  </si>
  <si>
    <t>2025-12-01 08:55:48</t>
  </si>
  <si>
    <t>CARLOS ALVEIRO VILLADA ESPINOSA</t>
  </si>
  <si>
    <t>3116450356</t>
  </si>
  <si>
    <t>CL 139 SUR CR 52 -4 (INTERIOR 371 )</t>
  </si>
  <si>
    <t>003519002000040371</t>
  </si>
  <si>
    <t>2025-12-11 08:55:48</t>
  </si>
  <si>
    <t>2 días 08:55</t>
  </si>
  <si>
    <t>23603963</t>
  </si>
  <si>
    <t>01/12/2025 09:08:35</t>
  </si>
  <si>
    <t>2025-12-01 09:08:35</t>
  </si>
  <si>
    <t>JOSE HUMBERTO BEDOYA QUINTERO</t>
  </si>
  <si>
    <t>3013186753</t>
  </si>
  <si>
    <t>CR 89 A CL 31 B -30 (INTERIOR 302 )</t>
  </si>
  <si>
    <t>053829101200300302</t>
  </si>
  <si>
    <t>2025-12-11 09:08:35</t>
  </si>
  <si>
    <t>23604051</t>
  </si>
  <si>
    <t>01/12/2025 10:26:17</t>
  </si>
  <si>
    <t>2025-12-01 10:26:17</t>
  </si>
  <si>
    <t>ADRIANA MARIA SIERRA ALVAREZ</t>
  </si>
  <si>
    <t>3504947255</t>
  </si>
  <si>
    <t>RURAL_103014838000000101</t>
  </si>
  <si>
    <t>103014838000000101</t>
  </si>
  <si>
    <t>2025-12-11 10:26:17</t>
  </si>
  <si>
    <t>2 días 10:26</t>
  </si>
  <si>
    <t>23604065</t>
  </si>
  <si>
    <t>01/12/2025 10:35:24</t>
  </si>
  <si>
    <t>2025-12-01 10:35:25</t>
  </si>
  <si>
    <t>CAMILO ANTONIO VARGAS JIMENEZ</t>
  </si>
  <si>
    <t>3379763</t>
  </si>
  <si>
    <t>3127082726</t>
  </si>
  <si>
    <t>RURAL_147024600000000010_147024600000000010</t>
  </si>
  <si>
    <t>147024600000000010</t>
  </si>
  <si>
    <t>2025-12-16 10:35:25</t>
  </si>
  <si>
    <t>23604076</t>
  </si>
  <si>
    <t>01/12/2025 10:37:55</t>
  </si>
  <si>
    <t>2025-12-01 10:37:55</t>
  </si>
  <si>
    <t>MARIA ALEJANDRA BETANCUR ARBOLEDA</t>
  </si>
  <si>
    <t>3017134867</t>
  </si>
  <si>
    <t>CR 129 CL 64 A -371</t>
  </si>
  <si>
    <t>086229004103710000</t>
  </si>
  <si>
    <t>2025-12-11 10:37:55</t>
  </si>
  <si>
    <t>23604080</t>
  </si>
  <si>
    <t>01/12/2025 10:38:54</t>
  </si>
  <si>
    <t>2025-12-01 10:38:54</t>
  </si>
  <si>
    <t>CR 55 CL 25 -17</t>
  </si>
  <si>
    <t>052525005000170000</t>
  </si>
  <si>
    <t>2025-12-11 10:38:54</t>
  </si>
  <si>
    <t>23604116</t>
  </si>
  <si>
    <t>01/12/2025 10:51:21</t>
  </si>
  <si>
    <t>2025-12-01 10:51:21</t>
  </si>
  <si>
    <t>LEONARDO ANTONIO CAMPIÑO RIOS</t>
  </si>
  <si>
    <t>3117401373</t>
  </si>
  <si>
    <t>CL 63 CR 61 -138 (INTERIOR 402 )</t>
  </si>
  <si>
    <t>076613001001380402</t>
  </si>
  <si>
    <t>2025-12-11 10:51:21</t>
  </si>
  <si>
    <t>5 días 10:51</t>
  </si>
  <si>
    <t>23604133</t>
  </si>
  <si>
    <t>01/12/2025 11:05:24</t>
  </si>
  <si>
    <t>2025-12-01 11:05:24</t>
  </si>
  <si>
    <t>MARIA ISMELDA SANCHEZ MORALES</t>
  </si>
  <si>
    <t>3113217424</t>
  </si>
  <si>
    <t>RURAL_159036100000000107</t>
  </si>
  <si>
    <t>159036100000000107</t>
  </si>
  <si>
    <t>2025-12-11 11:05:24</t>
  </si>
  <si>
    <t>23604159</t>
  </si>
  <si>
    <t>01/12/2025 11:19:24</t>
  </si>
  <si>
    <t>2025-12-01 11:19:24</t>
  </si>
  <si>
    <t>ASTRID VIVIANA FRANCO CASTAÑO</t>
  </si>
  <si>
    <t>3023294680</t>
  </si>
  <si>
    <t>CL 54 SUR CR 59 D -16</t>
  </si>
  <si>
    <t>045514009400160000</t>
  </si>
  <si>
    <t>2025-12-11 11:19:24</t>
  </si>
  <si>
    <t>23604183</t>
  </si>
  <si>
    <t>01/12/2025 11:35:21</t>
  </si>
  <si>
    <t>2025-12-01 11:35:21</t>
  </si>
  <si>
    <t>CLAUDIA PATRICIA QUINTERO ALVAREZ</t>
  </si>
  <si>
    <t>3148215867</t>
  </si>
  <si>
    <t>RURAL_163015373100000000_RURAL ITAGUÍ EL PROGRESOR</t>
  </si>
  <si>
    <t>163015373100000000</t>
  </si>
  <si>
    <t>2025-12-11 11:35:21</t>
  </si>
  <si>
    <t>23604247</t>
  </si>
  <si>
    <t>01/12/2025 12:47:40</t>
  </si>
  <si>
    <t>2025-12-01 12:47:40</t>
  </si>
  <si>
    <t>ALBA LUCIA OROZCO OROZCO</t>
  </si>
  <si>
    <t>3135748162</t>
  </si>
  <si>
    <t>CR 27 CL 58 -25 (INTERIOR 201 )</t>
  </si>
  <si>
    <t>055227008000250201</t>
  </si>
  <si>
    <t>2025-12-11 12:47:40</t>
  </si>
  <si>
    <t>23604282</t>
  </si>
  <si>
    <t>01/12/2025 13:21:29</t>
  </si>
  <si>
    <t>2025-12-01 13:21:29</t>
  </si>
  <si>
    <t>ABSALON RODRIGUEZ GARZON</t>
  </si>
  <si>
    <t>4258684</t>
  </si>
  <si>
    <t>3183489558</t>
  </si>
  <si>
    <t>CL 53 CR 30 -94 (INTERIOR 301 )</t>
  </si>
  <si>
    <t>055313000000940301</t>
  </si>
  <si>
    <t>2025-12-11 13:21:29</t>
  </si>
  <si>
    <t>23604283</t>
  </si>
  <si>
    <t>01/12/2025 13:21:35</t>
  </si>
  <si>
    <t>2025-12-01 13:21:35</t>
  </si>
  <si>
    <t>CL 53 CR 30 -94 (INTERIOR 302 )</t>
  </si>
  <si>
    <t>055313000000940302</t>
  </si>
  <si>
    <t>2025-12-11 13:21:35</t>
  </si>
  <si>
    <t>23604291</t>
  </si>
  <si>
    <t>01/12/2025 13:26:04</t>
  </si>
  <si>
    <t>2025-12-01 13:26:04</t>
  </si>
  <si>
    <t>LUIS ENRIQUE CARDONA GOMEZ</t>
  </si>
  <si>
    <t>CL 45 B SUR CR 83 -116 (INTERIOR 202 )</t>
  </si>
  <si>
    <t>044815203001160202</t>
  </si>
  <si>
    <t>2025-12-11 13:26:04</t>
  </si>
  <si>
    <t>2 días 13:26</t>
  </si>
  <si>
    <t>23604296</t>
  </si>
  <si>
    <t>01/12/2025 13:34:46</t>
  </si>
  <si>
    <t>2025-12-01 13:34:46</t>
  </si>
  <si>
    <t>FRAN MAURICIO RESTREPO GAVIRIA</t>
  </si>
  <si>
    <t>3187238967</t>
  </si>
  <si>
    <t>CL 74 SUR CR 35 -145 (INTERIOR 124 )</t>
  </si>
  <si>
    <t>017314005001450124</t>
  </si>
  <si>
    <t>2025-12-11 13:34:46</t>
  </si>
  <si>
    <t>23604373</t>
  </si>
  <si>
    <t>01/12/2025 14:30:56</t>
  </si>
  <si>
    <t>2025-12-01 14:30:56</t>
  </si>
  <si>
    <t>SANDRA LILIANA OSPINA ARIAS</t>
  </si>
  <si>
    <t>3002712822</t>
  </si>
  <si>
    <t>CR 59 C CL 55 A -69 (INTERIOR 202 )</t>
  </si>
  <si>
    <t>075529305100690202</t>
  </si>
  <si>
    <t>2025-12-11 14:30:56</t>
  </si>
  <si>
    <t>23604397</t>
  </si>
  <si>
    <t>01/12/2025 14:40:41</t>
  </si>
  <si>
    <t>2025-12-01 14:40:41</t>
  </si>
  <si>
    <t>EDINSON ARLEY ATENCIA NORIEGA</t>
  </si>
  <si>
    <t>3215646736</t>
  </si>
  <si>
    <t>CR 115 CL 39 D -27 (INTERIOR 358 )</t>
  </si>
  <si>
    <t>083125009400270358</t>
  </si>
  <si>
    <t>2025-12-11 14:40:41</t>
  </si>
  <si>
    <t>5 días 15:23</t>
  </si>
  <si>
    <t>23604489</t>
  </si>
  <si>
    <t>01/12/2025 15:33:56</t>
  </si>
  <si>
    <t>2025-12-01 15:33:56</t>
  </si>
  <si>
    <t>ANGELA MARIA LOPEZ LOPERA</t>
  </si>
  <si>
    <t>2605418</t>
  </si>
  <si>
    <t>3117675310</t>
  </si>
  <si>
    <t>CR 74 B CL 65 -150 (INTERIOR 201 )</t>
  </si>
  <si>
    <t>056724205001500201</t>
  </si>
  <si>
    <t>2025-12-11 15:33:56</t>
  </si>
  <si>
    <t>23604499</t>
  </si>
  <si>
    <t>01/12/2025 15:45:36</t>
  </si>
  <si>
    <t>2025-12-01 15:45:36</t>
  </si>
  <si>
    <t>DURLEY AIDEE GIL RAMIREZ</t>
  </si>
  <si>
    <t>3687599</t>
  </si>
  <si>
    <t>3113320369</t>
  </si>
  <si>
    <t>CL 38 B SUR CR 69 -80 (INTERIOR 201 )</t>
  </si>
  <si>
    <t>043618209000800201</t>
  </si>
  <si>
    <t>2025-12-11 15:45:36</t>
  </si>
  <si>
    <t>23604509</t>
  </si>
  <si>
    <t>01/12/2025 15:52:32</t>
  </si>
  <si>
    <t>2025-12-01 15:52:32</t>
  </si>
  <si>
    <t>CR 74 B CL 65 -150 (INTERIOR 203 )</t>
  </si>
  <si>
    <t>056724205001500203</t>
  </si>
  <si>
    <t>2025-12-11 15:52:32</t>
  </si>
  <si>
    <t>23604522</t>
  </si>
  <si>
    <t>01/12/2025 16:06:02</t>
  </si>
  <si>
    <t>2025-12-01 16:06:02</t>
  </si>
  <si>
    <t>CAMILO VEGA SALAZAR</t>
  </si>
  <si>
    <t>3128331357</t>
  </si>
  <si>
    <t>CR 77 CL 40 SUR -27 (INTERIOR 302 )</t>
  </si>
  <si>
    <t>044727000000270302</t>
  </si>
  <si>
    <t>2025-12-11 16:06:02</t>
  </si>
  <si>
    <t>23604536</t>
  </si>
  <si>
    <t>01/12/2025 16:12:42</t>
  </si>
  <si>
    <t>2025-12-01 16:12:42</t>
  </si>
  <si>
    <t>MARIO ENRIQUE ARIAS ORREGO</t>
  </si>
  <si>
    <t>3108266118</t>
  </si>
  <si>
    <t>CL 65 CR 70 -149 (INTERIOR 202 )</t>
  </si>
  <si>
    <t>056715000001490202</t>
  </si>
  <si>
    <t>2025-12-11 16:12:42</t>
  </si>
  <si>
    <t>23604568</t>
  </si>
  <si>
    <t>01/12/2025 16:40:27</t>
  </si>
  <si>
    <t>2025-12-01 16:40:27</t>
  </si>
  <si>
    <t>LEIDY MARCELA VASQUEZ RAMIREZ</t>
  </si>
  <si>
    <t>3015562936</t>
  </si>
  <si>
    <t>CL 68 CR 57 -34</t>
  </si>
  <si>
    <t>076518007000340000</t>
  </si>
  <si>
    <t>2025-12-11 16:40:27</t>
  </si>
  <si>
    <t>23604571</t>
  </si>
  <si>
    <t>01/12/2025 16:42:18</t>
  </si>
  <si>
    <t>2025-12-01 16:42:18</t>
  </si>
  <si>
    <t>JOSE ABELARDO ZAPATA GONZALEZ</t>
  </si>
  <si>
    <t>3222080</t>
  </si>
  <si>
    <t>3234036783</t>
  </si>
  <si>
    <t>CL 56 CR 53 -60 (INTERIOR 201 )</t>
  </si>
  <si>
    <t>055516003000600201</t>
  </si>
  <si>
    <t>2025-12-11 16:42:18</t>
  </si>
  <si>
    <t>23604585</t>
  </si>
  <si>
    <t>01/12/2025 16:51:58</t>
  </si>
  <si>
    <t>2025-12-01 16:51:58</t>
  </si>
  <si>
    <t>MARIA PATRICIA URIBE BARRIENTOS</t>
  </si>
  <si>
    <t>5002579</t>
  </si>
  <si>
    <t>3216350304</t>
  </si>
  <si>
    <t>CR 64 CL 26 -8 (INTERIOR 101 )</t>
  </si>
  <si>
    <t>072624006000080101</t>
  </si>
  <si>
    <t>2025-12-11 16:51:58</t>
  </si>
  <si>
    <t>23604858</t>
  </si>
  <si>
    <t>02/12/2025 07:14:53</t>
  </si>
  <si>
    <t>2025-12-02 07:14:53</t>
  </si>
  <si>
    <t>ARLEY MARIN GONZALEZ</t>
  </si>
  <si>
    <t>3114762063</t>
  </si>
  <si>
    <t>CL 43 CR 50 -51 (INTERIOR 201 )</t>
  </si>
  <si>
    <t>074513000000510201</t>
  </si>
  <si>
    <t>2025-12-12 07:14:53</t>
  </si>
  <si>
    <t>23604859</t>
  </si>
  <si>
    <t>CL 43 CR 50 -51 (INTERIOR 501 )</t>
  </si>
  <si>
    <t>074513000000510501</t>
  </si>
  <si>
    <t>23604860</t>
  </si>
  <si>
    <t>02/12/2025 07:15:20</t>
  </si>
  <si>
    <t>2025-12-02 07:15:20</t>
  </si>
  <si>
    <t>CL 43 CR 50 -51 (INTERIOR 301 )</t>
  </si>
  <si>
    <t>074513000000510301</t>
  </si>
  <si>
    <t>2025-12-12 07:15:20</t>
  </si>
  <si>
    <t>23604863</t>
  </si>
  <si>
    <t>02/12/2025 07:19:31</t>
  </si>
  <si>
    <t>2025-12-02 07:19:31</t>
  </si>
  <si>
    <t>CL 43 CR 50 -51 (INTERIOR 401 )</t>
  </si>
  <si>
    <t>074513000000510401</t>
  </si>
  <si>
    <t>2025-12-12 07:19:31</t>
  </si>
  <si>
    <t>23604892</t>
  </si>
  <si>
    <t>02/12/2025 08:13:38</t>
  </si>
  <si>
    <t>2025-12-02 08:13:38</t>
  </si>
  <si>
    <t>YULY CENELIA PALACIOS GALLEGO</t>
  </si>
  <si>
    <t>CL 56 D CR 15 A -38 (INTERIOR 232 )</t>
  </si>
  <si>
    <t>055116405100380232</t>
  </si>
  <si>
    <t>2025-12-12 08:13:38</t>
  </si>
  <si>
    <t>23604912</t>
  </si>
  <si>
    <t>02/12/2025 08:35:17</t>
  </si>
  <si>
    <t>2025-12-02 08:35:17</t>
  </si>
  <si>
    <t>FRANK OCTAVIO BETANCUR VELASQUEZ</t>
  </si>
  <si>
    <t>3117146420</t>
  </si>
  <si>
    <t>CR 36 A CL 65 B -48</t>
  </si>
  <si>
    <t>056326105200480000</t>
  </si>
  <si>
    <t>2025-12-12 08:35:17</t>
  </si>
  <si>
    <t>23605059</t>
  </si>
  <si>
    <t>02/12/2025 10:54:05</t>
  </si>
  <si>
    <t>2025-12-02 10:54:05</t>
  </si>
  <si>
    <t>LUIS EDUARDO JARAMILLO VELEZ</t>
  </si>
  <si>
    <t>3505964333</t>
  </si>
  <si>
    <t>TRAN 32 A SUR DIAG 31 D -66 (INTERIOR 101 )</t>
  </si>
  <si>
    <t>023392101400660101</t>
  </si>
  <si>
    <t>2025-12-12 10:54:05</t>
  </si>
  <si>
    <t>23605126</t>
  </si>
  <si>
    <t>02/12/2025 11:44:03</t>
  </si>
  <si>
    <t>2025-12-02 11:44:03</t>
  </si>
  <si>
    <t>SOR MARIA MORALES LONDOÑO</t>
  </si>
  <si>
    <t>3006622421</t>
  </si>
  <si>
    <t>RURAL_161116060000000201_RURAL CALDAS LA CORRALA</t>
  </si>
  <si>
    <t>161116060000000201</t>
  </si>
  <si>
    <t>2025-12-23 11:44:03</t>
  </si>
  <si>
    <t>0 días 11:44</t>
  </si>
  <si>
    <t>23605130</t>
  </si>
  <si>
    <t>02/12/2025 11:45:58</t>
  </si>
  <si>
    <t>2025-12-02 11:45:58</t>
  </si>
  <si>
    <t>JAVIER ALONSO CORREA GOMEZ</t>
  </si>
  <si>
    <t>3308092</t>
  </si>
  <si>
    <t>3217595867</t>
  </si>
  <si>
    <t>CR 43 A CL 9 SUR -13 (INTERIOR 5 )</t>
  </si>
  <si>
    <t>040423109000130005</t>
  </si>
  <si>
    <t>2025-12-16 11:45:58</t>
  </si>
  <si>
    <t>23605173</t>
  </si>
  <si>
    <t>02/12/2025 12:14:15</t>
  </si>
  <si>
    <t>2025-12-02 12:14:15</t>
  </si>
  <si>
    <t>GLORIA CECILIA MARIN CARMONA</t>
  </si>
  <si>
    <t>5585471</t>
  </si>
  <si>
    <t>3127579703</t>
  </si>
  <si>
    <t>CR 40 A CL 44 SUR -81 (INTERIOR 201 )</t>
  </si>
  <si>
    <t>024420104000810201</t>
  </si>
  <si>
    <t>2025-12-12 12:14:15</t>
  </si>
  <si>
    <t>23605197</t>
  </si>
  <si>
    <t>02/12/2025 12:39:53</t>
  </si>
  <si>
    <t>2025-12-02 12:39:53</t>
  </si>
  <si>
    <t>CL 43 CR 50 -51</t>
  </si>
  <si>
    <t>074513000000510000</t>
  </si>
  <si>
    <t>2025-12-12 12:39:53</t>
  </si>
  <si>
    <t>23605217</t>
  </si>
  <si>
    <t>02/12/2025 12:55:19</t>
  </si>
  <si>
    <t>2025-12-02 12:55:19</t>
  </si>
  <si>
    <t>ALEJANDRO HERNANDEZ HENAO</t>
  </si>
  <si>
    <t>3104100527</t>
  </si>
  <si>
    <t>CR 129 CL 61 -12 (INTERIOR 201 )</t>
  </si>
  <si>
    <t>086229001000120201</t>
  </si>
  <si>
    <t>2025-12-12 12:55:19</t>
  </si>
  <si>
    <t>23605220</t>
  </si>
  <si>
    <t>02/12/2025 12:58:05</t>
  </si>
  <si>
    <t>2025-12-02 12:58:05</t>
  </si>
  <si>
    <t>DERLIN ANDRES JIMENEZ ALVAREZ</t>
  </si>
  <si>
    <t>3146297033</t>
  </si>
  <si>
    <t>CL 34 B CR 128 -2 (INTERIOR 182 )</t>
  </si>
  <si>
    <t>083214208000020182</t>
  </si>
  <si>
    <t>2025-12-16 12:58:05</t>
  </si>
  <si>
    <t>23605242</t>
  </si>
  <si>
    <t>02/12/2025 13:19:49</t>
  </si>
  <si>
    <t>2025-12-02 13:19:49</t>
  </si>
  <si>
    <t>CL 55 H CR 3 ESTE -7</t>
  </si>
  <si>
    <t>705015803000070000</t>
  </si>
  <si>
    <t>2025-12-16 13:19:49</t>
  </si>
  <si>
    <t>23605245</t>
  </si>
  <si>
    <t>02/12/2025 13:22:55</t>
  </si>
  <si>
    <t>2025-12-02 13:22:55</t>
  </si>
  <si>
    <t>JUAN CAMILO BAENA GIRALDO</t>
  </si>
  <si>
    <t>2841155</t>
  </si>
  <si>
    <t>3008078930</t>
  </si>
  <si>
    <t>CL 57 DD CR 23 -115 (INTERIOR 201 )</t>
  </si>
  <si>
    <t>055217443001150201</t>
  </si>
  <si>
    <t>2025-12-16 13:22:55</t>
  </si>
  <si>
    <t>23605248</t>
  </si>
  <si>
    <t>02/12/2025 13:24:43</t>
  </si>
  <si>
    <t>2025-12-02 13:24:43</t>
  </si>
  <si>
    <t>PAOLA ALEJANDRA HOLGUIN ARENAS</t>
  </si>
  <si>
    <t>3737203</t>
  </si>
  <si>
    <t>3008276234</t>
  </si>
  <si>
    <t>RURAL_163021430000000202</t>
  </si>
  <si>
    <t>163021430000000202</t>
  </si>
  <si>
    <t>2025-12-12 13:24:43</t>
  </si>
  <si>
    <t>23605250</t>
  </si>
  <si>
    <t>02/12/2025 13:26:44</t>
  </si>
  <si>
    <t>2025-12-02 13:26:44</t>
  </si>
  <si>
    <t>CL 57 DD CR 23 -115</t>
  </si>
  <si>
    <t>055217443001150000</t>
  </si>
  <si>
    <t>2025-12-16 13:26:44</t>
  </si>
  <si>
    <t>23605261</t>
  </si>
  <si>
    <t>02/12/2025 13:37:05</t>
  </si>
  <si>
    <t>2025-12-02 13:37:05</t>
  </si>
  <si>
    <t>RUBEN DARIO GIL GIRALDO</t>
  </si>
  <si>
    <t>6044416</t>
  </si>
  <si>
    <t>3148617813</t>
  </si>
  <si>
    <t>CL 34 CR 63 B -41</t>
  </si>
  <si>
    <t>053614003200410000</t>
  </si>
  <si>
    <t>2025-12-12 13:37:05</t>
  </si>
  <si>
    <t>23605307</t>
  </si>
  <si>
    <t>02/12/2025 14:20:42</t>
  </si>
  <si>
    <t>2025-12-02 14:20:43</t>
  </si>
  <si>
    <t>CESAR AUGUSTO CANO ALVAREZ</t>
  </si>
  <si>
    <t>3206141701</t>
  </si>
  <si>
    <t>CL 58 CR 131 A -52 (INTERIOR 102 )</t>
  </si>
  <si>
    <t>085318001100520102</t>
  </si>
  <si>
    <t>2025-12-12 14:20:43</t>
  </si>
  <si>
    <t>23605311</t>
  </si>
  <si>
    <t>02/12/2025 14:22:46</t>
  </si>
  <si>
    <t>2025-12-02 14:22:46</t>
  </si>
  <si>
    <t>ELBA MARINA MARTINEZ DIAZ</t>
  </si>
  <si>
    <t>3244581898</t>
  </si>
  <si>
    <t>RURAL_136029957975000201</t>
  </si>
  <si>
    <t>136029957975000201</t>
  </si>
  <si>
    <t>2025-12-12 14:22:46</t>
  </si>
  <si>
    <t>23605338</t>
  </si>
  <si>
    <t>02/12/2025 14:40:52</t>
  </si>
  <si>
    <t>2025-12-02 14:40:52</t>
  </si>
  <si>
    <t>MARIA DEL ROSARIO GUERRA CARVAJAL</t>
  </si>
  <si>
    <t>3105383711</t>
  </si>
  <si>
    <t>CL 68 CR 136 C -23 (INTERIOR 313 )</t>
  </si>
  <si>
    <t>086318006300230313</t>
  </si>
  <si>
    <t>2025-12-12 14:40:52</t>
  </si>
  <si>
    <t>23605341</t>
  </si>
  <si>
    <t>02/12/2025 14:43:43</t>
  </si>
  <si>
    <t>2025-12-02 14:43:43</t>
  </si>
  <si>
    <t>CL 68 CR 136 C -23 (INTERIOR 314 )</t>
  </si>
  <si>
    <t>086318006300230314</t>
  </si>
  <si>
    <t>2025-12-12 14:43:43</t>
  </si>
  <si>
    <t>23605342</t>
  </si>
  <si>
    <t>02/12/2025 14:44:42</t>
  </si>
  <si>
    <t>2025-12-02 14:44:42</t>
  </si>
  <si>
    <t>CL 68 CR 136 C -23 (INTERIOR 413 )</t>
  </si>
  <si>
    <t>086318006300230413</t>
  </si>
  <si>
    <t>2025-12-12 14:44:42</t>
  </si>
  <si>
    <t>0 días 14:44</t>
  </si>
  <si>
    <t>23605344</t>
  </si>
  <si>
    <t>02/12/2025 14:45:15</t>
  </si>
  <si>
    <t>2025-12-02 14:45:15</t>
  </si>
  <si>
    <t>JANET DEL SOCORRO PABON PULGARIN</t>
  </si>
  <si>
    <t>3022960287</t>
  </si>
  <si>
    <t>CR 52 C CL 11 A SUR -100 (INTERIOR 201 )</t>
  </si>
  <si>
    <t>041522301101000201</t>
  </si>
  <si>
    <t>2025-12-12 14:45:15</t>
  </si>
  <si>
    <t>23605350</t>
  </si>
  <si>
    <t>02/12/2025 14:48:26</t>
  </si>
  <si>
    <t>2025-12-02 14:48:26</t>
  </si>
  <si>
    <t>CL 68 CR 136 C -23 (INTERIOR 414 )</t>
  </si>
  <si>
    <t>086318006300230414</t>
  </si>
  <si>
    <t>2025-12-12 14:48:26</t>
  </si>
  <si>
    <t>23605370</t>
  </si>
  <si>
    <t>02/12/2025 15:09:39</t>
  </si>
  <si>
    <t>2025-12-02 15:09:39</t>
  </si>
  <si>
    <t>LENI YANED HERNANDEZ ALVAREZ</t>
  </si>
  <si>
    <t>3147598854</t>
  </si>
  <si>
    <t>RURAL_122010304100000000</t>
  </si>
  <si>
    <t>122010304100000000</t>
  </si>
  <si>
    <t>2025-12-17 15:09:39</t>
  </si>
  <si>
    <t>23605404</t>
  </si>
  <si>
    <t>02/12/2025 15:31:08</t>
  </si>
  <si>
    <t>2025-12-02 15:31:08</t>
  </si>
  <si>
    <t>MARIA JOSE HERRERA JARAMILLO</t>
  </si>
  <si>
    <t>3202586050</t>
  </si>
  <si>
    <t>CL 37 SUR CR 65 C -43 (INTERIOR 9901 )</t>
  </si>
  <si>
    <t>043617005300439901</t>
  </si>
  <si>
    <t>2025-12-12 15:31:08</t>
  </si>
  <si>
    <t>23605430</t>
  </si>
  <si>
    <t>02/12/2025 15:54:17</t>
  </si>
  <si>
    <t>2025-12-02 15:54:17</t>
  </si>
  <si>
    <t>YERZON LEONARDO RIVERA BENAVIDES</t>
  </si>
  <si>
    <t>3013954205</t>
  </si>
  <si>
    <t>RURAL_122003648500000101</t>
  </si>
  <si>
    <t>122003648500000101</t>
  </si>
  <si>
    <t>2025-12-17 15:54:17</t>
  </si>
  <si>
    <t>23605463</t>
  </si>
  <si>
    <t>02/12/2025 16:22:24</t>
  </si>
  <si>
    <t>2025-12-02 16:22:24</t>
  </si>
  <si>
    <t>MARIO TULIO RAMIREZ ARROYAVE</t>
  </si>
  <si>
    <t>4445148</t>
  </si>
  <si>
    <t>3205657193</t>
  </si>
  <si>
    <t>RURAL_147022266000000001</t>
  </si>
  <si>
    <t>147022266000000001</t>
  </si>
  <si>
    <t>2025-12-17 16:22:24</t>
  </si>
  <si>
    <t>23605473</t>
  </si>
  <si>
    <t>02/12/2025 16:29:25</t>
  </si>
  <si>
    <t>ALEJANDRO ROLDAN  ARBELAEZ</t>
  </si>
  <si>
    <t>3043404359</t>
  </si>
  <si>
    <t>RURAL_114005558500000001_114005558500000001</t>
  </si>
  <si>
    <t>114005558500000001</t>
  </si>
  <si>
    <t>2025-12-12 16:29:25</t>
  </si>
  <si>
    <t>23605485</t>
  </si>
  <si>
    <t>02/12/2025 16:44:33</t>
  </si>
  <si>
    <t>2025-12-02 16:44:33</t>
  </si>
  <si>
    <t>SONIA YOLANDA LOPEZ TOBON</t>
  </si>
  <si>
    <t>3207052029</t>
  </si>
  <si>
    <t>CL 41 CR 42 A -79 (INTERIOR 401 )</t>
  </si>
  <si>
    <t>054411002100790401</t>
  </si>
  <si>
    <t>2025-12-12 16:44:33</t>
  </si>
  <si>
    <t>23605532</t>
  </si>
  <si>
    <t>02/12/2025 17:49:52</t>
  </si>
  <si>
    <t>2025-12-02 17:49:52</t>
  </si>
  <si>
    <t>CAMILA ANDREA UMAÑA USUGA</t>
  </si>
  <si>
    <t>3007881876</t>
  </si>
  <si>
    <t>CL 57 B CR 16 D -59 (INTERIOR 429 )</t>
  </si>
  <si>
    <t>055117206400590429</t>
  </si>
  <si>
    <t>2025-12-10 17:49:52</t>
  </si>
  <si>
    <t>23605534</t>
  </si>
  <si>
    <t>02/12/2025 17:52:05</t>
  </si>
  <si>
    <t>2025-12-02 17:52:05</t>
  </si>
  <si>
    <t>GILMA LUZ MARIN CARMONA</t>
  </si>
  <si>
    <t>3124640901</t>
  </si>
  <si>
    <t>CR 40 A CL 44 SUR -83</t>
  </si>
  <si>
    <t>024420104000830000</t>
  </si>
  <si>
    <t>2025-12-12 17:52:05</t>
  </si>
  <si>
    <t>JESUS ALBERTO CHAVERRA VARGAS</t>
  </si>
  <si>
    <t>3147577814</t>
  </si>
  <si>
    <t>23605545</t>
  </si>
  <si>
    <t>02/12/2025 22:19:55</t>
  </si>
  <si>
    <t>2025-12-02 22:19:55</t>
  </si>
  <si>
    <t>MARIA EUGENIA MIRANDA SANCHEZ</t>
  </si>
  <si>
    <t>3042450212</t>
  </si>
  <si>
    <t>CL 41 SUR CR 25 A -119 (INTERIOR 1 )</t>
  </si>
  <si>
    <t>024211005101190001</t>
  </si>
  <si>
    <t>2025-12-10 22:19:55</t>
  </si>
  <si>
    <t>23359888</t>
  </si>
  <si>
    <t>21/02/2025 08:15:37</t>
  </si>
  <si>
    <t>2025-12-03 12:09:21</t>
  </si>
  <si>
    <t>JOSE GILDARDO CUERVO GARCIA</t>
  </si>
  <si>
    <t>3206640252</t>
  </si>
  <si>
    <t>CR 17 A CL 56 H -8 (INTERIOR 2107 )</t>
  </si>
  <si>
    <t>055127106800082107</t>
  </si>
  <si>
    <t>2025-12-19 12:09:21</t>
  </si>
  <si>
    <t>23454026</t>
  </si>
  <si>
    <t>25/11/2025 11:28:00</t>
  </si>
  <si>
    <t>2025-12-03 14:36:13</t>
  </si>
  <si>
    <t>MARIA GLADYS CARDONA CARDENAS</t>
  </si>
  <si>
    <t>3215487612</t>
  </si>
  <si>
    <t>CR 2 CL 54 -190 (INTERIOR 101 )</t>
  </si>
  <si>
    <t>055022004001900101</t>
  </si>
  <si>
    <t>2025-12-11 14:36:13</t>
  </si>
  <si>
    <t>23455531</t>
  </si>
  <si>
    <t>04/06/2025 11:44:56</t>
  </si>
  <si>
    <t>2025-12-03 11:42:35</t>
  </si>
  <si>
    <t>MONICA MARIA RUIZ FLOREZ</t>
  </si>
  <si>
    <t>3108427946</t>
  </si>
  <si>
    <t>RURAL_163012514000000396</t>
  </si>
  <si>
    <t>163012514000000396</t>
  </si>
  <si>
    <t>2025-12-11 11:42:35</t>
  </si>
  <si>
    <t>23455557</t>
  </si>
  <si>
    <t>04/06/2025 12:06:11</t>
  </si>
  <si>
    <t>2025-12-03 11:44:05</t>
  </si>
  <si>
    <t>RURAL_163012514000000397</t>
  </si>
  <si>
    <t>163012514000000397</t>
  </si>
  <si>
    <t>2025-12-11 11:44:05</t>
  </si>
  <si>
    <t>23534535</t>
  </si>
  <si>
    <t>09/09/2025 08:45:09</t>
  </si>
  <si>
    <t>2025-12-03 09:52:22</t>
  </si>
  <si>
    <t>JOSE BERTOLDO CARDONA BASTIDAS</t>
  </si>
  <si>
    <t>4463426</t>
  </si>
  <si>
    <t>3041267153</t>
  </si>
  <si>
    <t>RURAL_146015339000000002_RURAL_PALMITAS</t>
  </si>
  <si>
    <t>146015339000000002</t>
  </si>
  <si>
    <t>2025-12-16 09:52:22</t>
  </si>
  <si>
    <t>23565796</t>
  </si>
  <si>
    <t>03/12/2025 09:05:47</t>
  </si>
  <si>
    <t>2025-12-03 09:05:47</t>
  </si>
  <si>
    <t>JUAN CAMILO BETANCUR MAYA</t>
  </si>
  <si>
    <t>3508575159</t>
  </si>
  <si>
    <t>RURAL_053799204200200000_DIAG 74 A TRAN 39 D -20</t>
  </si>
  <si>
    <t>053799204200200000</t>
  </si>
  <si>
    <t>2025-12-10 09:05:47</t>
  </si>
  <si>
    <t>23567499</t>
  </si>
  <si>
    <t>18/10/2025 07:13:26</t>
  </si>
  <si>
    <t>2025-12-03 09:06:43</t>
  </si>
  <si>
    <t>YURY ANDREA JARAMILLO JARAMILLO</t>
  </si>
  <si>
    <t>5971861</t>
  </si>
  <si>
    <t>3245816650</t>
  </si>
  <si>
    <t>CR 19 CL 57 A -14 (INTERIOR 100 )</t>
  </si>
  <si>
    <t>055129007100140100</t>
  </si>
  <si>
    <t>2025-12-11 09:06:43</t>
  </si>
  <si>
    <t>23581816</t>
  </si>
  <si>
    <t>26/11/2025 10:47:01</t>
  </si>
  <si>
    <t>2025-12-03 11:56:33</t>
  </si>
  <si>
    <t>LINA MARCELA TOBON RINCON</t>
  </si>
  <si>
    <t>3206159818</t>
  </si>
  <si>
    <t>CR 104 B CL 61 B -38 (INTERIOR 203 )</t>
  </si>
  <si>
    <t>086024201200380203</t>
  </si>
  <si>
    <t>2025-12-11 11:56:33</t>
  </si>
  <si>
    <t>23585492</t>
  </si>
  <si>
    <t>08/11/2025 14:05:41</t>
  </si>
  <si>
    <t>2025-12-03 14:48:49</t>
  </si>
  <si>
    <t>ELITE MOTORS S.A.S.</t>
  </si>
  <si>
    <t>3122222</t>
  </si>
  <si>
    <t>CR 43 B CL 11 -10</t>
  </si>
  <si>
    <t>051423201000100000</t>
  </si>
  <si>
    <t>2025-12-15 14:48:49</t>
  </si>
  <si>
    <t>23586652</t>
  </si>
  <si>
    <t>13/11/2025 13:31:07</t>
  </si>
  <si>
    <t>2025-12-03 11:49:01</t>
  </si>
  <si>
    <t>YESSICA ALEJANDRA RODAS GOMEZ</t>
  </si>
  <si>
    <t>3046058781</t>
  </si>
  <si>
    <t>RURAL_122006443000000000</t>
  </si>
  <si>
    <t>122006443000000000</t>
  </si>
  <si>
    <t>2025-12-16 11:49:01</t>
  </si>
  <si>
    <t>23587367</t>
  </si>
  <si>
    <t>11/11/2025 12:21:02</t>
  </si>
  <si>
    <t>2025-12-03 14:48:41</t>
  </si>
  <si>
    <t>LUZ DELIA GUISAO URREGO</t>
  </si>
  <si>
    <t>3235124356</t>
  </si>
  <si>
    <t>CR 107 CL 31 AA -103 (INTERIOR 104 )</t>
  </si>
  <si>
    <t>083027001111030104</t>
  </si>
  <si>
    <t>2025-12-11 14:48:41</t>
  </si>
  <si>
    <t>5 días 14:48</t>
  </si>
  <si>
    <t>23592938</t>
  </si>
  <si>
    <t>18/11/2025 16:44:33</t>
  </si>
  <si>
    <t>2025-12-03 13:44:34</t>
  </si>
  <si>
    <t>BEATRIZ EUGENIA CASTAÑO GALLEGO</t>
  </si>
  <si>
    <t>3113275871</t>
  </si>
  <si>
    <t>CL 59 A CR 80 A -204</t>
  </si>
  <si>
    <t>055819100102040000</t>
  </si>
  <si>
    <t>2025-12-19 13:44:34</t>
  </si>
  <si>
    <t>23595795</t>
  </si>
  <si>
    <t>20/11/2025 17:25:07</t>
  </si>
  <si>
    <t>2025-12-03 12:33:09</t>
  </si>
  <si>
    <t>ERNEY FRANCISCO FUENTES ORTEGA</t>
  </si>
  <si>
    <t>3128682599</t>
  </si>
  <si>
    <t>CR 90 B CL 15 -47 (INTERIOR 401 )</t>
  </si>
  <si>
    <t>051920205000470401</t>
  </si>
  <si>
    <t>2025-12-11 12:33:09</t>
  </si>
  <si>
    <t>23599392</t>
  </si>
  <si>
    <t>25/11/2025 14:01:25</t>
  </si>
  <si>
    <t>2025-12-03 10:40:46</t>
  </si>
  <si>
    <t>CAROLINA VELEZ PETRO</t>
  </si>
  <si>
    <t>2111111</t>
  </si>
  <si>
    <t>3116022081</t>
  </si>
  <si>
    <t>CR 25 AA CL 56 EE -21 (INTERIOR 402 )</t>
  </si>
  <si>
    <t>055225116550210402</t>
  </si>
  <si>
    <t>2025-12-11 10:40:46</t>
  </si>
  <si>
    <t>23600530</t>
  </si>
  <si>
    <t>26/11/2025 11:43:35</t>
  </si>
  <si>
    <t>2025-12-02 10:51:29</t>
  </si>
  <si>
    <t>JUAN CAMILO AGUDELO YEPES</t>
  </si>
  <si>
    <t>3216319028</t>
  </si>
  <si>
    <t>CL 75 B SUR CR 40 -323</t>
  </si>
  <si>
    <t>017415200003230000</t>
  </si>
  <si>
    <t>2025-12-12 10:51:29</t>
  </si>
  <si>
    <t>23601543</t>
  </si>
  <si>
    <t>03/12/2025 10:03:02</t>
  </si>
  <si>
    <t>2025-12-03 10:03:02</t>
  </si>
  <si>
    <t>CR 34 E CL 31 -164 (INTERIOR 401 )</t>
  </si>
  <si>
    <t>053324501001640401</t>
  </si>
  <si>
    <t>2025-12-11 10:03:02</t>
  </si>
  <si>
    <t>23601742</t>
  </si>
  <si>
    <t>28/11/2025 13:10:48</t>
  </si>
  <si>
    <t>2025-12-02 15:35:48</t>
  </si>
  <si>
    <t>SEBASTIAN HERNANDEZ LOPEZ</t>
  </si>
  <si>
    <t>2220273</t>
  </si>
  <si>
    <t>3136859001</t>
  </si>
  <si>
    <t>CL 47 CR 2 BB -163 (INTERIOR 449 )</t>
  </si>
  <si>
    <t>054017002221630449</t>
  </si>
  <si>
    <t>2025-12-10 15:35:48</t>
  </si>
  <si>
    <t>4 días 15:35</t>
  </si>
  <si>
    <t>23602232</t>
  </si>
  <si>
    <t>28/11/2025 08:35:11</t>
  </si>
  <si>
    <t>2025-12-03 09:13:24</t>
  </si>
  <si>
    <t>FLORENTINO PIZARRO PALACIOS</t>
  </si>
  <si>
    <t>3206666608</t>
  </si>
  <si>
    <t>CL 56 A CR 25 BB -72 (INTERIOR 120 )</t>
  </si>
  <si>
    <t>055216105220720120</t>
  </si>
  <si>
    <t>2025-12-11 09:13:24</t>
  </si>
  <si>
    <t>23605193</t>
  </si>
  <si>
    <t>02/12/2025 12:35:37</t>
  </si>
  <si>
    <t>2025-12-03 10:55:00</t>
  </si>
  <si>
    <t>GERSON FERLEY SANCHEZ PEREZ</t>
  </si>
  <si>
    <t>3192463753</t>
  </si>
  <si>
    <t>CR 11 CL 54 -218 (INTERIOR 101 )</t>
  </si>
  <si>
    <t>055121004002180101</t>
  </si>
  <si>
    <t>2025-12-11 10:55:00</t>
  </si>
  <si>
    <t>5 días 10:55</t>
  </si>
  <si>
    <t>23605356</t>
  </si>
  <si>
    <t>02/12/2025 14:56:46</t>
  </si>
  <si>
    <t>2025-12-02 14:56:46</t>
  </si>
  <si>
    <t>CR 50 CL 97 A SUR -392</t>
  </si>
  <si>
    <t>039520007103920000</t>
  </si>
  <si>
    <t>2025-12-09 14:56:46</t>
  </si>
  <si>
    <t>23605364</t>
  </si>
  <si>
    <t>02/12/2025 15:01:22</t>
  </si>
  <si>
    <t>2025-12-02 15:01:22</t>
  </si>
  <si>
    <t>MARIA EUGENIA GONZALEZ BOTERO</t>
  </si>
  <si>
    <t>3006543616</t>
  </si>
  <si>
    <t>CR 43 A CL 43 -11</t>
  </si>
  <si>
    <t>054423103000110000-ENEPRE</t>
  </si>
  <si>
    <t>2025-12-18 15:01:22</t>
  </si>
  <si>
    <t>23605432</t>
  </si>
  <si>
    <t>02/12/2025 15:55:49</t>
  </si>
  <si>
    <t>2025-12-02 15:55:49</t>
  </si>
  <si>
    <t>HEIDY ELSA PINEDA GONZALEZ</t>
  </si>
  <si>
    <t>3006125475</t>
  </si>
  <si>
    <t>CL 25 CR 65 E -24</t>
  </si>
  <si>
    <t>052615005500240000</t>
  </si>
  <si>
    <t>2025-12-09 15:55:49</t>
  </si>
  <si>
    <t>23605828</t>
  </si>
  <si>
    <t>03/12/2025 08:03:39</t>
  </si>
  <si>
    <t>2025-12-03 08:03:39</t>
  </si>
  <si>
    <t>GUILLERMO LOPEZ VERGARA</t>
  </si>
  <si>
    <t>2624500</t>
  </si>
  <si>
    <t>3207553279</t>
  </si>
  <si>
    <t>RURAL_159051310000000000_MONACO-CARRILERA</t>
  </si>
  <si>
    <t>159051310000000000</t>
  </si>
  <si>
    <t>2025-12-10 08:03:39</t>
  </si>
  <si>
    <t>23605835</t>
  </si>
  <si>
    <t>03/12/2025 08:08:17</t>
  </si>
  <si>
    <t>2025-12-03 08:08:17</t>
  </si>
  <si>
    <t>CARLOS ANDRES SIERRA SALAS</t>
  </si>
  <si>
    <t>3234915415</t>
  </si>
  <si>
    <t>CL 58 C CR 90 -1 (INTERIOR 182 )</t>
  </si>
  <si>
    <t>055918300000010182</t>
  </si>
  <si>
    <t>2025-12-11 08:08:17</t>
  </si>
  <si>
    <t>23605853</t>
  </si>
  <si>
    <t>03/12/2025 08:31:52</t>
  </si>
  <si>
    <t>2025-12-03 08:31:52</t>
  </si>
  <si>
    <t>EVER CICERON OSORIO LOPEZ</t>
  </si>
  <si>
    <t>3136621340</t>
  </si>
  <si>
    <t>CR 120 D CL 39 FD -95 (INTERIOR 1 )</t>
  </si>
  <si>
    <t>083220409640950001</t>
  </si>
  <si>
    <t>2025-12-11 08:31:52</t>
  </si>
  <si>
    <t>23605861</t>
  </si>
  <si>
    <t>03/12/2025 08:42:06</t>
  </si>
  <si>
    <t>2025-12-03 08:42:07</t>
  </si>
  <si>
    <t>MARIANA GOMEZ ZULUAGA</t>
  </si>
  <si>
    <t>3023712397</t>
  </si>
  <si>
    <t>RURAL_163017180002500000</t>
  </si>
  <si>
    <t>163017180002500000</t>
  </si>
  <si>
    <t>2025-12-11 08:42:07</t>
  </si>
  <si>
    <t>23605871</t>
  </si>
  <si>
    <t>03/12/2025 08:52:08</t>
  </si>
  <si>
    <t>2025-12-03 08:52:08</t>
  </si>
  <si>
    <t>RURAL_163017180002809801</t>
  </si>
  <si>
    <t>163017180002809801</t>
  </si>
  <si>
    <t>2025-12-11 08:52:08</t>
  </si>
  <si>
    <t>23605886</t>
  </si>
  <si>
    <t>03/12/2025 08:55:03</t>
  </si>
  <si>
    <t>2025-12-03 08:55:03</t>
  </si>
  <si>
    <t>RURAL_163017180002700000</t>
  </si>
  <si>
    <t>163017180002700000</t>
  </si>
  <si>
    <t>2025-12-11 08:55:03</t>
  </si>
  <si>
    <t>23606004</t>
  </si>
  <si>
    <t>03/12/2025 08:59:42</t>
  </si>
  <si>
    <t>2025-12-03 08:59:42</t>
  </si>
  <si>
    <t>DANIELA SANCHEZ ARIAS</t>
  </si>
  <si>
    <t>3008545855</t>
  </si>
  <si>
    <t>CL 34 A CR 116 -171 (INTERIOR 140 )</t>
  </si>
  <si>
    <t>083114106001710140</t>
  </si>
  <si>
    <t>2025-12-11 08:59:42</t>
  </si>
  <si>
    <t>23606065</t>
  </si>
  <si>
    <t>03/12/2025 09:02:40</t>
  </si>
  <si>
    <t>2025-12-03 09:02:40</t>
  </si>
  <si>
    <t>NATALIA  MURILLO</t>
  </si>
  <si>
    <t>3023198849</t>
  </si>
  <si>
    <t>RURAL_163017180002809802</t>
  </si>
  <si>
    <t>163017180002809802</t>
  </si>
  <si>
    <t>2025-12-11 09:02:40</t>
  </si>
  <si>
    <t>23606123</t>
  </si>
  <si>
    <t>03/12/2025 09:08:17</t>
  </si>
  <si>
    <t>2025-12-03 09:08:17</t>
  </si>
  <si>
    <t>RURAL_163017180002809901</t>
  </si>
  <si>
    <t>163017180002809901</t>
  </si>
  <si>
    <t>2025-12-11 09:08:17</t>
  </si>
  <si>
    <t>23606129</t>
  </si>
  <si>
    <t>03/12/2025 09:11:41</t>
  </si>
  <si>
    <t>2025-12-03 09:11:41</t>
  </si>
  <si>
    <t>CR 120 D CL 39 FD -95 (INTERIOR 2 )</t>
  </si>
  <si>
    <t>083220409640950002</t>
  </si>
  <si>
    <t>2025-12-11 09:11:41</t>
  </si>
  <si>
    <t>23606146</t>
  </si>
  <si>
    <t>03/12/2025 09:31:13</t>
  </si>
  <si>
    <t>2025-12-03 09:31:13</t>
  </si>
  <si>
    <t>LEIDY VALERIA SANCHEZ</t>
  </si>
  <si>
    <t>3155847759</t>
  </si>
  <si>
    <t>CR 103 A CL 48 BG -14 (INTERIOR 201 )</t>
  </si>
  <si>
    <t>084023108270140201</t>
  </si>
  <si>
    <t>2025-12-11 09:31:13</t>
  </si>
  <si>
    <t>23606153</t>
  </si>
  <si>
    <t>03/12/2025 09:34:08</t>
  </si>
  <si>
    <t>2025-12-03 09:34:08</t>
  </si>
  <si>
    <t>ALEJANDRA SALAZAR</t>
  </si>
  <si>
    <t>3027432269</t>
  </si>
  <si>
    <t>CR 87 CL 58 CC -84 (INTERIOR 302 )</t>
  </si>
  <si>
    <t>055827008330840302</t>
  </si>
  <si>
    <t>2025-12-11 09:34:08</t>
  </si>
  <si>
    <t>23606172</t>
  </si>
  <si>
    <t>03/12/2025 09:48:18</t>
  </si>
  <si>
    <t>2025-12-03 09:48:18</t>
  </si>
  <si>
    <t>MARISOL ELIANA HERNANDEZ ARROYAVE</t>
  </si>
  <si>
    <t>5866947</t>
  </si>
  <si>
    <t>3103092558</t>
  </si>
  <si>
    <t>CR 13 CL 55 -13 (INTERIOR 101 )</t>
  </si>
  <si>
    <t>055123005000130101</t>
  </si>
  <si>
    <t>2025-12-11 09:48:18</t>
  </si>
  <si>
    <t>23606179</t>
  </si>
  <si>
    <t>03/12/2025 09:54:08</t>
  </si>
  <si>
    <t>2025-12-03 09:54:08</t>
  </si>
  <si>
    <t>EFREN ALBERTO ORTIZ CASTAÑEDA</t>
  </si>
  <si>
    <t>2218384</t>
  </si>
  <si>
    <t>3117985061</t>
  </si>
  <si>
    <t>CR 11 C CL 49 E -22 (INTERIOR 201 )</t>
  </si>
  <si>
    <t>054121309500220201</t>
  </si>
  <si>
    <t>2025-12-19 09:54:08</t>
  </si>
  <si>
    <t>23606227</t>
  </si>
  <si>
    <t>03/12/2025 10:31:10</t>
  </si>
  <si>
    <t>2025-12-03 10:31:10</t>
  </si>
  <si>
    <t>BRUNO ALEJANDRO CASTILLO CASTILLO</t>
  </si>
  <si>
    <t>3192601592</t>
  </si>
  <si>
    <t>CR 120 D CL 39 FD -95 (INTERIOR 3 )</t>
  </si>
  <si>
    <t>083220409640950003</t>
  </si>
  <si>
    <t>2025-12-11 10:31:10</t>
  </si>
  <si>
    <t>23606233</t>
  </si>
  <si>
    <t>03/12/2025 10:35:31</t>
  </si>
  <si>
    <t>2025-12-03 10:35:31</t>
  </si>
  <si>
    <t>LUZ MARINA MUÑOZ PINO</t>
  </si>
  <si>
    <t>3045634206</t>
  </si>
  <si>
    <t>RURAL_163017257000000201</t>
  </si>
  <si>
    <t>163017257000000201</t>
  </si>
  <si>
    <t>2025-12-11 10:35:31</t>
  </si>
  <si>
    <t>23606243</t>
  </si>
  <si>
    <t>03/12/2025 10:38:30</t>
  </si>
  <si>
    <t>2025-12-03 10:38:30</t>
  </si>
  <si>
    <t>MAURICIO GIRALDO QUINTERO</t>
  </si>
  <si>
    <t>3234575009</t>
  </si>
  <si>
    <t>RURAL_163017268000001116_163017268000001116</t>
  </si>
  <si>
    <t>163017268000001116</t>
  </si>
  <si>
    <t>2025-12-11 10:38:30</t>
  </si>
  <si>
    <t>23606247</t>
  </si>
  <si>
    <t>03/12/2025 10:44:16</t>
  </si>
  <si>
    <t>2025-12-03 10:44:16</t>
  </si>
  <si>
    <t>JAIME ORLANDO MADRID CARDONA</t>
  </si>
  <si>
    <t>3216180326</t>
  </si>
  <si>
    <t>RURAL_163017268000002117</t>
  </si>
  <si>
    <t>163017268000002117</t>
  </si>
  <si>
    <t>2025-12-11 10:44:16</t>
  </si>
  <si>
    <t>23606252</t>
  </si>
  <si>
    <t>03/12/2025 10:46:45</t>
  </si>
  <si>
    <t>2025-12-03 10:46:45</t>
  </si>
  <si>
    <t>RURAL_163017268000003117</t>
  </si>
  <si>
    <t>163017268000003117</t>
  </si>
  <si>
    <t>2025-12-11 10:46:45</t>
  </si>
  <si>
    <t>23606255</t>
  </si>
  <si>
    <t>03/12/2025 10:49:21</t>
  </si>
  <si>
    <t>2025-12-03 10:49:21</t>
  </si>
  <si>
    <t>RURAL_163017268000009917_163017268000009917</t>
  </si>
  <si>
    <t>163017268000009917</t>
  </si>
  <si>
    <t>2025-12-11 10:49:21</t>
  </si>
  <si>
    <t>23606269</t>
  </si>
  <si>
    <t>03/12/2025 10:55:16</t>
  </si>
  <si>
    <t>2025-12-03 10:55:16</t>
  </si>
  <si>
    <t>EZEQUIEL  ESTEBAN GOMEZ  ESGUERRA</t>
  </si>
  <si>
    <t>3171731504</t>
  </si>
  <si>
    <t>CL 59 CR 48 -55</t>
  </si>
  <si>
    <t>055419008000550000-ENEPRE</t>
  </si>
  <si>
    <t>2025-12-19 10:55:16</t>
  </si>
  <si>
    <t>23606271</t>
  </si>
  <si>
    <t>03/12/2025 10:56:38</t>
  </si>
  <si>
    <t>2025-12-03 10:56:38</t>
  </si>
  <si>
    <t>MIRTA DOLLY HIGUITA GUERRA</t>
  </si>
  <si>
    <t>3148873201</t>
  </si>
  <si>
    <t>CR 30 CL 59 A -25 (INTERIOR 303 )</t>
  </si>
  <si>
    <t>055320009100250303</t>
  </si>
  <si>
    <t>2025-12-11 10:56:38</t>
  </si>
  <si>
    <t>23606285</t>
  </si>
  <si>
    <t>03/12/2025 11:08:17</t>
  </si>
  <si>
    <t>2025-12-03 11:08:17</t>
  </si>
  <si>
    <t>JUAN CARLOS GIL</t>
  </si>
  <si>
    <t>3005652685</t>
  </si>
  <si>
    <t>CL 34 CR 107 -59 (INTERIOR 306 )</t>
  </si>
  <si>
    <t>083014007000590306</t>
  </si>
  <si>
    <t>2025-12-11 11:08:17</t>
  </si>
  <si>
    <t>23606287</t>
  </si>
  <si>
    <t>03/12/2025 11:09:42</t>
  </si>
  <si>
    <t>2025-12-03 11:09:42</t>
  </si>
  <si>
    <t>JORGE ELIECER ESCOBAR AGUDELO</t>
  </si>
  <si>
    <t>3104606186</t>
  </si>
  <si>
    <t>CR 120 D CL 39 FD -95 (INTERIOR 4 )</t>
  </si>
  <si>
    <t>083220409640950004</t>
  </si>
  <si>
    <t>2025-12-11 11:09:42</t>
  </si>
  <si>
    <t>23606313</t>
  </si>
  <si>
    <t>03/12/2025 11:27:12</t>
  </si>
  <si>
    <t>2025-12-03 11:27:12</t>
  </si>
  <si>
    <t>SERGIO ADRIAN NOREÑA LOPERA</t>
  </si>
  <si>
    <t>3137945819</t>
  </si>
  <si>
    <t>RURAL_163017139600000201_LOS ZULETAS</t>
  </si>
  <si>
    <t>163017139600000201</t>
  </si>
  <si>
    <t>2025-12-11 11:27:12</t>
  </si>
  <si>
    <t>23606320</t>
  </si>
  <si>
    <t>03/12/2025 11:30:19</t>
  </si>
  <si>
    <t>2025-12-03 11:30:19</t>
  </si>
  <si>
    <t>CR 120 D CL 39 FD -95 (INTERIOR 5 )</t>
  </si>
  <si>
    <t>083220409640950005</t>
  </si>
  <si>
    <t>2025-12-11 11:30:19</t>
  </si>
  <si>
    <t>23606323</t>
  </si>
  <si>
    <t>03/12/2025 11:33:29</t>
  </si>
  <si>
    <t>2025-12-03 11:33:29</t>
  </si>
  <si>
    <t>YULIANA ANDREA CHAVARRIA</t>
  </si>
  <si>
    <t>3126404835</t>
  </si>
  <si>
    <t>CL 57 E CR 85 D -24 (INTERIOR 125 )</t>
  </si>
  <si>
    <t>055817505400240125</t>
  </si>
  <si>
    <t>2025-12-11 11:33:29</t>
  </si>
  <si>
    <t>23606335</t>
  </si>
  <si>
    <t>03/12/2025 11:43:57</t>
  </si>
  <si>
    <t>2025-12-03 11:43:57</t>
  </si>
  <si>
    <t>RURAL_163017139600000301_LOS ZULETAS</t>
  </si>
  <si>
    <t>163017139600000301</t>
  </si>
  <si>
    <t>2025-12-11 11:43:57</t>
  </si>
  <si>
    <t>23606339</t>
  </si>
  <si>
    <t>03/12/2025 11:47:28</t>
  </si>
  <si>
    <t>2025-12-03 11:47:28</t>
  </si>
  <si>
    <t>YOHANNA ASTRID OSORIO VELEZ</t>
  </si>
  <si>
    <t>3717927</t>
  </si>
  <si>
    <t>3206627323</t>
  </si>
  <si>
    <t>RURAL_163017139600000202_LOS ZULETAS</t>
  </si>
  <si>
    <t>163017139600000202</t>
  </si>
  <si>
    <t>2025-12-11 11:47:28</t>
  </si>
  <si>
    <t>23606341</t>
  </si>
  <si>
    <t>03/12/2025 11:49:21</t>
  </si>
  <si>
    <t>2025-12-03 11:49:21</t>
  </si>
  <si>
    <t>3169932803</t>
  </si>
  <si>
    <t>CL 60 CR 74 A -174 (INTERIOR 301 )</t>
  </si>
  <si>
    <t>056710004101740301</t>
  </si>
  <si>
    <t>2025-12-10 11:49:21</t>
  </si>
  <si>
    <t>23606343</t>
  </si>
  <si>
    <t>03/12/2025 11:49:54</t>
  </si>
  <si>
    <t>2025-12-03 11:49:54</t>
  </si>
  <si>
    <t>LUZ MARINA SEPULVEDA LONDOÑO</t>
  </si>
  <si>
    <t>3217235843</t>
  </si>
  <si>
    <t>RURAL_163017268000000114</t>
  </si>
  <si>
    <t>163017268000000114</t>
  </si>
  <si>
    <t>2025-12-11 11:49:54</t>
  </si>
  <si>
    <t>23606345</t>
  </si>
  <si>
    <t>03/12/2025 11:50:01</t>
  </si>
  <si>
    <t>2025-12-03 11:50:01</t>
  </si>
  <si>
    <t>CR 120 D CL 39 FD -95 (INTERIOR 6 )</t>
  </si>
  <si>
    <t>083220409640950006</t>
  </si>
  <si>
    <t>2025-12-11 11:50:01</t>
  </si>
  <si>
    <t>23606350</t>
  </si>
  <si>
    <t>03/12/2025 11:53:53</t>
  </si>
  <si>
    <t>2025-12-03 11:53:53</t>
  </si>
  <si>
    <t>ALBERTO DE JESUS JIMENEZ GUZMAN</t>
  </si>
  <si>
    <t>3017978988</t>
  </si>
  <si>
    <t>CR 50 C CL 61 -83</t>
  </si>
  <si>
    <t>056520301000830000-ENEPRE</t>
  </si>
  <si>
    <t>2025-12-19 11:53:53</t>
  </si>
  <si>
    <t>23606352</t>
  </si>
  <si>
    <t>03/12/2025 11:54:09</t>
  </si>
  <si>
    <t>2025-12-03 11:54:09</t>
  </si>
  <si>
    <t>AMADO DE JESUS MARTINEZ MARTINEZ</t>
  </si>
  <si>
    <t>3116170533</t>
  </si>
  <si>
    <t>RURAL_122003570000000000_122003570000000000</t>
  </si>
  <si>
    <t>122003570000000000-ENEPRE</t>
  </si>
  <si>
    <t>2025-12-19 11:54:09</t>
  </si>
  <si>
    <t>23606355</t>
  </si>
  <si>
    <t>03/12/2025 11:55:37</t>
  </si>
  <si>
    <t>2025-12-03 11:55:37</t>
  </si>
  <si>
    <t>CR 65 G CL 23 -11 (INTERIOR 302 )</t>
  </si>
  <si>
    <t>052625703000110302</t>
  </si>
  <si>
    <t>2025-12-11 11:55:37</t>
  </si>
  <si>
    <t>23606368</t>
  </si>
  <si>
    <t>03/12/2025 12:14:26</t>
  </si>
  <si>
    <t>2025-12-03 12:14:26</t>
  </si>
  <si>
    <t>CR 120 D CL 39 FD -95 (INTERIOR 7 )</t>
  </si>
  <si>
    <t>083220409640950007</t>
  </si>
  <si>
    <t>2025-12-11 12:14:26</t>
  </si>
  <si>
    <t>23606385</t>
  </si>
  <si>
    <t>03/12/2025 12:31:58</t>
  </si>
  <si>
    <t>2025-12-03 12:31:58</t>
  </si>
  <si>
    <t>MARIA ERNESTINA TORRES BENITEZ</t>
  </si>
  <si>
    <t>3127640090</t>
  </si>
  <si>
    <t>CL 57 CR 7 -0 (INTERIOR 121 )</t>
  </si>
  <si>
    <t>055017007000000121</t>
  </si>
  <si>
    <t>2025-12-11 12:31:58</t>
  </si>
  <si>
    <t>23606389</t>
  </si>
  <si>
    <t>03/12/2025 12:33:54</t>
  </si>
  <si>
    <t>2025-12-03 12:33:54</t>
  </si>
  <si>
    <t>OSCAR HERNAN HENAO JARAMILLO</t>
  </si>
  <si>
    <t>3137437546</t>
  </si>
  <si>
    <t>CL 48 B CR 107 B -29 (INTERIOR 9960 )</t>
  </si>
  <si>
    <t>084018207200299960</t>
  </si>
  <si>
    <t>2025-12-11 12:33:54</t>
  </si>
  <si>
    <t>23606391</t>
  </si>
  <si>
    <t>03/12/2025 12:41:04</t>
  </si>
  <si>
    <t>2025-12-03 12:41:04</t>
  </si>
  <si>
    <t>CR 65 G CL 23 -11 (INTERIOR 1 )</t>
  </si>
  <si>
    <t>052625703000110001</t>
  </si>
  <si>
    <t>2025-12-11 12:41:04</t>
  </si>
  <si>
    <t>23606417</t>
  </si>
  <si>
    <t>03/12/2025 13:13:30</t>
  </si>
  <si>
    <t>2025-12-03 13:13:30</t>
  </si>
  <si>
    <t>CONRADO ALIRIO DAVID SALAS</t>
  </si>
  <si>
    <t>3005940527</t>
  </si>
  <si>
    <t>CL 56 FB CR 18 A -19 (INTERIOR 338 )</t>
  </si>
  <si>
    <t>055116628100190338</t>
  </si>
  <si>
    <t>2025-12-11 13:13:30</t>
  </si>
  <si>
    <t>23606453</t>
  </si>
  <si>
    <t>03/12/2025 13:33:39</t>
  </si>
  <si>
    <t>2025-12-03 13:33:39</t>
  </si>
  <si>
    <t>MARINELLA CANO ALVAREZ</t>
  </si>
  <si>
    <t>3003631908</t>
  </si>
  <si>
    <t>CR 2 C CL 54 -68 (INTERIOR 201 )</t>
  </si>
  <si>
    <t>055022304000680201</t>
  </si>
  <si>
    <t>2025-12-11 13:33:39</t>
  </si>
  <si>
    <t>23606457</t>
  </si>
  <si>
    <t>03/12/2025 13:39:04</t>
  </si>
  <si>
    <t>2025-12-03 13:39:04</t>
  </si>
  <si>
    <t>NUBIA DE JESUS SUAREZ AGUDELO</t>
  </si>
  <si>
    <t>6007085</t>
  </si>
  <si>
    <t>3113948386</t>
  </si>
  <si>
    <t>RURAL_146024041000000101</t>
  </si>
  <si>
    <t>146024041000000101</t>
  </si>
  <si>
    <t>2025-12-16 13:39:04</t>
  </si>
  <si>
    <t>23606460</t>
  </si>
  <si>
    <t>03/12/2025 13:44:19</t>
  </si>
  <si>
    <t>2025-12-03 13:44:19</t>
  </si>
  <si>
    <t>RURAL_146024041000000102</t>
  </si>
  <si>
    <t>146024041000000102</t>
  </si>
  <si>
    <t>2025-12-16 13:44:19</t>
  </si>
  <si>
    <t>23606466</t>
  </si>
  <si>
    <t>03/12/2025 13:50:08</t>
  </si>
  <si>
    <t>2025-12-03 13:50:08</t>
  </si>
  <si>
    <t>RURAL_146024041000000201</t>
  </si>
  <si>
    <t>146024041000000201</t>
  </si>
  <si>
    <t>2025-12-16 13:50:08</t>
  </si>
  <si>
    <t>23606469</t>
  </si>
  <si>
    <t>03/12/2025 13:54:24</t>
  </si>
  <si>
    <t>2025-12-03 13:54:24</t>
  </si>
  <si>
    <t>YICELA RAYO VARGAS</t>
  </si>
  <si>
    <t>3235797967</t>
  </si>
  <si>
    <t>CR 99 EB CL 48 BB -25 (INTERIOR 401 )</t>
  </si>
  <si>
    <t>054929528220250401</t>
  </si>
  <si>
    <t>2025-12-11 13:54:24</t>
  </si>
  <si>
    <t>23606512</t>
  </si>
  <si>
    <t>03/12/2025 14:17:09</t>
  </si>
  <si>
    <t>2025-12-03 14:17:09</t>
  </si>
  <si>
    <t>3208905886</t>
  </si>
  <si>
    <t>CR 65 G CL 23 -15 (INTERIOR 202 )</t>
  </si>
  <si>
    <t>052625703000150202</t>
  </si>
  <si>
    <t>2025-12-11 14:17:09</t>
  </si>
  <si>
    <t>23606513</t>
  </si>
  <si>
    <t>03/12/2025 14:17:13</t>
  </si>
  <si>
    <t>2025-12-03 14:17:13</t>
  </si>
  <si>
    <t>CR 65 G CL 23 -15 (INTERIOR 201 )</t>
  </si>
  <si>
    <t>052625703000150201</t>
  </si>
  <si>
    <t>2025-12-11 14:17:13</t>
  </si>
  <si>
    <t>23606516</t>
  </si>
  <si>
    <t>03/12/2025 14:19:39</t>
  </si>
  <si>
    <t>2025-12-03 14:19:39</t>
  </si>
  <si>
    <t>LETICIA MARIA MUÑOZ GOMEZ</t>
  </si>
  <si>
    <t>3870787</t>
  </si>
  <si>
    <t>3105076696</t>
  </si>
  <si>
    <t>RURAL_146024040500000101</t>
  </si>
  <si>
    <t>146024040500000101</t>
  </si>
  <si>
    <t>2025-12-16 14:19:39</t>
  </si>
  <si>
    <t>23606560</t>
  </si>
  <si>
    <t>03/12/2025 14:36:14</t>
  </si>
  <si>
    <t>2025-12-03 14:36:14</t>
  </si>
  <si>
    <t>RURAL_146024040500000102</t>
  </si>
  <si>
    <t>146024040500000102</t>
  </si>
  <si>
    <t>2025-12-16 14:36:14</t>
  </si>
  <si>
    <t>23606577</t>
  </si>
  <si>
    <t>03/12/2025 14:39:49</t>
  </si>
  <si>
    <t>2025-12-03 14:39:49</t>
  </si>
  <si>
    <t>LAURA MARCELA CARMONA ROMAN</t>
  </si>
  <si>
    <t>3137945378</t>
  </si>
  <si>
    <t>CL 12 B CR 111 A -12</t>
  </si>
  <si>
    <t>081112201100120000</t>
  </si>
  <si>
    <t>2025-12-19 14:39:49</t>
  </si>
  <si>
    <t>23606581</t>
  </si>
  <si>
    <t>03/12/2025 14:42:03</t>
  </si>
  <si>
    <t>2025-12-03 14:42:03</t>
  </si>
  <si>
    <t>RURAL_146024042000000000</t>
  </si>
  <si>
    <t>146024042000000000</t>
  </si>
  <si>
    <t>2025-12-16 14:42:03</t>
  </si>
  <si>
    <t>23606618</t>
  </si>
  <si>
    <t>03/12/2025 14:51:57</t>
  </si>
  <si>
    <t>2025-12-03 14:51:57</t>
  </si>
  <si>
    <t>JHOAN FERNANDO MARIN CATAÑO</t>
  </si>
  <si>
    <t>3246455816</t>
  </si>
  <si>
    <t>CL 48 CR 60 -16 (INTERIOR 3002 )</t>
  </si>
  <si>
    <t>074618000000160300</t>
  </si>
  <si>
    <t>2025-12-11 14:51:57</t>
  </si>
  <si>
    <t>23606653</t>
  </si>
  <si>
    <t>YULIEDIS SANCHEZ</t>
  </si>
  <si>
    <t>3117853932</t>
  </si>
  <si>
    <t>052614005600123002</t>
  </si>
  <si>
    <t>5 días 21:44</t>
  </si>
  <si>
    <t>2 días 09:49</t>
  </si>
  <si>
    <t>3 días 09:49</t>
  </si>
  <si>
    <t>0 días 13:45</t>
  </si>
  <si>
    <t>2 días 21:48</t>
  </si>
  <si>
    <t>3 días 21:48</t>
  </si>
  <si>
    <t>3 días 14:47</t>
  </si>
  <si>
    <t>4 días 11:44</t>
  </si>
  <si>
    <t>2 días 09:31</t>
  </si>
  <si>
    <t>3 días 09:31</t>
  </si>
  <si>
    <t>2 días 16:29</t>
  </si>
  <si>
    <t>3 días 16:29</t>
  </si>
  <si>
    <t>2 días 15:21</t>
  </si>
  <si>
    <t>1 días 15:29</t>
  </si>
  <si>
    <t>23506041</t>
  </si>
  <si>
    <t>05/08/2025 08:07:45</t>
  </si>
  <si>
    <t>BLANCA OFELIA TORRES ZAPATA</t>
  </si>
  <si>
    <t>3108403498</t>
  </si>
  <si>
    <t>CL 47 CR 44 -20 (LC 201 )</t>
  </si>
  <si>
    <t>054417004000200201</t>
  </si>
  <si>
    <t>3 días 16:30</t>
  </si>
  <si>
    <t>5 días 21:54</t>
  </si>
  <si>
    <t>23523835</t>
  </si>
  <si>
    <t>27/08/2025 08:49:21</t>
  </si>
  <si>
    <t>2025-12-03 12:16:05</t>
  </si>
  <si>
    <t>INVERSIONES NEW POINT S.A.S</t>
  </si>
  <si>
    <t>3007592623</t>
  </si>
  <si>
    <t>RURAL_125006607300000040_LOTE 40</t>
  </si>
  <si>
    <t>125006607300000040</t>
  </si>
  <si>
    <t>2025-12-18 12:16:05</t>
  </si>
  <si>
    <t>0 días 12:16</t>
  </si>
  <si>
    <t>0 días 08:46</t>
  </si>
  <si>
    <t>5 días 21:43</t>
  </si>
  <si>
    <t>2 días 21:43</t>
  </si>
  <si>
    <t>2 días 15:11</t>
  </si>
  <si>
    <t>2 días 12:29</t>
  </si>
  <si>
    <t>3 días 12:29</t>
  </si>
  <si>
    <t>3 días 11:44</t>
  </si>
  <si>
    <t>3 días 12:58</t>
  </si>
  <si>
    <t>3 días 15:35</t>
  </si>
  <si>
    <t>3 días 15:34</t>
  </si>
  <si>
    <t>3 días 09:14</t>
  </si>
  <si>
    <t>4 días 09:14</t>
  </si>
  <si>
    <t>2 días 21:44</t>
  </si>
  <si>
    <t>23555631</t>
  </si>
  <si>
    <t>03/10/2025 11:06:49</t>
  </si>
  <si>
    <t>2025-12-03 09:35:20</t>
  </si>
  <si>
    <t>AGROAVICOLA NACIONAL S.A.S.</t>
  </si>
  <si>
    <t>3008238906</t>
  </si>
  <si>
    <t>RURAL_146005140000000004_ QUINTA DE BOLIVAR LOTE 4</t>
  </si>
  <si>
    <t>146005140000000004</t>
  </si>
  <si>
    <t>2025-12-18 09:35:20</t>
  </si>
  <si>
    <t>0 días 09:35</t>
  </si>
  <si>
    <t>23560464</t>
  </si>
  <si>
    <t>09/10/2025 09:29:05</t>
  </si>
  <si>
    <t>2025-12-03 13:01:32</t>
  </si>
  <si>
    <t>CLAUDIA MARIA ECHEVERRI MESA</t>
  </si>
  <si>
    <t>3104609752</t>
  </si>
  <si>
    <t>RURAL_126007920000000101_MEDELLIN LAS PALMAS</t>
  </si>
  <si>
    <t>126007920000000101</t>
  </si>
  <si>
    <t>2025-12-18 13:01:32</t>
  </si>
  <si>
    <t>0 días 09:06</t>
  </si>
  <si>
    <t>23571574</t>
  </si>
  <si>
    <t>23/10/2025 12:53:12</t>
  </si>
  <si>
    <t>2025-12-03 10:29:53</t>
  </si>
  <si>
    <t>RURAL_122003570000000301</t>
  </si>
  <si>
    <t>122003570000000301</t>
  </si>
  <si>
    <t>2025-12-18 10:29:53</t>
  </si>
  <si>
    <t>23575118</t>
  </si>
  <si>
    <t>28/10/2025 12:13:17</t>
  </si>
  <si>
    <t>2025-12-03 17:17:54</t>
  </si>
  <si>
    <t>EDWIN ANDRES GAÑAN RUIZ</t>
  </si>
  <si>
    <t>3117315614</t>
  </si>
  <si>
    <t>CL 39 B CR 108 -26</t>
  </si>
  <si>
    <t>083019208000260000</t>
  </si>
  <si>
    <t>2025-12-15 17:17:54</t>
  </si>
  <si>
    <t>4 días 10:51</t>
  </si>
  <si>
    <t>23582032</t>
  </si>
  <si>
    <t>05/11/2025 11:08:45</t>
  </si>
  <si>
    <t>2025-12-03 16:02:33</t>
  </si>
  <si>
    <t>MUNICIPIO SABANETA</t>
  </si>
  <si>
    <t>6002972</t>
  </si>
  <si>
    <t>3136365454</t>
  </si>
  <si>
    <t>CL 71 SUR CR 45 -1 (INTERIOR 1 )</t>
  </si>
  <si>
    <t>017411005000010001</t>
  </si>
  <si>
    <t>2025-12-15 16:02:33</t>
  </si>
  <si>
    <t>23582054</t>
  </si>
  <si>
    <t>05/11/2025 11:17:27</t>
  </si>
  <si>
    <t>2025-12-03 16:04:29</t>
  </si>
  <si>
    <t>CL 71 SUR CR 45 -1 (INTERIOR 2 )</t>
  </si>
  <si>
    <t>017411005000010002</t>
  </si>
  <si>
    <t>2025-12-15 16:04:29</t>
  </si>
  <si>
    <t>3 días 09:52</t>
  </si>
  <si>
    <t>4 días 09:52</t>
  </si>
  <si>
    <t>2 días 10:48</t>
  </si>
  <si>
    <t>2 días 10:32</t>
  </si>
  <si>
    <t>3 días 10:32</t>
  </si>
  <si>
    <t>2 días 09:34</t>
  </si>
  <si>
    <t>3 días 09:34</t>
  </si>
  <si>
    <t>4 días 14:48</t>
  </si>
  <si>
    <t>23587654</t>
  </si>
  <si>
    <t>11/11/2025 16:13:25</t>
  </si>
  <si>
    <t>2025-12-03 10:22:31</t>
  </si>
  <si>
    <t>LUIS FELIPE MARIN SALAZAR</t>
  </si>
  <si>
    <t>3186939273</t>
  </si>
  <si>
    <t>CR 89 C CL 30 C -89 (INTERIOR 412 )</t>
  </si>
  <si>
    <t>053829300300890412</t>
  </si>
  <si>
    <t>2025-12-15 10:22:31</t>
  </si>
  <si>
    <t>3 días 11:10</t>
  </si>
  <si>
    <t>4 días 11:10</t>
  </si>
  <si>
    <t>3 días 12:47</t>
  </si>
  <si>
    <t>4 días 08:46</t>
  </si>
  <si>
    <t>9 días 10:55</t>
  </si>
  <si>
    <t>3 días 14:51</t>
  </si>
  <si>
    <t>2 días 11:42</t>
  </si>
  <si>
    <t>2 días 08:52</t>
  </si>
  <si>
    <t>2 días 08:42</t>
  </si>
  <si>
    <t>2 días 11:47</t>
  </si>
  <si>
    <t>6 días 13:51</t>
  </si>
  <si>
    <t>3 días 13:51</t>
  </si>
  <si>
    <t>2 días 15:31</t>
  </si>
  <si>
    <t>4 días 14:46</t>
  </si>
  <si>
    <t>4 días 14:44</t>
  </si>
  <si>
    <t>5 días 10:08</t>
  </si>
  <si>
    <t>5 días 12:09</t>
  </si>
  <si>
    <t>3 días 12:35</t>
  </si>
  <si>
    <t>4 días 12:35</t>
  </si>
  <si>
    <t>5 días 15:29</t>
  </si>
  <si>
    <t>6 días 15:29</t>
  </si>
  <si>
    <t>3 días 15:57</t>
  </si>
  <si>
    <t>5 días 16:25</t>
  </si>
  <si>
    <t>6 días 16:25</t>
  </si>
  <si>
    <t>4 días 10:15</t>
  </si>
  <si>
    <t>4 días 10:20</t>
  </si>
  <si>
    <t>5 días 10:20</t>
  </si>
  <si>
    <t>4 días 13:05</t>
  </si>
  <si>
    <t>4 días 13:21</t>
  </si>
  <si>
    <t>4 días 13:50</t>
  </si>
  <si>
    <t>5 días 13:50</t>
  </si>
  <si>
    <t>4 días 14:06</t>
  </si>
  <si>
    <t>5 días 14:06</t>
  </si>
  <si>
    <t>4 días 14:33</t>
  </si>
  <si>
    <t>5 días 14:33</t>
  </si>
  <si>
    <t>4 días 16:09</t>
  </si>
  <si>
    <t>5 días 16:09</t>
  </si>
  <si>
    <t>4 días 17:19</t>
  </si>
  <si>
    <t>5 días 17:19</t>
  </si>
  <si>
    <t>4 días 11:11</t>
  </si>
  <si>
    <t>5 días 11:11</t>
  </si>
  <si>
    <t>3 días 13:27</t>
  </si>
  <si>
    <t>4 días 22:12</t>
  </si>
  <si>
    <t>5 días 22:12</t>
  </si>
  <si>
    <t>7 días 11:31</t>
  </si>
  <si>
    <t>4 días 13:56</t>
  </si>
  <si>
    <t>5 días 13:56</t>
  </si>
  <si>
    <t>3 días 07:50</t>
  </si>
  <si>
    <t>4 días 07:50</t>
  </si>
  <si>
    <t>3 días 07:51</t>
  </si>
  <si>
    <t>4 días 07:51</t>
  </si>
  <si>
    <t>3 días 07:59</t>
  </si>
  <si>
    <t>4 días 07:59</t>
  </si>
  <si>
    <t>4 días 08:35</t>
  </si>
  <si>
    <t>4 días 09:08</t>
  </si>
  <si>
    <t>4 días 10:00</t>
  </si>
  <si>
    <t>3 días 10:36</t>
  </si>
  <si>
    <t>3 días 10:37</t>
  </si>
  <si>
    <t>4 días 10:37</t>
  </si>
  <si>
    <t>6 días 10:55</t>
  </si>
  <si>
    <t>3 días 11:05</t>
  </si>
  <si>
    <t>23604137</t>
  </si>
  <si>
    <t>01/12/2025 11:07:33</t>
  </si>
  <si>
    <t>2025-12-01 11:07:33</t>
  </si>
  <si>
    <t>RICARDO LEON GOMEZ MONTOYA</t>
  </si>
  <si>
    <t>3007762446</t>
  </si>
  <si>
    <t>CL 31 B CR 89 E -37</t>
  </si>
  <si>
    <t>053811209500370000</t>
  </si>
  <si>
    <t>2025-12-11 11:07:33</t>
  </si>
  <si>
    <t>3 días 11:07</t>
  </si>
  <si>
    <t>4 días 11:07</t>
  </si>
  <si>
    <t>3 días 11:19</t>
  </si>
  <si>
    <t>4 días 11:19</t>
  </si>
  <si>
    <t>3 días 11:35</t>
  </si>
  <si>
    <t>4 días 11:35</t>
  </si>
  <si>
    <t>23604222</t>
  </si>
  <si>
    <t>01/12/2025 12:09:08</t>
  </si>
  <si>
    <t>2025-12-01 12:09:08</t>
  </si>
  <si>
    <t>ESNEIDA CONDE</t>
  </si>
  <si>
    <t>CL 65 CR 70 -149 (INTERIOR 102 )</t>
  </si>
  <si>
    <t>056715000001490102</t>
  </si>
  <si>
    <t>2025-12-11 12:09:08</t>
  </si>
  <si>
    <t>6 días 12:09</t>
  </si>
  <si>
    <t>23604229</t>
  </si>
  <si>
    <t>01/12/2025 12:16:43</t>
  </si>
  <si>
    <t>2025-12-01 12:16:43</t>
  </si>
  <si>
    <t>DOLLY DEL SOCORRO RESTREPO ARROYABE</t>
  </si>
  <si>
    <t>3228276623</t>
  </si>
  <si>
    <t>RURAL_114014507600000101_VEREDA BELEN MANZANILLO</t>
  </si>
  <si>
    <t>114014507600000101</t>
  </si>
  <si>
    <t>2025-12-11 12:16:43</t>
  </si>
  <si>
    <t>3 días 12:16</t>
  </si>
  <si>
    <t>4 días 12:16</t>
  </si>
  <si>
    <t>3 días 13:34</t>
  </si>
  <si>
    <t>4 días 13:34</t>
  </si>
  <si>
    <t>4 días 14:30</t>
  </si>
  <si>
    <t>3 días 14:40</t>
  </si>
  <si>
    <t>4 días 14:40</t>
  </si>
  <si>
    <t>3 días 15:33</t>
  </si>
  <si>
    <t>4 días 15:33</t>
  </si>
  <si>
    <t>3 días 15:45</t>
  </si>
  <si>
    <t>4 días 15:45</t>
  </si>
  <si>
    <t>3 días 15:52</t>
  </si>
  <si>
    <t>4 días 15:52</t>
  </si>
  <si>
    <t>3 días 16:12</t>
  </si>
  <si>
    <t>4 días 16:12</t>
  </si>
  <si>
    <t>23604537</t>
  </si>
  <si>
    <t>01/12/2025 16:12:59</t>
  </si>
  <si>
    <t>2025-12-01 16:12:59</t>
  </si>
  <si>
    <t>CONTROL GRUPO EMPRESARIAL SAS</t>
  </si>
  <si>
    <t>4798863</t>
  </si>
  <si>
    <t>CR 45 CL 36 -45 (INTERIOR 6100 )</t>
  </si>
  <si>
    <t>053425006000456100</t>
  </si>
  <si>
    <t>2025-12-11 16:12:59</t>
  </si>
  <si>
    <t>3 días 16:40</t>
  </si>
  <si>
    <t>4 días 16:40</t>
  </si>
  <si>
    <t>3 días 16:42</t>
  </si>
  <si>
    <t>3 días 16:51</t>
  </si>
  <si>
    <t>4 días 16:51</t>
  </si>
  <si>
    <t>23604872</t>
  </si>
  <si>
    <t>02/12/2025 07:49:51</t>
  </si>
  <si>
    <t>2025-12-02 07:49:51</t>
  </si>
  <si>
    <t>CL 43 CR 50 -53 (LC 1 )</t>
  </si>
  <si>
    <t>074513000000530001</t>
  </si>
  <si>
    <t>2025-12-12 07:49:51</t>
  </si>
  <si>
    <t>23604946</t>
  </si>
  <si>
    <t>02/12/2025 09:12:01</t>
  </si>
  <si>
    <t>2025-12-02 09:12:01</t>
  </si>
  <si>
    <t>MARIA KATERINE MOLINA CARDONA</t>
  </si>
  <si>
    <t>3107454957</t>
  </si>
  <si>
    <t>CL 39 A SUR CR 46 A -43</t>
  </si>
  <si>
    <t>023419106100430000</t>
  </si>
  <si>
    <t>2025-12-12 09:12:01</t>
  </si>
  <si>
    <t>2 días 09:36</t>
  </si>
  <si>
    <t>3 días 09:36</t>
  </si>
  <si>
    <t>2 días 10:03</t>
  </si>
  <si>
    <t>3 días 10:03</t>
  </si>
  <si>
    <t>2 días 10:40</t>
  </si>
  <si>
    <t>3 días 10:40</t>
  </si>
  <si>
    <t>2 días 11:08</t>
  </si>
  <si>
    <t>23605104</t>
  </si>
  <si>
    <t>02/12/2025 11:31:42</t>
  </si>
  <si>
    <t>2025-12-02 11:31:42</t>
  </si>
  <si>
    <t>3172676687</t>
  </si>
  <si>
    <t>RURAL_122002600000000002_BOCATOMA SANTA ELENA</t>
  </si>
  <si>
    <t>122002600000000002</t>
  </si>
  <si>
    <t>2025-12-17 11:31:42</t>
  </si>
  <si>
    <t>2 días 11:37</t>
  </si>
  <si>
    <t>7 días 11:45</t>
  </si>
  <si>
    <t>6 días 11:49</t>
  </si>
  <si>
    <t>2 días 11:55</t>
  </si>
  <si>
    <t>3 días 11:55</t>
  </si>
  <si>
    <t>2 días 12:03</t>
  </si>
  <si>
    <t>3 días 12:03</t>
  </si>
  <si>
    <t>2 días 12:14</t>
  </si>
  <si>
    <t>2 días 13:24</t>
  </si>
  <si>
    <t>3 días 13:24</t>
  </si>
  <si>
    <t>2 días 13:37</t>
  </si>
  <si>
    <t>3 días 13:37</t>
  </si>
  <si>
    <t>2 días 13:53</t>
  </si>
  <si>
    <t>3 días 13:53</t>
  </si>
  <si>
    <t>5 días 14:13</t>
  </si>
  <si>
    <t>2 días 14:19</t>
  </si>
  <si>
    <t>5 días 14:20</t>
  </si>
  <si>
    <t>23605309</t>
  </si>
  <si>
    <t>02/12/2025 14:21:53</t>
  </si>
  <si>
    <t>2025-12-02 14:21:53</t>
  </si>
  <si>
    <t>OLIVERIO DE JESUS ARANGO PEREZ</t>
  </si>
  <si>
    <t>4332124</t>
  </si>
  <si>
    <t>3136360310</t>
  </si>
  <si>
    <t>CL 37 SUR CR 41 -42 (INTERIOR 101 )</t>
  </si>
  <si>
    <t>023417001000420101</t>
  </si>
  <si>
    <t>2025-12-12 14:21:53</t>
  </si>
  <si>
    <t>23605320</t>
  </si>
  <si>
    <t>02/12/2025 14:26:17</t>
  </si>
  <si>
    <t>2025-12-02 14:26:17</t>
  </si>
  <si>
    <t>CL 37 SUR CR 41 -42 (INTERIOR 102 )</t>
  </si>
  <si>
    <t>023417001000420102</t>
  </si>
  <si>
    <t>2025-12-12 14:26:17</t>
  </si>
  <si>
    <t>2 días 14:36</t>
  </si>
  <si>
    <t>2 días 14:48</t>
  </si>
  <si>
    <t>2 días 15:09</t>
  </si>
  <si>
    <t>2 días 17:17</t>
  </si>
  <si>
    <t>2 días 17:49</t>
  </si>
  <si>
    <t>3 días 17:49</t>
  </si>
  <si>
    <t>2 días 22:19</t>
  </si>
  <si>
    <t>3 días 22:19</t>
  </si>
  <si>
    <t>23605844</t>
  </si>
  <si>
    <t>03/12/2025 08:19:44</t>
  </si>
  <si>
    <t>2025-12-03 08:19:44</t>
  </si>
  <si>
    <t>ROBINSON GIRALDO SALAZAR</t>
  </si>
  <si>
    <t>3204754508</t>
  </si>
  <si>
    <t>CR 51 CL 38 -53 (INTERIOR 201 )</t>
  </si>
  <si>
    <t>053521008000530201</t>
  </si>
  <si>
    <t>2025-12-15 08:19:44</t>
  </si>
  <si>
    <t>23605851</t>
  </si>
  <si>
    <t>03/12/2025 08:28:51</t>
  </si>
  <si>
    <t>2025-12-03 08:28:51</t>
  </si>
  <si>
    <t>NEIL HUMBERTO CORTES ZAPATA</t>
  </si>
  <si>
    <t>3376801</t>
  </si>
  <si>
    <t>3225306058</t>
  </si>
  <si>
    <t>CL 38 CR 112 -24 (INTERIOR 401 )</t>
  </si>
  <si>
    <t>083118002000240401</t>
  </si>
  <si>
    <t>2025-12-15 08:28:51</t>
  </si>
  <si>
    <t>0 días 08:28</t>
  </si>
  <si>
    <t>6 días 08:28</t>
  </si>
  <si>
    <t>23605856</t>
  </si>
  <si>
    <t>03/12/2025 08:37:18</t>
  </si>
  <si>
    <t>2025-12-03 08:37:18</t>
  </si>
  <si>
    <t>CLAUDIA MARIA CLAVIJO SERNA</t>
  </si>
  <si>
    <t>4926179</t>
  </si>
  <si>
    <t>3044969892</t>
  </si>
  <si>
    <t>CL 76 A SUR CR 55 -57 (INTERIOR 101 )</t>
  </si>
  <si>
    <t>037516105000570101</t>
  </si>
  <si>
    <t>2025-12-15 08:37:18</t>
  </si>
  <si>
    <t>0 días 08:37</t>
  </si>
  <si>
    <t>23606154</t>
  </si>
  <si>
    <t>03/12/2025 09:34:26</t>
  </si>
  <si>
    <t>2025-12-03 09:34:26</t>
  </si>
  <si>
    <t>NICOLAS EDUARDO MONTOYA HERRERA</t>
  </si>
  <si>
    <t>3128673069</t>
  </si>
  <si>
    <t>CL 53 CR 40 -50 (INTERIOR 301 )</t>
  </si>
  <si>
    <t>055413000000500301</t>
  </si>
  <si>
    <t>2025-12-15 09:34:26</t>
  </si>
  <si>
    <t>23606155</t>
  </si>
  <si>
    <t>03/12/2025 09:34:29</t>
  </si>
  <si>
    <t>2025-12-03 09:34:29</t>
  </si>
  <si>
    <t>LUIS HUMBERTO PEREZ SALDARRIAGA</t>
  </si>
  <si>
    <t>3128525215</t>
  </si>
  <si>
    <t>CL 31 CC CR 87 C -79 (INTERIOR 205 )</t>
  </si>
  <si>
    <t>053811337300790205</t>
  </si>
  <si>
    <t>2025-12-15 09:34:29</t>
  </si>
  <si>
    <t>0 días 10:35</t>
  </si>
  <si>
    <t>4 días 10:35</t>
  </si>
  <si>
    <t>23606257</t>
  </si>
  <si>
    <t>03/12/2025 10:49:36</t>
  </si>
  <si>
    <t>2025-12-03 10:49:36</t>
  </si>
  <si>
    <t>HECTOR ENRIQUE GUERRERO CHAVERRA</t>
  </si>
  <si>
    <t>3122044197</t>
  </si>
  <si>
    <t>CL 59 A CR 24 -55 (INTERIOR 101 )</t>
  </si>
  <si>
    <t>055219104000550101</t>
  </si>
  <si>
    <t>2025-12-15 10:49:36</t>
  </si>
  <si>
    <t>0 días 11:00</t>
  </si>
  <si>
    <t>23606296</t>
  </si>
  <si>
    <t>03/12/2025 11:13:10</t>
  </si>
  <si>
    <t>2025-12-03 11:13:10</t>
  </si>
  <si>
    <t>GUILLERMO DUQUE</t>
  </si>
  <si>
    <t>3170708020</t>
  </si>
  <si>
    <t>CR 31 A CL 34 B -8 (INTERIOR 201 )</t>
  </si>
  <si>
    <t>053321104200080201</t>
  </si>
  <si>
    <t>2025-12-15 11:13:10</t>
  </si>
  <si>
    <t>23606305</t>
  </si>
  <si>
    <t>03/12/2025 11:18:36</t>
  </si>
  <si>
    <t>2025-12-03 11:18:36</t>
  </si>
  <si>
    <t>RICARDO HARVEY SALAZAR VASQUEZ</t>
  </si>
  <si>
    <t>3146786339</t>
  </si>
  <si>
    <t>RURAL_122022600000000102_SANTA ELENA PARTE CENTRAL</t>
  </si>
  <si>
    <t>122022600000000102</t>
  </si>
  <si>
    <t>2025-12-18 11:18:36</t>
  </si>
  <si>
    <t>0 días 11:33</t>
  </si>
  <si>
    <t>0 días 11:43</t>
  </si>
  <si>
    <t>4 días 11:43</t>
  </si>
  <si>
    <t>4 días 11:47</t>
  </si>
  <si>
    <t>4 días 11:50</t>
  </si>
  <si>
    <t>23606351</t>
  </si>
  <si>
    <t>03/12/2025 11:54:02</t>
  </si>
  <si>
    <t>2025-12-03 11:54:02</t>
  </si>
  <si>
    <t>3146282299</t>
  </si>
  <si>
    <t>CL 9 A SUR CR 56 D -21 (INTERIOR 211 )</t>
  </si>
  <si>
    <t>040519106400210211</t>
  </si>
  <si>
    <t>2025-12-15 11:54:02</t>
  </si>
  <si>
    <t>4 días 12:14</t>
  </si>
  <si>
    <t>23606372</t>
  </si>
  <si>
    <t>03/12/2025 12:19:52</t>
  </si>
  <si>
    <t>2025-12-03 12:19:52</t>
  </si>
  <si>
    <t>AURA CRISTINA CANO GUZMAN</t>
  </si>
  <si>
    <t>CR 83 CL 37 B SUR -13 (INTERIOR 301 )</t>
  </si>
  <si>
    <t>043823007200130301</t>
  </si>
  <si>
    <t>2025-12-15 12:19:52</t>
  </si>
  <si>
    <t>23606386</t>
  </si>
  <si>
    <t>03/12/2025 12:32:23</t>
  </si>
  <si>
    <t>2025-12-03 12:32:23</t>
  </si>
  <si>
    <t>CR 83 CL 37 B SUR -13 (INTERIOR 201 )</t>
  </si>
  <si>
    <t>043823007200130201</t>
  </si>
  <si>
    <t>2025-12-15 12:32:23</t>
  </si>
  <si>
    <t>23606412</t>
  </si>
  <si>
    <t>03/12/2025 13:10:23</t>
  </si>
  <si>
    <t>2025-12-03 13:10:23</t>
  </si>
  <si>
    <t>NATALIA LONDOÑO GIRALDO</t>
  </si>
  <si>
    <t>3005476657</t>
  </si>
  <si>
    <t>CL 1 CR 65 A -38</t>
  </si>
  <si>
    <t>050611005100380000</t>
  </si>
  <si>
    <t>2025-12-15 13:10:23</t>
  </si>
  <si>
    <t>23606420</t>
  </si>
  <si>
    <t>03/12/2025 13:14:54</t>
  </si>
  <si>
    <t>2025-12-03 13:14:54</t>
  </si>
  <si>
    <t>YESICA MARIA SUAREZ MARQUEZ</t>
  </si>
  <si>
    <t>3239467772</t>
  </si>
  <si>
    <t>CR 20 CL 56 -14 (INTERIOR 201 )</t>
  </si>
  <si>
    <t>055220006000140201</t>
  </si>
  <si>
    <t>2025-12-15 13:14:54</t>
  </si>
  <si>
    <t>0 días 13:50</t>
  </si>
  <si>
    <t>23606470</t>
  </si>
  <si>
    <t>03/12/2025 13:54:55</t>
  </si>
  <si>
    <t>2025-12-03 13:54:55</t>
  </si>
  <si>
    <t>GLORIA CECILIA AGUDELO PATIÑO</t>
  </si>
  <si>
    <t>3012421590</t>
  </si>
  <si>
    <t>TRAN 37 CR 66 A -100</t>
  </si>
  <si>
    <t>053697006101000000</t>
  </si>
  <si>
    <t>2025-12-15 13:54:55</t>
  </si>
  <si>
    <t>6 días 14:15</t>
  </si>
  <si>
    <t>23606517</t>
  </si>
  <si>
    <t>03/12/2025 14:20:01</t>
  </si>
  <si>
    <t>2025-12-03 14:20:01</t>
  </si>
  <si>
    <t>SALOME CANO PANIAGUA</t>
  </si>
  <si>
    <t>3104184194</t>
  </si>
  <si>
    <t>CL 48 CC CR 120 E -103 (INTERIOR 201 )</t>
  </si>
  <si>
    <t>084218330501030201</t>
  </si>
  <si>
    <t>2025-12-15 14:20:01</t>
  </si>
  <si>
    <t>0 días 14:54</t>
  </si>
  <si>
    <t>23606806</t>
  </si>
  <si>
    <t>03/12/2025 16:01:10</t>
  </si>
  <si>
    <t>2025-12-03 16:01:10</t>
  </si>
  <si>
    <t>CR 83 CL 37 B SUR -10 (INTERIOR 301 )</t>
  </si>
  <si>
    <t>043823007200100301</t>
  </si>
  <si>
    <t>2025-12-15 16:01:10</t>
  </si>
  <si>
    <t>23606808</t>
  </si>
  <si>
    <t>03/12/2025 16:01:51</t>
  </si>
  <si>
    <t>2025-12-03 16:01:51</t>
  </si>
  <si>
    <t>CR 83 CL 37 B SUR -10 (INTERIOR 201 )</t>
  </si>
  <si>
    <t>043823007200100201</t>
  </si>
  <si>
    <t>2025-12-15 16:01:51</t>
  </si>
  <si>
    <t>23606849</t>
  </si>
  <si>
    <t>03/12/2025 16:24:40</t>
  </si>
  <si>
    <t>2025-12-03 16:24:40</t>
  </si>
  <si>
    <t>RODOLFO GOMEZ RAIGOSA</t>
  </si>
  <si>
    <t>3005139148</t>
  </si>
  <si>
    <t>CL 124 SUR CR 50 -13 (INTERIOR 9901 )</t>
  </si>
  <si>
    <t>002514000000139901</t>
  </si>
  <si>
    <t>2025-12-15 16:24:40</t>
  </si>
  <si>
    <t>23606856</t>
  </si>
  <si>
    <t>03/12/2025 16:28:48</t>
  </si>
  <si>
    <t>2025-12-03 16:28:48</t>
  </si>
  <si>
    <t>CR 83 CL 37 B SUR -13 (INTERIOR 101 )</t>
  </si>
  <si>
    <t>043823007200130101</t>
  </si>
  <si>
    <t>2025-12-15 16:28:48</t>
  </si>
  <si>
    <t>0 días 16:28</t>
  </si>
  <si>
    <t>23606869</t>
  </si>
  <si>
    <t>03/12/2025 16:35:57</t>
  </si>
  <si>
    <t>2025-12-03 16:35:57</t>
  </si>
  <si>
    <t>LILI JOHANA BARRIENTOS MONTOYA</t>
  </si>
  <si>
    <t>3234318016</t>
  </si>
  <si>
    <t>CL 39 CR 109 -50 (INTERIOR 101 )</t>
  </si>
  <si>
    <t>083019009000500101</t>
  </si>
  <si>
    <t>2025-12-15 16:35:57</t>
  </si>
  <si>
    <t>23605817</t>
  </si>
  <si>
    <t>03/12/2025 07:38:07</t>
  </si>
  <si>
    <t>2025-12-03 07:38:07</t>
  </si>
  <si>
    <t>LUIS ALBERTO BEDOYA RUIZ</t>
  </si>
  <si>
    <t>2919711</t>
  </si>
  <si>
    <t>3011273672</t>
  </si>
  <si>
    <t>RURAL_146009284000000000_BOQUERON PALMITAS</t>
  </si>
  <si>
    <t>146009284000000000</t>
  </si>
  <si>
    <t>2025-12-24 07:38:07</t>
  </si>
  <si>
    <t>23605859</t>
  </si>
  <si>
    <t>03/12/2025 08:39:31</t>
  </si>
  <si>
    <t>2025-12-03 08:39:31</t>
  </si>
  <si>
    <t>FRANCISCO ANTONIO OSPINA</t>
  </si>
  <si>
    <t>3340635</t>
  </si>
  <si>
    <t>CL 40 C SUR CR 28 -35</t>
  </si>
  <si>
    <t>024210308000350000</t>
  </si>
  <si>
    <t>2025-12-17 08:39:31</t>
  </si>
  <si>
    <t>23606135</t>
  </si>
  <si>
    <t>03/12/2025 09:17:45</t>
  </si>
  <si>
    <t>2025-12-03 09:17:45</t>
  </si>
  <si>
    <t>LEISER ELOY MORALES GIRON</t>
  </si>
  <si>
    <t>5026625</t>
  </si>
  <si>
    <t>3046663092</t>
  </si>
  <si>
    <t>CL 60 CR 74 A -174 (INTERIOR 201 )</t>
  </si>
  <si>
    <t>056710004101740201</t>
  </si>
  <si>
    <t>2025-12-17 09:17:45</t>
  </si>
  <si>
    <t>23606193</t>
  </si>
  <si>
    <t>03/12/2025 10:07:02</t>
  </si>
  <si>
    <t>2025-12-03 10:07:02</t>
  </si>
  <si>
    <t>LINA MARIZA GARCIA ARBOLEDA</t>
  </si>
  <si>
    <t>3766480</t>
  </si>
  <si>
    <t>3117930971</t>
  </si>
  <si>
    <t>CR 107 CL 45 A -63</t>
  </si>
  <si>
    <t>084027005100630000</t>
  </si>
  <si>
    <t>2025-12-17 10:07:02</t>
  </si>
  <si>
    <t>23606220</t>
  </si>
  <si>
    <t>03/12/2025 10:26:47</t>
  </si>
  <si>
    <t>2025-12-03 10:26:47</t>
  </si>
  <si>
    <t>MARIA RUBIELA ALVAREZ VELEZ</t>
  </si>
  <si>
    <t>3016050962</t>
  </si>
  <si>
    <t>RURAL_147022490000000000_PLAYA ALTA</t>
  </si>
  <si>
    <t>147022490000000000</t>
  </si>
  <si>
    <t>2025-12-24 10:26:47</t>
  </si>
  <si>
    <t>23606413</t>
  </si>
  <si>
    <t>03/12/2025 13:11:46</t>
  </si>
  <si>
    <t>2025-12-03 13:11:46</t>
  </si>
  <si>
    <t>LEIDI VIVIANA ALVAREZ SOTO</t>
  </si>
  <si>
    <t>3505073669</t>
  </si>
  <si>
    <t>RURAL_161096613000000000_RURAL CALDAS LA CLARA</t>
  </si>
  <si>
    <t>161096613000000000</t>
  </si>
  <si>
    <t>2025-12-24 13:11:46</t>
  </si>
  <si>
    <t>23606416</t>
  </si>
  <si>
    <t>03/12/2025 13:13:07</t>
  </si>
  <si>
    <t>2025-12-03 13:13:07</t>
  </si>
  <si>
    <t>MARIA NURY JARAMILLO ESPINOSA</t>
  </si>
  <si>
    <t>3215665839</t>
  </si>
  <si>
    <t>CL 54 B CR 6 ESTE -36</t>
  </si>
  <si>
    <t>705014206000360000</t>
  </si>
  <si>
    <t>2025-12-17 13:13:07</t>
  </si>
  <si>
    <t>23606711</t>
  </si>
  <si>
    <t>03/12/2025 15:26:59</t>
  </si>
  <si>
    <t>2025-12-03 15:26:59</t>
  </si>
  <si>
    <t>LEIDY MAYELA MONTOYA FLOREZ</t>
  </si>
  <si>
    <t>3042611148</t>
  </si>
  <si>
    <t>RURAL_103043198500000000_103043198500000000</t>
  </si>
  <si>
    <t>103043198500000000</t>
  </si>
  <si>
    <t>2025-12-17 15:26:59</t>
  </si>
  <si>
    <t>23606787</t>
  </si>
  <si>
    <t>03/12/2025 15:50:20</t>
  </si>
  <si>
    <t>2025-12-03 15:50:20</t>
  </si>
  <si>
    <t>SEBASTIAN GONZALEZ GOMEZ</t>
  </si>
  <si>
    <t>3222651</t>
  </si>
  <si>
    <t>CL 31 CR 41 -138</t>
  </si>
  <si>
    <t>073411001001380000</t>
  </si>
  <si>
    <t>2025-12-17 15:50:20</t>
  </si>
  <si>
    <t>23606824</t>
  </si>
  <si>
    <t>03/12/2025 16:11:11</t>
  </si>
  <si>
    <t>2025-12-03 16:11:11</t>
  </si>
  <si>
    <t>MANUEL SANTIAGO ACOSTA TAMAYO</t>
  </si>
  <si>
    <t>3453850</t>
  </si>
  <si>
    <t>3122618920</t>
  </si>
  <si>
    <t>CR 101 CL 31 C -33</t>
  </si>
  <si>
    <t>083021001300330000</t>
  </si>
  <si>
    <t>2025-12-17 16:11:11</t>
  </si>
  <si>
    <t>23607335</t>
  </si>
  <si>
    <t>04/12/2025 08:24:19</t>
  </si>
  <si>
    <t>2025-12-04 08:24:19</t>
  </si>
  <si>
    <t>EMPRESAS PUBLICAS DE MEDELLIN ESP</t>
  </si>
  <si>
    <t>3043508899</t>
  </si>
  <si>
    <t>CR 56 C CL 87 SUR -120 (INTERIOR 8000 )</t>
  </si>
  <si>
    <t>038526307001208000</t>
  </si>
  <si>
    <t>Control Pérdidas Energía Metrosur</t>
  </si>
  <si>
    <t>2025-12-16 08:24:19</t>
  </si>
  <si>
    <t>23607340</t>
  </si>
  <si>
    <t>04/12/2025 08:28:36</t>
  </si>
  <si>
    <t>2025-12-04 08:28:36</t>
  </si>
  <si>
    <t>CR 43 A CL 9 SUR -13 (INTERIOR 8000 )</t>
  </si>
  <si>
    <t>040423109000138000</t>
  </si>
  <si>
    <t>2025-12-16 08:28:36</t>
  </si>
  <si>
    <t>23607342</t>
  </si>
  <si>
    <t>04/12/2025 08:32:29</t>
  </si>
  <si>
    <t>2025-12-04 08:32:29</t>
  </si>
  <si>
    <t>RURAL_125002311500000083</t>
  </si>
  <si>
    <t>125002311500000083</t>
  </si>
  <si>
    <t>2025-12-19 08:32:29</t>
  </si>
  <si>
    <t>23607351</t>
  </si>
  <si>
    <t>04/12/2025 08:36:35</t>
  </si>
  <si>
    <t>2025-12-04 08:36:35</t>
  </si>
  <si>
    <t>CR 22 CL 16 AA SUR -140 (INTERIOR 8001 )</t>
  </si>
  <si>
    <t>041222006111408001</t>
  </si>
  <si>
    <t>2025-12-16 08:36:35</t>
  </si>
  <si>
    <t>23607389</t>
  </si>
  <si>
    <t>04/12/2025 09:07:53</t>
  </si>
  <si>
    <t>2025-12-04 09:07:53</t>
  </si>
  <si>
    <t>UNE EPM TELECOMUNICACIONES SA</t>
  </si>
  <si>
    <t>8648715</t>
  </si>
  <si>
    <t>3218648715</t>
  </si>
  <si>
    <t>CR 43 A CL 28 -</t>
  </si>
  <si>
    <t>052423108000000000</t>
  </si>
  <si>
    <t>2025-12-18 09:07:53</t>
  </si>
  <si>
    <t>23607429</t>
  </si>
  <si>
    <t>04/12/2025 09:32:16</t>
  </si>
  <si>
    <t>2025-12-04 09:32:16</t>
  </si>
  <si>
    <t>JUDITH CATERINE PEREZ RODRIGUEZ</t>
  </si>
  <si>
    <t>3147405591</t>
  </si>
  <si>
    <t>RURAL_114014081000000001</t>
  </si>
  <si>
    <t>114014081000000001</t>
  </si>
  <si>
    <t>2025-12-18 09:32:16</t>
  </si>
  <si>
    <t>22992467</t>
  </si>
  <si>
    <t>18/01/2024 13:06:47</t>
  </si>
  <si>
    <t>2025-12-03 21:55:18</t>
  </si>
  <si>
    <t>MARIA CAROLINA MEJIA QUICENO</t>
  </si>
  <si>
    <t>2347475</t>
  </si>
  <si>
    <t>3022521279</t>
  </si>
  <si>
    <t>CR 96 C CL 49 AA -74</t>
  </si>
  <si>
    <t>054926309110740000</t>
  </si>
  <si>
    <t>2025-12-15 21:55:18</t>
  </si>
  <si>
    <t>22999152</t>
  </si>
  <si>
    <t>24/01/2024 15:52:16</t>
  </si>
  <si>
    <t>2025-12-04 13:50:58</t>
  </si>
  <si>
    <t>SOR MERY BUSTAMANTE SANCHEZ</t>
  </si>
  <si>
    <t>3005709253</t>
  </si>
  <si>
    <t>RURAL_163012617500000205</t>
  </si>
  <si>
    <t>163012617500000205</t>
  </si>
  <si>
    <t>2025-12-12 13:50:58</t>
  </si>
  <si>
    <t>23206334</t>
  </si>
  <si>
    <t>06/09/2024 10:51:04</t>
  </si>
  <si>
    <t>2025-12-03 21:54:23</t>
  </si>
  <si>
    <t>MARTA ISABEL RODRIGUEZ VELASQUEZ</t>
  </si>
  <si>
    <t>CL 57 C CR 82 AA -59 (INTERIOR 106 )</t>
  </si>
  <si>
    <t>055817302110590106</t>
  </si>
  <si>
    <t>2025-12-15 21:54:23</t>
  </si>
  <si>
    <t>6 días 21:54</t>
  </si>
  <si>
    <t>23274594</t>
  </si>
  <si>
    <t>04/12/2025 06:19:58</t>
  </si>
  <si>
    <t>2025-12-04 06:19:58</t>
  </si>
  <si>
    <t>JESUS ORLANDO GALEANO</t>
  </si>
  <si>
    <t>3103792449</t>
  </si>
  <si>
    <t>CR 81 B CL 1 -40 (INTERIOR 302 )</t>
  </si>
  <si>
    <t>050821201000400302</t>
  </si>
  <si>
    <t>2025-12-12 06:19:58</t>
  </si>
  <si>
    <t>23274649</t>
  </si>
  <si>
    <t>04/12/2025 06:20:40</t>
  </si>
  <si>
    <t>2025-12-04 06:20:40</t>
  </si>
  <si>
    <t>CR 81 B CL 1 -40 (INTERIOR 202 )</t>
  </si>
  <si>
    <t>050821201000400202</t>
  </si>
  <si>
    <t>2025-12-12 06:20:40</t>
  </si>
  <si>
    <t>23313098</t>
  </si>
  <si>
    <t>26/12/2024 13:37:47</t>
  </si>
  <si>
    <t>2025-12-03 21:54:50</t>
  </si>
  <si>
    <t>ASTRID HELENA ZAPATA MARIN</t>
  </si>
  <si>
    <t>3174136259</t>
  </si>
  <si>
    <t>CR 46 CL 48 -71 (INTERIOR 201 )</t>
  </si>
  <si>
    <t>074426008000710201</t>
  </si>
  <si>
    <t>2025-12-15 21:54:50</t>
  </si>
  <si>
    <t>23326970</t>
  </si>
  <si>
    <t>16/01/2025 17:04:21</t>
  </si>
  <si>
    <t>2025-12-03 21:58:30</t>
  </si>
  <si>
    <t>IVONNE VANESSA RODRIGUEZ MORALES</t>
  </si>
  <si>
    <t>3014252483</t>
  </si>
  <si>
    <t>RURAL_147052607000000001</t>
  </si>
  <si>
    <t>147052607000000001</t>
  </si>
  <si>
    <t>2025-12-18 21:58:30</t>
  </si>
  <si>
    <t>23397851</t>
  </si>
  <si>
    <t>26/03/2025 15:08:17</t>
  </si>
  <si>
    <t>2025-12-03 21:54:28</t>
  </si>
  <si>
    <t>JORGE HERNAN GUTIERREZ ARROYAVE</t>
  </si>
  <si>
    <t>5041311</t>
  </si>
  <si>
    <t>3103874733</t>
  </si>
  <si>
    <t>CR 84 CL 47 EE -13 (INTERIOR 301 )</t>
  </si>
  <si>
    <t>054824007550130301</t>
  </si>
  <si>
    <t>2025-12-15 21:54:28</t>
  </si>
  <si>
    <t>23401641</t>
  </si>
  <si>
    <t>04/12/2025 12:56:16</t>
  </si>
  <si>
    <t>2025-12-04 12:56:16</t>
  </si>
  <si>
    <t>ROMAN FONNEGRA</t>
  </si>
  <si>
    <t>3007244613</t>
  </si>
  <si>
    <t>CL 128 SUR CR 45 -73</t>
  </si>
  <si>
    <t>002418005000730000</t>
  </si>
  <si>
    <t>2025-12-11 12:56:16</t>
  </si>
  <si>
    <t>23462164</t>
  </si>
  <si>
    <t>11/06/2025 10:09:45</t>
  </si>
  <si>
    <t>2025-12-03 21:56:42</t>
  </si>
  <si>
    <t>RUBIELA  ROVIRA MENA</t>
  </si>
  <si>
    <t>3002963309</t>
  </si>
  <si>
    <t>CR 1 B CL 48 -230 (INTERIOR 401 )</t>
  </si>
  <si>
    <t>054021208002300401</t>
  </si>
  <si>
    <t>2025-12-11 21:56:42</t>
  </si>
  <si>
    <t>23467973</t>
  </si>
  <si>
    <t>04/12/2025 06:21:14</t>
  </si>
  <si>
    <t>2025-12-04 06:21:14</t>
  </si>
  <si>
    <t>GERARDO DE JESUS GARCIA ROJAS</t>
  </si>
  <si>
    <t>3136001430</t>
  </si>
  <si>
    <t>CL 54 CR 2 C -7 (INTERIOR 9901 )</t>
  </si>
  <si>
    <t>055014002300079901</t>
  </si>
  <si>
    <t>2025-12-12 06:21:14</t>
  </si>
  <si>
    <t>23502196</t>
  </si>
  <si>
    <t>04/11/2025 10:38:18</t>
  </si>
  <si>
    <t>2025-12-04 14:33:00</t>
  </si>
  <si>
    <t>OLGA CECILIA ACEVEDO VELEZ</t>
  </si>
  <si>
    <t>3022932330</t>
  </si>
  <si>
    <t>RURAL_147047150000000005</t>
  </si>
  <si>
    <t>147047150000000005</t>
  </si>
  <si>
    <t>2025-12-17 14:33:00</t>
  </si>
  <si>
    <t>23513780</t>
  </si>
  <si>
    <t>14/08/2025 16:05:49</t>
  </si>
  <si>
    <t>2025-12-04 12:39:00</t>
  </si>
  <si>
    <t>IRMA AURORA VALENCIA ZAPATA</t>
  </si>
  <si>
    <t>2994051</t>
  </si>
  <si>
    <t>3117290231</t>
  </si>
  <si>
    <t>RURAL_159161305000000103_PROV.159161305000000101</t>
  </si>
  <si>
    <t>159161305000000103</t>
  </si>
  <si>
    <t>2025-12-16 12:39:00</t>
  </si>
  <si>
    <t>23523034</t>
  </si>
  <si>
    <t>26/08/2025 14:03:33</t>
  </si>
  <si>
    <t>2025-10-11 21:44:08</t>
  </si>
  <si>
    <t>WALNER AMARIS CARPIO</t>
  </si>
  <si>
    <t>3005665466</t>
  </si>
  <si>
    <t>CL 55 HA CR 7 -110 (INTERIOR 1001 )</t>
  </si>
  <si>
    <t>055015817001101001</t>
  </si>
  <si>
    <t>2025-10-20 21:44:08</t>
  </si>
  <si>
    <t>23523326</t>
  </si>
  <si>
    <t>26/08/2025 16:57:12</t>
  </si>
  <si>
    <t>2025-12-03 21:56:51</t>
  </si>
  <si>
    <t>ESTEFANY JARAMILLO MAZO</t>
  </si>
  <si>
    <t>3136152764</t>
  </si>
  <si>
    <t>CL 47 CR 1 C -71 (INTERIOR 111 )</t>
  </si>
  <si>
    <t>054017001300710111</t>
  </si>
  <si>
    <t>2025-12-11 21:56:51</t>
  </si>
  <si>
    <t>23528312</t>
  </si>
  <si>
    <t>01/09/2025 16:56:30</t>
  </si>
  <si>
    <t>2025-12-03 19:05:12</t>
  </si>
  <si>
    <t>GERALDIN BOLIVAR PINILLO</t>
  </si>
  <si>
    <t>3194030344</t>
  </si>
  <si>
    <t>RURAL_163007228600000201_163007228600000201</t>
  </si>
  <si>
    <t>163007228600000201</t>
  </si>
  <si>
    <t>2025-12-11 19:05:12</t>
  </si>
  <si>
    <t>23532150</t>
  </si>
  <si>
    <t>05/09/2025 08:42:19</t>
  </si>
  <si>
    <t>2025-12-03 21:55:59</t>
  </si>
  <si>
    <t>JUAN IGNACIO URIBE GIRALDO</t>
  </si>
  <si>
    <t>2214681</t>
  </si>
  <si>
    <t>3108358334</t>
  </si>
  <si>
    <t>CL 44 CR 6 AB -103 (INTERIOR 115 )</t>
  </si>
  <si>
    <t>054014006121030115</t>
  </si>
  <si>
    <t>2025-12-15 21:55:59</t>
  </si>
  <si>
    <t>23543305</t>
  </si>
  <si>
    <t>19/09/2025 12:44:41</t>
  </si>
  <si>
    <t>2025-12-03 21:56:59</t>
  </si>
  <si>
    <t>GLENIS ARLETH GOMEZ AGAMES</t>
  </si>
  <si>
    <t>3127019015</t>
  </si>
  <si>
    <t>CL 18 D CR 89 -11 (INTERIOR 2181 )</t>
  </si>
  <si>
    <t>051818409000112181</t>
  </si>
  <si>
    <t>2025-12-11 21:56:59</t>
  </si>
  <si>
    <t>23548763</t>
  </si>
  <si>
    <t>25/09/2025 08:03:09</t>
  </si>
  <si>
    <t>2025-12-04 09:12:49</t>
  </si>
  <si>
    <t>MARIA EUGENIA QUIROZ</t>
  </si>
  <si>
    <t>2784496</t>
  </si>
  <si>
    <t>3207132285</t>
  </si>
  <si>
    <t>RURAL_161050310000000002_SECTORLAQUIEBRACERCANOALA</t>
  </si>
  <si>
    <t>161050310000000002</t>
  </si>
  <si>
    <t>2025-12-19 09:12:49</t>
  </si>
  <si>
    <t>23555715</t>
  </si>
  <si>
    <t>03/10/2025 12:08:55</t>
  </si>
  <si>
    <t>2025-12-03 21:58:35</t>
  </si>
  <si>
    <t>RURAL_146005140000000001_PROV.QUINTA DE BOLIVAR LO</t>
  </si>
  <si>
    <t>146005140000000001</t>
  </si>
  <si>
    <t>2025-12-18 21:58:35</t>
  </si>
  <si>
    <t>23557007</t>
  </si>
  <si>
    <t>06/10/2025 10:38:24</t>
  </si>
  <si>
    <t>2025-12-03 21:58:13</t>
  </si>
  <si>
    <t>DEYANIRA LUCIA CASTAÑO VANEGAS</t>
  </si>
  <si>
    <t>5213763</t>
  </si>
  <si>
    <t>3007796525</t>
  </si>
  <si>
    <t>CL 47 CR 2 BB -163 (INTERIOR 525 )</t>
  </si>
  <si>
    <t>054017002221630525</t>
  </si>
  <si>
    <t>2025-12-15 21:58:13</t>
  </si>
  <si>
    <t>23557797</t>
  </si>
  <si>
    <t>04/12/2025 09:46:41</t>
  </si>
  <si>
    <t>2025-12-04 09:46:41</t>
  </si>
  <si>
    <t>MARIA ALEJANDRA SOTO MENESES</t>
  </si>
  <si>
    <t>5068916</t>
  </si>
  <si>
    <t>3003582054</t>
  </si>
  <si>
    <t>CR 26 E CL 38 B -38 (INTERIOR 202 )</t>
  </si>
  <si>
    <t>053226508200380202</t>
  </si>
  <si>
    <t>2025-12-12 09:46:41</t>
  </si>
  <si>
    <t>23558288</t>
  </si>
  <si>
    <t>04/12/2025 06:16:33</t>
  </si>
  <si>
    <t>2025-12-04 06:16:33</t>
  </si>
  <si>
    <t>JOSE IGNACIO SALDARRIAGA QUICENO</t>
  </si>
  <si>
    <t>3778173</t>
  </si>
  <si>
    <t>3242801597</t>
  </si>
  <si>
    <t>RURAL_163012332000000301_RURAL ITAGUI EL PROGRESO</t>
  </si>
  <si>
    <t>163012332000000301</t>
  </si>
  <si>
    <t>2025-12-12 06:16:33</t>
  </si>
  <si>
    <t>23558477</t>
  </si>
  <si>
    <t>07/10/2025 12:41:34</t>
  </si>
  <si>
    <t>2025-12-03 21:54:54</t>
  </si>
  <si>
    <t>SERGIO IVAN LOAIZA PEREZ</t>
  </si>
  <si>
    <t>3052490105</t>
  </si>
  <si>
    <t>CR 47 CL 52 -62 (INTERIOR 307 )</t>
  </si>
  <si>
    <t>055427002000620307</t>
  </si>
  <si>
    <t>2025-12-15 21:54:54</t>
  </si>
  <si>
    <t>23559891</t>
  </si>
  <si>
    <t>08/10/2025 16:17:49</t>
  </si>
  <si>
    <t>2025-12-03 21:54:15</t>
  </si>
  <si>
    <t>SANDRA MILENA BUILES JARAMILLO</t>
  </si>
  <si>
    <t>3046186726</t>
  </si>
  <si>
    <t>RURAL_055420109000850003 CR 40 A CL 59 -85</t>
  </si>
  <si>
    <t>055420109000850003</t>
  </si>
  <si>
    <t>2025-12-18 21:54:15</t>
  </si>
  <si>
    <t>23560880</t>
  </si>
  <si>
    <t>09/10/2025 15:14:22</t>
  </si>
  <si>
    <t>2025-12-03 21:56:27</t>
  </si>
  <si>
    <t>ALBA LUCIA RODRIGUEZ SOTO</t>
  </si>
  <si>
    <t>3044982550</t>
  </si>
  <si>
    <t>CR 15 C CL 45 -24 (INTERIOR 301 )</t>
  </si>
  <si>
    <t>054125305000240301</t>
  </si>
  <si>
    <t>2025-12-11 21:56:27</t>
  </si>
  <si>
    <t>23561465</t>
  </si>
  <si>
    <t>10/10/2025 09:49:33</t>
  </si>
  <si>
    <t>2025-12-03 21:56:34</t>
  </si>
  <si>
    <t>SANDRA MILENA CALLE MEJIA</t>
  </si>
  <si>
    <t>2536538</t>
  </si>
  <si>
    <t>3136639174</t>
  </si>
  <si>
    <t>CR 102 CL 48 FA -48 (INTERIOR 104 )</t>
  </si>
  <si>
    <t>084022008610480104</t>
  </si>
  <si>
    <t>2025-12-11 21:56:34</t>
  </si>
  <si>
    <t>23561955</t>
  </si>
  <si>
    <t>11/10/2025 14:50:18</t>
  </si>
  <si>
    <t>2025-12-03 21:56:38</t>
  </si>
  <si>
    <t>CR 20 B CL 53 -30 (INTERIOR 110 )</t>
  </si>
  <si>
    <t>055220203000300110</t>
  </si>
  <si>
    <t>2025-12-11 21:56:38</t>
  </si>
  <si>
    <t>23571691</t>
  </si>
  <si>
    <t>23/10/2025 14:47:24</t>
  </si>
  <si>
    <t>2025-12-04 08:41:40</t>
  </si>
  <si>
    <t>JOSE ANIBAL GARCIA GARCIA</t>
  </si>
  <si>
    <t>3007832022</t>
  </si>
  <si>
    <t>CR 76 CL 32 E -32</t>
  </si>
  <si>
    <t>053726002500320000</t>
  </si>
  <si>
    <t>2025-12-16 08:41:40</t>
  </si>
  <si>
    <t>4 días 14:22</t>
  </si>
  <si>
    <t>23582041</t>
  </si>
  <si>
    <t>14/11/2025 13:28:05</t>
  </si>
  <si>
    <t>2025-12-04 14:33:01</t>
  </si>
  <si>
    <t>LEDY CONSUELO ZAPATA GRAJALES</t>
  </si>
  <si>
    <t>3206433285</t>
  </si>
  <si>
    <t>RURAL_122025750000000106_PROV.RURAL_12202575000000</t>
  </si>
  <si>
    <t>122025750000000106</t>
  </si>
  <si>
    <t>2025-12-17 14:33:01</t>
  </si>
  <si>
    <t>23582456</t>
  </si>
  <si>
    <t>05/11/2025 15:07:40</t>
  </si>
  <si>
    <t>2025-12-04 11:31:50</t>
  </si>
  <si>
    <t>CHRISTIAN ANDRES PEREZ GIRALDO</t>
  </si>
  <si>
    <t>3128386493</t>
  </si>
  <si>
    <t>CL 46 D CR 2 AE -3 (INTERIOR 301 )</t>
  </si>
  <si>
    <t>054016402150030301</t>
  </si>
  <si>
    <t>2025-12-16 11:31:50</t>
  </si>
  <si>
    <t>23584689</t>
  </si>
  <si>
    <t>04/12/2025 06:15:12</t>
  </si>
  <si>
    <t>2025-12-04 06:15:12</t>
  </si>
  <si>
    <t>ELIAS CARDONA GARCIA</t>
  </si>
  <si>
    <t>2382956</t>
  </si>
  <si>
    <t>3195945493</t>
  </si>
  <si>
    <t>CR 97 CL 18 -50 (INTERIOR 150 )</t>
  </si>
  <si>
    <t>051927008000500150</t>
  </si>
  <si>
    <t>2025-12-12 06:15:12</t>
  </si>
  <si>
    <t>23586620</t>
  </si>
  <si>
    <t>13/11/2025 13:02:15</t>
  </si>
  <si>
    <t>2025-12-04 09:04:22</t>
  </si>
  <si>
    <t>HILLARY HERNANDEZ VALLE</t>
  </si>
  <si>
    <t>3107188670</t>
  </si>
  <si>
    <t>RURAL_122006389000000000</t>
  </si>
  <si>
    <t>122006389000000000</t>
  </si>
  <si>
    <t>2025-12-17 09:04:22</t>
  </si>
  <si>
    <t>23586747</t>
  </si>
  <si>
    <t>11/11/2025 07:51:25</t>
  </si>
  <si>
    <t>2025-12-04 14:36:27</t>
  </si>
  <si>
    <t>LAS PALMERAS CASA DE EVENTOS S.A.S.</t>
  </si>
  <si>
    <t>3136051259</t>
  </si>
  <si>
    <t>CL 6 CR 14 -61 (LC  LT 10 )</t>
  </si>
  <si>
    <t>050116004000610010</t>
  </si>
  <si>
    <t>2025-12-16 14:36:27</t>
  </si>
  <si>
    <t>23587335</t>
  </si>
  <si>
    <t>14/11/2025 13:37:12</t>
  </si>
  <si>
    <t>2025-12-04 14:33:06</t>
  </si>
  <si>
    <t>ADELA MOSQUERA ASPRILLA</t>
  </si>
  <si>
    <t>3195151532</t>
  </si>
  <si>
    <t>CL 58 CR 102 A -115 (INTERIOR 175 )</t>
  </si>
  <si>
    <t>085018002101150175</t>
  </si>
  <si>
    <t>2025-12-22 14:33:06</t>
  </si>
  <si>
    <t>23587454</t>
  </si>
  <si>
    <t>03/12/2025 16:52:05</t>
  </si>
  <si>
    <t>2025-12-03 16:52:05</t>
  </si>
  <si>
    <t>OSCAR IVAN FERNANDEZ RESTREPO</t>
  </si>
  <si>
    <t>3122318544</t>
  </si>
  <si>
    <t>RURAL_054612103300860000_TRAN 42 A DIAG 65 D -86</t>
  </si>
  <si>
    <t>054612103300860000</t>
  </si>
  <si>
    <t>2025-12-10 16:52:05</t>
  </si>
  <si>
    <t>23587518</t>
  </si>
  <si>
    <t>04/12/2025 09:40:39</t>
  </si>
  <si>
    <t>2025-12-04 09:40:39</t>
  </si>
  <si>
    <t>GICELA MARIA PRESIGA BORJA</t>
  </si>
  <si>
    <t>3106776512</t>
  </si>
  <si>
    <t>CL 63 A CR 41 -34</t>
  </si>
  <si>
    <t>056413101000340000</t>
  </si>
  <si>
    <t>2025-12-11 09:40:39</t>
  </si>
  <si>
    <t>23588438</t>
  </si>
  <si>
    <t>18/11/2025 15:57:30</t>
  </si>
  <si>
    <t>2025-12-04 14:33:04</t>
  </si>
  <si>
    <t>ISABEL CRISTINA RAMIREZ ORTIZ</t>
  </si>
  <si>
    <t>4420629</t>
  </si>
  <si>
    <t>3165749046</t>
  </si>
  <si>
    <t>RURAL_147014008000000001_EL PATIO</t>
  </si>
  <si>
    <t>147014008000000000</t>
  </si>
  <si>
    <t>2025-12-17 14:33:04</t>
  </si>
  <si>
    <t>23590424</t>
  </si>
  <si>
    <t>14/11/2025 11:30:45</t>
  </si>
  <si>
    <t>2025-12-04 09:06:47</t>
  </si>
  <si>
    <t>RURAL_114014507600000202_VEREDA BELEN MANZANILLO</t>
  </si>
  <si>
    <t>114014507600000202</t>
  </si>
  <si>
    <t>2025-12-16 09:06:47</t>
  </si>
  <si>
    <t>23591045</t>
  </si>
  <si>
    <t>19/11/2025 14:20:26</t>
  </si>
  <si>
    <t>2025-12-04 14:32:58</t>
  </si>
  <si>
    <t>YEISON  CANO MUNOZ</t>
  </si>
  <si>
    <t>4276863</t>
  </si>
  <si>
    <t>3046590849</t>
  </si>
  <si>
    <t>RURAL_147029967500000001_ VDA LA CUCHILLA</t>
  </si>
  <si>
    <t>147029967500000001</t>
  </si>
  <si>
    <t>2025-12-17 14:32:58</t>
  </si>
  <si>
    <t>23595268</t>
  </si>
  <si>
    <t>20/11/2025 12:02:52</t>
  </si>
  <si>
    <t>2025-12-04 10:14:37</t>
  </si>
  <si>
    <t>JONHATAN VALENCIA OROZCO</t>
  </si>
  <si>
    <t>3017109763</t>
  </si>
  <si>
    <t>CL 46 CR 29 -68 (INTERIOR 201 )</t>
  </si>
  <si>
    <t>054216009000680201</t>
  </si>
  <si>
    <t>2025-12-12 10:14:37</t>
  </si>
  <si>
    <t>23597974</t>
  </si>
  <si>
    <t>26/11/2025 10:49:46</t>
  </si>
  <si>
    <t>2025-12-04 10:03:16</t>
  </si>
  <si>
    <t>JUAN CARLOS BEDOYA BEDOYA</t>
  </si>
  <si>
    <t>3145094356</t>
  </si>
  <si>
    <t>CL 46 CR 1 B -40 (INTERIOR 230 )</t>
  </si>
  <si>
    <t>054016001200400230</t>
  </si>
  <si>
    <t>2025-12-12 10:03:16</t>
  </si>
  <si>
    <t>23600534</t>
  </si>
  <si>
    <t>26/11/2025 11:47:50</t>
  </si>
  <si>
    <t>2025-12-04 13:40:19</t>
  </si>
  <si>
    <t>ISABEL CRISTINA CORREA PEÑA</t>
  </si>
  <si>
    <t>3008248572</t>
  </si>
  <si>
    <t>CL 40 G SUR CR 25 -83 (INTERIOR 202 )</t>
  </si>
  <si>
    <t>024210705000830202</t>
  </si>
  <si>
    <t>2025-12-16 13:40:19</t>
  </si>
  <si>
    <t>23600775</t>
  </si>
  <si>
    <t>04/12/2025 10:35:12</t>
  </si>
  <si>
    <t>2025-12-04 10:35:12</t>
  </si>
  <si>
    <t>JUAN CARLOS AMAYA RAMIREZ</t>
  </si>
  <si>
    <t>5992224</t>
  </si>
  <si>
    <t>3206973382</t>
  </si>
  <si>
    <t>CR 65 CL 35 -36</t>
  </si>
  <si>
    <t>073625005000360000</t>
  </si>
  <si>
    <t>2025-12-11 10:35:12</t>
  </si>
  <si>
    <t>23601247</t>
  </si>
  <si>
    <t>04/12/2025 09:33:08</t>
  </si>
  <si>
    <t>2025-12-04 09:33:08</t>
  </si>
  <si>
    <t>EDITH MARINA GARCIA CORREA</t>
  </si>
  <si>
    <t>3172291175</t>
  </si>
  <si>
    <t>CL 59 A CR 21 B -24 (INTERIOR 201 )</t>
  </si>
  <si>
    <t>055219101200240201</t>
  </si>
  <si>
    <t>2025-12-12 09:33:08</t>
  </si>
  <si>
    <t>23601329</t>
  </si>
  <si>
    <t>04/12/2025 09:33:36</t>
  </si>
  <si>
    <t>2025-12-04 09:33:36</t>
  </si>
  <si>
    <t>EVELYN JULIANA AGUDELO LONDOÑO</t>
  </si>
  <si>
    <t>3023646224</t>
  </si>
  <si>
    <t>CL 56 B CR 20 B -22 (INTERIOR 231 )</t>
  </si>
  <si>
    <t>055216200200220231</t>
  </si>
  <si>
    <t>2025-12-12 09:33:36</t>
  </si>
  <si>
    <t>23601454</t>
  </si>
  <si>
    <t>04/12/2025 09:34:04</t>
  </si>
  <si>
    <t>2025-12-04 09:34:04</t>
  </si>
  <si>
    <t>JOHAN DARIO ARANGO AGUIRRE</t>
  </si>
  <si>
    <t>3105149191</t>
  </si>
  <si>
    <t>CL 47 CR 16 CC -87 (INTERIOR 401 )</t>
  </si>
  <si>
    <t>054117006330870401</t>
  </si>
  <si>
    <t>2025-12-12 09:34:04</t>
  </si>
  <si>
    <t>5 días 09:34</t>
  </si>
  <si>
    <t>23601546</t>
  </si>
  <si>
    <t>04/12/2025 06:13:45</t>
  </si>
  <si>
    <t>2025-12-04 06:13:45</t>
  </si>
  <si>
    <t>CR 34 E CL 31 -164 (INTERIOR 402 )</t>
  </si>
  <si>
    <t>053324501001640402</t>
  </si>
  <si>
    <t>2025-12-12 06:13:45</t>
  </si>
  <si>
    <t>23601664</t>
  </si>
  <si>
    <t>04/12/2025 09:34:31</t>
  </si>
  <si>
    <t>2025-12-04 09:34:31</t>
  </si>
  <si>
    <t>ENRIQUE LEON ORTIZ CANO</t>
  </si>
  <si>
    <t>3207017511</t>
  </si>
  <si>
    <t>RURAL_114013298500000011_VDA MANZANILLO</t>
  </si>
  <si>
    <t>114013298500000011</t>
  </si>
  <si>
    <t>2025-12-12 09:34:31</t>
  </si>
  <si>
    <t>23601698</t>
  </si>
  <si>
    <t>04/12/2025 10:14:46</t>
  </si>
  <si>
    <t>2025-12-04 10:14:46</t>
  </si>
  <si>
    <t>GLADIS HELENA SUAREZ VELEZ</t>
  </si>
  <si>
    <t>3091674</t>
  </si>
  <si>
    <t>3046209100</t>
  </si>
  <si>
    <t>RURAL_163020130000000001</t>
  </si>
  <si>
    <t>163020130000000001</t>
  </si>
  <si>
    <t>2025-12-12 10:14:46</t>
  </si>
  <si>
    <t>23601724</t>
  </si>
  <si>
    <t>04/12/2025 06:14:32</t>
  </si>
  <si>
    <t>2025-12-04 06:14:32</t>
  </si>
  <si>
    <t>FERNANDO AUGUSTO SIERRA CAMARGO</t>
  </si>
  <si>
    <t>3167308842</t>
  </si>
  <si>
    <t>CL 46 E CR 59 C -81 (INTERIOR 302 )</t>
  </si>
  <si>
    <t>074516509300810302</t>
  </si>
  <si>
    <t>2025-12-12 06:14:32</t>
  </si>
  <si>
    <t>23601761</t>
  </si>
  <si>
    <t>27/11/2025 15:23:46</t>
  </si>
  <si>
    <t>2025-12-04 10:14:36</t>
  </si>
  <si>
    <t>ROSALBA UPEGUI BEDOYA</t>
  </si>
  <si>
    <t>3372375</t>
  </si>
  <si>
    <t>3203979022</t>
  </si>
  <si>
    <t>RURAL_163020130000000000_VDA OLIVARES</t>
  </si>
  <si>
    <t>163020130000000000</t>
  </si>
  <si>
    <t>2025-12-22 10:14:36</t>
  </si>
  <si>
    <t>23601935</t>
  </si>
  <si>
    <t>27/11/2025 16:39:05</t>
  </si>
  <si>
    <t>2025-12-04 10:21:35</t>
  </si>
  <si>
    <t>MAGNOLIA PARRA ZAPATA</t>
  </si>
  <si>
    <t>5891566</t>
  </si>
  <si>
    <t>3004688399</t>
  </si>
  <si>
    <t>CL 7 CR 52 -30 (INTERIOR 101 )</t>
  </si>
  <si>
    <t>050517002000300101</t>
  </si>
  <si>
    <t>2025-12-16 10:21:35</t>
  </si>
  <si>
    <t>23601941</t>
  </si>
  <si>
    <t>27/11/2025 16:42:21</t>
  </si>
  <si>
    <t>CL 7 CR 52 -30 (INTERIOR 301 )</t>
  </si>
  <si>
    <t>050517002000300301</t>
  </si>
  <si>
    <t>2025-12-16 10:14:36</t>
  </si>
  <si>
    <t>23602689</t>
  </si>
  <si>
    <t>04/12/2025 09:44:55</t>
  </si>
  <si>
    <t>2025-12-04 09:44:55</t>
  </si>
  <si>
    <t>YOREIDY ARIAS PALACIOS</t>
  </si>
  <si>
    <t>3103763721</t>
  </si>
  <si>
    <t>CR 90 D CL 13 -23 (INTERIOR 201 )</t>
  </si>
  <si>
    <t>051920403000230201</t>
  </si>
  <si>
    <t>2025-12-12 09:44:55</t>
  </si>
  <si>
    <t>23602776</t>
  </si>
  <si>
    <t>04/12/2025 09:45:27</t>
  </si>
  <si>
    <t>2025-12-04 09:45:27</t>
  </si>
  <si>
    <t>JOHAN SEBASTIAN ACOSTA PRESIGA</t>
  </si>
  <si>
    <t>3167564646</t>
  </si>
  <si>
    <t>RURAL_163017038604500010_LOMADELOSZULETA</t>
  </si>
  <si>
    <t>163017038604500010</t>
  </si>
  <si>
    <t>2025-12-12 09:45:27</t>
  </si>
  <si>
    <t>23602799</t>
  </si>
  <si>
    <t>04/12/2025 09:45:54</t>
  </si>
  <si>
    <t>2025-12-04 09:45:54</t>
  </si>
  <si>
    <t>RURAL_163017038604500011_LOMADELOSZULETA</t>
  </si>
  <si>
    <t>163017038604500011</t>
  </si>
  <si>
    <t>2025-12-12 09:45:54</t>
  </si>
  <si>
    <t>23602975</t>
  </si>
  <si>
    <t>28/11/2025 15:24:30</t>
  </si>
  <si>
    <t>2025-12-04 14:53:19</t>
  </si>
  <si>
    <t>YUDI ESTELA MORENO CARVAJAL</t>
  </si>
  <si>
    <t>3148174031</t>
  </si>
  <si>
    <t>RURAL_163001036500000201</t>
  </si>
  <si>
    <t>163001036500000201</t>
  </si>
  <si>
    <t>2025-12-12 14:53:19</t>
  </si>
  <si>
    <t>5 días 14:53</t>
  </si>
  <si>
    <t>23606666</t>
  </si>
  <si>
    <t>03/12/2025 15:09:34</t>
  </si>
  <si>
    <t>2025-12-03 15:09:34</t>
  </si>
  <si>
    <t>RUBEN DARIO BETANCUR VANEGAS</t>
  </si>
  <si>
    <t>5111683</t>
  </si>
  <si>
    <t>3014091338</t>
  </si>
  <si>
    <t>CL 45 E CR 76 -25</t>
  </si>
  <si>
    <t>054715506000250000</t>
  </si>
  <si>
    <t>2025-12-10 15:09:34</t>
  </si>
  <si>
    <t>3 días 15:09</t>
  </si>
  <si>
    <t>23606667</t>
  </si>
  <si>
    <t>03/12/2025 15:11:36</t>
  </si>
  <si>
    <t>2025-12-03 15:11:36</t>
  </si>
  <si>
    <t>CL 45 E CR 76 -25 (INTERIOR 101 )</t>
  </si>
  <si>
    <t>054715506000250101</t>
  </si>
  <si>
    <t>2025-12-10 15:11:36</t>
  </si>
  <si>
    <t>3 días 15:11</t>
  </si>
  <si>
    <t>23606701</t>
  </si>
  <si>
    <t>03/12/2025 15:21:04</t>
  </si>
  <si>
    <t>2025-12-03 15:21:04</t>
  </si>
  <si>
    <t>RAMIRO GERLEY RESTREPO RESTREPO</t>
  </si>
  <si>
    <t>3242925452</t>
  </si>
  <si>
    <t>RURAL_163014898000000301_RURAL_163014898000000301</t>
  </si>
  <si>
    <t>163014898000000301</t>
  </si>
  <si>
    <t>2025-12-11 15:21:04</t>
  </si>
  <si>
    <t>23606762</t>
  </si>
  <si>
    <t>03/12/2025 15:38:32</t>
  </si>
  <si>
    <t>2025-12-03 15:38:32</t>
  </si>
  <si>
    <t>MARIA EDILMA URREGO</t>
  </si>
  <si>
    <t>5596412</t>
  </si>
  <si>
    <t>3207681758</t>
  </si>
  <si>
    <t>CR 120 D CL 39 FD -80</t>
  </si>
  <si>
    <t>083220409640800000</t>
  </si>
  <si>
    <t>2025-12-11 15:38:32</t>
  </si>
  <si>
    <t>23606764</t>
  </si>
  <si>
    <t>03/12/2025 15:41:09</t>
  </si>
  <si>
    <t>2025-12-03 15:41:10</t>
  </si>
  <si>
    <t>IVAN DARIO MORENO MONTOYA</t>
  </si>
  <si>
    <t>5968454</t>
  </si>
  <si>
    <t>3117974607</t>
  </si>
  <si>
    <t>CL 30 CR 81 -132 (INTERIOR 101 )</t>
  </si>
  <si>
    <t>053810001001320101</t>
  </si>
  <si>
    <t>2025-12-10 15:41:10</t>
  </si>
  <si>
    <t>23606769</t>
  </si>
  <si>
    <t>03/12/2025 15:42:26</t>
  </si>
  <si>
    <t>2025-12-03 15:42:26</t>
  </si>
  <si>
    <t>JOSE ALBERTO CORREA HOYOS</t>
  </si>
  <si>
    <t>3147154502</t>
  </si>
  <si>
    <t>CR 18 D CL 57 B -14 (INTERIOR 111 )</t>
  </si>
  <si>
    <t>055128407200140111</t>
  </si>
  <si>
    <t>2025-12-11 15:42:26</t>
  </si>
  <si>
    <t>23606815</t>
  </si>
  <si>
    <t>03/12/2025 16:05:48</t>
  </si>
  <si>
    <t>2025-12-03 16:05:48</t>
  </si>
  <si>
    <t>ADRIANA PATRICIA ACEVEDO LOPEZ</t>
  </si>
  <si>
    <t>5861081</t>
  </si>
  <si>
    <t>3128068692</t>
  </si>
  <si>
    <t>CL 57 D CR 27 -24 (INTERIOR 301 )</t>
  </si>
  <si>
    <t>055217407000240301</t>
  </si>
  <si>
    <t>2025-12-11 16:05:48</t>
  </si>
  <si>
    <t>23606894</t>
  </si>
  <si>
    <t>03/12/2025 16:41:08</t>
  </si>
  <si>
    <t>2025-12-03 16:41:08</t>
  </si>
  <si>
    <t>ODALIS KARINA ESPAÑA GUDIÑO</t>
  </si>
  <si>
    <t>3146851629</t>
  </si>
  <si>
    <t>CL 55 CR 103 DA -370 (INTERIOR 1139 )</t>
  </si>
  <si>
    <t>085015003413701139</t>
  </si>
  <si>
    <t>2025-12-11 16:41:08</t>
  </si>
  <si>
    <t>23606947</t>
  </si>
  <si>
    <t>03/12/2025 16:48:29</t>
  </si>
  <si>
    <t>2025-12-03 16:48:29</t>
  </si>
  <si>
    <t>ADRUBAL BEDOYA</t>
  </si>
  <si>
    <t>3215173615</t>
  </si>
  <si>
    <t>CL 39 CR 53 -39</t>
  </si>
  <si>
    <t>053519003000390000</t>
  </si>
  <si>
    <t>2025-12-10 16:48:29</t>
  </si>
  <si>
    <t>3 días 16:48</t>
  </si>
  <si>
    <t>23606977</t>
  </si>
  <si>
    <t>03/12/2025 16:53:23</t>
  </si>
  <si>
    <t>2025-12-03 16:53:23</t>
  </si>
  <si>
    <t>SARA BEDOYA BUSTAMANTE</t>
  </si>
  <si>
    <t>3718420</t>
  </si>
  <si>
    <t>3104091208</t>
  </si>
  <si>
    <t>RURAL_163012633000000202_163012633000000202</t>
  </si>
  <si>
    <t>163012633000000202</t>
  </si>
  <si>
    <t>2025-12-11 16:53:23</t>
  </si>
  <si>
    <t>23607073</t>
  </si>
  <si>
    <t>03/12/2025 19:57:45</t>
  </si>
  <si>
    <t>2025-12-03 19:57:45</t>
  </si>
  <si>
    <t>LIVIS VEGA</t>
  </si>
  <si>
    <t>3107554856</t>
  </si>
  <si>
    <t>CL 59 C CR 18 B -49 (INTERIOR 201 )</t>
  </si>
  <si>
    <t>055119308200490201</t>
  </si>
  <si>
    <t>2025-12-11 19:57:45</t>
  </si>
  <si>
    <t>23607077</t>
  </si>
  <si>
    <t>03/12/2025 21:08:15</t>
  </si>
  <si>
    <t>2025-12-03 21:08:15</t>
  </si>
  <si>
    <t>YOVANNY RUIZ VARGAS</t>
  </si>
  <si>
    <t>3022050303</t>
  </si>
  <si>
    <t>CL 48 CR 1 ESTE -9 (INTERIOR 306 )</t>
  </si>
  <si>
    <t>704018001000090306</t>
  </si>
  <si>
    <t>2025-12-11 21:08:15</t>
  </si>
  <si>
    <t>23607079</t>
  </si>
  <si>
    <t>03/12/2025 21:54:09</t>
  </si>
  <si>
    <t>2025-12-03 21:54:09</t>
  </si>
  <si>
    <t>ARELIS TUBERQUIA   SANCHEZ</t>
  </si>
  <si>
    <t>3128912485</t>
  </si>
  <si>
    <t>CL 56 B CR 20 C -29 (INTERIOR 105 )</t>
  </si>
  <si>
    <t>055216200300290105</t>
  </si>
  <si>
    <t>2025-12-11 21:54:09</t>
  </si>
  <si>
    <t>4 días 21:54</t>
  </si>
  <si>
    <t>23607293</t>
  </si>
  <si>
    <t>04/12/2025 06:26:30</t>
  </si>
  <si>
    <t>2025-12-04 06:26:30</t>
  </si>
  <si>
    <t>ALVARO DE JESUS RAMIREZ SUAZA</t>
  </si>
  <si>
    <t>3147286049</t>
  </si>
  <si>
    <t>CL 18 D CR 89 -11 (INTERIOR 3555 )</t>
  </si>
  <si>
    <t>051818409000113555</t>
  </si>
  <si>
    <t>2025-12-22 06:26:30</t>
  </si>
  <si>
    <t>23607298</t>
  </si>
  <si>
    <t>04/12/2025 06:49:49</t>
  </si>
  <si>
    <t>2025-12-04 06:49:49</t>
  </si>
  <si>
    <t>ANA CRISTINA MORENO PALACIOS</t>
  </si>
  <si>
    <t>1111111</t>
  </si>
  <si>
    <t>3104157033</t>
  </si>
  <si>
    <t>CR 41 CL 16 A SUR -21</t>
  </si>
  <si>
    <t>041421006100210000</t>
  </si>
  <si>
    <t>2025-12-16 06:49:49</t>
  </si>
  <si>
    <t>23607305</t>
  </si>
  <si>
    <t>04/12/2025 07:17:32</t>
  </si>
  <si>
    <t>2025-12-04 07:17:32</t>
  </si>
  <si>
    <t>MARTHA LIGIA GUERRA CORREA</t>
  </si>
  <si>
    <t>4276157</t>
  </si>
  <si>
    <t>3113851561</t>
  </si>
  <si>
    <t>CR 125 CL 61 E -25 (INTERIOR 301 )</t>
  </si>
  <si>
    <t>086225001500250301</t>
  </si>
  <si>
    <t>2025-12-16 07:17:32</t>
  </si>
  <si>
    <t>23607325</t>
  </si>
  <si>
    <t>04/12/2025 08:15:56</t>
  </si>
  <si>
    <t>2025-12-04 08:15:56</t>
  </si>
  <si>
    <t>ANA ROCIO CASTAÑO GOEZ</t>
  </si>
  <si>
    <t>4911404</t>
  </si>
  <si>
    <t>3185395425</t>
  </si>
  <si>
    <t>CL 48 D CR 102 -17 (INTERIOR 201 )</t>
  </si>
  <si>
    <t>084018402000170201</t>
  </si>
  <si>
    <t>2025-12-12 08:15:56</t>
  </si>
  <si>
    <t>23607346</t>
  </si>
  <si>
    <t>04/12/2025 08:33:54</t>
  </si>
  <si>
    <t>2025-12-04 08:33:54</t>
  </si>
  <si>
    <t>CL 18 D CR 89 -11 (INTERIOR 3781 )</t>
  </si>
  <si>
    <t>051818409000113781</t>
  </si>
  <si>
    <t>2025-12-22 08:33:54</t>
  </si>
  <si>
    <t>23607347</t>
  </si>
  <si>
    <t>04/12/2025 08:35:52</t>
  </si>
  <si>
    <t>2025-12-04 08:35:52</t>
  </si>
  <si>
    <t>CL 48 D CR 102 -17 (INTERIOR 301 )</t>
  </si>
  <si>
    <t>084018402000170301</t>
  </si>
  <si>
    <t>2025-12-12 08:35:52</t>
  </si>
  <si>
    <t>23607348</t>
  </si>
  <si>
    <t>04/12/2025 08:36:00</t>
  </si>
  <si>
    <t>2025-12-04 08:36:00</t>
  </si>
  <si>
    <t>LUIS EDUARDO MAZO ZABALA</t>
  </si>
  <si>
    <t>3146427072</t>
  </si>
  <si>
    <t>RURAL_146014909000000000_146014909000000000</t>
  </si>
  <si>
    <t>146014909000000000</t>
  </si>
  <si>
    <t>2025-12-22 08:36:00</t>
  </si>
  <si>
    <t>23607352</t>
  </si>
  <si>
    <t>04/12/2025 08:37:26</t>
  </si>
  <si>
    <t>2025-12-04 08:37:26</t>
  </si>
  <si>
    <t>ESTRUCTURAS Y MONTAJES FS S.A.S</t>
  </si>
  <si>
    <t>3205016013</t>
  </si>
  <si>
    <t>CR 143 A CL 56 -331</t>
  </si>
  <si>
    <t>085423106003310000</t>
  </si>
  <si>
    <t>2025-12-11 08:37:26</t>
  </si>
  <si>
    <t>23607360</t>
  </si>
  <si>
    <t>04/12/2025 08:46:34</t>
  </si>
  <si>
    <t>2025-12-04 08:46:34</t>
  </si>
  <si>
    <t>SOR ANGELA CHAVERRA LONDOÑO</t>
  </si>
  <si>
    <t>3612111</t>
  </si>
  <si>
    <t>RURAL_163004107500000202</t>
  </si>
  <si>
    <t>163004107500000202</t>
  </si>
  <si>
    <t>2025-12-12 08:46:34</t>
  </si>
  <si>
    <t>5 días 08:46</t>
  </si>
  <si>
    <t>23607373</t>
  </si>
  <si>
    <t>04/12/2025 08:57:17</t>
  </si>
  <si>
    <t>2025-12-04 08:57:17</t>
  </si>
  <si>
    <t>GITEK INGENIERIA ELECTRICA Y TELECOMUNIC</t>
  </si>
  <si>
    <t>2024080</t>
  </si>
  <si>
    <t>3122968178</t>
  </si>
  <si>
    <t>CR 65 A CL 34 -23</t>
  </si>
  <si>
    <t>073625104000230000</t>
  </si>
  <si>
    <t>2025-12-11 08:57:17</t>
  </si>
  <si>
    <t>23607382</t>
  </si>
  <si>
    <t>04/12/2025 09:07:07</t>
  </si>
  <si>
    <t>2025-12-04 09:07:07</t>
  </si>
  <si>
    <t>ELKIN DARIO VASCO BETANCUR</t>
  </si>
  <si>
    <t>3147700798</t>
  </si>
  <si>
    <t>CL 55 A CR 131 -91</t>
  </si>
  <si>
    <t>085315101000910000</t>
  </si>
  <si>
    <t>2025-12-16 09:07:07</t>
  </si>
  <si>
    <t>23607388</t>
  </si>
  <si>
    <t>04/12/2025 09:07:42</t>
  </si>
  <si>
    <t>2025-12-04 09:07:42</t>
  </si>
  <si>
    <t>CARLOS ALBERTO MARTINEZ RUIZ</t>
  </si>
  <si>
    <t>3781616</t>
  </si>
  <si>
    <t>3226557634</t>
  </si>
  <si>
    <t>CR 48 CL 61 SUR -75 (INTERIOR 101 )</t>
  </si>
  <si>
    <t>016428001000750101</t>
  </si>
  <si>
    <t>2025-12-11 09:07:42</t>
  </si>
  <si>
    <t>23607400</t>
  </si>
  <si>
    <t>04/12/2025 09:18:01</t>
  </si>
  <si>
    <t>2025-12-04 09:18:01</t>
  </si>
  <si>
    <t>ANDRES FELIPE CASTELLANOS RAMIREZ</t>
  </si>
  <si>
    <t>3013437652</t>
  </si>
  <si>
    <t>RURAL_147058630000000102_147058630000000102</t>
  </si>
  <si>
    <t>147058630000000102</t>
  </si>
  <si>
    <t>2025-12-17 09:18:01</t>
  </si>
  <si>
    <t>23607403</t>
  </si>
  <si>
    <t>04/12/2025 09:20:12</t>
  </si>
  <si>
    <t>2025-12-04 09:20:12</t>
  </si>
  <si>
    <t>PROYECTOS MIRAVET SAS</t>
  </si>
  <si>
    <t>3148836348</t>
  </si>
  <si>
    <t>CR 80 B CL 35 A -53 (INTERIOR 5 )</t>
  </si>
  <si>
    <t>053820205100530005</t>
  </si>
  <si>
    <t>2025-12-11 09:20:12</t>
  </si>
  <si>
    <t>23607408</t>
  </si>
  <si>
    <t>04/12/2025 09:23:32</t>
  </si>
  <si>
    <t>2025-12-04 09:23:32</t>
  </si>
  <si>
    <t>ERICA GABRIELA GARCIA SIERRA</t>
  </si>
  <si>
    <t>3225025343</t>
  </si>
  <si>
    <t>CL 53 CR 3 A -95</t>
  </si>
  <si>
    <t>055013003100950000</t>
  </si>
  <si>
    <t>2025-12-12 09:23:32</t>
  </si>
  <si>
    <t>23607411</t>
  </si>
  <si>
    <t>04/12/2025 09:24:34</t>
  </si>
  <si>
    <t>2025-12-04 09:24:34</t>
  </si>
  <si>
    <t>FERNANDO  ARANGO ISAZA</t>
  </si>
  <si>
    <t>4235092</t>
  </si>
  <si>
    <t>RURAL_125004468700000006_VDA PERICO</t>
  </si>
  <si>
    <t>125004468700000006</t>
  </si>
  <si>
    <t>2025-12-19 09:24:34</t>
  </si>
  <si>
    <t>23607418</t>
  </si>
  <si>
    <t>04/12/2025 09:28:49</t>
  </si>
  <si>
    <t>2025-12-04 09:28:49</t>
  </si>
  <si>
    <t>CL 53 CR 3 A -94</t>
  </si>
  <si>
    <t>055013003100940000</t>
  </si>
  <si>
    <t>2025-12-12 09:28:49</t>
  </si>
  <si>
    <t>23607420</t>
  </si>
  <si>
    <t>04/12/2025 09:29:43</t>
  </si>
  <si>
    <t>2025-12-04 09:29:43</t>
  </si>
  <si>
    <t>CL 53 CR 3 A -96</t>
  </si>
  <si>
    <t>055013003100960000</t>
  </si>
  <si>
    <t>2025-12-12 09:29:43</t>
  </si>
  <si>
    <t>23607431</t>
  </si>
  <si>
    <t>04/12/2025 09:32:27</t>
  </si>
  <si>
    <t>2025-12-04 09:32:27</t>
  </si>
  <si>
    <t>JUAN CARLOS CORDOBA BANQUETH</t>
  </si>
  <si>
    <t>3146415936</t>
  </si>
  <si>
    <t>DIAG 17 E CL 56 B -1 (INTERIOR 115 )</t>
  </si>
  <si>
    <t>055127506200010115</t>
  </si>
  <si>
    <t>2025-12-12 09:32:27</t>
  </si>
  <si>
    <t>23607434</t>
  </si>
  <si>
    <t>04/12/2025 09:35:08</t>
  </si>
  <si>
    <t>2025-12-04 09:35:08</t>
  </si>
  <si>
    <t>JORGE MARIO CORREA VASQUEZ</t>
  </si>
  <si>
    <t>3148001194</t>
  </si>
  <si>
    <t>CL 63 CR 133 -100 (LC 102 )</t>
  </si>
  <si>
    <t>086313003001000102</t>
  </si>
  <si>
    <t>2025-12-16 09:35:08</t>
  </si>
  <si>
    <t>23607436</t>
  </si>
  <si>
    <t>04/12/2025 09:35:59</t>
  </si>
  <si>
    <t>2025-12-04 09:35:59</t>
  </si>
  <si>
    <t>ADRIAN  RUA CALLE</t>
  </si>
  <si>
    <t>3775224</t>
  </si>
  <si>
    <t>3213503456</t>
  </si>
  <si>
    <t>RURAL_163012191800000000_163012191800000000</t>
  </si>
  <si>
    <t>163012191800000000</t>
  </si>
  <si>
    <t>2025-12-16 09:35:59</t>
  </si>
  <si>
    <t>23607456</t>
  </si>
  <si>
    <t>04/12/2025 09:47:22</t>
  </si>
  <si>
    <t>2025-12-04 09:47:22</t>
  </si>
  <si>
    <t>ANDRES FELIPE ROLDAN GAVIRIA</t>
  </si>
  <si>
    <t>3128453407</t>
  </si>
  <si>
    <t>CR 23 CL 56 EH -201 (INTERIOR 260 )</t>
  </si>
  <si>
    <t>055223006582010260</t>
  </si>
  <si>
    <t>2025-12-16 09:47:22</t>
  </si>
  <si>
    <t>23607461</t>
  </si>
  <si>
    <t>04/12/2025 09:51:09</t>
  </si>
  <si>
    <t>2025-12-04 09:51:09</t>
  </si>
  <si>
    <t>DARIO PELAEZ RESTREPO</t>
  </si>
  <si>
    <t>3502119375</t>
  </si>
  <si>
    <t>CL 143 SUR CR 52 -133</t>
  </si>
  <si>
    <t>004513002001330000-ENEPRE</t>
  </si>
  <si>
    <t>2025-12-22 09:51:09</t>
  </si>
  <si>
    <t>23607480</t>
  </si>
  <si>
    <t>04/12/2025 10:00:56</t>
  </si>
  <si>
    <t>2025-12-04 10:00:56</t>
  </si>
  <si>
    <t>ALEXANDRA MARCELA ORTIZ ACEVEDO</t>
  </si>
  <si>
    <t>3156910465</t>
  </si>
  <si>
    <t>CL 59 A CR 131 B -28 (INTERIOR 110 )</t>
  </si>
  <si>
    <t>085319101200280110</t>
  </si>
  <si>
    <t>2025-12-12 10:00:56</t>
  </si>
  <si>
    <t>23607483</t>
  </si>
  <si>
    <t>04/12/2025 10:02:13</t>
  </si>
  <si>
    <t>2025-12-04 10:02:13</t>
  </si>
  <si>
    <t>JOHN JAIRO OCAMPO CARDENAS</t>
  </si>
  <si>
    <t>3104892891</t>
  </si>
  <si>
    <t>CR 106 CL 34 F -58 (INTERIOR 202 )</t>
  </si>
  <si>
    <t>083026004600580202</t>
  </si>
  <si>
    <t>2025-12-12 10:02:13</t>
  </si>
  <si>
    <t>23607485</t>
  </si>
  <si>
    <t>04/12/2025 10:03:18</t>
  </si>
  <si>
    <t>2025-12-04 10:03:18</t>
  </si>
  <si>
    <t>3162223442</t>
  </si>
  <si>
    <t>CR 43 B CL 11 -10 (INTERIOR 1 )</t>
  </si>
  <si>
    <t>051423201000100001</t>
  </si>
  <si>
    <t>2025-12-16 10:03:18</t>
  </si>
  <si>
    <t>23607491</t>
  </si>
  <si>
    <t>04/12/2025 10:05:32</t>
  </si>
  <si>
    <t>2025-12-04 10:05:32</t>
  </si>
  <si>
    <t>CR 106 CL 34 F -58 (INTERIOR 302 )</t>
  </si>
  <si>
    <t>083026004600580302</t>
  </si>
  <si>
    <t>2025-12-12 10:05:32</t>
  </si>
  <si>
    <t>23607509</t>
  </si>
  <si>
    <t>04/12/2025 10:15:41</t>
  </si>
  <si>
    <t>2025-12-04 10:15:41</t>
  </si>
  <si>
    <t>ANGIE PUERTA RESTREPO</t>
  </si>
  <si>
    <t>3022107382</t>
  </si>
  <si>
    <t>RURAL_163017656000000202_163017656000000202</t>
  </si>
  <si>
    <t>163017656000000202</t>
  </si>
  <si>
    <t>2025-12-12 10:15:41</t>
  </si>
  <si>
    <t>5 días 10:15</t>
  </si>
  <si>
    <t>23607514</t>
  </si>
  <si>
    <t>04/12/2025 10:19:54</t>
  </si>
  <si>
    <t>2025-12-04 10:19:54</t>
  </si>
  <si>
    <t>TATIANA SECUEQUIA TANGARIFE</t>
  </si>
  <si>
    <t>3023684240</t>
  </si>
  <si>
    <t>RURAL_163014442000000001</t>
  </si>
  <si>
    <t>163014442000000001</t>
  </si>
  <si>
    <t>2025-12-12 10:19:54</t>
  </si>
  <si>
    <t>5 días 10:19</t>
  </si>
  <si>
    <t>23607517</t>
  </si>
  <si>
    <t>04/12/2025 10:20:26</t>
  </si>
  <si>
    <t>2025-12-04 10:20:26</t>
  </si>
  <si>
    <t>AIDA VERA</t>
  </si>
  <si>
    <t>2645254</t>
  </si>
  <si>
    <t>3118383340</t>
  </si>
  <si>
    <t>CR 92 CC CL 57 F -11 (INTERIOR 301 )</t>
  </si>
  <si>
    <t>055922337600110301</t>
  </si>
  <si>
    <t>2025-12-22 10:20:26</t>
  </si>
  <si>
    <t>23607524</t>
  </si>
  <si>
    <t>04/12/2025 10:23:23</t>
  </si>
  <si>
    <t>2025-12-04 10:23:23</t>
  </si>
  <si>
    <t>GENARO DE JESUS URREA ARISTIZABAL</t>
  </si>
  <si>
    <t>3043419772</t>
  </si>
  <si>
    <t>CIRC 4 CR 70 -14</t>
  </si>
  <si>
    <t>054750000000140000</t>
  </si>
  <si>
    <t>2025-12-11 10:23:23</t>
  </si>
  <si>
    <t>23607526</t>
  </si>
  <si>
    <t>04/12/2025 10:25:24</t>
  </si>
  <si>
    <t>2025-12-04 10:25:24</t>
  </si>
  <si>
    <t>JUAN JOSE SANCHEZ MARTINEZ</t>
  </si>
  <si>
    <t>5874230</t>
  </si>
  <si>
    <t>3108967403</t>
  </si>
  <si>
    <t>CL 39 CR 26 -53 (INTERIOR 401 )</t>
  </si>
  <si>
    <t>053219006000530401</t>
  </si>
  <si>
    <t>2025-12-22 10:25:24</t>
  </si>
  <si>
    <t>23607531</t>
  </si>
  <si>
    <t>04/12/2025 10:27:05</t>
  </si>
  <si>
    <t>2025-12-04 10:27:05</t>
  </si>
  <si>
    <t>JAIDY YAMILE CARDONA</t>
  </si>
  <si>
    <t>4910593</t>
  </si>
  <si>
    <t>3194646787</t>
  </si>
  <si>
    <t>CL 49 AA CR 99 E -72 (INTERIOR 3191 )</t>
  </si>
  <si>
    <t>054919119500723191</t>
  </si>
  <si>
    <t>2025-12-12 10:27:05</t>
  </si>
  <si>
    <t>23607548</t>
  </si>
  <si>
    <t>04/12/2025 10:38:01</t>
  </si>
  <si>
    <t>2025-12-04 10:38:01</t>
  </si>
  <si>
    <t>DANIEL FRANCISCO NARVAEZ PADILLA</t>
  </si>
  <si>
    <t>3207602749</t>
  </si>
  <si>
    <t>CL 54 CR 82 -75 (INTERIOR 332 )</t>
  </si>
  <si>
    <t>055814002000750332</t>
  </si>
  <si>
    <t>2025-12-12 10:38:01</t>
  </si>
  <si>
    <t>23607549</t>
  </si>
  <si>
    <t>04/12/2025 10:38:04</t>
  </si>
  <si>
    <t>2025-12-04 10:38:04</t>
  </si>
  <si>
    <t>KEVIN PUERTA RESTREPO</t>
  </si>
  <si>
    <t>3013321418</t>
  </si>
  <si>
    <t>RURAL_163017656000000201</t>
  </si>
  <si>
    <t>163017656000000201</t>
  </si>
  <si>
    <t>2025-12-12 10:38:04</t>
  </si>
  <si>
    <t>23607552</t>
  </si>
  <si>
    <t>04/12/2025 10:41:44</t>
  </si>
  <si>
    <t>2025-12-04 10:41:44</t>
  </si>
  <si>
    <t>CL 39 CR 26 -53 (INTERIOR 301 )</t>
  </si>
  <si>
    <t>053219006000530301</t>
  </si>
  <si>
    <t>2025-12-22 10:41:44</t>
  </si>
  <si>
    <t>23607560</t>
  </si>
  <si>
    <t>04/12/2025 10:47:29</t>
  </si>
  <si>
    <t>2025-12-04 10:47:29</t>
  </si>
  <si>
    <t>CARLOS ALBERTO MONTOYA MONTOYA</t>
  </si>
  <si>
    <t>3116430099</t>
  </si>
  <si>
    <t>CR 43 AA CL 72 SUR -56 (INTERIOR 201 )</t>
  </si>
  <si>
    <t>017423112000560201</t>
  </si>
  <si>
    <t>2025-12-11 10:47:29</t>
  </si>
  <si>
    <t>23607562</t>
  </si>
  <si>
    <t>04/12/2025 10:48:29</t>
  </si>
  <si>
    <t>2025-12-04 10:48:29</t>
  </si>
  <si>
    <t>RURAL_163014442000000002</t>
  </si>
  <si>
    <t>163014442000000002</t>
  </si>
  <si>
    <t>2025-12-12 10:48:29</t>
  </si>
  <si>
    <t>23607577</t>
  </si>
  <si>
    <t>04/12/2025 10:58:13</t>
  </si>
  <si>
    <t>2025-12-04 10:58:13</t>
  </si>
  <si>
    <t>NICOLAS FARLEY VELEZ VELEZ</t>
  </si>
  <si>
    <t>3107163101</t>
  </si>
  <si>
    <t>CR 53 CL 33 -21 (INTERIOR 101 )</t>
  </si>
  <si>
    <t>073523003000210101</t>
  </si>
  <si>
    <t>2025-12-12 10:58:13</t>
  </si>
  <si>
    <t>23607583</t>
  </si>
  <si>
    <t>04/12/2025 11:00:58</t>
  </si>
  <si>
    <t>2025-12-04 11:00:58</t>
  </si>
  <si>
    <t>DORIS MARIA SANCHEZ TAMAYO</t>
  </si>
  <si>
    <t>3205466377</t>
  </si>
  <si>
    <t>RURAL_163006907300000302_163006907300000302</t>
  </si>
  <si>
    <t>163006907300000302</t>
  </si>
  <si>
    <t>2025-12-22 11:00:58</t>
  </si>
  <si>
    <t>23607586</t>
  </si>
  <si>
    <t>04/12/2025 11:01:17</t>
  </si>
  <si>
    <t>2025-12-04 11:01:17</t>
  </si>
  <si>
    <t>2025-12-11 11:01:17</t>
  </si>
  <si>
    <t>23607603</t>
  </si>
  <si>
    <t>04/12/2025 11:15:44</t>
  </si>
  <si>
    <t>2025-12-04 11:15:44</t>
  </si>
  <si>
    <t>3114756166</t>
  </si>
  <si>
    <t>CR 23 CL 56 EH -201 (INTERIOR 360 )</t>
  </si>
  <si>
    <t>055223006582010360</t>
  </si>
  <si>
    <t>2025-12-16 11:15:44</t>
  </si>
  <si>
    <t>23607605</t>
  </si>
  <si>
    <t>04/12/2025 11:16:35</t>
  </si>
  <si>
    <t>2025-12-04 11:16:35</t>
  </si>
  <si>
    <t>CR 23 CL 56 EH -201 (INTERIOR 261 )</t>
  </si>
  <si>
    <t>055223006582010261</t>
  </si>
  <si>
    <t>2025-12-16 11:16:35</t>
  </si>
  <si>
    <t>23607607</t>
  </si>
  <si>
    <t>04/12/2025 11:17:42</t>
  </si>
  <si>
    <t>2025-12-04 11:17:42</t>
  </si>
  <si>
    <t>CR 23 CL 56 EH -201 (INTERIOR 361 )</t>
  </si>
  <si>
    <t>055223006582010361</t>
  </si>
  <si>
    <t>2025-12-16 11:17:42</t>
  </si>
  <si>
    <t>23607616</t>
  </si>
  <si>
    <t>04/12/2025 11:22:08</t>
  </si>
  <si>
    <t>2025-12-04 11:22:08</t>
  </si>
  <si>
    <t>WILFRED MONTOYA PIEDRAHITA</t>
  </si>
  <si>
    <t>3044557667</t>
  </si>
  <si>
    <t>CR 120 F CL 54 -62 (INTERIOR 221 )</t>
  </si>
  <si>
    <t>085220604000620221</t>
  </si>
  <si>
    <t>2025-12-12 11:22:08</t>
  </si>
  <si>
    <t>23607634</t>
  </si>
  <si>
    <t>04/12/2025 11:33:59</t>
  </si>
  <si>
    <t>2025-12-04 11:33:59</t>
  </si>
  <si>
    <t>ANA ISABEL ORTIZ ESPINAL</t>
  </si>
  <si>
    <t>3197195440</t>
  </si>
  <si>
    <t>RURAL_161025341000000002_PRIMAVERA</t>
  </si>
  <si>
    <t>161025341000000002</t>
  </si>
  <si>
    <t>2025-12-11 11:33:59</t>
  </si>
  <si>
    <t>23607649</t>
  </si>
  <si>
    <t>04/12/2025 11:43:00</t>
  </si>
  <si>
    <t>2025-12-04 11:43:00</t>
  </si>
  <si>
    <t>YORKI GUZMAN</t>
  </si>
  <si>
    <t>3243558</t>
  </si>
  <si>
    <t>3154384825</t>
  </si>
  <si>
    <t>RURAL_125004526000000101_CL 20C SUR CR 7 - 504</t>
  </si>
  <si>
    <t>125004526000000101</t>
  </si>
  <si>
    <t>2025-12-19 11:43:00</t>
  </si>
  <si>
    <t>23607655</t>
  </si>
  <si>
    <t>04/12/2025 11:45:01</t>
  </si>
  <si>
    <t>2025-12-04 11:45:01</t>
  </si>
  <si>
    <t>RICHARD MUÑOZ DEL RIO</t>
  </si>
  <si>
    <t>3174837367</t>
  </si>
  <si>
    <t>CL 34 CR 34 C -41 (INTERIOR 2285 )</t>
  </si>
  <si>
    <t>053314004300412285</t>
  </si>
  <si>
    <t>2025-12-12 11:45:01</t>
  </si>
  <si>
    <t>23607676</t>
  </si>
  <si>
    <t>04/12/2025 12:02:35</t>
  </si>
  <si>
    <t>2025-12-04 12:02:35</t>
  </si>
  <si>
    <t>CONSTRUGEN S.A.S.</t>
  </si>
  <si>
    <t>4798880</t>
  </si>
  <si>
    <t>3155938610</t>
  </si>
  <si>
    <t>CL 36 D SUR CR 27 A -105 (INTERIOR 5 )</t>
  </si>
  <si>
    <t>023216407101050005</t>
  </si>
  <si>
    <t>2025-12-16 12:02:35</t>
  </si>
  <si>
    <t>23607682</t>
  </si>
  <si>
    <t>04/12/2025 12:05:10</t>
  </si>
  <si>
    <t>2025-12-04 12:05:10</t>
  </si>
  <si>
    <t>HANDER ORLANDO ZAPATA RODRIGUEZ</t>
  </si>
  <si>
    <t>3208359862</t>
  </si>
  <si>
    <t>TRAN 33 A SUR DIAG 32 B -19 (INTERIOR 102 )</t>
  </si>
  <si>
    <t>023393102200190102</t>
  </si>
  <si>
    <t>2025-12-16 12:05:10</t>
  </si>
  <si>
    <t>23607692</t>
  </si>
  <si>
    <t>04/12/2025 12:16:48</t>
  </si>
  <si>
    <t>2025-12-04 12:16:48</t>
  </si>
  <si>
    <t>MARCELA QUINTERO BALZAC</t>
  </si>
  <si>
    <t>3304747</t>
  </si>
  <si>
    <t>3122273725</t>
  </si>
  <si>
    <t>CR 65 CL 27 -133 (INTERIOR 103 )</t>
  </si>
  <si>
    <t>072625007001330103</t>
  </si>
  <si>
    <t>2025-12-16 12:16:48</t>
  </si>
  <si>
    <t>23607696</t>
  </si>
  <si>
    <t>04/12/2025 12:21:33</t>
  </si>
  <si>
    <t>2025-12-04 12:21:33</t>
  </si>
  <si>
    <t>LUZ HELENA ANGARITA PALACIO</t>
  </si>
  <si>
    <t>3206041973</t>
  </si>
  <si>
    <t>CR 42 A CL 125 SUR -77 (INTERIOR 138 )</t>
  </si>
  <si>
    <t>002422105000770138</t>
  </si>
  <si>
    <t>2025-12-22 12:21:33</t>
  </si>
  <si>
    <t>23607699</t>
  </si>
  <si>
    <t>04/12/2025 12:23:23</t>
  </si>
  <si>
    <t>2025-12-04 12:23:23</t>
  </si>
  <si>
    <t>CL 48 CR 1 ESTE -9 (INTERIOR 305 )</t>
  </si>
  <si>
    <t>704018001000090305</t>
  </si>
  <si>
    <t>2025-12-12 12:23:23</t>
  </si>
  <si>
    <t>23607701</t>
  </si>
  <si>
    <t>04/12/2025 12:24:13</t>
  </si>
  <si>
    <t>2025-12-04 12:24:13</t>
  </si>
  <si>
    <t>ALVARO DAVILA</t>
  </si>
  <si>
    <t>2216393</t>
  </si>
  <si>
    <t>CL 58 CR 7 -37 (INTERIOR 3001 )</t>
  </si>
  <si>
    <t>055018007000373001</t>
  </si>
  <si>
    <t>2025-12-12 12:24:13</t>
  </si>
  <si>
    <t>23607703</t>
  </si>
  <si>
    <t>04/12/2025 12:24:19</t>
  </si>
  <si>
    <t>2025-12-04 12:24:19</t>
  </si>
  <si>
    <t>MARILY SANCHEZ SANCHEZ</t>
  </si>
  <si>
    <t>3006234601</t>
  </si>
  <si>
    <t>RURAL_163008578000000301_(301)</t>
  </si>
  <si>
    <t>163008578000000301</t>
  </si>
  <si>
    <t>2025-12-12 12:24:19</t>
  </si>
  <si>
    <t>23607710</t>
  </si>
  <si>
    <t>04/12/2025 12:40:04</t>
  </si>
  <si>
    <t>2025-12-04 12:40:04</t>
  </si>
  <si>
    <t>PABLO ANDRES BAEZ SANDOVAL</t>
  </si>
  <si>
    <t>3007459037</t>
  </si>
  <si>
    <t>CL 45 D CR 72 -90</t>
  </si>
  <si>
    <t>054715402000900000</t>
  </si>
  <si>
    <t>2025-12-16 12:40:04</t>
  </si>
  <si>
    <t>23607719</t>
  </si>
  <si>
    <t>04/12/2025 13:07:56</t>
  </si>
  <si>
    <t>2025-12-04 13:07:56</t>
  </si>
  <si>
    <t>JHON FREDY BERRIO VARGAS</t>
  </si>
  <si>
    <t>2848014</t>
  </si>
  <si>
    <t>CL 57 C CR 19 -11</t>
  </si>
  <si>
    <t>055117309000110000</t>
  </si>
  <si>
    <t>2025-12-16 13:07:56</t>
  </si>
  <si>
    <t>23607723</t>
  </si>
  <si>
    <t>04/12/2025 13:15:09</t>
  </si>
  <si>
    <t>2025-12-04 13:15:09</t>
  </si>
  <si>
    <t>PEDRO JOSE ESCALONA GUTIERREZ</t>
  </si>
  <si>
    <t>3135720474</t>
  </si>
  <si>
    <t>RURAL_163014490000000102_163014490000000102</t>
  </si>
  <si>
    <t>163014490000000102</t>
  </si>
  <si>
    <t>2025-12-12 13:15:09</t>
  </si>
  <si>
    <t>23607725</t>
  </si>
  <si>
    <t>04/12/2025 13:18:32</t>
  </si>
  <si>
    <t>2025-12-04 13:18:32</t>
  </si>
  <si>
    <t>3006559655</t>
  </si>
  <si>
    <t>RURAL_125004766200000010_PARC MONTERROSO LT 10</t>
  </si>
  <si>
    <t>125004766200000010</t>
  </si>
  <si>
    <t>2025-12-19 13:18:32</t>
  </si>
  <si>
    <t>23607727</t>
  </si>
  <si>
    <t>04/12/2025 13:19:14</t>
  </si>
  <si>
    <t>2025-12-04 13:19:14</t>
  </si>
  <si>
    <t>CL 49 AA CR 99 E -72 (INTERIOR 2191 )</t>
  </si>
  <si>
    <t>054919119500722191</t>
  </si>
  <si>
    <t>2025-12-12 13:19:14</t>
  </si>
  <si>
    <t>23607732</t>
  </si>
  <si>
    <t>04/12/2025 13:25:22</t>
  </si>
  <si>
    <t>2025-12-04 13:25:22</t>
  </si>
  <si>
    <t>HERICA RIGOEY HERRERA AGUDELO</t>
  </si>
  <si>
    <t>3147152703</t>
  </si>
  <si>
    <t>CL 55 C CR 2 -93 (INTERIOR 201 )</t>
  </si>
  <si>
    <t>055015302000930201</t>
  </si>
  <si>
    <t>2025-12-12 13:25:22</t>
  </si>
  <si>
    <t>23607733</t>
  </si>
  <si>
    <t>04/12/2025 13:25:51</t>
  </si>
  <si>
    <t>2025-12-04 13:25:51</t>
  </si>
  <si>
    <t>MERY SANCHEZ</t>
  </si>
  <si>
    <t>3206057571</t>
  </si>
  <si>
    <t>RURAL_163002003000000201</t>
  </si>
  <si>
    <t>163002003000000201</t>
  </si>
  <si>
    <t>2025-12-12 13:25:51</t>
  </si>
  <si>
    <t>23607735</t>
  </si>
  <si>
    <t>04/12/2025 13:28:33</t>
  </si>
  <si>
    <t>2025-12-04 13:28:33</t>
  </si>
  <si>
    <t>BERNARDO ANTONIO SOTO ALVAREZ</t>
  </si>
  <si>
    <t>3002015284</t>
  </si>
  <si>
    <t>RURAL_163002143000000201_RURAL ITAGUI EL PORVENIR</t>
  </si>
  <si>
    <t>163002143000000201</t>
  </si>
  <si>
    <t>2025-12-12 13:28:33</t>
  </si>
  <si>
    <t>23607738</t>
  </si>
  <si>
    <t>04/12/2025 13:31:38</t>
  </si>
  <si>
    <t>2025-12-04 13:31:38</t>
  </si>
  <si>
    <t>ANDREA ERNESTINA SOTO LOZADA</t>
  </si>
  <si>
    <t>3136456005</t>
  </si>
  <si>
    <t>RURAL_163014470100000201_163014470100000201</t>
  </si>
  <si>
    <t>163014470100000201</t>
  </si>
  <si>
    <t>2025-12-12 13:31:38</t>
  </si>
  <si>
    <t>23607739</t>
  </si>
  <si>
    <t>04/12/2025 13:32:28</t>
  </si>
  <si>
    <t>2025-12-04 13:32:28</t>
  </si>
  <si>
    <t>DIOGENES COLORADO</t>
  </si>
  <si>
    <t>3227312591</t>
  </si>
  <si>
    <t>CR 50 CL 117 SUR -192 (INTERIOR 204 )</t>
  </si>
  <si>
    <t>001520007001920204</t>
  </si>
  <si>
    <t>2025-12-11 13:32:28</t>
  </si>
  <si>
    <t>23607748</t>
  </si>
  <si>
    <t>04/12/2025 13:41:43</t>
  </si>
  <si>
    <t>2025-12-04 13:41:43</t>
  </si>
  <si>
    <t>KRISLEIDYS ALEXANDRA TORRES SOTO</t>
  </si>
  <si>
    <t>3216392218</t>
  </si>
  <si>
    <t>RURAL_163014490000000101_163014490000000101</t>
  </si>
  <si>
    <t>163014490000000101</t>
  </si>
  <si>
    <t>2025-12-12 13:41:43</t>
  </si>
  <si>
    <t>23607753</t>
  </si>
  <si>
    <t>04/12/2025 13:45:23</t>
  </si>
  <si>
    <t>2025-12-04 13:45:23</t>
  </si>
  <si>
    <t>CRISTIAN ANDRES BEDOYA QUINTERO</t>
  </si>
  <si>
    <t>2140008</t>
  </si>
  <si>
    <t>3503641941</t>
  </si>
  <si>
    <t>CL 1 CR 82 -230 (INTERIOR 110 )</t>
  </si>
  <si>
    <t>050811002002300110</t>
  </si>
  <si>
    <t>2025-12-11 13:45:23</t>
  </si>
  <si>
    <t>23607756</t>
  </si>
  <si>
    <t>04/12/2025 13:46:40</t>
  </si>
  <si>
    <t>2025-12-04 13:46:40</t>
  </si>
  <si>
    <t>PROMOTORA DE PROYECTOS MOSTAZA S. A. S.</t>
  </si>
  <si>
    <t>2381406</t>
  </si>
  <si>
    <t>3104752230</t>
  </si>
  <si>
    <t>CR 49 CL 75 SUR -133 (INTERIOR 5 )</t>
  </si>
  <si>
    <t>017429005001330005</t>
  </si>
  <si>
    <t>2025-12-16 13:46:40</t>
  </si>
  <si>
    <t>23607760</t>
  </si>
  <si>
    <t>04/12/2025 13:51:07</t>
  </si>
  <si>
    <t>2025-12-04 13:51:07</t>
  </si>
  <si>
    <t>GIL MESA DIANA MARIA GIL MESA GIL MESA DIANA MARIA GIL MESA</t>
  </si>
  <si>
    <t>9876543</t>
  </si>
  <si>
    <t>3146231386</t>
  </si>
  <si>
    <t>CL 34 B CR 112 E -42 (INTERIOR 100 )</t>
  </si>
  <si>
    <t>083114202500420100</t>
  </si>
  <si>
    <t>2025-12-12 13:51:07</t>
  </si>
  <si>
    <t>23607761</t>
  </si>
  <si>
    <t>04/12/2025 13:51:22</t>
  </si>
  <si>
    <t>2025-12-04 13:51:22</t>
  </si>
  <si>
    <t>MARISOL HERRERA PALACIO</t>
  </si>
  <si>
    <t>3103015743</t>
  </si>
  <si>
    <t>CR 43 A CL 68 A SUR -5</t>
  </si>
  <si>
    <t>016423108100050000</t>
  </si>
  <si>
    <t>2025-12-11 13:51:22</t>
  </si>
  <si>
    <t>4 días 13:51</t>
  </si>
  <si>
    <t>23607762</t>
  </si>
  <si>
    <t>04/12/2025 13:51:57</t>
  </si>
  <si>
    <t>2025-12-04 13:51:57</t>
  </si>
  <si>
    <t>CR 49 CL 75 SUR -133 (INTERIOR 6 SALA VTAS )</t>
  </si>
  <si>
    <t>017429005001330006</t>
  </si>
  <si>
    <t>2025-12-16 13:51:57</t>
  </si>
  <si>
    <t>23607770</t>
  </si>
  <si>
    <t>04/12/2025 14:00:19</t>
  </si>
  <si>
    <t>2025-12-04 14:00:19</t>
  </si>
  <si>
    <t>JUAN CARLOS ACEVEDO OCHOA</t>
  </si>
  <si>
    <t>3326074</t>
  </si>
  <si>
    <t>3045591324</t>
  </si>
  <si>
    <t>CR 47 A CL 38 B SUR -24 (INTERIOR 101 )</t>
  </si>
  <si>
    <t>023427108200240101</t>
  </si>
  <si>
    <t>2025-12-16 14:00:19</t>
  </si>
  <si>
    <t>23607774</t>
  </si>
  <si>
    <t>04/12/2025 14:04:37</t>
  </si>
  <si>
    <t>2025-12-04 14:04:37</t>
  </si>
  <si>
    <t>WILLIAM DARIO RICO MOLINA</t>
  </si>
  <si>
    <t>CL 57 C CR 18 D -34</t>
  </si>
  <si>
    <t>055117308400340000</t>
  </si>
  <si>
    <t>2025-12-16 14:04:37</t>
  </si>
  <si>
    <t>23607779</t>
  </si>
  <si>
    <t>04/12/2025 14:07:38</t>
  </si>
  <si>
    <t>2025-12-04 14:07:38</t>
  </si>
  <si>
    <t>YEIMINTON ESTEBAN GIRALDO ALVAREZ</t>
  </si>
  <si>
    <t>3107952471</t>
  </si>
  <si>
    <t>CL 43 BB CR 120 B -93 (INTERIOR 1183 )</t>
  </si>
  <si>
    <t>084213220200931183</t>
  </si>
  <si>
    <t>2025-12-16 14:07:38</t>
  </si>
  <si>
    <t>23607802</t>
  </si>
  <si>
    <t>04/12/2025 14:15:43</t>
  </si>
  <si>
    <t>2025-12-04 14:15:43</t>
  </si>
  <si>
    <t>JOHN MARIO ARANGO OCAMPO</t>
  </si>
  <si>
    <t>3294635</t>
  </si>
  <si>
    <t>3218008176</t>
  </si>
  <si>
    <t>CL 40 A SUR CR 67 -68</t>
  </si>
  <si>
    <t>044610107000680000</t>
  </si>
  <si>
    <t>2025-12-11 14:15:43</t>
  </si>
  <si>
    <t>23607807</t>
  </si>
  <si>
    <t>04/12/2025 14:18:34</t>
  </si>
  <si>
    <t>2025-12-04 14:18:34</t>
  </si>
  <si>
    <t>RURAL_163002143000000401_PORVENIR</t>
  </si>
  <si>
    <t>163002143000000401</t>
  </si>
  <si>
    <t>2025-12-12 14:18:34</t>
  </si>
  <si>
    <t>23607808</t>
  </si>
  <si>
    <t>04/12/2025 14:21:17</t>
  </si>
  <si>
    <t>2025-12-04 14:21:17</t>
  </si>
  <si>
    <t>2025-12-11 14:21:17</t>
  </si>
  <si>
    <t>4 días 14:21</t>
  </si>
  <si>
    <t>23607809</t>
  </si>
  <si>
    <t>04/12/2025 14:22:41</t>
  </si>
  <si>
    <t>2025-12-04 14:22:41</t>
  </si>
  <si>
    <t>ANA YOLEISA RIVAS CUERO</t>
  </si>
  <si>
    <t>3014620409</t>
  </si>
  <si>
    <t>RURAL_163002268000000000</t>
  </si>
  <si>
    <t>163002268000000000</t>
  </si>
  <si>
    <t>2025-12-12 14:22:41</t>
  </si>
  <si>
    <t>23607818</t>
  </si>
  <si>
    <t>04/12/2025 14:29:45</t>
  </si>
  <si>
    <t>2025-12-04 14:29:45</t>
  </si>
  <si>
    <t>DIEGO ANDRES VASQUEZ GONZALEZ</t>
  </si>
  <si>
    <t>CR 18 DD CL 57 B -25 (INTERIOR 102 )</t>
  </si>
  <si>
    <t>055128447200250102</t>
  </si>
  <si>
    <t>2025-12-16 14:29:45</t>
  </si>
  <si>
    <t>23607820</t>
  </si>
  <si>
    <t>04/12/2025 14:32:01</t>
  </si>
  <si>
    <t>2025-12-04 14:32:01</t>
  </si>
  <si>
    <t>YESICA MILENA LONDOÑO URIBE</t>
  </si>
  <si>
    <t>3618270</t>
  </si>
  <si>
    <t>3205802619</t>
  </si>
  <si>
    <t>RURAL_1630022700000000000</t>
  </si>
  <si>
    <t>163002270000000000</t>
  </si>
  <si>
    <t>2025-12-12 14:32:01</t>
  </si>
  <si>
    <t>23607821</t>
  </si>
  <si>
    <t>DIANA PATRICIA HENAO PELAEZ</t>
  </si>
  <si>
    <t>3007064740</t>
  </si>
  <si>
    <t>CL 49 AA CR 102 BB -79</t>
  </si>
  <si>
    <t>084019112220790000</t>
  </si>
  <si>
    <t>23607822</t>
  </si>
  <si>
    <t>04/12/2025 14:32:02</t>
  </si>
  <si>
    <t>2025-12-04 14:32:02</t>
  </si>
  <si>
    <t>CL 23 SUR CR 27 -7 (INTERIOR 5 )</t>
  </si>
  <si>
    <t>022213007000070005</t>
  </si>
  <si>
    <t>2025-12-16 14:32:02</t>
  </si>
  <si>
    <t>7 días 14:32</t>
  </si>
  <si>
    <t>23607824</t>
  </si>
  <si>
    <t>04/12/2025 14:34:17</t>
  </si>
  <si>
    <t>2025-12-04 14:34:17</t>
  </si>
  <si>
    <t>OSCAR DARIO QUINTERO MARIN</t>
  </si>
  <si>
    <t>3217870246</t>
  </si>
  <si>
    <t>RURAL_163004822000000101</t>
  </si>
  <si>
    <t>163004822000000101</t>
  </si>
  <si>
    <t>2025-12-12 14:34:17</t>
  </si>
  <si>
    <t>5 días 14:34</t>
  </si>
  <si>
    <t>23607825</t>
  </si>
  <si>
    <t>04/12/2025 14:34:22</t>
  </si>
  <si>
    <t>2025-12-04 14:34:22</t>
  </si>
  <si>
    <t>OMAR ENRIQUE ECHAVARRIA GUERRERO</t>
  </si>
  <si>
    <t>3116769040</t>
  </si>
  <si>
    <t>CL 45 A CR 56 -108 (INTERIOR 9901 )</t>
  </si>
  <si>
    <t>074515106001089901</t>
  </si>
  <si>
    <t>2025-12-12 14:34:22</t>
  </si>
  <si>
    <t>23607832</t>
  </si>
  <si>
    <t>04/12/2025 14:38:49</t>
  </si>
  <si>
    <t>2025-12-04 14:38:49</t>
  </si>
  <si>
    <t>DERLIN YURANY TANGARIFE MUNOZ</t>
  </si>
  <si>
    <t>3207385807</t>
  </si>
  <si>
    <t>RURAL_163004837010000401</t>
  </si>
  <si>
    <t>163004837010000401</t>
  </si>
  <si>
    <t>2025-12-12 14:38:49</t>
  </si>
  <si>
    <t>23607841</t>
  </si>
  <si>
    <t>04/12/2025 14:44:51</t>
  </si>
  <si>
    <t>2025-12-04 14:44:51</t>
  </si>
  <si>
    <t>CR 18 DD CL 57 B -25 (INTERIOR 101 )</t>
  </si>
  <si>
    <t>055128447200250101</t>
  </si>
  <si>
    <t>2025-12-16 14:44:51</t>
  </si>
  <si>
    <t>7 días 14:44</t>
  </si>
  <si>
    <t>23607851</t>
  </si>
  <si>
    <t>04/12/2025 14:52:40</t>
  </si>
  <si>
    <t>2025-12-04 14:52:40</t>
  </si>
  <si>
    <t>ALEJANDRO LOPERA ARANGO</t>
  </si>
  <si>
    <t>3166928354</t>
  </si>
  <si>
    <t>RURAL_190376200203120001_PROV.190376200203120000</t>
  </si>
  <si>
    <t>190376200203120001</t>
  </si>
  <si>
    <t>2025-12-19 14:52:40</t>
  </si>
  <si>
    <t>23607856</t>
  </si>
  <si>
    <t>04/12/2025 14:54:42</t>
  </si>
  <si>
    <t>2025-12-04 14:54:42</t>
  </si>
  <si>
    <t>MARIA RUBIELA OCHOA HIGUITA</t>
  </si>
  <si>
    <t>3277572</t>
  </si>
  <si>
    <t>3011530893</t>
  </si>
  <si>
    <t>RURAL_163018708100000101</t>
  </si>
  <si>
    <t>163018708100000101</t>
  </si>
  <si>
    <t>2025-12-12 14:54:42</t>
  </si>
  <si>
    <t>23607860</t>
  </si>
  <si>
    <t>04/12/2025 14:56:34</t>
  </si>
  <si>
    <t>2025-12-04 14:56:34</t>
  </si>
  <si>
    <t>RURAL_163002143000000301_PORVENIR</t>
  </si>
  <si>
    <t>163002143000000301</t>
  </si>
  <si>
    <t>2025-12-12 14:56:34</t>
  </si>
  <si>
    <t>3 días 10:19</t>
  </si>
  <si>
    <t>2 días 21:55</t>
  </si>
  <si>
    <t>5 días 21:55</t>
  </si>
  <si>
    <t>4 días 11:51</t>
  </si>
  <si>
    <t>6 días 11:51</t>
  </si>
  <si>
    <t>2 días 21:54</t>
  </si>
  <si>
    <t>0 días 06:19</t>
  </si>
  <si>
    <t>4 días 06:19</t>
  </si>
  <si>
    <t>0 días 06:20</t>
  </si>
  <si>
    <t>4 días 06:20</t>
  </si>
  <si>
    <t>2 días 21:58</t>
  </si>
  <si>
    <t>8 días 21:58</t>
  </si>
  <si>
    <t>4 días 09:30</t>
  </si>
  <si>
    <t>4 días 21:48</t>
  </si>
  <si>
    <t>9 días 12:09</t>
  </si>
  <si>
    <t>4 días 11:40</t>
  </si>
  <si>
    <t>0 días 12:56</t>
  </si>
  <si>
    <t>3 días 12:56</t>
  </si>
  <si>
    <t>3 días 08:24</t>
  </si>
  <si>
    <t>1 días 08:24</t>
  </si>
  <si>
    <t>3 días 14:36</t>
  </si>
  <si>
    <t>3 días 11:42</t>
  </si>
  <si>
    <t>2 días 21:56</t>
  </si>
  <si>
    <t>3 días 21:56</t>
  </si>
  <si>
    <t>11 días 13:35</t>
  </si>
  <si>
    <t>0 días 06:21</t>
  </si>
  <si>
    <t>4 días 06:21</t>
  </si>
  <si>
    <t>3 días 15:56</t>
  </si>
  <si>
    <t>4 días 15:56</t>
  </si>
  <si>
    <t>3 días 15:21</t>
  </si>
  <si>
    <t>3 días 08:44</t>
  </si>
  <si>
    <t>1 días 08:44</t>
  </si>
  <si>
    <t>23489346</t>
  </si>
  <si>
    <t>21/07/2025 08:11:21</t>
  </si>
  <si>
    <t>2025-12-04 18:19:49</t>
  </si>
  <si>
    <t>LUIS ANGEL CARDONA SANTANA</t>
  </si>
  <si>
    <t>3154101108</t>
  </si>
  <si>
    <t>RURAL_136032724439000000_136032724439000000</t>
  </si>
  <si>
    <t>136032724439000000</t>
  </si>
  <si>
    <t>2025-12-22 18:19:49</t>
  </si>
  <si>
    <t>0 días 18:19</t>
  </si>
  <si>
    <t>10 días 18:19</t>
  </si>
  <si>
    <t>3 días 16:31</t>
  </si>
  <si>
    <t>4 días 16:31</t>
  </si>
  <si>
    <t>0 días 14:33</t>
  </si>
  <si>
    <t>7 días 14:33</t>
  </si>
  <si>
    <t>3 días 16:50</t>
  </si>
  <si>
    <t>4 días 16:50</t>
  </si>
  <si>
    <t>3 días 16:49</t>
  </si>
  <si>
    <t>4 días 16:49</t>
  </si>
  <si>
    <t>0 días 12:39</t>
  </si>
  <si>
    <t>6 días 12:39</t>
  </si>
  <si>
    <t>3 días 12:13</t>
  </si>
  <si>
    <t>4 días 12:13</t>
  </si>
  <si>
    <t>10 días 14:37</t>
  </si>
  <si>
    <t>37 días 21:44</t>
  </si>
  <si>
    <t>2 días 12:16</t>
  </si>
  <si>
    <t>8 días 12:16</t>
  </si>
  <si>
    <t>2 días 08:46</t>
  </si>
  <si>
    <t>3 días 14:49</t>
  </si>
  <si>
    <t>1 días 14:49</t>
  </si>
  <si>
    <t>2 días 19:05</t>
  </si>
  <si>
    <t>3 días 19:05</t>
  </si>
  <si>
    <t>2 días 09:52</t>
  </si>
  <si>
    <t>6 días 09:52</t>
  </si>
  <si>
    <t>3 días 21:42</t>
  </si>
  <si>
    <t>4 días 21:42</t>
  </si>
  <si>
    <t>6 días 21:43</t>
  </si>
  <si>
    <t>1 días 21:43</t>
  </si>
  <si>
    <t>4 días 15:11</t>
  </si>
  <si>
    <t>3 días 11:14</t>
  </si>
  <si>
    <t>4 días 11:14</t>
  </si>
  <si>
    <t>4 días 11:29</t>
  </si>
  <si>
    <t>3 días 13:20</t>
  </si>
  <si>
    <t>1 días 13:20</t>
  </si>
  <si>
    <t>4 días 12:58</t>
  </si>
  <si>
    <t>0 días 12:58</t>
  </si>
  <si>
    <t>5 días 09:13</t>
  </si>
  <si>
    <t>0 días 09:12</t>
  </si>
  <si>
    <t>9 días 09:12</t>
  </si>
  <si>
    <t>7 días 21:48</t>
  </si>
  <si>
    <t>4 días 10:53</t>
  </si>
  <si>
    <t>1 días 10:53</t>
  </si>
  <si>
    <t>2 días 09:35</t>
  </si>
  <si>
    <t>8 días 09:35</t>
  </si>
  <si>
    <t>5 días 21:58</t>
  </si>
  <si>
    <t>0 días 09:46</t>
  </si>
  <si>
    <t>4 días 09:46</t>
  </si>
  <si>
    <t>0 días 06:16</t>
  </si>
  <si>
    <t>4 días 06:16</t>
  </si>
  <si>
    <t>1 días 11:50</t>
  </si>
  <si>
    <t>3 días 21:46</t>
  </si>
  <si>
    <t>8 días 21:54</t>
  </si>
  <si>
    <t>2 días 13:01</t>
  </si>
  <si>
    <t>8 días 13:01</t>
  </si>
  <si>
    <t>5 días 13:02</t>
  </si>
  <si>
    <t>2 días 13:02</t>
  </si>
  <si>
    <t>4 días 09:47</t>
  </si>
  <si>
    <t>2 días 09:05</t>
  </si>
  <si>
    <t>2 días 09:06</t>
  </si>
  <si>
    <t>3 días 09:06</t>
  </si>
  <si>
    <t>3 días 09:26</t>
  </si>
  <si>
    <t>5 días 09:26</t>
  </si>
  <si>
    <t>2 días 10:29</t>
  </si>
  <si>
    <t>8 días 10:29</t>
  </si>
  <si>
    <t>0 días 08:41</t>
  </si>
  <si>
    <t>6 días 08:41</t>
  </si>
  <si>
    <t>8 días 09:20</t>
  </si>
  <si>
    <t>3 días 09:20</t>
  </si>
  <si>
    <t>15 días 07:34</t>
  </si>
  <si>
    <t>5 días 17:17</t>
  </si>
  <si>
    <t>3 días 10:12</t>
  </si>
  <si>
    <t>5 días 10:12</t>
  </si>
  <si>
    <t>5 días 07:16</t>
  </si>
  <si>
    <t>3 días 12:52</t>
  </si>
  <si>
    <t>4 días 12:52</t>
  </si>
  <si>
    <t>2 días 11:56</t>
  </si>
  <si>
    <t>3 días 11:56</t>
  </si>
  <si>
    <t>2 días 16:02</t>
  </si>
  <si>
    <t>5 días 16:02</t>
  </si>
  <si>
    <t>2 días 16:04</t>
  </si>
  <si>
    <t>5 días 16:04</t>
  </si>
  <si>
    <t>0 días 11:31</t>
  </si>
  <si>
    <t>6 días 11:31</t>
  </si>
  <si>
    <t>0 días 06:15</t>
  </si>
  <si>
    <t>4 días 06:15</t>
  </si>
  <si>
    <t>3 días 17:16</t>
  </si>
  <si>
    <t>4 días 17:16</t>
  </si>
  <si>
    <t>3 días 17:14</t>
  </si>
  <si>
    <t>4 días 17:14</t>
  </si>
  <si>
    <t>0 días 09:04</t>
  </si>
  <si>
    <t>7 días 09:04</t>
  </si>
  <si>
    <t>6 días 14:36</t>
  </si>
  <si>
    <t>10 días 14:33</t>
  </si>
  <si>
    <t>3 días 14:48</t>
  </si>
  <si>
    <t>2 días 16:52</t>
  </si>
  <si>
    <t>0 días 09:40</t>
  </si>
  <si>
    <t>3 días 09:40</t>
  </si>
  <si>
    <t>2 días 10:22</t>
  </si>
  <si>
    <t>5 días 10:22</t>
  </si>
  <si>
    <t>4 días 07:42</t>
  </si>
  <si>
    <t>1 días 07:42</t>
  </si>
  <si>
    <t>6 días 09:06</t>
  </si>
  <si>
    <t>0 días 14:32</t>
  </si>
  <si>
    <t>7 días 11:39</t>
  </si>
  <si>
    <t>4 días 14:20</t>
  </si>
  <si>
    <t>1 días 14:20</t>
  </si>
  <si>
    <t>2 días 13:44</t>
  </si>
  <si>
    <t>9 días 13:44</t>
  </si>
  <si>
    <t>2 días 06:25</t>
  </si>
  <si>
    <t>5 días 06:25</t>
  </si>
  <si>
    <t>4 días 15:04</t>
  </si>
  <si>
    <t>1 días 15:04</t>
  </si>
  <si>
    <t>0 días 10:14</t>
  </si>
  <si>
    <t>4 días 10:14</t>
  </si>
  <si>
    <t>11 días 15:03</t>
  </si>
  <si>
    <t>3 días 15:03</t>
  </si>
  <si>
    <t>11 días 15:14</t>
  </si>
  <si>
    <t>0 días 15:14</t>
  </si>
  <si>
    <t>11 días 15:34</t>
  </si>
  <si>
    <t>0 días 15:34</t>
  </si>
  <si>
    <t>8 días 12:23</t>
  </si>
  <si>
    <t>0 días 12:23</t>
  </si>
  <si>
    <t>2 días 12:33</t>
  </si>
  <si>
    <t>3 días 12:33</t>
  </si>
  <si>
    <t>3 días 13:05</t>
  </si>
  <si>
    <t>10 días 10:49</t>
  </si>
  <si>
    <t>1 días 10:49</t>
  </si>
  <si>
    <t>1 días 10:55</t>
  </si>
  <si>
    <t>10 días 11:42</t>
  </si>
  <si>
    <t>1 días 11:42</t>
  </si>
  <si>
    <t>9 días 07:15</t>
  </si>
  <si>
    <t>9 días 08:52</t>
  </si>
  <si>
    <t>1 días 08:52</t>
  </si>
  <si>
    <t>8 días 08:42</t>
  </si>
  <si>
    <t>1 días 08:42</t>
  </si>
  <si>
    <t>3 días 11:48</t>
  </si>
  <si>
    <t>4 días 11:48</t>
  </si>
  <si>
    <t>3 días 11:47</t>
  </si>
  <si>
    <t>8 días 10:09</t>
  </si>
  <si>
    <t>3 días 10:09</t>
  </si>
  <si>
    <t>8 días 10:11</t>
  </si>
  <si>
    <t>3 días 10:11</t>
  </si>
  <si>
    <t>8 días 12:07</t>
  </si>
  <si>
    <t>3 días 12:07</t>
  </si>
  <si>
    <t>4 días 15:43</t>
  </si>
  <si>
    <t>7 días 15:43</t>
  </si>
  <si>
    <t>8 días 14:16</t>
  </si>
  <si>
    <t>1 días 14:16</t>
  </si>
  <si>
    <t>8 días 14:27</t>
  </si>
  <si>
    <t>8 días 15:53</t>
  </si>
  <si>
    <t>3 días 15:53</t>
  </si>
  <si>
    <t>8 días 15:57</t>
  </si>
  <si>
    <t>8 días 16:14</t>
  </si>
  <si>
    <t>3 días 16:14</t>
  </si>
  <si>
    <t>8 días 16:17</t>
  </si>
  <si>
    <t>3 días 16:17</t>
  </si>
  <si>
    <t>8 días 17:24</t>
  </si>
  <si>
    <t>1 días 17:24</t>
  </si>
  <si>
    <t>7 días 08:58</t>
  </si>
  <si>
    <t>7 días 11:43</t>
  </si>
  <si>
    <t>4 días 11:45</t>
  </si>
  <si>
    <t>0 días 13:40</t>
  </si>
  <si>
    <t>6 días 13:40</t>
  </si>
  <si>
    <t>7 días 13:12</t>
  </si>
  <si>
    <t>2 días 13:12</t>
  </si>
  <si>
    <t>7 días 16:51</t>
  </si>
  <si>
    <t>0 días 16:51</t>
  </si>
  <si>
    <t>7 días 17:20</t>
  </si>
  <si>
    <t>2 días 17:20</t>
  </si>
  <si>
    <t>7 días 18:08</t>
  </si>
  <si>
    <t>2 días 18:08</t>
  </si>
  <si>
    <t>0 días 09:33</t>
  </si>
  <si>
    <t>4 días 09:33</t>
  </si>
  <si>
    <t>6 días 08:20</t>
  </si>
  <si>
    <t>6 días 08:50</t>
  </si>
  <si>
    <t>4 días 08:50</t>
  </si>
  <si>
    <t>3 días 08:58</t>
  </si>
  <si>
    <t>2 días 14:53</t>
  </si>
  <si>
    <t>6 días 10:08</t>
  </si>
  <si>
    <t>8 días 10:08</t>
  </si>
  <si>
    <t>6 días 10:26</t>
  </si>
  <si>
    <t>6 días 10:33</t>
  </si>
  <si>
    <t>1 días 10:33</t>
  </si>
  <si>
    <t>6 días 10:56</t>
  </si>
  <si>
    <t>8 días 10:56</t>
  </si>
  <si>
    <t>6 días 11:59</t>
  </si>
  <si>
    <t>3 días 11:59</t>
  </si>
  <si>
    <t>0 días 06:13</t>
  </si>
  <si>
    <t>4 días 06:13</t>
  </si>
  <si>
    <t>1 días 12:09</t>
  </si>
  <si>
    <t>6 días 12:47</t>
  </si>
  <si>
    <t>8 días 14:15</t>
  </si>
  <si>
    <t>6 días 14:35</t>
  </si>
  <si>
    <t>1 días 14:35</t>
  </si>
  <si>
    <t>0 días 06:14</t>
  </si>
  <si>
    <t>4 días 06:14</t>
  </si>
  <si>
    <t>6 días 15:07</t>
  </si>
  <si>
    <t>1 días 15:07</t>
  </si>
  <si>
    <t>10 días 10:14</t>
  </si>
  <si>
    <t>6 días 15:32</t>
  </si>
  <si>
    <t>3 días 15:32</t>
  </si>
  <si>
    <t>6 días 15:34</t>
  </si>
  <si>
    <t>2 días 15:34</t>
  </si>
  <si>
    <t>6 días 15:57</t>
  </si>
  <si>
    <t>2 días 15:57</t>
  </si>
  <si>
    <t>0 días 10:21</t>
  </si>
  <si>
    <t>6 días 10:21</t>
  </si>
  <si>
    <t>6 días 10:14</t>
  </si>
  <si>
    <t>6 días 16:48</t>
  </si>
  <si>
    <t>6 días 19:54</t>
  </si>
  <si>
    <t>3 días 19:54</t>
  </si>
  <si>
    <t>5 días 07:05</t>
  </si>
  <si>
    <t>6 días 07:05</t>
  </si>
  <si>
    <t>6 días 10:15</t>
  </si>
  <si>
    <t>5 días 11:01</t>
  </si>
  <si>
    <t>5 días 11:28</t>
  </si>
  <si>
    <t>5 días 11:39</t>
  </si>
  <si>
    <t>2 días 11:39</t>
  </si>
  <si>
    <t>0 días 09:44</t>
  </si>
  <si>
    <t>4 días 09:44</t>
  </si>
  <si>
    <t>5 días 13:14</t>
  </si>
  <si>
    <t>5 días 13:26</t>
  </si>
  <si>
    <t>0 días 09:45</t>
  </si>
  <si>
    <t>4 días 09:45</t>
  </si>
  <si>
    <t>5 días 14:10</t>
  </si>
  <si>
    <t>5 días 14:17</t>
  </si>
  <si>
    <t>0 días 14:53</t>
  </si>
  <si>
    <t>5 días 15:51</t>
  </si>
  <si>
    <t>6 días 15:51</t>
  </si>
  <si>
    <t>5 días 16:06</t>
  </si>
  <si>
    <t>2 días 16:06</t>
  </si>
  <si>
    <t>5 días 16:08</t>
  </si>
  <si>
    <t>5 días 16:21</t>
  </si>
  <si>
    <t>6 días 16:21</t>
  </si>
  <si>
    <t>5 días 16:33</t>
  </si>
  <si>
    <t>2 días 16:33</t>
  </si>
  <si>
    <t>5 días 17:00</t>
  </si>
  <si>
    <t>5 días 20:05</t>
  </si>
  <si>
    <t>5 días 22:03</t>
  </si>
  <si>
    <t>5 días 06:50</t>
  </si>
  <si>
    <t>6 días 06:50</t>
  </si>
  <si>
    <t>5 días 06:58</t>
  </si>
  <si>
    <t>6 días 06:58</t>
  </si>
  <si>
    <t>5 días 07:00</t>
  </si>
  <si>
    <t>2 días 07:00</t>
  </si>
  <si>
    <t>5 días 13:59</t>
  </si>
  <si>
    <t>2 días 13:59</t>
  </si>
  <si>
    <t>5 días 11:31</t>
  </si>
  <si>
    <t>4 días 08:15</t>
  </si>
  <si>
    <t>0 días 08:15</t>
  </si>
  <si>
    <t>4 días 09:05</t>
  </si>
  <si>
    <t>5 días 09:05</t>
  </si>
  <si>
    <t>4 días 09:18</t>
  </si>
  <si>
    <t>0 días 09:18</t>
  </si>
  <si>
    <t>4 días 09:25</t>
  </si>
  <si>
    <t>6 días 10:35</t>
  </si>
  <si>
    <t>4 días 10:36</t>
  </si>
  <si>
    <t>4 días 11:15</t>
  </si>
  <si>
    <t>0 días 11:15</t>
  </si>
  <si>
    <t>4 días 11:32</t>
  </si>
  <si>
    <t>7 días 11:32</t>
  </si>
  <si>
    <t>4 días 11:58</t>
  </si>
  <si>
    <t>0 días 11:58</t>
  </si>
  <si>
    <t>4 días 13:03</t>
  </si>
  <si>
    <t>1 días 13:03</t>
  </si>
  <si>
    <t>4 días 13:09</t>
  </si>
  <si>
    <t>0 días 13:09</t>
  </si>
  <si>
    <t>4 días 13:12</t>
  </si>
  <si>
    <t>5 días 13:12</t>
  </si>
  <si>
    <t>4 días 13:47</t>
  </si>
  <si>
    <t>0 días 13:47</t>
  </si>
  <si>
    <t>4 días 13:52</t>
  </si>
  <si>
    <t>10 días 13:52</t>
  </si>
  <si>
    <t>0 días 13:59</t>
  </si>
  <si>
    <t>4 días 14:18</t>
  </si>
  <si>
    <t>0 días 14:18</t>
  </si>
  <si>
    <t>4 días 14:25</t>
  </si>
  <si>
    <t>0 días 14:25</t>
  </si>
  <si>
    <t>4 días 14:34</t>
  </si>
  <si>
    <t>4 días 15:05</t>
  </si>
  <si>
    <t>1 días 15:05</t>
  </si>
  <si>
    <t>4 días 15:41</t>
  </si>
  <si>
    <t>1 días 15:41</t>
  </si>
  <si>
    <t>7 días 16:12</t>
  </si>
  <si>
    <t>4 días 16:28</t>
  </si>
  <si>
    <t>4 días 16:34</t>
  </si>
  <si>
    <t>5 días 16:34</t>
  </si>
  <si>
    <t>4 días 19:20</t>
  </si>
  <si>
    <t>1 días 19:20</t>
  </si>
  <si>
    <t>3 días 06:21</t>
  </si>
  <si>
    <t>1 días 06:21</t>
  </si>
  <si>
    <t>3 días 07:14</t>
  </si>
  <si>
    <t>4 días 07:14</t>
  </si>
  <si>
    <t>3 días 07:15</t>
  </si>
  <si>
    <t>4 días 07:15</t>
  </si>
  <si>
    <t>3 días 07:19</t>
  </si>
  <si>
    <t>4 días 07:19</t>
  </si>
  <si>
    <t>3 días 07:49</t>
  </si>
  <si>
    <t>4 días 07:49</t>
  </si>
  <si>
    <t>3 días 08:13</t>
  </si>
  <si>
    <t>4 días 08:13</t>
  </si>
  <si>
    <t>1 días 08:35</t>
  </si>
  <si>
    <t>5 días 08:47</t>
  </si>
  <si>
    <t>3 días 08:57</t>
  </si>
  <si>
    <t>8 días 08:57</t>
  </si>
  <si>
    <t>1 días 09:08</t>
  </si>
  <si>
    <t>3 días 09:12</t>
  </si>
  <si>
    <t>4 días 09:12</t>
  </si>
  <si>
    <t>8 días 09:47</t>
  </si>
  <si>
    <t>1 días 10:26</t>
  </si>
  <si>
    <t>3 días 10:54</t>
  </si>
  <si>
    <t>4 días 10:54</t>
  </si>
  <si>
    <t>3 días 11:08</t>
  </si>
  <si>
    <t>3 días 11:31</t>
  </si>
  <si>
    <t>1 días 11:37</t>
  </si>
  <si>
    <t>11 días 11:44</t>
  </si>
  <si>
    <t>3 días 11:45</t>
  </si>
  <si>
    <t>3 días 12:14</t>
  </si>
  <si>
    <t>3 días 12:26</t>
  </si>
  <si>
    <t>1 días 12:26</t>
  </si>
  <si>
    <t>3 días 12:39</t>
  </si>
  <si>
    <t>4 días 12:39</t>
  </si>
  <si>
    <t>3 días 12:55</t>
  </si>
  <si>
    <t>4 días 12:55</t>
  </si>
  <si>
    <t>6 días 12:58</t>
  </si>
  <si>
    <t>3 días 13:19</t>
  </si>
  <si>
    <t>6 días 13:19</t>
  </si>
  <si>
    <t>3 días 13:22</t>
  </si>
  <si>
    <t>6 días 13:22</t>
  </si>
  <si>
    <t>3 días 13:23</t>
  </si>
  <si>
    <t>1 días 13:23</t>
  </si>
  <si>
    <t>4 días 13:24</t>
  </si>
  <si>
    <t>6 días 13:26</t>
  </si>
  <si>
    <t>4 días 13:28</t>
  </si>
  <si>
    <t>4 días 13:37</t>
  </si>
  <si>
    <t>3 días 14:15</t>
  </si>
  <si>
    <t>1 días 14:15</t>
  </si>
  <si>
    <t>3 días 14:21</t>
  </si>
  <si>
    <t>3 días 14:22</t>
  </si>
  <si>
    <t>3 días 14:26</t>
  </si>
  <si>
    <t>4 días 14:26</t>
  </si>
  <si>
    <t>1 días 14:30</t>
  </si>
  <si>
    <t>1 días 14:36</t>
  </si>
  <si>
    <t>3 días 14:43</t>
  </si>
  <si>
    <t>4 días 14:43</t>
  </si>
  <si>
    <t>3 días 14:45</t>
  </si>
  <si>
    <t>4 días 14:45</t>
  </si>
  <si>
    <t>1 días 14:46</t>
  </si>
  <si>
    <t>3 días 14:56</t>
  </si>
  <si>
    <t>1 días 14:56</t>
  </si>
  <si>
    <t>3 días 15:01</t>
  </si>
  <si>
    <t>8 días 15:01</t>
  </si>
  <si>
    <t>7 días 15:09</t>
  </si>
  <si>
    <t>3 días 15:54</t>
  </si>
  <si>
    <t>7 días 15:54</t>
  </si>
  <si>
    <t>3 días 15:55</t>
  </si>
  <si>
    <t>1 días 15:55</t>
  </si>
  <si>
    <t>3 días 16:22</t>
  </si>
  <si>
    <t>7 días 16:22</t>
  </si>
  <si>
    <t>4 días 16:29</t>
  </si>
  <si>
    <t>3 días 16:44</t>
  </si>
  <si>
    <t>4 días 16:44</t>
  </si>
  <si>
    <t>3 días 17:52</t>
  </si>
  <si>
    <t>4 días 17:52</t>
  </si>
  <si>
    <t>2 días 07:38</t>
  </si>
  <si>
    <t>12 días 07:38</t>
  </si>
  <si>
    <t>2 días 08:03</t>
  </si>
  <si>
    <t>2 días 08:08</t>
  </si>
  <si>
    <t>3 días 08:08</t>
  </si>
  <si>
    <t>2 días 08:19</t>
  </si>
  <si>
    <t>5 días 08:19</t>
  </si>
  <si>
    <t>2 días 08:28</t>
  </si>
  <si>
    <t>5 días 08:28</t>
  </si>
  <si>
    <t>2 días 08:31</t>
  </si>
  <si>
    <t>3 días 08:31</t>
  </si>
  <si>
    <t>2 días 08:37</t>
  </si>
  <si>
    <t>5 días 08:37</t>
  </si>
  <si>
    <t>2 días 08:39</t>
  </si>
  <si>
    <t>7 días 08:39</t>
  </si>
  <si>
    <t>3 días 08:42</t>
  </si>
  <si>
    <t>3 días 08:52</t>
  </si>
  <si>
    <t>2 días 08:59</t>
  </si>
  <si>
    <t>3 días 08:59</t>
  </si>
  <si>
    <t>2 días 09:02</t>
  </si>
  <si>
    <t>3 días 09:02</t>
  </si>
  <si>
    <t>2 días 09:11</t>
  </si>
  <si>
    <t>3 días 09:11</t>
  </si>
  <si>
    <t>2 días 09:17</t>
  </si>
  <si>
    <t>7 días 09:17</t>
  </si>
  <si>
    <t>2 días 09:48</t>
  </si>
  <si>
    <t>3 días 09:48</t>
  </si>
  <si>
    <t>2 días 09:54</t>
  </si>
  <si>
    <t>9 días 09:54</t>
  </si>
  <si>
    <t>2 días 10:07</t>
  </si>
  <si>
    <t>7 días 10:07</t>
  </si>
  <si>
    <t>12 días 10:26</t>
  </si>
  <si>
    <t>2 días 10:31</t>
  </si>
  <si>
    <t>3 días 10:31</t>
  </si>
  <si>
    <t>2 días 10:44</t>
  </si>
  <si>
    <t>3 días 10:44</t>
  </si>
  <si>
    <t>2 días 10:46</t>
  </si>
  <si>
    <t>3 días 10:46</t>
  </si>
  <si>
    <t>5 días 10:49</t>
  </si>
  <si>
    <t>2 días 10:56</t>
  </si>
  <si>
    <t>3 días 10:56</t>
  </si>
  <si>
    <t>2 días 11:09</t>
  </si>
  <si>
    <t>3 días 11:09</t>
  </si>
  <si>
    <t>2 días 11:13</t>
  </si>
  <si>
    <t>5 días 11:13</t>
  </si>
  <si>
    <t>2 días 11:18</t>
  </si>
  <si>
    <t>8 días 11:18</t>
  </si>
  <si>
    <t>2 días 11:27</t>
  </si>
  <si>
    <t>3 días 11:27</t>
  </si>
  <si>
    <t>2 días 11:30</t>
  </si>
  <si>
    <t>3 días 11:30</t>
  </si>
  <si>
    <t>2 días 11:33</t>
  </si>
  <si>
    <t>3 días 11:33</t>
  </si>
  <si>
    <t>2 días 11:43</t>
  </si>
  <si>
    <t>3 días 11:43</t>
  </si>
  <si>
    <t>2 días 11:53</t>
  </si>
  <si>
    <t>9 días 11:53</t>
  </si>
  <si>
    <t>2 días 11:54</t>
  </si>
  <si>
    <t>5 días 11:54</t>
  </si>
  <si>
    <t>9 días 11:54</t>
  </si>
  <si>
    <t>2 días 12:19</t>
  </si>
  <si>
    <t>5 días 12:19</t>
  </si>
  <si>
    <t>2 días 12:31</t>
  </si>
  <si>
    <t>3 días 12:31</t>
  </si>
  <si>
    <t>2 días 12:32</t>
  </si>
  <si>
    <t>5 días 12:32</t>
  </si>
  <si>
    <t>2 días 12:41</t>
  </si>
  <si>
    <t>3 días 12:41</t>
  </si>
  <si>
    <t>2 días 13:10</t>
  </si>
  <si>
    <t>5 días 13:10</t>
  </si>
  <si>
    <t>2 días 13:11</t>
  </si>
  <si>
    <t>12 días 13:11</t>
  </si>
  <si>
    <t>2 días 13:13</t>
  </si>
  <si>
    <t>7 días 13:13</t>
  </si>
  <si>
    <t>3 días 13:13</t>
  </si>
  <si>
    <t>2 días 13:14</t>
  </si>
  <si>
    <t>2 días 13:33</t>
  </si>
  <si>
    <t>3 días 13:33</t>
  </si>
  <si>
    <t>2 días 13:39</t>
  </si>
  <si>
    <t>6 días 13:39</t>
  </si>
  <si>
    <t>6 días 13:44</t>
  </si>
  <si>
    <t>2 días 13:50</t>
  </si>
  <si>
    <t>6 días 13:50</t>
  </si>
  <si>
    <t>2 días 13:54</t>
  </si>
  <si>
    <t>3 días 13:54</t>
  </si>
  <si>
    <t>5 días 13:54</t>
  </si>
  <si>
    <t>2 días 14:17</t>
  </si>
  <si>
    <t>3 días 14:17</t>
  </si>
  <si>
    <t>6 días 14:19</t>
  </si>
  <si>
    <t>2 días 14:39</t>
  </si>
  <si>
    <t>9 días 14:39</t>
  </si>
  <si>
    <t>2 días 14:42</t>
  </si>
  <si>
    <t>6 días 14:42</t>
  </si>
  <si>
    <t>2 días 14:51</t>
  </si>
  <si>
    <t>2 días 15:26</t>
  </si>
  <si>
    <t>7 días 15:26</t>
  </si>
  <si>
    <t>2 días 15:38</t>
  </si>
  <si>
    <t>3 días 15:38</t>
  </si>
  <si>
    <t>2 días 15:42</t>
  </si>
  <si>
    <t>3 días 15:42</t>
  </si>
  <si>
    <t>7 días 15:50</t>
  </si>
  <si>
    <t>2 días 16:01</t>
  </si>
  <si>
    <t>5 días 16:01</t>
  </si>
  <si>
    <t>2 días 16:05</t>
  </si>
  <si>
    <t>3 días 16:05</t>
  </si>
  <si>
    <t>2 días 16:11</t>
  </si>
  <si>
    <t>7 días 16:11</t>
  </si>
  <si>
    <t>2 días 16:24</t>
  </si>
  <si>
    <t>5 días 16:24</t>
  </si>
  <si>
    <t>2 días 16:28</t>
  </si>
  <si>
    <t>5 días 16:28</t>
  </si>
  <si>
    <t>2 días 16:35</t>
  </si>
  <si>
    <t>5 días 16:35</t>
  </si>
  <si>
    <t>2 días 16:41</t>
  </si>
  <si>
    <t>3 días 16:41</t>
  </si>
  <si>
    <t>2 días 16:48</t>
  </si>
  <si>
    <t>2 días 16:53</t>
  </si>
  <si>
    <t>3 días 16:53</t>
  </si>
  <si>
    <t>2 días 19:57</t>
  </si>
  <si>
    <t>3 días 19:57</t>
  </si>
  <si>
    <t>2 días 21:08</t>
  </si>
  <si>
    <t>3 días 21:08</t>
  </si>
  <si>
    <t>3 días 21:54</t>
  </si>
  <si>
    <t>0 días 06:26</t>
  </si>
  <si>
    <t>10 días 06:26</t>
  </si>
  <si>
    <t>0 días 06:49</t>
  </si>
  <si>
    <t>6 días 06:49</t>
  </si>
  <si>
    <t>0 días 07:17</t>
  </si>
  <si>
    <t>6 días 07:17</t>
  </si>
  <si>
    <t>0 días 08:24</t>
  </si>
  <si>
    <t>6 días 08:24</t>
  </si>
  <si>
    <t>0 días 08:32</t>
  </si>
  <si>
    <t>9 días 08:32</t>
  </si>
  <si>
    <t>0 días 08:33</t>
  </si>
  <si>
    <t>10 días 08:33</t>
  </si>
  <si>
    <t>0 días 08:36</t>
  </si>
  <si>
    <t>10 días 08:36</t>
  </si>
  <si>
    <t>6 días 08:36</t>
  </si>
  <si>
    <t>3 días 08:37</t>
  </si>
  <si>
    <t>0 días 08:57</t>
  </si>
  <si>
    <t>0 días 09:07</t>
  </si>
  <si>
    <t>6 días 09:07</t>
  </si>
  <si>
    <t>3 días 09:07</t>
  </si>
  <si>
    <t>8 días 09:07</t>
  </si>
  <si>
    <t>7 días 09:18</t>
  </si>
  <si>
    <t>0 días 09:20</t>
  </si>
  <si>
    <t>0 días 09:23</t>
  </si>
  <si>
    <t>4 días 09:23</t>
  </si>
  <si>
    <t>0 días 09:24</t>
  </si>
  <si>
    <t>9 días 09:24</t>
  </si>
  <si>
    <t>0 días 09:28</t>
  </si>
  <si>
    <t>4 días 09:28</t>
  </si>
  <si>
    <t>0 días 09:29</t>
  </si>
  <si>
    <t>0 días 09:32</t>
  </si>
  <si>
    <t>8 días 09:32</t>
  </si>
  <si>
    <t>4 días 09:32</t>
  </si>
  <si>
    <t>6 días 09:35</t>
  </si>
  <si>
    <t>0 días 09:47</t>
  </si>
  <si>
    <t>6 días 09:47</t>
  </si>
  <si>
    <t>0 días 09:51</t>
  </si>
  <si>
    <t>10 días 09:51</t>
  </si>
  <si>
    <t>0 días 10:00</t>
  </si>
  <si>
    <t>0 días 10:02</t>
  </si>
  <si>
    <t>4 días 10:02</t>
  </si>
  <si>
    <t>6 días 10:03</t>
  </si>
  <si>
    <t>0 días 10:05</t>
  </si>
  <si>
    <t>4 días 10:05</t>
  </si>
  <si>
    <t>0 días 10:15</t>
  </si>
  <si>
    <t>0 días 10:19</t>
  </si>
  <si>
    <t>4 días 10:19</t>
  </si>
  <si>
    <t>0 días 10:20</t>
  </si>
  <si>
    <t>10 días 10:20</t>
  </si>
  <si>
    <t>0 días 10:23</t>
  </si>
  <si>
    <t>3 días 10:23</t>
  </si>
  <si>
    <t>0 días 10:25</t>
  </si>
  <si>
    <t>10 días 10:25</t>
  </si>
  <si>
    <t>0 días 10:27</t>
  </si>
  <si>
    <t>4 días 10:27</t>
  </si>
  <si>
    <t>0 días 10:41</t>
  </si>
  <si>
    <t>10 días 10:41</t>
  </si>
  <si>
    <t>0 días 10:47</t>
  </si>
  <si>
    <t>3 días 10:47</t>
  </si>
  <si>
    <t>0 días 10:48</t>
  </si>
  <si>
    <t>0 días 10:58</t>
  </si>
  <si>
    <t>4 días 10:58</t>
  </si>
  <si>
    <t>10 días 11:00</t>
  </si>
  <si>
    <t>0 días 11:01</t>
  </si>
  <si>
    <t>3 días 11:01</t>
  </si>
  <si>
    <t>6 días 11:15</t>
  </si>
  <si>
    <t>0 días 11:16</t>
  </si>
  <si>
    <t>6 días 11:16</t>
  </si>
  <si>
    <t>0 días 11:17</t>
  </si>
  <si>
    <t>6 días 11:17</t>
  </si>
  <si>
    <t>0 días 11:22</t>
  </si>
  <si>
    <t>4 días 11:22</t>
  </si>
  <si>
    <t>9 días 11:43</t>
  </si>
  <si>
    <t>0 días 11:45</t>
  </si>
  <si>
    <t>0 días 12:02</t>
  </si>
  <si>
    <t>6 días 12:02</t>
  </si>
  <si>
    <t>0 días 12:05</t>
  </si>
  <si>
    <t>6 días 12:05</t>
  </si>
  <si>
    <t>6 días 12:16</t>
  </si>
  <si>
    <t>0 días 12:21</t>
  </si>
  <si>
    <t>10 días 12:21</t>
  </si>
  <si>
    <t>4 días 12:23</t>
  </si>
  <si>
    <t>0 días 12:24</t>
  </si>
  <si>
    <t>4 días 12:24</t>
  </si>
  <si>
    <t>0 días 12:40</t>
  </si>
  <si>
    <t>6 días 12:40</t>
  </si>
  <si>
    <t>0 días 13:07</t>
  </si>
  <si>
    <t>6 días 13:07</t>
  </si>
  <si>
    <t>0 días 13:15</t>
  </si>
  <si>
    <t>4 días 13:15</t>
  </si>
  <si>
    <t>0 días 13:18</t>
  </si>
  <si>
    <t>9 días 13:18</t>
  </si>
  <si>
    <t>0 días 13:19</t>
  </si>
  <si>
    <t>4 días 13:19</t>
  </si>
  <si>
    <t>0 días 13:25</t>
  </si>
  <si>
    <t>4 días 13:25</t>
  </si>
  <si>
    <t>0 días 13:28</t>
  </si>
  <si>
    <t>0 días 13:31</t>
  </si>
  <si>
    <t>4 días 13:31</t>
  </si>
  <si>
    <t>0 días 13:32</t>
  </si>
  <si>
    <t>0 días 13:41</t>
  </si>
  <si>
    <t>4 días 13:41</t>
  </si>
  <si>
    <t>3 días 13:45</t>
  </si>
  <si>
    <t>0 días 13:46</t>
  </si>
  <si>
    <t>6 días 13:46</t>
  </si>
  <si>
    <t>0 días 13:51</t>
  </si>
  <si>
    <t>0 días 14:00</t>
  </si>
  <si>
    <t>6 días 14:00</t>
  </si>
  <si>
    <t>0 días 14:04</t>
  </si>
  <si>
    <t>6 días 14:04</t>
  </si>
  <si>
    <t>0 días 14:07</t>
  </si>
  <si>
    <t>6 días 14:07</t>
  </si>
  <si>
    <t>0 días 14:21</t>
  </si>
  <si>
    <t>0 días 14:22</t>
  </si>
  <si>
    <t>0 días 14:29</t>
  </si>
  <si>
    <t>6 días 14:29</t>
  </si>
  <si>
    <t>4 días 14:32</t>
  </si>
  <si>
    <t>6 días 14:32</t>
  </si>
  <si>
    <t>0 días 14:34</t>
  </si>
  <si>
    <t>0 días 14:38</t>
  </si>
  <si>
    <t>4 días 14:38</t>
  </si>
  <si>
    <t>0 días 14:52</t>
  </si>
  <si>
    <t>9 días 14:52</t>
  </si>
  <si>
    <t>4 días 14:54</t>
  </si>
  <si>
    <t>0 días 14:56</t>
  </si>
  <si>
    <t>4 días 14:56</t>
  </si>
  <si>
    <t>23587112</t>
  </si>
  <si>
    <t>11/11/2025 10:32:44</t>
  </si>
  <si>
    <t>2025-12-05 08:47:25</t>
  </si>
  <si>
    <t>SOANIR DE JESUS ALVAREZ MORENO</t>
  </si>
  <si>
    <t>3128760430</t>
  </si>
  <si>
    <t>CL 62 CR 110 -520 (INTERIOR 109 )</t>
  </si>
  <si>
    <t>086112000005200109</t>
  </si>
  <si>
    <t>2025-12-15 08:47:25</t>
  </si>
  <si>
    <t>0 días 08:47</t>
  </si>
  <si>
    <t>05/12/2025 11:36:01</t>
  </si>
  <si>
    <t>CL 24 CR 65 F -12 (INTERIOR 301 )</t>
  </si>
  <si>
    <t>23607580</t>
  </si>
  <si>
    <t>04/12/2025 10:59:07</t>
  </si>
  <si>
    <t>2025-12-04 10:59:07</t>
  </si>
  <si>
    <t>YELITZA SERNA</t>
  </si>
  <si>
    <t>3223555336</t>
  </si>
  <si>
    <t>CL 48 D CR 110 -364</t>
  </si>
  <si>
    <t>084118400003640000</t>
  </si>
  <si>
    <t>2025-12-18 10:59:07</t>
  </si>
  <si>
    <t>0 días 10:59</t>
  </si>
  <si>
    <t>8 días 10:59</t>
  </si>
  <si>
    <t>23607610</t>
  </si>
  <si>
    <t>04/12/2025 11:19:12</t>
  </si>
  <si>
    <t>2025-12-04 11:19:12</t>
  </si>
  <si>
    <t>MANUEL GUILLERMO RUIZ</t>
  </si>
  <si>
    <t>3128107318</t>
  </si>
  <si>
    <t>RURAL_146027524000000201_146027524000000201</t>
  </si>
  <si>
    <t>146027524000000201</t>
  </si>
  <si>
    <t>2025-12-26 11:19:12</t>
  </si>
  <si>
    <t>0 días 11:19</t>
  </si>
  <si>
    <t>13 días 11:19</t>
  </si>
  <si>
    <t>23607612</t>
  </si>
  <si>
    <t>04/12/2025 11:21:32</t>
  </si>
  <si>
    <t>2025-12-04 11:21:32</t>
  </si>
  <si>
    <t>PAULA ANDREA CARO IBARRA</t>
  </si>
  <si>
    <t>3136353074</t>
  </si>
  <si>
    <t>CR 15 AA CL 35 -19 (INTERIOR 301 )</t>
  </si>
  <si>
    <t>053125115000190301</t>
  </si>
  <si>
    <t>2025-12-18 11:21:32</t>
  </si>
  <si>
    <t>0 días 11:21</t>
  </si>
  <si>
    <t>8 días 11:21</t>
  </si>
  <si>
    <t>23607711</t>
  </si>
  <si>
    <t>04/12/2025 12:45:21</t>
  </si>
  <si>
    <t>2025-12-04 12:45:21</t>
  </si>
  <si>
    <t>MARIA EUNICE ARANGO MUÑETON</t>
  </si>
  <si>
    <t>4982814</t>
  </si>
  <si>
    <t>3004384309</t>
  </si>
  <si>
    <t>CR 72 CL 45 SUR -21 (INTERIOR 135 )</t>
  </si>
  <si>
    <t>044722005000210135</t>
  </si>
  <si>
    <t>2025-12-18 12:45:21</t>
  </si>
  <si>
    <t>0 días 12:45</t>
  </si>
  <si>
    <t>8 días 12:45</t>
  </si>
  <si>
    <t>23607718</t>
  </si>
  <si>
    <t>04/12/2025 13:04:05</t>
  </si>
  <si>
    <t>2025-12-04 13:04:05</t>
  </si>
  <si>
    <t>JONATHAN ANDRES ARRUBLA TORO</t>
  </si>
  <si>
    <t>3206976464</t>
  </si>
  <si>
    <t>RURAL_161004519000009901_161004519000009901</t>
  </si>
  <si>
    <t>161004519000009901</t>
  </si>
  <si>
    <t>2025-12-26 13:04:05</t>
  </si>
  <si>
    <t>0 días 13:04</t>
  </si>
  <si>
    <t>13 días 13:04</t>
  </si>
  <si>
    <t>23608052</t>
  </si>
  <si>
    <t>04/12/2025 18:05:15</t>
  </si>
  <si>
    <t>2025-12-04 18:05:15</t>
  </si>
  <si>
    <t>FRANCISCO LUIS MARIN CASTRILLON</t>
  </si>
  <si>
    <t>3169556197</t>
  </si>
  <si>
    <t>CL 59 CR 131 B -24</t>
  </si>
  <si>
    <t>085319001200240000</t>
  </si>
  <si>
    <t>2025-12-18 18:05:15</t>
  </si>
  <si>
    <t>0 días 18:05</t>
  </si>
  <si>
    <t>8 días 18:05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</si>
</sst>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22"/>
      <color theme="0"/>
      <name val="Segoe UI"/>
      <family val="2"/>
    </font>
    <font>
      <sz val="11"/>
      <color rgb="FFCE9178"/>
      <name val="Consolas"/>
      <family val="3"/>
    </font>
    <font>
      <b/>
      <sz val="12"/>
      <color theme="1"/>
      <name val="Segoe UI"/>
      <family val="2"/>
    </font>
    <font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name val="Calibri"/>
      <family val="2"/>
    </font>
    <font>
      <b/>
      <sz val="12"/>
      <color theme="0"/>
      <name val="Aptos Narrow"/>
      <family val="2"/>
      <scheme val="minor"/>
    </font>
    <font>
      <b/>
      <u/>
      <sz val="20"/>
      <color theme="1"/>
      <name val="Segoe UI"/>
      <family val="2"/>
    </font>
    <font>
      <sz val="8"/>
      <name val="Aptos Narrow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2" fillId="3" borderId="0" xfId="0" applyFont="1" applyFill="1" applyAlignment="1">
      <alignment vertical="center"/>
    </xf>
    <xf numFmtId="0" fontId="7" fillId="3" borderId="0" xfId="0" applyFont="1" applyFill="1"/>
    <xf numFmtId="0" fontId="0" fillId="5" borderId="0" xfId="0" applyFill="1"/>
    <xf numFmtId="0" fontId="6" fillId="2" borderId="2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8" fillId="3" borderId="0" xfId="0" applyFont="1" applyFill="1" applyAlignment="1">
      <alignment horizontal="right" vertical="center"/>
    </xf>
    <xf numFmtId="0" fontId="0" fillId="0" borderId="0" xfId="0" applyNumberFormat="1"/>
    <xf numFmtId="0" fontId="6" fillId="3" borderId="0" xfId="0" applyFont="1" applyFill="1" applyBorder="1" applyAlignment="1">
      <alignment horizontal="center" vertical="top"/>
    </xf>
    <xf numFmtId="22" fontId="6" fillId="3" borderId="0" xfId="0" applyNumberFormat="1" applyFont="1" applyFill="1" applyBorder="1" applyAlignment="1">
      <alignment horizontal="center" vertical="top"/>
    </xf>
  </cellXfs>
  <cellStyles count="1">
    <cellStyle name="Normal" xfId="0" builtinId="0"/>
  </cellStyles>
  <dxfs count="4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 patternType="solid">
          <fgColor rgb="FF7030A0"/>
          <bgColor rgb="FF7030A0"/>
        </patternFill>
      </fill>
    </dxf>
    <dxf>
      <fill>
        <patternFill patternType="solid">
          <fgColor rgb="FF8FAADC"/>
          <bgColor rgb="FF8FAAD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ont>
        <color rgb="FFFFFFFF"/>
      </font>
      <fill>
        <patternFill patternType="solid">
          <fgColor rgb="FFFFA500"/>
          <bgColor rgb="FFFFA5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7F6000"/>
      </font>
      <fill>
        <patternFill patternType="solid">
          <fgColor rgb="FFFFF2CC"/>
          <bgColor rgb="FFFFF2CC"/>
        </patternFill>
      </fill>
    </dxf>
    <dxf>
      <font>
        <color rgb="FF006100"/>
      </font>
      <fill>
        <patternFill patternType="solid">
          <fgColor rgb="FF92D050"/>
          <bgColor rgb="FF92D050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rgb="FF404040"/>
      </font>
      <fill>
        <patternFill patternType="solid">
          <fgColor rgb="FFD9D9D9"/>
          <bgColor rgb="FFD9D9D9"/>
        </patternFill>
      </fill>
    </dxf>
    <dxf>
      <font>
        <color rgb="FF7F6000"/>
      </font>
      <fill>
        <patternFill patternType="solid">
          <fgColor rgb="FFFFD966"/>
          <bgColor rgb="FFFFD966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border outline="0">
        <top style="thin">
          <color auto="1"/>
        </top>
      </border>
    </dxf>
    <dxf>
      <fill>
        <patternFill patternType="solid">
          <fgColor indexed="64"/>
          <bgColor theme="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[Plantilla.xlsm]TD!TablaDinámica1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</a:t>
            </a:r>
            <a:r>
              <a:rPr lang="en-US" b="1" baseline="0">
                <a:solidFill>
                  <a:sysClr val="windowText" lastClr="000000"/>
                </a:solidFill>
              </a:rPr>
              <a:t> Pedidos por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ED-421A-BDA2-BCCD13C7FDC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ED-421A-BDA2-BCCD13C7FDC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ED-421A-BDA2-BCCD13C7FDC8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FAF-441E-9C1C-AB9D8627D2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TD!$A$4:$A$9</c:f>
              <c:strCache>
                <c:ptCount val="5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SIN FECHA</c:v>
                </c:pt>
                <c:pt idx="4">
                  <c:v>ALERTA_0 Días</c:v>
                </c:pt>
              </c:strCache>
            </c:strRef>
          </c:cat>
          <c:val>
            <c:numRef>
              <c:f>TD!$B$4:$B$9</c:f>
              <c:numCache>
                <c:formatCode>General</c:formatCode>
                <c:ptCount val="5"/>
                <c:pt idx="0">
                  <c:v>445</c:v>
                </c:pt>
                <c:pt idx="1">
                  <c:v>95</c:v>
                </c:pt>
                <c:pt idx="2">
                  <c:v>25</c:v>
                </c:pt>
                <c:pt idx="3">
                  <c:v>3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ED-421A-BDA2-BCCD13C7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12815"/>
        <c:axId val="275595535"/>
      </c:barChart>
      <c:catAx>
        <c:axId val="2756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5595535"/>
        <c:crosses val="autoZero"/>
        <c:auto val="1"/>
        <c:lblAlgn val="ctr"/>
        <c:lblOffset val="100"/>
        <c:noMultiLvlLbl val="0"/>
      </c:catAx>
      <c:valAx>
        <c:axId val="275595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56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[Plantilla.xlsm]TD!TablaDinámica2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layout>
        <c:manualLayout>
          <c:xMode val="edge"/>
          <c:yMode val="edge"/>
          <c:x val="0.2154166666666666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0A-4DD4-92B2-BA98BCE01B8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A-4DD4-92B2-BA98BCE01B8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A-4DD4-92B2-BA98BCE01B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8-4433-96F3-EF92F855A85D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1C-4228-9DFA-EE9A429BFD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TD!$E$4:$E$9</c:f>
              <c:strCache>
                <c:ptCount val="5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SIN FECHA</c:v>
                </c:pt>
                <c:pt idx="4">
                  <c:v>ALERTA_0 Días</c:v>
                </c:pt>
              </c:strCache>
            </c:strRef>
          </c:cat>
          <c:val>
            <c:numRef>
              <c:f>TD!$F$4:$F$9</c:f>
              <c:numCache>
                <c:formatCode>0.00%</c:formatCode>
                <c:ptCount val="5"/>
                <c:pt idx="0">
                  <c:v>0.76724137931034486</c:v>
                </c:pt>
                <c:pt idx="1">
                  <c:v>0.16379310344827586</c:v>
                </c:pt>
                <c:pt idx="2">
                  <c:v>4.3103448275862072E-2</c:v>
                </c:pt>
                <c:pt idx="3">
                  <c:v>5.1724137931034482E-3</c:v>
                </c:pt>
                <c:pt idx="4">
                  <c:v>2.0689655172413793E-2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0A-4DD4-92B2-BA98BCE0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24091</xdr:colOff>
      <xdr:row>2</xdr:row>
      <xdr:rowOff>56030</xdr:rowOff>
    </xdr:from>
    <xdr:to>
      <xdr:col>3</xdr:col>
      <xdr:colOff>896469</xdr:colOff>
      <xdr:row>3</xdr:row>
      <xdr:rowOff>257735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574491-C4E1-F28E-BEA8-EAFA60CE7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44" y="795618"/>
          <a:ext cx="3528172" cy="739588"/>
        </a:xfrm>
        <a:prstGeom prst="rect">
          <a:avLst/>
        </a:prstGeom>
      </xdr:spPr>
    </xdr:pic>
    <xdr:clientData/>
  </xdr:twoCellAnchor>
  <xdr:twoCellAnchor>
    <xdr:from>
      <xdr:col>2</xdr:col>
      <xdr:colOff>86287</xdr:colOff>
      <xdr:row>6</xdr:row>
      <xdr:rowOff>179294</xdr:rowOff>
    </xdr:from>
    <xdr:to>
      <xdr:col>3</xdr:col>
      <xdr:colOff>75080</xdr:colOff>
      <xdr:row>8</xdr:row>
      <xdr:rowOff>56030</xdr:rowOff>
    </xdr:to>
    <xdr:sp macro="" textlink="TD!K8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C63C455-BCC3-40ED-30FE-70976D2C4E22}"/>
            </a:ext>
          </a:extLst>
        </xdr:cNvPr>
        <xdr:cNvSpPr/>
      </xdr:nvSpPr>
      <xdr:spPr>
        <a:xfrm>
          <a:off x="2260228" y="2028265"/>
          <a:ext cx="1176617" cy="29135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3BFE91B-95DB-41F2-AE3E-74DF7677CE28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580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8</xdr:row>
      <xdr:rowOff>197224</xdr:rowOff>
    </xdr:from>
    <xdr:to>
      <xdr:col>3</xdr:col>
      <xdr:colOff>75080</xdr:colOff>
      <xdr:row>10</xdr:row>
      <xdr:rowOff>62753</xdr:rowOff>
    </xdr:to>
    <xdr:sp macro="" textlink="TD!K5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18441E8-7E70-4791-B6C0-5DBFA7A8CF84}"/>
            </a:ext>
          </a:extLst>
        </xdr:cNvPr>
        <xdr:cNvSpPr/>
      </xdr:nvSpPr>
      <xdr:spPr>
        <a:xfrm>
          <a:off x="2260228" y="2460812"/>
          <a:ext cx="1176617" cy="29135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8958B2-C56D-4E93-ABA1-05129AB0C02C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445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11</xdr:row>
      <xdr:rowOff>2241</xdr:rowOff>
    </xdr:from>
    <xdr:to>
      <xdr:col>3</xdr:col>
      <xdr:colOff>75080</xdr:colOff>
      <xdr:row>12</xdr:row>
      <xdr:rowOff>69477</xdr:rowOff>
    </xdr:to>
    <xdr:sp macro="" textlink="TD!K4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4A649A3-F046-4AAC-B43A-2C8360F688E7}"/>
            </a:ext>
          </a:extLst>
        </xdr:cNvPr>
        <xdr:cNvSpPr/>
      </xdr:nvSpPr>
      <xdr:spPr>
        <a:xfrm>
          <a:off x="2260228" y="2893359"/>
          <a:ext cx="1176617" cy="291353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7930881-6C21-48B6-8A79-534422E83001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95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13</xdr:row>
      <xdr:rowOff>20171</xdr:rowOff>
    </xdr:from>
    <xdr:to>
      <xdr:col>3</xdr:col>
      <xdr:colOff>75080</xdr:colOff>
      <xdr:row>14</xdr:row>
      <xdr:rowOff>87406</xdr:rowOff>
    </xdr:to>
    <xdr:sp macro="" textlink="TD!K3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857874F-BA48-408F-AA32-9013FEB37732}"/>
            </a:ext>
          </a:extLst>
        </xdr:cNvPr>
        <xdr:cNvSpPr/>
      </xdr:nvSpPr>
      <xdr:spPr>
        <a:xfrm>
          <a:off x="2260228" y="3337112"/>
          <a:ext cx="1176617" cy="29135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BB2E55-87BC-4B7A-9B4E-EC32DA017C2E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25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15</xdr:row>
      <xdr:rowOff>4482</xdr:rowOff>
    </xdr:from>
    <xdr:to>
      <xdr:col>3</xdr:col>
      <xdr:colOff>75080</xdr:colOff>
      <xdr:row>16</xdr:row>
      <xdr:rowOff>71718</xdr:rowOff>
    </xdr:to>
    <xdr:sp macro="" textlink="TD!K6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9667D1A-B452-4230-BB57-B632AB0CEDC9}"/>
            </a:ext>
          </a:extLst>
        </xdr:cNvPr>
        <xdr:cNvSpPr/>
      </xdr:nvSpPr>
      <xdr:spPr>
        <a:xfrm>
          <a:off x="2260228" y="3747247"/>
          <a:ext cx="1176617" cy="291353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9AEC048-8F96-404E-9625-550D8C21FFF2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12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16</xdr:row>
      <xdr:rowOff>179294</xdr:rowOff>
    </xdr:from>
    <xdr:to>
      <xdr:col>3</xdr:col>
      <xdr:colOff>75080</xdr:colOff>
      <xdr:row>18</xdr:row>
      <xdr:rowOff>44823</xdr:rowOff>
    </xdr:to>
    <xdr:sp macro="" textlink="TD!K7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237445D-2FCA-4D03-A072-B092E178BCC6}"/>
            </a:ext>
          </a:extLst>
        </xdr:cNvPr>
        <xdr:cNvSpPr/>
      </xdr:nvSpPr>
      <xdr:spPr>
        <a:xfrm>
          <a:off x="2260228" y="4146176"/>
          <a:ext cx="1176617" cy="291353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63EB282-7772-4EC4-9384-E41F147FC076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s-CO" sz="1800" b="1"/>
        </a:p>
      </xdr:txBody>
    </xdr:sp>
    <xdr:clientData/>
  </xdr:twoCellAnchor>
  <xdr:twoCellAnchor>
    <xdr:from>
      <xdr:col>3</xdr:col>
      <xdr:colOff>840441</xdr:colOff>
      <xdr:row>5</xdr:row>
      <xdr:rowOff>392206</xdr:rowOff>
    </xdr:from>
    <xdr:to>
      <xdr:col>7</xdr:col>
      <xdr:colOff>549088</xdr:colOff>
      <xdr:row>18</xdr:row>
      <xdr:rowOff>177053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AFF9AD-305C-4E7C-9E43-3E4AA5164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997324</xdr:colOff>
      <xdr:row>6</xdr:row>
      <xdr:rowOff>0</xdr:rowOff>
    </xdr:from>
    <xdr:to>
      <xdr:col>12</xdr:col>
      <xdr:colOff>0</xdr:colOff>
      <xdr:row>18</xdr:row>
      <xdr:rowOff>199465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1D11040-0657-4578-B65E-EC97392F8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941294</xdr:colOff>
      <xdr:row>2</xdr:row>
      <xdr:rowOff>44824</xdr:rowOff>
    </xdr:from>
    <xdr:to>
      <xdr:col>5</xdr:col>
      <xdr:colOff>259976</xdr:colOff>
      <xdr:row>5</xdr:row>
      <xdr:rowOff>324969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TIPO_DIRECCION">
              <a:extLst>
                <a:ext uri="{FF2B5EF4-FFF2-40B4-BE49-F238E27FC236}">
                  <a16:creationId xmlns:a16="http://schemas.microsoft.com/office/drawing/2014/main" id="{8E3F7403-E56C-49D1-8B8F-4AE576C977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DIR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8441" y="784412"/>
              <a:ext cx="1828800" cy="16472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661148</xdr:colOff>
      <xdr:row>2</xdr:row>
      <xdr:rowOff>56030</xdr:rowOff>
    </xdr:from>
    <xdr:to>
      <xdr:col>12</xdr:col>
      <xdr:colOff>0</xdr:colOff>
      <xdr:row>5</xdr:row>
      <xdr:rowOff>358588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TIVIDAD">
              <a:extLst>
                <a:ext uri="{FF2B5EF4-FFF2-40B4-BE49-F238E27FC236}">
                  <a16:creationId xmlns:a16="http://schemas.microsoft.com/office/drawing/2014/main" id="{E42B0FD7-CEA8-43C5-AA5E-D970A5606E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0824" y="795618"/>
              <a:ext cx="4000500" cy="1669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302558</xdr:colOff>
      <xdr:row>2</xdr:row>
      <xdr:rowOff>56030</xdr:rowOff>
    </xdr:from>
    <xdr:to>
      <xdr:col>8</xdr:col>
      <xdr:colOff>537882</xdr:colOff>
      <xdr:row>5</xdr:row>
      <xdr:rowOff>324970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UNICIPIO">
              <a:extLst>
                <a:ext uri="{FF2B5EF4-FFF2-40B4-BE49-F238E27FC236}">
                  <a16:creationId xmlns:a16="http://schemas.microsoft.com/office/drawing/2014/main" id="{F5B4B228-E140-431F-90F5-D3D6AB783A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823" y="795618"/>
              <a:ext cx="4067735" cy="16360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44822</xdr:colOff>
      <xdr:row>3</xdr:row>
      <xdr:rowOff>347382</xdr:rowOff>
    </xdr:from>
    <xdr:to>
      <xdr:col>3</xdr:col>
      <xdr:colOff>885264</xdr:colOff>
      <xdr:row>5</xdr:row>
      <xdr:rowOff>392205</xdr:rowOff>
    </xdr:to>
    <xdr:pic macro="[0]!GenerarMapaANS_Excel">
      <xdr:nvPicPr>
        <xdr:cNvPr id="24" name="Imagen 23">
          <a:extLst>
            <a:ext uri="{FF2B5EF4-FFF2-40B4-BE49-F238E27FC236}">
              <a16:creationId xmlns:a16="http://schemas.microsoft.com/office/drawing/2014/main" id="{5E68BC2F-CFBC-0A26-6E5C-2818A769B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5" y="1624853"/>
          <a:ext cx="3496236" cy="8740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11206</xdr:colOff>
      <xdr:row>0</xdr:row>
      <xdr:rowOff>56029</xdr:rowOff>
    </xdr:from>
    <xdr:to>
      <xdr:col>1</xdr:col>
      <xdr:colOff>1199029</xdr:colOff>
      <xdr:row>0</xdr:row>
      <xdr:rowOff>302558</xdr:rowOff>
    </xdr:to>
    <xdr:sp macro="[0]!Actualizar_Dashboard_AN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21953A-7A17-1CAE-DFEE-F71EC4F80466}"/>
            </a:ext>
          </a:extLst>
        </xdr:cNvPr>
        <xdr:cNvSpPr/>
      </xdr:nvSpPr>
      <xdr:spPr>
        <a:xfrm>
          <a:off x="302559" y="56029"/>
          <a:ext cx="1187823" cy="246529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Actualizar</a:t>
          </a:r>
          <a:r>
            <a:rPr lang="es-CO" sz="1100" baseline="0">
              <a:solidFill>
                <a:sysClr val="windowText" lastClr="000000"/>
              </a:solidFill>
            </a:rPr>
            <a:t> Datos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54905</xdr:colOff>
      <xdr:row>20</xdr:row>
      <xdr:rowOff>114299</xdr:rowOff>
    </xdr:from>
    <xdr:to>
      <xdr:col>6</xdr:col>
      <xdr:colOff>89647</xdr:colOff>
      <xdr:row>24</xdr:row>
      <xdr:rowOff>89647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ESTADO">
              <a:extLst>
                <a:ext uri="{FF2B5EF4-FFF2-40B4-BE49-F238E27FC236}">
                  <a16:creationId xmlns:a16="http://schemas.microsoft.com/office/drawing/2014/main" id="{A3E7C8BD-5FD7-ACF8-771B-E31FBB9D86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4231" y="5582770"/>
              <a:ext cx="4192121" cy="714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234203</xdr:colOff>
      <xdr:row>20</xdr:row>
      <xdr:rowOff>112058</xdr:rowOff>
    </xdr:from>
    <xdr:to>
      <xdr:col>11</xdr:col>
      <xdr:colOff>11206</xdr:colOff>
      <xdr:row>24</xdr:row>
      <xdr:rowOff>112058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4" name="ACTIVIDAD 1">
              <a:extLst>
                <a:ext uri="{FF2B5EF4-FFF2-40B4-BE49-F238E27FC236}">
                  <a16:creationId xmlns:a16="http://schemas.microsoft.com/office/drawing/2014/main" id="{69C2D3C4-A353-5E4E-DB3F-4642A0E9E2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24115" y="5580529"/>
              <a:ext cx="5973856" cy="8068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Alejandro Gaviria" refreshedDate="45996.488020023149" createdVersion="8" refreshedVersion="8" minRefreshableVersion="3" recordCount="580" xr:uid="{00000000-000A-0000-FFFF-FFFF0B000000}">
  <cacheSource type="worksheet">
    <worksheetSource name="FENIX_ANS_TABLA"/>
  </cacheSource>
  <cacheFields count="30">
    <cacheField name="PEDIDO" numFmtId="0">
      <sharedItems/>
    </cacheField>
    <cacheField name="PRODUCTO_ID" numFmtId="0">
      <sharedItems/>
    </cacheField>
    <cacheField name="TIPO_TRABAJO" numFmtId="0">
      <sharedItems/>
    </cacheField>
    <cacheField name="TIPO_ELEMENTO_ID" numFmtId="0">
      <sharedItems/>
    </cacheField>
    <cacheField name="FECHA_RECIBO" numFmtId="0">
      <sharedItems/>
    </cacheField>
    <cacheField name="FECHA_INICIO_ANS" numFmtId="0">
      <sharedItems containsBlank="1"/>
    </cacheField>
    <cacheField name="CLIENTEID" numFmtId="0">
      <sharedItems containsSemiMixedTypes="0" containsString="0" containsNumber="1" containsInteger="1" minValue="645672" maxValue="8909049961"/>
    </cacheField>
    <cacheField name="NOMBRE_CLIENTE" numFmtId="0">
      <sharedItems/>
    </cacheField>
    <cacheField name="TELEFONO_CONTACTO" numFmtId="0">
      <sharedItems/>
    </cacheField>
    <cacheField name="CELULAR_CONTACTO" numFmtId="0">
      <sharedItems/>
    </cacheField>
    <cacheField name="DIRECCION" numFmtId="0">
      <sharedItems/>
    </cacheField>
    <cacheField name="MUNICIPIO" numFmtId="0">
      <sharedItems containsBlank="1" count="8">
        <s v="MEDELLÍN"/>
        <s v="ITAGUÍ"/>
        <s v="ENVIGADO"/>
        <s v="CALDAS"/>
        <s v="LA ESTRELLA"/>
        <s v="SABANETA"/>
        <m u="1"/>
        <s v="GUARNE" u="1"/>
      </sharedItems>
    </cacheField>
    <cacheField name="INSTALACION" numFmtId="0">
      <sharedItems/>
    </cacheField>
    <cacheField name="AREA_TRABAJO" numFmtId="0">
      <sharedItems/>
    </cacheField>
    <cacheField name="ACTIVIDAD" numFmtId="0">
      <sharedItems containsBlank="1" count="13">
        <s v="ARTER"/>
        <s v="ALEGA"/>
        <s v="AEJDO"/>
        <s v="INPRE"/>
        <s v="ACREV"/>
        <s v="ALEGN"/>
        <s v="ALECA"/>
        <s v="ACAMN"/>
        <s v="APLIN"/>
        <s v="AMRTR"/>
        <s v="DIPRE"/>
        <s v="REEQU"/>
        <m u="1"/>
      </sharedItems>
    </cacheField>
    <cacheField name="NOMBRE" numFmtId="0">
      <sharedItems/>
    </cacheField>
    <cacheField name="TIPO_DIRECCION" numFmtId="0">
      <sharedItems containsBlank="1" count="3">
        <s v="Rural"/>
        <s v="Urbano"/>
        <m u="1"/>
      </sharedItems>
    </cacheField>
    <cacheField name="DIAS_PACTADOS" numFmtId="0">
      <sharedItems containsSemiMixedTypes="0" containsString="0" containsNumber="1" containsInteger="1" minValue="0" maxValue="14"/>
    </cacheField>
    <cacheField name="FECHA_LIMITE_ANS" numFmtId="0">
      <sharedItems containsBlank="1"/>
    </cacheField>
    <cacheField name="DIAS_TRANSCURRIDOS" numFmtId="0">
      <sharedItems containsBlank="1"/>
    </cacheField>
    <cacheField name="DIAS_RESTANTES" numFmtId="0">
      <sharedItems containsBlank="1"/>
    </cacheField>
    <cacheField name="ESTADO" numFmtId="0">
      <sharedItems containsBlank="1" count="6">
        <s v="A TIEMPO"/>
        <s v="ALERTA"/>
        <s v="VENCIDO"/>
        <s v="SIN FECHA"/>
        <s v="ALERTA_0 Días"/>
        <m u="1"/>
      </sharedItems>
    </cacheField>
    <cacheField name="REPORTE_TECNICO" numFmtId="0">
      <sharedItems/>
    </cacheField>
    <cacheField name="TECNICO_EJECUTA" numFmtId="0">
      <sharedItems/>
    </cacheField>
    <cacheField name="OBSERVACION" numFmtId="0">
      <sharedItems/>
    </cacheField>
    <cacheField name="ESTADO_FENIX" numFmtId="0">
      <sharedItems/>
    </cacheField>
    <cacheField name="COORDENADAX" numFmtId="0">
      <sharedItems containsSemiMixedTypes="0" containsString="0" containsNumber="1" minValue="-75.711139329999995" maxValue="-75.394716680000002"/>
    </cacheField>
    <cacheField name="COORDENADAY" numFmtId="0">
      <sharedItems containsSemiMixedTypes="0" containsString="0" containsNumber="1" minValue="6.0528439199999999" maxValue="6.3625850000000002"/>
    </cacheField>
    <cacheField name="AREA_OPERATIVA" numFmtId="0">
      <sharedItems/>
    </cacheField>
    <cacheField name="SUBZONA" numFmtId="0">
      <sharedItems/>
    </cacheField>
  </cacheFields>
  <extLst>
    <ext xmlns:x14="http://schemas.microsoft.com/office/spreadsheetml/2009/9/main" uri="{725AE2AE-9491-48be-B2B4-4EB974FC3084}">
      <x14:pivotCacheDefinition pivotCacheId="4512453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">
  <r>
    <s v="22609940"/>
    <s v="ENERES"/>
    <s v="NUEVO"/>
    <s v="ENEDOM"/>
    <s v="07/12/2022 12:36:02"/>
    <s v="2025-12-02 10:19:04"/>
    <n v="42800450"/>
    <s v="NATALIA ANDREA GARCIA LEZCANO"/>
    <s v="SIN DATOS"/>
    <s v="3023420093"/>
    <s v="RURAL_146005698800000001"/>
    <x v="0"/>
    <s v="146005698800000001"/>
    <s v="Medellín"/>
    <x v="0"/>
    <s v="Habilitación Viviendas Metrosur"/>
    <x v="0"/>
    <n v="8"/>
    <s v="2025-12-15 10:19:04"/>
    <s v="3 días 10:19"/>
    <s v="5 días 10:19"/>
    <x v="0"/>
    <s v="SIN DATO"/>
    <s v="SIN DATO"/>
    <s v="SIN DATO"/>
    <s v="ABIERTO"/>
    <n v="-75.638413999999997"/>
    <n v="6.3024630000000004"/>
    <s v="SUR-ENE"/>
    <s v="Metropolitana Sur"/>
  </r>
  <r>
    <s v="22992467"/>
    <s v="ENERES"/>
    <s v="NUEVO"/>
    <s v="ENERES"/>
    <s v="18/01/2024 13:06:47"/>
    <s v="2025-12-03 21:55:18"/>
    <n v="43612660"/>
    <s v="MARIA CAROLINA MEJIA QUICENO"/>
    <s v="2347475"/>
    <s v="3022521279"/>
    <s v="CR 96 C CL 49 AA -74"/>
    <x v="0"/>
    <s v="054926309110740000"/>
    <s v="Medellín"/>
    <x v="1"/>
    <s v="Revisor Instal. Regadas Metrosur"/>
    <x v="1"/>
    <n v="7"/>
    <s v="2025-12-15 21:55:18"/>
    <s v="2 días 21:55"/>
    <s v="5 días 21:55"/>
    <x v="0"/>
    <s v="SIN DATO"/>
    <s v="SIN DATO"/>
    <s v="SIN DATO"/>
    <s v="ABIERTO"/>
    <n v="-75.609485000000006"/>
    <n v="6.2631949999999996"/>
    <s v="SUR-ENE"/>
    <s v="Metropolitana Sur"/>
  </r>
  <r>
    <s v="22999152"/>
    <s v="ENERES"/>
    <s v="NUEVO"/>
    <s v="ENEDOM"/>
    <s v="24/01/2024 15:52:16"/>
    <s v="2025-12-04 13:50:58"/>
    <n v="42766181"/>
    <s v="SOR MERY BUSTAMANTE SANCHEZ"/>
    <s v="SIN DATOS"/>
    <s v="3005709253"/>
    <s v="RURAL_163012617500000205"/>
    <x v="1"/>
    <s v="163012617500000205"/>
    <s v="Itaguí"/>
    <x v="0"/>
    <s v="Habilitación Viviendas Metrosur"/>
    <x v="1"/>
    <n v="5"/>
    <s v="2025-12-12 13:50:58"/>
    <s v="0 días 13:50"/>
    <s v="4 días 13:50"/>
    <x v="0"/>
    <s v="SIN DATO"/>
    <s v="SIN DATO"/>
    <s v="SIN DATO"/>
    <s v="ABIERTO"/>
    <n v="-75.617349000000004"/>
    <n v="6.1873310000000004"/>
    <s v="SUR-ENE"/>
    <s v="Metropolitana Sur"/>
  </r>
  <r>
    <s v="23183419"/>
    <s v="ENERES"/>
    <s v="NUEVO"/>
    <s v="ENERES"/>
    <s v="14/08/2024 14:40:12"/>
    <s v="2025-12-01 11:51:24"/>
    <n v="43755275"/>
    <s v="JHONY GONGORA RIOS"/>
    <s v="SIN DATOS"/>
    <s v="3234815088"/>
    <s v="RURAL_122015999400000201"/>
    <x v="0"/>
    <s v="122015999400000201"/>
    <s v="Medellín"/>
    <x v="1"/>
    <s v="Revisor Instal. Regadas Metrosur"/>
    <x v="0"/>
    <n v="10"/>
    <s v="2025-12-16 11:51:24"/>
    <s v="4 días 11:51"/>
    <s v="6 días 11:51"/>
    <x v="0"/>
    <s v="SIN DATO"/>
    <s v="SIN DATO"/>
    <s v="SIN DATO"/>
    <s v="ABIERTO"/>
    <n v="-75.490054420000007"/>
    <n v="6.2545143300000001"/>
    <s v="SUR-ENE"/>
    <s v="Metropolitana Sur"/>
  </r>
  <r>
    <s v="23206334"/>
    <s v="ENERES"/>
    <s v="NUEVO"/>
    <s v="ENERES"/>
    <s v="06/09/2024 10:51:04"/>
    <s v="2025-12-03 21:54:23"/>
    <n v="43548242"/>
    <s v="MARTA ISABEL RODRIGUEZ VELASQUEZ"/>
    <s v="SIN DATOS"/>
    <s v="3005701732"/>
    <s v="CL 57 C CR 82 AA -59 (INTERIOR 106 )"/>
    <x v="0"/>
    <s v="055817302110590106"/>
    <s v="Medellín"/>
    <x v="1"/>
    <s v="Revisor Instal. Regadas Metrosur"/>
    <x v="1"/>
    <n v="7"/>
    <s v="2025-12-15 21:54:23"/>
    <s v="2 días 21:54"/>
    <s v="5 días 21:54"/>
    <x v="0"/>
    <s v="SIN DATO"/>
    <s v="SIN DATO"/>
    <s v="SIN DATO"/>
    <s v="ABIERTO"/>
    <n v="-75.599398030000003"/>
    <n v="6.2722004199999999"/>
    <s v="SUR-ENE"/>
    <s v="Metropolitana Sur"/>
  </r>
  <r>
    <s v="23274594"/>
    <s v="ENERES"/>
    <s v="NUEVO"/>
    <s v="ENEDOM"/>
    <s v="04/12/2025 06:19:58"/>
    <s v="2025-12-04 06:19:58"/>
    <n v="15362898"/>
    <s v="JESUS ORLANDO GALEANO"/>
    <s v="SIN DATOS"/>
    <s v="3103792449"/>
    <s v="CR 81 B CL 1 -40 (INTERIOR 302 )"/>
    <x v="0"/>
    <s v="050821201000400302"/>
    <s v="Medellín"/>
    <x v="2"/>
    <s v="Habilitación Viviendas Metrosur"/>
    <x v="1"/>
    <n v="5"/>
    <s v="2025-12-12 06:19:58"/>
    <s v="0 días 06:19"/>
    <s v="4 días 06:19"/>
    <x v="0"/>
    <s v="SIN DATO"/>
    <s v="SIN DATO"/>
    <s v="SIN DATO"/>
    <s v="ABIERTO"/>
    <n v="-75.604960140000003"/>
    <n v="6.21044895"/>
    <s v="SUR-ENE"/>
    <s v="Metropolitana Sur"/>
  </r>
  <r>
    <s v="23274649"/>
    <s v="ENERES"/>
    <s v="NUEVO"/>
    <s v="ENEDOM"/>
    <s v="04/12/2025 06:20:40"/>
    <s v="2025-12-04 06:20:40"/>
    <n v="15362898"/>
    <s v="JESUS ORLANDO GALEANO"/>
    <s v="SIN DATOS"/>
    <s v="3103792449"/>
    <s v="CR 81 B CL 1 -40 (INTERIOR 202 )"/>
    <x v="0"/>
    <s v="050821201000400202"/>
    <s v="Medellín"/>
    <x v="2"/>
    <s v="Habilitación Viviendas Metrosur"/>
    <x v="1"/>
    <n v="5"/>
    <s v="2025-12-12 06:20:40"/>
    <s v="0 días 06:20"/>
    <s v="4 días 06:20"/>
    <x v="0"/>
    <s v="SIN DATO"/>
    <s v="SIN DATO"/>
    <s v="SIN DATO"/>
    <s v="ABIERTO"/>
    <n v="-75.604960140000003"/>
    <n v="6.21044895"/>
    <s v="SUR-ENE"/>
    <s v="Metropolitana Sur"/>
  </r>
  <r>
    <s v="23293124"/>
    <s v="ENERES"/>
    <s v="NUEVO"/>
    <s v="ENERES"/>
    <s v="29/11/2024 08:47:07"/>
    <s v="2025-12-01 09:29:44"/>
    <n v="70067381"/>
    <s v="CARLOS EMILIO MONSALVE QUINTERO"/>
    <s v="5227491"/>
    <s v="3206379324"/>
    <s v="CR 9 A CL 44 AA -47"/>
    <x v="0"/>
    <s v="054029104110470000"/>
    <s v="Medellín"/>
    <x v="1"/>
    <s v="Revisor Instal. Regadas Metrosur"/>
    <x v="1"/>
    <n v="7"/>
    <s v="2025-12-11 09:29:44"/>
    <s v="4 días 09:29"/>
    <s v="3 días 09:29"/>
    <x v="0"/>
    <s v="SIN DATO"/>
    <s v="SIN DATO"/>
    <s v="SIN DATO"/>
    <s v="ABIERTO"/>
    <n v="-75.542468990000003"/>
    <n v="6.2275933800000001"/>
    <s v="SUR-ENE"/>
    <s v="Metropolitana Sur"/>
  </r>
  <r>
    <s v="23313098"/>
    <s v="ENERES"/>
    <s v="NUEVO"/>
    <s v="ENERES"/>
    <s v="26/12/2024 13:37:47"/>
    <s v="2025-12-03 21:54:50"/>
    <n v="42769504"/>
    <s v="ASTRID HELENA ZAPATA MARIN"/>
    <s v="SIN DATOS"/>
    <s v="3174136259"/>
    <s v="CR 46 CL 48 -71 (INTERIOR 201 )"/>
    <x v="1"/>
    <s v="074426008000710201"/>
    <s v="Itaguí"/>
    <x v="1"/>
    <s v="Revisor Instal. Regadas Metrosur"/>
    <x v="1"/>
    <n v="7"/>
    <s v="2025-12-15 21:54:50"/>
    <s v="2 días 21:54"/>
    <s v="5 días 21:54"/>
    <x v="0"/>
    <s v="SIN DATO"/>
    <s v="SIN DATO"/>
    <s v="SIN DATO"/>
    <s v="ABIERTO"/>
    <n v="-75.609507460000003"/>
    <n v="6.1685792399999997"/>
    <s v="SUR-ENE"/>
    <s v="Metropolitana Sur"/>
  </r>
  <r>
    <s v="23326970"/>
    <s v="ENERES"/>
    <s v="NUEVO"/>
    <s v="ENERES"/>
    <s v="16/01/2025 17:04:21"/>
    <s v="2025-12-03 21:58:30"/>
    <n v="1037601333"/>
    <s v="IVONNE VANESSA RODRIGUEZ MORALES"/>
    <s v="SIN DATOS"/>
    <s v="3014252483"/>
    <s v="RURAL_147052607000000001"/>
    <x v="0"/>
    <s v="147052607000000001"/>
    <s v="Medellín"/>
    <x v="1"/>
    <s v="Revisor Instal. Regadas Metrosur"/>
    <x v="0"/>
    <n v="10"/>
    <s v="2025-12-18 21:58:30"/>
    <s v="2 días 21:58"/>
    <s v="8 días 21:58"/>
    <x v="0"/>
    <s v="SIN DATO"/>
    <s v="SIN DATO"/>
    <s v="SIN DATO"/>
    <s v="ABIERTO"/>
    <n v="-75.641889000000006"/>
    <n v="6.292681"/>
    <s v="SUR-ENE"/>
    <s v="Metropolitana Sur"/>
  </r>
  <r>
    <s v="23359284"/>
    <s v="ENERES"/>
    <s v="NUEVO"/>
    <s v="ENERES"/>
    <s v="13/02/2025 16:26:35"/>
    <s v="2025-12-02 21:48:55"/>
    <n v="98567549"/>
    <s v="ELKIN ALONSO ESCOBAR FERNANDEZ"/>
    <s v="5983097"/>
    <s v="3185503677"/>
    <s v="CL 47 C CR 61 -81 (INTERIOR 1191 )"/>
    <x v="1"/>
    <s v="074617301000811191"/>
    <s v="Itaguí"/>
    <x v="1"/>
    <s v="Revisor Instal. Regadas Metrosur"/>
    <x v="1"/>
    <n v="7"/>
    <s v="2025-12-12 21:48:55"/>
    <s v="3 días 21:48"/>
    <s v="4 días 21:48"/>
    <x v="0"/>
    <s v="SIN DATO"/>
    <s v="SIN DATO"/>
    <s v="SIN DATO"/>
    <s v="ABIERTO"/>
    <n v="-75.612769999999998"/>
    <n v="6.180822"/>
    <s v="SUR-ENE"/>
    <s v="Metropolitana Sur"/>
  </r>
  <r>
    <s v="23359888"/>
    <s v="ENEPRE"/>
    <s v="NUEVO"/>
    <s v="ENEPRE"/>
    <s v="21/02/2025 08:15:37"/>
    <s v="2025-12-03 12:09:21"/>
    <n v="70301891"/>
    <s v="JOSE GILDARDO CUERVO GARCIA"/>
    <s v="SIN DATOS"/>
    <s v="3206640252"/>
    <s v="CR 17 A CL 56 H -8 (INTERIOR 2107 )"/>
    <x v="0"/>
    <s v="055127106800082107"/>
    <s v="Medellín"/>
    <x v="3"/>
    <s v="Energía Prepago Metrosur"/>
    <x v="1"/>
    <n v="11"/>
    <s v="2025-12-19 12:09:21"/>
    <s v="2 días 12:09"/>
    <s v="9 días 12:09"/>
    <x v="0"/>
    <s v="SIN DATO"/>
    <s v="SIN DATO"/>
    <s v="SIN DATO"/>
    <s v="ABIERTO"/>
    <n v="-75.537633"/>
    <n v="6.249117"/>
    <s v="SUR-ENE"/>
    <s v="Metropolitana Sur"/>
  </r>
  <r>
    <s v="23359888"/>
    <s v="ENEPRE"/>
    <s v="NUEVO"/>
    <s v="ENEPRE"/>
    <s v="21/02/2025 08:15:37"/>
    <s v="2025-12-03 12:09:21"/>
    <n v="70301891"/>
    <s v="JOSE GILDARDO CUERVO GARCIA"/>
    <s v="SIN DATOS"/>
    <s v="3206640252"/>
    <s v="CR 17 A CL 56 H -8 (INTERIOR 2107 )"/>
    <x v="0"/>
    <s v="055127106800082107"/>
    <s v="Medellín"/>
    <x v="3"/>
    <s v="Energía Prepago Metrosur"/>
    <x v="1"/>
    <n v="11"/>
    <s v="2025-12-19 12:09:21"/>
    <s v="2 días 12:09"/>
    <s v="9 días 12:09"/>
    <x v="0"/>
    <s v="SIN DATO"/>
    <s v="SIN DATO"/>
    <s v="SIN DATO"/>
    <s v="ABIERTO"/>
    <n v="-75.537633"/>
    <n v="6.249117"/>
    <s v="SUR-ENE"/>
    <s v="Metropolitana Sur"/>
  </r>
  <r>
    <s v="23370807"/>
    <s v="ENERES"/>
    <s v="NUEVO"/>
    <s v="ENEDOM"/>
    <s v="31/10/2025 14:33:45"/>
    <s v="2025-12-01 11:40:23"/>
    <n v="15328563"/>
    <s v="GUSTAVO HUMBERTO JARAMILLO TORRES"/>
    <s v="SIN DATOS"/>
    <s v="3017892548"/>
    <s v="RURAL_166035980000000004"/>
    <x v="2"/>
    <s v="166035980000000004"/>
    <s v="Envigado"/>
    <x v="2"/>
    <s v="Habilitación Viviendas Metrosur"/>
    <x v="0"/>
    <n v="8"/>
    <s v="2025-12-12 11:40:23"/>
    <s v="4 días 11:40"/>
    <s v="4 días 11:40"/>
    <x v="0"/>
    <s v="SIN DATO"/>
    <s v="SIN DATO"/>
    <s v="SIN DATO"/>
    <s v="ABIERTO"/>
    <n v="-75.579577319999999"/>
    <n v="6.1338291700000003"/>
    <s v="SUR-ENE"/>
    <s v="Metropolitana Sur"/>
  </r>
  <r>
    <s v="23397851"/>
    <s v="ENERES"/>
    <s v="NUEVO"/>
    <s v="ENERES"/>
    <s v="26/03/2025 15:08:17"/>
    <s v="2025-12-03 21:54:28"/>
    <n v="70120605"/>
    <s v="JORGE HERNAN GUTIERREZ ARROYAVE"/>
    <s v="5041311"/>
    <s v="3103874733"/>
    <s v="CR 84 CL 47 EE -13 (INTERIOR 301 )"/>
    <x v="0"/>
    <s v="054824007550130301"/>
    <s v="Medellín"/>
    <x v="1"/>
    <s v="Revisor Instal. Regadas Metrosur"/>
    <x v="1"/>
    <n v="7"/>
    <s v="2025-12-15 21:54:28"/>
    <s v="2 días 21:54"/>
    <s v="5 días 21:54"/>
    <x v="0"/>
    <s v="SIN DATO"/>
    <s v="SIN DATO"/>
    <s v="SIN DATO"/>
    <s v="ABIERTO"/>
    <n v="-75.602166780000005"/>
    <n v="6.25989372"/>
    <s v="SUR-ENE"/>
    <s v="Metropolitana Sur"/>
  </r>
  <r>
    <s v="23401641"/>
    <s v="ENECNX"/>
    <s v="NUEVO"/>
    <s v="ENECNX"/>
    <s v="04/12/2025 12:56:16"/>
    <s v="2025-12-04 12:56:16"/>
    <n v="98701026"/>
    <s v="ROMAN FONNEGRA"/>
    <s v="SIN DATOS"/>
    <s v="3007244613"/>
    <s v="CL 128 SUR CR 45 -73"/>
    <x v="3"/>
    <s v="002418005000730000"/>
    <s v="Caldas"/>
    <x v="4"/>
    <s v="Revisor Puntos de Conexión Metrosur"/>
    <x v="1"/>
    <n v="4"/>
    <s v="2025-12-11 12:56:16"/>
    <s v="0 días 12:56"/>
    <s v="3 días 12:56"/>
    <x v="0"/>
    <s v="SIN DATO"/>
    <s v="SIN DATO"/>
    <s v="SIN DATO"/>
    <s v="ABIERTO"/>
    <n v="-75.633560009999997"/>
    <n v="6.0930809999999997"/>
    <s v="SUR-ENE"/>
    <s v="Metropolitana Sur"/>
  </r>
  <r>
    <s v="23412993"/>
    <s v="ENECNX"/>
    <s v="NUEVO"/>
    <s v="ENECNX"/>
    <s v="02/12/2025 08:24:02"/>
    <s v="2025-12-02 08:24:02"/>
    <n v="98707797"/>
    <s v="ANDRES BOTERO GARCIA"/>
    <s v="6115213"/>
    <s v="3105072582"/>
    <s v="CL 60 CR 74 A -174 (INTERIOR 101 )"/>
    <x v="0"/>
    <s v="056710004101740101"/>
    <s v="Medellín"/>
    <x v="4"/>
    <s v="Revisor Puntos de Conexión Metrosur"/>
    <x v="1"/>
    <n v="4"/>
    <s v="2025-12-09 08:24:02"/>
    <s v="3 días 08:24"/>
    <s v="1 días 08:24"/>
    <x v="1"/>
    <s v="SIN DATO"/>
    <s v="SIN DATO"/>
    <s v="SIN DATO"/>
    <s v="ABIERTO"/>
    <n v="-75.589244390000005"/>
    <n v="6.2669338799999998"/>
    <s v="SUR-ENE"/>
    <s v="Metropolitana Sur"/>
  </r>
  <r>
    <s v="23432407"/>
    <s v="ENERES"/>
    <s v="NUEVO"/>
    <s v="ENERES"/>
    <s v="07/05/2025 15:51:03"/>
    <s v="2025-12-01 14:47:45"/>
    <n v="98630457"/>
    <s v="ALBERTO  CUERVO CARDONA"/>
    <s v="SIN DATOS"/>
    <s v="3007621723"/>
    <s v="CR 47 CL 64 -27 (INTERIOR 501 )"/>
    <x v="0"/>
    <s v="056427004000270501"/>
    <s v="Medellín"/>
    <x v="1"/>
    <s v="Revisor Instal. Regadas Metrosur"/>
    <x v="1"/>
    <n v="7"/>
    <s v="2025-12-11 14:47:45"/>
    <s v="4 días 14:47"/>
    <s v="3 días 14:47"/>
    <x v="0"/>
    <s v="SIN DATO"/>
    <s v="SIN DATO"/>
    <s v="SIN DATO"/>
    <s v="ABIERTO"/>
    <n v="-75.559030489999998"/>
    <n v="6.2596797100000003"/>
    <s v="SUR-ENE"/>
    <s v="Metropolitana Sur"/>
  </r>
  <r>
    <s v="23454026"/>
    <s v="ENERES"/>
    <s v="NUEVO"/>
    <s v="ENEDOM"/>
    <s v="25/11/2025 11:28:00"/>
    <s v="2025-12-03 14:36:13"/>
    <n v="43206264"/>
    <s v="MARIA GLADYS CARDONA CARDENAS"/>
    <s v="SIN DATOS"/>
    <s v="3215487612"/>
    <s v="CR 2 CL 54 -190 (INTERIOR 101 )"/>
    <x v="0"/>
    <s v="055022004001900101"/>
    <s v="Medellín"/>
    <x v="2"/>
    <s v="Habilitación Viviendas Metrosur"/>
    <x v="1"/>
    <n v="5"/>
    <s v="2025-12-11 14:36:13"/>
    <s v="2 días 14:36"/>
    <s v="3 días 14:36"/>
    <x v="0"/>
    <s v="SIN DATO"/>
    <s v="SIN DATO"/>
    <s v="SIN DATO"/>
    <s v="ABIERTO"/>
    <n v="-75.529749210000006"/>
    <n v="6.2340702400000003"/>
    <s v="SUR-ENE"/>
    <s v="Metropolitana Sur"/>
  </r>
  <r>
    <s v="23455531"/>
    <s v="ENERES"/>
    <s v="NUEVO"/>
    <s v="ENEDOM"/>
    <s v="04/06/2025 11:44:56"/>
    <s v="2025-12-03 11:42:35"/>
    <n v="1036669709"/>
    <s v="MONICA MARIA RUIZ FLOREZ"/>
    <s v="SIN DATOS"/>
    <s v="3108427946"/>
    <s v="RURAL_163012514000000396"/>
    <x v="1"/>
    <s v="163012514000000396"/>
    <s v="Itaguí"/>
    <x v="0"/>
    <s v="Habilitación Viviendas Metrosur"/>
    <x v="1"/>
    <n v="5"/>
    <s v="2025-12-11 11:42:35"/>
    <s v="2 días 11:42"/>
    <s v="3 días 11:42"/>
    <x v="0"/>
    <s v="SIN DATO"/>
    <s v="SIN DATO"/>
    <s v="SIN DATO"/>
    <s v="ABIERTO"/>
    <n v="-75.616888299999999"/>
    <n v="6.1900866299999997"/>
    <s v="SUR-ENE"/>
    <s v="Metropolitana Sur"/>
  </r>
  <r>
    <s v="23455557"/>
    <s v="ENERES"/>
    <s v="NUEVO"/>
    <s v="ENEDOM"/>
    <s v="04/06/2025 12:06:11"/>
    <s v="2025-12-03 11:44:05"/>
    <n v="1036669709"/>
    <s v="MONICA MARIA RUIZ FLOREZ"/>
    <s v="SIN DATOS"/>
    <s v="3108427946"/>
    <s v="RURAL_163012514000000397"/>
    <x v="1"/>
    <s v="163012514000000397"/>
    <s v="Itaguí"/>
    <x v="0"/>
    <s v="Habilitación Viviendas Metrosur"/>
    <x v="1"/>
    <n v="5"/>
    <s v="2025-12-11 11:44:05"/>
    <s v="2 días 11:44"/>
    <s v="3 días 11:44"/>
    <x v="0"/>
    <s v="SIN DATO"/>
    <s v="SIN DATO"/>
    <s v="SIN DATO"/>
    <s v="ABIERTO"/>
    <n v="-75.616888299999999"/>
    <n v="6.1900866299999997"/>
    <s v="SUR-ENE"/>
    <s v="Metropolitana Sur"/>
  </r>
  <r>
    <s v="23462164"/>
    <s v="ENERES"/>
    <s v="NUEVO"/>
    <s v="ENEDOM"/>
    <s v="11/06/2025 10:09:45"/>
    <s v="2025-12-03 21:56:42"/>
    <n v="39308968"/>
    <s v="RUBIELA  ROVIRA MENA"/>
    <s v="SIN DATOS"/>
    <s v="3002963309"/>
    <s v="CR 1 B CL 48 -230 (INTERIOR 401 )"/>
    <x v="0"/>
    <s v="054021208002300401"/>
    <s v="Medellín"/>
    <x v="0"/>
    <s v="Habilitación Viviendas Metrosur"/>
    <x v="1"/>
    <n v="5"/>
    <s v="2025-12-11 21:56:42"/>
    <s v="2 días 21:56"/>
    <s v="3 días 21:56"/>
    <x v="0"/>
    <s v="SIN DATO"/>
    <s v="SIN DATO"/>
    <s v="SIN DATO"/>
    <s v="ABIERTO"/>
    <n v="-75.529666129999995"/>
    <n v="6.22986605"/>
    <s v="SUR-ENE"/>
    <s v="Metropolitana Sur"/>
  </r>
  <r>
    <s v="23462523"/>
    <s v="ENERES"/>
    <s v="NUEVO"/>
    <s v="ENEDOM"/>
    <s v="11/06/2025 12:57:12"/>
    <s v="2025-11-20 13:35:13"/>
    <n v="43729979"/>
    <s v="DORA ALBA ESCOBAR SANCHEZ"/>
    <s v="SIN DATOS"/>
    <s v="3006107409"/>
    <s v="RURAL_159158454000000301"/>
    <x v="4"/>
    <s v="159158454000000301"/>
    <s v="La Estrella"/>
    <x v="0"/>
    <s v="METROSUR-Vinculaciones-HV-Prepago"/>
    <x v="1"/>
    <n v="5"/>
    <s v="2025-11-27 13:35:13"/>
    <s v="11 días 13:35"/>
    <s v="VENCIDO"/>
    <x v="2"/>
    <s v="SIN DATO"/>
    <s v="SIN DATO"/>
    <s v="SIN DATO"/>
    <s v="ABIERTO"/>
    <n v="-75.639820630000003"/>
    <n v="6.1136927999999999"/>
    <s v="SUR-ENE"/>
    <s v="Metropolitana Sur"/>
  </r>
  <r>
    <s v="23467973"/>
    <s v="ENERES"/>
    <s v="NUEVO"/>
    <s v="ENEDOM"/>
    <s v="04/12/2025 06:21:14"/>
    <s v="2025-12-04 06:21:14"/>
    <n v="1148698057"/>
    <s v="GERARDO DE JESUS GARCIA ROJAS"/>
    <s v="SIN DATOS"/>
    <s v="3136001430"/>
    <s v="CL 54 CR 2 C -7 (INTERIOR 9901 )"/>
    <x v="0"/>
    <s v="055014002300079901"/>
    <s v="Medellín"/>
    <x v="2"/>
    <s v="Habilitación Viviendas Metrosur"/>
    <x v="1"/>
    <n v="5"/>
    <s v="2025-12-12 06:21:14"/>
    <s v="0 días 06:21"/>
    <s v="4 días 06:21"/>
    <x v="0"/>
    <s v="SIN DATO"/>
    <s v="SIN DATO"/>
    <s v="SIN DATO"/>
    <s v="ABIERTO"/>
    <n v="-75.531628569999995"/>
    <n v="6.2320648299999997"/>
    <s v="SUR-ENE"/>
    <s v="Metropolitana Sur"/>
  </r>
  <r>
    <s v="23474614"/>
    <s v="ENEPRE"/>
    <s v="NUEVO"/>
    <s v="ENEPRE"/>
    <s v="26/06/2025 14:32:40"/>
    <s v="2025-12-02 09:31:11"/>
    <n v="101143784"/>
    <s v="JUAN DIEGO VELEZ MORALES"/>
    <s v="SIN DATOS"/>
    <s v="3226471113"/>
    <s v="CR 99 EC CL 48 BB -18"/>
    <x v="0"/>
    <s v="054929538220180000"/>
    <s v="Medellín"/>
    <x v="0"/>
    <s v="Energía Prepago Metrosur"/>
    <x v="1"/>
    <n v="5"/>
    <s v="2025-12-10 09:31:11"/>
    <s v="3 días 09:31"/>
    <s v="2 días 09:31"/>
    <x v="1"/>
    <s v="SIN DATO"/>
    <s v="SIN DATO"/>
    <s v="SIN DATO"/>
    <s v="ABIERTO"/>
    <n v="-75.616252000000003"/>
    <n v="6.2632019999999997"/>
    <s v="SUR-ENE"/>
    <s v="Metropolitana Sur"/>
  </r>
  <r>
    <s v="23474689"/>
    <s v="ENERES"/>
    <s v="NUEVO"/>
    <s v="ENEDOM"/>
    <s v="26/06/2025 15:16:29"/>
    <s v="2025-12-02 16:29:25"/>
    <n v="1017164927"/>
    <s v="LUZ JHENIFER GALLEGO GIRALDO"/>
    <s v="SIN DATOS"/>
    <s v="3043626981"/>
    <s v="CR 8 ESTE CL 54 B -61 (INTERIOR 101 )"/>
    <x v="0"/>
    <s v="705028004200610101"/>
    <s v="Medellín"/>
    <x v="0"/>
    <s v="Habilitación Viviendas Metrosur"/>
    <x v="1"/>
    <n v="5"/>
    <s v="2025-12-10 16:29:25"/>
    <s v="3 días 16:29"/>
    <s v="2 días 16:29"/>
    <x v="1"/>
    <s v="SIN DATO"/>
    <s v="SIN DATO"/>
    <s v="SIN DATO"/>
    <s v="ABIERTO"/>
    <n v="-75.526062999999994"/>
    <n v="6.234388"/>
    <s v="SUR-ENE"/>
    <s v="Metropolitana Sur"/>
  </r>
  <r>
    <s v="23479039"/>
    <s v="ENERES"/>
    <s v="NUEVO"/>
    <s v="ENERES"/>
    <s v="03/07/2025 11:52:41"/>
    <s v="2025-12-02 15:56:44"/>
    <n v="1037587447"/>
    <s v="DANIEL AGUDELO QUIROS"/>
    <s v="5576240"/>
    <s v="3113758735"/>
    <s v="CR 65 A CL 26 -51"/>
    <x v="0"/>
    <s v="052625106000510000"/>
    <s v="Medellín"/>
    <x v="1"/>
    <s v="Revisor Instal. Regadas Metrosur"/>
    <x v="1"/>
    <n v="7"/>
    <s v="2025-12-12 15:56:44"/>
    <s v="3 días 15:56"/>
    <s v="4 días 15:56"/>
    <x v="0"/>
    <s v="SIN DATO"/>
    <s v="SIN DATO"/>
    <s v="SIN DATO"/>
    <s v="ABIERTO"/>
    <n v="-75.583806999999993"/>
    <n v="6.2280860000000002"/>
    <s v="SUR-ENE"/>
    <s v="Metropolitana Sur"/>
  </r>
  <r>
    <s v="23480561"/>
    <s v="ENECNX"/>
    <s v="NUEVO"/>
    <s v="ENECNX"/>
    <s v="02/12/2025 08:44:30"/>
    <s v="2025-12-02 08:44:30"/>
    <n v="70099655"/>
    <s v="HECTOR ALONSO CORRALES RESTREPO"/>
    <s v="4484015"/>
    <s v="3105072582"/>
    <s v="CL 44 CR 71 -36"/>
    <x v="0"/>
    <s v="054714001000360000"/>
    <s v="Medellín"/>
    <x v="4"/>
    <s v="Revisor Puntos de Conexión Metrosur"/>
    <x v="1"/>
    <n v="4"/>
    <s v="2025-12-09 08:44:30"/>
    <s v="3 días 08:44"/>
    <s v="1 días 08:44"/>
    <x v="1"/>
    <s v="SIN DATO"/>
    <s v="SIN DATO"/>
    <s v="SIN DATO"/>
    <s v="ABIERTO"/>
    <n v="-75.590566069999994"/>
    <n v="6.2495867299999999"/>
    <s v="SUR-ENE"/>
    <s v="Metropolitana Sur"/>
  </r>
  <r>
    <s v="23489346"/>
    <s v="ENEPRE"/>
    <s v="NUEVO"/>
    <s v="ENEPRE"/>
    <s v="21/07/2025 08:11:21"/>
    <s v="2025-12-04 18:19:49"/>
    <n v="1007853420"/>
    <s v="LUIS ANGEL CARDONA SANTANA"/>
    <s v="SIN DATOS"/>
    <s v="3154101108"/>
    <s v="RURAL_136032724439000000_136032724439000000"/>
    <x v="0"/>
    <s v="136032724439000000"/>
    <s v="Medellín"/>
    <x v="3"/>
    <s v="Energía Prepago Metrosur"/>
    <x v="1"/>
    <n v="11"/>
    <s v="2025-12-22 18:19:49"/>
    <s v="0 días 18:19"/>
    <s v="10 días 18:19"/>
    <x v="0"/>
    <s v="SIN DATO"/>
    <s v="SIN DATO"/>
    <s v="SIN DATO"/>
    <s v="ABIERTO"/>
    <n v="-75.614861529999999"/>
    <n v="6.2728117499999998"/>
    <s v="SUR-ENE"/>
    <s v="Metropolitana Sur"/>
  </r>
  <r>
    <s v="23493014"/>
    <s v="ENERES"/>
    <s v="NUEVO"/>
    <s v="ENERES"/>
    <s v="21/07/2025 15:09:30"/>
    <s v="2025-12-02 16:31:26"/>
    <n v="32334839"/>
    <s v="BLANCA NUBIA MESA ALVAREZ"/>
    <s v="3330795"/>
    <s v="3008619909"/>
    <s v="CL 40 F SUR CR 40 A -22 (INTERIOR 401 )"/>
    <x v="2"/>
    <s v="024410600100220401"/>
    <s v="Envigado"/>
    <x v="1"/>
    <s v="Revisor Instal. Regadas Metrosur"/>
    <x v="1"/>
    <n v="7"/>
    <s v="2025-12-12 16:31:26"/>
    <s v="3 días 16:31"/>
    <s v="4 días 16:31"/>
    <x v="0"/>
    <s v="SIN DATO"/>
    <s v="SIN DATO"/>
    <s v="SIN DATO"/>
    <s v="ABIERTO"/>
    <n v="-75.589759419999993"/>
    <n v="6.1650218700000003"/>
    <s v="SUR-ENE"/>
    <s v="Metropolitana Sur"/>
  </r>
  <r>
    <s v="23502196"/>
    <s v="ENERES"/>
    <s v="NUEVO"/>
    <s v="ENEDOM"/>
    <s v="04/11/2025 10:38:18"/>
    <s v="2025-12-04 14:33:00"/>
    <n v="43573028"/>
    <s v="OLGA CECILIA ACEVEDO VELEZ"/>
    <s v="SIN DATOS"/>
    <s v="3022932330"/>
    <s v="RURAL_147047150000000005"/>
    <x v="0"/>
    <s v="147047150000000005"/>
    <s v="Medellín"/>
    <x v="2"/>
    <s v="Habilitación Viviendas Metrosur"/>
    <x v="0"/>
    <n v="8"/>
    <s v="2025-12-17 14:33:00"/>
    <s v="0 días 14:33"/>
    <s v="7 días 14:33"/>
    <x v="0"/>
    <s v="SIN DATO"/>
    <s v="SIN DATO"/>
    <s v="SIN DATO"/>
    <s v="ABIERTO"/>
    <n v="-75.647322239999994"/>
    <n v="6.2966892999999997"/>
    <s v="SUR-ENE"/>
    <s v="Metropolitana Sur"/>
  </r>
  <r>
    <s v="23506041"/>
    <s v="ENENOR"/>
    <s v="NUEVO"/>
    <s v="ENENOR"/>
    <s v="05/08/2025 08:07:45"/>
    <m/>
    <n v="43671507"/>
    <s v="BLANCA OFELIA TORRES ZAPATA"/>
    <s v="SIN DATOS"/>
    <s v="3108403498"/>
    <s v="CL 47 CR 44 -20 (LC 201 )"/>
    <x v="0"/>
    <s v="054417004000200201"/>
    <s v="Medellín"/>
    <x v="5"/>
    <s v="Revisor Instal. Regadas Metrosur"/>
    <x v="1"/>
    <n v="7"/>
    <m/>
    <m/>
    <m/>
    <x v="3"/>
    <s v="SIN DATO"/>
    <s v="SIN DATO"/>
    <s v="SIN DATO"/>
    <s v="ABIERTO"/>
    <n v="-75.565664269999999"/>
    <n v="6.24540761"/>
    <s v="SUR-ENE"/>
    <s v="Metropolitana Sur"/>
  </r>
  <r>
    <s v="23511895"/>
    <s v="ENERES"/>
    <s v="NUEVO"/>
    <s v="ENERES"/>
    <s v="13/08/2025 07:36:28"/>
    <s v="2025-12-02 16:50:30"/>
    <n v="3610176"/>
    <s v="MARIO PEREZ MEJIA"/>
    <s v="SIN DATOS"/>
    <s v="3117968418"/>
    <s v="CL 66 CR 48 -34 (INTERIOR 601 )"/>
    <x v="0"/>
    <s v="056416008000340601"/>
    <s v="Medellín"/>
    <x v="1"/>
    <s v="METROSUR Vin. Leg. Ref. Concentrada"/>
    <x v="1"/>
    <n v="7"/>
    <s v="2025-12-12 16:50:30"/>
    <s v="3 días 16:50"/>
    <s v="4 días 16:50"/>
    <x v="0"/>
    <s v="SIN DATO"/>
    <s v="SIN DATO"/>
    <s v="SIN DATO"/>
    <s v="ABIERTO"/>
    <n v="-75.558643029999999"/>
    <n v="6.2623698399999999"/>
    <s v="SUR-ENE"/>
    <s v="Metropolitana Sur"/>
  </r>
  <r>
    <s v="23511896"/>
    <s v="ENERES"/>
    <s v="NUEVO"/>
    <s v="ENERES"/>
    <s v="13/08/2025 07:36:31"/>
    <s v="2025-12-02 16:49:11"/>
    <n v="3610176"/>
    <s v="MARIO PEREZ MEJIA"/>
    <s v="SIN DATOS"/>
    <s v="3117968418"/>
    <s v="CL 66 CR 48 -34 (INTERIOR 501 )"/>
    <x v="0"/>
    <s v="056416008000340501"/>
    <s v="Medellín"/>
    <x v="1"/>
    <s v="METROSUR Vin. Leg. Ref. Concentrada"/>
    <x v="1"/>
    <n v="7"/>
    <s v="2025-12-12 16:49:11"/>
    <s v="3 días 16:49"/>
    <s v="4 días 16:49"/>
    <x v="0"/>
    <s v="SIN DATO"/>
    <s v="SIN DATO"/>
    <s v="SIN DATO"/>
    <s v="ABIERTO"/>
    <n v="-75.558643029999999"/>
    <n v="6.2623698399999999"/>
    <s v="SUR-ENE"/>
    <s v="Metropolitana Sur"/>
  </r>
  <r>
    <s v="23513590"/>
    <s v="ENERES"/>
    <s v="NUEVO"/>
    <s v="ENERES"/>
    <s v="14/08/2025 14:52:44"/>
    <s v="2025-12-01 16:30:14"/>
    <n v="1037070963"/>
    <s v="JORGE ANDRES MARIN HINCAPIE"/>
    <s v="SIN DATOS"/>
    <s v="3235128529"/>
    <s v="CR 70 A CL 19 -34 (INTERIOR 102 )"/>
    <x v="0"/>
    <s v="051720109000340102"/>
    <s v="Medellín"/>
    <x v="1"/>
    <s v="Revisor Instal. Regadas Metrosur"/>
    <x v="1"/>
    <n v="7"/>
    <s v="2025-12-11 16:30:14"/>
    <s v="4 días 16:30"/>
    <s v="3 días 16:30"/>
    <x v="0"/>
    <s v="SIN DATO"/>
    <s v="SIN DATO"/>
    <s v="SIN DATO"/>
    <s v="ABIERTO"/>
    <n v="-75.592341730000001"/>
    <n v="6.2232379800000004"/>
    <s v="SUR-ENE"/>
    <s v="Metropolitana Sur"/>
  </r>
  <r>
    <s v="23513780"/>
    <s v="ENERES"/>
    <s v="NUEVO"/>
    <s v="ENERES"/>
    <s v="14/08/2025 16:05:49"/>
    <s v="2025-12-04 12:39:00"/>
    <n v="42682611"/>
    <s v="IRMA AURORA VALENCIA ZAPATA"/>
    <s v="2994051"/>
    <s v="3117290231"/>
    <s v="RURAL_159161305000000103_PROV.159161305000000101"/>
    <x v="4"/>
    <s v="159161305000000103"/>
    <s v="La Estrella"/>
    <x v="1"/>
    <s v="Revisor Instal. Regadas Metrosur"/>
    <x v="1"/>
    <n v="7"/>
    <s v="2025-12-16 12:39:00"/>
    <s v="0 días 12:39"/>
    <s v="6 días 12:39"/>
    <x v="0"/>
    <s v="SIN DATO"/>
    <s v="SIN DATO"/>
    <s v="SIN DATO"/>
    <s v="ABIERTO"/>
    <n v="-75.642095999999995"/>
    <n v="6.1142409999999998"/>
    <s v="SUR-ENE"/>
    <s v="Metropolitana Sur"/>
  </r>
  <r>
    <s v="23517681"/>
    <s v="ENERES"/>
    <s v="NUEVO"/>
    <s v="ENERES"/>
    <s v="20/08/2025 17:07:15"/>
    <s v="2025-12-02 12:13:06"/>
    <n v="42870318"/>
    <s v="LUZ MARINA MARIN VALENCIA"/>
    <s v="4539142"/>
    <s v="3217942765"/>
    <s v="CL 9 A SUR CR 56 D -21 (INTERIOR 111 )"/>
    <x v="0"/>
    <s v="040519106400210111"/>
    <s v="Medellín"/>
    <x v="1"/>
    <s v="Revisor Instal. Regadas Metrosur"/>
    <x v="1"/>
    <n v="7"/>
    <s v="2025-12-12 12:13:06"/>
    <s v="3 días 12:13"/>
    <s v="4 días 12:13"/>
    <x v="0"/>
    <s v="DESCARTADO"/>
    <s v="JUAN GUILLERMO RIVERA MAZO"/>
    <s v="460 falta marcación en acrílico en la puerta de gabinete y en los breakers corregir la entrada de la acometida interna esta no debe pasar por los compartimientos de acometida principal y medidores debe ser directa al compartimiento de los breakers"/>
    <s v="ABIERTO"/>
    <n v="-75.595949000000005"/>
    <n v="6.201816"/>
    <s v="SUR-ENE"/>
    <s v="Metropolitana Sur"/>
  </r>
  <r>
    <s v="23518427"/>
    <s v="ENERES"/>
    <s v="NUEVO"/>
    <s v="ENERES"/>
    <s v="21/08/2025 12:03:55"/>
    <s v="2025-11-27 21:54:54"/>
    <n v="43978558"/>
    <s v="ANA MARIA ORTEGA ALVAREZ"/>
    <s v="SIN DATOS"/>
    <s v="3194191348"/>
    <s v="RURAL_023222005002200136_PROV.VDA SANTA CATALINA"/>
    <x v="2"/>
    <s v="023222005002200136"/>
    <s v="Envigado"/>
    <x v="1"/>
    <s v="Revisor Instal. Regadas Metrosur"/>
    <x v="0"/>
    <n v="10"/>
    <s v="2025-12-12 21:54:54"/>
    <s v="6 días 21:54"/>
    <s v="4 días 21:54"/>
    <x v="0"/>
    <s v="SIN DATO"/>
    <s v="SIN DATO"/>
    <s v="SIN DATO"/>
    <s v="ABIERTO"/>
    <n v="-75.556946440000004"/>
    <n v="6.1667514900000002"/>
    <s v="SUR-ENE"/>
    <s v="Metropolitana Sur"/>
  </r>
  <r>
    <s v="23521342"/>
    <s v="ENEGED"/>
    <s v="CAMBI"/>
    <s v="ENEGED"/>
    <s v="25/08/2025 10:40:27"/>
    <s v="2025-11-21 14:37:03"/>
    <n v="900548173"/>
    <s v="MASIVO DE OCCIDENTE SAS"/>
    <s v="SIN DATOS"/>
    <s v="3043786563"/>
    <s v="CL 8 B CR 65 -281"/>
    <x v="0"/>
    <s v="050618205002810000"/>
    <s v="Medellín"/>
    <x v="1"/>
    <s v="AGPE Metropolitana Sur"/>
    <x v="1"/>
    <n v="7"/>
    <s v="2025-12-02 14:37:03"/>
    <s v="10 días 14:37"/>
    <s v="VENCIDO"/>
    <x v="2"/>
    <s v="SIN DATO"/>
    <s v="SIN DATO"/>
    <s v="SIN DATO"/>
    <s v="ABIERTO"/>
    <n v="-75.589029120000006"/>
    <n v="6.2157494299999998"/>
    <s v="SUR-ENE"/>
    <s v="Metropolitana Sur"/>
  </r>
  <r>
    <s v="23522946"/>
    <s v="ENERES"/>
    <s v="NUEVO"/>
    <s v="ENEDOM"/>
    <s v="26/08/2025 13:07:59"/>
    <s v="2025-12-02 21:48:44"/>
    <n v="43347644"/>
    <s v="CLAUDIA ISABEL DURANGO"/>
    <s v="SIN DATOS"/>
    <s v="3106000860"/>
    <s v="CL 59 CR 16 D -153 (INTERIOR 104 )"/>
    <x v="0"/>
    <s v="055119006401530104"/>
    <s v="Medellín"/>
    <x v="0"/>
    <s v="Habilitación Viviendas Metrosur"/>
    <x v="1"/>
    <n v="5"/>
    <s v="2025-12-10 21:48:44"/>
    <s v="3 días 21:48"/>
    <s v="2 días 21:48"/>
    <x v="1"/>
    <s v="SIN DATO"/>
    <s v="SIN DATO"/>
    <s v="SIN DATO"/>
    <s v="ABIERTO"/>
    <n v="-75.540223080000004"/>
    <n v="6.25188728"/>
    <s v="SUR-ENE"/>
    <s v="Metropolitana Sur"/>
  </r>
  <r>
    <s v="23523034"/>
    <s v="ENERES"/>
    <s v="NUEVO"/>
    <s v="ENEDOM"/>
    <s v="26/08/2025 14:03:33"/>
    <s v="2025-10-11 21:44:08"/>
    <n v="1146439872"/>
    <s v="WALNER AMARIS CARPIO"/>
    <s v="SIN DATOS"/>
    <s v="3005665466"/>
    <s v="CL 55 HA CR 7 -110 (INTERIOR 1001 )"/>
    <x v="0"/>
    <s v="055015817001101001"/>
    <s v="Medellín"/>
    <x v="0"/>
    <s v="Habilitación Viviendas Metrosur"/>
    <x v="1"/>
    <n v="5"/>
    <s v="2025-10-20 21:44:08"/>
    <s v="37 días 21:44"/>
    <s v="VENCIDO"/>
    <x v="2"/>
    <s v="SIN DATO"/>
    <s v="SIN DATO"/>
    <s v="SIN DATO"/>
    <s v="ABIERTO"/>
    <n v="-75.529994479999999"/>
    <n v="6.2390740999999998"/>
    <s v="SUR-ENE"/>
    <s v="Metropolitana Sur"/>
  </r>
  <r>
    <s v="23523326"/>
    <s v="ENERES"/>
    <s v="NUEVO"/>
    <s v="ENEDOM"/>
    <s v="26/08/2025 16:57:12"/>
    <s v="2025-12-03 21:56:51"/>
    <n v="1017223189"/>
    <s v="ESTEFANY JARAMILLO MAZO"/>
    <s v="SIN DATOS"/>
    <s v="3136152764"/>
    <s v="CL 47 CR 1 C -71 (INTERIOR 111 )"/>
    <x v="0"/>
    <s v="054017001300710111"/>
    <s v="Medellín"/>
    <x v="0"/>
    <s v="Habilitación Viviendas Metrosur"/>
    <x v="1"/>
    <n v="5"/>
    <s v="2025-12-11 21:56:51"/>
    <s v="2 días 21:56"/>
    <s v="3 días 21:56"/>
    <x v="0"/>
    <s v="SIN DATO"/>
    <s v="SIN DATO"/>
    <s v="SIN DATO"/>
    <s v="ABIERTO"/>
    <n v="-75.529985069999995"/>
    <n v="6.2283384999999996"/>
    <s v="SUR-ENE"/>
    <s v="Metropolitana Sur"/>
  </r>
  <r>
    <s v="23523835"/>
    <s v="ENERES"/>
    <s v="CAMBI"/>
    <s v="ENERES"/>
    <s v="27/08/2025 08:49:21"/>
    <s v="2025-12-03 12:16:05"/>
    <n v="901754188"/>
    <s v="INVERSIONES NEW POINT S.A.S"/>
    <s v="SIN DATOS"/>
    <s v="3007592623"/>
    <s v="RURAL_125006607300000040_LOTE 40"/>
    <x v="2"/>
    <s v="125006607300000040"/>
    <s v="Envigado"/>
    <x v="6"/>
    <s v="METROSUR Vin. Leg. Ref. Concentrada"/>
    <x v="0"/>
    <n v="10"/>
    <s v="2025-12-18 12:16:05"/>
    <s v="2 días 12:16"/>
    <s v="8 días 12:16"/>
    <x v="0"/>
    <s v="SIN DATO"/>
    <s v="SIN DATO"/>
    <s v="SIN DATO"/>
    <s v="ABIERTO"/>
    <n v="-75.536902999999995"/>
    <n v="6.1325729999999998"/>
    <s v="SUR-ENE"/>
    <s v="Metropolitana Sur"/>
  </r>
  <r>
    <s v="23524616"/>
    <s v="ENEGED"/>
    <s v="NUEVO"/>
    <s v="ENEGED"/>
    <s v="27/08/2025 15:30:44"/>
    <s v="2025-12-03 08:46:33"/>
    <n v="71581610"/>
    <s v="NELSON ALBERTO HENAO MAYA"/>
    <s v="5826101"/>
    <s v="3046495032"/>
    <s v="CL 43 C CR 115 B -10"/>
    <x v="0"/>
    <s v="084113305200100000"/>
    <s v="Medellín"/>
    <x v="1"/>
    <s v="AGPE Metropolitana Sur"/>
    <x v="1"/>
    <n v="7"/>
    <s v="2025-12-15 08:46:33"/>
    <s v="2 días 08:46"/>
    <s v="5 días 08:46"/>
    <x v="0"/>
    <s v="SIN DATO"/>
    <s v="SIN DATO"/>
    <s v="SIN DATO"/>
    <s v="CUMPLIDO"/>
    <n v="-75.624949270000002"/>
    <n v="6.2577030999999996"/>
    <s v="SUR-ENE"/>
    <s v="Metropolitana Sur"/>
  </r>
  <r>
    <s v="23525881"/>
    <s v="ENECNX"/>
    <s v="NUEVO"/>
    <s v="ENECNX"/>
    <s v="02/12/2025 14:49:52"/>
    <s v="2025-12-02 14:49:52"/>
    <n v="901850828"/>
    <s v="PREMIER PADEL S.A.S"/>
    <s v="SIN DATOS"/>
    <s v="3165238845"/>
    <s v="CR 43 A CL 46 SUR -49"/>
    <x v="2"/>
    <s v="024423106000490000"/>
    <s v="Envigado"/>
    <x v="4"/>
    <s v="Revisor Puntos de Conexión Metrosur"/>
    <x v="1"/>
    <n v="4"/>
    <s v="2025-12-09 14:49:52"/>
    <s v="3 días 14:49"/>
    <s v="1 días 14:49"/>
    <x v="1"/>
    <s v="SIN DATO"/>
    <s v="SIN DATO"/>
    <s v="SIN DATO"/>
    <s v="ABIERTO"/>
    <n v="-75.596267080000004"/>
    <n v="6.1637591699999996"/>
    <s v="SUR-ENE"/>
    <s v="Metropolitana Sur"/>
  </r>
  <r>
    <s v="23528312"/>
    <s v="ENERES"/>
    <s v="NUEVO"/>
    <s v="ENEDOM"/>
    <s v="01/09/2025 16:56:30"/>
    <s v="2025-12-03 19:05:12"/>
    <n v="1036679171"/>
    <s v="GERALDIN BOLIVAR PINILLO"/>
    <s v="SIN DATOS"/>
    <s v="3194030344"/>
    <s v="RURAL_163007228600000201_163007228600000201"/>
    <x v="1"/>
    <s v="163007228600000201"/>
    <s v="Itaguí"/>
    <x v="0"/>
    <s v="Habilitación Viviendas Metrosur"/>
    <x v="1"/>
    <n v="5"/>
    <s v="2025-12-11 19:05:12"/>
    <s v="2 días 19:05"/>
    <s v="3 días 19:05"/>
    <x v="0"/>
    <s v="SIN DATO"/>
    <s v="SIN DATO"/>
    <s v="SIN DATO"/>
    <s v="ABIERTO"/>
    <n v="-75.606211999999999"/>
    <n v="6.194585"/>
    <s v="SUR-ENE"/>
    <s v="Metropolitana Sur"/>
  </r>
  <r>
    <s v="23532150"/>
    <s v="ENENOR"/>
    <s v="NUEVO"/>
    <s v="ENENOR"/>
    <s v="05/09/2025 08:42:19"/>
    <s v="2025-12-03 21:55:59"/>
    <n v="70103322"/>
    <s v="JUAN IGNACIO URIBE GIRALDO"/>
    <s v="2214681"/>
    <s v="3108358334"/>
    <s v="CL 44 CR 6 AB -103 (INTERIOR 115 )"/>
    <x v="0"/>
    <s v="054014006121030115"/>
    <s v="Medellín"/>
    <x v="5"/>
    <s v="Revisor Instal. Regadas Metrosur"/>
    <x v="1"/>
    <n v="7"/>
    <s v="2025-12-15 21:55:59"/>
    <s v="2 días 21:55"/>
    <s v="5 días 21:55"/>
    <x v="0"/>
    <s v="SIN DATO"/>
    <s v="SIN DATO"/>
    <s v="SIN DATO"/>
    <s v="ABIERTO"/>
    <n v="-75.541150000000002"/>
    <n v="6.2267349999999997"/>
    <s v="SUR-ENE"/>
    <s v="Metropolitana Sur"/>
  </r>
  <r>
    <s v="23534535"/>
    <s v="ENERES"/>
    <s v="NUEVO"/>
    <s v="ENEDOM"/>
    <s v="09/09/2025 08:45:09"/>
    <s v="2025-12-03 09:52:22"/>
    <n v="3349275"/>
    <s v="JOSE BERTOLDO CARDONA BASTIDAS"/>
    <s v="4463426"/>
    <s v="3041267153"/>
    <s v="RURAL_146015339000000002_RURAL_PALMITAS"/>
    <x v="0"/>
    <s v="146015339000000002"/>
    <s v="Medellín"/>
    <x v="0"/>
    <s v="Habilitación Viviendas Metrosur"/>
    <x v="0"/>
    <n v="8"/>
    <s v="2025-12-16 09:52:22"/>
    <s v="2 días 09:52"/>
    <s v="6 días 09:52"/>
    <x v="0"/>
    <s v="SIN DATO"/>
    <s v="SIN DATO"/>
    <s v="SIN DATO"/>
    <s v="ABIERTO"/>
    <n v="-75.691736829999996"/>
    <n v="6.3258423300000004"/>
    <s v="SUR-ENE"/>
    <s v="Metropolitana Sur"/>
  </r>
  <r>
    <s v="23534910"/>
    <s v="ENERES"/>
    <s v="NUEVO"/>
    <s v="ENERES"/>
    <s v="09/09/2025 13:58:05"/>
    <s v="2025-12-02 21:42:14"/>
    <n v="43563533"/>
    <s v="CLAUDIA YANED VILLA RESTREPO"/>
    <s v="4747052"/>
    <s v="3007853552"/>
    <s v="CL 46 E SUR CR 38 -33 (INTERIOR 301 )"/>
    <x v="2"/>
    <s v="024316508000330301"/>
    <s v="Envigado"/>
    <x v="1"/>
    <s v="Revisor Instal. Regadas Metrosur"/>
    <x v="1"/>
    <n v="7"/>
    <s v="2025-12-12 21:42:14"/>
    <s v="3 días 21:42"/>
    <s v="4 días 21:42"/>
    <x v="0"/>
    <s v="SIN DATO"/>
    <s v="SIN DATO"/>
    <s v="SIN DATO"/>
    <s v="ABIERTO"/>
    <n v="-75.592139079999995"/>
    <n v="6.1574802399999999"/>
    <s v="SUR-ENE"/>
    <s v="Metropolitana Sur"/>
  </r>
  <r>
    <s v="23540723"/>
    <s v="ENERES"/>
    <s v="NUEVO"/>
    <s v="ENERES"/>
    <s v="16/09/2025 11:47:25"/>
    <s v="2025-11-27 21:43:02"/>
    <n v="21792152"/>
    <s v="AURA ALICIA ARAQUE ACEVEDO"/>
    <s v="SIN DATOS"/>
    <s v="3126081367"/>
    <s v="CR 118 CL 39 A -38 (INTERIOR 401 )"/>
    <x v="0"/>
    <s v="083128009100380401"/>
    <s v="Medellín"/>
    <x v="1"/>
    <s v="Revisor Instal. Regadas Metrosur"/>
    <x v="1"/>
    <n v="7"/>
    <s v="2025-12-09 21:43:02"/>
    <s v="6 días 21:43"/>
    <s v="1 días 21:43"/>
    <x v="1"/>
    <s v="SIN DATO"/>
    <s v="SIN DATO"/>
    <s v="SIN DATO"/>
    <s v="ABIERTO"/>
    <n v="-75.628726880000002"/>
    <n v="6.25090228"/>
    <s v="SUR-ENE"/>
    <s v="Metropolitana Sur"/>
  </r>
  <r>
    <s v="23542405"/>
    <s v="ENERES"/>
    <s v="NUEVO"/>
    <s v="ENERES"/>
    <s v="18/09/2025 08:44:58"/>
    <s v="2025-12-02 15:11:28"/>
    <n v="1064709921"/>
    <s v="SHIRLEY QUINTERO DE AGUAS"/>
    <s v="SIN DATOS"/>
    <s v="3206333548"/>
    <s v="CL 62 B CR 94 B -58"/>
    <x v="0"/>
    <s v="056912204200580000"/>
    <s v="Medellín"/>
    <x v="1"/>
    <s v="METROSUR Vin. Leg. Ref. Concentrada"/>
    <x v="1"/>
    <n v="7"/>
    <s v="2025-12-12 15:11:28"/>
    <s v="3 días 15:11"/>
    <s v="4 días 15:11"/>
    <x v="0"/>
    <s v="SIN DATO"/>
    <s v="SIN DATO"/>
    <s v="SIN DATO"/>
    <s v="ABIERTO"/>
    <n v="-75.605977999999993"/>
    <n v="6.2775800000000004"/>
    <s v="SUR-ENE"/>
    <s v="Metropolitana Sur"/>
  </r>
  <r>
    <s v="23542424"/>
    <s v="ENERES"/>
    <s v="NUEVO"/>
    <s v="ENERES"/>
    <s v="18/09/2025 09:02:58"/>
    <s v="2025-12-02 11:14:43"/>
    <n v="1064709921"/>
    <s v="SHIRLEY QUINTERO DE AGUAS"/>
    <s v="SIN DATOS"/>
    <s v="3206333548"/>
    <s v="CL 62 B CR 94 B -58 (INTERIOR 201 )"/>
    <x v="0"/>
    <s v="056912204200580201"/>
    <s v="Medellín"/>
    <x v="1"/>
    <s v="METROSUR Vin. Leg. Ref. Concentrada"/>
    <x v="1"/>
    <n v="7"/>
    <s v="2025-12-12 11:14:43"/>
    <s v="3 días 11:14"/>
    <s v="4 días 11:14"/>
    <x v="0"/>
    <s v="SIN DATO"/>
    <s v="SIN DATO"/>
    <s v="SIN DATO"/>
    <s v="ABIERTO"/>
    <n v="-75.605977999999993"/>
    <n v="6.2775800000000004"/>
    <s v="SUR-ENE"/>
    <s v="Metropolitana Sur"/>
  </r>
  <r>
    <s v="23543305"/>
    <s v="ENERES"/>
    <s v="NUEVO"/>
    <s v="ENEDOM"/>
    <s v="19/09/2025 12:44:41"/>
    <s v="2025-12-03 21:56:59"/>
    <n v="1067841809"/>
    <s v="GLENIS ARLETH GOMEZ AGAMES"/>
    <s v="SIN DATOS"/>
    <s v="3127019015"/>
    <s v="CL 18 D CR 89 -11 (INTERIOR 2181 )"/>
    <x v="0"/>
    <s v="051818409000112181"/>
    <s v="Medellín"/>
    <x v="2"/>
    <s v="Habilitación Viviendas Metrosur"/>
    <x v="1"/>
    <n v="5"/>
    <s v="2025-12-11 21:56:59"/>
    <s v="2 días 21:56"/>
    <s v="3 días 21:56"/>
    <x v="0"/>
    <s v="SIN DATO"/>
    <s v="SIN DATO"/>
    <s v="SIN DATO"/>
    <s v="ABIERTO"/>
    <n v="-75.611457569999999"/>
    <n v="6.2226487800000001"/>
    <s v="SUR-ENE"/>
    <s v="Metropolitana Sur"/>
  </r>
  <r>
    <s v="23543495"/>
    <s v="ENERES"/>
    <s v="NUEVO"/>
    <s v="ENEDOM"/>
    <s v="19/09/2025 10:23:20"/>
    <s v="2025-12-02 12:29:27"/>
    <n v="43839322"/>
    <s v="LUZ DARY MENDOZA PARRA"/>
    <s v="SIN DATOS"/>
    <s v="3014890587"/>
    <s v="RURAL_116005322810100059_CL 31C 110A 50(101)"/>
    <x v="0"/>
    <s v="116005322810100059"/>
    <s v="Medellín"/>
    <x v="0"/>
    <s v="Habilitación Viviendas Metrosur"/>
    <x v="1"/>
    <n v="5"/>
    <s v="2025-12-10 12:29:27"/>
    <s v="3 días 12:29"/>
    <s v="2 días 12:29"/>
    <x v="1"/>
    <s v="SIN DATO"/>
    <s v="SIN DATO"/>
    <s v="SIN DATO"/>
    <s v="ABIERTO"/>
    <n v="-75.630633329999995"/>
    <n v="6.2350233299999998"/>
    <s v="SUR-ENE"/>
    <s v="Metropolitana Sur"/>
  </r>
  <r>
    <s v="23543635"/>
    <s v="ENECNX"/>
    <s v="NUEVO"/>
    <s v="ENECNX"/>
    <s v="01/12/2025 11:29:03"/>
    <s v="2025-12-01 11:29:03"/>
    <n v="811023645"/>
    <s v="SOLUCIONES PLASTICAS S.A.S"/>
    <s v="4443168"/>
    <s v="3136478725"/>
    <s v="CR 45 A CL 72 -74"/>
    <x v="1"/>
    <s v="077425102000740000"/>
    <s v="Itaguí"/>
    <x v="4"/>
    <s v="Revisor Puntos de Conexión Metrosur"/>
    <x v="1"/>
    <n v="4"/>
    <s v="2025-12-05 11:29:03"/>
    <s v="4 días 11:29"/>
    <s v="VENCIDO"/>
    <x v="2"/>
    <s v="SIN DATO"/>
    <s v="SIN DATO"/>
    <s v="SIN DATO"/>
    <s v="CUMPLIDO"/>
    <n v="-75.59461426"/>
    <n v="6.1812020299999997"/>
    <s v="SUR-ENE"/>
    <s v="Metropolitana Sur"/>
  </r>
  <r>
    <s v="23543653"/>
    <s v="ENECNX"/>
    <s v="NUEVO"/>
    <s v="ENECNX"/>
    <s v="01/12/2025 11:44:27"/>
    <s v="2025-12-01 11:44:27"/>
    <n v="811023645"/>
    <s v="SOLUCIONES PLASTICAS S.A.S"/>
    <s v="4443168"/>
    <s v="3136478725"/>
    <s v="CR 45 A CL 72 -56"/>
    <x v="1"/>
    <s v="077425102000560000"/>
    <s v="Itaguí"/>
    <x v="4"/>
    <s v="Revisor Puntos de Conexión Metrosur"/>
    <x v="1"/>
    <n v="4"/>
    <s v="2025-12-05 11:44:27"/>
    <s v="4 días 11:44"/>
    <s v="0 días 11:44"/>
    <x v="4"/>
    <s v="SIN DATO"/>
    <s v="SIN DATO"/>
    <s v="SIN DATO"/>
    <s v="CUMPLIDO"/>
    <n v="-75.594845109999994"/>
    <n v="6.18098876"/>
    <s v="SUR-ENE"/>
    <s v="Metropolitana Sur"/>
  </r>
  <r>
    <s v="23543664"/>
    <s v="ENECNX"/>
    <s v="NUEVO"/>
    <s v="ENECNX"/>
    <s v="02/12/2025 13:20:05"/>
    <s v="2025-12-02 13:20:05"/>
    <n v="811023645"/>
    <s v="SOLUCIONES PLASTICAS S.A.S"/>
    <s v="4443168"/>
    <s v="3136478725"/>
    <s v="CR 45 A CL 72 -66"/>
    <x v="1"/>
    <s v="077425102000660000"/>
    <s v="Itaguí"/>
    <x v="4"/>
    <s v="Revisor Puntos de Conexión Metrosur"/>
    <x v="1"/>
    <n v="4"/>
    <s v="2025-12-09 13:20:05"/>
    <s v="3 días 13:20"/>
    <s v="1 días 13:20"/>
    <x v="1"/>
    <s v="SIN DATO"/>
    <s v="SIN DATO"/>
    <s v="SIN DATO"/>
    <s v="CUMPLIDO"/>
    <n v="-75.594845109999994"/>
    <n v="6.18098876"/>
    <s v="SUR-ENE"/>
    <s v="Metropolitana Sur"/>
  </r>
  <r>
    <s v="23543674"/>
    <s v="ENENOR"/>
    <s v="NUEVO"/>
    <s v="ENENOR"/>
    <s v="19/09/2025 12:51:35"/>
    <s v="2025-12-02 09:30:26"/>
    <n v="71393065"/>
    <s v="OSCAR DARIO CORREA VELEZ"/>
    <s v="3004072"/>
    <s v="3128171344"/>
    <s v="CR 51 CL 129 SUR -59"/>
    <x v="3"/>
    <s v="002521009000590000"/>
    <s v="Caldas"/>
    <x v="5"/>
    <s v="Revisor Instal. Regadas Metrosur"/>
    <x v="1"/>
    <n v="7"/>
    <s v="2025-12-12 09:30:26"/>
    <s v="3 días 09:30"/>
    <s v="4 días 09:30"/>
    <x v="0"/>
    <s v="SIN DATO"/>
    <s v="SIN DATO"/>
    <s v="SIN DATO"/>
    <s v="ABIERTO"/>
    <n v="-75.636893520000001"/>
    <n v="6.0916210099999999"/>
    <s v="SUR-ENE"/>
    <s v="Metropolitana Sur"/>
  </r>
  <r>
    <s v="23543684"/>
    <s v="ENECNX"/>
    <s v="NUEVO"/>
    <s v="ENECNX"/>
    <s v="01/12/2025 12:58:27"/>
    <s v="2025-12-01 12:58:27"/>
    <n v="811023645"/>
    <s v="SOLUCIONES PLASTICAS S.A.S"/>
    <s v="4443168"/>
    <s v="3136478725"/>
    <s v="CR 45 A CL 72 -72"/>
    <x v="1"/>
    <s v="077425102000720000"/>
    <s v="Itaguí"/>
    <x v="4"/>
    <s v="Revisor Puntos de Conexión Metrosur"/>
    <x v="1"/>
    <n v="4"/>
    <s v="2025-12-05 12:58:27"/>
    <s v="4 días 12:58"/>
    <s v="0 días 12:58"/>
    <x v="4"/>
    <s v="SIN DATO"/>
    <s v="SIN DATO"/>
    <s v="SIN DATO"/>
    <s v="CUMPLIDO"/>
    <n v="-75.594626149999996"/>
    <n v="6.1811885200000001"/>
    <s v="SUR-ENE"/>
    <s v="Metropolitana Sur"/>
  </r>
  <r>
    <s v="23543746"/>
    <s v="ENERES"/>
    <s v="NUEVO"/>
    <s v="ENERES"/>
    <s v="19/09/2025 14:00:24"/>
    <s v="2025-12-01 15:35:25"/>
    <n v="1128388928"/>
    <s v="JOVAN ARLEY PEREZ LOAIZA"/>
    <s v="SIN DATOS"/>
    <s v="3217051391"/>
    <s v="CL 44 AA CR 10 C -12 (INTERIOR 209 )"/>
    <x v="0"/>
    <s v="054114110300120209"/>
    <s v="Medellín"/>
    <x v="1"/>
    <s v="Revisor Instal. Regadas Metrosur"/>
    <x v="1"/>
    <n v="7"/>
    <s v="2025-12-11 15:35:25"/>
    <s v="4 días 15:35"/>
    <s v="3 días 15:35"/>
    <x v="0"/>
    <s v="SIN DATO"/>
    <s v="SIN DATO"/>
    <s v="SIN DATO"/>
    <s v="ABIERTO"/>
    <n v="-75.544354949999999"/>
    <n v="6.2278413800000001"/>
    <s v="SUR-ENE"/>
    <s v="Metropolitana Sur"/>
  </r>
  <r>
    <s v="23543747"/>
    <s v="ENERES"/>
    <s v="NUEVO"/>
    <s v="ENERES"/>
    <s v="19/09/2025 14:01:20"/>
    <s v="2025-12-01 15:34:38"/>
    <n v="1128388928"/>
    <s v="JOVAN ARLEY PEREZ LOAIZA"/>
    <s v="SIN DATOS"/>
    <s v="3243514453"/>
    <s v="CR 10 C CL 44 AA -11 (INTERIOR 301 )"/>
    <x v="0"/>
    <s v="054120304110110301"/>
    <s v="Medellín"/>
    <x v="1"/>
    <s v="Revisor Instal. Regadas Metrosur"/>
    <x v="1"/>
    <n v="7"/>
    <s v="2025-12-11 15:34:38"/>
    <s v="4 días 15:34"/>
    <s v="3 días 15:34"/>
    <x v="0"/>
    <s v="SIN DATO"/>
    <s v="SIN DATO"/>
    <s v="SIN DATO"/>
    <s v="ABIERTO"/>
    <n v="-75.544077000000001"/>
    <n v="6.2279309999999999"/>
    <s v="SUR-ENE"/>
    <s v="Metropolitana Sur"/>
  </r>
  <r>
    <s v="23547105"/>
    <s v="ENERES"/>
    <s v="NUEVO"/>
    <s v="ENEDOM"/>
    <s v="02/12/2025 09:13:40"/>
    <s v="2025-12-02 09:13:40"/>
    <n v="15257247"/>
    <s v="LIBARDO DE JESUS ARRUBLA LOPEZ"/>
    <s v="SIN DATOS"/>
    <s v="3122106406"/>
    <s v="161004600000000101"/>
    <x v="3"/>
    <s v="161004600000000004"/>
    <s v="Caldas"/>
    <x v="2"/>
    <s v="Habilitación Viviendas Metrosur"/>
    <x v="0"/>
    <n v="8"/>
    <s v="2025-12-15 09:13:40"/>
    <s v="3 días 09:13"/>
    <s v="5 días 09:13"/>
    <x v="0"/>
    <s v="SIN DATO"/>
    <s v="SIN DATO"/>
    <s v="SIN DATO"/>
    <s v="ABIERTO"/>
    <n v="-75.626904001"/>
    <n v="6.0546154810000399"/>
    <s v="SUR-ENE"/>
    <s v="Metropolitana Sur"/>
  </r>
  <r>
    <s v="23547778"/>
    <s v="ENERES"/>
    <s v="NUEVO"/>
    <s v="ENERES"/>
    <s v="24/09/2025 08:38:46"/>
    <s v="2025-12-01 09:14:26"/>
    <n v="70054372"/>
    <s v="HUMBERTO DE JESUS LOPEZ ALZATE"/>
    <s v="5047400"/>
    <s v="3154247826"/>
    <s v="CL 59 A CR 21 B -38 (INTERIOR 210 )"/>
    <x v="0"/>
    <s v="055219101200380210"/>
    <s v="Medellín"/>
    <x v="1"/>
    <s v="METROSUR Vin. Leg. Ref. Concentrada"/>
    <x v="1"/>
    <n v="7"/>
    <s v="2025-12-11 09:14:26"/>
    <s v="4 días 09:14"/>
    <s v="3 días 09:14"/>
    <x v="0"/>
    <s v="SIN DATO"/>
    <s v="SIN DATO"/>
    <s v="SIN DATO"/>
    <s v="ABIERTO"/>
    <n v="-75.544681420000003"/>
    <n v="6.2534018700000003"/>
    <s v="SUR-ENE"/>
    <s v="Metropolitana Sur"/>
  </r>
  <r>
    <s v="23548763"/>
    <s v="ENERES"/>
    <s v="NUEVO"/>
    <s v="ENERES"/>
    <s v="25/09/2025 08:03:09"/>
    <s v="2025-12-04 09:12:49"/>
    <n v="39162756"/>
    <s v="MARIA EUGENIA QUIROZ"/>
    <s v="2784496"/>
    <s v="3207132285"/>
    <s v="RURAL_161050310000000002_SECTORLAQUIEBRACERCANOALA"/>
    <x v="3"/>
    <s v="161050310000000002"/>
    <s v="Caldas"/>
    <x v="1"/>
    <s v="Revisor Instal. Regadas Metrosur"/>
    <x v="0"/>
    <n v="10"/>
    <s v="2025-12-19 09:12:49"/>
    <s v="0 días 09:12"/>
    <s v="9 días 09:12"/>
    <x v="0"/>
    <s v="SIN DATO"/>
    <s v="SIN DATO"/>
    <s v="SIN DATO"/>
    <s v="ABIERTO"/>
    <n v="-75.648542280000001"/>
    <n v="6.0595225700000004"/>
    <s v="SUR-ENE"/>
    <s v="Metropolitana Sur"/>
  </r>
  <r>
    <s v="23549171"/>
    <s v="ENERES"/>
    <s v="NUEVO"/>
    <s v="ENEDOM"/>
    <s v="25/09/2025 13:01:02"/>
    <s v="2025-12-02 09:49:55"/>
    <n v="1152214018"/>
    <s v="KELLY JHOANA GONZALEZ ALVAREZ"/>
    <s v="SIN DATOS"/>
    <s v="3128736678"/>
    <s v="CL 39 AD CR 117 B -54 (INTERIOR 301 )"/>
    <x v="0"/>
    <s v="083119147200540301"/>
    <s v="Medellín"/>
    <x v="0"/>
    <s v="Habilitación Viviendas Metrosur"/>
    <x v="1"/>
    <n v="5"/>
    <s v="2025-12-10 09:49:55"/>
    <s v="3 días 09:49"/>
    <s v="2 días 09:49"/>
    <x v="1"/>
    <s v="SIN DATO"/>
    <s v="SIN DATO"/>
    <s v="SIN DATO"/>
    <s v="ABIERTO"/>
    <n v="-75.628469069999994"/>
    <n v="6.2517401399999999"/>
    <s v="SUR-ENE"/>
    <s v="Metropolitana Sur"/>
  </r>
  <r>
    <s v="23551937"/>
    <s v="ENERES"/>
    <s v="NUEVO"/>
    <s v="ENERES"/>
    <s v="29/09/2025 17:31:16"/>
    <s v="2025-12-02 21:48:58"/>
    <n v="42701475"/>
    <s v="MARTHA ISABEL MONTOYA METRIO"/>
    <s v="4194121"/>
    <s v="3502519825"/>
    <s v="RURAL_147048080000000002_PROV.LA CUMBRE - TRAVESIA"/>
    <x v="0"/>
    <s v="147048080000000002"/>
    <s v="Medellín"/>
    <x v="1"/>
    <s v="Revisor Instal. Regadas Metrosur"/>
    <x v="0"/>
    <n v="10"/>
    <s v="2025-12-17 21:48:58"/>
    <s v="3 días 21:48"/>
    <s v="7 días 21:48"/>
    <x v="0"/>
    <s v="SIN DATO"/>
    <s v="SIN DATO"/>
    <s v="SIN DATO"/>
    <s v="ABIERTO"/>
    <n v="-75.644229820000007"/>
    <n v="6.2926935999999998"/>
    <s v="SUR-ENE"/>
    <s v="Metropolitana Sur"/>
  </r>
  <r>
    <s v="23553892"/>
    <s v="ENERES"/>
    <s v="NUEVO"/>
    <s v="ENEDOM"/>
    <s v="01/10/2025 16:19:46"/>
    <s v="2025-12-01 10:53:24"/>
    <n v="1017190701"/>
    <s v="VIVANA ALEJANDRA CARTAGENA CLAVIJO"/>
    <s v="SIN DATOS"/>
    <s v="3011790989"/>
    <s v="CR 17 D CL 56 BB -58 (INTERIOR 201 )"/>
    <x v="0"/>
    <s v="055127406220580201"/>
    <s v="Medellín"/>
    <x v="0"/>
    <s v="Habilitación Viviendas Metrosur"/>
    <x v="1"/>
    <n v="5"/>
    <s v="2025-12-09 10:53:24"/>
    <s v="4 días 10:53"/>
    <s v="1 días 10:53"/>
    <x v="1"/>
    <s v="SIN DATO"/>
    <s v="SIN DATO"/>
    <s v="SIN DATO"/>
    <s v="ABIERTO"/>
    <n v="-75.542079999999999"/>
    <n v="6.2385770000000003"/>
    <s v="SUR-ENE"/>
    <s v="Metropolitana Sur"/>
  </r>
  <r>
    <s v="23555631"/>
    <s v="ENERES"/>
    <s v="NUEVO"/>
    <s v="ENERES"/>
    <s v="03/10/2025 11:06:49"/>
    <s v="2025-12-03 09:35:20"/>
    <n v="901024521"/>
    <s v="AGROAVICOLA NACIONAL S.A.S."/>
    <s v="SIN DATOS"/>
    <s v="3008238906"/>
    <s v="RURAL_146005140000000004_ QUINTA DE BOLIVAR LOTE 4"/>
    <x v="0"/>
    <s v="146005140000000004"/>
    <s v="Medellín"/>
    <x v="1"/>
    <s v="Revisor Instal. Regadas Metrosur"/>
    <x v="0"/>
    <n v="10"/>
    <s v="2025-12-18 09:35:20"/>
    <s v="2 días 09:35"/>
    <s v="8 días 09:35"/>
    <x v="0"/>
    <s v="SIN DATO"/>
    <s v="SIN DATO"/>
    <s v="SIN DATO"/>
    <s v="ABIERTO"/>
    <n v="-75.63756334"/>
    <n v="6.2986928799999999"/>
    <s v="SUR-ENE"/>
    <s v="Metropolitana Sur"/>
  </r>
  <r>
    <s v="23555715"/>
    <s v="ENERES"/>
    <s v="NUEVO"/>
    <s v="ENERES"/>
    <s v="03/10/2025 12:08:55"/>
    <s v="2025-12-03 21:58:35"/>
    <n v="901024521"/>
    <s v="AGROAVICOLA NACIONAL S.A.S."/>
    <s v="SIN DATOS"/>
    <s v="3008238906"/>
    <s v="RURAL_146005140000000001_PROV.QUINTA DE BOLIVAR LO"/>
    <x v="0"/>
    <s v="146005140000000001"/>
    <s v="Medellín"/>
    <x v="1"/>
    <s v="Revisor Instal. Regadas Metrosur"/>
    <x v="0"/>
    <n v="10"/>
    <s v="2025-12-18 21:58:35"/>
    <s v="2 días 21:58"/>
    <s v="8 días 21:58"/>
    <x v="0"/>
    <s v="SIN DATO"/>
    <s v="SIN DATO"/>
    <s v="SIN DATO"/>
    <s v="ABIERTO"/>
    <n v="-75.63756334"/>
    <n v="6.2986928799999999"/>
    <s v="SUR-ENE"/>
    <s v="Metropolitana Sur"/>
  </r>
  <r>
    <s v="23557007"/>
    <s v="ENERES"/>
    <s v="NUEVO"/>
    <s v="ENERES"/>
    <s v="06/10/2025 10:38:24"/>
    <s v="2025-12-03 21:58:13"/>
    <n v="43423343"/>
    <s v="DEYANIRA LUCIA CASTAÑO VANEGAS"/>
    <s v="5213763"/>
    <s v="3007796525"/>
    <s v="CL 47 CR 2 BB -163 (INTERIOR 525 )"/>
    <x v="0"/>
    <s v="054017002221630525"/>
    <s v="Medellín"/>
    <x v="1"/>
    <s v="Revisor Instal. Regadas Metrosur"/>
    <x v="1"/>
    <n v="7"/>
    <s v="2025-12-15 21:58:13"/>
    <s v="2 días 21:58"/>
    <s v="5 días 21:58"/>
    <x v="0"/>
    <s v="SIN DATO"/>
    <s v="SIN DATO"/>
    <s v="SIN DATO"/>
    <s v="ABIERTO"/>
    <n v="-75.533094090000006"/>
    <n v="6.2279673200000003"/>
    <s v="SUR-ENE"/>
    <s v="Metropolitana Sur"/>
  </r>
  <r>
    <s v="23557797"/>
    <s v="ENERES"/>
    <s v="NUEVO"/>
    <s v="ENEDOM"/>
    <s v="04/12/2025 09:46:41"/>
    <s v="2025-12-04 09:46:41"/>
    <n v="1128471237"/>
    <s v="MARIA ALEJANDRA SOTO MENESES"/>
    <s v="5068916"/>
    <s v="3003582054"/>
    <s v="CR 26 E CL 38 B -38 (INTERIOR 202 )"/>
    <x v="0"/>
    <s v="053226508200380202"/>
    <s v="Medellín"/>
    <x v="2"/>
    <s v="Habilitación Viviendas Metrosur"/>
    <x v="1"/>
    <n v="5"/>
    <s v="2025-12-12 09:46:41"/>
    <s v="0 días 09:46"/>
    <s v="4 días 09:46"/>
    <x v="0"/>
    <s v="SIN DATO"/>
    <s v="SIN DATO"/>
    <s v="SIN DATO"/>
    <s v="ABIERTO"/>
    <n v="-75.554452019999999"/>
    <n v="6.2318557300000004"/>
    <s v="SUR-ENE"/>
    <s v="Metropolitana Sur"/>
  </r>
  <r>
    <s v="23558288"/>
    <s v="ENERES"/>
    <s v="NUEVO"/>
    <s v="ENEDOM"/>
    <s v="04/12/2025 06:16:33"/>
    <s v="2025-12-04 06:16:33"/>
    <n v="98534250"/>
    <s v="JOSE IGNACIO SALDARRIAGA QUICENO"/>
    <s v="3778173"/>
    <s v="3242801597"/>
    <s v="RURAL_163012332000000301_RURAL ITAGUI EL PROGRESO"/>
    <x v="1"/>
    <s v="163012332000000301"/>
    <s v="Itaguí"/>
    <x v="2"/>
    <s v="Habilitación Viviendas Metrosur"/>
    <x v="1"/>
    <n v="5"/>
    <s v="2025-12-12 06:16:33"/>
    <s v="0 días 06:16"/>
    <s v="4 días 06:16"/>
    <x v="0"/>
    <s v="SIN DATO"/>
    <s v="SIN DATO"/>
    <s v="SIN DATO"/>
    <s v="ABIERTO"/>
    <n v="-75.616186999999996"/>
    <n v="6.1873360000000002"/>
    <s v="SUR-ENE"/>
    <s v="Metropolitana Sur"/>
  </r>
  <r>
    <s v="23558445"/>
    <s v="ENERES"/>
    <s v="NUEVO"/>
    <s v="ENEDOM"/>
    <s v="09/10/2025 14:41:25"/>
    <s v="2025-12-01 11:50:02"/>
    <n v="39416773"/>
    <s v="MARIA ISABEL ALZATE IDARRAGA"/>
    <s v="SIN DATOS"/>
    <s v="3138789836"/>
    <s v="RURAL_163007734700000231_PROV.163007734700000230"/>
    <x v="1"/>
    <s v="163007734700000231"/>
    <s v="Itaguí"/>
    <x v="2"/>
    <s v="Habilitación Viviendas Metrosur"/>
    <x v="1"/>
    <n v="5"/>
    <s v="2025-12-09 11:50:02"/>
    <s v="4 días 11:50"/>
    <s v="1 días 11:50"/>
    <x v="1"/>
    <s v="SIN DATO"/>
    <s v="SIN DATO"/>
    <s v="SIN DATO"/>
    <s v="ABIERTO"/>
    <n v="-75.606826999999996"/>
    <n v="6.1959679999999997"/>
    <s v="SUR-ENE"/>
    <s v="Metropolitana Sur"/>
  </r>
  <r>
    <s v="23558477"/>
    <s v="ENERES"/>
    <s v="NUEVO"/>
    <s v="ENERES"/>
    <s v="07/10/2025 12:41:34"/>
    <s v="2025-12-03 21:54:54"/>
    <n v="1036656922"/>
    <s v="SERGIO IVAN LOAIZA PEREZ"/>
    <s v="SIN DATOS"/>
    <s v="3052490105"/>
    <s v="CR 47 CL 52 -62 (INTERIOR 307 )"/>
    <x v="0"/>
    <s v="055427002000620307"/>
    <s v="Medellín"/>
    <x v="1"/>
    <s v="Revisor Instal. Regadas Metrosur"/>
    <x v="1"/>
    <n v="7"/>
    <s v="2025-12-15 21:54:54"/>
    <s v="2 días 21:54"/>
    <s v="5 días 21:54"/>
    <x v="0"/>
    <s v="SIN DATO"/>
    <s v="SIN DATO"/>
    <s v="SIN DATO"/>
    <s v="ABIERTO"/>
    <n v="-75.565184029999998"/>
    <n v="6.25007819"/>
    <s v="SUR-ENE"/>
    <s v="Metropolitana Sur"/>
  </r>
  <r>
    <s v="23559440"/>
    <s v="ENERES"/>
    <s v="NUEVO"/>
    <s v="ENEDOM"/>
    <s v="08/10/2025 11:32:54"/>
    <s v="2025-12-02 21:48:51"/>
    <n v="1036394848"/>
    <s v="ALEIDA TATIANA OROZCO OROZCO"/>
    <s v="SIN DATOS"/>
    <s v="3045688593"/>
    <s v="CL 47 D CR 1 -1 (INTERIOR 103 )"/>
    <x v="0"/>
    <s v="054017401000010103"/>
    <s v="Medellín"/>
    <x v="0"/>
    <s v="Habilitación Viviendas Metrosur"/>
    <x v="1"/>
    <n v="5"/>
    <s v="2025-12-10 21:48:51"/>
    <s v="3 días 21:48"/>
    <s v="2 días 21:48"/>
    <x v="1"/>
    <s v="SIN DATO"/>
    <s v="SIN DATO"/>
    <s v="SIN DATO"/>
    <s v="ABIERTO"/>
    <n v="-75.528377359999993"/>
    <n v="6.2289898800000003"/>
    <s v="SUR-ENE"/>
    <s v="Metropolitana Sur"/>
  </r>
  <r>
    <s v="23559549"/>
    <s v="ENERES"/>
    <s v="NUEVO"/>
    <s v="ENEDOM"/>
    <s v="08/10/2025 12:54:28"/>
    <s v="2025-11-28 21:46:24"/>
    <n v="1038416085"/>
    <s v="DUVERNEY CARDONA HENAO"/>
    <s v="4275913"/>
    <s v="3106845109"/>
    <s v="RURAL_146019299009500001_LA ALDEA"/>
    <x v="0"/>
    <s v="146019299009500001"/>
    <s v="Medellín"/>
    <x v="0"/>
    <s v="Habilitación Viviendas Metrosur"/>
    <x v="0"/>
    <n v="8"/>
    <s v="2025-12-11 21:46:24"/>
    <s v="5 días 21:46"/>
    <s v="3 días 21:46"/>
    <x v="0"/>
    <s v="SIN DATO"/>
    <s v="SIN DATO"/>
    <s v="SIN DATO"/>
    <s v="ABIERTO"/>
    <n v="-75.703687000000002"/>
    <n v="6.3443120000000004"/>
    <s v="SUR-ENE"/>
    <s v="Metropolitana Sur"/>
  </r>
  <r>
    <s v="23559891"/>
    <s v="ENERES"/>
    <s v="NUEVO"/>
    <s v="ENERES"/>
    <s v="08/10/2025 16:17:49"/>
    <s v="2025-12-03 21:54:15"/>
    <n v="43997608"/>
    <s v="SANDRA MILENA BUILES JARAMILLO"/>
    <s v="SIN DATOS"/>
    <s v="3046186726"/>
    <s v="RURAL_055420109000850003 CR 40 A CL 59 -85"/>
    <x v="0"/>
    <s v="055420109000850003"/>
    <s v="Medellín"/>
    <x v="1"/>
    <s v="Revisor Instal. Regadas Metrosur"/>
    <x v="0"/>
    <n v="10"/>
    <s v="2025-12-18 21:54:15"/>
    <s v="2 días 21:54"/>
    <s v="8 días 21:54"/>
    <x v="0"/>
    <s v="SIN DATO"/>
    <s v="SIN DATO"/>
    <s v="SIN DATO"/>
    <s v="ABIERTO"/>
    <n v="-75.610884501000001"/>
    <n v="6.2574398200000596"/>
    <s v="SUR-ENE"/>
    <s v="Metropolitana Sur"/>
  </r>
  <r>
    <s v="23560464"/>
    <s v="ENERES"/>
    <s v="NUEVO"/>
    <s v="ENERES"/>
    <s v="09/10/2025 09:29:05"/>
    <s v="2025-12-03 13:01:32"/>
    <n v="42889162"/>
    <s v="CLAUDIA MARIA ECHEVERRI MESA"/>
    <s v="SIN DATOS"/>
    <s v="3104609752"/>
    <s v="RURAL_126007920000000101_MEDELLIN LAS PALMAS"/>
    <x v="0"/>
    <s v="126007920000000101"/>
    <s v="Medellín"/>
    <x v="1"/>
    <s v="Revisor Instal. Regadas Metrosur"/>
    <x v="0"/>
    <n v="10"/>
    <s v="2025-12-18 13:01:32"/>
    <s v="2 días 13:01"/>
    <s v="8 días 13:01"/>
    <x v="0"/>
    <s v="SIN DATO"/>
    <s v="SIN DATO"/>
    <s v="SIN DATO"/>
    <s v="ABIERTO"/>
    <n v="-75.542752089999993"/>
    <n v="6.1816147800000003"/>
    <s v="SUR-ENE"/>
    <s v="Metropolitana Sur"/>
  </r>
  <r>
    <s v="23560543"/>
    <s v="ENERES"/>
    <s v="NUEVO"/>
    <s v="ENEDOM"/>
    <s v="09/10/2025 10:46:07"/>
    <s v="2025-12-02 21:48:39"/>
    <n v="8289879"/>
    <s v="ARTURO NELSON CEBALLOS VERGARA"/>
    <s v="SIN DATOS"/>
    <s v="3128646193"/>
    <s v="CR 49 CL 88 -59 (INTERIOR 301 )"/>
    <x v="1"/>
    <s v="078429008000590301"/>
    <s v="Itaguí"/>
    <x v="0"/>
    <s v="Habilitación Viviendas Metrosur"/>
    <x v="1"/>
    <n v="5"/>
    <s v="2025-12-10 21:48:39"/>
    <s v="3 días 21:48"/>
    <s v="2 días 21:48"/>
    <x v="1"/>
    <s v="SIN DATO"/>
    <s v="SIN DATO"/>
    <s v="SIN DATO"/>
    <s v="ABIERTO"/>
    <n v="-75.589319500000002"/>
    <n v="6.1942642799999996"/>
    <s v="SUR-ENE"/>
    <s v="Metropolitana Sur"/>
  </r>
  <r>
    <s v="23560880"/>
    <s v="ENERES"/>
    <s v="NUEVO"/>
    <s v="ENEDOM"/>
    <s v="09/10/2025 15:14:22"/>
    <s v="2025-12-03 21:56:27"/>
    <n v="43629651"/>
    <s v="ALBA LUCIA RODRIGUEZ SOTO"/>
    <s v="SIN DATOS"/>
    <s v="3044982550"/>
    <s v="CR 15 C CL 45 -24 (INTERIOR 301 )"/>
    <x v="0"/>
    <s v="054125305000240301"/>
    <s v="Medellín"/>
    <x v="0"/>
    <s v="Habilitación Viviendas Metrosur"/>
    <x v="1"/>
    <n v="5"/>
    <s v="2025-12-11 21:56:27"/>
    <s v="2 días 21:56"/>
    <s v="3 días 21:56"/>
    <x v="0"/>
    <s v="SIN DATO"/>
    <s v="SIN DATO"/>
    <s v="SIN DATO"/>
    <s v="ABIERTO"/>
    <n v="-75.545248700000002"/>
    <n v="6.2323310300000001"/>
    <s v="SUR-ENE"/>
    <s v="Metropolitana Sur"/>
  </r>
  <r>
    <s v="23560979"/>
    <s v="ENERES"/>
    <s v="NUEVO"/>
    <s v="ENERES"/>
    <s v="09/10/2025 16:19:30"/>
    <s v="2025-11-29 13:02:35"/>
    <n v="86007707"/>
    <s v="WILMAR ALONSO RODRIGUEZ ZAPATA"/>
    <s v="5851364"/>
    <s v="3128927675"/>
    <s v="RURAL_116005480300000101_VEREDA BELEN AGUAS FRIAS"/>
    <x v="0"/>
    <s v="116005480300000101"/>
    <s v="Medellín"/>
    <x v="1"/>
    <s v="METROSUR Vin. Leg. Ref. Concentrada"/>
    <x v="1"/>
    <n v="7"/>
    <s v="2025-12-10 13:02:35"/>
    <s v="5 días 13:02"/>
    <s v="2 días 13:02"/>
    <x v="1"/>
    <s v="SIN DATO"/>
    <s v="SIN DATO"/>
    <s v="SIN DATO"/>
    <s v="ABIERTO"/>
    <n v="-75.632182"/>
    <n v="6.2337290000000003"/>
    <s v="SUR-ENE"/>
    <s v="Metropolitana Sur"/>
  </r>
  <r>
    <s v="23561419"/>
    <s v="ENERES"/>
    <s v="NUEVO"/>
    <s v="ENEDOM"/>
    <s v="10/10/2025 09:31:24"/>
    <s v="2025-12-02 21:48:35"/>
    <n v="1037592669"/>
    <s v="JUAN FELIPE RESTREPO MONCADA"/>
    <s v="2863630"/>
    <s v="3153493190"/>
    <s v="RURAL_103014839900000000"/>
    <x v="0"/>
    <s v="103014839900000000"/>
    <s v="Medellín"/>
    <x v="0"/>
    <s v="Habilitación Viviendas Metrosur"/>
    <x v="1"/>
    <n v="5"/>
    <s v="2025-12-10 21:48:35"/>
    <s v="3 días 21:48"/>
    <s v="2 días 21:48"/>
    <x v="1"/>
    <s v="SIN DATO"/>
    <s v="SIN DATO"/>
    <s v="SIN DATO"/>
    <s v="ABIERTO"/>
    <n v="-75.633408399999993"/>
    <n v="6.1853510600000003"/>
    <s v="SUR-ENE"/>
    <s v="Metropolitana Sur"/>
  </r>
  <r>
    <s v="23561465"/>
    <s v="ENERES"/>
    <s v="NUEVO"/>
    <s v="ENEDOM"/>
    <s v="10/10/2025 09:49:33"/>
    <s v="2025-12-03 21:56:34"/>
    <n v="1037572250"/>
    <s v="SANDRA MILENA CALLE MEJIA"/>
    <s v="2536538"/>
    <s v="3136639174"/>
    <s v="CR 102 CL 48 FA -48 (INTERIOR 104 )"/>
    <x v="0"/>
    <s v="084022008610480104"/>
    <s v="Medellín"/>
    <x v="0"/>
    <s v="Habilitación Viviendas Metrosur"/>
    <x v="1"/>
    <n v="5"/>
    <s v="2025-12-11 21:56:34"/>
    <s v="2 días 21:56"/>
    <s v="3 días 21:56"/>
    <x v="0"/>
    <s v="SIN DATO"/>
    <s v="SIN DATO"/>
    <s v="SIN DATO"/>
    <s v="ABIERTO"/>
    <n v="-75.616197999999997"/>
    <n v="6.2617079999999996"/>
    <s v="SUR-ENE"/>
    <s v="Metropolitana Sur"/>
  </r>
  <r>
    <s v="23561955"/>
    <s v="ENERES"/>
    <s v="NUEVO"/>
    <s v="ENEDOM"/>
    <s v="11/10/2025 14:50:18"/>
    <s v="2025-12-03 21:56:38"/>
    <n v="1017210550"/>
    <s v="LAURA ISABEL GIRALDO OSORIO"/>
    <s v="SIN DATOS"/>
    <s v="3004308795"/>
    <s v="CR 20 B CL 53 -30 (INTERIOR 110 )"/>
    <x v="0"/>
    <s v="055220203000300110"/>
    <s v="Medellín"/>
    <x v="0"/>
    <s v="Habilitación Viviendas Metrosur"/>
    <x v="1"/>
    <n v="5"/>
    <s v="2025-12-11 21:56:38"/>
    <s v="2 días 21:56"/>
    <s v="3 días 21:56"/>
    <x v="0"/>
    <s v="SIN DATO"/>
    <s v="SIN DATO"/>
    <s v="SIN DATO"/>
    <s v="ABIERTO"/>
    <n v="-75.54444977"/>
    <n v="6.2398160799999998"/>
    <s v="SUR-ENE"/>
    <s v="Metropolitana Sur"/>
  </r>
  <r>
    <s v="23565796"/>
    <s v="ENECNX"/>
    <s v="NUEVO"/>
    <s v="ENECNX"/>
    <s v="03/12/2025 09:05:47"/>
    <s v="2025-12-03 09:05:47"/>
    <n v="8162313"/>
    <s v="JUAN CAMILO BETANCUR MAYA"/>
    <s v="SIN DATOS"/>
    <s v="3508575159"/>
    <s v="RURAL_053799204200200000_DIAG 74 A TRAN 39 D -20"/>
    <x v="0"/>
    <s v="053799204200200000"/>
    <s v="Medellín"/>
    <x v="4"/>
    <s v="Revisor Puntos de Conexión Metrosur"/>
    <x v="0"/>
    <n v="4"/>
    <s v="2025-12-10 09:05:47"/>
    <s v="2 días 09:05"/>
    <s v="2 días 09:05"/>
    <x v="1"/>
    <s v="SIN DATO"/>
    <s v="SIN DATO"/>
    <s v="SIN DATO"/>
    <s v="CUMPLIDO"/>
    <n v="-75.596097999999998"/>
    <n v="6.2462520000000001"/>
    <s v="SUR-ENE"/>
    <s v="Metropolitana Sur"/>
  </r>
  <r>
    <s v="23567499"/>
    <s v="ENERES"/>
    <s v="NUEVO"/>
    <s v="ENEDOM"/>
    <s v="18/10/2025 07:13:26"/>
    <s v="2025-12-03 09:06:43"/>
    <n v="1017207547"/>
    <s v="YURY ANDREA JARAMILLO JARAMILLO"/>
    <s v="5971861"/>
    <s v="3245816650"/>
    <s v="CR 19 CL 57 A -14 (INTERIOR 100 )"/>
    <x v="0"/>
    <s v="055129007100140100"/>
    <s v="Medellín"/>
    <x v="0"/>
    <s v="Habilitación Viviendas Metrosur"/>
    <x v="1"/>
    <n v="5"/>
    <s v="2025-12-11 09:06:43"/>
    <s v="2 días 09:06"/>
    <s v="3 días 09:06"/>
    <x v="0"/>
    <s v="SIN DATO"/>
    <s v="SIN DATO"/>
    <s v="SIN DATO"/>
    <s v="ABIERTO"/>
    <n v="-75.541899689999994"/>
    <n v="6.2499323599999999"/>
    <s v="SUR-ENE"/>
    <s v="Metropolitana Sur"/>
  </r>
  <r>
    <s v="23567957"/>
    <s v="ENERES"/>
    <s v="NUEVO"/>
    <s v="ENEDOM"/>
    <s v="02/12/2025 09:26:46"/>
    <s v="2025-12-02 09:26:46"/>
    <n v="70567716"/>
    <s v="RIGOBERTO DE JESUS PEREZ CARDENAS"/>
    <s v="2782464"/>
    <s v="3016711530"/>
    <s v="161023684000000301"/>
    <x v="3"/>
    <s v="161023686000000002"/>
    <s v="Caldas"/>
    <x v="2"/>
    <s v="Habilitación Viviendas Metrosur"/>
    <x v="0"/>
    <n v="8"/>
    <s v="2025-12-15 09:26:46"/>
    <s v="3 días 09:26"/>
    <s v="5 días 09:26"/>
    <x v="0"/>
    <s v="SIN DATO"/>
    <s v="SIN DATO"/>
    <s v="SIN DATO"/>
    <s v="ABIERTO"/>
    <n v="-75.626904001"/>
    <n v="6.0546154810000399"/>
    <s v="SUR-ENE"/>
    <s v="Metropolitana Sur"/>
  </r>
  <r>
    <s v="23571574"/>
    <s v="ENERES"/>
    <s v="NUEVO"/>
    <s v="ENERES"/>
    <s v="23/10/2025 12:53:12"/>
    <s v="2025-12-03 10:29:53"/>
    <n v="15432150"/>
    <s v="AMADO DE JESUS MARTINEZ MARTINEZ"/>
    <s v="SIN DATOS"/>
    <s v="3116170533"/>
    <s v="RURAL_122003570000000301"/>
    <x v="0"/>
    <s v="122003570000000301"/>
    <s v="Medellín"/>
    <x v="1"/>
    <s v="Revisor Instal. Regadas Metrosur"/>
    <x v="0"/>
    <n v="10"/>
    <s v="2025-12-18 10:29:53"/>
    <s v="2 días 10:29"/>
    <s v="8 días 10:29"/>
    <x v="0"/>
    <s v="SIN DATO"/>
    <s v="SIN DATO"/>
    <s v="SIN DATO"/>
    <s v="ABIERTO"/>
    <n v="-75.521034470000004"/>
    <n v="6.2325751199999999"/>
    <s v="SUR-ENE"/>
    <s v="Metropolitana Sur"/>
  </r>
  <r>
    <s v="23571691"/>
    <s v="ENENOR"/>
    <s v="CAMBI"/>
    <s v="ENENOR"/>
    <s v="23/10/2025 14:47:24"/>
    <s v="2025-12-04 08:41:40"/>
    <n v="14450692"/>
    <s v="JOSE ANIBAL GARCIA GARCIA"/>
    <s v="SIN DATOS"/>
    <s v="3007832022"/>
    <s v="CR 76 CL 32 E -32"/>
    <x v="0"/>
    <s v="053726002500320000"/>
    <s v="Medellín"/>
    <x v="7"/>
    <s v="METROSUR Vin. Leg. Ref. Concentrada"/>
    <x v="1"/>
    <n v="7"/>
    <s v="2025-12-16 08:41:40"/>
    <s v="0 días 08:41"/>
    <s v="6 días 08:41"/>
    <x v="0"/>
    <s v="SIN DATO"/>
    <s v="SIN DATO"/>
    <s v="SIN DATO"/>
    <s v="ABIERTO"/>
    <n v="-75.596536599999993"/>
    <n v="6.23771437"/>
    <s v="SUR-ENE"/>
    <s v="Metropolitana Sur"/>
  </r>
  <r>
    <s v="23572180"/>
    <s v="ENEPRE"/>
    <s v="NUEVO"/>
    <s v="ENEPRE"/>
    <s v="24/10/2025 08:11:01"/>
    <s v="2025-11-25 09:20:11"/>
    <n v="1053809306"/>
    <s v="CIELO ZULEIMA MARIN DIAZ"/>
    <s v="SIN DATOS"/>
    <s v="3022190077"/>
    <s v="CR 18 B CL 56 F -28 (INTERIOR 242 )"/>
    <x v="0"/>
    <s v="055128206600280242"/>
    <s v="Medellín"/>
    <x v="3"/>
    <s v="Energía Prepago Metrosur"/>
    <x v="1"/>
    <n v="11"/>
    <s v="2025-12-11 09:20:11"/>
    <s v="8 días 09:20"/>
    <s v="3 días 09:20"/>
    <x v="0"/>
    <s v="SIN DATO"/>
    <s v="SIN DATO"/>
    <s v="SIN DATO"/>
    <s v="ABIERTO"/>
    <n v="-75.539640250000005"/>
    <n v="6.2475234500000001"/>
    <s v="SUR-ENE"/>
    <s v="Metropolitana Sur"/>
  </r>
  <r>
    <s v="23572681"/>
    <s v="ENEPRE"/>
    <s v="NUEVO"/>
    <s v="ENEPRE"/>
    <s v="13/11/2025 07:34:16"/>
    <s v="2025-11-13 07:34:16"/>
    <n v="1128407195"/>
    <s v="KARLA YARLEDI CARTAGENA MUÑOZ"/>
    <s v="SIN DATOS"/>
    <s v="3006708847"/>
    <s v="CL 39 DA CR 119 C -145 (INTERIOR 108 )"/>
    <x v="0"/>
    <s v="083119419301450108"/>
    <s v="Medellín"/>
    <x v="8"/>
    <s v="Revisor Instal. Regadas Metrosur"/>
    <x v="1"/>
    <n v="0"/>
    <m/>
    <s v="15 días 07:34"/>
    <m/>
    <x v="3"/>
    <s v="SIN DATO"/>
    <s v="SIN DATO"/>
    <s v="SIN DATO"/>
    <s v="CUMPLIDO"/>
    <n v="-75.630776999999995"/>
    <n v="6.2531040000000004"/>
    <s v="SUR-ENE"/>
    <s v="Metropolitana Sur"/>
  </r>
  <r>
    <s v="23573225"/>
    <s v="ENERES"/>
    <s v="NUEVO"/>
    <s v="ENERES"/>
    <s v="27/10/2025 07:47:22"/>
    <s v="2025-11-30 21:43:56"/>
    <n v="1017153579"/>
    <s v="JAIR ALEXANDER HOYOS LEGARDA"/>
    <s v="3208662"/>
    <s v="3215594494"/>
    <s v="CL 39 F CR 115 A -113 (INTERIOR 219 )"/>
    <x v="0"/>
    <s v="083119605101130219"/>
    <s v="Medellín"/>
    <x v="1"/>
    <s v="Revisor Instal. Regadas Metrosur"/>
    <x v="1"/>
    <n v="7"/>
    <s v="2025-12-10 21:43:56"/>
    <s v="5 días 21:43"/>
    <s v="2 días 21:43"/>
    <x v="1"/>
    <s v="SIN DATO"/>
    <s v="SIN DATO"/>
    <s v="SIN DATO"/>
    <s v="ABIERTO"/>
    <n v="-75.626585520000006"/>
    <n v="6.25529286"/>
    <s v="SUR-ENE"/>
    <s v="Metropolitana Sur"/>
  </r>
  <r>
    <s v="23575118"/>
    <s v="ENERES"/>
    <s v="NUEVO"/>
    <s v="ENERES"/>
    <s v="28/10/2025 12:13:17"/>
    <s v="2025-12-03 17:17:54"/>
    <n v="8356772"/>
    <s v="EDWIN ANDRES GAÑAN RUIZ"/>
    <s v="SIN DATOS"/>
    <s v="3117315614"/>
    <s v="CL 39 B CR 108 -26"/>
    <x v="0"/>
    <s v="083019208000260000"/>
    <s v="Medellín"/>
    <x v="1"/>
    <s v="Revisor Instal. Regadas Metrosur"/>
    <x v="1"/>
    <n v="7"/>
    <s v="2025-12-15 17:17:54"/>
    <s v="2 días 17:17"/>
    <s v="5 días 17:17"/>
    <x v="0"/>
    <s v="SIN DATO"/>
    <s v="SIN DATO"/>
    <s v="SIN DATO"/>
    <s v="ABIERTO"/>
    <n v="-75.621635350000005"/>
    <n v="6.2521930799999996"/>
    <s v="SUR-ENE"/>
    <s v="Metropolitana Sur"/>
  </r>
  <r>
    <s v="23575439"/>
    <s v="ENERES"/>
    <s v="NUEVO"/>
    <s v="ENERES"/>
    <s v="28/10/2025 17:02:08"/>
    <s v="2025-11-30 21:44:02"/>
    <n v="1036221092"/>
    <s v="EDILBERTO CASTAÑO PALACIO"/>
    <s v="SIN DATOS"/>
    <s v="3004993960"/>
    <s v="CL 9 A CR 15 -398 (INTERIOR 101 )"/>
    <x v="0"/>
    <s v="050119105003980101"/>
    <s v="Medellín"/>
    <x v="1"/>
    <s v="Revisor Instal. Regadas Metrosur"/>
    <x v="1"/>
    <n v="7"/>
    <s v="2025-12-10 21:44:02"/>
    <s v="5 días 21:44"/>
    <s v="2 días 21:44"/>
    <x v="1"/>
    <s v="SIN DATO"/>
    <s v="SIN DATO"/>
    <s v="SIN DATO"/>
    <s v="ABIERTO"/>
    <n v="-75.552690999999996"/>
    <n v="6.206321"/>
    <s v="SUR-ENE"/>
    <s v="Metropolitana Sur"/>
  </r>
  <r>
    <s v="23576738"/>
    <s v="ENERES"/>
    <s v="NUEVO"/>
    <s v="ENEDOM"/>
    <s v="02/12/2025 10:12:35"/>
    <s v="2025-12-02 10:12:35"/>
    <n v="1000922602"/>
    <s v="YAMILE ANDREA HENAO ATEHORTUA"/>
    <s v="SIN DATOS"/>
    <s v="3244697953"/>
    <s v="161021515000000201"/>
    <x v="3"/>
    <s v="161021516000000005"/>
    <s v="Caldas"/>
    <x v="2"/>
    <s v="Habilitación Viviendas Metrosur"/>
    <x v="0"/>
    <n v="8"/>
    <s v="2025-12-15 10:12:35"/>
    <s v="3 días 10:12"/>
    <s v="5 días 10:12"/>
    <x v="0"/>
    <s v="SIN DATO"/>
    <s v="SIN DATO"/>
    <s v="SIN DATO"/>
    <s v="ABIERTO"/>
    <n v="-75.626904001"/>
    <n v="6.0546154810000399"/>
    <s v="SUR-ENE"/>
    <s v="Metropolitana Sur"/>
  </r>
  <r>
    <s v="23578452"/>
    <s v="ENERES"/>
    <s v="NUEVO"/>
    <s v="ENEDOM"/>
    <s v="28/11/2025 07:16:35"/>
    <s v="2025-11-28 07:16:35"/>
    <n v="98520547"/>
    <s v="JUAN DE JESUS GUISAO MARIN"/>
    <s v="4461115"/>
    <s v="3128996452"/>
    <s v="CL 56 CR 102 -156 (INTERIOR 216 )"/>
    <x v="0"/>
    <s v="085016002001560216"/>
    <s v="Medellín"/>
    <x v="2"/>
    <s v="Habilitación Viviendas Metrosur"/>
    <x v="1"/>
    <n v="5"/>
    <s v="2025-12-05 07:16:35"/>
    <s v="5 días 07:16"/>
    <s v="VENCIDO"/>
    <x v="2"/>
    <s v="SIN DATO"/>
    <s v="SIN DATO"/>
    <s v="SIN DATO"/>
    <s v="ABIERTO"/>
    <n v="-75.612572119999996"/>
    <n v="6.2721151300000004"/>
    <s v="SUR-ENE"/>
    <s v="Metropolitana Sur"/>
  </r>
  <r>
    <s v="23581581"/>
    <s v="ENERES"/>
    <s v="NUEVO"/>
    <s v="ENERES"/>
    <s v="05/11/2025 07:32:17"/>
    <s v="2025-12-02 12:52:44"/>
    <n v="71392765"/>
    <s v="NOLBERTO DE JESUS BARRERA VELEZ"/>
    <s v="SIN DATOS"/>
    <s v="3215081446"/>
    <s v="RURAL_159066075000000101_VDA_LABERMEJALA"/>
    <x v="4"/>
    <s v="159066075000000101"/>
    <s v="La Estrella"/>
    <x v="1"/>
    <s v="Revisor Instal. Regadas Metrosur"/>
    <x v="1"/>
    <n v="7"/>
    <s v="2025-12-12 12:52:44"/>
    <s v="3 días 12:52"/>
    <s v="4 días 12:52"/>
    <x v="0"/>
    <s v="SIN DATO"/>
    <s v="SIN DATO"/>
    <s v="SIN DATO"/>
    <s v="ABIERTO"/>
    <n v="-75.639766519999995"/>
    <n v="6.1332967500000004"/>
    <s v="SUR-ENE"/>
    <s v="Metropolitana Sur"/>
  </r>
  <r>
    <s v="23581809"/>
    <s v="ENECNX"/>
    <s v="NUEVO"/>
    <s v="ENECNX"/>
    <s v="28/11/2025 10:51:55"/>
    <s v="2025-11-28 10:51:55"/>
    <n v="8235388"/>
    <s v="HUMBERTO GIRALDO VELEZ"/>
    <s v="4449982"/>
    <s v="3103876485"/>
    <s v="CR 41 CL 46 -103"/>
    <x v="1"/>
    <s v="074421006001030000"/>
    <s v="Itaguí"/>
    <x v="4"/>
    <s v="Revisor Puntos de Conexión Metrosur"/>
    <x v="1"/>
    <n v="4"/>
    <s v="2025-12-04 10:51:55"/>
    <s v="5 días 10:51"/>
    <s v="VENCIDO"/>
    <x v="2"/>
    <s v="SIN DATO"/>
    <s v="SIN DATO"/>
    <s v="SIN DATO"/>
    <s v="CUMPLIDO"/>
    <n v="-75.607604859999995"/>
    <n v="6.1648899000000004"/>
    <s v="SUR-ENE"/>
    <s v="Metropolitana Sur"/>
  </r>
  <r>
    <s v="23581816"/>
    <s v="ENERES"/>
    <s v="NUEVO"/>
    <s v="ENEDOM"/>
    <s v="26/11/2025 10:47:01"/>
    <s v="2025-12-03 11:56:33"/>
    <n v="43905763"/>
    <s v="LINA MARCELA TOBON RINCON"/>
    <s v="SIN DATOS"/>
    <s v="3206159818"/>
    <s v="CR 104 B CL 61 B -38 (INTERIOR 203 )"/>
    <x v="0"/>
    <s v="086024201200380203"/>
    <s v="Medellín"/>
    <x v="2"/>
    <s v="Habilitación Viviendas Metrosur"/>
    <x v="1"/>
    <n v="5"/>
    <s v="2025-12-11 11:56:33"/>
    <s v="2 días 11:56"/>
    <s v="3 días 11:56"/>
    <x v="0"/>
    <s v="SIN DATO"/>
    <s v="SIN DATO"/>
    <s v="SIN DATO"/>
    <s v="ABIERTO"/>
    <n v="-75.614079919999995"/>
    <n v="6.2759147000000004"/>
    <s v="SUR-ENE"/>
    <s v="Metropolitana Sur"/>
  </r>
  <r>
    <s v="23582032"/>
    <s v="ENENOR"/>
    <s v="NUEVO"/>
    <s v="ENENOR"/>
    <s v="05/11/2025 11:08:45"/>
    <s v="2025-12-03 16:02:33"/>
    <n v="890980331"/>
    <s v="MUNICIPIO SABANETA"/>
    <s v="6002972"/>
    <s v="3136365454"/>
    <s v="CL 71 SUR CR 45 -1 (INTERIOR 1 )"/>
    <x v="5"/>
    <s v="017411005000010001"/>
    <s v="Sabaneta"/>
    <x v="5"/>
    <s v="Revisor Instal. Regadas Metrosur"/>
    <x v="1"/>
    <n v="7"/>
    <s v="2025-12-15 16:02:33"/>
    <s v="2 días 16:02"/>
    <s v="5 días 16:02"/>
    <x v="0"/>
    <s v="SIN DATO"/>
    <s v="SIN DATO"/>
    <s v="SIN DATO"/>
    <s v="ABIERTO"/>
    <n v="-75.616439"/>
    <n v="6.1512349999999998"/>
    <s v="SUR-ENE"/>
    <s v="Metropolitana Sur"/>
  </r>
  <r>
    <s v="23582041"/>
    <s v="ENERES"/>
    <s v="NUEVO"/>
    <s v="ENEDOM"/>
    <s v="14/11/2025 13:28:05"/>
    <s v="2025-12-04 14:33:01"/>
    <n v="39457471"/>
    <s v="LEDY CONSUELO ZAPATA GRAJALES"/>
    <s v="SIN DATOS"/>
    <s v="3206433285"/>
    <s v="RURAL_122025750000000106_PROV.RURAL_12202575000000"/>
    <x v="0"/>
    <s v="122025750000000106"/>
    <s v="Medellín"/>
    <x v="2"/>
    <s v="Habilitación Viviendas Metrosur"/>
    <x v="0"/>
    <n v="8"/>
    <s v="2025-12-17 14:33:01"/>
    <s v="0 días 14:33"/>
    <s v="7 días 14:33"/>
    <x v="0"/>
    <s v="SIN DATO"/>
    <s v="SIN DATO"/>
    <s v="SIN DATO"/>
    <s v="ABIERTO"/>
    <n v="-75.517985139999993"/>
    <n v="6.2000392299999998"/>
    <s v="SUR-ENE"/>
    <s v="Metropolitana Sur"/>
  </r>
  <r>
    <s v="23582054"/>
    <s v="ENENOR"/>
    <s v="NUEVO"/>
    <s v="ENENOR"/>
    <s v="05/11/2025 11:17:27"/>
    <s v="2025-12-03 16:04:29"/>
    <n v="890980331"/>
    <s v="MUNICIPIO SABANETA"/>
    <s v="6002972"/>
    <s v="3136365454"/>
    <s v="CL 71 SUR CR 45 -1 (INTERIOR 2 )"/>
    <x v="5"/>
    <s v="017411005000010002"/>
    <s v="Sabaneta"/>
    <x v="5"/>
    <s v="Revisor Instal. Regadas Metrosur"/>
    <x v="1"/>
    <n v="7"/>
    <s v="2025-12-15 16:04:29"/>
    <s v="2 días 16:04"/>
    <s v="5 días 16:04"/>
    <x v="0"/>
    <s v="SIN DATO"/>
    <s v="SIN DATO"/>
    <s v="SIN DATO"/>
    <s v="ABIERTO"/>
    <n v="-75.616439"/>
    <n v="6.1512349999999998"/>
    <s v="SUR-ENE"/>
    <s v="Metropolitana Sur"/>
  </r>
  <r>
    <s v="23582456"/>
    <s v="ENERES"/>
    <s v="NUEVO"/>
    <s v="ENERES"/>
    <s v="05/11/2025 15:07:40"/>
    <s v="2025-12-04 11:31:50"/>
    <n v="1128430553"/>
    <s v="CHRISTIAN ANDRES PEREZ GIRALDO"/>
    <s v="0"/>
    <s v="3128386493"/>
    <s v="CL 46 D CR 2 AE -3 (INTERIOR 301 )"/>
    <x v="0"/>
    <s v="054016402150030301"/>
    <s v="Medellín"/>
    <x v="1"/>
    <s v="Revisor Instal. Regadas Metrosur"/>
    <x v="1"/>
    <n v="7"/>
    <s v="2025-12-16 11:31:50"/>
    <s v="0 días 11:31"/>
    <s v="6 días 11:31"/>
    <x v="0"/>
    <s v="SIN DATO"/>
    <s v="SIN DATO"/>
    <s v="SIN DATO"/>
    <s v="ABIERTO"/>
    <n v="-75.530640000000005"/>
    <n v="6.2282270000000004"/>
    <s v="SUR-ENE"/>
    <s v="Metropolitana Sur"/>
  </r>
  <r>
    <s v="23584029"/>
    <s v="ENENOR"/>
    <s v="CAMBI"/>
    <s v="ENENOR"/>
    <s v="06/11/2025 17:16:08"/>
    <s v="2025-12-01 09:52:51"/>
    <n v="43598334"/>
    <s v="ISABEL CRISTINA CORREA BETANCUR"/>
    <s v="2651806"/>
    <s v="3104551527"/>
    <s v="CR 65 B CL 25 -23 (INTERIOR 101 )"/>
    <x v="0"/>
    <s v="052625205000230101"/>
    <s v="Medellín"/>
    <x v="7"/>
    <s v="METROSUR Vin. Leg. Ref. Concentrada"/>
    <x v="1"/>
    <n v="7"/>
    <s v="2025-12-11 09:52:51"/>
    <s v="4 días 09:52"/>
    <s v="3 días 09:52"/>
    <x v="0"/>
    <s v="SIN DATO"/>
    <s v="SIN DATO"/>
    <s v="SIN DATO"/>
    <s v="ABIERTO"/>
    <n v="-75.584538330000001"/>
    <n v="6.2268114600000004"/>
    <s v="SUR-ENE"/>
    <s v="Metropolitana Sur"/>
  </r>
  <r>
    <s v="23584540"/>
    <s v="ENERES"/>
    <s v="NUEVO"/>
    <s v="ENEDOM"/>
    <s v="07/11/2025 09:49:33"/>
    <s v="2025-12-02 10:48:33"/>
    <n v="1035282732"/>
    <s v="YALENY CRISTINA OQUENDO HIGUITA"/>
    <s v="SIN DATOS"/>
    <s v="3168520710"/>
    <s v="CR 94 B CL 62 AA -20 (INTERIOR 109 )"/>
    <x v="0"/>
    <s v="056924202110200109"/>
    <s v="Medellín"/>
    <x v="0"/>
    <s v="Habilitación Viviendas Metrosur"/>
    <x v="1"/>
    <n v="5"/>
    <s v="2025-12-10 10:48:33"/>
    <s v="3 días 10:48"/>
    <s v="2 días 10:48"/>
    <x v="1"/>
    <s v="SIN DATO"/>
    <s v="SIN DATO"/>
    <s v="SIN DATO"/>
    <s v="ABIERTO"/>
    <n v="-75.606132000000002"/>
    <n v="6.2782210000000003"/>
    <s v="SUR-ENE"/>
    <s v="Metropolitana Sur"/>
  </r>
  <r>
    <s v="23584689"/>
    <s v="ENERES"/>
    <s v="NUEVO"/>
    <s v="ENEDOM"/>
    <s v="04/12/2025 06:15:12"/>
    <s v="2025-12-04 06:15:12"/>
    <n v="8303770"/>
    <s v="ELIAS CARDONA GARCIA"/>
    <s v="2382956"/>
    <s v="3195945493"/>
    <s v="CR 97 CL 18 -50 (INTERIOR 150 )"/>
    <x v="0"/>
    <s v="051927008000500150"/>
    <s v="Medellín"/>
    <x v="2"/>
    <s v="Habilitación Viviendas Metrosur"/>
    <x v="1"/>
    <n v="5"/>
    <s v="2025-12-12 06:15:12"/>
    <s v="0 días 06:15"/>
    <s v="4 días 06:15"/>
    <x v="0"/>
    <s v="SIN DATO"/>
    <s v="SIN DATO"/>
    <s v="SIN DATO"/>
    <s v="CUMPLIDO"/>
    <n v="-75.620059999999995"/>
    <n v="6.2235250000000004"/>
    <s v="SUR-ENE"/>
    <s v="Metropolitana Sur"/>
  </r>
  <r>
    <s v="23585492"/>
    <s v="ENERES"/>
    <s v="NUEVO"/>
    <s v="ENERES"/>
    <s v="08/11/2025 14:05:41"/>
    <s v="2025-12-03 14:48:49"/>
    <n v="900431348"/>
    <s v="ELITE MOTORS S.A.S."/>
    <s v="3122222"/>
    <s v="3136452476"/>
    <s v="CR 43 B CL 11 -10"/>
    <x v="0"/>
    <s v="051423201000100000"/>
    <s v="Medellín"/>
    <x v="1"/>
    <s v="METROSUR Vin. Leg. Ref. Concentrada"/>
    <x v="1"/>
    <n v="7"/>
    <s v="2025-12-15 14:48:49"/>
    <s v="2 días 14:48"/>
    <s v="5 días 14:48"/>
    <x v="0"/>
    <s v="SIN DATO"/>
    <s v="SIN DATO"/>
    <s v="SIN DATO"/>
    <s v="ABIERTO"/>
    <n v="-75.570388089999994"/>
    <n v="6.2114669100000004"/>
    <s v="SUR-ENE"/>
    <s v="Metropolitana Sur"/>
  </r>
  <r>
    <s v="23585511"/>
    <s v="ENERES"/>
    <s v="NUEVO"/>
    <s v="ENERES"/>
    <s v="08/11/2025 14:44:33"/>
    <s v="2025-12-02 17:16:26"/>
    <n v="98496242"/>
    <s v="JOSE EDGAR ZAPATA MONTOYA"/>
    <s v="SIN DATOS"/>
    <s v="3136724052"/>
    <s v="CL 60 CR 45 D -6 (INTERIOR 301 )"/>
    <x v="0"/>
    <s v="056410005400060301"/>
    <s v="Medellín"/>
    <x v="1"/>
    <s v="METROSUR Vin. Leg. Ref. Concentrada"/>
    <x v="1"/>
    <n v="7"/>
    <s v="2025-12-12 17:16:26"/>
    <s v="3 días 17:16"/>
    <s v="4 días 17:16"/>
    <x v="0"/>
    <s v="SIN DATO"/>
    <s v="SIN DATO"/>
    <s v="SIN DATO"/>
    <s v="ABIERTO"/>
    <n v="-75.560088019999995"/>
    <n v="6.2554830700000004"/>
    <s v="SUR-ENE"/>
    <s v="Metropolitana Sur"/>
  </r>
  <r>
    <s v="23585514"/>
    <s v="ENERES"/>
    <s v="NUEVO"/>
    <s v="ENERES"/>
    <s v="08/11/2025 14:48:18"/>
    <s v="2025-12-02 17:14:41"/>
    <n v="98496242"/>
    <s v="JOSE EDGAR ZAPATA MONTOYA"/>
    <s v="SIN DATOS"/>
    <s v="3136724052"/>
    <s v="CL 60 CR 45 D -6 (INTERIOR 302 )"/>
    <x v="0"/>
    <s v="056410005400060302"/>
    <s v="Medellín"/>
    <x v="1"/>
    <s v="METROSUR Vin. Leg. Ref. Concentrada"/>
    <x v="1"/>
    <n v="7"/>
    <s v="2025-12-12 17:14:41"/>
    <s v="3 días 17:14"/>
    <s v="4 días 17:14"/>
    <x v="0"/>
    <s v="SIN DATO"/>
    <s v="SIN DATO"/>
    <s v="SIN DATO"/>
    <s v="ABIERTO"/>
    <n v="-75.560088019999995"/>
    <n v="6.2554830700000004"/>
    <s v="SUR-ENE"/>
    <s v="Metropolitana Sur"/>
  </r>
  <r>
    <s v="23585759"/>
    <s v="ENEPRE"/>
    <s v="NUEVO"/>
    <s v="ENEPRE"/>
    <s v="10/11/2025 09:58:19"/>
    <s v="2025-12-02 10:32:50"/>
    <n v="1007844663"/>
    <s v="ALBANY PINO ASPRILLA"/>
    <s v="SIN DATOS"/>
    <s v="3245133432"/>
    <s v="CL 65 CR 16 DD -19 (INTERIOR 1183 )"/>
    <x v="0"/>
    <s v="056115006440191183"/>
    <s v="Medellín"/>
    <x v="0"/>
    <s v="Energía Prepago Metrosur"/>
    <x v="1"/>
    <n v="5"/>
    <s v="2025-12-10 10:32:50"/>
    <s v="3 días 10:32"/>
    <s v="2 días 10:32"/>
    <x v="1"/>
    <s v="SIN DATO"/>
    <s v="SIN DATO"/>
    <s v="SIN DATO"/>
    <s v="ABIERTO"/>
    <n v="-75.537087999999997"/>
    <n v="6.256869"/>
    <s v="SUR-ENE"/>
    <s v="Metropolitana Sur"/>
  </r>
  <r>
    <s v="23585784"/>
    <s v="ENEPRE"/>
    <s v="NUEVO"/>
    <s v="ENEPRE"/>
    <s v="10/11/2025 10:13:36"/>
    <s v="2025-12-02 09:34:24"/>
    <n v="71758692"/>
    <s v="FERNEY DE JESUS JIMENEZ ARANZAZU"/>
    <s v="SIN DATOS"/>
    <s v="3009088972"/>
    <s v="CL 65 CR 16 DD -19 (INTERIOR 1272 )"/>
    <x v="0"/>
    <s v="056115006440191272"/>
    <s v="Medellín"/>
    <x v="0"/>
    <s v="Energía Prepago Metrosur"/>
    <x v="1"/>
    <n v="5"/>
    <s v="2025-12-10 09:34:24"/>
    <s v="3 días 09:34"/>
    <s v="2 días 09:34"/>
    <x v="1"/>
    <s v="SIN DATO"/>
    <s v="SIN DATO"/>
    <s v="SIN DATO"/>
    <s v="ABIERTO"/>
    <n v="-75.537087999999997"/>
    <n v="6.256869"/>
    <s v="SUR-ENE"/>
    <s v="Metropolitana Sur"/>
  </r>
  <r>
    <s v="23586620"/>
    <s v="ENERES"/>
    <s v="NUEVO"/>
    <s v="ENEDOM"/>
    <s v="13/11/2025 13:02:15"/>
    <s v="2025-12-04 09:04:22"/>
    <n v="1013336059"/>
    <s v="HILLARY HERNANDEZ VALLE"/>
    <s v="SIN DATOS"/>
    <s v="3107188670"/>
    <s v="RURAL_122006389000000000"/>
    <x v="0"/>
    <s v="122006389000000000"/>
    <s v="Medellín"/>
    <x v="2"/>
    <s v="Habilitación Viviendas Metrosur"/>
    <x v="0"/>
    <n v="8"/>
    <s v="2025-12-17 09:04:22"/>
    <s v="0 días 09:04"/>
    <s v="7 días 09:04"/>
    <x v="0"/>
    <s v="SIN DATO"/>
    <s v="SIN DATO"/>
    <s v="SIN DATO"/>
    <s v="ABIERTO"/>
    <n v="-75.520844999999994"/>
    <n v="6.2407240000000002"/>
    <s v="SUR-ENE"/>
    <s v="Metropolitana Sur"/>
  </r>
  <r>
    <s v="23586652"/>
    <s v="ENERES"/>
    <s v="NUEVO"/>
    <s v="ENEDOM"/>
    <s v="13/11/2025 13:31:07"/>
    <s v="2025-12-03 11:49:01"/>
    <n v="1037609300"/>
    <s v="YESSICA ALEJANDRA RODAS GOMEZ"/>
    <s v="SIN DATOS"/>
    <s v="3046058781"/>
    <s v="RURAL_122006443000000000"/>
    <x v="0"/>
    <s v="122006443000000000"/>
    <s v="Medellín"/>
    <x v="2"/>
    <s v="Habilitación Viviendas Metrosur"/>
    <x v="0"/>
    <n v="8"/>
    <s v="2025-12-16 11:49:01"/>
    <s v="2 días 11:49"/>
    <s v="6 días 11:49"/>
    <x v="0"/>
    <s v="SIN DATO"/>
    <s v="SIN DATO"/>
    <s v="SIN DATO"/>
    <s v="ABIERTO"/>
    <n v="-75.521313629999995"/>
    <n v="6.2400936800000002"/>
    <s v="SUR-ENE"/>
    <s v="Metropolitana Sur"/>
  </r>
  <r>
    <s v="23586747"/>
    <s v="ENERES"/>
    <s v="NUEVO"/>
    <s v="ENERES"/>
    <s v="11/11/2025 07:51:25"/>
    <s v="2025-12-04 14:36:27"/>
    <n v="900383247"/>
    <s v="LAS PALMERAS CASA DE EVENTOS S.A.S."/>
    <s v="SIN DATOS"/>
    <s v="3136051259"/>
    <s v="CL 6 CR 14 -61 (LC  LT 10 )"/>
    <x v="0"/>
    <s v="050116004000610010"/>
    <s v="Medellín"/>
    <x v="1"/>
    <s v="Revisor Instal. Regadas Metrosur"/>
    <x v="1"/>
    <n v="7"/>
    <s v="2025-12-16 14:36:27"/>
    <s v="0 días 14:36"/>
    <s v="6 días 14:36"/>
    <x v="0"/>
    <s v="SIN DATO"/>
    <s v="SIN DATO"/>
    <s v="SIN DATO"/>
    <s v="ABIERTO"/>
    <n v="-75.550434999999993"/>
    <n v="6.200933"/>
    <s v="SUR-ENE"/>
    <s v="Metropolitana Sur"/>
  </r>
  <r>
    <s v="23587112"/>
    <s v="ENERES"/>
    <s v="NUEVO"/>
    <s v="ENEDOM"/>
    <s v="11/11/2025 10:32:44"/>
    <s v="2025-12-05 08:47:25"/>
    <n v="1041531494"/>
    <s v="SOANIR DE JESUS ALVAREZ MORENO"/>
    <s v="SIN DATOS"/>
    <s v="3128760430"/>
    <s v="CL 62 CR 110 -520 (INTERIOR 109 )"/>
    <x v="0"/>
    <s v="086112000005200109"/>
    <s v="Medellín"/>
    <x v="0"/>
    <s v="Habilitación Viviendas Metrosur"/>
    <x v="1"/>
    <n v="5"/>
    <s v="2025-12-15 08:47:25"/>
    <s v="0 días 08:47"/>
    <s v="5 días 08:47"/>
    <x v="0"/>
    <s v="SIN DATO"/>
    <s v="SIN DATO"/>
    <s v="SIN DATO"/>
    <s v="ABIERTO"/>
    <n v="-75.619372200000001"/>
    <n v="6.27540516"/>
    <s v="SUR-ENE"/>
    <s v="Metropolitana Sur"/>
  </r>
  <r>
    <s v="23587335"/>
    <s v="ENEPRE"/>
    <s v="NUEVO"/>
    <s v="ENEPRE"/>
    <s v="14/11/2025 13:37:12"/>
    <s v="2025-12-04 14:33:06"/>
    <n v="1128475772"/>
    <s v="ADELA MOSQUERA ASPRILLA"/>
    <s v="SIN DATOS"/>
    <s v="3195151532"/>
    <s v="CL 58 CR 102 A -115 (INTERIOR 175 )"/>
    <x v="0"/>
    <s v="085018002101150175"/>
    <s v="Medellín"/>
    <x v="3"/>
    <s v="Habilitación Viviendas Metrosur"/>
    <x v="1"/>
    <n v="11"/>
    <s v="2025-12-22 14:33:06"/>
    <s v="0 días 14:33"/>
    <s v="10 días 14:33"/>
    <x v="0"/>
    <s v="SIN DATO"/>
    <s v="SIN DATO"/>
    <s v="SIN DATO"/>
    <s v="ABIERTO"/>
    <n v="-75.611007999999998"/>
    <n v="6.2739089999999997"/>
    <s v="SUR-ENE"/>
    <s v="Metropolitana Sur"/>
  </r>
  <r>
    <s v="23587367"/>
    <s v="ENERES"/>
    <s v="NUEVO"/>
    <s v="ENEDOM"/>
    <s v="11/11/2025 12:21:02"/>
    <s v="2025-12-03 14:48:41"/>
    <n v="1017149637"/>
    <s v="LUZ DELIA GUISAO URREGO"/>
    <s v="SIN DATOS"/>
    <s v="3235124356"/>
    <s v="CR 107 CL 31 AA -103 (INTERIOR 104 )"/>
    <x v="0"/>
    <s v="083027001111030104"/>
    <s v="Medellín"/>
    <x v="0"/>
    <s v="Habilitación Viviendas Metrosur"/>
    <x v="1"/>
    <n v="5"/>
    <s v="2025-12-11 14:48:41"/>
    <s v="2 días 14:48"/>
    <s v="3 días 14:48"/>
    <x v="0"/>
    <s v="SIN DATO"/>
    <s v="SIN DATO"/>
    <s v="SIN DATO"/>
    <s v="ABIERTO"/>
    <n v="-75.625855999999999"/>
    <n v="6.2346209999999997"/>
    <s v="SUR-ENE"/>
    <s v="Metropolitana Sur"/>
  </r>
  <r>
    <s v="23587454"/>
    <s v="ENECNX"/>
    <s v="NUEVO"/>
    <s v="ENECNX"/>
    <s v="03/12/2025 16:52:05"/>
    <s v="2025-12-03 16:52:05"/>
    <n v="98537020"/>
    <s v="OSCAR IVAN FERNANDEZ RESTREPO"/>
    <s v="SIN DATOS"/>
    <s v="3122318544"/>
    <s v="RURAL_054612103300860000_TRAN 42 A DIAG 65 D -86"/>
    <x v="0"/>
    <s v="054612103300860000"/>
    <s v="Medellín"/>
    <x v="4"/>
    <s v="Revisor Puntos de Conexión Metrosur"/>
    <x v="0"/>
    <n v="4"/>
    <s v="2025-12-10 16:52:05"/>
    <s v="2 días 16:52"/>
    <s v="2 días 16:52"/>
    <x v="1"/>
    <s v="SIN DATO"/>
    <s v="SIN DATO"/>
    <s v="SIN DATO"/>
    <s v="CUMPLIDO"/>
    <n v="-75.582286999999994"/>
    <n v="6.2454109999999998"/>
    <s v="SUR-ENE"/>
    <s v="Metropolitana Sur"/>
  </r>
  <r>
    <s v="23587518"/>
    <s v="ENECNX"/>
    <s v="NUEVO"/>
    <s v="ENECNX"/>
    <s v="04/12/2025 09:40:39"/>
    <s v="2025-12-04 09:40:39"/>
    <n v="43909309"/>
    <s v="GICELA MARIA PRESIGA BORJA"/>
    <s v="SIN DATOS"/>
    <s v="3106776512"/>
    <s v="CL 63 A CR 41 -34"/>
    <x v="0"/>
    <s v="056413101000340000"/>
    <s v="Medellín"/>
    <x v="4"/>
    <s v="Revisor Puntos de Conexión Metrosur"/>
    <x v="1"/>
    <n v="4"/>
    <s v="2025-12-11 09:40:39"/>
    <s v="0 días 09:40"/>
    <s v="3 días 09:40"/>
    <x v="0"/>
    <s v="SIN DATO"/>
    <s v="SIN DATO"/>
    <s v="SIN DATO"/>
    <s v="CUMPLIDO"/>
    <n v="-75.555682160000003"/>
    <n v="6.2564309299999996"/>
    <s v="SUR-ENE"/>
    <s v="Metropolitana Sur"/>
  </r>
  <r>
    <s v="23587654"/>
    <s v="ENERES"/>
    <s v="NUEVO"/>
    <s v="ENERES"/>
    <s v="11/11/2025 16:13:25"/>
    <s v="2025-12-03 10:22:31"/>
    <n v="71786621"/>
    <s v="LUIS FELIPE MARIN SALAZAR"/>
    <s v="SIN DATOS"/>
    <s v="3186939273"/>
    <s v="CR 89 C CL 30 C -89 (INTERIOR 412 )"/>
    <x v="0"/>
    <s v="053829300300890412"/>
    <s v="Medellín"/>
    <x v="1"/>
    <s v="Revisor Instal. Regadas Metrosur"/>
    <x v="1"/>
    <n v="7"/>
    <s v="2025-12-15 10:22:31"/>
    <s v="2 días 10:22"/>
    <s v="5 días 10:22"/>
    <x v="0"/>
    <s v="SIN DATO"/>
    <s v="SIN DATO"/>
    <s v="SIN DATO"/>
    <s v="ABIERTO"/>
    <n v="-75.614237000000003"/>
    <n v="6.2338100000000001"/>
    <s v="SUR-ENE"/>
    <s v="Metropolitana Sur"/>
  </r>
  <r>
    <s v="23587709"/>
    <s v="ENECNX"/>
    <s v="NUEVO"/>
    <s v="ENECNX"/>
    <s v="29/11/2025 10:08:50"/>
    <s v="2025-11-29 10:08:50"/>
    <n v="70070329"/>
    <s v="HERNEY HERNANDEZ MARIN"/>
    <s v="SIN DATOS"/>
    <s v="3113686079"/>
    <s v="CL 80 SUR CR 47 E -19"/>
    <x v="5"/>
    <s v="018410007500190000"/>
    <s v="Sabaneta"/>
    <x v="4"/>
    <s v="Revisor Puntos de Conexión Metrosur"/>
    <x v="1"/>
    <n v="4"/>
    <s v="2025-12-04 10:08:50"/>
    <s v="5 días 10:08"/>
    <s v="VENCIDO"/>
    <x v="2"/>
    <s v="SIN DATO"/>
    <s v="SIN DATO"/>
    <s v="SIN DATO"/>
    <s v="CUMPLIDO"/>
    <n v="-75.627846000000005"/>
    <n v="6.1483949999999998"/>
    <s v="SUR-ENE"/>
    <s v="Metropolitana Sur"/>
  </r>
  <r>
    <s v="23588438"/>
    <s v="ENERES"/>
    <s v="NUEVO"/>
    <s v="ENEDOM"/>
    <s v="18/11/2025 15:57:30"/>
    <s v="2025-12-04 14:33:04"/>
    <n v="43584004"/>
    <s v="ISABEL CRISTINA RAMIREZ ORTIZ"/>
    <s v="4420629"/>
    <s v="3165749046"/>
    <s v="RURAL_147014008000000001_EL PATIO"/>
    <x v="0"/>
    <s v="147014008000000000"/>
    <s v="Medellín"/>
    <x v="2"/>
    <s v="Habilitación Viviendas Metrosur"/>
    <x v="0"/>
    <n v="8"/>
    <s v="2025-12-17 14:33:04"/>
    <s v="0 días 14:33"/>
    <s v="7 días 14:33"/>
    <x v="0"/>
    <s v="SIN DATO"/>
    <s v="SIN DATO"/>
    <s v="SIN DATO"/>
    <s v="ABIERTO"/>
    <n v="-75.645222000000004"/>
    <n v="6.2761290000000001"/>
    <s v="SUR-ENE"/>
    <s v="Metropolitana Sur"/>
  </r>
  <r>
    <s v="23590002"/>
    <s v="ENENOR"/>
    <s v="NUEVO"/>
    <s v="ENENOR"/>
    <s v="14/11/2025 07:24:47"/>
    <s v="2025-12-01 11:10:35"/>
    <n v="811042483"/>
    <s v="EMPRESA DE SERVICIS PUBLICOS DE SABANETA"/>
    <s v="SIN DATOS"/>
    <s v="3215202060"/>
    <s v="CL 75 B SUR CR 40 -20 (INTERIOR 6100 )"/>
    <x v="5"/>
    <s v="017415200000206100"/>
    <s v="Sabaneta"/>
    <x v="5"/>
    <s v="Revisor Instal. Regadas Metrosur"/>
    <x v="1"/>
    <n v="7"/>
    <s v="2025-12-11 11:10:35"/>
    <s v="4 días 11:10"/>
    <s v="3 días 11:10"/>
    <x v="0"/>
    <s v="SIN DATO"/>
    <s v="SIN DATO"/>
    <s v="SIN DATO"/>
    <s v="ABIERTO"/>
    <n v="-75.616736689999996"/>
    <n v="6.1456651899999999"/>
    <s v="SUR-ENE"/>
    <s v="Metropolitana Sur"/>
  </r>
  <r>
    <s v="23590046"/>
    <s v="ENERES"/>
    <s v="NUEVO"/>
    <s v="ENEDOM"/>
    <s v="01/12/2025 07:42:01"/>
    <s v="2025-12-01 07:42:01"/>
    <n v="1000395542"/>
    <s v="JULIAN  DAVID COLORADO  MURIEL"/>
    <s v="SIN DATOS"/>
    <s v="3019030504"/>
    <s v="CL 57 B CR 31 -70 (INTERIOR 201 )"/>
    <x v="0"/>
    <s v="055317201000700201"/>
    <s v="Medellín"/>
    <x v="2"/>
    <s v="Habilitación Viviendas Metrosur"/>
    <x v="1"/>
    <n v="5"/>
    <s v="2025-12-09 07:42:01"/>
    <s v="4 días 07:42"/>
    <s v="1 días 07:42"/>
    <x v="1"/>
    <s v="SIN DATO"/>
    <s v="SIN DATO"/>
    <s v="SIN DATO"/>
    <s v="ABIERTO"/>
    <n v="-75.55185788"/>
    <n v="6.24760867"/>
    <s v="SUR-ENE"/>
    <s v="Metropolitana Sur"/>
  </r>
  <r>
    <s v="23590424"/>
    <s v="ENENOR"/>
    <s v="NUEVO"/>
    <s v="ENENOR"/>
    <s v="14/11/2025 11:30:45"/>
    <s v="2025-12-04 09:06:47"/>
    <n v="51927043"/>
    <s v="DOLLY DEL SOCORRO RESTREPO ARROYABE"/>
    <s v="SIN DATOS"/>
    <s v="3228276623"/>
    <s v="RURAL_114014507600000202_VEREDA BELEN MANZANILLO"/>
    <x v="0"/>
    <s v="114014507600000202"/>
    <s v="Medellín"/>
    <x v="5"/>
    <s v="Revisor Instal. Regadas Metrosur"/>
    <x v="1"/>
    <n v="7"/>
    <s v="2025-12-16 09:06:47"/>
    <s v="0 días 09:06"/>
    <s v="6 días 09:06"/>
    <x v="0"/>
    <s v="SIN DATO"/>
    <s v="SIN DATO"/>
    <s v="SIN DATO"/>
    <s v="ABIERTO"/>
    <n v="-75.612179549999993"/>
    <n v="6.2063421600000002"/>
    <s v="SUR-ENE"/>
    <s v="Metropolitana Sur"/>
  </r>
  <r>
    <s v="23591045"/>
    <s v="ENERES"/>
    <s v="NUEVO"/>
    <s v="ENEDOM"/>
    <s v="19/11/2025 14:20:26"/>
    <s v="2025-12-04 14:32:58"/>
    <n v="1152193461"/>
    <s v="YEISON  CANO MUNOZ"/>
    <s v="4276863"/>
    <s v="3046590849"/>
    <s v="RURAL_147029967500000001_ VDA LA CUCHILLA"/>
    <x v="0"/>
    <s v="147029967500000001"/>
    <s v="Medellín"/>
    <x v="2"/>
    <s v="Habilitación Viviendas Metrosur"/>
    <x v="0"/>
    <n v="8"/>
    <s v="2025-12-17 14:32:58"/>
    <s v="0 días 14:32"/>
    <s v="7 días 14:32"/>
    <x v="0"/>
    <s v="SIN DATO"/>
    <s v="SIN DATO"/>
    <s v="SIN DATO"/>
    <s v="ABIERTO"/>
    <n v="-75.660049729999997"/>
    <n v="6.2966466399999996"/>
    <s v="SUR-ENE"/>
    <s v="Metropolitana Sur"/>
  </r>
  <r>
    <s v="23591823"/>
    <s v="ENECNX"/>
    <s v="NUEVO"/>
    <s v="ENECNX"/>
    <s v="26/11/2025 11:39:35"/>
    <s v="2025-11-26 11:39:35"/>
    <n v="1128408067"/>
    <s v="DANIEL MARTINEZ RIOS"/>
    <s v="0"/>
    <s v="3207319362"/>
    <s v="CR 57 CL 74 -4"/>
    <x v="1"/>
    <s v="077527004000040000"/>
    <s v="Itaguí"/>
    <x v="4"/>
    <s v="Revisor Puntos de Conexión Metrosur"/>
    <x v="1"/>
    <n v="4"/>
    <s v="2025-12-02 11:39:35"/>
    <s v="7 días 11:39"/>
    <s v="VENCIDO"/>
    <x v="2"/>
    <s v="SIN DATO"/>
    <s v="SIN DATO"/>
    <s v="SIN DATO"/>
    <s v="CUMPLIDO"/>
    <n v="-75.602134599999999"/>
    <n v="6.1890243800000002"/>
    <s v="SUR-ENE"/>
    <s v="Metropolitana Sur"/>
  </r>
  <r>
    <s v="23592446"/>
    <s v="ENERES"/>
    <s v="NUEVO"/>
    <s v="ENEDOM"/>
    <s v="18/11/2025 11:17:31"/>
    <s v="2025-12-01 14:20:37"/>
    <n v="43735242"/>
    <s v="GLORIA AMPARO URREGO RESTREPO"/>
    <s v="SIN DATOS"/>
    <s v="3145361309"/>
    <s v="CR 119 CL 39 DA -25 (INTERIOR 301 )"/>
    <x v="0"/>
    <s v="083129009410250301"/>
    <s v="Medellín"/>
    <x v="0"/>
    <s v="Habilitación Viviendas Metrosur"/>
    <x v="1"/>
    <n v="5"/>
    <s v="2025-12-09 14:20:37"/>
    <s v="4 días 14:20"/>
    <s v="1 días 14:20"/>
    <x v="1"/>
    <s v="SIN DATO"/>
    <s v="SIN DATO"/>
    <s v="SIN DATO"/>
    <s v="ABIERTO"/>
    <n v="-75.629223409999994"/>
    <n v="6.2538538199999998"/>
    <s v="SUR-ENE"/>
    <s v="Metropolitana Sur"/>
  </r>
  <r>
    <s v="23592938"/>
    <s v="ENEPRE"/>
    <s v="NUEVO"/>
    <s v="ENEPRE"/>
    <s v="18/11/2025 16:44:33"/>
    <s v="2025-12-03 13:44:34"/>
    <n v="43496135"/>
    <s v="BEATRIZ EUGENIA CASTAÑO GALLEGO"/>
    <s v="SIN DATOS"/>
    <s v="3113275871"/>
    <s v="CL 59 A CR 80 A -204"/>
    <x v="0"/>
    <s v="055819100102040000"/>
    <s v="Medellín"/>
    <x v="3"/>
    <s v="Energía Prepago Metrosur"/>
    <x v="1"/>
    <n v="11"/>
    <s v="2025-12-19 13:44:34"/>
    <s v="2 días 13:44"/>
    <s v="9 días 13:44"/>
    <x v="0"/>
    <s v="SIN DATO"/>
    <s v="SIN DATO"/>
    <s v="SIN DATO"/>
    <s v="ABIERTO"/>
    <n v="-75.596012999999999"/>
    <n v="6.2724909999999996"/>
    <s v="SUR-ENE"/>
    <s v="Metropolitana Sur"/>
  </r>
  <r>
    <s v="23592996"/>
    <s v="ENERES"/>
    <s v="NUEVO"/>
    <s v="ENERES"/>
    <s v="18/11/2025 17:37:29"/>
    <s v="2025-12-01 12:47:51"/>
    <n v="98628766"/>
    <s v="ALEXANDER VALENCIA"/>
    <s v="3168976"/>
    <s v="3003296658"/>
    <s v="CR 26 DD CL 37 -76 (INTERIOR 401 )"/>
    <x v="0"/>
    <s v="053226447000760401"/>
    <s v="Medellín"/>
    <x v="1"/>
    <s v="Revisor Instal. Regadas Metrosur"/>
    <x v="1"/>
    <n v="7"/>
    <s v="2025-12-11 12:47:51"/>
    <s v="4 días 12:47"/>
    <s v="3 días 12:47"/>
    <x v="0"/>
    <s v="SIN DATO"/>
    <s v="SIN DATO"/>
    <s v="SIN DATO"/>
    <s v="ABIERTO"/>
    <n v="-75.554820160000006"/>
    <n v="6.2299704399999998"/>
    <s v="SUR-ENE"/>
    <s v="Metropolitana Sur"/>
  </r>
  <r>
    <s v="23594362"/>
    <s v="ENERES"/>
    <s v="NUEVO"/>
    <s v="ENERES"/>
    <s v="19/11/2025 17:38:20"/>
    <s v="2025-12-03 06:25:11"/>
    <n v="1128448070"/>
    <s v="LYDA ESTHER ACOSTA MONTOYA"/>
    <s v="5124010"/>
    <s v="3105998171"/>
    <s v="CL 48 A CR 69 A -59 (INTERIOR 307 )"/>
    <x v="0"/>
    <s v="054618109100590307"/>
    <s v="Medellín"/>
    <x v="1"/>
    <s v="METROSUR Vin. Leg. Ref. Concentrada"/>
    <x v="1"/>
    <n v="7"/>
    <s v="2025-12-15 06:25:11"/>
    <s v="2 días 06:25"/>
    <s v="5 días 06:25"/>
    <x v="0"/>
    <s v="SIN DATO"/>
    <s v="SIN DATO"/>
    <s v="SIN DATO"/>
    <s v="ABIERTO"/>
    <n v="-75.588719999999995"/>
    <n v="6.2538049999999998"/>
    <s v="SUR-ENE"/>
    <s v="Metropolitana Sur"/>
  </r>
  <r>
    <s v="23595171"/>
    <s v="ENERES"/>
    <s v="NUEVO"/>
    <s v="ENEDOM"/>
    <s v="25/11/2025 10:32:49"/>
    <s v="2025-12-01 15:04:42"/>
    <n v="42781778"/>
    <s v="DURLEY RODRIGUEZ RESTREPO"/>
    <s v="3734780"/>
    <s v="3017914634"/>
    <s v="CL 35 CR 51 -4 (INTERIOR 101 )"/>
    <x v="1"/>
    <s v="073515001000040101"/>
    <s v="Itaguí"/>
    <x v="2"/>
    <s v="Habilitación Viviendas Metrosur"/>
    <x v="1"/>
    <n v="5"/>
    <s v="2025-12-09 15:04:42"/>
    <s v="4 días 15:04"/>
    <s v="1 días 15:04"/>
    <x v="1"/>
    <s v="SIN DATO"/>
    <s v="SIN DATO"/>
    <s v="SIN DATO"/>
    <s v="ABIERTO"/>
    <n v="-75.621526880000005"/>
    <n v="6.1674374299999997"/>
    <s v="SUR-ENE"/>
    <s v="Metropolitana Sur"/>
  </r>
  <r>
    <s v="23595268"/>
    <s v="ENERES"/>
    <s v="NUEVO"/>
    <s v="ENEDOM"/>
    <s v="20/11/2025 12:02:52"/>
    <s v="2025-12-04 10:14:37"/>
    <n v="8103260"/>
    <s v="JONHATAN VALENCIA OROZCO"/>
    <s v="SIN DATOS"/>
    <s v="3017109763"/>
    <s v="CL 46 CR 29 -68 (INTERIOR 201 )"/>
    <x v="0"/>
    <s v="054216009000680201"/>
    <s v="Medellín"/>
    <x v="0"/>
    <s v="Habilitación Viviendas Metrosur"/>
    <x v="1"/>
    <n v="5"/>
    <s v="2025-12-12 10:14:37"/>
    <s v="0 días 10:14"/>
    <s v="4 días 10:14"/>
    <x v="0"/>
    <s v="SIN DATO"/>
    <s v="SIN DATO"/>
    <s v="SIN DATO"/>
    <s v="ABIERTO"/>
    <n v="-75.553870099999997"/>
    <n v="6.2383464000000002"/>
    <s v="SUR-ENE"/>
    <s v="Metropolitana Sur"/>
  </r>
  <r>
    <s v="23595554"/>
    <s v="ENEMRT"/>
    <s v="NUEVO"/>
    <s v="ENEMVI"/>
    <s v="20/11/2025 15:03:58"/>
    <s v="2025-11-20 15:03:58"/>
    <n v="43036921"/>
    <s v="NURY DEL CARMEN TORRES SANCHEZ"/>
    <s v="SIN DATOS"/>
    <s v="3004999389"/>
    <s v="RURAL_147048860000000001_ VEREDA TRAVESIAS"/>
    <x v="0"/>
    <s v="147048860000000001"/>
    <s v="Medellín"/>
    <x v="9"/>
    <s v="METR Mov Red Trans Anderson Castaño"/>
    <x v="0"/>
    <n v="14"/>
    <s v="2025-12-11 15:03:58"/>
    <s v="11 días 15:03"/>
    <s v="3 días 15:03"/>
    <x v="0"/>
    <s v="SIN DATO"/>
    <s v="SIN DATO"/>
    <s v="SIN DATO"/>
    <s v="ABIERTO"/>
    <n v="-75.646938899999995"/>
    <n v="6.2852713400000004"/>
    <s v="SUR-ENE"/>
    <s v="Metropolitana Sur"/>
  </r>
  <r>
    <s v="23595571"/>
    <s v="ENEPRE"/>
    <s v="RETIR"/>
    <s v="ENEPRE"/>
    <s v="20/11/2025 15:14:46"/>
    <s v="2025-11-20 15:14:46"/>
    <n v="71616114"/>
    <s v="FRANCISCO ALBERTO MONTOYA SANCHEZ"/>
    <s v="SIN DATOS"/>
    <s v="3102205501"/>
    <s v="CL 16 CR 55 -82"/>
    <x v="0"/>
    <s v="051516005000820000-ENEPRE"/>
    <s v="Medellín"/>
    <x v="10"/>
    <s v="Energía Prepago Metrosur"/>
    <x v="1"/>
    <n v="11"/>
    <s v="2025-12-05 15:14:46"/>
    <s v="11 días 15:14"/>
    <s v="0 días 15:14"/>
    <x v="4"/>
    <s v="SIN DATO"/>
    <s v="SIN DATO"/>
    <s v="SIN DATO"/>
    <s v="ABIERTO"/>
    <n v="-75.583165050000005"/>
    <n v="6.2198196599999998"/>
    <s v="SUR-ENE"/>
    <s v="Metropolitana Sur"/>
  </r>
  <r>
    <s v="23595614"/>
    <s v="ENEPRE"/>
    <s v="REUBI"/>
    <s v="ENEPRE"/>
    <s v="20/11/2025 15:34:16"/>
    <s v="2025-11-20 15:34:16"/>
    <n v="15482908"/>
    <s v="GILBERTO COSSIO SERNA"/>
    <s v="SIN DATOS"/>
    <s v="3214405929"/>
    <s v="CR 8 A CL 58 B -101 (INTERIOR 175 )"/>
    <x v="0"/>
    <s v="055028108201010175"/>
    <s v="Medellín"/>
    <x v="11"/>
    <s v="Energía Prepago Metrosur"/>
    <x v="1"/>
    <n v="11"/>
    <s v="2025-12-05 15:34:16"/>
    <s v="11 días 15:34"/>
    <s v="0 días 15:34"/>
    <x v="4"/>
    <s v="SIN DATO"/>
    <s v="SIN DATO"/>
    <s v="SIN DATO"/>
    <s v="ABIERTO"/>
    <n v="-75.532750379999996"/>
    <n v="6.2380932600000003"/>
    <s v="SUR-ENE"/>
    <s v="Metropolitana Sur"/>
  </r>
  <r>
    <s v="23595670"/>
    <s v="ENERES"/>
    <s v="NUEVO"/>
    <s v="ENEDOM"/>
    <s v="20/11/2025 15:54:47"/>
    <s v="2025-11-25 12:23:14"/>
    <n v="43452589"/>
    <s v="FRANCY NETH RENGIFO LOPEZ"/>
    <s v="2343748"/>
    <s v="3114182296"/>
    <s v="RURAL_147036900000000101_EL NARANJAL"/>
    <x v="0"/>
    <s v="147036900000000101"/>
    <s v="Medellín"/>
    <x v="0"/>
    <s v="Habilitación Viviendas Metrosur"/>
    <x v="0"/>
    <n v="8"/>
    <s v="2025-12-05 12:23:14"/>
    <s v="8 días 12:23"/>
    <s v="0 días 12:23"/>
    <x v="4"/>
    <s v="SIN DATO"/>
    <s v="SIN DATO"/>
    <s v="SIN DATO"/>
    <s v="ABIERTO"/>
    <n v="-75.661386460000003"/>
    <n v="6.3066020399999996"/>
    <s v="SUR-ENE"/>
    <s v="Metropolitana Sur"/>
  </r>
  <r>
    <s v="23595795"/>
    <s v="ENERES"/>
    <s v="NUEVO"/>
    <s v="ENEDOM"/>
    <s v="20/11/2025 17:25:07"/>
    <s v="2025-12-03 12:33:09"/>
    <n v="98762612"/>
    <s v="ERNEY FRANCISCO FUENTES ORTEGA"/>
    <s v="SIN DATOS"/>
    <s v="3128682599"/>
    <s v="CR 90 B CL 15 -47 (INTERIOR 401 )"/>
    <x v="0"/>
    <s v="051920205000470401"/>
    <s v="Medellín"/>
    <x v="0"/>
    <s v="Habilitación Viviendas Metrosur"/>
    <x v="1"/>
    <n v="5"/>
    <s v="2025-12-11 12:33:09"/>
    <s v="2 días 12:33"/>
    <s v="3 días 12:33"/>
    <x v="0"/>
    <s v="SIN DATO"/>
    <s v="SIN DATO"/>
    <s v="SIN DATO"/>
    <s v="ABIERTO"/>
    <n v="-75.61454148"/>
    <n v="6.2209234100000002"/>
    <s v="SUR-ENE"/>
    <s v="Metropolitana Sur"/>
  </r>
  <r>
    <s v="23595813"/>
    <s v="ENERES"/>
    <s v="NUEVO"/>
    <s v="ENERES"/>
    <s v="20/11/2025 17:53:26"/>
    <s v="2025-12-02 13:05:13"/>
    <n v="1152457195"/>
    <s v="GIRLEZA MARTINEZ ANGULO"/>
    <s v="SIN DATOS"/>
    <s v="3106006556"/>
    <s v="CL 26 CR 84 -41 (INTERIOR 408 )"/>
    <x v="0"/>
    <s v="052816004000410408"/>
    <s v="Medellín"/>
    <x v="1"/>
    <s v="Revisor Instal. Regadas Metrosur"/>
    <x v="1"/>
    <n v="7"/>
    <s v="2025-12-12 13:05:13"/>
    <s v="3 días 13:05"/>
    <s v="4 días 13:05"/>
    <x v="0"/>
    <s v="SIN DATO"/>
    <s v="SIN DATO"/>
    <s v="SIN DATO"/>
    <s v="ABIERTO"/>
    <n v="-75.607443000000004"/>
    <n v="6.2277149999999999"/>
    <s v="SUR-ENE"/>
    <s v="Metropolitana Sur"/>
  </r>
  <r>
    <s v="23596476"/>
    <s v="ENEPRE"/>
    <s v="REUBI"/>
    <s v="ENEPRE"/>
    <s v="21/11/2025 10:49:18"/>
    <s v="2025-11-21 10:49:18"/>
    <n v="98660010"/>
    <s v="WILLIAN ALBERTO ORTIZ CASTAÑEDA"/>
    <s v="3427411"/>
    <s v="3113147433"/>
    <s v="CR 106 CL 31 AA -139 (INTERIOR 155 )"/>
    <x v="0"/>
    <s v="083026001111390155"/>
    <s v="Medellín"/>
    <x v="11"/>
    <s v="Energía Prepago Metrosur"/>
    <x v="1"/>
    <n v="11"/>
    <s v="2025-12-09 10:49:18"/>
    <s v="10 días 10:49"/>
    <s v="1 días 10:49"/>
    <x v="1"/>
    <s v="SIN DATO"/>
    <s v="SIN DATO"/>
    <s v="SIN DATO"/>
    <s v="ABIERTO"/>
    <n v="-75.623810000000006"/>
    <n v="6.2353120000000004"/>
    <s v="SUR-ENE"/>
    <s v="Metropolitana Sur"/>
  </r>
  <r>
    <s v="23596556"/>
    <s v="ENEPRE"/>
    <s v="NUEVO"/>
    <s v="ENEPRE"/>
    <s v="21/11/2025 11:42:52"/>
    <s v="2025-11-21 11:42:52"/>
    <n v="43095174"/>
    <s v="LUZ STELLA ESCUDERO GALLEGO"/>
    <s v="SIN DATOS"/>
    <s v="3168563574"/>
    <s v="RURAL_116007800000000000_116007800000000000"/>
    <x v="0"/>
    <s v="116007800000000000"/>
    <s v="Medellín"/>
    <x v="3"/>
    <s v="Energía Prepago Metrosur"/>
    <x v="1"/>
    <n v="11"/>
    <s v="2025-12-09 11:42:52"/>
    <s v="10 días 11:42"/>
    <s v="1 días 11:42"/>
    <x v="1"/>
    <s v="SIN DATO"/>
    <s v="SIN DATO"/>
    <s v="SIN DATO"/>
    <s v="ABIERTO"/>
    <n v="-75.639167610000001"/>
    <n v="6.2399221699999998"/>
    <s v="SUR-ENE"/>
    <s v="Metropolitana Sur"/>
  </r>
  <r>
    <s v="23597482"/>
    <s v="ENEMRT"/>
    <s v="NUEVO"/>
    <s v="ENEMVI"/>
    <s v="24/11/2025 07:15:36"/>
    <s v="2025-11-24 07:15:36"/>
    <n v="43107017"/>
    <s v="LINA MARIA RESTREPO SALINAS"/>
    <s v="SIN DATOS"/>
    <s v="3116314937"/>
    <s v="163017848500000202_LOMA LOS ZULETA"/>
    <x v="1"/>
    <s v="900053600001852053"/>
    <s v="Itaguí"/>
    <x v="9"/>
    <s v="Mov Red Trans Dairo Gil"/>
    <x v="1"/>
    <n v="9"/>
    <s v="2025-12-05 07:15:36"/>
    <s v="9 días 07:15"/>
    <s v="VENCIDO"/>
    <x v="2"/>
    <s v="SIN DATO"/>
    <s v="SIN DATO"/>
    <s v="SIN DATO"/>
    <s v="ABIERTO"/>
    <n v="-75.614312745000007"/>
    <n v="6.1789636690000398"/>
    <s v="SUR-ENE"/>
    <s v="Metropolitana Sur"/>
  </r>
  <r>
    <s v="23597539"/>
    <s v="ENERES"/>
    <s v="NUEVO"/>
    <s v="ENERES"/>
    <s v="24/11/2025 08:52:16"/>
    <s v="2025-11-24 08:52:16"/>
    <n v="1042771985"/>
    <s v="SINDY DANIELA PINILLOS ZABALA"/>
    <s v="SIN DATOS"/>
    <s v="3005701732"/>
    <s v="RURAL_146001904000000038"/>
    <x v="0"/>
    <s v="146001904000000038"/>
    <s v="Medellín"/>
    <x v="1"/>
    <s v="Revisor Instal. Regadas Metrosur"/>
    <x v="0"/>
    <n v="10"/>
    <s v="2025-12-09 08:52:16"/>
    <s v="9 días 08:52"/>
    <s v="1 días 08:52"/>
    <x v="1"/>
    <s v="SIN DATO"/>
    <s v="SIN DATO"/>
    <s v="SIN DATO"/>
    <s v="ABIERTO"/>
    <n v="-75.619883150000007"/>
    <n v="6.29025722"/>
    <s v="SUR-ENE"/>
    <s v="Metropolitana Sur"/>
  </r>
  <r>
    <s v="23597974"/>
    <s v="ENERES"/>
    <s v="NUEVO"/>
    <s v="ENEDOM"/>
    <s v="26/11/2025 10:49:46"/>
    <s v="2025-12-04 10:03:16"/>
    <n v="1039884610"/>
    <s v="JUAN CARLOS BEDOYA BEDOYA"/>
    <s v="SIN DATOS"/>
    <s v="3145094356"/>
    <s v="CL 46 CR 1 B -40 (INTERIOR 230 )"/>
    <x v="0"/>
    <s v="054016001200400230"/>
    <s v="Medellín"/>
    <x v="2"/>
    <s v="Habilitación Viviendas Metrosur"/>
    <x v="1"/>
    <n v="5"/>
    <s v="2025-12-12 10:03:16"/>
    <s v="0 días 10:03"/>
    <s v="4 días 10:03"/>
    <x v="0"/>
    <s v="SIN DATO"/>
    <s v="SIN DATO"/>
    <s v="SIN DATO"/>
    <s v="ABIERTO"/>
    <n v="-75.530522149999996"/>
    <n v="6.2278450899999998"/>
    <s v="SUR-ENE"/>
    <s v="Metropolitana Sur"/>
  </r>
  <r>
    <s v="23598744"/>
    <s v="ENEMRT"/>
    <s v="NUEVO"/>
    <s v="ENEMVI"/>
    <s v="25/11/2025 08:42:56"/>
    <s v="2025-11-25 08:42:56"/>
    <n v="1116781423"/>
    <s v="JOSSEPH EDWIN HERNANDEZ SANCHEZ"/>
    <s v="SIN DATOS"/>
    <s v="3015127392"/>
    <s v="CL 61 CR 126 -31"/>
    <x v="0"/>
    <s v="086211006000310000"/>
    <s v="Medellín"/>
    <x v="9"/>
    <s v="METR Mov Red Trans Anderson Castaño"/>
    <x v="1"/>
    <n v="9"/>
    <s v="2025-12-09 08:42:56"/>
    <s v="8 días 08:42"/>
    <s v="1 días 08:42"/>
    <x v="1"/>
    <s v="SIN DATO"/>
    <s v="SIN DATO"/>
    <s v="SIN DATO"/>
    <s v="ABIERTO"/>
    <n v="-75.631744620000006"/>
    <n v="6.2767403100000001"/>
    <s v="SUR-ENE"/>
    <s v="Metropolitana Sur"/>
  </r>
  <r>
    <s v="23598893"/>
    <s v="ENERES"/>
    <s v="NUEVO"/>
    <s v="ENERES"/>
    <s v="25/11/2025 09:59:38"/>
    <s v="2025-12-02 11:48:23"/>
    <n v="71492359"/>
    <s v="JOSE GABRIEL ORTIZ BETANCUR"/>
    <s v="SIN DATOS"/>
    <s v="3114311222"/>
    <s v="CL 38 C CR 26 EE -135 (INTERIOR 201 )"/>
    <x v="0"/>
    <s v="053218306551350201"/>
    <s v="Medellín"/>
    <x v="1"/>
    <s v="METROSUR Vin. Leg. Ref. Concentrada"/>
    <x v="1"/>
    <n v="7"/>
    <s v="2025-12-12 11:48:23"/>
    <s v="3 días 11:48"/>
    <s v="4 días 11:48"/>
    <x v="0"/>
    <s v="SIN DATO"/>
    <s v="SIN DATO"/>
    <s v="SIN DATO"/>
    <s v="ABIERTO"/>
    <n v="-75.555852740000006"/>
    <n v="6.2318160799999998"/>
    <s v="SUR-ENE"/>
    <s v="Metropolitana Sur"/>
  </r>
  <r>
    <s v="23598895"/>
    <s v="ENERES"/>
    <s v="NUEVO"/>
    <s v="ENERES"/>
    <s v="25/11/2025 10:01:07"/>
    <s v="2025-12-02 11:47:29"/>
    <n v="71492359"/>
    <s v="JOSE GABRIEL ORTIZ BETANCUR"/>
    <s v="SIN DATOS"/>
    <s v="3114311222"/>
    <s v="CL 38 C CR 26 EE -135 (INTERIOR 301 )"/>
    <x v="0"/>
    <s v="053218306551350301"/>
    <s v="Medellín"/>
    <x v="1"/>
    <s v="METROSUR Vin. Leg. Ref. Concentrada"/>
    <x v="1"/>
    <n v="7"/>
    <s v="2025-12-12 11:47:29"/>
    <s v="3 días 11:47"/>
    <s v="4 días 11:47"/>
    <x v="0"/>
    <s v="SIN DATO"/>
    <s v="SIN DATO"/>
    <s v="SIN DATO"/>
    <s v="ABIERTO"/>
    <n v="-75.555852740000006"/>
    <n v="6.2318160799999998"/>
    <s v="SUR-ENE"/>
    <s v="Metropolitana Sur"/>
  </r>
  <r>
    <s v="23598919"/>
    <s v="ENEPRE"/>
    <s v="RETIR"/>
    <s v="ENEPRE"/>
    <s v="25/11/2025 10:09:11"/>
    <s v="2025-11-25 10:09:11"/>
    <n v="1017197149"/>
    <s v="KELLY CAROLINA RODRIGUEZ MUÑOZ"/>
    <s v="SIN DATOS"/>
    <s v="3014090599"/>
    <s v="CL 57 B CR 23 -85"/>
    <x v="0"/>
    <s v="055217203000850000-ENEPRE"/>
    <s v="Medellín"/>
    <x v="10"/>
    <s v="Energía Prepago Metrosur"/>
    <x v="1"/>
    <n v="11"/>
    <s v="2025-12-11 10:09:11"/>
    <s v="8 días 10:09"/>
    <s v="3 días 10:09"/>
    <x v="0"/>
    <s v="SIN DATO"/>
    <s v="SIN DATO"/>
    <s v="SIN DATO"/>
    <s v="ABIERTO"/>
    <n v="-75.544186620000005"/>
    <n v="6.2490092099999996"/>
    <s v="SUR-ENE"/>
    <s v="Metropolitana Sur"/>
  </r>
  <r>
    <s v="23598924"/>
    <s v="ENEPRE"/>
    <s v="RETIR"/>
    <s v="ENEPRE"/>
    <s v="25/11/2025 10:11:42"/>
    <s v="2025-11-25 10:11:42"/>
    <n v="21524551"/>
    <s v="AMANDA DEL SOCORRO ABREU AGUDELO"/>
    <s v="3632336"/>
    <s v="3206718777"/>
    <s v="CL 10 CR 52 -70 (INTERIOR 7000 )"/>
    <x v="0"/>
    <s v="051510002000707000-ENEPRE"/>
    <s v="Medellín"/>
    <x v="10"/>
    <s v="Energía Prepago Metrosur"/>
    <x v="1"/>
    <n v="11"/>
    <s v="2025-12-11 10:11:42"/>
    <s v="8 días 10:11"/>
    <s v="3 días 10:11"/>
    <x v="0"/>
    <s v="SIN DATO"/>
    <s v="SIN DATO"/>
    <s v="SIN DATO"/>
    <s v="ABIERTO"/>
    <n v="-75.582285569999996"/>
    <n v="6.2150544099999996"/>
    <s v="SUR-ENE"/>
    <s v="Metropolitana Sur"/>
  </r>
  <r>
    <s v="23599278"/>
    <s v="ENEPRE"/>
    <s v="RETIR"/>
    <s v="ENEPRE"/>
    <s v="25/11/2025 12:07:15"/>
    <s v="2025-11-25 12:07:15"/>
    <n v="15255853"/>
    <s v="ISRAEL DE JESUS GRANADOS PEREZ"/>
    <s v="SIN DATOS"/>
    <s v="3104954546"/>
    <s v="RURAL_161021700000000000_RURAL CALDAS LA CHUSCALA"/>
    <x v="3"/>
    <s v="161021700000000000-ENEPRE"/>
    <s v="Caldas"/>
    <x v="10"/>
    <s v="Energía Prepago Metrosur"/>
    <x v="0"/>
    <n v="11"/>
    <s v="2025-12-11 12:07:15"/>
    <s v="8 días 12:07"/>
    <s v="3 días 12:07"/>
    <x v="0"/>
    <s v="SIN DATO"/>
    <s v="SIN DATO"/>
    <s v="SIN DATO"/>
    <s v="ABIERTO"/>
    <n v="-75.639612650000004"/>
    <n v="6.0829978200000001"/>
    <s v="SUR-ENE"/>
    <s v="Metropolitana Sur"/>
  </r>
  <r>
    <s v="23599287"/>
    <s v="ENERES"/>
    <s v="NUEVO"/>
    <s v="ENEDOM"/>
    <s v="01/12/2025 09:47:54"/>
    <s v="2025-12-01 09:47:54"/>
    <n v="71673427"/>
    <s v="ANIBAL DE JESUS SANCHEZ BUITRAGO"/>
    <s v="SIN DATOS"/>
    <s v="3153824042"/>
    <s v="RURAL_083025204220350103"/>
    <x v="0"/>
    <s v="083025204220350103"/>
    <s v="Medellín"/>
    <x v="2"/>
    <s v="Habilitación Viviendas Metrosur"/>
    <x v="0"/>
    <n v="8"/>
    <s v="2025-12-12 09:47:54"/>
    <s v="4 días 09:47"/>
    <s v="4 días 09:47"/>
    <x v="0"/>
    <s v="SIN DATO"/>
    <s v="SIN DATO"/>
    <s v="SIN DATO"/>
    <s v="ABIERTO"/>
    <n v="-75.610884501000001"/>
    <n v="6.2574398200000596"/>
    <s v="SUR-ENE"/>
    <s v="Metropolitana Sur"/>
  </r>
  <r>
    <s v="23599346"/>
    <s v="ENEPRE"/>
    <s v="NUEVO"/>
    <s v="ENEPRE"/>
    <s v="25/11/2025 13:23:14"/>
    <s v="2025-12-01 15:43:43"/>
    <n v="71374059"/>
    <s v="ANDRES FELIPE ROJAS AMAYA"/>
    <s v="SIN DATOS"/>
    <s v="3217171001"/>
    <s v="CL 47 C CR 102 -15"/>
    <x v="0"/>
    <s v="084017302000150000"/>
    <s v="Medellín"/>
    <x v="3"/>
    <s v="Energía Prepago Metrosur"/>
    <x v="1"/>
    <n v="11"/>
    <s v="2025-12-17 15:43:43"/>
    <s v="4 días 15:43"/>
    <s v="7 días 15:43"/>
    <x v="0"/>
    <s v="SIN DATO"/>
    <s v="SIN DATO"/>
    <s v="SIN DATO"/>
    <s v="ABIERTO"/>
    <n v="-75.617541000000003"/>
    <n v="6.2590269999999997"/>
    <s v="SUR-ENE"/>
    <s v="Metropolitana Sur"/>
  </r>
  <r>
    <s v="23599392"/>
    <s v="ENERES"/>
    <s v="NUEVO"/>
    <s v="ENEDOM"/>
    <s v="25/11/2025 14:01:25"/>
    <s v="2025-12-03 10:40:46"/>
    <n v="1017263135"/>
    <s v="CAROLINA VELEZ PETRO"/>
    <s v="2111111"/>
    <s v="3116022081"/>
    <s v="CR 25 AA CL 56 EE -21 (INTERIOR 402 )"/>
    <x v="0"/>
    <s v="055225116550210402"/>
    <s v="Medellín"/>
    <x v="0"/>
    <s v="Habilitación Viviendas Metrosur"/>
    <x v="1"/>
    <n v="5"/>
    <s v="2025-12-11 10:40:46"/>
    <s v="2 días 10:40"/>
    <s v="3 días 10:40"/>
    <x v="0"/>
    <s v="SIN DATO"/>
    <s v="SIN DATO"/>
    <s v="SIN DATO"/>
    <s v="ABIERTO"/>
    <n v="-75.543626810000006"/>
    <n v="6.2462299100000003"/>
    <s v="SUR-ENE"/>
    <s v="Metropolitana Sur"/>
  </r>
  <r>
    <s v="23599602"/>
    <s v="ENEMRT"/>
    <s v="NUEVO"/>
    <s v="ENEMVI"/>
    <s v="25/11/2025 14:16:56"/>
    <s v="2025-11-25 14:16:56"/>
    <n v="22139658"/>
    <s v="MARIA EUGENIA FLOREZ DE VELEZ"/>
    <s v="2682211"/>
    <s v="3145147984"/>
    <s v="TRAN 12 A CR 32 -116"/>
    <x v="0"/>
    <s v="051312102001160000"/>
    <s v="Medellín"/>
    <x v="9"/>
    <s v="METR Mov Red Trans Anderson Castaño"/>
    <x v="1"/>
    <n v="9"/>
    <s v="2025-12-09 14:16:56"/>
    <s v="8 días 14:16"/>
    <s v="1 días 14:16"/>
    <x v="1"/>
    <s v="SIN DATO"/>
    <s v="SIN DATO"/>
    <s v="SIN DATO"/>
    <s v="ABIERTO"/>
    <n v="-75.563579369999999"/>
    <n v="6.2131245499999999"/>
    <s v="SUR-ENE"/>
    <s v="Metropolitana Sur"/>
  </r>
  <r>
    <s v="23599660"/>
    <s v="ENEPRE"/>
    <s v="RETIR"/>
    <s v="ENEPRE"/>
    <s v="25/11/2025 14:27:50"/>
    <s v="2025-11-25 14:27:50"/>
    <n v="5266651"/>
    <s v="JOHANA MILEYDI RIVERO MARTINEZ"/>
    <s v="4821020"/>
    <s v="3176276890"/>
    <s v="CR 22 B CL 59 B -40 (INTERIOR 9902 )"/>
    <x v="0"/>
    <s v="055222209200409902-ENEPRE"/>
    <s v="Medellín"/>
    <x v="10"/>
    <s v="Energía Prepago Metrosur"/>
    <x v="1"/>
    <n v="11"/>
    <s v="2025-12-11 14:27:50"/>
    <s v="8 días 14:27"/>
    <s v="3 días 14:27"/>
    <x v="0"/>
    <s v="SIN DATO"/>
    <s v="SIN DATO"/>
    <s v="SIN DATO"/>
    <s v="ABIERTO"/>
    <n v="-75.545347910000004"/>
    <n v="6.2527073099999999"/>
    <s v="SUR-ENE"/>
    <s v="Metropolitana Sur"/>
  </r>
  <r>
    <s v="23599802"/>
    <s v="ENEPRE"/>
    <s v="NUEVO"/>
    <s v="ENEPRE"/>
    <s v="25/11/2025 15:53:51"/>
    <s v="2025-11-25 15:53:51"/>
    <n v="15486530"/>
    <s v="GILDARDO MONTOYA VARGAS"/>
    <s v="SIN DATOS"/>
    <s v="3214969930"/>
    <s v="CR 85 D CL 57 A -18 (INTERIOR 9505 )"/>
    <x v="0"/>
    <s v="055825407100189505"/>
    <s v="Medellín"/>
    <x v="3"/>
    <s v="Energía Prepago Metrosur"/>
    <x v="1"/>
    <n v="11"/>
    <s v="2025-12-11 15:53:51"/>
    <s v="8 días 15:53"/>
    <s v="3 días 15:53"/>
    <x v="0"/>
    <s v="SIN DATO"/>
    <s v="SIN DATO"/>
    <s v="SIN DATO"/>
    <s v="ABIERTO"/>
    <n v="-75.599741690000002"/>
    <n v="6.2719680100000001"/>
    <s v="SUR-ENE"/>
    <s v="Metropolitana Sur"/>
  </r>
  <r>
    <s v="23599807"/>
    <s v="ENEPRE"/>
    <s v="NUEVO"/>
    <s v="ENEPRE"/>
    <s v="25/11/2025 15:57:07"/>
    <s v="2025-11-25 15:57:07"/>
    <n v="8414182"/>
    <s v="LUIS GEISER ZAPATA DURANGO"/>
    <s v="SIN DATOS"/>
    <s v="3163966135"/>
    <s v="CL 19 D CR 104 B -20 (INTERIOR 149 )"/>
    <x v="0"/>
    <s v="081019404200200149"/>
    <s v="Medellín"/>
    <x v="3"/>
    <s v="Energía Prepago Metrosur"/>
    <x v="1"/>
    <n v="11"/>
    <s v="2025-12-11 15:57:07"/>
    <s v="8 días 15:57"/>
    <s v="3 días 15:57"/>
    <x v="0"/>
    <s v="SIN DATO"/>
    <s v="SIN DATO"/>
    <s v="SIN DATO"/>
    <s v="ABIERTO"/>
    <n v="-75.626695999999995"/>
    <n v="6.2254200099999997"/>
    <s v="SUR-ENE"/>
    <s v="Metropolitana Sur"/>
  </r>
  <r>
    <s v="23599830"/>
    <s v="ENEPRE"/>
    <s v="NUEVO"/>
    <s v="ENEPRE"/>
    <s v="25/11/2025 16:14:52"/>
    <s v="2025-11-25 16:14:52"/>
    <n v="8329560"/>
    <s v="JUAN SALVADOR GONZALEZ ALVAREZ"/>
    <s v="SIN DATOS"/>
    <s v="3205145270"/>
    <s v="RURAL_116005312515100201_116005312515100201"/>
    <x v="0"/>
    <s v="116005312515100201"/>
    <s v="Medellín"/>
    <x v="3"/>
    <s v="Energía Prepago Metrosur"/>
    <x v="1"/>
    <n v="11"/>
    <s v="2025-12-11 16:14:52"/>
    <s v="8 días 16:14"/>
    <s v="3 días 16:14"/>
    <x v="0"/>
    <s v="SIN DATO"/>
    <s v="SIN DATO"/>
    <s v="SIN DATO"/>
    <s v="ABIERTO"/>
    <n v="-75.630043999999998"/>
    <n v="6.2346899999999996"/>
    <s v="SUR-ENE"/>
    <s v="Metropolitana Sur"/>
  </r>
  <r>
    <s v="23599837"/>
    <s v="ENEPRE"/>
    <s v="NUEVO"/>
    <s v="ENEPRE"/>
    <s v="25/11/2025 16:17:54"/>
    <s v="2025-11-25 16:17:54"/>
    <n v="1037609232"/>
    <s v="CLAUDIA PATRICIA DURANGO YEPES"/>
    <s v="2994577"/>
    <s v="3215397677"/>
    <s v="RURAL_116005319400000101_116005319400000101"/>
    <x v="0"/>
    <s v="116005319400000101"/>
    <s v="Medellín"/>
    <x v="3"/>
    <s v="Energía Prepago Metrosur"/>
    <x v="1"/>
    <n v="11"/>
    <s v="2025-12-11 16:17:54"/>
    <s v="8 días 16:17"/>
    <s v="3 días 16:17"/>
    <x v="0"/>
    <s v="SIN DATO"/>
    <s v="SIN DATO"/>
    <s v="SIN DATO"/>
    <s v="ABIERTO"/>
    <n v="-75.630611999999999"/>
    <n v="6.2339169999999999"/>
    <s v="SUR-ENE"/>
    <s v="Metropolitana Sur"/>
  </r>
  <r>
    <s v="23599896"/>
    <s v="ENEMRT"/>
    <s v="NUEVO"/>
    <s v="ENEMVI"/>
    <s v="25/11/2025 17:24:48"/>
    <s v="2025-11-25 17:24:48"/>
    <n v="43979927"/>
    <s v="MARIA JIMENA USUGA GRACIANO"/>
    <s v="SIN DATOS"/>
    <s v="3116202804"/>
    <s v="CR 143 CL 68 -20 (INTERIOR 114 )"/>
    <x v="0"/>
    <s v="086423008000200114"/>
    <s v="Medellín"/>
    <x v="9"/>
    <s v="METR Mov Red Trans Anderson Castaño"/>
    <x v="1"/>
    <n v="9"/>
    <s v="2025-12-09 17:24:48"/>
    <s v="8 días 17:24"/>
    <s v="1 días 17:24"/>
    <x v="1"/>
    <s v="SIN DATO"/>
    <s v="SIN DATO"/>
    <s v="SIN DATO"/>
    <s v="ABIERTO"/>
    <n v="-75.641606999999993"/>
    <n v="6.2862549999999997"/>
    <s v="SUR-ENE"/>
    <s v="Metropolitana Sur"/>
  </r>
  <r>
    <s v="23600299"/>
    <s v="ENEPRE"/>
    <s v="NUEVO"/>
    <s v="ENEPRE"/>
    <s v="26/11/2025 08:58:46"/>
    <s v="2025-11-26 08:58:46"/>
    <n v="43345638"/>
    <s v="MARIA ADELAIDA MUÑOZ SEGURO"/>
    <s v="SIN DATOS"/>
    <s v="3107709865"/>
    <s v="RURAL_116005537080000000_116005537080000000"/>
    <x v="0"/>
    <s v="116005537080000000"/>
    <s v="Medellín"/>
    <x v="3"/>
    <s v="Energía Prepago Metrosur"/>
    <x v="1"/>
    <n v="11"/>
    <s v="2025-12-12 08:58:46"/>
    <s v="7 días 08:58"/>
    <s v="4 días 08:58"/>
    <x v="0"/>
    <s v="SIN DATO"/>
    <s v="SIN DATO"/>
    <s v="SIN DATO"/>
    <s v="ABIERTO"/>
    <n v="-75.631196000000003"/>
    <n v="6.2330199999999998"/>
    <s v="SUR-ENE"/>
    <s v="Metropolitana Sur"/>
  </r>
  <r>
    <s v="23600529"/>
    <s v="ENEPRE"/>
    <s v="RETIR"/>
    <s v="ENEPRE"/>
    <s v="26/11/2025 11:43:33"/>
    <s v="2025-11-26 11:43:33"/>
    <n v="98622531"/>
    <s v="YOVER ALFONSO SUAREZ RESTREPO"/>
    <s v="SIN DATOS"/>
    <s v="3024466199"/>
    <s v="CL 42 B SUR CR 63 -58 (INTERIOR 402 )"/>
    <x v="0"/>
    <s v="044612203000580402-ENEPRE"/>
    <s v="Medellín"/>
    <x v="10"/>
    <s v="Energía Prepago Metrosur"/>
    <x v="1"/>
    <n v="11"/>
    <s v="2025-12-12 11:43:33"/>
    <s v="7 días 11:43"/>
    <s v="4 días 11:43"/>
    <x v="0"/>
    <s v="SIN DATO"/>
    <s v="SIN DATO"/>
    <s v="SIN DATO"/>
    <s v="ABIERTO"/>
    <n v="-75.643862870000007"/>
    <n v="6.1825959800000003"/>
    <s v="SUR-ENE"/>
    <s v="Metropolitana Sur"/>
  </r>
  <r>
    <s v="23600530"/>
    <s v="ENENOR"/>
    <s v="NUEVO"/>
    <s v="ENENOR"/>
    <s v="26/11/2025 11:43:35"/>
    <s v="2025-12-02 10:51:29"/>
    <n v="1039474773"/>
    <s v="JUAN CAMILO AGUDELO YEPES"/>
    <s v="SIN DATOS"/>
    <s v="3216319028"/>
    <s v="CL 75 B SUR CR 40 -323"/>
    <x v="5"/>
    <s v="017415200003230000"/>
    <s v="Sabaneta"/>
    <x v="5"/>
    <s v="Revisor Instal. Regadas Metrosur"/>
    <x v="1"/>
    <n v="7"/>
    <s v="2025-12-12 10:51:29"/>
    <s v="3 días 10:51"/>
    <s v="4 días 10:51"/>
    <x v="0"/>
    <s v="SIN DATO"/>
    <s v="SIN DATO"/>
    <s v="SIN DATO"/>
    <s v="ABIERTO"/>
    <n v="-75.618495999999993"/>
    <n v="6.1483910000000002"/>
    <s v="SUR-ENE"/>
    <s v="Metropolitana Sur"/>
  </r>
  <r>
    <s v="23600532"/>
    <s v="ENEPRE"/>
    <s v="REUBI"/>
    <s v="ENEPRE"/>
    <s v="26/11/2025 11:45:54"/>
    <s v="2025-11-26 11:45:54"/>
    <n v="98460439"/>
    <s v="JOHN ELKIN VARELAS TORRES"/>
    <s v="SIN DATOS"/>
    <s v="3137698363"/>
    <s v="CR 132 A CL 59 -34"/>
    <x v="0"/>
    <s v="085322109000340000"/>
    <s v="Medellín"/>
    <x v="11"/>
    <s v="Energía Prepago Metrosur"/>
    <x v="1"/>
    <n v="11"/>
    <s v="2025-12-12 11:45:54"/>
    <s v="7 días 11:45"/>
    <s v="4 días 11:45"/>
    <x v="0"/>
    <s v="SIN DATO"/>
    <s v="SIN DATO"/>
    <s v="SIN DATO"/>
    <s v="ABIERTO"/>
    <n v="-75.637687999999997"/>
    <n v="6.2762840000000004"/>
    <s v="SUR-ENE"/>
    <s v="Metropolitana Sur"/>
  </r>
  <r>
    <s v="23600534"/>
    <s v="ENERES"/>
    <s v="NUEVO"/>
    <s v="ENERES"/>
    <s v="26/11/2025 11:47:50"/>
    <s v="2025-12-04 13:40:19"/>
    <n v="21562918"/>
    <s v="ISABEL CRISTINA CORREA PEÑA"/>
    <s v="SIN DATOS"/>
    <s v="3008248572"/>
    <s v="CL 40 G SUR CR 25 -83 (INTERIOR 202 )"/>
    <x v="2"/>
    <s v="024210705000830202"/>
    <s v="Envigado"/>
    <x v="1"/>
    <s v="Revisor Instal. Regadas Metrosur"/>
    <x v="1"/>
    <n v="7"/>
    <s v="2025-12-16 13:40:19"/>
    <s v="0 días 13:40"/>
    <s v="6 días 13:40"/>
    <x v="0"/>
    <s v="SIN DATO"/>
    <s v="SIN DATO"/>
    <s v="SIN DATO"/>
    <s v="ABIERTO"/>
    <n v="-75.583792680000002"/>
    <n v="6.1537350499999999"/>
    <s v="SUR-ENE"/>
    <s v="Metropolitana Sur"/>
  </r>
  <r>
    <s v="23600683"/>
    <s v="ENEMRT"/>
    <s v="NUEVO"/>
    <s v="ENEMVI"/>
    <s v="26/11/2025 13:12:37"/>
    <s v="2025-11-26 13:12:37"/>
    <n v="43996449"/>
    <s v="MARTA CECILIA BENAVIDES GALVIS"/>
    <s v="SIN DATOS"/>
    <s v="3052083833"/>
    <s v="CL 56 BB CR 20 C -1 (INTERIOR 202 )"/>
    <x v="0"/>
    <s v="055216220300010202"/>
    <s v="Medellín"/>
    <x v="9"/>
    <s v="METR Mov Red Trans Anderson Castaño"/>
    <x v="1"/>
    <n v="9"/>
    <s v="2025-12-10 13:12:37"/>
    <s v="7 días 13:12"/>
    <s v="2 días 13:12"/>
    <x v="1"/>
    <s v="SIN DATO"/>
    <s v="SIN DATO"/>
    <s v="SIN DATO"/>
    <s v="ABIERTO"/>
    <n v="-75.541744510000001"/>
    <n v="6.2411347199999998"/>
    <s v="SUR-ENE"/>
    <s v="Metropolitana Sur"/>
  </r>
  <r>
    <s v="23600775"/>
    <s v="ENECNX"/>
    <s v="NUEVO"/>
    <s v="ENECNX"/>
    <s v="04/12/2025 10:35:12"/>
    <s v="2025-12-04 10:35:12"/>
    <n v="71718593"/>
    <s v="JUAN CARLOS AMAYA RAMIREZ"/>
    <s v="5992224"/>
    <s v="3206973382"/>
    <s v="CR 65 CL 35 -36"/>
    <x v="1"/>
    <s v="073625005000360000"/>
    <s v="Itaguí"/>
    <x v="4"/>
    <s v="Revisor Puntos de Conexión Metrosur"/>
    <x v="1"/>
    <n v="4"/>
    <s v="2025-12-11 10:35:12"/>
    <s v="0 días 10:35"/>
    <s v="3 días 10:35"/>
    <x v="0"/>
    <s v="SIN DATO"/>
    <s v="SIN DATO"/>
    <s v="SIN DATO"/>
    <s v="CUMPLIDO"/>
    <n v="-75.629686849999999"/>
    <n v="6.1716111500000004"/>
    <s v="SUR-ENE"/>
    <s v="Metropolitana Sur"/>
  </r>
  <r>
    <s v="23600794"/>
    <s v="ENEPRE"/>
    <s v="RETIR"/>
    <s v="ENEPRE"/>
    <s v="26/11/2025 14:44:04"/>
    <s v="2025-11-26 14:44:04"/>
    <n v="42746366"/>
    <s v="AURA ROSA RODRIGUEZ ACEVEDO"/>
    <s v="SIN DATOS"/>
    <s v="3014113600"/>
    <s v="CR 55 B CL 55 -36 (INTERIOR 210 )"/>
    <x v="1"/>
    <s v="075525205000360210-ENEPRE"/>
    <s v="Itaguí"/>
    <x v="10"/>
    <s v="Energía Prepago Metrosur"/>
    <x v="1"/>
    <n v="11"/>
    <s v="2025-12-12 14:44:04"/>
    <s v="7 días 14:44"/>
    <s v="4 días 14:44"/>
    <x v="0"/>
    <s v="SIN DATO"/>
    <s v="SIN DATO"/>
    <s v="SIN DATO"/>
    <s v="ABIERTO"/>
    <n v="-75.607757669999998"/>
    <n v="6.1771097800000003"/>
    <s v="SUR-ENE"/>
    <s v="Metropolitana Sur"/>
  </r>
  <r>
    <s v="23600964"/>
    <s v="ENENOR"/>
    <s v="NUEVO"/>
    <s v="ENENOR"/>
    <s v="26/11/2025 16:51:16"/>
    <s v="2025-11-26 16:51:16"/>
    <n v="811012208"/>
    <s v="ENVIASEO E.S.P."/>
    <s v="4032000"/>
    <s v="3014809239"/>
    <s v="CR 38 CL 46 F SUR -1 (INTERIOR 6100 )"/>
    <x v="2"/>
    <s v="024328006600016100"/>
    <s v="Envigado"/>
    <x v="5"/>
    <s v="Revisor Instal. Regadas Metrosur"/>
    <x v="1"/>
    <n v="7"/>
    <s v="2025-12-05 16:51:16"/>
    <s v="7 días 16:51"/>
    <s v="0 días 16:51"/>
    <x v="4"/>
    <s v="SIN DATO"/>
    <s v="SIN DATO"/>
    <s v="SIN DATO"/>
    <s v="ABIERTO"/>
    <n v="-75.546760286999998"/>
    <n v="6.15418410400002"/>
    <s v="SUR-ENE"/>
    <s v="Metropolitana Sur"/>
  </r>
  <r>
    <s v="23600994"/>
    <s v="ENEMRT"/>
    <s v="NUEVO"/>
    <s v="ENEMVI"/>
    <s v="26/11/2025 17:20:01"/>
    <s v="2025-11-26 17:20:01"/>
    <n v="71616939"/>
    <s v="JUAN  LEONEL SILVA CHIVATA"/>
    <s v="6034831"/>
    <s v="3006753557"/>
    <s v="CL 65 AA CR 39 A -38"/>
    <x v="0"/>
    <s v="056315119100380000"/>
    <s v="Medellín"/>
    <x v="9"/>
    <s v="Mov Red Trans Dairo Gil"/>
    <x v="1"/>
    <n v="9"/>
    <s v="2025-12-10 17:20:01"/>
    <s v="7 días 17:20"/>
    <s v="2 días 17:20"/>
    <x v="1"/>
    <s v="SIN DATO"/>
    <s v="SIN DATO"/>
    <s v="SIN DATO"/>
    <s v="ABIERTO"/>
    <n v="-75.552861030000003"/>
    <n v="6.2573251699999997"/>
    <s v="SUR-ENE"/>
    <s v="Metropolitana Sur"/>
  </r>
  <r>
    <s v="23600995"/>
    <s v="ENENOR"/>
    <s v="CAMBI"/>
    <s v="ENENOR"/>
    <s v="26/11/2025 17:20:31"/>
    <s v="2025-12-01 14:46:06"/>
    <n v="900081271"/>
    <s v="PROYECTOS DE INGENIERIA AVANZADA"/>
    <s v="2650555"/>
    <s v="3183451080"/>
    <s v="CR 43 C CL 5 -69"/>
    <x v="0"/>
    <s v="050423305000690000"/>
    <s v="Medellín"/>
    <x v="7"/>
    <s v="METROSUR Vin. Leg. Ref. Concentrada"/>
    <x v="1"/>
    <n v="7"/>
    <s v="2025-12-11 14:46:06"/>
    <s v="4 días 14:46"/>
    <s v="3 días 14:46"/>
    <x v="0"/>
    <s v="SIN DATO"/>
    <s v="SIN DATO"/>
    <s v="SIN DATO"/>
    <s v="ABIERTO"/>
    <n v="-75.573216909999999"/>
    <n v="6.2065292100000002"/>
    <s v="SUR-ENE"/>
    <s v="Metropolitana Sur"/>
  </r>
  <r>
    <s v="23601006"/>
    <s v="ENENOR"/>
    <s v="CAMBI"/>
    <s v="ENENOR"/>
    <s v="26/11/2025 17:33:33"/>
    <s v="2025-12-01 14:44:29"/>
    <n v="900081271"/>
    <s v="PROYECTOS DE INGENIERIA AVANZADA"/>
    <s v="2650555"/>
    <s v="3183451080"/>
    <s v="CR 43 C CL 5 -69 (INTERIOR 6 )"/>
    <x v="0"/>
    <s v="050423305000690006"/>
    <s v="Medellín"/>
    <x v="7"/>
    <s v="METROSUR Vin. Leg. Ref. Concentrada"/>
    <x v="1"/>
    <n v="7"/>
    <s v="2025-12-11 14:44:29"/>
    <s v="4 días 14:44"/>
    <s v="3 días 14:44"/>
    <x v="0"/>
    <s v="SIN DATO"/>
    <s v="SIN DATO"/>
    <s v="SIN DATO"/>
    <s v="ABIERTO"/>
    <n v="-75.572981999999996"/>
    <n v="6.206766"/>
    <s v="SUR-ENE"/>
    <s v="Metropolitana Sur"/>
  </r>
  <r>
    <s v="23601024"/>
    <s v="ENEMRT"/>
    <s v="NUEVO"/>
    <s v="ENEMVI"/>
    <s v="26/11/2025 18:08:01"/>
    <s v="2025-11-26 18:08:01"/>
    <n v="43730254"/>
    <s v="MARIA CRISTINA ALVAREZ HERNADEZ"/>
    <s v="SIN DATOS"/>
    <s v="3213801787"/>
    <s v="CL 55 CR 129 -137"/>
    <x v="0"/>
    <s v="085215009001370000"/>
    <s v="Medellín"/>
    <x v="9"/>
    <s v="METR Mov Red Trans Anderson Castaño"/>
    <x v="1"/>
    <n v="9"/>
    <s v="2025-12-10 18:08:01"/>
    <s v="7 días 18:08"/>
    <s v="2 días 18:08"/>
    <x v="1"/>
    <s v="SIN DATO"/>
    <s v="SIN DATO"/>
    <s v="SIN DATO"/>
    <s v="ABIERTO"/>
    <n v="-75.634291000000005"/>
    <n v="6.2708880000000002"/>
    <s v="SUR-ENE"/>
    <s v="Metropolitana Sur"/>
  </r>
  <r>
    <s v="23601247"/>
    <s v="ENERES"/>
    <s v="NUEVO"/>
    <s v="ENEDOM"/>
    <s v="04/12/2025 09:33:08"/>
    <s v="2025-12-04 09:33:08"/>
    <n v="43159164"/>
    <s v="EDITH MARINA GARCIA CORREA"/>
    <s v="SIN DATOS"/>
    <s v="3172291175"/>
    <s v="CL 59 A CR 21 B -24 (INTERIOR 201 )"/>
    <x v="0"/>
    <s v="055219101200240201"/>
    <s v="Medellín"/>
    <x v="2"/>
    <s v="Habilitación Viviendas Metrosur"/>
    <x v="1"/>
    <n v="5"/>
    <s v="2025-12-12 09:33:08"/>
    <s v="0 días 09:33"/>
    <s v="4 días 09:33"/>
    <x v="0"/>
    <s v="SIN DATO"/>
    <s v="SIN DATO"/>
    <s v="SIN DATO"/>
    <s v="ABIERTO"/>
    <n v="-75.545173009999999"/>
    <n v="6.25274763"/>
    <s v="SUR-ENE"/>
    <s v="Metropolitana Sur"/>
  </r>
  <r>
    <s v="23601257"/>
    <s v="ENECNX"/>
    <s v="NUEVO"/>
    <s v="ENECNX"/>
    <s v="27/11/2025 08:20:28"/>
    <s v="2025-11-27 08:20:28"/>
    <n v="890905211"/>
    <s v="DISTRITO ESPECIAL DE CIENCIA - TECNOLOGIA"/>
    <s v="3855555"/>
    <s v="3003420288"/>
    <s v="CL 52 CR 51 -11"/>
    <x v="0"/>
    <s v="055512001000110000"/>
    <s v="Medellín"/>
    <x v="4"/>
    <s v="Revisor Puntos de Conexión Metrosur"/>
    <x v="1"/>
    <n v="4"/>
    <s v="2025-12-03 08:20:28"/>
    <s v="6 días 08:20"/>
    <s v="VENCIDO"/>
    <x v="2"/>
    <s v="SIN DATO"/>
    <s v="SIN DATO"/>
    <s v="SIN DATO"/>
    <s v="ABIERTO"/>
    <n v="-75.568146560000002"/>
    <n v="6.2511979999999996"/>
    <s v="SUR-ENE"/>
    <s v="Metropolitana Sur"/>
  </r>
  <r>
    <s v="23601291"/>
    <s v="ENERES"/>
    <s v="NUEVO"/>
    <s v="ENERES"/>
    <s v="27/11/2025 08:50:51"/>
    <s v="2025-11-27 08:50:51"/>
    <n v="1017179384"/>
    <s v="NANCY OROZCO CARDONA"/>
    <s v="2515107"/>
    <s v="3113358311"/>
    <s v="RURAL_122044400000000101_SANTA ELENA"/>
    <x v="0"/>
    <s v="122044400000000101"/>
    <s v="Medellín"/>
    <x v="1"/>
    <s v="Revisor Instalac. Regadas Oriente"/>
    <x v="0"/>
    <n v="10"/>
    <s v="2025-12-12 08:50:51"/>
    <s v="6 días 08:50"/>
    <s v="4 días 08:50"/>
    <x v="0"/>
    <s v="SIN DATO"/>
    <s v="SIN DATO"/>
    <s v="SIN DATO"/>
    <s v="ABIERTO"/>
    <n v="-75.488388950000001"/>
    <n v="6.1982017599999999"/>
    <s v="SUR-ENE"/>
    <s v="Metropolitana Sur"/>
  </r>
  <r>
    <s v="23601300"/>
    <s v="ENEMRT"/>
    <s v="NUEVO"/>
    <s v="ENEMVI"/>
    <s v="27/11/2025 08:58:06"/>
    <s v="2025-11-27 08:58:06"/>
    <n v="21981002"/>
    <s v="MAGNOLIA JARAMILLO RESTREPO"/>
    <s v="5925287"/>
    <s v="3137008386"/>
    <s v="RURAL_114013451100000000_114013451100000000"/>
    <x v="0"/>
    <s v="114013451100000000"/>
    <s v="Medellín"/>
    <x v="9"/>
    <s v="METR Mov Red Trans Anderson Castaño"/>
    <x v="1"/>
    <n v="9"/>
    <s v="2025-12-11 08:58:06"/>
    <s v="6 días 08:58"/>
    <s v="3 días 08:58"/>
    <x v="0"/>
    <s v="SIN DATO"/>
    <s v="SIN DATO"/>
    <s v="SIN DATO"/>
    <s v="ABIERTO"/>
    <n v="-75.610298"/>
    <n v="6.2045539999999999"/>
    <s v="SUR-ENE"/>
    <s v="Metropolitana Sur"/>
  </r>
  <r>
    <s v="23601329"/>
    <s v="ENERES"/>
    <s v="NUEVO"/>
    <s v="ENEDOM"/>
    <s v="04/12/2025 09:33:36"/>
    <s v="2025-12-04 09:33:36"/>
    <n v="1000539973"/>
    <s v="EVELYN JULIANA AGUDELO LONDOÑO"/>
    <s v="SIN DATOS"/>
    <s v="3023646224"/>
    <s v="CL 56 B CR 20 B -22 (INTERIOR 231 )"/>
    <x v="0"/>
    <s v="055216200200220231"/>
    <s v="Medellín"/>
    <x v="2"/>
    <s v="Habilitación Viviendas Metrosur"/>
    <x v="1"/>
    <n v="5"/>
    <s v="2025-12-12 09:33:36"/>
    <s v="0 días 09:33"/>
    <s v="4 días 09:33"/>
    <x v="0"/>
    <s v="SIN DATO"/>
    <s v="SIN DATO"/>
    <s v="SIN DATO"/>
    <s v="ABIERTO"/>
    <n v="-75.542329339999995"/>
    <n v="6.2408634300000001"/>
    <s v="SUR-ENE"/>
    <s v="Metropolitana Sur"/>
  </r>
  <r>
    <s v="23601392"/>
    <s v="ENENOR"/>
    <s v="CAMBI"/>
    <s v="ENENOR"/>
    <s v="27/11/2025 10:05:30"/>
    <s v="2025-11-28 14:53:00"/>
    <n v="70166471"/>
    <s v="JADER ELMER MEJIA RENDON"/>
    <s v="2342375"/>
    <s v="3127884788"/>
    <s v="CR 58 CL 79 -141"/>
    <x v="1"/>
    <s v="077528009001410000"/>
    <s v="Itaguí"/>
    <x v="7"/>
    <s v="METROSUR Vin. Leg. Ref. Concentrada"/>
    <x v="1"/>
    <n v="7"/>
    <s v="2025-12-10 14:53:00"/>
    <s v="5 días 14:53"/>
    <s v="2 días 14:53"/>
    <x v="1"/>
    <s v="SIN DATO"/>
    <s v="SIN DATO"/>
    <s v="SIN DATO"/>
    <s v="ABIERTO"/>
    <n v="-75.599506849999997"/>
    <n v="6.1911473199999998"/>
    <s v="SUR-ENE"/>
    <s v="Metropolitana Sur"/>
  </r>
  <r>
    <s v="23601398"/>
    <s v="ENEMRT"/>
    <s v="NUEVO"/>
    <s v="ENEMVI"/>
    <s v="27/11/2025 10:08:20"/>
    <s v="2025-11-27 10:08:20"/>
    <n v="3490006"/>
    <s v="NICOLAS ALBEIRO AGUDELO BARRIENTOS"/>
    <s v="SIN DATOS"/>
    <s v="3162760629"/>
    <s v="RURAL_122014511800000001_VDA MAZO"/>
    <x v="0"/>
    <s v="122014511800000001"/>
    <s v="Medellín"/>
    <x v="9"/>
    <s v="METR Mov Red Trans Anderson Castaño"/>
    <x v="0"/>
    <n v="14"/>
    <s v="2025-12-18 10:08:20"/>
    <s v="6 días 10:08"/>
    <s v="8 días 10:08"/>
    <x v="0"/>
    <s v="SIN DATO"/>
    <s v="SIN DATO"/>
    <s v="SIN DATO"/>
    <s v="ABIERTO"/>
    <n v="-75.500567390000001"/>
    <n v="6.2530853899999999"/>
    <s v="SUR-ENE"/>
    <s v="Metropolitana Sur"/>
  </r>
  <r>
    <s v="23601428"/>
    <s v="ENEMRT"/>
    <s v="NUEVO"/>
    <s v="ENEMVI"/>
    <s v="27/11/2025 10:26:20"/>
    <s v="2025-11-27 10:26:20"/>
    <n v="71420699"/>
    <s v="GABRIEL ANTONIO RESTREPO RESTREPO"/>
    <s v="SIN DATOS"/>
    <s v="3206851166"/>
    <s v="DIAG 47 A CL 31 A -31 (INTERIOR 302 )"/>
    <x v="1"/>
    <s v="073477101100310302"/>
    <s v="Itaguí"/>
    <x v="9"/>
    <s v="Mov Red Trans Dairo Gil"/>
    <x v="1"/>
    <n v="9"/>
    <s v="2025-12-11 10:26:20"/>
    <s v="6 días 10:26"/>
    <s v="3 días 10:26"/>
    <x v="0"/>
    <s v="SIN DATO"/>
    <s v="SIN DATO"/>
    <s v="SIN DATO"/>
    <s v="ABIERTO"/>
    <n v="-75.620313210000006"/>
    <n v="6.1638645900000002"/>
    <s v="SUR-ENE"/>
    <s v="Metropolitana Sur"/>
  </r>
  <r>
    <s v="23601439"/>
    <s v="ENERES"/>
    <s v="CAMBI"/>
    <s v="ENERES"/>
    <s v="27/11/2025 10:33:48"/>
    <s v="2025-11-27 10:33:48"/>
    <n v="91349889"/>
    <s v="ARNOLDO MEDINA GELVEZ"/>
    <s v="SIN DATOS"/>
    <s v="3124490988"/>
    <s v="RURAL_140004954401000000_140004954401000000"/>
    <x v="2"/>
    <s v="140004954401000000"/>
    <s v="Envigado"/>
    <x v="6"/>
    <s v="METROSUR Vin. Leg. Ref. Concentrada"/>
    <x v="1"/>
    <n v="7"/>
    <s v="2025-12-09 10:33:48"/>
    <s v="6 días 10:33"/>
    <s v="1 días 10:33"/>
    <x v="1"/>
    <s v="SIN DATO"/>
    <s v="SIN DATO"/>
    <s v="SIN DATO"/>
    <s v="ABIERTO"/>
    <n v="-75.527976969999997"/>
    <n v="6.1377919500000004"/>
    <s v="SUR-ENE"/>
    <s v="Metropolitana Sur"/>
  </r>
  <r>
    <s v="23601454"/>
    <s v="ENERES"/>
    <s v="NUEVO"/>
    <s v="ENEDOM"/>
    <s v="04/12/2025 09:34:04"/>
    <s v="2025-12-04 09:34:04"/>
    <n v="71386273"/>
    <s v="JOHAN DARIO ARANGO AGUIRRE"/>
    <s v="SIN DATOS"/>
    <s v="3105149191"/>
    <s v="CL 47 CR 16 CC -87 (INTERIOR 401 )"/>
    <x v="0"/>
    <s v="054117006330870401"/>
    <s v="Medellín"/>
    <x v="2"/>
    <s v="Habilitación Viviendas Metrosur"/>
    <x v="1"/>
    <n v="5"/>
    <s v="2025-12-12 09:34:04"/>
    <s v="0 días 09:34"/>
    <s v="4 días 09:34"/>
    <x v="0"/>
    <s v="SIN DATO"/>
    <s v="SIN DATO"/>
    <s v="SIN DATO"/>
    <s v="ABIERTO"/>
    <n v="-75.544976919999996"/>
    <n v="6.2352838400000001"/>
    <s v="SUR-ENE"/>
    <s v="Metropolitana Sur"/>
  </r>
  <r>
    <s v="23601464"/>
    <s v="ENENOR"/>
    <s v="CAMBI"/>
    <s v="ENENOR"/>
    <s v="27/11/2025 10:55:11"/>
    <s v="2025-11-27 10:55:11"/>
    <n v="70550320"/>
    <s v="RUBEN DARIO LONDOÑO RESTREPO"/>
    <s v="6115213"/>
    <s v="3002049670"/>
    <s v="CR 39 CL 35 SUR -15"/>
    <x v="2"/>
    <s v="023329005000150000"/>
    <s v="Envigado"/>
    <x v="7"/>
    <s v="METROSUR Vin. Leg. Ref. Concentrada"/>
    <x v="1"/>
    <n v="7"/>
    <s v="2025-12-09 10:55:11"/>
    <s v="6 días 10:55"/>
    <s v="1 días 10:55"/>
    <x v="1"/>
    <s v="SIN DATO"/>
    <s v="SIN DATO"/>
    <s v="SIN DATO"/>
    <s v="ABIERTO"/>
    <n v="-75.584219230000002"/>
    <n v="6.16998742"/>
    <s v="SUR-ENE"/>
    <s v="Metropolitana Sur"/>
  </r>
  <r>
    <s v="23601467"/>
    <s v="ENEMRT"/>
    <s v="NUEVO"/>
    <s v="ENEMVI"/>
    <s v="27/11/2025 10:56:16"/>
    <s v="2025-11-27 10:56:16"/>
    <n v="71600198"/>
    <s v="IVAN DE JESUS CARDONA ALVAREZ"/>
    <s v="SIN DATOS"/>
    <s v="3117268685"/>
    <s v="RURAL_147048816000000201_147048816000000201"/>
    <x v="0"/>
    <s v="147048816000000201"/>
    <s v="Medellín"/>
    <x v="9"/>
    <s v="METR Mov Red Trans Anderson Castaño"/>
    <x v="0"/>
    <n v="14"/>
    <s v="2025-12-18 10:56:16"/>
    <s v="6 días 10:56"/>
    <s v="8 días 10:56"/>
    <x v="0"/>
    <s v="SIN DATO"/>
    <s v="SIN DATO"/>
    <s v="SIN DATO"/>
    <s v="ABIERTO"/>
    <n v="-75.647835999999998"/>
    <n v="6.2851400000000002"/>
    <s v="SUR-ENE"/>
    <s v="Metropolitana Sur"/>
  </r>
  <r>
    <s v="23601543"/>
    <s v="ENERES"/>
    <s v="NUEVO"/>
    <s v="ENEDOM"/>
    <s v="03/12/2025 10:03:02"/>
    <s v="2025-12-03 10:03:02"/>
    <n v="1037662020"/>
    <s v="MAYRA ALEJANDRA QUINTANA TOBON"/>
    <s v="SIN DATOS"/>
    <s v="3012876800"/>
    <s v="CR 34 E CL 31 -164 (INTERIOR 401 )"/>
    <x v="0"/>
    <s v="053324501001640401"/>
    <s v="Medellín"/>
    <x v="2"/>
    <s v="Habilitación Viviendas Metrosur"/>
    <x v="1"/>
    <n v="5"/>
    <s v="2025-12-11 10:03:02"/>
    <s v="2 días 10:03"/>
    <s v="3 días 10:03"/>
    <x v="0"/>
    <s v="SIN DATO"/>
    <s v="SIN DATO"/>
    <s v="SIN DATO"/>
    <s v="ABIERTO"/>
    <n v="-75.563727999999998"/>
    <n v="6.2305580000000003"/>
    <s v="SUR-ENE"/>
    <s v="Metropolitana Sur"/>
  </r>
  <r>
    <s v="23601545"/>
    <s v="ENEMRT"/>
    <s v="NUEVO"/>
    <s v="ENEMVI"/>
    <s v="27/11/2025 11:59:47"/>
    <s v="2025-11-27 11:59:47"/>
    <n v="1152225530"/>
    <s v="MARIA CAMILA RAMIREZ RODAS"/>
    <s v="SIN DATOS"/>
    <s v="3504849159"/>
    <s v="CL 39 AD CR 117 B -64 (INTERIOR 205 )"/>
    <x v="0"/>
    <s v="083119147200640205"/>
    <s v="Medellín"/>
    <x v="9"/>
    <s v="METR Mov Red Trans Anderson Castaño"/>
    <x v="1"/>
    <n v="9"/>
    <s v="2025-12-11 11:59:47"/>
    <s v="6 días 11:59"/>
    <s v="3 días 11:59"/>
    <x v="0"/>
    <s v="SIN DATO"/>
    <s v="SIN DATO"/>
    <s v="SIN DATO"/>
    <s v="ABIERTO"/>
    <n v="-75.628520429999995"/>
    <n v="6.25181188"/>
    <s v="SUR-ENE"/>
    <s v="Metropolitana Sur"/>
  </r>
  <r>
    <s v="23601546"/>
    <s v="ENERES"/>
    <s v="NUEVO"/>
    <s v="ENEDOM"/>
    <s v="04/12/2025 06:13:45"/>
    <s v="2025-12-04 06:13:45"/>
    <n v="1037662020"/>
    <s v="MAYRA ALEJANDRA QUINTANA TOBON"/>
    <s v="SIN DATOS"/>
    <s v="3012876800"/>
    <s v="CR 34 E CL 31 -164 (INTERIOR 402 )"/>
    <x v="0"/>
    <s v="053324501001640402"/>
    <s v="Medellín"/>
    <x v="2"/>
    <s v="Habilitación Viviendas Metrosur"/>
    <x v="1"/>
    <n v="5"/>
    <s v="2025-12-12 06:13:45"/>
    <s v="0 días 06:13"/>
    <s v="4 días 06:13"/>
    <x v="0"/>
    <s v="SIN DATO"/>
    <s v="SIN DATO"/>
    <s v="SIN DATO"/>
    <s v="ABIERTO"/>
    <n v="-75.563727999999998"/>
    <n v="6.2305580000000003"/>
    <s v="SUR-ENE"/>
    <s v="Metropolitana Sur"/>
  </r>
  <r>
    <s v="23601556"/>
    <s v="ENERES"/>
    <s v="CAMBI"/>
    <s v="ENERES"/>
    <s v="27/11/2025 12:09:11"/>
    <s v="2025-11-27 12:09:11"/>
    <n v="70124689"/>
    <s v="JUAN EUGENIO RIOS VILLA"/>
    <s v="SIN DATOS"/>
    <s v="3006092484"/>
    <s v="CR 55 B CL 79 C SUR -44"/>
    <x v="4"/>
    <s v="037525209300440000"/>
    <s v="La Estrella"/>
    <x v="6"/>
    <s v="METROSUR Vin. Leg. Ref. Concentrada"/>
    <x v="1"/>
    <n v="7"/>
    <s v="2025-12-09 12:09:11"/>
    <s v="6 días 12:09"/>
    <s v="1 días 12:09"/>
    <x v="1"/>
    <s v="SIN DATO"/>
    <s v="SIN DATO"/>
    <s v="SIN DATO"/>
    <s v="ABIERTO"/>
    <n v="-75.636289110000007"/>
    <n v="6.1549134499999996"/>
    <s v="SUR-ENE"/>
    <s v="Metropolitana Sur"/>
  </r>
  <r>
    <s v="23601586"/>
    <s v="ENEMRT"/>
    <s v="NUEVO"/>
    <s v="ENEMVI"/>
    <s v="27/11/2025 12:47:02"/>
    <s v="2025-11-27 12:47:02"/>
    <n v="1094941872"/>
    <s v="DIANA MARCELA TRUJILLO GALLEGO"/>
    <s v="2347019"/>
    <s v="3218955145"/>
    <s v="RURAL_136029754320000000_CL 58B CR 98-106 (IN 101)"/>
    <x v="0"/>
    <s v="136029754320000000"/>
    <s v="Medellín"/>
    <x v="9"/>
    <s v="METR Mov Red Trans Anderson Castaño"/>
    <x v="1"/>
    <n v="9"/>
    <s v="2025-12-11 12:47:02"/>
    <s v="6 días 12:47"/>
    <s v="3 días 12:47"/>
    <x v="0"/>
    <s v="SIN DATO"/>
    <s v="SIN DATO"/>
    <s v="SIN DATO"/>
    <s v="ABIERTO"/>
    <n v="-75.608321829999994"/>
    <n v="6.2749278799999999"/>
    <s v="SUR-ENE"/>
    <s v="Metropolitana Sur"/>
  </r>
  <r>
    <s v="23601590"/>
    <s v="ENERES"/>
    <s v="NUEVO"/>
    <s v="ENERES"/>
    <s v="27/11/2025 12:58:14"/>
    <s v="2025-12-01 12:35:50"/>
    <n v="1026137320"/>
    <s v="DANIEL ALEJANDRO CARDONA MONCADA"/>
    <s v="6066696"/>
    <s v="3217576295"/>
    <s v="RURAL_159065000000000004"/>
    <x v="4"/>
    <s v="159065000000000004"/>
    <s v="La Estrella"/>
    <x v="1"/>
    <s v="Revisor Instal. Regadas Metrosur"/>
    <x v="1"/>
    <n v="7"/>
    <s v="2025-12-11 12:35:50"/>
    <s v="4 días 12:35"/>
    <s v="3 días 12:35"/>
    <x v="0"/>
    <s v="SIN DATO"/>
    <s v="SIN DATO"/>
    <s v="SIN DATO"/>
    <s v="ABIERTO"/>
    <n v="-75.646626269999999"/>
    <n v="6.1326983799999999"/>
    <s v="SUR-ENE"/>
    <s v="Metropolitana Sur"/>
  </r>
  <r>
    <s v="23601654"/>
    <s v="ENEMRT"/>
    <s v="NUEVO"/>
    <s v="ENEMVI"/>
    <s v="27/11/2025 14:15:05"/>
    <s v="2025-11-27 14:15:05"/>
    <n v="70097561"/>
    <s v="CARLOS MARIO CANO MUÑOZ"/>
    <s v="SIN DATOS"/>
    <s v="3146167430"/>
    <s v="RURAL_147024400000000000_EL UVITO"/>
    <x v="0"/>
    <s v="147024400000000000"/>
    <s v="Medellín"/>
    <x v="9"/>
    <s v="METR Mov Red Trans Anderson Castaño"/>
    <x v="0"/>
    <n v="14"/>
    <s v="2025-12-18 14:15:05"/>
    <s v="6 días 14:15"/>
    <s v="8 días 14:15"/>
    <x v="0"/>
    <s v="SIN DATO"/>
    <s v="SIN DATO"/>
    <s v="SIN DATO"/>
    <s v="ABIERTO"/>
    <n v="-75.652553889999993"/>
    <n v="6.2904410799999999"/>
    <s v="SUR-ENE"/>
    <s v="Metropolitana Sur"/>
  </r>
  <r>
    <s v="23601664"/>
    <s v="ENERES"/>
    <s v="NUEVO"/>
    <s v="ENEDOM"/>
    <s v="04/12/2025 09:34:31"/>
    <s v="2025-12-04 09:34:31"/>
    <n v="70875621"/>
    <s v="ENRIQUE LEON ORTIZ CANO"/>
    <s v="SIN DATOS"/>
    <s v="3207017511"/>
    <s v="RURAL_114013298500000011_VDA MANZANILLO"/>
    <x v="0"/>
    <s v="114013298500000011"/>
    <s v="Medellín"/>
    <x v="2"/>
    <s v="Habilitación Viviendas Metrosur"/>
    <x v="1"/>
    <n v="5"/>
    <s v="2025-12-12 09:34:31"/>
    <s v="0 días 09:34"/>
    <s v="4 días 09:34"/>
    <x v="0"/>
    <s v="SIN DATO"/>
    <s v="SIN DATO"/>
    <s v="SIN DATO"/>
    <s v="ABIERTO"/>
    <n v="-75.610043910000002"/>
    <n v="6.2052303599999998"/>
    <s v="SUR-ENE"/>
    <s v="Metropolitana Sur"/>
  </r>
  <r>
    <s v="23601680"/>
    <s v="ENERES"/>
    <s v="NUEVO"/>
    <s v="ENERES"/>
    <s v="27/11/2025 14:35:03"/>
    <s v="2025-11-27 14:35:03"/>
    <n v="43263200"/>
    <s v="BLANCA MIRIAM ROJAS LOAIZA"/>
    <s v="SIN DATOS"/>
    <s v="3113817324"/>
    <s v="CR 27 CL 58 -45 (INTERIOR 301 )"/>
    <x v="0"/>
    <s v="055227008000450301"/>
    <s v="Medellín"/>
    <x v="1"/>
    <s v="Revisor Instal. Regadas Metrosur"/>
    <x v="1"/>
    <n v="7"/>
    <s v="2025-12-09 14:35:03"/>
    <s v="6 días 14:35"/>
    <s v="1 días 14:35"/>
    <x v="1"/>
    <s v="SIN DATO"/>
    <s v="SIN DATO"/>
    <s v="SIN DATO"/>
    <s v="ABIERTO"/>
    <n v="-75.547798099999994"/>
    <n v="6.2496190900000004"/>
    <s v="SUR-ENE"/>
    <s v="Metropolitana Sur"/>
  </r>
  <r>
    <s v="23601698"/>
    <s v="ENERES"/>
    <s v="NUEVO"/>
    <s v="ENEDOM"/>
    <s v="04/12/2025 10:14:46"/>
    <s v="2025-12-04 10:14:46"/>
    <n v="43839316"/>
    <s v="GLADIS HELENA SUAREZ VELEZ"/>
    <s v="3091674"/>
    <s v="3046209100"/>
    <s v="RURAL_163020130000000001"/>
    <x v="1"/>
    <s v="163020130000000001"/>
    <s v="Itaguí"/>
    <x v="2"/>
    <s v="Habilitación Viviendas Metrosur"/>
    <x v="1"/>
    <n v="5"/>
    <s v="2025-12-12 10:14:46"/>
    <s v="0 días 10:14"/>
    <s v="4 días 10:14"/>
    <x v="0"/>
    <s v="SIN DATO"/>
    <s v="SIN DATO"/>
    <s v="SIN DATO"/>
    <s v="ABIERTO"/>
    <n v="-75.621187680000006"/>
    <n v="6.1746380099999998"/>
    <s v="SUR-ENE"/>
    <s v="Metropolitana Sur"/>
  </r>
  <r>
    <s v="23601724"/>
    <s v="ENERES"/>
    <s v="NUEVO"/>
    <s v="ENEDOM"/>
    <s v="04/12/2025 06:14:32"/>
    <s v="2025-12-04 06:14:32"/>
    <n v="93292926"/>
    <s v="FERNANDO AUGUSTO SIERRA CAMARGO"/>
    <s v="SIN DATOS"/>
    <s v="3167308842"/>
    <s v="CL 46 E CR 59 C -81 (INTERIOR 302 )"/>
    <x v="1"/>
    <s v="074516509300810302"/>
    <s v="Itaguí"/>
    <x v="2"/>
    <s v="Habilitación Viviendas Metrosur"/>
    <x v="1"/>
    <n v="5"/>
    <s v="2025-12-12 06:14:32"/>
    <s v="0 días 06:14"/>
    <s v="4 días 06:14"/>
    <x v="0"/>
    <s v="SIN DATO"/>
    <s v="SIN DATO"/>
    <s v="SIN DATO"/>
    <s v="ABIERTO"/>
    <n v="-75.613966910000002"/>
    <n v="6.1803749100000003"/>
    <s v="SUR-ENE"/>
    <s v="Metropolitana Sur"/>
  </r>
  <r>
    <s v="23601738"/>
    <s v="ENERES"/>
    <s v="NUEVO"/>
    <s v="ENERES"/>
    <s v="27/11/2025 15:07:18"/>
    <s v="2025-11-27 15:07:18"/>
    <n v="43263200"/>
    <s v="BLANCA MIRIAM ROJAS LOAIZA"/>
    <s v="SIN DATOS"/>
    <s v="3113817324"/>
    <s v="CR 27 CL 58 -45"/>
    <x v="0"/>
    <s v="055227008000450000"/>
    <s v="Medellín"/>
    <x v="1"/>
    <s v="METROSUR Vin. Leg. Ref. Concentrada"/>
    <x v="1"/>
    <n v="7"/>
    <s v="2025-12-09 15:07:18"/>
    <s v="6 días 15:07"/>
    <s v="1 días 15:07"/>
    <x v="1"/>
    <s v="SIN DATO"/>
    <s v="SIN DATO"/>
    <s v="SIN DATO"/>
    <s v="ABIERTO"/>
    <n v="-75.547747200000003"/>
    <n v="6.2494575299999999"/>
    <s v="SUR-ENE"/>
    <s v="Metropolitana Sur"/>
  </r>
  <r>
    <s v="23601742"/>
    <s v="ENERES"/>
    <s v="NUEVO"/>
    <s v="ENEDOM"/>
    <s v="28/11/2025 13:10:48"/>
    <s v="2025-12-02 15:35:48"/>
    <n v="1020443993"/>
    <s v="SEBASTIAN HERNANDEZ LOPEZ"/>
    <s v="2220273"/>
    <s v="3136859001"/>
    <s v="CL 47 CR 2 BB -163 (INTERIOR 449 )"/>
    <x v="0"/>
    <s v="054017002221630449"/>
    <s v="Medellín"/>
    <x v="2"/>
    <s v="Habilitación Viviendas Metrosur"/>
    <x v="1"/>
    <n v="5"/>
    <s v="2025-12-10 15:35:48"/>
    <s v="3 días 15:35"/>
    <s v="2 días 15:35"/>
    <x v="1"/>
    <s v="SIN DATO"/>
    <s v="SIN DATO"/>
    <s v="SIN DATO"/>
    <s v="ABIERTO"/>
    <n v="-75.533094090000006"/>
    <n v="6.2279673200000003"/>
    <s v="SUR-ENE"/>
    <s v="Metropolitana Sur"/>
  </r>
  <r>
    <s v="23601759"/>
    <s v="ENEPRE"/>
    <s v="NUEVO"/>
    <s v="ENEPRE"/>
    <s v="27/11/2025 15:23:11"/>
    <s v="2025-11-27 15:23:11"/>
    <n v="1152701653"/>
    <s v="JESUS DAVID HERNANDEZ SANCHEZ"/>
    <s v="SIN DATOS"/>
    <s v="3045790687"/>
    <s v="CR 120 F CL 54 -173 (INTERIOR 2279 )"/>
    <x v="0"/>
    <s v="085220604001732279"/>
    <s v="Medellín"/>
    <x v="3"/>
    <s v="Energía Prepago Metrosur"/>
    <x v="1"/>
    <n v="11"/>
    <s v="2025-12-15 15:23:11"/>
    <s v="6 días 15:23"/>
    <s v="5 días 15:23"/>
    <x v="0"/>
    <s v="SIN DATO"/>
    <s v="SIN DATO"/>
    <s v="SIN DATO"/>
    <s v="ABIERTO"/>
    <n v="-75.627324999999999"/>
    <n v="6.2718420000000004"/>
    <s v="SUR-ENE"/>
    <s v="Metropolitana Sur"/>
  </r>
  <r>
    <s v="23601761"/>
    <s v="ENEPRE"/>
    <s v="NUEVO"/>
    <s v="ENEPRE"/>
    <s v="27/11/2025 15:23:46"/>
    <s v="2025-12-04 10:14:36"/>
    <n v="42886026"/>
    <s v="ROSALBA UPEGUI BEDOYA"/>
    <s v="3372375"/>
    <s v="3203979022"/>
    <s v="RURAL_163020130000000000_VDA OLIVARES"/>
    <x v="1"/>
    <s v="163020130000000000"/>
    <s v="Itaguí"/>
    <x v="3"/>
    <s v="Energía Prepago Metrosur"/>
    <x v="1"/>
    <n v="11"/>
    <s v="2025-12-22 10:14:36"/>
    <s v="0 días 10:14"/>
    <s v="10 días 10:14"/>
    <x v="0"/>
    <s v="SIN DATO"/>
    <s v="SIN DATO"/>
    <s v="SIN DATO"/>
    <s v="ABIERTO"/>
    <n v="-75.621187680000006"/>
    <n v="6.1746380099999998"/>
    <s v="SUR-ENE"/>
    <s v="Metropolitana Sur"/>
  </r>
  <r>
    <s v="23601769"/>
    <s v="ENERES"/>
    <s v="NUEVO"/>
    <s v="ENERES"/>
    <s v="27/11/2025 15:29:32"/>
    <s v="2025-11-27 15:29:32"/>
    <n v="43263200"/>
    <s v="BLANCA MIRIAM ROJAS LOAIZA"/>
    <s v="SIN DATOS"/>
    <s v="3113817324"/>
    <s v="CR 27 CL 58 -45 (INTERIOR 201 )"/>
    <x v="0"/>
    <s v="055227008000450201"/>
    <s v="Medellín"/>
    <x v="1"/>
    <s v="METROSUR Vin. Leg. Ref. Concentrada"/>
    <x v="1"/>
    <n v="7"/>
    <s v="2025-12-09 15:29:32"/>
    <s v="6 días 15:29"/>
    <s v="1 días 15:29"/>
    <x v="1"/>
    <s v="SIN DATO"/>
    <s v="SIN DATO"/>
    <s v="SIN DATO"/>
    <s v="ABIERTO"/>
    <n v="-75.547798099999994"/>
    <n v="6.2496190900000004"/>
    <s v="SUR-ENE"/>
    <s v="Metropolitana Sur"/>
  </r>
  <r>
    <s v="23601770"/>
    <s v="ENEPRE"/>
    <s v="NUEVO"/>
    <s v="ENEPRE"/>
    <s v="27/11/2025 15:29:59"/>
    <s v="2025-11-27 15:29:59"/>
    <n v="43279281"/>
    <s v="LUZ MERY FLOREZ FLOREZ"/>
    <s v="SIN DATOS"/>
    <s v="3147107471"/>
    <s v="RURAL_116005536000000301_116005536000000301"/>
    <x v="0"/>
    <s v="116005536000000301"/>
    <s v="Medellín"/>
    <x v="3"/>
    <s v="Energía Prepago Metrosur"/>
    <x v="1"/>
    <n v="11"/>
    <s v="2025-12-15 15:29:59"/>
    <s v="6 días 15:29"/>
    <s v="5 días 15:29"/>
    <x v="0"/>
    <s v="SIN DATO"/>
    <s v="SIN DATO"/>
    <s v="SIN DATO"/>
    <s v="ABIERTO"/>
    <n v="-75.631108249999997"/>
    <n v="6.2330460199999997"/>
    <s v="SUR-ENE"/>
    <s v="Metropolitana Sur"/>
  </r>
  <r>
    <s v="23601776"/>
    <s v="ENEMRT"/>
    <s v="NUEVO"/>
    <s v="ENEMVI"/>
    <s v="27/11/2025 15:32:11"/>
    <s v="2025-11-27 15:32:11"/>
    <n v="900062516"/>
    <s v="COLORETTO S.A. EN REORGANIZACION"/>
    <s v="3011542"/>
    <s v="3155900115"/>
    <s v="CR 49 CL 81 SUR -90"/>
    <x v="5"/>
    <s v="018429001000900000"/>
    <s v="Sabaneta"/>
    <x v="9"/>
    <s v="Mov Red Trans Dairo Gil"/>
    <x v="1"/>
    <n v="9"/>
    <s v="2025-12-11 15:32:11"/>
    <s v="6 días 15:32"/>
    <s v="3 días 15:32"/>
    <x v="0"/>
    <s v="SIN DATO"/>
    <s v="SIN DATO"/>
    <s v="SIN DATO"/>
    <s v="ABIERTO"/>
    <n v="-75.630262999999999"/>
    <n v="6.1513739999999997"/>
    <s v="SUR-ENE"/>
    <s v="Metropolitana Sur"/>
  </r>
  <r>
    <s v="23601786"/>
    <s v="ENERES"/>
    <s v="NUEVO"/>
    <s v="ENEDOM"/>
    <s v="27/11/2025 15:34:10"/>
    <s v="2025-11-27 15:34:10"/>
    <n v="21527287"/>
    <s v="NATALIA  SERNA BARRERA"/>
    <s v="SIN DATOS"/>
    <s v="3004674312"/>
    <s v="RURAL_122003570000000101_122003570000000101"/>
    <x v="0"/>
    <s v="122003570000000101"/>
    <s v="Medellín"/>
    <x v="0"/>
    <s v="Habilitación Viviendas Metrosur"/>
    <x v="0"/>
    <n v="8"/>
    <s v="2025-12-10 15:34:10"/>
    <s v="6 días 15:34"/>
    <s v="2 días 15:34"/>
    <x v="1"/>
    <s v="SIN DATO"/>
    <s v="SIN DATO"/>
    <s v="SIN DATO"/>
    <s v="ABIERTO"/>
    <n v="-75.521016000000003"/>
    <n v="6.2325590000000002"/>
    <s v="SUR-ENE"/>
    <s v="Metropolitana Sur"/>
  </r>
  <r>
    <s v="23601840"/>
    <s v="ENEPRE"/>
    <s v="NUEVO"/>
    <s v="ENEPRE"/>
    <s v="27/11/2025 15:53:09"/>
    <s v="2025-11-27 15:53:09"/>
    <n v="98451496"/>
    <s v="OSCAR DE JESUS AGUDELO ARAQUE"/>
    <s v="5580282"/>
    <s v="3135395979"/>
    <s v="CL 69 CR 121 -250 (INTERIOR 185 )"/>
    <x v="0"/>
    <s v="086219001002500185"/>
    <s v="Medellín"/>
    <x v="3"/>
    <s v="Energía Prepago Metrosur"/>
    <x v="1"/>
    <n v="11"/>
    <s v="2025-12-15 15:53:09"/>
    <s v="6 días 15:53"/>
    <s v="5 días 15:53"/>
    <x v="0"/>
    <s v="SIN DATO"/>
    <s v="SIN DATO"/>
    <s v="SIN DATO"/>
    <s v="ABIERTO"/>
    <n v="-75.62805582"/>
    <n v="6.2874740600000001"/>
    <s v="SUR-ENE"/>
    <s v="Metropolitana Sur"/>
  </r>
  <r>
    <s v="23601864"/>
    <s v="ENERES"/>
    <s v="NUEVO"/>
    <s v="ENEDOM"/>
    <s v="27/11/2025 15:57:53"/>
    <s v="2025-11-27 15:57:53"/>
    <n v="21527287"/>
    <s v="NATALIA  SERNA BARRERA"/>
    <s v="SIN DATOS"/>
    <s v="3004674312"/>
    <s v="RURAL_122003570000000103"/>
    <x v="0"/>
    <s v="122003570000000103"/>
    <s v="Medellín"/>
    <x v="0"/>
    <s v="Habilitación Viviendas Metrosur"/>
    <x v="0"/>
    <n v="8"/>
    <s v="2025-12-10 15:57:53"/>
    <s v="6 días 15:57"/>
    <s v="2 días 15:57"/>
    <x v="1"/>
    <s v="SIN DATO"/>
    <s v="SIN DATO"/>
    <s v="SIN DATO"/>
    <s v="ABIERTO"/>
    <n v="-75.521034470000004"/>
    <n v="6.2325751199999999"/>
    <s v="SUR-ENE"/>
    <s v="Metropolitana Sur"/>
  </r>
  <r>
    <s v="23601922"/>
    <s v="ENEPRE"/>
    <s v="NUEVO"/>
    <s v="ENEPRE"/>
    <s v="27/11/2025 16:25:46"/>
    <s v="2025-11-27 16:25:46"/>
    <n v="1025649918"/>
    <s v="WESLLY DAIANA LOAIZA ZULUAGA"/>
    <s v="SIN DATOS"/>
    <s v="3005121823"/>
    <s v="CL 18 D CR 89 -11 (INTERIOR 375 )"/>
    <x v="0"/>
    <s v="051818409000110375"/>
    <s v="Medellín"/>
    <x v="3"/>
    <s v="Energía Prepago Metrosur"/>
    <x v="1"/>
    <n v="11"/>
    <s v="2025-12-15 16:25:46"/>
    <s v="6 días 16:25"/>
    <s v="5 días 16:25"/>
    <x v="0"/>
    <s v="SIN DATO"/>
    <s v="SIN DATO"/>
    <s v="SIN DATO"/>
    <s v="ABIERTO"/>
    <n v="-75.611386850000002"/>
    <n v="6.22266692"/>
    <s v="SUR-ENE"/>
    <s v="Metropolitana Sur"/>
  </r>
  <r>
    <s v="23601935"/>
    <s v="ENENOR"/>
    <s v="NUEVO"/>
    <s v="ENENOR"/>
    <s v="27/11/2025 16:39:05"/>
    <s v="2025-12-04 10:21:35"/>
    <n v="21920985"/>
    <s v="MAGNOLIA PARRA ZAPATA"/>
    <s v="5891566"/>
    <s v="3004688399"/>
    <s v="CL 7 CR 52 -30 (INTERIOR 101 )"/>
    <x v="0"/>
    <s v="050517002000300101"/>
    <s v="Medellín"/>
    <x v="5"/>
    <s v="Revisor Instal. Regadas Metrosur"/>
    <x v="1"/>
    <n v="7"/>
    <s v="2025-12-16 10:21:35"/>
    <s v="0 días 10:21"/>
    <s v="6 días 10:21"/>
    <x v="0"/>
    <s v="SIN DATO"/>
    <s v="SIN DATO"/>
    <s v="SIN DATO"/>
    <s v="ABIERTO"/>
    <n v="-75.583517139999998"/>
    <n v="6.2128285300000003"/>
    <s v="SUR-ENE"/>
    <s v="Metropolitana Sur"/>
  </r>
  <r>
    <s v="23601941"/>
    <s v="ENERES"/>
    <s v="NUEVO"/>
    <s v="ENERES"/>
    <s v="27/11/2025 16:42:21"/>
    <s v="2025-12-04 10:14:36"/>
    <n v="21920985"/>
    <s v="MAGNOLIA PARRA ZAPATA"/>
    <s v="5891566"/>
    <s v="3004688399"/>
    <s v="CL 7 CR 52 -30 (INTERIOR 301 )"/>
    <x v="0"/>
    <s v="050517002000300301"/>
    <s v="Medellín"/>
    <x v="1"/>
    <s v="Revisor Instal. Regadas Metrosur"/>
    <x v="1"/>
    <n v="7"/>
    <s v="2025-12-16 10:14:36"/>
    <s v="0 días 10:14"/>
    <s v="6 días 10:14"/>
    <x v="0"/>
    <s v="SIN DATO"/>
    <s v="SIN DATO"/>
    <s v="SIN DATO"/>
    <s v="ABIERTO"/>
    <n v="-75.583517139999998"/>
    <n v="6.2128285300000003"/>
    <s v="SUR-ENE"/>
    <s v="Metropolitana Sur"/>
  </r>
  <r>
    <s v="23601948"/>
    <s v="ENEMRT"/>
    <s v="NUEVO"/>
    <s v="ENEMVI"/>
    <s v="27/11/2025 16:48:54"/>
    <s v="2025-11-27 16:48:54"/>
    <n v="71716332"/>
    <s v="JULIO HECTOR ASPRILLA RIVAS"/>
    <s v="SIN DATOS"/>
    <s v="3159495800"/>
    <s v="CL 39 E CR 115 A -113"/>
    <x v="0"/>
    <s v="083119505101130000"/>
    <s v="Medellín"/>
    <x v="9"/>
    <s v="METR Mov Red Trans Anderson Castaño"/>
    <x v="1"/>
    <n v="9"/>
    <s v="2025-12-11 16:48:54"/>
    <s v="6 días 16:48"/>
    <s v="3 días 16:48"/>
    <x v="0"/>
    <s v="SIN DATO"/>
    <s v="SIN DATO"/>
    <s v="SIN DATO"/>
    <s v="ABIERTO"/>
    <n v="-75.626833939999997"/>
    <n v="6.2546611299999997"/>
    <s v="SUR-ENE"/>
    <s v="Metropolitana Sur"/>
  </r>
  <r>
    <s v="23601994"/>
    <s v="ENEMRT"/>
    <s v="NUEVO"/>
    <s v="ENEMVI"/>
    <s v="27/11/2025 19:54:56"/>
    <s v="2025-11-27 19:54:56"/>
    <n v="1040511677"/>
    <s v="YERMAN ANDRES PALACIOS MOSQUERA"/>
    <s v="2847580"/>
    <s v="3218527147"/>
    <s v="CL 57 EE CR 22 B -52"/>
    <x v="0"/>
    <s v="055217552200520000"/>
    <s v="Medellín"/>
    <x v="9"/>
    <s v="Mov Red Trans Dairo Gil"/>
    <x v="1"/>
    <n v="9"/>
    <s v="2025-12-11 19:54:56"/>
    <s v="6 días 19:54"/>
    <s v="3 días 19:54"/>
    <x v="0"/>
    <s v="SIN DATO"/>
    <s v="SIN DATO"/>
    <s v="SIN DATO"/>
    <s v="ABIERTO"/>
    <n v="-75.544192379999998"/>
    <n v="6.2513477599999998"/>
    <s v="SUR-ENE"/>
    <s v="Metropolitana Sur"/>
  </r>
  <r>
    <s v="23602071"/>
    <s v="ENEPRE"/>
    <s v="NUEVO"/>
    <s v="ENEPRE"/>
    <s v="28/11/2025 07:05:21"/>
    <s v="2025-11-28 07:05:21"/>
    <n v="1035441440"/>
    <s v="DANIELA ANDREA QUINTERO RAMIREZ"/>
    <s v="SIN DATOS"/>
    <s v="3214368400"/>
    <s v="CL 18 D CR 89 -11 (INTERIOR 1193 )"/>
    <x v="0"/>
    <s v="051818409000111193"/>
    <s v="Medellín"/>
    <x v="3"/>
    <s v="Energía Prepago Metrosur"/>
    <x v="1"/>
    <n v="11"/>
    <s v="2025-12-16 07:05:21"/>
    <s v="5 días 07:05"/>
    <s v="6 días 07:05"/>
    <x v="0"/>
    <s v="SIN DATO"/>
    <s v="SIN DATO"/>
    <s v="SIN DATO"/>
    <s v="ABIERTO"/>
    <n v="-75.611386850000002"/>
    <n v="6.22266692"/>
    <s v="SUR-ENE"/>
    <s v="Metropolitana Sur"/>
  </r>
  <r>
    <s v="23602232"/>
    <s v="ENERES"/>
    <s v="NUEVO"/>
    <s v="ENEDOM"/>
    <s v="28/11/2025 08:35:11"/>
    <s v="2025-12-03 09:13:24"/>
    <n v="11804828"/>
    <s v="FLORENTINO PIZARRO PALACIOS"/>
    <s v="SIN DATOS"/>
    <s v="3206666608"/>
    <s v="CL 56 A CR 25 BB -72 (INTERIOR 120 )"/>
    <x v="0"/>
    <s v="055216105220720120"/>
    <s v="Medellín"/>
    <x v="0"/>
    <s v="Habilitación Viviendas Metrosur"/>
    <x v="1"/>
    <n v="5"/>
    <s v="2025-12-11 09:13:24"/>
    <s v="2 días 09:13"/>
    <s v="3 días 09:13"/>
    <x v="0"/>
    <s v="SIN DATO"/>
    <s v="SIN DATO"/>
    <s v="SIN DATO"/>
    <s v="ABIERTO"/>
    <n v="-75.544686999999996"/>
    <n v="6.2469159999999997"/>
    <s v="SUR-ENE"/>
    <s v="Metropolitana Sur"/>
  </r>
  <r>
    <s v="23602384"/>
    <s v="ENEPRE"/>
    <s v="RETIR"/>
    <s v="ENEPRE"/>
    <s v="28/11/2025 10:15:29"/>
    <s v="2025-11-28 10:15:29"/>
    <n v="43522411"/>
    <s v="DIANA MARCELA JIMENEZ GIRALDO"/>
    <s v="SIN DATOS"/>
    <s v="3136563837"/>
    <s v="CL 45 CR 77 -68"/>
    <x v="0"/>
    <s v="054715007000680000-ENEPRE"/>
    <s v="Medellín"/>
    <x v="10"/>
    <s v="Energía Prepago Metrosur"/>
    <x v="1"/>
    <n v="11"/>
    <s v="2025-12-16 10:15:29"/>
    <s v="5 días 10:15"/>
    <s v="6 días 10:15"/>
    <x v="0"/>
    <s v="SIN DATO"/>
    <s v="SIN DATO"/>
    <s v="SIN DATO"/>
    <s v="ABIERTO"/>
    <n v="-75.596436909999994"/>
    <n v="6.2513020600000004"/>
    <s v="SUR-ENE"/>
    <s v="Metropolitana Sur"/>
  </r>
  <r>
    <s v="23602390"/>
    <s v="ENEMRT"/>
    <s v="NUEVO"/>
    <s v="ENEMVI"/>
    <s v="28/11/2025 10:20:51"/>
    <s v="2025-11-28 10:20:51"/>
    <n v="8161089"/>
    <s v="CAMILO ANGEL MACHADO"/>
    <s v="2669168"/>
    <s v="3166908498"/>
    <s v="PAJARITO 170050100160991"/>
    <x v="0"/>
    <s v="000000000000000000"/>
    <s v="Medellín"/>
    <x v="9"/>
    <s v="METR Mov Red Trans Anderson Castaño"/>
    <x v="1"/>
    <n v="9"/>
    <s v="2025-12-12 10:20:51"/>
    <s v="5 días 10:20"/>
    <s v="4 días 10:20"/>
    <x v="0"/>
    <s v="SIN DATO"/>
    <s v="SIN DATO"/>
    <s v="SIN DATO"/>
    <s v="ABIERTO"/>
    <n v="-75.610884501000001"/>
    <n v="6.2574398200000596"/>
    <s v="SUR-ENE"/>
    <s v="Metropolitana Sur"/>
  </r>
  <r>
    <s v="23602600"/>
    <s v="ENENOR"/>
    <s v="NUEVO"/>
    <s v="ENENOR"/>
    <s v="28/11/2025 11:01:12"/>
    <s v="2025-11-28 11:01:12"/>
    <n v="1037613400"/>
    <s v="DANIEL BETANCUR BERNAL"/>
    <s v="SIN DATOS"/>
    <s v="3188858580"/>
    <s v="RURAL_147049990000000115_PROV.VEREDA TRAVESIAS"/>
    <x v="0"/>
    <s v="147049990000000115"/>
    <s v="Medellín"/>
    <x v="5"/>
    <s v="Revisor Instal. Regadas Metrosur"/>
    <x v="0"/>
    <n v="10"/>
    <s v="2025-12-15 11:01:12"/>
    <s v="5 días 11:01"/>
    <s v="5 días 11:01"/>
    <x v="0"/>
    <s v="SIN DATO"/>
    <s v="SIN DATO"/>
    <s v="SIN DATO"/>
    <s v="ABIERTO"/>
    <n v="-75.646251000000007"/>
    <n v="6.2882899999999999"/>
    <s v="SUR-ENE"/>
    <s v="Metropolitana Sur"/>
  </r>
  <r>
    <s v="23602665"/>
    <s v="ENERES"/>
    <s v="NUEVO"/>
    <s v="ENERES"/>
    <s v="28/11/2025 11:28:27"/>
    <s v="2025-11-28 11:28:27"/>
    <n v="71315257"/>
    <s v="HENRY ZULETA PIEDRAHITA"/>
    <s v="2130684"/>
    <s v="3135690765"/>
    <s v="RURAL_147024610000000102_EL UVITO CL 70 CR 152 A -"/>
    <x v="0"/>
    <s v="147024610000000102"/>
    <s v="Medellín"/>
    <x v="1"/>
    <s v="Revisor Instal. Regadas Metrosur"/>
    <x v="0"/>
    <n v="10"/>
    <s v="2025-12-15 11:28:27"/>
    <s v="5 días 11:28"/>
    <s v="5 días 11:28"/>
    <x v="0"/>
    <s v="SIN DATO"/>
    <s v="SIN DATO"/>
    <s v="SIN DATO"/>
    <s v="ABIERTO"/>
    <n v="-75.649908010000004"/>
    <n v="6.29018707"/>
    <s v="SUR-ENE"/>
    <s v="Metropolitana Sur"/>
  </r>
  <r>
    <s v="23602677"/>
    <s v="ENERES"/>
    <s v="NUEVO"/>
    <s v="ENERES"/>
    <s v="28/11/2025 11:39:19"/>
    <s v="2025-11-28 11:39:19"/>
    <n v="1128275829"/>
    <s v="JOHN ALEXANDER SOTO POSADA"/>
    <s v="SIN DATOS"/>
    <s v="3136557544"/>
    <s v="RURAL_114004479040100103_114004479040100103"/>
    <x v="0"/>
    <s v="114004479040100103"/>
    <s v="Medellín"/>
    <x v="1"/>
    <s v="Revisor Instal. Regadas Metrosur"/>
    <x v="1"/>
    <n v="7"/>
    <s v="2025-12-10 11:39:19"/>
    <s v="5 días 11:39"/>
    <s v="2 días 11:39"/>
    <x v="1"/>
    <s v="SIN DATO"/>
    <s v="SIN DATO"/>
    <s v="SIN DATO"/>
    <s v="ABIERTO"/>
    <n v="-75.631592780000005"/>
    <n v="6.2033640600000002"/>
    <s v="SUR-ENE"/>
    <s v="Metropolitana Sur"/>
  </r>
  <r>
    <s v="23602678"/>
    <s v="ENENOR"/>
    <s v="NUEVO"/>
    <s v="ENENOR"/>
    <s v="28/11/2025 11:39:52"/>
    <s v="2025-11-28 11:39:52"/>
    <n v="890904996"/>
    <s v="EMPRESAS PUBLICAS DE MEDELLIN E.S.P."/>
    <s v="3808080"/>
    <s v="3006085217"/>
    <s v="CR 27 CL 41 -37 (INTERIOR 1 )"/>
    <x v="0"/>
    <s v="054227001000370001"/>
    <s v="Medellín"/>
    <x v="5"/>
    <s v="Revisor Instal. Regadas Metrosur"/>
    <x v="1"/>
    <n v="7"/>
    <s v="2025-12-10 11:39:52"/>
    <s v="5 días 11:39"/>
    <s v="2 días 11:39"/>
    <x v="1"/>
    <s v="SIN DATO"/>
    <s v="SIN DATO"/>
    <s v="SIN DATO"/>
    <s v="ABIERTO"/>
    <n v="-75.553408050000002"/>
    <n v="6.2345561500000004"/>
    <s v="SUR-ENE"/>
    <s v="Metropolitana Sur"/>
  </r>
  <r>
    <s v="23602689"/>
    <s v="ENERES"/>
    <s v="NUEVO"/>
    <s v="ENEDOM"/>
    <s v="04/12/2025 09:44:55"/>
    <s v="2025-12-04 09:44:55"/>
    <n v="1148697358"/>
    <s v="YOREIDY ARIAS PALACIOS"/>
    <s v="SIN DATOS"/>
    <s v="3103763721"/>
    <s v="CR 90 D CL 13 -23 (INTERIOR 201 )"/>
    <x v="0"/>
    <s v="051920403000230201"/>
    <s v="Medellín"/>
    <x v="2"/>
    <s v="Habilitación Viviendas Metrosur"/>
    <x v="1"/>
    <n v="5"/>
    <s v="2025-12-12 09:44:55"/>
    <s v="0 días 09:44"/>
    <s v="4 días 09:44"/>
    <x v="0"/>
    <s v="SIN DATO"/>
    <s v="SIN DATO"/>
    <s v="SIN DATO"/>
    <s v="ABIERTO"/>
    <n v="-75.614959999999996"/>
    <n v="6.2192730000000003"/>
    <s v="SUR-ENE"/>
    <s v="Metropolitana Sur"/>
  </r>
  <r>
    <s v="23602761"/>
    <s v="ENECNX"/>
    <s v="NUEVO"/>
    <s v="ENECNX"/>
    <s v="28/11/2025 13:26:39"/>
    <s v="2025-11-28 13:26:39"/>
    <n v="43591938"/>
    <s v="CLAUDIA HELENA VALLEJO ORTIZ"/>
    <s v="SIN DATOS"/>
    <s v="3113737370"/>
    <s v="TRAN 49 D CR 59 -95"/>
    <x v="0"/>
    <s v="054519409000950000"/>
    <s v="Medellín"/>
    <x v="4"/>
    <s v="Revisor Puntos de Conexión Metrosur"/>
    <x v="1"/>
    <n v="4"/>
    <s v="2025-12-04 13:26:39"/>
    <s v="5 días 13:26"/>
    <s v="VENCIDO"/>
    <x v="2"/>
    <s v="SIN DATO"/>
    <s v="SIN DATO"/>
    <s v="SIN DATO"/>
    <s v="ABIERTO"/>
    <n v="-75.576525050000001"/>
    <n v="6.2530680800000003"/>
    <s v="SUR-ENE"/>
    <s v="Metropolitana Sur"/>
  </r>
  <r>
    <s v="23602776"/>
    <s v="ENERES"/>
    <s v="NUEVO"/>
    <s v="ENEDOM"/>
    <s v="04/12/2025 09:45:27"/>
    <s v="2025-12-04 09:45:27"/>
    <n v="1036680029"/>
    <s v="JOHAN SEBASTIAN ACOSTA PRESIGA"/>
    <s v="SIN DATOS"/>
    <s v="3167564646"/>
    <s v="RURAL_163017038604500010_LOMADELOSZULETA"/>
    <x v="1"/>
    <s v="163017038604500010"/>
    <s v="Itaguí"/>
    <x v="2"/>
    <s v="Habilitación Viviendas Metrosur"/>
    <x v="1"/>
    <n v="5"/>
    <s v="2025-12-12 09:45:27"/>
    <s v="0 días 09:45"/>
    <s v="4 días 09:45"/>
    <x v="0"/>
    <s v="SIN DATO"/>
    <s v="SIN DATO"/>
    <s v="SIN DATO"/>
    <s v="ABIERTO"/>
    <n v="-75.614260000000002"/>
    <n v="6.1770949999999996"/>
    <s v="SUR-ENE"/>
    <s v="Metropolitana Sur"/>
  </r>
  <r>
    <s v="23602799"/>
    <s v="ENERES"/>
    <s v="NUEVO"/>
    <s v="ENEDOM"/>
    <s v="04/12/2025 09:45:54"/>
    <s v="2025-12-04 09:45:54"/>
    <n v="1036680029"/>
    <s v="JOHAN SEBASTIAN ACOSTA PRESIGA"/>
    <s v="SIN DATOS"/>
    <s v="3167564646"/>
    <s v="RURAL_163017038604500011_LOMADELOSZULETA"/>
    <x v="1"/>
    <s v="163017038604500011"/>
    <s v="Itaguí"/>
    <x v="2"/>
    <s v="Habilitación Viviendas Metrosur"/>
    <x v="1"/>
    <n v="5"/>
    <s v="2025-12-12 09:45:54"/>
    <s v="0 días 09:45"/>
    <s v="4 días 09:45"/>
    <x v="0"/>
    <s v="SIN DATO"/>
    <s v="SIN DATO"/>
    <s v="SIN DATO"/>
    <s v="ABIERTO"/>
    <n v="-75.614260000000002"/>
    <n v="6.1770949999999996"/>
    <s v="SUR-ENE"/>
    <s v="Metropolitana Sur"/>
  </r>
  <r>
    <s v="23602805"/>
    <s v="ENEMRT"/>
    <s v="NUEVO"/>
    <s v="ENEMVI"/>
    <s v="28/11/2025 13:50:29"/>
    <s v="2025-11-28 13:50:29"/>
    <n v="1020412249"/>
    <s v="LINA MARCELA LOPERA PULGARIN"/>
    <s v="SIN DATOS"/>
    <s v="3012584149"/>
    <s v="CR 53 CL 61 A -47"/>
    <x v="0"/>
    <s v="056523001100470000"/>
    <s v="Medellín"/>
    <x v="9"/>
    <s v="METR Mov Red Trans Anderson Castaño"/>
    <x v="1"/>
    <n v="9"/>
    <s v="2025-12-12 13:50:29"/>
    <s v="5 días 13:50"/>
    <s v="4 días 13:50"/>
    <x v="0"/>
    <s v="SIN DATO"/>
    <s v="SIN DATO"/>
    <s v="SIN DATO"/>
    <s v="ABIERTO"/>
    <n v="-75.5680981"/>
    <n v="6.26102764"/>
    <s v="SUR-ENE"/>
    <s v="Metropolitana Sur"/>
  </r>
  <r>
    <s v="23602826"/>
    <s v="ENEMRT"/>
    <s v="NUEVO"/>
    <s v="ENEMVI"/>
    <s v="28/11/2025 14:06:53"/>
    <s v="2025-11-28 14:06:53"/>
    <n v="1017194638"/>
    <s v="LINA MARIA MARTINEZ QUINTERO"/>
    <s v="SIN DATOS"/>
    <s v="3226267656"/>
    <s v="CL 52 CR 5 -27"/>
    <x v="0"/>
    <s v="055012005000270000"/>
    <s v="Medellín"/>
    <x v="9"/>
    <s v="METR Mov Red Trans Anderson Castaño"/>
    <x v="1"/>
    <n v="9"/>
    <s v="2025-12-12 14:06:53"/>
    <s v="5 días 14:06"/>
    <s v="4 días 14:06"/>
    <x v="0"/>
    <s v="SIN DATO"/>
    <s v="SIN DATO"/>
    <s v="SIN DATO"/>
    <s v="ABIERTO"/>
    <n v="-75.534241179999995"/>
    <n v="6.2324531500000004"/>
    <s v="SUR-ENE"/>
    <s v="Metropolitana Sur"/>
  </r>
  <r>
    <s v="23602836"/>
    <s v="ENECNX"/>
    <s v="NUEVO"/>
    <s v="ENECNX"/>
    <s v="28/11/2025 14:10:42"/>
    <s v="2025-11-28 14:10:42"/>
    <n v="11810114"/>
    <s v="LUIS EDUARD CORREA VELASQUEZ"/>
    <s v="SIN DATOS"/>
    <s v="3205741752"/>
    <s v="RURAL_122002980000000000_122002980000000000"/>
    <x v="0"/>
    <s v="122002980000000000"/>
    <s v="Medellín"/>
    <x v="4"/>
    <s v="Revisor Puntos de Conexión Metrosur"/>
    <x v="0"/>
    <n v="4"/>
    <s v="2025-12-04 14:10:42"/>
    <s v="5 días 14:10"/>
    <s v="VENCIDO"/>
    <x v="2"/>
    <s v="SIN DATO"/>
    <s v="SIN DATO"/>
    <s v="SIN DATO"/>
    <s v="ABIERTO"/>
    <n v="-75.513987979999996"/>
    <n v="6.23001702"/>
    <s v="SUR-ENE"/>
    <s v="Metropolitana Sur"/>
  </r>
  <r>
    <s v="23602844"/>
    <s v="ENECNX"/>
    <s v="NUEVO"/>
    <s v="ENECNX"/>
    <s v="28/11/2025 14:13:30"/>
    <s v="2025-11-28 14:13:30"/>
    <n v="1001394341"/>
    <s v="JHERALDIN LUJAN"/>
    <s v="1310261"/>
    <s v="3002068765"/>
    <s v="CR 49 CL 56 -44"/>
    <x v="0"/>
    <s v="055429006000440000"/>
    <s v="Medellín"/>
    <x v="4"/>
    <s v="Revisor Puntos de Conexión Metrosur"/>
    <x v="1"/>
    <n v="4"/>
    <s v="2025-12-04 14:13:30"/>
    <s v="5 días 14:13"/>
    <s v="VENCIDO"/>
    <x v="2"/>
    <s v="SIN DATO"/>
    <s v="SIN DATO"/>
    <s v="SIN DATO"/>
    <s v="ABIERTO"/>
    <n v="-75.563795999999996"/>
    <n v="6.2542410000000004"/>
    <s v="SUR-ENE"/>
    <s v="Metropolitana Sur"/>
  </r>
  <r>
    <s v="23602845"/>
    <s v="ENECNX"/>
    <s v="NUEVO"/>
    <s v="ENECNX"/>
    <s v="28/11/2025 14:13:31"/>
    <s v="2025-11-28 14:13:31"/>
    <n v="15256947"/>
    <s v="DIEGO DE JESUS GALLEGO CASTAÑEDA"/>
    <s v="SIN DATOS"/>
    <s v="3132720721"/>
    <s v="RURAL_161105312000000001_PROV.BR LA CORRALA"/>
    <x v="3"/>
    <s v="161105312000000001"/>
    <s v="Caldas"/>
    <x v="4"/>
    <s v="Revisor Puntos de Conexión Metrosur"/>
    <x v="0"/>
    <n v="4"/>
    <s v="2025-12-04 14:13:31"/>
    <s v="5 días 14:13"/>
    <s v="VENCIDO"/>
    <x v="2"/>
    <s v="SIN DATO"/>
    <s v="SIN DATO"/>
    <s v="SIN DATO"/>
    <s v="ABIERTO"/>
    <n v="-75.626208869999999"/>
    <n v="6.0859002699999998"/>
    <s v="SUR-ENE"/>
    <s v="Metropolitana Sur"/>
  </r>
  <r>
    <s v="23602857"/>
    <s v="ENECNX"/>
    <s v="NUEVO"/>
    <s v="ENECNX"/>
    <s v="28/11/2025 14:17:42"/>
    <s v="2025-11-28 14:17:42"/>
    <n v="75093715"/>
    <s v="DIEGO ANDRES SANCHEZ LONDOÑO"/>
    <s v="SIN DATOS"/>
    <s v="3127740750"/>
    <s v="CR 70 CL 44 -23"/>
    <x v="0"/>
    <s v="054720004000230000"/>
    <s v="Medellín"/>
    <x v="4"/>
    <s v="Revisor Puntos de Conexión Metrosur"/>
    <x v="1"/>
    <n v="4"/>
    <s v="2025-12-04 14:17:42"/>
    <s v="5 días 14:17"/>
    <s v="VENCIDO"/>
    <x v="2"/>
    <s v="SIN DATO"/>
    <s v="SIN DATO"/>
    <s v="SIN DATO"/>
    <s v="ABIERTO"/>
    <n v="-75.588828919999997"/>
    <n v="6.2496183199999997"/>
    <s v="SUR-ENE"/>
    <s v="Metropolitana Sur"/>
  </r>
  <r>
    <s v="23602888"/>
    <s v="ENEMRT"/>
    <s v="NUEVO"/>
    <s v="ENEMVI"/>
    <s v="28/11/2025 14:33:28"/>
    <s v="2025-11-28 14:33:28"/>
    <n v="43582384"/>
    <s v="SANDRA JANETH FLOREZ VELEZ"/>
    <s v="SIN DATOS"/>
    <s v="3127811408"/>
    <s v="CR 14 A CL 49 -20 (INTERIOR 301 )"/>
    <x v="0"/>
    <s v="054124109000200301"/>
    <s v="Medellín"/>
    <x v="9"/>
    <s v="METR Mov Red Trans Anderson Castaño"/>
    <x v="1"/>
    <n v="9"/>
    <s v="2025-12-12 14:33:28"/>
    <s v="5 días 14:33"/>
    <s v="4 días 14:33"/>
    <x v="0"/>
    <s v="SIN DATO"/>
    <s v="SIN DATO"/>
    <s v="SIN DATO"/>
    <s v="ABIERTO"/>
    <n v="-75.541471479999998"/>
    <n v="6.2331074199999996"/>
    <s v="SUR-ENE"/>
    <s v="Metropolitana Sur"/>
  </r>
  <r>
    <s v="23602900"/>
    <s v="ENECNX"/>
    <s v="NUEVO"/>
    <s v="ENECNX"/>
    <s v="28/11/2025 14:44:21"/>
    <s v="2025-11-28 14:44:21"/>
    <n v="70900761"/>
    <s v="JESUS DAVID CASTAÑO HOYOS"/>
    <s v="SIN DATOS"/>
    <s v="3225509608"/>
    <s v="CR 51 CL 83 -6 (INTERIOR 101 )"/>
    <x v="1"/>
    <s v="078521003000060101"/>
    <s v="Itaguí"/>
    <x v="4"/>
    <s v="Revisor Puntos de Conexión Metrosur"/>
    <x v="1"/>
    <n v="4"/>
    <s v="2025-12-04 14:44:21"/>
    <s v="5 días 14:44"/>
    <s v="VENCIDO"/>
    <x v="2"/>
    <s v="SIN DATO"/>
    <s v="SIN DATO"/>
    <s v="SIN DATO"/>
    <s v="ABIERTO"/>
    <n v="-75.592496359999998"/>
    <n v="6.1897947999999996"/>
    <s v="SUR-ENE"/>
    <s v="Metropolitana Sur"/>
  </r>
  <r>
    <s v="23602905"/>
    <s v="ENEMRT"/>
    <s v="NUEVO"/>
    <s v="ENEMVI"/>
    <s v="28/11/2025 14:48:32"/>
    <s v="2025-11-28 14:48:32"/>
    <n v="1000538762"/>
    <s v="LAURA NATALLY MUÑOZ GUARIN"/>
    <s v="SIN DATOS"/>
    <s v="3133324621"/>
    <s v="CR 98 A CL 62 -106 (INTERIOR 1001 )"/>
    <x v="0"/>
    <s v="056928102001061001"/>
    <s v="Medellín"/>
    <x v="9"/>
    <s v="METR Mov Red Trans Anderson Castaño"/>
    <x v="1"/>
    <n v="9"/>
    <s v="2025-12-12 14:48:32"/>
    <s v="5 días 14:48"/>
    <s v="4 días 14:48"/>
    <x v="0"/>
    <s v="SIN DATO"/>
    <s v="SIN DATO"/>
    <s v="SIN DATO"/>
    <s v="ABIERTO"/>
    <n v="-75.608658640000002"/>
    <n v="6.2776701700000004"/>
    <s v="SUR-ENE"/>
    <s v="Metropolitana Sur"/>
  </r>
  <r>
    <s v="23602975"/>
    <s v="ENERES"/>
    <s v="NUEVO"/>
    <s v="ENEDOM"/>
    <s v="28/11/2025 15:24:30"/>
    <s v="2025-12-04 14:53:19"/>
    <n v="1036608150"/>
    <s v="YUDI ESTELA MORENO CARVAJAL"/>
    <s v="SIN DATOS"/>
    <s v="3148174031"/>
    <s v="RURAL_163001036500000201"/>
    <x v="1"/>
    <s v="163001036500000201"/>
    <s v="Itaguí"/>
    <x v="0"/>
    <s v="Habilitación Viviendas Metrosur"/>
    <x v="1"/>
    <n v="5"/>
    <s v="2025-12-12 14:53:19"/>
    <s v="0 días 14:53"/>
    <s v="4 días 14:53"/>
    <x v="0"/>
    <s v="SIN DATO"/>
    <s v="SIN DATO"/>
    <s v="SIN DATO"/>
    <s v="ABIERTO"/>
    <n v="-75.598241340000001"/>
    <n v="6.1971229499999998"/>
    <s v="SUR-ENE"/>
    <s v="Metropolitana Sur"/>
  </r>
  <r>
    <s v="23602982"/>
    <s v="ENERES"/>
    <s v="NUEVO"/>
    <s v="ENERES"/>
    <s v="28/11/2025 15:31:59"/>
    <s v="2025-11-28 15:31:59"/>
    <n v="43556097"/>
    <s v="ROSALBA DEL ROCIO FLOREZ RODRIGUEZ"/>
    <s v="3798342"/>
    <s v="3042182152"/>
    <s v="CR 57 CL 44 -31 (INTERIOR 306 )"/>
    <x v="1"/>
    <s v="074527004000310306"/>
    <s v="Itaguí"/>
    <x v="1"/>
    <s v="Revisor Instal. Regadas Metrosur"/>
    <x v="1"/>
    <n v="7"/>
    <s v="2025-12-10 15:31:59"/>
    <s v="5 días 15:31"/>
    <s v="2 días 15:31"/>
    <x v="1"/>
    <s v="SIN DATO"/>
    <s v="SIN DATO"/>
    <s v="SIN DATO"/>
    <s v="ABIERTO"/>
    <n v="-75.616532000000007"/>
    <n v="6.1752890000000003"/>
    <s v="SUR-ENE"/>
    <s v="Metropolitana Sur"/>
  </r>
  <r>
    <s v="23603002"/>
    <s v="ENEPRE"/>
    <s v="NUEVO"/>
    <s v="ENEPRE"/>
    <s v="28/11/2025 15:51:36"/>
    <s v="2025-11-28 15:51:36"/>
    <n v="1022146985"/>
    <s v="JUAN DAVID MUÑOZ GONZALEZ"/>
    <s v="4782690"/>
    <s v="3214782690"/>
    <s v="RURAL_116005351680000000_116005351680000000"/>
    <x v="0"/>
    <s v="116005351680000000"/>
    <s v="Medellín"/>
    <x v="3"/>
    <s v="Energía Prepago Metrosur"/>
    <x v="1"/>
    <n v="11"/>
    <s v="2025-12-16 15:51:36"/>
    <s v="5 días 15:51"/>
    <s v="6 días 15:51"/>
    <x v="0"/>
    <s v="SIN DATO"/>
    <s v="SIN DATO"/>
    <s v="SIN DATO"/>
    <s v="ABIERTO"/>
    <n v="-75.633280450000001"/>
    <n v="6.2343363800000002"/>
    <s v="SUR-ENE"/>
    <s v="Metropolitana Sur"/>
  </r>
  <r>
    <s v="23603024"/>
    <s v="ENENOR"/>
    <s v="NUEVO"/>
    <s v="ENENOR"/>
    <s v="28/11/2025 16:06:52"/>
    <s v="2025-11-28 16:06:52"/>
    <n v="8273101"/>
    <s v="JOSE IGNACIO ACOSTA BETANCUR"/>
    <s v="SIN DATOS"/>
    <s v="3114399404"/>
    <s v="CL 40 SUR CR 74 A -5"/>
    <x v="0"/>
    <s v="044710004100050000"/>
    <s v="Medellín"/>
    <x v="5"/>
    <s v="Revisor Instal. Regadas Metrosur"/>
    <x v="1"/>
    <n v="7"/>
    <s v="2025-12-10 16:06:52"/>
    <s v="5 días 16:06"/>
    <s v="2 días 16:06"/>
    <x v="1"/>
    <s v="SIN DATO"/>
    <s v="SIN DATO"/>
    <s v="SIN DATO"/>
    <s v="ABIERTO"/>
    <n v="-75.652731380000006"/>
    <n v="6.1857651799999998"/>
    <s v="SUR-ENE"/>
    <s v="Metropolitana Sur"/>
  </r>
  <r>
    <s v="23603027"/>
    <s v="ENECNX"/>
    <s v="NUEVO"/>
    <s v="ENECNX"/>
    <s v="28/11/2025 16:08:35"/>
    <s v="2025-11-28 16:08:35"/>
    <n v="890093117"/>
    <s v="ARQUITECTURA Y CONCRETO S A"/>
    <s v="2468622"/>
    <s v="3128948263"/>
    <s v="CR 49 CL 29 SUR -140 (INTERIOR 7 )"/>
    <x v="2"/>
    <s v="022429009001400007"/>
    <s v="Envigado"/>
    <x v="4"/>
    <s v="Revisor Puntos de Conexión Metrosur"/>
    <x v="1"/>
    <n v="4"/>
    <s v="2025-12-04 16:08:35"/>
    <s v="5 días 16:08"/>
    <s v="VENCIDO"/>
    <x v="2"/>
    <s v="SIN DATO"/>
    <s v="SIN DATO"/>
    <s v="SIN DATO"/>
    <s v="ABIERTO"/>
    <n v="-75.588930000000005"/>
    <n v="6.1806099999999997"/>
    <s v="SUR-ENE"/>
    <s v="Metropolitana Sur"/>
  </r>
  <r>
    <s v="23603029"/>
    <s v="ENEMRT"/>
    <s v="NUEVO"/>
    <s v="ENEMVI"/>
    <s v="28/11/2025 16:09:16"/>
    <s v="2025-11-28 16:09:16"/>
    <n v="43871057"/>
    <s v="DIANA PATRICIA SALAZAR PANESSO"/>
    <s v="4216976"/>
    <s v="SIN DATOS"/>
    <s v="CR 87 CL 58 CC -90"/>
    <x v="0"/>
    <s v="055827008330900000"/>
    <s v="Medellín"/>
    <x v="9"/>
    <s v="METR Mov Red Trans Anderson Castaño"/>
    <x v="1"/>
    <n v="9"/>
    <s v="2025-12-12 16:09:16"/>
    <s v="5 días 16:09"/>
    <s v="4 días 16:09"/>
    <x v="0"/>
    <s v="SIN DATO"/>
    <s v="SIN DATO"/>
    <s v="SIN DATO"/>
    <s v="ABIERTO"/>
    <n v="-75.599261459999994"/>
    <n v="6.27421366"/>
    <s v="SUR-ENE"/>
    <s v="Metropolitana Sur"/>
  </r>
  <r>
    <s v="23603043"/>
    <s v="ENEPRE"/>
    <s v="NUEVO"/>
    <s v="ENEPRE"/>
    <s v="28/11/2025 16:21:08"/>
    <s v="2025-11-28 16:21:08"/>
    <n v="1128472883"/>
    <s v="DORIS PATRICIA RINCON ARANGO"/>
    <s v="SIN DATOS"/>
    <s v="3216079225"/>
    <s v="CR 107 CL 35 -110 (INTERIOR 102 )"/>
    <x v="0"/>
    <s v="083027005001100102"/>
    <s v="Medellín"/>
    <x v="3"/>
    <s v="Energía Prepago Metrosur"/>
    <x v="1"/>
    <n v="11"/>
    <s v="2025-12-16 16:21:08"/>
    <s v="5 días 16:21"/>
    <s v="6 días 16:21"/>
    <x v="0"/>
    <s v="SIN DATO"/>
    <s v="SIN DATO"/>
    <s v="SIN DATO"/>
    <s v="ABIERTO"/>
    <n v="-75.619470000000007"/>
    <n v="6.2483129999999996"/>
    <s v="SUR-ENE"/>
    <s v="Metropolitana Sur"/>
  </r>
  <r>
    <s v="23603058"/>
    <s v="ENERES"/>
    <s v="NUEVO"/>
    <s v="ENERES"/>
    <s v="28/11/2025 16:33:57"/>
    <s v="2025-11-28 16:33:57"/>
    <n v="1128272191"/>
    <s v="MARIA ALEJANDRA HOYOS SIERRA"/>
    <s v="SIN DATOS"/>
    <s v="3104509421"/>
    <s v="RURAL_140004950000000024_PROV.VOLTA HOUSING CR 3A"/>
    <x v="2"/>
    <s v="140004950000000024"/>
    <s v="Envigado"/>
    <x v="1"/>
    <s v="Revisor Instal. Regadas Metrosur"/>
    <x v="1"/>
    <n v="7"/>
    <s v="2025-12-10 16:33:57"/>
    <s v="5 días 16:33"/>
    <s v="2 días 16:33"/>
    <x v="1"/>
    <s v="SIN DATO"/>
    <s v="SIN DATO"/>
    <s v="SIN DATO"/>
    <s v="ABIERTO"/>
    <n v="-75.528009159999996"/>
    <n v="6.1373332500000002"/>
    <s v="SUR-ENE"/>
    <s v="Metropolitana Sur"/>
  </r>
  <r>
    <s v="23603080"/>
    <s v="ENECNX"/>
    <s v="NUEVO"/>
    <s v="ENECNX"/>
    <s v="28/11/2025 17:00:47"/>
    <s v="2025-11-28 17:00:47"/>
    <n v="98530416"/>
    <s v="JULIO CESAR GARCIA VASQUEZ"/>
    <s v="3474644"/>
    <s v="3175097039"/>
    <s v="CL 59 CR 52 -26"/>
    <x v="0"/>
    <s v="055519002000260000"/>
    <s v="Medellín"/>
    <x v="4"/>
    <s v="Revisor Puntos de Conexión Metrosur"/>
    <x v="1"/>
    <n v="4"/>
    <s v="2025-12-04 17:00:47"/>
    <s v="5 días 17:00"/>
    <s v="VENCIDO"/>
    <x v="2"/>
    <s v="SIN DATO"/>
    <s v="SIN DATO"/>
    <s v="SIN DATO"/>
    <s v="ABIERTO"/>
    <n v="-75.567816149999999"/>
    <n v="6.2581631700000004"/>
    <s v="SUR-ENE"/>
    <s v="Metropolitana Sur"/>
  </r>
  <r>
    <s v="23603093"/>
    <s v="ENEMRT"/>
    <s v="NUEVO"/>
    <s v="ENEMVI"/>
    <s v="28/11/2025 17:19:12"/>
    <s v="2025-11-28 17:19:12"/>
    <n v="3428437"/>
    <s v="JOSE RAMIRO GOMEZ ARANGO"/>
    <s v="5047939"/>
    <s v="3138259843"/>
    <s v="CL 49 CR 99 -49"/>
    <x v="0"/>
    <s v="054919009000490000"/>
    <s v="Medellín"/>
    <x v="9"/>
    <s v="METR Mov Red Trans Anderson Castaño"/>
    <x v="1"/>
    <n v="9"/>
    <s v="2025-12-12 17:19:12"/>
    <s v="5 días 17:19"/>
    <s v="4 días 17:19"/>
    <x v="0"/>
    <s v="SIN DATO"/>
    <s v="SIN DATO"/>
    <s v="SIN DATO"/>
    <s v="ABIERTO"/>
    <n v="-75.612684639999998"/>
    <n v="6.2633181699999998"/>
    <s v="SUR-ENE"/>
    <s v="Metropolitana Sur"/>
  </r>
  <r>
    <s v="23603109"/>
    <s v="ENECNX"/>
    <s v="NUEVO"/>
    <s v="ENECNX"/>
    <s v="28/11/2025 20:05:43"/>
    <s v="2025-11-28 20:05:43"/>
    <n v="70565662"/>
    <s v="VICTOR HUGO PARRA VALENCIA"/>
    <s v="SIN DATOS"/>
    <s v="3016002852"/>
    <s v="RURAL_122002980000000000_122002980000000000"/>
    <x v="0"/>
    <s v="122002980000000000"/>
    <s v="Medellín"/>
    <x v="4"/>
    <s v="Revisor Puntos de Conexión Metrosur"/>
    <x v="0"/>
    <n v="4"/>
    <s v="2025-12-04 20:05:43"/>
    <s v="5 días 20:05"/>
    <s v="VENCIDO"/>
    <x v="2"/>
    <s v="SIN DATO"/>
    <s v="SIN DATO"/>
    <s v="SIN DATO"/>
    <s v="ABIERTO"/>
    <n v="-75.513987979999996"/>
    <n v="6.23001702"/>
    <s v="SUR-ENE"/>
    <s v="Metropolitana Sur"/>
  </r>
  <r>
    <s v="23603111"/>
    <s v="ENECNX"/>
    <s v="NUEVO"/>
    <s v="ENECNX"/>
    <s v="28/11/2025 22:03:32"/>
    <s v="2025-11-28 22:03:32"/>
    <n v="4355134"/>
    <s v="GILDARDO MARTINEZ GOMEZ"/>
    <s v="SIN DATOS"/>
    <s v="3193290909"/>
    <s v="CL 34 A CR 54 A -54"/>
    <x v="1"/>
    <s v="073514104100540000"/>
    <s v="Itaguí"/>
    <x v="4"/>
    <s v="Revisor Puntos de Conexión Metrosur"/>
    <x v="1"/>
    <n v="4"/>
    <s v="2025-12-04 22:03:32"/>
    <s v="5 días 22:03"/>
    <s v="VENCIDO"/>
    <x v="2"/>
    <s v="SIN DATO"/>
    <s v="SIN DATO"/>
    <s v="SIN DATO"/>
    <s v="ABIERTO"/>
    <n v="-75.624429109999994"/>
    <n v="6.1679825800000003"/>
    <s v="SUR-ENE"/>
    <s v="Metropolitana Sur"/>
  </r>
  <r>
    <s v="23603298"/>
    <s v="ENEPRE"/>
    <s v="NUEVO"/>
    <s v="ENEPRE"/>
    <s v="29/11/2025 06:50:05"/>
    <s v="2025-11-29 06:50:05"/>
    <n v="1152462429"/>
    <s v="ANGGIE VANESA BERMUDEZ CANO"/>
    <s v="SIN DATOS"/>
    <s v="3148235694"/>
    <s v="CL 19 CR 105 -40 (INTERIOR 203 )"/>
    <x v="0"/>
    <s v="081019005000400203"/>
    <s v="Medellín"/>
    <x v="3"/>
    <s v="Energía Prepago Metrosur"/>
    <x v="1"/>
    <n v="11"/>
    <s v="2025-12-16 06:50:05"/>
    <s v="5 días 06:50"/>
    <s v="6 días 06:50"/>
    <x v="0"/>
    <s v="SIN DATO"/>
    <s v="SIN DATO"/>
    <s v="SIN DATO"/>
    <s v="ABIERTO"/>
    <n v="-75.627278000000004"/>
    <n v="6.2249410000000003"/>
    <s v="SUR-ENE"/>
    <s v="Metropolitana Sur"/>
  </r>
  <r>
    <s v="23603303"/>
    <s v="ENEPRE"/>
    <s v="NUEVO"/>
    <s v="ENEPRE"/>
    <s v="29/11/2025 06:58:42"/>
    <s v="2025-11-29 06:58:42"/>
    <n v="43511827"/>
    <s v="MARIA NOHELIA CANO QUINCHIA"/>
    <s v="5374315"/>
    <s v="3106671137"/>
    <s v="CL 19 CR 105 -40 (INTERIOR 2203 )"/>
    <x v="0"/>
    <s v="081019005000402203"/>
    <s v="Medellín"/>
    <x v="3"/>
    <s v="Energía Prepago Metrosur"/>
    <x v="1"/>
    <n v="11"/>
    <s v="2025-12-16 06:58:42"/>
    <s v="5 días 06:58"/>
    <s v="6 días 06:58"/>
    <x v="0"/>
    <s v="SIN DATO"/>
    <s v="SIN DATO"/>
    <s v="SIN DATO"/>
    <s v="ABIERTO"/>
    <n v="-75.627278000000004"/>
    <n v="6.2249410000000003"/>
    <s v="SUR-ENE"/>
    <s v="Metropolitana Sur"/>
  </r>
  <r>
    <s v="23603305"/>
    <s v="ENERES"/>
    <s v="NUEVO"/>
    <s v="ENERES"/>
    <s v="29/11/2025 07:00:46"/>
    <s v="2025-11-29 07:00:46"/>
    <n v="1128420997"/>
    <s v="ALEXANDER SIERRA VARGAS"/>
    <s v="SIN DATOS"/>
    <s v="3014298465"/>
    <s v="CL 81 SUR CR 69 -99"/>
    <x v="4"/>
    <s v="038611009000990000"/>
    <s v="La Estrella"/>
    <x v="1"/>
    <s v="Revisor Instal. Regadas Metrosur"/>
    <x v="1"/>
    <n v="7"/>
    <s v="2025-12-10 07:00:46"/>
    <s v="5 días 07:00"/>
    <s v="2 días 07:00"/>
    <x v="1"/>
    <s v="SIN DATO"/>
    <s v="SIN DATO"/>
    <s v="SIN DATO"/>
    <s v="ABIERTO"/>
    <n v="-75.649831634999899"/>
    <n v="6.1379125160000303"/>
    <s v="SUR-ENE"/>
    <s v="Metropolitana Sur"/>
  </r>
  <r>
    <s v="23603454"/>
    <s v="ENEMRT"/>
    <s v="NUEVO"/>
    <s v="ENEMVI"/>
    <s v="29/11/2025 11:11:16"/>
    <s v="2025-11-29 11:11:16"/>
    <n v="43988710"/>
    <s v="DIANA PATRICIA TILANO CASTAÑEDA"/>
    <s v="2868126"/>
    <s v="3186206816"/>
    <s v="CL 54 SUR CR 62 D -11"/>
    <x v="0"/>
    <s v="045614002400110000"/>
    <s v="Medellín"/>
    <x v="9"/>
    <s v="Mov Red Trans Dairo Gil"/>
    <x v="1"/>
    <n v="9"/>
    <s v="2025-12-12 11:11:16"/>
    <s v="5 días 11:11"/>
    <s v="4 días 11:11"/>
    <x v="0"/>
    <s v="SIN DATO"/>
    <s v="SIN DATO"/>
    <s v="SIN DATO"/>
    <s v="ABIERTO"/>
    <n v="-75.644425560000002"/>
    <n v="6.1748343600000002"/>
    <s v="SUR-ENE"/>
    <s v="Metropolitana Sur"/>
  </r>
  <r>
    <s v="23603559"/>
    <s v="ENENOR"/>
    <s v="CAMBI"/>
    <s v="ENENOR"/>
    <s v="29/11/2025 13:59:22"/>
    <s v="2025-11-29 13:59:23"/>
    <n v="8354717"/>
    <s v="ARMANDO LEON JARAMILLO SANCHEZ"/>
    <s v="3128185"/>
    <s v="3146629497"/>
    <s v="CR 49 CL 45 -35 (INTERIOR 101 )"/>
    <x v="1"/>
    <s v="074429005000350101"/>
    <s v="Itaguí"/>
    <x v="7"/>
    <s v="METROSUR Vin. Leg. Ref. Concentrada"/>
    <x v="1"/>
    <n v="7"/>
    <s v="2025-12-10 13:59:23"/>
    <s v="5 días 13:59"/>
    <s v="2 días 13:59"/>
    <x v="1"/>
    <s v="SIN DATO"/>
    <s v="SIN DATO"/>
    <s v="SIN DATO"/>
    <s v="ABIERTO"/>
    <n v="-75.612609860000006"/>
    <n v="6.1695542300000001"/>
    <s v="SUR-ENE"/>
    <s v="Metropolitana Sur"/>
  </r>
  <r>
    <s v="23603565"/>
    <s v="ENERES"/>
    <s v="NUEVO"/>
    <s v="ENEDOM"/>
    <s v="02/12/2025 13:26:35"/>
    <s v="2025-12-02 13:26:35"/>
    <n v="1128421225"/>
    <s v="JULIAN ALVAREZ"/>
    <s v="SIN DATOS"/>
    <s v="3216092689"/>
    <s v="CL 48 CC CR 103 A -7 (INTERIOR 200 )"/>
    <x v="0"/>
    <s v="084018333100070200"/>
    <s v="Medellín"/>
    <x v="2"/>
    <s v="Habilitación Viviendas Metrosur"/>
    <x v="1"/>
    <n v="5"/>
    <s v="2025-12-10 13:26:35"/>
    <s v="3 días 13:26"/>
    <s v="2 días 13:26"/>
    <x v="1"/>
    <s v="SIN DATO"/>
    <s v="SIN DATO"/>
    <s v="SIN DATO"/>
    <s v="ABIERTO"/>
    <n v="-75.619372150000004"/>
    <n v="6.2615239300000001"/>
    <s v="SUR-ENE"/>
    <s v="Metropolitana Sur"/>
  </r>
  <r>
    <s v="23603573"/>
    <s v="ENERES"/>
    <s v="NUEVO"/>
    <s v="ENEDOM"/>
    <s v="02/12/2025 13:27:26"/>
    <s v="2025-12-02 13:27:26"/>
    <n v="1128421225"/>
    <s v="JULIAN ALVAREZ"/>
    <s v="SIN DATOS"/>
    <s v="3216092689"/>
    <s v="CL 48 CC CR 103 A -7 (INTERIOR 221 )"/>
    <x v="0"/>
    <s v="084018333100070221"/>
    <s v="Medellín"/>
    <x v="2"/>
    <s v="Habilitación Viviendas Metrosur"/>
    <x v="1"/>
    <n v="5"/>
    <s v="2025-12-10 13:27:26"/>
    <s v="3 días 13:27"/>
    <s v="2 días 13:27"/>
    <x v="1"/>
    <s v="SIN DATO"/>
    <s v="SIN DATO"/>
    <s v="SIN DATO"/>
    <s v="ABIERTO"/>
    <n v="-75.619372150000004"/>
    <n v="6.2615239300000001"/>
    <s v="SUR-ENE"/>
    <s v="Metropolitana Sur"/>
  </r>
  <r>
    <s v="23603635"/>
    <s v="ENEMRT"/>
    <s v="NUEVO"/>
    <s v="ENEMVI"/>
    <s v="29/11/2025 22:12:07"/>
    <s v="2025-11-29 22:12:07"/>
    <n v="43603268"/>
    <s v="ANA AYDE CHAVERRA CORDOBA"/>
    <s v="SIN DATOS"/>
    <s v="3235620711"/>
    <s v="CR 103 B CL 60 C -43"/>
    <x v="0"/>
    <s v="086023200300430000"/>
    <s v="Medellín"/>
    <x v="9"/>
    <s v="METR Mov Red Trans Anderson Castaño"/>
    <x v="1"/>
    <n v="9"/>
    <s v="2025-12-12 22:12:07"/>
    <s v="5 días 22:12"/>
    <s v="4 días 22:12"/>
    <x v="0"/>
    <s v="SIN DATO"/>
    <s v="SIN DATO"/>
    <s v="SIN DATO"/>
    <s v="ABIERTO"/>
    <n v="-75.612374200000005"/>
    <n v="6.2753656099999997"/>
    <s v="SUR-ENE"/>
    <s v="Metropolitana Sur"/>
  </r>
  <r>
    <s v="23603744"/>
    <s v="ENEPRE"/>
    <s v="REUBI"/>
    <s v="ENEPRE"/>
    <s v="30/11/2025 11:31:46"/>
    <s v="2025-11-30 11:31:46"/>
    <n v="43757246"/>
    <s v="EURELIS GONZALEZ"/>
    <s v="SIN DATOS"/>
    <s v="3042738291"/>
    <s v="CR 17 B CL 56 EE -50 (INTERIOR 165 )"/>
    <x v="0"/>
    <s v="055127206550500165"/>
    <s v="Medellín"/>
    <x v="11"/>
    <s v="Energía Prepago Metrosur"/>
    <x v="1"/>
    <n v="11"/>
    <s v="2025-12-16 11:31:46"/>
    <s v="5 días 11:31"/>
    <s v="6 días 11:31"/>
    <x v="0"/>
    <s v="SIN DATO"/>
    <s v="SIN DATO"/>
    <s v="SIN DATO"/>
    <s v="ABIERTO"/>
    <n v="-75.539898179999994"/>
    <n v="6.2430250300000001"/>
    <s v="SUR-ENE"/>
    <s v="Metropolitana Sur"/>
  </r>
  <r>
    <s v="23603758"/>
    <s v="ENEMRT"/>
    <s v="NUEVO"/>
    <s v="ENEMVI"/>
    <s v="30/11/2025 13:56:46"/>
    <s v="2025-11-30 13:56:46"/>
    <n v="15255091"/>
    <s v="LUIS FERNANDO CORREA FLOREZ"/>
    <s v="SIN DATOS"/>
    <s v="3207371319"/>
    <s v="CL 36 B SUR CR 79 -17"/>
    <x v="0"/>
    <s v="043716209000170000"/>
    <s v="Medellín"/>
    <x v="9"/>
    <s v="Mov Red Trans Dairo Gil"/>
    <x v="1"/>
    <n v="9"/>
    <s v="2025-12-12 13:56:46"/>
    <s v="5 días 13:56"/>
    <s v="4 días 13:56"/>
    <x v="0"/>
    <s v="SIN DATO"/>
    <s v="SIN DATO"/>
    <s v="SIN DATO"/>
    <s v="ABIERTO"/>
    <n v="-75.655931649999999"/>
    <n v="6.1876859199999998"/>
    <s v="SUR-ENE"/>
    <s v="Metropolitana Sur"/>
  </r>
  <r>
    <s v="23603764"/>
    <s v="ENEMRT"/>
    <s v="NUEVO"/>
    <s v="ENEMVI"/>
    <s v="30/11/2025 16:48:06"/>
    <s v="2025-11-30 16:48:06"/>
    <n v="34970253"/>
    <s v="ELIDA DEL CARMEN RESTAM CUITIVA"/>
    <s v="3576111"/>
    <s v="3225619389"/>
    <s v="CR 103 B CL 60 C -37"/>
    <x v="0"/>
    <s v="086023200300370000"/>
    <s v="Medellín"/>
    <x v="9"/>
    <s v="METR Mov Red Trans Anderson Castaño"/>
    <x v="1"/>
    <n v="9"/>
    <s v="2025-12-12 16:48:06"/>
    <s v="5 días 16:48"/>
    <s v="4 días 16:48"/>
    <x v="0"/>
    <s v="SIN DATO"/>
    <s v="SIN DATO"/>
    <s v="SIN DATO"/>
    <s v="ABIERTO"/>
    <n v="-75.612359690000005"/>
    <n v="6.2753276099999997"/>
    <s v="SUR-ENE"/>
    <s v="Metropolitana Sur"/>
  </r>
  <r>
    <s v="23603893"/>
    <s v="ENENOR"/>
    <s v="CAMBI"/>
    <s v="ENENOR"/>
    <s v="01/12/2025 07:50:56"/>
    <s v="2025-12-01 07:50:56"/>
    <n v="900860284"/>
    <s v="BBI COLOMBIA S.A.S."/>
    <s v="SIN DATOS"/>
    <s v="3136185338"/>
    <s v="CR 43 A CL 34 -95 (INTERIOR 264 )"/>
    <x v="0"/>
    <s v="053423104000950264"/>
    <s v="Medellín"/>
    <x v="7"/>
    <s v="METROSUR Vin. Leg. Ref. Concentrada"/>
    <x v="1"/>
    <n v="7"/>
    <s v="2025-12-11 07:50:56"/>
    <s v="4 días 07:50"/>
    <s v="3 días 07:50"/>
    <x v="0"/>
    <s v="SIN DATO"/>
    <s v="SIN DATO"/>
    <s v="SIN DATO"/>
    <s v="ABIERTO"/>
    <n v="-75.570497000000003"/>
    <n v="6.2351640000000002"/>
    <s v="SUR-ENE"/>
    <s v="Metropolitana Sur"/>
  </r>
  <r>
    <s v="23603894"/>
    <s v="ENERES"/>
    <s v="NUEVO"/>
    <s v="ENERES"/>
    <s v="01/12/2025 07:51:06"/>
    <s v="2025-12-01 07:51:06"/>
    <n v="8303872"/>
    <s v="JORGE URIBE"/>
    <s v="SIN DATOS"/>
    <s v="3503765427"/>
    <s v="CR 68 A CL 44 B -67"/>
    <x v="0"/>
    <s v="054628104200670000"/>
    <s v="Medellín"/>
    <x v="1"/>
    <s v="Revisor Instal. Regadas Metrosur"/>
    <x v="1"/>
    <n v="7"/>
    <s v="2025-12-11 07:51:06"/>
    <s v="4 días 07:51"/>
    <s v="3 días 07:51"/>
    <x v="0"/>
    <s v="SIN DATO"/>
    <s v="SIN DATO"/>
    <s v="SIN DATO"/>
    <s v="ABIERTO"/>
    <n v="-75.586729219999995"/>
    <n v="6.2506598100000001"/>
    <s v="SUR-ENE"/>
    <s v="Metropolitana Sur"/>
  </r>
  <r>
    <s v="23603901"/>
    <s v="ENERES"/>
    <s v="NUEVO"/>
    <s v="ENERES"/>
    <s v="01/12/2025 07:59:48"/>
    <s v="2025-12-01 07:59:48"/>
    <n v="43616433"/>
    <s v="MARIA OMAIRA RESTREPO CANO"/>
    <s v="SIN DATOS"/>
    <s v="3104651133"/>
    <s v="RURAL_119032640400000301_RURAL_119032640400000301"/>
    <x v="0"/>
    <s v="119032640400000301"/>
    <s v="Medellín"/>
    <x v="1"/>
    <s v="Revisor Instal. Regadas Metrosur"/>
    <x v="1"/>
    <n v="7"/>
    <s v="2025-12-11 07:59:48"/>
    <s v="4 días 07:59"/>
    <s v="3 días 07:59"/>
    <x v="0"/>
    <s v="SIN DATO"/>
    <s v="SIN DATO"/>
    <s v="SIN DATO"/>
    <s v="ABIERTO"/>
    <n v="-75.644249299999998"/>
    <n v="6.220593"/>
    <s v="SUR-ENE"/>
    <s v="Metropolitana Sur"/>
  </r>
  <r>
    <s v="23603919"/>
    <s v="ENECNX"/>
    <s v="NUEVO"/>
    <s v="ENECNX"/>
    <s v="01/12/2025 08:15:31"/>
    <s v="2025-12-01 08:15:31"/>
    <n v="17846987"/>
    <s v="OSWALDO DE JESUS ALVAREZ TAMAYO"/>
    <s v="4273453"/>
    <s v="3128416800"/>
    <s v="RURAL_147001550000000000_LA PALMA"/>
    <x v="0"/>
    <s v="147001550000000000"/>
    <s v="Medellín"/>
    <x v="4"/>
    <s v="Revisor Puntos de Conexión Metrosur"/>
    <x v="0"/>
    <n v="4"/>
    <s v="2025-12-05 08:15:31"/>
    <s v="4 días 08:15"/>
    <s v="VENCIDO"/>
    <x v="2"/>
    <s v="SIN DATO"/>
    <s v="SIN DATO"/>
    <s v="SIN DATO"/>
    <s v="ABIERTO"/>
    <n v="-75.646129999999999"/>
    <n v="6.2730230000000002"/>
    <s v="SUR-ENE"/>
    <s v="Metropolitana Sur"/>
  </r>
  <r>
    <s v="23603947"/>
    <s v="ENERES"/>
    <s v="NUEVO"/>
    <s v="ENERES"/>
    <s v="01/12/2025 08:55:48"/>
    <s v="2025-12-01 08:55:48"/>
    <n v="15259832"/>
    <s v="CARLOS ALVEIRO VILLADA ESPINOSA"/>
    <s v="SIN DATOS"/>
    <s v="3116450356"/>
    <s v="CL 139 SUR CR 52 -4 (INTERIOR 371 )"/>
    <x v="3"/>
    <s v="003519002000040371"/>
    <s v="Caldas"/>
    <x v="1"/>
    <s v="Revisor Instal. Regadas Metrosur"/>
    <x v="1"/>
    <n v="7"/>
    <s v="2025-12-11 08:55:48"/>
    <s v="4 días 08:55"/>
    <s v="3 días 08:55"/>
    <x v="0"/>
    <s v="SIN DATO"/>
    <s v="SIN DATO"/>
    <s v="SIN DATO"/>
    <s v="ABIERTO"/>
    <n v="-75.636646999999996"/>
    <n v="6.0826659999999997"/>
    <s v="SUR-ENE"/>
    <s v="Metropolitana Sur"/>
  </r>
  <r>
    <s v="23603954"/>
    <s v="ENEMRT"/>
    <s v="NUEVO"/>
    <s v="ENEMVI"/>
    <s v="01/12/2025 09:05:04"/>
    <s v="2025-12-01 09:05:04"/>
    <n v="1101697892"/>
    <s v="CAMILO PICO"/>
    <s v="SIN DATOS"/>
    <s v="3138514883"/>
    <s v="CL 45 CR 60 -57"/>
    <x v="0"/>
    <s v="054615000000570000"/>
    <s v="Medellín"/>
    <x v="9"/>
    <s v="METR Mov Red Trans Anderson Castaño"/>
    <x v="1"/>
    <n v="9"/>
    <s v="2025-12-15 09:05:04"/>
    <s v="4 días 09:05"/>
    <s v="5 días 09:05"/>
    <x v="0"/>
    <s v="SIN DATO"/>
    <s v="SIN DATO"/>
    <s v="SIN DATO"/>
    <s v="ABIERTO"/>
    <n v="-75.578559569999996"/>
    <n v="6.24870226"/>
    <s v="SUR-ENE"/>
    <s v="Metropolitana Sur"/>
  </r>
  <r>
    <s v="23603963"/>
    <s v="ENERES"/>
    <s v="NUEVO"/>
    <s v="ENERES"/>
    <s v="01/12/2025 09:08:35"/>
    <s v="2025-12-01 09:08:35"/>
    <n v="70780511"/>
    <s v="JOSE HUMBERTO BEDOYA QUINTERO"/>
    <s v="SIN DATOS"/>
    <s v="3013186753"/>
    <s v="CR 89 A CL 31 B -30 (INTERIOR 302 )"/>
    <x v="0"/>
    <s v="053829101200300302"/>
    <s v="Medellín"/>
    <x v="1"/>
    <s v="Revisor Instal. Regadas Metrosur"/>
    <x v="1"/>
    <n v="7"/>
    <s v="2025-12-11 09:08:35"/>
    <s v="4 días 09:08"/>
    <s v="3 días 09:08"/>
    <x v="0"/>
    <s v="SIN DATO"/>
    <s v="SIN DATO"/>
    <s v="SIN DATO"/>
    <s v="ABIERTO"/>
    <n v="-75.613218000000003"/>
    <n v="6.2343950000000001"/>
    <s v="SUR-ENE"/>
    <s v="Metropolitana Sur"/>
  </r>
  <r>
    <s v="23603973"/>
    <s v="ENECNX"/>
    <s v="NUEVO"/>
    <s v="ENECNX"/>
    <s v="01/12/2025 09:18:32"/>
    <s v="2025-12-01 09:18:32"/>
    <n v="70070329"/>
    <s v="HERNEY HERNANDEZ MARIN"/>
    <s v="SIN DATOS"/>
    <s v="3113686079"/>
    <s v="CL 46 SUR CR 46 AA -34"/>
    <x v="2"/>
    <s v="024416006110340000"/>
    <s v="Envigado"/>
    <x v="4"/>
    <s v="Revisor Puntos de Conexión Metrosur"/>
    <x v="1"/>
    <n v="4"/>
    <s v="2025-12-05 09:18:32"/>
    <s v="4 días 09:18"/>
    <s v="VENCIDO"/>
    <x v="2"/>
    <s v="SIN DATO"/>
    <s v="SIN DATO"/>
    <s v="SIN DATO"/>
    <s v="ABIERTO"/>
    <n v="-75.597265590000006"/>
    <n v="6.1651768499999999"/>
    <s v="SUR-ENE"/>
    <s v="Metropolitana Sur"/>
  </r>
  <r>
    <s v="23603980"/>
    <s v="ENECNX"/>
    <s v="NUEVO"/>
    <s v="ENECNX"/>
    <s v="01/12/2025 09:25:51"/>
    <s v="2025-12-01 09:25:51"/>
    <n v="71117599"/>
    <s v="LUIS EMILIO GARCIA SALAZAR"/>
    <s v="SIN DATOS"/>
    <s v="3116073044"/>
    <s v="CR 52 D CL 81 -35 (INTERIOR 204 )"/>
    <x v="1"/>
    <s v="078522401000350204"/>
    <s v="Itaguí"/>
    <x v="4"/>
    <s v="Revisor Puntos de Conexión Metrosur"/>
    <x v="1"/>
    <n v="4"/>
    <s v="2025-12-05 09:25:51"/>
    <s v="4 días 09:25"/>
    <s v="VENCIDO"/>
    <x v="2"/>
    <s v="SIN DATO"/>
    <s v="SIN DATO"/>
    <s v="SIN DATO"/>
    <s v="ABIERTO"/>
    <n v="-75.594529660000006"/>
    <n v="6.1902480799999999"/>
    <s v="SUR-ENE"/>
    <s v="Metropolitana Sur"/>
  </r>
  <r>
    <s v="23604051"/>
    <s v="ENERES"/>
    <s v="NUEVO"/>
    <s v="ENERES"/>
    <s v="01/12/2025 10:26:17"/>
    <s v="2025-12-01 10:26:17"/>
    <n v="42764711"/>
    <s v="ADRIANA MARIA SIERRA ALVAREZ"/>
    <s v="SIN DATOS"/>
    <s v="3504947255"/>
    <s v="RURAL_103014838000000101"/>
    <x v="0"/>
    <s v="103014838000000101"/>
    <s v="Medellín"/>
    <x v="1"/>
    <s v="Revisor Instal. Regadas Metrosur"/>
    <x v="1"/>
    <n v="7"/>
    <s v="2025-12-11 10:26:17"/>
    <s v="4 días 10:26"/>
    <s v="3 días 10:26"/>
    <x v="0"/>
    <s v="SIN DATO"/>
    <s v="SIN DATO"/>
    <s v="SIN DATO"/>
    <s v="ABIERTO"/>
    <n v="-75.633408399999993"/>
    <n v="6.1853510600000003"/>
    <s v="SUR-ENE"/>
    <s v="Metropolitana Sur"/>
  </r>
  <r>
    <s v="23604065"/>
    <s v="ENERES"/>
    <s v="NUEVO"/>
    <s v="ENERES"/>
    <s v="01/12/2025 10:35:24"/>
    <s v="2025-12-01 10:35:25"/>
    <n v="71374320"/>
    <s v="CAMILO ANTONIO VARGAS JIMENEZ"/>
    <s v="3379763"/>
    <s v="3127082726"/>
    <s v="RURAL_147024600000000010_147024600000000010"/>
    <x v="0"/>
    <s v="147024600000000010"/>
    <s v="Medellín"/>
    <x v="1"/>
    <s v="Revisor Instal. Regadas Metrosur"/>
    <x v="0"/>
    <n v="10"/>
    <s v="2025-12-16 10:35:25"/>
    <s v="4 días 10:35"/>
    <s v="6 días 10:35"/>
    <x v="0"/>
    <s v="SIN DATO"/>
    <s v="SIN DATO"/>
    <s v="SIN DATO"/>
    <s v="ABIERTO"/>
    <n v="-75.650121810000002"/>
    <n v="6.2897943400000003"/>
    <s v="SUR-ENE"/>
    <s v="Metropolitana Sur"/>
  </r>
  <r>
    <s v="23604071"/>
    <s v="ENECNX"/>
    <s v="NUEVO"/>
    <s v="ENECNX"/>
    <s v="01/12/2025 10:36:20"/>
    <s v="2025-12-01 10:36:20"/>
    <n v="43627721"/>
    <s v="CATALINA MARIA ALVAREZ HERRERA"/>
    <s v="3555100"/>
    <s v="3188748600"/>
    <s v="RURAL_125004766200000101_125004766200000101"/>
    <x v="2"/>
    <s v="125004766200000101"/>
    <s v="Envigado"/>
    <x v="4"/>
    <s v="Revisor Puntos de Conexión Metrosur"/>
    <x v="0"/>
    <n v="4"/>
    <s v="2025-12-05 10:36:20"/>
    <s v="4 días 10:36"/>
    <s v="VENCIDO"/>
    <x v="2"/>
    <s v="SIN DATO"/>
    <s v="SIN DATO"/>
    <s v="SIN DATO"/>
    <s v="ABIERTO"/>
    <n v="-75.505385000000004"/>
    <n v="6.1594350000000002"/>
    <s v="SUR-ENE"/>
    <s v="Metropolitana Sur"/>
  </r>
  <r>
    <s v="23604076"/>
    <s v="ENERES"/>
    <s v="NUEVO"/>
    <s v="ENERES"/>
    <s v="01/12/2025 10:37:55"/>
    <s v="2025-12-01 10:37:55"/>
    <n v="43983335"/>
    <s v="MARIA ALEJANDRA BETANCUR ARBOLEDA"/>
    <s v="SIN DATOS"/>
    <s v="3017134867"/>
    <s v="CR 129 CL 64 A -371"/>
    <x v="0"/>
    <s v="086229004103710000"/>
    <s v="Medellín"/>
    <x v="1"/>
    <s v="Revisor Instal. Regadas Metrosur"/>
    <x v="1"/>
    <n v="7"/>
    <s v="2025-12-11 10:37:55"/>
    <s v="4 días 10:37"/>
    <s v="3 días 10:37"/>
    <x v="0"/>
    <s v="SIN DATO"/>
    <s v="SIN DATO"/>
    <s v="SIN DATO"/>
    <s v="ABIERTO"/>
    <n v="-75.634065000000007"/>
    <n v="6.2828749999999998"/>
    <s v="SUR-ENE"/>
    <s v="Metropolitana Sur"/>
  </r>
  <r>
    <s v="23604080"/>
    <s v="ENENOR"/>
    <s v="CAMBI"/>
    <s v="ENENOR"/>
    <s v="01/12/2025 10:38:54"/>
    <s v="2025-12-01 10:38:54"/>
    <n v="21803728"/>
    <s v="MARIA FLORELIA VALDES DE LOPEZ"/>
    <s v="SIN DATOS"/>
    <s v="3002462563"/>
    <s v="CR 55 CL 25 -17"/>
    <x v="0"/>
    <s v="052525005000170000"/>
    <s v="Medellín"/>
    <x v="7"/>
    <s v="METROSUR Vin. Leg. Ref. Concentrada"/>
    <x v="1"/>
    <n v="7"/>
    <s v="2025-12-11 10:38:54"/>
    <s v="4 días 10:38"/>
    <s v="3 días 10:38"/>
    <x v="0"/>
    <s v="SIN DATO"/>
    <s v="SIN DATO"/>
    <s v="SIN DATO"/>
    <s v="ABIERTO"/>
    <n v="-75.580844420000005"/>
    <n v="6.22704608"/>
    <s v="SUR-ENE"/>
    <s v="Metropolitana Sur"/>
  </r>
  <r>
    <s v="23604116"/>
    <s v="ENERES"/>
    <s v="NUEVO"/>
    <s v="ENERES"/>
    <s v="01/12/2025 10:51:21"/>
    <s v="2025-12-01 10:51:21"/>
    <n v="70102826"/>
    <s v="LEONARDO ANTONIO CAMPIÑO RIOS"/>
    <s v="SIN DATOS"/>
    <s v="3117401373"/>
    <s v="CL 63 CR 61 -138 (INTERIOR 402 )"/>
    <x v="1"/>
    <s v="076613001001380402"/>
    <s v="Itaguí"/>
    <x v="1"/>
    <s v="Revisor Instal. Regadas Metrosur"/>
    <x v="1"/>
    <n v="7"/>
    <s v="2025-12-11 10:51:21"/>
    <s v="4 días 10:51"/>
    <s v="3 días 10:51"/>
    <x v="0"/>
    <s v="SIN DATO"/>
    <s v="SIN DATO"/>
    <s v="SIN DATO"/>
    <s v="ABIERTO"/>
    <n v="-75.610848180000005"/>
    <n v="6.1823374600000003"/>
    <s v="SUR-ENE"/>
    <s v="Metropolitana Sur"/>
  </r>
  <r>
    <s v="23604122"/>
    <s v="ENEMRT"/>
    <s v="NUEVO"/>
    <s v="ENEMVI"/>
    <s v="01/12/2025 10:55:10"/>
    <s v="2025-12-01 10:55:10"/>
    <n v="71629187"/>
    <s v="ALBEIRO DE JESUS BARRIENTOS ARBOLEDA"/>
    <s v="2171923"/>
    <s v="3028165140"/>
    <s v="CL 34 CR 33 -73"/>
    <x v="0"/>
    <s v="053314003000730000"/>
    <s v="Medellín"/>
    <x v="9"/>
    <s v="METR Mov Red Trans Anderson Castaño"/>
    <x v="1"/>
    <n v="9"/>
    <s v="2025-12-15 10:55:10"/>
    <s v="4 días 10:55"/>
    <s v="5 días 10:55"/>
    <x v="0"/>
    <s v="SIN DATO"/>
    <s v="SIN DATO"/>
    <s v="SIN DATO"/>
    <s v="ABIERTO"/>
    <n v="-75.561104580000006"/>
    <n v="6.2319090800000003"/>
    <s v="SUR-ENE"/>
    <s v="Metropolitana Sur"/>
  </r>
  <r>
    <s v="23604133"/>
    <s v="ENERES"/>
    <s v="NUEVO"/>
    <s v="ENERES"/>
    <s v="01/12/2025 11:05:24"/>
    <s v="2025-12-01 11:05:24"/>
    <n v="21843167"/>
    <s v="MARIA ISMELDA SANCHEZ MORALES"/>
    <s v="SIN DATOS"/>
    <s v="3113217424"/>
    <s v="RURAL_159036100000000107"/>
    <x v="4"/>
    <s v="159036100000000107"/>
    <s v="La Estrella"/>
    <x v="1"/>
    <s v="Revisor Instal. Regadas Metrosur"/>
    <x v="1"/>
    <n v="7"/>
    <s v="2025-12-11 11:05:24"/>
    <s v="4 días 11:05"/>
    <s v="3 días 11:05"/>
    <x v="0"/>
    <s v="SIN DATO"/>
    <s v="SIN DATO"/>
    <s v="SIN DATO"/>
    <s v="ABIERTO"/>
    <n v="-75.642887999999999"/>
    <n v="6.140619"/>
    <s v="SUR-ENE"/>
    <s v="Metropolitana Sur"/>
  </r>
  <r>
    <s v="23604137"/>
    <s v="ENENOR"/>
    <s v="NUEVO"/>
    <s v="ENENOR"/>
    <s v="01/12/2025 11:07:33"/>
    <s v="2025-12-01 11:07:33"/>
    <n v="98543342"/>
    <s v="RICARDO LEON GOMEZ MONTOYA"/>
    <s v="SIN DATOS"/>
    <s v="3007762446"/>
    <s v="CL 31 B CR 89 E -37"/>
    <x v="0"/>
    <s v="053811209500370000"/>
    <s v="Medellín"/>
    <x v="5"/>
    <s v="Revisor Instal. Regadas Metrosur"/>
    <x v="1"/>
    <n v="7"/>
    <s v="2025-12-11 11:07:33"/>
    <s v="4 días 11:07"/>
    <s v="3 días 11:07"/>
    <x v="0"/>
    <s v="SIN DATO"/>
    <s v="SIN DATO"/>
    <s v="SIN DATO"/>
    <s v="ABIERTO"/>
    <n v="-75.616699609999998"/>
    <n v="6.2348829600000002"/>
    <s v="SUR-ENE"/>
    <s v="Metropolitana Sur"/>
  </r>
  <r>
    <s v="23604154"/>
    <s v="ENECNX"/>
    <s v="NUEVO"/>
    <s v="ENECNX"/>
    <s v="01/12/2025 11:15:57"/>
    <s v="2025-12-01 11:15:57"/>
    <n v="92510463"/>
    <s v="JULIO CESAR BENITEZ BENITEZ"/>
    <s v="3582252"/>
    <s v="3004288928"/>
    <s v="CR 45 CL 52 -40"/>
    <x v="0"/>
    <s v="055425002000400000"/>
    <s v="Medellín"/>
    <x v="4"/>
    <s v="Revisor Puntos de Conexión Metrosur"/>
    <x v="1"/>
    <n v="4"/>
    <s v="2025-12-05 11:15:57"/>
    <s v="4 días 11:15"/>
    <s v="VENCIDO"/>
    <x v="2"/>
    <s v="SIN DATO"/>
    <s v="SIN DATO"/>
    <s v="SIN DATO"/>
    <s v="ABIERTO"/>
    <n v="-75.563246509999999"/>
    <n v="6.2491462699999998"/>
    <s v="SUR-ENE"/>
    <s v="Metropolitana Sur"/>
  </r>
  <r>
    <s v="23604159"/>
    <s v="ENERES"/>
    <s v="NUEVO"/>
    <s v="ENERES"/>
    <s v="01/12/2025 11:19:24"/>
    <s v="2025-12-01 11:19:24"/>
    <n v="1128453852"/>
    <s v="ASTRID VIVIANA FRANCO CASTAÑO"/>
    <s v="SIN DATOS"/>
    <s v="3023294680"/>
    <s v="CL 54 SUR CR 59 D -16"/>
    <x v="0"/>
    <s v="045514009400160000"/>
    <s v="Medellín"/>
    <x v="1"/>
    <s v="Revisor Instal. Regadas Metrosur"/>
    <x v="1"/>
    <n v="7"/>
    <s v="2025-12-11 11:19:24"/>
    <s v="4 días 11:19"/>
    <s v="3 días 11:19"/>
    <x v="0"/>
    <s v="SIN DATO"/>
    <s v="SIN DATO"/>
    <s v="SIN DATO"/>
    <s v="ABIERTO"/>
    <n v="-75.639906830000001"/>
    <n v="6.1752855100000001"/>
    <s v="SUR-ENE"/>
    <s v="Metropolitana Sur"/>
  </r>
  <r>
    <s v="23604177"/>
    <s v="ENEPRE"/>
    <s v="NUEVO"/>
    <s v="ENEPRE"/>
    <s v="01/12/2025 11:32:23"/>
    <s v="2025-12-01 11:32:23"/>
    <n v="43865156"/>
    <s v="MARIA FLORISA ARIAS VALDERRAMA"/>
    <s v="4899499"/>
    <s v="3126212102"/>
    <s v="CR 90 C CL 15 -67 (INTERIOR 401 )"/>
    <x v="0"/>
    <s v="051920305000670401"/>
    <s v="Medellín"/>
    <x v="3"/>
    <s v="Energía Prepago Metrosur"/>
    <x v="1"/>
    <n v="11"/>
    <s v="2025-12-17 11:32:23"/>
    <s v="4 días 11:32"/>
    <s v="7 días 11:32"/>
    <x v="0"/>
    <s v="SIN DATO"/>
    <s v="SIN DATO"/>
    <s v="SIN DATO"/>
    <s v="ABIERTO"/>
    <n v="-75.614752469999999"/>
    <n v="6.2212126100000003"/>
    <s v="SUR-ENE"/>
    <s v="Metropolitana Sur"/>
  </r>
  <r>
    <s v="23604183"/>
    <s v="ENERES"/>
    <s v="NUEVO"/>
    <s v="ENERES"/>
    <s v="01/12/2025 11:35:21"/>
    <s v="2025-12-01 11:35:21"/>
    <n v="43597796"/>
    <s v="CLAUDIA PATRICIA QUINTERO ALVAREZ"/>
    <s v="SIN DATOS"/>
    <s v="3148215867"/>
    <s v="RURAL_163015373100000000_RURAL ITAGUÍ EL PROGRESOR"/>
    <x v="1"/>
    <s v="163015373100000000"/>
    <s v="Itaguí"/>
    <x v="1"/>
    <s v="Revisor Instal. Regadas Metrosur"/>
    <x v="1"/>
    <n v="7"/>
    <s v="2025-12-11 11:35:21"/>
    <s v="4 días 11:35"/>
    <s v="3 días 11:35"/>
    <x v="0"/>
    <s v="SIN DATO"/>
    <s v="SIN DATO"/>
    <s v="SIN DATO"/>
    <s v="ABIERTO"/>
    <n v="-75.614291530000003"/>
    <n v="6.18573796"/>
    <s v="SUR-ENE"/>
    <s v="Metropolitana Sur"/>
  </r>
  <r>
    <s v="23604211"/>
    <s v="ENECNX"/>
    <s v="NUEVO"/>
    <s v="ENECNX"/>
    <s v="01/12/2025 11:58:25"/>
    <s v="2025-12-01 11:58:25"/>
    <n v="1035431008"/>
    <s v="MATEO ANDRES SIERRA SALAZAR"/>
    <s v="SIN DATOS"/>
    <s v="3012799474"/>
    <s v="CIRC 1 CR 66 B -168"/>
    <x v="0"/>
    <s v="053657006201680000"/>
    <s v="Medellín"/>
    <x v="4"/>
    <s v="Revisor Puntos de Conexión Metrosur"/>
    <x v="1"/>
    <n v="4"/>
    <s v="2025-12-05 11:58:25"/>
    <s v="4 días 11:58"/>
    <s v="0 días 11:58"/>
    <x v="4"/>
    <s v="SIN DATO"/>
    <s v="SIN DATO"/>
    <s v="SIN DATO"/>
    <s v="ABIERTO"/>
    <n v="-75.587659909999999"/>
    <n v="6.2437409400000004"/>
    <s v="SUR-ENE"/>
    <s v="Metropolitana Sur"/>
  </r>
  <r>
    <s v="23604222"/>
    <s v="ENENOR"/>
    <s v="NUEVO"/>
    <s v="ENENOR"/>
    <s v="01/12/2025 12:09:08"/>
    <s v="2025-12-01 12:09:08"/>
    <n v="43573212"/>
    <s v="ESNEIDA CONDE"/>
    <s v="SIN DATOS"/>
    <s v="3108266118"/>
    <s v="CL 65 CR 70 -149 (INTERIOR 102 )"/>
    <x v="0"/>
    <s v="056715000001490102"/>
    <s v="Medellín"/>
    <x v="5"/>
    <s v="Revisor Instal. Regadas Metrosur"/>
    <x v="1"/>
    <n v="7"/>
    <s v="2025-12-11 12:09:08"/>
    <s v="4 días 12:09"/>
    <s v="3 días 12:09"/>
    <x v="0"/>
    <s v="SIN DATO"/>
    <s v="SIN DATO"/>
    <s v="SIN DATO"/>
    <s v="ABIERTO"/>
    <n v="-75.585433760000001"/>
    <n v="6.2635239299999999"/>
    <s v="SUR-ENE"/>
    <s v="Metropolitana Sur"/>
  </r>
  <r>
    <s v="23604223"/>
    <s v="ENEMRT"/>
    <s v="NUEVO"/>
    <s v="ENEMVI"/>
    <s v="01/12/2025 12:09:47"/>
    <s v="2025-12-01 12:09:47"/>
    <n v="8160305"/>
    <s v="WILFER VASQUEZ SOTO"/>
    <s v="SIN DATOS"/>
    <s v="3155942735"/>
    <s v="CL 40 SUR CR 30 -39 (INTERIOR 126 )"/>
    <x v="2"/>
    <s v="024310000000390126"/>
    <s v="Envigado"/>
    <x v="9"/>
    <s v="Mov Red Trans Dairo Gil"/>
    <x v="1"/>
    <n v="9"/>
    <s v="2025-12-15 12:09:47"/>
    <s v="4 días 12:09"/>
    <s v="5 días 12:09"/>
    <x v="0"/>
    <s v="SIN DATO"/>
    <s v="SIN DATO"/>
    <s v="SIN DATO"/>
    <s v="ABIERTO"/>
    <n v="-75.582600420000006"/>
    <n v="6.1628173799999999"/>
    <s v="SUR-ENE"/>
    <s v="Metropolitana Sur"/>
  </r>
  <r>
    <s v="23604229"/>
    <s v="ENENOR"/>
    <s v="NUEVO"/>
    <s v="ENENOR"/>
    <s v="01/12/2025 12:16:43"/>
    <s v="2025-12-01 12:16:43"/>
    <n v="51927043"/>
    <s v="DOLLY DEL SOCORRO RESTREPO ARROYABE"/>
    <s v="SIN DATOS"/>
    <s v="3228276623"/>
    <s v="RURAL_114014507600000101_VEREDA BELEN MANZANILLO"/>
    <x v="0"/>
    <s v="114014507600000101"/>
    <s v="Medellín"/>
    <x v="5"/>
    <s v="Revisor Instal. Regadas Metrosur"/>
    <x v="1"/>
    <n v="7"/>
    <s v="2025-12-11 12:16:43"/>
    <s v="4 días 12:16"/>
    <s v="3 días 12:16"/>
    <x v="0"/>
    <s v="SIN DATO"/>
    <s v="SIN DATO"/>
    <s v="SIN DATO"/>
    <s v="ABIERTO"/>
    <n v="-75.612179549999993"/>
    <n v="6.2063421600000002"/>
    <s v="SUR-ENE"/>
    <s v="Metropolitana Sur"/>
  </r>
  <r>
    <s v="23604247"/>
    <s v="ENERES"/>
    <s v="NUEVO"/>
    <s v="ENERES"/>
    <s v="01/12/2025 12:47:40"/>
    <s v="2025-12-01 12:47:40"/>
    <n v="42688501"/>
    <s v="ALBA LUCIA OROZCO OROZCO"/>
    <s v="SIN DATOS"/>
    <s v="3135748162"/>
    <s v="CR 27 CL 58 -25 (INTERIOR 201 )"/>
    <x v="0"/>
    <s v="055227008000250201"/>
    <s v="Medellín"/>
    <x v="1"/>
    <s v="Revisor Instal. Regadas Metrosur"/>
    <x v="1"/>
    <n v="7"/>
    <s v="2025-12-11 12:47:40"/>
    <s v="4 días 12:47"/>
    <s v="3 días 12:47"/>
    <x v="0"/>
    <s v="SIN DATO"/>
    <s v="SIN DATO"/>
    <s v="SIN DATO"/>
    <s v="ABIERTO"/>
    <n v="-75.547773219999996"/>
    <n v="6.2493615199999999"/>
    <s v="SUR-ENE"/>
    <s v="Metropolitana Sur"/>
  </r>
  <r>
    <s v="23604259"/>
    <s v="ENERES"/>
    <s v="NUEVO"/>
    <s v="ENEDOM"/>
    <s v="01/12/2025 13:03:40"/>
    <s v="2025-12-01 13:03:40"/>
    <n v="3522962"/>
    <s v="OSCAR EDUARDO ALVAREZ ARROYAVE"/>
    <s v="SIN DATOS"/>
    <s v="3113681382"/>
    <s v="CL 51 B CR 1 -46 (INTERIOR 300 )"/>
    <x v="0"/>
    <s v="055011201000460300"/>
    <s v="Medellín"/>
    <x v="0"/>
    <s v="Habilitación Viviendas Metrosur"/>
    <x v="1"/>
    <n v="5"/>
    <s v="2025-12-09 13:03:40"/>
    <s v="4 días 13:03"/>
    <s v="1 días 13:03"/>
    <x v="1"/>
    <s v="SIN DATO"/>
    <s v="SIN DATO"/>
    <s v="SIN DATO"/>
    <s v="ABIERTO"/>
    <n v="-75.528985169999999"/>
    <n v="6.2311200800000002"/>
    <s v="SUR-ENE"/>
    <s v="Metropolitana Sur"/>
  </r>
  <r>
    <s v="23604267"/>
    <s v="ENECNX"/>
    <s v="NUEVO"/>
    <s v="ENECNX"/>
    <s v="01/12/2025 13:09:09"/>
    <s v="2025-12-01 13:09:09"/>
    <n v="1037575804"/>
    <s v="CARLOS ANDRES GOMEZ ARBOLEDA"/>
    <s v="SIN DATOS"/>
    <s v="3148226825"/>
    <s v="CR 83 CL 17 -97"/>
    <x v="0"/>
    <s v="051823007000970000"/>
    <s v="Medellín"/>
    <x v="4"/>
    <s v="Revisor Puntos de Conexión Metrosur"/>
    <x v="1"/>
    <n v="4"/>
    <s v="2025-12-05 13:09:09"/>
    <s v="4 días 13:09"/>
    <s v="0 días 13:09"/>
    <x v="4"/>
    <s v="SIN DATO"/>
    <s v="SIN DATO"/>
    <s v="SIN DATO"/>
    <s v="ABIERTO"/>
    <n v="-75.606032440000007"/>
    <n v="6.2236664599999996"/>
    <s v="SUR-ENE"/>
    <s v="Metropolitana Sur"/>
  </r>
  <r>
    <s v="23604275"/>
    <s v="ENEMRT"/>
    <s v="NUEVO"/>
    <s v="ENEMVI"/>
    <s v="01/12/2025 13:12:48"/>
    <s v="2025-12-01 13:12:48"/>
    <n v="43075253"/>
    <s v="BEATRIZ ALEJANDRA CARDONA ARROYAVE"/>
    <s v="2161884"/>
    <s v="3017072598"/>
    <s v="CL 57 B CR 34 -60"/>
    <x v="0"/>
    <s v="055317204000600000"/>
    <s v="Medellín"/>
    <x v="9"/>
    <s v="METR Mov Red Trans Anderson Castaño"/>
    <x v="1"/>
    <n v="9"/>
    <s v="2025-12-15 13:12:48"/>
    <s v="4 días 13:12"/>
    <s v="5 días 13:12"/>
    <x v="0"/>
    <s v="SIN DATO"/>
    <s v="SIN DATO"/>
    <s v="SIN DATO"/>
    <s v="ABIERTO"/>
    <n v="-75.552989780000004"/>
    <n v="6.2478737200000003"/>
    <s v="SUR-ENE"/>
    <s v="Metropolitana Sur"/>
  </r>
  <r>
    <s v="23604282"/>
    <s v="ENERES"/>
    <s v="NUEVO"/>
    <s v="ENERES"/>
    <s v="01/12/2025 13:21:29"/>
    <s v="2025-12-01 13:21:29"/>
    <n v="19473766"/>
    <s v="ABSALON RODRIGUEZ GARZON"/>
    <s v="4258684"/>
    <s v="3183489558"/>
    <s v="CL 53 CR 30 -94 (INTERIOR 301 )"/>
    <x v="0"/>
    <s v="055313000000940301"/>
    <s v="Medellín"/>
    <x v="1"/>
    <s v="METROSUR Vin. Leg. Ref. Concentrada"/>
    <x v="1"/>
    <n v="7"/>
    <s v="2025-12-11 13:21:29"/>
    <s v="4 días 13:21"/>
    <s v="3 días 13:21"/>
    <x v="0"/>
    <s v="SIN DATO"/>
    <s v="SIN DATO"/>
    <s v="SIN DATO"/>
    <s v="ABIERTO"/>
    <n v="-75.552250000000001"/>
    <n v="6.2433759999999996"/>
    <s v="SUR-ENE"/>
    <s v="Metropolitana Sur"/>
  </r>
  <r>
    <s v="23604283"/>
    <s v="ENERES"/>
    <s v="NUEVO"/>
    <s v="ENERES"/>
    <s v="01/12/2025 13:21:35"/>
    <s v="2025-12-01 13:21:35"/>
    <n v="19473766"/>
    <s v="ABSALON RODRIGUEZ GARZON"/>
    <s v="4258684"/>
    <s v="3183489558"/>
    <s v="CL 53 CR 30 -94 (INTERIOR 302 )"/>
    <x v="0"/>
    <s v="055313000000940302"/>
    <s v="Medellín"/>
    <x v="1"/>
    <s v="METROSUR Vin. Leg. Ref. Concentrada"/>
    <x v="1"/>
    <n v="7"/>
    <s v="2025-12-11 13:21:35"/>
    <s v="4 días 13:21"/>
    <s v="3 días 13:21"/>
    <x v="0"/>
    <s v="SIN DATO"/>
    <s v="SIN DATO"/>
    <s v="SIN DATO"/>
    <s v="ABIERTO"/>
    <n v="-75.552250000000001"/>
    <n v="6.2433759999999996"/>
    <s v="SUR-ENE"/>
    <s v="Metropolitana Sur"/>
  </r>
  <r>
    <s v="23604291"/>
    <s v="ENERES"/>
    <s v="NUEVO"/>
    <s v="ENERES"/>
    <s v="01/12/2025 13:26:04"/>
    <s v="2025-12-01 13:26:04"/>
    <n v="15532484"/>
    <s v="LUIS ENRIQUE CARDONA GOMEZ"/>
    <s v="SIN DATOS"/>
    <s v="3017375950"/>
    <s v="CL 45 B SUR CR 83 -116 (INTERIOR 202 )"/>
    <x v="0"/>
    <s v="044815203001160202"/>
    <s v="Medellín"/>
    <x v="1"/>
    <s v="Revisor Instal. Regadas Metrosur"/>
    <x v="1"/>
    <n v="7"/>
    <s v="2025-12-11 13:26:04"/>
    <s v="4 días 13:26"/>
    <s v="3 días 13:26"/>
    <x v="0"/>
    <s v="SIN DATO"/>
    <s v="SIN DATO"/>
    <s v="SIN DATO"/>
    <s v="ABIERTO"/>
    <n v="-75.661397249999993"/>
    <n v="6.1812379200000001"/>
    <s v="SUR-ENE"/>
    <s v="Metropolitana Sur"/>
  </r>
  <r>
    <s v="23604296"/>
    <s v="ENERES"/>
    <s v="NUEVO"/>
    <s v="ENERES"/>
    <s v="01/12/2025 13:34:46"/>
    <s v="2025-12-01 13:34:46"/>
    <n v="98620149"/>
    <s v="FRAN MAURICIO RESTREPO GAVIRIA"/>
    <s v="3808080"/>
    <s v="3187238967"/>
    <s v="CL 74 SUR CR 35 -145 (INTERIOR 124 )"/>
    <x v="5"/>
    <s v="017314005001450124"/>
    <s v="Sabaneta"/>
    <x v="1"/>
    <s v="Revisor Instal. Regadas Metrosur"/>
    <x v="1"/>
    <n v="7"/>
    <s v="2025-12-11 13:34:46"/>
    <s v="4 días 13:34"/>
    <s v="3 días 13:34"/>
    <x v="0"/>
    <s v="SIN DATO"/>
    <s v="SIN DATO"/>
    <s v="SIN DATO"/>
    <s v="ABIERTO"/>
    <n v="-75.613908940000002"/>
    <n v="6.1452847200000003"/>
    <s v="SUR-ENE"/>
    <s v="Metropolitana Sur"/>
  </r>
  <r>
    <s v="23604310"/>
    <s v="ENECNX"/>
    <s v="NUEVO"/>
    <s v="ENECNX"/>
    <s v="01/12/2025 13:47:44"/>
    <s v="2025-12-01 13:47:44"/>
    <n v="900081751"/>
    <s v="CONSTRUCTORA MOLINO VIEJO S.A.S."/>
    <s v="4487595"/>
    <s v="3015010997"/>
    <s v="CR 63 CL 37 -25"/>
    <x v="0"/>
    <s v="053623007000250000"/>
    <s v="Medellín"/>
    <x v="4"/>
    <s v="Revisor Puntos de Conexión Metrosur"/>
    <x v="1"/>
    <n v="4"/>
    <s v="2025-12-05 13:47:44"/>
    <s v="4 días 13:47"/>
    <s v="0 días 13:47"/>
    <x v="4"/>
    <s v="SIN DATO"/>
    <s v="SIN DATO"/>
    <s v="SIN DATO"/>
    <s v="ABIERTO"/>
    <n v="-75.580579"/>
    <n v="6.2412419999999997"/>
    <s v="SUR-ENE"/>
    <s v="Metropolitana Sur"/>
  </r>
  <r>
    <s v="23604315"/>
    <s v="ENEMRT"/>
    <s v="NUEVO"/>
    <s v="ENEMVI"/>
    <s v="01/12/2025 13:52:25"/>
    <s v="2025-12-01 13:52:25"/>
    <n v="1128441970"/>
    <s v="YEYSON ARMANDO RIOS RIOS"/>
    <s v="5388362"/>
    <s v="3104683709"/>
    <s v="RURAL_146024705000000000_146024705000000000"/>
    <x v="0"/>
    <s v="146024705000000000"/>
    <s v="Medellín"/>
    <x v="9"/>
    <s v="METR Mov Red Trans Anderson Castaño"/>
    <x v="0"/>
    <n v="14"/>
    <s v="2025-12-22 13:52:25"/>
    <s v="4 días 13:52"/>
    <s v="10 días 13:52"/>
    <x v="0"/>
    <s v="SIN DATO"/>
    <s v="SIN DATO"/>
    <s v="SIN DATO"/>
    <s v="ABIERTO"/>
    <n v="-75.705631999999994"/>
    <n v="6.359826"/>
    <s v="SUR-ENE"/>
    <s v="Metropolitana Sur"/>
  </r>
  <r>
    <s v="23604322"/>
    <s v="ENECNX"/>
    <s v="NUEVO"/>
    <s v="ENECNX"/>
    <s v="01/12/2025 13:59:00"/>
    <s v="2025-12-01 13:59:00"/>
    <n v="811008778"/>
    <s v="PINTURAS Y YESOS S.A.S"/>
    <s v="4481802"/>
    <s v="3202011767"/>
    <s v="CL 43 CR 46 -20"/>
    <x v="0"/>
    <s v="054413006000200000"/>
    <s v="Medellín"/>
    <x v="4"/>
    <s v="Revisor Puntos de Conexión Metrosur"/>
    <x v="1"/>
    <n v="4"/>
    <s v="2025-12-05 13:59:00"/>
    <s v="4 días 13:59"/>
    <s v="0 días 13:59"/>
    <x v="4"/>
    <s v="SIN DATO"/>
    <s v="SIN DATO"/>
    <s v="SIN DATO"/>
    <s v="ABIERTO"/>
    <n v="-75.569192569999998"/>
    <n v="6.2433248399999997"/>
    <s v="SUR-ENE"/>
    <s v="Metropolitana Sur"/>
  </r>
  <r>
    <s v="23604359"/>
    <s v="ENECNX"/>
    <s v="NUEVO"/>
    <s v="ENECNX"/>
    <s v="01/12/2025 14:25:35"/>
    <s v="2025-12-01 14:25:35"/>
    <n v="98551063"/>
    <s v="SANTIAGO CARDONA SIERRA"/>
    <s v="4978093"/>
    <s v="3103860285"/>
    <s v="RURAL_125006700000000175_PARCELACION LAS PALMAS LO"/>
    <x v="2"/>
    <s v="125006700000000175"/>
    <s v="Envigado"/>
    <x v="4"/>
    <s v="Revisor Puntos de Conexión Metrosur"/>
    <x v="0"/>
    <n v="4"/>
    <s v="2025-12-05 14:25:35"/>
    <s v="4 días 14:25"/>
    <s v="0 días 14:25"/>
    <x v="4"/>
    <s v="SIN DATO"/>
    <s v="SIN DATO"/>
    <s v="SIN DATO"/>
    <s v="ABIERTO"/>
    <n v="-75.518951009999995"/>
    <n v="6.1424815600000002"/>
    <s v="SUR-ENE"/>
    <s v="Metropolitana Sur"/>
  </r>
  <r>
    <s v="23604373"/>
    <s v="ENERES"/>
    <s v="NUEVO"/>
    <s v="ENERES"/>
    <s v="01/12/2025 14:30:56"/>
    <s v="2025-12-01 14:30:56"/>
    <n v="43810725"/>
    <s v="SANDRA LILIANA OSPINA ARIAS"/>
    <s v="SIN DATOS"/>
    <s v="3002712822"/>
    <s v="CR 59 C CL 55 A -69 (INTERIOR 202 )"/>
    <x v="1"/>
    <s v="075529305100690202"/>
    <s v="Itaguí"/>
    <x v="1"/>
    <s v="Revisor Instal. Regadas Metrosur"/>
    <x v="1"/>
    <n v="7"/>
    <s v="2025-12-11 14:30:56"/>
    <s v="4 días 14:30"/>
    <s v="3 días 14:30"/>
    <x v="0"/>
    <s v="SIN DATO"/>
    <s v="SIN DATO"/>
    <s v="SIN DATO"/>
    <s v="ABIERTO"/>
    <n v="-75.610641999999999"/>
    <n v="6.1794349999999998"/>
    <s v="SUR-ENE"/>
    <s v="Metropolitana Sur"/>
  </r>
  <r>
    <s v="23604382"/>
    <s v="ENEMRT"/>
    <s v="NUEVO"/>
    <s v="ENEMVI"/>
    <s v="01/12/2025 14:34:18"/>
    <s v="2025-12-01 14:34:18"/>
    <n v="15533129"/>
    <s v="LUIS ALBERTO DUQUE VARGAS"/>
    <s v="SIN DATOS"/>
    <s v="3226540799"/>
    <s v="RURAL_136032709000000000_CR 105 CL 57A-30"/>
    <x v="0"/>
    <s v="136032709000000000"/>
    <s v="Medellín"/>
    <x v="9"/>
    <s v="METR Mov Red Trans Anderson Castaño"/>
    <x v="1"/>
    <n v="9"/>
    <s v="2025-12-15 14:34:18"/>
    <s v="4 días 14:34"/>
    <s v="5 días 14:34"/>
    <x v="0"/>
    <s v="SIN DATO"/>
    <s v="SIN DATO"/>
    <s v="SIN DATO"/>
    <s v="ABIERTO"/>
    <n v="-75.61455436"/>
    <n v="6.2729409"/>
    <s v="SUR-ENE"/>
    <s v="Metropolitana Sur"/>
  </r>
  <r>
    <s v="23604397"/>
    <s v="ENERES"/>
    <s v="NUEVO"/>
    <s v="ENERES"/>
    <s v="01/12/2025 14:40:41"/>
    <s v="2025-12-01 14:40:41"/>
    <n v="1010070738"/>
    <s v="EDINSON ARLEY ATENCIA NORIEGA"/>
    <s v="SIN DATOS"/>
    <s v="3215646736"/>
    <s v="CR 115 CL 39 D -27 (INTERIOR 358 )"/>
    <x v="0"/>
    <s v="083125009400270358"/>
    <s v="Medellín"/>
    <x v="1"/>
    <s v="Revisor Instal. Regadas Metrosur"/>
    <x v="1"/>
    <n v="7"/>
    <s v="2025-12-11 14:40:41"/>
    <s v="4 días 14:40"/>
    <s v="3 días 14:40"/>
    <x v="0"/>
    <s v="SIN DATO"/>
    <s v="SIN DATO"/>
    <s v="SIN DATO"/>
    <s v="ABIERTO"/>
    <n v="-75.626312999999996"/>
    <n v="6.253787"/>
    <s v="SUR-ENE"/>
    <s v="Metropolitana Sur"/>
  </r>
  <r>
    <s v="23604444"/>
    <s v="ENERES"/>
    <s v="NUEVO"/>
    <s v="ENEDOM"/>
    <s v="01/12/2025 15:05:14"/>
    <s v="2025-12-01 15:05:14"/>
    <n v="1038567042"/>
    <s v="ANDREA NIETO LAVERDE"/>
    <s v="SIN DATOS"/>
    <s v="3013875725"/>
    <s v="CR 118 CL 39 -66 (INTERIOR 301 )"/>
    <x v="0"/>
    <s v="083128009000660301"/>
    <s v="Medellín"/>
    <x v="0"/>
    <s v="Habilitación Viviendas Metrosur"/>
    <x v="1"/>
    <n v="5"/>
    <s v="2025-12-09 15:05:14"/>
    <s v="4 días 15:05"/>
    <s v="1 días 15:05"/>
    <x v="1"/>
    <s v="SIN DATO"/>
    <s v="SIN DATO"/>
    <s v="SIN DATO"/>
    <s v="ABIERTO"/>
    <n v="-75.628892750000006"/>
    <n v="6.2503624100000001"/>
    <s v="SUR-ENE"/>
    <s v="Metropolitana Sur"/>
  </r>
  <r>
    <s v="23604489"/>
    <s v="ENERES"/>
    <s v="NUEVO"/>
    <s v="ENERES"/>
    <s v="01/12/2025 15:33:56"/>
    <s v="2025-12-01 15:33:56"/>
    <n v="43035452"/>
    <s v="ANGELA MARIA LOPEZ LOPERA"/>
    <s v="2605418"/>
    <s v="3117675310"/>
    <s v="CR 74 B CL 65 -150 (INTERIOR 201 )"/>
    <x v="0"/>
    <s v="056724205001500201"/>
    <s v="Medellín"/>
    <x v="1"/>
    <s v="Revisor Instal. Regadas Metrosur"/>
    <x v="1"/>
    <n v="7"/>
    <s v="2025-12-11 15:33:56"/>
    <s v="4 días 15:33"/>
    <s v="3 días 15:33"/>
    <x v="0"/>
    <s v="SIN DATO"/>
    <s v="SIN DATO"/>
    <s v="SIN DATO"/>
    <s v="ABIERTO"/>
    <n v="-75.585674749999995"/>
    <n v="6.2667691799999998"/>
    <s v="SUR-ENE"/>
    <s v="Metropolitana Sur"/>
  </r>
  <r>
    <s v="23604495"/>
    <s v="ENERES"/>
    <s v="NUEVO"/>
    <s v="ENEDOM"/>
    <s v="01/12/2025 15:41:25"/>
    <s v="2025-12-01 15:41:25"/>
    <n v="71337386"/>
    <s v="JOHN JAIRO ALVAREZ ARBOLEDA"/>
    <s v="SIN DATOS"/>
    <s v="3218780574"/>
    <s v="CL 57 CR 82 A -98 (INTERIOR 401 )"/>
    <x v="0"/>
    <s v="055817002100980401"/>
    <s v="Medellín"/>
    <x v="0"/>
    <s v="Habilitación Viviendas Metrosur"/>
    <x v="1"/>
    <n v="5"/>
    <s v="2025-12-09 15:41:25"/>
    <s v="4 días 15:41"/>
    <s v="1 días 15:41"/>
    <x v="1"/>
    <s v="SIN DATO"/>
    <s v="SIN DATO"/>
    <s v="SIN DATO"/>
    <s v="ABIERTO"/>
    <n v="-75.598832999999999"/>
    <n v="6.2716750000000001"/>
    <s v="SUR-ENE"/>
    <s v="Metropolitana Sur"/>
  </r>
  <r>
    <s v="23604499"/>
    <s v="ENERES"/>
    <s v="NUEVO"/>
    <s v="ENERES"/>
    <s v="01/12/2025 15:45:36"/>
    <s v="2025-12-01 15:45:36"/>
    <n v="43574476"/>
    <s v="DURLEY AIDEE GIL RAMIREZ"/>
    <s v="3687599"/>
    <s v="3113320369"/>
    <s v="CL 38 B SUR CR 69 -80 (INTERIOR 201 )"/>
    <x v="0"/>
    <s v="043618209000800201"/>
    <s v="Medellín"/>
    <x v="1"/>
    <s v="Revisor Instal. Regadas Metrosur"/>
    <x v="1"/>
    <n v="7"/>
    <s v="2025-12-11 15:45:36"/>
    <s v="4 días 15:45"/>
    <s v="3 días 15:45"/>
    <x v="0"/>
    <s v="SIN DATO"/>
    <s v="SIN DATO"/>
    <s v="SIN DATO"/>
    <s v="ABIERTO"/>
    <n v="-75.64932718"/>
    <n v="6.1868428199999999"/>
    <s v="SUR-ENE"/>
    <s v="Metropolitana Sur"/>
  </r>
  <r>
    <s v="23604509"/>
    <s v="ENERES"/>
    <s v="NUEVO"/>
    <s v="ENERES"/>
    <s v="01/12/2025 15:52:32"/>
    <s v="2025-12-01 15:52:32"/>
    <n v="43035452"/>
    <s v="ANGELA MARIA LOPEZ LOPERA"/>
    <s v="2605418"/>
    <s v="3117675310"/>
    <s v="CR 74 B CL 65 -150 (INTERIOR 203 )"/>
    <x v="0"/>
    <s v="056724205001500203"/>
    <s v="Medellín"/>
    <x v="1"/>
    <s v="Revisor Instal. Regadas Metrosur"/>
    <x v="1"/>
    <n v="7"/>
    <s v="2025-12-11 15:52:32"/>
    <s v="4 días 15:52"/>
    <s v="3 días 15:52"/>
    <x v="0"/>
    <s v="SIN DATO"/>
    <s v="SIN DATO"/>
    <s v="SIN DATO"/>
    <s v="ABIERTO"/>
    <n v="-75.585674749999995"/>
    <n v="6.2667691799999998"/>
    <s v="SUR-ENE"/>
    <s v="Metropolitana Sur"/>
  </r>
  <r>
    <s v="23604522"/>
    <s v="ENERES"/>
    <s v="NUEVO"/>
    <s v="ENERES"/>
    <s v="01/12/2025 16:06:02"/>
    <s v="2025-12-01 16:06:02"/>
    <n v="8431231"/>
    <s v="CAMILO VEGA SALAZAR"/>
    <s v="SIN DATOS"/>
    <s v="3128331357"/>
    <s v="CR 77 CL 40 SUR -27 (INTERIOR 302 )"/>
    <x v="0"/>
    <s v="044727000000270302"/>
    <s v="Medellín"/>
    <x v="1"/>
    <s v="Revisor Instal. Regadas Metrosur"/>
    <x v="1"/>
    <n v="7"/>
    <s v="2025-12-11 16:06:02"/>
    <s v="4 días 16:06"/>
    <s v="3 días 16:06"/>
    <x v="0"/>
    <s v="SIN DATO"/>
    <s v="SIN DATO"/>
    <s v="SIN DATO"/>
    <s v="ABIERTO"/>
    <n v="-75.65461406"/>
    <n v="6.1855504200000002"/>
    <s v="SUR-ENE"/>
    <s v="Metropolitana Sur"/>
  </r>
  <r>
    <s v="23604534"/>
    <s v="ENEPRE"/>
    <s v="NUEVO"/>
    <s v="ENEPRE"/>
    <s v="01/12/2025 16:12:05"/>
    <s v="2025-12-01 16:12:05"/>
    <n v="43278951"/>
    <s v="CLAUDIA YANET ACEVEDO PEREZ"/>
    <s v="SIN DATOS"/>
    <s v="3008347443"/>
    <s v="CR 3 CL 55 FF -70"/>
    <x v="0"/>
    <s v="055023005660700000"/>
    <s v="Medellín"/>
    <x v="3"/>
    <s v="Energía Prepago Metrosur"/>
    <x v="1"/>
    <n v="11"/>
    <s v="2025-12-17 16:12:05"/>
    <s v="4 días 16:12"/>
    <s v="7 días 16:12"/>
    <x v="0"/>
    <s v="SIN DATO"/>
    <s v="SIN DATO"/>
    <s v="SIN DATO"/>
    <s v="ABIERTO"/>
    <n v="-75.529490120000006"/>
    <n v="6.2361297499999999"/>
    <s v="SUR-ENE"/>
    <s v="Metropolitana Sur"/>
  </r>
  <r>
    <s v="23604536"/>
    <s v="ENERES"/>
    <s v="NUEVO"/>
    <s v="ENERES"/>
    <s v="01/12/2025 16:12:42"/>
    <s v="2025-12-01 16:12:42"/>
    <n v="71685959"/>
    <s v="MARIO ENRIQUE ARIAS ORREGO"/>
    <s v="SIN DATOS"/>
    <s v="3108266118"/>
    <s v="CL 65 CR 70 -149 (INTERIOR 202 )"/>
    <x v="0"/>
    <s v="056715000001490202"/>
    <s v="Medellín"/>
    <x v="1"/>
    <s v="Revisor Instal. Regadas Metrosur"/>
    <x v="1"/>
    <n v="7"/>
    <s v="2025-12-11 16:12:42"/>
    <s v="4 días 16:12"/>
    <s v="3 días 16:12"/>
    <x v="0"/>
    <s v="SIN DATO"/>
    <s v="SIN DATO"/>
    <s v="SIN DATO"/>
    <s v="ABIERTO"/>
    <n v="-75.585433760000001"/>
    <n v="6.2635239299999999"/>
    <s v="SUR-ENE"/>
    <s v="Metropolitana Sur"/>
  </r>
  <r>
    <s v="23604537"/>
    <s v="ENENOR"/>
    <s v="NUEVO"/>
    <s v="ENENOR"/>
    <s v="01/12/2025 16:12:59"/>
    <s v="2025-12-01 16:12:59"/>
    <n v="901195768"/>
    <s v="CONTROL GRUPO EMPRESARIAL SAS"/>
    <s v="4798863"/>
    <s v="3012590569"/>
    <s v="CR 45 CL 36 -45 (INTERIOR 6100 )"/>
    <x v="0"/>
    <s v="053425006000456100"/>
    <s v="Medellín"/>
    <x v="5"/>
    <s v="Revisor Instal. Regadas Metrosur"/>
    <x v="1"/>
    <n v="7"/>
    <s v="2025-12-11 16:12:59"/>
    <s v="4 días 16:12"/>
    <s v="3 días 16:12"/>
    <x v="0"/>
    <s v="SIN DATO"/>
    <s v="SIN DATO"/>
    <s v="SIN DATO"/>
    <s v="ABIERTO"/>
    <n v="-75.570652999999993"/>
    <n v="6.2368735199999996"/>
    <s v="SUR-ENE"/>
    <s v="Metropolitana Sur"/>
  </r>
  <r>
    <s v="23604557"/>
    <s v="ENECNX"/>
    <s v="NUEVO"/>
    <s v="ENECNX"/>
    <s v="01/12/2025 16:28:58"/>
    <s v="2025-12-01 16:28:58"/>
    <n v="71665974"/>
    <s v="JOSE ANGEL CARDONA GONZALEZ"/>
    <s v="3885408"/>
    <s v="3008196847"/>
    <s v="CR 25 AA CL 56 -58 (INTERIOR 201 )"/>
    <x v="0"/>
    <s v="055225116000580201"/>
    <s v="Medellín"/>
    <x v="4"/>
    <s v="Revisor Puntos de Conexión Metrosur"/>
    <x v="1"/>
    <n v="4"/>
    <s v="2025-12-05 16:28:58"/>
    <s v="4 días 16:28"/>
    <s v="0 días 16:28"/>
    <x v="4"/>
    <s v="SIN DATO"/>
    <s v="SIN DATO"/>
    <s v="SIN DATO"/>
    <s v="ABIERTO"/>
    <n v="-75.545965620000004"/>
    <n v="6.2445569799999996"/>
    <s v="SUR-ENE"/>
    <s v="Metropolitana Sur"/>
  </r>
  <r>
    <s v="23604561"/>
    <s v="ENEMRT"/>
    <s v="NUEVO"/>
    <s v="ENEMVI"/>
    <s v="01/12/2025 16:34:09"/>
    <s v="2025-12-01 16:34:09"/>
    <n v="43864912"/>
    <s v="BEATRIZ ELENA GIRALDO CASTRO"/>
    <s v="SIN DATOS"/>
    <s v="3176670766"/>
    <s v="CL 26 SUR CR 22 -3 (INTERIOR 106 )"/>
    <x v="2"/>
    <s v="022216002000030106"/>
    <s v="Envigado"/>
    <x v="9"/>
    <s v="Mov Red Trans Dairo Gil"/>
    <x v="1"/>
    <n v="9"/>
    <s v="2025-12-15 16:34:09"/>
    <s v="4 días 16:34"/>
    <s v="5 días 16:34"/>
    <x v="0"/>
    <s v="SIN DATO"/>
    <s v="SIN DATO"/>
    <s v="SIN DATO"/>
    <s v="ABIERTO"/>
    <n v="-75.563391949999996"/>
    <n v="6.17048167"/>
    <s v="SUR-ENE"/>
    <s v="Metropolitana Sur"/>
  </r>
  <r>
    <s v="23604568"/>
    <s v="ENERES"/>
    <s v="NUEVO"/>
    <s v="ENERES"/>
    <s v="01/12/2025 16:40:27"/>
    <s v="2025-12-01 16:40:27"/>
    <n v="1036688823"/>
    <s v="LEIDY MARCELA VASQUEZ RAMIREZ"/>
    <s v="SIN DATOS"/>
    <s v="3015562936"/>
    <s v="CL 68 CR 57 -34"/>
    <x v="1"/>
    <s v="076518007000340000"/>
    <s v="Itaguí"/>
    <x v="1"/>
    <s v="Revisor Instal. Regadas Metrosur"/>
    <x v="1"/>
    <n v="7"/>
    <s v="2025-12-11 16:40:27"/>
    <s v="4 días 16:40"/>
    <s v="3 días 16:40"/>
    <x v="0"/>
    <s v="SIN DATO"/>
    <s v="SIN DATO"/>
    <s v="SIN DATO"/>
    <s v="ABIERTO"/>
    <n v="-75.604380000000006"/>
    <n v="6.1839339999999998"/>
    <s v="SUR-ENE"/>
    <s v="Metropolitana Sur"/>
  </r>
  <r>
    <s v="23604571"/>
    <s v="ENERES"/>
    <s v="NUEVO"/>
    <s v="ENERES"/>
    <s v="01/12/2025 16:42:18"/>
    <s v="2025-12-01 16:42:18"/>
    <n v="72130467"/>
    <s v="JOSE ABELARDO ZAPATA GONZALEZ"/>
    <s v="3222080"/>
    <s v="3234036783"/>
    <s v="CL 56 CR 53 -60 (INTERIOR 201 )"/>
    <x v="0"/>
    <s v="055516003000600201"/>
    <s v="Medellín"/>
    <x v="1"/>
    <s v="Revisor Instal. Regadas Metrosur"/>
    <x v="1"/>
    <n v="7"/>
    <s v="2025-12-11 16:42:18"/>
    <s v="4 días 16:42"/>
    <s v="3 días 16:42"/>
    <x v="0"/>
    <s v="SIN DATO"/>
    <s v="SIN DATO"/>
    <s v="SIN DATO"/>
    <s v="ABIERTO"/>
    <n v="-75.569566710000004"/>
    <n v="6.2557511400000001"/>
    <s v="SUR-ENE"/>
    <s v="Metropolitana Sur"/>
  </r>
  <r>
    <s v="23604585"/>
    <s v="ENERES"/>
    <s v="NUEVO"/>
    <s v="ENERES"/>
    <s v="01/12/2025 16:51:58"/>
    <s v="2025-12-01 16:51:58"/>
    <n v="42873597"/>
    <s v="MARIA PATRICIA URIBE BARRIENTOS"/>
    <s v="5002579"/>
    <s v="3216350304"/>
    <s v="CR 64 CL 26 -8 (INTERIOR 101 )"/>
    <x v="1"/>
    <s v="072624006000080101"/>
    <s v="Itaguí"/>
    <x v="1"/>
    <s v="Revisor Instal. Regadas Metrosur"/>
    <x v="1"/>
    <n v="7"/>
    <s v="2025-12-11 16:51:58"/>
    <s v="4 días 16:51"/>
    <s v="3 días 16:51"/>
    <x v="0"/>
    <s v="SIN DATO"/>
    <s v="SIN DATO"/>
    <s v="SIN DATO"/>
    <s v="ABIERTO"/>
    <n v="-75.640986119999994"/>
    <n v="6.1682218600000001"/>
    <s v="SUR-ENE"/>
    <s v="Metropolitana Sur"/>
  </r>
  <r>
    <s v="23604636"/>
    <s v="ENERES"/>
    <s v="NUEVO"/>
    <s v="ENEDOM"/>
    <s v="01/12/2025 19:20:16"/>
    <s v="2025-12-01 19:20:16"/>
    <n v="39353944"/>
    <s v="LUZ MERY HIGUITA MONRROY"/>
    <s v="SIN DATOS"/>
    <s v="3137939408"/>
    <s v="CL 58 CR 94 -107 (INTERIOR 110 )"/>
    <x v="0"/>
    <s v="055918004001070110"/>
    <s v="Medellín"/>
    <x v="0"/>
    <s v="Habilitación Viviendas Metrosur"/>
    <x v="1"/>
    <n v="5"/>
    <s v="2025-12-09 19:20:16"/>
    <s v="4 días 19:20"/>
    <s v="1 días 19:20"/>
    <x v="1"/>
    <s v="SIN DATO"/>
    <s v="SIN DATO"/>
    <s v="SIN DATO"/>
    <s v="ABIERTO"/>
    <n v="-75.607611000000006"/>
    <n v="6.2762349999999998"/>
    <s v="SUR-ENE"/>
    <s v="Metropolitana Sur"/>
  </r>
  <r>
    <s v="23604830"/>
    <s v="ENECNX"/>
    <s v="NUEVO"/>
    <s v="ENECNX"/>
    <s v="02/12/2025 06:21:12"/>
    <s v="2025-12-02 06:21:12"/>
    <n v="71334743"/>
    <s v="SERGIO ANDRES MONTOYA GIRALDO"/>
    <s v="SIN DATOS"/>
    <s v="3154741612"/>
    <s v="RURAL_146013704000000000_RURAL_PALMITAS"/>
    <x v="0"/>
    <s v="146013704000000000"/>
    <s v="Medellín"/>
    <x v="4"/>
    <s v="Revisor Puntos de Conexión Metrosur"/>
    <x v="0"/>
    <n v="4"/>
    <s v="2025-12-09 06:21:12"/>
    <s v="3 días 06:21"/>
    <s v="1 días 06:21"/>
    <x v="1"/>
    <s v="SIN DATO"/>
    <s v="SIN DATO"/>
    <s v="SIN DATO"/>
    <s v="ABIERTO"/>
    <n v="-75.689079410000005"/>
    <n v="6.3430719699999996"/>
    <s v="SUR-ENE"/>
    <s v="Metropolitana Sur"/>
  </r>
  <r>
    <s v="23604858"/>
    <s v="ENERES"/>
    <s v="NUEVO"/>
    <s v="ENERES"/>
    <s v="02/12/2025 07:14:53"/>
    <s v="2025-12-02 07:14:53"/>
    <n v="71644675"/>
    <s v="ARLEY MARIN GONZALEZ"/>
    <s v="SIN DATOS"/>
    <s v="3114762063"/>
    <s v="CL 43 CR 50 -51 (INTERIOR 201 )"/>
    <x v="1"/>
    <s v="074513000000510201"/>
    <s v="Itaguí"/>
    <x v="1"/>
    <s v="METROSUR Vin. Leg. Ref. Concentrada"/>
    <x v="1"/>
    <n v="7"/>
    <s v="2025-12-12 07:14:53"/>
    <s v="3 días 07:14"/>
    <s v="4 días 07:14"/>
    <x v="0"/>
    <s v="SIN DATO"/>
    <s v="SIN DATO"/>
    <s v="SIN DATO"/>
    <s v="ABIERTO"/>
    <n v="-75.614632020000002"/>
    <n v="6.16980986"/>
    <s v="SUR-ENE"/>
    <s v="Metropolitana Sur"/>
  </r>
  <r>
    <s v="23604859"/>
    <s v="ENERES"/>
    <s v="NUEVO"/>
    <s v="ENERES"/>
    <s v="02/12/2025 07:14:53"/>
    <s v="2025-12-02 07:14:53"/>
    <n v="71644675"/>
    <s v="ARLEY MARIN GONZALEZ"/>
    <s v="SIN DATOS"/>
    <s v="3114762063"/>
    <s v="CL 43 CR 50 -51 (INTERIOR 501 )"/>
    <x v="1"/>
    <s v="074513000000510501"/>
    <s v="Itaguí"/>
    <x v="1"/>
    <s v="METROSUR Vin. Leg. Ref. Concentrada"/>
    <x v="1"/>
    <n v="7"/>
    <s v="2025-12-12 07:14:53"/>
    <s v="3 días 07:14"/>
    <s v="4 días 07:14"/>
    <x v="0"/>
    <s v="SIN DATO"/>
    <s v="SIN DATO"/>
    <s v="SIN DATO"/>
    <s v="ABIERTO"/>
    <n v="-75.614632020000002"/>
    <n v="6.16980986"/>
    <s v="SUR-ENE"/>
    <s v="Metropolitana Sur"/>
  </r>
  <r>
    <s v="23604860"/>
    <s v="ENERES"/>
    <s v="NUEVO"/>
    <s v="ENERES"/>
    <s v="02/12/2025 07:15:20"/>
    <s v="2025-12-02 07:15:20"/>
    <n v="71644675"/>
    <s v="ARLEY MARIN GONZALEZ"/>
    <s v="SIN DATOS"/>
    <s v="3114762063"/>
    <s v="CL 43 CR 50 -51 (INTERIOR 301 )"/>
    <x v="1"/>
    <s v="074513000000510301"/>
    <s v="Itaguí"/>
    <x v="1"/>
    <s v="METROSUR Vin. Leg. Ref. Concentrada"/>
    <x v="1"/>
    <n v="7"/>
    <s v="2025-12-12 07:15:20"/>
    <s v="3 días 07:15"/>
    <s v="4 días 07:15"/>
    <x v="0"/>
    <s v="SIN DATO"/>
    <s v="SIN DATO"/>
    <s v="SIN DATO"/>
    <s v="ABIERTO"/>
    <n v="-75.614632020000002"/>
    <n v="6.16980986"/>
    <s v="SUR-ENE"/>
    <s v="Metropolitana Sur"/>
  </r>
  <r>
    <s v="23604863"/>
    <s v="ENERES"/>
    <s v="NUEVO"/>
    <s v="ENERES"/>
    <s v="02/12/2025 07:19:31"/>
    <s v="2025-12-02 07:19:31"/>
    <n v="71644675"/>
    <s v="ARLEY MARIN GONZALEZ"/>
    <s v="SIN DATOS"/>
    <s v="3114762063"/>
    <s v="CL 43 CR 50 -51 (INTERIOR 401 )"/>
    <x v="1"/>
    <s v="074513000000510401"/>
    <s v="Itaguí"/>
    <x v="1"/>
    <s v="METROSUR Vin. Leg. Ref. Concentrada"/>
    <x v="1"/>
    <n v="7"/>
    <s v="2025-12-12 07:19:31"/>
    <s v="3 días 07:19"/>
    <s v="4 días 07:19"/>
    <x v="0"/>
    <s v="SIN DATO"/>
    <s v="SIN DATO"/>
    <s v="SIN DATO"/>
    <s v="ABIERTO"/>
    <n v="-75.614632020000002"/>
    <n v="6.16980986"/>
    <s v="SUR-ENE"/>
    <s v="Metropolitana Sur"/>
  </r>
  <r>
    <s v="23604872"/>
    <s v="ENENOR"/>
    <s v="NUEVO"/>
    <s v="ENENOR"/>
    <s v="02/12/2025 07:49:51"/>
    <s v="2025-12-02 07:49:51"/>
    <n v="71644675"/>
    <s v="ARLEY MARIN GONZALEZ"/>
    <s v="SIN DATOS"/>
    <s v="3114762063"/>
    <s v="CL 43 CR 50 -53 (LC 1 )"/>
    <x v="1"/>
    <s v="074513000000530001"/>
    <s v="Itaguí"/>
    <x v="5"/>
    <s v="METROSUR Vin. Leg. Ref. Concentrada"/>
    <x v="1"/>
    <n v="7"/>
    <s v="2025-12-12 07:49:51"/>
    <s v="3 días 07:49"/>
    <s v="4 días 07:49"/>
    <x v="0"/>
    <s v="SIN DATO"/>
    <s v="SIN DATO"/>
    <s v="SIN DATO"/>
    <s v="ABIERTO"/>
    <n v="-75.614663669999999"/>
    <n v="6.1698205399999999"/>
    <s v="SUR-ENE"/>
    <s v="Metropolitana Sur"/>
  </r>
  <r>
    <s v="23604892"/>
    <s v="ENERES"/>
    <s v="NUEVO"/>
    <s v="ENERES"/>
    <s v="02/12/2025 08:13:38"/>
    <s v="2025-12-02 08:13:38"/>
    <n v="1017254966"/>
    <s v="YULY CENELIA PALACIOS GALLEGO"/>
    <s v="SIN DATOS"/>
    <s v="3185999447"/>
    <s v="CL 56 D CR 15 A -38 (INTERIOR 232 )"/>
    <x v="0"/>
    <s v="055116405100380232"/>
    <s v="Medellín"/>
    <x v="1"/>
    <s v="Revisor Instal. Regadas Metrosur"/>
    <x v="1"/>
    <n v="7"/>
    <s v="2025-12-12 08:13:38"/>
    <s v="3 días 08:13"/>
    <s v="4 días 08:13"/>
    <x v="0"/>
    <s v="SIN DATO"/>
    <s v="SIN DATO"/>
    <s v="SIN DATO"/>
    <s v="ABIERTO"/>
    <n v="-75.538094470000004"/>
    <n v="6.2401264200000002"/>
    <s v="SUR-ENE"/>
    <s v="Metropolitana Sur"/>
  </r>
  <r>
    <s v="23604912"/>
    <s v="ENERES"/>
    <s v="CAMBI"/>
    <s v="ENERES"/>
    <s v="02/12/2025 08:35:17"/>
    <s v="2025-12-02 08:35:17"/>
    <n v="71733692"/>
    <s v="FRANK OCTAVIO BETANCUR VELASQUEZ"/>
    <s v="SIN DATOS"/>
    <s v="3117146420"/>
    <s v="CR 36 A CL 65 B -48"/>
    <x v="0"/>
    <s v="056326105200480000"/>
    <s v="Medellín"/>
    <x v="6"/>
    <s v="METROSUR Vin. Leg. Ref. Concentrada"/>
    <x v="1"/>
    <n v="7"/>
    <s v="2025-12-12 08:35:17"/>
    <s v="3 días 08:35"/>
    <s v="4 días 08:35"/>
    <x v="0"/>
    <s v="SIN DATO"/>
    <s v="SIN DATO"/>
    <s v="SIN DATO"/>
    <s v="ABIERTO"/>
    <n v="-75.550373989999997"/>
    <n v="6.2563308199999996"/>
    <s v="SUR-ENE"/>
    <s v="Metropolitana Sur"/>
  </r>
  <r>
    <s v="23604913"/>
    <s v="ENECNX"/>
    <s v="NUEVO"/>
    <s v="ENECNX"/>
    <s v="02/12/2025 08:35:33"/>
    <s v="2025-12-02 08:35:33"/>
    <n v="3474414"/>
    <s v="JOMAR ALEXIS HENAO RESTREPO"/>
    <s v="2659441"/>
    <s v="3154292193"/>
    <s v="CL 29 AA CR 50 -9"/>
    <x v="0"/>
    <s v="052519110000090000"/>
    <s v="Medellín"/>
    <x v="4"/>
    <s v="Revisor Puntos de Conexión Metrosur"/>
    <x v="1"/>
    <n v="4"/>
    <s v="2025-12-09 08:35:33"/>
    <s v="3 días 08:35"/>
    <s v="1 días 08:35"/>
    <x v="1"/>
    <s v="SIN DATO"/>
    <s v="SIN DATO"/>
    <s v="SIN DATO"/>
    <s v="ABIERTO"/>
    <n v="-75.576749000000007"/>
    <n v="6.2293329999999996"/>
    <s v="SUR-ENE"/>
    <s v="Metropolitana Sur"/>
  </r>
  <r>
    <s v="23604937"/>
    <s v="ENEPRE"/>
    <s v="REUBI"/>
    <s v="ENEPRE"/>
    <s v="02/12/2025 08:57:34"/>
    <s v="2025-12-02 08:57:34"/>
    <n v="71264235"/>
    <s v="BENJAMIN  FRANCO SUAZA"/>
    <s v="SIN DATOS"/>
    <s v="3148345264"/>
    <s v="CR 99 DE CL 48 BC -41"/>
    <x v="0"/>
    <s v="054929458230410000"/>
    <s v="Medellín"/>
    <x v="11"/>
    <s v="Energía Prepago Metrosur"/>
    <x v="1"/>
    <n v="11"/>
    <s v="2025-12-18 08:57:34"/>
    <s v="3 días 08:57"/>
    <s v="8 días 08:57"/>
    <x v="0"/>
    <s v="SIN DATO"/>
    <s v="SIN DATO"/>
    <s v="SIN DATO"/>
    <s v="ABIERTO"/>
    <n v="-75.614064690000006"/>
    <n v="6.2667983999999999"/>
    <s v="SUR-ENE"/>
    <s v="Metropolitana Sur"/>
  </r>
  <r>
    <s v="23604942"/>
    <s v="ENECNX"/>
    <s v="NUEVO"/>
    <s v="ENECNX"/>
    <s v="02/12/2025 09:08:46"/>
    <s v="2025-12-02 09:08:46"/>
    <n v="71615000"/>
    <s v="ROGELIO ANTONIO CALLE ZAMUDIO"/>
    <s v="2120349"/>
    <s v="3008192534"/>
    <s v="CR 43 CL 66 -38 (INTERIOR 231 )"/>
    <x v="0"/>
    <s v="056423006000380231"/>
    <s v="Medellín"/>
    <x v="4"/>
    <s v="Revisor Puntos de Conexión Metrosur"/>
    <x v="1"/>
    <n v="4"/>
    <s v="2025-12-09 09:08:46"/>
    <s v="3 días 09:08"/>
    <s v="1 días 09:08"/>
    <x v="1"/>
    <s v="SIN DATO"/>
    <s v="SIN DATO"/>
    <s v="SIN DATO"/>
    <s v="ABIERTO"/>
    <n v="-75.555094999999994"/>
    <n v="6.2606130000000002"/>
    <s v="SUR-ENE"/>
    <s v="Metropolitana Sur"/>
  </r>
  <r>
    <s v="23604946"/>
    <s v="ENENOR"/>
    <s v="NUEVO"/>
    <s v="ENENOR"/>
    <s v="02/12/2025 09:12:01"/>
    <s v="2025-12-02 09:12:01"/>
    <n v="1037571560"/>
    <s v="MARIA KATERINE MOLINA CARDONA"/>
    <s v="SIN DATOS"/>
    <s v="3107454957"/>
    <s v="CL 39 A SUR CR 46 A -43"/>
    <x v="2"/>
    <s v="023419106100430000"/>
    <s v="Envigado"/>
    <x v="5"/>
    <s v="Revisor Instal. Regadas Metrosur"/>
    <x v="1"/>
    <n v="7"/>
    <s v="2025-12-12 09:12:01"/>
    <s v="3 días 09:12"/>
    <s v="4 días 09:12"/>
    <x v="0"/>
    <s v="SIN DATO"/>
    <s v="SIN DATO"/>
    <s v="SIN DATO"/>
    <s v="ABIERTO"/>
    <n v="-75.593779999999995"/>
    <n v="6.1701189999999997"/>
    <s v="SUR-ENE"/>
    <s v="Metropolitana Sur"/>
  </r>
  <r>
    <s v="23604948"/>
    <s v="ENERES"/>
    <s v="NUEVO"/>
    <s v="ENEDOM"/>
    <s v="02/12/2025 09:13:29"/>
    <s v="2025-12-02 09:13:29"/>
    <n v="98473791"/>
    <s v="JAIRO DE JESUS CASTAÑO CARDENAS"/>
    <s v="2578056"/>
    <s v="3016748034"/>
    <s v="CL 49 CR 99 F -100 (INTERIOR 1111 )"/>
    <x v="0"/>
    <s v="054919009601001111"/>
    <s v="Medellín"/>
    <x v="0"/>
    <s v="Habilitación Viviendas Metrosur"/>
    <x v="1"/>
    <n v="5"/>
    <s v="2025-12-10 09:13:29"/>
    <s v="3 días 09:13"/>
    <s v="2 días 09:13"/>
    <x v="1"/>
    <s v="SIN DATO"/>
    <s v="SIN DATO"/>
    <s v="SIN DATO"/>
    <s v="ABIERTO"/>
    <n v="-75.61443989"/>
    <n v="6.2685459000000003"/>
    <s v="SUR-ENE"/>
    <s v="Metropolitana Sur"/>
  </r>
  <r>
    <s v="23604963"/>
    <s v="ENERES"/>
    <s v="NUEVO"/>
    <s v="ENEDOM"/>
    <s v="02/12/2025 09:36:31"/>
    <s v="2025-12-02 09:36:31"/>
    <n v="1128436177"/>
    <s v="LEIDY JOHANA TRUJILLO OCAMPO"/>
    <s v="SIN DATOS"/>
    <s v="3137905203"/>
    <s v="CL 56 A CR 25 BB -29 (INTERIOR 2207 )"/>
    <x v="0"/>
    <s v="055216105220292207"/>
    <s v="Medellín"/>
    <x v="0"/>
    <s v="Habilitación Viviendas Metrosur"/>
    <x v="1"/>
    <n v="5"/>
    <s v="2025-12-10 09:36:31"/>
    <s v="3 días 09:36"/>
    <s v="2 días 09:36"/>
    <x v="1"/>
    <s v="SIN DATO"/>
    <s v="SIN DATO"/>
    <s v="SIN DATO"/>
    <s v="ABIERTO"/>
    <n v="-75.545724160000006"/>
    <n v="6.2459517399999998"/>
    <s v="SUR-ENE"/>
    <s v="Metropolitana Sur"/>
  </r>
  <r>
    <s v="23604964"/>
    <s v="ENERES"/>
    <s v="NUEVO"/>
    <s v="ENEDOM"/>
    <s v="02/12/2025 09:36:41"/>
    <s v="2025-12-02 09:36:41"/>
    <n v="1128436177"/>
    <s v="LEIDY JOHANA TRUJILLO OCAMPO"/>
    <s v="SIN DATOS"/>
    <s v="3137905203"/>
    <s v="CL 56 A CR 25 BB -29 (INTERIOR 2208 )"/>
    <x v="0"/>
    <s v="055216105220292208"/>
    <s v="Medellín"/>
    <x v="0"/>
    <s v="Habilitación Viviendas Metrosur"/>
    <x v="1"/>
    <n v="5"/>
    <s v="2025-12-10 09:36:41"/>
    <s v="3 días 09:36"/>
    <s v="2 días 09:36"/>
    <x v="1"/>
    <s v="SIN DATO"/>
    <s v="SIN DATO"/>
    <s v="SIN DATO"/>
    <s v="ABIERTO"/>
    <n v="-75.545724160000006"/>
    <n v="6.2459517399999998"/>
    <s v="SUR-ENE"/>
    <s v="Metropolitana Sur"/>
  </r>
  <r>
    <s v="23604973"/>
    <s v="ENEPRE"/>
    <s v="RETIR"/>
    <s v="ENEPRE"/>
    <s v="02/12/2025 09:47:17"/>
    <s v="2025-12-02 09:47:17"/>
    <n v="43166493"/>
    <s v="CATALINA MARIA LEDESMA SOTO"/>
    <s v="SIN DATOS"/>
    <s v="3117794658"/>
    <s v="CL 29 B CR 84 -77"/>
    <x v="0"/>
    <s v="052819204000770000-ENEPRE"/>
    <s v="Medellín"/>
    <x v="10"/>
    <s v="Energía Prepago Metrosur"/>
    <x v="1"/>
    <n v="11"/>
    <s v="2025-12-18 09:47:17"/>
    <s v="3 días 09:47"/>
    <s v="8 días 09:47"/>
    <x v="0"/>
    <s v="SIN DATO"/>
    <s v="SIN DATO"/>
    <s v="SIN DATO"/>
    <s v="ABIERTO"/>
    <n v="-75.607945220000005"/>
    <n v="6.2305570000000001"/>
    <s v="SUR-ENE"/>
    <s v="Metropolitana Sur"/>
  </r>
  <r>
    <s v="23604988"/>
    <s v="ENERES"/>
    <s v="NUEVO"/>
    <s v="ENEDOM"/>
    <s v="02/12/2025 10:03:43"/>
    <s v="2025-12-02 10:03:43"/>
    <n v="15481626"/>
    <s v="MARIO VARGAS BEDOYA"/>
    <s v="SIN DATOS"/>
    <s v="3217842057"/>
    <s v="CR 19 CL 53 -20 (INTERIOR 201 )"/>
    <x v="0"/>
    <s v="055129003000200201"/>
    <s v="Medellín"/>
    <x v="0"/>
    <s v="Habilitación Viviendas Metrosur"/>
    <x v="1"/>
    <n v="5"/>
    <s v="2025-12-10 10:03:43"/>
    <s v="3 días 10:03"/>
    <s v="2 días 10:03"/>
    <x v="1"/>
    <s v="SIN DATO"/>
    <s v="SIN DATO"/>
    <s v="SIN DATO"/>
    <s v="ABIERTO"/>
    <n v="-75.543580000000006"/>
    <n v="6.2388649999999997"/>
    <s v="SUR-ENE"/>
    <s v="Metropolitana Sur"/>
  </r>
  <r>
    <s v="23605015"/>
    <s v="ENERES"/>
    <s v="NUEVO"/>
    <s v="ENEDOM"/>
    <s v="02/12/2025 10:26:13"/>
    <s v="2025-12-02 10:26:13"/>
    <n v="1128389814"/>
    <s v="BEATRIZ EUGENIA HERNANDEZ BANDA"/>
    <s v="SIN DATOS"/>
    <s v="3148355898"/>
    <s v="RURAL_163010541000000005"/>
    <x v="1"/>
    <s v="163010541000000005"/>
    <s v="Itaguí"/>
    <x v="0"/>
    <s v="Habilitación Viviendas Metrosur"/>
    <x v="1"/>
    <n v="5"/>
    <s v="2025-12-10 10:26:13"/>
    <s v="3 días 10:26"/>
    <s v="2 días 10:26"/>
    <x v="1"/>
    <s v="SIN DATO"/>
    <s v="SIN DATO"/>
    <s v="SIN DATO"/>
    <s v="ABIERTO"/>
    <n v="-75.611328349999994"/>
    <n v="6.19280293"/>
    <s v="SUR-ENE"/>
    <s v="Metropolitana Sur"/>
  </r>
  <r>
    <s v="23605017"/>
    <s v="ENECNX"/>
    <s v="NUEVO"/>
    <s v="ENECNX"/>
    <s v="02/12/2025 10:26:49"/>
    <s v="2025-12-02 10:26:49"/>
    <n v="71374492"/>
    <s v="ROBINSON ANDRES RODRIGUEZ CORRAL"/>
    <s v="5836653"/>
    <s v="3142037751"/>
    <s v="RURAL_125004473000000000_125004473000000000"/>
    <x v="2"/>
    <s v="125004473000000000"/>
    <s v="Envigado"/>
    <x v="4"/>
    <s v="Revisor Puntos de Conexión Metrosur"/>
    <x v="0"/>
    <n v="4"/>
    <s v="2025-12-09 10:26:49"/>
    <s v="3 días 10:26"/>
    <s v="1 días 10:26"/>
    <x v="1"/>
    <s v="SIN DATO"/>
    <s v="SIN DATO"/>
    <s v="SIN DATO"/>
    <s v="ABIERTO"/>
    <n v="-75.513939300000004"/>
    <n v="6.1830635200000001"/>
    <s v="SUR-ENE"/>
    <s v="Metropolitana Sur"/>
  </r>
  <r>
    <s v="23605031"/>
    <s v="ENERES"/>
    <s v="NUEVO"/>
    <s v="ENEDOM"/>
    <s v="02/12/2025 10:36:33"/>
    <s v="2025-12-02 10:36:33"/>
    <n v="1146438792"/>
    <s v="KARLA JULIETH ZABALA CARDENAS"/>
    <s v="SIN DATOS"/>
    <s v="3245116945"/>
    <s v="CL 56 E CR 17 B -20 (INTERIOR 202 )"/>
    <x v="0"/>
    <s v="055116507200200202"/>
    <s v="Medellín"/>
    <x v="0"/>
    <s v="Habilitación Viviendas Metrosur"/>
    <x v="1"/>
    <n v="5"/>
    <s v="2025-12-10 10:36:33"/>
    <s v="3 días 10:36"/>
    <s v="2 días 10:36"/>
    <x v="1"/>
    <s v="SIN DATO"/>
    <s v="SIN DATO"/>
    <s v="SIN DATO"/>
    <s v="ABIERTO"/>
    <n v="-75.540320010000002"/>
    <n v="6.2422170000000001"/>
    <s v="SUR-ENE"/>
    <s v="Metropolitana Sur"/>
  </r>
  <r>
    <s v="23605032"/>
    <s v="ENERES"/>
    <s v="NUEVO"/>
    <s v="ENEDOM"/>
    <s v="02/12/2025 10:38:31"/>
    <s v="2025-12-02 10:38:31"/>
    <n v="1017210550"/>
    <s v="LAURA ISABEL GIRALDO OSORIO"/>
    <s v="SIN DATOS"/>
    <s v="3004308795"/>
    <s v="CR 20 B CL 53 -30 (INTERIOR 210 )"/>
    <x v="0"/>
    <s v="055220203000300210"/>
    <s v="Medellín"/>
    <x v="0"/>
    <s v="Habilitación Viviendas Metrosur"/>
    <x v="1"/>
    <n v="5"/>
    <s v="2025-12-10 10:38:31"/>
    <s v="3 días 10:38"/>
    <s v="2 días 10:38"/>
    <x v="1"/>
    <s v="SIN DATO"/>
    <s v="SIN DATO"/>
    <s v="SIN DATO"/>
    <s v="ABIERTO"/>
    <n v="-75.54444977"/>
    <n v="6.2398160799999998"/>
    <s v="SUR-ENE"/>
    <s v="Metropolitana Sur"/>
  </r>
  <r>
    <s v="23605037"/>
    <s v="ENERES"/>
    <s v="NUEVO"/>
    <s v="ENEDOM"/>
    <s v="02/12/2025 10:40:58"/>
    <s v="2025-12-02 10:40:58"/>
    <n v="77009532"/>
    <s v="ADELMO DE JESUS MONSALVE PEREZ"/>
    <s v="5046765"/>
    <s v="3127135698"/>
    <s v="CR 25 CL 56 -28 (INTERIOR 201 )"/>
    <x v="0"/>
    <s v="055225006000280201"/>
    <s v="Medellín"/>
    <x v="0"/>
    <s v="Habilitación Viviendas Metrosur"/>
    <x v="1"/>
    <n v="5"/>
    <s v="2025-12-10 10:40:58"/>
    <s v="3 días 10:40"/>
    <s v="2 días 10:40"/>
    <x v="1"/>
    <s v="SIN DATO"/>
    <s v="SIN DATO"/>
    <s v="SIN DATO"/>
    <s v="ABIERTO"/>
    <n v="-75.54530235"/>
    <n v="6.2437415999999999"/>
    <s v="SUR-ENE"/>
    <s v="Metropolitana Sur"/>
  </r>
  <r>
    <s v="23605044"/>
    <s v="ENERES"/>
    <s v="NUEVO"/>
    <s v="ENEDOM"/>
    <s v="02/12/2025 10:43:11"/>
    <s v="2025-12-02 10:43:11"/>
    <n v="1036647618"/>
    <s v="GLORIA ELENA SANCHEZ RESTREPO"/>
    <s v="SIN DATOS"/>
    <s v="3126075365"/>
    <s v="RURAL_163010541000000006"/>
    <x v="1"/>
    <s v="163010541000000006"/>
    <s v="Itaguí"/>
    <x v="0"/>
    <s v="Habilitación Viviendas Metrosur"/>
    <x v="1"/>
    <n v="5"/>
    <s v="2025-12-10 10:43:11"/>
    <s v="3 días 10:43"/>
    <s v="2 días 10:43"/>
    <x v="1"/>
    <s v="SIN DATO"/>
    <s v="SIN DATO"/>
    <s v="SIN DATO"/>
    <s v="ABIERTO"/>
    <n v="-75.611328349999994"/>
    <n v="6.19280293"/>
    <s v="SUR-ENE"/>
    <s v="Metropolitana Sur"/>
  </r>
  <r>
    <s v="23605045"/>
    <s v="ENERES"/>
    <s v="NUEVO"/>
    <s v="ENEDOM"/>
    <s v="02/12/2025 10:43:32"/>
    <s v="2025-12-02 10:43:32"/>
    <n v="43441967"/>
    <s v="ELSY DEL SOCORRO BEDOYA SERNA"/>
    <s v="4444115"/>
    <s v="3106764110"/>
    <s v="CR 25 CL 56 -28 (INTERIOR 202 )"/>
    <x v="0"/>
    <s v="055225006000280202"/>
    <s v="Medellín"/>
    <x v="0"/>
    <s v="Habilitación Viviendas Metrosur"/>
    <x v="1"/>
    <n v="5"/>
    <s v="2025-12-10 10:43:32"/>
    <s v="3 días 10:43"/>
    <s v="2 días 10:43"/>
    <x v="1"/>
    <s v="SIN DATO"/>
    <s v="SIN DATO"/>
    <s v="SIN DATO"/>
    <s v="ABIERTO"/>
    <n v="-75.54530235"/>
    <n v="6.2437415999999999"/>
    <s v="SUR-ENE"/>
    <s v="Metropolitana Sur"/>
  </r>
  <r>
    <s v="23605059"/>
    <s v="ENERES"/>
    <s v="NUEVO"/>
    <s v="ENERES"/>
    <s v="02/12/2025 10:54:05"/>
    <s v="2025-12-02 10:54:05"/>
    <n v="98546050"/>
    <s v="LUIS EDUARDO JARAMILLO VELEZ"/>
    <s v="SIN DATOS"/>
    <s v="3505964333"/>
    <s v="TRAN 32 A SUR DIAG 31 D -66 (INTERIOR 101 )"/>
    <x v="2"/>
    <s v="023392101400660101"/>
    <s v="Envigado"/>
    <x v="1"/>
    <s v="Revisor Instal. Regadas Metrosur"/>
    <x v="1"/>
    <n v="7"/>
    <s v="2025-12-12 10:54:05"/>
    <s v="3 días 10:54"/>
    <s v="4 días 10:54"/>
    <x v="0"/>
    <s v="SIN DATO"/>
    <s v="SIN DATO"/>
    <s v="SIN DATO"/>
    <s v="ABIERTO"/>
    <n v="-75.581547080000007"/>
    <n v="6.1760242999999999"/>
    <s v="SUR-ENE"/>
    <s v="Metropolitana Sur"/>
  </r>
  <r>
    <s v="23605104"/>
    <s v="ENENOR"/>
    <s v="NUEVO"/>
    <s v="ENENOR"/>
    <s v="02/12/2025 11:31:42"/>
    <s v="2025-12-02 11:31:42"/>
    <n v="890904996"/>
    <s v="EMPRESAS PUBLICAS DE MEDELLIN E.S.P."/>
    <s v="3808080"/>
    <s v="3172676687"/>
    <s v="RURAL_122002600000000002_BOCATOMA SANTA ELENA"/>
    <x v="0"/>
    <s v="122002600000000002"/>
    <s v="Medellín"/>
    <x v="5"/>
    <s v="Revisor Instal. Regadas Metrosur"/>
    <x v="0"/>
    <n v="10"/>
    <s v="2025-12-17 11:31:42"/>
    <s v="3 días 11:31"/>
    <s v="7 días 11:31"/>
    <x v="0"/>
    <s v="SIN DATO"/>
    <s v="SIN DATO"/>
    <s v="SIN DATO"/>
    <s v="ABIERTO"/>
    <n v="-75.513586889999999"/>
    <n v="6.2264772400000004"/>
    <s v="SUR-ENE"/>
    <s v="Metropolitana Sur"/>
  </r>
  <r>
    <s v="23605116"/>
    <s v="ENECNX"/>
    <s v="NUEVO"/>
    <s v="ENECNX"/>
    <s v="02/12/2025 11:37:24"/>
    <s v="2025-12-02 11:37:24"/>
    <n v="79108922"/>
    <s v="HECTOR MEJIA GONZALEZ"/>
    <s v="SIN DATOS"/>
    <s v="3015159246"/>
    <s v="CL 34 C CR 89 -18 (INTERIOR 201 )"/>
    <x v="0"/>
    <s v="053814309000180201"/>
    <s v="Medellín"/>
    <x v="4"/>
    <s v="Revisor Puntos de Conexión Metrosur"/>
    <x v="1"/>
    <n v="4"/>
    <s v="2025-12-09 11:37:24"/>
    <s v="3 días 11:37"/>
    <s v="1 días 11:37"/>
    <x v="1"/>
    <s v="SIN DATO"/>
    <s v="SIN DATO"/>
    <s v="SIN DATO"/>
    <s v="ABIERTO"/>
    <n v="-75.61747819"/>
    <n v="6.2444884800000002"/>
    <s v="SUR-ENE"/>
    <s v="Metropolitana Sur"/>
  </r>
  <r>
    <s v="23605118"/>
    <s v="ENERES"/>
    <s v="NUEVO"/>
    <s v="ENEDOM"/>
    <s v="02/12/2025 11:37:23"/>
    <s v="2025-12-02 11:37:23"/>
    <n v="1001507507"/>
    <s v="BLANCA DORIS ZAPATA MONSALVE"/>
    <s v="SIN DATOS"/>
    <s v="3013149459"/>
    <s v="CR 17 D CL 56 BB -53 (INTERIOR 201 )"/>
    <x v="0"/>
    <s v="055127406220530201"/>
    <s v="Medellín"/>
    <x v="0"/>
    <s v="Habilitación Viviendas Metrosur"/>
    <x v="1"/>
    <n v="5"/>
    <s v="2025-12-10 11:37:23"/>
    <s v="3 días 11:37"/>
    <s v="2 días 11:37"/>
    <x v="1"/>
    <s v="SIN DATO"/>
    <s v="SIN DATO"/>
    <s v="SIN DATO"/>
    <s v="ABIERTO"/>
    <n v="-75.542193999999995"/>
    <n v="6.2386759999999999"/>
    <s v="SUR-ENE"/>
    <s v="Metropolitana Sur"/>
  </r>
  <r>
    <s v="23605126"/>
    <s v="ENEMRT"/>
    <s v="NUEVO"/>
    <s v="ENEMVI"/>
    <s v="02/12/2025 11:44:03"/>
    <s v="2025-12-02 11:44:03"/>
    <n v="39165590"/>
    <s v="SOR MARIA MORALES LONDOÑO"/>
    <s v="SIN DATOS"/>
    <s v="3006622421"/>
    <s v="RURAL_161116060000000201_RURAL CALDAS LA CORRALA"/>
    <x v="3"/>
    <s v="161116060000000201"/>
    <s v="Caldas"/>
    <x v="9"/>
    <s v="Mov Red Trans Dairo Gil"/>
    <x v="0"/>
    <n v="14"/>
    <s v="2025-12-23 11:44:03"/>
    <s v="3 días 11:44"/>
    <s v="11 días 11:44"/>
    <x v="0"/>
    <s v="SIN DATO"/>
    <s v="SIN DATO"/>
    <s v="SIN DATO"/>
    <s v="ABIERTO"/>
    <n v="-75.628496029999994"/>
    <n v="6.0888036000000003"/>
    <s v="SUR-ENE"/>
    <s v="Metropolitana Sur"/>
  </r>
  <r>
    <s v="23605130"/>
    <s v="ENEMRT"/>
    <s v="NUEVO"/>
    <s v="ENEMVI"/>
    <s v="02/12/2025 11:45:58"/>
    <s v="2025-12-02 11:45:58"/>
    <n v="98671215"/>
    <s v="JAVIER ALONSO CORREA GOMEZ"/>
    <s v="3308092"/>
    <s v="3217595867"/>
    <s v="CR 43 A CL 9 SUR -13 (INTERIOR 5 )"/>
    <x v="0"/>
    <s v="040423109000130005"/>
    <s v="Medellín"/>
    <x v="9"/>
    <s v="METR Mov Red Trans Anderson Castaño"/>
    <x v="1"/>
    <n v="9"/>
    <s v="2025-12-16 11:45:58"/>
    <s v="3 días 11:45"/>
    <s v="6 días 11:45"/>
    <x v="0"/>
    <s v="SIN DATO"/>
    <s v="SIN DATO"/>
    <s v="SIN DATO"/>
    <s v="ABIERTO"/>
    <n v="-75.575621620000007"/>
    <n v="6.1955118699999998"/>
    <s v="SUR-ENE"/>
    <s v="Metropolitana Sur"/>
  </r>
  <r>
    <s v="23605147"/>
    <s v="ENERES"/>
    <s v="NUEVO"/>
    <s v="ENEDOM"/>
    <s v="02/12/2025 11:55:08"/>
    <s v="2025-12-02 11:55:08"/>
    <n v="39178286"/>
    <s v="PAULA JOHANNA RESTREPO OSORIO"/>
    <s v="SIN DATOS"/>
    <s v="3243022020"/>
    <s v="CL 56 D CR 14 -29 (INTERIOR 202 )"/>
    <x v="0"/>
    <s v="055116404000290202"/>
    <s v="Medellín"/>
    <x v="0"/>
    <s v="Habilitación Viviendas Metrosur"/>
    <x v="1"/>
    <n v="5"/>
    <s v="2025-12-10 11:55:08"/>
    <s v="3 días 11:55"/>
    <s v="2 días 11:55"/>
    <x v="1"/>
    <s v="SIN DATO"/>
    <s v="SIN DATO"/>
    <s v="SIN DATO"/>
    <s v="ABIERTO"/>
    <n v="-75.537009999999995"/>
    <n v="6.239484"/>
    <s v="SUR-ENE"/>
    <s v="Metropolitana Sur"/>
  </r>
  <r>
    <s v="23605163"/>
    <s v="ENERES"/>
    <s v="NUEVO"/>
    <s v="ENEDOM"/>
    <s v="02/12/2025 12:03:59"/>
    <s v="2025-12-02 12:03:59"/>
    <n v="1017264777"/>
    <s v="MARIA ALEJANDRA CARTAGENA JIMENEZ"/>
    <s v="SIN DATOS"/>
    <s v="3127593402"/>
    <s v="CL 56 E CR 17 B -10 (INTERIOR 201 )"/>
    <x v="0"/>
    <s v="055116507200100201"/>
    <s v="Medellín"/>
    <x v="0"/>
    <s v="Habilitación Viviendas Metrosur"/>
    <x v="1"/>
    <n v="5"/>
    <s v="2025-12-10 12:03:59"/>
    <s v="3 días 12:03"/>
    <s v="2 días 12:03"/>
    <x v="1"/>
    <s v="SIN DATO"/>
    <s v="SIN DATO"/>
    <s v="SIN DATO"/>
    <s v="ABIERTO"/>
    <n v="-75.540253000000007"/>
    <n v="6.2421749999999996"/>
    <s v="SUR-ENE"/>
    <s v="Metropolitana Sur"/>
  </r>
  <r>
    <s v="23605173"/>
    <s v="ENERES"/>
    <s v="CAMBI"/>
    <s v="ENERES"/>
    <s v="02/12/2025 12:14:15"/>
    <s v="2025-12-02 12:14:15"/>
    <n v="22228544"/>
    <s v="GLORIA CECILIA MARIN CARMONA"/>
    <s v="5585471"/>
    <s v="3127579703"/>
    <s v="CR 40 A CL 44 SUR -81 (INTERIOR 201 )"/>
    <x v="2"/>
    <s v="024420104000810201"/>
    <s v="Envigado"/>
    <x v="6"/>
    <s v="METROSUR Vin. Leg. Ref. Concentrada"/>
    <x v="1"/>
    <n v="7"/>
    <s v="2025-12-12 12:14:15"/>
    <s v="3 días 12:14"/>
    <s v="4 días 12:14"/>
    <x v="0"/>
    <s v="SIN DATO"/>
    <s v="SIN DATO"/>
    <s v="SIN DATO"/>
    <s v="ABIERTO"/>
    <n v="-75.590821800000001"/>
    <n v="6.1631468399999996"/>
    <s v="SUR-ENE"/>
    <s v="Metropolitana Sur"/>
  </r>
  <r>
    <s v="23605190"/>
    <s v="ENECNX"/>
    <s v="NUEVO"/>
    <s v="ENECNX"/>
    <s v="02/12/2025 12:26:33"/>
    <s v="2025-12-02 12:26:33"/>
    <n v="98702536"/>
    <s v="JUAN ESTEBAN PINEDA CAÑAVERAL"/>
    <s v="SIN DATOS"/>
    <s v="3006886345"/>
    <s v="CR 81 CL 5 -5 (INTERIOR 5 )"/>
    <x v="0"/>
    <s v="050821005000050005"/>
    <s v="Medellín"/>
    <x v="4"/>
    <s v="Revisor Puntos de Conexión Metrosur"/>
    <x v="1"/>
    <n v="4"/>
    <s v="2025-12-09 12:26:33"/>
    <s v="3 días 12:26"/>
    <s v="1 días 12:26"/>
    <x v="1"/>
    <s v="SIN DATO"/>
    <s v="SIN DATO"/>
    <s v="SIN DATO"/>
    <s v="ABIERTO"/>
    <n v="-75.604688999999993"/>
    <n v="6.2170810000000003"/>
    <s v="SUR-ENE"/>
    <s v="Metropolitana Sur"/>
  </r>
  <r>
    <s v="23605193"/>
    <s v="ENEPRE"/>
    <s v="NUEVO"/>
    <s v="ENEPRE"/>
    <s v="02/12/2025 12:35:37"/>
    <s v="2025-12-03 10:55:00"/>
    <n v="1007546591"/>
    <s v="GERSON FERLEY SANCHEZ PEREZ"/>
    <s v="SIN DATOS"/>
    <s v="3192463753"/>
    <s v="CR 11 CL 54 -218 (INTERIOR 101 )"/>
    <x v="0"/>
    <s v="055121004002180101"/>
    <s v="Medellín"/>
    <x v="0"/>
    <s v="Energía Prepago Metrosur"/>
    <x v="1"/>
    <n v="5"/>
    <s v="2025-12-11 10:55:00"/>
    <s v="2 días 10:55"/>
    <s v="3 días 10:55"/>
    <x v="0"/>
    <s v="SIN DATO"/>
    <s v="SIN DATO"/>
    <s v="SIN DATO"/>
    <s v="ABIERTO"/>
    <n v="-75.536359390000001"/>
    <n v="6.2364269600000002"/>
    <s v="SUR-ENE"/>
    <s v="Metropolitana Sur"/>
  </r>
  <r>
    <s v="23605197"/>
    <s v="ENERES"/>
    <s v="CAMBI"/>
    <s v="ENERES"/>
    <s v="02/12/2025 12:39:53"/>
    <s v="2025-12-02 12:39:53"/>
    <n v="71644675"/>
    <s v="ARLEY MARIN GONZALEZ"/>
    <s v="SIN DATOS"/>
    <s v="3114762063"/>
    <s v="CL 43 CR 50 -51"/>
    <x v="1"/>
    <s v="074513000000510000"/>
    <s v="Itaguí"/>
    <x v="6"/>
    <s v="METROSUR Vin. Leg. Ref. Concentrada"/>
    <x v="1"/>
    <n v="7"/>
    <s v="2025-12-12 12:39:53"/>
    <s v="3 días 12:39"/>
    <s v="4 días 12:39"/>
    <x v="0"/>
    <s v="SIN DATO"/>
    <s v="SIN DATO"/>
    <s v="SIN DATO"/>
    <s v="ABIERTO"/>
    <n v="-75.614632020000002"/>
    <n v="6.16980986"/>
    <s v="SUR-ENE"/>
    <s v="Metropolitana Sur"/>
  </r>
  <r>
    <s v="23605217"/>
    <s v="ENERES"/>
    <s v="NUEVO"/>
    <s v="ENERES"/>
    <s v="02/12/2025 12:55:19"/>
    <s v="2025-12-02 12:55:19"/>
    <n v="1128474191"/>
    <s v="ALEJANDRO HERNANDEZ HENAO"/>
    <s v="SIN DATOS"/>
    <s v="3104100527"/>
    <s v="CR 129 CL 61 -12 (INTERIOR 201 )"/>
    <x v="0"/>
    <s v="086229001000120201"/>
    <s v="Medellín"/>
    <x v="1"/>
    <s v="Revisor Instal. Regadas Metrosur"/>
    <x v="1"/>
    <n v="7"/>
    <s v="2025-12-12 12:55:19"/>
    <s v="3 días 12:55"/>
    <s v="4 días 12:55"/>
    <x v="0"/>
    <s v="SIN DATO"/>
    <s v="SIN DATO"/>
    <s v="SIN DATO"/>
    <s v="ABIERTO"/>
    <n v="-75.634265909999996"/>
    <n v="6.2776662700000001"/>
    <s v="SUR-ENE"/>
    <s v="Metropolitana Sur"/>
  </r>
  <r>
    <s v="23605220"/>
    <s v="ENEMRT"/>
    <s v="NUEVO"/>
    <s v="ENEMVI"/>
    <s v="02/12/2025 12:58:05"/>
    <s v="2025-12-02 12:58:05"/>
    <n v="1128417267"/>
    <s v="DERLIN ANDRES JIMENEZ ALVAREZ"/>
    <s v="0"/>
    <s v="3146297033"/>
    <s v="CL 34 B CR 128 -2 (INTERIOR 182 )"/>
    <x v="0"/>
    <s v="083214208000020182"/>
    <s v="Medellín"/>
    <x v="9"/>
    <s v="METR Mov Red Trans Anderson Castaño"/>
    <x v="1"/>
    <n v="9"/>
    <s v="2025-12-16 12:58:05"/>
    <s v="3 días 12:58"/>
    <s v="6 días 12:58"/>
    <x v="0"/>
    <s v="SIN DATO"/>
    <s v="SIN DATO"/>
    <s v="SIN DATO"/>
    <s v="ABIERTO"/>
    <n v="-75.635043999999994"/>
    <n v="6.2500229999999997"/>
    <s v="SUR-ENE"/>
    <s v="Metropolitana Sur"/>
  </r>
  <r>
    <s v="23605242"/>
    <s v="ENEMRT"/>
    <s v="NUEVO"/>
    <s v="ENEMVI"/>
    <s v="02/12/2025 13:19:49"/>
    <s v="2025-12-02 13:19:49"/>
    <n v="1214734588"/>
    <s v="VERONICA AGUDELO LOPEZ"/>
    <s v="SIN DATOS"/>
    <s v="3116747895"/>
    <s v="CL 55 H CR 3 ESTE -7"/>
    <x v="0"/>
    <s v="705015803000070000"/>
    <s v="Medellín"/>
    <x v="9"/>
    <s v="METR Mov Red Trans Anderson Castaño"/>
    <x v="1"/>
    <n v="9"/>
    <s v="2025-12-16 13:19:49"/>
    <s v="3 días 13:19"/>
    <s v="6 días 13:19"/>
    <x v="0"/>
    <s v="SIN DATO"/>
    <s v="SIN DATO"/>
    <s v="SIN DATO"/>
    <s v="ABIERTO"/>
    <n v="-75.527999159999993"/>
    <n v="6.2349434199999996"/>
    <s v="SUR-ENE"/>
    <s v="Metropolitana Sur"/>
  </r>
  <r>
    <s v="23605245"/>
    <s v="ENEMRT"/>
    <s v="NUEVO"/>
    <s v="ENEMVI"/>
    <s v="02/12/2025 13:22:55"/>
    <s v="2025-12-02 13:22:55"/>
    <n v="71383281"/>
    <s v="JUAN CAMILO BAENA GIRALDO"/>
    <s v="2841155"/>
    <s v="3008078930"/>
    <s v="CL 57 DD CR 23 -115 (INTERIOR 201 )"/>
    <x v="0"/>
    <s v="055217443001150201"/>
    <s v="Medellín"/>
    <x v="9"/>
    <s v="METR Mov Red Trans Anderson Castaño"/>
    <x v="1"/>
    <n v="9"/>
    <s v="2025-12-16 13:22:55"/>
    <s v="3 días 13:22"/>
    <s v="6 días 13:22"/>
    <x v="0"/>
    <s v="SIN DATO"/>
    <s v="SIN DATO"/>
    <s v="SIN DATO"/>
    <s v="ABIERTO"/>
    <n v="-75.545281090000003"/>
    <n v="6.2494240799999998"/>
    <s v="SUR-ENE"/>
    <s v="Metropolitana Sur"/>
  </r>
  <r>
    <s v="23605246"/>
    <s v="ENECNX"/>
    <s v="NUEVO"/>
    <s v="ENECNX"/>
    <s v="02/12/2025 13:23:14"/>
    <s v="2025-12-02 13:23:14"/>
    <n v="890924840"/>
    <s v="INVERSIONES FERBIENES SAS"/>
    <s v="6046393"/>
    <s v="3126042153"/>
    <s v="CL 82 SUR CR 47 F -85 (INTERIOR 1 )"/>
    <x v="5"/>
    <s v="018412007600850001"/>
    <s v="Sabaneta"/>
    <x v="4"/>
    <s v="Revisor Puntos de Conexión Metrosur"/>
    <x v="1"/>
    <n v="4"/>
    <s v="2025-12-09 13:23:14"/>
    <s v="3 días 13:23"/>
    <s v="1 días 13:23"/>
    <x v="1"/>
    <s v="SIN DATO"/>
    <s v="SIN DATO"/>
    <s v="SIN DATO"/>
    <s v="ABIERTO"/>
    <n v="-75.631015000000005"/>
    <n v="6.1505239999999999"/>
    <s v="SUR-ENE"/>
    <s v="Metropolitana Sur"/>
  </r>
  <r>
    <s v="23605247"/>
    <s v="ENERES"/>
    <s v="NUEVO"/>
    <s v="ENEDOM"/>
    <s v="02/12/2025 13:24:02"/>
    <s v="2025-12-02 13:24:02"/>
    <n v="1216720608"/>
    <s v="VICTOR HUGO ROJAS OSPINA"/>
    <s v="SIN DATOS"/>
    <s v="3148069183"/>
    <s v="CR 148 CL 65 A -41 (INTERIOR 101 )"/>
    <x v="0"/>
    <s v="086428005100410101"/>
    <s v="Medellín"/>
    <x v="0"/>
    <s v="Habilitación Viviendas Metrosur"/>
    <x v="1"/>
    <n v="5"/>
    <s v="2025-12-10 13:24:02"/>
    <s v="3 días 13:24"/>
    <s v="2 días 13:24"/>
    <x v="1"/>
    <s v="SIN DATO"/>
    <s v="SIN DATO"/>
    <s v="SIN DATO"/>
    <s v="ABIERTO"/>
    <n v="-75.644252609999995"/>
    <n v="6.2824333399999999"/>
    <s v="SUR-ENE"/>
    <s v="Metropolitana Sur"/>
  </r>
  <r>
    <s v="23605248"/>
    <s v="ENERES"/>
    <s v="NUEVO"/>
    <s v="ENERES"/>
    <s v="02/12/2025 13:24:43"/>
    <s v="2025-12-02 13:24:43"/>
    <n v="43191387"/>
    <s v="PAOLA ALEJANDRA HOLGUIN ARENAS"/>
    <s v="3737203"/>
    <s v="3008276234"/>
    <s v="RURAL_163021430000000202"/>
    <x v="1"/>
    <s v="163021430000000202"/>
    <s v="Itaguí"/>
    <x v="1"/>
    <s v="Revisor Instal. Regadas Metrosur"/>
    <x v="1"/>
    <n v="7"/>
    <s v="2025-12-12 13:24:43"/>
    <s v="3 días 13:24"/>
    <s v="4 días 13:24"/>
    <x v="0"/>
    <s v="SIN DATO"/>
    <s v="SIN DATO"/>
    <s v="SIN DATO"/>
    <s v="ABIERTO"/>
    <n v="-75.627371550000007"/>
    <n v="6.1791453199999999"/>
    <s v="SUR-ENE"/>
    <s v="Metropolitana Sur"/>
  </r>
  <r>
    <s v="23605250"/>
    <s v="ENEMRT"/>
    <s v="NUEVO"/>
    <s v="ENEMVI"/>
    <s v="02/12/2025 13:26:44"/>
    <s v="2025-12-02 13:26:44"/>
    <n v="71383281"/>
    <s v="JUAN CAMILO BAENA GIRALDO"/>
    <s v="2841155"/>
    <s v="3008078930"/>
    <s v="CL 57 DD CR 23 -115"/>
    <x v="0"/>
    <s v="055217443001150000"/>
    <s v="Medellín"/>
    <x v="9"/>
    <s v="METR Mov Red Trans Anderson Castaño"/>
    <x v="1"/>
    <n v="9"/>
    <s v="2025-12-16 13:26:44"/>
    <s v="3 días 13:26"/>
    <s v="6 días 13:26"/>
    <x v="0"/>
    <s v="SIN DATO"/>
    <s v="SIN DATO"/>
    <s v="SIN DATO"/>
    <s v="ABIERTO"/>
    <n v="-75.545281090000003"/>
    <n v="6.2494240799999998"/>
    <s v="SUR-ENE"/>
    <s v="Metropolitana Sur"/>
  </r>
  <r>
    <s v="23605261"/>
    <s v="ENENOR"/>
    <s v="CAMBI"/>
    <s v="ENENOR"/>
    <s v="02/12/2025 13:37:05"/>
    <s v="2025-12-02 13:37:05"/>
    <n v="70380817"/>
    <s v="RUBEN DARIO GIL GIRALDO"/>
    <s v="6044416"/>
    <s v="3148617813"/>
    <s v="CL 34 CR 63 B -41"/>
    <x v="0"/>
    <s v="053614003200410000"/>
    <s v="Medellín"/>
    <x v="7"/>
    <s v="METROSUR Vin. Leg. Ref. Concentrada"/>
    <x v="1"/>
    <n v="7"/>
    <s v="2025-12-12 13:37:05"/>
    <s v="3 días 13:37"/>
    <s v="4 días 13:37"/>
    <x v="0"/>
    <s v="SIN DATO"/>
    <s v="SIN DATO"/>
    <s v="SIN DATO"/>
    <s v="ABIERTO"/>
    <n v="-75.580270999999996"/>
    <n v="6.2400120000000001"/>
    <s v="SUR-ENE"/>
    <s v="Metropolitana Sur"/>
  </r>
  <r>
    <s v="23605262"/>
    <s v="ENERES"/>
    <s v="NUEVO"/>
    <s v="ENEDOM"/>
    <s v="02/12/2025 13:37:31"/>
    <s v="2025-12-02 13:37:31"/>
    <n v="11796294"/>
    <s v="LEOPOLDO ADOLFO LOPEZ CASAS"/>
    <s v="SIN DATOS"/>
    <s v="3217021202"/>
    <s v="CL 56 BB CR 21 -136 (INTERIOR 101 )"/>
    <x v="0"/>
    <s v="055216221001360101"/>
    <s v="Medellín"/>
    <x v="0"/>
    <s v="Habilitación Viviendas Metrosur"/>
    <x v="1"/>
    <n v="5"/>
    <s v="2025-12-10 13:37:31"/>
    <s v="3 días 13:37"/>
    <s v="2 días 13:37"/>
    <x v="1"/>
    <s v="SIN DATO"/>
    <s v="SIN DATO"/>
    <s v="SIN DATO"/>
    <s v="ABIERTO"/>
    <n v="-75.542680840000003"/>
    <n v="6.2429367600000001"/>
    <s v="SUR-ENE"/>
    <s v="Metropolitana Sur"/>
  </r>
  <r>
    <s v="23605270"/>
    <s v="ENERES"/>
    <s v="NUEVO"/>
    <s v="ENEDOM"/>
    <s v="02/12/2025 13:53:45"/>
    <s v="2025-12-02 13:53:45"/>
    <n v="11796294"/>
    <s v="LEOPOLDO ADOLFO LOPEZ CASAS"/>
    <s v="SIN DATOS"/>
    <s v="3217021202"/>
    <s v="CL 56 BB CR 21 -136 (INTERIOR 201 )"/>
    <x v="0"/>
    <s v="055216221001360201"/>
    <s v="Medellín"/>
    <x v="0"/>
    <s v="Habilitación Viviendas Metrosur"/>
    <x v="1"/>
    <n v="5"/>
    <s v="2025-12-10 13:53:45"/>
    <s v="3 días 13:53"/>
    <s v="2 días 13:53"/>
    <x v="1"/>
    <s v="SIN DATO"/>
    <s v="SIN DATO"/>
    <s v="SIN DATO"/>
    <s v="ABIERTO"/>
    <n v="-75.542604220000001"/>
    <n v="6.24285055"/>
    <s v="SUR-ENE"/>
    <s v="Metropolitana Sur"/>
  </r>
  <r>
    <s v="23605301"/>
    <s v="ENECNX"/>
    <s v="NUEVO"/>
    <s v="ENECNX"/>
    <s v="02/12/2025 14:15:35"/>
    <s v="2025-12-02 14:15:35"/>
    <n v="900608205"/>
    <s v="CONJUNTO AVIVA PH"/>
    <s v="0"/>
    <s v="3108278415"/>
    <s v="CR 84 F CL 3 D -150 (INTERIOR 13 )"/>
    <x v="0"/>
    <s v="050824603401500013"/>
    <s v="Medellín"/>
    <x v="4"/>
    <s v="Revisor Puntos de Conexión Metrosur"/>
    <x v="1"/>
    <n v="4"/>
    <s v="2025-12-09 14:15:35"/>
    <s v="3 días 14:15"/>
    <s v="1 días 14:15"/>
    <x v="1"/>
    <s v="SIN DATO"/>
    <s v="SIN DATO"/>
    <s v="SIN DATO"/>
    <s v="ABIERTO"/>
    <n v="-75.607828999999995"/>
    <n v="6.2153600000000004"/>
    <s v="SUR-ENE"/>
    <s v="Metropolitana Sur"/>
  </r>
  <r>
    <s v="23605307"/>
    <s v="ENERES"/>
    <s v="NUEVO"/>
    <s v="ENERES"/>
    <s v="02/12/2025 14:20:42"/>
    <s v="2025-12-02 14:20:43"/>
    <n v="71629491"/>
    <s v="CESAR AUGUSTO CANO ALVAREZ"/>
    <s v="SIN DATOS"/>
    <s v="3206141701"/>
    <s v="CL 58 CR 131 A -52 (INTERIOR 102 )"/>
    <x v="0"/>
    <s v="085318001100520102"/>
    <s v="Medellín"/>
    <x v="1"/>
    <s v="Revisor Instal. Regadas Metrosur"/>
    <x v="1"/>
    <n v="7"/>
    <s v="2025-12-12 14:20:43"/>
    <s v="3 días 14:20"/>
    <s v="4 días 14:20"/>
    <x v="0"/>
    <s v="SIN DATO"/>
    <s v="SIN DATO"/>
    <s v="SIN DATO"/>
    <s v="ABIERTO"/>
    <n v="-75.635981999999998"/>
    <n v="6.2746040000000001"/>
    <s v="SUR-ENE"/>
    <s v="Metropolitana Sur"/>
  </r>
  <r>
    <s v="23605309"/>
    <s v="ENENOR"/>
    <s v="NUEVO"/>
    <s v="ENENOR"/>
    <s v="02/12/2025 14:21:53"/>
    <s v="2025-12-02 14:21:53"/>
    <n v="8345348"/>
    <s v="OLIVERIO DE JESUS ARANGO PEREZ"/>
    <s v="4332124"/>
    <s v="3136360310"/>
    <s v="CL 37 SUR CR 41 -42 (INTERIOR 101 )"/>
    <x v="2"/>
    <s v="023417001000420101"/>
    <s v="Envigado"/>
    <x v="5"/>
    <s v="METROSUR Vin. Leg. Ref. Concentrada"/>
    <x v="1"/>
    <n v="7"/>
    <s v="2025-12-12 14:21:53"/>
    <s v="3 días 14:21"/>
    <s v="4 días 14:21"/>
    <x v="0"/>
    <s v="SIN DATO"/>
    <s v="SIN DATO"/>
    <s v="SIN DATO"/>
    <s v="ABIERTO"/>
    <n v="-75.586495479999996"/>
    <n v="6.1701203700000002"/>
    <s v="SUR-ENE"/>
    <s v="Metropolitana Sur"/>
  </r>
  <r>
    <s v="23605311"/>
    <s v="ENERES"/>
    <s v="NUEVO"/>
    <s v="ENERES"/>
    <s v="02/12/2025 14:22:46"/>
    <s v="2025-12-02 14:22:46"/>
    <n v="1040052105"/>
    <s v="ELBA MARINA MARTINEZ DIAZ"/>
    <s v="SIN DATOS"/>
    <s v="3244581898"/>
    <s v="RURAL_136029957975000201"/>
    <x v="0"/>
    <s v="136029957975000201"/>
    <s v="Medellín"/>
    <x v="1"/>
    <s v="Revisor Instal. Regadas Metrosur"/>
    <x v="1"/>
    <n v="7"/>
    <s v="2025-12-12 14:22:46"/>
    <s v="3 días 14:22"/>
    <s v="4 días 14:22"/>
    <x v="0"/>
    <s v="SIN DATO"/>
    <s v="SIN DATO"/>
    <s v="SIN DATO"/>
    <s v="ABIERTO"/>
    <n v="-75.611172980000006"/>
    <n v="6.2733970899999996"/>
    <s v="SUR-ENE"/>
    <s v="Metropolitana Sur"/>
  </r>
  <r>
    <s v="23605320"/>
    <s v="ENENOR"/>
    <s v="NUEVO"/>
    <s v="ENENOR"/>
    <s v="02/12/2025 14:26:17"/>
    <s v="2025-12-02 14:26:17"/>
    <n v="8345348"/>
    <s v="OLIVERIO DE JESUS ARANGO PEREZ"/>
    <s v="4332124"/>
    <s v="3136360310"/>
    <s v="CL 37 SUR CR 41 -42 (INTERIOR 102 )"/>
    <x v="2"/>
    <s v="023417001000420102"/>
    <s v="Envigado"/>
    <x v="5"/>
    <s v="METROSUR Vin. Leg. Ref. Concentrada"/>
    <x v="1"/>
    <n v="7"/>
    <s v="2025-12-12 14:26:17"/>
    <s v="3 días 14:26"/>
    <s v="4 días 14:26"/>
    <x v="0"/>
    <s v="SIN DATO"/>
    <s v="SIN DATO"/>
    <s v="SIN DATO"/>
    <s v="ABIERTO"/>
    <n v="-75.586495479999996"/>
    <n v="6.1701203700000002"/>
    <s v="SUR-ENE"/>
    <s v="Metropolitana Sur"/>
  </r>
  <r>
    <s v="23605330"/>
    <s v="ENECNX"/>
    <s v="NUEVO"/>
    <s v="ENECNX"/>
    <s v="02/12/2025 14:30:24"/>
    <s v="2025-12-02 14:30:24"/>
    <n v="1152456139"/>
    <s v="DAMARLY REYES TORRES"/>
    <s v="4480620"/>
    <s v="3007888372"/>
    <s v="CR 65 CL 29 D -2"/>
    <x v="0"/>
    <s v="052625009400020000"/>
    <s v="Medellín"/>
    <x v="4"/>
    <s v="Revisor Puntos de Conexión Metrosur"/>
    <x v="1"/>
    <n v="4"/>
    <s v="2025-12-09 14:30:24"/>
    <s v="3 días 14:30"/>
    <s v="1 días 14:30"/>
    <x v="1"/>
    <s v="SIN DATO"/>
    <s v="SIN DATO"/>
    <s v="SIN DATO"/>
    <s v="ABIERTO"/>
    <n v="-75.582594929999999"/>
    <n v="6.2313041399999998"/>
    <s v="SUR-ENE"/>
    <s v="Metropolitana Sur"/>
  </r>
  <r>
    <s v="23605333"/>
    <s v="ENECNX"/>
    <s v="NUEVO"/>
    <s v="ENECNX"/>
    <s v="02/12/2025 14:36:01"/>
    <s v="2025-12-02 14:36:01"/>
    <n v="890937165"/>
    <s v="REDYCO SAS"/>
    <s v="4482321"/>
    <s v="3217958413"/>
    <s v="CR 50 CL 98 A SUR -202"/>
    <x v="4"/>
    <s v="039520008102020000"/>
    <s v="La Estrella"/>
    <x v="4"/>
    <s v="Revisor Puntos de Conexión Metrosur"/>
    <x v="1"/>
    <n v="4"/>
    <s v="2025-12-09 14:36:01"/>
    <s v="3 días 14:36"/>
    <s v="1 días 14:36"/>
    <x v="1"/>
    <s v="SIN DATO"/>
    <s v="SIN DATO"/>
    <s v="SIN DATO"/>
    <s v="ABIERTO"/>
    <n v="-75.633939670000004"/>
    <n v="6.1261755300000003"/>
    <s v="SUR-ENE"/>
    <s v="Metropolitana Sur"/>
  </r>
  <r>
    <s v="23605338"/>
    <s v="ENERES"/>
    <s v="NUEVO"/>
    <s v="ENERES"/>
    <s v="02/12/2025 14:40:52"/>
    <s v="2025-12-02 14:40:52"/>
    <n v="32102731"/>
    <s v="MARIA DEL ROSARIO GUERRA CARVAJAL"/>
    <s v="SIN DATOS"/>
    <s v="3105383711"/>
    <s v="CL 68 CR 136 C -23 (INTERIOR 313 )"/>
    <x v="0"/>
    <s v="086318006300230313"/>
    <s v="Medellín"/>
    <x v="1"/>
    <s v="METROSUR Vin. Leg. Ref. Concentrada"/>
    <x v="1"/>
    <n v="7"/>
    <s v="2025-12-12 14:40:52"/>
    <s v="3 días 14:40"/>
    <s v="4 días 14:40"/>
    <x v="0"/>
    <s v="SIN DATO"/>
    <s v="SIN DATO"/>
    <s v="SIN DATO"/>
    <s v="ABIERTO"/>
    <n v="-75.642097000000007"/>
    <n v="6.2854619999999999"/>
    <s v="SUR-ENE"/>
    <s v="Metropolitana Sur"/>
  </r>
  <r>
    <s v="23605341"/>
    <s v="ENERES"/>
    <s v="NUEVO"/>
    <s v="ENERES"/>
    <s v="02/12/2025 14:43:43"/>
    <s v="2025-12-02 14:43:43"/>
    <n v="32102731"/>
    <s v="MARIA DEL ROSARIO GUERRA CARVAJAL"/>
    <s v="SIN DATOS"/>
    <s v="3105383711"/>
    <s v="CL 68 CR 136 C -23 (INTERIOR 314 )"/>
    <x v="0"/>
    <s v="086318006300230314"/>
    <s v="Medellín"/>
    <x v="1"/>
    <s v="METROSUR Vin. Leg. Ref. Concentrada"/>
    <x v="1"/>
    <n v="7"/>
    <s v="2025-12-12 14:43:43"/>
    <s v="3 días 14:43"/>
    <s v="4 días 14:43"/>
    <x v="0"/>
    <s v="SIN DATO"/>
    <s v="SIN DATO"/>
    <s v="SIN DATO"/>
    <s v="ABIERTO"/>
    <n v="-75.642097000000007"/>
    <n v="6.2854619999999999"/>
    <s v="SUR-ENE"/>
    <s v="Metropolitana Sur"/>
  </r>
  <r>
    <s v="23605342"/>
    <s v="ENERES"/>
    <s v="NUEVO"/>
    <s v="ENERES"/>
    <s v="02/12/2025 14:44:42"/>
    <s v="2025-12-02 14:44:42"/>
    <n v="32102731"/>
    <s v="MARIA DEL ROSARIO GUERRA CARVAJAL"/>
    <s v="SIN DATOS"/>
    <s v="3105383711"/>
    <s v="CL 68 CR 136 C -23 (INTERIOR 413 )"/>
    <x v="0"/>
    <s v="086318006300230413"/>
    <s v="Medellín"/>
    <x v="1"/>
    <s v="METROSUR Vin. Leg. Ref. Concentrada"/>
    <x v="1"/>
    <n v="7"/>
    <s v="2025-12-12 14:44:42"/>
    <s v="3 días 14:44"/>
    <s v="4 días 14:44"/>
    <x v="0"/>
    <s v="SIN DATO"/>
    <s v="SIN DATO"/>
    <s v="SIN DATO"/>
    <s v="ABIERTO"/>
    <n v="-75.642097000000007"/>
    <n v="6.2854619999999999"/>
    <s v="SUR-ENE"/>
    <s v="Metropolitana Sur"/>
  </r>
  <r>
    <s v="23605344"/>
    <s v="ENERES"/>
    <s v="NUEVO"/>
    <s v="ENERES"/>
    <s v="02/12/2025 14:45:15"/>
    <s v="2025-12-02 14:45:15"/>
    <n v="42788685"/>
    <s v="JANET DEL SOCORRO PABON PULGARIN"/>
    <s v="SIN DATOS"/>
    <s v="3022960287"/>
    <s v="CR 52 C CL 11 A SUR -100 (INTERIOR 201 )"/>
    <x v="0"/>
    <s v="041522301101000201"/>
    <s v="Medellín"/>
    <x v="1"/>
    <s v="Revisor Instal. Regadas Metrosur"/>
    <x v="1"/>
    <n v="7"/>
    <s v="2025-12-12 14:45:15"/>
    <s v="3 días 14:45"/>
    <s v="4 días 14:45"/>
    <x v="0"/>
    <s v="SIN DATO"/>
    <s v="SIN DATO"/>
    <s v="SIN DATO"/>
    <s v="ABIERTO"/>
    <n v="-75.591392600000006"/>
    <n v="6.1979739199999999"/>
    <s v="SUR-ENE"/>
    <s v="Metropolitana Sur"/>
  </r>
  <r>
    <s v="23605345"/>
    <s v="ENECNX"/>
    <s v="NUEVO"/>
    <s v="ENECNX"/>
    <s v="02/12/2025 14:46:20"/>
    <s v="2025-12-02 14:46:20"/>
    <n v="890937165"/>
    <s v="REDYCO SAS"/>
    <s v="4482321"/>
    <s v="3217958413"/>
    <s v="CR 49 D CL 97 A SUR -270 (INTERIOR 8000 )"/>
    <x v="4"/>
    <s v="039429407102708000"/>
    <s v="La Estrella"/>
    <x v="4"/>
    <s v="Revisor Puntos de Conexión Metrosur"/>
    <x v="1"/>
    <n v="4"/>
    <s v="2025-12-09 14:46:20"/>
    <s v="3 días 14:46"/>
    <s v="1 días 14:46"/>
    <x v="1"/>
    <s v="SIN DATO"/>
    <s v="SIN DATO"/>
    <s v="SIN DATO"/>
    <s v="ABIERTO"/>
    <n v="-75.632161999999994"/>
    <n v="6.1299799999999998"/>
    <s v="SUR-ENE"/>
    <s v="Metropolitana Sur"/>
  </r>
  <r>
    <s v="23605350"/>
    <s v="ENERES"/>
    <s v="NUEVO"/>
    <s v="ENERES"/>
    <s v="02/12/2025 14:48:26"/>
    <s v="2025-12-02 14:48:26"/>
    <n v="32102731"/>
    <s v="MARIA DEL ROSARIO GUERRA CARVAJAL"/>
    <s v="SIN DATOS"/>
    <s v="3105383711"/>
    <s v="CL 68 CR 136 C -23 (INTERIOR 414 )"/>
    <x v="0"/>
    <s v="086318006300230414"/>
    <s v="Medellín"/>
    <x v="1"/>
    <s v="METROSUR Vin. Leg. Ref. Concentrada"/>
    <x v="1"/>
    <n v="7"/>
    <s v="2025-12-12 14:48:26"/>
    <s v="3 días 14:48"/>
    <s v="4 días 14:48"/>
    <x v="0"/>
    <s v="SIN DATO"/>
    <s v="SIN DATO"/>
    <s v="SIN DATO"/>
    <s v="ABIERTO"/>
    <n v="-75.642097000000007"/>
    <n v="6.2854619999999999"/>
    <s v="SUR-ENE"/>
    <s v="Metropolitana Sur"/>
  </r>
  <r>
    <s v="23605356"/>
    <s v="ENECNX"/>
    <s v="NUEVO"/>
    <s v="ENECNX"/>
    <s v="02/12/2025 14:56:46"/>
    <s v="2025-12-02 14:56:46"/>
    <n v="890937165"/>
    <s v="REDYCO SAS"/>
    <s v="4482321"/>
    <s v="3217958413"/>
    <s v="CR 50 CL 97 A SUR -392"/>
    <x v="4"/>
    <s v="039520007103920000"/>
    <s v="La Estrella"/>
    <x v="4"/>
    <s v="Revisor Puntos de Conexión Metrosur"/>
    <x v="1"/>
    <n v="4"/>
    <s v="2025-12-09 14:56:46"/>
    <s v="3 días 14:56"/>
    <s v="1 días 14:56"/>
    <x v="1"/>
    <s v="SIN DATO"/>
    <s v="SIN DATO"/>
    <s v="SIN DATO"/>
    <s v="ABIERTO"/>
    <n v="-75.63309203"/>
    <n v="6.1273549100000002"/>
    <s v="SUR-ENE"/>
    <s v="Metropolitana Sur"/>
  </r>
  <r>
    <s v="23605364"/>
    <s v="ENEPRE"/>
    <s v="RETIR"/>
    <s v="ENEPRE"/>
    <s v="02/12/2025 15:01:22"/>
    <s v="2025-12-02 15:01:22"/>
    <n v="43983042"/>
    <s v="MARIA EUGENIA GONZALEZ BOTERO"/>
    <s v="SIN DATOS"/>
    <s v="3006543616"/>
    <s v="CR 43 A CL 43 -11"/>
    <x v="0"/>
    <s v="054423103000110000-ENEPRE"/>
    <s v="Medellín"/>
    <x v="10"/>
    <s v="Energía Prepago Metrosur"/>
    <x v="1"/>
    <n v="11"/>
    <s v="2025-12-18 15:01:22"/>
    <s v="3 días 15:01"/>
    <s v="8 días 15:01"/>
    <x v="0"/>
    <s v="SIN DATO"/>
    <s v="SIN DATO"/>
    <s v="SIN DATO"/>
    <s v="ABIERTO"/>
    <n v="-75.565995340000001"/>
    <n v="6.2423171999999996"/>
    <s v="SUR-ENE"/>
    <s v="Metropolitana Sur"/>
  </r>
  <r>
    <s v="23605370"/>
    <s v="ENERES"/>
    <s v="NUEVO"/>
    <s v="ENERES"/>
    <s v="02/12/2025 15:09:39"/>
    <s v="2025-12-02 15:09:39"/>
    <n v="43606546"/>
    <s v="LENI YANED HERNANDEZ ALVAREZ"/>
    <s v="SIN DATOS"/>
    <s v="3147598854"/>
    <s v="RURAL_122010304100000000"/>
    <x v="0"/>
    <s v="122010304100000000"/>
    <s v="Medellín"/>
    <x v="1"/>
    <s v="Revisor Instal. Regadas Metrosur"/>
    <x v="0"/>
    <n v="10"/>
    <s v="2025-12-17 15:09:39"/>
    <s v="3 días 15:09"/>
    <s v="7 días 15:09"/>
    <x v="0"/>
    <s v="SIN DATO"/>
    <s v="SIN DATO"/>
    <s v="SIN DATO"/>
    <s v="ABIERTO"/>
    <n v="-75.50025814"/>
    <n v="6.22063145"/>
    <s v="SUR-ENE"/>
    <s v="Metropolitana Sur"/>
  </r>
  <r>
    <s v="23605404"/>
    <s v="ENERES"/>
    <s v="NUEVO"/>
    <s v="ENERES"/>
    <s v="02/12/2025 15:31:08"/>
    <s v="2025-12-02 15:31:08"/>
    <n v="1020224290"/>
    <s v="MARIA JOSE HERRERA JARAMILLO"/>
    <s v="SIN DATOS"/>
    <s v="3202586050"/>
    <s v="CL 37 SUR CR 65 C -43 (INTERIOR 9901 )"/>
    <x v="0"/>
    <s v="043617005300439901"/>
    <s v="Medellín"/>
    <x v="1"/>
    <s v="Revisor Instal. Regadas Metrosur"/>
    <x v="1"/>
    <n v="7"/>
    <s v="2025-12-12 15:31:08"/>
    <s v="3 días 15:31"/>
    <s v="4 días 15:31"/>
    <x v="0"/>
    <s v="SIN DATO"/>
    <s v="SIN DATO"/>
    <s v="SIN DATO"/>
    <s v="ABIERTO"/>
    <n v="-75.645743640000006"/>
    <n v="6.1871656699999997"/>
    <s v="SUR-ENE"/>
    <s v="Metropolitana Sur"/>
  </r>
  <r>
    <s v="23605430"/>
    <s v="ENERES"/>
    <s v="NUEVO"/>
    <s v="ENERES"/>
    <s v="02/12/2025 15:54:17"/>
    <s v="2025-12-02 15:54:17"/>
    <n v="1090472854"/>
    <s v="YERZON LEONARDO RIVERA BENAVIDES"/>
    <s v="SIN DATOS"/>
    <s v="3013954205"/>
    <s v="RURAL_122003648500000101"/>
    <x v="0"/>
    <s v="122003648500000101"/>
    <s v="Medellín"/>
    <x v="1"/>
    <s v="Revisor Instal. Regadas Metrosur"/>
    <x v="0"/>
    <n v="10"/>
    <s v="2025-12-17 15:54:17"/>
    <s v="3 días 15:54"/>
    <s v="7 días 15:54"/>
    <x v="0"/>
    <s v="SIN DATO"/>
    <s v="SIN DATO"/>
    <s v="SIN DATO"/>
    <s v="ABIERTO"/>
    <n v="-75.522756889999997"/>
    <n v="6.2309610700000002"/>
    <s v="SUR-ENE"/>
    <s v="Metropolitana Sur"/>
  </r>
  <r>
    <s v="23605432"/>
    <s v="ENECNX"/>
    <s v="NUEVO"/>
    <s v="ENECNX"/>
    <s v="02/12/2025 15:55:49"/>
    <s v="2025-12-02 15:55:49"/>
    <n v="43073265"/>
    <s v="HEIDY ELSA PINEDA GONZALEZ"/>
    <s v="SIN DATOS"/>
    <s v="3006125475"/>
    <s v="CL 25 CR 65 E -24"/>
    <x v="0"/>
    <s v="052615005500240000"/>
    <s v="Medellín"/>
    <x v="4"/>
    <s v="Revisor Puntos de Conexión Metrosur"/>
    <x v="1"/>
    <n v="4"/>
    <s v="2025-12-09 15:55:49"/>
    <s v="3 días 15:55"/>
    <s v="1 días 15:55"/>
    <x v="1"/>
    <s v="SIN DATO"/>
    <s v="SIN DATO"/>
    <s v="SIN DATO"/>
    <s v="ABIERTO"/>
    <n v="-75.586387000000002"/>
    <n v="6.2258279999999999"/>
    <s v="SUR-ENE"/>
    <s v="Metropolitana Sur"/>
  </r>
  <r>
    <s v="23605463"/>
    <s v="ENERES"/>
    <s v="NUEVO"/>
    <s v="ENERES"/>
    <s v="02/12/2025 16:22:24"/>
    <s v="2025-12-02 16:22:24"/>
    <n v="6788129"/>
    <s v="MARIO TULIO RAMIREZ ARROYAVE"/>
    <s v="4445148"/>
    <s v="3205657193"/>
    <s v="RURAL_147022266000000001"/>
    <x v="0"/>
    <s v="147022266000000001"/>
    <s v="Medellín"/>
    <x v="1"/>
    <s v="Revisor Instal. Regadas Metrosur"/>
    <x v="0"/>
    <n v="10"/>
    <s v="2025-12-17 16:22:24"/>
    <s v="3 días 16:22"/>
    <s v="7 días 16:22"/>
    <x v="0"/>
    <s v="SIN DATO"/>
    <s v="SIN DATO"/>
    <s v="SIN DATO"/>
    <s v="ABIERTO"/>
    <n v="-75.649660900000001"/>
    <n v="6.2858541499999996"/>
    <s v="SUR-ENE"/>
    <s v="Metropolitana Sur"/>
  </r>
  <r>
    <s v="23605473"/>
    <s v="ENERES"/>
    <s v="NUEVO"/>
    <s v="ENERES"/>
    <s v="02/12/2025 16:29:25"/>
    <s v="2025-12-02 16:29:25"/>
    <n v="71786907"/>
    <s v="ALEJANDRO ROLDAN  ARBELAEZ"/>
    <s v="SIN DATOS"/>
    <s v="3043404359"/>
    <s v="RURAL_114005558500000001_114005558500000001"/>
    <x v="0"/>
    <s v="114005558500000001"/>
    <s v="Medellín"/>
    <x v="1"/>
    <s v="Revisor Instal. Regadas Metrosur"/>
    <x v="1"/>
    <n v="7"/>
    <s v="2025-12-12 16:29:25"/>
    <s v="3 días 16:29"/>
    <s v="4 días 16:29"/>
    <x v="0"/>
    <s v="SIN DATO"/>
    <s v="SIN DATO"/>
    <s v="SIN DATO"/>
    <s v="ABIERTO"/>
    <n v="-75.621608350000002"/>
    <n v="6.2019699499999996"/>
    <s v="SUR-ENE"/>
    <s v="Metropolitana Sur"/>
  </r>
  <r>
    <s v="23605485"/>
    <s v="ENERES"/>
    <s v="NUEVO"/>
    <s v="ENERES"/>
    <s v="02/12/2025 16:44:33"/>
    <s v="2025-12-02 16:44:33"/>
    <n v="43531328"/>
    <s v="SONIA YOLANDA LOPEZ TOBON"/>
    <s v="SIN DATOS"/>
    <s v="3207052029"/>
    <s v="CL 41 CR 42 A -79 (INTERIOR 401 )"/>
    <x v="0"/>
    <s v="054411002100790401"/>
    <s v="Medellín"/>
    <x v="1"/>
    <s v="Revisor Instal. Regadas Metrosur"/>
    <x v="1"/>
    <n v="7"/>
    <s v="2025-12-12 16:44:33"/>
    <s v="3 días 16:44"/>
    <s v="4 días 16:44"/>
    <x v="0"/>
    <s v="SIN DATO"/>
    <s v="SIN DATO"/>
    <s v="SIN DATO"/>
    <s v="ABIERTO"/>
    <n v="-75.566203389999998"/>
    <n v="6.2399104999999997"/>
    <s v="SUR-ENE"/>
    <s v="Metropolitana Sur"/>
  </r>
  <r>
    <s v="23605532"/>
    <s v="ENERES"/>
    <s v="NUEVO"/>
    <s v="ENEDOM"/>
    <s v="02/12/2025 17:49:52"/>
    <s v="2025-12-02 17:49:52"/>
    <n v="1017244776"/>
    <s v="CAMILA ANDREA UMAÑA USUGA"/>
    <s v="SIN DATOS"/>
    <s v="3007881876"/>
    <s v="CL 57 B CR 16 D -59 (INTERIOR 429 )"/>
    <x v="0"/>
    <s v="055117206400590429"/>
    <s v="Medellín"/>
    <x v="0"/>
    <s v="Habilitación Viviendas Metrosur"/>
    <x v="1"/>
    <n v="5"/>
    <s v="2025-12-10 17:49:52"/>
    <s v="3 días 17:49"/>
    <s v="2 días 17:49"/>
    <x v="1"/>
    <s v="SIN DATO"/>
    <s v="SIN DATO"/>
    <s v="SIN DATO"/>
    <s v="ABIERTO"/>
    <n v="-75.539282999999998"/>
    <n v="6.2509629999999996"/>
    <s v="SUR-ENE"/>
    <s v="Metropolitana Sur"/>
  </r>
  <r>
    <s v="23605534"/>
    <s v="ENERES"/>
    <s v="CAMBI"/>
    <s v="ENERES"/>
    <s v="02/12/2025 17:52:05"/>
    <s v="2025-12-02 17:52:05"/>
    <n v="39325938"/>
    <s v="GILMA LUZ MARIN CARMONA"/>
    <s v="SIN DATOS"/>
    <s v="3124640901"/>
    <s v="CR 40 A CL 44 SUR -83"/>
    <x v="2"/>
    <s v="024420104000830000"/>
    <s v="Envigado"/>
    <x v="6"/>
    <s v="METROSUR Vin. Leg. Ref. Concentrada"/>
    <x v="1"/>
    <n v="7"/>
    <s v="2025-12-12 17:52:05"/>
    <s v="3 días 17:52"/>
    <s v="4 días 17:52"/>
    <x v="0"/>
    <s v="SIN DATO"/>
    <s v="SIN DATO"/>
    <s v="SIN DATO"/>
    <s v="ABIERTO"/>
    <n v="-75.590875960000005"/>
    <n v="6.1630446900000004"/>
    <s v="SUR-ENE"/>
    <s v="Metropolitana Sur"/>
  </r>
  <r>
    <s v="23605545"/>
    <s v="ENERES"/>
    <s v="NUEVO"/>
    <s v="ENEDOM"/>
    <s v="02/12/2025 22:19:55"/>
    <s v="2025-12-02 22:19:55"/>
    <n v="42876798"/>
    <s v="MARIA EUGENIA MIRANDA SANCHEZ"/>
    <s v="SIN DATOS"/>
    <s v="3042450212"/>
    <s v="CL 41 SUR CR 25 A -119 (INTERIOR 1 )"/>
    <x v="2"/>
    <s v="024211005101190001"/>
    <s v="Envigado"/>
    <x v="0"/>
    <s v="Habilitación Viviendas Metrosur"/>
    <x v="1"/>
    <n v="5"/>
    <s v="2025-12-10 22:19:55"/>
    <s v="3 días 22:19"/>
    <s v="2 días 22:19"/>
    <x v="1"/>
    <s v="SIN DATO"/>
    <s v="SIN DATO"/>
    <s v="SIN DATO"/>
    <s v="ABIERTO"/>
    <n v="-75.584213000000005"/>
    <n v="6.1553579999999997"/>
    <s v="SUR-ENE"/>
    <s v="Metropolitana Sur"/>
  </r>
  <r>
    <s v="23605817"/>
    <s v="ENEMRT"/>
    <s v="NUEVO"/>
    <s v="ENEMVI"/>
    <s v="03/12/2025 07:38:07"/>
    <s v="2025-12-03 07:38:07"/>
    <n v="71606262"/>
    <s v="LUIS ALBERTO BEDOYA RUIZ"/>
    <s v="2919711"/>
    <s v="3011273672"/>
    <s v="RURAL_146009284000000000_BOQUERON PALMITAS"/>
    <x v="0"/>
    <s v="146009284000000000"/>
    <s v="Medellín"/>
    <x v="9"/>
    <s v="METR Mov Red Trans Anderson Castaño"/>
    <x v="0"/>
    <n v="14"/>
    <s v="2025-12-24 07:38:07"/>
    <s v="2 días 07:38"/>
    <s v="12 días 07:38"/>
    <x v="0"/>
    <s v="SIN DATO"/>
    <s v="SIN DATO"/>
    <s v="SIN DATO"/>
    <s v="ABIERTO"/>
    <n v="-75.659619169999999"/>
    <n v="6.3221221600000002"/>
    <s v="SUR-ENE"/>
    <s v="Metropolitana Sur"/>
  </r>
  <r>
    <s v="23605828"/>
    <s v="ENECNX"/>
    <s v="NUEVO"/>
    <s v="ENECNX"/>
    <s v="03/12/2025 08:03:39"/>
    <s v="2025-12-03 08:03:39"/>
    <n v="70287932"/>
    <s v="GUILLERMO LOPEZ VERGARA"/>
    <s v="2624500"/>
    <s v="3207553279"/>
    <s v="RURAL_159051310000000000_MONACO-CARRILERA"/>
    <x v="4"/>
    <s v="159051310000000000"/>
    <s v="La Estrella"/>
    <x v="4"/>
    <s v="Revisor Puntos de Conexión Metrosur"/>
    <x v="1"/>
    <n v="4"/>
    <s v="2025-12-10 08:03:39"/>
    <s v="2 días 08:03"/>
    <s v="2 días 08:03"/>
    <x v="1"/>
    <s v="SIN DATO"/>
    <s v="SIN DATO"/>
    <s v="SIN DATO"/>
    <s v="ABIERTO"/>
    <n v="-75.633577209999999"/>
    <n v="6.1396153699999996"/>
    <s v="SUR-ENE"/>
    <s v="Metropolitana Sur"/>
  </r>
  <r>
    <s v="23605835"/>
    <s v="ENERES"/>
    <s v="NUEVO"/>
    <s v="ENEDOM"/>
    <s v="03/12/2025 08:08:17"/>
    <s v="2025-12-03 08:08:17"/>
    <n v="1017231949"/>
    <s v="CARLOS ANDRES SIERRA SALAS"/>
    <s v="SIN DATOS"/>
    <s v="3234915415"/>
    <s v="CL 58 C CR 90 -1 (INTERIOR 182 )"/>
    <x v="0"/>
    <s v="055918300000010182"/>
    <s v="Medellín"/>
    <x v="0"/>
    <s v="Habilitación Viviendas Metrosur"/>
    <x v="1"/>
    <n v="5"/>
    <s v="2025-12-11 08:08:17"/>
    <s v="2 días 08:08"/>
    <s v="3 días 08:08"/>
    <x v="0"/>
    <s v="SIN DATO"/>
    <s v="SIN DATO"/>
    <s v="SIN DATO"/>
    <s v="ABIERTO"/>
    <n v="-75.603185999999994"/>
    <n v="6.273917"/>
    <s v="SUR-ENE"/>
    <s v="Metropolitana Sur"/>
  </r>
  <r>
    <s v="23605844"/>
    <s v="ENENOR"/>
    <s v="NUEVO"/>
    <s v="ENENOR"/>
    <s v="03/12/2025 08:19:44"/>
    <s v="2025-12-03 08:19:44"/>
    <n v="1017124615"/>
    <s v="ROBINSON GIRALDO SALAZAR"/>
    <s v="SIN DATOS"/>
    <s v="3204754508"/>
    <s v="CR 51 CL 38 -53 (INTERIOR 201 )"/>
    <x v="0"/>
    <s v="053521008000530201"/>
    <s v="Medellín"/>
    <x v="5"/>
    <s v="Revisor Instal. Regadas Metrosur"/>
    <x v="1"/>
    <n v="7"/>
    <s v="2025-12-15 08:19:44"/>
    <s v="2 días 08:19"/>
    <s v="5 días 08:19"/>
    <x v="0"/>
    <s v="SIN DATO"/>
    <s v="SIN DATO"/>
    <s v="SIN DATO"/>
    <s v="ABIERTO"/>
    <n v="-75.572853839999993"/>
    <n v="6.2396679600000002"/>
    <s v="SUR-ENE"/>
    <s v="Metropolitana Sur"/>
  </r>
  <r>
    <s v="23605851"/>
    <s v="ENERES"/>
    <s v="NUEVO"/>
    <s v="ENERES"/>
    <s v="03/12/2025 08:28:51"/>
    <s v="2025-12-03 08:28:51"/>
    <n v="98582515"/>
    <s v="NEIL HUMBERTO CORTES ZAPATA"/>
    <s v="3376801"/>
    <s v="3225306058"/>
    <s v="CL 38 CR 112 -24 (INTERIOR 401 )"/>
    <x v="0"/>
    <s v="083118002000240401"/>
    <s v="Medellín"/>
    <x v="1"/>
    <s v="Revisor Instal. Regadas Metrosur"/>
    <x v="1"/>
    <n v="7"/>
    <s v="2025-12-15 08:28:51"/>
    <s v="2 días 08:28"/>
    <s v="5 días 08:28"/>
    <x v="0"/>
    <s v="SIN DATO"/>
    <s v="SIN DATO"/>
    <s v="SIN DATO"/>
    <s v="ABIERTO"/>
    <n v="-75.623859999999993"/>
    <n v="6.2498110000000002"/>
    <s v="SUR-ENE"/>
    <s v="Metropolitana Sur"/>
  </r>
  <r>
    <s v="23605853"/>
    <s v="ENERES"/>
    <s v="NUEVO"/>
    <s v="ENEDOM"/>
    <s v="03/12/2025 08:31:52"/>
    <s v="2025-12-03 08:31:52"/>
    <n v="70252806"/>
    <s v="EVER CICERON OSORIO LOPEZ"/>
    <s v="SIN DATOS"/>
    <s v="3136621340"/>
    <s v="CR 120 D CL 39 FD -95 (INTERIOR 1 )"/>
    <x v="0"/>
    <s v="083220409640950001"/>
    <s v="Medellín"/>
    <x v="0"/>
    <s v="Habilitación Viviendas Metrosur"/>
    <x v="1"/>
    <n v="5"/>
    <s v="2025-12-11 08:31:52"/>
    <s v="2 días 08:31"/>
    <s v="3 días 08:31"/>
    <x v="0"/>
    <s v="SIN DATO"/>
    <s v="SIN DATO"/>
    <s v="SIN DATO"/>
    <s v="ABIERTO"/>
    <n v="-75.630487639999998"/>
    <n v="6.25545726"/>
    <s v="SUR-ENE"/>
    <s v="Metropolitana Sur"/>
  </r>
  <r>
    <s v="23605856"/>
    <s v="ENERES"/>
    <s v="NUEVO"/>
    <s v="ENERES"/>
    <s v="03/12/2025 08:37:18"/>
    <s v="2025-12-03 08:37:18"/>
    <n v="43608717"/>
    <s v="CLAUDIA MARIA CLAVIJO SERNA"/>
    <s v="4926179"/>
    <s v="3044969892"/>
    <s v="CL 76 A SUR CR 55 -57 (INTERIOR 101 )"/>
    <x v="4"/>
    <s v="037516105000570101"/>
    <s v="La Estrella"/>
    <x v="1"/>
    <s v="Revisor Instal. Regadas Metrosur"/>
    <x v="1"/>
    <n v="7"/>
    <s v="2025-12-15 08:37:18"/>
    <s v="2 días 08:37"/>
    <s v="5 días 08:37"/>
    <x v="0"/>
    <s v="SIN DATO"/>
    <s v="SIN DATO"/>
    <s v="SIN DATO"/>
    <s v="ABIERTO"/>
    <n v="-75.638107969999993"/>
    <n v="6.1608775800000002"/>
    <s v="SUR-ENE"/>
    <s v="Metropolitana Sur"/>
  </r>
  <r>
    <s v="23605859"/>
    <s v="ENEMRT"/>
    <s v="NUEVO"/>
    <s v="ENEMVI"/>
    <s v="03/12/2025 08:39:31"/>
    <s v="2025-12-03 08:39:31"/>
    <n v="645672"/>
    <s v="FRANCISCO ANTONIO OSPINA"/>
    <s v="3340635"/>
    <s v="SIN DATOS"/>
    <s v="CL 40 C SUR CR 28 -35"/>
    <x v="2"/>
    <s v="024210308000350000"/>
    <s v="Envigado"/>
    <x v="9"/>
    <s v="Mov Red Trans Dairo Gil"/>
    <x v="1"/>
    <n v="9"/>
    <s v="2025-12-17 08:39:31"/>
    <s v="2 días 08:39"/>
    <s v="7 días 08:39"/>
    <x v="0"/>
    <s v="SIN DATO"/>
    <s v="SIN DATO"/>
    <s v="SIN DATO"/>
    <s v="ABIERTO"/>
    <n v="-75.582109020000004"/>
    <n v="6.1599235099999996"/>
    <s v="SUR-ENE"/>
    <s v="Metropolitana Sur"/>
  </r>
  <r>
    <s v="23605861"/>
    <s v="ENERES"/>
    <s v="NUEVO"/>
    <s v="ENEDOM"/>
    <s v="03/12/2025 08:42:06"/>
    <s v="2025-12-03 08:42:07"/>
    <n v="44003927"/>
    <s v="MARIANA GOMEZ ZULUAGA"/>
    <s v="SIN DATOS"/>
    <s v="3023712397"/>
    <s v="RURAL_163017180002500000"/>
    <x v="1"/>
    <s v="163017180002500000"/>
    <s v="Itaguí"/>
    <x v="0"/>
    <s v="Habilitación Viviendas Metrosur"/>
    <x v="1"/>
    <n v="5"/>
    <s v="2025-12-11 08:42:07"/>
    <s v="2 días 08:42"/>
    <s v="3 días 08:42"/>
    <x v="0"/>
    <s v="SIN DATO"/>
    <s v="SIN DATO"/>
    <s v="SIN DATO"/>
    <s v="ABIERTO"/>
    <n v="-75.614877590000006"/>
    <n v="6.1778693699999998"/>
    <s v="SUR-ENE"/>
    <s v="Metropolitana Sur"/>
  </r>
  <r>
    <s v="23605871"/>
    <s v="ENERES"/>
    <s v="NUEVO"/>
    <s v="ENEDOM"/>
    <s v="03/12/2025 08:52:08"/>
    <s v="2025-12-03 08:52:08"/>
    <n v="44003927"/>
    <s v="MARIANA GOMEZ ZULUAGA"/>
    <s v="SIN DATOS"/>
    <s v="3023712397"/>
    <s v="RURAL_163017180002809801"/>
    <x v="1"/>
    <s v="163017180002809801"/>
    <s v="Itaguí"/>
    <x v="0"/>
    <s v="Habilitación Viviendas Metrosur"/>
    <x v="1"/>
    <n v="5"/>
    <s v="2025-12-11 08:52:08"/>
    <s v="2 días 08:52"/>
    <s v="3 días 08:52"/>
    <x v="0"/>
    <s v="SIN DATO"/>
    <s v="SIN DATO"/>
    <s v="SIN DATO"/>
    <s v="ABIERTO"/>
    <n v="-75.614877590000006"/>
    <n v="6.1778693699999998"/>
    <s v="SUR-ENE"/>
    <s v="Metropolitana Sur"/>
  </r>
  <r>
    <s v="23605886"/>
    <s v="ENERES"/>
    <s v="NUEVO"/>
    <s v="ENEDOM"/>
    <s v="03/12/2025 08:55:03"/>
    <s v="2025-12-03 08:55:03"/>
    <n v="44003927"/>
    <s v="MARIANA GOMEZ ZULUAGA"/>
    <s v="SIN DATOS"/>
    <s v="3023712397"/>
    <s v="RURAL_163017180002700000"/>
    <x v="1"/>
    <s v="163017180002700000"/>
    <s v="Itaguí"/>
    <x v="0"/>
    <s v="Habilitación Viviendas Metrosur"/>
    <x v="1"/>
    <n v="5"/>
    <s v="2025-12-11 08:55:03"/>
    <s v="2 días 08:55"/>
    <s v="3 días 08:55"/>
    <x v="0"/>
    <s v="SIN DATO"/>
    <s v="SIN DATO"/>
    <s v="SIN DATO"/>
    <s v="ABIERTO"/>
    <n v="-75.614877590000006"/>
    <n v="6.1778693699999998"/>
    <s v="SUR-ENE"/>
    <s v="Metropolitana Sur"/>
  </r>
  <r>
    <s v="23606004"/>
    <s v="ENERES"/>
    <s v="NUEVO"/>
    <s v="ENEDOM"/>
    <s v="03/12/2025 08:59:42"/>
    <s v="2025-12-03 08:59:42"/>
    <n v="1152453462"/>
    <s v="DANIELA SANCHEZ ARIAS"/>
    <s v="SIN DATOS"/>
    <s v="3008545855"/>
    <s v="CL 34 A CR 116 -171 (INTERIOR 140 )"/>
    <x v="0"/>
    <s v="083114106001710140"/>
    <s v="Medellín"/>
    <x v="0"/>
    <s v="Habilitación Viviendas Metrosur"/>
    <x v="1"/>
    <n v="5"/>
    <s v="2025-12-11 08:59:42"/>
    <s v="2 días 08:59"/>
    <s v="3 días 08:59"/>
    <x v="0"/>
    <s v="SIN DATO"/>
    <s v="SIN DATO"/>
    <s v="SIN DATO"/>
    <s v="ABIERTO"/>
    <n v="-75.628558999999996"/>
    <n v="6.2452139999999998"/>
    <s v="SUR-ENE"/>
    <s v="Metropolitana Sur"/>
  </r>
  <r>
    <s v="23606065"/>
    <s v="ENERES"/>
    <s v="NUEVO"/>
    <s v="ENEDOM"/>
    <s v="03/12/2025 09:02:40"/>
    <s v="2025-12-03 09:02:40"/>
    <n v="44003297"/>
    <s v="NATALIA  MURILLO"/>
    <s v="SIN DATOS"/>
    <s v="3023198849"/>
    <s v="RURAL_163017180002809802"/>
    <x v="1"/>
    <s v="163017180002809802"/>
    <s v="Itaguí"/>
    <x v="0"/>
    <s v="Habilitación Viviendas Metrosur"/>
    <x v="1"/>
    <n v="5"/>
    <s v="2025-12-11 09:02:40"/>
    <s v="2 días 09:02"/>
    <s v="3 días 09:02"/>
    <x v="0"/>
    <s v="SIN DATO"/>
    <s v="SIN DATO"/>
    <s v="SIN DATO"/>
    <s v="ABIERTO"/>
    <n v="-75.614877590000006"/>
    <n v="6.1778693699999998"/>
    <s v="SUR-ENE"/>
    <s v="Metropolitana Sur"/>
  </r>
  <r>
    <s v="23606123"/>
    <s v="ENERES"/>
    <s v="NUEVO"/>
    <s v="ENEDOM"/>
    <s v="03/12/2025 09:08:17"/>
    <s v="2025-12-03 09:08:17"/>
    <n v="44003927"/>
    <s v="MARIANA GOMEZ ZULUAGA"/>
    <s v="SIN DATOS"/>
    <s v="3023712397"/>
    <s v="RURAL_163017180002809901"/>
    <x v="1"/>
    <s v="163017180002809901"/>
    <s v="Itaguí"/>
    <x v="0"/>
    <s v="Habilitación Viviendas Metrosur"/>
    <x v="1"/>
    <n v="5"/>
    <s v="2025-12-11 09:08:17"/>
    <s v="2 días 09:08"/>
    <s v="3 días 09:08"/>
    <x v="0"/>
    <s v="SIN DATO"/>
    <s v="SIN DATO"/>
    <s v="SIN DATO"/>
    <s v="ABIERTO"/>
    <n v="-75.614877590000006"/>
    <n v="6.1778693699999998"/>
    <s v="SUR-ENE"/>
    <s v="Metropolitana Sur"/>
  </r>
  <r>
    <s v="23606129"/>
    <s v="ENERES"/>
    <s v="NUEVO"/>
    <s v="ENEDOM"/>
    <s v="03/12/2025 09:11:41"/>
    <s v="2025-12-03 09:11:41"/>
    <n v="70252806"/>
    <s v="EVER CICERON OSORIO LOPEZ"/>
    <s v="SIN DATOS"/>
    <s v="3136621340"/>
    <s v="CR 120 D CL 39 FD -95 (INTERIOR 2 )"/>
    <x v="0"/>
    <s v="083220409640950002"/>
    <s v="Medellín"/>
    <x v="0"/>
    <s v="Habilitación Viviendas Metrosur"/>
    <x v="1"/>
    <n v="5"/>
    <s v="2025-12-11 09:11:41"/>
    <s v="2 días 09:11"/>
    <s v="3 días 09:11"/>
    <x v="0"/>
    <s v="SIN DATO"/>
    <s v="SIN DATO"/>
    <s v="SIN DATO"/>
    <s v="ABIERTO"/>
    <n v="-75.630487639999998"/>
    <n v="6.25545726"/>
    <s v="SUR-ENE"/>
    <s v="Metropolitana Sur"/>
  </r>
  <r>
    <s v="23606135"/>
    <s v="ENEMRT"/>
    <s v="NUEVO"/>
    <s v="ENEMVI"/>
    <s v="03/12/2025 09:17:45"/>
    <s v="2025-12-03 09:17:45"/>
    <n v="71945338"/>
    <s v="LEISER ELOY MORALES GIRON"/>
    <s v="5026625"/>
    <s v="3046663092"/>
    <s v="CL 60 CR 74 A -174 (INTERIOR 201 )"/>
    <x v="0"/>
    <s v="056710004101740201"/>
    <s v="Medellín"/>
    <x v="9"/>
    <s v="METR Mov Red Trans Anderson Castaño"/>
    <x v="1"/>
    <n v="9"/>
    <s v="2025-12-17 09:17:45"/>
    <s v="2 días 09:17"/>
    <s v="7 días 09:17"/>
    <x v="0"/>
    <s v="SIN DATO"/>
    <s v="SIN DATO"/>
    <s v="SIN DATO"/>
    <s v="ABIERTO"/>
    <n v="-75.589244390000005"/>
    <n v="6.2669338799999998"/>
    <s v="SUR-ENE"/>
    <s v="Metropolitana Sur"/>
  </r>
  <r>
    <s v="23606146"/>
    <s v="ENERES"/>
    <s v="NUEVO"/>
    <s v="ENEDOM"/>
    <s v="03/12/2025 09:31:13"/>
    <s v="2025-12-03 09:31:13"/>
    <n v="1007783850"/>
    <s v="LEIDY VALERIA SANCHEZ"/>
    <s v="SIN DATOS"/>
    <s v="3155847759"/>
    <s v="CR 103 A CL 48 BG -14 (INTERIOR 201 )"/>
    <x v="0"/>
    <s v="084023108270140201"/>
    <s v="Medellín"/>
    <x v="0"/>
    <s v="Habilitación Viviendas Metrosur"/>
    <x v="1"/>
    <n v="5"/>
    <s v="2025-12-11 09:31:13"/>
    <s v="2 días 09:31"/>
    <s v="3 días 09:31"/>
    <x v="0"/>
    <s v="SIN DATO"/>
    <s v="SIN DATO"/>
    <s v="SIN DATO"/>
    <s v="ABIERTO"/>
    <n v="-75.619401139999994"/>
    <n v="6.2610085199999999"/>
    <s v="SUR-ENE"/>
    <s v="Metropolitana Sur"/>
  </r>
  <r>
    <s v="23606153"/>
    <s v="ENERES"/>
    <s v="NUEVO"/>
    <s v="ENEDOM"/>
    <s v="03/12/2025 09:34:08"/>
    <s v="2025-12-03 09:34:08"/>
    <n v="1128466146"/>
    <s v="ALEJANDRA SALAZAR"/>
    <s v="SIN DATOS"/>
    <s v="3027432269"/>
    <s v="CR 87 CL 58 CC -84 (INTERIOR 302 )"/>
    <x v="0"/>
    <s v="055827008330840302"/>
    <s v="Medellín"/>
    <x v="0"/>
    <s v="Habilitación Viviendas Metrosur"/>
    <x v="1"/>
    <n v="5"/>
    <s v="2025-12-11 09:34:08"/>
    <s v="2 días 09:34"/>
    <s v="3 días 09:34"/>
    <x v="0"/>
    <s v="SIN DATO"/>
    <s v="SIN DATO"/>
    <s v="SIN DATO"/>
    <s v="ABIERTO"/>
    <n v="-75.599439000000004"/>
    <n v="6.2739669999999998"/>
    <s v="SUR-ENE"/>
    <s v="Metropolitana Sur"/>
  </r>
  <r>
    <s v="23606154"/>
    <s v="ENERES"/>
    <s v="NUEVO"/>
    <s v="ENERES"/>
    <s v="03/12/2025 09:34:26"/>
    <s v="2025-12-03 09:34:26"/>
    <n v="1152197297"/>
    <s v="NICOLAS EDUARDO MONTOYA HERRERA"/>
    <s v="SIN DATOS"/>
    <s v="3128673069"/>
    <s v="CL 53 CR 40 -50 (INTERIOR 301 )"/>
    <x v="0"/>
    <s v="055413000000500301"/>
    <s v="Medellín"/>
    <x v="1"/>
    <s v="Revisor Instal. Regadas Metrosur"/>
    <x v="1"/>
    <n v="7"/>
    <s v="2025-12-15 09:34:26"/>
    <s v="2 días 09:34"/>
    <s v="5 días 09:34"/>
    <x v="0"/>
    <s v="SIN DATO"/>
    <s v="SIN DATO"/>
    <s v="SIN DATO"/>
    <s v="ABIERTO"/>
    <n v="-75.559818879999995"/>
    <n v="6.2487510799999999"/>
    <s v="SUR-ENE"/>
    <s v="Metropolitana Sur"/>
  </r>
  <r>
    <s v="23606155"/>
    <s v="ENERES"/>
    <s v="NUEVO"/>
    <s v="ENERES"/>
    <s v="03/12/2025 09:34:29"/>
    <s v="2025-12-03 09:34:29"/>
    <n v="71625753"/>
    <s v="LUIS HUMBERTO PEREZ SALDARRIAGA"/>
    <s v="SIN DATOS"/>
    <s v="3128525215"/>
    <s v="CL 31 CC CR 87 C -79 (INTERIOR 205 )"/>
    <x v="0"/>
    <s v="053811337300790205"/>
    <s v="Medellín"/>
    <x v="1"/>
    <s v="Revisor Instal. Regadas Metrosur"/>
    <x v="1"/>
    <n v="7"/>
    <s v="2025-12-15 09:34:29"/>
    <s v="2 días 09:34"/>
    <s v="5 días 09:34"/>
    <x v="0"/>
    <s v="SIN DATO"/>
    <s v="SIN DATO"/>
    <s v="SIN DATO"/>
    <s v="ABIERTO"/>
    <n v="-75.611483000000007"/>
    <n v="6.2342880000000003"/>
    <s v="SUR-ENE"/>
    <s v="Metropolitana Sur"/>
  </r>
  <r>
    <s v="23606172"/>
    <s v="ENERES"/>
    <s v="NUEVO"/>
    <s v="ENEDOM"/>
    <s v="03/12/2025 09:48:18"/>
    <s v="2025-12-03 09:48:18"/>
    <n v="1128447217"/>
    <s v="MARISOL ELIANA HERNANDEZ ARROYAVE"/>
    <s v="5866947"/>
    <s v="3103092558"/>
    <s v="CR 13 CL 55 -13 (INTERIOR 101 )"/>
    <x v="0"/>
    <s v="055123005000130101"/>
    <s v="Medellín"/>
    <x v="0"/>
    <s v="Habilitación Viviendas Metrosur"/>
    <x v="1"/>
    <n v="5"/>
    <s v="2025-12-11 09:48:18"/>
    <s v="2 días 09:48"/>
    <s v="3 días 09:48"/>
    <x v="0"/>
    <s v="SIN DATO"/>
    <s v="SIN DATO"/>
    <s v="SIN DATO"/>
    <s v="ABIERTO"/>
    <n v="-75.538424750000004"/>
    <n v="6.2372729700000002"/>
    <s v="SUR-ENE"/>
    <s v="Metropolitana Sur"/>
  </r>
  <r>
    <s v="23606179"/>
    <s v="ENEPRE"/>
    <s v="NUEVO"/>
    <s v="ENEPRE"/>
    <s v="03/12/2025 09:54:08"/>
    <s v="2025-12-03 09:54:08"/>
    <n v="71799216"/>
    <s v="EFREN ALBERTO ORTIZ CASTAÑEDA"/>
    <s v="2218384"/>
    <s v="3117985061"/>
    <s v="CR 11 C CL 49 E -22 (INTERIOR 201 )"/>
    <x v="0"/>
    <s v="054121309500220201"/>
    <s v="Medellín"/>
    <x v="3"/>
    <s v="Energía Prepago Metrosur"/>
    <x v="1"/>
    <n v="11"/>
    <s v="2025-12-19 09:54:08"/>
    <s v="2 días 09:54"/>
    <s v="9 días 09:54"/>
    <x v="0"/>
    <s v="SIN DATO"/>
    <s v="SIN DATO"/>
    <s v="SIN DATO"/>
    <s v="ABIERTO"/>
    <n v="-75.539748200000005"/>
    <n v="6.2324553800000002"/>
    <s v="SUR-ENE"/>
    <s v="Metropolitana Sur"/>
  </r>
  <r>
    <s v="23606193"/>
    <s v="ENEMRT"/>
    <s v="NUEVO"/>
    <s v="ENEMVI"/>
    <s v="03/12/2025 10:07:02"/>
    <s v="2025-12-03 10:07:02"/>
    <n v="32256384"/>
    <s v="LINA MARIZA GARCIA ARBOLEDA"/>
    <s v="3766480"/>
    <s v="3117930971"/>
    <s v="CR 107 CL 45 A -63"/>
    <x v="0"/>
    <s v="084027005100630000"/>
    <s v="Medellín"/>
    <x v="9"/>
    <s v="METR Mov Red Trans Anderson Castaño"/>
    <x v="1"/>
    <n v="9"/>
    <s v="2025-12-17 10:07:02"/>
    <s v="2 días 10:07"/>
    <s v="7 días 10:07"/>
    <x v="0"/>
    <s v="SIN DATO"/>
    <s v="SIN DATO"/>
    <s v="SIN DATO"/>
    <s v="ABIERTO"/>
    <n v="-75.620518290000007"/>
    <n v="6.2581520499999996"/>
    <s v="SUR-ENE"/>
    <s v="Metropolitana Sur"/>
  </r>
  <r>
    <s v="23606220"/>
    <s v="ENEMRT"/>
    <s v="NUEVO"/>
    <s v="ENEMVI"/>
    <s v="03/12/2025 10:26:47"/>
    <s v="2025-12-03 10:26:47"/>
    <n v="21408890"/>
    <s v="MARIA RUBIELA ALVAREZ VELEZ"/>
    <s v="SIN DATOS"/>
    <s v="3016050962"/>
    <s v="RURAL_147022490000000000_PLAYA ALTA"/>
    <x v="0"/>
    <s v="147022490000000000"/>
    <s v="Medellín"/>
    <x v="9"/>
    <s v="METR Mov Red Trans Anderson Castaño"/>
    <x v="0"/>
    <n v="14"/>
    <s v="2025-12-24 10:26:47"/>
    <s v="2 días 10:26"/>
    <s v="12 días 10:26"/>
    <x v="0"/>
    <s v="SIN DATO"/>
    <s v="SIN DATO"/>
    <s v="SIN DATO"/>
    <s v="ABIERTO"/>
    <n v="-75.656405000000007"/>
    <n v="6.2862049999999998"/>
    <s v="SUR-ENE"/>
    <s v="Metropolitana Sur"/>
  </r>
  <r>
    <s v="23606227"/>
    <s v="ENERES"/>
    <s v="NUEVO"/>
    <s v="ENEDOM"/>
    <s v="03/12/2025 10:31:10"/>
    <s v="2025-12-03 10:31:10"/>
    <n v="7178153"/>
    <s v="BRUNO ALEJANDRO CASTILLO CASTILLO"/>
    <s v="SIN DATOS"/>
    <s v="3192601592"/>
    <s v="CR 120 D CL 39 FD -95 (INTERIOR 3 )"/>
    <x v="0"/>
    <s v="083220409640950003"/>
    <s v="Medellín"/>
    <x v="0"/>
    <s v="Habilitación Viviendas Metrosur"/>
    <x v="1"/>
    <n v="5"/>
    <s v="2025-12-11 10:31:10"/>
    <s v="2 días 10:31"/>
    <s v="3 días 10:31"/>
    <x v="0"/>
    <s v="SIN DATO"/>
    <s v="SIN DATO"/>
    <s v="SIN DATO"/>
    <s v="ABIERTO"/>
    <n v="-75.630487639999998"/>
    <n v="6.25545726"/>
    <s v="SUR-ENE"/>
    <s v="Metropolitana Sur"/>
  </r>
  <r>
    <s v="23606233"/>
    <s v="ENERES"/>
    <s v="NUEVO"/>
    <s v="ENEDOM"/>
    <s v="03/12/2025 10:35:31"/>
    <s v="2025-12-03 10:35:31"/>
    <n v="43830222"/>
    <s v="LUZ MARINA MUÑOZ PINO"/>
    <s v="SIN DATOS"/>
    <s v="3045634206"/>
    <s v="RURAL_163017257000000201"/>
    <x v="1"/>
    <s v="163017257000000201"/>
    <s v="Itaguí"/>
    <x v="0"/>
    <s v="Habilitación Viviendas Metrosur"/>
    <x v="1"/>
    <n v="5"/>
    <s v="2025-12-11 10:35:31"/>
    <s v="2 días 10:35"/>
    <s v="3 días 10:35"/>
    <x v="0"/>
    <s v="SIN DATO"/>
    <s v="SIN DATO"/>
    <s v="SIN DATO"/>
    <s v="ABIERTO"/>
    <n v="-75.615390540000007"/>
    <n v="6.1782186699999997"/>
    <s v="SUR-ENE"/>
    <s v="Metropolitana Sur"/>
  </r>
  <r>
    <s v="23606243"/>
    <s v="ENERES"/>
    <s v="NUEVO"/>
    <s v="ENEDOM"/>
    <s v="03/12/2025 10:38:30"/>
    <s v="2025-12-03 10:38:30"/>
    <n v="70698595"/>
    <s v="MAURICIO GIRALDO QUINTERO"/>
    <s v="SIN DATOS"/>
    <s v="3234575009"/>
    <s v="RURAL_163017268000001116_163017268000001116"/>
    <x v="1"/>
    <s v="163017268000001116"/>
    <s v="Itaguí"/>
    <x v="0"/>
    <s v="Habilitación Viviendas Metrosur"/>
    <x v="1"/>
    <n v="5"/>
    <s v="2025-12-11 10:38:30"/>
    <s v="2 días 10:38"/>
    <s v="3 días 10:38"/>
    <x v="0"/>
    <s v="SIN DATO"/>
    <s v="SIN DATO"/>
    <s v="SIN DATO"/>
    <s v="ABIERTO"/>
    <n v="-75.615500999999995"/>
    <n v="6.1781769999999998"/>
    <s v="SUR-ENE"/>
    <s v="Metropolitana Sur"/>
  </r>
  <r>
    <s v="23606247"/>
    <s v="ENERES"/>
    <s v="NUEVO"/>
    <s v="ENEDOM"/>
    <s v="03/12/2025 10:44:16"/>
    <s v="2025-12-03 10:44:16"/>
    <n v="1036616241"/>
    <s v="JAIME ORLANDO MADRID CARDONA"/>
    <s v="SIN DATOS"/>
    <s v="3216180326"/>
    <s v="RURAL_163017268000002117"/>
    <x v="1"/>
    <s v="163017268000002117"/>
    <s v="Itaguí"/>
    <x v="0"/>
    <s v="Habilitación Viviendas Metrosur"/>
    <x v="1"/>
    <n v="5"/>
    <s v="2025-12-11 10:44:16"/>
    <s v="2 días 10:44"/>
    <s v="3 días 10:44"/>
    <x v="0"/>
    <s v="SIN DATO"/>
    <s v="SIN DATO"/>
    <s v="SIN DATO"/>
    <s v="ABIERTO"/>
    <n v="-75.615829000000005"/>
    <n v="6.1783060000000001"/>
    <s v="SUR-ENE"/>
    <s v="Metropolitana Sur"/>
  </r>
  <r>
    <s v="23606252"/>
    <s v="ENERES"/>
    <s v="NUEVO"/>
    <s v="ENEDOM"/>
    <s v="03/12/2025 10:46:45"/>
    <s v="2025-12-03 10:46:45"/>
    <n v="1036616241"/>
    <s v="JAIME ORLANDO MADRID CARDONA"/>
    <s v="SIN DATOS"/>
    <s v="3216180326"/>
    <s v="RURAL_163017268000003117"/>
    <x v="1"/>
    <s v="163017268000003117"/>
    <s v="Itaguí"/>
    <x v="0"/>
    <s v="Habilitación Viviendas Metrosur"/>
    <x v="1"/>
    <n v="5"/>
    <s v="2025-12-11 10:46:45"/>
    <s v="2 días 10:46"/>
    <s v="3 días 10:46"/>
    <x v="0"/>
    <s v="SIN DATO"/>
    <s v="SIN DATO"/>
    <s v="SIN DATO"/>
    <s v="ABIERTO"/>
    <n v="-75.615829000000005"/>
    <n v="6.1783060000000001"/>
    <s v="SUR-ENE"/>
    <s v="Metropolitana Sur"/>
  </r>
  <r>
    <s v="23606255"/>
    <s v="ENERES"/>
    <s v="NUEVO"/>
    <s v="ENEDOM"/>
    <s v="03/12/2025 10:49:21"/>
    <s v="2025-12-03 10:49:21"/>
    <n v="1036616241"/>
    <s v="JAIME ORLANDO MADRID CARDONA"/>
    <s v="SIN DATOS"/>
    <s v="3216180326"/>
    <s v="RURAL_163017268000009917_163017268000009917"/>
    <x v="1"/>
    <s v="163017268000009917"/>
    <s v="Itaguí"/>
    <x v="0"/>
    <s v="Habilitación Viviendas Metrosur"/>
    <x v="1"/>
    <n v="5"/>
    <s v="2025-12-11 10:49:21"/>
    <s v="2 días 10:49"/>
    <s v="3 días 10:49"/>
    <x v="0"/>
    <s v="SIN DATO"/>
    <s v="SIN DATO"/>
    <s v="SIN DATO"/>
    <s v="ABIERTO"/>
    <n v="-75.615829000000005"/>
    <n v="6.1783060000000001"/>
    <s v="SUR-ENE"/>
    <s v="Metropolitana Sur"/>
  </r>
  <r>
    <s v="23606257"/>
    <s v="ENERES"/>
    <s v="NUEVO"/>
    <s v="ENERES"/>
    <s v="03/12/2025 10:49:36"/>
    <s v="2025-12-03 10:49:36"/>
    <n v="11797343"/>
    <s v="HECTOR ENRIQUE GUERRERO CHAVERRA"/>
    <s v="SIN DATOS"/>
    <s v="3122044197"/>
    <s v="CL 59 A CR 24 -55 (INTERIOR 101 )"/>
    <x v="0"/>
    <s v="055219104000550101"/>
    <s v="Medellín"/>
    <x v="1"/>
    <s v="Revisor Instal. Regadas Metrosur"/>
    <x v="1"/>
    <n v="7"/>
    <s v="2025-12-15 10:49:36"/>
    <s v="2 días 10:49"/>
    <s v="5 días 10:49"/>
    <x v="0"/>
    <s v="SIN DATO"/>
    <s v="SIN DATO"/>
    <s v="SIN DATO"/>
    <s v="ABIERTO"/>
    <n v="-75.547017159999996"/>
    <n v="6.2514643100000002"/>
    <s v="SUR-ENE"/>
    <s v="Metropolitana Sur"/>
  </r>
  <r>
    <s v="23606269"/>
    <s v="ENEPRE"/>
    <s v="RETIR"/>
    <s v="ENEPRE"/>
    <s v="03/12/2025 10:55:16"/>
    <s v="2025-12-03 10:55:16"/>
    <n v="1017211406"/>
    <s v="EZEQUIEL  ESTEBAN GOMEZ  ESGUERRA"/>
    <s v="SIN DATOS"/>
    <s v="3171731504"/>
    <s v="CL 59 CR 48 -55"/>
    <x v="0"/>
    <s v="055419008000550000-ENEPRE"/>
    <s v="Medellín"/>
    <x v="10"/>
    <s v="Energía Prepago Metrosur"/>
    <x v="1"/>
    <n v="11"/>
    <s v="2025-12-19 10:55:16"/>
    <s v="2 días 10:55"/>
    <s v="9 días 10:55"/>
    <x v="0"/>
    <s v="SIN DATO"/>
    <s v="SIN DATO"/>
    <s v="SIN DATO"/>
    <s v="ABIERTO"/>
    <n v="-75.562841039999995"/>
    <n v="6.2561536499999999"/>
    <s v="SUR-ENE"/>
    <s v="Metropolitana Sur"/>
  </r>
  <r>
    <s v="23606271"/>
    <s v="ENERES"/>
    <s v="NUEVO"/>
    <s v="ENEDOM"/>
    <s v="03/12/2025 10:56:38"/>
    <s v="2025-12-03 10:56:38"/>
    <n v="32276326"/>
    <s v="MIRTA DOLLY HIGUITA GUERRA"/>
    <s v="SIN DATOS"/>
    <s v="3148873201"/>
    <s v="CR 30 CL 59 A -25 (INTERIOR 303 )"/>
    <x v="0"/>
    <s v="055320009100250303"/>
    <s v="Medellín"/>
    <x v="0"/>
    <s v="Habilitación Viviendas Metrosur"/>
    <x v="1"/>
    <n v="5"/>
    <s v="2025-12-11 10:56:38"/>
    <s v="2 días 10:56"/>
    <s v="3 días 10:56"/>
    <x v="0"/>
    <s v="SIN DATO"/>
    <s v="SIN DATO"/>
    <s v="SIN DATO"/>
    <s v="ABIERTO"/>
    <n v="-75.550890999999993"/>
    <n v="6.2511869999999998"/>
    <s v="SUR-ENE"/>
    <s v="Metropolitana Sur"/>
  </r>
  <r>
    <s v="23606285"/>
    <s v="ENERES"/>
    <s v="NUEVO"/>
    <s v="ENEDOM"/>
    <s v="03/12/2025 11:08:17"/>
    <s v="2025-12-03 11:08:17"/>
    <n v="1152199593"/>
    <s v="JUAN CARLOS GIL"/>
    <s v="SIN DATOS"/>
    <s v="3005652685"/>
    <s v="CL 34 CR 107 -59 (INTERIOR 306 )"/>
    <x v="0"/>
    <s v="083014007000590306"/>
    <s v="Medellín"/>
    <x v="0"/>
    <s v="Habilitación Viviendas Metrosur"/>
    <x v="1"/>
    <n v="5"/>
    <s v="2025-12-11 11:08:17"/>
    <s v="2 días 11:08"/>
    <s v="3 días 11:08"/>
    <x v="0"/>
    <s v="SIN DATO"/>
    <s v="SIN DATO"/>
    <s v="SIN DATO"/>
    <s v="ABIERTO"/>
    <n v="-75.622983110000007"/>
    <n v="6.2453375299999996"/>
    <s v="SUR-ENE"/>
    <s v="Metropolitana Sur"/>
  </r>
  <r>
    <s v="23606287"/>
    <s v="ENERES"/>
    <s v="NUEVO"/>
    <s v="ENEDOM"/>
    <s v="03/12/2025 11:09:42"/>
    <s v="2025-12-03 11:09:42"/>
    <n v="70143147"/>
    <s v="JORGE ELIECER ESCOBAR AGUDELO"/>
    <s v="SIN DATOS"/>
    <s v="3104606186"/>
    <s v="CR 120 D CL 39 FD -95 (INTERIOR 4 )"/>
    <x v="0"/>
    <s v="083220409640950004"/>
    <s v="Medellín"/>
    <x v="0"/>
    <s v="Habilitación Viviendas Metrosur"/>
    <x v="1"/>
    <n v="5"/>
    <s v="2025-12-11 11:09:42"/>
    <s v="2 días 11:09"/>
    <s v="3 días 11:09"/>
    <x v="0"/>
    <s v="SIN DATO"/>
    <s v="SIN DATO"/>
    <s v="SIN DATO"/>
    <s v="ABIERTO"/>
    <n v="-75.630487639999998"/>
    <n v="6.25545726"/>
    <s v="SUR-ENE"/>
    <s v="Metropolitana Sur"/>
  </r>
  <r>
    <s v="23606296"/>
    <s v="ENERES"/>
    <s v="NUEVO"/>
    <s v="ENERES"/>
    <s v="03/12/2025 11:13:10"/>
    <s v="2025-12-03 11:13:10"/>
    <n v="71674610"/>
    <s v="GUILLERMO DUQUE"/>
    <s v="SIN DATOS"/>
    <s v="3170708020"/>
    <s v="CR 31 A CL 34 B -8 (INTERIOR 201 )"/>
    <x v="0"/>
    <s v="053321104200080201"/>
    <s v="Medellín"/>
    <x v="1"/>
    <s v="Revisor Instal. Regadas Metrosur"/>
    <x v="1"/>
    <n v="7"/>
    <s v="2025-12-15 11:13:10"/>
    <s v="2 días 11:13"/>
    <s v="5 días 11:13"/>
    <x v="0"/>
    <s v="SIN DATO"/>
    <s v="SIN DATO"/>
    <s v="SIN DATO"/>
    <s v="ABIERTO"/>
    <n v="-75.558787330000001"/>
    <n v="6.23203935"/>
    <s v="SUR-ENE"/>
    <s v="Metropolitana Sur"/>
  </r>
  <r>
    <s v="23606305"/>
    <s v="ENERES"/>
    <s v="NUEVO"/>
    <s v="ENERES"/>
    <s v="03/12/2025 11:18:36"/>
    <s v="2025-12-03 11:18:36"/>
    <n v="4345430"/>
    <s v="RICARDO HARVEY SALAZAR VASQUEZ"/>
    <s v="SIN DATOS"/>
    <s v="3146786339"/>
    <s v="RURAL_122022600000000102_SANTA ELENA PARTE CENTRAL"/>
    <x v="0"/>
    <s v="122022600000000102"/>
    <s v="Medellín"/>
    <x v="1"/>
    <s v="Revisor Instal. Regadas Metrosur"/>
    <x v="0"/>
    <n v="10"/>
    <s v="2025-12-18 11:18:36"/>
    <s v="2 días 11:18"/>
    <s v="8 días 11:18"/>
    <x v="0"/>
    <s v="SIN DATO"/>
    <s v="SIN DATO"/>
    <s v="SIN DATO"/>
    <s v="ABIERTO"/>
    <n v="-75.503305839999996"/>
    <n v="6.2161920799999999"/>
    <s v="SUR-ENE"/>
    <s v="Metropolitana Sur"/>
  </r>
  <r>
    <s v="23606313"/>
    <s v="ENERES"/>
    <s v="NUEVO"/>
    <s v="ENEDOM"/>
    <s v="03/12/2025 11:27:12"/>
    <s v="2025-12-03 11:27:12"/>
    <n v="71291917"/>
    <s v="SERGIO ADRIAN NOREÑA LOPERA"/>
    <s v="SIN DATOS"/>
    <s v="3137945819"/>
    <s v="RURAL_163017139600000201_LOS ZULETAS"/>
    <x v="1"/>
    <s v="163017139600000201"/>
    <s v="Itaguí"/>
    <x v="0"/>
    <s v="Habilitación Viviendas Metrosur"/>
    <x v="1"/>
    <n v="5"/>
    <s v="2025-12-11 11:27:12"/>
    <s v="2 días 11:27"/>
    <s v="3 días 11:27"/>
    <x v="0"/>
    <s v="SIN DATO"/>
    <s v="SIN DATO"/>
    <s v="SIN DATO"/>
    <s v="ABIERTO"/>
    <n v="-75.615575879999994"/>
    <n v="6.1780693500000003"/>
    <s v="SUR-ENE"/>
    <s v="Metropolitana Sur"/>
  </r>
  <r>
    <s v="23606320"/>
    <s v="ENERES"/>
    <s v="NUEVO"/>
    <s v="ENEDOM"/>
    <s v="03/12/2025 11:30:19"/>
    <s v="2025-12-03 11:30:19"/>
    <n v="70143147"/>
    <s v="JORGE ELIECER ESCOBAR AGUDELO"/>
    <s v="SIN DATOS"/>
    <s v="3104606186"/>
    <s v="CR 120 D CL 39 FD -95 (INTERIOR 5 )"/>
    <x v="0"/>
    <s v="083220409640950005"/>
    <s v="Medellín"/>
    <x v="0"/>
    <s v="Habilitación Viviendas Metrosur"/>
    <x v="1"/>
    <n v="5"/>
    <s v="2025-12-11 11:30:19"/>
    <s v="2 días 11:30"/>
    <s v="3 días 11:30"/>
    <x v="0"/>
    <s v="SIN DATO"/>
    <s v="SIN DATO"/>
    <s v="SIN DATO"/>
    <s v="ABIERTO"/>
    <n v="-75.630487639999998"/>
    <n v="6.25545726"/>
    <s v="SUR-ENE"/>
    <s v="Metropolitana Sur"/>
  </r>
  <r>
    <s v="23606323"/>
    <s v="ENERES"/>
    <s v="NUEVO"/>
    <s v="ENEDOM"/>
    <s v="03/12/2025 11:33:29"/>
    <s v="2025-12-03 11:33:29"/>
    <n v="1042770681"/>
    <s v="YULIANA ANDREA CHAVARRIA"/>
    <s v="SIN DATOS"/>
    <s v="3126404835"/>
    <s v="CL 57 E CR 85 D -24 (INTERIOR 125 )"/>
    <x v="0"/>
    <s v="055817505400240125"/>
    <s v="Medellín"/>
    <x v="0"/>
    <s v="Habilitación Viviendas Metrosur"/>
    <x v="1"/>
    <n v="5"/>
    <s v="2025-12-11 11:33:29"/>
    <s v="2 días 11:33"/>
    <s v="3 días 11:33"/>
    <x v="0"/>
    <s v="SIN DATO"/>
    <s v="SIN DATO"/>
    <s v="SIN DATO"/>
    <s v="ABIERTO"/>
    <n v="-75.600306360000005"/>
    <n v="6.2728398800000003"/>
    <s v="SUR-ENE"/>
    <s v="Metropolitana Sur"/>
  </r>
  <r>
    <s v="23606335"/>
    <s v="ENERES"/>
    <s v="NUEVO"/>
    <s v="ENEDOM"/>
    <s v="03/12/2025 11:43:57"/>
    <s v="2025-12-03 11:43:57"/>
    <n v="71291917"/>
    <s v="SERGIO ADRIAN NOREÑA LOPERA"/>
    <s v="SIN DATOS"/>
    <s v="3137945819"/>
    <s v="RURAL_163017139600000301_LOS ZULETAS"/>
    <x v="1"/>
    <s v="163017139600000301"/>
    <s v="Itaguí"/>
    <x v="0"/>
    <s v="Habilitación Viviendas Metrosur"/>
    <x v="1"/>
    <n v="5"/>
    <s v="2025-12-11 11:43:57"/>
    <s v="2 días 11:43"/>
    <s v="3 días 11:43"/>
    <x v="0"/>
    <s v="SIN DATO"/>
    <s v="SIN DATO"/>
    <s v="SIN DATO"/>
    <s v="ABIERTO"/>
    <n v="-75.615575879999994"/>
    <n v="6.1780693500000003"/>
    <s v="SUR-ENE"/>
    <s v="Metropolitana Sur"/>
  </r>
  <r>
    <s v="23606339"/>
    <s v="ENERES"/>
    <s v="NUEVO"/>
    <s v="ENEDOM"/>
    <s v="03/12/2025 11:47:28"/>
    <s v="2025-12-03 11:47:28"/>
    <n v="43192349"/>
    <s v="YOHANNA ASTRID OSORIO VELEZ"/>
    <s v="3717927"/>
    <s v="3206627323"/>
    <s v="RURAL_163017139600000202_LOS ZULETAS"/>
    <x v="1"/>
    <s v="163017139600000202"/>
    <s v="Itaguí"/>
    <x v="0"/>
    <s v="Habilitación Viviendas Metrosur"/>
    <x v="1"/>
    <n v="5"/>
    <s v="2025-12-11 11:47:28"/>
    <s v="2 días 11:47"/>
    <s v="3 días 11:47"/>
    <x v="0"/>
    <s v="SIN DATO"/>
    <s v="SIN DATO"/>
    <s v="SIN DATO"/>
    <s v="ABIERTO"/>
    <n v="-75.615575879999994"/>
    <n v="6.1780693500000003"/>
    <s v="SUR-ENE"/>
    <s v="Metropolitana Sur"/>
  </r>
  <r>
    <s v="23606341"/>
    <s v="ENECNX"/>
    <s v="NUEVO"/>
    <s v="ENECNX"/>
    <s v="03/12/2025 11:49:21"/>
    <s v="2025-12-03 11:49:21"/>
    <n v="98707797"/>
    <s v="ANDRES BOTERO GARCIA"/>
    <s v="SIN DATOS"/>
    <s v="3169932803"/>
    <s v="CL 60 CR 74 A -174 (INTERIOR 301 )"/>
    <x v="0"/>
    <s v="056710004101740301"/>
    <s v="Medellín"/>
    <x v="4"/>
    <s v="Revisor Puntos de Conexión Metrosur"/>
    <x v="1"/>
    <n v="4"/>
    <s v="2025-12-10 11:49:21"/>
    <s v="2 días 11:49"/>
    <s v="2 días 11:49"/>
    <x v="1"/>
    <s v="SIN DATO"/>
    <s v="SIN DATO"/>
    <s v="SIN DATO"/>
    <s v="ABIERTO"/>
    <n v="-75.589244390000005"/>
    <n v="6.2669338799999998"/>
    <s v="SUR-ENE"/>
    <s v="Metropolitana Sur"/>
  </r>
  <r>
    <s v="23606343"/>
    <s v="ENERES"/>
    <s v="NUEVO"/>
    <s v="ENEDOM"/>
    <s v="03/12/2025 11:49:54"/>
    <s v="2025-12-03 11:49:54"/>
    <n v="1038768844"/>
    <s v="LUZ MARINA SEPULVEDA LONDOÑO"/>
    <s v="SIN DATOS"/>
    <s v="3217235843"/>
    <s v="RURAL_163017268000000114"/>
    <x v="1"/>
    <s v="163017268000000114"/>
    <s v="Itaguí"/>
    <x v="0"/>
    <s v="Habilitación Viviendas Metrosur"/>
    <x v="1"/>
    <n v="5"/>
    <s v="2025-12-11 11:49:54"/>
    <s v="2 días 11:49"/>
    <s v="3 días 11:49"/>
    <x v="0"/>
    <s v="SIN DATO"/>
    <s v="SIN DATO"/>
    <s v="SIN DATO"/>
    <s v="ABIERTO"/>
    <n v="-75.615620010000001"/>
    <n v="6.1784100100000003"/>
    <s v="SUR-ENE"/>
    <s v="Metropolitana Sur"/>
  </r>
  <r>
    <s v="23606345"/>
    <s v="ENERES"/>
    <s v="NUEVO"/>
    <s v="ENEDOM"/>
    <s v="03/12/2025 11:50:01"/>
    <s v="2025-12-03 11:50:01"/>
    <n v="70143147"/>
    <s v="JORGE ELIECER ESCOBAR AGUDELO"/>
    <s v="SIN DATOS"/>
    <s v="3104606186"/>
    <s v="CR 120 D CL 39 FD -95 (INTERIOR 6 )"/>
    <x v="0"/>
    <s v="083220409640950006"/>
    <s v="Medellín"/>
    <x v="0"/>
    <s v="Habilitación Viviendas Metrosur"/>
    <x v="1"/>
    <n v="5"/>
    <s v="2025-12-11 11:50:01"/>
    <s v="2 días 11:50"/>
    <s v="3 días 11:50"/>
    <x v="0"/>
    <s v="SIN DATO"/>
    <s v="SIN DATO"/>
    <s v="SIN DATO"/>
    <s v="ABIERTO"/>
    <n v="-75.630487639999998"/>
    <n v="6.25545726"/>
    <s v="SUR-ENE"/>
    <s v="Metropolitana Sur"/>
  </r>
  <r>
    <s v="23606350"/>
    <s v="ENEPRE"/>
    <s v="RETIR"/>
    <s v="ENEPRE"/>
    <s v="03/12/2025 11:53:53"/>
    <s v="2025-12-03 11:53:53"/>
    <n v="1037602208"/>
    <s v="ALBERTO DE JESUS JIMENEZ GUZMAN"/>
    <s v="SIN DATOS"/>
    <s v="3017978988"/>
    <s v="CR 50 C CL 61 -83"/>
    <x v="0"/>
    <s v="056520301000830000-ENEPRE"/>
    <s v="Medellín"/>
    <x v="10"/>
    <s v="Energía Prepago Metrosur"/>
    <x v="1"/>
    <n v="11"/>
    <s v="2025-12-19 11:53:53"/>
    <s v="2 días 11:53"/>
    <s v="9 días 11:53"/>
    <x v="0"/>
    <s v="SIN DATO"/>
    <s v="SIN DATO"/>
    <s v="SIN DATO"/>
    <s v="ABIERTO"/>
    <n v="-75.563882269999993"/>
    <n v="6.2596796000000001"/>
    <s v="SUR-ENE"/>
    <s v="Metropolitana Sur"/>
  </r>
  <r>
    <s v="23606351"/>
    <s v="ENERES"/>
    <s v="NUEVO"/>
    <s v="ENERES"/>
    <s v="03/12/2025 11:54:02"/>
    <s v="2025-12-03 11:54:02"/>
    <n v="42870318"/>
    <s v="LUZ MARINA MARIN VALENCIA"/>
    <s v="4539142"/>
    <s v="3146282299"/>
    <s v="CL 9 A SUR CR 56 D -21 (INTERIOR 211 )"/>
    <x v="0"/>
    <s v="040519106400210211"/>
    <s v="Medellín"/>
    <x v="1"/>
    <s v="Revisor Instal. Regadas Metrosur"/>
    <x v="1"/>
    <n v="7"/>
    <s v="2025-12-15 11:54:02"/>
    <s v="2 días 11:54"/>
    <s v="5 días 11:54"/>
    <x v="0"/>
    <s v="SIN DATO"/>
    <s v="SIN DATO"/>
    <s v="SIN DATO"/>
    <s v="ABIERTO"/>
    <n v="-75.595949000000005"/>
    <n v="6.201816"/>
    <s v="SUR-ENE"/>
    <s v="Metropolitana Sur"/>
  </r>
  <r>
    <s v="23606352"/>
    <s v="ENEPRE"/>
    <s v="RETIR"/>
    <s v="ENEPRE"/>
    <s v="03/12/2025 11:54:09"/>
    <s v="2025-12-03 11:54:09"/>
    <n v="15432150"/>
    <s v="AMADO DE JESUS MARTINEZ MARTINEZ"/>
    <s v="SIN DATOS"/>
    <s v="3116170533"/>
    <s v="RURAL_122003570000000000_122003570000000000"/>
    <x v="0"/>
    <s v="122003570000000000-ENEPRE"/>
    <s v="Medellín"/>
    <x v="10"/>
    <s v="Energía Prepago Metrosur"/>
    <x v="0"/>
    <n v="11"/>
    <s v="2025-12-19 11:54:09"/>
    <s v="2 días 11:54"/>
    <s v="9 días 11:54"/>
    <x v="0"/>
    <s v="SIN DATO"/>
    <s v="SIN DATO"/>
    <s v="SIN DATO"/>
    <s v="ABIERTO"/>
    <n v="-75.521034470000004"/>
    <n v="6.2325751199999999"/>
    <s v="SUR-ENE"/>
    <s v="Metropolitana Sur"/>
  </r>
  <r>
    <s v="23606355"/>
    <s v="ENERES"/>
    <s v="NUEVO"/>
    <s v="ENEDOM"/>
    <s v="03/12/2025 11:55:37"/>
    <s v="2025-12-03 11:55:37"/>
    <n v="71652554"/>
    <s v="JESUS ALBERTO CHAVERRA VARGAS"/>
    <s v="SIN DATOS"/>
    <s v="3147577814"/>
    <s v="CR 65 G CL 23 -11 (INTERIOR 302 )"/>
    <x v="0"/>
    <s v="052625703000110302"/>
    <s v="Medellín"/>
    <x v="0"/>
    <s v="Habilitación Viviendas Metrosur"/>
    <x v="1"/>
    <n v="5"/>
    <s v="2025-12-11 11:55:37"/>
    <s v="2 días 11:55"/>
    <s v="3 días 11:55"/>
    <x v="0"/>
    <s v="SIN DATO"/>
    <s v="SIN DATO"/>
    <s v="SIN DATO"/>
    <s v="ABIERTO"/>
    <n v="-75.586228899999995"/>
    <n v="6.2236543700000002"/>
    <s v="SUR-ENE"/>
    <s v="Metropolitana Sur"/>
  </r>
  <r>
    <s v="23606368"/>
    <s v="ENERES"/>
    <s v="NUEVO"/>
    <s v="ENEDOM"/>
    <s v="03/12/2025 12:14:26"/>
    <s v="2025-12-03 12:14:26"/>
    <n v="70143147"/>
    <s v="JORGE ELIECER ESCOBAR AGUDELO"/>
    <s v="SIN DATOS"/>
    <s v="3104606186"/>
    <s v="CR 120 D CL 39 FD -95 (INTERIOR 7 )"/>
    <x v="0"/>
    <s v="083220409640950007"/>
    <s v="Medellín"/>
    <x v="0"/>
    <s v="Habilitación Viviendas Metrosur"/>
    <x v="1"/>
    <n v="5"/>
    <s v="2025-12-11 12:14:26"/>
    <s v="2 días 12:14"/>
    <s v="3 días 12:14"/>
    <x v="0"/>
    <s v="SIN DATO"/>
    <s v="SIN DATO"/>
    <s v="SIN DATO"/>
    <s v="ABIERTO"/>
    <n v="-75.630487639999998"/>
    <n v="6.25545726"/>
    <s v="SUR-ENE"/>
    <s v="Metropolitana Sur"/>
  </r>
  <r>
    <s v="23606372"/>
    <s v="ENERES"/>
    <s v="NUEVO"/>
    <s v="ENERES"/>
    <s v="03/12/2025 12:19:52"/>
    <s v="2025-12-03 12:19:52"/>
    <n v="1128461046"/>
    <s v="AURA CRISTINA CANO GUZMAN"/>
    <s v="SIN DATOS"/>
    <s v="3114762063"/>
    <s v="CR 83 CL 37 B SUR -13 (INTERIOR 301 )"/>
    <x v="0"/>
    <s v="043823007200130301"/>
    <s v="Medellín"/>
    <x v="1"/>
    <s v="METROSUR Vin. Leg. Ref. Concentrada"/>
    <x v="1"/>
    <n v="7"/>
    <s v="2025-12-15 12:19:52"/>
    <s v="2 días 12:19"/>
    <s v="5 días 12:19"/>
    <x v="0"/>
    <s v="SIN DATO"/>
    <s v="SIN DATO"/>
    <s v="SIN DATO"/>
    <s v="ABIERTO"/>
    <n v="-75.659795380000006"/>
    <n v="6.1874647700000001"/>
    <s v="SUR-ENE"/>
    <s v="Metropolitana Sur"/>
  </r>
  <r>
    <s v="23606385"/>
    <s v="ENERES"/>
    <s v="NUEVO"/>
    <s v="ENEDOM"/>
    <s v="03/12/2025 12:31:58"/>
    <s v="2025-12-03 12:31:58"/>
    <n v="31858406"/>
    <s v="MARIA ERNESTINA TORRES BENITEZ"/>
    <s v="SIN DATOS"/>
    <s v="3127640090"/>
    <s v="CL 57 CR 7 -0 (INTERIOR 121 )"/>
    <x v="0"/>
    <s v="055017007000000121"/>
    <s v="Medellín"/>
    <x v="0"/>
    <s v="Habilitación Viviendas Metrosur"/>
    <x v="1"/>
    <n v="5"/>
    <s v="2025-12-11 12:31:58"/>
    <s v="2 días 12:31"/>
    <s v="3 días 12:31"/>
    <x v="0"/>
    <s v="SIN DATO"/>
    <s v="SIN DATO"/>
    <s v="SIN DATO"/>
    <s v="ABIERTO"/>
    <n v="-75.533365559999993"/>
    <n v="6.2352789399999997"/>
    <s v="SUR-ENE"/>
    <s v="Metropolitana Sur"/>
  </r>
  <r>
    <s v="23606386"/>
    <s v="ENERES"/>
    <s v="NUEVO"/>
    <s v="ENERES"/>
    <s v="03/12/2025 12:32:23"/>
    <s v="2025-12-03 12:32:23"/>
    <n v="1128461046"/>
    <s v="AURA CRISTINA CANO GUZMAN"/>
    <s v="SIN DATOS"/>
    <s v="3114762063"/>
    <s v="CR 83 CL 37 B SUR -13 (INTERIOR 201 )"/>
    <x v="0"/>
    <s v="043823007200130201"/>
    <s v="Medellín"/>
    <x v="1"/>
    <s v="METROSUR Vin. Leg. Ref. Concentrada"/>
    <x v="1"/>
    <n v="7"/>
    <s v="2025-12-15 12:32:23"/>
    <s v="2 días 12:32"/>
    <s v="5 días 12:32"/>
    <x v="0"/>
    <s v="SIN DATO"/>
    <s v="SIN DATO"/>
    <s v="SIN DATO"/>
    <s v="ABIERTO"/>
    <n v="-75.659795380000006"/>
    <n v="6.1874647700000001"/>
    <s v="SUR-ENE"/>
    <s v="Metropolitana Sur"/>
  </r>
  <r>
    <s v="23606389"/>
    <s v="ENERES"/>
    <s v="NUEVO"/>
    <s v="ENEDOM"/>
    <s v="03/12/2025 12:33:54"/>
    <s v="2025-12-03 12:33:54"/>
    <n v="70600622"/>
    <s v="OSCAR HERNAN HENAO JARAMILLO"/>
    <s v="SIN DATOS"/>
    <s v="3137437546"/>
    <s v="CL 48 B CR 107 B -29 (INTERIOR 9960 )"/>
    <x v="0"/>
    <s v="084018207200299960"/>
    <s v="Medellín"/>
    <x v="0"/>
    <s v="Habilitación Viviendas Metrosur"/>
    <x v="1"/>
    <n v="5"/>
    <s v="2025-12-11 12:33:54"/>
    <s v="2 días 12:33"/>
    <s v="3 días 12:33"/>
    <x v="0"/>
    <s v="SIN DATO"/>
    <s v="SIN DATO"/>
    <s v="SIN DATO"/>
    <s v="ABIERTO"/>
    <n v="-75.621615579999997"/>
    <n v="6.2598510300000001"/>
    <s v="SUR-ENE"/>
    <s v="Metropolitana Sur"/>
  </r>
  <r>
    <s v="23606391"/>
    <s v="ENERES"/>
    <s v="NUEVO"/>
    <s v="ENEDOM"/>
    <s v="03/12/2025 12:41:04"/>
    <s v="2025-12-03 12:41:04"/>
    <n v="71652554"/>
    <s v="JESUS ALBERTO CHAVERRA VARGAS"/>
    <s v="SIN DATOS"/>
    <s v="3147577814"/>
    <s v="CR 65 G CL 23 -11 (INTERIOR 1 )"/>
    <x v="0"/>
    <s v="052625703000110001"/>
    <s v="Medellín"/>
    <x v="0"/>
    <s v="Habilitación Viviendas Metrosur"/>
    <x v="1"/>
    <n v="5"/>
    <s v="2025-12-11 12:41:04"/>
    <s v="2 días 12:41"/>
    <s v="3 días 12:41"/>
    <x v="0"/>
    <s v="SIN DATO"/>
    <s v="SIN DATO"/>
    <s v="SIN DATO"/>
    <s v="ABIERTO"/>
    <n v="-75.586228899999995"/>
    <n v="6.2236543700000002"/>
    <s v="SUR-ENE"/>
    <s v="Metropolitana Sur"/>
  </r>
  <r>
    <s v="23606412"/>
    <s v="ENERES"/>
    <s v="NUEVO"/>
    <s v="ENERES"/>
    <s v="03/12/2025 13:10:23"/>
    <s v="2025-12-03 13:10:23"/>
    <n v="1152437950"/>
    <s v="NATALIA LONDOÑO GIRALDO"/>
    <s v="SIN DATOS"/>
    <s v="3005476657"/>
    <s v="CL 1 CR 65 A -38"/>
    <x v="0"/>
    <s v="050611005100380000"/>
    <s v="Medellín"/>
    <x v="1"/>
    <s v="METROSUR Vin. Leg. Ref. Concentrada"/>
    <x v="1"/>
    <n v="7"/>
    <s v="2025-12-15 13:10:23"/>
    <s v="2 días 13:10"/>
    <s v="5 días 13:10"/>
    <x v="0"/>
    <s v="SIN DATO"/>
    <s v="SIN DATO"/>
    <s v="SIN DATO"/>
    <s v="ABIERTO"/>
    <n v="-75.589552389999994"/>
    <n v="6.2090949999999996"/>
    <s v="SUR-ENE"/>
    <s v="Metropolitana Sur"/>
  </r>
  <r>
    <s v="23606413"/>
    <s v="ENEMRT"/>
    <s v="NUEVO"/>
    <s v="ENEMVI"/>
    <s v="03/12/2025 13:11:46"/>
    <s v="2025-12-03 13:11:46"/>
    <n v="1036636154"/>
    <s v="LEIDI VIVIANA ALVAREZ SOTO"/>
    <s v="SIN DATOS"/>
    <s v="3505073669"/>
    <s v="RURAL_161096613000000000_RURAL CALDAS LA CLARA"/>
    <x v="3"/>
    <s v="161096613000000000"/>
    <s v="Caldas"/>
    <x v="9"/>
    <s v="Mov Red Trans Dairo Gil"/>
    <x v="0"/>
    <n v="14"/>
    <s v="2025-12-24 13:11:46"/>
    <s v="2 días 13:11"/>
    <s v="12 días 13:11"/>
    <x v="0"/>
    <s v="SIN DATO"/>
    <s v="SIN DATO"/>
    <s v="SIN DATO"/>
    <s v="ABIERTO"/>
    <n v="-75.625712309999997"/>
    <n v="6.0528439199999999"/>
    <s v="SUR-ENE"/>
    <s v="Metropolitana Sur"/>
  </r>
  <r>
    <s v="23606416"/>
    <s v="ENEMRT"/>
    <s v="NUEVO"/>
    <s v="ENEMVI"/>
    <s v="03/12/2025 13:13:07"/>
    <s v="2025-12-03 13:13:07"/>
    <n v="43559017"/>
    <s v="MARIA NURY JARAMILLO ESPINOSA"/>
    <s v="SIN DATOS"/>
    <s v="3215665839"/>
    <s v="CL 54 B CR 6 ESTE -36"/>
    <x v="0"/>
    <s v="705014206000360000"/>
    <s v="Medellín"/>
    <x v="9"/>
    <s v="METR Mov Red Trans Anderson Castaño"/>
    <x v="1"/>
    <n v="9"/>
    <s v="2025-12-17 13:13:07"/>
    <s v="2 días 13:13"/>
    <s v="7 días 13:13"/>
    <x v="0"/>
    <s v="SIN DATO"/>
    <s v="SIN DATO"/>
    <s v="SIN DATO"/>
    <s v="ABIERTO"/>
    <n v="-75.526892419999996"/>
    <n v="6.2341440199999996"/>
    <s v="SUR-ENE"/>
    <s v="Metropolitana Sur"/>
  </r>
  <r>
    <s v="23606417"/>
    <s v="ENERES"/>
    <s v="NUEVO"/>
    <s v="ENEDOM"/>
    <s v="03/12/2025 13:13:30"/>
    <s v="2025-12-03 13:13:30"/>
    <n v="71705658"/>
    <s v="CONRADO ALIRIO DAVID SALAS"/>
    <s v="SIN DATOS"/>
    <s v="3005940527"/>
    <s v="CL 56 FB CR 18 A -19 (INTERIOR 338 )"/>
    <x v="0"/>
    <s v="055116628100190338"/>
    <s v="Medellín"/>
    <x v="0"/>
    <s v="Habilitación Viviendas Metrosur"/>
    <x v="1"/>
    <n v="5"/>
    <s v="2025-12-11 13:13:30"/>
    <s v="2 días 13:13"/>
    <s v="3 días 13:13"/>
    <x v="0"/>
    <s v="SIN DATO"/>
    <s v="SIN DATO"/>
    <s v="SIN DATO"/>
    <s v="ABIERTO"/>
    <n v="-75.539771810000005"/>
    <n v="6.2476672000000004"/>
    <s v="SUR-ENE"/>
    <s v="Metropolitana Sur"/>
  </r>
  <r>
    <s v="23606420"/>
    <s v="ENERES"/>
    <s v="NUEVO"/>
    <s v="ENERES"/>
    <s v="03/12/2025 13:14:54"/>
    <s v="2025-12-03 13:14:54"/>
    <n v="1017182604"/>
    <s v="YESICA MARIA SUAREZ MARQUEZ"/>
    <s v="SIN DATOS"/>
    <s v="3239467772"/>
    <s v="CR 20 CL 56 -14 (INTERIOR 201 )"/>
    <x v="0"/>
    <s v="055220006000140201"/>
    <s v="Medellín"/>
    <x v="1"/>
    <s v="Revisor Instal. Regadas Metrosur"/>
    <x v="1"/>
    <n v="7"/>
    <s v="2025-12-15 13:14:54"/>
    <s v="2 días 13:14"/>
    <s v="5 días 13:14"/>
    <x v="0"/>
    <s v="SIN DATO"/>
    <s v="SIN DATO"/>
    <s v="SIN DATO"/>
    <s v="ABIERTO"/>
    <n v="-75.543380749999997"/>
    <n v="6.2395687200000003"/>
    <s v="SUR-ENE"/>
    <s v="Metropolitana Sur"/>
  </r>
  <r>
    <s v="23606453"/>
    <s v="ENERES"/>
    <s v="NUEVO"/>
    <s v="ENEDOM"/>
    <s v="03/12/2025 13:33:39"/>
    <s v="2025-12-03 13:33:39"/>
    <n v="43751938"/>
    <s v="MARINELLA CANO ALVAREZ"/>
    <s v="SIN DATOS"/>
    <s v="3003631908"/>
    <s v="CR 2 C CL 54 -68 (INTERIOR 201 )"/>
    <x v="0"/>
    <s v="055022304000680201"/>
    <s v="Medellín"/>
    <x v="0"/>
    <s v="Habilitación Viviendas Metrosur"/>
    <x v="1"/>
    <n v="5"/>
    <s v="2025-12-11 13:33:39"/>
    <s v="2 días 13:33"/>
    <s v="3 días 13:33"/>
    <x v="0"/>
    <s v="SIN DATO"/>
    <s v="SIN DATO"/>
    <s v="SIN DATO"/>
    <s v="ABIERTO"/>
    <n v="-75.531335679999998"/>
    <n v="6.2323920599999996"/>
    <s v="SUR-ENE"/>
    <s v="Metropolitana Sur"/>
  </r>
  <r>
    <s v="23606457"/>
    <s v="ENERES"/>
    <s v="NUEVO"/>
    <s v="ENEDOM"/>
    <s v="03/12/2025 13:39:04"/>
    <s v="2025-12-03 13:39:04"/>
    <n v="32322253"/>
    <s v="NUBIA DE JESUS SUAREZ AGUDELO"/>
    <s v="6007085"/>
    <s v="3113948386"/>
    <s v="RURAL_146024041000000101"/>
    <x v="0"/>
    <s v="146024041000000101"/>
    <s v="Medellín"/>
    <x v="0"/>
    <s v="Habilitación Viviendas Metrosur"/>
    <x v="0"/>
    <n v="8"/>
    <s v="2025-12-16 13:39:04"/>
    <s v="2 días 13:39"/>
    <s v="6 días 13:39"/>
    <x v="0"/>
    <s v="SIN DATO"/>
    <s v="SIN DATO"/>
    <s v="SIN DATO"/>
    <s v="ABIERTO"/>
    <n v="-75.70480483"/>
    <n v="6.3533510099999999"/>
    <s v="SUR-ENE"/>
    <s v="Metropolitana Sur"/>
  </r>
  <r>
    <s v="23606460"/>
    <s v="ENERES"/>
    <s v="NUEVO"/>
    <s v="ENEDOM"/>
    <s v="03/12/2025 13:44:19"/>
    <s v="2025-12-03 13:44:19"/>
    <n v="32322253"/>
    <s v="NUBIA DE JESUS SUAREZ AGUDELO"/>
    <s v="6007085"/>
    <s v="3113948386"/>
    <s v="RURAL_146024041000000102"/>
    <x v="0"/>
    <s v="146024041000000102"/>
    <s v="Medellín"/>
    <x v="0"/>
    <s v="Habilitación Viviendas Metrosur"/>
    <x v="0"/>
    <n v="8"/>
    <s v="2025-12-16 13:44:19"/>
    <s v="2 días 13:44"/>
    <s v="6 días 13:44"/>
    <x v="0"/>
    <s v="SIN DATO"/>
    <s v="SIN DATO"/>
    <s v="SIN DATO"/>
    <s v="ABIERTO"/>
    <n v="-75.70480483"/>
    <n v="6.3533510099999999"/>
    <s v="SUR-ENE"/>
    <s v="Metropolitana Sur"/>
  </r>
  <r>
    <s v="23606466"/>
    <s v="ENERES"/>
    <s v="NUEVO"/>
    <s v="ENEDOM"/>
    <s v="03/12/2025 13:50:08"/>
    <s v="2025-12-03 13:50:08"/>
    <n v="32322253"/>
    <s v="NUBIA DE JESUS SUAREZ AGUDELO"/>
    <s v="6007085"/>
    <s v="3113948386"/>
    <s v="RURAL_146024041000000201"/>
    <x v="0"/>
    <s v="146024041000000201"/>
    <s v="Medellín"/>
    <x v="0"/>
    <s v="Habilitación Viviendas Metrosur"/>
    <x v="0"/>
    <n v="8"/>
    <s v="2025-12-16 13:50:08"/>
    <s v="2 días 13:50"/>
    <s v="6 días 13:50"/>
    <x v="0"/>
    <s v="SIN DATO"/>
    <s v="SIN DATO"/>
    <s v="SIN DATO"/>
    <s v="ABIERTO"/>
    <n v="-75.70480483"/>
    <n v="6.3533510099999999"/>
    <s v="SUR-ENE"/>
    <s v="Metropolitana Sur"/>
  </r>
  <r>
    <s v="23606469"/>
    <s v="ENERES"/>
    <s v="NUEVO"/>
    <s v="ENEDOM"/>
    <s v="03/12/2025 13:54:24"/>
    <s v="2025-12-03 13:54:24"/>
    <n v="24873840"/>
    <s v="YICELA RAYO VARGAS"/>
    <s v="SIN DATOS"/>
    <s v="3235797967"/>
    <s v="CR 99 EB CL 48 BB -25 (INTERIOR 401 )"/>
    <x v="0"/>
    <s v="054929528220250401"/>
    <s v="Medellín"/>
    <x v="0"/>
    <s v="Habilitación Viviendas Metrosur"/>
    <x v="1"/>
    <n v="5"/>
    <s v="2025-12-11 13:54:24"/>
    <s v="2 días 13:54"/>
    <s v="3 días 13:54"/>
    <x v="0"/>
    <s v="SIN DATO"/>
    <s v="SIN DATO"/>
    <s v="SIN DATO"/>
    <s v="ABIERTO"/>
    <n v="-75.616062999999997"/>
    <n v="6.2632500000000002"/>
    <s v="SUR-ENE"/>
    <s v="Metropolitana Sur"/>
  </r>
  <r>
    <s v="23606470"/>
    <s v="ENENOR"/>
    <s v="NUEVO"/>
    <s v="ENENOR"/>
    <s v="03/12/2025 13:54:55"/>
    <s v="2025-12-03 13:54:55"/>
    <n v="43432968"/>
    <s v="GLORIA CECILIA AGUDELO PATIÑO"/>
    <s v="SIN DATOS"/>
    <s v="3012421590"/>
    <s v="TRAN 37 CR 66 A -100"/>
    <x v="0"/>
    <s v="053697006101000000"/>
    <s v="Medellín"/>
    <x v="5"/>
    <s v="Revisor Instal. Regadas Metrosur"/>
    <x v="1"/>
    <n v="7"/>
    <s v="2025-12-15 13:54:55"/>
    <s v="2 días 13:54"/>
    <s v="5 días 13:54"/>
    <x v="0"/>
    <s v="SIN DATO"/>
    <s v="SIN DATO"/>
    <s v="SIN DATO"/>
    <s v="ABIERTO"/>
    <n v="-75.610884501000001"/>
    <n v="6.2574398200000596"/>
    <s v="SUR-ENE"/>
    <s v="Metropolitana Sur"/>
  </r>
  <r>
    <s v="23606512"/>
    <s v="ENERES"/>
    <s v="NUEVO"/>
    <s v="ENEDOM"/>
    <s v="03/12/2025 14:17:09"/>
    <s v="2025-12-03 14:17:09"/>
    <n v="71652554"/>
    <s v="JESUS ALBERTO CHAVERRA VARGAS"/>
    <s v="SIN DATOS"/>
    <s v="3208905886"/>
    <s v="CR 65 G CL 23 -15 (INTERIOR 202 )"/>
    <x v="0"/>
    <s v="052625703000150202"/>
    <s v="Medellín"/>
    <x v="0"/>
    <s v="Habilitación Viviendas Metrosur"/>
    <x v="1"/>
    <n v="5"/>
    <s v="2025-12-11 14:17:09"/>
    <s v="2 días 14:17"/>
    <s v="3 días 14:17"/>
    <x v="0"/>
    <s v="SIN DATO"/>
    <s v="SIN DATO"/>
    <s v="SIN DATO"/>
    <s v="ABIERTO"/>
    <n v="-75.586247799999995"/>
    <n v="6.2236847800000001"/>
    <s v="SUR-ENE"/>
    <s v="Metropolitana Sur"/>
  </r>
  <r>
    <s v="23606513"/>
    <s v="ENERES"/>
    <s v="NUEVO"/>
    <s v="ENEDOM"/>
    <s v="03/12/2025 14:17:13"/>
    <s v="2025-12-03 14:17:13"/>
    <n v="71652554"/>
    <s v="JESUS ALBERTO CHAVERRA VARGAS"/>
    <s v="SIN DATOS"/>
    <s v="3208905886"/>
    <s v="CR 65 G CL 23 -15 (INTERIOR 201 )"/>
    <x v="0"/>
    <s v="052625703000150201"/>
    <s v="Medellín"/>
    <x v="0"/>
    <s v="Habilitación Viviendas Metrosur"/>
    <x v="1"/>
    <n v="5"/>
    <s v="2025-12-11 14:17:13"/>
    <s v="2 días 14:17"/>
    <s v="3 días 14:17"/>
    <x v="0"/>
    <s v="SIN DATO"/>
    <s v="SIN DATO"/>
    <s v="SIN DATO"/>
    <s v="ABIERTO"/>
    <n v="-75.586247799999995"/>
    <n v="6.2236847800000001"/>
    <s v="SUR-ENE"/>
    <s v="Metropolitana Sur"/>
  </r>
  <r>
    <s v="23606516"/>
    <s v="ENERES"/>
    <s v="NUEVO"/>
    <s v="ENEDOM"/>
    <s v="03/12/2025 14:19:39"/>
    <s v="2025-12-03 14:19:39"/>
    <n v="43847238"/>
    <s v="LETICIA MARIA MUÑOZ GOMEZ"/>
    <s v="3870787"/>
    <s v="3105076696"/>
    <s v="RURAL_146024040500000101"/>
    <x v="0"/>
    <s v="146024040500000101"/>
    <s v="Medellín"/>
    <x v="0"/>
    <s v="Habilitación Viviendas Metrosur"/>
    <x v="0"/>
    <n v="8"/>
    <s v="2025-12-16 14:19:39"/>
    <s v="2 días 14:19"/>
    <s v="6 días 14:19"/>
    <x v="0"/>
    <s v="SIN DATO"/>
    <s v="SIN DATO"/>
    <s v="SIN DATO"/>
    <s v="ABIERTO"/>
    <n v="-75.70480483"/>
    <n v="6.3533510099999999"/>
    <s v="SUR-ENE"/>
    <s v="Metropolitana Sur"/>
  </r>
  <r>
    <s v="23606517"/>
    <s v="ENERES"/>
    <s v="NUEVO"/>
    <s v="ENERES"/>
    <s v="03/12/2025 14:20:01"/>
    <s v="2025-12-03 14:20:01"/>
    <n v="1017236342"/>
    <s v="SALOME CANO PANIAGUA"/>
    <s v="SIN DATOS"/>
    <s v="3104184194"/>
    <s v="CL 48 CC CR 120 E -103 (INTERIOR 201 )"/>
    <x v="0"/>
    <s v="084218330501030201"/>
    <s v="Medellín"/>
    <x v="1"/>
    <s v="Revisor Instal. Regadas Metrosur"/>
    <x v="1"/>
    <n v="7"/>
    <s v="2025-12-15 14:20:01"/>
    <s v="2 días 14:20"/>
    <s v="5 días 14:20"/>
    <x v="0"/>
    <s v="SIN DATO"/>
    <s v="SIN DATO"/>
    <s v="SIN DATO"/>
    <s v="ABIERTO"/>
    <n v="-75.627122999999997"/>
    <n v="6.2655779999999996"/>
    <s v="SUR-ENE"/>
    <s v="Metropolitana Sur"/>
  </r>
  <r>
    <s v="23606560"/>
    <s v="ENERES"/>
    <s v="NUEVO"/>
    <s v="ENEDOM"/>
    <s v="03/12/2025 14:36:14"/>
    <s v="2025-12-03 14:36:14"/>
    <n v="32322253"/>
    <s v="NUBIA DE JESUS SUAREZ AGUDELO"/>
    <s v="6007085"/>
    <s v="3113948386"/>
    <s v="RURAL_146024040500000102"/>
    <x v="0"/>
    <s v="146024040500000102"/>
    <s v="Medellín"/>
    <x v="0"/>
    <s v="Habilitación Viviendas Metrosur"/>
    <x v="0"/>
    <n v="8"/>
    <s v="2025-12-16 14:36:14"/>
    <s v="2 días 14:36"/>
    <s v="6 días 14:36"/>
    <x v="0"/>
    <s v="SIN DATO"/>
    <s v="SIN DATO"/>
    <s v="SIN DATO"/>
    <s v="ABIERTO"/>
    <n v="-75.70480483"/>
    <n v="6.3533510099999999"/>
    <s v="SUR-ENE"/>
    <s v="Metropolitana Sur"/>
  </r>
  <r>
    <s v="23606577"/>
    <s v="ENEPRE"/>
    <s v="NUEVO"/>
    <s v="ENEPRE"/>
    <s v="03/12/2025 14:39:49"/>
    <s v="2025-12-03 14:39:49"/>
    <n v="1002642678"/>
    <s v="LAURA MARCELA CARMONA ROMAN"/>
    <s v="SIN DATOS"/>
    <s v="3137945378"/>
    <s v="CL 12 B CR 111 A -12"/>
    <x v="0"/>
    <s v="081112201100120000"/>
    <s v="Medellín"/>
    <x v="3"/>
    <s v="Energía Prepago Metrosur"/>
    <x v="1"/>
    <n v="11"/>
    <s v="2025-12-19 14:39:49"/>
    <s v="2 días 14:39"/>
    <s v="9 días 14:39"/>
    <x v="0"/>
    <s v="SIN DATO"/>
    <s v="SIN DATO"/>
    <s v="SIN DATO"/>
    <s v="ABIERTO"/>
    <n v="-75.634675000000001"/>
    <n v="6.2192679999999996"/>
    <s v="SUR-ENE"/>
    <s v="Metropolitana Sur"/>
  </r>
  <r>
    <s v="23606581"/>
    <s v="ENERES"/>
    <s v="NUEVO"/>
    <s v="ENEDOM"/>
    <s v="03/12/2025 14:42:03"/>
    <s v="2025-12-03 14:42:03"/>
    <n v="32322253"/>
    <s v="NUBIA DE JESUS SUAREZ AGUDELO"/>
    <s v="6007085"/>
    <s v="3113948386"/>
    <s v="RURAL_146024042000000000"/>
    <x v="0"/>
    <s v="146024042000000000"/>
    <s v="Medellín"/>
    <x v="0"/>
    <s v="Habilitación Viviendas Metrosur"/>
    <x v="0"/>
    <n v="8"/>
    <s v="2025-12-16 14:42:03"/>
    <s v="2 días 14:42"/>
    <s v="6 días 14:42"/>
    <x v="0"/>
    <s v="SIN DATO"/>
    <s v="SIN DATO"/>
    <s v="SIN DATO"/>
    <s v="ABIERTO"/>
    <n v="-75.70480483"/>
    <n v="6.3533510099999999"/>
    <s v="SUR-ENE"/>
    <s v="Metropolitana Sur"/>
  </r>
  <r>
    <s v="23606618"/>
    <s v="ENERES"/>
    <s v="NUEVO"/>
    <s v="ENEDOM"/>
    <s v="03/12/2025 14:51:57"/>
    <s v="2025-12-03 14:51:57"/>
    <n v="1007114502"/>
    <s v="JHOAN FERNANDO MARIN CATAÑO"/>
    <s v="SIN DATOS"/>
    <s v="3246455816"/>
    <s v="CL 48 CR 60 -16 (INTERIOR 3002 )"/>
    <x v="1"/>
    <s v="074618000000160300"/>
    <s v="Itaguí"/>
    <x v="0"/>
    <s v="Habilitación Viviendas Metrosur"/>
    <x v="1"/>
    <n v="5"/>
    <s v="2025-12-11 14:51:57"/>
    <s v="2 días 14:51"/>
    <s v="3 días 14:51"/>
    <x v="0"/>
    <s v="SIN DATO"/>
    <s v="SIN DATO"/>
    <s v="SIN DATO"/>
    <s v="ABIERTO"/>
    <n v="-75.611457939999994"/>
    <n v="6.1795535299999997"/>
    <s v="SUR-ENE"/>
    <s v="Metropolitana Sur"/>
  </r>
  <r>
    <s v="23606653"/>
    <s v="ENERES"/>
    <s v="NUEVO"/>
    <s v="ENEDOM"/>
    <s v="05/12/2025 11:36:01"/>
    <m/>
    <n v="1017252939"/>
    <s v="YULIEDIS SANCHEZ"/>
    <s v="SIN DATOS"/>
    <s v="3117853932"/>
    <s v="CL 24 CR 65 F -12 (INTERIOR 301 )"/>
    <x v="0"/>
    <s v="052614005600123002"/>
    <s v="Medellín"/>
    <x v="2"/>
    <s v="Habilitación Viviendas Metrosur"/>
    <x v="1"/>
    <n v="5"/>
    <m/>
    <m/>
    <m/>
    <x v="3"/>
    <s v="SIN DATO"/>
    <s v="SIN DATO"/>
    <s v="SIN DATO"/>
    <s v="ABIERTO"/>
    <n v="-75.586306120000003"/>
    <n v="6.2245846900000004"/>
    <s v="SUR-ENE"/>
    <s v="Metropolitana Sur"/>
  </r>
  <r>
    <s v="23606666"/>
    <s v="ENECNX"/>
    <s v="NUEVO"/>
    <s v="ENECNX"/>
    <s v="03/12/2025 15:09:34"/>
    <s v="2025-12-03 15:09:34"/>
    <n v="71623798"/>
    <s v="RUBEN DARIO BETANCUR VANEGAS"/>
    <s v="5111683"/>
    <s v="3014091338"/>
    <s v="CL 45 E CR 76 -25"/>
    <x v="0"/>
    <s v="054715506000250000"/>
    <s v="Medellín"/>
    <x v="4"/>
    <s v="Revisor Puntos de Conexión Metrosur"/>
    <x v="1"/>
    <n v="4"/>
    <s v="2025-12-10 15:09:34"/>
    <s v="2 días 15:09"/>
    <s v="2 días 15:09"/>
    <x v="1"/>
    <s v="SIN DATO"/>
    <s v="SIN DATO"/>
    <s v="SIN DATO"/>
    <s v="ABIERTO"/>
    <n v="-75.594087479999999"/>
    <n v="6.2529119700000004"/>
    <s v="SUR-ENE"/>
    <s v="Metropolitana Sur"/>
  </r>
  <r>
    <s v="23606667"/>
    <s v="ENECNX"/>
    <s v="NUEVO"/>
    <s v="ENECNX"/>
    <s v="03/12/2025 15:11:36"/>
    <s v="2025-12-03 15:11:36"/>
    <n v="71623798"/>
    <s v="RUBEN DARIO BETANCUR VANEGAS"/>
    <s v="5111683"/>
    <s v="3014091338"/>
    <s v="CL 45 E CR 76 -25 (INTERIOR 101 )"/>
    <x v="0"/>
    <s v="054715506000250101"/>
    <s v="Medellín"/>
    <x v="4"/>
    <s v="Revisor Puntos de Conexión Metrosur"/>
    <x v="1"/>
    <n v="4"/>
    <s v="2025-12-10 15:11:36"/>
    <s v="2 días 15:11"/>
    <s v="2 días 15:11"/>
    <x v="1"/>
    <s v="SIN DATO"/>
    <s v="SIN DATO"/>
    <s v="SIN DATO"/>
    <s v="ABIERTO"/>
    <n v="-75.594087479999999"/>
    <n v="6.2529119700000004"/>
    <s v="SUR-ENE"/>
    <s v="Metropolitana Sur"/>
  </r>
  <r>
    <s v="23606701"/>
    <s v="ENERES"/>
    <s v="NUEVO"/>
    <s v="ENEDOM"/>
    <s v="03/12/2025 15:21:04"/>
    <s v="2025-12-03 15:21:04"/>
    <n v="98620803"/>
    <s v="RAMIRO GERLEY RESTREPO RESTREPO"/>
    <s v="SIN DATOS"/>
    <s v="3242925452"/>
    <s v="RURAL_163014898000000301_RURAL_163014898000000301"/>
    <x v="1"/>
    <s v="163014898000000301"/>
    <s v="Itaguí"/>
    <x v="0"/>
    <s v="Habilitación Viviendas Metrosur"/>
    <x v="1"/>
    <n v="5"/>
    <s v="2025-12-11 15:21:04"/>
    <s v="2 días 15:21"/>
    <s v="3 días 15:21"/>
    <x v="0"/>
    <s v="SIN DATO"/>
    <s v="SIN DATO"/>
    <s v="SIN DATO"/>
    <s v="ABIERTO"/>
    <n v="-75.617746510000003"/>
    <n v="6.1886747700000004"/>
    <s v="SUR-ENE"/>
    <s v="Metropolitana Sur"/>
  </r>
  <r>
    <s v="23606711"/>
    <s v="ENEMRT"/>
    <s v="NUEVO"/>
    <s v="ENEMVI"/>
    <s v="03/12/2025 15:26:59"/>
    <s v="2025-12-03 15:26:59"/>
    <n v="1128455372"/>
    <s v="LEIDY MAYELA MONTOYA FLOREZ"/>
    <s v="SIN DATOS"/>
    <s v="3042611148"/>
    <s v="RURAL_103043198500000000_103043198500000000"/>
    <x v="0"/>
    <s v="103043198500000000"/>
    <s v="Medellín"/>
    <x v="9"/>
    <s v="METR Mov Red Trans Anderson Castaño"/>
    <x v="1"/>
    <n v="9"/>
    <s v="2025-12-17 15:26:59"/>
    <s v="2 días 15:26"/>
    <s v="7 días 15:26"/>
    <x v="0"/>
    <s v="SIN DATO"/>
    <s v="SIN DATO"/>
    <s v="SIN DATO"/>
    <s v="ABIERTO"/>
    <n v="-75.676962959999997"/>
    <n v="6.19452333"/>
    <s v="SUR-ENE"/>
    <s v="Metropolitana Sur"/>
  </r>
  <r>
    <s v="23606762"/>
    <s v="ENERES"/>
    <s v="NUEVO"/>
    <s v="ENEDOM"/>
    <s v="03/12/2025 15:38:32"/>
    <s v="2025-12-03 15:38:32"/>
    <n v="42895417"/>
    <s v="MARIA EDILMA URREGO"/>
    <s v="5596412"/>
    <s v="3207681758"/>
    <s v="CR 120 D CL 39 FD -80"/>
    <x v="0"/>
    <s v="083220409640800000"/>
    <s v="Medellín"/>
    <x v="0"/>
    <s v="Habilitación Viviendas Metrosur"/>
    <x v="1"/>
    <n v="5"/>
    <s v="2025-12-11 15:38:32"/>
    <s v="2 días 15:38"/>
    <s v="3 días 15:38"/>
    <x v="0"/>
    <s v="SIN DATO"/>
    <s v="SIN DATO"/>
    <s v="SIN DATO"/>
    <s v="ABIERTO"/>
    <n v="-75.630760010000003"/>
    <n v="6.2549950000000001"/>
    <s v="SUR-ENE"/>
    <s v="Metropolitana Sur"/>
  </r>
  <r>
    <s v="23606764"/>
    <s v="ENECNX"/>
    <s v="NUEVO"/>
    <s v="ENECNX"/>
    <s v="03/12/2025 15:41:09"/>
    <s v="2025-12-03 15:41:10"/>
    <n v="71772395"/>
    <s v="IVAN DARIO MORENO MONTOYA"/>
    <s v="5968454"/>
    <s v="3117974607"/>
    <s v="CL 30 CR 81 -132 (INTERIOR 101 )"/>
    <x v="0"/>
    <s v="053810001001320101"/>
    <s v="Medellín"/>
    <x v="4"/>
    <s v="Revisor Puntos de Conexión Metrosur"/>
    <x v="1"/>
    <n v="4"/>
    <s v="2025-12-10 15:41:10"/>
    <s v="2 días 15:41"/>
    <s v="2 días 15:41"/>
    <x v="1"/>
    <s v="SIN DATO"/>
    <s v="SIN DATO"/>
    <s v="SIN DATO"/>
    <s v="ABIERTO"/>
    <n v="-75.603025090000003"/>
    <n v="6.2312577300000003"/>
    <s v="SUR-ENE"/>
    <s v="Metropolitana Sur"/>
  </r>
  <r>
    <s v="23606769"/>
    <s v="ENERES"/>
    <s v="NUEVO"/>
    <s v="ENEDOM"/>
    <s v="03/12/2025 15:42:26"/>
    <s v="2025-12-03 15:42:26"/>
    <n v="98458895"/>
    <s v="JOSE ALBERTO CORREA HOYOS"/>
    <s v="SIN DATOS"/>
    <s v="3147154502"/>
    <s v="CR 18 D CL 57 B -14 (INTERIOR 111 )"/>
    <x v="0"/>
    <s v="055128407200140111"/>
    <s v="Medellín"/>
    <x v="0"/>
    <s v="Habilitación Viviendas Metrosur"/>
    <x v="1"/>
    <n v="5"/>
    <s v="2025-12-11 15:42:26"/>
    <s v="2 días 15:42"/>
    <s v="3 días 15:42"/>
    <x v="0"/>
    <s v="SIN DATO"/>
    <s v="SIN DATO"/>
    <s v="SIN DATO"/>
    <s v="ABIERTO"/>
    <n v="-75.541506870000006"/>
    <n v="6.2505891"/>
    <s v="SUR-ENE"/>
    <s v="Metropolitana Sur"/>
  </r>
  <r>
    <s v="23606787"/>
    <s v="ENEMRT"/>
    <s v="NUEVO"/>
    <s v="ENEMVI"/>
    <s v="03/12/2025 15:50:20"/>
    <s v="2025-12-03 15:50:20"/>
    <n v="1038411339"/>
    <s v="SEBASTIAN GONZALEZ GOMEZ"/>
    <s v="3222651"/>
    <s v="SIN DATOS"/>
    <s v="CL 31 CR 41 -138"/>
    <x v="1"/>
    <s v="073411001001380000"/>
    <s v="Itaguí"/>
    <x v="9"/>
    <s v="Mov Red Trans Dairo Gil"/>
    <x v="1"/>
    <n v="9"/>
    <s v="2025-12-17 15:50:20"/>
    <s v="2 días 15:50"/>
    <s v="7 días 15:50"/>
    <x v="0"/>
    <s v="SIN DATO"/>
    <s v="SIN DATO"/>
    <s v="SIN DATO"/>
    <s v="ABIERTO"/>
    <n v="-75.613828139999995"/>
    <n v="6.1617301900000001"/>
    <s v="SUR-ENE"/>
    <s v="Metropolitana Sur"/>
  </r>
  <r>
    <s v="23606806"/>
    <s v="ENERES"/>
    <s v="NUEVO"/>
    <s v="ENERES"/>
    <s v="03/12/2025 16:01:10"/>
    <s v="2025-12-03 16:01:10"/>
    <n v="1128461046"/>
    <s v="AURA CRISTINA CANO GUZMAN"/>
    <s v="SIN DATOS"/>
    <s v="3114762063"/>
    <s v="CR 83 CL 37 B SUR -10 (INTERIOR 301 )"/>
    <x v="0"/>
    <s v="043823007200100301"/>
    <s v="Medellín"/>
    <x v="1"/>
    <s v="METROSUR Vin. Leg. Ref. Concentrada"/>
    <x v="1"/>
    <n v="7"/>
    <s v="2025-12-15 16:01:10"/>
    <s v="2 días 16:01"/>
    <s v="5 días 16:01"/>
    <x v="0"/>
    <s v="SIN DATO"/>
    <s v="SIN DATO"/>
    <s v="SIN DATO"/>
    <s v="ABIERTO"/>
    <n v="-75.659677209999998"/>
    <n v="6.1874670399999996"/>
    <s v="SUR-ENE"/>
    <s v="Metropolitana Sur"/>
  </r>
  <r>
    <s v="23606808"/>
    <s v="ENERES"/>
    <s v="NUEVO"/>
    <s v="ENERES"/>
    <s v="03/12/2025 16:01:51"/>
    <s v="2025-12-03 16:01:51"/>
    <n v="1128461046"/>
    <s v="AURA CRISTINA CANO GUZMAN"/>
    <s v="SIN DATOS"/>
    <s v="3114762063"/>
    <s v="CR 83 CL 37 B SUR -10 (INTERIOR 201 )"/>
    <x v="0"/>
    <s v="043823007200100201"/>
    <s v="Medellín"/>
    <x v="1"/>
    <s v="METROSUR Vin. Leg. Ref. Concentrada"/>
    <x v="1"/>
    <n v="7"/>
    <s v="2025-12-15 16:01:51"/>
    <s v="2 días 16:01"/>
    <s v="5 días 16:01"/>
    <x v="0"/>
    <s v="SIN DATO"/>
    <s v="SIN DATO"/>
    <s v="SIN DATO"/>
    <s v="ABIERTO"/>
    <n v="-75.659677209999998"/>
    <n v="6.1874670399999996"/>
    <s v="SUR-ENE"/>
    <s v="Metropolitana Sur"/>
  </r>
  <r>
    <s v="23606815"/>
    <s v="ENERES"/>
    <s v="NUEVO"/>
    <s v="ENEDOM"/>
    <s v="03/12/2025 16:05:48"/>
    <s v="2025-12-03 16:05:48"/>
    <n v="43534829"/>
    <s v="ADRIANA PATRICIA ACEVEDO LOPEZ"/>
    <s v="5861081"/>
    <s v="3128068692"/>
    <s v="CL 57 D CR 27 -24 (INTERIOR 301 )"/>
    <x v="0"/>
    <s v="055217407000240301"/>
    <s v="Medellín"/>
    <x v="0"/>
    <s v="Habilitación Viviendas Metrosur"/>
    <x v="1"/>
    <n v="5"/>
    <s v="2025-12-11 16:05:48"/>
    <s v="2 días 16:05"/>
    <s v="3 días 16:05"/>
    <x v="0"/>
    <s v="SIN DATO"/>
    <s v="SIN DATO"/>
    <s v="SIN DATO"/>
    <s v="ABIERTO"/>
    <n v="-75.548153850000006"/>
    <n v="6.2490289299999997"/>
    <s v="SUR-ENE"/>
    <s v="Metropolitana Sur"/>
  </r>
  <r>
    <s v="23606824"/>
    <s v="ENEMRT"/>
    <s v="NUEVO"/>
    <s v="ENEMVI"/>
    <s v="03/12/2025 16:11:11"/>
    <s v="2025-12-03 16:11:11"/>
    <n v="1152189127"/>
    <s v="MANUEL SANTIAGO ACOSTA TAMAYO"/>
    <s v="3453850"/>
    <s v="3122618920"/>
    <s v="CR 101 CL 31 C -33"/>
    <x v="0"/>
    <s v="083021001300330000"/>
    <s v="Medellín"/>
    <x v="9"/>
    <s v="METR Mov Red Trans Anderson Castaño"/>
    <x v="1"/>
    <n v="9"/>
    <s v="2025-12-17 16:11:11"/>
    <s v="2 días 16:11"/>
    <s v="7 días 16:11"/>
    <x v="0"/>
    <s v="SIN DATO"/>
    <s v="SIN DATO"/>
    <s v="SIN DATO"/>
    <s v="ABIERTO"/>
    <n v="-75.620452119999996"/>
    <n v="6.2362439800000002"/>
    <s v="SUR-ENE"/>
    <s v="Metropolitana Sur"/>
  </r>
  <r>
    <s v="23606849"/>
    <s v="ENENOR"/>
    <s v="NUEVO"/>
    <s v="ENENOR"/>
    <s v="03/12/2025 16:24:40"/>
    <s v="2025-12-03 16:24:40"/>
    <n v="16236835"/>
    <s v="RODOLFO GOMEZ RAIGOSA"/>
    <s v="SIN DATOS"/>
    <s v="3005139148"/>
    <s v="CL 124 SUR CR 50 -13 (INTERIOR 9901 )"/>
    <x v="3"/>
    <s v="002514000000139901"/>
    <s v="Caldas"/>
    <x v="5"/>
    <s v="Revisor Instal. Regadas Metrosur"/>
    <x v="1"/>
    <n v="7"/>
    <s v="2025-12-15 16:24:40"/>
    <s v="2 días 16:24"/>
    <s v="5 días 16:24"/>
    <x v="0"/>
    <s v="SIN DATO"/>
    <s v="SIN DATO"/>
    <s v="SIN DATO"/>
    <s v="ABIERTO"/>
    <n v="-75.636704739999999"/>
    <n v="6.0960636600000004"/>
    <s v="SUR-ENE"/>
    <s v="Metropolitana Sur"/>
  </r>
  <r>
    <s v="23606856"/>
    <s v="ENENOR"/>
    <s v="NUEVO"/>
    <s v="ENENOR"/>
    <s v="03/12/2025 16:28:48"/>
    <s v="2025-12-03 16:28:48"/>
    <n v="1128461046"/>
    <s v="AURA CRISTINA CANO GUZMAN"/>
    <s v="SIN DATOS"/>
    <s v="3114762063"/>
    <s v="CR 83 CL 37 B SUR -13 (INTERIOR 101 )"/>
    <x v="0"/>
    <s v="043823007200130101"/>
    <s v="Medellín"/>
    <x v="5"/>
    <s v="Revisor Instal. Regadas Metrosur"/>
    <x v="1"/>
    <n v="7"/>
    <s v="2025-12-15 16:28:48"/>
    <s v="2 días 16:28"/>
    <s v="5 días 16:28"/>
    <x v="0"/>
    <s v="SIN DATO"/>
    <s v="SIN DATO"/>
    <s v="SIN DATO"/>
    <s v="ABIERTO"/>
    <n v="-75.659795380000006"/>
    <n v="6.1874647700000001"/>
    <s v="SUR-ENE"/>
    <s v="Metropolitana Sur"/>
  </r>
  <r>
    <s v="23606869"/>
    <s v="ENERES"/>
    <s v="NUEVO"/>
    <s v="ENERES"/>
    <s v="03/12/2025 16:35:57"/>
    <s v="2025-12-03 16:35:57"/>
    <n v="32259087"/>
    <s v="LILI JOHANA BARRIENTOS MONTOYA"/>
    <s v="SIN DATOS"/>
    <s v="3234318016"/>
    <s v="CL 39 CR 109 -50 (INTERIOR 101 )"/>
    <x v="0"/>
    <s v="083019009000500101"/>
    <s v="Medellín"/>
    <x v="1"/>
    <s v="Revisor Instal. Regadas Metrosur"/>
    <x v="1"/>
    <n v="7"/>
    <s v="2025-12-15 16:35:57"/>
    <s v="2 días 16:35"/>
    <s v="5 días 16:35"/>
    <x v="0"/>
    <s v="SIN DATO"/>
    <s v="SIN DATO"/>
    <s v="SIN DATO"/>
    <s v="ABIERTO"/>
    <n v="-75.62222998"/>
    <n v="6.2510973200000004"/>
    <s v="SUR-ENE"/>
    <s v="Metropolitana Sur"/>
  </r>
  <r>
    <s v="23606894"/>
    <s v="ENERES"/>
    <s v="NUEVO"/>
    <s v="ENEDOM"/>
    <s v="03/12/2025 16:41:08"/>
    <s v="2025-12-03 16:41:08"/>
    <n v="1127662555"/>
    <s v="ODALIS KARINA ESPAÑA GUDIÑO"/>
    <s v="SIN DATOS"/>
    <s v="3146851629"/>
    <s v="CL 55 CR 103 DA -370 (INTERIOR 1139 )"/>
    <x v="0"/>
    <s v="085015003413701139"/>
    <s v="Medellín"/>
    <x v="0"/>
    <s v="Habilitación Viviendas Metrosur"/>
    <x v="1"/>
    <n v="5"/>
    <s v="2025-12-11 16:41:08"/>
    <s v="2 días 16:41"/>
    <s v="3 días 16:41"/>
    <x v="0"/>
    <s v="SIN DATO"/>
    <s v="SIN DATO"/>
    <s v="SIN DATO"/>
    <s v="ABIERTO"/>
    <n v="-75.608827509999998"/>
    <n v="6.2714277699999998"/>
    <s v="SUR-ENE"/>
    <s v="Metropolitana Sur"/>
  </r>
  <r>
    <s v="23606947"/>
    <s v="ENECNX"/>
    <s v="NUEVO"/>
    <s v="ENECNX"/>
    <s v="03/12/2025 16:48:29"/>
    <s v="2025-12-03 16:48:29"/>
    <n v="3408474"/>
    <s v="ADRUBAL BEDOYA"/>
    <s v="SIN DATOS"/>
    <s v="3215173615"/>
    <s v="CL 39 CR 53 -39"/>
    <x v="0"/>
    <s v="053519003000390000"/>
    <s v="Medellín"/>
    <x v="4"/>
    <s v="Revisor Puntos de Conexión Metrosur"/>
    <x v="1"/>
    <n v="4"/>
    <s v="2025-12-10 16:48:29"/>
    <s v="2 días 16:48"/>
    <s v="2 días 16:48"/>
    <x v="1"/>
    <s v="SIN DATO"/>
    <s v="SIN DATO"/>
    <s v="SIN DATO"/>
    <s v="ABIERTO"/>
    <n v="-75.574795120000005"/>
    <n v="6.2404517500000001"/>
    <s v="SUR-ENE"/>
    <s v="Metropolitana Sur"/>
  </r>
  <r>
    <s v="23606977"/>
    <s v="ENERES"/>
    <s v="NUEVO"/>
    <s v="ENEDOM"/>
    <s v="03/12/2025 16:53:23"/>
    <s v="2025-12-03 16:53:23"/>
    <n v="1036687696"/>
    <s v="SARA BEDOYA BUSTAMANTE"/>
    <s v="3718420"/>
    <s v="3104091208"/>
    <s v="RURAL_163012633000000202_163012633000000202"/>
    <x v="1"/>
    <s v="163012633000000202"/>
    <s v="Itaguí"/>
    <x v="0"/>
    <s v="Habilitación Viviendas Metrosur"/>
    <x v="1"/>
    <n v="5"/>
    <s v="2025-12-11 16:53:23"/>
    <s v="2 días 16:53"/>
    <s v="3 días 16:53"/>
    <x v="0"/>
    <s v="SIN DATO"/>
    <s v="SIN DATO"/>
    <s v="SIN DATO"/>
    <s v="ABIERTO"/>
    <n v="-75.617340589999998"/>
    <n v="6.1875796999999997"/>
    <s v="SUR-ENE"/>
    <s v="Metropolitana Sur"/>
  </r>
  <r>
    <s v="23607073"/>
    <s v="ENERES"/>
    <s v="NUEVO"/>
    <s v="ENEDOM"/>
    <s v="03/12/2025 19:57:45"/>
    <s v="2025-12-03 19:57:45"/>
    <n v="1047367619"/>
    <s v="LIVIS VEGA"/>
    <s v="SIN DATOS"/>
    <s v="3107554856"/>
    <s v="CL 59 C CR 18 B -49 (INTERIOR 201 )"/>
    <x v="0"/>
    <s v="055119308200490201"/>
    <s v="Medellín"/>
    <x v="0"/>
    <s v="Habilitación Viviendas Metrosur"/>
    <x v="1"/>
    <n v="5"/>
    <s v="2025-12-11 19:57:45"/>
    <s v="2 días 19:57"/>
    <s v="3 días 19:57"/>
    <x v="0"/>
    <s v="SIN DATO"/>
    <s v="SIN DATO"/>
    <s v="SIN DATO"/>
    <s v="ABIERTO"/>
    <n v="-75.540347659999995"/>
    <n v="6.2532912500000002"/>
    <s v="SUR-ENE"/>
    <s v="Metropolitana Sur"/>
  </r>
  <r>
    <s v="23607077"/>
    <s v="ENERES"/>
    <s v="NUEVO"/>
    <s v="ENEDOM"/>
    <s v="03/12/2025 21:08:15"/>
    <s v="2025-12-03 21:08:15"/>
    <n v="1022095529"/>
    <s v="YOVANNY RUIZ VARGAS"/>
    <s v="SIN DATOS"/>
    <s v="3022050303"/>
    <s v="CL 48 CR 1 ESTE -9 (INTERIOR 306 )"/>
    <x v="0"/>
    <s v="704018001000090306"/>
    <s v="Medellín"/>
    <x v="0"/>
    <s v="Habilitación Viviendas Metrosur"/>
    <x v="1"/>
    <n v="5"/>
    <s v="2025-12-11 21:08:15"/>
    <s v="2 días 21:08"/>
    <s v="3 días 21:08"/>
    <x v="0"/>
    <s v="SIN DATO"/>
    <s v="SIN DATO"/>
    <s v="SIN DATO"/>
    <s v="ABIERTO"/>
    <n v="-75.528360269999993"/>
    <n v="6.2297986300000003"/>
    <s v="SUR-ENE"/>
    <s v="Metropolitana Sur"/>
  </r>
  <r>
    <s v="23607079"/>
    <s v="ENERES"/>
    <s v="NUEVO"/>
    <s v="ENEDOM"/>
    <s v="03/12/2025 21:54:09"/>
    <s v="2025-12-03 21:54:09"/>
    <n v="43364838"/>
    <s v="ARELIS TUBERQUIA   SANCHEZ"/>
    <s v="SIN DATOS"/>
    <s v="3128912485"/>
    <s v="CL 56 B CR 20 C -29 (INTERIOR 105 )"/>
    <x v="0"/>
    <s v="055216200300290105"/>
    <s v="Medellín"/>
    <x v="0"/>
    <s v="Habilitación Viviendas Metrosur"/>
    <x v="1"/>
    <n v="5"/>
    <s v="2025-12-11 21:54:09"/>
    <s v="2 días 21:54"/>
    <s v="3 días 21:54"/>
    <x v="0"/>
    <s v="SIN DATO"/>
    <s v="SIN DATO"/>
    <s v="SIN DATO"/>
    <s v="ABIERTO"/>
    <n v="-75.542624230000001"/>
    <n v="6.2416582900000002"/>
    <s v="SUR-ENE"/>
    <s v="Metropolitana Sur"/>
  </r>
  <r>
    <s v="23607293"/>
    <s v="ENEPRE"/>
    <s v="NUEVO"/>
    <s v="ENEPRE"/>
    <s v="04/12/2025 06:26:30"/>
    <s v="2025-12-04 06:26:30"/>
    <n v="98523592"/>
    <s v="ALVARO DE JESUS RAMIREZ SUAZA"/>
    <s v="SIN DATOS"/>
    <s v="3147286049"/>
    <s v="CL 18 D CR 89 -11 (INTERIOR 3555 )"/>
    <x v="0"/>
    <s v="051818409000113555"/>
    <s v="Medellín"/>
    <x v="3"/>
    <s v="Energía Prepago Metrosur"/>
    <x v="1"/>
    <n v="11"/>
    <s v="2025-12-22 06:26:30"/>
    <s v="0 días 06:26"/>
    <s v="10 días 06:26"/>
    <x v="0"/>
    <s v="SIN DATO"/>
    <s v="SIN DATO"/>
    <s v="SIN DATO"/>
    <s v="ABIERTO"/>
    <n v="-75.611457569999999"/>
    <n v="6.2226487800000001"/>
    <s v="SUR-ENE"/>
    <s v="Metropolitana Sur"/>
  </r>
  <r>
    <s v="23607298"/>
    <s v="ENENOR"/>
    <s v="NUEVO"/>
    <s v="ENENOR"/>
    <s v="04/12/2025 06:49:49"/>
    <s v="2025-12-04 06:49:49"/>
    <n v="32255581"/>
    <s v="ANA CRISTINA MORENO PALACIOS"/>
    <s v="1111111"/>
    <s v="3104157033"/>
    <s v="CR 41 CL 16 A SUR -21"/>
    <x v="0"/>
    <s v="041421006100210000"/>
    <s v="Medellín"/>
    <x v="5"/>
    <s v="Revisor Instal. Regadas Metrosur"/>
    <x v="1"/>
    <n v="7"/>
    <s v="2025-12-16 06:49:49"/>
    <s v="0 días 06:49"/>
    <s v="6 días 06:49"/>
    <x v="0"/>
    <s v="SIN DATO"/>
    <s v="SIN DATO"/>
    <s v="SIN DATO"/>
    <s v="ABIERTO"/>
    <n v="-75.574956"/>
    <n v="6.1875790000000004"/>
    <s v="SUR-ENE"/>
    <s v="Metropolitana Sur"/>
  </r>
  <r>
    <s v="23607305"/>
    <s v="ENERES"/>
    <s v="NUEVO"/>
    <s v="ENERES"/>
    <s v="04/12/2025 07:17:32"/>
    <s v="2025-12-04 07:17:32"/>
    <n v="42895825"/>
    <s v="MARTHA LIGIA GUERRA CORREA"/>
    <s v="4276157"/>
    <s v="3113851561"/>
    <s v="CR 125 CL 61 E -25 (INTERIOR 301 )"/>
    <x v="0"/>
    <s v="086225001500250301"/>
    <s v="Medellín"/>
    <x v="1"/>
    <s v="Revisor Instal. Regadas Metrosur"/>
    <x v="1"/>
    <n v="7"/>
    <s v="2025-12-16 07:17:32"/>
    <s v="0 días 07:17"/>
    <s v="6 días 07:17"/>
    <x v="0"/>
    <s v="SIN DATO"/>
    <s v="SIN DATO"/>
    <s v="SIN DATO"/>
    <s v="ABIERTO"/>
    <n v="-75.630893"/>
    <n v="6.2783819999999997"/>
    <s v="SUR-ENE"/>
    <s v="Metropolitana Sur"/>
  </r>
  <r>
    <s v="23607325"/>
    <s v="ENERES"/>
    <s v="NUEVO"/>
    <s v="ENEDOM"/>
    <s v="04/12/2025 08:15:56"/>
    <s v="2025-12-04 08:15:56"/>
    <n v="43580218"/>
    <s v="ANA ROCIO CASTAÑO GOEZ"/>
    <s v="4911404"/>
    <s v="3185395425"/>
    <s v="CL 48 D CR 102 -17 (INTERIOR 201 )"/>
    <x v="0"/>
    <s v="084018402000170201"/>
    <s v="Medellín"/>
    <x v="0"/>
    <s v="Habilitación Viviendas Metrosur"/>
    <x v="1"/>
    <n v="5"/>
    <s v="2025-12-12 08:15:56"/>
    <s v="0 días 08:15"/>
    <s v="4 días 08:15"/>
    <x v="0"/>
    <s v="SIN DATO"/>
    <s v="SIN DATO"/>
    <s v="SIN DATO"/>
    <s v="ABIERTO"/>
    <n v="-75.617460030000004"/>
    <n v="6.26011001"/>
    <s v="SUR-ENE"/>
    <s v="Metropolitana Sur"/>
  </r>
  <r>
    <s v="23607335"/>
    <s v="ENENOR"/>
    <s v="NUEVO"/>
    <s v="ENENOR"/>
    <s v="04/12/2025 08:24:19"/>
    <s v="2025-12-04 08:24:19"/>
    <n v="8909049961"/>
    <s v="EMPRESAS PUBLICAS DE MEDELLIN ESP"/>
    <s v="3808080"/>
    <s v="3043508899"/>
    <s v="CR 56 C CL 87 SUR -120 (INTERIOR 8000 )"/>
    <x v="4"/>
    <s v="038526307001208000"/>
    <s v="La Estrella"/>
    <x v="5"/>
    <s v="Control Pérdidas Energía Metrosur"/>
    <x v="1"/>
    <n v="7"/>
    <s v="2025-12-16 08:24:19"/>
    <s v="0 días 08:24"/>
    <s v="6 días 08:24"/>
    <x v="0"/>
    <s v="SIN DATO"/>
    <s v="SIN DATO"/>
    <s v="SIN DATO"/>
    <s v="ABIERTO"/>
    <n v="-75.640195000000006"/>
    <n v="6.1514949999999997"/>
    <s v="SUR-ENE"/>
    <s v="Metropolitana Sur"/>
  </r>
  <r>
    <s v="23607340"/>
    <s v="ENENOR"/>
    <s v="NUEVO"/>
    <s v="ENENOR"/>
    <s v="04/12/2025 08:28:36"/>
    <s v="2025-12-04 08:28:36"/>
    <n v="8909049961"/>
    <s v="EMPRESAS PUBLICAS DE MEDELLIN ESP"/>
    <s v="3808080"/>
    <s v="3043508899"/>
    <s v="CR 43 A CL 9 SUR -13 (INTERIOR 8000 )"/>
    <x v="0"/>
    <s v="040423109000138000"/>
    <s v="Medellín"/>
    <x v="5"/>
    <s v="Control Pérdidas Energía Metrosur"/>
    <x v="1"/>
    <n v="7"/>
    <s v="2025-12-16 08:28:36"/>
    <s v="0 días 08:28"/>
    <s v="6 días 08:28"/>
    <x v="0"/>
    <s v="SIN DATO"/>
    <s v="SIN DATO"/>
    <s v="SIN DATO"/>
    <s v="ABIERTO"/>
    <n v="-75.575621620000007"/>
    <n v="6.1955118699999998"/>
    <s v="SUR-ENE"/>
    <s v="Metropolitana Sur"/>
  </r>
  <r>
    <s v="23607342"/>
    <s v="ENENOR"/>
    <s v="NUEVO"/>
    <s v="ENENOR"/>
    <s v="04/12/2025 08:32:29"/>
    <s v="2025-12-04 08:32:29"/>
    <n v="8909049961"/>
    <s v="EMPRESAS PUBLICAS DE MEDELLIN ESP"/>
    <s v="3808080"/>
    <s v="3043508899"/>
    <s v="RURAL_125002311500000083"/>
    <x v="2"/>
    <s v="125002311500000083"/>
    <s v="Envigado"/>
    <x v="5"/>
    <s v="Control Pérdidas Energía Metrosur"/>
    <x v="0"/>
    <n v="10"/>
    <s v="2025-12-19 08:32:29"/>
    <s v="0 días 08:32"/>
    <s v="9 días 08:32"/>
    <x v="0"/>
    <s v="SIN DATO"/>
    <s v="SIN DATO"/>
    <s v="SIN DATO"/>
    <s v="ABIERTO"/>
    <n v="-75.525469259999994"/>
    <n v="6.1864249400000002"/>
    <s v="SUR-ENE"/>
    <s v="Metropolitana Sur"/>
  </r>
  <r>
    <s v="23607346"/>
    <s v="ENEPRE"/>
    <s v="NUEVO"/>
    <s v="ENEPRE"/>
    <s v="04/12/2025 08:33:54"/>
    <s v="2025-12-04 08:33:54"/>
    <n v="1035441440"/>
    <s v="DANIELA ANDREA QUINTERO RAMIREZ"/>
    <s v="SIN DATOS"/>
    <s v="3214368400"/>
    <s v="CL 18 D CR 89 -11 (INTERIOR 3781 )"/>
    <x v="0"/>
    <s v="051818409000113781"/>
    <s v="Medellín"/>
    <x v="3"/>
    <s v="Energía Prepago Metrosur"/>
    <x v="1"/>
    <n v="11"/>
    <s v="2025-12-22 08:33:54"/>
    <s v="0 días 08:33"/>
    <s v="10 días 08:33"/>
    <x v="0"/>
    <s v="SIN DATO"/>
    <s v="SIN DATO"/>
    <s v="SIN DATO"/>
    <s v="ABIERTO"/>
    <n v="-75.611457569999999"/>
    <n v="6.2226487800000001"/>
    <s v="SUR-ENE"/>
    <s v="Metropolitana Sur"/>
  </r>
  <r>
    <s v="23607347"/>
    <s v="ENERES"/>
    <s v="NUEVO"/>
    <s v="ENEDOM"/>
    <s v="04/12/2025 08:35:52"/>
    <s v="2025-12-04 08:35:52"/>
    <n v="43580218"/>
    <s v="ANA ROCIO CASTAÑO GOEZ"/>
    <s v="4911404"/>
    <s v="3185395425"/>
    <s v="CL 48 D CR 102 -17 (INTERIOR 301 )"/>
    <x v="0"/>
    <s v="084018402000170301"/>
    <s v="Medellín"/>
    <x v="0"/>
    <s v="Habilitación Viviendas Metrosur"/>
    <x v="1"/>
    <n v="5"/>
    <s v="2025-12-12 08:35:52"/>
    <s v="0 días 08:35"/>
    <s v="4 días 08:35"/>
    <x v="0"/>
    <s v="SIN DATO"/>
    <s v="SIN DATO"/>
    <s v="SIN DATO"/>
    <s v="ABIERTO"/>
    <n v="-75.617460030000004"/>
    <n v="6.26011001"/>
    <s v="SUR-ENE"/>
    <s v="Metropolitana Sur"/>
  </r>
  <r>
    <s v="23607348"/>
    <s v="ENEPRE"/>
    <s v="NUEVO"/>
    <s v="ENEPRE"/>
    <s v="04/12/2025 08:36:00"/>
    <s v="2025-12-04 08:36:00"/>
    <n v="70579739"/>
    <s v="LUIS EDUARDO MAZO ZABALA"/>
    <s v="SIN DATOS"/>
    <s v="3146427072"/>
    <s v="RURAL_146014909000000000_146014909000000000"/>
    <x v="0"/>
    <s v="146014909000000000"/>
    <s v="Medellín"/>
    <x v="3"/>
    <s v="Energía Prepago Metrosur"/>
    <x v="0"/>
    <n v="11"/>
    <s v="2025-12-22 08:36:00"/>
    <s v="0 días 08:36"/>
    <s v="10 días 08:36"/>
    <x v="0"/>
    <s v="SIN DATO"/>
    <s v="SIN DATO"/>
    <s v="SIN DATO"/>
    <s v="ABIERTO"/>
    <n v="-75.711139329999995"/>
    <n v="6.3221556000000003"/>
    <s v="SUR-ENE"/>
    <s v="Metropolitana Sur"/>
  </r>
  <r>
    <s v="23607351"/>
    <s v="ENENOR"/>
    <s v="NUEVO"/>
    <s v="ENENOR"/>
    <s v="04/12/2025 08:36:35"/>
    <s v="2025-12-04 08:36:35"/>
    <n v="8909049961"/>
    <s v="EMPRESAS PUBLICAS DE MEDELLIN ESP"/>
    <s v="3808080"/>
    <s v="3043508899"/>
    <s v="CR 22 CL 16 AA SUR -140 (INTERIOR 8001 )"/>
    <x v="0"/>
    <s v="041222006111408001"/>
    <s v="Medellín"/>
    <x v="5"/>
    <s v="Control Pérdidas Energía Metrosur"/>
    <x v="1"/>
    <n v="7"/>
    <s v="2025-12-16 08:36:35"/>
    <s v="0 días 08:36"/>
    <s v="6 días 08:36"/>
    <x v="0"/>
    <s v="SIN DATO"/>
    <s v="SIN DATO"/>
    <s v="SIN DATO"/>
    <s v="ABIERTO"/>
    <n v="-75.559436000000005"/>
    <n v="6.180904"/>
    <s v="SUR-ENE"/>
    <s v="Metropolitana Sur"/>
  </r>
  <r>
    <s v="23607352"/>
    <s v="ENECNX"/>
    <s v="NUEVO"/>
    <s v="ENECNX"/>
    <s v="04/12/2025 08:37:26"/>
    <s v="2025-12-04 08:37:26"/>
    <n v="901037255"/>
    <s v="ESTRUCTURAS Y MONTAJES FS S.A.S"/>
    <s v="SIN DATOS"/>
    <s v="3205016013"/>
    <s v="CR 143 A CL 56 -331"/>
    <x v="0"/>
    <s v="085423106003310000"/>
    <s v="Medellín"/>
    <x v="4"/>
    <s v="Revisor Puntos de Conexión Metrosur"/>
    <x v="1"/>
    <n v="4"/>
    <s v="2025-12-11 08:37:26"/>
    <s v="0 días 08:37"/>
    <s v="3 días 08:37"/>
    <x v="0"/>
    <s v="SIN DATO"/>
    <s v="SIN DATO"/>
    <s v="SIN DATO"/>
    <s v="ABIERTO"/>
    <n v="-75.642398999999997"/>
    <n v="6.2758229999999999"/>
    <s v="SUR-ENE"/>
    <s v="Metropolitana Sur"/>
  </r>
  <r>
    <s v="23607360"/>
    <s v="ENERES"/>
    <s v="NUEVO"/>
    <s v="ENEDOM"/>
    <s v="04/12/2025 08:46:34"/>
    <s v="2025-12-04 08:46:34"/>
    <n v="42790862"/>
    <s v="SOR ANGELA CHAVERRA LONDOÑO"/>
    <s v="3612111"/>
    <s v="SIN DATOS"/>
    <s v="RURAL_163004107500000202"/>
    <x v="1"/>
    <s v="163004107500000202"/>
    <s v="Itaguí"/>
    <x v="0"/>
    <s v="Habilitación Viviendas Metrosur"/>
    <x v="1"/>
    <n v="5"/>
    <s v="2025-12-12 08:46:34"/>
    <s v="0 días 08:46"/>
    <s v="4 días 08:46"/>
    <x v="0"/>
    <s v="SIN DATO"/>
    <s v="SIN DATO"/>
    <s v="SIN DATO"/>
    <s v="ABIERTO"/>
    <n v="-75.601315060000005"/>
    <n v="6.1944574399999999"/>
    <s v="SUR-ENE"/>
    <s v="Metropolitana Sur"/>
  </r>
  <r>
    <s v="23607373"/>
    <s v="ENECNX"/>
    <s v="NUEVO"/>
    <s v="ENECNX"/>
    <s v="04/12/2025 08:57:17"/>
    <s v="2025-12-04 08:57:17"/>
    <n v="900548310"/>
    <s v="GITEK INGENIERIA ELECTRICA Y TELECOMUNIC"/>
    <s v="2024080"/>
    <s v="3122968178"/>
    <s v="CR 65 A CL 34 -23"/>
    <x v="1"/>
    <s v="073625104000230000"/>
    <s v="Itaguí"/>
    <x v="4"/>
    <s v="Revisor Puntos de Conexión Metrosur"/>
    <x v="1"/>
    <n v="4"/>
    <s v="2025-12-11 08:57:17"/>
    <s v="0 días 08:57"/>
    <s v="3 días 08:57"/>
    <x v="0"/>
    <s v="SIN DATO"/>
    <s v="SIN DATO"/>
    <s v="SIN DATO"/>
    <s v="ABIERTO"/>
    <n v="-75.632437969999998"/>
    <n v="6.1694719600000001"/>
    <s v="SUR-ENE"/>
    <s v="Metropolitana Sur"/>
  </r>
  <r>
    <s v="23607382"/>
    <s v="ENERES"/>
    <s v="NUEVO"/>
    <s v="ENERES"/>
    <s v="04/12/2025 09:07:07"/>
    <s v="2025-12-04 09:07:07"/>
    <n v="98510594"/>
    <s v="ELKIN DARIO VASCO BETANCUR"/>
    <s v="SIN DATOS"/>
    <s v="3147700798"/>
    <s v="CL 55 A CR 131 -91"/>
    <x v="0"/>
    <s v="085315101000910000"/>
    <s v="Medellín"/>
    <x v="1"/>
    <s v="Revisor Instal. Regadas Metrosur"/>
    <x v="1"/>
    <n v="7"/>
    <s v="2025-12-16 09:07:07"/>
    <s v="0 días 09:07"/>
    <s v="6 días 09:07"/>
    <x v="0"/>
    <s v="SIN DATO"/>
    <s v="SIN DATO"/>
    <s v="SIN DATO"/>
    <s v="ABIERTO"/>
    <n v="-75.636556999999996"/>
    <n v="6.2722350000000002"/>
    <s v="SUR-ENE"/>
    <s v="Metropolitana Sur"/>
  </r>
  <r>
    <s v="23607388"/>
    <s v="ENECNX"/>
    <s v="NUEVO"/>
    <s v="ENECNX"/>
    <s v="04/12/2025 09:07:42"/>
    <s v="2025-12-04 09:07:42"/>
    <n v="71659650"/>
    <s v="CARLOS ALBERTO MARTINEZ RUIZ"/>
    <s v="3781616"/>
    <s v="3226557634"/>
    <s v="CR 48 CL 61 SUR -75 (INTERIOR 101 )"/>
    <x v="5"/>
    <s v="016428001000750101"/>
    <s v="Sabaneta"/>
    <x v="4"/>
    <s v="Revisor Puntos de Conexión Metrosur"/>
    <x v="1"/>
    <n v="4"/>
    <s v="2025-12-11 09:07:42"/>
    <s v="0 días 09:07"/>
    <s v="3 días 09:07"/>
    <x v="0"/>
    <s v="SIN DATO"/>
    <s v="SIN DATO"/>
    <s v="SIN DATO"/>
    <s v="ABIERTO"/>
    <n v="-75.612710519999993"/>
    <n v="6.1557970299999996"/>
    <s v="SUR-ENE"/>
    <s v="Metropolitana Sur"/>
  </r>
  <r>
    <s v="23607389"/>
    <s v="ENEMRT"/>
    <s v="NUEVO"/>
    <s v="ENEMVI"/>
    <s v="04/12/2025 09:07:53"/>
    <s v="2025-12-04 09:07:53"/>
    <n v="900092385"/>
    <s v="UNE EPM TELECOMUNICACIONES SA"/>
    <s v="8648715"/>
    <s v="3218648715"/>
    <s v="CR 43 A CL 28 -"/>
    <x v="0"/>
    <s v="052423108000000000"/>
    <s v="Medellín"/>
    <x v="9"/>
    <s v="METR Mov Red Trans Anderson Castaño"/>
    <x v="1"/>
    <n v="9"/>
    <s v="2025-12-18 09:07:53"/>
    <s v="0 días 09:07"/>
    <s v="8 días 09:07"/>
    <x v="0"/>
    <s v="SIN DATO"/>
    <s v="SIN DATO"/>
    <s v="SIN DATO"/>
    <s v="ABIERTO"/>
    <n v="-75.569008190000005"/>
    <n v="6.2267246099999998"/>
    <s v="SUR-ENE"/>
    <s v="Metropolitana Sur"/>
  </r>
  <r>
    <s v="23607400"/>
    <s v="ENERES"/>
    <s v="NUEVO"/>
    <s v="ENEDOM"/>
    <s v="04/12/2025 09:18:01"/>
    <s v="2025-12-04 09:18:01"/>
    <n v="1068815056"/>
    <s v="ANDRES FELIPE CASTELLANOS RAMIREZ"/>
    <s v="SIN DATOS"/>
    <s v="3013437652"/>
    <s v="RURAL_147058630000000102_147058630000000102"/>
    <x v="0"/>
    <s v="147058630000000102"/>
    <s v="Medellín"/>
    <x v="0"/>
    <s v="Habilitación Viviendas Metrosur"/>
    <x v="0"/>
    <n v="8"/>
    <s v="2025-12-17 09:18:01"/>
    <s v="0 días 09:18"/>
    <s v="7 días 09:18"/>
    <x v="0"/>
    <s v="SIN DATO"/>
    <s v="SIN DATO"/>
    <s v="SIN DATO"/>
    <s v="ABIERTO"/>
    <n v="-75.637419129999998"/>
    <n v="6.2836498699999996"/>
    <s v="SUR-ENE"/>
    <s v="Metropolitana Sur"/>
  </r>
  <r>
    <s v="23607403"/>
    <s v="ENECNX"/>
    <s v="NUEVO"/>
    <s v="ENECNX"/>
    <s v="04/12/2025 09:20:12"/>
    <s v="2025-12-04 09:20:12"/>
    <n v="901830080"/>
    <s v="PROYECTOS MIRAVET SAS"/>
    <s v="SIN DATOS"/>
    <s v="3148836348"/>
    <s v="CR 80 B CL 35 A -53 (INTERIOR 5 )"/>
    <x v="0"/>
    <s v="053820205100530005"/>
    <s v="Medellín"/>
    <x v="4"/>
    <s v="Revisor Puntos de Conexión Metrosur"/>
    <x v="1"/>
    <n v="4"/>
    <s v="2025-12-11 09:20:12"/>
    <s v="0 días 09:20"/>
    <s v="3 días 09:20"/>
    <x v="0"/>
    <s v="SIN DATO"/>
    <s v="SIN DATO"/>
    <s v="SIN DATO"/>
    <s v="ABIERTO"/>
    <n v="-75.601941710000006"/>
    <n v="6.2440187800000002"/>
    <s v="SUR-ENE"/>
    <s v="Metropolitana Sur"/>
  </r>
  <r>
    <s v="23607408"/>
    <s v="ENERES"/>
    <s v="NUEVO"/>
    <s v="ENEDOM"/>
    <s v="04/12/2025 09:23:32"/>
    <s v="2025-12-04 09:23:32"/>
    <n v="5083726"/>
    <s v="ERICA GABRIELA GARCIA SIERRA"/>
    <s v="SIN DATOS"/>
    <s v="3225025343"/>
    <s v="CL 53 CR 3 A -95"/>
    <x v="0"/>
    <s v="055013003100950000"/>
    <s v="Medellín"/>
    <x v="0"/>
    <s v="Habilitación Viviendas Metrosur"/>
    <x v="1"/>
    <n v="5"/>
    <s v="2025-12-12 09:23:32"/>
    <s v="0 días 09:23"/>
    <s v="4 días 09:23"/>
    <x v="0"/>
    <s v="SIN DATO"/>
    <s v="SIN DATO"/>
    <s v="SIN DATO"/>
    <s v="ABIERTO"/>
    <n v="-75.532953860000006"/>
    <n v="6.2326420200000001"/>
    <s v="SUR-ENE"/>
    <s v="Metropolitana Sur"/>
  </r>
  <r>
    <s v="23607411"/>
    <s v="ENENOR"/>
    <s v="NUEVO"/>
    <s v="ENENOR"/>
    <s v="04/12/2025 09:24:34"/>
    <s v="2025-12-04 09:24:34"/>
    <n v="8305562"/>
    <s v="FERNANDO  ARANGO ISAZA"/>
    <s v="4235092"/>
    <s v="3113686079"/>
    <s v="RURAL_125004468700000006_VDA PERICO"/>
    <x v="2"/>
    <s v="125004468700000006"/>
    <s v="Envigado"/>
    <x v="5"/>
    <s v="Revisor Instal. Regadas Metrosur"/>
    <x v="0"/>
    <n v="10"/>
    <s v="2025-12-19 09:24:34"/>
    <s v="0 días 09:24"/>
    <s v="9 días 09:24"/>
    <x v="0"/>
    <s v="SIN DATO"/>
    <s v="SIN DATO"/>
    <s v="SIN DATO"/>
    <s v="ABIERTO"/>
    <n v="-75.510071350000004"/>
    <n v="6.1810416000000004"/>
    <s v="SUR-ENE"/>
    <s v="Metropolitana Sur"/>
  </r>
  <r>
    <s v="23607418"/>
    <s v="ENERES"/>
    <s v="NUEVO"/>
    <s v="ENEDOM"/>
    <s v="04/12/2025 09:28:49"/>
    <s v="2025-12-04 09:28:49"/>
    <n v="5083726"/>
    <s v="ERICA GABRIELA GARCIA SIERRA"/>
    <s v="SIN DATOS"/>
    <s v="3225025343"/>
    <s v="CL 53 CR 3 A -94"/>
    <x v="0"/>
    <s v="055013003100940000"/>
    <s v="Medellín"/>
    <x v="0"/>
    <s v="Habilitación Viviendas Metrosur"/>
    <x v="1"/>
    <n v="5"/>
    <s v="2025-12-12 09:28:49"/>
    <s v="0 días 09:28"/>
    <s v="4 días 09:28"/>
    <x v="0"/>
    <s v="SIN DATO"/>
    <s v="SIN DATO"/>
    <s v="SIN DATO"/>
    <s v="ABIERTO"/>
    <n v="-75.532335340000003"/>
    <n v="6.2321704999999996"/>
    <s v="SUR-ENE"/>
    <s v="Metropolitana Sur"/>
  </r>
  <r>
    <s v="23607420"/>
    <s v="ENERES"/>
    <s v="NUEVO"/>
    <s v="ENEDOM"/>
    <s v="04/12/2025 09:29:43"/>
    <s v="2025-12-04 09:29:43"/>
    <n v="5083726"/>
    <s v="ERICA GABRIELA GARCIA SIERRA"/>
    <s v="SIN DATOS"/>
    <s v="3225025343"/>
    <s v="CL 53 CR 3 A -96"/>
    <x v="0"/>
    <s v="055013003100960000"/>
    <s v="Medellín"/>
    <x v="0"/>
    <s v="Habilitación Viviendas Metrosur"/>
    <x v="1"/>
    <n v="5"/>
    <s v="2025-12-12 09:29:43"/>
    <s v="0 días 09:29"/>
    <s v="4 días 09:29"/>
    <x v="0"/>
    <s v="SIN DATO"/>
    <s v="SIN DATO"/>
    <s v="SIN DATO"/>
    <s v="ABIERTO"/>
    <n v="-75.532335340000003"/>
    <n v="6.2321704999999996"/>
    <s v="SUR-ENE"/>
    <s v="Metropolitana Sur"/>
  </r>
  <r>
    <s v="23607429"/>
    <s v="ENEMRT"/>
    <s v="NUEVO"/>
    <s v="ENEMVI"/>
    <s v="04/12/2025 09:32:16"/>
    <s v="2025-12-04 09:32:16"/>
    <n v="1152693844"/>
    <s v="JUDITH CATERINE PEREZ RODRIGUEZ"/>
    <s v="SIN DATOS"/>
    <s v="3147405591"/>
    <s v="RURAL_114014081000000001"/>
    <x v="0"/>
    <s v="114014081000000001"/>
    <s v="Medellín"/>
    <x v="9"/>
    <s v="METR Mov Red Trans Anderson Castaño"/>
    <x v="1"/>
    <n v="9"/>
    <s v="2025-12-18 09:32:16"/>
    <s v="0 días 09:32"/>
    <s v="8 días 09:32"/>
    <x v="0"/>
    <s v="SIN DATO"/>
    <s v="SIN DATO"/>
    <s v="SIN DATO"/>
    <s v="ABIERTO"/>
    <n v="-75.61283066"/>
    <n v="6.2054087300000003"/>
    <s v="SUR-ENE"/>
    <s v="Metropolitana Sur"/>
  </r>
  <r>
    <s v="23607431"/>
    <s v="ENERES"/>
    <s v="NUEVO"/>
    <s v="ENEDOM"/>
    <s v="04/12/2025 09:32:27"/>
    <s v="2025-12-04 09:32:27"/>
    <n v="71257608"/>
    <s v="JUAN CARLOS CORDOBA BANQUETH"/>
    <s v="SIN DATOS"/>
    <s v="3146415936"/>
    <s v="DIAG 17 E CL 56 B -1 (INTERIOR 115 )"/>
    <x v="0"/>
    <s v="055127506200010115"/>
    <s v="Medellín"/>
    <x v="0"/>
    <s v="Habilitación Viviendas Metrosur"/>
    <x v="1"/>
    <n v="5"/>
    <s v="2025-12-12 09:32:27"/>
    <s v="0 días 09:32"/>
    <s v="4 días 09:32"/>
    <x v="0"/>
    <s v="SIN DATO"/>
    <s v="SIN DATO"/>
    <s v="SIN DATO"/>
    <s v="ABIERTO"/>
    <n v="-75.541038999999998"/>
    <n v="6.2393340000000004"/>
    <s v="SUR-ENE"/>
    <s v="Metropolitana Sur"/>
  </r>
  <r>
    <s v="23607434"/>
    <s v="ENENOR"/>
    <s v="NUEVO"/>
    <s v="ENENOR"/>
    <s v="04/12/2025 09:35:08"/>
    <s v="2025-12-04 09:35:08"/>
    <n v="71531266"/>
    <s v="JORGE MARIO CORREA VASQUEZ"/>
    <s v="SIN DATOS"/>
    <s v="3148001194"/>
    <s v="CL 63 CR 133 -100 (LC 102 )"/>
    <x v="0"/>
    <s v="086313003001000102"/>
    <s v="Medellín"/>
    <x v="5"/>
    <s v="Revisor Instal. Regadas Metrosur"/>
    <x v="1"/>
    <n v="7"/>
    <s v="2025-12-16 09:35:08"/>
    <s v="0 días 09:35"/>
    <s v="6 días 09:35"/>
    <x v="0"/>
    <s v="SIN DATO"/>
    <s v="SIN DATO"/>
    <s v="SIN DATO"/>
    <s v="ABIERTO"/>
    <n v="-75.63829819"/>
    <n v="6.2791932800000003"/>
    <s v="SUR-ENE"/>
    <s v="Metropolitana Sur"/>
  </r>
  <r>
    <s v="23607436"/>
    <s v="ENERES"/>
    <s v="NUEVO"/>
    <s v="ENERES"/>
    <s v="04/12/2025 09:35:59"/>
    <s v="2025-12-04 09:35:59"/>
    <n v="71279126"/>
    <s v="ADRIAN  RUA CALLE"/>
    <s v="3775224"/>
    <s v="3213503456"/>
    <s v="RURAL_163012191800000000_163012191800000000"/>
    <x v="1"/>
    <s v="163012191800000000"/>
    <s v="Itaguí"/>
    <x v="1"/>
    <s v="Revisor Instal. Regadas Metrosur"/>
    <x v="1"/>
    <n v="7"/>
    <s v="2025-12-16 09:35:59"/>
    <s v="0 días 09:35"/>
    <s v="6 días 09:35"/>
    <x v="0"/>
    <s v="SIN DATO"/>
    <s v="SIN DATO"/>
    <s v="SIN DATO"/>
    <s v="ABIERTO"/>
    <n v="-75.615972020000001"/>
    <n v="6.1882319700000004"/>
    <s v="SUR-ENE"/>
    <s v="Metropolitana Sur"/>
  </r>
  <r>
    <s v="23607456"/>
    <s v="ENERES"/>
    <s v="NUEVO"/>
    <s v="ENERES"/>
    <s v="04/12/2025 09:47:22"/>
    <s v="2025-12-04 09:47:22"/>
    <n v="1038548681"/>
    <s v="ANDRES FELIPE ROLDAN GAVIRIA"/>
    <s v="SIN DATOS"/>
    <s v="3128453407"/>
    <s v="CR 23 CL 56 EH -201 (INTERIOR 260 )"/>
    <x v="0"/>
    <s v="055223006582010260"/>
    <s v="Medellín"/>
    <x v="1"/>
    <s v="METROSUR Vin. Leg. Ref. Concentrada"/>
    <x v="1"/>
    <n v="7"/>
    <s v="2025-12-16 09:47:22"/>
    <s v="0 días 09:47"/>
    <s v="6 días 09:47"/>
    <x v="0"/>
    <s v="SIN DATO"/>
    <s v="SIN DATO"/>
    <s v="SIN DATO"/>
    <s v="ABIERTO"/>
    <n v="-75.541348979999995"/>
    <n v="6.2451202200000004"/>
    <s v="SUR-ENE"/>
    <s v="Metropolitana Sur"/>
  </r>
  <r>
    <s v="23607461"/>
    <s v="ENEPRE"/>
    <s v="RETIR"/>
    <s v="ENEPRE"/>
    <s v="04/12/2025 09:51:09"/>
    <s v="2025-12-04 09:51:09"/>
    <n v="14993175"/>
    <s v="DARIO PELAEZ RESTREPO"/>
    <s v="SIN DATOS"/>
    <s v="3502119375"/>
    <s v="CL 143 SUR CR 52 -133"/>
    <x v="3"/>
    <s v="004513002001330000-ENEPRE"/>
    <s v="Caldas"/>
    <x v="10"/>
    <s v="Energía Prepago Metrosur"/>
    <x v="1"/>
    <n v="11"/>
    <s v="2025-12-22 09:51:09"/>
    <s v="0 días 09:51"/>
    <s v="10 días 09:51"/>
    <x v="0"/>
    <s v="SIN DATO"/>
    <s v="SIN DATO"/>
    <s v="SIN DATO"/>
    <s v="ABIERTO"/>
    <n v="-75.637185119999998"/>
    <n v="6.0802253799999999"/>
    <s v="SUR-ENE"/>
    <s v="Metropolitana Sur"/>
  </r>
  <r>
    <s v="23607480"/>
    <s v="ENERES"/>
    <s v="NUEVO"/>
    <s v="ENEDOM"/>
    <s v="04/12/2025 10:00:56"/>
    <s v="2025-12-04 10:00:56"/>
    <n v="1128474664"/>
    <s v="ALEXANDRA MARCELA ORTIZ ACEVEDO"/>
    <s v="SIN DATOS"/>
    <s v="3156910465"/>
    <s v="CL 59 A CR 131 B -28 (INTERIOR 110 )"/>
    <x v="0"/>
    <s v="085319101200280110"/>
    <s v="Medellín"/>
    <x v="0"/>
    <s v="Habilitación Viviendas Metrosur"/>
    <x v="1"/>
    <n v="5"/>
    <s v="2025-12-12 10:00:56"/>
    <s v="0 días 10:00"/>
    <s v="4 días 10:00"/>
    <x v="0"/>
    <s v="SIN DATO"/>
    <s v="SIN DATO"/>
    <s v="SIN DATO"/>
    <s v="ABIERTO"/>
    <n v="-75.636680999999996"/>
    <n v="6.2758750000000001"/>
    <s v="SUR-ENE"/>
    <s v="Metropolitana Sur"/>
  </r>
  <r>
    <s v="23607483"/>
    <s v="ENERES"/>
    <s v="NUEVO"/>
    <s v="ENEDOM"/>
    <s v="04/12/2025 10:02:13"/>
    <s v="2025-12-04 10:02:13"/>
    <n v="1037582381"/>
    <s v="JOHN JAIRO OCAMPO CARDENAS"/>
    <s v="SIN DATOS"/>
    <s v="3104892891"/>
    <s v="CR 106 CL 34 F -58 (INTERIOR 202 )"/>
    <x v="0"/>
    <s v="083026004600580202"/>
    <s v="Medellín"/>
    <x v="0"/>
    <s v="Habilitación Viviendas Metrosur"/>
    <x v="1"/>
    <n v="5"/>
    <s v="2025-12-12 10:02:13"/>
    <s v="0 días 10:02"/>
    <s v="4 días 10:02"/>
    <x v="0"/>
    <s v="SIN DATO"/>
    <s v="SIN DATO"/>
    <s v="SIN DATO"/>
    <s v="ABIERTO"/>
    <n v="-75.619033279999996"/>
    <n v="6.2476124400000002"/>
    <s v="SUR-ENE"/>
    <s v="Metropolitana Sur"/>
  </r>
  <r>
    <s v="23607485"/>
    <s v="ENENOR"/>
    <s v="CAMBI"/>
    <s v="ENENOR"/>
    <s v="04/12/2025 10:03:18"/>
    <s v="2025-12-04 10:03:18"/>
    <n v="900431348"/>
    <s v="ELITE MOTORS S.A.S."/>
    <s v="3122222"/>
    <s v="3162223442"/>
    <s v="CR 43 B CL 11 -10 (INTERIOR 1 )"/>
    <x v="0"/>
    <s v="051423201000100001"/>
    <s v="Medellín"/>
    <x v="7"/>
    <s v="METROSUR Vin. Leg. Ref. Concentrada"/>
    <x v="1"/>
    <n v="7"/>
    <s v="2025-12-16 10:03:18"/>
    <s v="0 días 10:03"/>
    <s v="6 días 10:03"/>
    <x v="0"/>
    <s v="SIN DATO"/>
    <s v="SIN DATO"/>
    <s v="SIN DATO"/>
    <s v="ABIERTO"/>
    <n v="-75.570388089999994"/>
    <n v="6.2114669100000004"/>
    <s v="SUR-ENE"/>
    <s v="Metropolitana Sur"/>
  </r>
  <r>
    <s v="23607491"/>
    <s v="ENERES"/>
    <s v="NUEVO"/>
    <s v="ENEDOM"/>
    <s v="04/12/2025 10:05:32"/>
    <s v="2025-12-04 10:05:32"/>
    <n v="1037582381"/>
    <s v="JOHN JAIRO OCAMPO CARDENAS"/>
    <s v="SIN DATOS"/>
    <s v="3104892891"/>
    <s v="CR 106 CL 34 F -58 (INTERIOR 302 )"/>
    <x v="0"/>
    <s v="083026004600580302"/>
    <s v="Medellín"/>
    <x v="0"/>
    <s v="Habilitación Viviendas Metrosur"/>
    <x v="1"/>
    <n v="5"/>
    <s v="2025-12-12 10:05:32"/>
    <s v="0 días 10:05"/>
    <s v="4 días 10:05"/>
    <x v="0"/>
    <s v="SIN DATO"/>
    <s v="SIN DATO"/>
    <s v="SIN DATO"/>
    <s v="ABIERTO"/>
    <n v="-75.619033279999996"/>
    <n v="6.2476124400000002"/>
    <s v="SUR-ENE"/>
    <s v="Metropolitana Sur"/>
  </r>
  <r>
    <s v="23607509"/>
    <s v="ENERES"/>
    <s v="NUEVO"/>
    <s v="ENEDOM"/>
    <s v="04/12/2025 10:15:41"/>
    <s v="2025-12-04 10:15:41"/>
    <n v="1036660138"/>
    <s v="ANGIE PUERTA RESTREPO"/>
    <s v="SIN DATOS"/>
    <s v="3022107382"/>
    <s v="RURAL_163017656000000202_163017656000000202"/>
    <x v="1"/>
    <s v="163017656000000202"/>
    <s v="Itaguí"/>
    <x v="0"/>
    <s v="Habilitación Viviendas Metrosur"/>
    <x v="1"/>
    <n v="5"/>
    <s v="2025-12-12 10:15:41"/>
    <s v="0 días 10:15"/>
    <s v="4 días 10:15"/>
    <x v="0"/>
    <s v="SIN DATO"/>
    <s v="SIN DATO"/>
    <s v="SIN DATO"/>
    <s v="ABIERTO"/>
    <n v="-75.617031999999995"/>
    <n v="6.1773110000000004"/>
    <s v="SUR-ENE"/>
    <s v="Metropolitana Sur"/>
  </r>
  <r>
    <s v="23607514"/>
    <s v="ENERES"/>
    <s v="NUEVO"/>
    <s v="ENEDOM"/>
    <s v="04/12/2025 10:19:54"/>
    <s v="2025-12-04 10:19:54"/>
    <n v="1036658637"/>
    <s v="TATIANA SECUEQUIA TANGARIFE"/>
    <s v="SIN DATOS"/>
    <s v="3023684240"/>
    <s v="RURAL_163014442000000001"/>
    <x v="1"/>
    <s v="163014442000000001"/>
    <s v="Itaguí"/>
    <x v="0"/>
    <s v="Habilitación Viviendas Metrosur"/>
    <x v="1"/>
    <n v="5"/>
    <s v="2025-12-12 10:19:54"/>
    <s v="0 días 10:19"/>
    <s v="4 días 10:19"/>
    <x v="0"/>
    <s v="SIN DATO"/>
    <s v="SIN DATO"/>
    <s v="SIN DATO"/>
    <s v="ABIERTO"/>
    <n v="-75.618610360000005"/>
    <n v="6.19020832"/>
    <s v="SUR-ENE"/>
    <s v="Metropolitana Sur"/>
  </r>
  <r>
    <s v="23607517"/>
    <s v="ENEPRE"/>
    <s v="NUEVO"/>
    <s v="ENEPRE"/>
    <s v="04/12/2025 10:20:26"/>
    <s v="2025-12-04 10:20:26"/>
    <n v="39382626"/>
    <s v="AIDA VERA"/>
    <s v="2645254"/>
    <s v="3118383340"/>
    <s v="CR 92 CC CL 57 F -11 (INTERIOR 301 )"/>
    <x v="0"/>
    <s v="055922337600110301"/>
    <s v="Medellín"/>
    <x v="3"/>
    <s v="Energía Prepago Metrosur"/>
    <x v="1"/>
    <n v="11"/>
    <s v="2025-12-22 10:20:26"/>
    <s v="0 días 10:20"/>
    <s v="10 días 10:20"/>
    <x v="0"/>
    <s v="SIN DATO"/>
    <s v="SIN DATO"/>
    <s v="SIN DATO"/>
    <s v="ABIERTO"/>
    <n v="-75.604882000000003"/>
    <n v="6.274394"/>
    <s v="SUR-ENE"/>
    <s v="Metropolitana Sur"/>
  </r>
  <r>
    <s v="23607524"/>
    <s v="ENECNX"/>
    <s v="NUEVO"/>
    <s v="ENECNX"/>
    <s v="04/12/2025 10:23:23"/>
    <s v="2025-12-04 10:23:23"/>
    <n v="70827620"/>
    <s v="GENARO DE JESUS URREA ARISTIZABAL"/>
    <s v="SIN DATOS"/>
    <s v="3043419772"/>
    <s v="CIRC 4 CR 70 -14"/>
    <x v="0"/>
    <s v="054750000000140000"/>
    <s v="Medellín"/>
    <x v="4"/>
    <s v="Revisor Puntos de Conexión Metrosur"/>
    <x v="1"/>
    <n v="4"/>
    <s v="2025-12-11 10:23:23"/>
    <s v="0 días 10:23"/>
    <s v="3 días 10:23"/>
    <x v="0"/>
    <s v="SIN DATO"/>
    <s v="SIN DATO"/>
    <s v="SIN DATO"/>
    <s v="ABIERTO"/>
    <n v="-75.589341430000005"/>
    <n v="6.2465724399999996"/>
    <s v="SUR-ENE"/>
    <s v="Metropolitana Sur"/>
  </r>
  <r>
    <s v="23607526"/>
    <s v="ENEPRE"/>
    <s v="NUEVO"/>
    <s v="ENEPRE"/>
    <s v="04/12/2025 10:25:24"/>
    <s v="2025-12-04 10:25:24"/>
    <n v="6478027"/>
    <s v="JUAN JOSE SANCHEZ MARTINEZ"/>
    <s v="5874230"/>
    <s v="3108967403"/>
    <s v="CL 39 CR 26 -53 (INTERIOR 401 )"/>
    <x v="0"/>
    <s v="053219006000530401"/>
    <s v="Medellín"/>
    <x v="3"/>
    <s v="Energía Prepago Metrosur"/>
    <x v="1"/>
    <n v="11"/>
    <s v="2025-12-22 10:25:24"/>
    <s v="0 días 10:25"/>
    <s v="10 días 10:25"/>
    <x v="0"/>
    <s v="SIN DATO"/>
    <s v="SIN DATO"/>
    <s v="SIN DATO"/>
    <s v="ABIERTO"/>
    <n v="-75.553529999999995"/>
    <n v="6.2319849999999999"/>
    <s v="SUR-ENE"/>
    <s v="Metropolitana Sur"/>
  </r>
  <r>
    <s v="23607531"/>
    <s v="ENERES"/>
    <s v="NUEVO"/>
    <s v="ENEDOM"/>
    <s v="04/12/2025 10:27:05"/>
    <s v="2025-12-04 10:27:05"/>
    <n v="43108753"/>
    <s v="JAIDY YAMILE CARDONA"/>
    <s v="4910593"/>
    <s v="3194646787"/>
    <s v="CL 49 AA CR 99 E -72 (INTERIOR 3191 )"/>
    <x v="0"/>
    <s v="054919119500723191"/>
    <s v="Medellín"/>
    <x v="0"/>
    <s v="Habilitación Viviendas Metrosur"/>
    <x v="1"/>
    <n v="5"/>
    <s v="2025-12-12 10:27:05"/>
    <s v="0 días 10:27"/>
    <s v="4 días 10:27"/>
    <x v="0"/>
    <s v="SIN DATO"/>
    <s v="SIN DATO"/>
    <s v="SIN DATO"/>
    <s v="ABIERTO"/>
    <n v="-75.613264000000001"/>
    <n v="6.2673300000000003"/>
    <s v="SUR-ENE"/>
    <s v="Metropolitana Sur"/>
  </r>
  <r>
    <s v="23607548"/>
    <s v="ENERES"/>
    <s v="NUEVO"/>
    <s v="ENEDOM"/>
    <s v="04/12/2025 10:38:01"/>
    <s v="2025-12-04 10:38:01"/>
    <n v="78691002"/>
    <s v="DANIEL FRANCISCO NARVAEZ PADILLA"/>
    <s v="SIN DATOS"/>
    <s v="3207602749"/>
    <s v="CL 54 CR 82 -75 (INTERIOR 332 )"/>
    <x v="0"/>
    <s v="055814002000750332"/>
    <s v="Medellín"/>
    <x v="0"/>
    <s v="Habilitación Viviendas Metrosur"/>
    <x v="1"/>
    <n v="5"/>
    <s v="2025-12-12 10:38:01"/>
    <s v="0 días 10:38"/>
    <s v="4 días 10:38"/>
    <x v="0"/>
    <s v="SIN DATO"/>
    <s v="SIN DATO"/>
    <s v="SIN DATO"/>
    <s v="ABIERTO"/>
    <n v="-75.599178089999995"/>
    <n v="6.26905074"/>
    <s v="SUR-ENE"/>
    <s v="Metropolitana Sur"/>
  </r>
  <r>
    <s v="23607549"/>
    <s v="ENERES"/>
    <s v="NUEVO"/>
    <s v="ENEDOM"/>
    <s v="04/12/2025 10:38:04"/>
    <s v="2025-12-04 10:38:04"/>
    <n v="1036673777"/>
    <s v="KEVIN PUERTA RESTREPO"/>
    <s v="SIN DATOS"/>
    <s v="3013321418"/>
    <s v="RURAL_163017656000000201"/>
    <x v="1"/>
    <s v="163017656000000201"/>
    <s v="Itaguí"/>
    <x v="0"/>
    <s v="Habilitación Viviendas Metrosur"/>
    <x v="1"/>
    <n v="5"/>
    <s v="2025-12-12 10:38:04"/>
    <s v="0 días 10:38"/>
    <s v="4 días 10:38"/>
    <x v="0"/>
    <s v="SIN DATO"/>
    <s v="SIN DATO"/>
    <s v="SIN DATO"/>
    <s v="ABIERTO"/>
    <n v="-75.617031999999995"/>
    <n v="6.1773110000000004"/>
    <s v="SUR-ENE"/>
    <s v="Metropolitana Sur"/>
  </r>
  <r>
    <s v="23607552"/>
    <s v="ENEPRE"/>
    <s v="NUEVO"/>
    <s v="ENEPRE"/>
    <s v="04/12/2025 10:41:44"/>
    <s v="2025-12-04 10:41:44"/>
    <n v="6478027"/>
    <s v="JUAN JOSE SANCHEZ MARTINEZ"/>
    <s v="5874230"/>
    <s v="3108967403"/>
    <s v="CL 39 CR 26 -53 (INTERIOR 301 )"/>
    <x v="0"/>
    <s v="053219006000530301"/>
    <s v="Medellín"/>
    <x v="3"/>
    <s v="Energía Prepago Metrosur"/>
    <x v="1"/>
    <n v="11"/>
    <s v="2025-12-22 10:41:44"/>
    <s v="0 días 10:41"/>
    <s v="10 días 10:41"/>
    <x v="0"/>
    <s v="SIN DATO"/>
    <s v="SIN DATO"/>
    <s v="SIN DATO"/>
    <s v="ABIERTO"/>
    <n v="-75.553529999999995"/>
    <n v="6.2319849999999999"/>
    <s v="SUR-ENE"/>
    <s v="Metropolitana Sur"/>
  </r>
  <r>
    <s v="23607560"/>
    <s v="ENECNX"/>
    <s v="NUEVO"/>
    <s v="ENECNX"/>
    <s v="04/12/2025 10:47:29"/>
    <s v="2025-12-04 10:47:29"/>
    <n v="15345988"/>
    <s v="CARLOS ALBERTO MONTOYA MONTOYA"/>
    <s v="SIN DATOS"/>
    <s v="3116430099"/>
    <s v="CR 43 AA CL 72 SUR -56 (INTERIOR 201 )"/>
    <x v="5"/>
    <s v="017423112000560201"/>
    <s v="Sabaneta"/>
    <x v="4"/>
    <s v="Revisor Puntos de Conexión Metrosur"/>
    <x v="1"/>
    <n v="4"/>
    <s v="2025-12-11 10:47:29"/>
    <s v="0 días 10:47"/>
    <s v="3 días 10:47"/>
    <x v="0"/>
    <s v="SIN DATO"/>
    <s v="SIN DATO"/>
    <s v="SIN DATO"/>
    <s v="ABIERTO"/>
    <n v="-75.615994259999994"/>
    <n v="6.1491016700000003"/>
    <s v="SUR-ENE"/>
    <s v="Metropolitana Sur"/>
  </r>
  <r>
    <s v="23607562"/>
    <s v="ENERES"/>
    <s v="NUEVO"/>
    <s v="ENEDOM"/>
    <s v="04/12/2025 10:48:29"/>
    <s v="2025-12-04 10:48:29"/>
    <n v="1036658637"/>
    <s v="TATIANA SECUEQUIA TANGARIFE"/>
    <s v="SIN DATOS"/>
    <s v="3023684240"/>
    <s v="RURAL_163014442000000002"/>
    <x v="1"/>
    <s v="163014442000000002"/>
    <s v="Itaguí"/>
    <x v="0"/>
    <s v="Habilitación Viviendas Metrosur"/>
    <x v="1"/>
    <n v="5"/>
    <s v="2025-12-12 10:48:29"/>
    <s v="0 días 10:48"/>
    <s v="4 días 10:48"/>
    <x v="0"/>
    <s v="SIN DATO"/>
    <s v="SIN DATO"/>
    <s v="SIN DATO"/>
    <s v="ABIERTO"/>
    <n v="-75.618610360000005"/>
    <n v="6.19020832"/>
    <s v="SUR-ENE"/>
    <s v="Metropolitana Sur"/>
  </r>
  <r>
    <s v="23607577"/>
    <s v="ENERES"/>
    <s v="NUEVO"/>
    <s v="ENEDOM"/>
    <s v="04/12/2025 10:58:13"/>
    <s v="2025-12-04 10:58:13"/>
    <n v="70136756"/>
    <s v="NICOLAS FARLEY VELEZ VELEZ"/>
    <s v="SIN DATOS"/>
    <s v="3107163101"/>
    <s v="CR 53 CL 33 -21 (INTERIOR 101 )"/>
    <x v="1"/>
    <s v="073523003000210101"/>
    <s v="Itaguí"/>
    <x v="0"/>
    <s v="Habilitación Viviendas Metrosur"/>
    <x v="1"/>
    <n v="5"/>
    <s v="2025-12-12 10:58:13"/>
    <s v="0 días 10:58"/>
    <s v="4 días 10:58"/>
    <x v="0"/>
    <s v="SIN DATO"/>
    <s v="SIN DATO"/>
    <s v="SIN DATO"/>
    <s v="ABIERTO"/>
    <n v="-75.623613660000004"/>
    <n v="6.1666664600000001"/>
    <s v="SUR-ENE"/>
    <s v="Metropolitana Sur"/>
  </r>
  <r>
    <s v="23607580"/>
    <s v="ENEMRT"/>
    <s v="NUEVO"/>
    <s v="ENEMVI"/>
    <s v="04/12/2025 10:59:07"/>
    <s v="2025-12-04 10:59:07"/>
    <n v="1005180552"/>
    <s v="YELITZA SERNA"/>
    <s v="SIN DATOS"/>
    <s v="3223555336"/>
    <s v="CL 48 D CR 110 -364"/>
    <x v="0"/>
    <s v="084118400003640000"/>
    <s v="Medellín"/>
    <x v="9"/>
    <s v="METR Mov Red Trans Anderson Castaño"/>
    <x v="1"/>
    <n v="9"/>
    <s v="2025-12-18 10:59:07"/>
    <s v="0 días 10:59"/>
    <s v="8 días 10:59"/>
    <x v="0"/>
    <s v="SIN DATO"/>
    <s v="SIN DATO"/>
    <s v="SIN DATO"/>
    <s v="ABIERTO"/>
    <n v="-75.625248999999997"/>
    <n v="6.2651510000000004"/>
    <s v="SUR-ENE"/>
    <s v="Metropolitana Sur"/>
  </r>
  <r>
    <s v="23607583"/>
    <s v="ENEPRE"/>
    <s v="NUEVO"/>
    <s v="ENEPRE"/>
    <s v="04/12/2025 11:00:58"/>
    <s v="2025-12-04 11:00:58"/>
    <n v="43829396"/>
    <s v="DORIS MARIA SANCHEZ TAMAYO"/>
    <s v="SIN DATOS"/>
    <s v="3205466377"/>
    <s v="RURAL_163006907300000302_163006907300000302"/>
    <x v="1"/>
    <s v="163006907300000302"/>
    <s v="Itaguí"/>
    <x v="3"/>
    <s v="Energía Prepago Metrosur"/>
    <x v="1"/>
    <n v="11"/>
    <s v="2025-12-22 11:00:58"/>
    <s v="0 días 11:00"/>
    <s v="10 días 11:00"/>
    <x v="0"/>
    <s v="SIN DATO"/>
    <s v="SIN DATO"/>
    <s v="SIN DATO"/>
    <s v="ABIERTO"/>
    <n v="-75.604879999999994"/>
    <n v="6.1941480000000002"/>
    <s v="SUR-ENE"/>
    <s v="Metropolitana Sur"/>
  </r>
  <r>
    <s v="23607586"/>
    <s v="ENECNX"/>
    <s v="NUEVO"/>
    <s v="ENECNX"/>
    <s v="04/12/2025 11:01:17"/>
    <s v="2025-12-04 11:01:17"/>
    <n v="71718593"/>
    <s v="JUAN CARLOS AMAYA RAMIREZ"/>
    <s v="5992224"/>
    <s v="3205741752"/>
    <s v="CR 65 CL 35 -36"/>
    <x v="1"/>
    <s v="073625005000360000"/>
    <s v="Itaguí"/>
    <x v="4"/>
    <s v="Revisor Puntos de Conexión Metrosur"/>
    <x v="1"/>
    <n v="4"/>
    <s v="2025-12-11 11:01:17"/>
    <s v="0 días 11:01"/>
    <s v="3 días 11:01"/>
    <x v="0"/>
    <s v="SIN DATO"/>
    <s v="SIN DATO"/>
    <s v="SIN DATO"/>
    <s v="ABIERTO"/>
    <n v="-75.629686849999999"/>
    <n v="6.1716111500000004"/>
    <s v="SUR-ENE"/>
    <s v="Metropolitana Sur"/>
  </r>
  <r>
    <s v="23607603"/>
    <s v="ENERES"/>
    <s v="NUEVO"/>
    <s v="ENERES"/>
    <s v="04/12/2025 11:15:44"/>
    <s v="2025-12-04 11:15:44"/>
    <n v="1038548681"/>
    <s v="ANDRES FELIPE ROLDAN GAVIRIA"/>
    <s v="SIN DATOS"/>
    <s v="3114756166"/>
    <s v="CR 23 CL 56 EH -201 (INTERIOR 360 )"/>
    <x v="0"/>
    <s v="055223006582010360"/>
    <s v="Medellín"/>
    <x v="1"/>
    <s v="METROSUR Vin. Leg. Ref. Concentrada"/>
    <x v="1"/>
    <n v="7"/>
    <s v="2025-12-16 11:15:44"/>
    <s v="0 días 11:15"/>
    <s v="6 días 11:15"/>
    <x v="0"/>
    <s v="SIN DATO"/>
    <s v="SIN DATO"/>
    <s v="SIN DATO"/>
    <s v="ABIERTO"/>
    <n v="-75.541348979999995"/>
    <n v="6.2451202200000004"/>
    <s v="SUR-ENE"/>
    <s v="Metropolitana Sur"/>
  </r>
  <r>
    <s v="23607605"/>
    <s v="ENERES"/>
    <s v="NUEVO"/>
    <s v="ENERES"/>
    <s v="04/12/2025 11:16:35"/>
    <s v="2025-12-04 11:16:35"/>
    <n v="1038548681"/>
    <s v="ANDRES FELIPE ROLDAN GAVIRIA"/>
    <s v="SIN DATOS"/>
    <s v="3114756166"/>
    <s v="CR 23 CL 56 EH -201 (INTERIOR 261 )"/>
    <x v="0"/>
    <s v="055223006582010261"/>
    <s v="Medellín"/>
    <x v="1"/>
    <s v="METROSUR Vin. Leg. Ref. Concentrada"/>
    <x v="1"/>
    <n v="7"/>
    <s v="2025-12-16 11:16:35"/>
    <s v="0 días 11:16"/>
    <s v="6 días 11:16"/>
    <x v="0"/>
    <s v="SIN DATO"/>
    <s v="SIN DATO"/>
    <s v="SIN DATO"/>
    <s v="ABIERTO"/>
    <n v="-75.541348979999995"/>
    <n v="6.2451202200000004"/>
    <s v="SUR-ENE"/>
    <s v="Metropolitana Sur"/>
  </r>
  <r>
    <s v="23607607"/>
    <s v="ENERES"/>
    <s v="NUEVO"/>
    <s v="ENERES"/>
    <s v="04/12/2025 11:17:42"/>
    <s v="2025-12-04 11:17:42"/>
    <n v="1038548681"/>
    <s v="ANDRES FELIPE ROLDAN GAVIRIA"/>
    <s v="SIN DATOS"/>
    <s v="3128453407"/>
    <s v="CR 23 CL 56 EH -201 (INTERIOR 361 )"/>
    <x v="0"/>
    <s v="055223006582010361"/>
    <s v="Medellín"/>
    <x v="1"/>
    <s v="METROSUR Vin. Leg. Ref. Concentrada"/>
    <x v="1"/>
    <n v="7"/>
    <s v="2025-12-16 11:17:42"/>
    <s v="0 días 11:17"/>
    <s v="6 días 11:17"/>
    <x v="0"/>
    <s v="SIN DATO"/>
    <s v="SIN DATO"/>
    <s v="SIN DATO"/>
    <s v="ABIERTO"/>
    <n v="-75.541348979999995"/>
    <n v="6.2451202200000004"/>
    <s v="SUR-ENE"/>
    <s v="Metropolitana Sur"/>
  </r>
  <r>
    <s v="23607610"/>
    <s v="ENEMRT"/>
    <s v="NUEVO"/>
    <s v="ENEMVI"/>
    <s v="04/12/2025 11:19:12"/>
    <s v="2025-12-04 11:19:12"/>
    <n v="8473278"/>
    <s v="MANUEL GUILLERMO RUIZ"/>
    <s v="SIN DATOS"/>
    <s v="3128107318"/>
    <s v="RURAL_146027524000000201_146027524000000201"/>
    <x v="0"/>
    <s v="146027524000000201"/>
    <s v="Medellín"/>
    <x v="9"/>
    <s v="METR Mov Red Trans Anderson Castaño"/>
    <x v="0"/>
    <n v="14"/>
    <s v="2025-12-26 11:19:12"/>
    <s v="0 días 11:19"/>
    <s v="13 días 11:19"/>
    <x v="0"/>
    <s v="SIN DATO"/>
    <s v="SIN DATO"/>
    <s v="SIN DATO"/>
    <s v="ABIERTO"/>
    <n v="-75.694029999999998"/>
    <n v="6.3625850000000002"/>
    <s v="SUR-ENE"/>
    <s v="Metropolitana Sur"/>
  </r>
  <r>
    <s v="23607612"/>
    <s v="ENEMRT"/>
    <s v="NUEVO"/>
    <s v="ENEMVI"/>
    <s v="04/12/2025 11:21:32"/>
    <s v="2025-12-04 11:21:32"/>
    <n v="43264190"/>
    <s v="PAULA ANDREA CARO IBARRA"/>
    <s v="SIN DATOS"/>
    <s v="3136353074"/>
    <s v="CR 15 AA CL 35 -19 (INTERIOR 301 )"/>
    <x v="0"/>
    <s v="053125115000190301"/>
    <s v="Medellín"/>
    <x v="9"/>
    <s v="METR Mov Red Trans Anderson Castaño"/>
    <x v="1"/>
    <n v="9"/>
    <s v="2025-12-18 11:21:32"/>
    <s v="0 días 11:21"/>
    <s v="8 días 11:21"/>
    <x v="0"/>
    <s v="SIN DATO"/>
    <s v="SIN DATO"/>
    <s v="SIN DATO"/>
    <s v="ABIERTO"/>
    <n v="-75.544421999999997"/>
    <n v="6.2286440000000001"/>
    <s v="SUR-ENE"/>
    <s v="Metropolitana Sur"/>
  </r>
  <r>
    <s v="23607616"/>
    <s v="ENERES"/>
    <s v="NUEVO"/>
    <s v="ENEDOM"/>
    <s v="04/12/2025 11:22:08"/>
    <s v="2025-12-04 11:22:08"/>
    <n v="15487454"/>
    <s v="WILFRED MONTOYA PIEDRAHITA"/>
    <s v="SIN DATOS"/>
    <s v="3044557667"/>
    <s v="CR 120 F CL 54 -62 (INTERIOR 221 )"/>
    <x v="0"/>
    <s v="085220604000620221"/>
    <s v="Medellín"/>
    <x v="0"/>
    <s v="Habilitación Viviendas Metrosur"/>
    <x v="1"/>
    <n v="5"/>
    <s v="2025-12-12 11:22:08"/>
    <s v="0 días 11:22"/>
    <s v="4 días 11:22"/>
    <x v="0"/>
    <s v="SIN DATO"/>
    <s v="SIN DATO"/>
    <s v="SIN DATO"/>
    <s v="ABIERTO"/>
    <n v="-75.626461000000006"/>
    <n v="6.2706590000000002"/>
    <s v="SUR-ENE"/>
    <s v="Metropolitana Sur"/>
  </r>
  <r>
    <s v="23607634"/>
    <s v="ENECNX"/>
    <s v="NUEVO"/>
    <s v="ENECNX"/>
    <s v="04/12/2025 11:33:59"/>
    <s v="2025-12-04 11:33:59"/>
    <n v="43254050"/>
    <s v="ANA ISABEL ORTIZ ESPINAL"/>
    <s v="SIN DATOS"/>
    <s v="3197195440"/>
    <s v="RURAL_161025341000000002_PRIMAVERA"/>
    <x v="3"/>
    <s v="161025341000000002"/>
    <s v="Caldas"/>
    <x v="4"/>
    <s v="Revisor Puntos de Conexión Metrosur"/>
    <x v="0"/>
    <n v="4"/>
    <s v="2025-12-11 11:33:59"/>
    <s v="0 días 11:33"/>
    <s v="3 días 11:33"/>
    <x v="0"/>
    <s v="SIN DATO"/>
    <s v="SIN DATO"/>
    <s v="SIN DATO"/>
    <s v="ABIERTO"/>
    <n v="-75.634908999999993"/>
    <n v="6.0728840000000002"/>
    <s v="SUR-ENE"/>
    <s v="Metropolitana Sur"/>
  </r>
  <r>
    <s v="23607649"/>
    <s v="ENERES"/>
    <s v="NUEVO"/>
    <s v="ENERES"/>
    <s v="04/12/2025 11:43:00"/>
    <s v="2025-12-04 11:43:00"/>
    <n v="71787716"/>
    <s v="YORKI GUZMAN"/>
    <s v="3243558"/>
    <s v="3154384825"/>
    <s v="RURAL_125004526000000101_CL 20C SUR CR 7 - 504"/>
    <x v="2"/>
    <s v="125004526000000101"/>
    <s v="Envigado"/>
    <x v="1"/>
    <s v="Revisor Instal. Regadas Metrosur"/>
    <x v="0"/>
    <n v="10"/>
    <s v="2025-12-19 11:43:00"/>
    <s v="0 días 11:43"/>
    <s v="9 días 11:43"/>
    <x v="0"/>
    <s v="SIN DATO"/>
    <s v="SIN DATO"/>
    <s v="SIN DATO"/>
    <s v="ABIERTO"/>
    <n v="-75.526851289999996"/>
    <n v="6.1940976499999998"/>
    <s v="SUR-ENE"/>
    <s v="Metropolitana Sur"/>
  </r>
  <r>
    <s v="23607655"/>
    <s v="ENERES"/>
    <s v="NUEVO"/>
    <s v="ENEDOM"/>
    <s v="04/12/2025 11:45:01"/>
    <s v="2025-12-04 11:45:01"/>
    <n v="71779486"/>
    <s v="RICHARD MUÑOZ DEL RIO"/>
    <s v="SIN DATOS"/>
    <s v="3174837367"/>
    <s v="CL 34 CR 34 C -41 (INTERIOR 2285 )"/>
    <x v="0"/>
    <s v="053314004300412285"/>
    <s v="Medellín"/>
    <x v="0"/>
    <s v="Habilitación Viviendas Metrosur"/>
    <x v="1"/>
    <n v="5"/>
    <s v="2025-12-12 11:45:01"/>
    <s v="0 días 11:45"/>
    <s v="4 días 11:45"/>
    <x v="0"/>
    <s v="SIN DATO"/>
    <s v="SIN DATO"/>
    <s v="SIN DATO"/>
    <s v="ABIERTO"/>
    <n v="-75.562349249999997"/>
    <n v="6.2327104699999998"/>
    <s v="SUR-ENE"/>
    <s v="Metropolitana Sur"/>
  </r>
  <r>
    <s v="23607676"/>
    <s v="ENENOR"/>
    <s v="CAMBI"/>
    <s v="ENENOR"/>
    <s v="04/12/2025 12:02:35"/>
    <s v="2025-12-04 12:02:35"/>
    <n v="900085852"/>
    <s v="CONSTRUGEN S.A.S."/>
    <s v="4798880"/>
    <s v="3155938610"/>
    <s v="CL 36 D SUR CR 27 A -105 (INTERIOR 5 )"/>
    <x v="2"/>
    <s v="023216407101050005"/>
    <s v="Envigado"/>
    <x v="7"/>
    <s v="METROSUR Vin. Leg. Ref. Concentrada"/>
    <x v="1"/>
    <n v="7"/>
    <s v="2025-12-16 12:02:35"/>
    <s v="0 días 12:02"/>
    <s v="6 días 12:02"/>
    <x v="0"/>
    <s v="SIN DATO"/>
    <s v="SIN DATO"/>
    <s v="SIN DATO"/>
    <s v="ABIERTO"/>
    <n v="-75.574057089999997"/>
    <n v="6.1643059600000001"/>
    <s v="SUR-ENE"/>
    <s v="Metropolitana Sur"/>
  </r>
  <r>
    <s v="23607682"/>
    <s v="ENERES"/>
    <s v="NUEVO"/>
    <s v="ENERES"/>
    <s v="04/12/2025 12:05:10"/>
    <s v="2025-12-04 12:05:10"/>
    <n v="3396251"/>
    <s v="HANDER ORLANDO ZAPATA RODRIGUEZ"/>
    <s v="SIN DATOS"/>
    <s v="3208359862"/>
    <s v="TRAN 33 A SUR DIAG 32 B -19 (INTERIOR 102 )"/>
    <x v="2"/>
    <s v="023393102200190102"/>
    <s v="Envigado"/>
    <x v="1"/>
    <s v="Revisor Instal. Regadas Metrosur"/>
    <x v="1"/>
    <n v="7"/>
    <s v="2025-12-16 12:05:10"/>
    <s v="0 días 12:05"/>
    <s v="6 días 12:05"/>
    <x v="0"/>
    <s v="SIN DATO"/>
    <s v="SIN DATO"/>
    <s v="SIN DATO"/>
    <s v="ABIERTO"/>
    <n v="-75.582925860000003"/>
    <n v="6.1737085799999996"/>
    <s v="SUR-ENE"/>
    <s v="Metropolitana Sur"/>
  </r>
  <r>
    <s v="23607692"/>
    <s v="ENERES"/>
    <s v="NUEVO"/>
    <s v="ENERES"/>
    <s v="04/12/2025 12:16:48"/>
    <s v="2025-12-04 12:16:48"/>
    <n v="43191000"/>
    <s v="MARCELA QUINTERO BALZAC"/>
    <s v="3304747"/>
    <s v="3122273725"/>
    <s v="CR 65 CL 27 -133 (INTERIOR 103 )"/>
    <x v="1"/>
    <s v="072625007001330103"/>
    <s v="Itaguí"/>
    <x v="1"/>
    <s v="Revisor Instal. Regadas Metrosur"/>
    <x v="1"/>
    <n v="7"/>
    <s v="2025-12-16 12:16:48"/>
    <s v="0 días 12:16"/>
    <s v="6 días 12:16"/>
    <x v="0"/>
    <s v="SIN DATO"/>
    <s v="SIN DATO"/>
    <s v="SIN DATO"/>
    <s v="ABIERTO"/>
    <n v="-75.639278289999993"/>
    <n v="6.1699365400000001"/>
    <s v="SUR-ENE"/>
    <s v="Metropolitana Sur"/>
  </r>
  <r>
    <s v="23607696"/>
    <s v="ENEPRE"/>
    <s v="NUEVO"/>
    <s v="ENEPRE"/>
    <s v="04/12/2025 12:21:33"/>
    <s v="2025-12-04 12:21:33"/>
    <n v="39169938"/>
    <s v="LUZ HELENA ANGARITA PALACIO"/>
    <s v="SIN DATOS"/>
    <s v="3206041973"/>
    <s v="CR 42 A CL 125 SUR -77 (INTERIOR 138 )"/>
    <x v="3"/>
    <s v="002422105000770138"/>
    <s v="Caldas"/>
    <x v="3"/>
    <s v="Energía Prepago Metrosur"/>
    <x v="1"/>
    <n v="11"/>
    <s v="2025-12-22 12:21:33"/>
    <s v="0 días 12:21"/>
    <s v="10 días 12:21"/>
    <x v="0"/>
    <s v="SIN DATO"/>
    <s v="SIN DATO"/>
    <s v="SIN DATO"/>
    <s v="ABIERTO"/>
    <n v="-75.629790470000003"/>
    <n v="6.0955506699999997"/>
    <s v="SUR-ENE"/>
    <s v="Metropolitana Sur"/>
  </r>
  <r>
    <s v="23607699"/>
    <s v="ENERES"/>
    <s v="NUEVO"/>
    <s v="ENEDOM"/>
    <s v="04/12/2025 12:23:23"/>
    <s v="2025-12-04 12:23:23"/>
    <n v="1022095529"/>
    <s v="YOVANNY RUIZ VARGAS"/>
    <s v="SIN DATOS"/>
    <s v="3022050303"/>
    <s v="CL 48 CR 1 ESTE -9 (INTERIOR 305 )"/>
    <x v="0"/>
    <s v="704018001000090305"/>
    <s v="Medellín"/>
    <x v="0"/>
    <s v="Habilitación Viviendas Metrosur"/>
    <x v="1"/>
    <n v="5"/>
    <s v="2025-12-12 12:23:23"/>
    <s v="0 días 12:23"/>
    <s v="4 días 12:23"/>
    <x v="0"/>
    <s v="SIN DATO"/>
    <s v="SIN DATO"/>
    <s v="SIN DATO"/>
    <s v="ABIERTO"/>
    <n v="-75.528360269999993"/>
    <n v="6.2297986300000003"/>
    <s v="SUR-ENE"/>
    <s v="Metropolitana Sur"/>
  </r>
  <r>
    <s v="23607701"/>
    <s v="ENERES"/>
    <s v="NUEVO"/>
    <s v="ENEDOM"/>
    <s v="04/12/2025 12:24:13"/>
    <s v="2025-12-04 12:24:13"/>
    <n v="1152691079"/>
    <s v="ALVARO DAVILA"/>
    <s v="2216393"/>
    <s v="SIN DATOS"/>
    <s v="CL 58 CR 7 -37 (INTERIOR 3001 )"/>
    <x v="0"/>
    <s v="055018007000373001"/>
    <s v="Medellín"/>
    <x v="0"/>
    <s v="Habilitación Viviendas Metrosur"/>
    <x v="1"/>
    <n v="5"/>
    <s v="2025-12-12 12:24:13"/>
    <s v="0 días 12:24"/>
    <s v="4 días 12:24"/>
    <x v="0"/>
    <s v="SIN DATO"/>
    <s v="SIN DATO"/>
    <s v="SIN DATO"/>
    <s v="ABIERTO"/>
    <n v="-75.532549189999997"/>
    <n v="6.2356958300000001"/>
    <s v="SUR-ENE"/>
    <s v="Metropolitana Sur"/>
  </r>
  <r>
    <s v="23607703"/>
    <s v="ENERES"/>
    <s v="NUEVO"/>
    <s v="ENEDOM"/>
    <s v="04/12/2025 12:24:19"/>
    <s v="2025-12-04 12:24:19"/>
    <n v="43185738"/>
    <s v="MARILY SANCHEZ SANCHEZ"/>
    <s v="SIN DATOS"/>
    <s v="3006234601"/>
    <s v="RURAL_163008578000000301_(301)"/>
    <x v="1"/>
    <s v="163008578000000301"/>
    <s v="Itaguí"/>
    <x v="0"/>
    <s v="Habilitación Viviendas Metrosur"/>
    <x v="1"/>
    <n v="5"/>
    <s v="2025-12-12 12:24:19"/>
    <s v="0 días 12:24"/>
    <s v="4 días 12:24"/>
    <x v="0"/>
    <s v="SIN DATO"/>
    <s v="SIN DATO"/>
    <s v="SIN DATO"/>
    <s v="ABIERTO"/>
    <n v="-75.607942980000004"/>
    <n v="6.1940152800000003"/>
    <s v="SUR-ENE"/>
    <s v="Metropolitana Sur"/>
  </r>
  <r>
    <s v="23607710"/>
    <s v="ENERES"/>
    <s v="NUEVO"/>
    <s v="ENERES"/>
    <s v="04/12/2025 12:40:04"/>
    <s v="2025-12-04 12:40:04"/>
    <n v="98761817"/>
    <s v="PABLO ANDRES BAEZ SANDOVAL"/>
    <s v="SIN DATOS"/>
    <s v="3007459037"/>
    <s v="CL 45 D CR 72 -90"/>
    <x v="0"/>
    <s v="054715402000900000"/>
    <s v="Medellín"/>
    <x v="1"/>
    <s v="Revisor Instal. Regadas Metrosur"/>
    <x v="1"/>
    <n v="7"/>
    <s v="2025-12-16 12:40:04"/>
    <s v="0 días 12:40"/>
    <s v="6 días 12:40"/>
    <x v="0"/>
    <s v="SIN DATO"/>
    <s v="SIN DATO"/>
    <s v="SIN DATO"/>
    <s v="ABIERTO"/>
    <n v="-75.591902000000005"/>
    <n v="6.2508949999999999"/>
    <s v="SUR-ENE"/>
    <s v="Metropolitana Sur"/>
  </r>
  <r>
    <s v="23607711"/>
    <s v="ENEMRT"/>
    <s v="NUEVO"/>
    <s v="ENEMVI"/>
    <s v="04/12/2025 12:45:21"/>
    <s v="2025-12-04 12:45:21"/>
    <n v="42745667"/>
    <s v="MARIA EUNICE ARANGO MUÑETON"/>
    <s v="4982814"/>
    <s v="3004384309"/>
    <s v="CR 72 CL 45 SUR -21 (INTERIOR 135 )"/>
    <x v="0"/>
    <s v="044722005000210135"/>
    <s v="Medellín"/>
    <x v="9"/>
    <s v="METR Mov Red Trans Anderson Castaño"/>
    <x v="1"/>
    <n v="9"/>
    <s v="2025-12-18 12:45:21"/>
    <s v="0 días 12:45"/>
    <s v="8 días 12:45"/>
    <x v="0"/>
    <s v="SIN DATO"/>
    <s v="SIN DATO"/>
    <s v="SIN DATO"/>
    <s v="ABIERTO"/>
    <n v="-75.651139900000004"/>
    <n v="6.1801955"/>
    <s v="SUR-ENE"/>
    <s v="Metropolitana Sur"/>
  </r>
  <r>
    <s v="23607718"/>
    <s v="ENEMRT"/>
    <s v="NUEVO"/>
    <s v="ENEMVI"/>
    <s v="04/12/2025 13:04:05"/>
    <s v="2025-12-04 13:04:05"/>
    <n v="1026144031"/>
    <s v="JONATHAN ANDRES ARRUBLA TORO"/>
    <s v="SIN DATOS"/>
    <s v="3206976464"/>
    <s v="RURAL_161004519000009901_161004519000009901"/>
    <x v="3"/>
    <s v="161004519000009901"/>
    <s v="Caldas"/>
    <x v="9"/>
    <s v="Mov Red Trans Dairo Gil"/>
    <x v="0"/>
    <n v="14"/>
    <s v="2025-12-26 13:04:05"/>
    <s v="0 días 13:04"/>
    <s v="13 días 13:04"/>
    <x v="0"/>
    <s v="SIN DATO"/>
    <s v="SIN DATO"/>
    <s v="SIN DATO"/>
    <s v="ABIERTO"/>
    <n v="-75.643587890000006"/>
    <n v="6.1031189899999996"/>
    <s v="SUR-ENE"/>
    <s v="Metropolitana Sur"/>
  </r>
  <r>
    <s v="23607719"/>
    <s v="ENERES"/>
    <s v="NUEVO"/>
    <s v="ENERES"/>
    <s v="04/12/2025 13:07:56"/>
    <s v="2025-12-04 13:07:56"/>
    <n v="71260126"/>
    <s v="JHON FREDY BERRIO VARGAS"/>
    <s v="2848014"/>
    <s v="3007459037"/>
    <s v="CL 57 C CR 19 -11"/>
    <x v="0"/>
    <s v="055117309000110000"/>
    <s v="Medellín"/>
    <x v="1"/>
    <s v="METROSUR Vin. Leg. Ref. Concentrada"/>
    <x v="1"/>
    <n v="7"/>
    <s v="2025-12-16 13:07:56"/>
    <s v="0 días 13:07"/>
    <s v="6 días 13:07"/>
    <x v="0"/>
    <s v="SIN DATO"/>
    <s v="SIN DATO"/>
    <s v="SIN DATO"/>
    <s v="ABIERTO"/>
    <n v="-75.541944819999998"/>
    <n v="6.2511227600000003"/>
    <s v="SUR-ENE"/>
    <s v="Metropolitana Sur"/>
  </r>
  <r>
    <s v="23607723"/>
    <s v="ENERES"/>
    <s v="NUEVO"/>
    <s v="ENEDOM"/>
    <s v="04/12/2025 13:15:09"/>
    <s v="2025-12-04 13:15:09"/>
    <n v="5460061"/>
    <s v="PEDRO JOSE ESCALONA GUTIERREZ"/>
    <s v="SIN DATOS"/>
    <s v="3135720474"/>
    <s v="RURAL_163014490000000102_163014490000000102"/>
    <x v="1"/>
    <s v="163014490000000102"/>
    <s v="Itaguí"/>
    <x v="0"/>
    <s v="Habilitación Viviendas Metrosur"/>
    <x v="1"/>
    <n v="5"/>
    <s v="2025-12-12 13:15:09"/>
    <s v="0 días 13:15"/>
    <s v="4 días 13:15"/>
    <x v="0"/>
    <s v="SIN DATO"/>
    <s v="SIN DATO"/>
    <s v="SIN DATO"/>
    <s v="ABIERTO"/>
    <n v="-75.618469000000005"/>
    <n v="6.1899030000000002"/>
    <s v="SUR-ENE"/>
    <s v="Metropolitana Sur"/>
  </r>
  <r>
    <s v="23607725"/>
    <s v="ENENOR"/>
    <s v="NUEVO"/>
    <s v="ENENOR"/>
    <s v="04/12/2025 13:18:32"/>
    <s v="2025-12-04 13:18:32"/>
    <n v="43627721"/>
    <s v="CATALINA MARIA ALVAREZ HERRERA"/>
    <s v="3555100"/>
    <s v="3006559655"/>
    <s v="RURAL_125004766200000010_PARC MONTERROSO LT 10"/>
    <x v="2"/>
    <s v="125004766200000010"/>
    <s v="Envigado"/>
    <x v="5"/>
    <s v="Revisor Instal. Regadas Metrosur"/>
    <x v="0"/>
    <n v="10"/>
    <s v="2025-12-19 13:18:32"/>
    <s v="0 días 13:18"/>
    <s v="9 días 13:18"/>
    <x v="0"/>
    <s v="SIN DATO"/>
    <s v="SIN DATO"/>
    <s v="SIN DATO"/>
    <s v="ABIERTO"/>
    <n v="-75.505385000000004"/>
    <n v="6.1594350000000002"/>
    <s v="SUR-ENE"/>
    <s v="Metropolitana Sur"/>
  </r>
  <r>
    <s v="23607727"/>
    <s v="ENERES"/>
    <s v="NUEVO"/>
    <s v="ENEDOM"/>
    <s v="04/12/2025 13:19:14"/>
    <s v="2025-12-04 13:19:14"/>
    <n v="43108753"/>
    <s v="JAIDY YAMILE CARDONA"/>
    <s v="4910593"/>
    <s v="3194646787"/>
    <s v="CL 49 AA CR 99 E -72 (INTERIOR 2191 )"/>
    <x v="0"/>
    <s v="054919119500722191"/>
    <s v="Medellín"/>
    <x v="0"/>
    <s v="Habilitación Viviendas Metrosur"/>
    <x v="1"/>
    <n v="5"/>
    <s v="2025-12-12 13:19:14"/>
    <s v="0 días 13:19"/>
    <s v="4 días 13:19"/>
    <x v="0"/>
    <s v="SIN DATO"/>
    <s v="SIN DATO"/>
    <s v="SIN DATO"/>
    <s v="ABIERTO"/>
    <n v="-75.613264000000001"/>
    <n v="6.2673300000000003"/>
    <s v="SUR-ENE"/>
    <s v="Metropolitana Sur"/>
  </r>
  <r>
    <s v="23607732"/>
    <s v="ENERES"/>
    <s v="NUEVO"/>
    <s v="ENEDOM"/>
    <s v="04/12/2025 13:25:22"/>
    <s v="2025-12-04 13:25:22"/>
    <n v="43816355"/>
    <s v="HERICA RIGOEY HERRERA AGUDELO"/>
    <s v="SIN DATOS"/>
    <s v="3147152703"/>
    <s v="CL 55 C CR 2 -93 (INTERIOR 201 )"/>
    <x v="0"/>
    <s v="055015302000930201"/>
    <s v="Medellín"/>
    <x v="0"/>
    <s v="Habilitación Viviendas Metrosur"/>
    <x v="1"/>
    <n v="5"/>
    <s v="2025-12-12 13:25:22"/>
    <s v="0 días 13:25"/>
    <s v="4 días 13:25"/>
    <x v="0"/>
    <s v="SIN DATO"/>
    <s v="SIN DATO"/>
    <s v="SIN DATO"/>
    <s v="ABIERTO"/>
    <n v="-75.530597950000001"/>
    <n v="6.2348655099999997"/>
    <s v="SUR-ENE"/>
    <s v="Metropolitana Sur"/>
  </r>
  <r>
    <s v="23607733"/>
    <s v="ENERES"/>
    <s v="NUEVO"/>
    <s v="ENEDOM"/>
    <s v="04/12/2025 13:25:51"/>
    <s v="2025-12-04 13:25:51"/>
    <n v="43187528"/>
    <s v="MERY SANCHEZ"/>
    <s v="0"/>
    <s v="3206057571"/>
    <s v="RURAL_163002003000000201"/>
    <x v="1"/>
    <s v="163002003000000201"/>
    <s v="Itaguí"/>
    <x v="0"/>
    <s v="Habilitación Viviendas Metrosur"/>
    <x v="1"/>
    <n v="5"/>
    <s v="2025-12-12 13:25:51"/>
    <s v="0 días 13:25"/>
    <s v="4 días 13:25"/>
    <x v="0"/>
    <s v="SIN DATO"/>
    <s v="SIN DATO"/>
    <s v="SIN DATO"/>
    <s v="ABIERTO"/>
    <n v="-75.599725239999998"/>
    <n v="6.1957127700000001"/>
    <s v="SUR-ENE"/>
    <s v="Metropolitana Sur"/>
  </r>
  <r>
    <s v="23607735"/>
    <s v="ENERES"/>
    <s v="NUEVO"/>
    <s v="ENEDOM"/>
    <s v="04/12/2025 13:28:33"/>
    <s v="2025-12-04 13:28:33"/>
    <n v="70003244"/>
    <s v="BERNARDO ANTONIO SOTO ALVAREZ"/>
    <s v="SIN DATOS"/>
    <s v="3002015284"/>
    <s v="RURAL_163002143000000201_RURAL ITAGUI EL PORVENIR"/>
    <x v="1"/>
    <s v="163002143000000201"/>
    <s v="Itaguí"/>
    <x v="0"/>
    <s v="Habilitación Viviendas Metrosur"/>
    <x v="1"/>
    <n v="5"/>
    <s v="2025-12-12 13:28:33"/>
    <s v="0 días 13:28"/>
    <s v="4 días 13:28"/>
    <x v="0"/>
    <s v="SIN DATO"/>
    <s v="SIN DATO"/>
    <s v="SIN DATO"/>
    <s v="ABIERTO"/>
    <n v="-75.599569399999993"/>
    <n v="6.1957078699999997"/>
    <s v="SUR-ENE"/>
    <s v="Metropolitana Sur"/>
  </r>
  <r>
    <s v="23607738"/>
    <s v="ENERES"/>
    <s v="NUEVO"/>
    <s v="ENEDOM"/>
    <s v="04/12/2025 13:31:38"/>
    <s v="2025-12-04 13:31:38"/>
    <n v="1232594255"/>
    <s v="ANDREA ERNESTINA SOTO LOZADA"/>
    <s v="SIN DATOS"/>
    <s v="3136456005"/>
    <s v="RURAL_163014470100000201_163014470100000201"/>
    <x v="1"/>
    <s v="163014470100000201"/>
    <s v="Itaguí"/>
    <x v="0"/>
    <s v="Habilitación Viviendas Metrosur"/>
    <x v="1"/>
    <n v="5"/>
    <s v="2025-12-12 13:31:38"/>
    <s v="0 días 13:31"/>
    <s v="4 días 13:31"/>
    <x v="0"/>
    <s v="SIN DATO"/>
    <s v="SIN DATO"/>
    <s v="SIN DATO"/>
    <s v="ABIERTO"/>
    <n v="-75.618721269999995"/>
    <n v="6.1897350099999997"/>
    <s v="SUR-ENE"/>
    <s v="Metropolitana Sur"/>
  </r>
  <r>
    <s v="23607739"/>
    <s v="ENECNX"/>
    <s v="NUEVO"/>
    <s v="ENECNX"/>
    <s v="04/12/2025 13:32:28"/>
    <s v="2025-12-04 13:32:28"/>
    <n v="3373578"/>
    <s v="DIOGENES COLORADO"/>
    <s v="SIN DATOS"/>
    <s v="3227312591"/>
    <s v="CR 50 CL 117 SUR -192 (INTERIOR 204 )"/>
    <x v="3"/>
    <s v="001520007001920204"/>
    <s v="Caldas"/>
    <x v="4"/>
    <s v="Revisor Puntos de Conexión Metrosur"/>
    <x v="1"/>
    <n v="4"/>
    <s v="2025-12-11 13:32:28"/>
    <s v="0 días 13:32"/>
    <s v="3 días 13:32"/>
    <x v="0"/>
    <s v="SIN DATO"/>
    <s v="SIN DATO"/>
    <s v="SIN DATO"/>
    <s v="ABIERTO"/>
    <n v="-75.636261599999997"/>
    <n v="6.1009205299999998"/>
    <s v="SUR-ENE"/>
    <s v="Metropolitana Sur"/>
  </r>
  <r>
    <s v="23607748"/>
    <s v="ENERES"/>
    <s v="NUEVO"/>
    <s v="ENEDOM"/>
    <s v="04/12/2025 13:41:43"/>
    <s v="2025-12-04 13:41:43"/>
    <n v="1037674596"/>
    <s v="KRISLEIDYS ALEXANDRA TORRES SOTO"/>
    <s v="SIN DATOS"/>
    <s v="3216392218"/>
    <s v="RURAL_163014490000000101_163014490000000101"/>
    <x v="1"/>
    <s v="163014490000000101"/>
    <s v="Itaguí"/>
    <x v="0"/>
    <s v="Habilitación Viviendas Metrosur"/>
    <x v="1"/>
    <n v="5"/>
    <s v="2025-12-12 13:41:43"/>
    <s v="0 días 13:41"/>
    <s v="4 días 13:41"/>
    <x v="0"/>
    <s v="SIN DATO"/>
    <s v="SIN DATO"/>
    <s v="SIN DATO"/>
    <s v="ABIERTO"/>
    <n v="-75.618469000000005"/>
    <n v="6.1899030000000002"/>
    <s v="SUR-ENE"/>
    <s v="Metropolitana Sur"/>
  </r>
  <r>
    <s v="23607753"/>
    <s v="ENECNX"/>
    <s v="NUEVO"/>
    <s v="ENECNX"/>
    <s v="04/12/2025 13:45:23"/>
    <s v="2025-12-04 13:45:23"/>
    <n v="1036605121"/>
    <s v="CRISTIAN ANDRES BEDOYA QUINTERO"/>
    <s v="2140008"/>
    <s v="3503641941"/>
    <s v="CL 1 CR 82 -230 (INTERIOR 110 )"/>
    <x v="0"/>
    <s v="050811002002300110"/>
    <s v="Medellín"/>
    <x v="4"/>
    <s v="Revisor Puntos de Conexión Metrosur"/>
    <x v="1"/>
    <n v="4"/>
    <s v="2025-12-11 13:45:23"/>
    <s v="0 días 13:45"/>
    <s v="3 días 13:45"/>
    <x v="0"/>
    <s v="SIN DATO"/>
    <s v="SIN DATO"/>
    <s v="SIN DATO"/>
    <s v="ABIERTO"/>
    <n v="-75.607884999999996"/>
    <n v="6.2091620000000001"/>
    <s v="SUR-ENE"/>
    <s v="Metropolitana Sur"/>
  </r>
  <r>
    <s v="23607756"/>
    <s v="ENENOR"/>
    <s v="NUEVO"/>
    <s v="ENENOR"/>
    <s v="04/12/2025 13:46:40"/>
    <s v="2025-12-04 13:46:40"/>
    <n v="900516754"/>
    <s v="PROMOTORA DE PROYECTOS MOSTAZA S. A. S."/>
    <s v="2381406"/>
    <s v="3104752230"/>
    <s v="CR 49 CL 75 SUR -133 (INTERIOR 5 )"/>
    <x v="5"/>
    <s v="017429005001330005"/>
    <s v="Sabaneta"/>
    <x v="5"/>
    <s v="METROSUR Vin. Leg. Ref. Concentrada"/>
    <x v="1"/>
    <n v="7"/>
    <s v="2025-12-16 13:46:40"/>
    <s v="0 días 13:46"/>
    <s v="6 días 13:46"/>
    <x v="0"/>
    <s v="SIN DATO"/>
    <s v="SIN DATO"/>
    <s v="SIN DATO"/>
    <s v="ABIERTO"/>
    <n v="-75.623456450000006"/>
    <n v="6.1542734699999997"/>
    <s v="SUR-ENE"/>
    <s v="Metropolitana Sur"/>
  </r>
  <r>
    <s v="23607760"/>
    <s v="ENERES"/>
    <s v="NUEVO"/>
    <s v="ENEDOM"/>
    <s v="04/12/2025 13:51:07"/>
    <s v="2025-12-04 13:51:07"/>
    <n v="43815219"/>
    <s v="GIL MESA DIANA MARIA GIL MESA GIL MESA DIANA MARIA GIL MESA"/>
    <s v="9876543"/>
    <s v="3146231386"/>
    <s v="CL 34 B CR 112 E -42 (INTERIOR 100 )"/>
    <x v="0"/>
    <s v="083114202500420100"/>
    <s v="Medellín"/>
    <x v="0"/>
    <s v="Habilitación Viviendas Metrosur"/>
    <x v="1"/>
    <n v="5"/>
    <s v="2025-12-12 13:51:07"/>
    <s v="0 días 13:51"/>
    <s v="4 días 13:51"/>
    <x v="0"/>
    <s v="SIN DATO"/>
    <s v="SIN DATO"/>
    <s v="SIN DATO"/>
    <s v="ABIERTO"/>
    <n v="-75.625675000000001"/>
    <n v="6.2469939999999999"/>
    <s v="SUR-ENE"/>
    <s v="Metropolitana Sur"/>
  </r>
  <r>
    <s v="23607761"/>
    <s v="ENECNX"/>
    <s v="NUEVO"/>
    <s v="ENECNX"/>
    <s v="04/12/2025 13:51:22"/>
    <s v="2025-12-04 13:51:22"/>
    <n v="43400932"/>
    <s v="MARISOL HERRERA PALACIO"/>
    <s v="SIN DATOS"/>
    <s v="3103015743"/>
    <s v="CR 43 A CL 68 A SUR -5"/>
    <x v="5"/>
    <s v="016423108100050000"/>
    <s v="Sabaneta"/>
    <x v="4"/>
    <s v="Revisor Puntos de Conexión Metrosur"/>
    <x v="1"/>
    <n v="4"/>
    <s v="2025-12-11 13:51:22"/>
    <s v="0 días 13:51"/>
    <s v="3 días 13:51"/>
    <x v="0"/>
    <s v="SIN DATO"/>
    <s v="SIN DATO"/>
    <s v="SIN DATO"/>
    <s v="ABIERTO"/>
    <n v="-75.613769379999994"/>
    <n v="6.1506905100000004"/>
    <s v="SUR-ENE"/>
    <s v="Metropolitana Sur"/>
  </r>
  <r>
    <s v="23607762"/>
    <s v="ENENOR"/>
    <s v="NUEVO"/>
    <s v="ENENOR"/>
    <s v="04/12/2025 13:51:57"/>
    <s v="2025-12-04 13:51:57"/>
    <n v="900516754"/>
    <s v="PROMOTORA DE PROYECTOS MOSTAZA S. A. S."/>
    <s v="2381406"/>
    <s v="3104752230"/>
    <s v="CR 49 CL 75 SUR -133 (INTERIOR 6 SALA VTAS )"/>
    <x v="5"/>
    <s v="017429005001330006"/>
    <s v="Sabaneta"/>
    <x v="5"/>
    <s v="METROSUR Vin. Leg. Ref. Concentrada"/>
    <x v="1"/>
    <n v="7"/>
    <s v="2025-12-16 13:51:57"/>
    <s v="0 días 13:51"/>
    <s v="6 días 13:51"/>
    <x v="0"/>
    <s v="SIN DATO"/>
    <s v="SIN DATO"/>
    <s v="SIN DATO"/>
    <s v="ABIERTO"/>
    <n v="-75.623456450000006"/>
    <n v="6.1542734699999997"/>
    <s v="SUR-ENE"/>
    <s v="Metropolitana Sur"/>
  </r>
  <r>
    <s v="23607770"/>
    <s v="ENENOR"/>
    <s v="NUEVO"/>
    <s v="ENENOR"/>
    <s v="04/12/2025 14:00:19"/>
    <s v="2025-12-04 14:00:19"/>
    <n v="14137342"/>
    <s v="JUAN CARLOS ACEVEDO OCHOA"/>
    <s v="3326074"/>
    <s v="3045591324"/>
    <s v="CR 47 A CL 38 B SUR -24 (INTERIOR 101 )"/>
    <x v="2"/>
    <s v="023427108200240101"/>
    <s v="Envigado"/>
    <x v="5"/>
    <s v="Revisor Instal. Regadas Metrosur"/>
    <x v="1"/>
    <n v="7"/>
    <s v="2025-12-16 14:00:19"/>
    <s v="0 días 14:00"/>
    <s v="6 días 14:00"/>
    <x v="0"/>
    <s v="SIN DATO"/>
    <s v="SIN DATO"/>
    <s v="SIN DATO"/>
    <s v="ABIERTO"/>
    <n v="-75.593064040000002"/>
    <n v="6.1716176999999997"/>
    <s v="SUR-ENE"/>
    <s v="Metropolitana Sur"/>
  </r>
  <r>
    <s v="23607774"/>
    <s v="ENERES"/>
    <s v="NUEVO"/>
    <s v="ENERES"/>
    <s v="04/12/2025 14:04:37"/>
    <s v="2025-12-04 14:04:37"/>
    <n v="71878679"/>
    <s v="WILLIAM DARIO RICO MOLINA"/>
    <s v="SIN DATOS"/>
    <s v="3007459037"/>
    <s v="CL 57 C CR 18 D -34"/>
    <x v="0"/>
    <s v="055117308400340000"/>
    <s v="Medellín"/>
    <x v="1"/>
    <s v="METROSUR Vin. Leg. Ref. Concentrada"/>
    <x v="1"/>
    <n v="7"/>
    <s v="2025-12-16 14:04:37"/>
    <s v="0 días 14:04"/>
    <s v="6 días 14:04"/>
    <x v="0"/>
    <s v="SIN DATO"/>
    <s v="SIN DATO"/>
    <s v="SIN DATO"/>
    <s v="ABIERTO"/>
    <n v="-75.542113999999998"/>
    <n v="6.2510510000000004"/>
    <s v="SUR-ENE"/>
    <s v="Metropolitana Sur"/>
  </r>
  <r>
    <s v="23607779"/>
    <s v="ENERES"/>
    <s v="NUEVO"/>
    <s v="ENERES"/>
    <s v="04/12/2025 14:07:38"/>
    <s v="2025-12-04 14:07:38"/>
    <n v="1128407504"/>
    <s v="YEIMINTON ESTEBAN GIRALDO ALVAREZ"/>
    <s v="SIN DATOS"/>
    <s v="3107952471"/>
    <s v="CL 43 BB CR 120 B -93 (INTERIOR 1183 )"/>
    <x v="0"/>
    <s v="084213220200931183"/>
    <s v="Medellín"/>
    <x v="1"/>
    <s v="Revisor Instal. Regadas Metrosur"/>
    <x v="1"/>
    <n v="7"/>
    <s v="2025-12-16 14:07:38"/>
    <s v="0 días 14:07"/>
    <s v="6 días 14:07"/>
    <x v="0"/>
    <s v="SIN DATO"/>
    <s v="SIN DATO"/>
    <s v="SIN DATO"/>
    <s v="ABIERTO"/>
    <n v="-75.628605980000003"/>
    <n v="6.2589004399999997"/>
    <s v="SUR-ENE"/>
    <s v="Metropolitana Sur"/>
  </r>
  <r>
    <s v="23607802"/>
    <s v="ENECNX"/>
    <s v="NUEVO"/>
    <s v="ENECNX"/>
    <s v="04/12/2025 14:15:43"/>
    <s v="2025-12-04 14:15:43"/>
    <n v="98524958"/>
    <s v="JOHN MARIO ARANGO OCAMPO"/>
    <s v="3294635"/>
    <s v="3218008176"/>
    <s v="CL 40 A SUR CR 67 -68"/>
    <x v="0"/>
    <s v="044610107000680000"/>
    <s v="Medellín"/>
    <x v="4"/>
    <s v="Revisor Puntos de Conexión Metrosur"/>
    <x v="1"/>
    <n v="4"/>
    <s v="2025-12-11 14:15:43"/>
    <s v="0 días 14:15"/>
    <s v="3 días 14:15"/>
    <x v="0"/>
    <s v="SIN DATO"/>
    <s v="SIN DATO"/>
    <s v="SIN DATO"/>
    <s v="ABIERTO"/>
    <n v="-75.649053820000006"/>
    <n v="6.1850273500000004"/>
    <s v="SUR-ENE"/>
    <s v="Metropolitana Sur"/>
  </r>
  <r>
    <s v="23607807"/>
    <s v="ENERES"/>
    <s v="NUEVO"/>
    <s v="ENEDOM"/>
    <s v="04/12/2025 14:18:34"/>
    <s v="2025-12-04 14:18:34"/>
    <n v="70003244"/>
    <s v="BERNARDO ANTONIO SOTO ALVAREZ"/>
    <s v="SIN DATOS"/>
    <s v="3002015284"/>
    <s v="RURAL_163002143000000401_PORVENIR"/>
    <x v="1"/>
    <s v="163002143000000401"/>
    <s v="Itaguí"/>
    <x v="0"/>
    <s v="Habilitación Viviendas Metrosur"/>
    <x v="1"/>
    <n v="5"/>
    <s v="2025-12-12 14:18:34"/>
    <s v="0 días 14:18"/>
    <s v="4 días 14:18"/>
    <x v="0"/>
    <s v="SIN DATO"/>
    <s v="SIN DATO"/>
    <s v="SIN DATO"/>
    <s v="ABIERTO"/>
    <n v="-75.599569399999993"/>
    <n v="6.1957078699999997"/>
    <s v="SUR-ENE"/>
    <s v="Metropolitana Sur"/>
  </r>
  <r>
    <s v="23607808"/>
    <s v="ENECNX"/>
    <s v="NUEVO"/>
    <s v="ENECNX"/>
    <s v="04/12/2025 14:21:17"/>
    <s v="2025-12-04 14:21:17"/>
    <n v="98524958"/>
    <s v="JOHN MARIO ARANGO OCAMPO"/>
    <s v="3294635"/>
    <s v="3218008176"/>
    <s v="CL 40 A SUR CR 67 -68"/>
    <x v="0"/>
    <s v="044610107000680000"/>
    <s v="Medellín"/>
    <x v="4"/>
    <s v="Revisor Puntos de Conexión Metrosur"/>
    <x v="1"/>
    <n v="4"/>
    <s v="2025-12-11 14:21:17"/>
    <s v="0 días 14:21"/>
    <s v="3 días 14:21"/>
    <x v="0"/>
    <s v="SIN DATO"/>
    <s v="SIN DATO"/>
    <s v="SIN DATO"/>
    <s v="ABIERTO"/>
    <n v="-75.649053820000006"/>
    <n v="6.1850273500000004"/>
    <s v="SUR-ENE"/>
    <s v="Metropolitana Sur"/>
  </r>
  <r>
    <s v="23607809"/>
    <s v="ENERES"/>
    <s v="NUEVO"/>
    <s v="ENEDOM"/>
    <s v="04/12/2025 14:22:41"/>
    <s v="2025-12-04 14:22:41"/>
    <n v="1076323584"/>
    <s v="ANA YOLEISA RIVAS CUERO"/>
    <s v="SIN DATOS"/>
    <s v="3014620409"/>
    <s v="RURAL_163002268000000000"/>
    <x v="1"/>
    <s v="163002268000000000"/>
    <s v="Itaguí"/>
    <x v="0"/>
    <s v="Habilitación Viviendas Metrosur"/>
    <x v="1"/>
    <n v="5"/>
    <s v="2025-12-12 14:22:41"/>
    <s v="0 días 14:22"/>
    <s v="4 días 14:22"/>
    <x v="0"/>
    <s v="SIN DATO"/>
    <s v="SIN DATO"/>
    <s v="SIN DATO"/>
    <s v="ABIERTO"/>
    <n v="-75.599911120000002"/>
    <n v="6.19598038"/>
    <s v="SUR-ENE"/>
    <s v="Metropolitana Sur"/>
  </r>
  <r>
    <s v="23607818"/>
    <s v="ENERES"/>
    <s v="NUEVO"/>
    <s v="ENERES"/>
    <s v="04/12/2025 14:29:45"/>
    <s v="2025-12-04 14:29:45"/>
    <n v="1000291308"/>
    <s v="DIEGO ANDRES VASQUEZ GONZALEZ"/>
    <s v="3808080"/>
    <s v="3007459037"/>
    <s v="CR 18 DD CL 57 B -25 (INTERIOR 102 )"/>
    <x v="0"/>
    <s v="055128447200250102"/>
    <s v="Medellín"/>
    <x v="1"/>
    <s v="METROSUR Vin. Leg. Ref. Concentrada"/>
    <x v="1"/>
    <n v="7"/>
    <s v="2025-12-16 14:29:45"/>
    <s v="0 días 14:29"/>
    <s v="6 días 14:29"/>
    <x v="0"/>
    <s v="SIN DATO"/>
    <s v="SIN DATO"/>
    <s v="SIN DATO"/>
    <s v="ABIERTO"/>
    <n v="-75.541955000000002"/>
    <n v="6.25067167"/>
    <s v="SUR-ENE"/>
    <s v="Metropolitana Sur"/>
  </r>
  <r>
    <s v="23607820"/>
    <s v="ENERES"/>
    <s v="NUEVO"/>
    <s v="ENEDOM"/>
    <s v="04/12/2025 14:32:01"/>
    <s v="2025-12-04 14:32:01"/>
    <n v="1040736334"/>
    <s v="YESICA MILENA LONDOÑO URIBE"/>
    <s v="3618270"/>
    <s v="3205802619"/>
    <s v="RURAL_1630022700000000000"/>
    <x v="1"/>
    <s v="163002270000000000"/>
    <s v="Itaguí"/>
    <x v="0"/>
    <s v="Habilitación Viviendas Metrosur"/>
    <x v="1"/>
    <n v="5"/>
    <s v="2025-12-12 14:32:01"/>
    <s v="0 días 14:32"/>
    <s v="4 días 14:32"/>
    <x v="0"/>
    <s v="SIN DATO"/>
    <s v="SIN DATO"/>
    <s v="SIN DATO"/>
    <s v="ABIERTO"/>
    <n v="-75.599628719999998"/>
    <n v="6.1962781900000001"/>
    <s v="SUR-ENE"/>
    <s v="Metropolitana Sur"/>
  </r>
  <r>
    <s v="23607821"/>
    <s v="ENERES"/>
    <s v="NUEVO"/>
    <s v="ENEDOM"/>
    <s v="04/12/2025 14:32:01"/>
    <s v="2025-12-04 14:32:01"/>
    <n v="43152110"/>
    <s v="DIANA PATRICIA HENAO PELAEZ"/>
    <s v="SIN DATOS"/>
    <s v="3007064740"/>
    <s v="CL 49 AA CR 102 BB -79"/>
    <x v="0"/>
    <s v="084019112220790000"/>
    <s v="Medellín"/>
    <x v="0"/>
    <s v="Habilitación Viviendas Metrosur"/>
    <x v="1"/>
    <n v="5"/>
    <s v="2025-12-12 14:32:01"/>
    <s v="0 días 14:32"/>
    <s v="4 días 14:32"/>
    <x v="0"/>
    <s v="SIN DATO"/>
    <s v="SIN DATO"/>
    <s v="SIN DATO"/>
    <s v="ABIERTO"/>
    <n v="-75.618684999999999"/>
    <n v="6.2620180000000003"/>
    <s v="SUR-ENE"/>
    <s v="Metropolitana Sur"/>
  </r>
  <r>
    <s v="23607822"/>
    <s v="ENENOR"/>
    <s v="NUEVO"/>
    <s v="ENENOR"/>
    <s v="04/12/2025 14:32:02"/>
    <s v="2025-12-04 14:32:02"/>
    <n v="1037575804"/>
    <s v="CARLOS ANDRES GOMEZ ARBOLEDA"/>
    <s v="SIN DATOS"/>
    <s v="3215202060"/>
    <s v="CL 23 SUR CR 27 -7 (INTERIOR 5 )"/>
    <x v="2"/>
    <s v="022213007000070005"/>
    <s v="Envigado"/>
    <x v="5"/>
    <s v="Revisor Instal. Regadas Metrosur"/>
    <x v="1"/>
    <n v="7"/>
    <s v="2025-12-16 14:32:02"/>
    <s v="0 días 14:32"/>
    <s v="6 días 14:32"/>
    <x v="0"/>
    <s v="SIN DATO"/>
    <s v="SIN DATO"/>
    <s v="SIN DATO"/>
    <s v="ABIERTO"/>
    <n v="-75.567666560000006"/>
    <n v="6.1766927699999998"/>
    <s v="SUR-ENE"/>
    <s v="Metropolitana Sur"/>
  </r>
  <r>
    <s v="23607824"/>
    <s v="ENERES"/>
    <s v="NUEVO"/>
    <s v="ENEDOM"/>
    <s v="04/12/2025 14:34:17"/>
    <s v="2025-12-04 14:34:17"/>
    <n v="1027880577"/>
    <s v="OSCAR DARIO QUINTERO MARIN"/>
    <s v="SIN DATOS"/>
    <s v="3217870246"/>
    <s v="RURAL_163004822000000101"/>
    <x v="1"/>
    <s v="163004822000000101"/>
    <s v="Itaguí"/>
    <x v="0"/>
    <s v="Habilitación Viviendas Metrosur"/>
    <x v="1"/>
    <n v="5"/>
    <s v="2025-12-12 14:34:17"/>
    <s v="0 días 14:34"/>
    <s v="4 días 14:34"/>
    <x v="0"/>
    <s v="SIN DATO"/>
    <s v="SIN DATO"/>
    <s v="SIN DATO"/>
    <s v="ABIERTO"/>
    <n v="-75.601791689999999"/>
    <n v="6.1934395999999996"/>
    <s v="SUR-ENE"/>
    <s v="Metropolitana Sur"/>
  </r>
  <r>
    <s v="23607825"/>
    <s v="ENERES"/>
    <s v="NUEVO"/>
    <s v="ENEDOM"/>
    <s v="04/12/2025 14:34:22"/>
    <s v="2025-12-04 14:34:22"/>
    <n v="78702279"/>
    <s v="OMAR ENRIQUE ECHAVARRIA GUERRERO"/>
    <s v="SIN DATOS"/>
    <s v="3116769040"/>
    <s v="CL 45 A CR 56 -108 (INTERIOR 9901 )"/>
    <x v="1"/>
    <s v="074515106001089901"/>
    <s v="Itaguí"/>
    <x v="0"/>
    <s v="Habilitación Viviendas Metrosur"/>
    <x v="1"/>
    <n v="5"/>
    <s v="2025-12-12 14:34:22"/>
    <s v="0 días 14:34"/>
    <s v="4 días 14:34"/>
    <x v="0"/>
    <s v="SIN DATO"/>
    <s v="SIN DATO"/>
    <s v="SIN DATO"/>
    <s v="ABIERTO"/>
    <n v="-75.615539760000004"/>
    <n v="6.1752952499999996"/>
    <s v="SUR-ENE"/>
    <s v="Metropolitana Sur"/>
  </r>
  <r>
    <s v="23607832"/>
    <s v="ENERES"/>
    <s v="NUEVO"/>
    <s v="ENEDOM"/>
    <s v="04/12/2025 14:38:49"/>
    <s v="2025-12-04 14:38:49"/>
    <n v="1128450168"/>
    <s v="DERLIN YURANY TANGARIFE MUNOZ"/>
    <s v="SIN DATOS"/>
    <s v="3207385807"/>
    <s v="RURAL_163004837010000401"/>
    <x v="1"/>
    <s v="163004837010000401"/>
    <s v="Itaguí"/>
    <x v="0"/>
    <s v="Habilitación Viviendas Metrosur"/>
    <x v="1"/>
    <n v="5"/>
    <s v="2025-12-12 14:38:49"/>
    <s v="0 días 14:38"/>
    <s v="4 días 14:38"/>
    <x v="0"/>
    <s v="SIN DATO"/>
    <s v="SIN DATO"/>
    <s v="SIN DATO"/>
    <s v="ABIERTO"/>
    <n v="-75.601586100000006"/>
    <n v="6.1933810300000003"/>
    <s v="SUR-ENE"/>
    <s v="Metropolitana Sur"/>
  </r>
  <r>
    <s v="23607841"/>
    <s v="ENERES"/>
    <s v="NUEVO"/>
    <s v="ENERES"/>
    <s v="04/12/2025 14:44:51"/>
    <s v="2025-12-04 14:44:51"/>
    <n v="1000291308"/>
    <s v="DIEGO ANDRES VASQUEZ GONZALEZ"/>
    <s v="3808080"/>
    <s v="SIN DATOS"/>
    <s v="CR 18 DD CL 57 B -25 (INTERIOR 101 )"/>
    <x v="0"/>
    <s v="055128447200250101"/>
    <s v="Medellín"/>
    <x v="1"/>
    <s v="METROSUR Vin. Leg. Ref. Concentrada"/>
    <x v="1"/>
    <n v="7"/>
    <s v="2025-12-16 14:44:51"/>
    <s v="0 días 14:44"/>
    <s v="6 días 14:44"/>
    <x v="0"/>
    <s v="SIN DATO"/>
    <s v="SIN DATO"/>
    <s v="SIN DATO"/>
    <s v="ABIERTO"/>
    <n v="-75.541955000000002"/>
    <n v="6.25067167"/>
    <s v="SUR-ENE"/>
    <s v="Metropolitana Sur"/>
  </r>
  <r>
    <s v="23607851"/>
    <s v="ENERES"/>
    <s v="NUEVO"/>
    <s v="ENERES"/>
    <s v="04/12/2025 14:52:40"/>
    <s v="2025-12-04 14:52:40"/>
    <n v="1037570832"/>
    <s v="ALEJANDRO LOPERA ARANGO"/>
    <s v="SIN DATOS"/>
    <s v="3166928354"/>
    <s v="RURAL_190376200203120001_PROV.190376200203120000"/>
    <x v="2"/>
    <s v="190376200203120001"/>
    <s v="Envigado"/>
    <x v="1"/>
    <s v="Revisor Instal. Regadas Metrosur"/>
    <x v="0"/>
    <n v="10"/>
    <s v="2025-12-19 14:52:40"/>
    <s v="0 días 14:52"/>
    <s v="9 días 14:52"/>
    <x v="0"/>
    <s v="SIN DATO"/>
    <s v="SIN DATO"/>
    <s v="SIN DATO"/>
    <s v="ABIERTO"/>
    <n v="-75.394716680000002"/>
    <n v="6.0701719199999999"/>
    <s v="SUR-ENE"/>
    <s v="Metropolitana Sur"/>
  </r>
  <r>
    <s v="23607856"/>
    <s v="ENERES"/>
    <s v="NUEVO"/>
    <s v="ENEDOM"/>
    <s v="04/12/2025 14:54:42"/>
    <s v="2025-12-04 14:54:42"/>
    <n v="43572712"/>
    <s v="MARIA RUBIELA OCHOA HIGUITA"/>
    <s v="3277572"/>
    <s v="3011530893"/>
    <s v="RURAL_163018708100000101"/>
    <x v="1"/>
    <s v="163018708100000101"/>
    <s v="Itaguí"/>
    <x v="0"/>
    <s v="Habilitación Viviendas Metrosur"/>
    <x v="1"/>
    <n v="5"/>
    <s v="2025-12-12 14:54:42"/>
    <s v="0 días 14:54"/>
    <s v="4 días 14:54"/>
    <x v="0"/>
    <s v="SIN DATO"/>
    <s v="SIN DATO"/>
    <s v="SIN DATO"/>
    <s v="ABIERTO"/>
    <n v="-75.614868860000001"/>
    <n v="6.1757634899999996"/>
    <s v="SUR-ENE"/>
    <s v="Metropolitana Sur"/>
  </r>
  <r>
    <s v="23607860"/>
    <s v="ENERES"/>
    <s v="NUEVO"/>
    <s v="ENEDOM"/>
    <s v="04/12/2025 14:56:34"/>
    <s v="2025-12-04 14:56:34"/>
    <n v="70003244"/>
    <s v="BERNARDO ANTONIO SOTO ALVAREZ"/>
    <s v="SIN DATOS"/>
    <s v="3002015284"/>
    <s v="RURAL_163002143000000301_PORVENIR"/>
    <x v="1"/>
    <s v="163002143000000301"/>
    <s v="Itaguí"/>
    <x v="0"/>
    <s v="Habilitación Viviendas Metrosur"/>
    <x v="1"/>
    <n v="5"/>
    <s v="2025-12-12 14:56:34"/>
    <s v="0 días 14:56"/>
    <s v="4 días 14:56"/>
    <x v="0"/>
    <s v="SIN DATO"/>
    <s v="SIN DATO"/>
    <s v="SIN DATO"/>
    <s v="ABIERTO"/>
    <n v="-75.599569399999993"/>
    <n v="6.1957078699999997"/>
    <s v="SUR-ENE"/>
    <s v="Metropolitana Sur"/>
  </r>
  <r>
    <s v="23608052"/>
    <s v="ENEMRT"/>
    <s v="NUEVO"/>
    <s v="ENEMVI"/>
    <s v="04/12/2025 18:05:15"/>
    <s v="2025-12-04 18:05:15"/>
    <n v="71530411"/>
    <s v="FRANCISCO LUIS MARIN CASTRILLON"/>
    <s v="SIN DATOS"/>
    <s v="3169556197"/>
    <s v="CL 59 CR 131 B -24"/>
    <x v="0"/>
    <s v="085319001200240000"/>
    <s v="Medellín"/>
    <x v="9"/>
    <s v="METR Mov Red Trans Anderson Castaño"/>
    <x v="1"/>
    <n v="9"/>
    <s v="2025-12-18 18:05:15"/>
    <s v="0 días 18:05"/>
    <s v="8 días 18:05"/>
    <x v="0"/>
    <s v="SIN DATO"/>
    <s v="SIN DATO"/>
    <s v="SIN DATO"/>
    <s v="ABIERTO"/>
    <n v="-75.637095000000002"/>
    <n v="6.2757360000000002"/>
    <s v="SUR-ENE"/>
    <s v="Metropolitana S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9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2"/>
        <item m="1" x="7"/>
        <item x="1"/>
        <item x="4"/>
        <item x="0"/>
        <item x="5"/>
        <item m="1" x="6"/>
        <item t="default"/>
      </items>
    </pivotField>
    <pivotField showAll="0"/>
    <pivotField showAll="0"/>
    <pivotField showAll="0">
      <items count="14">
        <item x="7"/>
        <item x="4"/>
        <item x="2"/>
        <item x="6"/>
        <item x="1"/>
        <item x="5"/>
        <item x="9"/>
        <item x="8"/>
        <item x="0"/>
        <item x="10"/>
        <item x="3"/>
        <item x="11"/>
        <item m="1" x="12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x="0"/>
        <item x="1"/>
        <item x="2"/>
        <item m="1" x="5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6">
    <i>
      <x/>
    </i>
    <i>
      <x v="1"/>
    </i>
    <i>
      <x v="2"/>
    </i>
    <i>
      <x v="4"/>
    </i>
    <i>
      <x v="5"/>
    </i>
    <i t="grand">
      <x/>
    </i>
  </rowItems>
  <colItems count="1">
    <i/>
  </colItems>
  <dataFields count="1">
    <dataField name="Cuenta de ESTADO" fld="21" subtotal="count" baseField="0" baseItem="0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3:F9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2"/>
        <item m="1" x="7"/>
        <item x="1"/>
        <item x="4"/>
        <item x="0"/>
        <item x="5"/>
        <item m="1" x="6"/>
        <item t="default"/>
      </items>
    </pivotField>
    <pivotField showAll="0"/>
    <pivotField showAll="0"/>
    <pivotField showAll="0">
      <items count="14">
        <item x="7"/>
        <item x="4"/>
        <item x="2"/>
        <item x="6"/>
        <item x="1"/>
        <item x="5"/>
        <item x="9"/>
        <item x="8"/>
        <item x="0"/>
        <item x="10"/>
        <item x="3"/>
        <item x="11"/>
        <item m="1" x="12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x="0"/>
        <item x="1"/>
        <item x="2"/>
        <item h="1" m="1" x="5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6">
    <i>
      <x/>
    </i>
    <i>
      <x v="1"/>
    </i>
    <i>
      <x v="2"/>
    </i>
    <i>
      <x v="4"/>
    </i>
    <i>
      <x v="5"/>
    </i>
    <i t="grand">
      <x/>
    </i>
  </rowItems>
  <colItems count="1">
    <i/>
  </colItems>
  <dataFields count="1">
    <dataField name="Cuenta de ESTADO" fld="21" subtotal="count" showDataAs="percentOfTotal" baseField="21" baseItem="0" numFmtId="10"/>
  </dataFields>
  <chartFormats count="1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FCF2-53A5-44F5-B52D-7F508000DE9D}" name="TablaDinámica5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6:D23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3"/>
        <item x="2"/>
        <item m="1" x="7"/>
        <item x="1"/>
        <item x="4"/>
        <item x="0"/>
        <item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3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I6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2"/>
        <item m="1" x="7"/>
        <item x="1"/>
        <item x="4"/>
        <item x="0"/>
        <item x="5"/>
        <item m="1" x="6"/>
        <item t="default"/>
      </items>
    </pivotField>
    <pivotField showAll="0"/>
    <pivotField showAll="0"/>
    <pivotField showAll="0">
      <items count="14">
        <item x="7"/>
        <item x="4"/>
        <item x="2"/>
        <item x="6"/>
        <item x="1"/>
        <item x="5"/>
        <item x="9"/>
        <item x="8"/>
        <item x="0"/>
        <item x="10"/>
        <item x="3"/>
        <item x="11"/>
        <item m="1" x="12"/>
        <item t="default"/>
      </items>
    </pivotField>
    <pivotField showAll="0"/>
    <pivotField axis="axisRow" dataField="1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3">
    <i>
      <x/>
    </i>
    <i>
      <x v="1"/>
    </i>
    <i t="grand">
      <x/>
    </i>
  </rowItems>
  <colItems count="1">
    <i/>
  </colItems>
  <dataFields count="1">
    <dataField name="Cuenta de TIPO_DIRECCION" fld="1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4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29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2"/>
        <item m="1" x="7"/>
        <item x="1"/>
        <item x="4"/>
        <item x="0"/>
        <item x="5"/>
        <item m="1" x="6"/>
        <item t="default"/>
      </items>
    </pivotField>
    <pivotField showAll="0"/>
    <pivotField showAll="0"/>
    <pivotField axis="axisRow" dataField="1" showAll="0">
      <items count="14">
        <item x="7"/>
        <item x="4"/>
        <item x="2"/>
        <item x="1"/>
        <item x="5"/>
        <item x="9"/>
        <item x="0"/>
        <item x="10"/>
        <item x="3"/>
        <item x="11"/>
        <item m="1" x="12"/>
        <item x="6"/>
        <item x="8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dataFields count="1">
    <dataField name="Cuenta de ACTIVIDAD" fld="14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IRECCION1" xr10:uid="{B6676FBA-871E-4359-B4A0-08ED1747EDFD}" sourceName="TIPO_DIRECCION">
  <pivotTables>
    <pivotTable tabId="4" name="TablaDinámica3"/>
    <pivotTable tabId="4" name="TablaDinámica1"/>
    <pivotTable tabId="4" name="TablaDinámica2"/>
    <pivotTable tabId="4" name="TablaDinámica4"/>
  </pivotTables>
  <data>
    <tabular pivotCacheId="451245355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1" xr10:uid="{F27ED186-200A-46D9-9B17-1FCDE3E36CA1}" sourceName="ACTIVIDAD">
  <pivotTables>
    <pivotTable tabId="4" name="TablaDinámica4"/>
    <pivotTable tabId="4" name="TablaDinámica1"/>
    <pivotTable tabId="4" name="TablaDinámica2"/>
    <pivotTable tabId="4" name="TablaDinámica3"/>
  </pivotTables>
  <data>
    <tabular pivotCacheId="451245355">
      <items count="13">
        <i x="7" s="1"/>
        <i x="4" s="1"/>
        <i x="2" s="1"/>
        <i x="6" s="1"/>
        <i x="1" s="1"/>
        <i x="5" s="1"/>
        <i x="9" s="1"/>
        <i x="8" s="1"/>
        <i x="0" s="1"/>
        <i x="10" s="1"/>
        <i x="3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5E3406F7-2BF7-4966-9D6A-26D378FD8257}" sourceName="MUNICIPIO">
  <pivotTables>
    <pivotTable tabId="4" name="TablaDinámica5"/>
    <pivotTable tabId="4" name="TablaDinámica1"/>
    <pivotTable tabId="4" name="TablaDinámica2"/>
    <pivotTable tabId="4" name="TablaDinámica3"/>
    <pivotTable tabId="4" name="TablaDinámica4"/>
  </pivotTables>
  <data>
    <tabular pivotCacheId="451245355">
      <items count="8">
        <i x="3" s="1"/>
        <i x="2" s="1"/>
        <i x="1" s="1"/>
        <i x="4" s="1"/>
        <i x="0" s="1"/>
        <i x="5" s="1"/>
        <i x="7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23155965-F9AD-4852-9785-7FA312542B66}" sourceName="ESTADO">
  <extLst>
    <x:ext xmlns:x15="http://schemas.microsoft.com/office/spreadsheetml/2010/11/main" uri="{2F2917AC-EB37-4324-AD4E-5DD8C200BD13}">
      <x15:tableSlicerCache tableId="3" column="9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2" xr10:uid="{03550C5A-7FCC-42C5-880D-CA28B7DDBA06}" sourceName="ACTIVIDAD">
  <extLst>
    <x:ext xmlns:x15="http://schemas.microsoft.com/office/spreadsheetml/2010/11/main" uri="{2F2917AC-EB37-4324-AD4E-5DD8C200BD13}">
      <x15:tableSlicerCache tableId="3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_DIRECCION" xr10:uid="{6C34D278-1506-47B9-BA3B-6AB16A5D58FD}" cache="SegmentaciónDeDatos_TIPO_DIRECCION1" caption="TIPO_DIRECCION" style="SlicerStyleOther1" rowHeight="257175"/>
  <slicer name="ACTIVIDAD" xr10:uid="{91BAC2B1-F130-4B61-8BAA-6E628DE82E16}" cache="SegmentaciónDeDatos_ACTIVIDAD1" caption="ACTIVIDAD" columnCount="2" style="SlicerStyleOther1" rowHeight="257175"/>
  <slicer name="MUNICIPIO" xr10:uid="{201E3820-0E7A-4710-BBCC-432899FA9E5A}" cache="SegmentaciónDeDatos_MUNICIPIO" caption="MUNICIPIO" columnCount="2" style="SlicerStyleOther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2D79F66C-9BFF-466D-B840-D3C841D9C649}" cache="SegmentaciónDeDatos_ESTADO" caption="ESTADO" columnCount="6" style="SlicerStyleOther1" rowHeight="257175"/>
  <slicer name="ACTIVIDAD 1" xr10:uid="{9B927ECF-2A0F-40D6-B4BD-E9330AC64434}" cache="SegmentaciónDeDatos_ACTIVIDAD2" caption="ACTIVIDAD" columnCount="5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NIX_ANS_TABLA" displayName="FENIX_ANS_TABLA" ref="A1:AD581" headerRowDxfId="41" headerRowBorderDxfId="40">
  <tableColumns count="30">
    <tableColumn id="1" xr3:uid="{00000000-0010-0000-0000-000001000000}" name="PEDIDO"/>
    <tableColumn id="2" xr3:uid="{00000000-0010-0000-0000-000002000000}" name="PRODUCTO_ID"/>
    <tableColumn id="3" xr3:uid="{00000000-0010-0000-0000-000003000000}" name="TIPO_TRABAJO"/>
    <tableColumn id="4" xr3:uid="{00000000-0010-0000-0000-000004000000}" name="TIPO_ELEMENTO_ID"/>
    <tableColumn id="5" xr3:uid="{00000000-0010-0000-0000-000005000000}" name="FECHA_RECIBO"/>
    <tableColumn id="6" xr3:uid="{00000000-0010-0000-0000-000006000000}" name="FECHA_INICIO_ANS"/>
    <tableColumn id="7" xr3:uid="{00000000-0010-0000-0000-000007000000}" name="CLIENTEID"/>
    <tableColumn id="8" xr3:uid="{00000000-0010-0000-0000-000008000000}" name="NOMBRE_CLIENTE"/>
    <tableColumn id="9" xr3:uid="{00000000-0010-0000-0000-000009000000}" name="TELEFONO_CONTACTO" dataDxfId="39"/>
    <tableColumn id="10" xr3:uid="{00000000-0010-0000-0000-00000A000000}" name="CELULAR_CONTACTO" dataDxfId="38"/>
    <tableColumn id="11" xr3:uid="{00000000-0010-0000-0000-00000B000000}" name="DIRECCION"/>
    <tableColumn id="12" xr3:uid="{00000000-0010-0000-0000-00000C000000}" name="MUNICIPIO"/>
    <tableColumn id="13" xr3:uid="{00000000-0010-0000-0000-00000D000000}" name="INSTALACION"/>
    <tableColumn id="14" xr3:uid="{00000000-0010-0000-0000-00000E000000}" name="AREA_TRABAJO"/>
    <tableColumn id="15" xr3:uid="{00000000-0010-0000-0000-00000F000000}" name="ACTIVIDAD"/>
    <tableColumn id="16" xr3:uid="{00000000-0010-0000-0000-000010000000}" name="NOMBRE"/>
    <tableColumn id="17" xr3:uid="{00000000-0010-0000-0000-000011000000}" name="TIPO_DIRECCION"/>
    <tableColumn id="18" xr3:uid="{00000000-0010-0000-0000-000012000000}" name="DIAS_PACTADOS"/>
    <tableColumn id="19" xr3:uid="{00000000-0010-0000-0000-000013000000}" name="FECHA_LIMITE_ANS"/>
    <tableColumn id="20" xr3:uid="{00000000-0010-0000-0000-000014000000}" name="DIAS_TRANSCURRIDOS"/>
    <tableColumn id="21" xr3:uid="{00000000-0010-0000-0000-000015000000}" name="DIAS_RESTANTES"/>
    <tableColumn id="22" xr3:uid="{00000000-0010-0000-0000-000016000000}" name="ESTADO"/>
    <tableColumn id="23" xr3:uid="{00000000-0010-0000-0000-000017000000}" name="REPORTE_TECNICO"/>
    <tableColumn id="24" xr3:uid="{00000000-0010-0000-0000-000018000000}" name="TECNICO_EJECUTA"/>
    <tableColumn id="25" xr3:uid="{00000000-0010-0000-0000-000019000000}" name="OBSERVACION" dataDxfId="37"/>
    <tableColumn id="26" xr3:uid="{19912D2A-7EAA-4613-BFE6-9B829F564078}" name="ESTADO_FENIX" dataDxfId="36"/>
    <tableColumn id="27" xr3:uid="{4D8C3716-955D-4CAD-AE41-F55FE0002145}" name="COORDENADAX"/>
    <tableColumn id="28" xr3:uid="{A2A40A87-705F-4DC7-B65F-15F43DC86A66}" name="COORDENADAY"/>
    <tableColumn id="29" xr3:uid="{2C7FF450-324D-4716-9AC5-78CE7FD62C56}" name="AREA_OPERATIVA"/>
    <tableColumn id="30" xr3:uid="{3B5FEA28-301F-4CC5-B343-BCDCAFE73967}" name="SUBZON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0661B5-B736-4377-AD9E-67310E97CA00}" name="tbl_ANS" displayName="tbl_ANS" ref="C26:K606" totalsRowShown="0" headerRowDxfId="35" dataDxfId="33" headerRowBorderDxfId="34" tableBorderDxfId="32">
  <autoFilter ref="C26:K606" xr:uid="{110661B5-B736-4377-AD9E-67310E97CA00}"/>
  <tableColumns count="9">
    <tableColumn id="1" xr3:uid="{9DC868A8-3555-4688-9D2C-44335146E65C}" name="PEDIDO" dataDxfId="31"/>
    <tableColumn id="2" xr3:uid="{3D9BAE77-4DEB-4908-A495-0A6AB733440A}" name="FECHA_INICIO_ANS" dataDxfId="30"/>
    <tableColumn id="3" xr3:uid="{AF66CD3C-87F5-4E48-B91B-D216E1D7DA81}" name="MUNICIPIO" dataDxfId="29"/>
    <tableColumn id="4" xr3:uid="{6FEFAB39-0118-48A3-858D-5DEC72D0CF5C}" name="AREA_TRABAJO" dataDxfId="28"/>
    <tableColumn id="5" xr3:uid="{92C491F7-29DB-45EC-B9AF-E22855D802A0}" name="ACTIVIDAD" dataDxfId="27"/>
    <tableColumn id="6" xr3:uid="{8239EFB7-19DA-46EC-ACBB-2C20CFF37CEA}" name="TIPO_DIRECCION" dataDxfId="26"/>
    <tableColumn id="7" xr3:uid="{8D998DDF-415D-433F-92F9-C198620017CE}" name="FECHA_LIMITE_ANS" dataDxfId="25"/>
    <tableColumn id="8" xr3:uid="{8BD8FED4-732F-4B68-8564-1DBCF1089557}" name="DIAS_RESTANTES" dataDxfId="24"/>
    <tableColumn id="9" xr3:uid="{E8F384A7-B725-440F-B6D0-AA8E5D115330}" name="ESTADO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C000"/>
  </sheetPr>
  <dimension ref="A1:AD581"/>
  <sheetViews>
    <sheetView showGridLines="0" tabSelected="1" workbookViewId="0"/>
  </sheetViews>
  <sheetFormatPr baseColWidth="10" defaultRowHeight="15" x14ac:dyDescent="0.25"/>
  <cols>
    <col min="1" max="1" width="12.28515625" bestFit="1" customWidth="1"/>
    <col min="2" max="2" width="18.42578125" bestFit="1" customWidth="1"/>
    <col min="3" max="3" width="18.7109375" bestFit="1" customWidth="1"/>
    <col min="4" max="4" width="23.28515625" bestFit="1" customWidth="1"/>
    <col min="5" max="5" width="18.7109375" bestFit="1" customWidth="1"/>
    <col min="6" max="6" width="22.85546875" bestFit="1" customWidth="1"/>
    <col min="7" max="7" width="14.42578125" bestFit="1" customWidth="1"/>
    <col min="8" max="8" width="64.5703125" bestFit="1" customWidth="1"/>
    <col min="9" max="9" width="25.85546875" bestFit="1" customWidth="1"/>
    <col min="10" max="10" width="24.28515625" bestFit="1" customWidth="1"/>
    <col min="11" max="11" width="54.140625" bestFit="1" customWidth="1"/>
    <col min="12" max="12" width="15.7109375" bestFit="1" customWidth="1"/>
    <col min="13" max="13" width="26.85546875" bestFit="1" customWidth="1"/>
    <col min="14" max="14" width="19.28515625" bestFit="1" customWidth="1"/>
    <col min="15" max="15" width="15.28515625" bestFit="1" customWidth="1"/>
    <col min="16" max="16" width="36" bestFit="1" customWidth="1"/>
    <col min="17" max="17" width="20.42578125" bestFit="1" customWidth="1"/>
    <col min="18" max="18" width="20.28515625" bestFit="1" customWidth="1"/>
    <col min="19" max="19" width="23" bestFit="1" customWidth="1"/>
    <col min="20" max="20" width="26" bestFit="1" customWidth="1"/>
    <col min="21" max="21" width="20.7109375" bestFit="1" customWidth="1"/>
    <col min="22" max="22" width="13.5703125" bestFit="1" customWidth="1"/>
    <col min="23" max="23" width="17.7109375" bestFit="1" customWidth="1"/>
    <col min="24" max="24" width="17.42578125" bestFit="1" customWidth="1"/>
    <col min="25" max="25" width="13.85546875" bestFit="1" customWidth="1"/>
    <col min="26" max="26" width="14.140625" bestFit="1" customWidth="1"/>
    <col min="27" max="27" width="20.7109375" customWidth="1"/>
    <col min="28" max="28" width="22.85546875" customWidth="1"/>
    <col min="29" max="29" width="17" bestFit="1" customWidth="1"/>
    <col min="30" max="30" width="16.85546875" bestFit="1" customWidth="1"/>
  </cols>
  <sheetData>
    <row r="1" spans="1:30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9" t="s">
        <v>8</v>
      </c>
      <c r="J1" s="19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204</v>
      </c>
      <c r="Z1" s="18" t="s">
        <v>24</v>
      </c>
      <c r="AA1" s="18" t="s">
        <v>99</v>
      </c>
      <c r="AB1" s="18" t="s">
        <v>100</v>
      </c>
      <c r="AC1" s="18" t="s">
        <v>101</v>
      </c>
      <c r="AD1" s="18" t="s">
        <v>102</v>
      </c>
    </row>
    <row r="2" spans="1:30" x14ac:dyDescent="0.25">
      <c r="A2" t="s">
        <v>1227</v>
      </c>
      <c r="B2" t="s">
        <v>25</v>
      </c>
      <c r="C2" t="s">
        <v>26</v>
      </c>
      <c r="D2" t="s">
        <v>38</v>
      </c>
      <c r="E2" t="s">
        <v>1228</v>
      </c>
      <c r="F2" t="s">
        <v>1229</v>
      </c>
      <c r="G2">
        <v>42800450</v>
      </c>
      <c r="H2" t="s">
        <v>1230</v>
      </c>
      <c r="I2" s="4" t="s">
        <v>35</v>
      </c>
      <c r="J2" s="4" t="s">
        <v>1231</v>
      </c>
      <c r="K2" t="s">
        <v>1232</v>
      </c>
      <c r="L2" t="s">
        <v>27</v>
      </c>
      <c r="M2" t="s">
        <v>1233</v>
      </c>
      <c r="N2" t="s">
        <v>28</v>
      </c>
      <c r="O2" t="s">
        <v>39</v>
      </c>
      <c r="P2" t="s">
        <v>40</v>
      </c>
      <c r="Q2" t="s">
        <v>37</v>
      </c>
      <c r="R2">
        <v>8</v>
      </c>
      <c r="S2" t="s">
        <v>1234</v>
      </c>
      <c r="T2" t="s">
        <v>4917</v>
      </c>
      <c r="U2" t="s">
        <v>4455</v>
      </c>
      <c r="V2" t="s">
        <v>32</v>
      </c>
      <c r="W2" t="s">
        <v>33</v>
      </c>
      <c r="X2" t="s">
        <v>33</v>
      </c>
      <c r="Y2" t="s">
        <v>33</v>
      </c>
      <c r="Z2" s="16" t="s">
        <v>34</v>
      </c>
      <c r="AA2">
        <v>-75.638413999999997</v>
      </c>
      <c r="AB2">
        <v>6.3024630000000004</v>
      </c>
      <c r="AC2" t="s">
        <v>96</v>
      </c>
      <c r="AD2" t="s">
        <v>97</v>
      </c>
    </row>
    <row r="3" spans="1:30" x14ac:dyDescent="0.25">
      <c r="A3" t="s">
        <v>3647</v>
      </c>
      <c r="B3" t="s">
        <v>25</v>
      </c>
      <c r="C3" t="s">
        <v>26</v>
      </c>
      <c r="D3" t="s">
        <v>25</v>
      </c>
      <c r="E3" t="s">
        <v>3648</v>
      </c>
      <c r="F3" t="s">
        <v>3649</v>
      </c>
      <c r="G3">
        <v>43612660</v>
      </c>
      <c r="H3" t="s">
        <v>3650</v>
      </c>
      <c r="I3" s="4" t="s">
        <v>3651</v>
      </c>
      <c r="J3" s="4" t="s">
        <v>3652</v>
      </c>
      <c r="K3" t="s">
        <v>3653</v>
      </c>
      <c r="L3" t="s">
        <v>27</v>
      </c>
      <c r="M3" t="s">
        <v>3654</v>
      </c>
      <c r="N3" t="s">
        <v>28</v>
      </c>
      <c r="O3" t="s">
        <v>29</v>
      </c>
      <c r="P3" t="s">
        <v>36</v>
      </c>
      <c r="Q3" t="s">
        <v>31</v>
      </c>
      <c r="R3">
        <v>7</v>
      </c>
      <c r="S3" t="s">
        <v>3655</v>
      </c>
      <c r="T3" t="s">
        <v>4918</v>
      </c>
      <c r="U3" t="s">
        <v>4919</v>
      </c>
      <c r="V3" t="s">
        <v>32</v>
      </c>
      <c r="W3" t="s">
        <v>33</v>
      </c>
      <c r="X3" t="s">
        <v>33</v>
      </c>
      <c r="Y3" t="s">
        <v>33</v>
      </c>
      <c r="Z3" s="16" t="s">
        <v>34</v>
      </c>
      <c r="AA3">
        <v>-75.609485000000006</v>
      </c>
      <c r="AB3">
        <v>6.2631949999999996</v>
      </c>
      <c r="AC3" t="s">
        <v>96</v>
      </c>
      <c r="AD3" t="s">
        <v>97</v>
      </c>
    </row>
    <row r="4" spans="1:30" x14ac:dyDescent="0.25">
      <c r="A4" t="s">
        <v>3656</v>
      </c>
      <c r="B4" t="s">
        <v>25</v>
      </c>
      <c r="C4" t="s">
        <v>26</v>
      </c>
      <c r="D4" t="s">
        <v>38</v>
      </c>
      <c r="E4" t="s">
        <v>3657</v>
      </c>
      <c r="F4" t="s">
        <v>3658</v>
      </c>
      <c r="G4">
        <v>42766181</v>
      </c>
      <c r="H4" t="s">
        <v>3659</v>
      </c>
      <c r="I4" s="4" t="s">
        <v>35</v>
      </c>
      <c r="J4" s="4" t="s">
        <v>3660</v>
      </c>
      <c r="K4" t="s">
        <v>3661</v>
      </c>
      <c r="L4" t="s">
        <v>43</v>
      </c>
      <c r="M4" t="s">
        <v>3662</v>
      </c>
      <c r="N4" t="s">
        <v>44</v>
      </c>
      <c r="O4" t="s">
        <v>39</v>
      </c>
      <c r="P4" t="s">
        <v>40</v>
      </c>
      <c r="Q4" t="s">
        <v>31</v>
      </c>
      <c r="R4">
        <v>5</v>
      </c>
      <c r="S4" t="s">
        <v>3663</v>
      </c>
      <c r="T4" t="s">
        <v>3465</v>
      </c>
      <c r="U4" t="s">
        <v>3193</v>
      </c>
      <c r="V4" t="s">
        <v>32</v>
      </c>
      <c r="W4" t="s">
        <v>33</v>
      </c>
      <c r="X4" t="s">
        <v>33</v>
      </c>
      <c r="Y4" t="s">
        <v>33</v>
      </c>
      <c r="Z4" s="16" t="s">
        <v>34</v>
      </c>
      <c r="AA4">
        <v>-75.617349000000004</v>
      </c>
      <c r="AB4">
        <v>6.1873310000000004</v>
      </c>
      <c r="AC4" t="s">
        <v>96</v>
      </c>
      <c r="AD4" t="s">
        <v>97</v>
      </c>
    </row>
    <row r="5" spans="1:30" x14ac:dyDescent="0.25">
      <c r="A5" t="s">
        <v>1700</v>
      </c>
      <c r="B5" t="s">
        <v>25</v>
      </c>
      <c r="C5" t="s">
        <v>26</v>
      </c>
      <c r="D5" t="s">
        <v>25</v>
      </c>
      <c r="E5" t="s">
        <v>1701</v>
      </c>
      <c r="F5" t="s">
        <v>1702</v>
      </c>
      <c r="G5">
        <v>43755275</v>
      </c>
      <c r="H5" t="s">
        <v>1703</v>
      </c>
      <c r="I5" s="4" t="s">
        <v>35</v>
      </c>
      <c r="J5" s="4" t="s">
        <v>1704</v>
      </c>
      <c r="K5" t="s">
        <v>1705</v>
      </c>
      <c r="L5" t="s">
        <v>27</v>
      </c>
      <c r="M5" t="s">
        <v>1706</v>
      </c>
      <c r="N5" t="s">
        <v>28</v>
      </c>
      <c r="O5" t="s">
        <v>29</v>
      </c>
      <c r="P5" t="s">
        <v>36</v>
      </c>
      <c r="Q5" t="s">
        <v>37</v>
      </c>
      <c r="R5">
        <v>10</v>
      </c>
      <c r="S5" t="s">
        <v>1707</v>
      </c>
      <c r="T5" t="s">
        <v>4920</v>
      </c>
      <c r="U5" t="s">
        <v>4921</v>
      </c>
      <c r="V5" t="s">
        <v>32</v>
      </c>
      <c r="W5" t="s">
        <v>33</v>
      </c>
      <c r="X5" t="s">
        <v>33</v>
      </c>
      <c r="Y5" t="s">
        <v>33</v>
      </c>
      <c r="Z5" s="16" t="s">
        <v>34</v>
      </c>
      <c r="AA5">
        <v>-75.490054420000007</v>
      </c>
      <c r="AB5">
        <v>6.2545143300000001</v>
      </c>
      <c r="AC5" t="s">
        <v>96</v>
      </c>
      <c r="AD5" t="s">
        <v>97</v>
      </c>
    </row>
    <row r="6" spans="1:30" x14ac:dyDescent="0.25">
      <c r="A6" t="s">
        <v>3664</v>
      </c>
      <c r="B6" t="s">
        <v>25</v>
      </c>
      <c r="C6" t="s">
        <v>26</v>
      </c>
      <c r="D6" t="s">
        <v>25</v>
      </c>
      <c r="E6" t="s">
        <v>3665</v>
      </c>
      <c r="F6" t="s">
        <v>3666</v>
      </c>
      <c r="G6">
        <v>43548242</v>
      </c>
      <c r="H6" t="s">
        <v>3667</v>
      </c>
      <c r="I6" s="4" t="s">
        <v>35</v>
      </c>
      <c r="J6" s="4" t="s">
        <v>241</v>
      </c>
      <c r="K6" t="s">
        <v>3668</v>
      </c>
      <c r="L6" t="s">
        <v>27</v>
      </c>
      <c r="M6" t="s">
        <v>3669</v>
      </c>
      <c r="N6" t="s">
        <v>28</v>
      </c>
      <c r="O6" t="s">
        <v>29</v>
      </c>
      <c r="P6" t="s">
        <v>36</v>
      </c>
      <c r="Q6" t="s">
        <v>31</v>
      </c>
      <c r="R6">
        <v>7</v>
      </c>
      <c r="S6" t="s">
        <v>3670</v>
      </c>
      <c r="T6" t="s">
        <v>4922</v>
      </c>
      <c r="U6" t="s">
        <v>3077</v>
      </c>
      <c r="V6" t="s">
        <v>32</v>
      </c>
      <c r="W6" t="s">
        <v>33</v>
      </c>
      <c r="X6" t="s">
        <v>33</v>
      </c>
      <c r="Y6" t="s">
        <v>33</v>
      </c>
      <c r="Z6" s="16" t="s">
        <v>34</v>
      </c>
      <c r="AA6">
        <v>-75.599398030000003</v>
      </c>
      <c r="AB6">
        <v>6.2722004199999999</v>
      </c>
      <c r="AC6" t="s">
        <v>96</v>
      </c>
      <c r="AD6" t="s">
        <v>97</v>
      </c>
    </row>
    <row r="7" spans="1:30" x14ac:dyDescent="0.25">
      <c r="A7" t="s">
        <v>3672</v>
      </c>
      <c r="B7" t="s">
        <v>25</v>
      </c>
      <c r="C7" t="s">
        <v>26</v>
      </c>
      <c r="D7" t="s">
        <v>38</v>
      </c>
      <c r="E7" t="s">
        <v>3673</v>
      </c>
      <c r="F7" t="s">
        <v>3674</v>
      </c>
      <c r="G7">
        <v>15362898</v>
      </c>
      <c r="H7" t="s">
        <v>3675</v>
      </c>
      <c r="I7" s="4" t="s">
        <v>35</v>
      </c>
      <c r="J7" s="4" t="s">
        <v>3676</v>
      </c>
      <c r="K7" t="s">
        <v>3677</v>
      </c>
      <c r="L7" t="s">
        <v>27</v>
      </c>
      <c r="M7" t="s">
        <v>3678</v>
      </c>
      <c r="N7" t="s">
        <v>28</v>
      </c>
      <c r="O7" t="s">
        <v>45</v>
      </c>
      <c r="P7" t="s">
        <v>40</v>
      </c>
      <c r="Q7" t="s">
        <v>31</v>
      </c>
      <c r="R7">
        <v>5</v>
      </c>
      <c r="S7" t="s">
        <v>3679</v>
      </c>
      <c r="T7" t="s">
        <v>4923</v>
      </c>
      <c r="U7" t="s">
        <v>4924</v>
      </c>
      <c r="V7" t="s">
        <v>32</v>
      </c>
      <c r="W7" t="s">
        <v>33</v>
      </c>
      <c r="X7" t="s">
        <v>33</v>
      </c>
      <c r="Y7" t="s">
        <v>33</v>
      </c>
      <c r="Z7" s="16" t="s">
        <v>34</v>
      </c>
      <c r="AA7">
        <v>-75.604960140000003</v>
      </c>
      <c r="AB7">
        <v>6.21044895</v>
      </c>
      <c r="AC7" t="s">
        <v>96</v>
      </c>
      <c r="AD7" t="s">
        <v>97</v>
      </c>
    </row>
    <row r="8" spans="1:30" x14ac:dyDescent="0.25">
      <c r="A8" t="s">
        <v>3680</v>
      </c>
      <c r="B8" t="s">
        <v>25</v>
      </c>
      <c r="C8" t="s">
        <v>26</v>
      </c>
      <c r="D8" t="s">
        <v>38</v>
      </c>
      <c r="E8" t="s">
        <v>3681</v>
      </c>
      <c r="F8" t="s">
        <v>3682</v>
      </c>
      <c r="G8">
        <v>15362898</v>
      </c>
      <c r="H8" t="s">
        <v>3675</v>
      </c>
      <c r="I8" s="4" t="s">
        <v>35</v>
      </c>
      <c r="J8" s="4" t="s">
        <v>3676</v>
      </c>
      <c r="K8" t="s">
        <v>3683</v>
      </c>
      <c r="L8" t="s">
        <v>27</v>
      </c>
      <c r="M8" t="s">
        <v>3684</v>
      </c>
      <c r="N8" t="s">
        <v>28</v>
      </c>
      <c r="O8" t="s">
        <v>45</v>
      </c>
      <c r="P8" t="s">
        <v>40</v>
      </c>
      <c r="Q8" t="s">
        <v>31</v>
      </c>
      <c r="R8">
        <v>5</v>
      </c>
      <c r="S8" t="s">
        <v>3685</v>
      </c>
      <c r="T8" t="s">
        <v>4925</v>
      </c>
      <c r="U8" t="s">
        <v>4926</v>
      </c>
      <c r="V8" t="s">
        <v>32</v>
      </c>
      <c r="W8" t="s">
        <v>33</v>
      </c>
      <c r="X8" t="s">
        <v>33</v>
      </c>
      <c r="Y8" t="s">
        <v>33</v>
      </c>
      <c r="Z8" s="16" t="s">
        <v>34</v>
      </c>
      <c r="AA8">
        <v>-75.604960140000003</v>
      </c>
      <c r="AB8">
        <v>6.21044895</v>
      </c>
      <c r="AC8" t="s">
        <v>96</v>
      </c>
      <c r="AD8" t="s">
        <v>97</v>
      </c>
    </row>
    <row r="9" spans="1:30" x14ac:dyDescent="0.25">
      <c r="A9" t="s">
        <v>1708</v>
      </c>
      <c r="B9" t="s">
        <v>25</v>
      </c>
      <c r="C9" t="s">
        <v>26</v>
      </c>
      <c r="D9" t="s">
        <v>25</v>
      </c>
      <c r="E9" t="s">
        <v>1709</v>
      </c>
      <c r="F9" t="s">
        <v>1710</v>
      </c>
      <c r="G9">
        <v>70067381</v>
      </c>
      <c r="H9" t="s">
        <v>1711</v>
      </c>
      <c r="I9" s="4" t="s">
        <v>1712</v>
      </c>
      <c r="J9" s="4" t="s">
        <v>1713</v>
      </c>
      <c r="K9" t="s">
        <v>1714</v>
      </c>
      <c r="L9" t="s">
        <v>27</v>
      </c>
      <c r="M9" t="s">
        <v>1715</v>
      </c>
      <c r="N9" t="s">
        <v>28</v>
      </c>
      <c r="O9" t="s">
        <v>29</v>
      </c>
      <c r="P9" t="s">
        <v>36</v>
      </c>
      <c r="Q9" t="s">
        <v>31</v>
      </c>
      <c r="R9">
        <v>7</v>
      </c>
      <c r="S9" t="s">
        <v>1716</v>
      </c>
      <c r="T9" t="s">
        <v>1658</v>
      </c>
      <c r="U9" t="s">
        <v>144</v>
      </c>
      <c r="V9" t="s">
        <v>32</v>
      </c>
      <c r="W9" t="s">
        <v>33</v>
      </c>
      <c r="X9" t="s">
        <v>33</v>
      </c>
      <c r="Y9" t="s">
        <v>33</v>
      </c>
      <c r="Z9" s="16" t="s">
        <v>34</v>
      </c>
      <c r="AA9">
        <v>-75.542468990000003</v>
      </c>
      <c r="AB9">
        <v>6.2275933800000001</v>
      </c>
      <c r="AC9" t="s">
        <v>96</v>
      </c>
      <c r="AD9" t="s">
        <v>97</v>
      </c>
    </row>
    <row r="10" spans="1:30" x14ac:dyDescent="0.25">
      <c r="A10" t="s">
        <v>3686</v>
      </c>
      <c r="B10" t="s">
        <v>25</v>
      </c>
      <c r="C10" t="s">
        <v>26</v>
      </c>
      <c r="D10" t="s">
        <v>25</v>
      </c>
      <c r="E10" t="s">
        <v>3687</v>
      </c>
      <c r="F10" t="s">
        <v>3688</v>
      </c>
      <c r="G10">
        <v>42769504</v>
      </c>
      <c r="H10" t="s">
        <v>3689</v>
      </c>
      <c r="I10" s="4" t="s">
        <v>35</v>
      </c>
      <c r="J10" s="4" t="s">
        <v>3690</v>
      </c>
      <c r="K10" t="s">
        <v>3691</v>
      </c>
      <c r="L10" t="s">
        <v>43</v>
      </c>
      <c r="M10" t="s">
        <v>3692</v>
      </c>
      <c r="N10" t="s">
        <v>44</v>
      </c>
      <c r="O10" t="s">
        <v>29</v>
      </c>
      <c r="P10" t="s">
        <v>36</v>
      </c>
      <c r="Q10" t="s">
        <v>31</v>
      </c>
      <c r="R10">
        <v>7</v>
      </c>
      <c r="S10" t="s">
        <v>3693</v>
      </c>
      <c r="T10" t="s">
        <v>4922</v>
      </c>
      <c r="U10" t="s">
        <v>3077</v>
      </c>
      <c r="V10" t="s">
        <v>32</v>
      </c>
      <c r="W10" t="s">
        <v>33</v>
      </c>
      <c r="X10" t="s">
        <v>33</v>
      </c>
      <c r="Y10" t="s">
        <v>33</v>
      </c>
      <c r="Z10" s="16" t="s">
        <v>34</v>
      </c>
      <c r="AA10">
        <v>-75.609507460000003</v>
      </c>
      <c r="AB10">
        <v>6.1685792399999997</v>
      </c>
      <c r="AC10" t="s">
        <v>96</v>
      </c>
      <c r="AD10" t="s">
        <v>97</v>
      </c>
    </row>
    <row r="11" spans="1:30" x14ac:dyDescent="0.25">
      <c r="A11" t="s">
        <v>3694</v>
      </c>
      <c r="B11" t="s">
        <v>25</v>
      </c>
      <c r="C11" t="s">
        <v>26</v>
      </c>
      <c r="D11" t="s">
        <v>25</v>
      </c>
      <c r="E11" t="s">
        <v>3695</v>
      </c>
      <c r="F11" t="s">
        <v>3696</v>
      </c>
      <c r="G11">
        <v>1037601333</v>
      </c>
      <c r="H11" t="s">
        <v>3697</v>
      </c>
      <c r="I11" s="4" t="s">
        <v>35</v>
      </c>
      <c r="J11" s="4" t="s">
        <v>3698</v>
      </c>
      <c r="K11" t="s">
        <v>3699</v>
      </c>
      <c r="L11" t="s">
        <v>27</v>
      </c>
      <c r="M11" t="s">
        <v>3700</v>
      </c>
      <c r="N11" t="s">
        <v>28</v>
      </c>
      <c r="O11" t="s">
        <v>29</v>
      </c>
      <c r="P11" t="s">
        <v>36</v>
      </c>
      <c r="Q11" t="s">
        <v>37</v>
      </c>
      <c r="R11">
        <v>10</v>
      </c>
      <c r="S11" t="s">
        <v>3701</v>
      </c>
      <c r="T11" t="s">
        <v>4927</v>
      </c>
      <c r="U11" t="s">
        <v>4928</v>
      </c>
      <c r="V11" t="s">
        <v>32</v>
      </c>
      <c r="W11" t="s">
        <v>33</v>
      </c>
      <c r="X11" t="s">
        <v>33</v>
      </c>
      <c r="Y11" t="s">
        <v>33</v>
      </c>
      <c r="Z11" s="16" t="s">
        <v>34</v>
      </c>
      <c r="AA11">
        <v>-75.641889000000006</v>
      </c>
      <c r="AB11">
        <v>6.292681</v>
      </c>
      <c r="AC11" t="s">
        <v>96</v>
      </c>
      <c r="AD11" t="s">
        <v>97</v>
      </c>
    </row>
    <row r="12" spans="1:30" x14ac:dyDescent="0.25">
      <c r="A12" t="s">
        <v>1717</v>
      </c>
      <c r="B12" t="s">
        <v>25</v>
      </c>
      <c r="C12" t="s">
        <v>26</v>
      </c>
      <c r="D12" t="s">
        <v>25</v>
      </c>
      <c r="E12" t="s">
        <v>1718</v>
      </c>
      <c r="F12" t="s">
        <v>1719</v>
      </c>
      <c r="G12">
        <v>98567549</v>
      </c>
      <c r="H12" t="s">
        <v>1720</v>
      </c>
      <c r="I12" s="4" t="s">
        <v>1721</v>
      </c>
      <c r="J12" s="4" t="s">
        <v>1722</v>
      </c>
      <c r="K12" t="s">
        <v>1723</v>
      </c>
      <c r="L12" t="s">
        <v>43</v>
      </c>
      <c r="M12" t="s">
        <v>1724</v>
      </c>
      <c r="N12" t="s">
        <v>44</v>
      </c>
      <c r="O12" t="s">
        <v>29</v>
      </c>
      <c r="P12" t="s">
        <v>36</v>
      </c>
      <c r="Q12" t="s">
        <v>31</v>
      </c>
      <c r="R12">
        <v>7</v>
      </c>
      <c r="S12" t="s">
        <v>1725</v>
      </c>
      <c r="T12" t="s">
        <v>3061</v>
      </c>
      <c r="U12" t="s">
        <v>4930</v>
      </c>
      <c r="V12" t="s">
        <v>32</v>
      </c>
      <c r="W12" t="s">
        <v>33</v>
      </c>
      <c r="X12" t="s">
        <v>33</v>
      </c>
      <c r="Y12" t="s">
        <v>33</v>
      </c>
      <c r="Z12" s="16" t="s">
        <v>34</v>
      </c>
      <c r="AA12">
        <v>-75.612769999999998</v>
      </c>
      <c r="AB12">
        <v>6.180822</v>
      </c>
      <c r="AC12" t="s">
        <v>96</v>
      </c>
      <c r="AD12" t="s">
        <v>97</v>
      </c>
    </row>
    <row r="13" spans="1:30" x14ac:dyDescent="0.25">
      <c r="A13" t="s">
        <v>2489</v>
      </c>
      <c r="B13" t="s">
        <v>49</v>
      </c>
      <c r="C13" t="s">
        <v>26</v>
      </c>
      <c r="D13" t="s">
        <v>49</v>
      </c>
      <c r="E13" t="s">
        <v>2490</v>
      </c>
      <c r="F13" t="s">
        <v>2491</v>
      </c>
      <c r="G13">
        <v>70301891</v>
      </c>
      <c r="H13" t="s">
        <v>2492</v>
      </c>
      <c r="I13" s="4" t="s">
        <v>35</v>
      </c>
      <c r="J13" s="4" t="s">
        <v>2493</v>
      </c>
      <c r="K13" t="s">
        <v>2494</v>
      </c>
      <c r="L13" t="s">
        <v>27</v>
      </c>
      <c r="M13" t="s">
        <v>2495</v>
      </c>
      <c r="N13" t="s">
        <v>28</v>
      </c>
      <c r="O13" t="s">
        <v>50</v>
      </c>
      <c r="P13" t="s">
        <v>51</v>
      </c>
      <c r="Q13" t="s">
        <v>31</v>
      </c>
      <c r="R13">
        <v>11</v>
      </c>
      <c r="S13" t="s">
        <v>2496</v>
      </c>
      <c r="T13" t="s">
        <v>1690</v>
      </c>
      <c r="U13" t="s">
        <v>4931</v>
      </c>
      <c r="V13" t="s">
        <v>32</v>
      </c>
      <c r="W13" t="s">
        <v>33</v>
      </c>
      <c r="X13" t="s">
        <v>33</v>
      </c>
      <c r="Y13" t="s">
        <v>33</v>
      </c>
      <c r="Z13" s="16" t="s">
        <v>34</v>
      </c>
      <c r="AA13">
        <v>-75.537633</v>
      </c>
      <c r="AB13">
        <v>6.249117</v>
      </c>
      <c r="AC13" t="s">
        <v>96</v>
      </c>
      <c r="AD13" t="s">
        <v>97</v>
      </c>
    </row>
    <row r="14" spans="1:30" x14ac:dyDescent="0.25">
      <c r="A14" t="s">
        <v>2489</v>
      </c>
      <c r="B14" t="s">
        <v>49</v>
      </c>
      <c r="C14" t="s">
        <v>26</v>
      </c>
      <c r="D14" t="s">
        <v>49</v>
      </c>
      <c r="E14" t="s">
        <v>2490</v>
      </c>
      <c r="F14" t="s">
        <v>2491</v>
      </c>
      <c r="G14">
        <v>70301891</v>
      </c>
      <c r="H14" t="s">
        <v>2492</v>
      </c>
      <c r="I14" s="4" t="s">
        <v>35</v>
      </c>
      <c r="J14" s="4" t="s">
        <v>2493</v>
      </c>
      <c r="K14" t="s">
        <v>2494</v>
      </c>
      <c r="L14" t="s">
        <v>27</v>
      </c>
      <c r="M14" t="s">
        <v>2495</v>
      </c>
      <c r="N14" t="s">
        <v>28</v>
      </c>
      <c r="O14" t="s">
        <v>50</v>
      </c>
      <c r="P14" t="s">
        <v>51</v>
      </c>
      <c r="Q14" t="s">
        <v>31</v>
      </c>
      <c r="R14">
        <v>11</v>
      </c>
      <c r="S14" t="s">
        <v>2496</v>
      </c>
      <c r="T14" t="s">
        <v>1690</v>
      </c>
      <c r="U14" t="s">
        <v>4931</v>
      </c>
      <c r="V14" t="s">
        <v>32</v>
      </c>
      <c r="W14" t="s">
        <v>33</v>
      </c>
      <c r="X14" t="s">
        <v>33</v>
      </c>
      <c r="Y14" t="s">
        <v>33</v>
      </c>
      <c r="Z14" s="16" t="s">
        <v>34</v>
      </c>
      <c r="AA14">
        <v>-75.537633</v>
      </c>
      <c r="AB14">
        <v>6.249117</v>
      </c>
      <c r="AC14" t="s">
        <v>96</v>
      </c>
      <c r="AD14" t="s">
        <v>97</v>
      </c>
    </row>
    <row r="15" spans="1:30" x14ac:dyDescent="0.25">
      <c r="A15" t="s">
        <v>976</v>
      </c>
      <c r="B15" t="s">
        <v>25</v>
      </c>
      <c r="C15" t="s">
        <v>26</v>
      </c>
      <c r="D15" t="s">
        <v>38</v>
      </c>
      <c r="E15" t="s">
        <v>977</v>
      </c>
      <c r="F15" t="s">
        <v>978</v>
      </c>
      <c r="G15">
        <v>15328563</v>
      </c>
      <c r="H15" t="s">
        <v>979</v>
      </c>
      <c r="I15" s="4" t="s">
        <v>35</v>
      </c>
      <c r="J15" s="4" t="s">
        <v>980</v>
      </c>
      <c r="K15" t="s">
        <v>981</v>
      </c>
      <c r="L15" t="s">
        <v>47</v>
      </c>
      <c r="M15" t="s">
        <v>982</v>
      </c>
      <c r="N15" t="s">
        <v>62</v>
      </c>
      <c r="O15" t="s">
        <v>45</v>
      </c>
      <c r="P15" t="s">
        <v>40</v>
      </c>
      <c r="Q15" t="s">
        <v>37</v>
      </c>
      <c r="R15">
        <v>8</v>
      </c>
      <c r="S15" t="s">
        <v>983</v>
      </c>
      <c r="T15" t="s">
        <v>4932</v>
      </c>
      <c r="U15" t="s">
        <v>4932</v>
      </c>
      <c r="V15" t="s">
        <v>32</v>
      </c>
      <c r="W15" t="s">
        <v>33</v>
      </c>
      <c r="X15" t="s">
        <v>33</v>
      </c>
      <c r="Y15" t="s">
        <v>33</v>
      </c>
      <c r="Z15" s="16" t="s">
        <v>34</v>
      </c>
      <c r="AA15">
        <v>-75.579577319999999</v>
      </c>
      <c r="AB15">
        <v>6.1338291700000003</v>
      </c>
      <c r="AC15" t="s">
        <v>96</v>
      </c>
      <c r="AD15" t="s">
        <v>97</v>
      </c>
    </row>
    <row r="16" spans="1:30" x14ac:dyDescent="0.25">
      <c r="A16" t="s">
        <v>3702</v>
      </c>
      <c r="B16" t="s">
        <v>25</v>
      </c>
      <c r="C16" t="s">
        <v>26</v>
      </c>
      <c r="D16" t="s">
        <v>25</v>
      </c>
      <c r="E16" t="s">
        <v>3703</v>
      </c>
      <c r="F16" t="s">
        <v>3704</v>
      </c>
      <c r="G16">
        <v>70120605</v>
      </c>
      <c r="H16" t="s">
        <v>3705</v>
      </c>
      <c r="I16" s="4" t="s">
        <v>3706</v>
      </c>
      <c r="J16" s="4" t="s">
        <v>3707</v>
      </c>
      <c r="K16" t="s">
        <v>3708</v>
      </c>
      <c r="L16" t="s">
        <v>27</v>
      </c>
      <c r="M16" t="s">
        <v>3709</v>
      </c>
      <c r="N16" t="s">
        <v>28</v>
      </c>
      <c r="O16" t="s">
        <v>29</v>
      </c>
      <c r="P16" t="s">
        <v>36</v>
      </c>
      <c r="Q16" t="s">
        <v>31</v>
      </c>
      <c r="R16">
        <v>7</v>
      </c>
      <c r="S16" t="s">
        <v>3710</v>
      </c>
      <c r="T16" t="s">
        <v>4922</v>
      </c>
      <c r="U16" t="s">
        <v>3077</v>
      </c>
      <c r="V16" t="s">
        <v>32</v>
      </c>
      <c r="W16" t="s">
        <v>33</v>
      </c>
      <c r="X16" t="s">
        <v>33</v>
      </c>
      <c r="Y16" t="s">
        <v>33</v>
      </c>
      <c r="Z16" s="16" t="s">
        <v>34</v>
      </c>
      <c r="AA16">
        <v>-75.602166780000005</v>
      </c>
      <c r="AB16">
        <v>6.25989372</v>
      </c>
      <c r="AC16" t="s">
        <v>96</v>
      </c>
      <c r="AD16" t="s">
        <v>97</v>
      </c>
    </row>
    <row r="17" spans="1:30" x14ac:dyDescent="0.25">
      <c r="A17" t="s">
        <v>3711</v>
      </c>
      <c r="B17" t="s">
        <v>59</v>
      </c>
      <c r="C17" t="s">
        <v>26</v>
      </c>
      <c r="D17" t="s">
        <v>59</v>
      </c>
      <c r="E17" t="s">
        <v>3712</v>
      </c>
      <c r="F17" t="s">
        <v>3713</v>
      </c>
      <c r="G17">
        <v>98701026</v>
      </c>
      <c r="H17" t="s">
        <v>3714</v>
      </c>
      <c r="I17" s="4" t="s">
        <v>35</v>
      </c>
      <c r="J17" s="4" t="s">
        <v>3715</v>
      </c>
      <c r="K17" t="s">
        <v>3716</v>
      </c>
      <c r="L17" t="s">
        <v>55</v>
      </c>
      <c r="M17" t="s">
        <v>3717</v>
      </c>
      <c r="N17" t="s">
        <v>56</v>
      </c>
      <c r="O17" t="s">
        <v>60</v>
      </c>
      <c r="P17" t="s">
        <v>61</v>
      </c>
      <c r="Q17" t="s">
        <v>31</v>
      </c>
      <c r="R17">
        <v>4</v>
      </c>
      <c r="S17" t="s">
        <v>3718</v>
      </c>
      <c r="T17" t="s">
        <v>4933</v>
      </c>
      <c r="U17" t="s">
        <v>4934</v>
      </c>
      <c r="V17" t="s">
        <v>32</v>
      </c>
      <c r="W17" t="s">
        <v>33</v>
      </c>
      <c r="X17" t="s">
        <v>33</v>
      </c>
      <c r="Y17" t="s">
        <v>33</v>
      </c>
      <c r="Z17" s="16" t="s">
        <v>34</v>
      </c>
      <c r="AA17">
        <v>-75.633560009999997</v>
      </c>
      <c r="AB17">
        <v>6.0930809999999997</v>
      </c>
      <c r="AC17" t="s">
        <v>96</v>
      </c>
      <c r="AD17" t="s">
        <v>97</v>
      </c>
    </row>
    <row r="18" spans="1:30" x14ac:dyDescent="0.25">
      <c r="A18" t="s">
        <v>1237</v>
      </c>
      <c r="B18" t="s">
        <v>59</v>
      </c>
      <c r="C18" t="s">
        <v>26</v>
      </c>
      <c r="D18" t="s">
        <v>59</v>
      </c>
      <c r="E18" t="s">
        <v>1238</v>
      </c>
      <c r="F18" t="s">
        <v>1239</v>
      </c>
      <c r="G18">
        <v>98707797</v>
      </c>
      <c r="H18" t="s">
        <v>1240</v>
      </c>
      <c r="I18" s="4" t="s">
        <v>414</v>
      </c>
      <c r="J18" s="4" t="s">
        <v>136</v>
      </c>
      <c r="K18" t="s">
        <v>1241</v>
      </c>
      <c r="L18" t="s">
        <v>27</v>
      </c>
      <c r="M18" t="s">
        <v>1242</v>
      </c>
      <c r="N18" t="s">
        <v>28</v>
      </c>
      <c r="O18" t="s">
        <v>60</v>
      </c>
      <c r="P18" t="s">
        <v>61</v>
      </c>
      <c r="Q18" t="s">
        <v>31</v>
      </c>
      <c r="R18">
        <v>4</v>
      </c>
      <c r="S18" t="s">
        <v>1243</v>
      </c>
      <c r="T18" t="s">
        <v>4935</v>
      </c>
      <c r="U18" t="s">
        <v>4936</v>
      </c>
      <c r="V18" t="s">
        <v>48</v>
      </c>
      <c r="W18" t="s">
        <v>33</v>
      </c>
      <c r="X18" t="s">
        <v>33</v>
      </c>
      <c r="Y18" t="s">
        <v>33</v>
      </c>
      <c r="Z18" s="16" t="s">
        <v>34</v>
      </c>
      <c r="AA18">
        <v>-75.589244390000005</v>
      </c>
      <c r="AB18">
        <v>6.2669338799999998</v>
      </c>
      <c r="AC18" t="s">
        <v>96</v>
      </c>
      <c r="AD18" t="s">
        <v>97</v>
      </c>
    </row>
    <row r="19" spans="1:30" x14ac:dyDescent="0.25">
      <c r="A19" t="s">
        <v>1726</v>
      </c>
      <c r="B19" t="s">
        <v>25</v>
      </c>
      <c r="C19" t="s">
        <v>26</v>
      </c>
      <c r="D19" t="s">
        <v>25</v>
      </c>
      <c r="E19" t="s">
        <v>1727</v>
      </c>
      <c r="F19" t="s">
        <v>1728</v>
      </c>
      <c r="G19">
        <v>98630457</v>
      </c>
      <c r="H19" t="s">
        <v>1729</v>
      </c>
      <c r="I19" s="4" t="s">
        <v>35</v>
      </c>
      <c r="J19" s="4" t="s">
        <v>1730</v>
      </c>
      <c r="K19" t="s">
        <v>1731</v>
      </c>
      <c r="L19" t="s">
        <v>27</v>
      </c>
      <c r="M19" t="s">
        <v>1732</v>
      </c>
      <c r="N19" t="s">
        <v>28</v>
      </c>
      <c r="O19" t="s">
        <v>29</v>
      </c>
      <c r="P19" t="s">
        <v>36</v>
      </c>
      <c r="Q19" t="s">
        <v>31</v>
      </c>
      <c r="R19">
        <v>7</v>
      </c>
      <c r="S19" t="s">
        <v>1733</v>
      </c>
      <c r="T19" t="s">
        <v>561</v>
      </c>
      <c r="U19" t="s">
        <v>3062</v>
      </c>
      <c r="V19" t="s">
        <v>32</v>
      </c>
      <c r="W19" t="s">
        <v>33</v>
      </c>
      <c r="X19" t="s">
        <v>33</v>
      </c>
      <c r="Y19" t="s">
        <v>33</v>
      </c>
      <c r="Z19" s="16" t="s">
        <v>34</v>
      </c>
      <c r="AA19">
        <v>-75.559030489999998</v>
      </c>
      <c r="AB19">
        <v>6.2596797100000003</v>
      </c>
      <c r="AC19" t="s">
        <v>96</v>
      </c>
      <c r="AD19" t="s">
        <v>97</v>
      </c>
    </row>
    <row r="20" spans="1:30" x14ac:dyDescent="0.25">
      <c r="A20" t="s">
        <v>2497</v>
      </c>
      <c r="B20" t="s">
        <v>25</v>
      </c>
      <c r="C20" t="s">
        <v>26</v>
      </c>
      <c r="D20" t="s">
        <v>38</v>
      </c>
      <c r="E20" t="s">
        <v>2498</v>
      </c>
      <c r="F20" t="s">
        <v>2499</v>
      </c>
      <c r="G20">
        <v>43206264</v>
      </c>
      <c r="H20" t="s">
        <v>2500</v>
      </c>
      <c r="I20" s="4" t="s">
        <v>35</v>
      </c>
      <c r="J20" s="4" t="s">
        <v>2501</v>
      </c>
      <c r="K20" t="s">
        <v>2502</v>
      </c>
      <c r="L20" t="s">
        <v>27</v>
      </c>
      <c r="M20" t="s">
        <v>2503</v>
      </c>
      <c r="N20" t="s">
        <v>28</v>
      </c>
      <c r="O20" t="s">
        <v>45</v>
      </c>
      <c r="P20" t="s">
        <v>40</v>
      </c>
      <c r="Q20" t="s">
        <v>31</v>
      </c>
      <c r="R20">
        <v>5</v>
      </c>
      <c r="S20" t="s">
        <v>2504</v>
      </c>
      <c r="T20" t="s">
        <v>3343</v>
      </c>
      <c r="U20" t="s">
        <v>4937</v>
      </c>
      <c r="V20" t="s">
        <v>32</v>
      </c>
      <c r="W20" t="s">
        <v>33</v>
      </c>
      <c r="X20" t="s">
        <v>33</v>
      </c>
      <c r="Y20" t="s">
        <v>33</v>
      </c>
      <c r="Z20" s="16" t="s">
        <v>34</v>
      </c>
      <c r="AA20">
        <v>-75.529749210000006</v>
      </c>
      <c r="AB20">
        <v>6.2340702400000003</v>
      </c>
      <c r="AC20" t="s">
        <v>96</v>
      </c>
      <c r="AD20" t="s">
        <v>97</v>
      </c>
    </row>
    <row r="21" spans="1:30" x14ac:dyDescent="0.25">
      <c r="A21" t="s">
        <v>2505</v>
      </c>
      <c r="B21" t="s">
        <v>25</v>
      </c>
      <c r="C21" t="s">
        <v>26</v>
      </c>
      <c r="D21" t="s">
        <v>38</v>
      </c>
      <c r="E21" t="s">
        <v>2506</v>
      </c>
      <c r="F21" t="s">
        <v>2507</v>
      </c>
      <c r="G21">
        <v>1036669709</v>
      </c>
      <c r="H21" t="s">
        <v>2508</v>
      </c>
      <c r="I21" s="4" t="s">
        <v>35</v>
      </c>
      <c r="J21" s="4" t="s">
        <v>2509</v>
      </c>
      <c r="K21" t="s">
        <v>2510</v>
      </c>
      <c r="L21" t="s">
        <v>43</v>
      </c>
      <c r="M21" t="s">
        <v>2511</v>
      </c>
      <c r="N21" t="s">
        <v>44</v>
      </c>
      <c r="O21" t="s">
        <v>39</v>
      </c>
      <c r="P21" t="s">
        <v>40</v>
      </c>
      <c r="Q21" t="s">
        <v>31</v>
      </c>
      <c r="R21">
        <v>5</v>
      </c>
      <c r="S21" t="s">
        <v>2512</v>
      </c>
      <c r="T21" t="s">
        <v>3170</v>
      </c>
      <c r="U21" t="s">
        <v>4938</v>
      </c>
      <c r="V21" t="s">
        <v>32</v>
      </c>
      <c r="W21" t="s">
        <v>33</v>
      </c>
      <c r="X21" t="s">
        <v>33</v>
      </c>
      <c r="Y21" t="s">
        <v>33</v>
      </c>
      <c r="Z21" s="16" t="s">
        <v>34</v>
      </c>
      <c r="AA21">
        <v>-75.616888299999999</v>
      </c>
      <c r="AB21">
        <v>6.1900866299999997</v>
      </c>
      <c r="AC21" t="s">
        <v>96</v>
      </c>
      <c r="AD21" t="s">
        <v>97</v>
      </c>
    </row>
    <row r="22" spans="1:30" x14ac:dyDescent="0.25">
      <c r="A22" t="s">
        <v>2513</v>
      </c>
      <c r="B22" t="s">
        <v>25</v>
      </c>
      <c r="C22" t="s">
        <v>26</v>
      </c>
      <c r="D22" t="s">
        <v>38</v>
      </c>
      <c r="E22" t="s">
        <v>2514</v>
      </c>
      <c r="F22" t="s">
        <v>2515</v>
      </c>
      <c r="G22">
        <v>1036669709</v>
      </c>
      <c r="H22" t="s">
        <v>2508</v>
      </c>
      <c r="I22" s="4" t="s">
        <v>35</v>
      </c>
      <c r="J22" s="4" t="s">
        <v>2509</v>
      </c>
      <c r="K22" t="s">
        <v>2516</v>
      </c>
      <c r="L22" t="s">
        <v>43</v>
      </c>
      <c r="M22" t="s">
        <v>2517</v>
      </c>
      <c r="N22" t="s">
        <v>44</v>
      </c>
      <c r="O22" t="s">
        <v>39</v>
      </c>
      <c r="P22" t="s">
        <v>40</v>
      </c>
      <c r="Q22" t="s">
        <v>31</v>
      </c>
      <c r="R22">
        <v>5</v>
      </c>
      <c r="S22" t="s">
        <v>2518</v>
      </c>
      <c r="T22" t="s">
        <v>1642</v>
      </c>
      <c r="U22" t="s">
        <v>3093</v>
      </c>
      <c r="V22" t="s">
        <v>32</v>
      </c>
      <c r="W22" t="s">
        <v>33</v>
      </c>
      <c r="X22" t="s">
        <v>33</v>
      </c>
      <c r="Y22" t="s">
        <v>33</v>
      </c>
      <c r="Z22" s="16" t="s">
        <v>34</v>
      </c>
      <c r="AA22">
        <v>-75.616888299999999</v>
      </c>
      <c r="AB22">
        <v>6.1900866299999997</v>
      </c>
      <c r="AC22" t="s">
        <v>96</v>
      </c>
      <c r="AD22" t="s">
        <v>97</v>
      </c>
    </row>
    <row r="23" spans="1:30" x14ac:dyDescent="0.25">
      <c r="A23" t="s">
        <v>3719</v>
      </c>
      <c r="B23" t="s">
        <v>25</v>
      </c>
      <c r="C23" t="s">
        <v>26</v>
      </c>
      <c r="D23" t="s">
        <v>38</v>
      </c>
      <c r="E23" t="s">
        <v>3720</v>
      </c>
      <c r="F23" t="s">
        <v>3721</v>
      </c>
      <c r="G23">
        <v>39308968</v>
      </c>
      <c r="H23" t="s">
        <v>3722</v>
      </c>
      <c r="I23" s="4" t="s">
        <v>35</v>
      </c>
      <c r="J23" s="4" t="s">
        <v>3723</v>
      </c>
      <c r="K23" t="s">
        <v>3724</v>
      </c>
      <c r="L23" t="s">
        <v>27</v>
      </c>
      <c r="M23" t="s">
        <v>3725</v>
      </c>
      <c r="N23" t="s">
        <v>28</v>
      </c>
      <c r="O23" t="s">
        <v>39</v>
      </c>
      <c r="P23" t="s">
        <v>40</v>
      </c>
      <c r="Q23" t="s">
        <v>31</v>
      </c>
      <c r="R23">
        <v>5</v>
      </c>
      <c r="S23" t="s">
        <v>3726</v>
      </c>
      <c r="T23" t="s">
        <v>4939</v>
      </c>
      <c r="U23" t="s">
        <v>4940</v>
      </c>
      <c r="V23" t="s">
        <v>32</v>
      </c>
      <c r="W23" t="s">
        <v>33</v>
      </c>
      <c r="X23" t="s">
        <v>33</v>
      </c>
      <c r="Y23" t="s">
        <v>33</v>
      </c>
      <c r="Z23" s="16" t="s">
        <v>34</v>
      </c>
      <c r="AA23">
        <v>-75.529666129999995</v>
      </c>
      <c r="AB23">
        <v>6.22986605</v>
      </c>
      <c r="AC23" t="s">
        <v>96</v>
      </c>
      <c r="AD23" t="s">
        <v>97</v>
      </c>
    </row>
    <row r="24" spans="1:30" x14ac:dyDescent="0.25">
      <c r="A24" t="s">
        <v>210</v>
      </c>
      <c r="B24" t="s">
        <v>25</v>
      </c>
      <c r="C24" t="s">
        <v>26</v>
      </c>
      <c r="D24" t="s">
        <v>38</v>
      </c>
      <c r="E24" t="s">
        <v>211</v>
      </c>
      <c r="F24" t="s">
        <v>212</v>
      </c>
      <c r="G24">
        <v>43729979</v>
      </c>
      <c r="H24" t="s">
        <v>213</v>
      </c>
      <c r="I24" s="4" t="s">
        <v>35</v>
      </c>
      <c r="J24" s="4" t="s">
        <v>214</v>
      </c>
      <c r="K24" t="s">
        <v>215</v>
      </c>
      <c r="L24" t="s">
        <v>53</v>
      </c>
      <c r="M24" t="s">
        <v>216</v>
      </c>
      <c r="N24" t="s">
        <v>54</v>
      </c>
      <c r="O24" t="s">
        <v>39</v>
      </c>
      <c r="P24" t="s">
        <v>217</v>
      </c>
      <c r="Q24" t="s">
        <v>31</v>
      </c>
      <c r="R24">
        <v>5</v>
      </c>
      <c r="S24" t="s">
        <v>1244</v>
      </c>
      <c r="T24" t="s">
        <v>4941</v>
      </c>
      <c r="U24" t="s">
        <v>46</v>
      </c>
      <c r="V24" t="s">
        <v>46</v>
      </c>
      <c r="W24" t="s">
        <v>33</v>
      </c>
      <c r="X24" t="s">
        <v>33</v>
      </c>
      <c r="Y24" t="s">
        <v>33</v>
      </c>
      <c r="Z24" s="16" t="s">
        <v>34</v>
      </c>
      <c r="AA24">
        <v>-75.639820630000003</v>
      </c>
      <c r="AB24">
        <v>6.1136927999999999</v>
      </c>
      <c r="AC24" t="s">
        <v>96</v>
      </c>
      <c r="AD24" t="s">
        <v>97</v>
      </c>
    </row>
    <row r="25" spans="1:30" x14ac:dyDescent="0.25">
      <c r="A25" t="s">
        <v>3727</v>
      </c>
      <c r="B25" t="s">
        <v>25</v>
      </c>
      <c r="C25" t="s">
        <v>26</v>
      </c>
      <c r="D25" t="s">
        <v>38</v>
      </c>
      <c r="E25" t="s">
        <v>3728</v>
      </c>
      <c r="F25" t="s">
        <v>3729</v>
      </c>
      <c r="G25">
        <v>1148698057</v>
      </c>
      <c r="H25" t="s">
        <v>3730</v>
      </c>
      <c r="I25" s="4" t="s">
        <v>35</v>
      </c>
      <c r="J25" s="4" t="s">
        <v>3731</v>
      </c>
      <c r="K25" t="s">
        <v>3732</v>
      </c>
      <c r="L25" t="s">
        <v>27</v>
      </c>
      <c r="M25" t="s">
        <v>3733</v>
      </c>
      <c r="N25" t="s">
        <v>28</v>
      </c>
      <c r="O25" t="s">
        <v>45</v>
      </c>
      <c r="P25" t="s">
        <v>40</v>
      </c>
      <c r="Q25" t="s">
        <v>31</v>
      </c>
      <c r="R25">
        <v>5</v>
      </c>
      <c r="S25" t="s">
        <v>3734</v>
      </c>
      <c r="T25" t="s">
        <v>4942</v>
      </c>
      <c r="U25" t="s">
        <v>4943</v>
      </c>
      <c r="V25" t="s">
        <v>32</v>
      </c>
      <c r="W25" t="s">
        <v>33</v>
      </c>
      <c r="X25" t="s">
        <v>33</v>
      </c>
      <c r="Y25" t="s">
        <v>33</v>
      </c>
      <c r="Z25" s="16" t="s">
        <v>34</v>
      </c>
      <c r="AA25">
        <v>-75.531628569999995</v>
      </c>
      <c r="AB25">
        <v>6.2320648299999997</v>
      </c>
      <c r="AC25" t="s">
        <v>96</v>
      </c>
      <c r="AD25" t="s">
        <v>97</v>
      </c>
    </row>
    <row r="26" spans="1:30" x14ac:dyDescent="0.25">
      <c r="A26" t="s">
        <v>1245</v>
      </c>
      <c r="B26" t="s">
        <v>49</v>
      </c>
      <c r="C26" t="s">
        <v>26</v>
      </c>
      <c r="D26" t="s">
        <v>49</v>
      </c>
      <c r="E26" t="s">
        <v>1246</v>
      </c>
      <c r="F26" t="s">
        <v>1247</v>
      </c>
      <c r="G26">
        <v>101143784</v>
      </c>
      <c r="H26" t="s">
        <v>1248</v>
      </c>
      <c r="I26" s="4" t="s">
        <v>35</v>
      </c>
      <c r="J26" s="4" t="s">
        <v>1249</v>
      </c>
      <c r="K26" t="s">
        <v>1250</v>
      </c>
      <c r="L26" t="s">
        <v>27</v>
      </c>
      <c r="M26" t="s">
        <v>1251</v>
      </c>
      <c r="N26" t="s">
        <v>28</v>
      </c>
      <c r="O26" t="s">
        <v>39</v>
      </c>
      <c r="P26" t="s">
        <v>51</v>
      </c>
      <c r="Q26" t="s">
        <v>31</v>
      </c>
      <c r="R26">
        <v>5</v>
      </c>
      <c r="S26" t="s">
        <v>1252</v>
      </c>
      <c r="T26" t="s">
        <v>3065</v>
      </c>
      <c r="U26" t="s">
        <v>3064</v>
      </c>
      <c r="V26" t="s">
        <v>48</v>
      </c>
      <c r="W26" t="s">
        <v>33</v>
      </c>
      <c r="X26" t="s">
        <v>33</v>
      </c>
      <c r="Y26" t="s">
        <v>33</v>
      </c>
      <c r="Z26" s="16" t="s">
        <v>34</v>
      </c>
      <c r="AA26">
        <v>-75.616252000000003</v>
      </c>
      <c r="AB26">
        <v>6.2632019999999997</v>
      </c>
      <c r="AC26" t="s">
        <v>96</v>
      </c>
      <c r="AD26" t="s">
        <v>97</v>
      </c>
    </row>
    <row r="27" spans="1:30" x14ac:dyDescent="0.25">
      <c r="A27" t="s">
        <v>1734</v>
      </c>
      <c r="B27" t="s">
        <v>25</v>
      </c>
      <c r="C27" t="s">
        <v>26</v>
      </c>
      <c r="D27" t="s">
        <v>38</v>
      </c>
      <c r="E27" t="s">
        <v>1735</v>
      </c>
      <c r="F27" t="s">
        <v>1736</v>
      </c>
      <c r="G27">
        <v>1017164927</v>
      </c>
      <c r="H27" t="s">
        <v>1737</v>
      </c>
      <c r="I27" s="4" t="s">
        <v>35</v>
      </c>
      <c r="J27" s="4" t="s">
        <v>1738</v>
      </c>
      <c r="K27" t="s">
        <v>1739</v>
      </c>
      <c r="L27" t="s">
        <v>27</v>
      </c>
      <c r="M27" t="s">
        <v>1740</v>
      </c>
      <c r="N27" t="s">
        <v>28</v>
      </c>
      <c r="O27" t="s">
        <v>39</v>
      </c>
      <c r="P27" t="s">
        <v>40</v>
      </c>
      <c r="Q27" t="s">
        <v>31</v>
      </c>
      <c r="R27">
        <v>5</v>
      </c>
      <c r="S27" t="s">
        <v>1741</v>
      </c>
      <c r="T27" t="s">
        <v>3067</v>
      </c>
      <c r="U27" t="s">
        <v>3066</v>
      </c>
      <c r="V27" t="s">
        <v>48</v>
      </c>
      <c r="W27" t="s">
        <v>33</v>
      </c>
      <c r="X27" t="s">
        <v>33</v>
      </c>
      <c r="Y27" t="s">
        <v>33</v>
      </c>
      <c r="Z27" s="16" t="s">
        <v>34</v>
      </c>
      <c r="AA27">
        <v>-75.526062999999994</v>
      </c>
      <c r="AB27">
        <v>6.234388</v>
      </c>
      <c r="AC27" t="s">
        <v>96</v>
      </c>
      <c r="AD27" t="s">
        <v>97</v>
      </c>
    </row>
    <row r="28" spans="1:30" x14ac:dyDescent="0.25">
      <c r="A28" t="s">
        <v>1742</v>
      </c>
      <c r="B28" t="s">
        <v>25</v>
      </c>
      <c r="C28" t="s">
        <v>26</v>
      </c>
      <c r="D28" t="s">
        <v>25</v>
      </c>
      <c r="E28" t="s">
        <v>1743</v>
      </c>
      <c r="F28" t="s">
        <v>1744</v>
      </c>
      <c r="G28">
        <v>1037587447</v>
      </c>
      <c r="H28" t="s">
        <v>1745</v>
      </c>
      <c r="I28" s="4" t="s">
        <v>1746</v>
      </c>
      <c r="J28" s="4" t="s">
        <v>1747</v>
      </c>
      <c r="K28" t="s">
        <v>1748</v>
      </c>
      <c r="L28" t="s">
        <v>27</v>
      </c>
      <c r="M28" t="s">
        <v>1749</v>
      </c>
      <c r="N28" t="s">
        <v>28</v>
      </c>
      <c r="O28" t="s">
        <v>29</v>
      </c>
      <c r="P28" t="s">
        <v>36</v>
      </c>
      <c r="Q28" t="s">
        <v>31</v>
      </c>
      <c r="R28">
        <v>7</v>
      </c>
      <c r="S28" t="s">
        <v>1750</v>
      </c>
      <c r="T28" t="s">
        <v>4944</v>
      </c>
      <c r="U28" t="s">
        <v>4945</v>
      </c>
      <c r="V28" t="s">
        <v>32</v>
      </c>
      <c r="W28" t="s">
        <v>33</v>
      </c>
      <c r="X28" t="s">
        <v>33</v>
      </c>
      <c r="Y28" t="s">
        <v>33</v>
      </c>
      <c r="Z28" s="16" t="s">
        <v>34</v>
      </c>
      <c r="AA28">
        <v>-75.583806999999993</v>
      </c>
      <c r="AB28">
        <v>6.2280860000000002</v>
      </c>
      <c r="AC28" t="s">
        <v>96</v>
      </c>
      <c r="AD28" t="s">
        <v>97</v>
      </c>
    </row>
    <row r="29" spans="1:30" x14ac:dyDescent="0.25">
      <c r="A29" t="s">
        <v>1253</v>
      </c>
      <c r="B29" t="s">
        <v>59</v>
      </c>
      <c r="C29" t="s">
        <v>26</v>
      </c>
      <c r="D29" t="s">
        <v>59</v>
      </c>
      <c r="E29" t="s">
        <v>1254</v>
      </c>
      <c r="F29" t="s">
        <v>1255</v>
      </c>
      <c r="G29">
        <v>70099655</v>
      </c>
      <c r="H29" t="s">
        <v>1256</v>
      </c>
      <c r="I29" s="4" t="s">
        <v>1257</v>
      </c>
      <c r="J29" s="4" t="s">
        <v>136</v>
      </c>
      <c r="K29" t="s">
        <v>1258</v>
      </c>
      <c r="L29" t="s">
        <v>27</v>
      </c>
      <c r="M29" t="s">
        <v>1259</v>
      </c>
      <c r="N29" t="s">
        <v>28</v>
      </c>
      <c r="O29" t="s">
        <v>60</v>
      </c>
      <c r="P29" t="s">
        <v>61</v>
      </c>
      <c r="Q29" t="s">
        <v>31</v>
      </c>
      <c r="R29">
        <v>4</v>
      </c>
      <c r="S29" t="s">
        <v>1260</v>
      </c>
      <c r="T29" t="s">
        <v>4947</v>
      </c>
      <c r="U29" t="s">
        <v>4948</v>
      </c>
      <c r="V29" t="s">
        <v>48</v>
      </c>
      <c r="W29" t="s">
        <v>33</v>
      </c>
      <c r="X29" t="s">
        <v>33</v>
      </c>
      <c r="Y29" t="s">
        <v>33</v>
      </c>
      <c r="Z29" s="16" t="s">
        <v>34</v>
      </c>
      <c r="AA29">
        <v>-75.590566069999994</v>
      </c>
      <c r="AB29">
        <v>6.2495867299999999</v>
      </c>
      <c r="AC29" t="s">
        <v>96</v>
      </c>
      <c r="AD29" t="s">
        <v>97</v>
      </c>
    </row>
    <row r="30" spans="1:30" x14ac:dyDescent="0.25">
      <c r="A30" t="s">
        <v>4949</v>
      </c>
      <c r="B30" t="s">
        <v>49</v>
      </c>
      <c r="C30" t="s">
        <v>26</v>
      </c>
      <c r="D30" t="s">
        <v>49</v>
      </c>
      <c r="E30" t="s">
        <v>4950</v>
      </c>
      <c r="F30" t="s">
        <v>4951</v>
      </c>
      <c r="G30">
        <v>1007853420</v>
      </c>
      <c r="H30" t="s">
        <v>4952</v>
      </c>
      <c r="I30" s="4" t="s">
        <v>35</v>
      </c>
      <c r="J30" s="4" t="s">
        <v>4953</v>
      </c>
      <c r="K30" t="s">
        <v>4954</v>
      </c>
      <c r="L30" t="s">
        <v>27</v>
      </c>
      <c r="M30" t="s">
        <v>4955</v>
      </c>
      <c r="N30" t="s">
        <v>28</v>
      </c>
      <c r="O30" t="s">
        <v>50</v>
      </c>
      <c r="P30" t="s">
        <v>51</v>
      </c>
      <c r="Q30" t="s">
        <v>31</v>
      </c>
      <c r="R30">
        <v>11</v>
      </c>
      <c r="S30" t="s">
        <v>4956</v>
      </c>
      <c r="T30" t="s">
        <v>4957</v>
      </c>
      <c r="U30" t="s">
        <v>4958</v>
      </c>
      <c r="V30" t="s">
        <v>32</v>
      </c>
      <c r="W30" t="s">
        <v>33</v>
      </c>
      <c r="X30" t="s">
        <v>33</v>
      </c>
      <c r="Y30" t="s">
        <v>33</v>
      </c>
      <c r="Z30" s="16" t="s">
        <v>34</v>
      </c>
      <c r="AA30">
        <v>-75.614861529999999</v>
      </c>
      <c r="AB30">
        <v>6.2728117499999998</v>
      </c>
      <c r="AC30" t="s">
        <v>96</v>
      </c>
      <c r="AD30" t="s">
        <v>97</v>
      </c>
    </row>
    <row r="31" spans="1:30" x14ac:dyDescent="0.25">
      <c r="A31" t="s">
        <v>1753</v>
      </c>
      <c r="B31" t="s">
        <v>25</v>
      </c>
      <c r="C31" t="s">
        <v>26</v>
      </c>
      <c r="D31" t="s">
        <v>25</v>
      </c>
      <c r="E31" t="s">
        <v>1754</v>
      </c>
      <c r="F31" t="s">
        <v>1755</v>
      </c>
      <c r="G31">
        <v>32334839</v>
      </c>
      <c r="H31" t="s">
        <v>1756</v>
      </c>
      <c r="I31" s="4" t="s">
        <v>1757</v>
      </c>
      <c r="J31" s="4" t="s">
        <v>1758</v>
      </c>
      <c r="K31" t="s">
        <v>1759</v>
      </c>
      <c r="L31" t="s">
        <v>47</v>
      </c>
      <c r="M31" t="s">
        <v>1760</v>
      </c>
      <c r="N31" t="s">
        <v>62</v>
      </c>
      <c r="O31" t="s">
        <v>29</v>
      </c>
      <c r="P31" t="s">
        <v>36</v>
      </c>
      <c r="Q31" t="s">
        <v>31</v>
      </c>
      <c r="R31">
        <v>7</v>
      </c>
      <c r="S31" t="s">
        <v>1761</v>
      </c>
      <c r="T31" t="s">
        <v>4959</v>
      </c>
      <c r="U31" t="s">
        <v>4960</v>
      </c>
      <c r="V31" t="s">
        <v>32</v>
      </c>
      <c r="W31" t="s">
        <v>33</v>
      </c>
      <c r="X31" t="s">
        <v>33</v>
      </c>
      <c r="Y31" t="s">
        <v>33</v>
      </c>
      <c r="Z31" s="16" t="s">
        <v>34</v>
      </c>
      <c r="AA31">
        <v>-75.589759419999993</v>
      </c>
      <c r="AB31">
        <v>6.1650218700000003</v>
      </c>
      <c r="AC31" t="s">
        <v>96</v>
      </c>
      <c r="AD31" t="s">
        <v>97</v>
      </c>
    </row>
    <row r="32" spans="1:30" x14ac:dyDescent="0.25">
      <c r="A32" t="s">
        <v>3735</v>
      </c>
      <c r="B32" t="s">
        <v>25</v>
      </c>
      <c r="C32" t="s">
        <v>26</v>
      </c>
      <c r="D32" t="s">
        <v>38</v>
      </c>
      <c r="E32" t="s">
        <v>3736</v>
      </c>
      <c r="F32" t="s">
        <v>3737</v>
      </c>
      <c r="G32">
        <v>43573028</v>
      </c>
      <c r="H32" t="s">
        <v>3738</v>
      </c>
      <c r="I32" s="4" t="s">
        <v>35</v>
      </c>
      <c r="J32" s="4" t="s">
        <v>3739</v>
      </c>
      <c r="K32" t="s">
        <v>3740</v>
      </c>
      <c r="L32" t="s">
        <v>27</v>
      </c>
      <c r="M32" t="s">
        <v>3741</v>
      </c>
      <c r="N32" t="s">
        <v>28</v>
      </c>
      <c r="O32" t="s">
        <v>45</v>
      </c>
      <c r="P32" t="s">
        <v>40</v>
      </c>
      <c r="Q32" t="s">
        <v>37</v>
      </c>
      <c r="R32">
        <v>8</v>
      </c>
      <c r="S32" t="s">
        <v>3742</v>
      </c>
      <c r="T32" t="s">
        <v>4961</v>
      </c>
      <c r="U32" t="s">
        <v>4962</v>
      </c>
      <c r="V32" t="s">
        <v>32</v>
      </c>
      <c r="W32" t="s">
        <v>33</v>
      </c>
      <c r="X32" t="s">
        <v>33</v>
      </c>
      <c r="Y32" t="s">
        <v>33</v>
      </c>
      <c r="Z32" s="16" t="s">
        <v>34</v>
      </c>
      <c r="AA32">
        <v>-75.647322239999994</v>
      </c>
      <c r="AB32">
        <v>6.2966892999999997</v>
      </c>
      <c r="AC32" t="s">
        <v>96</v>
      </c>
      <c r="AD32" t="s">
        <v>97</v>
      </c>
    </row>
    <row r="33" spans="1:30" x14ac:dyDescent="0.25">
      <c r="A33" t="s">
        <v>3070</v>
      </c>
      <c r="B33" t="s">
        <v>41</v>
      </c>
      <c r="C33" t="s">
        <v>26</v>
      </c>
      <c r="D33" t="s">
        <v>41</v>
      </c>
      <c r="E33" t="s">
        <v>3071</v>
      </c>
      <c r="G33">
        <v>43671507</v>
      </c>
      <c r="H33" t="s">
        <v>3072</v>
      </c>
      <c r="I33" s="4" t="s">
        <v>35</v>
      </c>
      <c r="J33" s="4" t="s">
        <v>3073</v>
      </c>
      <c r="K33" t="s">
        <v>3074</v>
      </c>
      <c r="L33" t="s">
        <v>27</v>
      </c>
      <c r="M33" t="s">
        <v>3075</v>
      </c>
      <c r="N33" t="s">
        <v>28</v>
      </c>
      <c r="O33" t="s">
        <v>42</v>
      </c>
      <c r="P33" t="s">
        <v>36</v>
      </c>
      <c r="Q33" t="s">
        <v>31</v>
      </c>
      <c r="R33">
        <v>7</v>
      </c>
      <c r="V33" t="s">
        <v>93</v>
      </c>
      <c r="W33" t="s">
        <v>33</v>
      </c>
      <c r="X33" t="s">
        <v>33</v>
      </c>
      <c r="Y33" t="s">
        <v>33</v>
      </c>
      <c r="Z33" s="16" t="s">
        <v>34</v>
      </c>
      <c r="AA33">
        <v>-75.565664269999999</v>
      </c>
      <c r="AB33">
        <v>6.24540761</v>
      </c>
      <c r="AC33" t="s">
        <v>96</v>
      </c>
      <c r="AD33" t="s">
        <v>97</v>
      </c>
    </row>
    <row r="34" spans="1:30" x14ac:dyDescent="0.25">
      <c r="A34" t="s">
        <v>1762</v>
      </c>
      <c r="B34" t="s">
        <v>25</v>
      </c>
      <c r="C34" t="s">
        <v>26</v>
      </c>
      <c r="D34" t="s">
        <v>25</v>
      </c>
      <c r="E34" t="s">
        <v>1763</v>
      </c>
      <c r="F34" t="s">
        <v>1764</v>
      </c>
      <c r="G34">
        <v>3610176</v>
      </c>
      <c r="H34" t="s">
        <v>1765</v>
      </c>
      <c r="I34" s="4" t="s">
        <v>35</v>
      </c>
      <c r="J34" s="4" t="s">
        <v>226</v>
      </c>
      <c r="K34" t="s">
        <v>1766</v>
      </c>
      <c r="L34" t="s">
        <v>27</v>
      </c>
      <c r="M34" t="s">
        <v>1767</v>
      </c>
      <c r="N34" t="s">
        <v>28</v>
      </c>
      <c r="O34" t="s">
        <v>29</v>
      </c>
      <c r="P34" t="s">
        <v>30</v>
      </c>
      <c r="Q34" t="s">
        <v>31</v>
      </c>
      <c r="R34">
        <v>7</v>
      </c>
      <c r="S34" t="s">
        <v>1768</v>
      </c>
      <c r="T34" t="s">
        <v>4963</v>
      </c>
      <c r="U34" t="s">
        <v>4964</v>
      </c>
      <c r="V34" t="s">
        <v>32</v>
      </c>
      <c r="W34" t="s">
        <v>33</v>
      </c>
      <c r="X34" t="s">
        <v>33</v>
      </c>
      <c r="Y34" t="s">
        <v>33</v>
      </c>
      <c r="Z34" s="16" t="s">
        <v>34</v>
      </c>
      <c r="AA34">
        <v>-75.558643029999999</v>
      </c>
      <c r="AB34">
        <v>6.2623698399999999</v>
      </c>
      <c r="AC34" t="s">
        <v>96</v>
      </c>
      <c r="AD34" t="s">
        <v>97</v>
      </c>
    </row>
    <row r="35" spans="1:30" x14ac:dyDescent="0.25">
      <c r="A35" t="s">
        <v>1769</v>
      </c>
      <c r="B35" t="s">
        <v>25</v>
      </c>
      <c r="C35" t="s">
        <v>26</v>
      </c>
      <c r="D35" t="s">
        <v>25</v>
      </c>
      <c r="E35" t="s">
        <v>1770</v>
      </c>
      <c r="F35" t="s">
        <v>1771</v>
      </c>
      <c r="G35">
        <v>3610176</v>
      </c>
      <c r="H35" t="s">
        <v>1765</v>
      </c>
      <c r="I35" s="4" t="s">
        <v>35</v>
      </c>
      <c r="J35" s="4" t="s">
        <v>226</v>
      </c>
      <c r="K35" t="s">
        <v>1772</v>
      </c>
      <c r="L35" t="s">
        <v>27</v>
      </c>
      <c r="M35" t="s">
        <v>1773</v>
      </c>
      <c r="N35" t="s">
        <v>28</v>
      </c>
      <c r="O35" t="s">
        <v>29</v>
      </c>
      <c r="P35" t="s">
        <v>30</v>
      </c>
      <c r="Q35" t="s">
        <v>31</v>
      </c>
      <c r="R35">
        <v>7</v>
      </c>
      <c r="S35" t="s">
        <v>1774</v>
      </c>
      <c r="T35" t="s">
        <v>4965</v>
      </c>
      <c r="U35" t="s">
        <v>4966</v>
      </c>
      <c r="V35" t="s">
        <v>32</v>
      </c>
      <c r="W35" t="s">
        <v>33</v>
      </c>
      <c r="X35" t="s">
        <v>33</v>
      </c>
      <c r="Y35" t="s">
        <v>33</v>
      </c>
      <c r="Z35" s="16" t="s">
        <v>34</v>
      </c>
      <c r="AA35">
        <v>-75.558643029999999</v>
      </c>
      <c r="AB35">
        <v>6.2623698399999999</v>
      </c>
      <c r="AC35" t="s">
        <v>96</v>
      </c>
      <c r="AD35" t="s">
        <v>97</v>
      </c>
    </row>
    <row r="36" spans="1:30" x14ac:dyDescent="0.25">
      <c r="A36" t="s">
        <v>1775</v>
      </c>
      <c r="B36" t="s">
        <v>25</v>
      </c>
      <c r="C36" t="s">
        <v>26</v>
      </c>
      <c r="D36" t="s">
        <v>25</v>
      </c>
      <c r="E36" t="s">
        <v>1776</v>
      </c>
      <c r="F36" t="s">
        <v>1777</v>
      </c>
      <c r="G36">
        <v>1037070963</v>
      </c>
      <c r="H36" t="s">
        <v>1778</v>
      </c>
      <c r="I36" s="4" t="s">
        <v>35</v>
      </c>
      <c r="J36" s="4" t="s">
        <v>1779</v>
      </c>
      <c r="K36" t="s">
        <v>1780</v>
      </c>
      <c r="L36" t="s">
        <v>27</v>
      </c>
      <c r="M36" t="s">
        <v>1781</v>
      </c>
      <c r="N36" t="s">
        <v>28</v>
      </c>
      <c r="O36" t="s">
        <v>29</v>
      </c>
      <c r="P36" t="s">
        <v>36</v>
      </c>
      <c r="Q36" t="s">
        <v>31</v>
      </c>
      <c r="R36">
        <v>7</v>
      </c>
      <c r="S36" t="s">
        <v>1782</v>
      </c>
      <c r="T36" t="s">
        <v>1671</v>
      </c>
      <c r="U36" t="s">
        <v>3076</v>
      </c>
      <c r="V36" t="s">
        <v>32</v>
      </c>
      <c r="W36" t="s">
        <v>33</v>
      </c>
      <c r="X36" t="s">
        <v>33</v>
      </c>
      <c r="Y36" t="s">
        <v>33</v>
      </c>
      <c r="Z36" s="16" t="s">
        <v>34</v>
      </c>
      <c r="AA36">
        <v>-75.592341730000001</v>
      </c>
      <c r="AB36">
        <v>6.2232379800000004</v>
      </c>
      <c r="AC36" t="s">
        <v>96</v>
      </c>
      <c r="AD36" t="s">
        <v>97</v>
      </c>
    </row>
    <row r="37" spans="1:30" x14ac:dyDescent="0.25">
      <c r="A37" t="s">
        <v>3743</v>
      </c>
      <c r="B37" t="s">
        <v>25</v>
      </c>
      <c r="C37" t="s">
        <v>26</v>
      </c>
      <c r="D37" t="s">
        <v>25</v>
      </c>
      <c r="E37" t="s">
        <v>3744</v>
      </c>
      <c r="F37" t="s">
        <v>3745</v>
      </c>
      <c r="G37">
        <v>42682611</v>
      </c>
      <c r="H37" t="s">
        <v>3746</v>
      </c>
      <c r="I37" s="4" t="s">
        <v>3747</v>
      </c>
      <c r="J37" s="4" t="s">
        <v>3748</v>
      </c>
      <c r="K37" t="s">
        <v>3749</v>
      </c>
      <c r="L37" t="s">
        <v>53</v>
      </c>
      <c r="M37" t="s">
        <v>3750</v>
      </c>
      <c r="N37" t="s">
        <v>54</v>
      </c>
      <c r="O37" t="s">
        <v>29</v>
      </c>
      <c r="P37" t="s">
        <v>36</v>
      </c>
      <c r="Q37" t="s">
        <v>31</v>
      </c>
      <c r="R37">
        <v>7</v>
      </c>
      <c r="S37" t="s">
        <v>3751</v>
      </c>
      <c r="T37" t="s">
        <v>4967</v>
      </c>
      <c r="U37" t="s">
        <v>4968</v>
      </c>
      <c r="V37" t="s">
        <v>32</v>
      </c>
      <c r="W37" t="s">
        <v>33</v>
      </c>
      <c r="X37" t="s">
        <v>33</v>
      </c>
      <c r="Y37" t="s">
        <v>33</v>
      </c>
      <c r="Z37" s="16" t="s">
        <v>34</v>
      </c>
      <c r="AA37">
        <v>-75.642095999999995</v>
      </c>
      <c r="AB37">
        <v>6.1142409999999998</v>
      </c>
      <c r="AC37" t="s">
        <v>96</v>
      </c>
      <c r="AD37" t="s">
        <v>97</v>
      </c>
    </row>
    <row r="38" spans="1:30" x14ac:dyDescent="0.25">
      <c r="A38" t="s">
        <v>1783</v>
      </c>
      <c r="B38" t="s">
        <v>25</v>
      </c>
      <c r="C38" t="s">
        <v>26</v>
      </c>
      <c r="D38" t="s">
        <v>25</v>
      </c>
      <c r="E38" t="s">
        <v>1784</v>
      </c>
      <c r="F38" t="s">
        <v>1785</v>
      </c>
      <c r="G38">
        <v>42870318</v>
      </c>
      <c r="H38" t="s">
        <v>1786</v>
      </c>
      <c r="I38" s="4" t="s">
        <v>1787</v>
      </c>
      <c r="J38" s="4" t="s">
        <v>1788</v>
      </c>
      <c r="K38" t="s">
        <v>1789</v>
      </c>
      <c r="L38" t="s">
        <v>27</v>
      </c>
      <c r="M38" t="s">
        <v>1790</v>
      </c>
      <c r="N38" t="s">
        <v>28</v>
      </c>
      <c r="O38" t="s">
        <v>29</v>
      </c>
      <c r="P38" t="s">
        <v>36</v>
      </c>
      <c r="Q38" t="s">
        <v>31</v>
      </c>
      <c r="R38">
        <v>7</v>
      </c>
      <c r="S38" t="s">
        <v>1791</v>
      </c>
      <c r="T38" t="s">
        <v>4969</v>
      </c>
      <c r="U38" t="s">
        <v>4970</v>
      </c>
      <c r="V38" t="s">
        <v>32</v>
      </c>
      <c r="W38" t="s">
        <v>209</v>
      </c>
      <c r="X38" t="s">
        <v>207</v>
      </c>
      <c r="Y38" t="s">
        <v>1792</v>
      </c>
      <c r="Z38" s="16" t="s">
        <v>34</v>
      </c>
      <c r="AA38">
        <v>-75.595949000000005</v>
      </c>
      <c r="AB38">
        <v>6.201816</v>
      </c>
      <c r="AC38" t="s">
        <v>96</v>
      </c>
      <c r="AD38" t="s">
        <v>97</v>
      </c>
    </row>
    <row r="39" spans="1:30" x14ac:dyDescent="0.25">
      <c r="A39" t="s">
        <v>837</v>
      </c>
      <c r="B39" t="s">
        <v>25</v>
      </c>
      <c r="C39" t="s">
        <v>26</v>
      </c>
      <c r="D39" t="s">
        <v>25</v>
      </c>
      <c r="E39" t="s">
        <v>532</v>
      </c>
      <c r="F39" t="s">
        <v>533</v>
      </c>
      <c r="G39">
        <v>43978558</v>
      </c>
      <c r="H39" t="s">
        <v>534</v>
      </c>
      <c r="I39" s="4" t="s">
        <v>35</v>
      </c>
      <c r="J39" s="4" t="s">
        <v>535</v>
      </c>
      <c r="K39" t="s">
        <v>536</v>
      </c>
      <c r="L39" t="s">
        <v>47</v>
      </c>
      <c r="M39" t="s">
        <v>537</v>
      </c>
      <c r="N39" t="s">
        <v>62</v>
      </c>
      <c r="O39" t="s">
        <v>29</v>
      </c>
      <c r="P39" t="s">
        <v>36</v>
      </c>
      <c r="Q39" t="s">
        <v>37</v>
      </c>
      <c r="R39">
        <v>10</v>
      </c>
      <c r="S39" t="s">
        <v>1261</v>
      </c>
      <c r="T39" t="s">
        <v>3671</v>
      </c>
      <c r="U39" t="s">
        <v>4225</v>
      </c>
      <c r="V39" t="s">
        <v>32</v>
      </c>
      <c r="W39" t="s">
        <v>33</v>
      </c>
      <c r="X39" t="s">
        <v>33</v>
      </c>
      <c r="Y39" t="s">
        <v>33</v>
      </c>
      <c r="Z39" s="16" t="s">
        <v>34</v>
      </c>
      <c r="AA39">
        <v>-75.556946440000004</v>
      </c>
      <c r="AB39">
        <v>6.1667514900000002</v>
      </c>
      <c r="AC39" t="s">
        <v>96</v>
      </c>
      <c r="AD39" t="s">
        <v>97</v>
      </c>
    </row>
    <row r="40" spans="1:30" x14ac:dyDescent="0.25">
      <c r="A40" t="s">
        <v>154</v>
      </c>
      <c r="B40" t="s">
        <v>155</v>
      </c>
      <c r="C40" t="s">
        <v>70</v>
      </c>
      <c r="D40" t="s">
        <v>155</v>
      </c>
      <c r="E40" t="s">
        <v>156</v>
      </c>
      <c r="F40" t="s">
        <v>157</v>
      </c>
      <c r="G40">
        <v>900548173</v>
      </c>
      <c r="H40" t="s">
        <v>158</v>
      </c>
      <c r="I40" s="4" t="s">
        <v>35</v>
      </c>
      <c r="J40" s="4" t="s">
        <v>159</v>
      </c>
      <c r="K40" t="s">
        <v>160</v>
      </c>
      <c r="L40" t="s">
        <v>27</v>
      </c>
      <c r="M40" t="s">
        <v>161</v>
      </c>
      <c r="N40" t="s">
        <v>28</v>
      </c>
      <c r="O40" t="s">
        <v>29</v>
      </c>
      <c r="P40" t="s">
        <v>162</v>
      </c>
      <c r="Q40" t="s">
        <v>31</v>
      </c>
      <c r="R40">
        <v>7</v>
      </c>
      <c r="S40" t="s">
        <v>163</v>
      </c>
      <c r="T40" t="s">
        <v>4971</v>
      </c>
      <c r="U40" t="s">
        <v>46</v>
      </c>
      <c r="V40" t="s">
        <v>46</v>
      </c>
      <c r="W40" t="s">
        <v>33</v>
      </c>
      <c r="X40" t="s">
        <v>33</v>
      </c>
      <c r="Y40" t="s">
        <v>33</v>
      </c>
      <c r="Z40" s="16" t="s">
        <v>34</v>
      </c>
      <c r="AA40">
        <v>-75.589029120000006</v>
      </c>
      <c r="AB40">
        <v>6.2157494299999998</v>
      </c>
      <c r="AC40" t="s">
        <v>96</v>
      </c>
      <c r="AD40" t="s">
        <v>97</v>
      </c>
    </row>
    <row r="41" spans="1:30" x14ac:dyDescent="0.25">
      <c r="A41" t="s">
        <v>1793</v>
      </c>
      <c r="B41" t="s">
        <v>25</v>
      </c>
      <c r="C41" t="s">
        <v>26</v>
      </c>
      <c r="D41" t="s">
        <v>38</v>
      </c>
      <c r="E41" t="s">
        <v>1794</v>
      </c>
      <c r="F41" t="s">
        <v>1795</v>
      </c>
      <c r="G41">
        <v>43347644</v>
      </c>
      <c r="H41" t="s">
        <v>1796</v>
      </c>
      <c r="I41" s="4" t="s">
        <v>35</v>
      </c>
      <c r="J41" s="4" t="s">
        <v>1797</v>
      </c>
      <c r="K41" t="s">
        <v>1798</v>
      </c>
      <c r="L41" t="s">
        <v>27</v>
      </c>
      <c r="M41" t="s">
        <v>1799</v>
      </c>
      <c r="N41" t="s">
        <v>28</v>
      </c>
      <c r="O41" t="s">
        <v>39</v>
      </c>
      <c r="P41" t="s">
        <v>40</v>
      </c>
      <c r="Q41" t="s">
        <v>31</v>
      </c>
      <c r="R41">
        <v>5</v>
      </c>
      <c r="S41" t="s">
        <v>1800</v>
      </c>
      <c r="T41" t="s">
        <v>3061</v>
      </c>
      <c r="U41" t="s">
        <v>3060</v>
      </c>
      <c r="V41" t="s">
        <v>48</v>
      </c>
      <c r="W41" t="s">
        <v>33</v>
      </c>
      <c r="X41" t="s">
        <v>33</v>
      </c>
      <c r="Y41" t="s">
        <v>33</v>
      </c>
      <c r="Z41" s="16" t="s">
        <v>34</v>
      </c>
      <c r="AA41">
        <v>-75.540223080000004</v>
      </c>
      <c r="AB41">
        <v>6.25188728</v>
      </c>
      <c r="AC41" t="s">
        <v>96</v>
      </c>
      <c r="AD41" t="s">
        <v>97</v>
      </c>
    </row>
    <row r="42" spans="1:30" x14ac:dyDescent="0.25">
      <c r="A42" t="s">
        <v>3752</v>
      </c>
      <c r="B42" t="s">
        <v>25</v>
      </c>
      <c r="C42" t="s">
        <v>26</v>
      </c>
      <c r="D42" t="s">
        <v>38</v>
      </c>
      <c r="E42" t="s">
        <v>3753</v>
      </c>
      <c r="F42" t="s">
        <v>3754</v>
      </c>
      <c r="G42">
        <v>1146439872</v>
      </c>
      <c r="H42" t="s">
        <v>3755</v>
      </c>
      <c r="I42" s="4" t="s">
        <v>35</v>
      </c>
      <c r="J42" s="4" t="s">
        <v>3756</v>
      </c>
      <c r="K42" t="s">
        <v>3757</v>
      </c>
      <c r="L42" t="s">
        <v>27</v>
      </c>
      <c r="M42" t="s">
        <v>3758</v>
      </c>
      <c r="N42" t="s">
        <v>28</v>
      </c>
      <c r="O42" t="s">
        <v>39</v>
      </c>
      <c r="P42" t="s">
        <v>40</v>
      </c>
      <c r="Q42" t="s">
        <v>31</v>
      </c>
      <c r="R42">
        <v>5</v>
      </c>
      <c r="S42" t="s">
        <v>3759</v>
      </c>
      <c r="T42" t="s">
        <v>4972</v>
      </c>
      <c r="U42" t="s">
        <v>46</v>
      </c>
      <c r="V42" t="s">
        <v>46</v>
      </c>
      <c r="W42" t="s">
        <v>33</v>
      </c>
      <c r="X42" t="s">
        <v>33</v>
      </c>
      <c r="Y42" t="s">
        <v>33</v>
      </c>
      <c r="Z42" s="16" t="s">
        <v>34</v>
      </c>
      <c r="AA42">
        <v>-75.529994479999999</v>
      </c>
      <c r="AB42">
        <v>6.2390740999999998</v>
      </c>
      <c r="AC42" t="s">
        <v>96</v>
      </c>
      <c r="AD42" t="s">
        <v>97</v>
      </c>
    </row>
    <row r="43" spans="1:30" x14ac:dyDescent="0.25">
      <c r="A43" t="s">
        <v>3760</v>
      </c>
      <c r="B43" t="s">
        <v>25</v>
      </c>
      <c r="C43" t="s">
        <v>26</v>
      </c>
      <c r="D43" t="s">
        <v>38</v>
      </c>
      <c r="E43" t="s">
        <v>3761</v>
      </c>
      <c r="F43" t="s">
        <v>3762</v>
      </c>
      <c r="G43">
        <v>1017223189</v>
      </c>
      <c r="H43" t="s">
        <v>3763</v>
      </c>
      <c r="I43" s="4" t="s">
        <v>35</v>
      </c>
      <c r="J43" s="4" t="s">
        <v>3764</v>
      </c>
      <c r="K43" t="s">
        <v>3765</v>
      </c>
      <c r="L43" t="s">
        <v>27</v>
      </c>
      <c r="M43" t="s">
        <v>3766</v>
      </c>
      <c r="N43" t="s">
        <v>28</v>
      </c>
      <c r="O43" t="s">
        <v>39</v>
      </c>
      <c r="P43" t="s">
        <v>40</v>
      </c>
      <c r="Q43" t="s">
        <v>31</v>
      </c>
      <c r="R43">
        <v>5</v>
      </c>
      <c r="S43" t="s">
        <v>3767</v>
      </c>
      <c r="T43" t="s">
        <v>4939</v>
      </c>
      <c r="U43" t="s">
        <v>4940</v>
      </c>
      <c r="V43" t="s">
        <v>32</v>
      </c>
      <c r="W43" t="s">
        <v>33</v>
      </c>
      <c r="X43" t="s">
        <v>33</v>
      </c>
      <c r="Y43" t="s">
        <v>33</v>
      </c>
      <c r="Z43" s="16" t="s">
        <v>34</v>
      </c>
      <c r="AA43">
        <v>-75.529985069999995</v>
      </c>
      <c r="AB43">
        <v>6.2283384999999996</v>
      </c>
      <c r="AC43" t="s">
        <v>96</v>
      </c>
      <c r="AD43" t="s">
        <v>97</v>
      </c>
    </row>
    <row r="44" spans="1:30" x14ac:dyDescent="0.25">
      <c r="A44" t="s">
        <v>3078</v>
      </c>
      <c r="B44" t="s">
        <v>25</v>
      </c>
      <c r="C44" t="s">
        <v>70</v>
      </c>
      <c r="D44" t="s">
        <v>25</v>
      </c>
      <c r="E44" t="s">
        <v>3079</v>
      </c>
      <c r="F44" t="s">
        <v>3080</v>
      </c>
      <c r="G44">
        <v>901754188</v>
      </c>
      <c r="H44" t="s">
        <v>3081</v>
      </c>
      <c r="I44" s="4" t="s">
        <v>35</v>
      </c>
      <c r="J44" s="4" t="s">
        <v>3082</v>
      </c>
      <c r="K44" t="s">
        <v>3083</v>
      </c>
      <c r="L44" t="s">
        <v>47</v>
      </c>
      <c r="M44" t="s">
        <v>3084</v>
      </c>
      <c r="N44" t="s">
        <v>62</v>
      </c>
      <c r="O44" t="s">
        <v>98</v>
      </c>
      <c r="P44" t="s">
        <v>30</v>
      </c>
      <c r="Q44" t="s">
        <v>37</v>
      </c>
      <c r="R44">
        <v>10</v>
      </c>
      <c r="S44" t="s">
        <v>3085</v>
      </c>
      <c r="T44" t="s">
        <v>4973</v>
      </c>
      <c r="U44" t="s">
        <v>4974</v>
      </c>
      <c r="V44" t="s">
        <v>32</v>
      </c>
      <c r="W44" t="s">
        <v>33</v>
      </c>
      <c r="X44" t="s">
        <v>33</v>
      </c>
      <c r="Y44" t="s">
        <v>33</v>
      </c>
      <c r="Z44" s="16" t="s">
        <v>34</v>
      </c>
      <c r="AA44">
        <v>-75.536902999999995</v>
      </c>
      <c r="AB44">
        <v>6.1325729999999998</v>
      </c>
      <c r="AC44" t="s">
        <v>96</v>
      </c>
      <c r="AD44" t="s">
        <v>97</v>
      </c>
    </row>
    <row r="45" spans="1:30" x14ac:dyDescent="0.25">
      <c r="A45" t="s">
        <v>1801</v>
      </c>
      <c r="B45" t="s">
        <v>155</v>
      </c>
      <c r="C45" t="s">
        <v>26</v>
      </c>
      <c r="D45" t="s">
        <v>155</v>
      </c>
      <c r="E45" t="s">
        <v>1802</v>
      </c>
      <c r="F45" t="s">
        <v>1803</v>
      </c>
      <c r="G45">
        <v>71581610</v>
      </c>
      <c r="H45" t="s">
        <v>1804</v>
      </c>
      <c r="I45" s="4" t="s">
        <v>1805</v>
      </c>
      <c r="J45" s="4" t="s">
        <v>1806</v>
      </c>
      <c r="K45" t="s">
        <v>1807</v>
      </c>
      <c r="L45" t="s">
        <v>27</v>
      </c>
      <c r="M45" t="s">
        <v>1808</v>
      </c>
      <c r="N45" t="s">
        <v>28</v>
      </c>
      <c r="O45" t="s">
        <v>29</v>
      </c>
      <c r="P45" t="s">
        <v>162</v>
      </c>
      <c r="Q45" t="s">
        <v>31</v>
      </c>
      <c r="R45">
        <v>7</v>
      </c>
      <c r="S45" t="s">
        <v>1809</v>
      </c>
      <c r="T45" t="s">
        <v>4975</v>
      </c>
      <c r="U45" t="s">
        <v>4297</v>
      </c>
      <c r="V45" t="s">
        <v>32</v>
      </c>
      <c r="W45" t="s">
        <v>33</v>
      </c>
      <c r="X45" t="s">
        <v>33</v>
      </c>
      <c r="Y45" t="s">
        <v>33</v>
      </c>
      <c r="Z45" t="s">
        <v>95</v>
      </c>
      <c r="AA45">
        <v>-75.624949270000002</v>
      </c>
      <c r="AB45">
        <v>6.2577030999999996</v>
      </c>
      <c r="AC45" t="s">
        <v>96</v>
      </c>
      <c r="AD45" t="s">
        <v>97</v>
      </c>
    </row>
    <row r="46" spans="1:30" x14ac:dyDescent="0.25">
      <c r="A46" t="s">
        <v>1262</v>
      </c>
      <c r="B46" t="s">
        <v>59</v>
      </c>
      <c r="C46" t="s">
        <v>26</v>
      </c>
      <c r="D46" t="s">
        <v>59</v>
      </c>
      <c r="E46" t="s">
        <v>1263</v>
      </c>
      <c r="F46" t="s">
        <v>1264</v>
      </c>
      <c r="G46">
        <v>901850828</v>
      </c>
      <c r="H46" t="s">
        <v>1265</v>
      </c>
      <c r="I46" s="4" t="s">
        <v>35</v>
      </c>
      <c r="J46" s="4" t="s">
        <v>1266</v>
      </c>
      <c r="K46" t="s">
        <v>1267</v>
      </c>
      <c r="L46" t="s">
        <v>47</v>
      </c>
      <c r="M46" t="s">
        <v>1268</v>
      </c>
      <c r="N46" t="s">
        <v>62</v>
      </c>
      <c r="O46" t="s">
        <v>60</v>
      </c>
      <c r="P46" t="s">
        <v>61</v>
      </c>
      <c r="Q46" t="s">
        <v>31</v>
      </c>
      <c r="R46">
        <v>4</v>
      </c>
      <c r="S46" t="s">
        <v>1269</v>
      </c>
      <c r="T46" t="s">
        <v>4976</v>
      </c>
      <c r="U46" t="s">
        <v>4977</v>
      </c>
      <c r="V46" t="s">
        <v>48</v>
      </c>
      <c r="W46" t="s">
        <v>33</v>
      </c>
      <c r="X46" t="s">
        <v>33</v>
      </c>
      <c r="Y46" t="s">
        <v>33</v>
      </c>
      <c r="Z46" s="16" t="s">
        <v>34</v>
      </c>
      <c r="AA46">
        <v>-75.596267080000004</v>
      </c>
      <c r="AB46">
        <v>6.1637591699999996</v>
      </c>
      <c r="AC46" t="s">
        <v>96</v>
      </c>
      <c r="AD46" t="s">
        <v>97</v>
      </c>
    </row>
    <row r="47" spans="1:30" x14ac:dyDescent="0.25">
      <c r="A47" t="s">
        <v>3768</v>
      </c>
      <c r="B47" t="s">
        <v>25</v>
      </c>
      <c r="C47" t="s">
        <v>26</v>
      </c>
      <c r="D47" t="s">
        <v>38</v>
      </c>
      <c r="E47" t="s">
        <v>3769</v>
      </c>
      <c r="F47" t="s">
        <v>3770</v>
      </c>
      <c r="G47">
        <v>1036679171</v>
      </c>
      <c r="H47" t="s">
        <v>3771</v>
      </c>
      <c r="I47" s="4" t="s">
        <v>35</v>
      </c>
      <c r="J47" s="4" t="s">
        <v>3772</v>
      </c>
      <c r="K47" t="s">
        <v>3773</v>
      </c>
      <c r="L47" t="s">
        <v>43</v>
      </c>
      <c r="M47" t="s">
        <v>3774</v>
      </c>
      <c r="N47" t="s">
        <v>44</v>
      </c>
      <c r="O47" t="s">
        <v>39</v>
      </c>
      <c r="P47" t="s">
        <v>40</v>
      </c>
      <c r="Q47" t="s">
        <v>31</v>
      </c>
      <c r="R47">
        <v>5</v>
      </c>
      <c r="S47" t="s">
        <v>3775</v>
      </c>
      <c r="T47" t="s">
        <v>4978</v>
      </c>
      <c r="U47" t="s">
        <v>4979</v>
      </c>
      <c r="V47" t="s">
        <v>32</v>
      </c>
      <c r="W47" t="s">
        <v>33</v>
      </c>
      <c r="X47" t="s">
        <v>33</v>
      </c>
      <c r="Y47" t="s">
        <v>33</v>
      </c>
      <c r="Z47" s="16" t="s">
        <v>34</v>
      </c>
      <c r="AA47">
        <v>-75.606211999999999</v>
      </c>
      <c r="AB47">
        <v>6.194585</v>
      </c>
      <c r="AC47" t="s">
        <v>96</v>
      </c>
      <c r="AD47" t="s">
        <v>97</v>
      </c>
    </row>
    <row r="48" spans="1:30" x14ac:dyDescent="0.25">
      <c r="A48" t="s">
        <v>3776</v>
      </c>
      <c r="B48" t="s">
        <v>41</v>
      </c>
      <c r="C48" t="s">
        <v>26</v>
      </c>
      <c r="D48" t="s">
        <v>41</v>
      </c>
      <c r="E48" t="s">
        <v>3777</v>
      </c>
      <c r="F48" t="s">
        <v>3778</v>
      </c>
      <c r="G48">
        <v>70103322</v>
      </c>
      <c r="H48" t="s">
        <v>3779</v>
      </c>
      <c r="I48" s="4" t="s">
        <v>3780</v>
      </c>
      <c r="J48" s="4" t="s">
        <v>3781</v>
      </c>
      <c r="K48" t="s">
        <v>3782</v>
      </c>
      <c r="L48" t="s">
        <v>27</v>
      </c>
      <c r="M48" t="s">
        <v>3783</v>
      </c>
      <c r="N48" t="s">
        <v>28</v>
      </c>
      <c r="O48" t="s">
        <v>42</v>
      </c>
      <c r="P48" t="s">
        <v>36</v>
      </c>
      <c r="Q48" t="s">
        <v>31</v>
      </c>
      <c r="R48">
        <v>7</v>
      </c>
      <c r="S48" t="s">
        <v>3784</v>
      </c>
      <c r="T48" t="s">
        <v>4918</v>
      </c>
      <c r="U48" t="s">
        <v>4919</v>
      </c>
      <c r="V48" t="s">
        <v>32</v>
      </c>
      <c r="W48" t="s">
        <v>33</v>
      </c>
      <c r="X48" t="s">
        <v>33</v>
      </c>
      <c r="Y48" t="s">
        <v>33</v>
      </c>
      <c r="Z48" s="16" t="s">
        <v>34</v>
      </c>
      <c r="AA48">
        <v>-75.541150000000002</v>
      </c>
      <c r="AB48">
        <v>6.2267349999999997</v>
      </c>
      <c r="AC48" t="s">
        <v>96</v>
      </c>
      <c r="AD48" t="s">
        <v>97</v>
      </c>
    </row>
    <row r="49" spans="1:30" x14ac:dyDescent="0.25">
      <c r="A49" t="s">
        <v>2519</v>
      </c>
      <c r="B49" t="s">
        <v>25</v>
      </c>
      <c r="C49" t="s">
        <v>26</v>
      </c>
      <c r="D49" t="s">
        <v>38</v>
      </c>
      <c r="E49" t="s">
        <v>2520</v>
      </c>
      <c r="F49" t="s">
        <v>2521</v>
      </c>
      <c r="G49">
        <v>3349275</v>
      </c>
      <c r="H49" t="s">
        <v>2522</v>
      </c>
      <c r="I49" s="4" t="s">
        <v>2523</v>
      </c>
      <c r="J49" s="4" t="s">
        <v>2524</v>
      </c>
      <c r="K49" t="s">
        <v>2525</v>
      </c>
      <c r="L49" t="s">
        <v>27</v>
      </c>
      <c r="M49" t="s">
        <v>2526</v>
      </c>
      <c r="N49" t="s">
        <v>28</v>
      </c>
      <c r="O49" t="s">
        <v>39</v>
      </c>
      <c r="P49" t="s">
        <v>40</v>
      </c>
      <c r="Q49" t="s">
        <v>37</v>
      </c>
      <c r="R49">
        <v>8</v>
      </c>
      <c r="S49" t="s">
        <v>2527</v>
      </c>
      <c r="T49" t="s">
        <v>4980</v>
      </c>
      <c r="U49" t="s">
        <v>4981</v>
      </c>
      <c r="V49" t="s">
        <v>32</v>
      </c>
      <c r="W49" t="s">
        <v>33</v>
      </c>
      <c r="X49" t="s">
        <v>33</v>
      </c>
      <c r="Y49" t="s">
        <v>33</v>
      </c>
      <c r="Z49" s="16" t="s">
        <v>34</v>
      </c>
      <c r="AA49">
        <v>-75.691736829999996</v>
      </c>
      <c r="AB49">
        <v>6.3258423300000004</v>
      </c>
      <c r="AC49" t="s">
        <v>96</v>
      </c>
      <c r="AD49" t="s">
        <v>97</v>
      </c>
    </row>
    <row r="50" spans="1:30" x14ac:dyDescent="0.25">
      <c r="A50" t="s">
        <v>1810</v>
      </c>
      <c r="B50" t="s">
        <v>25</v>
      </c>
      <c r="C50" t="s">
        <v>26</v>
      </c>
      <c r="D50" t="s">
        <v>25</v>
      </c>
      <c r="E50" t="s">
        <v>1811</v>
      </c>
      <c r="F50" t="s">
        <v>1812</v>
      </c>
      <c r="G50">
        <v>43563533</v>
      </c>
      <c r="H50" t="s">
        <v>1813</v>
      </c>
      <c r="I50" s="4" t="s">
        <v>1814</v>
      </c>
      <c r="J50" s="4" t="s">
        <v>1815</v>
      </c>
      <c r="K50" t="s">
        <v>1816</v>
      </c>
      <c r="L50" t="s">
        <v>47</v>
      </c>
      <c r="M50" t="s">
        <v>1817</v>
      </c>
      <c r="N50" t="s">
        <v>62</v>
      </c>
      <c r="O50" t="s">
        <v>29</v>
      </c>
      <c r="P50" t="s">
        <v>36</v>
      </c>
      <c r="Q50" t="s">
        <v>31</v>
      </c>
      <c r="R50">
        <v>7</v>
      </c>
      <c r="S50" t="s">
        <v>1818</v>
      </c>
      <c r="T50" t="s">
        <v>4982</v>
      </c>
      <c r="U50" t="s">
        <v>4983</v>
      </c>
      <c r="V50" t="s">
        <v>32</v>
      </c>
      <c r="W50" t="s">
        <v>33</v>
      </c>
      <c r="X50" t="s">
        <v>33</v>
      </c>
      <c r="Y50" t="s">
        <v>33</v>
      </c>
      <c r="Z50" s="16" t="s">
        <v>34</v>
      </c>
      <c r="AA50">
        <v>-75.592139079999995</v>
      </c>
      <c r="AB50">
        <v>6.1574802399999999</v>
      </c>
      <c r="AC50" t="s">
        <v>96</v>
      </c>
      <c r="AD50" t="s">
        <v>97</v>
      </c>
    </row>
    <row r="51" spans="1:30" x14ac:dyDescent="0.25">
      <c r="A51" t="s">
        <v>838</v>
      </c>
      <c r="B51" t="s">
        <v>25</v>
      </c>
      <c r="C51" t="s">
        <v>26</v>
      </c>
      <c r="D51" t="s">
        <v>25</v>
      </c>
      <c r="E51" t="s">
        <v>539</v>
      </c>
      <c r="F51" t="s">
        <v>540</v>
      </c>
      <c r="G51">
        <v>21792152</v>
      </c>
      <c r="H51" t="s">
        <v>541</v>
      </c>
      <c r="I51" s="4" t="s">
        <v>35</v>
      </c>
      <c r="J51" s="4" t="s">
        <v>542</v>
      </c>
      <c r="K51" t="s">
        <v>543</v>
      </c>
      <c r="L51" t="s">
        <v>27</v>
      </c>
      <c r="M51" t="s">
        <v>544</v>
      </c>
      <c r="N51" t="s">
        <v>28</v>
      </c>
      <c r="O51" t="s">
        <v>29</v>
      </c>
      <c r="P51" t="s">
        <v>36</v>
      </c>
      <c r="Q51" t="s">
        <v>31</v>
      </c>
      <c r="R51">
        <v>7</v>
      </c>
      <c r="S51" t="s">
        <v>545</v>
      </c>
      <c r="T51" t="s">
        <v>4984</v>
      </c>
      <c r="U51" t="s">
        <v>4985</v>
      </c>
      <c r="V51" t="s">
        <v>48</v>
      </c>
      <c r="W51" t="s">
        <v>33</v>
      </c>
      <c r="X51" t="s">
        <v>33</v>
      </c>
      <c r="Y51" t="s">
        <v>33</v>
      </c>
      <c r="Z51" s="16" t="s">
        <v>34</v>
      </c>
      <c r="AA51">
        <v>-75.628726880000002</v>
      </c>
      <c r="AB51">
        <v>6.25090228</v>
      </c>
      <c r="AC51" t="s">
        <v>96</v>
      </c>
      <c r="AD51" t="s">
        <v>97</v>
      </c>
    </row>
    <row r="52" spans="1:30" x14ac:dyDescent="0.25">
      <c r="A52" t="s">
        <v>1819</v>
      </c>
      <c r="B52" t="s">
        <v>25</v>
      </c>
      <c r="C52" t="s">
        <v>26</v>
      </c>
      <c r="D52" t="s">
        <v>25</v>
      </c>
      <c r="E52" t="s">
        <v>1820</v>
      </c>
      <c r="F52" t="s">
        <v>1821</v>
      </c>
      <c r="G52">
        <v>1064709921</v>
      </c>
      <c r="H52" t="s">
        <v>1822</v>
      </c>
      <c r="I52" s="4" t="s">
        <v>35</v>
      </c>
      <c r="J52" s="4" t="s">
        <v>1823</v>
      </c>
      <c r="K52" t="s">
        <v>1824</v>
      </c>
      <c r="L52" t="s">
        <v>27</v>
      </c>
      <c r="M52" t="s">
        <v>1825</v>
      </c>
      <c r="N52" t="s">
        <v>28</v>
      </c>
      <c r="O52" t="s">
        <v>29</v>
      </c>
      <c r="P52" t="s">
        <v>30</v>
      </c>
      <c r="Q52" t="s">
        <v>31</v>
      </c>
      <c r="R52">
        <v>7</v>
      </c>
      <c r="S52" t="s">
        <v>1826</v>
      </c>
      <c r="T52" t="s">
        <v>4131</v>
      </c>
      <c r="U52" t="s">
        <v>4986</v>
      </c>
      <c r="V52" t="s">
        <v>32</v>
      </c>
      <c r="W52" t="s">
        <v>33</v>
      </c>
      <c r="X52" t="s">
        <v>33</v>
      </c>
      <c r="Y52" t="s">
        <v>33</v>
      </c>
      <c r="Z52" s="16" t="s">
        <v>34</v>
      </c>
      <c r="AA52">
        <v>-75.605977999999993</v>
      </c>
      <c r="AB52">
        <v>6.2775800000000004</v>
      </c>
      <c r="AC52" t="s">
        <v>96</v>
      </c>
      <c r="AD52" t="s">
        <v>97</v>
      </c>
    </row>
    <row r="53" spans="1:30" x14ac:dyDescent="0.25">
      <c r="A53" t="s">
        <v>1827</v>
      </c>
      <c r="B53" t="s">
        <v>25</v>
      </c>
      <c r="C53" t="s">
        <v>26</v>
      </c>
      <c r="D53" t="s">
        <v>25</v>
      </c>
      <c r="E53" t="s">
        <v>1828</v>
      </c>
      <c r="F53" t="s">
        <v>1829</v>
      </c>
      <c r="G53">
        <v>1064709921</v>
      </c>
      <c r="H53" t="s">
        <v>1822</v>
      </c>
      <c r="I53" s="4" t="s">
        <v>35</v>
      </c>
      <c r="J53" s="4" t="s">
        <v>1823</v>
      </c>
      <c r="K53" t="s">
        <v>1830</v>
      </c>
      <c r="L53" t="s">
        <v>27</v>
      </c>
      <c r="M53" t="s">
        <v>1831</v>
      </c>
      <c r="N53" t="s">
        <v>28</v>
      </c>
      <c r="O53" t="s">
        <v>29</v>
      </c>
      <c r="P53" t="s">
        <v>30</v>
      </c>
      <c r="Q53" t="s">
        <v>31</v>
      </c>
      <c r="R53">
        <v>7</v>
      </c>
      <c r="S53" t="s">
        <v>1832</v>
      </c>
      <c r="T53" t="s">
        <v>4987</v>
      </c>
      <c r="U53" t="s">
        <v>4988</v>
      </c>
      <c r="V53" t="s">
        <v>32</v>
      </c>
      <c r="W53" t="s">
        <v>33</v>
      </c>
      <c r="X53" t="s">
        <v>33</v>
      </c>
      <c r="Y53" t="s">
        <v>33</v>
      </c>
      <c r="Z53" s="16" t="s">
        <v>34</v>
      </c>
      <c r="AA53">
        <v>-75.605977999999993</v>
      </c>
      <c r="AB53">
        <v>6.2775800000000004</v>
      </c>
      <c r="AC53" t="s">
        <v>96</v>
      </c>
      <c r="AD53" t="s">
        <v>97</v>
      </c>
    </row>
    <row r="54" spans="1:30" x14ac:dyDescent="0.25">
      <c r="A54" t="s">
        <v>3785</v>
      </c>
      <c r="B54" t="s">
        <v>25</v>
      </c>
      <c r="C54" t="s">
        <v>26</v>
      </c>
      <c r="D54" t="s">
        <v>38</v>
      </c>
      <c r="E54" t="s">
        <v>3786</v>
      </c>
      <c r="F54" t="s">
        <v>3787</v>
      </c>
      <c r="G54">
        <v>1067841809</v>
      </c>
      <c r="H54" t="s">
        <v>3788</v>
      </c>
      <c r="I54" s="4" t="s">
        <v>35</v>
      </c>
      <c r="J54" s="4" t="s">
        <v>3789</v>
      </c>
      <c r="K54" t="s">
        <v>3790</v>
      </c>
      <c r="L54" t="s">
        <v>27</v>
      </c>
      <c r="M54" t="s">
        <v>3791</v>
      </c>
      <c r="N54" t="s">
        <v>28</v>
      </c>
      <c r="O54" t="s">
        <v>45</v>
      </c>
      <c r="P54" t="s">
        <v>40</v>
      </c>
      <c r="Q54" t="s">
        <v>31</v>
      </c>
      <c r="R54">
        <v>5</v>
      </c>
      <c r="S54" t="s">
        <v>3792</v>
      </c>
      <c r="T54" t="s">
        <v>4939</v>
      </c>
      <c r="U54" t="s">
        <v>4940</v>
      </c>
      <c r="V54" t="s">
        <v>32</v>
      </c>
      <c r="W54" t="s">
        <v>33</v>
      </c>
      <c r="X54" t="s">
        <v>33</v>
      </c>
      <c r="Y54" t="s">
        <v>33</v>
      </c>
      <c r="Z54" s="16" t="s">
        <v>34</v>
      </c>
      <c r="AA54">
        <v>-75.611457569999999</v>
      </c>
      <c r="AB54">
        <v>6.2226487800000001</v>
      </c>
      <c r="AC54" t="s">
        <v>96</v>
      </c>
      <c r="AD54" t="s">
        <v>97</v>
      </c>
    </row>
    <row r="55" spans="1:30" x14ac:dyDescent="0.25">
      <c r="A55" t="s">
        <v>1270</v>
      </c>
      <c r="B55" t="s">
        <v>25</v>
      </c>
      <c r="C55" t="s">
        <v>26</v>
      </c>
      <c r="D55" t="s">
        <v>38</v>
      </c>
      <c r="E55" t="s">
        <v>1271</v>
      </c>
      <c r="F55" t="s">
        <v>1272</v>
      </c>
      <c r="G55">
        <v>43839322</v>
      </c>
      <c r="H55" t="s">
        <v>1273</v>
      </c>
      <c r="I55" s="4" t="s">
        <v>35</v>
      </c>
      <c r="J55" s="4" t="s">
        <v>1274</v>
      </c>
      <c r="K55" t="s">
        <v>1275</v>
      </c>
      <c r="L55" t="s">
        <v>27</v>
      </c>
      <c r="M55" t="s">
        <v>1276</v>
      </c>
      <c r="N55" t="s">
        <v>28</v>
      </c>
      <c r="O55" t="s">
        <v>39</v>
      </c>
      <c r="P55" t="s">
        <v>40</v>
      </c>
      <c r="Q55" t="s">
        <v>31</v>
      </c>
      <c r="R55">
        <v>5</v>
      </c>
      <c r="S55" t="s">
        <v>1277</v>
      </c>
      <c r="T55" t="s">
        <v>3092</v>
      </c>
      <c r="U55" t="s">
        <v>3091</v>
      </c>
      <c r="V55" t="s">
        <v>48</v>
      </c>
      <c r="W55" t="s">
        <v>33</v>
      </c>
      <c r="X55" t="s">
        <v>33</v>
      </c>
      <c r="Y55" t="s">
        <v>33</v>
      </c>
      <c r="Z55" s="16" t="s">
        <v>34</v>
      </c>
      <c r="AA55">
        <v>-75.630633329999995</v>
      </c>
      <c r="AB55">
        <v>6.2350233299999998</v>
      </c>
      <c r="AC55" t="s">
        <v>96</v>
      </c>
      <c r="AD55" t="s">
        <v>97</v>
      </c>
    </row>
    <row r="56" spans="1:30" x14ac:dyDescent="0.25">
      <c r="A56" t="s">
        <v>985</v>
      </c>
      <c r="B56" t="s">
        <v>59</v>
      </c>
      <c r="C56" t="s">
        <v>26</v>
      </c>
      <c r="D56" t="s">
        <v>59</v>
      </c>
      <c r="E56" t="s">
        <v>986</v>
      </c>
      <c r="F56" t="s">
        <v>987</v>
      </c>
      <c r="G56">
        <v>811023645</v>
      </c>
      <c r="H56" t="s">
        <v>988</v>
      </c>
      <c r="I56" s="4" t="s">
        <v>989</v>
      </c>
      <c r="J56" s="4" t="s">
        <v>153</v>
      </c>
      <c r="K56" t="s">
        <v>990</v>
      </c>
      <c r="L56" t="s">
        <v>43</v>
      </c>
      <c r="M56" t="s">
        <v>991</v>
      </c>
      <c r="N56" t="s">
        <v>44</v>
      </c>
      <c r="O56" t="s">
        <v>60</v>
      </c>
      <c r="P56" t="s">
        <v>61</v>
      </c>
      <c r="Q56" t="s">
        <v>31</v>
      </c>
      <c r="R56">
        <v>4</v>
      </c>
      <c r="S56" t="s">
        <v>992</v>
      </c>
      <c r="T56" t="s">
        <v>4989</v>
      </c>
      <c r="U56" t="s">
        <v>46</v>
      </c>
      <c r="V56" t="s">
        <v>46</v>
      </c>
      <c r="W56" t="s">
        <v>33</v>
      </c>
      <c r="X56" t="s">
        <v>33</v>
      </c>
      <c r="Y56" t="s">
        <v>33</v>
      </c>
      <c r="Z56" t="s">
        <v>95</v>
      </c>
      <c r="AA56">
        <v>-75.59461426</v>
      </c>
      <c r="AB56">
        <v>6.1812020299999997</v>
      </c>
      <c r="AC56" t="s">
        <v>96</v>
      </c>
      <c r="AD56" t="s">
        <v>97</v>
      </c>
    </row>
    <row r="57" spans="1:30" x14ac:dyDescent="0.25">
      <c r="A57" t="s">
        <v>993</v>
      </c>
      <c r="B57" t="s">
        <v>59</v>
      </c>
      <c r="C57" t="s">
        <v>26</v>
      </c>
      <c r="D57" t="s">
        <v>59</v>
      </c>
      <c r="E57" t="s">
        <v>994</v>
      </c>
      <c r="F57" t="s">
        <v>995</v>
      </c>
      <c r="G57">
        <v>811023645</v>
      </c>
      <c r="H57" t="s">
        <v>988</v>
      </c>
      <c r="I57" s="4" t="s">
        <v>989</v>
      </c>
      <c r="J57" s="4" t="s">
        <v>153</v>
      </c>
      <c r="K57" t="s">
        <v>996</v>
      </c>
      <c r="L57" t="s">
        <v>43</v>
      </c>
      <c r="M57" t="s">
        <v>997</v>
      </c>
      <c r="N57" t="s">
        <v>44</v>
      </c>
      <c r="O57" t="s">
        <v>60</v>
      </c>
      <c r="P57" t="s">
        <v>61</v>
      </c>
      <c r="Q57" t="s">
        <v>31</v>
      </c>
      <c r="R57">
        <v>4</v>
      </c>
      <c r="S57" t="s">
        <v>998</v>
      </c>
      <c r="T57" t="s">
        <v>3063</v>
      </c>
      <c r="U57" t="s">
        <v>2284</v>
      </c>
      <c r="V57" t="s">
        <v>92</v>
      </c>
      <c r="W57" t="s">
        <v>33</v>
      </c>
      <c r="X57" t="s">
        <v>33</v>
      </c>
      <c r="Y57" t="s">
        <v>33</v>
      </c>
      <c r="Z57" t="s">
        <v>95</v>
      </c>
      <c r="AA57">
        <v>-75.594845109999994</v>
      </c>
      <c r="AB57">
        <v>6.18098876</v>
      </c>
      <c r="AC57" t="s">
        <v>96</v>
      </c>
      <c r="AD57" t="s">
        <v>97</v>
      </c>
    </row>
    <row r="58" spans="1:30" x14ac:dyDescent="0.25">
      <c r="A58" t="s">
        <v>1278</v>
      </c>
      <c r="B58" t="s">
        <v>59</v>
      </c>
      <c r="C58" t="s">
        <v>26</v>
      </c>
      <c r="D58" t="s">
        <v>59</v>
      </c>
      <c r="E58" t="s">
        <v>1279</v>
      </c>
      <c r="F58" t="s">
        <v>1280</v>
      </c>
      <c r="G58">
        <v>811023645</v>
      </c>
      <c r="H58" t="s">
        <v>988</v>
      </c>
      <c r="I58" s="4" t="s">
        <v>989</v>
      </c>
      <c r="J58" s="4" t="s">
        <v>153</v>
      </c>
      <c r="K58" t="s">
        <v>1281</v>
      </c>
      <c r="L58" t="s">
        <v>43</v>
      </c>
      <c r="M58" t="s">
        <v>1282</v>
      </c>
      <c r="N58" t="s">
        <v>44</v>
      </c>
      <c r="O58" t="s">
        <v>60</v>
      </c>
      <c r="P58" t="s">
        <v>61</v>
      </c>
      <c r="Q58" t="s">
        <v>31</v>
      </c>
      <c r="R58">
        <v>4</v>
      </c>
      <c r="S58" t="s">
        <v>1283</v>
      </c>
      <c r="T58" t="s">
        <v>4990</v>
      </c>
      <c r="U58" t="s">
        <v>4991</v>
      </c>
      <c r="V58" t="s">
        <v>48</v>
      </c>
      <c r="W58" t="s">
        <v>33</v>
      </c>
      <c r="X58" t="s">
        <v>33</v>
      </c>
      <c r="Y58" t="s">
        <v>33</v>
      </c>
      <c r="Z58" t="s">
        <v>95</v>
      </c>
      <c r="AA58">
        <v>-75.594845109999994</v>
      </c>
      <c r="AB58">
        <v>6.18098876</v>
      </c>
      <c r="AC58" t="s">
        <v>96</v>
      </c>
      <c r="AD58" t="s">
        <v>97</v>
      </c>
    </row>
    <row r="59" spans="1:30" x14ac:dyDescent="0.25">
      <c r="A59" t="s">
        <v>103</v>
      </c>
      <c r="B59" t="s">
        <v>41</v>
      </c>
      <c r="C59" t="s">
        <v>26</v>
      </c>
      <c r="D59" t="s">
        <v>41</v>
      </c>
      <c r="E59" t="s">
        <v>104</v>
      </c>
      <c r="F59" t="s">
        <v>1141</v>
      </c>
      <c r="G59">
        <v>71393065</v>
      </c>
      <c r="H59" t="s">
        <v>105</v>
      </c>
      <c r="I59" s="4" t="s">
        <v>106</v>
      </c>
      <c r="J59" s="4" t="s">
        <v>107</v>
      </c>
      <c r="K59" t="s">
        <v>108</v>
      </c>
      <c r="L59" t="s">
        <v>55</v>
      </c>
      <c r="M59" t="s">
        <v>109</v>
      </c>
      <c r="N59" t="s">
        <v>56</v>
      </c>
      <c r="O59" t="s">
        <v>42</v>
      </c>
      <c r="P59" t="s">
        <v>36</v>
      </c>
      <c r="Q59" t="s">
        <v>31</v>
      </c>
      <c r="R59">
        <v>7</v>
      </c>
      <c r="S59" t="s">
        <v>1142</v>
      </c>
      <c r="T59" t="s">
        <v>1641</v>
      </c>
      <c r="U59" t="s">
        <v>4929</v>
      </c>
      <c r="V59" t="s">
        <v>32</v>
      </c>
      <c r="W59" t="s">
        <v>33</v>
      </c>
      <c r="X59" t="s">
        <v>33</v>
      </c>
      <c r="Y59" t="s">
        <v>33</v>
      </c>
      <c r="Z59" s="16" t="s">
        <v>34</v>
      </c>
      <c r="AA59">
        <v>-75.636893520000001</v>
      </c>
      <c r="AB59">
        <v>6.0916210099999999</v>
      </c>
      <c r="AC59" t="s">
        <v>96</v>
      </c>
      <c r="AD59" t="s">
        <v>97</v>
      </c>
    </row>
    <row r="60" spans="1:30" x14ac:dyDescent="0.25">
      <c r="A60" t="s">
        <v>999</v>
      </c>
      <c r="B60" t="s">
        <v>59</v>
      </c>
      <c r="C60" t="s">
        <v>26</v>
      </c>
      <c r="D60" t="s">
        <v>59</v>
      </c>
      <c r="E60" t="s">
        <v>1000</v>
      </c>
      <c r="F60" t="s">
        <v>1001</v>
      </c>
      <c r="G60">
        <v>811023645</v>
      </c>
      <c r="H60" t="s">
        <v>988</v>
      </c>
      <c r="I60" s="4" t="s">
        <v>989</v>
      </c>
      <c r="J60" s="4" t="s">
        <v>153</v>
      </c>
      <c r="K60" t="s">
        <v>1002</v>
      </c>
      <c r="L60" t="s">
        <v>43</v>
      </c>
      <c r="M60" t="s">
        <v>1003</v>
      </c>
      <c r="N60" t="s">
        <v>44</v>
      </c>
      <c r="O60" t="s">
        <v>60</v>
      </c>
      <c r="P60" t="s">
        <v>61</v>
      </c>
      <c r="Q60" t="s">
        <v>31</v>
      </c>
      <c r="R60">
        <v>4</v>
      </c>
      <c r="S60" t="s">
        <v>1004</v>
      </c>
      <c r="T60" t="s">
        <v>4992</v>
      </c>
      <c r="U60" t="s">
        <v>4993</v>
      </c>
      <c r="V60" t="s">
        <v>92</v>
      </c>
      <c r="W60" t="s">
        <v>33</v>
      </c>
      <c r="X60" t="s">
        <v>33</v>
      </c>
      <c r="Y60" t="s">
        <v>33</v>
      </c>
      <c r="Z60" t="s">
        <v>95</v>
      </c>
      <c r="AA60">
        <v>-75.594626149999996</v>
      </c>
      <c r="AB60">
        <v>6.1811885200000001</v>
      </c>
      <c r="AC60" t="s">
        <v>96</v>
      </c>
      <c r="AD60" t="s">
        <v>97</v>
      </c>
    </row>
    <row r="61" spans="1:30" x14ac:dyDescent="0.25">
      <c r="A61" t="s">
        <v>1833</v>
      </c>
      <c r="B61" t="s">
        <v>25</v>
      </c>
      <c r="C61" t="s">
        <v>26</v>
      </c>
      <c r="D61" t="s">
        <v>25</v>
      </c>
      <c r="E61" t="s">
        <v>1834</v>
      </c>
      <c r="F61" t="s">
        <v>1835</v>
      </c>
      <c r="G61">
        <v>1128388928</v>
      </c>
      <c r="H61" t="s">
        <v>1836</v>
      </c>
      <c r="I61" s="4" t="s">
        <v>35</v>
      </c>
      <c r="J61" s="4" t="s">
        <v>1837</v>
      </c>
      <c r="K61" t="s">
        <v>1838</v>
      </c>
      <c r="L61" t="s">
        <v>27</v>
      </c>
      <c r="M61" t="s">
        <v>1839</v>
      </c>
      <c r="N61" t="s">
        <v>28</v>
      </c>
      <c r="O61" t="s">
        <v>29</v>
      </c>
      <c r="P61" t="s">
        <v>36</v>
      </c>
      <c r="Q61" t="s">
        <v>31</v>
      </c>
      <c r="R61">
        <v>7</v>
      </c>
      <c r="S61" t="s">
        <v>1840</v>
      </c>
      <c r="T61" t="s">
        <v>2626</v>
      </c>
      <c r="U61" t="s">
        <v>3095</v>
      </c>
      <c r="V61" t="s">
        <v>32</v>
      </c>
      <c r="W61" t="s">
        <v>33</v>
      </c>
      <c r="X61" t="s">
        <v>33</v>
      </c>
      <c r="Y61" t="s">
        <v>33</v>
      </c>
      <c r="Z61" s="16" t="s">
        <v>34</v>
      </c>
      <c r="AA61">
        <v>-75.544354949999999</v>
      </c>
      <c r="AB61">
        <v>6.2278413800000001</v>
      </c>
      <c r="AC61" t="s">
        <v>96</v>
      </c>
      <c r="AD61" t="s">
        <v>97</v>
      </c>
    </row>
    <row r="62" spans="1:30" x14ac:dyDescent="0.25">
      <c r="A62" t="s">
        <v>1842</v>
      </c>
      <c r="B62" t="s">
        <v>25</v>
      </c>
      <c r="C62" t="s">
        <v>26</v>
      </c>
      <c r="D62" t="s">
        <v>25</v>
      </c>
      <c r="E62" t="s">
        <v>1843</v>
      </c>
      <c r="F62" t="s">
        <v>1844</v>
      </c>
      <c r="G62">
        <v>1128388928</v>
      </c>
      <c r="H62" t="s">
        <v>1836</v>
      </c>
      <c r="I62" s="4" t="s">
        <v>35</v>
      </c>
      <c r="J62" s="4" t="s">
        <v>1845</v>
      </c>
      <c r="K62" t="s">
        <v>1846</v>
      </c>
      <c r="L62" t="s">
        <v>27</v>
      </c>
      <c r="M62" t="s">
        <v>1847</v>
      </c>
      <c r="N62" t="s">
        <v>28</v>
      </c>
      <c r="O62" t="s">
        <v>29</v>
      </c>
      <c r="P62" t="s">
        <v>36</v>
      </c>
      <c r="Q62" t="s">
        <v>31</v>
      </c>
      <c r="R62">
        <v>7</v>
      </c>
      <c r="S62" t="s">
        <v>1848</v>
      </c>
      <c r="T62" t="s">
        <v>1670</v>
      </c>
      <c r="U62" t="s">
        <v>3096</v>
      </c>
      <c r="V62" t="s">
        <v>32</v>
      </c>
      <c r="W62" t="s">
        <v>33</v>
      </c>
      <c r="X62" t="s">
        <v>33</v>
      </c>
      <c r="Y62" t="s">
        <v>33</v>
      </c>
      <c r="Z62" s="16" t="s">
        <v>34</v>
      </c>
      <c r="AA62">
        <v>-75.544077000000001</v>
      </c>
      <c r="AB62">
        <v>6.2279309999999999</v>
      </c>
      <c r="AC62" t="s">
        <v>96</v>
      </c>
      <c r="AD62" t="s">
        <v>97</v>
      </c>
    </row>
    <row r="63" spans="1:30" x14ac:dyDescent="0.25">
      <c r="A63" t="s">
        <v>110</v>
      </c>
      <c r="B63" t="s">
        <v>25</v>
      </c>
      <c r="C63" t="s">
        <v>26</v>
      </c>
      <c r="D63" t="s">
        <v>38</v>
      </c>
      <c r="E63" t="s">
        <v>1143</v>
      </c>
      <c r="F63" t="s">
        <v>1144</v>
      </c>
      <c r="G63">
        <v>15257247</v>
      </c>
      <c r="H63" t="s">
        <v>111</v>
      </c>
      <c r="I63" s="4" t="s">
        <v>35</v>
      </c>
      <c r="J63" s="4" t="s">
        <v>112</v>
      </c>
      <c r="K63" t="s">
        <v>1145</v>
      </c>
      <c r="L63" t="s">
        <v>55</v>
      </c>
      <c r="M63" t="s">
        <v>113</v>
      </c>
      <c r="N63" t="s">
        <v>56</v>
      </c>
      <c r="O63" t="s">
        <v>45</v>
      </c>
      <c r="P63" t="s">
        <v>40</v>
      </c>
      <c r="Q63" t="s">
        <v>37</v>
      </c>
      <c r="R63">
        <v>8</v>
      </c>
      <c r="S63" t="s">
        <v>1146</v>
      </c>
      <c r="T63" t="s">
        <v>1687</v>
      </c>
      <c r="U63" t="s">
        <v>4994</v>
      </c>
      <c r="V63" t="s">
        <v>32</v>
      </c>
      <c r="W63" t="s">
        <v>33</v>
      </c>
      <c r="X63" t="s">
        <v>33</v>
      </c>
      <c r="Y63" t="s">
        <v>33</v>
      </c>
      <c r="Z63" s="16" t="s">
        <v>34</v>
      </c>
      <c r="AA63">
        <v>-75.626904001</v>
      </c>
      <c r="AB63">
        <v>6.0546154810000399</v>
      </c>
      <c r="AC63" t="s">
        <v>96</v>
      </c>
      <c r="AD63" t="s">
        <v>97</v>
      </c>
    </row>
    <row r="64" spans="1:30" x14ac:dyDescent="0.25">
      <c r="A64" t="s">
        <v>1849</v>
      </c>
      <c r="B64" t="s">
        <v>25</v>
      </c>
      <c r="C64" t="s">
        <v>26</v>
      </c>
      <c r="D64" t="s">
        <v>25</v>
      </c>
      <c r="E64" t="s">
        <v>1850</v>
      </c>
      <c r="F64" t="s">
        <v>1851</v>
      </c>
      <c r="G64">
        <v>70054372</v>
      </c>
      <c r="H64" t="s">
        <v>1852</v>
      </c>
      <c r="I64" s="4" t="s">
        <v>1853</v>
      </c>
      <c r="J64" s="4" t="s">
        <v>1854</v>
      </c>
      <c r="K64" t="s">
        <v>1855</v>
      </c>
      <c r="L64" t="s">
        <v>27</v>
      </c>
      <c r="M64" t="s">
        <v>1856</v>
      </c>
      <c r="N64" t="s">
        <v>28</v>
      </c>
      <c r="O64" t="s">
        <v>29</v>
      </c>
      <c r="P64" t="s">
        <v>30</v>
      </c>
      <c r="Q64" t="s">
        <v>31</v>
      </c>
      <c r="R64">
        <v>7</v>
      </c>
      <c r="S64" t="s">
        <v>1857</v>
      </c>
      <c r="T64" t="s">
        <v>3098</v>
      </c>
      <c r="U64" t="s">
        <v>3097</v>
      </c>
      <c r="V64" t="s">
        <v>32</v>
      </c>
      <c r="W64" t="s">
        <v>33</v>
      </c>
      <c r="X64" t="s">
        <v>33</v>
      </c>
      <c r="Y64" t="s">
        <v>33</v>
      </c>
      <c r="Z64" s="16" t="s">
        <v>34</v>
      </c>
      <c r="AA64">
        <v>-75.544681420000003</v>
      </c>
      <c r="AB64">
        <v>6.2534018700000003</v>
      </c>
      <c r="AC64" t="s">
        <v>96</v>
      </c>
      <c r="AD64" t="s">
        <v>97</v>
      </c>
    </row>
    <row r="65" spans="1:30" x14ac:dyDescent="0.25">
      <c r="A65" t="s">
        <v>3793</v>
      </c>
      <c r="B65" t="s">
        <v>25</v>
      </c>
      <c r="C65" t="s">
        <v>26</v>
      </c>
      <c r="D65" t="s">
        <v>25</v>
      </c>
      <c r="E65" t="s">
        <v>3794</v>
      </c>
      <c r="F65" t="s">
        <v>3795</v>
      </c>
      <c r="G65">
        <v>39162756</v>
      </c>
      <c r="H65" t="s">
        <v>3796</v>
      </c>
      <c r="I65" s="4" t="s">
        <v>3797</v>
      </c>
      <c r="J65" s="4" t="s">
        <v>3798</v>
      </c>
      <c r="K65" t="s">
        <v>3799</v>
      </c>
      <c r="L65" t="s">
        <v>55</v>
      </c>
      <c r="M65" t="s">
        <v>3800</v>
      </c>
      <c r="N65" t="s">
        <v>56</v>
      </c>
      <c r="O65" t="s">
        <v>29</v>
      </c>
      <c r="P65" t="s">
        <v>36</v>
      </c>
      <c r="Q65" t="s">
        <v>37</v>
      </c>
      <c r="R65">
        <v>10</v>
      </c>
      <c r="S65" t="s">
        <v>3801</v>
      </c>
      <c r="T65" t="s">
        <v>4995</v>
      </c>
      <c r="U65" t="s">
        <v>4996</v>
      </c>
      <c r="V65" t="s">
        <v>32</v>
      </c>
      <c r="W65" t="s">
        <v>33</v>
      </c>
      <c r="X65" t="s">
        <v>33</v>
      </c>
      <c r="Y65" t="s">
        <v>33</v>
      </c>
      <c r="Z65" s="16" t="s">
        <v>34</v>
      </c>
      <c r="AA65">
        <v>-75.648542280000001</v>
      </c>
      <c r="AB65">
        <v>6.0595225700000004</v>
      </c>
      <c r="AC65" t="s">
        <v>96</v>
      </c>
      <c r="AD65" t="s">
        <v>97</v>
      </c>
    </row>
    <row r="66" spans="1:30" x14ac:dyDescent="0.25">
      <c r="A66" t="s">
        <v>1284</v>
      </c>
      <c r="B66" t="s">
        <v>25</v>
      </c>
      <c r="C66" t="s">
        <v>26</v>
      </c>
      <c r="D66" t="s">
        <v>38</v>
      </c>
      <c r="E66" t="s">
        <v>1285</v>
      </c>
      <c r="F66" t="s">
        <v>1235</v>
      </c>
      <c r="G66">
        <v>1152214018</v>
      </c>
      <c r="H66" t="s">
        <v>1286</v>
      </c>
      <c r="I66" s="4" t="s">
        <v>35</v>
      </c>
      <c r="J66" s="4" t="s">
        <v>1287</v>
      </c>
      <c r="K66" t="s">
        <v>1288</v>
      </c>
      <c r="L66" t="s">
        <v>27</v>
      </c>
      <c r="M66" t="s">
        <v>1289</v>
      </c>
      <c r="N66" t="s">
        <v>28</v>
      </c>
      <c r="O66" t="s">
        <v>39</v>
      </c>
      <c r="P66" t="s">
        <v>40</v>
      </c>
      <c r="Q66" t="s">
        <v>31</v>
      </c>
      <c r="R66">
        <v>5</v>
      </c>
      <c r="S66" t="s">
        <v>1236</v>
      </c>
      <c r="T66" t="s">
        <v>3058</v>
      </c>
      <c r="U66" t="s">
        <v>3057</v>
      </c>
      <c r="V66" t="s">
        <v>48</v>
      </c>
      <c r="W66" t="s">
        <v>33</v>
      </c>
      <c r="X66" t="s">
        <v>33</v>
      </c>
      <c r="Y66" t="s">
        <v>33</v>
      </c>
      <c r="Z66" s="16" t="s">
        <v>34</v>
      </c>
      <c r="AA66">
        <v>-75.628469069999994</v>
      </c>
      <c r="AB66">
        <v>6.2517401399999999</v>
      </c>
      <c r="AC66" t="s">
        <v>96</v>
      </c>
      <c r="AD66" t="s">
        <v>97</v>
      </c>
    </row>
    <row r="67" spans="1:30" x14ac:dyDescent="0.25">
      <c r="A67" t="s">
        <v>1858</v>
      </c>
      <c r="B67" t="s">
        <v>25</v>
      </c>
      <c r="C67" t="s">
        <v>26</v>
      </c>
      <c r="D67" t="s">
        <v>25</v>
      </c>
      <c r="E67" t="s">
        <v>1859</v>
      </c>
      <c r="F67" t="s">
        <v>1860</v>
      </c>
      <c r="G67">
        <v>42701475</v>
      </c>
      <c r="H67" t="s">
        <v>1861</v>
      </c>
      <c r="I67" s="4" t="s">
        <v>1862</v>
      </c>
      <c r="J67" s="4" t="s">
        <v>1863</v>
      </c>
      <c r="K67" t="s">
        <v>1864</v>
      </c>
      <c r="L67" t="s">
        <v>27</v>
      </c>
      <c r="M67" t="s">
        <v>1865</v>
      </c>
      <c r="N67" t="s">
        <v>28</v>
      </c>
      <c r="O67" t="s">
        <v>29</v>
      </c>
      <c r="P67" t="s">
        <v>36</v>
      </c>
      <c r="Q67" t="s">
        <v>37</v>
      </c>
      <c r="R67">
        <v>10</v>
      </c>
      <c r="S67" t="s">
        <v>1866</v>
      </c>
      <c r="T67" t="s">
        <v>3061</v>
      </c>
      <c r="U67" t="s">
        <v>4997</v>
      </c>
      <c r="V67" t="s">
        <v>32</v>
      </c>
      <c r="W67" t="s">
        <v>33</v>
      </c>
      <c r="X67" t="s">
        <v>33</v>
      </c>
      <c r="Y67" t="s">
        <v>33</v>
      </c>
      <c r="Z67" s="16" t="s">
        <v>34</v>
      </c>
      <c r="AA67">
        <v>-75.644229820000007</v>
      </c>
      <c r="AB67">
        <v>6.2926935999999998</v>
      </c>
      <c r="AC67" t="s">
        <v>96</v>
      </c>
      <c r="AD67" t="s">
        <v>97</v>
      </c>
    </row>
    <row r="68" spans="1:30" x14ac:dyDescent="0.25">
      <c r="A68" t="s">
        <v>1005</v>
      </c>
      <c r="B68" t="s">
        <v>25</v>
      </c>
      <c r="C68" t="s">
        <v>26</v>
      </c>
      <c r="D68" t="s">
        <v>38</v>
      </c>
      <c r="E68" t="s">
        <v>1006</v>
      </c>
      <c r="F68" t="s">
        <v>1007</v>
      </c>
      <c r="G68">
        <v>1017190701</v>
      </c>
      <c r="H68" t="s">
        <v>1008</v>
      </c>
      <c r="I68" s="4" t="s">
        <v>35</v>
      </c>
      <c r="J68" s="4" t="s">
        <v>1009</v>
      </c>
      <c r="K68" t="s">
        <v>1010</v>
      </c>
      <c r="L68" t="s">
        <v>27</v>
      </c>
      <c r="M68" t="s">
        <v>1011</v>
      </c>
      <c r="N68" t="s">
        <v>28</v>
      </c>
      <c r="O68" t="s">
        <v>39</v>
      </c>
      <c r="P68" t="s">
        <v>40</v>
      </c>
      <c r="Q68" t="s">
        <v>31</v>
      </c>
      <c r="R68">
        <v>5</v>
      </c>
      <c r="S68" t="s">
        <v>1012</v>
      </c>
      <c r="T68" t="s">
        <v>4998</v>
      </c>
      <c r="U68" t="s">
        <v>4999</v>
      </c>
      <c r="V68" t="s">
        <v>48</v>
      </c>
      <c r="W68" t="s">
        <v>33</v>
      </c>
      <c r="X68" t="s">
        <v>33</v>
      </c>
      <c r="Y68" t="s">
        <v>33</v>
      </c>
      <c r="Z68" s="16" t="s">
        <v>34</v>
      </c>
      <c r="AA68">
        <v>-75.542079999999999</v>
      </c>
      <c r="AB68">
        <v>6.2385770000000003</v>
      </c>
      <c r="AC68" t="s">
        <v>96</v>
      </c>
      <c r="AD68" t="s">
        <v>97</v>
      </c>
    </row>
    <row r="69" spans="1:30" x14ac:dyDescent="0.25">
      <c r="A69" t="s">
        <v>3100</v>
      </c>
      <c r="B69" t="s">
        <v>25</v>
      </c>
      <c r="C69" t="s">
        <v>26</v>
      </c>
      <c r="D69" t="s">
        <v>25</v>
      </c>
      <c r="E69" t="s">
        <v>3101</v>
      </c>
      <c r="F69" t="s">
        <v>3102</v>
      </c>
      <c r="G69">
        <v>901024521</v>
      </c>
      <c r="H69" t="s">
        <v>3103</v>
      </c>
      <c r="I69" s="4" t="s">
        <v>35</v>
      </c>
      <c r="J69" s="4" t="s">
        <v>3104</v>
      </c>
      <c r="K69" t="s">
        <v>3105</v>
      </c>
      <c r="L69" t="s">
        <v>27</v>
      </c>
      <c r="M69" t="s">
        <v>3106</v>
      </c>
      <c r="N69" t="s">
        <v>28</v>
      </c>
      <c r="O69" t="s">
        <v>29</v>
      </c>
      <c r="P69" t="s">
        <v>36</v>
      </c>
      <c r="Q69" t="s">
        <v>37</v>
      </c>
      <c r="R69">
        <v>10</v>
      </c>
      <c r="S69" t="s">
        <v>3107</v>
      </c>
      <c r="T69" t="s">
        <v>5000</v>
      </c>
      <c r="U69" t="s">
        <v>5001</v>
      </c>
      <c r="V69" t="s">
        <v>32</v>
      </c>
      <c r="W69" t="s">
        <v>33</v>
      </c>
      <c r="X69" t="s">
        <v>33</v>
      </c>
      <c r="Y69" t="s">
        <v>33</v>
      </c>
      <c r="Z69" s="16" t="s">
        <v>34</v>
      </c>
      <c r="AA69">
        <v>-75.63756334</v>
      </c>
      <c r="AB69">
        <v>6.2986928799999999</v>
      </c>
      <c r="AC69" t="s">
        <v>96</v>
      </c>
      <c r="AD69" t="s">
        <v>97</v>
      </c>
    </row>
    <row r="70" spans="1:30" x14ac:dyDescent="0.25">
      <c r="A70" t="s">
        <v>3802</v>
      </c>
      <c r="B70" t="s">
        <v>25</v>
      </c>
      <c r="C70" t="s">
        <v>26</v>
      </c>
      <c r="D70" t="s">
        <v>25</v>
      </c>
      <c r="E70" t="s">
        <v>3803</v>
      </c>
      <c r="F70" t="s">
        <v>3804</v>
      </c>
      <c r="G70">
        <v>901024521</v>
      </c>
      <c r="H70" t="s">
        <v>3103</v>
      </c>
      <c r="I70" s="4" t="s">
        <v>35</v>
      </c>
      <c r="J70" s="4" t="s">
        <v>3104</v>
      </c>
      <c r="K70" t="s">
        <v>3805</v>
      </c>
      <c r="L70" t="s">
        <v>27</v>
      </c>
      <c r="M70" t="s">
        <v>3806</v>
      </c>
      <c r="N70" t="s">
        <v>28</v>
      </c>
      <c r="O70" t="s">
        <v>29</v>
      </c>
      <c r="P70" t="s">
        <v>36</v>
      </c>
      <c r="Q70" t="s">
        <v>37</v>
      </c>
      <c r="R70">
        <v>10</v>
      </c>
      <c r="S70" t="s">
        <v>3807</v>
      </c>
      <c r="T70" t="s">
        <v>4927</v>
      </c>
      <c r="U70" t="s">
        <v>4928</v>
      </c>
      <c r="V70" t="s">
        <v>32</v>
      </c>
      <c r="W70" t="s">
        <v>33</v>
      </c>
      <c r="X70" t="s">
        <v>33</v>
      </c>
      <c r="Y70" t="s">
        <v>33</v>
      </c>
      <c r="Z70" s="16" t="s">
        <v>34</v>
      </c>
      <c r="AA70">
        <v>-75.63756334</v>
      </c>
      <c r="AB70">
        <v>6.2986928799999999</v>
      </c>
      <c r="AC70" t="s">
        <v>96</v>
      </c>
      <c r="AD70" t="s">
        <v>97</v>
      </c>
    </row>
    <row r="71" spans="1:30" x14ac:dyDescent="0.25">
      <c r="A71" t="s">
        <v>3808</v>
      </c>
      <c r="B71" t="s">
        <v>25</v>
      </c>
      <c r="C71" t="s">
        <v>26</v>
      </c>
      <c r="D71" t="s">
        <v>25</v>
      </c>
      <c r="E71" t="s">
        <v>3809</v>
      </c>
      <c r="F71" t="s">
        <v>3810</v>
      </c>
      <c r="G71">
        <v>43423343</v>
      </c>
      <c r="H71" t="s">
        <v>3811</v>
      </c>
      <c r="I71" s="4" t="s">
        <v>3812</v>
      </c>
      <c r="J71" s="4" t="s">
        <v>3813</v>
      </c>
      <c r="K71" t="s">
        <v>3814</v>
      </c>
      <c r="L71" t="s">
        <v>27</v>
      </c>
      <c r="M71" t="s">
        <v>3815</v>
      </c>
      <c r="N71" t="s">
        <v>28</v>
      </c>
      <c r="O71" t="s">
        <v>29</v>
      </c>
      <c r="P71" t="s">
        <v>36</v>
      </c>
      <c r="Q71" t="s">
        <v>31</v>
      </c>
      <c r="R71">
        <v>7</v>
      </c>
      <c r="S71" t="s">
        <v>3816</v>
      </c>
      <c r="T71" t="s">
        <v>4927</v>
      </c>
      <c r="U71" t="s">
        <v>5002</v>
      </c>
      <c r="V71" t="s">
        <v>32</v>
      </c>
      <c r="W71" t="s">
        <v>33</v>
      </c>
      <c r="X71" t="s">
        <v>33</v>
      </c>
      <c r="Y71" t="s">
        <v>33</v>
      </c>
      <c r="Z71" s="16" t="s">
        <v>34</v>
      </c>
      <c r="AA71">
        <v>-75.533094090000006</v>
      </c>
      <c r="AB71">
        <v>6.2279673200000003</v>
      </c>
      <c r="AC71" t="s">
        <v>96</v>
      </c>
      <c r="AD71" t="s">
        <v>97</v>
      </c>
    </row>
    <row r="72" spans="1:30" x14ac:dyDescent="0.25">
      <c r="A72" t="s">
        <v>3817</v>
      </c>
      <c r="B72" t="s">
        <v>25</v>
      </c>
      <c r="C72" t="s">
        <v>26</v>
      </c>
      <c r="D72" t="s">
        <v>38</v>
      </c>
      <c r="E72" t="s">
        <v>3818</v>
      </c>
      <c r="F72" t="s">
        <v>3819</v>
      </c>
      <c r="G72">
        <v>1128471237</v>
      </c>
      <c r="H72" t="s">
        <v>3820</v>
      </c>
      <c r="I72" s="4" t="s">
        <v>3821</v>
      </c>
      <c r="J72" s="4" t="s">
        <v>3822</v>
      </c>
      <c r="K72" t="s">
        <v>3823</v>
      </c>
      <c r="L72" t="s">
        <v>27</v>
      </c>
      <c r="M72" t="s">
        <v>3824</v>
      </c>
      <c r="N72" t="s">
        <v>28</v>
      </c>
      <c r="O72" t="s">
        <v>45</v>
      </c>
      <c r="P72" t="s">
        <v>40</v>
      </c>
      <c r="Q72" t="s">
        <v>31</v>
      </c>
      <c r="R72">
        <v>5</v>
      </c>
      <c r="S72" t="s">
        <v>3825</v>
      </c>
      <c r="T72" t="s">
        <v>5003</v>
      </c>
      <c r="U72" t="s">
        <v>5004</v>
      </c>
      <c r="V72" t="s">
        <v>32</v>
      </c>
      <c r="W72" t="s">
        <v>33</v>
      </c>
      <c r="X72" t="s">
        <v>33</v>
      </c>
      <c r="Y72" t="s">
        <v>33</v>
      </c>
      <c r="Z72" s="16" t="s">
        <v>34</v>
      </c>
      <c r="AA72">
        <v>-75.554452019999999</v>
      </c>
      <c r="AB72">
        <v>6.2318557300000004</v>
      </c>
      <c r="AC72" t="s">
        <v>96</v>
      </c>
      <c r="AD72" t="s">
        <v>97</v>
      </c>
    </row>
    <row r="73" spans="1:30" x14ac:dyDescent="0.25">
      <c r="A73" t="s">
        <v>3826</v>
      </c>
      <c r="B73" t="s">
        <v>25</v>
      </c>
      <c r="C73" t="s">
        <v>26</v>
      </c>
      <c r="D73" t="s">
        <v>38</v>
      </c>
      <c r="E73" t="s">
        <v>3827</v>
      </c>
      <c r="F73" t="s">
        <v>3828</v>
      </c>
      <c r="G73">
        <v>98534250</v>
      </c>
      <c r="H73" t="s">
        <v>3829</v>
      </c>
      <c r="I73" s="4" t="s">
        <v>3830</v>
      </c>
      <c r="J73" s="4" t="s">
        <v>3831</v>
      </c>
      <c r="K73" t="s">
        <v>3832</v>
      </c>
      <c r="L73" t="s">
        <v>43</v>
      </c>
      <c r="M73" t="s">
        <v>3833</v>
      </c>
      <c r="N73" t="s">
        <v>44</v>
      </c>
      <c r="O73" t="s">
        <v>45</v>
      </c>
      <c r="P73" t="s">
        <v>40</v>
      </c>
      <c r="Q73" t="s">
        <v>31</v>
      </c>
      <c r="R73">
        <v>5</v>
      </c>
      <c r="S73" t="s">
        <v>3834</v>
      </c>
      <c r="T73" t="s">
        <v>5005</v>
      </c>
      <c r="U73" t="s">
        <v>5006</v>
      </c>
      <c r="V73" t="s">
        <v>32</v>
      </c>
      <c r="W73" t="s">
        <v>33</v>
      </c>
      <c r="X73" t="s">
        <v>33</v>
      </c>
      <c r="Y73" t="s">
        <v>33</v>
      </c>
      <c r="Z73" s="16" t="s">
        <v>34</v>
      </c>
      <c r="AA73">
        <v>-75.616186999999996</v>
      </c>
      <c r="AB73">
        <v>6.1873360000000002</v>
      </c>
      <c r="AC73" t="s">
        <v>96</v>
      </c>
      <c r="AD73" t="s">
        <v>97</v>
      </c>
    </row>
    <row r="74" spans="1:30" x14ac:dyDescent="0.25">
      <c r="A74" t="s">
        <v>1013</v>
      </c>
      <c r="B74" t="s">
        <v>25</v>
      </c>
      <c r="C74" t="s">
        <v>26</v>
      </c>
      <c r="D74" t="s">
        <v>38</v>
      </c>
      <c r="E74" t="s">
        <v>1014</v>
      </c>
      <c r="F74" t="s">
        <v>1015</v>
      </c>
      <c r="G74">
        <v>39416773</v>
      </c>
      <c r="H74" t="s">
        <v>1016</v>
      </c>
      <c r="I74" s="4" t="s">
        <v>35</v>
      </c>
      <c r="J74" s="4" t="s">
        <v>1017</v>
      </c>
      <c r="K74" t="s">
        <v>1018</v>
      </c>
      <c r="L74" t="s">
        <v>43</v>
      </c>
      <c r="M74" t="s">
        <v>1019</v>
      </c>
      <c r="N74" t="s">
        <v>44</v>
      </c>
      <c r="O74" t="s">
        <v>45</v>
      </c>
      <c r="P74" t="s">
        <v>40</v>
      </c>
      <c r="Q74" t="s">
        <v>31</v>
      </c>
      <c r="R74">
        <v>5</v>
      </c>
      <c r="S74" t="s">
        <v>1020</v>
      </c>
      <c r="T74" t="s">
        <v>3427</v>
      </c>
      <c r="U74" t="s">
        <v>5007</v>
      </c>
      <c r="V74" t="s">
        <v>48</v>
      </c>
      <c r="W74" t="s">
        <v>33</v>
      </c>
      <c r="X74" t="s">
        <v>33</v>
      </c>
      <c r="Y74" t="s">
        <v>33</v>
      </c>
      <c r="Z74" s="16" t="s">
        <v>34</v>
      </c>
      <c r="AA74">
        <v>-75.606826999999996</v>
      </c>
      <c r="AB74">
        <v>6.1959679999999997</v>
      </c>
      <c r="AC74" t="s">
        <v>96</v>
      </c>
      <c r="AD74" t="s">
        <v>97</v>
      </c>
    </row>
    <row r="75" spans="1:30" x14ac:dyDescent="0.25">
      <c r="A75" t="s">
        <v>3835</v>
      </c>
      <c r="B75" t="s">
        <v>25</v>
      </c>
      <c r="C75" t="s">
        <v>26</v>
      </c>
      <c r="D75" t="s">
        <v>25</v>
      </c>
      <c r="E75" t="s">
        <v>3836</v>
      </c>
      <c r="F75" t="s">
        <v>3837</v>
      </c>
      <c r="G75">
        <v>1036656922</v>
      </c>
      <c r="H75" t="s">
        <v>3838</v>
      </c>
      <c r="I75" s="4" t="s">
        <v>35</v>
      </c>
      <c r="J75" s="4" t="s">
        <v>3839</v>
      </c>
      <c r="K75" t="s">
        <v>3840</v>
      </c>
      <c r="L75" t="s">
        <v>27</v>
      </c>
      <c r="M75" t="s">
        <v>3841</v>
      </c>
      <c r="N75" t="s">
        <v>28</v>
      </c>
      <c r="O75" t="s">
        <v>29</v>
      </c>
      <c r="P75" t="s">
        <v>36</v>
      </c>
      <c r="Q75" t="s">
        <v>31</v>
      </c>
      <c r="R75">
        <v>7</v>
      </c>
      <c r="S75" t="s">
        <v>3842</v>
      </c>
      <c r="T75" t="s">
        <v>4922</v>
      </c>
      <c r="U75" t="s">
        <v>3077</v>
      </c>
      <c r="V75" t="s">
        <v>32</v>
      </c>
      <c r="W75" t="s">
        <v>33</v>
      </c>
      <c r="X75" t="s">
        <v>33</v>
      </c>
      <c r="Y75" t="s">
        <v>33</v>
      </c>
      <c r="Z75" s="16" t="s">
        <v>34</v>
      </c>
      <c r="AA75">
        <v>-75.565184029999998</v>
      </c>
      <c r="AB75">
        <v>6.25007819</v>
      </c>
      <c r="AC75" t="s">
        <v>96</v>
      </c>
      <c r="AD75" t="s">
        <v>97</v>
      </c>
    </row>
    <row r="76" spans="1:30" x14ac:dyDescent="0.25">
      <c r="A76" t="s">
        <v>1867</v>
      </c>
      <c r="B76" t="s">
        <v>25</v>
      </c>
      <c r="C76" t="s">
        <v>26</v>
      </c>
      <c r="D76" t="s">
        <v>38</v>
      </c>
      <c r="E76" t="s">
        <v>1868</v>
      </c>
      <c r="F76" t="s">
        <v>1869</v>
      </c>
      <c r="G76">
        <v>1036394848</v>
      </c>
      <c r="H76" t="s">
        <v>1870</v>
      </c>
      <c r="I76" s="4" t="s">
        <v>35</v>
      </c>
      <c r="J76" s="4" t="s">
        <v>1871</v>
      </c>
      <c r="K76" t="s">
        <v>1872</v>
      </c>
      <c r="L76" t="s">
        <v>27</v>
      </c>
      <c r="M76" t="s">
        <v>1873</v>
      </c>
      <c r="N76" t="s">
        <v>28</v>
      </c>
      <c r="O76" t="s">
        <v>39</v>
      </c>
      <c r="P76" t="s">
        <v>40</v>
      </c>
      <c r="Q76" t="s">
        <v>31</v>
      </c>
      <c r="R76">
        <v>5</v>
      </c>
      <c r="S76" t="s">
        <v>1874</v>
      </c>
      <c r="T76" t="s">
        <v>3061</v>
      </c>
      <c r="U76" t="s">
        <v>3060</v>
      </c>
      <c r="V76" t="s">
        <v>48</v>
      </c>
      <c r="W76" t="s">
        <v>33</v>
      </c>
      <c r="X76" t="s">
        <v>33</v>
      </c>
      <c r="Y76" t="s">
        <v>33</v>
      </c>
      <c r="Z76" s="16" t="s">
        <v>34</v>
      </c>
      <c r="AA76">
        <v>-75.528377359999993</v>
      </c>
      <c r="AB76">
        <v>6.2289898800000003</v>
      </c>
      <c r="AC76" t="s">
        <v>96</v>
      </c>
      <c r="AD76" t="s">
        <v>97</v>
      </c>
    </row>
    <row r="77" spans="1:30" x14ac:dyDescent="0.25">
      <c r="A77" t="s">
        <v>839</v>
      </c>
      <c r="B77" t="s">
        <v>25</v>
      </c>
      <c r="C77" t="s">
        <v>26</v>
      </c>
      <c r="D77" t="s">
        <v>38</v>
      </c>
      <c r="E77" t="s">
        <v>546</v>
      </c>
      <c r="F77" t="s">
        <v>547</v>
      </c>
      <c r="G77">
        <v>1038416085</v>
      </c>
      <c r="H77" t="s">
        <v>548</v>
      </c>
      <c r="I77" s="4" t="s">
        <v>549</v>
      </c>
      <c r="J77" s="4" t="s">
        <v>550</v>
      </c>
      <c r="K77" t="s">
        <v>551</v>
      </c>
      <c r="L77" t="s">
        <v>27</v>
      </c>
      <c r="M77" t="s">
        <v>552</v>
      </c>
      <c r="N77" t="s">
        <v>28</v>
      </c>
      <c r="O77" t="s">
        <v>39</v>
      </c>
      <c r="P77" t="s">
        <v>40</v>
      </c>
      <c r="Q77" t="s">
        <v>37</v>
      </c>
      <c r="R77">
        <v>8</v>
      </c>
      <c r="S77" t="s">
        <v>553</v>
      </c>
      <c r="T77" t="s">
        <v>1125</v>
      </c>
      <c r="U77" t="s">
        <v>5008</v>
      </c>
      <c r="V77" t="s">
        <v>32</v>
      </c>
      <c r="W77" t="s">
        <v>33</v>
      </c>
      <c r="X77" t="s">
        <v>33</v>
      </c>
      <c r="Y77" t="s">
        <v>33</v>
      </c>
      <c r="Z77" s="16" t="s">
        <v>34</v>
      </c>
      <c r="AA77">
        <v>-75.703687000000002</v>
      </c>
      <c r="AB77">
        <v>6.3443120000000004</v>
      </c>
      <c r="AC77" t="s">
        <v>96</v>
      </c>
      <c r="AD77" t="s">
        <v>97</v>
      </c>
    </row>
    <row r="78" spans="1:30" x14ac:dyDescent="0.25">
      <c r="A78" t="s">
        <v>3843</v>
      </c>
      <c r="B78" t="s">
        <v>25</v>
      </c>
      <c r="C78" t="s">
        <v>26</v>
      </c>
      <c r="D78" t="s">
        <v>25</v>
      </c>
      <c r="E78" t="s">
        <v>3844</v>
      </c>
      <c r="F78" t="s">
        <v>3845</v>
      </c>
      <c r="G78">
        <v>43997608</v>
      </c>
      <c r="H78" t="s">
        <v>3846</v>
      </c>
      <c r="I78" s="4" t="s">
        <v>35</v>
      </c>
      <c r="J78" s="4" t="s">
        <v>3847</v>
      </c>
      <c r="K78" t="s">
        <v>3848</v>
      </c>
      <c r="L78" t="s">
        <v>27</v>
      </c>
      <c r="M78" t="s">
        <v>3849</v>
      </c>
      <c r="N78" t="s">
        <v>28</v>
      </c>
      <c r="O78" t="s">
        <v>29</v>
      </c>
      <c r="P78" t="s">
        <v>36</v>
      </c>
      <c r="Q78" t="s">
        <v>37</v>
      </c>
      <c r="R78">
        <v>10</v>
      </c>
      <c r="S78" t="s">
        <v>3850</v>
      </c>
      <c r="T78" t="s">
        <v>4922</v>
      </c>
      <c r="U78" t="s">
        <v>5009</v>
      </c>
      <c r="V78" t="s">
        <v>32</v>
      </c>
      <c r="W78" t="s">
        <v>33</v>
      </c>
      <c r="X78" t="s">
        <v>33</v>
      </c>
      <c r="Y78" t="s">
        <v>33</v>
      </c>
      <c r="Z78" s="16" t="s">
        <v>34</v>
      </c>
      <c r="AA78">
        <v>-75.610884501000001</v>
      </c>
      <c r="AB78">
        <v>6.2574398200000596</v>
      </c>
      <c r="AC78" t="s">
        <v>96</v>
      </c>
      <c r="AD78" t="s">
        <v>97</v>
      </c>
    </row>
    <row r="79" spans="1:30" x14ac:dyDescent="0.25">
      <c r="A79" t="s">
        <v>3109</v>
      </c>
      <c r="B79" t="s">
        <v>25</v>
      </c>
      <c r="C79" t="s">
        <v>26</v>
      </c>
      <c r="D79" t="s">
        <v>25</v>
      </c>
      <c r="E79" t="s">
        <v>3110</v>
      </c>
      <c r="F79" t="s">
        <v>3111</v>
      </c>
      <c r="G79">
        <v>42889162</v>
      </c>
      <c r="H79" t="s">
        <v>3112</v>
      </c>
      <c r="I79" s="4" t="s">
        <v>35</v>
      </c>
      <c r="J79" s="4" t="s">
        <v>3113</v>
      </c>
      <c r="K79" t="s">
        <v>3114</v>
      </c>
      <c r="L79" t="s">
        <v>27</v>
      </c>
      <c r="M79" t="s">
        <v>3115</v>
      </c>
      <c r="N79" t="s">
        <v>28</v>
      </c>
      <c r="O79" t="s">
        <v>29</v>
      </c>
      <c r="P79" t="s">
        <v>36</v>
      </c>
      <c r="Q79" t="s">
        <v>37</v>
      </c>
      <c r="R79">
        <v>10</v>
      </c>
      <c r="S79" t="s">
        <v>3116</v>
      </c>
      <c r="T79" t="s">
        <v>5010</v>
      </c>
      <c r="U79" t="s">
        <v>5011</v>
      </c>
      <c r="V79" t="s">
        <v>32</v>
      </c>
      <c r="W79" t="s">
        <v>33</v>
      </c>
      <c r="X79" t="s">
        <v>33</v>
      </c>
      <c r="Y79" t="s">
        <v>33</v>
      </c>
      <c r="Z79" s="16" t="s">
        <v>34</v>
      </c>
      <c r="AA79">
        <v>-75.542752089999993</v>
      </c>
      <c r="AB79">
        <v>6.1816147800000003</v>
      </c>
      <c r="AC79" t="s">
        <v>96</v>
      </c>
      <c r="AD79" t="s">
        <v>97</v>
      </c>
    </row>
    <row r="80" spans="1:30" x14ac:dyDescent="0.25">
      <c r="A80" t="s">
        <v>1875</v>
      </c>
      <c r="B80" t="s">
        <v>25</v>
      </c>
      <c r="C80" t="s">
        <v>26</v>
      </c>
      <c r="D80" t="s">
        <v>38</v>
      </c>
      <c r="E80" t="s">
        <v>1876</v>
      </c>
      <c r="F80" t="s">
        <v>1877</v>
      </c>
      <c r="G80">
        <v>8289879</v>
      </c>
      <c r="H80" t="s">
        <v>1878</v>
      </c>
      <c r="I80" s="4" t="s">
        <v>35</v>
      </c>
      <c r="J80" s="4" t="s">
        <v>1879</v>
      </c>
      <c r="K80" t="s">
        <v>1880</v>
      </c>
      <c r="L80" t="s">
        <v>43</v>
      </c>
      <c r="M80" t="s">
        <v>1881</v>
      </c>
      <c r="N80" t="s">
        <v>44</v>
      </c>
      <c r="O80" t="s">
        <v>39</v>
      </c>
      <c r="P80" t="s">
        <v>40</v>
      </c>
      <c r="Q80" t="s">
        <v>31</v>
      </c>
      <c r="R80">
        <v>5</v>
      </c>
      <c r="S80" t="s">
        <v>1882</v>
      </c>
      <c r="T80" t="s">
        <v>3061</v>
      </c>
      <c r="U80" t="s">
        <v>3060</v>
      </c>
      <c r="V80" t="s">
        <v>48</v>
      </c>
      <c r="W80" t="s">
        <v>33</v>
      </c>
      <c r="X80" t="s">
        <v>33</v>
      </c>
      <c r="Y80" t="s">
        <v>33</v>
      </c>
      <c r="Z80" s="16" t="s">
        <v>34</v>
      </c>
      <c r="AA80">
        <v>-75.589319500000002</v>
      </c>
      <c r="AB80">
        <v>6.1942642799999996</v>
      </c>
      <c r="AC80" t="s">
        <v>96</v>
      </c>
      <c r="AD80" t="s">
        <v>97</v>
      </c>
    </row>
    <row r="81" spans="1:30" x14ac:dyDescent="0.25">
      <c r="A81" t="s">
        <v>3851</v>
      </c>
      <c r="B81" t="s">
        <v>25</v>
      </c>
      <c r="C81" t="s">
        <v>26</v>
      </c>
      <c r="D81" t="s">
        <v>38</v>
      </c>
      <c r="E81" t="s">
        <v>3852</v>
      </c>
      <c r="F81" t="s">
        <v>3853</v>
      </c>
      <c r="G81">
        <v>43629651</v>
      </c>
      <c r="H81" t="s">
        <v>3854</v>
      </c>
      <c r="I81" s="4" t="s">
        <v>35</v>
      </c>
      <c r="J81" s="4" t="s">
        <v>3855</v>
      </c>
      <c r="K81" t="s">
        <v>3856</v>
      </c>
      <c r="L81" t="s">
        <v>27</v>
      </c>
      <c r="M81" t="s">
        <v>3857</v>
      </c>
      <c r="N81" t="s">
        <v>28</v>
      </c>
      <c r="O81" t="s">
        <v>39</v>
      </c>
      <c r="P81" t="s">
        <v>40</v>
      </c>
      <c r="Q81" t="s">
        <v>31</v>
      </c>
      <c r="R81">
        <v>5</v>
      </c>
      <c r="S81" t="s">
        <v>3858</v>
      </c>
      <c r="T81" t="s">
        <v>4939</v>
      </c>
      <c r="U81" t="s">
        <v>4940</v>
      </c>
      <c r="V81" t="s">
        <v>32</v>
      </c>
      <c r="W81" t="s">
        <v>33</v>
      </c>
      <c r="X81" t="s">
        <v>33</v>
      </c>
      <c r="Y81" t="s">
        <v>33</v>
      </c>
      <c r="Z81" s="16" t="s">
        <v>34</v>
      </c>
      <c r="AA81">
        <v>-75.545248700000002</v>
      </c>
      <c r="AB81">
        <v>6.2323310300000001</v>
      </c>
      <c r="AC81" t="s">
        <v>96</v>
      </c>
      <c r="AD81" t="s">
        <v>97</v>
      </c>
    </row>
    <row r="82" spans="1:30" x14ac:dyDescent="0.25">
      <c r="A82" t="s">
        <v>840</v>
      </c>
      <c r="B82" t="s">
        <v>25</v>
      </c>
      <c r="C82" t="s">
        <v>26</v>
      </c>
      <c r="D82" t="s">
        <v>25</v>
      </c>
      <c r="E82" t="s">
        <v>554</v>
      </c>
      <c r="F82" t="s">
        <v>555</v>
      </c>
      <c r="G82">
        <v>86007707</v>
      </c>
      <c r="H82" t="s">
        <v>556</v>
      </c>
      <c r="I82" s="4" t="s">
        <v>557</v>
      </c>
      <c r="J82" s="4" t="s">
        <v>558</v>
      </c>
      <c r="K82" t="s">
        <v>559</v>
      </c>
      <c r="L82" t="s">
        <v>27</v>
      </c>
      <c r="M82" t="s">
        <v>560</v>
      </c>
      <c r="N82" t="s">
        <v>28</v>
      </c>
      <c r="O82" t="s">
        <v>29</v>
      </c>
      <c r="P82" t="s">
        <v>30</v>
      </c>
      <c r="Q82" t="s">
        <v>31</v>
      </c>
      <c r="R82">
        <v>7</v>
      </c>
      <c r="S82" t="s">
        <v>1290</v>
      </c>
      <c r="T82" t="s">
        <v>5012</v>
      </c>
      <c r="U82" t="s">
        <v>5013</v>
      </c>
      <c r="V82" t="s">
        <v>48</v>
      </c>
      <c r="W82" t="s">
        <v>33</v>
      </c>
      <c r="X82" t="s">
        <v>33</v>
      </c>
      <c r="Y82" t="s">
        <v>33</v>
      </c>
      <c r="Z82" s="16" t="s">
        <v>34</v>
      </c>
      <c r="AA82">
        <v>-75.632182</v>
      </c>
      <c r="AB82">
        <v>6.2337290000000003</v>
      </c>
      <c r="AC82" t="s">
        <v>96</v>
      </c>
      <c r="AD82" t="s">
        <v>97</v>
      </c>
    </row>
    <row r="83" spans="1:30" x14ac:dyDescent="0.25">
      <c r="A83" t="s">
        <v>1883</v>
      </c>
      <c r="B83" t="s">
        <v>25</v>
      </c>
      <c r="C83" t="s">
        <v>26</v>
      </c>
      <c r="D83" t="s">
        <v>38</v>
      </c>
      <c r="E83" t="s">
        <v>1884</v>
      </c>
      <c r="F83" t="s">
        <v>1885</v>
      </c>
      <c r="G83">
        <v>1037592669</v>
      </c>
      <c r="H83" t="s">
        <v>1886</v>
      </c>
      <c r="I83" s="4" t="s">
        <v>1887</v>
      </c>
      <c r="J83" s="4" t="s">
        <v>1888</v>
      </c>
      <c r="K83" t="s">
        <v>1889</v>
      </c>
      <c r="L83" t="s">
        <v>27</v>
      </c>
      <c r="M83" t="s">
        <v>1890</v>
      </c>
      <c r="N83" t="s">
        <v>28</v>
      </c>
      <c r="O83" t="s">
        <v>39</v>
      </c>
      <c r="P83" t="s">
        <v>40</v>
      </c>
      <c r="Q83" t="s">
        <v>31</v>
      </c>
      <c r="R83">
        <v>5</v>
      </c>
      <c r="S83" t="s">
        <v>1891</v>
      </c>
      <c r="T83" t="s">
        <v>3061</v>
      </c>
      <c r="U83" t="s">
        <v>3060</v>
      </c>
      <c r="V83" t="s">
        <v>48</v>
      </c>
      <c r="W83" t="s">
        <v>33</v>
      </c>
      <c r="X83" t="s">
        <v>33</v>
      </c>
      <c r="Y83" t="s">
        <v>33</v>
      </c>
      <c r="Z83" s="16" t="s">
        <v>34</v>
      </c>
      <c r="AA83">
        <v>-75.633408399999993</v>
      </c>
      <c r="AB83">
        <v>6.1853510600000003</v>
      </c>
      <c r="AC83" t="s">
        <v>96</v>
      </c>
      <c r="AD83" t="s">
        <v>97</v>
      </c>
    </row>
    <row r="84" spans="1:30" x14ac:dyDescent="0.25">
      <c r="A84" t="s">
        <v>3859</v>
      </c>
      <c r="B84" t="s">
        <v>25</v>
      </c>
      <c r="C84" t="s">
        <v>26</v>
      </c>
      <c r="D84" t="s">
        <v>38</v>
      </c>
      <c r="E84" t="s">
        <v>3860</v>
      </c>
      <c r="F84" t="s">
        <v>3861</v>
      </c>
      <c r="G84">
        <v>1037572250</v>
      </c>
      <c r="H84" t="s">
        <v>3862</v>
      </c>
      <c r="I84" s="4" t="s">
        <v>3863</v>
      </c>
      <c r="J84" s="4" t="s">
        <v>3864</v>
      </c>
      <c r="K84" t="s">
        <v>3865</v>
      </c>
      <c r="L84" t="s">
        <v>27</v>
      </c>
      <c r="M84" t="s">
        <v>3866</v>
      </c>
      <c r="N84" t="s">
        <v>28</v>
      </c>
      <c r="O84" t="s">
        <v>39</v>
      </c>
      <c r="P84" t="s">
        <v>40</v>
      </c>
      <c r="Q84" t="s">
        <v>31</v>
      </c>
      <c r="R84">
        <v>5</v>
      </c>
      <c r="S84" t="s">
        <v>3867</v>
      </c>
      <c r="T84" t="s">
        <v>4939</v>
      </c>
      <c r="U84" t="s">
        <v>4940</v>
      </c>
      <c r="V84" t="s">
        <v>32</v>
      </c>
      <c r="W84" t="s">
        <v>33</v>
      </c>
      <c r="X84" t="s">
        <v>33</v>
      </c>
      <c r="Y84" t="s">
        <v>33</v>
      </c>
      <c r="Z84" s="16" t="s">
        <v>34</v>
      </c>
      <c r="AA84">
        <v>-75.616197999999997</v>
      </c>
      <c r="AB84">
        <v>6.2617079999999996</v>
      </c>
      <c r="AC84" t="s">
        <v>96</v>
      </c>
      <c r="AD84" t="s">
        <v>97</v>
      </c>
    </row>
    <row r="85" spans="1:30" x14ac:dyDescent="0.25">
      <c r="A85" t="s">
        <v>3868</v>
      </c>
      <c r="B85" t="s">
        <v>25</v>
      </c>
      <c r="C85" t="s">
        <v>26</v>
      </c>
      <c r="D85" t="s">
        <v>38</v>
      </c>
      <c r="E85" t="s">
        <v>3869</v>
      </c>
      <c r="F85" t="s">
        <v>3870</v>
      </c>
      <c r="G85">
        <v>1017210550</v>
      </c>
      <c r="H85" t="s">
        <v>1507</v>
      </c>
      <c r="I85" s="4" t="s">
        <v>35</v>
      </c>
      <c r="J85" s="4" t="s">
        <v>1508</v>
      </c>
      <c r="K85" t="s">
        <v>3871</v>
      </c>
      <c r="L85" t="s">
        <v>27</v>
      </c>
      <c r="M85" t="s">
        <v>3872</v>
      </c>
      <c r="N85" t="s">
        <v>28</v>
      </c>
      <c r="O85" t="s">
        <v>39</v>
      </c>
      <c r="P85" t="s">
        <v>40</v>
      </c>
      <c r="Q85" t="s">
        <v>31</v>
      </c>
      <c r="R85">
        <v>5</v>
      </c>
      <c r="S85" t="s">
        <v>3873</v>
      </c>
      <c r="T85" t="s">
        <v>4939</v>
      </c>
      <c r="U85" t="s">
        <v>4940</v>
      </c>
      <c r="V85" t="s">
        <v>32</v>
      </c>
      <c r="W85" t="s">
        <v>33</v>
      </c>
      <c r="X85" t="s">
        <v>33</v>
      </c>
      <c r="Y85" t="s">
        <v>33</v>
      </c>
      <c r="Z85" s="16" t="s">
        <v>34</v>
      </c>
      <c r="AA85">
        <v>-75.54444977</v>
      </c>
      <c r="AB85">
        <v>6.2398160799999998</v>
      </c>
      <c r="AC85" t="s">
        <v>96</v>
      </c>
      <c r="AD85" t="s">
        <v>97</v>
      </c>
    </row>
    <row r="86" spans="1:30" x14ac:dyDescent="0.25">
      <c r="A86" t="s">
        <v>2528</v>
      </c>
      <c r="B86" t="s">
        <v>59</v>
      </c>
      <c r="C86" t="s">
        <v>26</v>
      </c>
      <c r="D86" t="s">
        <v>59</v>
      </c>
      <c r="E86" t="s">
        <v>2529</v>
      </c>
      <c r="F86" t="s">
        <v>2530</v>
      </c>
      <c r="G86">
        <v>8162313</v>
      </c>
      <c r="H86" t="s">
        <v>2531</v>
      </c>
      <c r="I86" s="4" t="s">
        <v>35</v>
      </c>
      <c r="J86" s="4" t="s">
        <v>2532</v>
      </c>
      <c r="K86" t="s">
        <v>2533</v>
      </c>
      <c r="L86" t="s">
        <v>27</v>
      </c>
      <c r="M86" t="s">
        <v>2534</v>
      </c>
      <c r="N86" t="s">
        <v>28</v>
      </c>
      <c r="O86" t="s">
        <v>60</v>
      </c>
      <c r="P86" t="s">
        <v>61</v>
      </c>
      <c r="Q86" t="s">
        <v>37</v>
      </c>
      <c r="R86">
        <v>4</v>
      </c>
      <c r="S86" t="s">
        <v>2535</v>
      </c>
      <c r="T86" t="s">
        <v>5015</v>
      </c>
      <c r="U86" t="s">
        <v>5015</v>
      </c>
      <c r="V86" t="s">
        <v>48</v>
      </c>
      <c r="W86" t="s">
        <v>33</v>
      </c>
      <c r="X86" t="s">
        <v>33</v>
      </c>
      <c r="Y86" t="s">
        <v>33</v>
      </c>
      <c r="Z86" t="s">
        <v>95</v>
      </c>
      <c r="AA86">
        <v>-75.596097999999998</v>
      </c>
      <c r="AB86">
        <v>6.2462520000000001</v>
      </c>
      <c r="AC86" t="s">
        <v>96</v>
      </c>
      <c r="AD86" t="s">
        <v>97</v>
      </c>
    </row>
    <row r="87" spans="1:30" x14ac:dyDescent="0.25">
      <c r="A87" t="s">
        <v>2536</v>
      </c>
      <c r="B87" t="s">
        <v>25</v>
      </c>
      <c r="C87" t="s">
        <v>26</v>
      </c>
      <c r="D87" t="s">
        <v>38</v>
      </c>
      <c r="E87" t="s">
        <v>2537</v>
      </c>
      <c r="F87" t="s">
        <v>2538</v>
      </c>
      <c r="G87">
        <v>1017207547</v>
      </c>
      <c r="H87" t="s">
        <v>2539</v>
      </c>
      <c r="I87" s="4" t="s">
        <v>2540</v>
      </c>
      <c r="J87" s="4" t="s">
        <v>2541</v>
      </c>
      <c r="K87" t="s">
        <v>2542</v>
      </c>
      <c r="L87" t="s">
        <v>27</v>
      </c>
      <c r="M87" t="s">
        <v>2543</v>
      </c>
      <c r="N87" t="s">
        <v>28</v>
      </c>
      <c r="O87" t="s">
        <v>39</v>
      </c>
      <c r="P87" t="s">
        <v>40</v>
      </c>
      <c r="Q87" t="s">
        <v>31</v>
      </c>
      <c r="R87">
        <v>5</v>
      </c>
      <c r="S87" t="s">
        <v>2544</v>
      </c>
      <c r="T87" t="s">
        <v>5016</v>
      </c>
      <c r="U87" t="s">
        <v>5017</v>
      </c>
      <c r="V87" t="s">
        <v>32</v>
      </c>
      <c r="W87" t="s">
        <v>33</v>
      </c>
      <c r="X87" t="s">
        <v>33</v>
      </c>
      <c r="Y87" t="s">
        <v>33</v>
      </c>
      <c r="Z87" s="16" t="s">
        <v>34</v>
      </c>
      <c r="AA87">
        <v>-75.541899689999994</v>
      </c>
      <c r="AB87">
        <v>6.2499323599999999</v>
      </c>
      <c r="AC87" t="s">
        <v>96</v>
      </c>
      <c r="AD87" t="s">
        <v>97</v>
      </c>
    </row>
    <row r="88" spans="1:30" x14ac:dyDescent="0.25">
      <c r="A88" t="s">
        <v>117</v>
      </c>
      <c r="B88" t="s">
        <v>25</v>
      </c>
      <c r="C88" t="s">
        <v>26</v>
      </c>
      <c r="D88" t="s">
        <v>38</v>
      </c>
      <c r="E88" t="s">
        <v>1147</v>
      </c>
      <c r="F88" t="s">
        <v>1148</v>
      </c>
      <c r="G88">
        <v>70567716</v>
      </c>
      <c r="H88" t="s">
        <v>114</v>
      </c>
      <c r="I88" s="4" t="s">
        <v>115</v>
      </c>
      <c r="J88" s="4" t="s">
        <v>116</v>
      </c>
      <c r="K88" t="s">
        <v>1149</v>
      </c>
      <c r="L88" t="s">
        <v>55</v>
      </c>
      <c r="M88" t="s">
        <v>118</v>
      </c>
      <c r="N88" t="s">
        <v>56</v>
      </c>
      <c r="O88" t="s">
        <v>45</v>
      </c>
      <c r="P88" t="s">
        <v>40</v>
      </c>
      <c r="Q88" t="s">
        <v>37</v>
      </c>
      <c r="R88">
        <v>8</v>
      </c>
      <c r="S88" t="s">
        <v>1150</v>
      </c>
      <c r="T88" t="s">
        <v>5018</v>
      </c>
      <c r="U88" t="s">
        <v>5019</v>
      </c>
      <c r="V88" t="s">
        <v>32</v>
      </c>
      <c r="W88" t="s">
        <v>33</v>
      </c>
      <c r="X88" t="s">
        <v>33</v>
      </c>
      <c r="Y88" t="s">
        <v>33</v>
      </c>
      <c r="Z88" s="16" t="s">
        <v>34</v>
      </c>
      <c r="AA88">
        <v>-75.626904001</v>
      </c>
      <c r="AB88">
        <v>6.0546154810000399</v>
      </c>
      <c r="AC88" t="s">
        <v>96</v>
      </c>
      <c r="AD88" t="s">
        <v>97</v>
      </c>
    </row>
    <row r="89" spans="1:30" x14ac:dyDescent="0.25">
      <c r="A89" t="s">
        <v>3118</v>
      </c>
      <c r="B89" t="s">
        <v>25</v>
      </c>
      <c r="C89" t="s">
        <v>26</v>
      </c>
      <c r="D89" t="s">
        <v>25</v>
      </c>
      <c r="E89" t="s">
        <v>3119</v>
      </c>
      <c r="F89" t="s">
        <v>3120</v>
      </c>
      <c r="G89">
        <v>15432150</v>
      </c>
      <c r="H89" t="s">
        <v>2918</v>
      </c>
      <c r="I89" s="4" t="s">
        <v>35</v>
      </c>
      <c r="J89" s="4" t="s">
        <v>2919</v>
      </c>
      <c r="K89" t="s">
        <v>3121</v>
      </c>
      <c r="L89" t="s">
        <v>27</v>
      </c>
      <c r="M89" t="s">
        <v>3122</v>
      </c>
      <c r="N89" t="s">
        <v>28</v>
      </c>
      <c r="O89" t="s">
        <v>29</v>
      </c>
      <c r="P89" t="s">
        <v>36</v>
      </c>
      <c r="Q89" t="s">
        <v>37</v>
      </c>
      <c r="R89">
        <v>10</v>
      </c>
      <c r="S89" t="s">
        <v>3123</v>
      </c>
      <c r="T89" t="s">
        <v>5020</v>
      </c>
      <c r="U89" t="s">
        <v>5021</v>
      </c>
      <c r="V89" t="s">
        <v>32</v>
      </c>
      <c r="W89" t="s">
        <v>33</v>
      </c>
      <c r="X89" t="s">
        <v>33</v>
      </c>
      <c r="Y89" t="s">
        <v>33</v>
      </c>
      <c r="Z89" s="16" t="s">
        <v>34</v>
      </c>
      <c r="AA89">
        <v>-75.521034470000004</v>
      </c>
      <c r="AB89">
        <v>6.2325751199999999</v>
      </c>
      <c r="AC89" t="s">
        <v>96</v>
      </c>
      <c r="AD89" t="s">
        <v>97</v>
      </c>
    </row>
    <row r="90" spans="1:30" x14ac:dyDescent="0.25">
      <c r="A90" t="s">
        <v>3874</v>
      </c>
      <c r="B90" t="s">
        <v>41</v>
      </c>
      <c r="C90" t="s">
        <v>70</v>
      </c>
      <c r="D90" t="s">
        <v>41</v>
      </c>
      <c r="E90" t="s">
        <v>3875</v>
      </c>
      <c r="F90" t="s">
        <v>3876</v>
      </c>
      <c r="G90">
        <v>14450692</v>
      </c>
      <c r="H90" t="s">
        <v>3877</v>
      </c>
      <c r="I90" s="4" t="s">
        <v>35</v>
      </c>
      <c r="J90" s="4" t="s">
        <v>3878</v>
      </c>
      <c r="K90" t="s">
        <v>3879</v>
      </c>
      <c r="L90" t="s">
        <v>27</v>
      </c>
      <c r="M90" t="s">
        <v>3880</v>
      </c>
      <c r="N90" t="s">
        <v>28</v>
      </c>
      <c r="O90" t="s">
        <v>71</v>
      </c>
      <c r="P90" t="s">
        <v>30</v>
      </c>
      <c r="Q90" t="s">
        <v>31</v>
      </c>
      <c r="R90">
        <v>7</v>
      </c>
      <c r="S90" t="s">
        <v>3881</v>
      </c>
      <c r="T90" t="s">
        <v>5022</v>
      </c>
      <c r="U90" t="s">
        <v>5023</v>
      </c>
      <c r="V90" t="s">
        <v>32</v>
      </c>
      <c r="W90" t="s">
        <v>33</v>
      </c>
      <c r="X90" t="s">
        <v>33</v>
      </c>
      <c r="Y90" t="s">
        <v>33</v>
      </c>
      <c r="Z90" s="16" t="s">
        <v>34</v>
      </c>
      <c r="AA90">
        <v>-75.596536599999993</v>
      </c>
      <c r="AB90">
        <v>6.23771437</v>
      </c>
      <c r="AC90" t="s">
        <v>96</v>
      </c>
      <c r="AD90" t="s">
        <v>97</v>
      </c>
    </row>
    <row r="91" spans="1:30" x14ac:dyDescent="0.25">
      <c r="A91" t="s">
        <v>218</v>
      </c>
      <c r="B91" t="s">
        <v>49</v>
      </c>
      <c r="C91" t="s">
        <v>26</v>
      </c>
      <c r="D91" t="s">
        <v>49</v>
      </c>
      <c r="E91" t="s">
        <v>219</v>
      </c>
      <c r="F91" t="s">
        <v>220</v>
      </c>
      <c r="G91">
        <v>1053809306</v>
      </c>
      <c r="H91" t="s">
        <v>221</v>
      </c>
      <c r="I91" s="4" t="s">
        <v>35</v>
      </c>
      <c r="J91" s="4" t="s">
        <v>222</v>
      </c>
      <c r="K91" t="s">
        <v>223</v>
      </c>
      <c r="L91" t="s">
        <v>27</v>
      </c>
      <c r="M91" t="s">
        <v>224</v>
      </c>
      <c r="N91" t="s">
        <v>28</v>
      </c>
      <c r="O91" t="s">
        <v>50</v>
      </c>
      <c r="P91" t="s">
        <v>51</v>
      </c>
      <c r="Q91" t="s">
        <v>31</v>
      </c>
      <c r="R91">
        <v>11</v>
      </c>
      <c r="S91" t="s">
        <v>225</v>
      </c>
      <c r="T91" t="s">
        <v>5024</v>
      </c>
      <c r="U91" t="s">
        <v>5025</v>
      </c>
      <c r="V91" t="s">
        <v>32</v>
      </c>
      <c r="W91" t="s">
        <v>33</v>
      </c>
      <c r="X91" t="s">
        <v>33</v>
      </c>
      <c r="Y91" t="s">
        <v>33</v>
      </c>
      <c r="Z91" s="16" t="s">
        <v>34</v>
      </c>
      <c r="AA91">
        <v>-75.539640250000005</v>
      </c>
      <c r="AB91">
        <v>6.2475234500000001</v>
      </c>
      <c r="AC91" t="s">
        <v>96</v>
      </c>
      <c r="AD91" t="s">
        <v>97</v>
      </c>
    </row>
    <row r="92" spans="1:30" x14ac:dyDescent="0.25">
      <c r="A92" t="s">
        <v>119</v>
      </c>
      <c r="B92" t="s">
        <v>49</v>
      </c>
      <c r="C92" t="s">
        <v>26</v>
      </c>
      <c r="D92" t="s">
        <v>49</v>
      </c>
      <c r="E92" t="s">
        <v>120</v>
      </c>
      <c r="F92" t="s">
        <v>121</v>
      </c>
      <c r="G92">
        <v>1128407195</v>
      </c>
      <c r="H92" t="s">
        <v>122</v>
      </c>
      <c r="I92" s="4" t="s">
        <v>35</v>
      </c>
      <c r="J92" s="4" t="s">
        <v>123</v>
      </c>
      <c r="K92" t="s">
        <v>124</v>
      </c>
      <c r="L92" t="s">
        <v>27</v>
      </c>
      <c r="M92" t="s">
        <v>125</v>
      </c>
      <c r="N92" t="s">
        <v>28</v>
      </c>
      <c r="O92" t="s">
        <v>126</v>
      </c>
      <c r="P92" t="s">
        <v>36</v>
      </c>
      <c r="Q92" t="s">
        <v>31</v>
      </c>
      <c r="R92">
        <v>0</v>
      </c>
      <c r="T92" t="s">
        <v>5026</v>
      </c>
      <c r="V92" t="s">
        <v>93</v>
      </c>
      <c r="W92" t="s">
        <v>33</v>
      </c>
      <c r="X92" t="s">
        <v>33</v>
      </c>
      <c r="Y92" t="s">
        <v>33</v>
      </c>
      <c r="Z92" t="s">
        <v>95</v>
      </c>
      <c r="AA92">
        <v>-75.630776999999995</v>
      </c>
      <c r="AB92">
        <v>6.2531040000000004</v>
      </c>
      <c r="AC92" t="s">
        <v>96</v>
      </c>
      <c r="AD92" t="s">
        <v>97</v>
      </c>
    </row>
    <row r="93" spans="1:30" x14ac:dyDescent="0.25">
      <c r="A93" t="s">
        <v>1892</v>
      </c>
      <c r="B93" t="s">
        <v>25</v>
      </c>
      <c r="C93" t="s">
        <v>26</v>
      </c>
      <c r="D93" t="s">
        <v>25</v>
      </c>
      <c r="E93" t="s">
        <v>1893</v>
      </c>
      <c r="F93" t="s">
        <v>1894</v>
      </c>
      <c r="G93">
        <v>1017153579</v>
      </c>
      <c r="H93" t="s">
        <v>1895</v>
      </c>
      <c r="I93" s="4" t="s">
        <v>1896</v>
      </c>
      <c r="J93" s="4" t="s">
        <v>1897</v>
      </c>
      <c r="K93" t="s">
        <v>1898</v>
      </c>
      <c r="L93" t="s">
        <v>27</v>
      </c>
      <c r="M93" t="s">
        <v>1899</v>
      </c>
      <c r="N93" t="s">
        <v>28</v>
      </c>
      <c r="O93" t="s">
        <v>29</v>
      </c>
      <c r="P93" t="s">
        <v>36</v>
      </c>
      <c r="Q93" t="s">
        <v>31</v>
      </c>
      <c r="R93">
        <v>7</v>
      </c>
      <c r="S93" t="s">
        <v>1900</v>
      </c>
      <c r="T93" t="s">
        <v>3088</v>
      </c>
      <c r="U93" t="s">
        <v>3089</v>
      </c>
      <c r="V93" t="s">
        <v>48</v>
      </c>
      <c r="W93" t="s">
        <v>33</v>
      </c>
      <c r="X93" t="s">
        <v>33</v>
      </c>
      <c r="Y93" t="s">
        <v>33</v>
      </c>
      <c r="Z93" s="16" t="s">
        <v>34</v>
      </c>
      <c r="AA93">
        <v>-75.626585520000006</v>
      </c>
      <c r="AB93">
        <v>6.25529286</v>
      </c>
      <c r="AC93" t="s">
        <v>96</v>
      </c>
      <c r="AD93" t="s">
        <v>97</v>
      </c>
    </row>
    <row r="94" spans="1:30" x14ac:dyDescent="0.25">
      <c r="A94" t="s">
        <v>3124</v>
      </c>
      <c r="B94" t="s">
        <v>25</v>
      </c>
      <c r="C94" t="s">
        <v>26</v>
      </c>
      <c r="D94" t="s">
        <v>25</v>
      </c>
      <c r="E94" t="s">
        <v>3125</v>
      </c>
      <c r="F94" t="s">
        <v>3126</v>
      </c>
      <c r="G94">
        <v>8356772</v>
      </c>
      <c r="H94" t="s">
        <v>3127</v>
      </c>
      <c r="I94" s="4" t="s">
        <v>35</v>
      </c>
      <c r="J94" s="4" t="s">
        <v>3128</v>
      </c>
      <c r="K94" t="s">
        <v>3129</v>
      </c>
      <c r="L94" t="s">
        <v>27</v>
      </c>
      <c r="M94" t="s">
        <v>3130</v>
      </c>
      <c r="N94" t="s">
        <v>28</v>
      </c>
      <c r="O94" t="s">
        <v>29</v>
      </c>
      <c r="P94" t="s">
        <v>36</v>
      </c>
      <c r="Q94" t="s">
        <v>31</v>
      </c>
      <c r="R94">
        <v>7</v>
      </c>
      <c r="S94" t="s">
        <v>3131</v>
      </c>
      <c r="T94" t="s">
        <v>3346</v>
      </c>
      <c r="U94" t="s">
        <v>5027</v>
      </c>
      <c r="V94" t="s">
        <v>32</v>
      </c>
      <c r="W94" t="s">
        <v>33</v>
      </c>
      <c r="X94" t="s">
        <v>33</v>
      </c>
      <c r="Y94" t="s">
        <v>33</v>
      </c>
      <c r="Z94" s="16" t="s">
        <v>34</v>
      </c>
      <c r="AA94">
        <v>-75.621635350000005</v>
      </c>
      <c r="AB94">
        <v>6.2521930799999996</v>
      </c>
      <c r="AC94" t="s">
        <v>96</v>
      </c>
      <c r="AD94" t="s">
        <v>97</v>
      </c>
    </row>
    <row r="95" spans="1:30" x14ac:dyDescent="0.25">
      <c r="A95" t="s">
        <v>1901</v>
      </c>
      <c r="B95" t="s">
        <v>25</v>
      </c>
      <c r="C95" t="s">
        <v>26</v>
      </c>
      <c r="D95" t="s">
        <v>25</v>
      </c>
      <c r="E95" t="s">
        <v>1902</v>
      </c>
      <c r="F95" t="s">
        <v>1903</v>
      </c>
      <c r="G95">
        <v>1036221092</v>
      </c>
      <c r="H95" t="s">
        <v>1904</v>
      </c>
      <c r="I95" s="4" t="s">
        <v>35</v>
      </c>
      <c r="J95" s="4" t="s">
        <v>1905</v>
      </c>
      <c r="K95" t="s">
        <v>1906</v>
      </c>
      <c r="L95" t="s">
        <v>27</v>
      </c>
      <c r="M95" t="s">
        <v>1907</v>
      </c>
      <c r="N95" t="s">
        <v>28</v>
      </c>
      <c r="O95" t="s">
        <v>29</v>
      </c>
      <c r="P95" t="s">
        <v>36</v>
      </c>
      <c r="Q95" t="s">
        <v>31</v>
      </c>
      <c r="R95">
        <v>7</v>
      </c>
      <c r="S95" t="s">
        <v>1908</v>
      </c>
      <c r="T95" t="s">
        <v>3056</v>
      </c>
      <c r="U95" t="s">
        <v>3099</v>
      </c>
      <c r="V95" t="s">
        <v>48</v>
      </c>
      <c r="W95" t="s">
        <v>33</v>
      </c>
      <c r="X95" t="s">
        <v>33</v>
      </c>
      <c r="Y95" t="s">
        <v>33</v>
      </c>
      <c r="Z95" s="16" t="s">
        <v>34</v>
      </c>
      <c r="AA95">
        <v>-75.552690999999996</v>
      </c>
      <c r="AB95">
        <v>6.206321</v>
      </c>
      <c r="AC95" t="s">
        <v>96</v>
      </c>
      <c r="AD95" t="s">
        <v>97</v>
      </c>
    </row>
    <row r="96" spans="1:30" x14ac:dyDescent="0.25">
      <c r="A96" t="s">
        <v>1151</v>
      </c>
      <c r="B96" t="s">
        <v>25</v>
      </c>
      <c r="C96" t="s">
        <v>26</v>
      </c>
      <c r="D96" t="s">
        <v>38</v>
      </c>
      <c r="E96" t="s">
        <v>1152</v>
      </c>
      <c r="F96" t="s">
        <v>1153</v>
      </c>
      <c r="G96">
        <v>1000922602</v>
      </c>
      <c r="H96" t="s">
        <v>1154</v>
      </c>
      <c r="I96" s="4" t="s">
        <v>35</v>
      </c>
      <c r="J96" s="4" t="s">
        <v>1155</v>
      </c>
      <c r="K96" t="s">
        <v>1156</v>
      </c>
      <c r="L96" t="s">
        <v>55</v>
      </c>
      <c r="M96" t="s">
        <v>1157</v>
      </c>
      <c r="N96" t="s">
        <v>56</v>
      </c>
      <c r="O96" t="s">
        <v>45</v>
      </c>
      <c r="P96" t="s">
        <v>40</v>
      </c>
      <c r="Q96" t="s">
        <v>37</v>
      </c>
      <c r="R96">
        <v>8</v>
      </c>
      <c r="S96" t="s">
        <v>1158</v>
      </c>
      <c r="T96" t="s">
        <v>5028</v>
      </c>
      <c r="U96" t="s">
        <v>5029</v>
      </c>
      <c r="V96" t="s">
        <v>32</v>
      </c>
      <c r="W96" t="s">
        <v>33</v>
      </c>
      <c r="X96" t="s">
        <v>33</v>
      </c>
      <c r="Y96" t="s">
        <v>33</v>
      </c>
      <c r="Z96" s="16" t="s">
        <v>34</v>
      </c>
      <c r="AA96">
        <v>-75.626904001</v>
      </c>
      <c r="AB96">
        <v>6.0546154810000399</v>
      </c>
      <c r="AC96" t="s">
        <v>96</v>
      </c>
      <c r="AD96" t="s">
        <v>97</v>
      </c>
    </row>
    <row r="97" spans="1:30" x14ac:dyDescent="0.25">
      <c r="A97" t="s">
        <v>841</v>
      </c>
      <c r="B97" t="s">
        <v>25</v>
      </c>
      <c r="C97" t="s">
        <v>26</v>
      </c>
      <c r="D97" t="s">
        <v>38</v>
      </c>
      <c r="E97" t="s">
        <v>562</v>
      </c>
      <c r="F97" t="s">
        <v>563</v>
      </c>
      <c r="G97">
        <v>98520547</v>
      </c>
      <c r="H97" t="s">
        <v>564</v>
      </c>
      <c r="I97" s="4" t="s">
        <v>565</v>
      </c>
      <c r="J97" s="4" t="s">
        <v>566</v>
      </c>
      <c r="K97" t="s">
        <v>567</v>
      </c>
      <c r="L97" t="s">
        <v>27</v>
      </c>
      <c r="M97" t="s">
        <v>568</v>
      </c>
      <c r="N97" t="s">
        <v>28</v>
      </c>
      <c r="O97" t="s">
        <v>45</v>
      </c>
      <c r="P97" t="s">
        <v>40</v>
      </c>
      <c r="Q97" t="s">
        <v>31</v>
      </c>
      <c r="R97">
        <v>5</v>
      </c>
      <c r="S97" t="s">
        <v>569</v>
      </c>
      <c r="T97" t="s">
        <v>5030</v>
      </c>
      <c r="U97" t="s">
        <v>46</v>
      </c>
      <c r="V97" t="s">
        <v>46</v>
      </c>
      <c r="W97" t="s">
        <v>33</v>
      </c>
      <c r="X97" t="s">
        <v>33</v>
      </c>
      <c r="Y97" t="s">
        <v>33</v>
      </c>
      <c r="Z97" s="16" t="s">
        <v>34</v>
      </c>
      <c r="AA97">
        <v>-75.612572119999996</v>
      </c>
      <c r="AB97">
        <v>6.2721151300000004</v>
      </c>
      <c r="AC97" t="s">
        <v>96</v>
      </c>
      <c r="AD97" t="s">
        <v>97</v>
      </c>
    </row>
    <row r="98" spans="1:30" x14ac:dyDescent="0.25">
      <c r="A98" t="s">
        <v>1909</v>
      </c>
      <c r="B98" t="s">
        <v>25</v>
      </c>
      <c r="C98" t="s">
        <v>26</v>
      </c>
      <c r="D98" t="s">
        <v>25</v>
      </c>
      <c r="E98" t="s">
        <v>1910</v>
      </c>
      <c r="F98" t="s">
        <v>1911</v>
      </c>
      <c r="G98">
        <v>71392765</v>
      </c>
      <c r="H98" t="s">
        <v>1912</v>
      </c>
      <c r="I98" s="4" t="s">
        <v>35</v>
      </c>
      <c r="J98" s="4" t="s">
        <v>1913</v>
      </c>
      <c r="K98" t="s">
        <v>1914</v>
      </c>
      <c r="L98" t="s">
        <v>53</v>
      </c>
      <c r="M98" t="s">
        <v>1915</v>
      </c>
      <c r="N98" t="s">
        <v>54</v>
      </c>
      <c r="O98" t="s">
        <v>29</v>
      </c>
      <c r="P98" t="s">
        <v>36</v>
      </c>
      <c r="Q98" t="s">
        <v>31</v>
      </c>
      <c r="R98">
        <v>7</v>
      </c>
      <c r="S98" t="s">
        <v>1916</v>
      </c>
      <c r="T98" t="s">
        <v>5031</v>
      </c>
      <c r="U98" t="s">
        <v>5032</v>
      </c>
      <c r="V98" t="s">
        <v>32</v>
      </c>
      <c r="W98" t="s">
        <v>33</v>
      </c>
      <c r="X98" t="s">
        <v>33</v>
      </c>
      <c r="Y98" t="s">
        <v>33</v>
      </c>
      <c r="Z98" s="16" t="s">
        <v>34</v>
      </c>
      <c r="AA98">
        <v>-75.639766519999995</v>
      </c>
      <c r="AB98">
        <v>6.1332967500000004</v>
      </c>
      <c r="AC98" t="s">
        <v>96</v>
      </c>
      <c r="AD98" t="s">
        <v>97</v>
      </c>
    </row>
    <row r="99" spans="1:30" x14ac:dyDescent="0.25">
      <c r="A99" t="s">
        <v>842</v>
      </c>
      <c r="B99" t="s">
        <v>59</v>
      </c>
      <c r="C99" t="s">
        <v>26</v>
      </c>
      <c r="D99" t="s">
        <v>59</v>
      </c>
      <c r="E99" t="s">
        <v>570</v>
      </c>
      <c r="F99" t="s">
        <v>571</v>
      </c>
      <c r="G99">
        <v>8235388</v>
      </c>
      <c r="H99" t="s">
        <v>572</v>
      </c>
      <c r="I99" s="4" t="s">
        <v>573</v>
      </c>
      <c r="J99" s="4" t="s">
        <v>574</v>
      </c>
      <c r="K99" t="s">
        <v>575</v>
      </c>
      <c r="L99" t="s">
        <v>43</v>
      </c>
      <c r="M99" t="s">
        <v>576</v>
      </c>
      <c r="N99" t="s">
        <v>44</v>
      </c>
      <c r="O99" t="s">
        <v>60</v>
      </c>
      <c r="P99" t="s">
        <v>61</v>
      </c>
      <c r="Q99" t="s">
        <v>31</v>
      </c>
      <c r="R99">
        <v>4</v>
      </c>
      <c r="S99" t="s">
        <v>577</v>
      </c>
      <c r="T99" t="s">
        <v>2083</v>
      </c>
      <c r="U99" t="s">
        <v>46</v>
      </c>
      <c r="V99" t="s">
        <v>46</v>
      </c>
      <c r="W99" t="s">
        <v>33</v>
      </c>
      <c r="X99" t="s">
        <v>33</v>
      </c>
      <c r="Y99" t="s">
        <v>33</v>
      </c>
      <c r="Z99" t="s">
        <v>95</v>
      </c>
      <c r="AA99">
        <v>-75.607604859999995</v>
      </c>
      <c r="AB99">
        <v>6.1648899000000004</v>
      </c>
      <c r="AC99" t="s">
        <v>96</v>
      </c>
      <c r="AD99" t="s">
        <v>97</v>
      </c>
    </row>
    <row r="100" spans="1:30" x14ac:dyDescent="0.25">
      <c r="A100" t="s">
        <v>2545</v>
      </c>
      <c r="B100" t="s">
        <v>25</v>
      </c>
      <c r="C100" t="s">
        <v>26</v>
      </c>
      <c r="D100" t="s">
        <v>38</v>
      </c>
      <c r="E100" t="s">
        <v>2546</v>
      </c>
      <c r="F100" t="s">
        <v>2547</v>
      </c>
      <c r="G100">
        <v>43905763</v>
      </c>
      <c r="H100" t="s">
        <v>2548</v>
      </c>
      <c r="I100" s="4" t="s">
        <v>35</v>
      </c>
      <c r="J100" s="4" t="s">
        <v>2549</v>
      </c>
      <c r="K100" t="s">
        <v>2550</v>
      </c>
      <c r="L100" t="s">
        <v>27</v>
      </c>
      <c r="M100" t="s">
        <v>2551</v>
      </c>
      <c r="N100" t="s">
        <v>28</v>
      </c>
      <c r="O100" t="s">
        <v>45</v>
      </c>
      <c r="P100" t="s">
        <v>40</v>
      </c>
      <c r="Q100" t="s">
        <v>31</v>
      </c>
      <c r="R100">
        <v>5</v>
      </c>
      <c r="S100" t="s">
        <v>2552</v>
      </c>
      <c r="T100" t="s">
        <v>5033</v>
      </c>
      <c r="U100" t="s">
        <v>5034</v>
      </c>
      <c r="V100" t="s">
        <v>32</v>
      </c>
      <c r="W100" t="s">
        <v>33</v>
      </c>
      <c r="X100" t="s">
        <v>33</v>
      </c>
      <c r="Y100" t="s">
        <v>33</v>
      </c>
      <c r="Z100" s="16" t="s">
        <v>34</v>
      </c>
      <c r="AA100">
        <v>-75.614079919999995</v>
      </c>
      <c r="AB100">
        <v>6.2759147000000004</v>
      </c>
      <c r="AC100" t="s">
        <v>96</v>
      </c>
      <c r="AD100" t="s">
        <v>97</v>
      </c>
    </row>
    <row r="101" spans="1:30" x14ac:dyDescent="0.25">
      <c r="A101" t="s">
        <v>3133</v>
      </c>
      <c r="B101" t="s">
        <v>41</v>
      </c>
      <c r="C101" t="s">
        <v>26</v>
      </c>
      <c r="D101" t="s">
        <v>41</v>
      </c>
      <c r="E101" t="s">
        <v>3134</v>
      </c>
      <c r="F101" t="s">
        <v>3135</v>
      </c>
      <c r="G101">
        <v>890980331</v>
      </c>
      <c r="H101" t="s">
        <v>3136</v>
      </c>
      <c r="I101" s="4" t="s">
        <v>3137</v>
      </c>
      <c r="J101" s="4" t="s">
        <v>3138</v>
      </c>
      <c r="K101" t="s">
        <v>3139</v>
      </c>
      <c r="L101" t="s">
        <v>57</v>
      </c>
      <c r="M101" t="s">
        <v>3140</v>
      </c>
      <c r="N101" t="s">
        <v>58</v>
      </c>
      <c r="O101" t="s">
        <v>42</v>
      </c>
      <c r="P101" t="s">
        <v>36</v>
      </c>
      <c r="Q101" t="s">
        <v>31</v>
      </c>
      <c r="R101">
        <v>7</v>
      </c>
      <c r="S101" t="s">
        <v>3141</v>
      </c>
      <c r="T101" t="s">
        <v>5035</v>
      </c>
      <c r="U101" t="s">
        <v>5036</v>
      </c>
      <c r="V101" t="s">
        <v>32</v>
      </c>
      <c r="W101" t="s">
        <v>33</v>
      </c>
      <c r="X101" t="s">
        <v>33</v>
      </c>
      <c r="Y101" t="s">
        <v>33</v>
      </c>
      <c r="Z101" s="16" t="s">
        <v>34</v>
      </c>
      <c r="AA101">
        <v>-75.616439</v>
      </c>
      <c r="AB101">
        <v>6.1512349999999998</v>
      </c>
      <c r="AC101" t="s">
        <v>96</v>
      </c>
      <c r="AD101" t="s">
        <v>97</v>
      </c>
    </row>
    <row r="102" spans="1:30" x14ac:dyDescent="0.25">
      <c r="A102" t="s">
        <v>3883</v>
      </c>
      <c r="B102" t="s">
        <v>25</v>
      </c>
      <c r="C102" t="s">
        <v>26</v>
      </c>
      <c r="D102" t="s">
        <v>38</v>
      </c>
      <c r="E102" t="s">
        <v>3884</v>
      </c>
      <c r="F102" t="s">
        <v>3885</v>
      </c>
      <c r="G102">
        <v>39457471</v>
      </c>
      <c r="H102" t="s">
        <v>3886</v>
      </c>
      <c r="I102" s="4" t="s">
        <v>35</v>
      </c>
      <c r="J102" s="4" t="s">
        <v>3887</v>
      </c>
      <c r="K102" t="s">
        <v>3888</v>
      </c>
      <c r="L102" t="s">
        <v>27</v>
      </c>
      <c r="M102" t="s">
        <v>3889</v>
      </c>
      <c r="N102" t="s">
        <v>28</v>
      </c>
      <c r="O102" t="s">
        <v>45</v>
      </c>
      <c r="P102" t="s">
        <v>40</v>
      </c>
      <c r="Q102" t="s">
        <v>37</v>
      </c>
      <c r="R102">
        <v>8</v>
      </c>
      <c r="S102" t="s">
        <v>3890</v>
      </c>
      <c r="T102" t="s">
        <v>4961</v>
      </c>
      <c r="U102" t="s">
        <v>4962</v>
      </c>
      <c r="V102" t="s">
        <v>32</v>
      </c>
      <c r="W102" t="s">
        <v>33</v>
      </c>
      <c r="X102" t="s">
        <v>33</v>
      </c>
      <c r="Y102" t="s">
        <v>33</v>
      </c>
      <c r="Z102" s="16" t="s">
        <v>34</v>
      </c>
      <c r="AA102">
        <v>-75.517985139999993</v>
      </c>
      <c r="AB102">
        <v>6.2000392299999998</v>
      </c>
      <c r="AC102" t="s">
        <v>96</v>
      </c>
      <c r="AD102" t="s">
        <v>97</v>
      </c>
    </row>
    <row r="103" spans="1:30" x14ac:dyDescent="0.25">
      <c r="A103" t="s">
        <v>3142</v>
      </c>
      <c r="B103" t="s">
        <v>41</v>
      </c>
      <c r="C103" t="s">
        <v>26</v>
      </c>
      <c r="D103" t="s">
        <v>41</v>
      </c>
      <c r="E103" t="s">
        <v>3143</v>
      </c>
      <c r="F103" t="s">
        <v>3144</v>
      </c>
      <c r="G103">
        <v>890980331</v>
      </c>
      <c r="H103" t="s">
        <v>3136</v>
      </c>
      <c r="I103" s="4" t="s">
        <v>3137</v>
      </c>
      <c r="J103" s="4" t="s">
        <v>3138</v>
      </c>
      <c r="K103" t="s">
        <v>3145</v>
      </c>
      <c r="L103" t="s">
        <v>57</v>
      </c>
      <c r="M103" t="s">
        <v>3146</v>
      </c>
      <c r="N103" t="s">
        <v>58</v>
      </c>
      <c r="O103" t="s">
        <v>42</v>
      </c>
      <c r="P103" t="s">
        <v>36</v>
      </c>
      <c r="Q103" t="s">
        <v>31</v>
      </c>
      <c r="R103">
        <v>7</v>
      </c>
      <c r="S103" t="s">
        <v>3147</v>
      </c>
      <c r="T103" t="s">
        <v>5037</v>
      </c>
      <c r="U103" t="s">
        <v>5038</v>
      </c>
      <c r="V103" t="s">
        <v>32</v>
      </c>
      <c r="W103" t="s">
        <v>33</v>
      </c>
      <c r="X103" t="s">
        <v>33</v>
      </c>
      <c r="Y103" t="s">
        <v>33</v>
      </c>
      <c r="Z103" s="16" t="s">
        <v>34</v>
      </c>
      <c r="AA103">
        <v>-75.616439</v>
      </c>
      <c r="AB103">
        <v>6.1512349999999998</v>
      </c>
      <c r="AC103" t="s">
        <v>96</v>
      </c>
      <c r="AD103" t="s">
        <v>97</v>
      </c>
    </row>
    <row r="104" spans="1:30" x14ac:dyDescent="0.25">
      <c r="A104" t="s">
        <v>3891</v>
      </c>
      <c r="B104" t="s">
        <v>25</v>
      </c>
      <c r="C104" t="s">
        <v>26</v>
      </c>
      <c r="D104" t="s">
        <v>25</v>
      </c>
      <c r="E104" t="s">
        <v>3892</v>
      </c>
      <c r="F104" t="s">
        <v>3893</v>
      </c>
      <c r="G104">
        <v>1128430553</v>
      </c>
      <c r="H104" t="s">
        <v>3894</v>
      </c>
      <c r="I104" s="4" t="s">
        <v>77</v>
      </c>
      <c r="J104" s="4" t="s">
        <v>3895</v>
      </c>
      <c r="K104" t="s">
        <v>3896</v>
      </c>
      <c r="L104" t="s">
        <v>27</v>
      </c>
      <c r="M104" t="s">
        <v>3897</v>
      </c>
      <c r="N104" t="s">
        <v>28</v>
      </c>
      <c r="O104" t="s">
        <v>29</v>
      </c>
      <c r="P104" t="s">
        <v>36</v>
      </c>
      <c r="Q104" t="s">
        <v>31</v>
      </c>
      <c r="R104">
        <v>7</v>
      </c>
      <c r="S104" t="s">
        <v>3898</v>
      </c>
      <c r="T104" t="s">
        <v>5039</v>
      </c>
      <c r="U104" t="s">
        <v>5040</v>
      </c>
      <c r="V104" t="s">
        <v>32</v>
      </c>
      <c r="W104" t="s">
        <v>33</v>
      </c>
      <c r="X104" t="s">
        <v>33</v>
      </c>
      <c r="Y104" t="s">
        <v>33</v>
      </c>
      <c r="Z104" s="16" t="s">
        <v>34</v>
      </c>
      <c r="AA104">
        <v>-75.530640000000005</v>
      </c>
      <c r="AB104">
        <v>6.2282270000000004</v>
      </c>
      <c r="AC104" t="s">
        <v>96</v>
      </c>
      <c r="AD104" t="s">
        <v>97</v>
      </c>
    </row>
    <row r="105" spans="1:30" x14ac:dyDescent="0.25">
      <c r="A105" t="s">
        <v>1917</v>
      </c>
      <c r="B105" t="s">
        <v>41</v>
      </c>
      <c r="C105" t="s">
        <v>70</v>
      </c>
      <c r="D105" t="s">
        <v>41</v>
      </c>
      <c r="E105" t="s">
        <v>1918</v>
      </c>
      <c r="F105" t="s">
        <v>1919</v>
      </c>
      <c r="G105">
        <v>43598334</v>
      </c>
      <c r="H105" t="s">
        <v>1920</v>
      </c>
      <c r="I105" s="4" t="s">
        <v>1921</v>
      </c>
      <c r="J105" s="4" t="s">
        <v>1922</v>
      </c>
      <c r="K105" t="s">
        <v>1923</v>
      </c>
      <c r="L105" t="s">
        <v>27</v>
      </c>
      <c r="M105" t="s">
        <v>1924</v>
      </c>
      <c r="N105" t="s">
        <v>28</v>
      </c>
      <c r="O105" t="s">
        <v>71</v>
      </c>
      <c r="P105" t="s">
        <v>30</v>
      </c>
      <c r="Q105" t="s">
        <v>31</v>
      </c>
      <c r="R105">
        <v>7</v>
      </c>
      <c r="S105" t="s">
        <v>1925</v>
      </c>
      <c r="T105" t="s">
        <v>3149</v>
      </c>
      <c r="U105" t="s">
        <v>3148</v>
      </c>
      <c r="V105" t="s">
        <v>32</v>
      </c>
      <c r="W105" t="s">
        <v>33</v>
      </c>
      <c r="X105" t="s">
        <v>33</v>
      </c>
      <c r="Y105" t="s">
        <v>33</v>
      </c>
      <c r="Z105" s="16" t="s">
        <v>34</v>
      </c>
      <c r="AA105">
        <v>-75.584538330000001</v>
      </c>
      <c r="AB105">
        <v>6.2268114600000004</v>
      </c>
      <c r="AC105" t="s">
        <v>96</v>
      </c>
      <c r="AD105" t="s">
        <v>97</v>
      </c>
    </row>
    <row r="106" spans="1:30" x14ac:dyDescent="0.25">
      <c r="A106" t="s">
        <v>1291</v>
      </c>
      <c r="B106" t="s">
        <v>25</v>
      </c>
      <c r="C106" t="s">
        <v>26</v>
      </c>
      <c r="D106" t="s">
        <v>38</v>
      </c>
      <c r="E106" t="s">
        <v>1292</v>
      </c>
      <c r="F106" t="s">
        <v>1293</v>
      </c>
      <c r="G106">
        <v>1035282732</v>
      </c>
      <c r="H106" t="s">
        <v>1294</v>
      </c>
      <c r="I106" s="4" t="s">
        <v>35</v>
      </c>
      <c r="J106" s="4" t="s">
        <v>1295</v>
      </c>
      <c r="K106" t="s">
        <v>1296</v>
      </c>
      <c r="L106" t="s">
        <v>27</v>
      </c>
      <c r="M106" t="s">
        <v>1297</v>
      </c>
      <c r="N106" t="s">
        <v>28</v>
      </c>
      <c r="O106" t="s">
        <v>39</v>
      </c>
      <c r="P106" t="s">
        <v>40</v>
      </c>
      <c r="Q106" t="s">
        <v>31</v>
      </c>
      <c r="R106">
        <v>5</v>
      </c>
      <c r="S106" t="s">
        <v>1298</v>
      </c>
      <c r="T106" t="s">
        <v>1676</v>
      </c>
      <c r="U106" t="s">
        <v>3150</v>
      </c>
      <c r="V106" t="s">
        <v>48</v>
      </c>
      <c r="W106" t="s">
        <v>33</v>
      </c>
      <c r="X106" t="s">
        <v>33</v>
      </c>
      <c r="Y106" t="s">
        <v>33</v>
      </c>
      <c r="Z106" s="16" t="s">
        <v>34</v>
      </c>
      <c r="AA106">
        <v>-75.606132000000002</v>
      </c>
      <c r="AB106">
        <v>6.2782210000000003</v>
      </c>
      <c r="AC106" t="s">
        <v>96</v>
      </c>
      <c r="AD106" t="s">
        <v>97</v>
      </c>
    </row>
    <row r="107" spans="1:30" x14ac:dyDescent="0.25">
      <c r="A107" t="s">
        <v>3899</v>
      </c>
      <c r="B107" t="s">
        <v>25</v>
      </c>
      <c r="C107" t="s">
        <v>26</v>
      </c>
      <c r="D107" t="s">
        <v>38</v>
      </c>
      <c r="E107" t="s">
        <v>3900</v>
      </c>
      <c r="F107" t="s">
        <v>3901</v>
      </c>
      <c r="G107">
        <v>8303770</v>
      </c>
      <c r="H107" t="s">
        <v>3902</v>
      </c>
      <c r="I107" s="4" t="s">
        <v>3903</v>
      </c>
      <c r="J107" s="4" t="s">
        <v>3904</v>
      </c>
      <c r="K107" t="s">
        <v>3905</v>
      </c>
      <c r="L107" t="s">
        <v>27</v>
      </c>
      <c r="M107" t="s">
        <v>3906</v>
      </c>
      <c r="N107" t="s">
        <v>28</v>
      </c>
      <c r="O107" t="s">
        <v>45</v>
      </c>
      <c r="P107" t="s">
        <v>40</v>
      </c>
      <c r="Q107" t="s">
        <v>31</v>
      </c>
      <c r="R107">
        <v>5</v>
      </c>
      <c r="S107" t="s">
        <v>3907</v>
      </c>
      <c r="T107" t="s">
        <v>5041</v>
      </c>
      <c r="U107" t="s">
        <v>5042</v>
      </c>
      <c r="V107" t="s">
        <v>32</v>
      </c>
      <c r="W107" t="s">
        <v>33</v>
      </c>
      <c r="X107" t="s">
        <v>33</v>
      </c>
      <c r="Y107" t="s">
        <v>33</v>
      </c>
      <c r="Z107" t="s">
        <v>95</v>
      </c>
      <c r="AA107">
        <v>-75.620059999999995</v>
      </c>
      <c r="AB107">
        <v>6.2235250000000004</v>
      </c>
      <c r="AC107" t="s">
        <v>96</v>
      </c>
      <c r="AD107" t="s">
        <v>97</v>
      </c>
    </row>
    <row r="108" spans="1:30" x14ac:dyDescent="0.25">
      <c r="A108" t="s">
        <v>2553</v>
      </c>
      <c r="B108" t="s">
        <v>25</v>
      </c>
      <c r="C108" t="s">
        <v>26</v>
      </c>
      <c r="D108" t="s">
        <v>25</v>
      </c>
      <c r="E108" t="s">
        <v>2554</v>
      </c>
      <c r="F108" t="s">
        <v>2555</v>
      </c>
      <c r="G108">
        <v>900431348</v>
      </c>
      <c r="H108" t="s">
        <v>2556</v>
      </c>
      <c r="I108" s="4" t="s">
        <v>2557</v>
      </c>
      <c r="J108" s="4" t="s">
        <v>232</v>
      </c>
      <c r="K108" t="s">
        <v>2558</v>
      </c>
      <c r="L108" t="s">
        <v>27</v>
      </c>
      <c r="M108" t="s">
        <v>2559</v>
      </c>
      <c r="N108" t="s">
        <v>28</v>
      </c>
      <c r="O108" t="s">
        <v>29</v>
      </c>
      <c r="P108" t="s">
        <v>30</v>
      </c>
      <c r="Q108" t="s">
        <v>31</v>
      </c>
      <c r="R108">
        <v>7</v>
      </c>
      <c r="S108" t="s">
        <v>2560</v>
      </c>
      <c r="T108" t="s">
        <v>3344</v>
      </c>
      <c r="U108" t="s">
        <v>2577</v>
      </c>
      <c r="V108" t="s">
        <v>32</v>
      </c>
      <c r="W108" t="s">
        <v>33</v>
      </c>
      <c r="X108" t="s">
        <v>33</v>
      </c>
      <c r="Y108" t="s">
        <v>33</v>
      </c>
      <c r="Z108" s="16" t="s">
        <v>34</v>
      </c>
      <c r="AA108">
        <v>-75.570388089999994</v>
      </c>
      <c r="AB108">
        <v>6.2114669100000004</v>
      </c>
      <c r="AC108" t="s">
        <v>96</v>
      </c>
      <c r="AD108" t="s">
        <v>97</v>
      </c>
    </row>
    <row r="109" spans="1:30" x14ac:dyDescent="0.25">
      <c r="A109" t="s">
        <v>1926</v>
      </c>
      <c r="B109" t="s">
        <v>25</v>
      </c>
      <c r="C109" t="s">
        <v>26</v>
      </c>
      <c r="D109" t="s">
        <v>25</v>
      </c>
      <c r="E109" t="s">
        <v>1927</v>
      </c>
      <c r="F109" t="s">
        <v>1928</v>
      </c>
      <c r="G109">
        <v>98496242</v>
      </c>
      <c r="H109" t="s">
        <v>1929</v>
      </c>
      <c r="I109" s="4" t="s">
        <v>35</v>
      </c>
      <c r="J109" s="4" t="s">
        <v>1930</v>
      </c>
      <c r="K109" t="s">
        <v>1931</v>
      </c>
      <c r="L109" t="s">
        <v>27</v>
      </c>
      <c r="M109" t="s">
        <v>1932</v>
      </c>
      <c r="N109" t="s">
        <v>28</v>
      </c>
      <c r="O109" t="s">
        <v>29</v>
      </c>
      <c r="P109" t="s">
        <v>30</v>
      </c>
      <c r="Q109" t="s">
        <v>31</v>
      </c>
      <c r="R109">
        <v>7</v>
      </c>
      <c r="S109" t="s">
        <v>1933</v>
      </c>
      <c r="T109" t="s">
        <v>5043</v>
      </c>
      <c r="U109" t="s">
        <v>5044</v>
      </c>
      <c r="V109" t="s">
        <v>32</v>
      </c>
      <c r="W109" t="s">
        <v>33</v>
      </c>
      <c r="X109" t="s">
        <v>33</v>
      </c>
      <c r="Y109" t="s">
        <v>33</v>
      </c>
      <c r="Z109" s="16" t="s">
        <v>34</v>
      </c>
      <c r="AA109">
        <v>-75.560088019999995</v>
      </c>
      <c r="AB109">
        <v>6.2554830700000004</v>
      </c>
      <c r="AC109" t="s">
        <v>96</v>
      </c>
      <c r="AD109" t="s">
        <v>97</v>
      </c>
    </row>
    <row r="110" spans="1:30" x14ac:dyDescent="0.25">
      <c r="A110" t="s">
        <v>1934</v>
      </c>
      <c r="B110" t="s">
        <v>25</v>
      </c>
      <c r="C110" t="s">
        <v>26</v>
      </c>
      <c r="D110" t="s">
        <v>25</v>
      </c>
      <c r="E110" t="s">
        <v>1935</v>
      </c>
      <c r="F110" t="s">
        <v>1936</v>
      </c>
      <c r="G110">
        <v>98496242</v>
      </c>
      <c r="H110" t="s">
        <v>1929</v>
      </c>
      <c r="I110" s="4" t="s">
        <v>35</v>
      </c>
      <c r="J110" s="4" t="s">
        <v>1930</v>
      </c>
      <c r="K110" t="s">
        <v>1937</v>
      </c>
      <c r="L110" t="s">
        <v>27</v>
      </c>
      <c r="M110" t="s">
        <v>1938</v>
      </c>
      <c r="N110" t="s">
        <v>28</v>
      </c>
      <c r="O110" t="s">
        <v>29</v>
      </c>
      <c r="P110" t="s">
        <v>30</v>
      </c>
      <c r="Q110" t="s">
        <v>31</v>
      </c>
      <c r="R110">
        <v>7</v>
      </c>
      <c r="S110" t="s">
        <v>1939</v>
      </c>
      <c r="T110" t="s">
        <v>5045</v>
      </c>
      <c r="U110" t="s">
        <v>5046</v>
      </c>
      <c r="V110" t="s">
        <v>32</v>
      </c>
      <c r="W110" t="s">
        <v>33</v>
      </c>
      <c r="X110" t="s">
        <v>33</v>
      </c>
      <c r="Y110" t="s">
        <v>33</v>
      </c>
      <c r="Z110" s="16" t="s">
        <v>34</v>
      </c>
      <c r="AA110">
        <v>-75.560088019999995</v>
      </c>
      <c r="AB110">
        <v>6.2554830700000004</v>
      </c>
      <c r="AC110" t="s">
        <v>96</v>
      </c>
      <c r="AD110" t="s">
        <v>97</v>
      </c>
    </row>
    <row r="111" spans="1:30" x14ac:dyDescent="0.25">
      <c r="A111" t="s">
        <v>1299</v>
      </c>
      <c r="B111" t="s">
        <v>49</v>
      </c>
      <c r="C111" t="s">
        <v>26</v>
      </c>
      <c r="D111" t="s">
        <v>49</v>
      </c>
      <c r="E111" t="s">
        <v>1300</v>
      </c>
      <c r="F111" t="s">
        <v>1301</v>
      </c>
      <c r="G111">
        <v>1007844663</v>
      </c>
      <c r="H111" t="s">
        <v>1302</v>
      </c>
      <c r="I111" s="4" t="s">
        <v>35</v>
      </c>
      <c r="J111" s="4" t="s">
        <v>1303</v>
      </c>
      <c r="K111" t="s">
        <v>1304</v>
      </c>
      <c r="L111" t="s">
        <v>27</v>
      </c>
      <c r="M111" t="s">
        <v>1305</v>
      </c>
      <c r="N111" t="s">
        <v>28</v>
      </c>
      <c r="O111" t="s">
        <v>39</v>
      </c>
      <c r="P111" t="s">
        <v>51</v>
      </c>
      <c r="Q111" t="s">
        <v>31</v>
      </c>
      <c r="R111">
        <v>5</v>
      </c>
      <c r="S111" t="s">
        <v>1306</v>
      </c>
      <c r="T111" t="s">
        <v>3152</v>
      </c>
      <c r="U111" t="s">
        <v>3151</v>
      </c>
      <c r="V111" t="s">
        <v>48</v>
      </c>
      <c r="W111" t="s">
        <v>33</v>
      </c>
      <c r="X111" t="s">
        <v>33</v>
      </c>
      <c r="Y111" t="s">
        <v>33</v>
      </c>
      <c r="Z111" s="16" t="s">
        <v>34</v>
      </c>
      <c r="AA111">
        <v>-75.537087999999997</v>
      </c>
      <c r="AB111">
        <v>6.256869</v>
      </c>
      <c r="AC111" t="s">
        <v>96</v>
      </c>
      <c r="AD111" t="s">
        <v>97</v>
      </c>
    </row>
    <row r="112" spans="1:30" x14ac:dyDescent="0.25">
      <c r="A112" t="s">
        <v>1307</v>
      </c>
      <c r="B112" t="s">
        <v>49</v>
      </c>
      <c r="C112" t="s">
        <v>26</v>
      </c>
      <c r="D112" t="s">
        <v>49</v>
      </c>
      <c r="E112" t="s">
        <v>1308</v>
      </c>
      <c r="F112" t="s">
        <v>1309</v>
      </c>
      <c r="G112">
        <v>71758692</v>
      </c>
      <c r="H112" t="s">
        <v>1310</v>
      </c>
      <c r="I112" s="4" t="s">
        <v>35</v>
      </c>
      <c r="J112" s="4" t="s">
        <v>1311</v>
      </c>
      <c r="K112" t="s">
        <v>1312</v>
      </c>
      <c r="L112" t="s">
        <v>27</v>
      </c>
      <c r="M112" t="s">
        <v>1313</v>
      </c>
      <c r="N112" t="s">
        <v>28</v>
      </c>
      <c r="O112" t="s">
        <v>39</v>
      </c>
      <c r="P112" t="s">
        <v>51</v>
      </c>
      <c r="Q112" t="s">
        <v>31</v>
      </c>
      <c r="R112">
        <v>5</v>
      </c>
      <c r="S112" t="s">
        <v>1314</v>
      </c>
      <c r="T112" t="s">
        <v>3154</v>
      </c>
      <c r="U112" t="s">
        <v>3153</v>
      </c>
      <c r="V112" t="s">
        <v>48</v>
      </c>
      <c r="W112" t="s">
        <v>33</v>
      </c>
      <c r="X112" t="s">
        <v>33</v>
      </c>
      <c r="Y112" t="s">
        <v>33</v>
      </c>
      <c r="Z112" s="16" t="s">
        <v>34</v>
      </c>
      <c r="AA112">
        <v>-75.537087999999997</v>
      </c>
      <c r="AB112">
        <v>6.256869</v>
      </c>
      <c r="AC112" t="s">
        <v>96</v>
      </c>
      <c r="AD112" t="s">
        <v>97</v>
      </c>
    </row>
    <row r="113" spans="1:30" x14ac:dyDescent="0.25">
      <c r="A113" t="s">
        <v>3908</v>
      </c>
      <c r="B113" t="s">
        <v>25</v>
      </c>
      <c r="C113" t="s">
        <v>26</v>
      </c>
      <c r="D113" t="s">
        <v>38</v>
      </c>
      <c r="E113" t="s">
        <v>3909</v>
      </c>
      <c r="F113" t="s">
        <v>3910</v>
      </c>
      <c r="G113">
        <v>1013336059</v>
      </c>
      <c r="H113" t="s">
        <v>3911</v>
      </c>
      <c r="I113" s="4" t="s">
        <v>35</v>
      </c>
      <c r="J113" s="4" t="s">
        <v>3912</v>
      </c>
      <c r="K113" t="s">
        <v>3913</v>
      </c>
      <c r="L113" t="s">
        <v>27</v>
      </c>
      <c r="M113" t="s">
        <v>3914</v>
      </c>
      <c r="N113" t="s">
        <v>28</v>
      </c>
      <c r="O113" t="s">
        <v>45</v>
      </c>
      <c r="P113" t="s">
        <v>40</v>
      </c>
      <c r="Q113" t="s">
        <v>37</v>
      </c>
      <c r="R113">
        <v>8</v>
      </c>
      <c r="S113" t="s">
        <v>3915</v>
      </c>
      <c r="T113" t="s">
        <v>5047</v>
      </c>
      <c r="U113" t="s">
        <v>5048</v>
      </c>
      <c r="V113" t="s">
        <v>32</v>
      </c>
      <c r="W113" t="s">
        <v>33</v>
      </c>
      <c r="X113" t="s">
        <v>33</v>
      </c>
      <c r="Y113" t="s">
        <v>33</v>
      </c>
      <c r="Z113" s="16" t="s">
        <v>34</v>
      </c>
      <c r="AA113">
        <v>-75.520844999999994</v>
      </c>
      <c r="AB113">
        <v>6.2407240000000002</v>
      </c>
      <c r="AC113" t="s">
        <v>96</v>
      </c>
      <c r="AD113" t="s">
        <v>97</v>
      </c>
    </row>
    <row r="114" spans="1:30" x14ac:dyDescent="0.25">
      <c r="A114" t="s">
        <v>2561</v>
      </c>
      <c r="B114" t="s">
        <v>25</v>
      </c>
      <c r="C114" t="s">
        <v>26</v>
      </c>
      <c r="D114" t="s">
        <v>38</v>
      </c>
      <c r="E114" t="s">
        <v>2562</v>
      </c>
      <c r="F114" t="s">
        <v>2563</v>
      </c>
      <c r="G114">
        <v>1037609300</v>
      </c>
      <c r="H114" t="s">
        <v>2564</v>
      </c>
      <c r="I114" s="4" t="s">
        <v>35</v>
      </c>
      <c r="J114" s="4" t="s">
        <v>2565</v>
      </c>
      <c r="K114" t="s">
        <v>2566</v>
      </c>
      <c r="L114" t="s">
        <v>27</v>
      </c>
      <c r="M114" t="s">
        <v>2567</v>
      </c>
      <c r="N114" t="s">
        <v>28</v>
      </c>
      <c r="O114" t="s">
        <v>45</v>
      </c>
      <c r="P114" t="s">
        <v>40</v>
      </c>
      <c r="Q114" t="s">
        <v>37</v>
      </c>
      <c r="R114">
        <v>8</v>
      </c>
      <c r="S114" t="s">
        <v>2568</v>
      </c>
      <c r="T114" t="s">
        <v>1137</v>
      </c>
      <c r="U114" t="s">
        <v>3313</v>
      </c>
      <c r="V114" t="s">
        <v>32</v>
      </c>
      <c r="W114" t="s">
        <v>33</v>
      </c>
      <c r="X114" t="s">
        <v>33</v>
      </c>
      <c r="Y114" t="s">
        <v>33</v>
      </c>
      <c r="Z114" s="16" t="s">
        <v>34</v>
      </c>
      <c r="AA114">
        <v>-75.521313629999995</v>
      </c>
      <c r="AB114">
        <v>6.2400936800000002</v>
      </c>
      <c r="AC114" t="s">
        <v>96</v>
      </c>
      <c r="AD114" t="s">
        <v>97</v>
      </c>
    </row>
    <row r="115" spans="1:30" x14ac:dyDescent="0.25">
      <c r="A115" t="s">
        <v>3916</v>
      </c>
      <c r="B115" t="s">
        <v>25</v>
      </c>
      <c r="C115" t="s">
        <v>26</v>
      </c>
      <c r="D115" t="s">
        <v>25</v>
      </c>
      <c r="E115" t="s">
        <v>3917</v>
      </c>
      <c r="F115" t="s">
        <v>3918</v>
      </c>
      <c r="G115">
        <v>900383247</v>
      </c>
      <c r="H115" t="s">
        <v>3919</v>
      </c>
      <c r="I115" s="4" t="s">
        <v>35</v>
      </c>
      <c r="J115" s="4" t="s">
        <v>3920</v>
      </c>
      <c r="K115" t="s">
        <v>3921</v>
      </c>
      <c r="L115" t="s">
        <v>27</v>
      </c>
      <c r="M115" t="s">
        <v>3922</v>
      </c>
      <c r="N115" t="s">
        <v>28</v>
      </c>
      <c r="O115" t="s">
        <v>29</v>
      </c>
      <c r="P115" t="s">
        <v>36</v>
      </c>
      <c r="Q115" t="s">
        <v>31</v>
      </c>
      <c r="R115">
        <v>7</v>
      </c>
      <c r="S115" t="s">
        <v>3923</v>
      </c>
      <c r="T115" t="s">
        <v>1699</v>
      </c>
      <c r="U115" t="s">
        <v>5049</v>
      </c>
      <c r="V115" t="s">
        <v>32</v>
      </c>
      <c r="W115" t="s">
        <v>33</v>
      </c>
      <c r="X115" t="s">
        <v>33</v>
      </c>
      <c r="Y115" t="s">
        <v>33</v>
      </c>
      <c r="Z115" s="16" t="s">
        <v>34</v>
      </c>
      <c r="AA115">
        <v>-75.550434999999993</v>
      </c>
      <c r="AB115">
        <v>6.200933</v>
      </c>
      <c r="AC115" t="s">
        <v>96</v>
      </c>
      <c r="AD115" t="s">
        <v>97</v>
      </c>
    </row>
    <row r="116" spans="1:30" x14ac:dyDescent="0.25">
      <c r="A116" t="s">
        <v>5571</v>
      </c>
      <c r="B116" t="s">
        <v>25</v>
      </c>
      <c r="C116" t="s">
        <v>26</v>
      </c>
      <c r="D116" t="s">
        <v>38</v>
      </c>
      <c r="E116" t="s">
        <v>5572</v>
      </c>
      <c r="F116" t="s">
        <v>5573</v>
      </c>
      <c r="G116">
        <v>1041531494</v>
      </c>
      <c r="H116" t="s">
        <v>5574</v>
      </c>
      <c r="I116" s="4" t="s">
        <v>35</v>
      </c>
      <c r="J116" s="4" t="s">
        <v>5575</v>
      </c>
      <c r="K116" t="s">
        <v>5576</v>
      </c>
      <c r="L116" t="s">
        <v>27</v>
      </c>
      <c r="M116" t="s">
        <v>5577</v>
      </c>
      <c r="N116" t="s">
        <v>28</v>
      </c>
      <c r="O116" t="s">
        <v>39</v>
      </c>
      <c r="P116" t="s">
        <v>40</v>
      </c>
      <c r="Q116" t="s">
        <v>31</v>
      </c>
      <c r="R116">
        <v>5</v>
      </c>
      <c r="S116" t="s">
        <v>5578</v>
      </c>
      <c r="T116" t="s">
        <v>5579</v>
      </c>
      <c r="U116" t="s">
        <v>5260</v>
      </c>
      <c r="V116" t="s">
        <v>32</v>
      </c>
      <c r="W116" t="s">
        <v>33</v>
      </c>
      <c r="X116" t="s">
        <v>33</v>
      </c>
      <c r="Y116" t="s">
        <v>33</v>
      </c>
      <c r="Z116" s="16" t="s">
        <v>34</v>
      </c>
      <c r="AA116">
        <v>-75.619372200000001</v>
      </c>
      <c r="AB116">
        <v>6.27540516</v>
      </c>
      <c r="AC116" t="s">
        <v>96</v>
      </c>
      <c r="AD116" t="s">
        <v>97</v>
      </c>
    </row>
    <row r="117" spans="1:30" x14ac:dyDescent="0.25">
      <c r="A117" t="s">
        <v>3924</v>
      </c>
      <c r="B117" t="s">
        <v>49</v>
      </c>
      <c r="C117" t="s">
        <v>26</v>
      </c>
      <c r="D117" t="s">
        <v>49</v>
      </c>
      <c r="E117" t="s">
        <v>3925</v>
      </c>
      <c r="F117" t="s">
        <v>3926</v>
      </c>
      <c r="G117">
        <v>1128475772</v>
      </c>
      <c r="H117" t="s">
        <v>3927</v>
      </c>
      <c r="I117" s="4" t="s">
        <v>35</v>
      </c>
      <c r="J117" s="4" t="s">
        <v>3928</v>
      </c>
      <c r="K117" t="s">
        <v>3929</v>
      </c>
      <c r="L117" t="s">
        <v>27</v>
      </c>
      <c r="M117" t="s">
        <v>3930</v>
      </c>
      <c r="N117" t="s">
        <v>28</v>
      </c>
      <c r="O117" t="s">
        <v>50</v>
      </c>
      <c r="P117" t="s">
        <v>40</v>
      </c>
      <c r="Q117" t="s">
        <v>31</v>
      </c>
      <c r="R117">
        <v>11</v>
      </c>
      <c r="S117" t="s">
        <v>3931</v>
      </c>
      <c r="T117" t="s">
        <v>4961</v>
      </c>
      <c r="U117" t="s">
        <v>5050</v>
      </c>
      <c r="V117" t="s">
        <v>32</v>
      </c>
      <c r="W117" t="s">
        <v>33</v>
      </c>
      <c r="X117" t="s">
        <v>33</v>
      </c>
      <c r="Y117" t="s">
        <v>33</v>
      </c>
      <c r="Z117" s="16" t="s">
        <v>34</v>
      </c>
      <c r="AA117">
        <v>-75.611007999999998</v>
      </c>
      <c r="AB117">
        <v>6.2739089999999997</v>
      </c>
      <c r="AC117" t="s">
        <v>96</v>
      </c>
      <c r="AD117" t="s">
        <v>97</v>
      </c>
    </row>
    <row r="118" spans="1:30" x14ac:dyDescent="0.25">
      <c r="A118" t="s">
        <v>2569</v>
      </c>
      <c r="B118" t="s">
        <v>25</v>
      </c>
      <c r="C118" t="s">
        <v>26</v>
      </c>
      <c r="D118" t="s">
        <v>38</v>
      </c>
      <c r="E118" t="s">
        <v>2570</v>
      </c>
      <c r="F118" t="s">
        <v>2571</v>
      </c>
      <c r="G118">
        <v>1017149637</v>
      </c>
      <c r="H118" t="s">
        <v>2572</v>
      </c>
      <c r="I118" s="4" t="s">
        <v>35</v>
      </c>
      <c r="J118" s="4" t="s">
        <v>2573</v>
      </c>
      <c r="K118" t="s">
        <v>2574</v>
      </c>
      <c r="L118" t="s">
        <v>27</v>
      </c>
      <c r="M118" t="s">
        <v>2575</v>
      </c>
      <c r="N118" t="s">
        <v>28</v>
      </c>
      <c r="O118" t="s">
        <v>39</v>
      </c>
      <c r="P118" t="s">
        <v>40</v>
      </c>
      <c r="Q118" t="s">
        <v>31</v>
      </c>
      <c r="R118">
        <v>5</v>
      </c>
      <c r="S118" t="s">
        <v>2576</v>
      </c>
      <c r="T118" t="s">
        <v>3344</v>
      </c>
      <c r="U118" t="s">
        <v>5051</v>
      </c>
      <c r="V118" t="s">
        <v>32</v>
      </c>
      <c r="W118" t="s">
        <v>33</v>
      </c>
      <c r="X118" t="s">
        <v>33</v>
      </c>
      <c r="Y118" t="s">
        <v>33</v>
      </c>
      <c r="Z118" s="16" t="s">
        <v>34</v>
      </c>
      <c r="AA118">
        <v>-75.625855999999999</v>
      </c>
      <c r="AB118">
        <v>6.2346209999999997</v>
      </c>
      <c r="AC118" t="s">
        <v>96</v>
      </c>
      <c r="AD118" t="s">
        <v>97</v>
      </c>
    </row>
    <row r="119" spans="1:30" x14ac:dyDescent="0.25">
      <c r="A119" t="s">
        <v>3932</v>
      </c>
      <c r="B119" t="s">
        <v>59</v>
      </c>
      <c r="C119" t="s">
        <v>26</v>
      </c>
      <c r="D119" t="s">
        <v>59</v>
      </c>
      <c r="E119" t="s">
        <v>3933</v>
      </c>
      <c r="F119" t="s">
        <v>3934</v>
      </c>
      <c r="G119">
        <v>98537020</v>
      </c>
      <c r="H119" t="s">
        <v>3935</v>
      </c>
      <c r="I119" s="4" t="s">
        <v>35</v>
      </c>
      <c r="J119" s="4" t="s">
        <v>3936</v>
      </c>
      <c r="K119" t="s">
        <v>3937</v>
      </c>
      <c r="L119" t="s">
        <v>27</v>
      </c>
      <c r="M119" t="s">
        <v>3938</v>
      </c>
      <c r="N119" t="s">
        <v>28</v>
      </c>
      <c r="O119" t="s">
        <v>60</v>
      </c>
      <c r="P119" t="s">
        <v>61</v>
      </c>
      <c r="Q119" t="s">
        <v>37</v>
      </c>
      <c r="R119">
        <v>4</v>
      </c>
      <c r="S119" t="s">
        <v>3939</v>
      </c>
      <c r="T119" t="s">
        <v>5052</v>
      </c>
      <c r="U119" t="s">
        <v>5052</v>
      </c>
      <c r="V119" t="s">
        <v>48</v>
      </c>
      <c r="W119" t="s">
        <v>33</v>
      </c>
      <c r="X119" t="s">
        <v>33</v>
      </c>
      <c r="Y119" t="s">
        <v>33</v>
      </c>
      <c r="Z119" t="s">
        <v>95</v>
      </c>
      <c r="AA119">
        <v>-75.582286999999994</v>
      </c>
      <c r="AB119">
        <v>6.2454109999999998</v>
      </c>
      <c r="AC119" t="s">
        <v>96</v>
      </c>
      <c r="AD119" t="s">
        <v>97</v>
      </c>
    </row>
    <row r="120" spans="1:30" x14ac:dyDescent="0.25">
      <c r="A120" t="s">
        <v>3940</v>
      </c>
      <c r="B120" t="s">
        <v>59</v>
      </c>
      <c r="C120" t="s">
        <v>26</v>
      </c>
      <c r="D120" t="s">
        <v>59</v>
      </c>
      <c r="E120" t="s">
        <v>3941</v>
      </c>
      <c r="F120" t="s">
        <v>3942</v>
      </c>
      <c r="G120">
        <v>43909309</v>
      </c>
      <c r="H120" t="s">
        <v>3943</v>
      </c>
      <c r="I120" s="4" t="s">
        <v>35</v>
      </c>
      <c r="J120" s="4" t="s">
        <v>3944</v>
      </c>
      <c r="K120" t="s">
        <v>3945</v>
      </c>
      <c r="L120" t="s">
        <v>27</v>
      </c>
      <c r="M120" t="s">
        <v>3946</v>
      </c>
      <c r="N120" t="s">
        <v>28</v>
      </c>
      <c r="O120" t="s">
        <v>60</v>
      </c>
      <c r="P120" t="s">
        <v>61</v>
      </c>
      <c r="Q120" t="s">
        <v>31</v>
      </c>
      <c r="R120">
        <v>4</v>
      </c>
      <c r="S120" t="s">
        <v>3947</v>
      </c>
      <c r="T120" t="s">
        <v>5053</v>
      </c>
      <c r="U120" t="s">
        <v>5054</v>
      </c>
      <c r="V120" t="s">
        <v>32</v>
      </c>
      <c r="W120" t="s">
        <v>33</v>
      </c>
      <c r="X120" t="s">
        <v>33</v>
      </c>
      <c r="Y120" t="s">
        <v>33</v>
      </c>
      <c r="Z120" t="s">
        <v>95</v>
      </c>
      <c r="AA120">
        <v>-75.555682160000003</v>
      </c>
      <c r="AB120">
        <v>6.2564309299999996</v>
      </c>
      <c r="AC120" t="s">
        <v>96</v>
      </c>
      <c r="AD120" t="s">
        <v>97</v>
      </c>
    </row>
    <row r="121" spans="1:30" x14ac:dyDescent="0.25">
      <c r="A121" t="s">
        <v>3156</v>
      </c>
      <c r="B121" t="s">
        <v>25</v>
      </c>
      <c r="C121" t="s">
        <v>26</v>
      </c>
      <c r="D121" t="s">
        <v>25</v>
      </c>
      <c r="E121" t="s">
        <v>3157</v>
      </c>
      <c r="F121" t="s">
        <v>3158</v>
      </c>
      <c r="G121">
        <v>71786621</v>
      </c>
      <c r="H121" t="s">
        <v>3159</v>
      </c>
      <c r="I121" s="4" t="s">
        <v>35</v>
      </c>
      <c r="J121" s="4" t="s">
        <v>3160</v>
      </c>
      <c r="K121" t="s">
        <v>3161</v>
      </c>
      <c r="L121" t="s">
        <v>27</v>
      </c>
      <c r="M121" t="s">
        <v>3162</v>
      </c>
      <c r="N121" t="s">
        <v>28</v>
      </c>
      <c r="O121" t="s">
        <v>29</v>
      </c>
      <c r="P121" t="s">
        <v>36</v>
      </c>
      <c r="Q121" t="s">
        <v>31</v>
      </c>
      <c r="R121">
        <v>7</v>
      </c>
      <c r="S121" t="s">
        <v>3163</v>
      </c>
      <c r="T121" t="s">
        <v>5055</v>
      </c>
      <c r="U121" t="s">
        <v>5056</v>
      </c>
      <c r="V121" t="s">
        <v>32</v>
      </c>
      <c r="W121" t="s">
        <v>33</v>
      </c>
      <c r="X121" t="s">
        <v>33</v>
      </c>
      <c r="Y121" t="s">
        <v>33</v>
      </c>
      <c r="Z121" s="16" t="s">
        <v>34</v>
      </c>
      <c r="AA121">
        <v>-75.614237000000003</v>
      </c>
      <c r="AB121">
        <v>6.2338100000000001</v>
      </c>
      <c r="AC121" t="s">
        <v>96</v>
      </c>
      <c r="AD121" t="s">
        <v>97</v>
      </c>
    </row>
    <row r="122" spans="1:30" x14ac:dyDescent="0.25">
      <c r="A122" t="s">
        <v>843</v>
      </c>
      <c r="B122" t="s">
        <v>59</v>
      </c>
      <c r="C122" t="s">
        <v>26</v>
      </c>
      <c r="D122" t="s">
        <v>59</v>
      </c>
      <c r="E122" t="s">
        <v>578</v>
      </c>
      <c r="F122" t="s">
        <v>579</v>
      </c>
      <c r="G122">
        <v>70070329</v>
      </c>
      <c r="H122" t="s">
        <v>580</v>
      </c>
      <c r="I122" s="4" t="s">
        <v>35</v>
      </c>
      <c r="J122" s="4" t="s">
        <v>581</v>
      </c>
      <c r="K122" t="s">
        <v>582</v>
      </c>
      <c r="L122" t="s">
        <v>57</v>
      </c>
      <c r="M122" t="s">
        <v>583</v>
      </c>
      <c r="N122" t="s">
        <v>58</v>
      </c>
      <c r="O122" t="s">
        <v>60</v>
      </c>
      <c r="P122" t="s">
        <v>61</v>
      </c>
      <c r="Q122" t="s">
        <v>31</v>
      </c>
      <c r="R122">
        <v>4</v>
      </c>
      <c r="S122" t="s">
        <v>584</v>
      </c>
      <c r="T122" t="s">
        <v>3179</v>
      </c>
      <c r="U122" t="s">
        <v>46</v>
      </c>
      <c r="V122" t="s">
        <v>46</v>
      </c>
      <c r="W122" t="s">
        <v>33</v>
      </c>
      <c r="X122" t="s">
        <v>33</v>
      </c>
      <c r="Y122" t="s">
        <v>33</v>
      </c>
      <c r="Z122" t="s">
        <v>95</v>
      </c>
      <c r="AA122">
        <v>-75.627846000000005</v>
      </c>
      <c r="AB122">
        <v>6.1483949999999998</v>
      </c>
      <c r="AC122" t="s">
        <v>96</v>
      </c>
      <c r="AD122" t="s">
        <v>97</v>
      </c>
    </row>
    <row r="123" spans="1:30" x14ac:dyDescent="0.25">
      <c r="A123" t="s">
        <v>3948</v>
      </c>
      <c r="B123" t="s">
        <v>25</v>
      </c>
      <c r="C123" t="s">
        <v>26</v>
      </c>
      <c r="D123" t="s">
        <v>38</v>
      </c>
      <c r="E123" t="s">
        <v>3949</v>
      </c>
      <c r="F123" t="s">
        <v>3950</v>
      </c>
      <c r="G123">
        <v>43584004</v>
      </c>
      <c r="H123" t="s">
        <v>3951</v>
      </c>
      <c r="I123" s="4" t="s">
        <v>3952</v>
      </c>
      <c r="J123" s="4" t="s">
        <v>3953</v>
      </c>
      <c r="K123" t="s">
        <v>3954</v>
      </c>
      <c r="L123" t="s">
        <v>27</v>
      </c>
      <c r="M123" t="s">
        <v>3955</v>
      </c>
      <c r="N123" t="s">
        <v>28</v>
      </c>
      <c r="O123" t="s">
        <v>45</v>
      </c>
      <c r="P123" t="s">
        <v>40</v>
      </c>
      <c r="Q123" t="s">
        <v>37</v>
      </c>
      <c r="R123">
        <v>8</v>
      </c>
      <c r="S123" t="s">
        <v>3956</v>
      </c>
      <c r="T123" t="s">
        <v>4961</v>
      </c>
      <c r="U123" t="s">
        <v>4962</v>
      </c>
      <c r="V123" t="s">
        <v>32</v>
      </c>
      <c r="W123" t="s">
        <v>33</v>
      </c>
      <c r="X123" t="s">
        <v>33</v>
      </c>
      <c r="Y123" t="s">
        <v>33</v>
      </c>
      <c r="Z123" s="16" t="s">
        <v>34</v>
      </c>
      <c r="AA123">
        <v>-75.645222000000004</v>
      </c>
      <c r="AB123">
        <v>6.2761290000000001</v>
      </c>
      <c r="AC123" t="s">
        <v>96</v>
      </c>
      <c r="AD123" t="s">
        <v>97</v>
      </c>
    </row>
    <row r="124" spans="1:30" x14ac:dyDescent="0.25">
      <c r="A124" t="s">
        <v>880</v>
      </c>
      <c r="B124" t="s">
        <v>41</v>
      </c>
      <c r="C124" t="s">
        <v>26</v>
      </c>
      <c r="D124" t="s">
        <v>41</v>
      </c>
      <c r="E124" t="s">
        <v>881</v>
      </c>
      <c r="F124" t="s">
        <v>882</v>
      </c>
      <c r="G124">
        <v>811042483</v>
      </c>
      <c r="H124" t="s">
        <v>883</v>
      </c>
      <c r="I124" s="4" t="s">
        <v>35</v>
      </c>
      <c r="J124" s="4" t="s">
        <v>884</v>
      </c>
      <c r="K124" t="s">
        <v>885</v>
      </c>
      <c r="L124" t="s">
        <v>57</v>
      </c>
      <c r="M124" t="s">
        <v>886</v>
      </c>
      <c r="N124" t="s">
        <v>58</v>
      </c>
      <c r="O124" t="s">
        <v>42</v>
      </c>
      <c r="P124" t="s">
        <v>36</v>
      </c>
      <c r="Q124" t="s">
        <v>31</v>
      </c>
      <c r="R124">
        <v>7</v>
      </c>
      <c r="S124" t="s">
        <v>887</v>
      </c>
      <c r="T124" t="s">
        <v>3165</v>
      </c>
      <c r="U124" t="s">
        <v>3164</v>
      </c>
      <c r="V124" t="s">
        <v>32</v>
      </c>
      <c r="W124" t="s">
        <v>33</v>
      </c>
      <c r="X124" t="s">
        <v>33</v>
      </c>
      <c r="Y124" t="s">
        <v>33</v>
      </c>
      <c r="Z124" s="16" t="s">
        <v>34</v>
      </c>
      <c r="AA124">
        <v>-75.616736689999996</v>
      </c>
      <c r="AB124">
        <v>6.1456651899999999</v>
      </c>
      <c r="AC124" t="s">
        <v>96</v>
      </c>
      <c r="AD124" t="s">
        <v>97</v>
      </c>
    </row>
    <row r="125" spans="1:30" x14ac:dyDescent="0.25">
      <c r="A125" t="s">
        <v>1021</v>
      </c>
      <c r="B125" t="s">
        <v>25</v>
      </c>
      <c r="C125" t="s">
        <v>26</v>
      </c>
      <c r="D125" t="s">
        <v>38</v>
      </c>
      <c r="E125" t="s">
        <v>1022</v>
      </c>
      <c r="F125" t="s">
        <v>1023</v>
      </c>
      <c r="G125">
        <v>1000395542</v>
      </c>
      <c r="H125" t="s">
        <v>1024</v>
      </c>
      <c r="I125" s="4" t="s">
        <v>35</v>
      </c>
      <c r="J125" s="4" t="s">
        <v>1025</v>
      </c>
      <c r="K125" t="s">
        <v>1026</v>
      </c>
      <c r="L125" t="s">
        <v>27</v>
      </c>
      <c r="M125" t="s">
        <v>1027</v>
      </c>
      <c r="N125" t="s">
        <v>28</v>
      </c>
      <c r="O125" t="s">
        <v>45</v>
      </c>
      <c r="P125" t="s">
        <v>40</v>
      </c>
      <c r="Q125" t="s">
        <v>31</v>
      </c>
      <c r="R125">
        <v>5</v>
      </c>
      <c r="S125" t="s">
        <v>1028</v>
      </c>
      <c r="T125" t="s">
        <v>5057</v>
      </c>
      <c r="U125" t="s">
        <v>5058</v>
      </c>
      <c r="V125" t="s">
        <v>48</v>
      </c>
      <c r="W125" t="s">
        <v>33</v>
      </c>
      <c r="X125" t="s">
        <v>33</v>
      </c>
      <c r="Y125" t="s">
        <v>33</v>
      </c>
      <c r="Z125" s="16" t="s">
        <v>34</v>
      </c>
      <c r="AA125">
        <v>-75.55185788</v>
      </c>
      <c r="AB125">
        <v>6.24760867</v>
      </c>
      <c r="AC125" t="s">
        <v>96</v>
      </c>
      <c r="AD125" t="s">
        <v>97</v>
      </c>
    </row>
    <row r="126" spans="1:30" x14ac:dyDescent="0.25">
      <c r="A126" t="s">
        <v>3957</v>
      </c>
      <c r="B126" t="s">
        <v>41</v>
      </c>
      <c r="C126" t="s">
        <v>26</v>
      </c>
      <c r="D126" t="s">
        <v>41</v>
      </c>
      <c r="E126" t="s">
        <v>3958</v>
      </c>
      <c r="F126" t="s">
        <v>3959</v>
      </c>
      <c r="G126">
        <v>51927043</v>
      </c>
      <c r="H126" t="s">
        <v>3250</v>
      </c>
      <c r="I126" s="4" t="s">
        <v>35</v>
      </c>
      <c r="J126" s="4" t="s">
        <v>3251</v>
      </c>
      <c r="K126" t="s">
        <v>3960</v>
      </c>
      <c r="L126" t="s">
        <v>27</v>
      </c>
      <c r="M126" t="s">
        <v>3961</v>
      </c>
      <c r="N126" t="s">
        <v>28</v>
      </c>
      <c r="O126" t="s">
        <v>42</v>
      </c>
      <c r="P126" t="s">
        <v>36</v>
      </c>
      <c r="Q126" t="s">
        <v>31</v>
      </c>
      <c r="R126">
        <v>7</v>
      </c>
      <c r="S126" t="s">
        <v>3962</v>
      </c>
      <c r="T126" t="s">
        <v>3117</v>
      </c>
      <c r="U126" t="s">
        <v>5059</v>
      </c>
      <c r="V126" t="s">
        <v>32</v>
      </c>
      <c r="W126" t="s">
        <v>33</v>
      </c>
      <c r="X126" t="s">
        <v>33</v>
      </c>
      <c r="Y126" t="s">
        <v>33</v>
      </c>
      <c r="Z126" s="16" t="s">
        <v>34</v>
      </c>
      <c r="AA126">
        <v>-75.612179549999993</v>
      </c>
      <c r="AB126">
        <v>6.2063421600000002</v>
      </c>
      <c r="AC126" t="s">
        <v>96</v>
      </c>
      <c r="AD126" t="s">
        <v>97</v>
      </c>
    </row>
    <row r="127" spans="1:30" x14ac:dyDescent="0.25">
      <c r="A127" t="s">
        <v>3963</v>
      </c>
      <c r="B127" t="s">
        <v>25</v>
      </c>
      <c r="C127" t="s">
        <v>26</v>
      </c>
      <c r="D127" t="s">
        <v>38</v>
      </c>
      <c r="E127" t="s">
        <v>3964</v>
      </c>
      <c r="F127" t="s">
        <v>3965</v>
      </c>
      <c r="G127">
        <v>1152193461</v>
      </c>
      <c r="H127" t="s">
        <v>3966</v>
      </c>
      <c r="I127" s="4" t="s">
        <v>3967</v>
      </c>
      <c r="J127" s="4" t="s">
        <v>3968</v>
      </c>
      <c r="K127" t="s">
        <v>3969</v>
      </c>
      <c r="L127" t="s">
        <v>27</v>
      </c>
      <c r="M127" t="s">
        <v>3970</v>
      </c>
      <c r="N127" t="s">
        <v>28</v>
      </c>
      <c r="O127" t="s">
        <v>45</v>
      </c>
      <c r="P127" t="s">
        <v>40</v>
      </c>
      <c r="Q127" t="s">
        <v>37</v>
      </c>
      <c r="R127">
        <v>8</v>
      </c>
      <c r="S127" t="s">
        <v>3971</v>
      </c>
      <c r="T127" t="s">
        <v>5060</v>
      </c>
      <c r="U127" t="s">
        <v>4861</v>
      </c>
      <c r="V127" t="s">
        <v>32</v>
      </c>
      <c r="W127" t="s">
        <v>33</v>
      </c>
      <c r="X127" t="s">
        <v>33</v>
      </c>
      <c r="Y127" t="s">
        <v>33</v>
      </c>
      <c r="Z127" s="16" t="s">
        <v>34</v>
      </c>
      <c r="AA127">
        <v>-75.660049729999997</v>
      </c>
      <c r="AB127">
        <v>6.2966466399999996</v>
      </c>
      <c r="AC127" t="s">
        <v>96</v>
      </c>
      <c r="AD127" t="s">
        <v>97</v>
      </c>
    </row>
    <row r="128" spans="1:30" x14ac:dyDescent="0.25">
      <c r="A128" t="s">
        <v>127</v>
      </c>
      <c r="B128" t="s">
        <v>59</v>
      </c>
      <c r="C128" t="s">
        <v>26</v>
      </c>
      <c r="D128" t="s">
        <v>59</v>
      </c>
      <c r="E128" t="s">
        <v>227</v>
      </c>
      <c r="F128" t="s">
        <v>228</v>
      </c>
      <c r="G128">
        <v>1128408067</v>
      </c>
      <c r="H128" t="s">
        <v>128</v>
      </c>
      <c r="I128" s="4" t="s">
        <v>77</v>
      </c>
      <c r="J128" s="4" t="s">
        <v>129</v>
      </c>
      <c r="K128" t="s">
        <v>130</v>
      </c>
      <c r="L128" t="s">
        <v>43</v>
      </c>
      <c r="M128" t="s">
        <v>131</v>
      </c>
      <c r="N128" t="s">
        <v>44</v>
      </c>
      <c r="O128" t="s">
        <v>60</v>
      </c>
      <c r="P128" t="s">
        <v>61</v>
      </c>
      <c r="Q128" t="s">
        <v>31</v>
      </c>
      <c r="R128">
        <v>4</v>
      </c>
      <c r="S128" t="s">
        <v>229</v>
      </c>
      <c r="T128" t="s">
        <v>5061</v>
      </c>
      <c r="U128" t="s">
        <v>46</v>
      </c>
      <c r="V128" t="s">
        <v>46</v>
      </c>
      <c r="W128" t="s">
        <v>33</v>
      </c>
      <c r="X128" t="s">
        <v>33</v>
      </c>
      <c r="Y128" t="s">
        <v>33</v>
      </c>
      <c r="Z128" t="s">
        <v>95</v>
      </c>
      <c r="AA128">
        <v>-75.602134599999999</v>
      </c>
      <c r="AB128">
        <v>6.1890243800000002</v>
      </c>
      <c r="AC128" t="s">
        <v>96</v>
      </c>
      <c r="AD128" t="s">
        <v>97</v>
      </c>
    </row>
    <row r="129" spans="1:30" x14ac:dyDescent="0.25">
      <c r="A129" t="s">
        <v>1315</v>
      </c>
      <c r="B129" t="s">
        <v>25</v>
      </c>
      <c r="C129" t="s">
        <v>26</v>
      </c>
      <c r="D129" t="s">
        <v>38</v>
      </c>
      <c r="E129" t="s">
        <v>1316</v>
      </c>
      <c r="F129" t="s">
        <v>1317</v>
      </c>
      <c r="G129">
        <v>43735242</v>
      </c>
      <c r="H129" t="s">
        <v>1318</v>
      </c>
      <c r="I129" s="4" t="s">
        <v>35</v>
      </c>
      <c r="J129" s="4" t="s">
        <v>1319</v>
      </c>
      <c r="K129" t="s">
        <v>1320</v>
      </c>
      <c r="L129" t="s">
        <v>27</v>
      </c>
      <c r="M129" t="s">
        <v>1321</v>
      </c>
      <c r="N129" t="s">
        <v>28</v>
      </c>
      <c r="O129" t="s">
        <v>39</v>
      </c>
      <c r="P129" t="s">
        <v>40</v>
      </c>
      <c r="Q129" t="s">
        <v>31</v>
      </c>
      <c r="R129">
        <v>5</v>
      </c>
      <c r="S129" t="s">
        <v>1322</v>
      </c>
      <c r="T129" t="s">
        <v>5062</v>
      </c>
      <c r="U129" t="s">
        <v>5063</v>
      </c>
      <c r="V129" t="s">
        <v>48</v>
      </c>
      <c r="W129" t="s">
        <v>33</v>
      </c>
      <c r="X129" t="s">
        <v>33</v>
      </c>
      <c r="Y129" t="s">
        <v>33</v>
      </c>
      <c r="Z129" s="16" t="s">
        <v>34</v>
      </c>
      <c r="AA129">
        <v>-75.629223409999994</v>
      </c>
      <c r="AB129">
        <v>6.2538538199999998</v>
      </c>
      <c r="AC129" t="s">
        <v>96</v>
      </c>
      <c r="AD129" t="s">
        <v>97</v>
      </c>
    </row>
    <row r="130" spans="1:30" x14ac:dyDescent="0.25">
      <c r="A130" t="s">
        <v>2578</v>
      </c>
      <c r="B130" t="s">
        <v>49</v>
      </c>
      <c r="C130" t="s">
        <v>26</v>
      </c>
      <c r="D130" t="s">
        <v>49</v>
      </c>
      <c r="E130" t="s">
        <v>2579</v>
      </c>
      <c r="F130" t="s">
        <v>2580</v>
      </c>
      <c r="G130">
        <v>43496135</v>
      </c>
      <c r="H130" t="s">
        <v>2581</v>
      </c>
      <c r="I130" s="4" t="s">
        <v>35</v>
      </c>
      <c r="J130" s="4" t="s">
        <v>2582</v>
      </c>
      <c r="K130" t="s">
        <v>2583</v>
      </c>
      <c r="L130" t="s">
        <v>27</v>
      </c>
      <c r="M130" t="s">
        <v>2584</v>
      </c>
      <c r="N130" t="s">
        <v>28</v>
      </c>
      <c r="O130" t="s">
        <v>50</v>
      </c>
      <c r="P130" t="s">
        <v>51</v>
      </c>
      <c r="Q130" t="s">
        <v>31</v>
      </c>
      <c r="R130">
        <v>11</v>
      </c>
      <c r="S130" t="s">
        <v>2585</v>
      </c>
      <c r="T130" t="s">
        <v>5064</v>
      </c>
      <c r="U130" t="s">
        <v>5065</v>
      </c>
      <c r="V130" t="s">
        <v>32</v>
      </c>
      <c r="W130" t="s">
        <v>33</v>
      </c>
      <c r="X130" t="s">
        <v>33</v>
      </c>
      <c r="Y130" t="s">
        <v>33</v>
      </c>
      <c r="Z130" s="16" t="s">
        <v>34</v>
      </c>
      <c r="AA130">
        <v>-75.596012999999999</v>
      </c>
      <c r="AB130">
        <v>6.2724909999999996</v>
      </c>
      <c r="AC130" t="s">
        <v>96</v>
      </c>
      <c r="AD130" t="s">
        <v>97</v>
      </c>
    </row>
    <row r="131" spans="1:30" x14ac:dyDescent="0.25">
      <c r="A131" t="s">
        <v>1940</v>
      </c>
      <c r="B131" t="s">
        <v>25</v>
      </c>
      <c r="C131" t="s">
        <v>26</v>
      </c>
      <c r="D131" t="s">
        <v>25</v>
      </c>
      <c r="E131" t="s">
        <v>1941</v>
      </c>
      <c r="F131" t="s">
        <v>1942</v>
      </c>
      <c r="G131">
        <v>98628766</v>
      </c>
      <c r="H131" t="s">
        <v>1943</v>
      </c>
      <c r="I131" s="4" t="s">
        <v>1944</v>
      </c>
      <c r="J131" s="4" t="s">
        <v>1945</v>
      </c>
      <c r="K131" t="s">
        <v>1946</v>
      </c>
      <c r="L131" t="s">
        <v>27</v>
      </c>
      <c r="M131" t="s">
        <v>1947</v>
      </c>
      <c r="N131" t="s">
        <v>28</v>
      </c>
      <c r="O131" t="s">
        <v>29</v>
      </c>
      <c r="P131" t="s">
        <v>36</v>
      </c>
      <c r="Q131" t="s">
        <v>31</v>
      </c>
      <c r="R131">
        <v>7</v>
      </c>
      <c r="S131" t="s">
        <v>1948</v>
      </c>
      <c r="T131" t="s">
        <v>1660</v>
      </c>
      <c r="U131" t="s">
        <v>3166</v>
      </c>
      <c r="V131" t="s">
        <v>32</v>
      </c>
      <c r="W131" t="s">
        <v>33</v>
      </c>
      <c r="X131" t="s">
        <v>33</v>
      </c>
      <c r="Y131" t="s">
        <v>33</v>
      </c>
      <c r="Z131" s="16" t="s">
        <v>34</v>
      </c>
      <c r="AA131">
        <v>-75.554820160000006</v>
      </c>
      <c r="AB131">
        <v>6.2299704399999998</v>
      </c>
      <c r="AC131" t="s">
        <v>96</v>
      </c>
      <c r="AD131" t="s">
        <v>97</v>
      </c>
    </row>
    <row r="132" spans="1:30" x14ac:dyDescent="0.25">
      <c r="A132" t="s">
        <v>1949</v>
      </c>
      <c r="B132" t="s">
        <v>25</v>
      </c>
      <c r="C132" t="s">
        <v>26</v>
      </c>
      <c r="D132" t="s">
        <v>25</v>
      </c>
      <c r="E132" t="s">
        <v>1950</v>
      </c>
      <c r="F132" t="s">
        <v>1951</v>
      </c>
      <c r="G132">
        <v>1128448070</v>
      </c>
      <c r="H132" t="s">
        <v>1952</v>
      </c>
      <c r="I132" s="4" t="s">
        <v>1953</v>
      </c>
      <c r="J132" s="4" t="s">
        <v>1954</v>
      </c>
      <c r="K132" t="s">
        <v>1955</v>
      </c>
      <c r="L132" t="s">
        <v>27</v>
      </c>
      <c r="M132" t="s">
        <v>1956</v>
      </c>
      <c r="N132" t="s">
        <v>28</v>
      </c>
      <c r="O132" t="s">
        <v>29</v>
      </c>
      <c r="P132" t="s">
        <v>30</v>
      </c>
      <c r="Q132" t="s">
        <v>31</v>
      </c>
      <c r="R132">
        <v>7</v>
      </c>
      <c r="S132" t="s">
        <v>1957</v>
      </c>
      <c r="T132" t="s">
        <v>5066</v>
      </c>
      <c r="U132" t="s">
        <v>5067</v>
      </c>
      <c r="V132" t="s">
        <v>32</v>
      </c>
      <c r="W132" t="s">
        <v>33</v>
      </c>
      <c r="X132" t="s">
        <v>33</v>
      </c>
      <c r="Y132" t="s">
        <v>33</v>
      </c>
      <c r="Z132" s="16" t="s">
        <v>34</v>
      </c>
      <c r="AA132">
        <v>-75.588719999999995</v>
      </c>
      <c r="AB132">
        <v>6.2538049999999998</v>
      </c>
      <c r="AC132" t="s">
        <v>96</v>
      </c>
      <c r="AD132" t="s">
        <v>97</v>
      </c>
    </row>
    <row r="133" spans="1:30" x14ac:dyDescent="0.25">
      <c r="A133" t="s">
        <v>1323</v>
      </c>
      <c r="B133" t="s">
        <v>25</v>
      </c>
      <c r="C133" t="s">
        <v>26</v>
      </c>
      <c r="D133" t="s">
        <v>38</v>
      </c>
      <c r="E133" t="s">
        <v>1324</v>
      </c>
      <c r="F133" t="s">
        <v>1325</v>
      </c>
      <c r="G133">
        <v>42781778</v>
      </c>
      <c r="H133" t="s">
        <v>1326</v>
      </c>
      <c r="I133" s="4" t="s">
        <v>1327</v>
      </c>
      <c r="J133" s="4" t="s">
        <v>1328</v>
      </c>
      <c r="K133" t="s">
        <v>1329</v>
      </c>
      <c r="L133" t="s">
        <v>43</v>
      </c>
      <c r="M133" t="s">
        <v>1330</v>
      </c>
      <c r="N133" t="s">
        <v>44</v>
      </c>
      <c r="O133" t="s">
        <v>45</v>
      </c>
      <c r="P133" t="s">
        <v>40</v>
      </c>
      <c r="Q133" t="s">
        <v>31</v>
      </c>
      <c r="R133">
        <v>5</v>
      </c>
      <c r="S133" t="s">
        <v>1331</v>
      </c>
      <c r="T133" t="s">
        <v>5068</v>
      </c>
      <c r="U133" t="s">
        <v>5069</v>
      </c>
      <c r="V133" t="s">
        <v>48</v>
      </c>
      <c r="W133" t="s">
        <v>33</v>
      </c>
      <c r="X133" t="s">
        <v>33</v>
      </c>
      <c r="Y133" t="s">
        <v>33</v>
      </c>
      <c r="Z133" s="16" t="s">
        <v>34</v>
      </c>
      <c r="AA133">
        <v>-75.621526880000005</v>
      </c>
      <c r="AB133">
        <v>6.1674374299999997</v>
      </c>
      <c r="AC133" t="s">
        <v>96</v>
      </c>
      <c r="AD133" t="s">
        <v>97</v>
      </c>
    </row>
    <row r="134" spans="1:30" x14ac:dyDescent="0.25">
      <c r="A134" t="s">
        <v>3972</v>
      </c>
      <c r="B134" t="s">
        <v>25</v>
      </c>
      <c r="C134" t="s">
        <v>26</v>
      </c>
      <c r="D134" t="s">
        <v>38</v>
      </c>
      <c r="E134" t="s">
        <v>3973</v>
      </c>
      <c r="F134" t="s">
        <v>3974</v>
      </c>
      <c r="G134">
        <v>8103260</v>
      </c>
      <c r="H134" t="s">
        <v>3975</v>
      </c>
      <c r="I134" s="4" t="s">
        <v>35</v>
      </c>
      <c r="J134" s="4" t="s">
        <v>3976</v>
      </c>
      <c r="K134" t="s">
        <v>3977</v>
      </c>
      <c r="L134" t="s">
        <v>27</v>
      </c>
      <c r="M134" t="s">
        <v>3978</v>
      </c>
      <c r="N134" t="s">
        <v>28</v>
      </c>
      <c r="O134" t="s">
        <v>39</v>
      </c>
      <c r="P134" t="s">
        <v>40</v>
      </c>
      <c r="Q134" t="s">
        <v>31</v>
      </c>
      <c r="R134">
        <v>5</v>
      </c>
      <c r="S134" t="s">
        <v>3979</v>
      </c>
      <c r="T134" t="s">
        <v>5070</v>
      </c>
      <c r="U134" t="s">
        <v>5071</v>
      </c>
      <c r="V134" t="s">
        <v>32</v>
      </c>
      <c r="W134" t="s">
        <v>33</v>
      </c>
      <c r="X134" t="s">
        <v>33</v>
      </c>
      <c r="Y134" t="s">
        <v>33</v>
      </c>
      <c r="Z134" s="16" t="s">
        <v>34</v>
      </c>
      <c r="AA134">
        <v>-75.553870099999997</v>
      </c>
      <c r="AB134">
        <v>6.2383464000000002</v>
      </c>
      <c r="AC134" t="s">
        <v>96</v>
      </c>
      <c r="AD134" t="s">
        <v>97</v>
      </c>
    </row>
    <row r="135" spans="1:30" x14ac:dyDescent="0.25">
      <c r="A135" t="s">
        <v>145</v>
      </c>
      <c r="B135" t="s">
        <v>63</v>
      </c>
      <c r="C135" t="s">
        <v>26</v>
      </c>
      <c r="D135" t="s">
        <v>64</v>
      </c>
      <c r="E135" t="s">
        <v>146</v>
      </c>
      <c r="F135" t="s">
        <v>147</v>
      </c>
      <c r="G135">
        <v>43036921</v>
      </c>
      <c r="H135" t="s">
        <v>148</v>
      </c>
      <c r="I135" s="4" t="s">
        <v>35</v>
      </c>
      <c r="J135" s="4" t="s">
        <v>149</v>
      </c>
      <c r="K135" t="s">
        <v>150</v>
      </c>
      <c r="L135" t="s">
        <v>27</v>
      </c>
      <c r="M135" t="s">
        <v>151</v>
      </c>
      <c r="N135" t="s">
        <v>28</v>
      </c>
      <c r="O135" t="s">
        <v>65</v>
      </c>
      <c r="P135" t="s">
        <v>66</v>
      </c>
      <c r="Q135" t="s">
        <v>37</v>
      </c>
      <c r="R135">
        <v>14</v>
      </c>
      <c r="S135" t="s">
        <v>152</v>
      </c>
      <c r="T135" t="s">
        <v>5072</v>
      </c>
      <c r="U135" t="s">
        <v>5073</v>
      </c>
      <c r="V135" t="s">
        <v>32</v>
      </c>
      <c r="W135" t="s">
        <v>33</v>
      </c>
      <c r="X135" t="s">
        <v>33</v>
      </c>
      <c r="Y135" t="s">
        <v>33</v>
      </c>
      <c r="Z135" s="16" t="s">
        <v>34</v>
      </c>
      <c r="AA135">
        <v>-75.646938899999995</v>
      </c>
      <c r="AB135">
        <v>6.2852713400000004</v>
      </c>
      <c r="AC135" t="s">
        <v>96</v>
      </c>
      <c r="AD135" t="s">
        <v>97</v>
      </c>
    </row>
    <row r="136" spans="1:30" x14ac:dyDescent="0.25">
      <c r="A136" t="s">
        <v>164</v>
      </c>
      <c r="B136" t="s">
        <v>49</v>
      </c>
      <c r="C136" t="s">
        <v>67</v>
      </c>
      <c r="D136" t="s">
        <v>49</v>
      </c>
      <c r="E136" t="s">
        <v>165</v>
      </c>
      <c r="F136" t="s">
        <v>166</v>
      </c>
      <c r="G136">
        <v>71616114</v>
      </c>
      <c r="H136" t="s">
        <v>167</v>
      </c>
      <c r="I136" s="4" t="s">
        <v>35</v>
      </c>
      <c r="J136" s="4" t="s">
        <v>168</v>
      </c>
      <c r="K136" t="s">
        <v>169</v>
      </c>
      <c r="L136" t="s">
        <v>27</v>
      </c>
      <c r="M136" t="s">
        <v>170</v>
      </c>
      <c r="N136" t="s">
        <v>28</v>
      </c>
      <c r="O136" t="s">
        <v>68</v>
      </c>
      <c r="P136" t="s">
        <v>51</v>
      </c>
      <c r="Q136" t="s">
        <v>31</v>
      </c>
      <c r="R136">
        <v>11</v>
      </c>
      <c r="S136" t="s">
        <v>171</v>
      </c>
      <c r="T136" t="s">
        <v>5074</v>
      </c>
      <c r="U136" t="s">
        <v>5075</v>
      </c>
      <c r="V136" t="s">
        <v>92</v>
      </c>
      <c r="W136" t="s">
        <v>33</v>
      </c>
      <c r="X136" t="s">
        <v>33</v>
      </c>
      <c r="Y136" t="s">
        <v>33</v>
      </c>
      <c r="Z136" s="16" t="s">
        <v>34</v>
      </c>
      <c r="AA136">
        <v>-75.583165050000005</v>
      </c>
      <c r="AB136">
        <v>6.2198196599999998</v>
      </c>
      <c r="AC136" t="s">
        <v>96</v>
      </c>
      <c r="AD136" t="s">
        <v>97</v>
      </c>
    </row>
    <row r="137" spans="1:30" x14ac:dyDescent="0.25">
      <c r="A137" t="s">
        <v>172</v>
      </c>
      <c r="B137" t="s">
        <v>49</v>
      </c>
      <c r="C137" t="s">
        <v>72</v>
      </c>
      <c r="D137" t="s">
        <v>49</v>
      </c>
      <c r="E137" t="s">
        <v>173</v>
      </c>
      <c r="F137" t="s">
        <v>174</v>
      </c>
      <c r="G137">
        <v>15482908</v>
      </c>
      <c r="H137" t="s">
        <v>175</v>
      </c>
      <c r="I137" s="4" t="s">
        <v>35</v>
      </c>
      <c r="J137" s="4" t="s">
        <v>176</v>
      </c>
      <c r="K137" t="s">
        <v>177</v>
      </c>
      <c r="L137" t="s">
        <v>27</v>
      </c>
      <c r="M137" t="s">
        <v>178</v>
      </c>
      <c r="N137" t="s">
        <v>28</v>
      </c>
      <c r="O137" t="s">
        <v>73</v>
      </c>
      <c r="P137" t="s">
        <v>51</v>
      </c>
      <c r="Q137" t="s">
        <v>31</v>
      </c>
      <c r="R137">
        <v>11</v>
      </c>
      <c r="S137" t="s">
        <v>179</v>
      </c>
      <c r="T137" t="s">
        <v>5076</v>
      </c>
      <c r="U137" t="s">
        <v>5077</v>
      </c>
      <c r="V137" t="s">
        <v>92</v>
      </c>
      <c r="W137" t="s">
        <v>33</v>
      </c>
      <c r="X137" t="s">
        <v>33</v>
      </c>
      <c r="Y137" t="s">
        <v>33</v>
      </c>
      <c r="Z137" s="16" t="s">
        <v>34</v>
      </c>
      <c r="AA137">
        <v>-75.532750379999996</v>
      </c>
      <c r="AB137">
        <v>6.2380932600000003</v>
      </c>
      <c r="AC137" t="s">
        <v>96</v>
      </c>
      <c r="AD137" t="s">
        <v>97</v>
      </c>
    </row>
    <row r="138" spans="1:30" x14ac:dyDescent="0.25">
      <c r="A138" t="s">
        <v>180</v>
      </c>
      <c r="B138" t="s">
        <v>25</v>
      </c>
      <c r="C138" t="s">
        <v>26</v>
      </c>
      <c r="D138" t="s">
        <v>38</v>
      </c>
      <c r="E138" t="s">
        <v>181</v>
      </c>
      <c r="F138" t="s">
        <v>230</v>
      </c>
      <c r="G138">
        <v>43452589</v>
      </c>
      <c r="H138" t="s">
        <v>182</v>
      </c>
      <c r="I138" s="4" t="s">
        <v>183</v>
      </c>
      <c r="J138" s="4" t="s">
        <v>184</v>
      </c>
      <c r="K138" t="s">
        <v>185</v>
      </c>
      <c r="L138" t="s">
        <v>27</v>
      </c>
      <c r="M138" t="s">
        <v>186</v>
      </c>
      <c r="N138" t="s">
        <v>28</v>
      </c>
      <c r="O138" t="s">
        <v>39</v>
      </c>
      <c r="P138" t="s">
        <v>40</v>
      </c>
      <c r="Q138" t="s">
        <v>37</v>
      </c>
      <c r="R138">
        <v>8</v>
      </c>
      <c r="S138" t="s">
        <v>231</v>
      </c>
      <c r="T138" t="s">
        <v>5078</v>
      </c>
      <c r="U138" t="s">
        <v>5079</v>
      </c>
      <c r="V138" t="s">
        <v>92</v>
      </c>
      <c r="W138" t="s">
        <v>33</v>
      </c>
      <c r="X138" t="s">
        <v>33</v>
      </c>
      <c r="Y138" t="s">
        <v>33</v>
      </c>
      <c r="Z138" s="16" t="s">
        <v>34</v>
      </c>
      <c r="AA138">
        <v>-75.661386460000003</v>
      </c>
      <c r="AB138">
        <v>6.3066020399999996</v>
      </c>
      <c r="AC138" t="s">
        <v>96</v>
      </c>
      <c r="AD138" t="s">
        <v>97</v>
      </c>
    </row>
    <row r="139" spans="1:30" x14ac:dyDescent="0.25">
      <c r="A139" t="s">
        <v>2586</v>
      </c>
      <c r="B139" t="s">
        <v>25</v>
      </c>
      <c r="C139" t="s">
        <v>26</v>
      </c>
      <c r="D139" t="s">
        <v>38</v>
      </c>
      <c r="E139" t="s">
        <v>2587</v>
      </c>
      <c r="F139" t="s">
        <v>2588</v>
      </c>
      <c r="G139">
        <v>98762612</v>
      </c>
      <c r="H139" t="s">
        <v>2589</v>
      </c>
      <c r="I139" s="4" t="s">
        <v>35</v>
      </c>
      <c r="J139" s="4" t="s">
        <v>2590</v>
      </c>
      <c r="K139" t="s">
        <v>2591</v>
      </c>
      <c r="L139" t="s">
        <v>27</v>
      </c>
      <c r="M139" t="s">
        <v>2592</v>
      </c>
      <c r="N139" t="s">
        <v>28</v>
      </c>
      <c r="O139" t="s">
        <v>39</v>
      </c>
      <c r="P139" t="s">
        <v>40</v>
      </c>
      <c r="Q139" t="s">
        <v>31</v>
      </c>
      <c r="R139">
        <v>5</v>
      </c>
      <c r="S139" t="s">
        <v>2593</v>
      </c>
      <c r="T139" t="s">
        <v>5080</v>
      </c>
      <c r="U139" t="s">
        <v>5081</v>
      </c>
      <c r="V139" t="s">
        <v>32</v>
      </c>
      <c r="W139" t="s">
        <v>33</v>
      </c>
      <c r="X139" t="s">
        <v>33</v>
      </c>
      <c r="Y139" t="s">
        <v>33</v>
      </c>
      <c r="Z139" s="16" t="s">
        <v>34</v>
      </c>
      <c r="AA139">
        <v>-75.61454148</v>
      </c>
      <c r="AB139">
        <v>6.2209234100000002</v>
      </c>
      <c r="AC139" t="s">
        <v>96</v>
      </c>
      <c r="AD139" t="s">
        <v>97</v>
      </c>
    </row>
    <row r="140" spans="1:30" x14ac:dyDescent="0.25">
      <c r="A140" t="s">
        <v>1958</v>
      </c>
      <c r="B140" t="s">
        <v>25</v>
      </c>
      <c r="C140" t="s">
        <v>26</v>
      </c>
      <c r="D140" t="s">
        <v>25</v>
      </c>
      <c r="E140" t="s">
        <v>1959</v>
      </c>
      <c r="F140" t="s">
        <v>1960</v>
      </c>
      <c r="G140">
        <v>1152457195</v>
      </c>
      <c r="H140" t="s">
        <v>1961</v>
      </c>
      <c r="I140" s="4" t="s">
        <v>35</v>
      </c>
      <c r="J140" s="4" t="s">
        <v>1962</v>
      </c>
      <c r="K140" t="s">
        <v>1963</v>
      </c>
      <c r="L140" t="s">
        <v>27</v>
      </c>
      <c r="M140" t="s">
        <v>1964</v>
      </c>
      <c r="N140" t="s">
        <v>28</v>
      </c>
      <c r="O140" t="s">
        <v>29</v>
      </c>
      <c r="P140" t="s">
        <v>36</v>
      </c>
      <c r="Q140" t="s">
        <v>31</v>
      </c>
      <c r="R140">
        <v>7</v>
      </c>
      <c r="S140" t="s">
        <v>1965</v>
      </c>
      <c r="T140" t="s">
        <v>5082</v>
      </c>
      <c r="U140" t="s">
        <v>3191</v>
      </c>
      <c r="V140" t="s">
        <v>32</v>
      </c>
      <c r="W140" t="s">
        <v>33</v>
      </c>
      <c r="X140" t="s">
        <v>33</v>
      </c>
      <c r="Y140" t="s">
        <v>33</v>
      </c>
      <c r="Z140" s="16" t="s">
        <v>34</v>
      </c>
      <c r="AA140">
        <v>-75.607443000000004</v>
      </c>
      <c r="AB140">
        <v>6.2277149999999999</v>
      </c>
      <c r="AC140" t="s">
        <v>96</v>
      </c>
      <c r="AD140" t="s">
        <v>97</v>
      </c>
    </row>
    <row r="141" spans="1:30" x14ac:dyDescent="0.25">
      <c r="A141" t="s">
        <v>187</v>
      </c>
      <c r="B141" t="s">
        <v>49</v>
      </c>
      <c r="C141" t="s">
        <v>72</v>
      </c>
      <c r="D141" t="s">
        <v>49</v>
      </c>
      <c r="E141" t="s">
        <v>188</v>
      </c>
      <c r="F141" t="s">
        <v>189</v>
      </c>
      <c r="G141">
        <v>98660010</v>
      </c>
      <c r="H141" t="s">
        <v>190</v>
      </c>
      <c r="I141" s="4" t="s">
        <v>191</v>
      </c>
      <c r="J141" s="4" t="s">
        <v>192</v>
      </c>
      <c r="K141" t="s">
        <v>193</v>
      </c>
      <c r="L141" t="s">
        <v>27</v>
      </c>
      <c r="M141" t="s">
        <v>194</v>
      </c>
      <c r="N141" t="s">
        <v>28</v>
      </c>
      <c r="O141" t="s">
        <v>73</v>
      </c>
      <c r="P141" t="s">
        <v>51</v>
      </c>
      <c r="Q141" t="s">
        <v>31</v>
      </c>
      <c r="R141">
        <v>11</v>
      </c>
      <c r="S141" t="s">
        <v>195</v>
      </c>
      <c r="T141" t="s">
        <v>5083</v>
      </c>
      <c r="U141" t="s">
        <v>5084</v>
      </c>
      <c r="V141" t="s">
        <v>48</v>
      </c>
      <c r="W141" t="s">
        <v>33</v>
      </c>
      <c r="X141" t="s">
        <v>33</v>
      </c>
      <c r="Y141" t="s">
        <v>33</v>
      </c>
      <c r="Z141" s="16" t="s">
        <v>34</v>
      </c>
      <c r="AA141">
        <v>-75.623810000000006</v>
      </c>
      <c r="AB141">
        <v>6.2353120000000004</v>
      </c>
      <c r="AC141" t="s">
        <v>96</v>
      </c>
      <c r="AD141" t="s">
        <v>97</v>
      </c>
    </row>
    <row r="142" spans="1:30" x14ac:dyDescent="0.25">
      <c r="A142" t="s">
        <v>196</v>
      </c>
      <c r="B142" t="s">
        <v>49</v>
      </c>
      <c r="C142" t="s">
        <v>26</v>
      </c>
      <c r="D142" t="s">
        <v>49</v>
      </c>
      <c r="E142" t="s">
        <v>197</v>
      </c>
      <c r="F142" t="s">
        <v>198</v>
      </c>
      <c r="G142">
        <v>43095174</v>
      </c>
      <c r="H142" t="s">
        <v>199</v>
      </c>
      <c r="I142" s="4" t="s">
        <v>35</v>
      </c>
      <c r="J142" s="4" t="s">
        <v>200</v>
      </c>
      <c r="K142" t="s">
        <v>201</v>
      </c>
      <c r="L142" t="s">
        <v>27</v>
      </c>
      <c r="M142" t="s">
        <v>202</v>
      </c>
      <c r="N142" t="s">
        <v>28</v>
      </c>
      <c r="O142" t="s">
        <v>50</v>
      </c>
      <c r="P142" t="s">
        <v>51</v>
      </c>
      <c r="Q142" t="s">
        <v>31</v>
      </c>
      <c r="R142">
        <v>11</v>
      </c>
      <c r="S142" t="s">
        <v>203</v>
      </c>
      <c r="T142" t="s">
        <v>5086</v>
      </c>
      <c r="U142" t="s">
        <v>5087</v>
      </c>
      <c r="V142" t="s">
        <v>48</v>
      </c>
      <c r="W142" t="s">
        <v>33</v>
      </c>
      <c r="X142" t="s">
        <v>33</v>
      </c>
      <c r="Y142" t="s">
        <v>33</v>
      </c>
      <c r="Z142" s="16" t="s">
        <v>34</v>
      </c>
      <c r="AA142">
        <v>-75.639167610000001</v>
      </c>
      <c r="AB142">
        <v>6.2399221699999998</v>
      </c>
      <c r="AC142" t="s">
        <v>96</v>
      </c>
      <c r="AD142" t="s">
        <v>97</v>
      </c>
    </row>
    <row r="143" spans="1:30" x14ac:dyDescent="0.25">
      <c r="A143" t="s">
        <v>233</v>
      </c>
      <c r="B143" t="s">
        <v>63</v>
      </c>
      <c r="C143" t="s">
        <v>26</v>
      </c>
      <c r="D143" t="s">
        <v>64</v>
      </c>
      <c r="E143" t="s">
        <v>234</v>
      </c>
      <c r="F143" t="s">
        <v>235</v>
      </c>
      <c r="G143">
        <v>43107017</v>
      </c>
      <c r="H143" t="s">
        <v>139</v>
      </c>
      <c r="I143" s="4" t="s">
        <v>35</v>
      </c>
      <c r="J143" s="4" t="s">
        <v>140</v>
      </c>
      <c r="K143" t="s">
        <v>141</v>
      </c>
      <c r="L143" t="s">
        <v>43</v>
      </c>
      <c r="M143" t="s">
        <v>142</v>
      </c>
      <c r="N143" t="s">
        <v>44</v>
      </c>
      <c r="O143" t="s">
        <v>65</v>
      </c>
      <c r="P143" t="s">
        <v>69</v>
      </c>
      <c r="Q143" t="s">
        <v>31</v>
      </c>
      <c r="R143">
        <v>9</v>
      </c>
      <c r="S143" t="s">
        <v>236</v>
      </c>
      <c r="T143" t="s">
        <v>5088</v>
      </c>
      <c r="U143" t="s">
        <v>46</v>
      </c>
      <c r="V143" t="s">
        <v>46</v>
      </c>
      <c r="W143" t="s">
        <v>33</v>
      </c>
      <c r="X143" t="s">
        <v>33</v>
      </c>
      <c r="Y143" t="s">
        <v>33</v>
      </c>
      <c r="Z143" s="16" t="s">
        <v>34</v>
      </c>
      <c r="AA143">
        <v>-75.614312745000007</v>
      </c>
      <c r="AB143">
        <v>6.1789636690000398</v>
      </c>
      <c r="AC143" t="s">
        <v>96</v>
      </c>
      <c r="AD143" t="s">
        <v>97</v>
      </c>
    </row>
    <row r="144" spans="1:30" x14ac:dyDescent="0.25">
      <c r="A144" t="s">
        <v>237</v>
      </c>
      <c r="B144" t="s">
        <v>25</v>
      </c>
      <c r="C144" t="s">
        <v>26</v>
      </c>
      <c r="D144" t="s">
        <v>25</v>
      </c>
      <c r="E144" t="s">
        <v>238</v>
      </c>
      <c r="F144" t="s">
        <v>239</v>
      </c>
      <c r="G144">
        <v>1042771985</v>
      </c>
      <c r="H144" t="s">
        <v>240</v>
      </c>
      <c r="I144" s="4" t="s">
        <v>35</v>
      </c>
      <c r="J144" s="4" t="s">
        <v>241</v>
      </c>
      <c r="K144" t="s">
        <v>242</v>
      </c>
      <c r="L144" t="s">
        <v>27</v>
      </c>
      <c r="M144" t="s">
        <v>243</v>
      </c>
      <c r="N144" t="s">
        <v>28</v>
      </c>
      <c r="O144" t="s">
        <v>29</v>
      </c>
      <c r="P144" t="s">
        <v>36</v>
      </c>
      <c r="Q144" t="s">
        <v>37</v>
      </c>
      <c r="R144">
        <v>10</v>
      </c>
      <c r="S144" t="s">
        <v>244</v>
      </c>
      <c r="T144" t="s">
        <v>5089</v>
      </c>
      <c r="U144" t="s">
        <v>5090</v>
      </c>
      <c r="V144" t="s">
        <v>48</v>
      </c>
      <c r="W144" t="s">
        <v>33</v>
      </c>
      <c r="X144" t="s">
        <v>33</v>
      </c>
      <c r="Y144" t="s">
        <v>33</v>
      </c>
      <c r="Z144" s="16" t="s">
        <v>34</v>
      </c>
      <c r="AA144">
        <v>-75.619883150000007</v>
      </c>
      <c r="AB144">
        <v>6.29025722</v>
      </c>
      <c r="AC144" t="s">
        <v>96</v>
      </c>
      <c r="AD144" t="s">
        <v>97</v>
      </c>
    </row>
    <row r="145" spans="1:30" x14ac:dyDescent="0.25">
      <c r="A145" t="s">
        <v>3980</v>
      </c>
      <c r="B145" t="s">
        <v>25</v>
      </c>
      <c r="C145" t="s">
        <v>26</v>
      </c>
      <c r="D145" t="s">
        <v>38</v>
      </c>
      <c r="E145" t="s">
        <v>3981</v>
      </c>
      <c r="F145" t="s">
        <v>3982</v>
      </c>
      <c r="G145">
        <v>1039884610</v>
      </c>
      <c r="H145" t="s">
        <v>3983</v>
      </c>
      <c r="I145" s="4" t="s">
        <v>35</v>
      </c>
      <c r="J145" s="4" t="s">
        <v>3984</v>
      </c>
      <c r="K145" t="s">
        <v>3985</v>
      </c>
      <c r="L145" t="s">
        <v>27</v>
      </c>
      <c r="M145" t="s">
        <v>3986</v>
      </c>
      <c r="N145" t="s">
        <v>28</v>
      </c>
      <c r="O145" t="s">
        <v>45</v>
      </c>
      <c r="P145" t="s">
        <v>40</v>
      </c>
      <c r="Q145" t="s">
        <v>31</v>
      </c>
      <c r="R145">
        <v>5</v>
      </c>
      <c r="S145" t="s">
        <v>3987</v>
      </c>
      <c r="T145" t="s">
        <v>1139</v>
      </c>
      <c r="U145" t="s">
        <v>1140</v>
      </c>
      <c r="V145" t="s">
        <v>32</v>
      </c>
      <c r="W145" t="s">
        <v>33</v>
      </c>
      <c r="X145" t="s">
        <v>33</v>
      </c>
      <c r="Y145" t="s">
        <v>33</v>
      </c>
      <c r="Z145" s="16" t="s">
        <v>34</v>
      </c>
      <c r="AA145">
        <v>-75.530522149999996</v>
      </c>
      <c r="AB145">
        <v>6.2278450899999998</v>
      </c>
      <c r="AC145" t="s">
        <v>96</v>
      </c>
      <c r="AD145" t="s">
        <v>97</v>
      </c>
    </row>
    <row r="146" spans="1:30" x14ac:dyDescent="0.25">
      <c r="A146" t="s">
        <v>250</v>
      </c>
      <c r="B146" t="s">
        <v>63</v>
      </c>
      <c r="C146" t="s">
        <v>26</v>
      </c>
      <c r="D146" t="s">
        <v>64</v>
      </c>
      <c r="E146" t="s">
        <v>251</v>
      </c>
      <c r="F146" t="s">
        <v>252</v>
      </c>
      <c r="G146">
        <v>1116781423</v>
      </c>
      <c r="H146" t="s">
        <v>253</v>
      </c>
      <c r="I146" s="4" t="s">
        <v>35</v>
      </c>
      <c r="J146" s="4" t="s">
        <v>254</v>
      </c>
      <c r="K146" t="s">
        <v>255</v>
      </c>
      <c r="L146" t="s">
        <v>27</v>
      </c>
      <c r="M146" t="s">
        <v>256</v>
      </c>
      <c r="N146" t="s">
        <v>28</v>
      </c>
      <c r="O146" t="s">
        <v>65</v>
      </c>
      <c r="P146" t="s">
        <v>66</v>
      </c>
      <c r="Q146" t="s">
        <v>31</v>
      </c>
      <c r="R146">
        <v>9</v>
      </c>
      <c r="S146" t="s">
        <v>257</v>
      </c>
      <c r="T146" t="s">
        <v>5091</v>
      </c>
      <c r="U146" t="s">
        <v>5092</v>
      </c>
      <c r="V146" t="s">
        <v>48</v>
      </c>
      <c r="W146" t="s">
        <v>33</v>
      </c>
      <c r="X146" t="s">
        <v>33</v>
      </c>
      <c r="Y146" t="s">
        <v>33</v>
      </c>
      <c r="Z146" s="16" t="s">
        <v>34</v>
      </c>
      <c r="AA146">
        <v>-75.631744620000006</v>
      </c>
      <c r="AB146">
        <v>6.2767403100000001</v>
      </c>
      <c r="AC146" t="s">
        <v>96</v>
      </c>
      <c r="AD146" t="s">
        <v>97</v>
      </c>
    </row>
    <row r="147" spans="1:30" x14ac:dyDescent="0.25">
      <c r="A147" t="s">
        <v>1966</v>
      </c>
      <c r="B147" t="s">
        <v>25</v>
      </c>
      <c r="C147" t="s">
        <v>26</v>
      </c>
      <c r="D147" t="s">
        <v>25</v>
      </c>
      <c r="E147" t="s">
        <v>1967</v>
      </c>
      <c r="F147" t="s">
        <v>1968</v>
      </c>
      <c r="G147">
        <v>71492359</v>
      </c>
      <c r="H147" t="s">
        <v>1969</v>
      </c>
      <c r="I147" s="4" t="s">
        <v>35</v>
      </c>
      <c r="J147" s="4" t="s">
        <v>1970</v>
      </c>
      <c r="K147" t="s">
        <v>1971</v>
      </c>
      <c r="L147" t="s">
        <v>27</v>
      </c>
      <c r="M147" t="s">
        <v>1972</v>
      </c>
      <c r="N147" t="s">
        <v>28</v>
      </c>
      <c r="O147" t="s">
        <v>29</v>
      </c>
      <c r="P147" t="s">
        <v>30</v>
      </c>
      <c r="Q147" t="s">
        <v>31</v>
      </c>
      <c r="R147">
        <v>7</v>
      </c>
      <c r="S147" t="s">
        <v>1973</v>
      </c>
      <c r="T147" t="s">
        <v>5093</v>
      </c>
      <c r="U147" t="s">
        <v>5094</v>
      </c>
      <c r="V147" t="s">
        <v>32</v>
      </c>
      <c r="W147" t="s">
        <v>33</v>
      </c>
      <c r="X147" t="s">
        <v>33</v>
      </c>
      <c r="Y147" t="s">
        <v>33</v>
      </c>
      <c r="Z147" s="16" t="s">
        <v>34</v>
      </c>
      <c r="AA147">
        <v>-75.555852740000006</v>
      </c>
      <c r="AB147">
        <v>6.2318160799999998</v>
      </c>
      <c r="AC147" t="s">
        <v>96</v>
      </c>
      <c r="AD147" t="s">
        <v>97</v>
      </c>
    </row>
    <row r="148" spans="1:30" x14ac:dyDescent="0.25">
      <c r="A148" t="s">
        <v>1974</v>
      </c>
      <c r="B148" t="s">
        <v>25</v>
      </c>
      <c r="C148" t="s">
        <v>26</v>
      </c>
      <c r="D148" t="s">
        <v>25</v>
      </c>
      <c r="E148" t="s">
        <v>1975</v>
      </c>
      <c r="F148" t="s">
        <v>1976</v>
      </c>
      <c r="G148">
        <v>71492359</v>
      </c>
      <c r="H148" t="s">
        <v>1969</v>
      </c>
      <c r="I148" s="4" t="s">
        <v>35</v>
      </c>
      <c r="J148" s="4" t="s">
        <v>1970</v>
      </c>
      <c r="K148" t="s">
        <v>1977</v>
      </c>
      <c r="L148" t="s">
        <v>27</v>
      </c>
      <c r="M148" t="s">
        <v>1978</v>
      </c>
      <c r="N148" t="s">
        <v>28</v>
      </c>
      <c r="O148" t="s">
        <v>29</v>
      </c>
      <c r="P148" t="s">
        <v>30</v>
      </c>
      <c r="Q148" t="s">
        <v>31</v>
      </c>
      <c r="R148">
        <v>7</v>
      </c>
      <c r="S148" t="s">
        <v>1979</v>
      </c>
      <c r="T148" t="s">
        <v>5095</v>
      </c>
      <c r="U148" t="s">
        <v>3426</v>
      </c>
      <c r="V148" t="s">
        <v>32</v>
      </c>
      <c r="W148" t="s">
        <v>33</v>
      </c>
      <c r="X148" t="s">
        <v>33</v>
      </c>
      <c r="Y148" t="s">
        <v>33</v>
      </c>
      <c r="Z148" s="16" t="s">
        <v>34</v>
      </c>
      <c r="AA148">
        <v>-75.555852740000006</v>
      </c>
      <c r="AB148">
        <v>6.2318160799999998</v>
      </c>
      <c r="AC148" t="s">
        <v>96</v>
      </c>
      <c r="AD148" t="s">
        <v>97</v>
      </c>
    </row>
    <row r="149" spans="1:30" x14ac:dyDescent="0.25">
      <c r="A149" t="s">
        <v>258</v>
      </c>
      <c r="B149" t="s">
        <v>49</v>
      </c>
      <c r="C149" t="s">
        <v>67</v>
      </c>
      <c r="D149" t="s">
        <v>49</v>
      </c>
      <c r="E149" t="s">
        <v>259</v>
      </c>
      <c r="F149" t="s">
        <v>260</v>
      </c>
      <c r="G149">
        <v>1017197149</v>
      </c>
      <c r="H149" t="s">
        <v>261</v>
      </c>
      <c r="I149" s="4" t="s">
        <v>35</v>
      </c>
      <c r="J149" s="4" t="s">
        <v>262</v>
      </c>
      <c r="K149" t="s">
        <v>263</v>
      </c>
      <c r="L149" t="s">
        <v>27</v>
      </c>
      <c r="M149" t="s">
        <v>264</v>
      </c>
      <c r="N149" t="s">
        <v>28</v>
      </c>
      <c r="O149" t="s">
        <v>68</v>
      </c>
      <c r="P149" t="s">
        <v>51</v>
      </c>
      <c r="Q149" t="s">
        <v>31</v>
      </c>
      <c r="R149">
        <v>11</v>
      </c>
      <c r="S149" t="s">
        <v>265</v>
      </c>
      <c r="T149" t="s">
        <v>5096</v>
      </c>
      <c r="U149" t="s">
        <v>5097</v>
      </c>
      <c r="V149" t="s">
        <v>32</v>
      </c>
      <c r="W149" t="s">
        <v>33</v>
      </c>
      <c r="X149" t="s">
        <v>33</v>
      </c>
      <c r="Y149" t="s">
        <v>33</v>
      </c>
      <c r="Z149" s="16" t="s">
        <v>34</v>
      </c>
      <c r="AA149">
        <v>-75.544186620000005</v>
      </c>
      <c r="AB149">
        <v>6.2490092099999996</v>
      </c>
      <c r="AC149" t="s">
        <v>96</v>
      </c>
      <c r="AD149" t="s">
        <v>97</v>
      </c>
    </row>
    <row r="150" spans="1:30" x14ac:dyDescent="0.25">
      <c r="A150" t="s">
        <v>266</v>
      </c>
      <c r="B150" t="s">
        <v>49</v>
      </c>
      <c r="C150" t="s">
        <v>67</v>
      </c>
      <c r="D150" t="s">
        <v>49</v>
      </c>
      <c r="E150" t="s">
        <v>267</v>
      </c>
      <c r="F150" t="s">
        <v>268</v>
      </c>
      <c r="G150">
        <v>21524551</v>
      </c>
      <c r="H150" t="s">
        <v>269</v>
      </c>
      <c r="I150" s="4" t="s">
        <v>270</v>
      </c>
      <c r="J150" s="4" t="s">
        <v>271</v>
      </c>
      <c r="K150" t="s">
        <v>272</v>
      </c>
      <c r="L150" t="s">
        <v>27</v>
      </c>
      <c r="M150" t="s">
        <v>273</v>
      </c>
      <c r="N150" t="s">
        <v>28</v>
      </c>
      <c r="O150" t="s">
        <v>68</v>
      </c>
      <c r="P150" t="s">
        <v>51</v>
      </c>
      <c r="Q150" t="s">
        <v>31</v>
      </c>
      <c r="R150">
        <v>11</v>
      </c>
      <c r="S150" t="s">
        <v>274</v>
      </c>
      <c r="T150" t="s">
        <v>5098</v>
      </c>
      <c r="U150" t="s">
        <v>5099</v>
      </c>
      <c r="V150" t="s">
        <v>32</v>
      </c>
      <c r="W150" t="s">
        <v>33</v>
      </c>
      <c r="X150" t="s">
        <v>33</v>
      </c>
      <c r="Y150" t="s">
        <v>33</v>
      </c>
      <c r="Z150" s="16" t="s">
        <v>34</v>
      </c>
      <c r="AA150">
        <v>-75.582285569999996</v>
      </c>
      <c r="AB150">
        <v>6.2150544099999996</v>
      </c>
      <c r="AC150" t="s">
        <v>96</v>
      </c>
      <c r="AD150" t="s">
        <v>97</v>
      </c>
    </row>
    <row r="151" spans="1:30" x14ac:dyDescent="0.25">
      <c r="A151" t="s">
        <v>277</v>
      </c>
      <c r="B151" t="s">
        <v>49</v>
      </c>
      <c r="C151" t="s">
        <v>67</v>
      </c>
      <c r="D151" t="s">
        <v>49</v>
      </c>
      <c r="E151" t="s">
        <v>278</v>
      </c>
      <c r="F151" t="s">
        <v>279</v>
      </c>
      <c r="G151">
        <v>15255853</v>
      </c>
      <c r="H151" t="s">
        <v>280</v>
      </c>
      <c r="I151" s="4" t="s">
        <v>35</v>
      </c>
      <c r="J151" s="4" t="s">
        <v>281</v>
      </c>
      <c r="K151" t="s">
        <v>282</v>
      </c>
      <c r="L151" t="s">
        <v>55</v>
      </c>
      <c r="M151" t="s">
        <v>283</v>
      </c>
      <c r="N151" t="s">
        <v>56</v>
      </c>
      <c r="O151" t="s">
        <v>68</v>
      </c>
      <c r="P151" t="s">
        <v>51</v>
      </c>
      <c r="Q151" t="s">
        <v>37</v>
      </c>
      <c r="R151">
        <v>11</v>
      </c>
      <c r="S151" t="s">
        <v>284</v>
      </c>
      <c r="T151" t="s">
        <v>5100</v>
      </c>
      <c r="U151" t="s">
        <v>5101</v>
      </c>
      <c r="V151" t="s">
        <v>32</v>
      </c>
      <c r="W151" t="s">
        <v>33</v>
      </c>
      <c r="X151" t="s">
        <v>33</v>
      </c>
      <c r="Y151" t="s">
        <v>33</v>
      </c>
      <c r="Z151" s="16" t="s">
        <v>34</v>
      </c>
      <c r="AA151">
        <v>-75.639612650000004</v>
      </c>
      <c r="AB151">
        <v>6.0829978200000001</v>
      </c>
      <c r="AC151" t="s">
        <v>96</v>
      </c>
      <c r="AD151" t="s">
        <v>97</v>
      </c>
    </row>
    <row r="152" spans="1:30" x14ac:dyDescent="0.25">
      <c r="A152" t="s">
        <v>1029</v>
      </c>
      <c r="B152" t="s">
        <v>25</v>
      </c>
      <c r="C152" t="s">
        <v>26</v>
      </c>
      <c r="D152" t="s">
        <v>38</v>
      </c>
      <c r="E152" t="s">
        <v>1030</v>
      </c>
      <c r="F152" t="s">
        <v>1031</v>
      </c>
      <c r="G152">
        <v>71673427</v>
      </c>
      <c r="H152" t="s">
        <v>1032</v>
      </c>
      <c r="I152" s="4" t="s">
        <v>35</v>
      </c>
      <c r="J152" s="4" t="s">
        <v>1033</v>
      </c>
      <c r="K152" t="s">
        <v>1034</v>
      </c>
      <c r="L152" t="s">
        <v>27</v>
      </c>
      <c r="M152" t="s">
        <v>1035</v>
      </c>
      <c r="N152" t="s">
        <v>28</v>
      </c>
      <c r="O152" t="s">
        <v>45</v>
      </c>
      <c r="P152" t="s">
        <v>40</v>
      </c>
      <c r="Q152" t="s">
        <v>37</v>
      </c>
      <c r="R152">
        <v>8</v>
      </c>
      <c r="S152" t="s">
        <v>1332</v>
      </c>
      <c r="T152" t="s">
        <v>5014</v>
      </c>
      <c r="U152" t="s">
        <v>5014</v>
      </c>
      <c r="V152" t="s">
        <v>32</v>
      </c>
      <c r="W152" t="s">
        <v>33</v>
      </c>
      <c r="X152" t="s">
        <v>33</v>
      </c>
      <c r="Y152" t="s">
        <v>33</v>
      </c>
      <c r="Z152" s="16" t="s">
        <v>34</v>
      </c>
      <c r="AA152">
        <v>-75.610884501000001</v>
      </c>
      <c r="AB152">
        <v>6.2574398200000596</v>
      </c>
      <c r="AC152" t="s">
        <v>96</v>
      </c>
      <c r="AD152" t="s">
        <v>97</v>
      </c>
    </row>
    <row r="153" spans="1:30" x14ac:dyDescent="0.25">
      <c r="A153" t="s">
        <v>1333</v>
      </c>
      <c r="B153" t="s">
        <v>49</v>
      </c>
      <c r="C153" t="s">
        <v>26</v>
      </c>
      <c r="D153" t="s">
        <v>49</v>
      </c>
      <c r="E153" t="s">
        <v>1334</v>
      </c>
      <c r="F153" t="s">
        <v>1335</v>
      </c>
      <c r="G153">
        <v>71374059</v>
      </c>
      <c r="H153" t="s">
        <v>1336</v>
      </c>
      <c r="I153" s="4" t="s">
        <v>35</v>
      </c>
      <c r="J153" s="4" t="s">
        <v>1337</v>
      </c>
      <c r="K153" t="s">
        <v>1338</v>
      </c>
      <c r="L153" t="s">
        <v>27</v>
      </c>
      <c r="M153" t="s">
        <v>1339</v>
      </c>
      <c r="N153" t="s">
        <v>28</v>
      </c>
      <c r="O153" t="s">
        <v>50</v>
      </c>
      <c r="P153" t="s">
        <v>51</v>
      </c>
      <c r="Q153" t="s">
        <v>31</v>
      </c>
      <c r="R153">
        <v>11</v>
      </c>
      <c r="S153" t="s">
        <v>1340</v>
      </c>
      <c r="T153" t="s">
        <v>5102</v>
      </c>
      <c r="U153" t="s">
        <v>5103</v>
      </c>
      <c r="V153" t="s">
        <v>32</v>
      </c>
      <c r="W153" t="s">
        <v>33</v>
      </c>
      <c r="X153" t="s">
        <v>33</v>
      </c>
      <c r="Y153" t="s">
        <v>33</v>
      </c>
      <c r="Z153" s="16" t="s">
        <v>34</v>
      </c>
      <c r="AA153">
        <v>-75.617541000000003</v>
      </c>
      <c r="AB153">
        <v>6.2590269999999997</v>
      </c>
      <c r="AC153" t="s">
        <v>96</v>
      </c>
      <c r="AD153" t="s">
        <v>97</v>
      </c>
    </row>
    <row r="154" spans="1:30" x14ac:dyDescent="0.25">
      <c r="A154" t="s">
        <v>2594</v>
      </c>
      <c r="B154" t="s">
        <v>25</v>
      </c>
      <c r="C154" t="s">
        <v>26</v>
      </c>
      <c r="D154" t="s">
        <v>38</v>
      </c>
      <c r="E154" t="s">
        <v>2595</v>
      </c>
      <c r="F154" t="s">
        <v>2596</v>
      </c>
      <c r="G154">
        <v>1017263135</v>
      </c>
      <c r="H154" t="s">
        <v>2597</v>
      </c>
      <c r="I154" s="4" t="s">
        <v>2598</v>
      </c>
      <c r="J154" s="4" t="s">
        <v>2599</v>
      </c>
      <c r="K154" t="s">
        <v>2600</v>
      </c>
      <c r="L154" t="s">
        <v>27</v>
      </c>
      <c r="M154" t="s">
        <v>2601</v>
      </c>
      <c r="N154" t="s">
        <v>28</v>
      </c>
      <c r="O154" t="s">
        <v>39</v>
      </c>
      <c r="P154" t="s">
        <v>40</v>
      </c>
      <c r="Q154" t="s">
        <v>31</v>
      </c>
      <c r="R154">
        <v>5</v>
      </c>
      <c r="S154" t="s">
        <v>2602</v>
      </c>
      <c r="T154" t="s">
        <v>3301</v>
      </c>
      <c r="U154" t="s">
        <v>3302</v>
      </c>
      <c r="V154" t="s">
        <v>32</v>
      </c>
      <c r="W154" t="s">
        <v>33</v>
      </c>
      <c r="X154" t="s">
        <v>33</v>
      </c>
      <c r="Y154" t="s">
        <v>33</v>
      </c>
      <c r="Z154" s="16" t="s">
        <v>34</v>
      </c>
      <c r="AA154">
        <v>-75.543626810000006</v>
      </c>
      <c r="AB154">
        <v>6.2462299100000003</v>
      </c>
      <c r="AC154" t="s">
        <v>96</v>
      </c>
      <c r="AD154" t="s">
        <v>97</v>
      </c>
    </row>
    <row r="155" spans="1:30" x14ac:dyDescent="0.25">
      <c r="A155" t="s">
        <v>289</v>
      </c>
      <c r="B155" t="s">
        <v>63</v>
      </c>
      <c r="C155" t="s">
        <v>26</v>
      </c>
      <c r="D155" t="s">
        <v>64</v>
      </c>
      <c r="E155" t="s">
        <v>290</v>
      </c>
      <c r="F155" t="s">
        <v>291</v>
      </c>
      <c r="G155">
        <v>22139658</v>
      </c>
      <c r="H155" t="s">
        <v>292</v>
      </c>
      <c r="I155" s="4" t="s">
        <v>293</v>
      </c>
      <c r="J155" s="4" t="s">
        <v>294</v>
      </c>
      <c r="K155" t="s">
        <v>295</v>
      </c>
      <c r="L155" t="s">
        <v>27</v>
      </c>
      <c r="M155" t="s">
        <v>296</v>
      </c>
      <c r="N155" t="s">
        <v>28</v>
      </c>
      <c r="O155" t="s">
        <v>65</v>
      </c>
      <c r="P155" t="s">
        <v>66</v>
      </c>
      <c r="Q155" t="s">
        <v>31</v>
      </c>
      <c r="R155">
        <v>9</v>
      </c>
      <c r="S155" t="s">
        <v>297</v>
      </c>
      <c r="T155" t="s">
        <v>5104</v>
      </c>
      <c r="U155" t="s">
        <v>5105</v>
      </c>
      <c r="V155" t="s">
        <v>48</v>
      </c>
      <c r="W155" t="s">
        <v>33</v>
      </c>
      <c r="X155" t="s">
        <v>33</v>
      </c>
      <c r="Y155" t="s">
        <v>33</v>
      </c>
      <c r="Z155" s="16" t="s">
        <v>34</v>
      </c>
      <c r="AA155">
        <v>-75.563579369999999</v>
      </c>
      <c r="AB155">
        <v>6.2131245499999999</v>
      </c>
      <c r="AC155" t="s">
        <v>96</v>
      </c>
      <c r="AD155" t="s">
        <v>97</v>
      </c>
    </row>
    <row r="156" spans="1:30" x14ac:dyDescent="0.25">
      <c r="A156" t="s">
        <v>298</v>
      </c>
      <c r="B156" t="s">
        <v>49</v>
      </c>
      <c r="C156" t="s">
        <v>67</v>
      </c>
      <c r="D156" t="s">
        <v>49</v>
      </c>
      <c r="E156" t="s">
        <v>299</v>
      </c>
      <c r="F156" t="s">
        <v>300</v>
      </c>
      <c r="G156">
        <v>5266651</v>
      </c>
      <c r="H156" t="s">
        <v>301</v>
      </c>
      <c r="I156" s="4" t="s">
        <v>302</v>
      </c>
      <c r="J156" s="4" t="s">
        <v>303</v>
      </c>
      <c r="K156" t="s">
        <v>304</v>
      </c>
      <c r="L156" t="s">
        <v>27</v>
      </c>
      <c r="M156" t="s">
        <v>305</v>
      </c>
      <c r="N156" t="s">
        <v>28</v>
      </c>
      <c r="O156" t="s">
        <v>68</v>
      </c>
      <c r="P156" t="s">
        <v>51</v>
      </c>
      <c r="Q156" t="s">
        <v>31</v>
      </c>
      <c r="R156">
        <v>11</v>
      </c>
      <c r="S156" t="s">
        <v>306</v>
      </c>
      <c r="T156" t="s">
        <v>5106</v>
      </c>
      <c r="U156" t="s">
        <v>1691</v>
      </c>
      <c r="V156" t="s">
        <v>32</v>
      </c>
      <c r="W156" t="s">
        <v>33</v>
      </c>
      <c r="X156" t="s">
        <v>33</v>
      </c>
      <c r="Y156" t="s">
        <v>33</v>
      </c>
      <c r="Z156" s="16" t="s">
        <v>34</v>
      </c>
      <c r="AA156">
        <v>-75.545347910000004</v>
      </c>
      <c r="AB156">
        <v>6.2527073099999999</v>
      </c>
      <c r="AC156" t="s">
        <v>96</v>
      </c>
      <c r="AD156" t="s">
        <v>97</v>
      </c>
    </row>
    <row r="157" spans="1:30" x14ac:dyDescent="0.25">
      <c r="A157" t="s">
        <v>307</v>
      </c>
      <c r="B157" t="s">
        <v>49</v>
      </c>
      <c r="C157" t="s">
        <v>26</v>
      </c>
      <c r="D157" t="s">
        <v>49</v>
      </c>
      <c r="E157" t="s">
        <v>308</v>
      </c>
      <c r="F157" t="s">
        <v>309</v>
      </c>
      <c r="G157">
        <v>15486530</v>
      </c>
      <c r="H157" t="s">
        <v>310</v>
      </c>
      <c r="I157" s="4" t="s">
        <v>35</v>
      </c>
      <c r="J157" s="4" t="s">
        <v>311</v>
      </c>
      <c r="K157" t="s">
        <v>312</v>
      </c>
      <c r="L157" t="s">
        <v>27</v>
      </c>
      <c r="M157" t="s">
        <v>313</v>
      </c>
      <c r="N157" t="s">
        <v>28</v>
      </c>
      <c r="O157" t="s">
        <v>50</v>
      </c>
      <c r="P157" t="s">
        <v>51</v>
      </c>
      <c r="Q157" t="s">
        <v>31</v>
      </c>
      <c r="R157">
        <v>11</v>
      </c>
      <c r="S157" t="s">
        <v>314</v>
      </c>
      <c r="T157" t="s">
        <v>5107</v>
      </c>
      <c r="U157" t="s">
        <v>5108</v>
      </c>
      <c r="V157" t="s">
        <v>32</v>
      </c>
      <c r="W157" t="s">
        <v>33</v>
      </c>
      <c r="X157" t="s">
        <v>33</v>
      </c>
      <c r="Y157" t="s">
        <v>33</v>
      </c>
      <c r="Z157" s="16" t="s">
        <v>34</v>
      </c>
      <c r="AA157">
        <v>-75.599741690000002</v>
      </c>
      <c r="AB157">
        <v>6.2719680100000001</v>
      </c>
      <c r="AC157" t="s">
        <v>96</v>
      </c>
      <c r="AD157" t="s">
        <v>97</v>
      </c>
    </row>
    <row r="158" spans="1:30" x14ac:dyDescent="0.25">
      <c r="A158" t="s">
        <v>315</v>
      </c>
      <c r="B158" t="s">
        <v>49</v>
      </c>
      <c r="C158" t="s">
        <v>26</v>
      </c>
      <c r="D158" t="s">
        <v>49</v>
      </c>
      <c r="E158" t="s">
        <v>316</v>
      </c>
      <c r="F158" t="s">
        <v>317</v>
      </c>
      <c r="G158">
        <v>8414182</v>
      </c>
      <c r="H158" t="s">
        <v>318</v>
      </c>
      <c r="I158" s="4" t="s">
        <v>35</v>
      </c>
      <c r="J158" s="4" t="s">
        <v>319</v>
      </c>
      <c r="K158" t="s">
        <v>320</v>
      </c>
      <c r="L158" t="s">
        <v>27</v>
      </c>
      <c r="M158" t="s">
        <v>321</v>
      </c>
      <c r="N158" t="s">
        <v>28</v>
      </c>
      <c r="O158" t="s">
        <v>50</v>
      </c>
      <c r="P158" t="s">
        <v>51</v>
      </c>
      <c r="Q158" t="s">
        <v>31</v>
      </c>
      <c r="R158">
        <v>11</v>
      </c>
      <c r="S158" t="s">
        <v>322</v>
      </c>
      <c r="T158" t="s">
        <v>5109</v>
      </c>
      <c r="U158" t="s">
        <v>3185</v>
      </c>
      <c r="V158" t="s">
        <v>32</v>
      </c>
      <c r="W158" t="s">
        <v>33</v>
      </c>
      <c r="X158" t="s">
        <v>33</v>
      </c>
      <c r="Y158" t="s">
        <v>33</v>
      </c>
      <c r="Z158" s="16" t="s">
        <v>34</v>
      </c>
      <c r="AA158">
        <v>-75.626695999999995</v>
      </c>
      <c r="AB158">
        <v>6.2254200099999997</v>
      </c>
      <c r="AC158" t="s">
        <v>96</v>
      </c>
      <c r="AD158" t="s">
        <v>97</v>
      </c>
    </row>
    <row r="159" spans="1:30" x14ac:dyDescent="0.25">
      <c r="A159" t="s">
        <v>323</v>
      </c>
      <c r="B159" t="s">
        <v>49</v>
      </c>
      <c r="C159" t="s">
        <v>26</v>
      </c>
      <c r="D159" t="s">
        <v>49</v>
      </c>
      <c r="E159" t="s">
        <v>324</v>
      </c>
      <c r="F159" t="s">
        <v>325</v>
      </c>
      <c r="G159">
        <v>8329560</v>
      </c>
      <c r="H159" t="s">
        <v>326</v>
      </c>
      <c r="I159" s="4" t="s">
        <v>35</v>
      </c>
      <c r="J159" s="4" t="s">
        <v>327</v>
      </c>
      <c r="K159" t="s">
        <v>328</v>
      </c>
      <c r="L159" t="s">
        <v>27</v>
      </c>
      <c r="M159" t="s">
        <v>329</v>
      </c>
      <c r="N159" t="s">
        <v>28</v>
      </c>
      <c r="O159" t="s">
        <v>50</v>
      </c>
      <c r="P159" t="s">
        <v>51</v>
      </c>
      <c r="Q159" t="s">
        <v>31</v>
      </c>
      <c r="R159">
        <v>11</v>
      </c>
      <c r="S159" t="s">
        <v>330</v>
      </c>
      <c r="T159" t="s">
        <v>5110</v>
      </c>
      <c r="U159" t="s">
        <v>5111</v>
      </c>
      <c r="V159" t="s">
        <v>32</v>
      </c>
      <c r="W159" t="s">
        <v>33</v>
      </c>
      <c r="X159" t="s">
        <v>33</v>
      </c>
      <c r="Y159" t="s">
        <v>33</v>
      </c>
      <c r="Z159" s="16" t="s">
        <v>34</v>
      </c>
      <c r="AA159">
        <v>-75.630043999999998</v>
      </c>
      <c r="AB159">
        <v>6.2346899999999996</v>
      </c>
      <c r="AC159" t="s">
        <v>96</v>
      </c>
      <c r="AD159" t="s">
        <v>97</v>
      </c>
    </row>
    <row r="160" spans="1:30" x14ac:dyDescent="0.25">
      <c r="A160" t="s">
        <v>331</v>
      </c>
      <c r="B160" t="s">
        <v>49</v>
      </c>
      <c r="C160" t="s">
        <v>26</v>
      </c>
      <c r="D160" t="s">
        <v>49</v>
      </c>
      <c r="E160" t="s">
        <v>332</v>
      </c>
      <c r="F160" t="s">
        <v>333</v>
      </c>
      <c r="G160">
        <v>1037609232</v>
      </c>
      <c r="H160" t="s">
        <v>334</v>
      </c>
      <c r="I160" s="4" t="s">
        <v>335</v>
      </c>
      <c r="J160" s="4" t="s">
        <v>336</v>
      </c>
      <c r="K160" t="s">
        <v>337</v>
      </c>
      <c r="L160" t="s">
        <v>27</v>
      </c>
      <c r="M160" t="s">
        <v>338</v>
      </c>
      <c r="N160" t="s">
        <v>28</v>
      </c>
      <c r="O160" t="s">
        <v>50</v>
      </c>
      <c r="P160" t="s">
        <v>51</v>
      </c>
      <c r="Q160" t="s">
        <v>31</v>
      </c>
      <c r="R160">
        <v>11</v>
      </c>
      <c r="S160" t="s">
        <v>339</v>
      </c>
      <c r="T160" t="s">
        <v>5112</v>
      </c>
      <c r="U160" t="s">
        <v>5113</v>
      </c>
      <c r="V160" t="s">
        <v>32</v>
      </c>
      <c r="W160" t="s">
        <v>33</v>
      </c>
      <c r="X160" t="s">
        <v>33</v>
      </c>
      <c r="Y160" t="s">
        <v>33</v>
      </c>
      <c r="Z160" s="16" t="s">
        <v>34</v>
      </c>
      <c r="AA160">
        <v>-75.630611999999999</v>
      </c>
      <c r="AB160">
        <v>6.2339169999999999</v>
      </c>
      <c r="AC160" t="s">
        <v>96</v>
      </c>
      <c r="AD160" t="s">
        <v>97</v>
      </c>
    </row>
    <row r="161" spans="1:30" x14ac:dyDescent="0.25">
      <c r="A161" t="s">
        <v>340</v>
      </c>
      <c r="B161" t="s">
        <v>63</v>
      </c>
      <c r="C161" t="s">
        <v>26</v>
      </c>
      <c r="D161" t="s">
        <v>64</v>
      </c>
      <c r="E161" t="s">
        <v>341</v>
      </c>
      <c r="F161" t="s">
        <v>342</v>
      </c>
      <c r="G161">
        <v>43979927</v>
      </c>
      <c r="H161" t="s">
        <v>343</v>
      </c>
      <c r="I161" s="4" t="s">
        <v>35</v>
      </c>
      <c r="J161" s="4" t="s">
        <v>344</v>
      </c>
      <c r="K161" t="s">
        <v>345</v>
      </c>
      <c r="L161" t="s">
        <v>27</v>
      </c>
      <c r="M161" t="s">
        <v>346</v>
      </c>
      <c r="N161" t="s">
        <v>28</v>
      </c>
      <c r="O161" t="s">
        <v>65</v>
      </c>
      <c r="P161" t="s">
        <v>66</v>
      </c>
      <c r="Q161" t="s">
        <v>31</v>
      </c>
      <c r="R161">
        <v>9</v>
      </c>
      <c r="S161" t="s">
        <v>347</v>
      </c>
      <c r="T161" t="s">
        <v>5114</v>
      </c>
      <c r="U161" t="s">
        <v>5115</v>
      </c>
      <c r="V161" t="s">
        <v>48</v>
      </c>
      <c r="W161" t="s">
        <v>33</v>
      </c>
      <c r="X161" t="s">
        <v>33</v>
      </c>
      <c r="Y161" t="s">
        <v>33</v>
      </c>
      <c r="Z161" s="16" t="s">
        <v>34</v>
      </c>
      <c r="AA161">
        <v>-75.641606999999993</v>
      </c>
      <c r="AB161">
        <v>6.2862549999999997</v>
      </c>
      <c r="AC161" t="s">
        <v>96</v>
      </c>
      <c r="AD161" t="s">
        <v>97</v>
      </c>
    </row>
    <row r="162" spans="1:30" x14ac:dyDescent="0.25">
      <c r="A162" t="s">
        <v>349</v>
      </c>
      <c r="B162" t="s">
        <v>49</v>
      </c>
      <c r="C162" t="s">
        <v>26</v>
      </c>
      <c r="D162" t="s">
        <v>49</v>
      </c>
      <c r="E162" t="s">
        <v>350</v>
      </c>
      <c r="F162" t="s">
        <v>351</v>
      </c>
      <c r="G162">
        <v>43345638</v>
      </c>
      <c r="H162" t="s">
        <v>352</v>
      </c>
      <c r="I162" s="4" t="s">
        <v>35</v>
      </c>
      <c r="J162" s="4" t="s">
        <v>353</v>
      </c>
      <c r="K162" t="s">
        <v>354</v>
      </c>
      <c r="L162" t="s">
        <v>27</v>
      </c>
      <c r="M162" t="s">
        <v>355</v>
      </c>
      <c r="N162" t="s">
        <v>28</v>
      </c>
      <c r="O162" t="s">
        <v>50</v>
      </c>
      <c r="P162" t="s">
        <v>51</v>
      </c>
      <c r="Q162" t="s">
        <v>31</v>
      </c>
      <c r="R162">
        <v>11</v>
      </c>
      <c r="S162" t="s">
        <v>356</v>
      </c>
      <c r="T162" t="s">
        <v>5116</v>
      </c>
      <c r="U162" t="s">
        <v>1130</v>
      </c>
      <c r="V162" t="s">
        <v>32</v>
      </c>
      <c r="W162" t="s">
        <v>33</v>
      </c>
      <c r="X162" t="s">
        <v>33</v>
      </c>
      <c r="Y162" t="s">
        <v>33</v>
      </c>
      <c r="Z162" s="16" t="s">
        <v>34</v>
      </c>
      <c r="AA162">
        <v>-75.631196000000003</v>
      </c>
      <c r="AB162">
        <v>6.2330199999999998</v>
      </c>
      <c r="AC162" t="s">
        <v>96</v>
      </c>
      <c r="AD162" t="s">
        <v>97</v>
      </c>
    </row>
    <row r="163" spans="1:30" x14ac:dyDescent="0.25">
      <c r="A163" t="s">
        <v>358</v>
      </c>
      <c r="B163" t="s">
        <v>49</v>
      </c>
      <c r="C163" t="s">
        <v>67</v>
      </c>
      <c r="D163" t="s">
        <v>49</v>
      </c>
      <c r="E163" t="s">
        <v>359</v>
      </c>
      <c r="F163" t="s">
        <v>360</v>
      </c>
      <c r="G163">
        <v>98622531</v>
      </c>
      <c r="H163" t="s">
        <v>361</v>
      </c>
      <c r="I163" s="4" t="s">
        <v>35</v>
      </c>
      <c r="J163" s="4" t="s">
        <v>362</v>
      </c>
      <c r="K163" t="s">
        <v>363</v>
      </c>
      <c r="L163" t="s">
        <v>27</v>
      </c>
      <c r="M163" t="s">
        <v>364</v>
      </c>
      <c r="N163" t="s">
        <v>28</v>
      </c>
      <c r="O163" t="s">
        <v>68</v>
      </c>
      <c r="P163" t="s">
        <v>51</v>
      </c>
      <c r="Q163" t="s">
        <v>31</v>
      </c>
      <c r="R163">
        <v>11</v>
      </c>
      <c r="S163" t="s">
        <v>365</v>
      </c>
      <c r="T163" t="s">
        <v>5117</v>
      </c>
      <c r="U163" t="s">
        <v>3425</v>
      </c>
      <c r="V163" t="s">
        <v>32</v>
      </c>
      <c r="W163" t="s">
        <v>33</v>
      </c>
      <c r="X163" t="s">
        <v>33</v>
      </c>
      <c r="Y163" t="s">
        <v>33</v>
      </c>
      <c r="Z163" s="16" t="s">
        <v>34</v>
      </c>
      <c r="AA163">
        <v>-75.643862870000007</v>
      </c>
      <c r="AB163">
        <v>6.1825959800000003</v>
      </c>
      <c r="AC163" t="s">
        <v>96</v>
      </c>
      <c r="AD163" t="s">
        <v>97</v>
      </c>
    </row>
    <row r="164" spans="1:30" x14ac:dyDescent="0.25">
      <c r="A164" t="s">
        <v>2603</v>
      </c>
      <c r="B164" t="s">
        <v>41</v>
      </c>
      <c r="C164" t="s">
        <v>26</v>
      </c>
      <c r="D164" t="s">
        <v>41</v>
      </c>
      <c r="E164" t="s">
        <v>2604</v>
      </c>
      <c r="F164" t="s">
        <v>2605</v>
      </c>
      <c r="G164">
        <v>1039474773</v>
      </c>
      <c r="H164" t="s">
        <v>2606</v>
      </c>
      <c r="I164" s="4" t="s">
        <v>35</v>
      </c>
      <c r="J164" s="4" t="s">
        <v>2607</v>
      </c>
      <c r="K164" t="s">
        <v>2608</v>
      </c>
      <c r="L164" t="s">
        <v>57</v>
      </c>
      <c r="M164" t="s">
        <v>2609</v>
      </c>
      <c r="N164" t="s">
        <v>58</v>
      </c>
      <c r="O164" t="s">
        <v>42</v>
      </c>
      <c r="P164" t="s">
        <v>36</v>
      </c>
      <c r="Q164" t="s">
        <v>31</v>
      </c>
      <c r="R164">
        <v>7</v>
      </c>
      <c r="S164" t="s">
        <v>2610</v>
      </c>
      <c r="T164" t="s">
        <v>1647</v>
      </c>
      <c r="U164" t="s">
        <v>3132</v>
      </c>
      <c r="V164" t="s">
        <v>32</v>
      </c>
      <c r="W164" t="s">
        <v>33</v>
      </c>
      <c r="X164" t="s">
        <v>33</v>
      </c>
      <c r="Y164" t="s">
        <v>33</v>
      </c>
      <c r="Z164" s="16" t="s">
        <v>34</v>
      </c>
      <c r="AA164">
        <v>-75.618495999999993</v>
      </c>
      <c r="AB164">
        <v>6.1483910000000002</v>
      </c>
      <c r="AC164" t="s">
        <v>96</v>
      </c>
      <c r="AD164" t="s">
        <v>97</v>
      </c>
    </row>
    <row r="165" spans="1:30" x14ac:dyDescent="0.25">
      <c r="A165" t="s">
        <v>366</v>
      </c>
      <c r="B165" t="s">
        <v>49</v>
      </c>
      <c r="C165" t="s">
        <v>72</v>
      </c>
      <c r="D165" t="s">
        <v>49</v>
      </c>
      <c r="E165" t="s">
        <v>367</v>
      </c>
      <c r="F165" t="s">
        <v>368</v>
      </c>
      <c r="G165">
        <v>98460439</v>
      </c>
      <c r="H165" t="s">
        <v>369</v>
      </c>
      <c r="I165" s="4" t="s">
        <v>35</v>
      </c>
      <c r="J165" s="4" t="s">
        <v>370</v>
      </c>
      <c r="K165" t="s">
        <v>371</v>
      </c>
      <c r="L165" t="s">
        <v>27</v>
      </c>
      <c r="M165" t="s">
        <v>372</v>
      </c>
      <c r="N165" t="s">
        <v>28</v>
      </c>
      <c r="O165" t="s">
        <v>73</v>
      </c>
      <c r="P165" t="s">
        <v>51</v>
      </c>
      <c r="Q165" t="s">
        <v>31</v>
      </c>
      <c r="R165">
        <v>11</v>
      </c>
      <c r="S165" t="s">
        <v>373</v>
      </c>
      <c r="T165" t="s">
        <v>3312</v>
      </c>
      <c r="U165" t="s">
        <v>5118</v>
      </c>
      <c r="V165" t="s">
        <v>32</v>
      </c>
      <c r="W165" t="s">
        <v>33</v>
      </c>
      <c r="X165" t="s">
        <v>33</v>
      </c>
      <c r="Y165" t="s">
        <v>33</v>
      </c>
      <c r="Z165" s="16" t="s">
        <v>34</v>
      </c>
      <c r="AA165">
        <v>-75.637687999999997</v>
      </c>
      <c r="AB165">
        <v>6.2762840000000004</v>
      </c>
      <c r="AC165" t="s">
        <v>96</v>
      </c>
      <c r="AD165" t="s">
        <v>97</v>
      </c>
    </row>
    <row r="166" spans="1:30" x14ac:dyDescent="0.25">
      <c r="A166" t="s">
        <v>3988</v>
      </c>
      <c r="B166" t="s">
        <v>25</v>
      </c>
      <c r="C166" t="s">
        <v>26</v>
      </c>
      <c r="D166" t="s">
        <v>25</v>
      </c>
      <c r="E166" t="s">
        <v>3989</v>
      </c>
      <c r="F166" t="s">
        <v>3990</v>
      </c>
      <c r="G166">
        <v>21562918</v>
      </c>
      <c r="H166" t="s">
        <v>3991</v>
      </c>
      <c r="I166" s="4" t="s">
        <v>35</v>
      </c>
      <c r="J166" s="4" t="s">
        <v>3992</v>
      </c>
      <c r="K166" t="s">
        <v>3993</v>
      </c>
      <c r="L166" t="s">
        <v>47</v>
      </c>
      <c r="M166" t="s">
        <v>3994</v>
      </c>
      <c r="N166" t="s">
        <v>62</v>
      </c>
      <c r="O166" t="s">
        <v>29</v>
      </c>
      <c r="P166" t="s">
        <v>36</v>
      </c>
      <c r="Q166" t="s">
        <v>31</v>
      </c>
      <c r="R166">
        <v>7</v>
      </c>
      <c r="S166" t="s">
        <v>3995</v>
      </c>
      <c r="T166" t="s">
        <v>5119</v>
      </c>
      <c r="U166" t="s">
        <v>5120</v>
      </c>
      <c r="V166" t="s">
        <v>32</v>
      </c>
      <c r="W166" t="s">
        <v>33</v>
      </c>
      <c r="X166" t="s">
        <v>33</v>
      </c>
      <c r="Y166" t="s">
        <v>33</v>
      </c>
      <c r="Z166" s="16" t="s">
        <v>34</v>
      </c>
      <c r="AA166">
        <v>-75.583792680000002</v>
      </c>
      <c r="AB166">
        <v>6.1537350499999999</v>
      </c>
      <c r="AC166" t="s">
        <v>96</v>
      </c>
      <c r="AD166" t="s">
        <v>97</v>
      </c>
    </row>
    <row r="167" spans="1:30" x14ac:dyDescent="0.25">
      <c r="A167" t="s">
        <v>374</v>
      </c>
      <c r="B167" t="s">
        <v>63</v>
      </c>
      <c r="C167" t="s">
        <v>26</v>
      </c>
      <c r="D167" t="s">
        <v>64</v>
      </c>
      <c r="E167" t="s">
        <v>375</v>
      </c>
      <c r="F167" t="s">
        <v>376</v>
      </c>
      <c r="G167">
        <v>43996449</v>
      </c>
      <c r="H167" t="s">
        <v>377</v>
      </c>
      <c r="I167" s="4" t="s">
        <v>35</v>
      </c>
      <c r="J167" s="4" t="s">
        <v>378</v>
      </c>
      <c r="K167" t="s">
        <v>379</v>
      </c>
      <c r="L167" t="s">
        <v>27</v>
      </c>
      <c r="M167" t="s">
        <v>380</v>
      </c>
      <c r="N167" t="s">
        <v>28</v>
      </c>
      <c r="O167" t="s">
        <v>65</v>
      </c>
      <c r="P167" t="s">
        <v>66</v>
      </c>
      <c r="Q167" t="s">
        <v>31</v>
      </c>
      <c r="R167">
        <v>9</v>
      </c>
      <c r="S167" t="s">
        <v>381</v>
      </c>
      <c r="T167" t="s">
        <v>5121</v>
      </c>
      <c r="U167" t="s">
        <v>5122</v>
      </c>
      <c r="V167" t="s">
        <v>48</v>
      </c>
      <c r="W167" t="s">
        <v>33</v>
      </c>
      <c r="X167" t="s">
        <v>33</v>
      </c>
      <c r="Y167" t="s">
        <v>33</v>
      </c>
      <c r="Z167" s="16" t="s">
        <v>34</v>
      </c>
      <c r="AA167">
        <v>-75.541744510000001</v>
      </c>
      <c r="AB167">
        <v>6.2411347199999998</v>
      </c>
      <c r="AC167" t="s">
        <v>96</v>
      </c>
      <c r="AD167" t="s">
        <v>97</v>
      </c>
    </row>
    <row r="168" spans="1:30" x14ac:dyDescent="0.25">
      <c r="A168" t="s">
        <v>3996</v>
      </c>
      <c r="B168" t="s">
        <v>59</v>
      </c>
      <c r="C168" t="s">
        <v>26</v>
      </c>
      <c r="D168" t="s">
        <v>59</v>
      </c>
      <c r="E168" t="s">
        <v>3997</v>
      </c>
      <c r="F168" t="s">
        <v>3998</v>
      </c>
      <c r="G168">
        <v>71718593</v>
      </c>
      <c r="H168" t="s">
        <v>3999</v>
      </c>
      <c r="I168" s="4" t="s">
        <v>4000</v>
      </c>
      <c r="J168" s="4" t="s">
        <v>4001</v>
      </c>
      <c r="K168" t="s">
        <v>4002</v>
      </c>
      <c r="L168" t="s">
        <v>43</v>
      </c>
      <c r="M168" t="s">
        <v>4003</v>
      </c>
      <c r="N168" t="s">
        <v>44</v>
      </c>
      <c r="O168" t="s">
        <v>60</v>
      </c>
      <c r="P168" t="s">
        <v>61</v>
      </c>
      <c r="Q168" t="s">
        <v>31</v>
      </c>
      <c r="R168">
        <v>4</v>
      </c>
      <c r="S168" t="s">
        <v>4004</v>
      </c>
      <c r="T168" t="s">
        <v>3396</v>
      </c>
      <c r="U168" t="s">
        <v>1689</v>
      </c>
      <c r="V168" t="s">
        <v>32</v>
      </c>
      <c r="W168" t="s">
        <v>33</v>
      </c>
      <c r="X168" t="s">
        <v>33</v>
      </c>
      <c r="Y168" t="s">
        <v>33</v>
      </c>
      <c r="Z168" t="s">
        <v>95</v>
      </c>
      <c r="AA168">
        <v>-75.629686849999999</v>
      </c>
      <c r="AB168">
        <v>6.1716111500000004</v>
      </c>
      <c r="AC168" t="s">
        <v>96</v>
      </c>
      <c r="AD168" t="s">
        <v>97</v>
      </c>
    </row>
    <row r="169" spans="1:30" x14ac:dyDescent="0.25">
      <c r="A169" t="s">
        <v>382</v>
      </c>
      <c r="B169" t="s">
        <v>49</v>
      </c>
      <c r="C169" t="s">
        <v>67</v>
      </c>
      <c r="D169" t="s">
        <v>49</v>
      </c>
      <c r="E169" t="s">
        <v>383</v>
      </c>
      <c r="F169" t="s">
        <v>384</v>
      </c>
      <c r="G169">
        <v>42746366</v>
      </c>
      <c r="H169" t="s">
        <v>385</v>
      </c>
      <c r="I169" s="4" t="s">
        <v>35</v>
      </c>
      <c r="J169" s="4" t="s">
        <v>386</v>
      </c>
      <c r="K169" t="s">
        <v>387</v>
      </c>
      <c r="L169" t="s">
        <v>43</v>
      </c>
      <c r="M169" t="s">
        <v>388</v>
      </c>
      <c r="N169" t="s">
        <v>44</v>
      </c>
      <c r="O169" t="s">
        <v>68</v>
      </c>
      <c r="P169" t="s">
        <v>51</v>
      </c>
      <c r="Q169" t="s">
        <v>31</v>
      </c>
      <c r="R169">
        <v>11</v>
      </c>
      <c r="S169" t="s">
        <v>389</v>
      </c>
      <c r="T169" t="s">
        <v>4893</v>
      </c>
      <c r="U169" t="s">
        <v>3178</v>
      </c>
      <c r="V169" t="s">
        <v>32</v>
      </c>
      <c r="W169" t="s">
        <v>33</v>
      </c>
      <c r="X169" t="s">
        <v>33</v>
      </c>
      <c r="Y169" t="s">
        <v>33</v>
      </c>
      <c r="Z169" s="16" t="s">
        <v>34</v>
      </c>
      <c r="AA169">
        <v>-75.607757669999998</v>
      </c>
      <c r="AB169">
        <v>6.1771097800000003</v>
      </c>
      <c r="AC169" t="s">
        <v>96</v>
      </c>
      <c r="AD169" t="s">
        <v>97</v>
      </c>
    </row>
    <row r="170" spans="1:30" x14ac:dyDescent="0.25">
      <c r="A170" t="s">
        <v>844</v>
      </c>
      <c r="B170" t="s">
        <v>41</v>
      </c>
      <c r="C170" t="s">
        <v>26</v>
      </c>
      <c r="D170" t="s">
        <v>41</v>
      </c>
      <c r="E170" t="s">
        <v>589</v>
      </c>
      <c r="F170" t="s">
        <v>590</v>
      </c>
      <c r="G170">
        <v>811012208</v>
      </c>
      <c r="H170" t="s">
        <v>135</v>
      </c>
      <c r="I170" s="4" t="s">
        <v>246</v>
      </c>
      <c r="J170" s="4" t="s">
        <v>538</v>
      </c>
      <c r="K170" t="s">
        <v>591</v>
      </c>
      <c r="L170" t="s">
        <v>47</v>
      </c>
      <c r="M170" t="s">
        <v>592</v>
      </c>
      <c r="N170" t="s">
        <v>62</v>
      </c>
      <c r="O170" t="s">
        <v>42</v>
      </c>
      <c r="P170" t="s">
        <v>36</v>
      </c>
      <c r="Q170" t="s">
        <v>31</v>
      </c>
      <c r="R170">
        <v>7</v>
      </c>
      <c r="S170" t="s">
        <v>593</v>
      </c>
      <c r="T170" t="s">
        <v>5123</v>
      </c>
      <c r="U170" t="s">
        <v>5124</v>
      </c>
      <c r="V170" t="s">
        <v>92</v>
      </c>
      <c r="W170" t="s">
        <v>33</v>
      </c>
      <c r="X170" t="s">
        <v>33</v>
      </c>
      <c r="Y170" t="s">
        <v>33</v>
      </c>
      <c r="Z170" s="16" t="s">
        <v>34</v>
      </c>
      <c r="AA170">
        <v>-75.546760286999998</v>
      </c>
      <c r="AB170">
        <v>6.15418410400002</v>
      </c>
      <c r="AC170" t="s">
        <v>96</v>
      </c>
      <c r="AD170" t="s">
        <v>97</v>
      </c>
    </row>
    <row r="171" spans="1:30" x14ac:dyDescent="0.25">
      <c r="A171" t="s">
        <v>438</v>
      </c>
      <c r="B171" t="s">
        <v>63</v>
      </c>
      <c r="C171" t="s">
        <v>26</v>
      </c>
      <c r="D171" t="s">
        <v>64</v>
      </c>
      <c r="E171" t="s">
        <v>439</v>
      </c>
      <c r="F171" t="s">
        <v>440</v>
      </c>
      <c r="G171">
        <v>71616939</v>
      </c>
      <c r="H171" t="s">
        <v>441</v>
      </c>
      <c r="I171" s="4" t="s">
        <v>442</v>
      </c>
      <c r="J171" s="4" t="s">
        <v>285</v>
      </c>
      <c r="K171" t="s">
        <v>443</v>
      </c>
      <c r="L171" t="s">
        <v>27</v>
      </c>
      <c r="M171" t="s">
        <v>444</v>
      </c>
      <c r="N171" t="s">
        <v>28</v>
      </c>
      <c r="O171" t="s">
        <v>65</v>
      </c>
      <c r="P171" t="s">
        <v>69</v>
      </c>
      <c r="Q171" t="s">
        <v>31</v>
      </c>
      <c r="R171">
        <v>9</v>
      </c>
      <c r="S171" t="s">
        <v>445</v>
      </c>
      <c r="T171" t="s">
        <v>5125</v>
      </c>
      <c r="U171" t="s">
        <v>5126</v>
      </c>
      <c r="V171" t="s">
        <v>48</v>
      </c>
      <c r="W171" t="s">
        <v>33</v>
      </c>
      <c r="X171" t="s">
        <v>33</v>
      </c>
      <c r="Y171" t="s">
        <v>33</v>
      </c>
      <c r="Z171" s="16" t="s">
        <v>34</v>
      </c>
      <c r="AA171">
        <v>-75.552861030000003</v>
      </c>
      <c r="AB171">
        <v>6.2573251699999997</v>
      </c>
      <c r="AC171" t="s">
        <v>96</v>
      </c>
      <c r="AD171" t="s">
        <v>97</v>
      </c>
    </row>
    <row r="172" spans="1:30" x14ac:dyDescent="0.25">
      <c r="A172" t="s">
        <v>1980</v>
      </c>
      <c r="B172" t="s">
        <v>41</v>
      </c>
      <c r="C172" t="s">
        <v>70</v>
      </c>
      <c r="D172" t="s">
        <v>41</v>
      </c>
      <c r="E172" t="s">
        <v>1981</v>
      </c>
      <c r="F172" t="s">
        <v>1982</v>
      </c>
      <c r="G172">
        <v>900081271</v>
      </c>
      <c r="H172" t="s">
        <v>1983</v>
      </c>
      <c r="I172" s="4" t="s">
        <v>1984</v>
      </c>
      <c r="J172" s="4" t="s">
        <v>1985</v>
      </c>
      <c r="K172" t="s">
        <v>1986</v>
      </c>
      <c r="L172" t="s">
        <v>27</v>
      </c>
      <c r="M172" t="s">
        <v>1987</v>
      </c>
      <c r="N172" t="s">
        <v>28</v>
      </c>
      <c r="O172" t="s">
        <v>71</v>
      </c>
      <c r="P172" t="s">
        <v>30</v>
      </c>
      <c r="Q172" t="s">
        <v>31</v>
      </c>
      <c r="R172">
        <v>7</v>
      </c>
      <c r="S172" t="s">
        <v>1988</v>
      </c>
      <c r="T172" t="s">
        <v>3177</v>
      </c>
      <c r="U172" t="s">
        <v>1683</v>
      </c>
      <c r="V172" t="s">
        <v>32</v>
      </c>
      <c r="W172" t="s">
        <v>33</v>
      </c>
      <c r="X172" t="s">
        <v>33</v>
      </c>
      <c r="Y172" t="s">
        <v>33</v>
      </c>
      <c r="Z172" s="16" t="s">
        <v>34</v>
      </c>
      <c r="AA172">
        <v>-75.573216909999999</v>
      </c>
      <c r="AB172">
        <v>6.2065292100000002</v>
      </c>
      <c r="AC172" t="s">
        <v>96</v>
      </c>
      <c r="AD172" t="s">
        <v>97</v>
      </c>
    </row>
    <row r="173" spans="1:30" x14ac:dyDescent="0.25">
      <c r="A173" t="s">
        <v>1989</v>
      </c>
      <c r="B173" t="s">
        <v>41</v>
      </c>
      <c r="C173" t="s">
        <v>70</v>
      </c>
      <c r="D173" t="s">
        <v>41</v>
      </c>
      <c r="E173" t="s">
        <v>1990</v>
      </c>
      <c r="F173" t="s">
        <v>1991</v>
      </c>
      <c r="G173">
        <v>900081271</v>
      </c>
      <c r="H173" t="s">
        <v>1983</v>
      </c>
      <c r="I173" s="4" t="s">
        <v>1984</v>
      </c>
      <c r="J173" s="4" t="s">
        <v>1985</v>
      </c>
      <c r="K173" t="s">
        <v>1992</v>
      </c>
      <c r="L173" t="s">
        <v>27</v>
      </c>
      <c r="M173" t="s">
        <v>1993</v>
      </c>
      <c r="N173" t="s">
        <v>28</v>
      </c>
      <c r="O173" t="s">
        <v>71</v>
      </c>
      <c r="P173" t="s">
        <v>30</v>
      </c>
      <c r="Q173" t="s">
        <v>31</v>
      </c>
      <c r="R173">
        <v>7</v>
      </c>
      <c r="S173" t="s">
        <v>1994</v>
      </c>
      <c r="T173" t="s">
        <v>3178</v>
      </c>
      <c r="U173" t="s">
        <v>1678</v>
      </c>
      <c r="V173" t="s">
        <v>32</v>
      </c>
      <c r="W173" t="s">
        <v>33</v>
      </c>
      <c r="X173" t="s">
        <v>33</v>
      </c>
      <c r="Y173" t="s">
        <v>33</v>
      </c>
      <c r="Z173" s="16" t="s">
        <v>34</v>
      </c>
      <c r="AA173">
        <v>-75.572981999999996</v>
      </c>
      <c r="AB173">
        <v>6.206766</v>
      </c>
      <c r="AC173" t="s">
        <v>96</v>
      </c>
      <c r="AD173" t="s">
        <v>97</v>
      </c>
    </row>
    <row r="174" spans="1:30" x14ac:dyDescent="0.25">
      <c r="A174" t="s">
        <v>446</v>
      </c>
      <c r="B174" t="s">
        <v>63</v>
      </c>
      <c r="C174" t="s">
        <v>26</v>
      </c>
      <c r="D174" t="s">
        <v>64</v>
      </c>
      <c r="E174" t="s">
        <v>447</v>
      </c>
      <c r="F174" t="s">
        <v>448</v>
      </c>
      <c r="G174">
        <v>43730254</v>
      </c>
      <c r="H174" t="s">
        <v>449</v>
      </c>
      <c r="I174" s="4" t="s">
        <v>35</v>
      </c>
      <c r="J174" s="4" t="s">
        <v>450</v>
      </c>
      <c r="K174" t="s">
        <v>451</v>
      </c>
      <c r="L174" t="s">
        <v>27</v>
      </c>
      <c r="M174" t="s">
        <v>452</v>
      </c>
      <c r="N174" t="s">
        <v>28</v>
      </c>
      <c r="O174" t="s">
        <v>65</v>
      </c>
      <c r="P174" t="s">
        <v>66</v>
      </c>
      <c r="Q174" t="s">
        <v>31</v>
      </c>
      <c r="R174">
        <v>9</v>
      </c>
      <c r="S174" t="s">
        <v>453</v>
      </c>
      <c r="T174" t="s">
        <v>5127</v>
      </c>
      <c r="U174" t="s">
        <v>5128</v>
      </c>
      <c r="V174" t="s">
        <v>48</v>
      </c>
      <c r="W174" t="s">
        <v>33</v>
      </c>
      <c r="X174" t="s">
        <v>33</v>
      </c>
      <c r="Y174" t="s">
        <v>33</v>
      </c>
      <c r="Z174" s="16" t="s">
        <v>34</v>
      </c>
      <c r="AA174">
        <v>-75.634291000000005</v>
      </c>
      <c r="AB174">
        <v>6.2708880000000002</v>
      </c>
      <c r="AC174" t="s">
        <v>96</v>
      </c>
      <c r="AD174" t="s">
        <v>97</v>
      </c>
    </row>
    <row r="175" spans="1:30" x14ac:dyDescent="0.25">
      <c r="A175" t="s">
        <v>4005</v>
      </c>
      <c r="B175" t="s">
        <v>25</v>
      </c>
      <c r="C175" t="s">
        <v>26</v>
      </c>
      <c r="D175" t="s">
        <v>38</v>
      </c>
      <c r="E175" t="s">
        <v>4006</v>
      </c>
      <c r="F175" t="s">
        <v>4007</v>
      </c>
      <c r="G175">
        <v>43159164</v>
      </c>
      <c r="H175" t="s">
        <v>4008</v>
      </c>
      <c r="I175" s="4" t="s">
        <v>35</v>
      </c>
      <c r="J175" s="4" t="s">
        <v>4009</v>
      </c>
      <c r="K175" t="s">
        <v>4010</v>
      </c>
      <c r="L175" t="s">
        <v>27</v>
      </c>
      <c r="M175" t="s">
        <v>4011</v>
      </c>
      <c r="N175" t="s">
        <v>28</v>
      </c>
      <c r="O175" t="s">
        <v>45</v>
      </c>
      <c r="P175" t="s">
        <v>40</v>
      </c>
      <c r="Q175" t="s">
        <v>31</v>
      </c>
      <c r="R175">
        <v>5</v>
      </c>
      <c r="S175" t="s">
        <v>4012</v>
      </c>
      <c r="T175" t="s">
        <v>5129</v>
      </c>
      <c r="U175" t="s">
        <v>5130</v>
      </c>
      <c r="V175" t="s">
        <v>32</v>
      </c>
      <c r="W175" t="s">
        <v>33</v>
      </c>
      <c r="X175" t="s">
        <v>33</v>
      </c>
      <c r="Y175" t="s">
        <v>33</v>
      </c>
      <c r="Z175" s="16" t="s">
        <v>34</v>
      </c>
      <c r="AA175">
        <v>-75.545173009999999</v>
      </c>
      <c r="AB175">
        <v>6.25274763</v>
      </c>
      <c r="AC175" t="s">
        <v>96</v>
      </c>
      <c r="AD175" t="s">
        <v>97</v>
      </c>
    </row>
    <row r="176" spans="1:30" x14ac:dyDescent="0.25">
      <c r="A176" t="s">
        <v>390</v>
      </c>
      <c r="B176" t="s">
        <v>59</v>
      </c>
      <c r="C176" t="s">
        <v>26</v>
      </c>
      <c r="D176" t="s">
        <v>59</v>
      </c>
      <c r="E176" t="s">
        <v>391</v>
      </c>
      <c r="F176" t="s">
        <v>392</v>
      </c>
      <c r="G176">
        <v>890905211</v>
      </c>
      <c r="H176" t="s">
        <v>984</v>
      </c>
      <c r="I176" s="4" t="s">
        <v>348</v>
      </c>
      <c r="J176" s="4" t="s">
        <v>393</v>
      </c>
      <c r="K176" t="s">
        <v>394</v>
      </c>
      <c r="L176" t="s">
        <v>27</v>
      </c>
      <c r="M176" t="s">
        <v>395</v>
      </c>
      <c r="N176" t="s">
        <v>28</v>
      </c>
      <c r="O176" t="s">
        <v>60</v>
      </c>
      <c r="P176" t="s">
        <v>61</v>
      </c>
      <c r="Q176" t="s">
        <v>31</v>
      </c>
      <c r="R176">
        <v>4</v>
      </c>
      <c r="S176" t="s">
        <v>396</v>
      </c>
      <c r="T176" t="s">
        <v>5131</v>
      </c>
      <c r="U176" t="s">
        <v>46</v>
      </c>
      <c r="V176" t="s">
        <v>46</v>
      </c>
      <c r="W176" t="s">
        <v>33</v>
      </c>
      <c r="X176" t="s">
        <v>33</v>
      </c>
      <c r="Y176" t="s">
        <v>33</v>
      </c>
      <c r="Z176" s="16" t="s">
        <v>34</v>
      </c>
      <c r="AA176">
        <v>-75.568146560000002</v>
      </c>
      <c r="AB176">
        <v>6.2511979999999996</v>
      </c>
      <c r="AC176" t="s">
        <v>96</v>
      </c>
      <c r="AD176" t="s">
        <v>97</v>
      </c>
    </row>
    <row r="177" spans="1:30" x14ac:dyDescent="0.25">
      <c r="A177" t="s">
        <v>1159</v>
      </c>
      <c r="B177" t="s">
        <v>25</v>
      </c>
      <c r="C177" t="s">
        <v>26</v>
      </c>
      <c r="D177" t="s">
        <v>25</v>
      </c>
      <c r="E177" t="s">
        <v>1160</v>
      </c>
      <c r="F177" t="s">
        <v>1161</v>
      </c>
      <c r="G177">
        <v>1017179384</v>
      </c>
      <c r="H177" t="s">
        <v>1162</v>
      </c>
      <c r="I177" s="4" t="s">
        <v>1163</v>
      </c>
      <c r="J177" s="4" t="s">
        <v>1164</v>
      </c>
      <c r="K177" t="s">
        <v>1165</v>
      </c>
      <c r="L177" t="s">
        <v>27</v>
      </c>
      <c r="M177" t="s">
        <v>1166</v>
      </c>
      <c r="N177" t="s">
        <v>28</v>
      </c>
      <c r="O177" t="s">
        <v>29</v>
      </c>
      <c r="P177" t="s">
        <v>1167</v>
      </c>
      <c r="Q177" t="s">
        <v>37</v>
      </c>
      <c r="R177">
        <v>10</v>
      </c>
      <c r="S177" t="s">
        <v>1168</v>
      </c>
      <c r="T177" t="s">
        <v>5132</v>
      </c>
      <c r="U177" t="s">
        <v>5133</v>
      </c>
      <c r="V177" t="s">
        <v>32</v>
      </c>
      <c r="W177" t="s">
        <v>33</v>
      </c>
      <c r="X177" t="s">
        <v>33</v>
      </c>
      <c r="Y177" t="s">
        <v>33</v>
      </c>
      <c r="Z177" s="16" t="s">
        <v>34</v>
      </c>
      <c r="AA177">
        <v>-75.488388950000001</v>
      </c>
      <c r="AB177">
        <v>6.1982017599999999</v>
      </c>
      <c r="AC177" t="s">
        <v>96</v>
      </c>
      <c r="AD177" t="s">
        <v>97</v>
      </c>
    </row>
    <row r="178" spans="1:30" x14ac:dyDescent="0.25">
      <c r="A178" t="s">
        <v>454</v>
      </c>
      <c r="B178" t="s">
        <v>63</v>
      </c>
      <c r="C178" t="s">
        <v>26</v>
      </c>
      <c r="D178" t="s">
        <v>64</v>
      </c>
      <c r="E178" t="s">
        <v>455</v>
      </c>
      <c r="F178" t="s">
        <v>456</v>
      </c>
      <c r="G178">
        <v>21981002</v>
      </c>
      <c r="H178" t="s">
        <v>457</v>
      </c>
      <c r="I178" s="4" t="s">
        <v>458</v>
      </c>
      <c r="J178" s="4" t="s">
        <v>459</v>
      </c>
      <c r="K178" t="s">
        <v>460</v>
      </c>
      <c r="L178" t="s">
        <v>27</v>
      </c>
      <c r="M178" t="s">
        <v>461</v>
      </c>
      <c r="N178" t="s">
        <v>28</v>
      </c>
      <c r="O178" t="s">
        <v>65</v>
      </c>
      <c r="P178" t="s">
        <v>66</v>
      </c>
      <c r="Q178" t="s">
        <v>31</v>
      </c>
      <c r="R178">
        <v>9</v>
      </c>
      <c r="S178" t="s">
        <v>1342</v>
      </c>
      <c r="T178" t="s">
        <v>1343</v>
      </c>
      <c r="U178" t="s">
        <v>5134</v>
      </c>
      <c r="V178" t="s">
        <v>32</v>
      </c>
      <c r="W178" t="s">
        <v>33</v>
      </c>
      <c r="X178" t="s">
        <v>33</v>
      </c>
      <c r="Y178" t="s">
        <v>33</v>
      </c>
      <c r="Z178" s="16" t="s">
        <v>34</v>
      </c>
      <c r="AA178">
        <v>-75.610298</v>
      </c>
      <c r="AB178">
        <v>6.2045539999999999</v>
      </c>
      <c r="AC178" t="s">
        <v>96</v>
      </c>
      <c r="AD178" t="s">
        <v>97</v>
      </c>
    </row>
    <row r="179" spans="1:30" x14ac:dyDescent="0.25">
      <c r="A179" t="s">
        <v>4013</v>
      </c>
      <c r="B179" t="s">
        <v>25</v>
      </c>
      <c r="C179" t="s">
        <v>26</v>
      </c>
      <c r="D179" t="s">
        <v>38</v>
      </c>
      <c r="E179" t="s">
        <v>4014</v>
      </c>
      <c r="F179" t="s">
        <v>4015</v>
      </c>
      <c r="G179">
        <v>1000539973</v>
      </c>
      <c r="H179" t="s">
        <v>4016</v>
      </c>
      <c r="I179" s="4" t="s">
        <v>35</v>
      </c>
      <c r="J179" s="4" t="s">
        <v>4017</v>
      </c>
      <c r="K179" t="s">
        <v>4018</v>
      </c>
      <c r="L179" t="s">
        <v>27</v>
      </c>
      <c r="M179" t="s">
        <v>4019</v>
      </c>
      <c r="N179" t="s">
        <v>28</v>
      </c>
      <c r="O179" t="s">
        <v>45</v>
      </c>
      <c r="P179" t="s">
        <v>40</v>
      </c>
      <c r="Q179" t="s">
        <v>31</v>
      </c>
      <c r="R179">
        <v>5</v>
      </c>
      <c r="S179" t="s">
        <v>4020</v>
      </c>
      <c r="T179" t="s">
        <v>5129</v>
      </c>
      <c r="U179" t="s">
        <v>5130</v>
      </c>
      <c r="V179" t="s">
        <v>32</v>
      </c>
      <c r="W179" t="s">
        <v>33</v>
      </c>
      <c r="X179" t="s">
        <v>33</v>
      </c>
      <c r="Y179" t="s">
        <v>33</v>
      </c>
      <c r="Z179" s="16" t="s">
        <v>34</v>
      </c>
      <c r="AA179">
        <v>-75.542329339999995</v>
      </c>
      <c r="AB179">
        <v>6.2408634300000001</v>
      </c>
      <c r="AC179" t="s">
        <v>96</v>
      </c>
      <c r="AD179" t="s">
        <v>97</v>
      </c>
    </row>
    <row r="180" spans="1:30" x14ac:dyDescent="0.25">
      <c r="A180" t="s">
        <v>397</v>
      </c>
      <c r="B180" t="s">
        <v>41</v>
      </c>
      <c r="C180" t="s">
        <v>70</v>
      </c>
      <c r="D180" t="s">
        <v>41</v>
      </c>
      <c r="E180" t="s">
        <v>398</v>
      </c>
      <c r="F180" t="s">
        <v>595</v>
      </c>
      <c r="G180">
        <v>70166471</v>
      </c>
      <c r="H180" t="s">
        <v>399</v>
      </c>
      <c r="I180" s="4" t="s">
        <v>400</v>
      </c>
      <c r="J180" s="4" t="s">
        <v>401</v>
      </c>
      <c r="K180" t="s">
        <v>402</v>
      </c>
      <c r="L180" t="s">
        <v>43</v>
      </c>
      <c r="M180" t="s">
        <v>403</v>
      </c>
      <c r="N180" t="s">
        <v>44</v>
      </c>
      <c r="O180" t="s">
        <v>71</v>
      </c>
      <c r="P180" t="s">
        <v>30</v>
      </c>
      <c r="Q180" t="s">
        <v>31</v>
      </c>
      <c r="R180">
        <v>7</v>
      </c>
      <c r="S180" t="s">
        <v>596</v>
      </c>
      <c r="T180" t="s">
        <v>4114</v>
      </c>
      <c r="U180" t="s">
        <v>5135</v>
      </c>
      <c r="V180" t="s">
        <v>48</v>
      </c>
      <c r="W180" t="s">
        <v>33</v>
      </c>
      <c r="X180" t="s">
        <v>33</v>
      </c>
      <c r="Y180" t="s">
        <v>33</v>
      </c>
      <c r="Z180" s="16" t="s">
        <v>34</v>
      </c>
      <c r="AA180">
        <v>-75.599506849999997</v>
      </c>
      <c r="AB180">
        <v>6.1911473199999998</v>
      </c>
      <c r="AC180" t="s">
        <v>96</v>
      </c>
      <c r="AD180" t="s">
        <v>97</v>
      </c>
    </row>
    <row r="181" spans="1:30" x14ac:dyDescent="0.25">
      <c r="A181" t="s">
        <v>462</v>
      </c>
      <c r="B181" t="s">
        <v>63</v>
      </c>
      <c r="C181" t="s">
        <v>26</v>
      </c>
      <c r="D181" t="s">
        <v>64</v>
      </c>
      <c r="E181" t="s">
        <v>463</v>
      </c>
      <c r="F181" t="s">
        <v>464</v>
      </c>
      <c r="G181">
        <v>3490006</v>
      </c>
      <c r="H181" t="s">
        <v>465</v>
      </c>
      <c r="I181" s="4" t="s">
        <v>35</v>
      </c>
      <c r="J181" s="4" t="s">
        <v>466</v>
      </c>
      <c r="K181" t="s">
        <v>467</v>
      </c>
      <c r="L181" t="s">
        <v>27</v>
      </c>
      <c r="M181" t="s">
        <v>468</v>
      </c>
      <c r="N181" t="s">
        <v>28</v>
      </c>
      <c r="O181" t="s">
        <v>65</v>
      </c>
      <c r="P181" t="s">
        <v>66</v>
      </c>
      <c r="Q181" t="s">
        <v>37</v>
      </c>
      <c r="R181">
        <v>14</v>
      </c>
      <c r="S181" t="s">
        <v>469</v>
      </c>
      <c r="T181" t="s">
        <v>5136</v>
      </c>
      <c r="U181" t="s">
        <v>5137</v>
      </c>
      <c r="V181" t="s">
        <v>32</v>
      </c>
      <c r="W181" t="s">
        <v>33</v>
      </c>
      <c r="X181" t="s">
        <v>33</v>
      </c>
      <c r="Y181" t="s">
        <v>33</v>
      </c>
      <c r="Z181" s="16" t="s">
        <v>34</v>
      </c>
      <c r="AA181">
        <v>-75.500567390000001</v>
      </c>
      <c r="AB181">
        <v>6.2530853899999999</v>
      </c>
      <c r="AC181" t="s">
        <v>96</v>
      </c>
      <c r="AD181" t="s">
        <v>97</v>
      </c>
    </row>
    <row r="182" spans="1:30" x14ac:dyDescent="0.25">
      <c r="A182" t="s">
        <v>470</v>
      </c>
      <c r="B182" t="s">
        <v>63</v>
      </c>
      <c r="C182" t="s">
        <v>26</v>
      </c>
      <c r="D182" t="s">
        <v>64</v>
      </c>
      <c r="E182" t="s">
        <v>471</v>
      </c>
      <c r="F182" t="s">
        <v>472</v>
      </c>
      <c r="G182">
        <v>71420699</v>
      </c>
      <c r="H182" t="s">
        <v>473</v>
      </c>
      <c r="I182" s="4" t="s">
        <v>35</v>
      </c>
      <c r="J182" s="4" t="s">
        <v>474</v>
      </c>
      <c r="K182" t="s">
        <v>475</v>
      </c>
      <c r="L182" t="s">
        <v>43</v>
      </c>
      <c r="M182" t="s">
        <v>476</v>
      </c>
      <c r="N182" t="s">
        <v>44</v>
      </c>
      <c r="O182" t="s">
        <v>65</v>
      </c>
      <c r="P182" t="s">
        <v>69</v>
      </c>
      <c r="Q182" t="s">
        <v>31</v>
      </c>
      <c r="R182">
        <v>9</v>
      </c>
      <c r="S182" t="s">
        <v>477</v>
      </c>
      <c r="T182" t="s">
        <v>5138</v>
      </c>
      <c r="U182" t="s">
        <v>1133</v>
      </c>
      <c r="V182" t="s">
        <v>32</v>
      </c>
      <c r="W182" t="s">
        <v>33</v>
      </c>
      <c r="X182" t="s">
        <v>33</v>
      </c>
      <c r="Y182" t="s">
        <v>33</v>
      </c>
      <c r="Z182" s="16" t="s">
        <v>34</v>
      </c>
      <c r="AA182">
        <v>-75.620313210000006</v>
      </c>
      <c r="AB182">
        <v>6.1638645900000002</v>
      </c>
      <c r="AC182" t="s">
        <v>96</v>
      </c>
      <c r="AD182" t="s">
        <v>97</v>
      </c>
    </row>
    <row r="183" spans="1:30" x14ac:dyDescent="0.25">
      <c r="A183" t="s">
        <v>404</v>
      </c>
      <c r="B183" t="s">
        <v>25</v>
      </c>
      <c r="C183" t="s">
        <v>70</v>
      </c>
      <c r="D183" t="s">
        <v>25</v>
      </c>
      <c r="E183" t="s">
        <v>405</v>
      </c>
      <c r="F183" t="s">
        <v>406</v>
      </c>
      <c r="G183">
        <v>91349889</v>
      </c>
      <c r="H183" t="s">
        <v>407</v>
      </c>
      <c r="I183" s="4" t="s">
        <v>35</v>
      </c>
      <c r="J183" s="4" t="s">
        <v>408</v>
      </c>
      <c r="K183" t="s">
        <v>597</v>
      </c>
      <c r="L183" t="s">
        <v>47</v>
      </c>
      <c r="M183" t="s">
        <v>409</v>
      </c>
      <c r="N183" t="s">
        <v>62</v>
      </c>
      <c r="O183" t="s">
        <v>98</v>
      </c>
      <c r="P183" t="s">
        <v>30</v>
      </c>
      <c r="Q183" t="s">
        <v>31</v>
      </c>
      <c r="R183">
        <v>7</v>
      </c>
      <c r="S183" t="s">
        <v>1344</v>
      </c>
      <c r="T183" t="s">
        <v>5139</v>
      </c>
      <c r="U183" t="s">
        <v>5140</v>
      </c>
      <c r="V183" t="s">
        <v>48</v>
      </c>
      <c r="W183" t="s">
        <v>33</v>
      </c>
      <c r="X183" t="s">
        <v>33</v>
      </c>
      <c r="Y183" t="s">
        <v>33</v>
      </c>
      <c r="Z183" s="16" t="s">
        <v>34</v>
      </c>
      <c r="AA183">
        <v>-75.527976969999997</v>
      </c>
      <c r="AB183">
        <v>6.1377919500000004</v>
      </c>
      <c r="AC183" t="s">
        <v>96</v>
      </c>
      <c r="AD183" t="s">
        <v>97</v>
      </c>
    </row>
    <row r="184" spans="1:30" x14ac:dyDescent="0.25">
      <c r="A184" t="s">
        <v>4021</v>
      </c>
      <c r="B184" t="s">
        <v>25</v>
      </c>
      <c r="C184" t="s">
        <v>26</v>
      </c>
      <c r="D184" t="s">
        <v>38</v>
      </c>
      <c r="E184" t="s">
        <v>4022</v>
      </c>
      <c r="F184" t="s">
        <v>4023</v>
      </c>
      <c r="G184">
        <v>71386273</v>
      </c>
      <c r="H184" t="s">
        <v>4024</v>
      </c>
      <c r="I184" s="4" t="s">
        <v>35</v>
      </c>
      <c r="J184" s="4" t="s">
        <v>4025</v>
      </c>
      <c r="K184" t="s">
        <v>4026</v>
      </c>
      <c r="L184" t="s">
        <v>27</v>
      </c>
      <c r="M184" t="s">
        <v>4027</v>
      </c>
      <c r="N184" t="s">
        <v>28</v>
      </c>
      <c r="O184" t="s">
        <v>45</v>
      </c>
      <c r="P184" t="s">
        <v>40</v>
      </c>
      <c r="Q184" t="s">
        <v>31</v>
      </c>
      <c r="R184">
        <v>5</v>
      </c>
      <c r="S184" t="s">
        <v>4028</v>
      </c>
      <c r="T184" t="s">
        <v>1648</v>
      </c>
      <c r="U184" t="s">
        <v>1649</v>
      </c>
      <c r="V184" t="s">
        <v>32</v>
      </c>
      <c r="W184" t="s">
        <v>33</v>
      </c>
      <c r="X184" t="s">
        <v>33</v>
      </c>
      <c r="Y184" t="s">
        <v>33</v>
      </c>
      <c r="Z184" s="16" t="s">
        <v>34</v>
      </c>
      <c r="AA184">
        <v>-75.544976919999996</v>
      </c>
      <c r="AB184">
        <v>6.2352838400000001</v>
      </c>
      <c r="AC184" t="s">
        <v>96</v>
      </c>
      <c r="AD184" t="s">
        <v>97</v>
      </c>
    </row>
    <row r="185" spans="1:30" x14ac:dyDescent="0.25">
      <c r="A185" t="s">
        <v>410</v>
      </c>
      <c r="B185" t="s">
        <v>41</v>
      </c>
      <c r="C185" t="s">
        <v>70</v>
      </c>
      <c r="D185" t="s">
        <v>41</v>
      </c>
      <c r="E185" t="s">
        <v>411</v>
      </c>
      <c r="F185" t="s">
        <v>412</v>
      </c>
      <c r="G185">
        <v>70550320</v>
      </c>
      <c r="H185" t="s">
        <v>413</v>
      </c>
      <c r="I185" s="4" t="s">
        <v>414</v>
      </c>
      <c r="J185" s="4" t="s">
        <v>134</v>
      </c>
      <c r="K185" t="s">
        <v>415</v>
      </c>
      <c r="L185" t="s">
        <v>47</v>
      </c>
      <c r="M185" t="s">
        <v>416</v>
      </c>
      <c r="N185" t="s">
        <v>62</v>
      </c>
      <c r="O185" t="s">
        <v>71</v>
      </c>
      <c r="P185" t="s">
        <v>30</v>
      </c>
      <c r="Q185" t="s">
        <v>31</v>
      </c>
      <c r="R185">
        <v>7</v>
      </c>
      <c r="S185" t="s">
        <v>417</v>
      </c>
      <c r="T185" t="s">
        <v>3223</v>
      </c>
      <c r="U185" t="s">
        <v>5085</v>
      </c>
      <c r="V185" t="s">
        <v>48</v>
      </c>
      <c r="W185" t="s">
        <v>33</v>
      </c>
      <c r="X185" t="s">
        <v>33</v>
      </c>
      <c r="Y185" t="s">
        <v>33</v>
      </c>
      <c r="Z185" s="16" t="s">
        <v>34</v>
      </c>
      <c r="AA185">
        <v>-75.584219230000002</v>
      </c>
      <c r="AB185">
        <v>6.16998742</v>
      </c>
      <c r="AC185" t="s">
        <v>96</v>
      </c>
      <c r="AD185" t="s">
        <v>97</v>
      </c>
    </row>
    <row r="186" spans="1:30" x14ac:dyDescent="0.25">
      <c r="A186" t="s">
        <v>478</v>
      </c>
      <c r="B186" t="s">
        <v>63</v>
      </c>
      <c r="C186" t="s">
        <v>26</v>
      </c>
      <c r="D186" t="s">
        <v>64</v>
      </c>
      <c r="E186" t="s">
        <v>479</v>
      </c>
      <c r="F186" t="s">
        <v>480</v>
      </c>
      <c r="G186">
        <v>71600198</v>
      </c>
      <c r="H186" t="s">
        <v>481</v>
      </c>
      <c r="I186" s="4" t="s">
        <v>35</v>
      </c>
      <c r="J186" s="4" t="s">
        <v>143</v>
      </c>
      <c r="K186" t="s">
        <v>482</v>
      </c>
      <c r="L186" t="s">
        <v>27</v>
      </c>
      <c r="M186" t="s">
        <v>483</v>
      </c>
      <c r="N186" t="s">
        <v>28</v>
      </c>
      <c r="O186" t="s">
        <v>65</v>
      </c>
      <c r="P186" t="s">
        <v>66</v>
      </c>
      <c r="Q186" t="s">
        <v>37</v>
      </c>
      <c r="R186">
        <v>14</v>
      </c>
      <c r="S186" t="s">
        <v>484</v>
      </c>
      <c r="T186" t="s">
        <v>5141</v>
      </c>
      <c r="U186" t="s">
        <v>5142</v>
      </c>
      <c r="V186" t="s">
        <v>32</v>
      </c>
      <c r="W186" t="s">
        <v>33</v>
      </c>
      <c r="X186" t="s">
        <v>33</v>
      </c>
      <c r="Y186" t="s">
        <v>33</v>
      </c>
      <c r="Z186" s="16" t="s">
        <v>34</v>
      </c>
      <c r="AA186">
        <v>-75.647835999999998</v>
      </c>
      <c r="AB186">
        <v>6.2851400000000002</v>
      </c>
      <c r="AC186" t="s">
        <v>96</v>
      </c>
      <c r="AD186" t="s">
        <v>97</v>
      </c>
    </row>
    <row r="187" spans="1:30" x14ac:dyDescent="0.25">
      <c r="A187" t="s">
        <v>2611</v>
      </c>
      <c r="B187" t="s">
        <v>25</v>
      </c>
      <c r="C187" t="s">
        <v>26</v>
      </c>
      <c r="D187" t="s">
        <v>38</v>
      </c>
      <c r="E187" t="s">
        <v>2612</v>
      </c>
      <c r="F187" t="s">
        <v>2613</v>
      </c>
      <c r="G187">
        <v>1037662020</v>
      </c>
      <c r="H187" t="s">
        <v>420</v>
      </c>
      <c r="I187" s="4" t="s">
        <v>35</v>
      </c>
      <c r="J187" s="4" t="s">
        <v>421</v>
      </c>
      <c r="K187" t="s">
        <v>2614</v>
      </c>
      <c r="L187" t="s">
        <v>27</v>
      </c>
      <c r="M187" t="s">
        <v>2615</v>
      </c>
      <c r="N187" t="s">
        <v>28</v>
      </c>
      <c r="O187" t="s">
        <v>45</v>
      </c>
      <c r="P187" t="s">
        <v>40</v>
      </c>
      <c r="Q187" t="s">
        <v>31</v>
      </c>
      <c r="R187">
        <v>5</v>
      </c>
      <c r="S187" t="s">
        <v>2616</v>
      </c>
      <c r="T187" t="s">
        <v>3299</v>
      </c>
      <c r="U187" t="s">
        <v>3300</v>
      </c>
      <c r="V187" t="s">
        <v>32</v>
      </c>
      <c r="W187" t="s">
        <v>33</v>
      </c>
      <c r="X187" t="s">
        <v>33</v>
      </c>
      <c r="Y187" t="s">
        <v>33</v>
      </c>
      <c r="Z187" s="16" t="s">
        <v>34</v>
      </c>
      <c r="AA187">
        <v>-75.563727999999998</v>
      </c>
      <c r="AB187">
        <v>6.2305580000000003</v>
      </c>
      <c r="AC187" t="s">
        <v>96</v>
      </c>
      <c r="AD187" t="s">
        <v>97</v>
      </c>
    </row>
    <row r="188" spans="1:30" x14ac:dyDescent="0.25">
      <c r="A188" t="s">
        <v>485</v>
      </c>
      <c r="B188" t="s">
        <v>63</v>
      </c>
      <c r="C188" t="s">
        <v>26</v>
      </c>
      <c r="D188" t="s">
        <v>64</v>
      </c>
      <c r="E188" t="s">
        <v>486</v>
      </c>
      <c r="F188" t="s">
        <v>487</v>
      </c>
      <c r="G188">
        <v>1152225530</v>
      </c>
      <c r="H188" t="s">
        <v>488</v>
      </c>
      <c r="I188" s="4" t="s">
        <v>35</v>
      </c>
      <c r="J188" s="4" t="s">
        <v>489</v>
      </c>
      <c r="K188" t="s">
        <v>490</v>
      </c>
      <c r="L188" t="s">
        <v>27</v>
      </c>
      <c r="M188" t="s">
        <v>491</v>
      </c>
      <c r="N188" t="s">
        <v>28</v>
      </c>
      <c r="O188" t="s">
        <v>65</v>
      </c>
      <c r="P188" t="s">
        <v>66</v>
      </c>
      <c r="Q188" t="s">
        <v>31</v>
      </c>
      <c r="R188">
        <v>9</v>
      </c>
      <c r="S188" t="s">
        <v>492</v>
      </c>
      <c r="T188" t="s">
        <v>5143</v>
      </c>
      <c r="U188" t="s">
        <v>5144</v>
      </c>
      <c r="V188" t="s">
        <v>32</v>
      </c>
      <c r="W188" t="s">
        <v>33</v>
      </c>
      <c r="X188" t="s">
        <v>33</v>
      </c>
      <c r="Y188" t="s">
        <v>33</v>
      </c>
      <c r="Z188" s="16" t="s">
        <v>34</v>
      </c>
      <c r="AA188">
        <v>-75.628520429999995</v>
      </c>
      <c r="AB188">
        <v>6.25181188</v>
      </c>
      <c r="AC188" t="s">
        <v>96</v>
      </c>
      <c r="AD188" t="s">
        <v>97</v>
      </c>
    </row>
    <row r="189" spans="1:30" x14ac:dyDescent="0.25">
      <c r="A189" t="s">
        <v>4030</v>
      </c>
      <c r="B189" t="s">
        <v>25</v>
      </c>
      <c r="C189" t="s">
        <v>26</v>
      </c>
      <c r="D189" t="s">
        <v>38</v>
      </c>
      <c r="E189" t="s">
        <v>4031</v>
      </c>
      <c r="F189" t="s">
        <v>4032</v>
      </c>
      <c r="G189">
        <v>1037662020</v>
      </c>
      <c r="H189" t="s">
        <v>420</v>
      </c>
      <c r="I189" s="4" t="s">
        <v>35</v>
      </c>
      <c r="J189" s="4" t="s">
        <v>421</v>
      </c>
      <c r="K189" t="s">
        <v>4033</v>
      </c>
      <c r="L189" t="s">
        <v>27</v>
      </c>
      <c r="M189" t="s">
        <v>4034</v>
      </c>
      <c r="N189" t="s">
        <v>28</v>
      </c>
      <c r="O189" t="s">
        <v>45</v>
      </c>
      <c r="P189" t="s">
        <v>40</v>
      </c>
      <c r="Q189" t="s">
        <v>31</v>
      </c>
      <c r="R189">
        <v>5</v>
      </c>
      <c r="S189" t="s">
        <v>4035</v>
      </c>
      <c r="T189" t="s">
        <v>5145</v>
      </c>
      <c r="U189" t="s">
        <v>5146</v>
      </c>
      <c r="V189" t="s">
        <v>32</v>
      </c>
      <c r="W189" t="s">
        <v>33</v>
      </c>
      <c r="X189" t="s">
        <v>33</v>
      </c>
      <c r="Y189" t="s">
        <v>33</v>
      </c>
      <c r="Z189" s="16" t="s">
        <v>34</v>
      </c>
      <c r="AA189">
        <v>-75.563727999999998</v>
      </c>
      <c r="AB189">
        <v>6.2305580000000003</v>
      </c>
      <c r="AC189" t="s">
        <v>96</v>
      </c>
      <c r="AD189" t="s">
        <v>97</v>
      </c>
    </row>
    <row r="190" spans="1:30" x14ac:dyDescent="0.25">
      <c r="A190" t="s">
        <v>422</v>
      </c>
      <c r="B190" t="s">
        <v>25</v>
      </c>
      <c r="C190" t="s">
        <v>70</v>
      </c>
      <c r="D190" t="s">
        <v>25</v>
      </c>
      <c r="E190" t="s">
        <v>423</v>
      </c>
      <c r="F190" t="s">
        <v>424</v>
      </c>
      <c r="G190">
        <v>70124689</v>
      </c>
      <c r="H190" t="s">
        <v>425</v>
      </c>
      <c r="I190" s="4" t="s">
        <v>35</v>
      </c>
      <c r="J190" s="4" t="s">
        <v>426</v>
      </c>
      <c r="K190" t="s">
        <v>427</v>
      </c>
      <c r="L190" t="s">
        <v>53</v>
      </c>
      <c r="M190" t="s">
        <v>428</v>
      </c>
      <c r="N190" t="s">
        <v>54</v>
      </c>
      <c r="O190" t="s">
        <v>98</v>
      </c>
      <c r="P190" t="s">
        <v>30</v>
      </c>
      <c r="Q190" t="s">
        <v>31</v>
      </c>
      <c r="R190">
        <v>7</v>
      </c>
      <c r="S190" t="s">
        <v>429</v>
      </c>
      <c r="T190" t="s">
        <v>3246</v>
      </c>
      <c r="U190" t="s">
        <v>5147</v>
      </c>
      <c r="V190" t="s">
        <v>48</v>
      </c>
      <c r="W190" t="s">
        <v>33</v>
      </c>
      <c r="X190" t="s">
        <v>33</v>
      </c>
      <c r="Y190" t="s">
        <v>33</v>
      </c>
      <c r="Z190" s="16" t="s">
        <v>34</v>
      </c>
      <c r="AA190">
        <v>-75.636289110000007</v>
      </c>
      <c r="AB190">
        <v>6.1549134499999996</v>
      </c>
      <c r="AC190" t="s">
        <v>96</v>
      </c>
      <c r="AD190" t="s">
        <v>97</v>
      </c>
    </row>
    <row r="191" spans="1:30" x14ac:dyDescent="0.25">
      <c r="A191" t="s">
        <v>493</v>
      </c>
      <c r="B191" t="s">
        <v>63</v>
      </c>
      <c r="C191" t="s">
        <v>26</v>
      </c>
      <c r="D191" t="s">
        <v>64</v>
      </c>
      <c r="E191" t="s">
        <v>494</v>
      </c>
      <c r="F191" t="s">
        <v>495</v>
      </c>
      <c r="G191">
        <v>1094941872</v>
      </c>
      <c r="H191" t="s">
        <v>496</v>
      </c>
      <c r="I191" s="4" t="s">
        <v>497</v>
      </c>
      <c r="J191" s="4" t="s">
        <v>498</v>
      </c>
      <c r="K191" t="s">
        <v>499</v>
      </c>
      <c r="L191" t="s">
        <v>27</v>
      </c>
      <c r="M191" t="s">
        <v>500</v>
      </c>
      <c r="N191" t="s">
        <v>28</v>
      </c>
      <c r="O191" t="s">
        <v>65</v>
      </c>
      <c r="P191" t="s">
        <v>66</v>
      </c>
      <c r="Q191" t="s">
        <v>31</v>
      </c>
      <c r="R191">
        <v>9</v>
      </c>
      <c r="S191" t="s">
        <v>1345</v>
      </c>
      <c r="T191" t="s">
        <v>5148</v>
      </c>
      <c r="U191" t="s">
        <v>3166</v>
      </c>
      <c r="V191" t="s">
        <v>32</v>
      </c>
      <c r="W191" t="s">
        <v>33</v>
      </c>
      <c r="X191" t="s">
        <v>33</v>
      </c>
      <c r="Y191" t="s">
        <v>33</v>
      </c>
      <c r="Z191" s="16" t="s">
        <v>34</v>
      </c>
      <c r="AA191">
        <v>-75.608321829999994</v>
      </c>
      <c r="AB191">
        <v>6.2749278799999999</v>
      </c>
      <c r="AC191" t="s">
        <v>96</v>
      </c>
      <c r="AD191" t="s">
        <v>97</v>
      </c>
    </row>
    <row r="192" spans="1:30" x14ac:dyDescent="0.25">
      <c r="A192" t="s">
        <v>1661</v>
      </c>
      <c r="B192" t="s">
        <v>25</v>
      </c>
      <c r="C192" t="s">
        <v>26</v>
      </c>
      <c r="D192" t="s">
        <v>25</v>
      </c>
      <c r="E192" t="s">
        <v>1662</v>
      </c>
      <c r="F192" t="s">
        <v>1663</v>
      </c>
      <c r="G192">
        <v>1026137320</v>
      </c>
      <c r="H192" t="s">
        <v>1664</v>
      </c>
      <c r="I192" s="4" t="s">
        <v>1665</v>
      </c>
      <c r="J192" s="4" t="s">
        <v>1666</v>
      </c>
      <c r="K192" t="s">
        <v>1667</v>
      </c>
      <c r="L192" t="s">
        <v>53</v>
      </c>
      <c r="M192" t="s">
        <v>1668</v>
      </c>
      <c r="N192" t="s">
        <v>54</v>
      </c>
      <c r="O192" t="s">
        <v>29</v>
      </c>
      <c r="P192" t="s">
        <v>36</v>
      </c>
      <c r="Q192" t="s">
        <v>31</v>
      </c>
      <c r="R192">
        <v>7</v>
      </c>
      <c r="S192" t="s">
        <v>1669</v>
      </c>
      <c r="T192" t="s">
        <v>3182</v>
      </c>
      <c r="U192" t="s">
        <v>3181</v>
      </c>
      <c r="V192" t="s">
        <v>32</v>
      </c>
      <c r="W192" t="s">
        <v>33</v>
      </c>
      <c r="X192" t="s">
        <v>33</v>
      </c>
      <c r="Y192" t="s">
        <v>33</v>
      </c>
      <c r="Z192" s="16" t="s">
        <v>34</v>
      </c>
      <c r="AA192">
        <v>-75.646626269999999</v>
      </c>
      <c r="AB192">
        <v>6.1326983799999999</v>
      </c>
      <c r="AC192" t="s">
        <v>96</v>
      </c>
      <c r="AD192" t="s">
        <v>97</v>
      </c>
    </row>
    <row r="193" spans="1:30" x14ac:dyDescent="0.25">
      <c r="A193" t="s">
        <v>501</v>
      </c>
      <c r="B193" t="s">
        <v>63</v>
      </c>
      <c r="C193" t="s">
        <v>26</v>
      </c>
      <c r="D193" t="s">
        <v>64</v>
      </c>
      <c r="E193" t="s">
        <v>502</v>
      </c>
      <c r="F193" t="s">
        <v>503</v>
      </c>
      <c r="G193">
        <v>70097561</v>
      </c>
      <c r="H193" t="s">
        <v>504</v>
      </c>
      <c r="I193" s="4" t="s">
        <v>35</v>
      </c>
      <c r="J193" s="4" t="s">
        <v>505</v>
      </c>
      <c r="K193" t="s">
        <v>506</v>
      </c>
      <c r="L193" t="s">
        <v>27</v>
      </c>
      <c r="M193" t="s">
        <v>507</v>
      </c>
      <c r="N193" t="s">
        <v>28</v>
      </c>
      <c r="O193" t="s">
        <v>65</v>
      </c>
      <c r="P193" t="s">
        <v>66</v>
      </c>
      <c r="Q193" t="s">
        <v>37</v>
      </c>
      <c r="R193">
        <v>14</v>
      </c>
      <c r="S193" t="s">
        <v>508</v>
      </c>
      <c r="T193" t="s">
        <v>3474</v>
      </c>
      <c r="U193" t="s">
        <v>5149</v>
      </c>
      <c r="V193" t="s">
        <v>32</v>
      </c>
      <c r="W193" t="s">
        <v>33</v>
      </c>
      <c r="X193" t="s">
        <v>33</v>
      </c>
      <c r="Y193" t="s">
        <v>33</v>
      </c>
      <c r="Z193" s="16" t="s">
        <v>34</v>
      </c>
      <c r="AA193">
        <v>-75.652553889999993</v>
      </c>
      <c r="AB193">
        <v>6.2904410799999999</v>
      </c>
      <c r="AC193" t="s">
        <v>96</v>
      </c>
      <c r="AD193" t="s">
        <v>97</v>
      </c>
    </row>
    <row r="194" spans="1:30" x14ac:dyDescent="0.25">
      <c r="A194" t="s">
        <v>4036</v>
      </c>
      <c r="B194" t="s">
        <v>25</v>
      </c>
      <c r="C194" t="s">
        <v>26</v>
      </c>
      <c r="D194" t="s">
        <v>38</v>
      </c>
      <c r="E194" t="s">
        <v>4037</v>
      </c>
      <c r="F194" t="s">
        <v>4038</v>
      </c>
      <c r="G194">
        <v>70875621</v>
      </c>
      <c r="H194" t="s">
        <v>4039</v>
      </c>
      <c r="I194" s="4" t="s">
        <v>35</v>
      </c>
      <c r="J194" s="4" t="s">
        <v>4040</v>
      </c>
      <c r="K194" t="s">
        <v>4041</v>
      </c>
      <c r="L194" t="s">
        <v>27</v>
      </c>
      <c r="M194" t="s">
        <v>4042</v>
      </c>
      <c r="N194" t="s">
        <v>28</v>
      </c>
      <c r="O194" t="s">
        <v>45</v>
      </c>
      <c r="P194" t="s">
        <v>40</v>
      </c>
      <c r="Q194" t="s">
        <v>31</v>
      </c>
      <c r="R194">
        <v>5</v>
      </c>
      <c r="S194" t="s">
        <v>4043</v>
      </c>
      <c r="T194" t="s">
        <v>1648</v>
      </c>
      <c r="U194" t="s">
        <v>1649</v>
      </c>
      <c r="V194" t="s">
        <v>32</v>
      </c>
      <c r="W194" t="s">
        <v>33</v>
      </c>
      <c r="X194" t="s">
        <v>33</v>
      </c>
      <c r="Y194" t="s">
        <v>33</v>
      </c>
      <c r="Z194" s="16" t="s">
        <v>34</v>
      </c>
      <c r="AA194">
        <v>-75.610043910000002</v>
      </c>
      <c r="AB194">
        <v>6.2052303599999998</v>
      </c>
      <c r="AC194" t="s">
        <v>96</v>
      </c>
      <c r="AD194" t="s">
        <v>97</v>
      </c>
    </row>
    <row r="195" spans="1:30" x14ac:dyDescent="0.25">
      <c r="A195" t="s">
        <v>430</v>
      </c>
      <c r="B195" t="s">
        <v>25</v>
      </c>
      <c r="C195" t="s">
        <v>26</v>
      </c>
      <c r="D195" t="s">
        <v>25</v>
      </c>
      <c r="E195" t="s">
        <v>431</v>
      </c>
      <c r="F195" t="s">
        <v>432</v>
      </c>
      <c r="G195">
        <v>43263200</v>
      </c>
      <c r="H195" t="s">
        <v>433</v>
      </c>
      <c r="I195" s="4" t="s">
        <v>35</v>
      </c>
      <c r="J195" s="4" t="s">
        <v>434</v>
      </c>
      <c r="K195" t="s">
        <v>435</v>
      </c>
      <c r="L195" t="s">
        <v>27</v>
      </c>
      <c r="M195" t="s">
        <v>436</v>
      </c>
      <c r="N195" t="s">
        <v>28</v>
      </c>
      <c r="O195" t="s">
        <v>29</v>
      </c>
      <c r="P195" t="s">
        <v>36</v>
      </c>
      <c r="Q195" t="s">
        <v>31</v>
      </c>
      <c r="R195">
        <v>7</v>
      </c>
      <c r="S195" t="s">
        <v>437</v>
      </c>
      <c r="T195" t="s">
        <v>5150</v>
      </c>
      <c r="U195" t="s">
        <v>5151</v>
      </c>
      <c r="V195" t="s">
        <v>48</v>
      </c>
      <c r="W195" t="s">
        <v>33</v>
      </c>
      <c r="X195" t="s">
        <v>33</v>
      </c>
      <c r="Y195" t="s">
        <v>33</v>
      </c>
      <c r="Z195" s="16" t="s">
        <v>34</v>
      </c>
      <c r="AA195">
        <v>-75.547798099999994</v>
      </c>
      <c r="AB195">
        <v>6.2496190900000004</v>
      </c>
      <c r="AC195" t="s">
        <v>96</v>
      </c>
      <c r="AD195" t="s">
        <v>97</v>
      </c>
    </row>
    <row r="196" spans="1:30" x14ac:dyDescent="0.25">
      <c r="A196" t="s">
        <v>4044</v>
      </c>
      <c r="B196" t="s">
        <v>25</v>
      </c>
      <c r="C196" t="s">
        <v>26</v>
      </c>
      <c r="D196" t="s">
        <v>38</v>
      </c>
      <c r="E196" t="s">
        <v>4045</v>
      </c>
      <c r="F196" t="s">
        <v>4046</v>
      </c>
      <c r="G196">
        <v>43839316</v>
      </c>
      <c r="H196" t="s">
        <v>4047</v>
      </c>
      <c r="I196" s="4" t="s">
        <v>4048</v>
      </c>
      <c r="J196" s="4" t="s">
        <v>4049</v>
      </c>
      <c r="K196" t="s">
        <v>4050</v>
      </c>
      <c r="L196" t="s">
        <v>43</v>
      </c>
      <c r="M196" t="s">
        <v>4051</v>
      </c>
      <c r="N196" t="s">
        <v>44</v>
      </c>
      <c r="O196" t="s">
        <v>45</v>
      </c>
      <c r="P196" t="s">
        <v>40</v>
      </c>
      <c r="Q196" t="s">
        <v>31</v>
      </c>
      <c r="R196">
        <v>5</v>
      </c>
      <c r="S196" t="s">
        <v>4052</v>
      </c>
      <c r="T196" t="s">
        <v>5070</v>
      </c>
      <c r="U196" t="s">
        <v>5071</v>
      </c>
      <c r="V196" t="s">
        <v>32</v>
      </c>
      <c r="W196" t="s">
        <v>33</v>
      </c>
      <c r="X196" t="s">
        <v>33</v>
      </c>
      <c r="Y196" t="s">
        <v>33</v>
      </c>
      <c r="Z196" s="16" t="s">
        <v>34</v>
      </c>
      <c r="AA196">
        <v>-75.621187680000006</v>
      </c>
      <c r="AB196">
        <v>6.1746380099999998</v>
      </c>
      <c r="AC196" t="s">
        <v>96</v>
      </c>
      <c r="AD196" t="s">
        <v>97</v>
      </c>
    </row>
    <row r="197" spans="1:30" x14ac:dyDescent="0.25">
      <c r="A197" t="s">
        <v>4053</v>
      </c>
      <c r="B197" t="s">
        <v>25</v>
      </c>
      <c r="C197" t="s">
        <v>26</v>
      </c>
      <c r="D197" t="s">
        <v>38</v>
      </c>
      <c r="E197" t="s">
        <v>4054</v>
      </c>
      <c r="F197" t="s">
        <v>4055</v>
      </c>
      <c r="G197">
        <v>93292926</v>
      </c>
      <c r="H197" t="s">
        <v>4056</v>
      </c>
      <c r="I197" s="4" t="s">
        <v>35</v>
      </c>
      <c r="J197" s="4" t="s">
        <v>4057</v>
      </c>
      <c r="K197" t="s">
        <v>4058</v>
      </c>
      <c r="L197" t="s">
        <v>43</v>
      </c>
      <c r="M197" t="s">
        <v>4059</v>
      </c>
      <c r="N197" t="s">
        <v>44</v>
      </c>
      <c r="O197" t="s">
        <v>45</v>
      </c>
      <c r="P197" t="s">
        <v>40</v>
      </c>
      <c r="Q197" t="s">
        <v>31</v>
      </c>
      <c r="R197">
        <v>5</v>
      </c>
      <c r="S197" t="s">
        <v>4060</v>
      </c>
      <c r="T197" t="s">
        <v>5152</v>
      </c>
      <c r="U197" t="s">
        <v>5153</v>
      </c>
      <c r="V197" t="s">
        <v>32</v>
      </c>
      <c r="W197" t="s">
        <v>33</v>
      </c>
      <c r="X197" t="s">
        <v>33</v>
      </c>
      <c r="Y197" t="s">
        <v>33</v>
      </c>
      <c r="Z197" s="16" t="s">
        <v>34</v>
      </c>
      <c r="AA197">
        <v>-75.613966910000002</v>
      </c>
      <c r="AB197">
        <v>6.1803749100000003</v>
      </c>
      <c r="AC197" t="s">
        <v>96</v>
      </c>
      <c r="AD197" t="s">
        <v>97</v>
      </c>
    </row>
    <row r="198" spans="1:30" x14ac:dyDescent="0.25">
      <c r="A198" t="s">
        <v>845</v>
      </c>
      <c r="B198" t="s">
        <v>25</v>
      </c>
      <c r="C198" t="s">
        <v>26</v>
      </c>
      <c r="D198" t="s">
        <v>25</v>
      </c>
      <c r="E198" t="s">
        <v>599</v>
      </c>
      <c r="F198" t="s">
        <v>600</v>
      </c>
      <c r="G198">
        <v>43263200</v>
      </c>
      <c r="H198" t="s">
        <v>433</v>
      </c>
      <c r="I198" s="4" t="s">
        <v>35</v>
      </c>
      <c r="J198" s="4" t="s">
        <v>434</v>
      </c>
      <c r="K198" t="s">
        <v>601</v>
      </c>
      <c r="L198" t="s">
        <v>27</v>
      </c>
      <c r="M198" t="s">
        <v>602</v>
      </c>
      <c r="N198" t="s">
        <v>28</v>
      </c>
      <c r="O198" t="s">
        <v>29</v>
      </c>
      <c r="P198" t="s">
        <v>30</v>
      </c>
      <c r="Q198" t="s">
        <v>31</v>
      </c>
      <c r="R198">
        <v>7</v>
      </c>
      <c r="S198" t="s">
        <v>603</v>
      </c>
      <c r="T198" t="s">
        <v>5154</v>
      </c>
      <c r="U198" t="s">
        <v>5155</v>
      </c>
      <c r="V198" t="s">
        <v>48</v>
      </c>
      <c r="W198" t="s">
        <v>33</v>
      </c>
      <c r="X198" t="s">
        <v>33</v>
      </c>
      <c r="Y198" t="s">
        <v>33</v>
      </c>
      <c r="Z198" s="16" t="s">
        <v>34</v>
      </c>
      <c r="AA198">
        <v>-75.547747200000003</v>
      </c>
      <c r="AB198">
        <v>6.2494575299999999</v>
      </c>
      <c r="AC198" t="s">
        <v>96</v>
      </c>
      <c r="AD198" t="s">
        <v>97</v>
      </c>
    </row>
    <row r="199" spans="1:30" x14ac:dyDescent="0.25">
      <c r="A199" t="s">
        <v>2617</v>
      </c>
      <c r="B199" t="s">
        <v>25</v>
      </c>
      <c r="C199" t="s">
        <v>26</v>
      </c>
      <c r="D199" t="s">
        <v>38</v>
      </c>
      <c r="E199" t="s">
        <v>2618</v>
      </c>
      <c r="F199" t="s">
        <v>2619</v>
      </c>
      <c r="G199">
        <v>1020443993</v>
      </c>
      <c r="H199" t="s">
        <v>2620</v>
      </c>
      <c r="I199" s="4" t="s">
        <v>2621</v>
      </c>
      <c r="J199" s="4" t="s">
        <v>2622</v>
      </c>
      <c r="K199" t="s">
        <v>2623</v>
      </c>
      <c r="L199" t="s">
        <v>27</v>
      </c>
      <c r="M199" t="s">
        <v>2624</v>
      </c>
      <c r="N199" t="s">
        <v>28</v>
      </c>
      <c r="O199" t="s">
        <v>45</v>
      </c>
      <c r="P199" t="s">
        <v>40</v>
      </c>
      <c r="Q199" t="s">
        <v>31</v>
      </c>
      <c r="R199">
        <v>5</v>
      </c>
      <c r="S199" t="s">
        <v>2625</v>
      </c>
      <c r="T199" t="s">
        <v>3095</v>
      </c>
      <c r="U199" t="s">
        <v>1841</v>
      </c>
      <c r="V199" t="s">
        <v>48</v>
      </c>
      <c r="W199" t="s">
        <v>33</v>
      </c>
      <c r="X199" t="s">
        <v>33</v>
      </c>
      <c r="Y199" t="s">
        <v>33</v>
      </c>
      <c r="Z199" s="16" t="s">
        <v>34</v>
      </c>
      <c r="AA199">
        <v>-75.533094090000006</v>
      </c>
      <c r="AB199">
        <v>6.2279673200000003</v>
      </c>
      <c r="AC199" t="s">
        <v>96</v>
      </c>
      <c r="AD199" t="s">
        <v>97</v>
      </c>
    </row>
    <row r="200" spans="1:30" x14ac:dyDescent="0.25">
      <c r="A200" t="s">
        <v>846</v>
      </c>
      <c r="B200" t="s">
        <v>49</v>
      </c>
      <c r="C200" t="s">
        <v>26</v>
      </c>
      <c r="D200" t="s">
        <v>49</v>
      </c>
      <c r="E200" t="s">
        <v>604</v>
      </c>
      <c r="F200" t="s">
        <v>605</v>
      </c>
      <c r="G200">
        <v>1152701653</v>
      </c>
      <c r="H200" t="s">
        <v>606</v>
      </c>
      <c r="I200" s="4" t="s">
        <v>35</v>
      </c>
      <c r="J200" s="4" t="s">
        <v>607</v>
      </c>
      <c r="K200" t="s">
        <v>608</v>
      </c>
      <c r="L200" t="s">
        <v>27</v>
      </c>
      <c r="M200" t="s">
        <v>609</v>
      </c>
      <c r="N200" t="s">
        <v>28</v>
      </c>
      <c r="O200" t="s">
        <v>50</v>
      </c>
      <c r="P200" t="s">
        <v>51</v>
      </c>
      <c r="Q200" t="s">
        <v>31</v>
      </c>
      <c r="R200">
        <v>11</v>
      </c>
      <c r="S200" t="s">
        <v>610</v>
      </c>
      <c r="T200" t="s">
        <v>1752</v>
      </c>
      <c r="U200" t="s">
        <v>2163</v>
      </c>
      <c r="V200" t="s">
        <v>32</v>
      </c>
      <c r="W200" t="s">
        <v>33</v>
      </c>
      <c r="X200" t="s">
        <v>33</v>
      </c>
      <c r="Y200" t="s">
        <v>33</v>
      </c>
      <c r="Z200" s="16" t="s">
        <v>34</v>
      </c>
      <c r="AA200">
        <v>-75.627324999999999</v>
      </c>
      <c r="AB200">
        <v>6.2718420000000004</v>
      </c>
      <c r="AC200" t="s">
        <v>96</v>
      </c>
      <c r="AD200" t="s">
        <v>97</v>
      </c>
    </row>
    <row r="201" spans="1:30" x14ac:dyDescent="0.25">
      <c r="A201" t="s">
        <v>4061</v>
      </c>
      <c r="B201" t="s">
        <v>49</v>
      </c>
      <c r="C201" t="s">
        <v>26</v>
      </c>
      <c r="D201" t="s">
        <v>49</v>
      </c>
      <c r="E201" t="s">
        <v>4062</v>
      </c>
      <c r="F201" t="s">
        <v>4063</v>
      </c>
      <c r="G201">
        <v>42886026</v>
      </c>
      <c r="H201" t="s">
        <v>4064</v>
      </c>
      <c r="I201" s="4" t="s">
        <v>4065</v>
      </c>
      <c r="J201" s="4" t="s">
        <v>4066</v>
      </c>
      <c r="K201" t="s">
        <v>4067</v>
      </c>
      <c r="L201" t="s">
        <v>43</v>
      </c>
      <c r="M201" t="s">
        <v>4068</v>
      </c>
      <c r="N201" t="s">
        <v>44</v>
      </c>
      <c r="O201" t="s">
        <v>50</v>
      </c>
      <c r="P201" t="s">
        <v>51</v>
      </c>
      <c r="Q201" t="s">
        <v>31</v>
      </c>
      <c r="R201">
        <v>11</v>
      </c>
      <c r="S201" t="s">
        <v>4069</v>
      </c>
      <c r="T201" t="s">
        <v>5070</v>
      </c>
      <c r="U201" t="s">
        <v>5156</v>
      </c>
      <c r="V201" t="s">
        <v>32</v>
      </c>
      <c r="W201" t="s">
        <v>33</v>
      </c>
      <c r="X201" t="s">
        <v>33</v>
      </c>
      <c r="Y201" t="s">
        <v>33</v>
      </c>
      <c r="Z201" s="16" t="s">
        <v>34</v>
      </c>
      <c r="AA201">
        <v>-75.621187680000006</v>
      </c>
      <c r="AB201">
        <v>6.1746380099999998</v>
      </c>
      <c r="AC201" t="s">
        <v>96</v>
      </c>
      <c r="AD201" t="s">
        <v>97</v>
      </c>
    </row>
    <row r="202" spans="1:30" x14ac:dyDescent="0.25">
      <c r="A202" t="s">
        <v>847</v>
      </c>
      <c r="B202" t="s">
        <v>25</v>
      </c>
      <c r="C202" t="s">
        <v>26</v>
      </c>
      <c r="D202" t="s">
        <v>25</v>
      </c>
      <c r="E202" t="s">
        <v>611</v>
      </c>
      <c r="F202" t="s">
        <v>612</v>
      </c>
      <c r="G202">
        <v>43263200</v>
      </c>
      <c r="H202" t="s">
        <v>433</v>
      </c>
      <c r="I202" s="4" t="s">
        <v>35</v>
      </c>
      <c r="J202" s="4" t="s">
        <v>434</v>
      </c>
      <c r="K202" t="s">
        <v>613</v>
      </c>
      <c r="L202" t="s">
        <v>27</v>
      </c>
      <c r="M202" t="s">
        <v>614</v>
      </c>
      <c r="N202" t="s">
        <v>28</v>
      </c>
      <c r="O202" t="s">
        <v>29</v>
      </c>
      <c r="P202" t="s">
        <v>30</v>
      </c>
      <c r="Q202" t="s">
        <v>31</v>
      </c>
      <c r="R202">
        <v>7</v>
      </c>
      <c r="S202" t="s">
        <v>615</v>
      </c>
      <c r="T202" t="s">
        <v>3184</v>
      </c>
      <c r="U202" t="s">
        <v>3069</v>
      </c>
      <c r="V202" t="s">
        <v>48</v>
      </c>
      <c r="W202" t="s">
        <v>33</v>
      </c>
      <c r="X202" t="s">
        <v>33</v>
      </c>
      <c r="Y202" t="s">
        <v>33</v>
      </c>
      <c r="Z202" s="16" t="s">
        <v>34</v>
      </c>
      <c r="AA202">
        <v>-75.547798099999994</v>
      </c>
      <c r="AB202">
        <v>6.2496190900000004</v>
      </c>
      <c r="AC202" t="s">
        <v>96</v>
      </c>
      <c r="AD202" t="s">
        <v>97</v>
      </c>
    </row>
    <row r="203" spans="1:30" x14ac:dyDescent="0.25">
      <c r="A203" t="s">
        <v>848</v>
      </c>
      <c r="B203" t="s">
        <v>49</v>
      </c>
      <c r="C203" t="s">
        <v>26</v>
      </c>
      <c r="D203" t="s">
        <v>49</v>
      </c>
      <c r="E203" t="s">
        <v>616</v>
      </c>
      <c r="F203" t="s">
        <v>617</v>
      </c>
      <c r="G203">
        <v>43279281</v>
      </c>
      <c r="H203" t="s">
        <v>618</v>
      </c>
      <c r="I203" s="4" t="s">
        <v>35</v>
      </c>
      <c r="J203" s="4" t="s">
        <v>619</v>
      </c>
      <c r="K203" t="s">
        <v>620</v>
      </c>
      <c r="L203" t="s">
        <v>27</v>
      </c>
      <c r="M203" t="s">
        <v>621</v>
      </c>
      <c r="N203" t="s">
        <v>28</v>
      </c>
      <c r="O203" t="s">
        <v>50</v>
      </c>
      <c r="P203" t="s">
        <v>51</v>
      </c>
      <c r="Q203" t="s">
        <v>31</v>
      </c>
      <c r="R203">
        <v>11</v>
      </c>
      <c r="S203" t="s">
        <v>622</v>
      </c>
      <c r="T203" t="s">
        <v>3184</v>
      </c>
      <c r="U203" t="s">
        <v>3183</v>
      </c>
      <c r="V203" t="s">
        <v>32</v>
      </c>
      <c r="W203" t="s">
        <v>33</v>
      </c>
      <c r="X203" t="s">
        <v>33</v>
      </c>
      <c r="Y203" t="s">
        <v>33</v>
      </c>
      <c r="Z203" s="16" t="s">
        <v>34</v>
      </c>
      <c r="AA203">
        <v>-75.631108249999997</v>
      </c>
      <c r="AB203">
        <v>6.2330460199999997</v>
      </c>
      <c r="AC203" t="s">
        <v>96</v>
      </c>
      <c r="AD203" t="s">
        <v>97</v>
      </c>
    </row>
    <row r="204" spans="1:30" x14ac:dyDescent="0.25">
      <c r="A204" t="s">
        <v>509</v>
      </c>
      <c r="B204" t="s">
        <v>63</v>
      </c>
      <c r="C204" t="s">
        <v>26</v>
      </c>
      <c r="D204" t="s">
        <v>64</v>
      </c>
      <c r="E204" t="s">
        <v>510</v>
      </c>
      <c r="F204" t="s">
        <v>511</v>
      </c>
      <c r="G204">
        <v>900062516</v>
      </c>
      <c r="H204" t="s">
        <v>512</v>
      </c>
      <c r="I204" s="4" t="s">
        <v>513</v>
      </c>
      <c r="J204" s="4" t="s">
        <v>514</v>
      </c>
      <c r="K204" t="s">
        <v>515</v>
      </c>
      <c r="L204" t="s">
        <v>57</v>
      </c>
      <c r="M204" t="s">
        <v>516</v>
      </c>
      <c r="N204" t="s">
        <v>58</v>
      </c>
      <c r="O204" t="s">
        <v>65</v>
      </c>
      <c r="P204" t="s">
        <v>69</v>
      </c>
      <c r="Q204" t="s">
        <v>31</v>
      </c>
      <c r="R204">
        <v>9</v>
      </c>
      <c r="S204" t="s">
        <v>517</v>
      </c>
      <c r="T204" t="s">
        <v>5157</v>
      </c>
      <c r="U204" t="s">
        <v>5158</v>
      </c>
      <c r="V204" t="s">
        <v>32</v>
      </c>
      <c r="W204" t="s">
        <v>33</v>
      </c>
      <c r="X204" t="s">
        <v>33</v>
      </c>
      <c r="Y204" t="s">
        <v>33</v>
      </c>
      <c r="Z204" s="16" t="s">
        <v>34</v>
      </c>
      <c r="AA204">
        <v>-75.630262999999999</v>
      </c>
      <c r="AB204">
        <v>6.1513739999999997</v>
      </c>
      <c r="AC204" t="s">
        <v>96</v>
      </c>
      <c r="AD204" t="s">
        <v>97</v>
      </c>
    </row>
    <row r="205" spans="1:30" x14ac:dyDescent="0.25">
      <c r="A205" t="s">
        <v>849</v>
      </c>
      <c r="B205" t="s">
        <v>25</v>
      </c>
      <c r="C205" t="s">
        <v>26</v>
      </c>
      <c r="D205" t="s">
        <v>38</v>
      </c>
      <c r="E205" t="s">
        <v>623</v>
      </c>
      <c r="F205" t="s">
        <v>624</v>
      </c>
      <c r="G205">
        <v>21527287</v>
      </c>
      <c r="H205" t="s">
        <v>625</v>
      </c>
      <c r="I205" s="4" t="s">
        <v>35</v>
      </c>
      <c r="J205" s="4" t="s">
        <v>626</v>
      </c>
      <c r="K205" t="s">
        <v>627</v>
      </c>
      <c r="L205" t="s">
        <v>27</v>
      </c>
      <c r="M205" t="s">
        <v>628</v>
      </c>
      <c r="N205" t="s">
        <v>28</v>
      </c>
      <c r="O205" t="s">
        <v>39</v>
      </c>
      <c r="P205" t="s">
        <v>40</v>
      </c>
      <c r="Q205" t="s">
        <v>37</v>
      </c>
      <c r="R205">
        <v>8</v>
      </c>
      <c r="S205" t="s">
        <v>629</v>
      </c>
      <c r="T205" t="s">
        <v>5159</v>
      </c>
      <c r="U205" t="s">
        <v>5160</v>
      </c>
      <c r="V205" t="s">
        <v>48</v>
      </c>
      <c r="W205" t="s">
        <v>33</v>
      </c>
      <c r="X205" t="s">
        <v>33</v>
      </c>
      <c r="Y205" t="s">
        <v>33</v>
      </c>
      <c r="Z205" s="16" t="s">
        <v>34</v>
      </c>
      <c r="AA205">
        <v>-75.521016000000003</v>
      </c>
      <c r="AB205">
        <v>6.2325590000000002</v>
      </c>
      <c r="AC205" t="s">
        <v>96</v>
      </c>
      <c r="AD205" t="s">
        <v>97</v>
      </c>
    </row>
    <row r="206" spans="1:30" x14ac:dyDescent="0.25">
      <c r="A206" t="s">
        <v>850</v>
      </c>
      <c r="B206" t="s">
        <v>49</v>
      </c>
      <c r="C206" t="s">
        <v>26</v>
      </c>
      <c r="D206" t="s">
        <v>49</v>
      </c>
      <c r="E206" t="s">
        <v>630</v>
      </c>
      <c r="F206" t="s">
        <v>631</v>
      </c>
      <c r="G206">
        <v>98451496</v>
      </c>
      <c r="H206" t="s">
        <v>632</v>
      </c>
      <c r="I206" s="4" t="s">
        <v>633</v>
      </c>
      <c r="J206" s="4" t="s">
        <v>634</v>
      </c>
      <c r="K206" t="s">
        <v>635</v>
      </c>
      <c r="L206" t="s">
        <v>27</v>
      </c>
      <c r="M206" t="s">
        <v>636</v>
      </c>
      <c r="N206" t="s">
        <v>28</v>
      </c>
      <c r="O206" t="s">
        <v>50</v>
      </c>
      <c r="P206" t="s">
        <v>51</v>
      </c>
      <c r="Q206" t="s">
        <v>31</v>
      </c>
      <c r="R206">
        <v>11</v>
      </c>
      <c r="S206" t="s">
        <v>637</v>
      </c>
      <c r="T206" t="s">
        <v>1129</v>
      </c>
      <c r="U206" t="s">
        <v>1128</v>
      </c>
      <c r="V206" t="s">
        <v>32</v>
      </c>
      <c r="W206" t="s">
        <v>33</v>
      </c>
      <c r="X206" t="s">
        <v>33</v>
      </c>
      <c r="Y206" t="s">
        <v>33</v>
      </c>
      <c r="Z206" s="16" t="s">
        <v>34</v>
      </c>
      <c r="AA206">
        <v>-75.62805582</v>
      </c>
      <c r="AB206">
        <v>6.2874740600000001</v>
      </c>
      <c r="AC206" t="s">
        <v>96</v>
      </c>
      <c r="AD206" t="s">
        <v>97</v>
      </c>
    </row>
    <row r="207" spans="1:30" x14ac:dyDescent="0.25">
      <c r="A207" t="s">
        <v>851</v>
      </c>
      <c r="B207" t="s">
        <v>25</v>
      </c>
      <c r="C207" t="s">
        <v>26</v>
      </c>
      <c r="D207" t="s">
        <v>38</v>
      </c>
      <c r="E207" t="s">
        <v>638</v>
      </c>
      <c r="F207" t="s">
        <v>639</v>
      </c>
      <c r="G207">
        <v>21527287</v>
      </c>
      <c r="H207" t="s">
        <v>625</v>
      </c>
      <c r="I207" s="4" t="s">
        <v>35</v>
      </c>
      <c r="J207" s="4" t="s">
        <v>626</v>
      </c>
      <c r="K207" t="s">
        <v>640</v>
      </c>
      <c r="L207" t="s">
        <v>27</v>
      </c>
      <c r="M207" t="s">
        <v>641</v>
      </c>
      <c r="N207" t="s">
        <v>28</v>
      </c>
      <c r="O207" t="s">
        <v>39</v>
      </c>
      <c r="P207" t="s">
        <v>40</v>
      </c>
      <c r="Q207" t="s">
        <v>37</v>
      </c>
      <c r="R207">
        <v>8</v>
      </c>
      <c r="S207" t="s">
        <v>642</v>
      </c>
      <c r="T207" t="s">
        <v>5161</v>
      </c>
      <c r="U207" t="s">
        <v>5162</v>
      </c>
      <c r="V207" t="s">
        <v>48</v>
      </c>
      <c r="W207" t="s">
        <v>33</v>
      </c>
      <c r="X207" t="s">
        <v>33</v>
      </c>
      <c r="Y207" t="s">
        <v>33</v>
      </c>
      <c r="Z207" s="16" t="s">
        <v>34</v>
      </c>
      <c r="AA207">
        <v>-75.521034470000004</v>
      </c>
      <c r="AB207">
        <v>6.2325751199999999</v>
      </c>
      <c r="AC207" t="s">
        <v>96</v>
      </c>
      <c r="AD207" t="s">
        <v>97</v>
      </c>
    </row>
    <row r="208" spans="1:30" x14ac:dyDescent="0.25">
      <c r="A208" t="s">
        <v>852</v>
      </c>
      <c r="B208" t="s">
        <v>49</v>
      </c>
      <c r="C208" t="s">
        <v>26</v>
      </c>
      <c r="D208" t="s">
        <v>49</v>
      </c>
      <c r="E208" t="s">
        <v>645</v>
      </c>
      <c r="F208" t="s">
        <v>646</v>
      </c>
      <c r="G208">
        <v>1025649918</v>
      </c>
      <c r="H208" t="s">
        <v>647</v>
      </c>
      <c r="I208" s="4" t="s">
        <v>35</v>
      </c>
      <c r="J208" s="4" t="s">
        <v>648</v>
      </c>
      <c r="K208" t="s">
        <v>649</v>
      </c>
      <c r="L208" t="s">
        <v>27</v>
      </c>
      <c r="M208" t="s">
        <v>650</v>
      </c>
      <c r="N208" t="s">
        <v>28</v>
      </c>
      <c r="O208" t="s">
        <v>50</v>
      </c>
      <c r="P208" t="s">
        <v>51</v>
      </c>
      <c r="Q208" t="s">
        <v>31</v>
      </c>
      <c r="R208">
        <v>11</v>
      </c>
      <c r="S208" t="s">
        <v>651</v>
      </c>
      <c r="T208" t="s">
        <v>3187</v>
      </c>
      <c r="U208" t="s">
        <v>3186</v>
      </c>
      <c r="V208" t="s">
        <v>32</v>
      </c>
      <c r="W208" t="s">
        <v>33</v>
      </c>
      <c r="X208" t="s">
        <v>33</v>
      </c>
      <c r="Y208" t="s">
        <v>33</v>
      </c>
      <c r="Z208" s="16" t="s">
        <v>34</v>
      </c>
      <c r="AA208">
        <v>-75.611386850000002</v>
      </c>
      <c r="AB208">
        <v>6.22266692</v>
      </c>
      <c r="AC208" t="s">
        <v>96</v>
      </c>
      <c r="AD208" t="s">
        <v>97</v>
      </c>
    </row>
    <row r="209" spans="1:30" x14ac:dyDescent="0.25">
      <c r="A209" t="s">
        <v>4070</v>
      </c>
      <c r="B209" t="s">
        <v>41</v>
      </c>
      <c r="C209" t="s">
        <v>26</v>
      </c>
      <c r="D209" t="s">
        <v>41</v>
      </c>
      <c r="E209" t="s">
        <v>4071</v>
      </c>
      <c r="F209" t="s">
        <v>4072</v>
      </c>
      <c r="G209">
        <v>21920985</v>
      </c>
      <c r="H209" t="s">
        <v>4073</v>
      </c>
      <c r="I209" s="4" t="s">
        <v>4074</v>
      </c>
      <c r="J209" s="4" t="s">
        <v>4075</v>
      </c>
      <c r="K209" t="s">
        <v>4076</v>
      </c>
      <c r="L209" t="s">
        <v>27</v>
      </c>
      <c r="M209" t="s">
        <v>4077</v>
      </c>
      <c r="N209" t="s">
        <v>28</v>
      </c>
      <c r="O209" t="s">
        <v>42</v>
      </c>
      <c r="P209" t="s">
        <v>36</v>
      </c>
      <c r="Q209" t="s">
        <v>31</v>
      </c>
      <c r="R209">
        <v>7</v>
      </c>
      <c r="S209" t="s">
        <v>4078</v>
      </c>
      <c r="T209" t="s">
        <v>5163</v>
      </c>
      <c r="U209" t="s">
        <v>5164</v>
      </c>
      <c r="V209" t="s">
        <v>32</v>
      </c>
      <c r="W209" t="s">
        <v>33</v>
      </c>
      <c r="X209" t="s">
        <v>33</v>
      </c>
      <c r="Y209" t="s">
        <v>33</v>
      </c>
      <c r="Z209" s="16" t="s">
        <v>34</v>
      </c>
      <c r="AA209">
        <v>-75.583517139999998</v>
      </c>
      <c r="AB209">
        <v>6.2128285300000003</v>
      </c>
      <c r="AC209" t="s">
        <v>96</v>
      </c>
      <c r="AD209" t="s">
        <v>97</v>
      </c>
    </row>
    <row r="210" spans="1:30" x14ac:dyDescent="0.25">
      <c r="A210" t="s">
        <v>4079</v>
      </c>
      <c r="B210" t="s">
        <v>25</v>
      </c>
      <c r="C210" t="s">
        <v>26</v>
      </c>
      <c r="D210" t="s">
        <v>25</v>
      </c>
      <c r="E210" t="s">
        <v>4080</v>
      </c>
      <c r="F210" t="s">
        <v>4063</v>
      </c>
      <c r="G210">
        <v>21920985</v>
      </c>
      <c r="H210" t="s">
        <v>4073</v>
      </c>
      <c r="I210" s="4" t="s">
        <v>4074</v>
      </c>
      <c r="J210" s="4" t="s">
        <v>4075</v>
      </c>
      <c r="K210" t="s">
        <v>4081</v>
      </c>
      <c r="L210" t="s">
        <v>27</v>
      </c>
      <c r="M210" t="s">
        <v>4082</v>
      </c>
      <c r="N210" t="s">
        <v>28</v>
      </c>
      <c r="O210" t="s">
        <v>29</v>
      </c>
      <c r="P210" t="s">
        <v>36</v>
      </c>
      <c r="Q210" t="s">
        <v>31</v>
      </c>
      <c r="R210">
        <v>7</v>
      </c>
      <c r="S210" t="s">
        <v>4083</v>
      </c>
      <c r="T210" t="s">
        <v>5070</v>
      </c>
      <c r="U210" t="s">
        <v>5165</v>
      </c>
      <c r="V210" t="s">
        <v>32</v>
      </c>
      <c r="W210" t="s">
        <v>33</v>
      </c>
      <c r="X210" t="s">
        <v>33</v>
      </c>
      <c r="Y210" t="s">
        <v>33</v>
      </c>
      <c r="Z210" s="16" t="s">
        <v>34</v>
      </c>
      <c r="AA210">
        <v>-75.583517139999998</v>
      </c>
      <c r="AB210">
        <v>6.2128285300000003</v>
      </c>
      <c r="AC210" t="s">
        <v>96</v>
      </c>
      <c r="AD210" t="s">
        <v>97</v>
      </c>
    </row>
    <row r="211" spans="1:30" x14ac:dyDescent="0.25">
      <c r="A211" t="s">
        <v>518</v>
      </c>
      <c r="B211" t="s">
        <v>63</v>
      </c>
      <c r="C211" t="s">
        <v>26</v>
      </c>
      <c r="D211" t="s">
        <v>64</v>
      </c>
      <c r="E211" t="s">
        <v>519</v>
      </c>
      <c r="F211" t="s">
        <v>520</v>
      </c>
      <c r="G211">
        <v>71716332</v>
      </c>
      <c r="H211" t="s">
        <v>521</v>
      </c>
      <c r="I211" s="4" t="s">
        <v>35</v>
      </c>
      <c r="J211" s="4" t="s">
        <v>522</v>
      </c>
      <c r="K211" t="s">
        <v>523</v>
      </c>
      <c r="L211" t="s">
        <v>27</v>
      </c>
      <c r="M211" t="s">
        <v>524</v>
      </c>
      <c r="N211" t="s">
        <v>28</v>
      </c>
      <c r="O211" t="s">
        <v>65</v>
      </c>
      <c r="P211" t="s">
        <v>66</v>
      </c>
      <c r="Q211" t="s">
        <v>31</v>
      </c>
      <c r="R211">
        <v>9</v>
      </c>
      <c r="S211" t="s">
        <v>525</v>
      </c>
      <c r="T211" t="s">
        <v>5166</v>
      </c>
      <c r="U211" t="s">
        <v>4191</v>
      </c>
      <c r="V211" t="s">
        <v>32</v>
      </c>
      <c r="W211" t="s">
        <v>33</v>
      </c>
      <c r="X211" t="s">
        <v>33</v>
      </c>
      <c r="Y211" t="s">
        <v>33</v>
      </c>
      <c r="Z211" s="16" t="s">
        <v>34</v>
      </c>
      <c r="AA211">
        <v>-75.626833939999997</v>
      </c>
      <c r="AB211">
        <v>6.2546611299999997</v>
      </c>
      <c r="AC211" t="s">
        <v>96</v>
      </c>
      <c r="AD211" t="s">
        <v>97</v>
      </c>
    </row>
    <row r="212" spans="1:30" x14ac:dyDescent="0.25">
      <c r="A212" t="s">
        <v>526</v>
      </c>
      <c r="B212" t="s">
        <v>63</v>
      </c>
      <c r="C212" t="s">
        <v>26</v>
      </c>
      <c r="D212" t="s">
        <v>64</v>
      </c>
      <c r="E212" t="s">
        <v>527</v>
      </c>
      <c r="F212" t="s">
        <v>528</v>
      </c>
      <c r="G212">
        <v>1040511677</v>
      </c>
      <c r="H212" t="s">
        <v>247</v>
      </c>
      <c r="I212" s="4" t="s">
        <v>248</v>
      </c>
      <c r="J212" s="4" t="s">
        <v>249</v>
      </c>
      <c r="K212" t="s">
        <v>529</v>
      </c>
      <c r="L212" t="s">
        <v>27</v>
      </c>
      <c r="M212" t="s">
        <v>530</v>
      </c>
      <c r="N212" t="s">
        <v>28</v>
      </c>
      <c r="O212" t="s">
        <v>65</v>
      </c>
      <c r="P212" t="s">
        <v>69</v>
      </c>
      <c r="Q212" t="s">
        <v>31</v>
      </c>
      <c r="R212">
        <v>9</v>
      </c>
      <c r="S212" t="s">
        <v>531</v>
      </c>
      <c r="T212" t="s">
        <v>5167</v>
      </c>
      <c r="U212" t="s">
        <v>5168</v>
      </c>
      <c r="V212" t="s">
        <v>32</v>
      </c>
      <c r="W212" t="s">
        <v>33</v>
      </c>
      <c r="X212" t="s">
        <v>33</v>
      </c>
      <c r="Y212" t="s">
        <v>33</v>
      </c>
      <c r="Z212" s="16" t="s">
        <v>34</v>
      </c>
      <c r="AA212">
        <v>-75.544192379999998</v>
      </c>
      <c r="AB212">
        <v>6.2513477599999998</v>
      </c>
      <c r="AC212" t="s">
        <v>96</v>
      </c>
      <c r="AD212" t="s">
        <v>97</v>
      </c>
    </row>
    <row r="213" spans="1:30" x14ac:dyDescent="0.25">
      <c r="A213" t="s">
        <v>853</v>
      </c>
      <c r="B213" t="s">
        <v>49</v>
      </c>
      <c r="C213" t="s">
        <v>26</v>
      </c>
      <c r="D213" t="s">
        <v>49</v>
      </c>
      <c r="E213" t="s">
        <v>654</v>
      </c>
      <c r="F213" t="s">
        <v>655</v>
      </c>
      <c r="G213">
        <v>1035441440</v>
      </c>
      <c r="H213" t="s">
        <v>656</v>
      </c>
      <c r="I213" s="4" t="s">
        <v>35</v>
      </c>
      <c r="J213" s="4" t="s">
        <v>657</v>
      </c>
      <c r="K213" t="s">
        <v>658</v>
      </c>
      <c r="L213" t="s">
        <v>27</v>
      </c>
      <c r="M213" t="s">
        <v>659</v>
      </c>
      <c r="N213" t="s">
        <v>28</v>
      </c>
      <c r="O213" t="s">
        <v>50</v>
      </c>
      <c r="P213" t="s">
        <v>51</v>
      </c>
      <c r="Q213" t="s">
        <v>31</v>
      </c>
      <c r="R213">
        <v>11</v>
      </c>
      <c r="S213" t="s">
        <v>660</v>
      </c>
      <c r="T213" t="s">
        <v>5169</v>
      </c>
      <c r="U213" t="s">
        <v>5170</v>
      </c>
      <c r="V213" t="s">
        <v>32</v>
      </c>
      <c r="W213" t="s">
        <v>33</v>
      </c>
      <c r="X213" t="s">
        <v>33</v>
      </c>
      <c r="Y213" t="s">
        <v>33</v>
      </c>
      <c r="Z213" s="16" t="s">
        <v>34</v>
      </c>
      <c r="AA213">
        <v>-75.611386850000002</v>
      </c>
      <c r="AB213">
        <v>6.22266692</v>
      </c>
      <c r="AC213" t="s">
        <v>96</v>
      </c>
      <c r="AD213" t="s">
        <v>97</v>
      </c>
    </row>
    <row r="214" spans="1:30" x14ac:dyDescent="0.25">
      <c r="A214" t="s">
        <v>2627</v>
      </c>
      <c r="B214" t="s">
        <v>25</v>
      </c>
      <c r="C214" t="s">
        <v>26</v>
      </c>
      <c r="D214" t="s">
        <v>38</v>
      </c>
      <c r="E214" t="s">
        <v>2628</v>
      </c>
      <c r="F214" t="s">
        <v>2629</v>
      </c>
      <c r="G214">
        <v>11804828</v>
      </c>
      <c r="H214" t="s">
        <v>2630</v>
      </c>
      <c r="I214" s="4" t="s">
        <v>35</v>
      </c>
      <c r="J214" s="4" t="s">
        <v>2631</v>
      </c>
      <c r="K214" t="s">
        <v>2632</v>
      </c>
      <c r="L214" t="s">
        <v>27</v>
      </c>
      <c r="M214" t="s">
        <v>2633</v>
      </c>
      <c r="N214" t="s">
        <v>28</v>
      </c>
      <c r="O214" t="s">
        <v>39</v>
      </c>
      <c r="P214" t="s">
        <v>40</v>
      </c>
      <c r="Q214" t="s">
        <v>31</v>
      </c>
      <c r="R214">
        <v>5</v>
      </c>
      <c r="S214" t="s">
        <v>2634</v>
      </c>
      <c r="T214" t="s">
        <v>1686</v>
      </c>
      <c r="U214" t="s">
        <v>1687</v>
      </c>
      <c r="V214" t="s">
        <v>32</v>
      </c>
      <c r="W214" t="s">
        <v>33</v>
      </c>
      <c r="X214" t="s">
        <v>33</v>
      </c>
      <c r="Y214" t="s">
        <v>33</v>
      </c>
      <c r="Z214" s="16" t="s">
        <v>34</v>
      </c>
      <c r="AA214">
        <v>-75.544686999999996</v>
      </c>
      <c r="AB214">
        <v>6.2469159999999997</v>
      </c>
      <c r="AC214" t="s">
        <v>96</v>
      </c>
      <c r="AD214" t="s">
        <v>97</v>
      </c>
    </row>
    <row r="215" spans="1:30" x14ac:dyDescent="0.25">
      <c r="A215" t="s">
        <v>854</v>
      </c>
      <c r="B215" t="s">
        <v>49</v>
      </c>
      <c r="C215" t="s">
        <v>67</v>
      </c>
      <c r="D215" t="s">
        <v>49</v>
      </c>
      <c r="E215" t="s">
        <v>662</v>
      </c>
      <c r="F215" t="s">
        <v>663</v>
      </c>
      <c r="G215">
        <v>43522411</v>
      </c>
      <c r="H215" t="s">
        <v>664</v>
      </c>
      <c r="I215" s="4" t="s">
        <v>35</v>
      </c>
      <c r="J215" s="4" t="s">
        <v>665</v>
      </c>
      <c r="K215" t="s">
        <v>666</v>
      </c>
      <c r="L215" t="s">
        <v>27</v>
      </c>
      <c r="M215" t="s">
        <v>667</v>
      </c>
      <c r="N215" t="s">
        <v>28</v>
      </c>
      <c r="O215" t="s">
        <v>68</v>
      </c>
      <c r="P215" t="s">
        <v>51</v>
      </c>
      <c r="Q215" t="s">
        <v>31</v>
      </c>
      <c r="R215">
        <v>11</v>
      </c>
      <c r="S215" t="s">
        <v>668</v>
      </c>
      <c r="T215" t="s">
        <v>4446</v>
      </c>
      <c r="U215" t="s">
        <v>5171</v>
      </c>
      <c r="V215" t="s">
        <v>32</v>
      </c>
      <c r="W215" t="s">
        <v>33</v>
      </c>
      <c r="X215" t="s">
        <v>33</v>
      </c>
      <c r="Y215" t="s">
        <v>33</v>
      </c>
      <c r="Z215" s="16" t="s">
        <v>34</v>
      </c>
      <c r="AA215">
        <v>-75.596436909999994</v>
      </c>
      <c r="AB215">
        <v>6.2513020600000004</v>
      </c>
      <c r="AC215" t="s">
        <v>96</v>
      </c>
      <c r="AD215" t="s">
        <v>97</v>
      </c>
    </row>
    <row r="216" spans="1:30" x14ac:dyDescent="0.25">
      <c r="A216" t="s">
        <v>888</v>
      </c>
      <c r="B216" t="s">
        <v>63</v>
      </c>
      <c r="C216" t="s">
        <v>26</v>
      </c>
      <c r="D216" t="s">
        <v>64</v>
      </c>
      <c r="E216" t="s">
        <v>889</v>
      </c>
      <c r="F216" t="s">
        <v>890</v>
      </c>
      <c r="G216">
        <v>8161089</v>
      </c>
      <c r="H216" t="s">
        <v>891</v>
      </c>
      <c r="I216" s="4" t="s">
        <v>892</v>
      </c>
      <c r="J216" s="4" t="s">
        <v>893</v>
      </c>
      <c r="K216" t="s">
        <v>894</v>
      </c>
      <c r="L216" t="s">
        <v>27</v>
      </c>
      <c r="M216" t="s">
        <v>895</v>
      </c>
      <c r="N216" t="s">
        <v>28</v>
      </c>
      <c r="O216" t="s">
        <v>65</v>
      </c>
      <c r="P216" t="s">
        <v>66</v>
      </c>
      <c r="Q216" t="s">
        <v>31</v>
      </c>
      <c r="R216">
        <v>9</v>
      </c>
      <c r="S216" t="s">
        <v>896</v>
      </c>
      <c r="T216" t="s">
        <v>3190</v>
      </c>
      <c r="U216" t="s">
        <v>3189</v>
      </c>
      <c r="V216" t="s">
        <v>32</v>
      </c>
      <c r="W216" t="s">
        <v>33</v>
      </c>
      <c r="X216" t="s">
        <v>33</v>
      </c>
      <c r="Y216" t="s">
        <v>33</v>
      </c>
      <c r="Z216" s="16" t="s">
        <v>34</v>
      </c>
      <c r="AA216">
        <v>-75.610884501000001</v>
      </c>
      <c r="AB216">
        <v>6.2574398200000596</v>
      </c>
      <c r="AC216" t="s">
        <v>96</v>
      </c>
      <c r="AD216" t="s">
        <v>97</v>
      </c>
    </row>
    <row r="217" spans="1:30" x14ac:dyDescent="0.25">
      <c r="A217" t="s">
        <v>855</v>
      </c>
      <c r="B217" t="s">
        <v>41</v>
      </c>
      <c r="C217" t="s">
        <v>26</v>
      </c>
      <c r="D217" t="s">
        <v>41</v>
      </c>
      <c r="E217" t="s">
        <v>670</v>
      </c>
      <c r="F217" t="s">
        <v>671</v>
      </c>
      <c r="G217">
        <v>1037613400</v>
      </c>
      <c r="H217" t="s">
        <v>672</v>
      </c>
      <c r="I217" s="4" t="s">
        <v>35</v>
      </c>
      <c r="J217" s="4" t="s">
        <v>673</v>
      </c>
      <c r="K217" t="s">
        <v>674</v>
      </c>
      <c r="L217" t="s">
        <v>27</v>
      </c>
      <c r="M217" t="s">
        <v>675</v>
      </c>
      <c r="N217" t="s">
        <v>28</v>
      </c>
      <c r="O217" t="s">
        <v>42</v>
      </c>
      <c r="P217" t="s">
        <v>36</v>
      </c>
      <c r="Q217" t="s">
        <v>37</v>
      </c>
      <c r="R217">
        <v>10</v>
      </c>
      <c r="S217" t="s">
        <v>676</v>
      </c>
      <c r="T217" t="s">
        <v>5172</v>
      </c>
      <c r="U217" t="s">
        <v>5172</v>
      </c>
      <c r="V217" t="s">
        <v>32</v>
      </c>
      <c r="W217" t="s">
        <v>33</v>
      </c>
      <c r="X217" t="s">
        <v>33</v>
      </c>
      <c r="Y217" t="s">
        <v>33</v>
      </c>
      <c r="Z217" s="16" t="s">
        <v>34</v>
      </c>
      <c r="AA217">
        <v>-75.646251000000007</v>
      </c>
      <c r="AB217">
        <v>6.2882899999999999</v>
      </c>
      <c r="AC217" t="s">
        <v>96</v>
      </c>
      <c r="AD217" t="s">
        <v>97</v>
      </c>
    </row>
    <row r="218" spans="1:30" x14ac:dyDescent="0.25">
      <c r="A218" t="s">
        <v>856</v>
      </c>
      <c r="B218" t="s">
        <v>25</v>
      </c>
      <c r="C218" t="s">
        <v>26</v>
      </c>
      <c r="D218" t="s">
        <v>25</v>
      </c>
      <c r="E218" t="s">
        <v>678</v>
      </c>
      <c r="F218" t="s">
        <v>679</v>
      </c>
      <c r="G218">
        <v>71315257</v>
      </c>
      <c r="H218" t="s">
        <v>680</v>
      </c>
      <c r="I218" s="4" t="s">
        <v>681</v>
      </c>
      <c r="J218" s="4" t="s">
        <v>682</v>
      </c>
      <c r="K218" t="s">
        <v>683</v>
      </c>
      <c r="L218" t="s">
        <v>27</v>
      </c>
      <c r="M218" t="s">
        <v>684</v>
      </c>
      <c r="N218" t="s">
        <v>28</v>
      </c>
      <c r="O218" t="s">
        <v>29</v>
      </c>
      <c r="P218" t="s">
        <v>36</v>
      </c>
      <c r="Q218" t="s">
        <v>37</v>
      </c>
      <c r="R218">
        <v>10</v>
      </c>
      <c r="S218" t="s">
        <v>685</v>
      </c>
      <c r="T218" t="s">
        <v>5173</v>
      </c>
      <c r="U218" t="s">
        <v>5173</v>
      </c>
      <c r="V218" t="s">
        <v>32</v>
      </c>
      <c r="W218" t="s">
        <v>33</v>
      </c>
      <c r="X218" t="s">
        <v>33</v>
      </c>
      <c r="Y218" t="s">
        <v>33</v>
      </c>
      <c r="Z218" s="16" t="s">
        <v>34</v>
      </c>
      <c r="AA218">
        <v>-75.649908010000004</v>
      </c>
      <c r="AB218">
        <v>6.29018707</v>
      </c>
      <c r="AC218" t="s">
        <v>96</v>
      </c>
      <c r="AD218" t="s">
        <v>97</v>
      </c>
    </row>
    <row r="219" spans="1:30" x14ac:dyDescent="0.25">
      <c r="A219" t="s">
        <v>857</v>
      </c>
      <c r="B219" t="s">
        <v>25</v>
      </c>
      <c r="C219" t="s">
        <v>26</v>
      </c>
      <c r="D219" t="s">
        <v>25</v>
      </c>
      <c r="E219" t="s">
        <v>686</v>
      </c>
      <c r="F219" t="s">
        <v>687</v>
      </c>
      <c r="G219">
        <v>1128275829</v>
      </c>
      <c r="H219" t="s">
        <v>688</v>
      </c>
      <c r="I219" s="4" t="s">
        <v>35</v>
      </c>
      <c r="J219" s="4" t="s">
        <v>689</v>
      </c>
      <c r="K219" t="s">
        <v>690</v>
      </c>
      <c r="L219" t="s">
        <v>27</v>
      </c>
      <c r="M219" t="s">
        <v>691</v>
      </c>
      <c r="N219" t="s">
        <v>28</v>
      </c>
      <c r="O219" t="s">
        <v>29</v>
      </c>
      <c r="P219" t="s">
        <v>36</v>
      </c>
      <c r="Q219" t="s">
        <v>31</v>
      </c>
      <c r="R219">
        <v>7</v>
      </c>
      <c r="S219" t="s">
        <v>1346</v>
      </c>
      <c r="T219" t="s">
        <v>5174</v>
      </c>
      <c r="U219" t="s">
        <v>5175</v>
      </c>
      <c r="V219" t="s">
        <v>48</v>
      </c>
      <c r="W219" t="s">
        <v>33</v>
      </c>
      <c r="X219" t="s">
        <v>33</v>
      </c>
      <c r="Y219" t="s">
        <v>33</v>
      </c>
      <c r="Z219" s="16" t="s">
        <v>34</v>
      </c>
      <c r="AA219">
        <v>-75.631592780000005</v>
      </c>
      <c r="AB219">
        <v>6.2033640600000002</v>
      </c>
      <c r="AC219" t="s">
        <v>96</v>
      </c>
      <c r="AD219" t="s">
        <v>97</v>
      </c>
    </row>
    <row r="220" spans="1:30" x14ac:dyDescent="0.25">
      <c r="A220" t="s">
        <v>858</v>
      </c>
      <c r="B220" t="s">
        <v>41</v>
      </c>
      <c r="C220" t="s">
        <v>26</v>
      </c>
      <c r="D220" t="s">
        <v>41</v>
      </c>
      <c r="E220" t="s">
        <v>692</v>
      </c>
      <c r="F220" t="s">
        <v>693</v>
      </c>
      <c r="G220">
        <v>890904996</v>
      </c>
      <c r="H220" t="s">
        <v>652</v>
      </c>
      <c r="I220" s="4" t="s">
        <v>52</v>
      </c>
      <c r="J220" s="4" t="s">
        <v>653</v>
      </c>
      <c r="K220" t="s">
        <v>694</v>
      </c>
      <c r="L220" t="s">
        <v>27</v>
      </c>
      <c r="M220" t="s">
        <v>695</v>
      </c>
      <c r="N220" t="s">
        <v>28</v>
      </c>
      <c r="O220" t="s">
        <v>42</v>
      </c>
      <c r="P220" t="s">
        <v>36</v>
      </c>
      <c r="Q220" t="s">
        <v>31</v>
      </c>
      <c r="R220">
        <v>7</v>
      </c>
      <c r="S220" t="s">
        <v>696</v>
      </c>
      <c r="T220" t="s">
        <v>5174</v>
      </c>
      <c r="U220" t="s">
        <v>5175</v>
      </c>
      <c r="V220" t="s">
        <v>48</v>
      </c>
      <c r="W220" t="s">
        <v>33</v>
      </c>
      <c r="X220" t="s">
        <v>33</v>
      </c>
      <c r="Y220" t="s">
        <v>33</v>
      </c>
      <c r="Z220" s="16" t="s">
        <v>34</v>
      </c>
      <c r="AA220">
        <v>-75.553408050000002</v>
      </c>
      <c r="AB220">
        <v>6.2345561500000004</v>
      </c>
      <c r="AC220" t="s">
        <v>96</v>
      </c>
      <c r="AD220" t="s">
        <v>97</v>
      </c>
    </row>
    <row r="221" spans="1:30" x14ac:dyDescent="0.25">
      <c r="A221" t="s">
        <v>4084</v>
      </c>
      <c r="B221" t="s">
        <v>25</v>
      </c>
      <c r="C221" t="s">
        <v>26</v>
      </c>
      <c r="D221" t="s">
        <v>38</v>
      </c>
      <c r="E221" t="s">
        <v>4085</v>
      </c>
      <c r="F221" t="s">
        <v>4086</v>
      </c>
      <c r="G221">
        <v>1148697358</v>
      </c>
      <c r="H221" t="s">
        <v>4087</v>
      </c>
      <c r="I221" s="4" t="s">
        <v>35</v>
      </c>
      <c r="J221" s="4" t="s">
        <v>4088</v>
      </c>
      <c r="K221" t="s">
        <v>4089</v>
      </c>
      <c r="L221" t="s">
        <v>27</v>
      </c>
      <c r="M221" t="s">
        <v>4090</v>
      </c>
      <c r="N221" t="s">
        <v>28</v>
      </c>
      <c r="O221" t="s">
        <v>45</v>
      </c>
      <c r="P221" t="s">
        <v>40</v>
      </c>
      <c r="Q221" t="s">
        <v>31</v>
      </c>
      <c r="R221">
        <v>5</v>
      </c>
      <c r="S221" t="s">
        <v>4091</v>
      </c>
      <c r="T221" t="s">
        <v>5176</v>
      </c>
      <c r="U221" t="s">
        <v>5177</v>
      </c>
      <c r="V221" t="s">
        <v>32</v>
      </c>
      <c r="W221" t="s">
        <v>33</v>
      </c>
      <c r="X221" t="s">
        <v>33</v>
      </c>
      <c r="Y221" t="s">
        <v>33</v>
      </c>
      <c r="Z221" s="16" t="s">
        <v>34</v>
      </c>
      <c r="AA221">
        <v>-75.614959999999996</v>
      </c>
      <c r="AB221">
        <v>6.2192730000000003</v>
      </c>
      <c r="AC221" t="s">
        <v>96</v>
      </c>
      <c r="AD221" t="s">
        <v>97</v>
      </c>
    </row>
    <row r="222" spans="1:30" x14ac:dyDescent="0.25">
      <c r="A222" t="s">
        <v>859</v>
      </c>
      <c r="B222" t="s">
        <v>59</v>
      </c>
      <c r="C222" t="s">
        <v>26</v>
      </c>
      <c r="D222" t="s">
        <v>59</v>
      </c>
      <c r="E222" t="s">
        <v>697</v>
      </c>
      <c r="F222" t="s">
        <v>698</v>
      </c>
      <c r="G222">
        <v>43591938</v>
      </c>
      <c r="H222" t="s">
        <v>699</v>
      </c>
      <c r="I222" s="4" t="s">
        <v>35</v>
      </c>
      <c r="J222" s="4" t="s">
        <v>700</v>
      </c>
      <c r="K222" t="s">
        <v>701</v>
      </c>
      <c r="L222" t="s">
        <v>27</v>
      </c>
      <c r="M222" t="s">
        <v>702</v>
      </c>
      <c r="N222" t="s">
        <v>28</v>
      </c>
      <c r="O222" t="s">
        <v>60</v>
      </c>
      <c r="P222" t="s">
        <v>61</v>
      </c>
      <c r="Q222" t="s">
        <v>31</v>
      </c>
      <c r="R222">
        <v>4</v>
      </c>
      <c r="S222" t="s">
        <v>703</v>
      </c>
      <c r="T222" t="s">
        <v>5179</v>
      </c>
      <c r="U222" t="s">
        <v>46</v>
      </c>
      <c r="V222" t="s">
        <v>46</v>
      </c>
      <c r="W222" t="s">
        <v>33</v>
      </c>
      <c r="X222" t="s">
        <v>33</v>
      </c>
      <c r="Y222" t="s">
        <v>33</v>
      </c>
      <c r="Z222" s="16" t="s">
        <v>34</v>
      </c>
      <c r="AA222">
        <v>-75.576525050000001</v>
      </c>
      <c r="AB222">
        <v>6.2530680800000003</v>
      </c>
      <c r="AC222" t="s">
        <v>96</v>
      </c>
      <c r="AD222" t="s">
        <v>97</v>
      </c>
    </row>
    <row r="223" spans="1:30" x14ac:dyDescent="0.25">
      <c r="A223" t="s">
        <v>4092</v>
      </c>
      <c r="B223" t="s">
        <v>25</v>
      </c>
      <c r="C223" t="s">
        <v>26</v>
      </c>
      <c r="D223" t="s">
        <v>38</v>
      </c>
      <c r="E223" t="s">
        <v>4093</v>
      </c>
      <c r="F223" t="s">
        <v>4094</v>
      </c>
      <c r="G223">
        <v>1036680029</v>
      </c>
      <c r="H223" t="s">
        <v>4095</v>
      </c>
      <c r="I223" s="4" t="s">
        <v>35</v>
      </c>
      <c r="J223" s="4" t="s">
        <v>4096</v>
      </c>
      <c r="K223" t="s">
        <v>4097</v>
      </c>
      <c r="L223" t="s">
        <v>43</v>
      </c>
      <c r="M223" t="s">
        <v>4098</v>
      </c>
      <c r="N223" t="s">
        <v>44</v>
      </c>
      <c r="O223" t="s">
        <v>45</v>
      </c>
      <c r="P223" t="s">
        <v>40</v>
      </c>
      <c r="Q223" t="s">
        <v>31</v>
      </c>
      <c r="R223">
        <v>5</v>
      </c>
      <c r="S223" t="s">
        <v>4099</v>
      </c>
      <c r="T223" t="s">
        <v>5180</v>
      </c>
      <c r="U223" t="s">
        <v>5181</v>
      </c>
      <c r="V223" t="s">
        <v>32</v>
      </c>
      <c r="W223" t="s">
        <v>33</v>
      </c>
      <c r="X223" t="s">
        <v>33</v>
      </c>
      <c r="Y223" t="s">
        <v>33</v>
      </c>
      <c r="Z223" s="16" t="s">
        <v>34</v>
      </c>
      <c r="AA223">
        <v>-75.614260000000002</v>
      </c>
      <c r="AB223">
        <v>6.1770949999999996</v>
      </c>
      <c r="AC223" t="s">
        <v>96</v>
      </c>
      <c r="AD223" t="s">
        <v>97</v>
      </c>
    </row>
    <row r="224" spans="1:30" x14ac:dyDescent="0.25">
      <c r="A224" t="s">
        <v>4100</v>
      </c>
      <c r="B224" t="s">
        <v>25</v>
      </c>
      <c r="C224" t="s">
        <v>26</v>
      </c>
      <c r="D224" t="s">
        <v>38</v>
      </c>
      <c r="E224" t="s">
        <v>4101</v>
      </c>
      <c r="F224" t="s">
        <v>4102</v>
      </c>
      <c r="G224">
        <v>1036680029</v>
      </c>
      <c r="H224" t="s">
        <v>4095</v>
      </c>
      <c r="I224" s="4" t="s">
        <v>35</v>
      </c>
      <c r="J224" s="4" t="s">
        <v>4096</v>
      </c>
      <c r="K224" t="s">
        <v>4103</v>
      </c>
      <c r="L224" t="s">
        <v>43</v>
      </c>
      <c r="M224" t="s">
        <v>4104</v>
      </c>
      <c r="N224" t="s">
        <v>44</v>
      </c>
      <c r="O224" t="s">
        <v>45</v>
      </c>
      <c r="P224" t="s">
        <v>40</v>
      </c>
      <c r="Q224" t="s">
        <v>31</v>
      </c>
      <c r="R224">
        <v>5</v>
      </c>
      <c r="S224" t="s">
        <v>4105</v>
      </c>
      <c r="T224" t="s">
        <v>5180</v>
      </c>
      <c r="U224" t="s">
        <v>5181</v>
      </c>
      <c r="V224" t="s">
        <v>32</v>
      </c>
      <c r="W224" t="s">
        <v>33</v>
      </c>
      <c r="X224" t="s">
        <v>33</v>
      </c>
      <c r="Y224" t="s">
        <v>33</v>
      </c>
      <c r="Z224" s="16" t="s">
        <v>34</v>
      </c>
      <c r="AA224">
        <v>-75.614260000000002</v>
      </c>
      <c r="AB224">
        <v>6.1770949999999996</v>
      </c>
      <c r="AC224" t="s">
        <v>96</v>
      </c>
      <c r="AD224" t="s">
        <v>97</v>
      </c>
    </row>
    <row r="225" spans="1:30" x14ac:dyDescent="0.25">
      <c r="A225" t="s">
        <v>897</v>
      </c>
      <c r="B225" t="s">
        <v>63</v>
      </c>
      <c r="C225" t="s">
        <v>26</v>
      </c>
      <c r="D225" t="s">
        <v>64</v>
      </c>
      <c r="E225" t="s">
        <v>898</v>
      </c>
      <c r="F225" t="s">
        <v>899</v>
      </c>
      <c r="G225">
        <v>1020412249</v>
      </c>
      <c r="H225" t="s">
        <v>900</v>
      </c>
      <c r="I225" s="4" t="s">
        <v>35</v>
      </c>
      <c r="J225" s="4" t="s">
        <v>245</v>
      </c>
      <c r="K225" t="s">
        <v>901</v>
      </c>
      <c r="L225" t="s">
        <v>27</v>
      </c>
      <c r="M225" t="s">
        <v>902</v>
      </c>
      <c r="N225" t="s">
        <v>28</v>
      </c>
      <c r="O225" t="s">
        <v>65</v>
      </c>
      <c r="P225" t="s">
        <v>66</v>
      </c>
      <c r="Q225" t="s">
        <v>31</v>
      </c>
      <c r="R225">
        <v>9</v>
      </c>
      <c r="S225" t="s">
        <v>903</v>
      </c>
      <c r="T225" t="s">
        <v>3194</v>
      </c>
      <c r="U225" t="s">
        <v>3193</v>
      </c>
      <c r="V225" t="s">
        <v>32</v>
      </c>
      <c r="W225" t="s">
        <v>33</v>
      </c>
      <c r="X225" t="s">
        <v>33</v>
      </c>
      <c r="Y225" t="s">
        <v>33</v>
      </c>
      <c r="Z225" s="16" t="s">
        <v>34</v>
      </c>
      <c r="AA225">
        <v>-75.5680981</v>
      </c>
      <c r="AB225">
        <v>6.26102764</v>
      </c>
      <c r="AC225" t="s">
        <v>96</v>
      </c>
      <c r="AD225" t="s">
        <v>97</v>
      </c>
    </row>
    <row r="226" spans="1:30" x14ac:dyDescent="0.25">
      <c r="A226" t="s">
        <v>904</v>
      </c>
      <c r="B226" t="s">
        <v>63</v>
      </c>
      <c r="C226" t="s">
        <v>26</v>
      </c>
      <c r="D226" t="s">
        <v>64</v>
      </c>
      <c r="E226" t="s">
        <v>905</v>
      </c>
      <c r="F226" t="s">
        <v>906</v>
      </c>
      <c r="G226">
        <v>1017194638</v>
      </c>
      <c r="H226" t="s">
        <v>907</v>
      </c>
      <c r="I226" s="4" t="s">
        <v>35</v>
      </c>
      <c r="J226" s="4" t="s">
        <v>908</v>
      </c>
      <c r="K226" t="s">
        <v>909</v>
      </c>
      <c r="L226" t="s">
        <v>27</v>
      </c>
      <c r="M226" t="s">
        <v>910</v>
      </c>
      <c r="N226" t="s">
        <v>28</v>
      </c>
      <c r="O226" t="s">
        <v>65</v>
      </c>
      <c r="P226" t="s">
        <v>66</v>
      </c>
      <c r="Q226" t="s">
        <v>31</v>
      </c>
      <c r="R226">
        <v>9</v>
      </c>
      <c r="S226" t="s">
        <v>911</v>
      </c>
      <c r="T226" t="s">
        <v>3196</v>
      </c>
      <c r="U226" t="s">
        <v>3195</v>
      </c>
      <c r="V226" t="s">
        <v>32</v>
      </c>
      <c r="W226" t="s">
        <v>33</v>
      </c>
      <c r="X226" t="s">
        <v>33</v>
      </c>
      <c r="Y226" t="s">
        <v>33</v>
      </c>
      <c r="Z226" s="16" t="s">
        <v>34</v>
      </c>
      <c r="AA226">
        <v>-75.534241179999995</v>
      </c>
      <c r="AB226">
        <v>6.2324531500000004</v>
      </c>
      <c r="AC226" t="s">
        <v>96</v>
      </c>
      <c r="AD226" t="s">
        <v>97</v>
      </c>
    </row>
    <row r="227" spans="1:30" x14ac:dyDescent="0.25">
      <c r="A227" t="s">
        <v>860</v>
      </c>
      <c r="B227" t="s">
        <v>59</v>
      </c>
      <c r="C227" t="s">
        <v>26</v>
      </c>
      <c r="D227" t="s">
        <v>59</v>
      </c>
      <c r="E227" t="s">
        <v>705</v>
      </c>
      <c r="F227" t="s">
        <v>706</v>
      </c>
      <c r="G227">
        <v>11810114</v>
      </c>
      <c r="H227" t="s">
        <v>707</v>
      </c>
      <c r="I227" s="4" t="s">
        <v>35</v>
      </c>
      <c r="J227" s="4" t="s">
        <v>708</v>
      </c>
      <c r="K227" t="s">
        <v>709</v>
      </c>
      <c r="L227" t="s">
        <v>27</v>
      </c>
      <c r="M227" t="s">
        <v>710</v>
      </c>
      <c r="N227" t="s">
        <v>28</v>
      </c>
      <c r="O227" t="s">
        <v>60</v>
      </c>
      <c r="P227" t="s">
        <v>61</v>
      </c>
      <c r="Q227" t="s">
        <v>37</v>
      </c>
      <c r="R227">
        <v>4</v>
      </c>
      <c r="S227" t="s">
        <v>711</v>
      </c>
      <c r="T227" t="s">
        <v>5182</v>
      </c>
      <c r="U227" t="s">
        <v>46</v>
      </c>
      <c r="V227" t="s">
        <v>46</v>
      </c>
      <c r="W227" t="s">
        <v>33</v>
      </c>
      <c r="X227" t="s">
        <v>33</v>
      </c>
      <c r="Y227" t="s">
        <v>33</v>
      </c>
      <c r="Z227" s="16" t="s">
        <v>34</v>
      </c>
      <c r="AA227">
        <v>-75.513987979999996</v>
      </c>
      <c r="AB227">
        <v>6.23001702</v>
      </c>
      <c r="AC227" t="s">
        <v>96</v>
      </c>
      <c r="AD227" t="s">
        <v>97</v>
      </c>
    </row>
    <row r="228" spans="1:30" x14ac:dyDescent="0.25">
      <c r="A228" t="s">
        <v>861</v>
      </c>
      <c r="B228" t="s">
        <v>59</v>
      </c>
      <c r="C228" t="s">
        <v>26</v>
      </c>
      <c r="D228" t="s">
        <v>59</v>
      </c>
      <c r="E228" t="s">
        <v>712</v>
      </c>
      <c r="F228" t="s">
        <v>713</v>
      </c>
      <c r="G228">
        <v>1001394341</v>
      </c>
      <c r="H228" t="s">
        <v>714</v>
      </c>
      <c r="I228" s="4" t="s">
        <v>715</v>
      </c>
      <c r="J228" s="4" t="s">
        <v>716</v>
      </c>
      <c r="K228" t="s">
        <v>717</v>
      </c>
      <c r="L228" t="s">
        <v>27</v>
      </c>
      <c r="M228" t="s">
        <v>718</v>
      </c>
      <c r="N228" t="s">
        <v>28</v>
      </c>
      <c r="O228" t="s">
        <v>60</v>
      </c>
      <c r="P228" t="s">
        <v>61</v>
      </c>
      <c r="Q228" t="s">
        <v>31</v>
      </c>
      <c r="R228">
        <v>4</v>
      </c>
      <c r="S228" t="s">
        <v>719</v>
      </c>
      <c r="T228" t="s">
        <v>3325</v>
      </c>
      <c r="U228" t="s">
        <v>46</v>
      </c>
      <c r="V228" t="s">
        <v>46</v>
      </c>
      <c r="W228" t="s">
        <v>33</v>
      </c>
      <c r="X228" t="s">
        <v>33</v>
      </c>
      <c r="Y228" t="s">
        <v>33</v>
      </c>
      <c r="Z228" s="16" t="s">
        <v>34</v>
      </c>
      <c r="AA228">
        <v>-75.563795999999996</v>
      </c>
      <c r="AB228">
        <v>6.2542410000000004</v>
      </c>
      <c r="AC228" t="s">
        <v>96</v>
      </c>
      <c r="AD228" t="s">
        <v>97</v>
      </c>
    </row>
    <row r="229" spans="1:30" x14ac:dyDescent="0.25">
      <c r="A229" t="s">
        <v>862</v>
      </c>
      <c r="B229" t="s">
        <v>59</v>
      </c>
      <c r="C229" t="s">
        <v>26</v>
      </c>
      <c r="D229" t="s">
        <v>59</v>
      </c>
      <c r="E229" t="s">
        <v>720</v>
      </c>
      <c r="F229" t="s">
        <v>721</v>
      </c>
      <c r="G229">
        <v>15256947</v>
      </c>
      <c r="H229" t="s">
        <v>722</v>
      </c>
      <c r="I229" s="4" t="s">
        <v>35</v>
      </c>
      <c r="J229" s="4" t="s">
        <v>723</v>
      </c>
      <c r="K229" t="s">
        <v>724</v>
      </c>
      <c r="L229" t="s">
        <v>55</v>
      </c>
      <c r="M229" t="s">
        <v>725</v>
      </c>
      <c r="N229" t="s">
        <v>56</v>
      </c>
      <c r="O229" t="s">
        <v>60</v>
      </c>
      <c r="P229" t="s">
        <v>61</v>
      </c>
      <c r="Q229" t="s">
        <v>37</v>
      </c>
      <c r="R229">
        <v>4</v>
      </c>
      <c r="S229" t="s">
        <v>726</v>
      </c>
      <c r="T229" t="s">
        <v>3325</v>
      </c>
      <c r="U229" t="s">
        <v>46</v>
      </c>
      <c r="V229" t="s">
        <v>46</v>
      </c>
      <c r="W229" t="s">
        <v>33</v>
      </c>
      <c r="X229" t="s">
        <v>33</v>
      </c>
      <c r="Y229" t="s">
        <v>33</v>
      </c>
      <c r="Z229" s="16" t="s">
        <v>34</v>
      </c>
      <c r="AA229">
        <v>-75.626208869999999</v>
      </c>
      <c r="AB229">
        <v>6.0859002699999998</v>
      </c>
      <c r="AC229" t="s">
        <v>96</v>
      </c>
      <c r="AD229" t="s">
        <v>97</v>
      </c>
    </row>
    <row r="230" spans="1:30" x14ac:dyDescent="0.25">
      <c r="A230" t="s">
        <v>1995</v>
      </c>
      <c r="B230" t="s">
        <v>59</v>
      </c>
      <c r="C230" t="s">
        <v>26</v>
      </c>
      <c r="D230" t="s">
        <v>59</v>
      </c>
      <c r="E230" t="s">
        <v>1996</v>
      </c>
      <c r="F230" t="s">
        <v>1997</v>
      </c>
      <c r="G230">
        <v>75093715</v>
      </c>
      <c r="H230" t="s">
        <v>1998</v>
      </c>
      <c r="I230" s="4" t="s">
        <v>35</v>
      </c>
      <c r="J230" s="4" t="s">
        <v>1999</v>
      </c>
      <c r="K230" t="s">
        <v>2000</v>
      </c>
      <c r="L230" t="s">
        <v>27</v>
      </c>
      <c r="M230" t="s">
        <v>2001</v>
      </c>
      <c r="N230" t="s">
        <v>28</v>
      </c>
      <c r="O230" t="s">
        <v>60</v>
      </c>
      <c r="P230" t="s">
        <v>61</v>
      </c>
      <c r="Q230" t="s">
        <v>31</v>
      </c>
      <c r="R230">
        <v>4</v>
      </c>
      <c r="S230" t="s">
        <v>2002</v>
      </c>
      <c r="T230" t="s">
        <v>5183</v>
      </c>
      <c r="U230" t="s">
        <v>46</v>
      </c>
      <c r="V230" t="s">
        <v>46</v>
      </c>
      <c r="W230" t="s">
        <v>33</v>
      </c>
      <c r="X230" t="s">
        <v>33</v>
      </c>
      <c r="Y230" t="s">
        <v>33</v>
      </c>
      <c r="Z230" s="16" t="s">
        <v>34</v>
      </c>
      <c r="AA230">
        <v>-75.588828919999997</v>
      </c>
      <c r="AB230">
        <v>6.2496183199999997</v>
      </c>
      <c r="AC230" t="s">
        <v>96</v>
      </c>
      <c r="AD230" t="s">
        <v>97</v>
      </c>
    </row>
    <row r="231" spans="1:30" x14ac:dyDescent="0.25">
      <c r="A231" t="s">
        <v>912</v>
      </c>
      <c r="B231" t="s">
        <v>63</v>
      </c>
      <c r="C231" t="s">
        <v>26</v>
      </c>
      <c r="D231" t="s">
        <v>64</v>
      </c>
      <c r="E231" t="s">
        <v>913</v>
      </c>
      <c r="F231" t="s">
        <v>914</v>
      </c>
      <c r="G231">
        <v>43582384</v>
      </c>
      <c r="H231" t="s">
        <v>915</v>
      </c>
      <c r="I231" s="4" t="s">
        <v>35</v>
      </c>
      <c r="J231" s="4" t="s">
        <v>916</v>
      </c>
      <c r="K231" t="s">
        <v>917</v>
      </c>
      <c r="L231" t="s">
        <v>27</v>
      </c>
      <c r="M231" t="s">
        <v>918</v>
      </c>
      <c r="N231" t="s">
        <v>28</v>
      </c>
      <c r="O231" t="s">
        <v>65</v>
      </c>
      <c r="P231" t="s">
        <v>66</v>
      </c>
      <c r="Q231" t="s">
        <v>31</v>
      </c>
      <c r="R231">
        <v>9</v>
      </c>
      <c r="S231" t="s">
        <v>919</v>
      </c>
      <c r="T231" t="s">
        <v>3198</v>
      </c>
      <c r="U231" t="s">
        <v>3197</v>
      </c>
      <c r="V231" t="s">
        <v>32</v>
      </c>
      <c r="W231" t="s">
        <v>33</v>
      </c>
      <c r="X231" t="s">
        <v>33</v>
      </c>
      <c r="Y231" t="s">
        <v>33</v>
      </c>
      <c r="Z231" s="16" t="s">
        <v>34</v>
      </c>
      <c r="AA231">
        <v>-75.541471479999998</v>
      </c>
      <c r="AB231">
        <v>6.2331074199999996</v>
      </c>
      <c r="AC231" t="s">
        <v>96</v>
      </c>
      <c r="AD231" t="s">
        <v>97</v>
      </c>
    </row>
    <row r="232" spans="1:30" x14ac:dyDescent="0.25">
      <c r="A232" t="s">
        <v>863</v>
      </c>
      <c r="B232" t="s">
        <v>59</v>
      </c>
      <c r="C232" t="s">
        <v>26</v>
      </c>
      <c r="D232" t="s">
        <v>59</v>
      </c>
      <c r="E232" t="s">
        <v>727</v>
      </c>
      <c r="F232" t="s">
        <v>728</v>
      </c>
      <c r="G232">
        <v>70900761</v>
      </c>
      <c r="H232" t="s">
        <v>208</v>
      </c>
      <c r="I232" s="4" t="s">
        <v>35</v>
      </c>
      <c r="J232" s="4" t="s">
        <v>729</v>
      </c>
      <c r="K232" t="s">
        <v>730</v>
      </c>
      <c r="L232" t="s">
        <v>43</v>
      </c>
      <c r="M232" t="s">
        <v>731</v>
      </c>
      <c r="N232" t="s">
        <v>44</v>
      </c>
      <c r="O232" t="s">
        <v>60</v>
      </c>
      <c r="P232" t="s">
        <v>61</v>
      </c>
      <c r="Q232" t="s">
        <v>31</v>
      </c>
      <c r="R232">
        <v>4</v>
      </c>
      <c r="S232" t="s">
        <v>732</v>
      </c>
      <c r="T232" t="s">
        <v>1656</v>
      </c>
      <c r="U232" t="s">
        <v>46</v>
      </c>
      <c r="V232" t="s">
        <v>46</v>
      </c>
      <c r="W232" t="s">
        <v>33</v>
      </c>
      <c r="X232" t="s">
        <v>33</v>
      </c>
      <c r="Y232" t="s">
        <v>33</v>
      </c>
      <c r="Z232" s="16" t="s">
        <v>34</v>
      </c>
      <c r="AA232">
        <v>-75.592496359999998</v>
      </c>
      <c r="AB232">
        <v>6.1897947999999996</v>
      </c>
      <c r="AC232" t="s">
        <v>96</v>
      </c>
      <c r="AD232" t="s">
        <v>97</v>
      </c>
    </row>
    <row r="233" spans="1:30" x14ac:dyDescent="0.25">
      <c r="A233" t="s">
        <v>920</v>
      </c>
      <c r="B233" t="s">
        <v>63</v>
      </c>
      <c r="C233" t="s">
        <v>26</v>
      </c>
      <c r="D233" t="s">
        <v>64</v>
      </c>
      <c r="E233" t="s">
        <v>921</v>
      </c>
      <c r="F233" t="s">
        <v>922</v>
      </c>
      <c r="G233">
        <v>1000538762</v>
      </c>
      <c r="H233" t="s">
        <v>923</v>
      </c>
      <c r="I233" s="4" t="s">
        <v>35</v>
      </c>
      <c r="J233" s="4" t="s">
        <v>286</v>
      </c>
      <c r="K233" t="s">
        <v>287</v>
      </c>
      <c r="L233" t="s">
        <v>27</v>
      </c>
      <c r="M233" t="s">
        <v>288</v>
      </c>
      <c r="N233" t="s">
        <v>28</v>
      </c>
      <c r="O233" t="s">
        <v>65</v>
      </c>
      <c r="P233" t="s">
        <v>66</v>
      </c>
      <c r="Q233" t="s">
        <v>31</v>
      </c>
      <c r="R233">
        <v>9</v>
      </c>
      <c r="S233" t="s">
        <v>924</v>
      </c>
      <c r="T233" t="s">
        <v>2577</v>
      </c>
      <c r="U233" t="s">
        <v>3155</v>
      </c>
      <c r="V233" t="s">
        <v>32</v>
      </c>
      <c r="W233" t="s">
        <v>33</v>
      </c>
      <c r="X233" t="s">
        <v>33</v>
      </c>
      <c r="Y233" t="s">
        <v>33</v>
      </c>
      <c r="Z233" s="16" t="s">
        <v>34</v>
      </c>
      <c r="AA233">
        <v>-75.608658640000002</v>
      </c>
      <c r="AB233">
        <v>6.2776701700000004</v>
      </c>
      <c r="AC233" t="s">
        <v>96</v>
      </c>
      <c r="AD233" t="s">
        <v>97</v>
      </c>
    </row>
    <row r="234" spans="1:30" x14ac:dyDescent="0.25">
      <c r="A234" t="s">
        <v>4106</v>
      </c>
      <c r="B234" t="s">
        <v>25</v>
      </c>
      <c r="C234" t="s">
        <v>26</v>
      </c>
      <c r="D234" t="s">
        <v>38</v>
      </c>
      <c r="E234" t="s">
        <v>4107</v>
      </c>
      <c r="F234" t="s">
        <v>4108</v>
      </c>
      <c r="G234">
        <v>1036608150</v>
      </c>
      <c r="H234" t="s">
        <v>4109</v>
      </c>
      <c r="I234" s="4" t="s">
        <v>35</v>
      </c>
      <c r="J234" s="4" t="s">
        <v>4110</v>
      </c>
      <c r="K234" t="s">
        <v>4111</v>
      </c>
      <c r="L234" t="s">
        <v>43</v>
      </c>
      <c r="M234" t="s">
        <v>4112</v>
      </c>
      <c r="N234" t="s">
        <v>44</v>
      </c>
      <c r="O234" t="s">
        <v>39</v>
      </c>
      <c r="P234" t="s">
        <v>40</v>
      </c>
      <c r="Q234" t="s">
        <v>31</v>
      </c>
      <c r="R234">
        <v>5</v>
      </c>
      <c r="S234" t="s">
        <v>4113</v>
      </c>
      <c r="T234" t="s">
        <v>5184</v>
      </c>
      <c r="U234" t="s">
        <v>1659</v>
      </c>
      <c r="V234" t="s">
        <v>32</v>
      </c>
      <c r="W234" t="s">
        <v>33</v>
      </c>
      <c r="X234" t="s">
        <v>33</v>
      </c>
      <c r="Y234" t="s">
        <v>33</v>
      </c>
      <c r="Z234" s="16" t="s">
        <v>34</v>
      </c>
      <c r="AA234">
        <v>-75.598241340000001</v>
      </c>
      <c r="AB234">
        <v>6.1971229499999998</v>
      </c>
      <c r="AC234" t="s">
        <v>96</v>
      </c>
      <c r="AD234" t="s">
        <v>97</v>
      </c>
    </row>
    <row r="235" spans="1:30" x14ac:dyDescent="0.25">
      <c r="A235" t="s">
        <v>864</v>
      </c>
      <c r="B235" t="s">
        <v>25</v>
      </c>
      <c r="C235" t="s">
        <v>26</v>
      </c>
      <c r="D235" t="s">
        <v>25</v>
      </c>
      <c r="E235" t="s">
        <v>733</v>
      </c>
      <c r="F235" t="s">
        <v>734</v>
      </c>
      <c r="G235">
        <v>43556097</v>
      </c>
      <c r="H235" t="s">
        <v>735</v>
      </c>
      <c r="I235" s="4" t="s">
        <v>736</v>
      </c>
      <c r="J235" s="4" t="s">
        <v>661</v>
      </c>
      <c r="K235" t="s">
        <v>737</v>
      </c>
      <c r="L235" t="s">
        <v>43</v>
      </c>
      <c r="M235" t="s">
        <v>738</v>
      </c>
      <c r="N235" t="s">
        <v>44</v>
      </c>
      <c r="O235" t="s">
        <v>29</v>
      </c>
      <c r="P235" t="s">
        <v>36</v>
      </c>
      <c r="Q235" t="s">
        <v>31</v>
      </c>
      <c r="R235">
        <v>7</v>
      </c>
      <c r="S235" t="s">
        <v>739</v>
      </c>
      <c r="T235" t="s">
        <v>588</v>
      </c>
      <c r="U235" t="s">
        <v>3176</v>
      </c>
      <c r="V235" t="s">
        <v>48</v>
      </c>
      <c r="W235" t="s">
        <v>33</v>
      </c>
      <c r="X235" t="s">
        <v>33</v>
      </c>
      <c r="Y235" t="s">
        <v>33</v>
      </c>
      <c r="Z235" s="16" t="s">
        <v>34</v>
      </c>
      <c r="AA235">
        <v>-75.616532000000007</v>
      </c>
      <c r="AB235">
        <v>6.1752890000000003</v>
      </c>
      <c r="AC235" t="s">
        <v>96</v>
      </c>
      <c r="AD235" t="s">
        <v>97</v>
      </c>
    </row>
    <row r="236" spans="1:30" x14ac:dyDescent="0.25">
      <c r="A236" t="s">
        <v>865</v>
      </c>
      <c r="B236" t="s">
        <v>49</v>
      </c>
      <c r="C236" t="s">
        <v>26</v>
      </c>
      <c r="D236" t="s">
        <v>49</v>
      </c>
      <c r="E236" t="s">
        <v>740</v>
      </c>
      <c r="F236" t="s">
        <v>741</v>
      </c>
      <c r="G236">
        <v>1022146985</v>
      </c>
      <c r="H236" t="s">
        <v>742</v>
      </c>
      <c r="I236" s="4" t="s">
        <v>743</v>
      </c>
      <c r="J236" s="4" t="s">
        <v>744</v>
      </c>
      <c r="K236" t="s">
        <v>745</v>
      </c>
      <c r="L236" t="s">
        <v>27</v>
      </c>
      <c r="M236" t="s">
        <v>746</v>
      </c>
      <c r="N236" t="s">
        <v>28</v>
      </c>
      <c r="O236" t="s">
        <v>50</v>
      </c>
      <c r="P236" t="s">
        <v>51</v>
      </c>
      <c r="Q236" t="s">
        <v>31</v>
      </c>
      <c r="R236">
        <v>11</v>
      </c>
      <c r="S236" t="s">
        <v>747</v>
      </c>
      <c r="T236" t="s">
        <v>5185</v>
      </c>
      <c r="U236" t="s">
        <v>5186</v>
      </c>
      <c r="V236" t="s">
        <v>32</v>
      </c>
      <c r="W236" t="s">
        <v>33</v>
      </c>
      <c r="X236" t="s">
        <v>33</v>
      </c>
      <c r="Y236" t="s">
        <v>33</v>
      </c>
      <c r="Z236" s="16" t="s">
        <v>34</v>
      </c>
      <c r="AA236">
        <v>-75.633280450000001</v>
      </c>
      <c r="AB236">
        <v>6.2343363800000002</v>
      </c>
      <c r="AC236" t="s">
        <v>96</v>
      </c>
      <c r="AD236" t="s">
        <v>97</v>
      </c>
    </row>
    <row r="237" spans="1:30" x14ac:dyDescent="0.25">
      <c r="A237" t="s">
        <v>866</v>
      </c>
      <c r="B237" t="s">
        <v>41</v>
      </c>
      <c r="C237" t="s">
        <v>26</v>
      </c>
      <c r="D237" t="s">
        <v>41</v>
      </c>
      <c r="E237" t="s">
        <v>748</v>
      </c>
      <c r="F237" t="s">
        <v>749</v>
      </c>
      <c r="G237">
        <v>8273101</v>
      </c>
      <c r="H237" t="s">
        <v>750</v>
      </c>
      <c r="I237" s="4" t="s">
        <v>35</v>
      </c>
      <c r="J237" s="4" t="s">
        <v>751</v>
      </c>
      <c r="K237" t="s">
        <v>752</v>
      </c>
      <c r="L237" t="s">
        <v>27</v>
      </c>
      <c r="M237" t="s">
        <v>753</v>
      </c>
      <c r="N237" t="s">
        <v>28</v>
      </c>
      <c r="O237" t="s">
        <v>42</v>
      </c>
      <c r="P237" t="s">
        <v>36</v>
      </c>
      <c r="Q237" t="s">
        <v>31</v>
      </c>
      <c r="R237">
        <v>7</v>
      </c>
      <c r="S237" t="s">
        <v>754</v>
      </c>
      <c r="T237" t="s">
        <v>5187</v>
      </c>
      <c r="U237" t="s">
        <v>5188</v>
      </c>
      <c r="V237" t="s">
        <v>48</v>
      </c>
      <c r="W237" t="s">
        <v>33</v>
      </c>
      <c r="X237" t="s">
        <v>33</v>
      </c>
      <c r="Y237" t="s">
        <v>33</v>
      </c>
      <c r="Z237" s="16" t="s">
        <v>34</v>
      </c>
      <c r="AA237">
        <v>-75.652731380000006</v>
      </c>
      <c r="AB237">
        <v>6.1857651799999998</v>
      </c>
      <c r="AC237" t="s">
        <v>96</v>
      </c>
      <c r="AD237" t="s">
        <v>97</v>
      </c>
    </row>
    <row r="238" spans="1:30" x14ac:dyDescent="0.25">
      <c r="A238" t="s">
        <v>867</v>
      </c>
      <c r="B238" t="s">
        <v>59</v>
      </c>
      <c r="C238" t="s">
        <v>26</v>
      </c>
      <c r="D238" t="s">
        <v>59</v>
      </c>
      <c r="E238" t="s">
        <v>755</v>
      </c>
      <c r="F238" t="s">
        <v>756</v>
      </c>
      <c r="G238">
        <v>890093117</v>
      </c>
      <c r="H238" t="s">
        <v>757</v>
      </c>
      <c r="I238" s="4" t="s">
        <v>758</v>
      </c>
      <c r="J238" s="4" t="s">
        <v>759</v>
      </c>
      <c r="K238" t="s">
        <v>760</v>
      </c>
      <c r="L238" t="s">
        <v>47</v>
      </c>
      <c r="M238" t="s">
        <v>761</v>
      </c>
      <c r="N238" t="s">
        <v>62</v>
      </c>
      <c r="O238" t="s">
        <v>60</v>
      </c>
      <c r="P238" t="s">
        <v>61</v>
      </c>
      <c r="Q238" t="s">
        <v>31</v>
      </c>
      <c r="R238">
        <v>4</v>
      </c>
      <c r="S238" t="s">
        <v>762</v>
      </c>
      <c r="T238" t="s">
        <v>5189</v>
      </c>
      <c r="U238" t="s">
        <v>46</v>
      </c>
      <c r="V238" t="s">
        <v>46</v>
      </c>
      <c r="W238" t="s">
        <v>33</v>
      </c>
      <c r="X238" t="s">
        <v>33</v>
      </c>
      <c r="Y238" t="s">
        <v>33</v>
      </c>
      <c r="Z238" s="16" t="s">
        <v>34</v>
      </c>
      <c r="AA238">
        <v>-75.588930000000005</v>
      </c>
      <c r="AB238">
        <v>6.1806099999999997</v>
      </c>
      <c r="AC238" t="s">
        <v>96</v>
      </c>
      <c r="AD238" t="s">
        <v>97</v>
      </c>
    </row>
    <row r="239" spans="1:30" x14ac:dyDescent="0.25">
      <c r="A239" t="s">
        <v>925</v>
      </c>
      <c r="B239" t="s">
        <v>63</v>
      </c>
      <c r="C239" t="s">
        <v>26</v>
      </c>
      <c r="D239" t="s">
        <v>64</v>
      </c>
      <c r="E239" t="s">
        <v>926</v>
      </c>
      <c r="F239" t="s">
        <v>927</v>
      </c>
      <c r="G239">
        <v>43871057</v>
      </c>
      <c r="H239" t="s">
        <v>928</v>
      </c>
      <c r="I239" s="4" t="s">
        <v>929</v>
      </c>
      <c r="J239" s="4" t="s">
        <v>35</v>
      </c>
      <c r="K239" t="s">
        <v>930</v>
      </c>
      <c r="L239" t="s">
        <v>27</v>
      </c>
      <c r="M239" t="s">
        <v>931</v>
      </c>
      <c r="N239" t="s">
        <v>28</v>
      </c>
      <c r="O239" t="s">
        <v>65</v>
      </c>
      <c r="P239" t="s">
        <v>66</v>
      </c>
      <c r="Q239" t="s">
        <v>31</v>
      </c>
      <c r="R239">
        <v>9</v>
      </c>
      <c r="S239" t="s">
        <v>932</v>
      </c>
      <c r="T239" t="s">
        <v>3200</v>
      </c>
      <c r="U239" t="s">
        <v>3199</v>
      </c>
      <c r="V239" t="s">
        <v>32</v>
      </c>
      <c r="W239" t="s">
        <v>33</v>
      </c>
      <c r="X239" t="s">
        <v>33</v>
      </c>
      <c r="Y239" t="s">
        <v>33</v>
      </c>
      <c r="Z239" s="16" t="s">
        <v>34</v>
      </c>
      <c r="AA239">
        <v>-75.599261459999994</v>
      </c>
      <c r="AB239">
        <v>6.27421366</v>
      </c>
      <c r="AC239" t="s">
        <v>96</v>
      </c>
      <c r="AD239" t="s">
        <v>97</v>
      </c>
    </row>
    <row r="240" spans="1:30" x14ac:dyDescent="0.25">
      <c r="A240" t="s">
        <v>868</v>
      </c>
      <c r="B240" t="s">
        <v>49</v>
      </c>
      <c r="C240" t="s">
        <v>26</v>
      </c>
      <c r="D240" t="s">
        <v>49</v>
      </c>
      <c r="E240" t="s">
        <v>763</v>
      </c>
      <c r="F240" t="s">
        <v>764</v>
      </c>
      <c r="G240">
        <v>1128472883</v>
      </c>
      <c r="H240" t="s">
        <v>765</v>
      </c>
      <c r="I240" s="4" t="s">
        <v>35</v>
      </c>
      <c r="J240" s="4" t="s">
        <v>766</v>
      </c>
      <c r="K240" t="s">
        <v>767</v>
      </c>
      <c r="L240" t="s">
        <v>27</v>
      </c>
      <c r="M240" t="s">
        <v>768</v>
      </c>
      <c r="N240" t="s">
        <v>28</v>
      </c>
      <c r="O240" t="s">
        <v>50</v>
      </c>
      <c r="P240" t="s">
        <v>51</v>
      </c>
      <c r="Q240" t="s">
        <v>31</v>
      </c>
      <c r="R240">
        <v>11</v>
      </c>
      <c r="S240" t="s">
        <v>769</v>
      </c>
      <c r="T240" t="s">
        <v>5190</v>
      </c>
      <c r="U240" t="s">
        <v>5191</v>
      </c>
      <c r="V240" t="s">
        <v>32</v>
      </c>
      <c r="W240" t="s">
        <v>33</v>
      </c>
      <c r="X240" t="s">
        <v>33</v>
      </c>
      <c r="Y240" t="s">
        <v>33</v>
      </c>
      <c r="Z240" s="16" t="s">
        <v>34</v>
      </c>
      <c r="AA240">
        <v>-75.619470000000007</v>
      </c>
      <c r="AB240">
        <v>6.2483129999999996</v>
      </c>
      <c r="AC240" t="s">
        <v>96</v>
      </c>
      <c r="AD240" t="s">
        <v>97</v>
      </c>
    </row>
    <row r="241" spans="1:30" x14ac:dyDescent="0.25">
      <c r="A241" t="s">
        <v>869</v>
      </c>
      <c r="B241" t="s">
        <v>25</v>
      </c>
      <c r="C241" t="s">
        <v>26</v>
      </c>
      <c r="D241" t="s">
        <v>25</v>
      </c>
      <c r="E241" t="s">
        <v>770</v>
      </c>
      <c r="F241" t="s">
        <v>771</v>
      </c>
      <c r="G241">
        <v>1128272191</v>
      </c>
      <c r="H241" t="s">
        <v>772</v>
      </c>
      <c r="I241" s="4" t="s">
        <v>35</v>
      </c>
      <c r="J241" s="4" t="s">
        <v>773</v>
      </c>
      <c r="K241" t="s">
        <v>774</v>
      </c>
      <c r="L241" t="s">
        <v>47</v>
      </c>
      <c r="M241" t="s">
        <v>775</v>
      </c>
      <c r="N241" t="s">
        <v>62</v>
      </c>
      <c r="O241" t="s">
        <v>29</v>
      </c>
      <c r="P241" t="s">
        <v>36</v>
      </c>
      <c r="Q241" t="s">
        <v>31</v>
      </c>
      <c r="R241">
        <v>7</v>
      </c>
      <c r="S241" t="s">
        <v>1347</v>
      </c>
      <c r="T241" t="s">
        <v>5192</v>
      </c>
      <c r="U241" t="s">
        <v>5193</v>
      </c>
      <c r="V241" t="s">
        <v>48</v>
      </c>
      <c r="W241" t="s">
        <v>33</v>
      </c>
      <c r="X241" t="s">
        <v>33</v>
      </c>
      <c r="Y241" t="s">
        <v>33</v>
      </c>
      <c r="Z241" s="16" t="s">
        <v>34</v>
      </c>
      <c r="AA241">
        <v>-75.528009159999996</v>
      </c>
      <c r="AB241">
        <v>6.1373332500000002</v>
      </c>
      <c r="AC241" t="s">
        <v>96</v>
      </c>
      <c r="AD241" t="s">
        <v>97</v>
      </c>
    </row>
    <row r="242" spans="1:30" x14ac:dyDescent="0.25">
      <c r="A242" t="s">
        <v>870</v>
      </c>
      <c r="B242" t="s">
        <v>59</v>
      </c>
      <c r="C242" t="s">
        <v>26</v>
      </c>
      <c r="D242" t="s">
        <v>59</v>
      </c>
      <c r="E242" t="s">
        <v>776</v>
      </c>
      <c r="F242" t="s">
        <v>777</v>
      </c>
      <c r="G242">
        <v>98530416</v>
      </c>
      <c r="H242" t="s">
        <v>778</v>
      </c>
      <c r="I242" s="4" t="s">
        <v>779</v>
      </c>
      <c r="J242" s="4" t="s">
        <v>780</v>
      </c>
      <c r="K242" t="s">
        <v>781</v>
      </c>
      <c r="L242" t="s">
        <v>27</v>
      </c>
      <c r="M242" t="s">
        <v>782</v>
      </c>
      <c r="N242" t="s">
        <v>28</v>
      </c>
      <c r="O242" t="s">
        <v>60</v>
      </c>
      <c r="P242" t="s">
        <v>61</v>
      </c>
      <c r="Q242" t="s">
        <v>31</v>
      </c>
      <c r="R242">
        <v>4</v>
      </c>
      <c r="S242" t="s">
        <v>783</v>
      </c>
      <c r="T242" t="s">
        <v>5194</v>
      </c>
      <c r="U242" t="s">
        <v>46</v>
      </c>
      <c r="V242" t="s">
        <v>46</v>
      </c>
      <c r="W242" t="s">
        <v>33</v>
      </c>
      <c r="X242" t="s">
        <v>33</v>
      </c>
      <c r="Y242" t="s">
        <v>33</v>
      </c>
      <c r="Z242" s="16" t="s">
        <v>34</v>
      </c>
      <c r="AA242">
        <v>-75.567816149999999</v>
      </c>
      <c r="AB242">
        <v>6.2581631700000004</v>
      </c>
      <c r="AC242" t="s">
        <v>96</v>
      </c>
      <c r="AD242" t="s">
        <v>97</v>
      </c>
    </row>
    <row r="243" spans="1:30" x14ac:dyDescent="0.25">
      <c r="A243" t="s">
        <v>933</v>
      </c>
      <c r="B243" t="s">
        <v>63</v>
      </c>
      <c r="C243" t="s">
        <v>26</v>
      </c>
      <c r="D243" t="s">
        <v>64</v>
      </c>
      <c r="E243" t="s">
        <v>934</v>
      </c>
      <c r="F243" t="s">
        <v>935</v>
      </c>
      <c r="G243">
        <v>3428437</v>
      </c>
      <c r="H243" t="s">
        <v>936</v>
      </c>
      <c r="I243" s="4" t="s">
        <v>937</v>
      </c>
      <c r="J243" s="4" t="s">
        <v>938</v>
      </c>
      <c r="K243" t="s">
        <v>939</v>
      </c>
      <c r="L243" t="s">
        <v>27</v>
      </c>
      <c r="M243" t="s">
        <v>940</v>
      </c>
      <c r="N243" t="s">
        <v>28</v>
      </c>
      <c r="O243" t="s">
        <v>65</v>
      </c>
      <c r="P243" t="s">
        <v>66</v>
      </c>
      <c r="Q243" t="s">
        <v>31</v>
      </c>
      <c r="R243">
        <v>9</v>
      </c>
      <c r="S243" t="s">
        <v>941</v>
      </c>
      <c r="T243" t="s">
        <v>3202</v>
      </c>
      <c r="U243" t="s">
        <v>3201</v>
      </c>
      <c r="V243" t="s">
        <v>32</v>
      </c>
      <c r="W243" t="s">
        <v>33</v>
      </c>
      <c r="X243" t="s">
        <v>33</v>
      </c>
      <c r="Y243" t="s">
        <v>33</v>
      </c>
      <c r="Z243" s="16" t="s">
        <v>34</v>
      </c>
      <c r="AA243">
        <v>-75.612684639999998</v>
      </c>
      <c r="AB243">
        <v>6.2633181699999998</v>
      </c>
      <c r="AC243" t="s">
        <v>96</v>
      </c>
      <c r="AD243" t="s">
        <v>97</v>
      </c>
    </row>
    <row r="244" spans="1:30" x14ac:dyDescent="0.25">
      <c r="A244" t="s">
        <v>871</v>
      </c>
      <c r="B244" t="s">
        <v>59</v>
      </c>
      <c r="C244" t="s">
        <v>26</v>
      </c>
      <c r="D244" t="s">
        <v>59</v>
      </c>
      <c r="E244" t="s">
        <v>784</v>
      </c>
      <c r="F244" t="s">
        <v>785</v>
      </c>
      <c r="G244">
        <v>70565662</v>
      </c>
      <c r="H244" t="s">
        <v>786</v>
      </c>
      <c r="I244" s="4" t="s">
        <v>35</v>
      </c>
      <c r="J244" s="4" t="s">
        <v>787</v>
      </c>
      <c r="K244" t="s">
        <v>709</v>
      </c>
      <c r="L244" t="s">
        <v>27</v>
      </c>
      <c r="M244" t="s">
        <v>710</v>
      </c>
      <c r="N244" t="s">
        <v>28</v>
      </c>
      <c r="O244" t="s">
        <v>60</v>
      </c>
      <c r="P244" t="s">
        <v>61</v>
      </c>
      <c r="Q244" t="s">
        <v>37</v>
      </c>
      <c r="R244">
        <v>4</v>
      </c>
      <c r="S244" t="s">
        <v>788</v>
      </c>
      <c r="T244" t="s">
        <v>5195</v>
      </c>
      <c r="U244" t="s">
        <v>46</v>
      </c>
      <c r="V244" t="s">
        <v>46</v>
      </c>
      <c r="W244" t="s">
        <v>33</v>
      </c>
      <c r="X244" t="s">
        <v>33</v>
      </c>
      <c r="Y244" t="s">
        <v>33</v>
      </c>
      <c r="Z244" s="16" t="s">
        <v>34</v>
      </c>
      <c r="AA244">
        <v>-75.513987979999996</v>
      </c>
      <c r="AB244">
        <v>6.23001702</v>
      </c>
      <c r="AC244" t="s">
        <v>96</v>
      </c>
      <c r="AD244" t="s">
        <v>97</v>
      </c>
    </row>
    <row r="245" spans="1:30" x14ac:dyDescent="0.25">
      <c r="A245" t="s">
        <v>872</v>
      </c>
      <c r="B245" t="s">
        <v>59</v>
      </c>
      <c r="C245" t="s">
        <v>26</v>
      </c>
      <c r="D245" t="s">
        <v>59</v>
      </c>
      <c r="E245" t="s">
        <v>789</v>
      </c>
      <c r="F245" t="s">
        <v>790</v>
      </c>
      <c r="G245">
        <v>4355134</v>
      </c>
      <c r="H245" t="s">
        <v>791</v>
      </c>
      <c r="I245" s="4" t="s">
        <v>35</v>
      </c>
      <c r="J245" s="4" t="s">
        <v>792</v>
      </c>
      <c r="K245" t="s">
        <v>793</v>
      </c>
      <c r="L245" t="s">
        <v>43</v>
      </c>
      <c r="M245" t="s">
        <v>794</v>
      </c>
      <c r="N245" t="s">
        <v>44</v>
      </c>
      <c r="O245" t="s">
        <v>60</v>
      </c>
      <c r="P245" t="s">
        <v>61</v>
      </c>
      <c r="Q245" t="s">
        <v>31</v>
      </c>
      <c r="R245">
        <v>4</v>
      </c>
      <c r="S245" t="s">
        <v>795</v>
      </c>
      <c r="T245" t="s">
        <v>5196</v>
      </c>
      <c r="U245" t="s">
        <v>46</v>
      </c>
      <c r="V245" t="s">
        <v>46</v>
      </c>
      <c r="W245" t="s">
        <v>33</v>
      </c>
      <c r="X245" t="s">
        <v>33</v>
      </c>
      <c r="Y245" t="s">
        <v>33</v>
      </c>
      <c r="Z245" s="16" t="s">
        <v>34</v>
      </c>
      <c r="AA245">
        <v>-75.624429109999994</v>
      </c>
      <c r="AB245">
        <v>6.1679825800000003</v>
      </c>
      <c r="AC245" t="s">
        <v>96</v>
      </c>
      <c r="AD245" t="s">
        <v>97</v>
      </c>
    </row>
    <row r="246" spans="1:30" x14ac:dyDescent="0.25">
      <c r="A246" t="s">
        <v>873</v>
      </c>
      <c r="B246" t="s">
        <v>49</v>
      </c>
      <c r="C246" t="s">
        <v>26</v>
      </c>
      <c r="D246" t="s">
        <v>49</v>
      </c>
      <c r="E246" t="s">
        <v>796</v>
      </c>
      <c r="F246" t="s">
        <v>797</v>
      </c>
      <c r="G246">
        <v>1152462429</v>
      </c>
      <c r="H246" t="s">
        <v>798</v>
      </c>
      <c r="I246" s="4" t="s">
        <v>35</v>
      </c>
      <c r="J246" s="4" t="s">
        <v>799</v>
      </c>
      <c r="K246" t="s">
        <v>800</v>
      </c>
      <c r="L246" t="s">
        <v>27</v>
      </c>
      <c r="M246" t="s">
        <v>801</v>
      </c>
      <c r="N246" t="s">
        <v>28</v>
      </c>
      <c r="O246" t="s">
        <v>50</v>
      </c>
      <c r="P246" t="s">
        <v>51</v>
      </c>
      <c r="Q246" t="s">
        <v>31</v>
      </c>
      <c r="R246">
        <v>11</v>
      </c>
      <c r="S246" t="s">
        <v>802</v>
      </c>
      <c r="T246" t="s">
        <v>5197</v>
      </c>
      <c r="U246" t="s">
        <v>5198</v>
      </c>
      <c r="V246" t="s">
        <v>32</v>
      </c>
      <c r="W246" t="s">
        <v>33</v>
      </c>
      <c r="X246" t="s">
        <v>33</v>
      </c>
      <c r="Y246" t="s">
        <v>33</v>
      </c>
      <c r="Z246" s="16" t="s">
        <v>34</v>
      </c>
      <c r="AA246">
        <v>-75.627278000000004</v>
      </c>
      <c r="AB246">
        <v>6.2249410000000003</v>
      </c>
      <c r="AC246" t="s">
        <v>96</v>
      </c>
      <c r="AD246" t="s">
        <v>97</v>
      </c>
    </row>
    <row r="247" spans="1:30" x14ac:dyDescent="0.25">
      <c r="A247" t="s">
        <v>874</v>
      </c>
      <c r="B247" t="s">
        <v>49</v>
      </c>
      <c r="C247" t="s">
        <v>26</v>
      </c>
      <c r="D247" t="s">
        <v>49</v>
      </c>
      <c r="E247" t="s">
        <v>803</v>
      </c>
      <c r="F247" t="s">
        <v>804</v>
      </c>
      <c r="G247">
        <v>43511827</v>
      </c>
      <c r="H247" t="s">
        <v>805</v>
      </c>
      <c r="I247" s="4" t="s">
        <v>806</v>
      </c>
      <c r="J247" s="4" t="s">
        <v>807</v>
      </c>
      <c r="K247" t="s">
        <v>808</v>
      </c>
      <c r="L247" t="s">
        <v>27</v>
      </c>
      <c r="M247" t="s">
        <v>809</v>
      </c>
      <c r="N247" t="s">
        <v>28</v>
      </c>
      <c r="O247" t="s">
        <v>50</v>
      </c>
      <c r="P247" t="s">
        <v>51</v>
      </c>
      <c r="Q247" t="s">
        <v>31</v>
      </c>
      <c r="R247">
        <v>11</v>
      </c>
      <c r="S247" t="s">
        <v>810</v>
      </c>
      <c r="T247" t="s">
        <v>5199</v>
      </c>
      <c r="U247" t="s">
        <v>5200</v>
      </c>
      <c r="V247" t="s">
        <v>32</v>
      </c>
      <c r="W247" t="s">
        <v>33</v>
      </c>
      <c r="X247" t="s">
        <v>33</v>
      </c>
      <c r="Y247" t="s">
        <v>33</v>
      </c>
      <c r="Z247" s="16" t="s">
        <v>34</v>
      </c>
      <c r="AA247">
        <v>-75.627278000000004</v>
      </c>
      <c r="AB247">
        <v>6.2249410000000003</v>
      </c>
      <c r="AC247" t="s">
        <v>96</v>
      </c>
      <c r="AD247" t="s">
        <v>97</v>
      </c>
    </row>
    <row r="248" spans="1:30" x14ac:dyDescent="0.25">
      <c r="A248" t="s">
        <v>875</v>
      </c>
      <c r="B248" t="s">
        <v>25</v>
      </c>
      <c r="C248" t="s">
        <v>26</v>
      </c>
      <c r="D248" t="s">
        <v>25</v>
      </c>
      <c r="E248" t="s">
        <v>811</v>
      </c>
      <c r="F248" t="s">
        <v>812</v>
      </c>
      <c r="G248">
        <v>1128420997</v>
      </c>
      <c r="H248" t="s">
        <v>132</v>
      </c>
      <c r="I248" s="4" t="s">
        <v>35</v>
      </c>
      <c r="J248" s="4" t="s">
        <v>133</v>
      </c>
      <c r="K248" t="s">
        <v>813</v>
      </c>
      <c r="L248" t="s">
        <v>53</v>
      </c>
      <c r="M248" t="s">
        <v>814</v>
      </c>
      <c r="N248" t="s">
        <v>54</v>
      </c>
      <c r="O248" t="s">
        <v>29</v>
      </c>
      <c r="P248" t="s">
        <v>36</v>
      </c>
      <c r="Q248" t="s">
        <v>31</v>
      </c>
      <c r="R248">
        <v>7</v>
      </c>
      <c r="S248" t="s">
        <v>815</v>
      </c>
      <c r="T248" t="s">
        <v>5201</v>
      </c>
      <c r="U248" t="s">
        <v>5202</v>
      </c>
      <c r="V248" t="s">
        <v>48</v>
      </c>
      <c r="W248" t="s">
        <v>33</v>
      </c>
      <c r="X248" t="s">
        <v>33</v>
      </c>
      <c r="Y248" t="s">
        <v>33</v>
      </c>
      <c r="Z248" s="16" t="s">
        <v>34</v>
      </c>
      <c r="AA248">
        <v>-75.649831634999899</v>
      </c>
      <c r="AB248">
        <v>6.1379125160000303</v>
      </c>
      <c r="AC248" t="s">
        <v>96</v>
      </c>
      <c r="AD248" t="s">
        <v>97</v>
      </c>
    </row>
    <row r="249" spans="1:30" x14ac:dyDescent="0.25">
      <c r="A249" t="s">
        <v>942</v>
      </c>
      <c r="B249" t="s">
        <v>63</v>
      </c>
      <c r="C249" t="s">
        <v>26</v>
      </c>
      <c r="D249" t="s">
        <v>64</v>
      </c>
      <c r="E249" t="s">
        <v>943</v>
      </c>
      <c r="F249" t="s">
        <v>944</v>
      </c>
      <c r="G249">
        <v>43988710</v>
      </c>
      <c r="H249" t="s">
        <v>945</v>
      </c>
      <c r="I249" s="4" t="s">
        <v>946</v>
      </c>
      <c r="J249" s="4" t="s">
        <v>947</v>
      </c>
      <c r="K249" t="s">
        <v>948</v>
      </c>
      <c r="L249" t="s">
        <v>27</v>
      </c>
      <c r="M249" t="s">
        <v>949</v>
      </c>
      <c r="N249" t="s">
        <v>28</v>
      </c>
      <c r="O249" t="s">
        <v>65</v>
      </c>
      <c r="P249" t="s">
        <v>69</v>
      </c>
      <c r="Q249" t="s">
        <v>31</v>
      </c>
      <c r="R249">
        <v>9</v>
      </c>
      <c r="S249" t="s">
        <v>950</v>
      </c>
      <c r="T249" t="s">
        <v>3204</v>
      </c>
      <c r="U249" t="s">
        <v>3203</v>
      </c>
      <c r="V249" t="s">
        <v>32</v>
      </c>
      <c r="W249" t="s">
        <v>33</v>
      </c>
      <c r="X249" t="s">
        <v>33</v>
      </c>
      <c r="Y249" t="s">
        <v>33</v>
      </c>
      <c r="Z249" s="16" t="s">
        <v>34</v>
      </c>
      <c r="AA249">
        <v>-75.644425560000002</v>
      </c>
      <c r="AB249">
        <v>6.1748343600000002</v>
      </c>
      <c r="AC249" t="s">
        <v>96</v>
      </c>
      <c r="AD249" t="s">
        <v>97</v>
      </c>
    </row>
    <row r="250" spans="1:30" x14ac:dyDescent="0.25">
      <c r="A250" t="s">
        <v>876</v>
      </c>
      <c r="B250" t="s">
        <v>41</v>
      </c>
      <c r="C250" t="s">
        <v>70</v>
      </c>
      <c r="D250" t="s">
        <v>41</v>
      </c>
      <c r="E250" t="s">
        <v>816</v>
      </c>
      <c r="F250" t="s">
        <v>817</v>
      </c>
      <c r="G250">
        <v>8354717</v>
      </c>
      <c r="H250" t="s">
        <v>818</v>
      </c>
      <c r="I250" s="4" t="s">
        <v>819</v>
      </c>
      <c r="J250" s="4" t="s">
        <v>820</v>
      </c>
      <c r="K250" t="s">
        <v>821</v>
      </c>
      <c r="L250" t="s">
        <v>43</v>
      </c>
      <c r="M250" t="s">
        <v>822</v>
      </c>
      <c r="N250" t="s">
        <v>44</v>
      </c>
      <c r="O250" t="s">
        <v>71</v>
      </c>
      <c r="P250" t="s">
        <v>30</v>
      </c>
      <c r="Q250" t="s">
        <v>31</v>
      </c>
      <c r="R250">
        <v>7</v>
      </c>
      <c r="S250" t="s">
        <v>823</v>
      </c>
      <c r="T250" t="s">
        <v>5203</v>
      </c>
      <c r="U250" t="s">
        <v>5204</v>
      </c>
      <c r="V250" t="s">
        <v>48</v>
      </c>
      <c r="W250" t="s">
        <v>33</v>
      </c>
      <c r="X250" t="s">
        <v>33</v>
      </c>
      <c r="Y250" t="s">
        <v>33</v>
      </c>
      <c r="Z250" s="16" t="s">
        <v>34</v>
      </c>
      <c r="AA250">
        <v>-75.612609860000006</v>
      </c>
      <c r="AB250">
        <v>6.1695542300000001</v>
      </c>
      <c r="AC250" t="s">
        <v>96</v>
      </c>
      <c r="AD250" t="s">
        <v>97</v>
      </c>
    </row>
    <row r="251" spans="1:30" x14ac:dyDescent="0.25">
      <c r="A251" t="s">
        <v>877</v>
      </c>
      <c r="B251" t="s">
        <v>25</v>
      </c>
      <c r="C251" t="s">
        <v>26</v>
      </c>
      <c r="D251" t="s">
        <v>38</v>
      </c>
      <c r="E251" t="s">
        <v>1348</v>
      </c>
      <c r="F251" t="s">
        <v>1349</v>
      </c>
      <c r="G251">
        <v>1128421225</v>
      </c>
      <c r="H251" t="s">
        <v>824</v>
      </c>
      <c r="I251" s="4" t="s">
        <v>35</v>
      </c>
      <c r="J251" s="4" t="s">
        <v>825</v>
      </c>
      <c r="K251" t="s">
        <v>826</v>
      </c>
      <c r="L251" t="s">
        <v>27</v>
      </c>
      <c r="M251" t="s">
        <v>827</v>
      </c>
      <c r="N251" t="s">
        <v>28</v>
      </c>
      <c r="O251" t="s">
        <v>45</v>
      </c>
      <c r="P251" t="s">
        <v>40</v>
      </c>
      <c r="Q251" t="s">
        <v>31</v>
      </c>
      <c r="R251">
        <v>5</v>
      </c>
      <c r="S251" t="s">
        <v>1350</v>
      </c>
      <c r="T251" t="s">
        <v>1677</v>
      </c>
      <c r="U251" t="s">
        <v>2138</v>
      </c>
      <c r="V251" t="s">
        <v>48</v>
      </c>
      <c r="W251" t="s">
        <v>33</v>
      </c>
      <c r="X251" t="s">
        <v>33</v>
      </c>
      <c r="Y251" t="s">
        <v>33</v>
      </c>
      <c r="Z251" s="16" t="s">
        <v>34</v>
      </c>
      <c r="AA251">
        <v>-75.619372150000004</v>
      </c>
      <c r="AB251">
        <v>6.2615239300000001</v>
      </c>
      <c r="AC251" t="s">
        <v>96</v>
      </c>
      <c r="AD251" t="s">
        <v>97</v>
      </c>
    </row>
    <row r="252" spans="1:30" x14ac:dyDescent="0.25">
      <c r="A252" t="s">
        <v>878</v>
      </c>
      <c r="B252" t="s">
        <v>25</v>
      </c>
      <c r="C252" t="s">
        <v>26</v>
      </c>
      <c r="D252" t="s">
        <v>38</v>
      </c>
      <c r="E252" t="s">
        <v>1351</v>
      </c>
      <c r="F252" t="s">
        <v>1352</v>
      </c>
      <c r="G252">
        <v>1128421225</v>
      </c>
      <c r="H252" t="s">
        <v>824</v>
      </c>
      <c r="I252" s="4" t="s">
        <v>35</v>
      </c>
      <c r="J252" s="4" t="s">
        <v>825</v>
      </c>
      <c r="K252" t="s">
        <v>828</v>
      </c>
      <c r="L252" t="s">
        <v>27</v>
      </c>
      <c r="M252" t="s">
        <v>829</v>
      </c>
      <c r="N252" t="s">
        <v>28</v>
      </c>
      <c r="O252" t="s">
        <v>45</v>
      </c>
      <c r="P252" t="s">
        <v>40</v>
      </c>
      <c r="Q252" t="s">
        <v>31</v>
      </c>
      <c r="R252">
        <v>5</v>
      </c>
      <c r="S252" t="s">
        <v>1353</v>
      </c>
      <c r="T252" t="s">
        <v>3205</v>
      </c>
      <c r="U252" t="s">
        <v>1655</v>
      </c>
      <c r="V252" t="s">
        <v>48</v>
      </c>
      <c r="W252" t="s">
        <v>33</v>
      </c>
      <c r="X252" t="s">
        <v>33</v>
      </c>
      <c r="Y252" t="s">
        <v>33</v>
      </c>
      <c r="Z252" s="16" t="s">
        <v>34</v>
      </c>
      <c r="AA252">
        <v>-75.619372150000004</v>
      </c>
      <c r="AB252">
        <v>6.2615239300000001</v>
      </c>
      <c r="AC252" t="s">
        <v>96</v>
      </c>
      <c r="AD252" t="s">
        <v>97</v>
      </c>
    </row>
    <row r="253" spans="1:30" x14ac:dyDescent="0.25">
      <c r="A253" t="s">
        <v>951</v>
      </c>
      <c r="B253" t="s">
        <v>63</v>
      </c>
      <c r="C253" t="s">
        <v>26</v>
      </c>
      <c r="D253" t="s">
        <v>64</v>
      </c>
      <c r="E253" t="s">
        <v>952</v>
      </c>
      <c r="F253" t="s">
        <v>953</v>
      </c>
      <c r="G253">
        <v>43603268</v>
      </c>
      <c r="H253" t="s">
        <v>954</v>
      </c>
      <c r="I253" s="4" t="s">
        <v>35</v>
      </c>
      <c r="J253" s="4" t="s">
        <v>955</v>
      </c>
      <c r="K253" t="s">
        <v>956</v>
      </c>
      <c r="L253" t="s">
        <v>27</v>
      </c>
      <c r="M253" t="s">
        <v>957</v>
      </c>
      <c r="N253" t="s">
        <v>28</v>
      </c>
      <c r="O253" t="s">
        <v>65</v>
      </c>
      <c r="P253" t="s">
        <v>66</v>
      </c>
      <c r="Q253" t="s">
        <v>31</v>
      </c>
      <c r="R253">
        <v>9</v>
      </c>
      <c r="S253" t="s">
        <v>958</v>
      </c>
      <c r="T253" t="s">
        <v>3207</v>
      </c>
      <c r="U253" t="s">
        <v>3206</v>
      </c>
      <c r="V253" t="s">
        <v>32</v>
      </c>
      <c r="W253" t="s">
        <v>33</v>
      </c>
      <c r="X253" t="s">
        <v>33</v>
      </c>
      <c r="Y253" t="s">
        <v>33</v>
      </c>
      <c r="Z253" s="16" t="s">
        <v>34</v>
      </c>
      <c r="AA253">
        <v>-75.612374200000005</v>
      </c>
      <c r="AB253">
        <v>6.2753656099999997</v>
      </c>
      <c r="AC253" t="s">
        <v>96</v>
      </c>
      <c r="AD253" t="s">
        <v>97</v>
      </c>
    </row>
    <row r="254" spans="1:30" x14ac:dyDescent="0.25">
      <c r="A254" t="s">
        <v>879</v>
      </c>
      <c r="B254" t="s">
        <v>49</v>
      </c>
      <c r="C254" t="s">
        <v>72</v>
      </c>
      <c r="D254" t="s">
        <v>49</v>
      </c>
      <c r="E254" t="s">
        <v>830</v>
      </c>
      <c r="F254" t="s">
        <v>831</v>
      </c>
      <c r="G254">
        <v>43757246</v>
      </c>
      <c r="H254" t="s">
        <v>832</v>
      </c>
      <c r="I254" s="4" t="s">
        <v>35</v>
      </c>
      <c r="J254" s="4" t="s">
        <v>833</v>
      </c>
      <c r="K254" t="s">
        <v>834</v>
      </c>
      <c r="L254" t="s">
        <v>27</v>
      </c>
      <c r="M254" t="s">
        <v>835</v>
      </c>
      <c r="N254" t="s">
        <v>28</v>
      </c>
      <c r="O254" t="s">
        <v>73</v>
      </c>
      <c r="P254" t="s">
        <v>51</v>
      </c>
      <c r="Q254" t="s">
        <v>31</v>
      </c>
      <c r="R254">
        <v>11</v>
      </c>
      <c r="S254" t="s">
        <v>836</v>
      </c>
      <c r="T254" t="s">
        <v>5205</v>
      </c>
      <c r="U254" t="s">
        <v>5040</v>
      </c>
      <c r="V254" t="s">
        <v>32</v>
      </c>
      <c r="W254" t="s">
        <v>33</v>
      </c>
      <c r="X254" t="s">
        <v>33</v>
      </c>
      <c r="Y254" t="s">
        <v>33</v>
      </c>
      <c r="Z254" s="16" t="s">
        <v>34</v>
      </c>
      <c r="AA254">
        <v>-75.539898179999994</v>
      </c>
      <c r="AB254">
        <v>6.2430250300000001</v>
      </c>
      <c r="AC254" t="s">
        <v>96</v>
      </c>
      <c r="AD254" t="s">
        <v>97</v>
      </c>
    </row>
    <row r="255" spans="1:30" x14ac:dyDescent="0.25">
      <c r="A255" t="s">
        <v>959</v>
      </c>
      <c r="B255" t="s">
        <v>63</v>
      </c>
      <c r="C255" t="s">
        <v>26</v>
      </c>
      <c r="D255" t="s">
        <v>64</v>
      </c>
      <c r="E255" t="s">
        <v>960</v>
      </c>
      <c r="F255" t="s">
        <v>961</v>
      </c>
      <c r="G255">
        <v>15255091</v>
      </c>
      <c r="H255" t="s">
        <v>962</v>
      </c>
      <c r="I255" s="4" t="s">
        <v>35</v>
      </c>
      <c r="J255" s="4" t="s">
        <v>963</v>
      </c>
      <c r="K255" t="s">
        <v>964</v>
      </c>
      <c r="L255" t="s">
        <v>27</v>
      </c>
      <c r="M255" t="s">
        <v>965</v>
      </c>
      <c r="N255" t="s">
        <v>28</v>
      </c>
      <c r="O255" t="s">
        <v>65</v>
      </c>
      <c r="P255" t="s">
        <v>69</v>
      </c>
      <c r="Q255" t="s">
        <v>31</v>
      </c>
      <c r="R255">
        <v>9</v>
      </c>
      <c r="S255" t="s">
        <v>966</v>
      </c>
      <c r="T255" t="s">
        <v>3210</v>
      </c>
      <c r="U255" t="s">
        <v>3209</v>
      </c>
      <c r="V255" t="s">
        <v>32</v>
      </c>
      <c r="W255" t="s">
        <v>33</v>
      </c>
      <c r="X255" t="s">
        <v>33</v>
      </c>
      <c r="Y255" t="s">
        <v>33</v>
      </c>
      <c r="Z255" s="16" t="s">
        <v>34</v>
      </c>
      <c r="AA255">
        <v>-75.655931649999999</v>
      </c>
      <c r="AB255">
        <v>6.1876859199999998</v>
      </c>
      <c r="AC255" t="s">
        <v>96</v>
      </c>
      <c r="AD255" t="s">
        <v>97</v>
      </c>
    </row>
    <row r="256" spans="1:30" x14ac:dyDescent="0.25">
      <c r="A256" t="s">
        <v>967</v>
      </c>
      <c r="B256" t="s">
        <v>63</v>
      </c>
      <c r="C256" t="s">
        <v>26</v>
      </c>
      <c r="D256" t="s">
        <v>64</v>
      </c>
      <c r="E256" t="s">
        <v>968</v>
      </c>
      <c r="F256" t="s">
        <v>969</v>
      </c>
      <c r="G256">
        <v>34970253</v>
      </c>
      <c r="H256" t="s">
        <v>970</v>
      </c>
      <c r="I256" s="4" t="s">
        <v>971</v>
      </c>
      <c r="J256" s="4" t="s">
        <v>972</v>
      </c>
      <c r="K256" t="s">
        <v>973</v>
      </c>
      <c r="L256" t="s">
        <v>27</v>
      </c>
      <c r="M256" t="s">
        <v>974</v>
      </c>
      <c r="N256" t="s">
        <v>28</v>
      </c>
      <c r="O256" t="s">
        <v>65</v>
      </c>
      <c r="P256" t="s">
        <v>66</v>
      </c>
      <c r="Q256" t="s">
        <v>31</v>
      </c>
      <c r="R256">
        <v>9</v>
      </c>
      <c r="S256" t="s">
        <v>975</v>
      </c>
      <c r="T256" t="s">
        <v>1674</v>
      </c>
      <c r="U256" t="s">
        <v>1673</v>
      </c>
      <c r="V256" t="s">
        <v>32</v>
      </c>
      <c r="W256" t="s">
        <v>33</v>
      </c>
      <c r="X256" t="s">
        <v>33</v>
      </c>
      <c r="Y256" t="s">
        <v>33</v>
      </c>
      <c r="Z256" s="16" t="s">
        <v>34</v>
      </c>
      <c r="AA256">
        <v>-75.612359690000005</v>
      </c>
      <c r="AB256">
        <v>6.2753276099999997</v>
      </c>
      <c r="AC256" t="s">
        <v>96</v>
      </c>
      <c r="AD256" t="s">
        <v>97</v>
      </c>
    </row>
    <row r="257" spans="1:30" x14ac:dyDescent="0.25">
      <c r="A257" t="s">
        <v>2003</v>
      </c>
      <c r="B257" t="s">
        <v>41</v>
      </c>
      <c r="C257" t="s">
        <v>70</v>
      </c>
      <c r="D257" t="s">
        <v>41</v>
      </c>
      <c r="E257" t="s">
        <v>2004</v>
      </c>
      <c r="F257" t="s">
        <v>2005</v>
      </c>
      <c r="G257">
        <v>900860284</v>
      </c>
      <c r="H257" t="s">
        <v>2006</v>
      </c>
      <c r="I257" s="4" t="s">
        <v>35</v>
      </c>
      <c r="J257" s="4" t="s">
        <v>2007</v>
      </c>
      <c r="K257" t="s">
        <v>2008</v>
      </c>
      <c r="L257" t="s">
        <v>27</v>
      </c>
      <c r="M257" t="s">
        <v>2009</v>
      </c>
      <c r="N257" t="s">
        <v>28</v>
      </c>
      <c r="O257" t="s">
        <v>71</v>
      </c>
      <c r="P257" t="s">
        <v>30</v>
      </c>
      <c r="Q257" t="s">
        <v>31</v>
      </c>
      <c r="R257">
        <v>7</v>
      </c>
      <c r="S257" t="s">
        <v>2010</v>
      </c>
      <c r="T257" t="s">
        <v>3212</v>
      </c>
      <c r="U257" t="s">
        <v>3211</v>
      </c>
      <c r="V257" t="s">
        <v>32</v>
      </c>
      <c r="W257" t="s">
        <v>33</v>
      </c>
      <c r="X257" t="s">
        <v>33</v>
      </c>
      <c r="Y257" t="s">
        <v>33</v>
      </c>
      <c r="Z257" s="16" t="s">
        <v>34</v>
      </c>
      <c r="AA257">
        <v>-75.570497000000003</v>
      </c>
      <c r="AB257">
        <v>6.2351640000000002</v>
      </c>
      <c r="AC257" t="s">
        <v>96</v>
      </c>
      <c r="AD257" t="s">
        <v>97</v>
      </c>
    </row>
    <row r="258" spans="1:30" x14ac:dyDescent="0.25">
      <c r="A258" t="s">
        <v>2011</v>
      </c>
      <c r="B258" t="s">
        <v>25</v>
      </c>
      <c r="C258" t="s">
        <v>26</v>
      </c>
      <c r="D258" t="s">
        <v>25</v>
      </c>
      <c r="E258" t="s">
        <v>2012</v>
      </c>
      <c r="F258" t="s">
        <v>2013</v>
      </c>
      <c r="G258">
        <v>8303872</v>
      </c>
      <c r="H258" t="s">
        <v>2014</v>
      </c>
      <c r="I258" s="4" t="s">
        <v>35</v>
      </c>
      <c r="J258" s="4" t="s">
        <v>704</v>
      </c>
      <c r="K258" t="s">
        <v>2015</v>
      </c>
      <c r="L258" t="s">
        <v>27</v>
      </c>
      <c r="M258" t="s">
        <v>2016</v>
      </c>
      <c r="N258" t="s">
        <v>28</v>
      </c>
      <c r="O258" t="s">
        <v>29</v>
      </c>
      <c r="P258" t="s">
        <v>36</v>
      </c>
      <c r="Q258" t="s">
        <v>31</v>
      </c>
      <c r="R258">
        <v>7</v>
      </c>
      <c r="S258" t="s">
        <v>2017</v>
      </c>
      <c r="T258" t="s">
        <v>3214</v>
      </c>
      <c r="U258" t="s">
        <v>3213</v>
      </c>
      <c r="V258" t="s">
        <v>32</v>
      </c>
      <c r="W258" t="s">
        <v>33</v>
      </c>
      <c r="X258" t="s">
        <v>33</v>
      </c>
      <c r="Y258" t="s">
        <v>33</v>
      </c>
      <c r="Z258" s="16" t="s">
        <v>34</v>
      </c>
      <c r="AA258">
        <v>-75.586729219999995</v>
      </c>
      <c r="AB258">
        <v>6.2506598100000001</v>
      </c>
      <c r="AC258" t="s">
        <v>96</v>
      </c>
      <c r="AD258" t="s">
        <v>97</v>
      </c>
    </row>
    <row r="259" spans="1:30" x14ac:dyDescent="0.25">
      <c r="A259" t="s">
        <v>2018</v>
      </c>
      <c r="B259" t="s">
        <v>25</v>
      </c>
      <c r="C259" t="s">
        <v>26</v>
      </c>
      <c r="D259" t="s">
        <v>25</v>
      </c>
      <c r="E259" t="s">
        <v>2019</v>
      </c>
      <c r="F259" t="s">
        <v>2020</v>
      </c>
      <c r="G259">
        <v>43616433</v>
      </c>
      <c r="H259" t="s">
        <v>2021</v>
      </c>
      <c r="I259" s="4" t="s">
        <v>35</v>
      </c>
      <c r="J259" s="4" t="s">
        <v>2022</v>
      </c>
      <c r="K259" t="s">
        <v>2023</v>
      </c>
      <c r="L259" t="s">
        <v>27</v>
      </c>
      <c r="M259" t="s">
        <v>2024</v>
      </c>
      <c r="N259" t="s">
        <v>28</v>
      </c>
      <c r="O259" t="s">
        <v>29</v>
      </c>
      <c r="P259" t="s">
        <v>36</v>
      </c>
      <c r="Q259" t="s">
        <v>31</v>
      </c>
      <c r="R259">
        <v>7</v>
      </c>
      <c r="S259" t="s">
        <v>2025</v>
      </c>
      <c r="T259" t="s">
        <v>3216</v>
      </c>
      <c r="U259" t="s">
        <v>3215</v>
      </c>
      <c r="V259" t="s">
        <v>32</v>
      </c>
      <c r="W259" t="s">
        <v>33</v>
      </c>
      <c r="X259" t="s">
        <v>33</v>
      </c>
      <c r="Y259" t="s">
        <v>33</v>
      </c>
      <c r="Z259" s="16" t="s">
        <v>34</v>
      </c>
      <c r="AA259">
        <v>-75.644249299999998</v>
      </c>
      <c r="AB259">
        <v>6.220593</v>
      </c>
      <c r="AC259" t="s">
        <v>96</v>
      </c>
      <c r="AD259" t="s">
        <v>97</v>
      </c>
    </row>
    <row r="260" spans="1:30" x14ac:dyDescent="0.25">
      <c r="A260" t="s">
        <v>1036</v>
      </c>
      <c r="B260" t="s">
        <v>59</v>
      </c>
      <c r="C260" t="s">
        <v>26</v>
      </c>
      <c r="D260" t="s">
        <v>59</v>
      </c>
      <c r="E260" t="s">
        <v>1037</v>
      </c>
      <c r="F260" t="s">
        <v>1038</v>
      </c>
      <c r="G260">
        <v>17846987</v>
      </c>
      <c r="H260" t="s">
        <v>1039</v>
      </c>
      <c r="I260" s="4" t="s">
        <v>1040</v>
      </c>
      <c r="J260" s="4" t="s">
        <v>1041</v>
      </c>
      <c r="K260" t="s">
        <v>1042</v>
      </c>
      <c r="L260" t="s">
        <v>27</v>
      </c>
      <c r="M260" t="s">
        <v>1043</v>
      </c>
      <c r="N260" t="s">
        <v>28</v>
      </c>
      <c r="O260" t="s">
        <v>60</v>
      </c>
      <c r="P260" t="s">
        <v>61</v>
      </c>
      <c r="Q260" t="s">
        <v>37</v>
      </c>
      <c r="R260">
        <v>4</v>
      </c>
      <c r="S260" t="s">
        <v>1044</v>
      </c>
      <c r="T260" t="s">
        <v>5206</v>
      </c>
      <c r="U260" t="s">
        <v>46</v>
      </c>
      <c r="V260" t="s">
        <v>46</v>
      </c>
      <c r="W260" t="s">
        <v>33</v>
      </c>
      <c r="X260" t="s">
        <v>33</v>
      </c>
      <c r="Y260" t="s">
        <v>33</v>
      </c>
      <c r="Z260" s="16" t="s">
        <v>34</v>
      </c>
      <c r="AA260">
        <v>-75.646129999999999</v>
      </c>
      <c r="AB260">
        <v>6.2730230000000002</v>
      </c>
      <c r="AC260" t="s">
        <v>96</v>
      </c>
      <c r="AD260" t="s">
        <v>97</v>
      </c>
    </row>
    <row r="261" spans="1:30" x14ac:dyDescent="0.25">
      <c r="A261" t="s">
        <v>2026</v>
      </c>
      <c r="B261" t="s">
        <v>25</v>
      </c>
      <c r="C261" t="s">
        <v>26</v>
      </c>
      <c r="D261" t="s">
        <v>25</v>
      </c>
      <c r="E261" t="s">
        <v>2027</v>
      </c>
      <c r="F261" t="s">
        <v>2028</v>
      </c>
      <c r="G261">
        <v>15259832</v>
      </c>
      <c r="H261" t="s">
        <v>2029</v>
      </c>
      <c r="I261" s="4" t="s">
        <v>35</v>
      </c>
      <c r="J261" s="4" t="s">
        <v>2030</v>
      </c>
      <c r="K261" t="s">
        <v>2031</v>
      </c>
      <c r="L261" t="s">
        <v>55</v>
      </c>
      <c r="M261" t="s">
        <v>2032</v>
      </c>
      <c r="N261" t="s">
        <v>56</v>
      </c>
      <c r="O261" t="s">
        <v>29</v>
      </c>
      <c r="P261" t="s">
        <v>36</v>
      </c>
      <c r="Q261" t="s">
        <v>31</v>
      </c>
      <c r="R261">
        <v>7</v>
      </c>
      <c r="S261" t="s">
        <v>2033</v>
      </c>
      <c r="T261" t="s">
        <v>1124</v>
      </c>
      <c r="U261" t="s">
        <v>1123</v>
      </c>
      <c r="V261" t="s">
        <v>32</v>
      </c>
      <c r="W261" t="s">
        <v>33</v>
      </c>
      <c r="X261" t="s">
        <v>33</v>
      </c>
      <c r="Y261" t="s">
        <v>33</v>
      </c>
      <c r="Z261" s="16" t="s">
        <v>34</v>
      </c>
      <c r="AA261">
        <v>-75.636646999999996</v>
      </c>
      <c r="AB261">
        <v>6.0826659999999997</v>
      </c>
      <c r="AC261" t="s">
        <v>96</v>
      </c>
      <c r="AD261" t="s">
        <v>97</v>
      </c>
    </row>
    <row r="262" spans="1:30" x14ac:dyDescent="0.25">
      <c r="A262" t="s">
        <v>1169</v>
      </c>
      <c r="B262" t="s">
        <v>63</v>
      </c>
      <c r="C262" t="s">
        <v>26</v>
      </c>
      <c r="D262" t="s">
        <v>64</v>
      </c>
      <c r="E262" t="s">
        <v>1170</v>
      </c>
      <c r="F262" t="s">
        <v>1171</v>
      </c>
      <c r="G262">
        <v>1101697892</v>
      </c>
      <c r="H262" t="s">
        <v>1172</v>
      </c>
      <c r="I262" s="4" t="s">
        <v>35</v>
      </c>
      <c r="J262" s="4" t="s">
        <v>1173</v>
      </c>
      <c r="K262" t="s">
        <v>1174</v>
      </c>
      <c r="L262" t="s">
        <v>27</v>
      </c>
      <c r="M262" t="s">
        <v>1175</v>
      </c>
      <c r="N262" t="s">
        <v>28</v>
      </c>
      <c r="O262" t="s">
        <v>65</v>
      </c>
      <c r="P262" t="s">
        <v>66</v>
      </c>
      <c r="Q262" t="s">
        <v>31</v>
      </c>
      <c r="R262">
        <v>9</v>
      </c>
      <c r="S262" t="s">
        <v>1176</v>
      </c>
      <c r="T262" t="s">
        <v>5208</v>
      </c>
      <c r="U262" t="s">
        <v>5209</v>
      </c>
      <c r="V262" t="s">
        <v>32</v>
      </c>
      <c r="W262" t="s">
        <v>33</v>
      </c>
      <c r="X262" t="s">
        <v>33</v>
      </c>
      <c r="Y262" t="s">
        <v>33</v>
      </c>
      <c r="Z262" s="16" t="s">
        <v>34</v>
      </c>
      <c r="AA262">
        <v>-75.578559569999996</v>
      </c>
      <c r="AB262">
        <v>6.24870226</v>
      </c>
      <c r="AC262" t="s">
        <v>96</v>
      </c>
      <c r="AD262" t="s">
        <v>97</v>
      </c>
    </row>
    <row r="263" spans="1:30" x14ac:dyDescent="0.25">
      <c r="A263" t="s">
        <v>2035</v>
      </c>
      <c r="B263" t="s">
        <v>25</v>
      </c>
      <c r="C263" t="s">
        <v>26</v>
      </c>
      <c r="D263" t="s">
        <v>25</v>
      </c>
      <c r="E263" t="s">
        <v>2036</v>
      </c>
      <c r="F263" t="s">
        <v>2037</v>
      </c>
      <c r="G263">
        <v>70780511</v>
      </c>
      <c r="H263" t="s">
        <v>2038</v>
      </c>
      <c r="I263" s="4" t="s">
        <v>35</v>
      </c>
      <c r="J263" s="4" t="s">
        <v>2039</v>
      </c>
      <c r="K263" t="s">
        <v>2040</v>
      </c>
      <c r="L263" t="s">
        <v>27</v>
      </c>
      <c r="M263" t="s">
        <v>2041</v>
      </c>
      <c r="N263" t="s">
        <v>28</v>
      </c>
      <c r="O263" t="s">
        <v>29</v>
      </c>
      <c r="P263" t="s">
        <v>36</v>
      </c>
      <c r="Q263" t="s">
        <v>31</v>
      </c>
      <c r="R263">
        <v>7</v>
      </c>
      <c r="S263" t="s">
        <v>2042</v>
      </c>
      <c r="T263" t="s">
        <v>3218</v>
      </c>
      <c r="U263" t="s">
        <v>1685</v>
      </c>
      <c r="V263" t="s">
        <v>32</v>
      </c>
      <c r="W263" t="s">
        <v>33</v>
      </c>
      <c r="X263" t="s">
        <v>33</v>
      </c>
      <c r="Y263" t="s">
        <v>33</v>
      </c>
      <c r="Z263" s="16" t="s">
        <v>34</v>
      </c>
      <c r="AA263">
        <v>-75.613218000000003</v>
      </c>
      <c r="AB263">
        <v>6.2343950000000001</v>
      </c>
      <c r="AC263" t="s">
        <v>96</v>
      </c>
      <c r="AD263" t="s">
        <v>97</v>
      </c>
    </row>
    <row r="264" spans="1:30" x14ac:dyDescent="0.25">
      <c r="A264" t="s">
        <v>1045</v>
      </c>
      <c r="B264" t="s">
        <v>59</v>
      </c>
      <c r="C264" t="s">
        <v>26</v>
      </c>
      <c r="D264" t="s">
        <v>59</v>
      </c>
      <c r="E264" t="s">
        <v>1046</v>
      </c>
      <c r="F264" t="s">
        <v>1047</v>
      </c>
      <c r="G264">
        <v>70070329</v>
      </c>
      <c r="H264" t="s">
        <v>580</v>
      </c>
      <c r="I264" s="4" t="s">
        <v>35</v>
      </c>
      <c r="J264" s="4" t="s">
        <v>581</v>
      </c>
      <c r="K264" t="s">
        <v>1048</v>
      </c>
      <c r="L264" t="s">
        <v>47</v>
      </c>
      <c r="M264" t="s">
        <v>1049</v>
      </c>
      <c r="N264" t="s">
        <v>62</v>
      </c>
      <c r="O264" t="s">
        <v>60</v>
      </c>
      <c r="P264" t="s">
        <v>61</v>
      </c>
      <c r="Q264" t="s">
        <v>31</v>
      </c>
      <c r="R264">
        <v>4</v>
      </c>
      <c r="S264" t="s">
        <v>1050</v>
      </c>
      <c r="T264" t="s">
        <v>5210</v>
      </c>
      <c r="U264" t="s">
        <v>46</v>
      </c>
      <c r="V264" t="s">
        <v>46</v>
      </c>
      <c r="W264" t="s">
        <v>33</v>
      </c>
      <c r="X264" t="s">
        <v>33</v>
      </c>
      <c r="Y264" t="s">
        <v>33</v>
      </c>
      <c r="Z264" s="16" t="s">
        <v>34</v>
      </c>
      <c r="AA264">
        <v>-75.597265590000006</v>
      </c>
      <c r="AB264">
        <v>6.1651768499999999</v>
      </c>
      <c r="AC264" t="s">
        <v>96</v>
      </c>
      <c r="AD264" t="s">
        <v>97</v>
      </c>
    </row>
    <row r="265" spans="1:30" x14ac:dyDescent="0.25">
      <c r="A265" t="s">
        <v>1051</v>
      </c>
      <c r="B265" t="s">
        <v>59</v>
      </c>
      <c r="C265" t="s">
        <v>26</v>
      </c>
      <c r="D265" t="s">
        <v>59</v>
      </c>
      <c r="E265" t="s">
        <v>1052</v>
      </c>
      <c r="F265" t="s">
        <v>1053</v>
      </c>
      <c r="G265">
        <v>71117599</v>
      </c>
      <c r="H265" t="s">
        <v>1054</v>
      </c>
      <c r="I265" s="4" t="s">
        <v>35</v>
      </c>
      <c r="J265" s="4" t="s">
        <v>1055</v>
      </c>
      <c r="K265" t="s">
        <v>1056</v>
      </c>
      <c r="L265" t="s">
        <v>43</v>
      </c>
      <c r="M265" t="s">
        <v>1057</v>
      </c>
      <c r="N265" t="s">
        <v>44</v>
      </c>
      <c r="O265" t="s">
        <v>60</v>
      </c>
      <c r="P265" t="s">
        <v>61</v>
      </c>
      <c r="Q265" t="s">
        <v>31</v>
      </c>
      <c r="R265">
        <v>4</v>
      </c>
      <c r="S265" t="s">
        <v>1058</v>
      </c>
      <c r="T265" t="s">
        <v>5212</v>
      </c>
      <c r="U265" t="s">
        <v>46</v>
      </c>
      <c r="V265" t="s">
        <v>46</v>
      </c>
      <c r="W265" t="s">
        <v>33</v>
      </c>
      <c r="X265" t="s">
        <v>33</v>
      </c>
      <c r="Y265" t="s">
        <v>33</v>
      </c>
      <c r="Z265" s="16" t="s">
        <v>34</v>
      </c>
      <c r="AA265">
        <v>-75.594529660000006</v>
      </c>
      <c r="AB265">
        <v>6.1902480799999999</v>
      </c>
      <c r="AC265" t="s">
        <v>96</v>
      </c>
      <c r="AD265" t="s">
        <v>97</v>
      </c>
    </row>
    <row r="266" spans="1:30" x14ac:dyDescent="0.25">
      <c r="A266" t="s">
        <v>2043</v>
      </c>
      <c r="B266" t="s">
        <v>25</v>
      </c>
      <c r="C266" t="s">
        <v>26</v>
      </c>
      <c r="D266" t="s">
        <v>25</v>
      </c>
      <c r="E266" t="s">
        <v>2044</v>
      </c>
      <c r="F266" t="s">
        <v>2045</v>
      </c>
      <c r="G266">
        <v>42764711</v>
      </c>
      <c r="H266" t="s">
        <v>2046</v>
      </c>
      <c r="I266" s="4" t="s">
        <v>35</v>
      </c>
      <c r="J266" s="4" t="s">
        <v>2047</v>
      </c>
      <c r="K266" t="s">
        <v>2048</v>
      </c>
      <c r="L266" t="s">
        <v>27</v>
      </c>
      <c r="M266" t="s">
        <v>2049</v>
      </c>
      <c r="N266" t="s">
        <v>28</v>
      </c>
      <c r="O266" t="s">
        <v>29</v>
      </c>
      <c r="P266" t="s">
        <v>36</v>
      </c>
      <c r="Q266" t="s">
        <v>31</v>
      </c>
      <c r="R266">
        <v>7</v>
      </c>
      <c r="S266" t="s">
        <v>2050</v>
      </c>
      <c r="T266" t="s">
        <v>1495</v>
      </c>
      <c r="U266" t="s">
        <v>1133</v>
      </c>
      <c r="V266" t="s">
        <v>32</v>
      </c>
      <c r="W266" t="s">
        <v>33</v>
      </c>
      <c r="X266" t="s">
        <v>33</v>
      </c>
      <c r="Y266" t="s">
        <v>33</v>
      </c>
      <c r="Z266" s="16" t="s">
        <v>34</v>
      </c>
      <c r="AA266">
        <v>-75.633408399999993</v>
      </c>
      <c r="AB266">
        <v>6.1853510600000003</v>
      </c>
      <c r="AC266" t="s">
        <v>96</v>
      </c>
      <c r="AD266" t="s">
        <v>97</v>
      </c>
    </row>
    <row r="267" spans="1:30" x14ac:dyDescent="0.25">
      <c r="A267" t="s">
        <v>2052</v>
      </c>
      <c r="B267" t="s">
        <v>25</v>
      </c>
      <c r="C267" t="s">
        <v>26</v>
      </c>
      <c r="D267" t="s">
        <v>25</v>
      </c>
      <c r="E267" t="s">
        <v>2053</v>
      </c>
      <c r="F267" t="s">
        <v>2054</v>
      </c>
      <c r="G267">
        <v>71374320</v>
      </c>
      <c r="H267" t="s">
        <v>2055</v>
      </c>
      <c r="I267" s="4" t="s">
        <v>2056</v>
      </c>
      <c r="J267" s="4" t="s">
        <v>2057</v>
      </c>
      <c r="K267" t="s">
        <v>2058</v>
      </c>
      <c r="L267" t="s">
        <v>27</v>
      </c>
      <c r="M267" t="s">
        <v>2059</v>
      </c>
      <c r="N267" t="s">
        <v>28</v>
      </c>
      <c r="O267" t="s">
        <v>29</v>
      </c>
      <c r="P267" t="s">
        <v>36</v>
      </c>
      <c r="Q267" t="s">
        <v>37</v>
      </c>
      <c r="R267">
        <v>10</v>
      </c>
      <c r="S267" t="s">
        <v>2060</v>
      </c>
      <c r="T267" t="s">
        <v>3397</v>
      </c>
      <c r="U267" t="s">
        <v>5213</v>
      </c>
      <c r="V267" t="s">
        <v>32</v>
      </c>
      <c r="W267" t="s">
        <v>33</v>
      </c>
      <c r="X267" t="s">
        <v>33</v>
      </c>
      <c r="Y267" t="s">
        <v>33</v>
      </c>
      <c r="Z267" s="16" t="s">
        <v>34</v>
      </c>
      <c r="AA267">
        <v>-75.650121810000002</v>
      </c>
      <c r="AB267">
        <v>6.2897943400000003</v>
      </c>
      <c r="AC267" t="s">
        <v>96</v>
      </c>
      <c r="AD267" t="s">
        <v>97</v>
      </c>
    </row>
    <row r="268" spans="1:30" x14ac:dyDescent="0.25">
      <c r="A268" t="s">
        <v>1059</v>
      </c>
      <c r="B268" t="s">
        <v>59</v>
      </c>
      <c r="C268" t="s">
        <v>26</v>
      </c>
      <c r="D268" t="s">
        <v>59</v>
      </c>
      <c r="E268" t="s">
        <v>1060</v>
      </c>
      <c r="F268" t="s">
        <v>1061</v>
      </c>
      <c r="G268">
        <v>43627721</v>
      </c>
      <c r="H268" t="s">
        <v>275</v>
      </c>
      <c r="I268" s="4" t="s">
        <v>276</v>
      </c>
      <c r="J268" s="4" t="s">
        <v>677</v>
      </c>
      <c r="K268" t="s">
        <v>1062</v>
      </c>
      <c r="L268" t="s">
        <v>47</v>
      </c>
      <c r="M268" t="s">
        <v>1063</v>
      </c>
      <c r="N268" t="s">
        <v>62</v>
      </c>
      <c r="O268" t="s">
        <v>60</v>
      </c>
      <c r="P268" t="s">
        <v>61</v>
      </c>
      <c r="Q268" t="s">
        <v>37</v>
      </c>
      <c r="R268">
        <v>4</v>
      </c>
      <c r="S268" t="s">
        <v>1064</v>
      </c>
      <c r="T268" t="s">
        <v>5214</v>
      </c>
      <c r="U268" t="s">
        <v>46</v>
      </c>
      <c r="V268" t="s">
        <v>46</v>
      </c>
      <c r="W268" t="s">
        <v>33</v>
      </c>
      <c r="X268" t="s">
        <v>33</v>
      </c>
      <c r="Y268" t="s">
        <v>33</v>
      </c>
      <c r="Z268" s="16" t="s">
        <v>34</v>
      </c>
      <c r="AA268">
        <v>-75.505385000000004</v>
      </c>
      <c r="AB268">
        <v>6.1594350000000002</v>
      </c>
      <c r="AC268" t="s">
        <v>96</v>
      </c>
      <c r="AD268" t="s">
        <v>97</v>
      </c>
    </row>
    <row r="269" spans="1:30" x14ac:dyDescent="0.25">
      <c r="A269" t="s">
        <v>2061</v>
      </c>
      <c r="B269" t="s">
        <v>25</v>
      </c>
      <c r="C269" t="s">
        <v>26</v>
      </c>
      <c r="D269" t="s">
        <v>25</v>
      </c>
      <c r="E269" t="s">
        <v>2062</v>
      </c>
      <c r="F269" t="s">
        <v>2063</v>
      </c>
      <c r="G269">
        <v>43983335</v>
      </c>
      <c r="H269" t="s">
        <v>2064</v>
      </c>
      <c r="I269" s="4" t="s">
        <v>35</v>
      </c>
      <c r="J269" s="4" t="s">
        <v>2065</v>
      </c>
      <c r="K269" t="s">
        <v>2066</v>
      </c>
      <c r="L269" t="s">
        <v>27</v>
      </c>
      <c r="M269" t="s">
        <v>2067</v>
      </c>
      <c r="N269" t="s">
        <v>28</v>
      </c>
      <c r="O269" t="s">
        <v>29</v>
      </c>
      <c r="P269" t="s">
        <v>36</v>
      </c>
      <c r="Q269" t="s">
        <v>31</v>
      </c>
      <c r="R269">
        <v>7</v>
      </c>
      <c r="S269" t="s">
        <v>2068</v>
      </c>
      <c r="T269" t="s">
        <v>3222</v>
      </c>
      <c r="U269" t="s">
        <v>3221</v>
      </c>
      <c r="V269" t="s">
        <v>32</v>
      </c>
      <c r="W269" t="s">
        <v>33</v>
      </c>
      <c r="X269" t="s">
        <v>33</v>
      </c>
      <c r="Y269" t="s">
        <v>33</v>
      </c>
      <c r="Z269" s="16" t="s">
        <v>34</v>
      </c>
      <c r="AA269">
        <v>-75.634065000000007</v>
      </c>
      <c r="AB269">
        <v>6.2828749999999998</v>
      </c>
      <c r="AC269" t="s">
        <v>96</v>
      </c>
      <c r="AD269" t="s">
        <v>97</v>
      </c>
    </row>
    <row r="270" spans="1:30" x14ac:dyDescent="0.25">
      <c r="A270" t="s">
        <v>2069</v>
      </c>
      <c r="B270" t="s">
        <v>41</v>
      </c>
      <c r="C270" t="s">
        <v>70</v>
      </c>
      <c r="D270" t="s">
        <v>41</v>
      </c>
      <c r="E270" t="s">
        <v>2070</v>
      </c>
      <c r="F270" t="s">
        <v>2071</v>
      </c>
      <c r="G270">
        <v>21803728</v>
      </c>
      <c r="H270" t="s">
        <v>643</v>
      </c>
      <c r="I270" s="4" t="s">
        <v>35</v>
      </c>
      <c r="J270" s="4" t="s">
        <v>644</v>
      </c>
      <c r="K270" t="s">
        <v>2072</v>
      </c>
      <c r="L270" t="s">
        <v>27</v>
      </c>
      <c r="M270" t="s">
        <v>2073</v>
      </c>
      <c r="N270" t="s">
        <v>28</v>
      </c>
      <c r="O270" t="s">
        <v>71</v>
      </c>
      <c r="P270" t="s">
        <v>30</v>
      </c>
      <c r="Q270" t="s">
        <v>31</v>
      </c>
      <c r="R270">
        <v>7</v>
      </c>
      <c r="S270" t="s">
        <v>2074</v>
      </c>
      <c r="T270" t="s">
        <v>1696</v>
      </c>
      <c r="U270" t="s">
        <v>669</v>
      </c>
      <c r="V270" t="s">
        <v>32</v>
      </c>
      <c r="W270" t="s">
        <v>33</v>
      </c>
      <c r="X270" t="s">
        <v>33</v>
      </c>
      <c r="Y270" t="s">
        <v>33</v>
      </c>
      <c r="Z270" s="16" t="s">
        <v>34</v>
      </c>
      <c r="AA270">
        <v>-75.580844420000005</v>
      </c>
      <c r="AB270">
        <v>6.22704608</v>
      </c>
      <c r="AC270" t="s">
        <v>96</v>
      </c>
      <c r="AD270" t="s">
        <v>97</v>
      </c>
    </row>
    <row r="271" spans="1:30" x14ac:dyDescent="0.25">
      <c r="A271" t="s">
        <v>2075</v>
      </c>
      <c r="B271" t="s">
        <v>25</v>
      </c>
      <c r="C271" t="s">
        <v>26</v>
      </c>
      <c r="D271" t="s">
        <v>25</v>
      </c>
      <c r="E271" t="s">
        <v>2076</v>
      </c>
      <c r="F271" t="s">
        <v>2077</v>
      </c>
      <c r="G271">
        <v>70102826</v>
      </c>
      <c r="H271" t="s">
        <v>2078</v>
      </c>
      <c r="I271" s="4" t="s">
        <v>35</v>
      </c>
      <c r="J271" s="4" t="s">
        <v>2079</v>
      </c>
      <c r="K271" t="s">
        <v>2080</v>
      </c>
      <c r="L271" t="s">
        <v>43</v>
      </c>
      <c r="M271" t="s">
        <v>2081</v>
      </c>
      <c r="N271" t="s">
        <v>44</v>
      </c>
      <c r="O271" t="s">
        <v>29</v>
      </c>
      <c r="P271" t="s">
        <v>36</v>
      </c>
      <c r="Q271" t="s">
        <v>31</v>
      </c>
      <c r="R271">
        <v>7</v>
      </c>
      <c r="S271" t="s">
        <v>2082</v>
      </c>
      <c r="T271" t="s">
        <v>3132</v>
      </c>
      <c r="U271" t="s">
        <v>1647</v>
      </c>
      <c r="V271" t="s">
        <v>32</v>
      </c>
      <c r="W271" t="s">
        <v>33</v>
      </c>
      <c r="X271" t="s">
        <v>33</v>
      </c>
      <c r="Y271" t="s">
        <v>33</v>
      </c>
      <c r="Z271" s="16" t="s">
        <v>34</v>
      </c>
      <c r="AA271">
        <v>-75.610848180000005</v>
      </c>
      <c r="AB271">
        <v>6.1823374600000003</v>
      </c>
      <c r="AC271" t="s">
        <v>96</v>
      </c>
      <c r="AD271" t="s">
        <v>97</v>
      </c>
    </row>
    <row r="272" spans="1:30" x14ac:dyDescent="0.25">
      <c r="A272" t="s">
        <v>1177</v>
      </c>
      <c r="B272" t="s">
        <v>63</v>
      </c>
      <c r="C272" t="s">
        <v>26</v>
      </c>
      <c r="D272" t="s">
        <v>64</v>
      </c>
      <c r="E272" t="s">
        <v>1178</v>
      </c>
      <c r="F272" t="s">
        <v>1179</v>
      </c>
      <c r="G272">
        <v>71629187</v>
      </c>
      <c r="H272" t="s">
        <v>1180</v>
      </c>
      <c r="I272" s="4" t="s">
        <v>1181</v>
      </c>
      <c r="J272" s="4" t="s">
        <v>1182</v>
      </c>
      <c r="K272" t="s">
        <v>1183</v>
      </c>
      <c r="L272" t="s">
        <v>27</v>
      </c>
      <c r="M272" t="s">
        <v>1184</v>
      </c>
      <c r="N272" t="s">
        <v>28</v>
      </c>
      <c r="O272" t="s">
        <v>65</v>
      </c>
      <c r="P272" t="s">
        <v>66</v>
      </c>
      <c r="Q272" t="s">
        <v>31</v>
      </c>
      <c r="R272">
        <v>9</v>
      </c>
      <c r="S272" t="s">
        <v>1185</v>
      </c>
      <c r="T272" t="s">
        <v>1126</v>
      </c>
      <c r="U272" t="s">
        <v>2643</v>
      </c>
      <c r="V272" t="s">
        <v>32</v>
      </c>
      <c r="W272" t="s">
        <v>33</v>
      </c>
      <c r="X272" t="s">
        <v>33</v>
      </c>
      <c r="Y272" t="s">
        <v>33</v>
      </c>
      <c r="Z272" s="16" t="s">
        <v>34</v>
      </c>
      <c r="AA272">
        <v>-75.561104580000006</v>
      </c>
      <c r="AB272">
        <v>6.2319090800000003</v>
      </c>
      <c r="AC272" t="s">
        <v>96</v>
      </c>
      <c r="AD272" t="s">
        <v>97</v>
      </c>
    </row>
    <row r="273" spans="1:30" x14ac:dyDescent="0.25">
      <c r="A273" t="s">
        <v>2084</v>
      </c>
      <c r="B273" t="s">
        <v>25</v>
      </c>
      <c r="C273" t="s">
        <v>26</v>
      </c>
      <c r="D273" t="s">
        <v>25</v>
      </c>
      <c r="E273" t="s">
        <v>2085</v>
      </c>
      <c r="F273" t="s">
        <v>2086</v>
      </c>
      <c r="G273">
        <v>21843167</v>
      </c>
      <c r="H273" t="s">
        <v>2087</v>
      </c>
      <c r="I273" s="4" t="s">
        <v>35</v>
      </c>
      <c r="J273" s="4" t="s">
        <v>2088</v>
      </c>
      <c r="K273" t="s">
        <v>2089</v>
      </c>
      <c r="L273" t="s">
        <v>53</v>
      </c>
      <c r="M273" t="s">
        <v>2090</v>
      </c>
      <c r="N273" t="s">
        <v>54</v>
      </c>
      <c r="O273" t="s">
        <v>29</v>
      </c>
      <c r="P273" t="s">
        <v>36</v>
      </c>
      <c r="Q273" t="s">
        <v>31</v>
      </c>
      <c r="R273">
        <v>7</v>
      </c>
      <c r="S273" t="s">
        <v>2091</v>
      </c>
      <c r="T273" t="s">
        <v>1643</v>
      </c>
      <c r="U273" t="s">
        <v>3224</v>
      </c>
      <c r="V273" t="s">
        <v>32</v>
      </c>
      <c r="W273" t="s">
        <v>33</v>
      </c>
      <c r="X273" t="s">
        <v>33</v>
      </c>
      <c r="Y273" t="s">
        <v>33</v>
      </c>
      <c r="Z273" s="16" t="s">
        <v>34</v>
      </c>
      <c r="AA273">
        <v>-75.642887999999999</v>
      </c>
      <c r="AB273">
        <v>6.140619</v>
      </c>
      <c r="AC273" t="s">
        <v>96</v>
      </c>
      <c r="AD273" t="s">
        <v>97</v>
      </c>
    </row>
    <row r="274" spans="1:30" x14ac:dyDescent="0.25">
      <c r="A274" t="s">
        <v>3225</v>
      </c>
      <c r="B274" t="s">
        <v>41</v>
      </c>
      <c r="C274" t="s">
        <v>26</v>
      </c>
      <c r="D274" t="s">
        <v>41</v>
      </c>
      <c r="E274" t="s">
        <v>3226</v>
      </c>
      <c r="F274" t="s">
        <v>3227</v>
      </c>
      <c r="G274">
        <v>98543342</v>
      </c>
      <c r="H274" t="s">
        <v>3228</v>
      </c>
      <c r="I274" s="4" t="s">
        <v>35</v>
      </c>
      <c r="J274" s="4" t="s">
        <v>3229</v>
      </c>
      <c r="K274" t="s">
        <v>3230</v>
      </c>
      <c r="L274" t="s">
        <v>27</v>
      </c>
      <c r="M274" t="s">
        <v>3231</v>
      </c>
      <c r="N274" t="s">
        <v>28</v>
      </c>
      <c r="O274" t="s">
        <v>42</v>
      </c>
      <c r="P274" t="s">
        <v>36</v>
      </c>
      <c r="Q274" t="s">
        <v>31</v>
      </c>
      <c r="R274">
        <v>7</v>
      </c>
      <c r="S274" t="s">
        <v>3232</v>
      </c>
      <c r="T274" t="s">
        <v>3234</v>
      </c>
      <c r="U274" t="s">
        <v>3233</v>
      </c>
      <c r="V274" t="s">
        <v>32</v>
      </c>
      <c r="W274" t="s">
        <v>33</v>
      </c>
      <c r="X274" t="s">
        <v>33</v>
      </c>
      <c r="Y274" t="s">
        <v>33</v>
      </c>
      <c r="Z274" s="16" t="s">
        <v>34</v>
      </c>
      <c r="AA274">
        <v>-75.616699609999998</v>
      </c>
      <c r="AB274">
        <v>6.2348829600000002</v>
      </c>
      <c r="AC274" t="s">
        <v>96</v>
      </c>
      <c r="AD274" t="s">
        <v>97</v>
      </c>
    </row>
    <row r="275" spans="1:30" x14ac:dyDescent="0.25">
      <c r="A275" t="s">
        <v>1065</v>
      </c>
      <c r="B275" t="s">
        <v>59</v>
      </c>
      <c r="C275" t="s">
        <v>26</v>
      </c>
      <c r="D275" t="s">
        <v>59</v>
      </c>
      <c r="E275" t="s">
        <v>1066</v>
      </c>
      <c r="F275" t="s">
        <v>1067</v>
      </c>
      <c r="G275">
        <v>92510463</v>
      </c>
      <c r="H275" t="s">
        <v>1068</v>
      </c>
      <c r="I275" s="4" t="s">
        <v>1069</v>
      </c>
      <c r="J275" s="4" t="s">
        <v>1070</v>
      </c>
      <c r="K275" t="s">
        <v>1071</v>
      </c>
      <c r="L275" t="s">
        <v>27</v>
      </c>
      <c r="M275" t="s">
        <v>1072</v>
      </c>
      <c r="N275" t="s">
        <v>28</v>
      </c>
      <c r="O275" t="s">
        <v>60</v>
      </c>
      <c r="P275" t="s">
        <v>61</v>
      </c>
      <c r="Q275" t="s">
        <v>31</v>
      </c>
      <c r="R275">
        <v>4</v>
      </c>
      <c r="S275" t="s">
        <v>1073</v>
      </c>
      <c r="T275" t="s">
        <v>5215</v>
      </c>
      <c r="U275" t="s">
        <v>46</v>
      </c>
      <c r="V275" t="s">
        <v>46</v>
      </c>
      <c r="W275" t="s">
        <v>33</v>
      </c>
      <c r="X275" t="s">
        <v>33</v>
      </c>
      <c r="Y275" t="s">
        <v>33</v>
      </c>
      <c r="Z275" s="16" t="s">
        <v>34</v>
      </c>
      <c r="AA275">
        <v>-75.563246509999999</v>
      </c>
      <c r="AB275">
        <v>6.2491462699999998</v>
      </c>
      <c r="AC275" t="s">
        <v>96</v>
      </c>
      <c r="AD275" t="s">
        <v>97</v>
      </c>
    </row>
    <row r="276" spans="1:30" x14ac:dyDescent="0.25">
      <c r="A276" t="s">
        <v>2092</v>
      </c>
      <c r="B276" t="s">
        <v>25</v>
      </c>
      <c r="C276" t="s">
        <v>26</v>
      </c>
      <c r="D276" t="s">
        <v>25</v>
      </c>
      <c r="E276" t="s">
        <v>2093</v>
      </c>
      <c r="F276" t="s">
        <v>2094</v>
      </c>
      <c r="G276">
        <v>1128453852</v>
      </c>
      <c r="H276" t="s">
        <v>2095</v>
      </c>
      <c r="I276" s="4" t="s">
        <v>35</v>
      </c>
      <c r="J276" s="4" t="s">
        <v>2096</v>
      </c>
      <c r="K276" t="s">
        <v>2097</v>
      </c>
      <c r="L276" t="s">
        <v>27</v>
      </c>
      <c r="M276" t="s">
        <v>2098</v>
      </c>
      <c r="N276" t="s">
        <v>28</v>
      </c>
      <c r="O276" t="s">
        <v>29</v>
      </c>
      <c r="P276" t="s">
        <v>36</v>
      </c>
      <c r="Q276" t="s">
        <v>31</v>
      </c>
      <c r="R276">
        <v>7</v>
      </c>
      <c r="S276" t="s">
        <v>2099</v>
      </c>
      <c r="T276" t="s">
        <v>3236</v>
      </c>
      <c r="U276" t="s">
        <v>3235</v>
      </c>
      <c r="V276" t="s">
        <v>32</v>
      </c>
      <c r="W276" t="s">
        <v>33</v>
      </c>
      <c r="X276" t="s">
        <v>33</v>
      </c>
      <c r="Y276" t="s">
        <v>33</v>
      </c>
      <c r="Z276" s="16" t="s">
        <v>34</v>
      </c>
      <c r="AA276">
        <v>-75.639906830000001</v>
      </c>
      <c r="AB276">
        <v>6.1752855100000001</v>
      </c>
      <c r="AC276" t="s">
        <v>96</v>
      </c>
      <c r="AD276" t="s">
        <v>97</v>
      </c>
    </row>
    <row r="277" spans="1:30" x14ac:dyDescent="0.25">
      <c r="A277" t="s">
        <v>1074</v>
      </c>
      <c r="B277" t="s">
        <v>49</v>
      </c>
      <c r="C277" t="s">
        <v>26</v>
      </c>
      <c r="D277" t="s">
        <v>49</v>
      </c>
      <c r="E277" t="s">
        <v>1075</v>
      </c>
      <c r="F277" t="s">
        <v>1076</v>
      </c>
      <c r="G277">
        <v>43865156</v>
      </c>
      <c r="H277" t="s">
        <v>1077</v>
      </c>
      <c r="I277" s="4" t="s">
        <v>1078</v>
      </c>
      <c r="J277" s="4" t="s">
        <v>1079</v>
      </c>
      <c r="K277" t="s">
        <v>1080</v>
      </c>
      <c r="L277" t="s">
        <v>27</v>
      </c>
      <c r="M277" t="s">
        <v>1081</v>
      </c>
      <c r="N277" t="s">
        <v>28</v>
      </c>
      <c r="O277" t="s">
        <v>50</v>
      </c>
      <c r="P277" t="s">
        <v>51</v>
      </c>
      <c r="Q277" t="s">
        <v>31</v>
      </c>
      <c r="R277">
        <v>11</v>
      </c>
      <c r="S277" t="s">
        <v>1082</v>
      </c>
      <c r="T277" t="s">
        <v>5217</v>
      </c>
      <c r="U277" t="s">
        <v>5218</v>
      </c>
      <c r="V277" t="s">
        <v>32</v>
      </c>
      <c r="W277" t="s">
        <v>33</v>
      </c>
      <c r="X277" t="s">
        <v>33</v>
      </c>
      <c r="Y277" t="s">
        <v>33</v>
      </c>
      <c r="Z277" s="16" t="s">
        <v>34</v>
      </c>
      <c r="AA277">
        <v>-75.614752469999999</v>
      </c>
      <c r="AB277">
        <v>6.2212126100000003</v>
      </c>
      <c r="AC277" t="s">
        <v>96</v>
      </c>
      <c r="AD277" t="s">
        <v>97</v>
      </c>
    </row>
    <row r="278" spans="1:30" x14ac:dyDescent="0.25">
      <c r="A278" t="s">
        <v>2100</v>
      </c>
      <c r="B278" t="s">
        <v>25</v>
      </c>
      <c r="C278" t="s">
        <v>26</v>
      </c>
      <c r="D278" t="s">
        <v>25</v>
      </c>
      <c r="E278" t="s">
        <v>2101</v>
      </c>
      <c r="F278" t="s">
        <v>2102</v>
      </c>
      <c r="G278">
        <v>43597796</v>
      </c>
      <c r="H278" t="s">
        <v>2103</v>
      </c>
      <c r="I278" s="4" t="s">
        <v>35</v>
      </c>
      <c r="J278" s="4" t="s">
        <v>2104</v>
      </c>
      <c r="K278" t="s">
        <v>2105</v>
      </c>
      <c r="L278" t="s">
        <v>43</v>
      </c>
      <c r="M278" t="s">
        <v>2106</v>
      </c>
      <c r="N278" t="s">
        <v>44</v>
      </c>
      <c r="O278" t="s">
        <v>29</v>
      </c>
      <c r="P278" t="s">
        <v>36</v>
      </c>
      <c r="Q278" t="s">
        <v>31</v>
      </c>
      <c r="R278">
        <v>7</v>
      </c>
      <c r="S278" t="s">
        <v>2107</v>
      </c>
      <c r="T278" t="s">
        <v>3238</v>
      </c>
      <c r="U278" t="s">
        <v>3237</v>
      </c>
      <c r="V278" t="s">
        <v>32</v>
      </c>
      <c r="W278" t="s">
        <v>33</v>
      </c>
      <c r="X278" t="s">
        <v>33</v>
      </c>
      <c r="Y278" t="s">
        <v>33</v>
      </c>
      <c r="Z278" s="16" t="s">
        <v>34</v>
      </c>
      <c r="AA278">
        <v>-75.614291530000003</v>
      </c>
      <c r="AB278">
        <v>6.18573796</v>
      </c>
      <c r="AC278" t="s">
        <v>96</v>
      </c>
      <c r="AD278" t="s">
        <v>97</v>
      </c>
    </row>
    <row r="279" spans="1:30" x14ac:dyDescent="0.25">
      <c r="A279" t="s">
        <v>1083</v>
      </c>
      <c r="B279" t="s">
        <v>59</v>
      </c>
      <c r="C279" t="s">
        <v>26</v>
      </c>
      <c r="D279" t="s">
        <v>59</v>
      </c>
      <c r="E279" t="s">
        <v>1084</v>
      </c>
      <c r="F279" t="s">
        <v>1085</v>
      </c>
      <c r="G279">
        <v>1035431008</v>
      </c>
      <c r="H279" t="s">
        <v>1086</v>
      </c>
      <c r="I279" s="4" t="s">
        <v>35</v>
      </c>
      <c r="J279" s="4" t="s">
        <v>1087</v>
      </c>
      <c r="K279" t="s">
        <v>1088</v>
      </c>
      <c r="L279" t="s">
        <v>27</v>
      </c>
      <c r="M279" t="s">
        <v>1089</v>
      </c>
      <c r="N279" t="s">
        <v>28</v>
      </c>
      <c r="O279" t="s">
        <v>60</v>
      </c>
      <c r="P279" t="s">
        <v>61</v>
      </c>
      <c r="Q279" t="s">
        <v>31</v>
      </c>
      <c r="R279">
        <v>4</v>
      </c>
      <c r="S279" t="s">
        <v>1090</v>
      </c>
      <c r="T279" t="s">
        <v>5219</v>
      </c>
      <c r="U279" t="s">
        <v>5220</v>
      </c>
      <c r="V279" t="s">
        <v>92</v>
      </c>
      <c r="W279" t="s">
        <v>33</v>
      </c>
      <c r="X279" t="s">
        <v>33</v>
      </c>
      <c r="Y279" t="s">
        <v>33</v>
      </c>
      <c r="Z279" s="16" t="s">
        <v>34</v>
      </c>
      <c r="AA279">
        <v>-75.587659909999999</v>
      </c>
      <c r="AB279">
        <v>6.2437409400000004</v>
      </c>
      <c r="AC279" t="s">
        <v>96</v>
      </c>
      <c r="AD279" t="s">
        <v>97</v>
      </c>
    </row>
    <row r="280" spans="1:30" x14ac:dyDescent="0.25">
      <c r="A280" t="s">
        <v>3239</v>
      </c>
      <c r="B280" t="s">
        <v>41</v>
      </c>
      <c r="C280" t="s">
        <v>26</v>
      </c>
      <c r="D280" t="s">
        <v>41</v>
      </c>
      <c r="E280" t="s">
        <v>3240</v>
      </c>
      <c r="F280" t="s">
        <v>3241</v>
      </c>
      <c r="G280">
        <v>43573212</v>
      </c>
      <c r="H280" t="s">
        <v>3242</v>
      </c>
      <c r="I280" s="4" t="s">
        <v>35</v>
      </c>
      <c r="J280" s="4" t="s">
        <v>2200</v>
      </c>
      <c r="K280" t="s">
        <v>3243</v>
      </c>
      <c r="L280" t="s">
        <v>27</v>
      </c>
      <c r="M280" t="s">
        <v>3244</v>
      </c>
      <c r="N280" t="s">
        <v>28</v>
      </c>
      <c r="O280" t="s">
        <v>42</v>
      </c>
      <c r="P280" t="s">
        <v>36</v>
      </c>
      <c r="Q280" t="s">
        <v>31</v>
      </c>
      <c r="R280">
        <v>7</v>
      </c>
      <c r="S280" t="s">
        <v>3245</v>
      </c>
      <c r="T280" t="s">
        <v>585</v>
      </c>
      <c r="U280" t="s">
        <v>1127</v>
      </c>
      <c r="V280" t="s">
        <v>32</v>
      </c>
      <c r="W280" t="s">
        <v>33</v>
      </c>
      <c r="X280" t="s">
        <v>33</v>
      </c>
      <c r="Y280" t="s">
        <v>33</v>
      </c>
      <c r="Z280" s="16" t="s">
        <v>34</v>
      </c>
      <c r="AA280">
        <v>-75.585433760000001</v>
      </c>
      <c r="AB280">
        <v>6.2635239299999999</v>
      </c>
      <c r="AC280" t="s">
        <v>96</v>
      </c>
      <c r="AD280" t="s">
        <v>97</v>
      </c>
    </row>
    <row r="281" spans="1:30" x14ac:dyDescent="0.25">
      <c r="A281" t="s">
        <v>1186</v>
      </c>
      <c r="B281" t="s">
        <v>63</v>
      </c>
      <c r="C281" t="s">
        <v>26</v>
      </c>
      <c r="D281" t="s">
        <v>64</v>
      </c>
      <c r="E281" t="s">
        <v>1187</v>
      </c>
      <c r="F281" t="s">
        <v>1188</v>
      </c>
      <c r="G281">
        <v>8160305</v>
      </c>
      <c r="H281" t="s">
        <v>1189</v>
      </c>
      <c r="I281" s="4" t="s">
        <v>35</v>
      </c>
      <c r="J281" s="4" t="s">
        <v>1190</v>
      </c>
      <c r="K281" t="s">
        <v>1191</v>
      </c>
      <c r="L281" t="s">
        <v>47</v>
      </c>
      <c r="M281" t="s">
        <v>1192</v>
      </c>
      <c r="N281" t="s">
        <v>62</v>
      </c>
      <c r="O281" t="s">
        <v>65</v>
      </c>
      <c r="P281" t="s">
        <v>69</v>
      </c>
      <c r="Q281" t="s">
        <v>31</v>
      </c>
      <c r="R281">
        <v>9</v>
      </c>
      <c r="S281" t="s">
        <v>1193</v>
      </c>
      <c r="T281" t="s">
        <v>585</v>
      </c>
      <c r="U281" t="s">
        <v>3180</v>
      </c>
      <c r="V281" t="s">
        <v>32</v>
      </c>
      <c r="W281" t="s">
        <v>33</v>
      </c>
      <c r="X281" t="s">
        <v>33</v>
      </c>
      <c r="Y281" t="s">
        <v>33</v>
      </c>
      <c r="Z281" s="16" t="s">
        <v>34</v>
      </c>
      <c r="AA281">
        <v>-75.582600420000006</v>
      </c>
      <c r="AB281">
        <v>6.1628173799999999</v>
      </c>
      <c r="AC281" t="s">
        <v>96</v>
      </c>
      <c r="AD281" t="s">
        <v>97</v>
      </c>
    </row>
    <row r="282" spans="1:30" x14ac:dyDescent="0.25">
      <c r="A282" t="s">
        <v>3247</v>
      </c>
      <c r="B282" t="s">
        <v>41</v>
      </c>
      <c r="C282" t="s">
        <v>26</v>
      </c>
      <c r="D282" t="s">
        <v>41</v>
      </c>
      <c r="E282" t="s">
        <v>3248</v>
      </c>
      <c r="F282" t="s">
        <v>3249</v>
      </c>
      <c r="G282">
        <v>51927043</v>
      </c>
      <c r="H282" t="s">
        <v>3250</v>
      </c>
      <c r="I282" s="4" t="s">
        <v>35</v>
      </c>
      <c r="J282" s="4" t="s">
        <v>3251</v>
      </c>
      <c r="K282" t="s">
        <v>3252</v>
      </c>
      <c r="L282" t="s">
        <v>27</v>
      </c>
      <c r="M282" t="s">
        <v>3253</v>
      </c>
      <c r="N282" t="s">
        <v>28</v>
      </c>
      <c r="O282" t="s">
        <v>42</v>
      </c>
      <c r="P282" t="s">
        <v>36</v>
      </c>
      <c r="Q282" t="s">
        <v>31</v>
      </c>
      <c r="R282">
        <v>7</v>
      </c>
      <c r="S282" t="s">
        <v>3254</v>
      </c>
      <c r="T282" t="s">
        <v>3256</v>
      </c>
      <c r="U282" t="s">
        <v>3255</v>
      </c>
      <c r="V282" t="s">
        <v>32</v>
      </c>
      <c r="W282" t="s">
        <v>33</v>
      </c>
      <c r="X282" t="s">
        <v>33</v>
      </c>
      <c r="Y282" t="s">
        <v>33</v>
      </c>
      <c r="Z282" s="16" t="s">
        <v>34</v>
      </c>
      <c r="AA282">
        <v>-75.612179549999993</v>
      </c>
      <c r="AB282">
        <v>6.2063421600000002</v>
      </c>
      <c r="AC282" t="s">
        <v>96</v>
      </c>
      <c r="AD282" t="s">
        <v>97</v>
      </c>
    </row>
    <row r="283" spans="1:30" x14ac:dyDescent="0.25">
      <c r="A283" t="s">
        <v>2108</v>
      </c>
      <c r="B283" t="s">
        <v>25</v>
      </c>
      <c r="C283" t="s">
        <v>26</v>
      </c>
      <c r="D283" t="s">
        <v>25</v>
      </c>
      <c r="E283" t="s">
        <v>2109</v>
      </c>
      <c r="F283" t="s">
        <v>2110</v>
      </c>
      <c r="G283">
        <v>42688501</v>
      </c>
      <c r="H283" t="s">
        <v>2111</v>
      </c>
      <c r="I283" s="4" t="s">
        <v>35</v>
      </c>
      <c r="J283" s="4" t="s">
        <v>2112</v>
      </c>
      <c r="K283" t="s">
        <v>2113</v>
      </c>
      <c r="L283" t="s">
        <v>27</v>
      </c>
      <c r="M283" t="s">
        <v>2114</v>
      </c>
      <c r="N283" t="s">
        <v>28</v>
      </c>
      <c r="O283" t="s">
        <v>29</v>
      </c>
      <c r="P283" t="s">
        <v>36</v>
      </c>
      <c r="Q283" t="s">
        <v>31</v>
      </c>
      <c r="R283">
        <v>7</v>
      </c>
      <c r="S283" t="s">
        <v>2115</v>
      </c>
      <c r="T283" t="s">
        <v>1660</v>
      </c>
      <c r="U283" t="s">
        <v>3166</v>
      </c>
      <c r="V283" t="s">
        <v>32</v>
      </c>
      <c r="W283" t="s">
        <v>33</v>
      </c>
      <c r="X283" t="s">
        <v>33</v>
      </c>
      <c r="Y283" t="s">
        <v>33</v>
      </c>
      <c r="Z283" s="16" t="s">
        <v>34</v>
      </c>
      <c r="AA283">
        <v>-75.547773219999996</v>
      </c>
      <c r="AB283">
        <v>6.2493615199999999</v>
      </c>
      <c r="AC283" t="s">
        <v>96</v>
      </c>
      <c r="AD283" t="s">
        <v>97</v>
      </c>
    </row>
    <row r="284" spans="1:30" x14ac:dyDescent="0.25">
      <c r="A284" t="s">
        <v>1091</v>
      </c>
      <c r="B284" t="s">
        <v>25</v>
      </c>
      <c r="C284" t="s">
        <v>26</v>
      </c>
      <c r="D284" t="s">
        <v>38</v>
      </c>
      <c r="E284" t="s">
        <v>1092</v>
      </c>
      <c r="F284" t="s">
        <v>1093</v>
      </c>
      <c r="G284">
        <v>3522962</v>
      </c>
      <c r="H284" t="s">
        <v>1094</v>
      </c>
      <c r="I284" s="4" t="s">
        <v>35</v>
      </c>
      <c r="J284" s="4" t="s">
        <v>1095</v>
      </c>
      <c r="K284" t="s">
        <v>1096</v>
      </c>
      <c r="L284" t="s">
        <v>27</v>
      </c>
      <c r="M284" t="s">
        <v>1097</v>
      </c>
      <c r="N284" t="s">
        <v>28</v>
      </c>
      <c r="O284" t="s">
        <v>39</v>
      </c>
      <c r="P284" t="s">
        <v>40</v>
      </c>
      <c r="Q284" t="s">
        <v>31</v>
      </c>
      <c r="R284">
        <v>5</v>
      </c>
      <c r="S284" t="s">
        <v>1098</v>
      </c>
      <c r="T284" t="s">
        <v>5221</v>
      </c>
      <c r="U284" t="s">
        <v>5222</v>
      </c>
      <c r="V284" t="s">
        <v>48</v>
      </c>
      <c r="W284" t="s">
        <v>33</v>
      </c>
      <c r="X284" t="s">
        <v>33</v>
      </c>
      <c r="Y284" t="s">
        <v>33</v>
      </c>
      <c r="Z284" s="16" t="s">
        <v>34</v>
      </c>
      <c r="AA284">
        <v>-75.528985169999999</v>
      </c>
      <c r="AB284">
        <v>6.2311200800000002</v>
      </c>
      <c r="AC284" t="s">
        <v>96</v>
      </c>
      <c r="AD284" t="s">
        <v>97</v>
      </c>
    </row>
    <row r="285" spans="1:30" x14ac:dyDescent="0.25">
      <c r="A285" t="s">
        <v>1099</v>
      </c>
      <c r="B285" t="s">
        <v>59</v>
      </c>
      <c r="C285" t="s">
        <v>26</v>
      </c>
      <c r="D285" t="s">
        <v>59</v>
      </c>
      <c r="E285" t="s">
        <v>1100</v>
      </c>
      <c r="F285" t="s">
        <v>1101</v>
      </c>
      <c r="G285">
        <v>1037575804</v>
      </c>
      <c r="H285" t="s">
        <v>75</v>
      </c>
      <c r="I285" s="4" t="s">
        <v>35</v>
      </c>
      <c r="J285" s="4" t="s">
        <v>76</v>
      </c>
      <c r="K285" t="s">
        <v>1102</v>
      </c>
      <c r="L285" t="s">
        <v>27</v>
      </c>
      <c r="M285" t="s">
        <v>1103</v>
      </c>
      <c r="N285" t="s">
        <v>28</v>
      </c>
      <c r="O285" t="s">
        <v>60</v>
      </c>
      <c r="P285" t="s">
        <v>61</v>
      </c>
      <c r="Q285" t="s">
        <v>31</v>
      </c>
      <c r="R285">
        <v>4</v>
      </c>
      <c r="S285" t="s">
        <v>1104</v>
      </c>
      <c r="T285" t="s">
        <v>5223</v>
      </c>
      <c r="U285" t="s">
        <v>5224</v>
      </c>
      <c r="V285" t="s">
        <v>92</v>
      </c>
      <c r="W285" t="s">
        <v>33</v>
      </c>
      <c r="X285" t="s">
        <v>33</v>
      </c>
      <c r="Y285" t="s">
        <v>33</v>
      </c>
      <c r="Z285" s="16" t="s">
        <v>34</v>
      </c>
      <c r="AA285">
        <v>-75.606032440000007</v>
      </c>
      <c r="AB285">
        <v>6.2236664599999996</v>
      </c>
      <c r="AC285" t="s">
        <v>96</v>
      </c>
      <c r="AD285" t="s">
        <v>97</v>
      </c>
    </row>
    <row r="286" spans="1:30" x14ac:dyDescent="0.25">
      <c r="A286" t="s">
        <v>1194</v>
      </c>
      <c r="B286" t="s">
        <v>63</v>
      </c>
      <c r="C286" t="s">
        <v>26</v>
      </c>
      <c r="D286" t="s">
        <v>64</v>
      </c>
      <c r="E286" t="s">
        <v>1195</v>
      </c>
      <c r="F286" t="s">
        <v>1196</v>
      </c>
      <c r="G286">
        <v>43075253</v>
      </c>
      <c r="H286" t="s">
        <v>1197</v>
      </c>
      <c r="I286" s="4" t="s">
        <v>1198</v>
      </c>
      <c r="J286" s="4" t="s">
        <v>1199</v>
      </c>
      <c r="K286" t="s">
        <v>1200</v>
      </c>
      <c r="L286" t="s">
        <v>27</v>
      </c>
      <c r="M286" t="s">
        <v>1201</v>
      </c>
      <c r="N286" t="s">
        <v>28</v>
      </c>
      <c r="O286" t="s">
        <v>65</v>
      </c>
      <c r="P286" t="s">
        <v>66</v>
      </c>
      <c r="Q286" t="s">
        <v>31</v>
      </c>
      <c r="R286">
        <v>9</v>
      </c>
      <c r="S286" t="s">
        <v>1202</v>
      </c>
      <c r="T286" t="s">
        <v>5225</v>
      </c>
      <c r="U286" t="s">
        <v>5226</v>
      </c>
      <c r="V286" t="s">
        <v>32</v>
      </c>
      <c r="W286" t="s">
        <v>33</v>
      </c>
      <c r="X286" t="s">
        <v>33</v>
      </c>
      <c r="Y286" t="s">
        <v>33</v>
      </c>
      <c r="Z286" s="16" t="s">
        <v>34</v>
      </c>
      <c r="AA286">
        <v>-75.552989780000004</v>
      </c>
      <c r="AB286">
        <v>6.2478737200000003</v>
      </c>
      <c r="AC286" t="s">
        <v>96</v>
      </c>
      <c r="AD286" t="s">
        <v>97</v>
      </c>
    </row>
    <row r="287" spans="1:30" x14ac:dyDescent="0.25">
      <c r="A287" t="s">
        <v>2116</v>
      </c>
      <c r="B287" t="s">
        <v>25</v>
      </c>
      <c r="C287" t="s">
        <v>26</v>
      </c>
      <c r="D287" t="s">
        <v>25</v>
      </c>
      <c r="E287" t="s">
        <v>2117</v>
      </c>
      <c r="F287" t="s">
        <v>2118</v>
      </c>
      <c r="G287">
        <v>19473766</v>
      </c>
      <c r="H287" t="s">
        <v>2119</v>
      </c>
      <c r="I287" s="4" t="s">
        <v>2120</v>
      </c>
      <c r="J287" s="4" t="s">
        <v>2121</v>
      </c>
      <c r="K287" t="s">
        <v>2122</v>
      </c>
      <c r="L287" t="s">
        <v>27</v>
      </c>
      <c r="M287" t="s">
        <v>2123</v>
      </c>
      <c r="N287" t="s">
        <v>28</v>
      </c>
      <c r="O287" t="s">
        <v>29</v>
      </c>
      <c r="P287" t="s">
        <v>30</v>
      </c>
      <c r="Q287" t="s">
        <v>31</v>
      </c>
      <c r="R287">
        <v>7</v>
      </c>
      <c r="S287" t="s">
        <v>2124</v>
      </c>
      <c r="T287" t="s">
        <v>3192</v>
      </c>
      <c r="U287" t="s">
        <v>1644</v>
      </c>
      <c r="V287" t="s">
        <v>32</v>
      </c>
      <c r="W287" t="s">
        <v>33</v>
      </c>
      <c r="X287" t="s">
        <v>33</v>
      </c>
      <c r="Y287" t="s">
        <v>33</v>
      </c>
      <c r="Z287" s="16" t="s">
        <v>34</v>
      </c>
      <c r="AA287">
        <v>-75.552250000000001</v>
      </c>
      <c r="AB287">
        <v>6.2433759999999996</v>
      </c>
      <c r="AC287" t="s">
        <v>96</v>
      </c>
      <c r="AD287" t="s">
        <v>97</v>
      </c>
    </row>
    <row r="288" spans="1:30" x14ac:dyDescent="0.25">
      <c r="A288" t="s">
        <v>2125</v>
      </c>
      <c r="B288" t="s">
        <v>25</v>
      </c>
      <c r="C288" t="s">
        <v>26</v>
      </c>
      <c r="D288" t="s">
        <v>25</v>
      </c>
      <c r="E288" t="s">
        <v>2126</v>
      </c>
      <c r="F288" t="s">
        <v>2127</v>
      </c>
      <c r="G288">
        <v>19473766</v>
      </c>
      <c r="H288" t="s">
        <v>2119</v>
      </c>
      <c r="I288" s="4" t="s">
        <v>2120</v>
      </c>
      <c r="J288" s="4" t="s">
        <v>2121</v>
      </c>
      <c r="K288" t="s">
        <v>2128</v>
      </c>
      <c r="L288" t="s">
        <v>27</v>
      </c>
      <c r="M288" t="s">
        <v>2129</v>
      </c>
      <c r="N288" t="s">
        <v>28</v>
      </c>
      <c r="O288" t="s">
        <v>29</v>
      </c>
      <c r="P288" t="s">
        <v>30</v>
      </c>
      <c r="Q288" t="s">
        <v>31</v>
      </c>
      <c r="R288">
        <v>7</v>
      </c>
      <c r="S288" t="s">
        <v>2130</v>
      </c>
      <c r="T288" t="s">
        <v>3192</v>
      </c>
      <c r="U288" t="s">
        <v>1644</v>
      </c>
      <c r="V288" t="s">
        <v>32</v>
      </c>
      <c r="W288" t="s">
        <v>33</v>
      </c>
      <c r="X288" t="s">
        <v>33</v>
      </c>
      <c r="Y288" t="s">
        <v>33</v>
      </c>
      <c r="Z288" s="16" t="s">
        <v>34</v>
      </c>
      <c r="AA288">
        <v>-75.552250000000001</v>
      </c>
      <c r="AB288">
        <v>6.2433759999999996</v>
      </c>
      <c r="AC288" t="s">
        <v>96</v>
      </c>
      <c r="AD288" t="s">
        <v>97</v>
      </c>
    </row>
    <row r="289" spans="1:30" x14ac:dyDescent="0.25">
      <c r="A289" t="s">
        <v>2131</v>
      </c>
      <c r="B289" t="s">
        <v>25</v>
      </c>
      <c r="C289" t="s">
        <v>26</v>
      </c>
      <c r="D289" t="s">
        <v>25</v>
      </c>
      <c r="E289" t="s">
        <v>2132</v>
      </c>
      <c r="F289" t="s">
        <v>2133</v>
      </c>
      <c r="G289">
        <v>15532484</v>
      </c>
      <c r="H289" t="s">
        <v>2134</v>
      </c>
      <c r="I289" s="4" t="s">
        <v>35</v>
      </c>
      <c r="J289" s="4" t="s">
        <v>74</v>
      </c>
      <c r="K289" t="s">
        <v>2135</v>
      </c>
      <c r="L289" t="s">
        <v>27</v>
      </c>
      <c r="M289" t="s">
        <v>2136</v>
      </c>
      <c r="N289" t="s">
        <v>28</v>
      </c>
      <c r="O289" t="s">
        <v>29</v>
      </c>
      <c r="P289" t="s">
        <v>36</v>
      </c>
      <c r="Q289" t="s">
        <v>31</v>
      </c>
      <c r="R289">
        <v>7</v>
      </c>
      <c r="S289" t="s">
        <v>2137</v>
      </c>
      <c r="T289" t="s">
        <v>1682</v>
      </c>
      <c r="U289" t="s">
        <v>1677</v>
      </c>
      <c r="V289" t="s">
        <v>32</v>
      </c>
      <c r="W289" t="s">
        <v>33</v>
      </c>
      <c r="X289" t="s">
        <v>33</v>
      </c>
      <c r="Y289" t="s">
        <v>33</v>
      </c>
      <c r="Z289" s="16" t="s">
        <v>34</v>
      </c>
      <c r="AA289">
        <v>-75.661397249999993</v>
      </c>
      <c r="AB289">
        <v>6.1812379200000001</v>
      </c>
      <c r="AC289" t="s">
        <v>96</v>
      </c>
      <c r="AD289" t="s">
        <v>97</v>
      </c>
    </row>
    <row r="290" spans="1:30" x14ac:dyDescent="0.25">
      <c r="A290" t="s">
        <v>2139</v>
      </c>
      <c r="B290" t="s">
        <v>25</v>
      </c>
      <c r="C290" t="s">
        <v>26</v>
      </c>
      <c r="D290" t="s">
        <v>25</v>
      </c>
      <c r="E290" t="s">
        <v>2140</v>
      </c>
      <c r="F290" t="s">
        <v>2141</v>
      </c>
      <c r="G290">
        <v>98620149</v>
      </c>
      <c r="H290" t="s">
        <v>2142</v>
      </c>
      <c r="I290" s="4" t="s">
        <v>52</v>
      </c>
      <c r="J290" s="4" t="s">
        <v>2143</v>
      </c>
      <c r="K290" t="s">
        <v>2144</v>
      </c>
      <c r="L290" t="s">
        <v>57</v>
      </c>
      <c r="M290" t="s">
        <v>2145</v>
      </c>
      <c r="N290" t="s">
        <v>58</v>
      </c>
      <c r="O290" t="s">
        <v>29</v>
      </c>
      <c r="P290" t="s">
        <v>36</v>
      </c>
      <c r="Q290" t="s">
        <v>31</v>
      </c>
      <c r="R290">
        <v>7</v>
      </c>
      <c r="S290" t="s">
        <v>2146</v>
      </c>
      <c r="T290" t="s">
        <v>3258</v>
      </c>
      <c r="U290" t="s">
        <v>3257</v>
      </c>
      <c r="V290" t="s">
        <v>32</v>
      </c>
      <c r="W290" t="s">
        <v>33</v>
      </c>
      <c r="X290" t="s">
        <v>33</v>
      </c>
      <c r="Y290" t="s">
        <v>33</v>
      </c>
      <c r="Z290" s="16" t="s">
        <v>34</v>
      </c>
      <c r="AA290">
        <v>-75.613908940000002</v>
      </c>
      <c r="AB290">
        <v>6.1452847200000003</v>
      </c>
      <c r="AC290" t="s">
        <v>96</v>
      </c>
      <c r="AD290" t="s">
        <v>97</v>
      </c>
    </row>
    <row r="291" spans="1:30" x14ac:dyDescent="0.25">
      <c r="A291" t="s">
        <v>1105</v>
      </c>
      <c r="B291" t="s">
        <v>59</v>
      </c>
      <c r="C291" t="s">
        <v>26</v>
      </c>
      <c r="D291" t="s">
        <v>59</v>
      </c>
      <c r="E291" t="s">
        <v>1106</v>
      </c>
      <c r="F291" t="s">
        <v>1107</v>
      </c>
      <c r="G291">
        <v>900081751</v>
      </c>
      <c r="H291" t="s">
        <v>1108</v>
      </c>
      <c r="I291" s="4" t="s">
        <v>1109</v>
      </c>
      <c r="J291" s="4" t="s">
        <v>1110</v>
      </c>
      <c r="K291" t="s">
        <v>1111</v>
      </c>
      <c r="L291" t="s">
        <v>27</v>
      </c>
      <c r="M291" t="s">
        <v>1112</v>
      </c>
      <c r="N291" t="s">
        <v>28</v>
      </c>
      <c r="O291" t="s">
        <v>60</v>
      </c>
      <c r="P291" t="s">
        <v>61</v>
      </c>
      <c r="Q291" t="s">
        <v>31</v>
      </c>
      <c r="R291">
        <v>4</v>
      </c>
      <c r="S291" t="s">
        <v>1113</v>
      </c>
      <c r="T291" t="s">
        <v>5227</v>
      </c>
      <c r="U291" t="s">
        <v>5228</v>
      </c>
      <c r="V291" t="s">
        <v>92</v>
      </c>
      <c r="W291" t="s">
        <v>33</v>
      </c>
      <c r="X291" t="s">
        <v>33</v>
      </c>
      <c r="Y291" t="s">
        <v>33</v>
      </c>
      <c r="Z291" s="16" t="s">
        <v>34</v>
      </c>
      <c r="AA291">
        <v>-75.580579</v>
      </c>
      <c r="AB291">
        <v>6.2412419999999997</v>
      </c>
      <c r="AC291" t="s">
        <v>96</v>
      </c>
      <c r="AD291" t="s">
        <v>97</v>
      </c>
    </row>
    <row r="292" spans="1:30" x14ac:dyDescent="0.25">
      <c r="A292" t="s">
        <v>1203</v>
      </c>
      <c r="B292" t="s">
        <v>63</v>
      </c>
      <c r="C292" t="s">
        <v>26</v>
      </c>
      <c r="D292" t="s">
        <v>64</v>
      </c>
      <c r="E292" t="s">
        <v>1204</v>
      </c>
      <c r="F292" t="s">
        <v>1205</v>
      </c>
      <c r="G292">
        <v>1128441970</v>
      </c>
      <c r="H292" t="s">
        <v>1206</v>
      </c>
      <c r="I292" s="4" t="s">
        <v>1207</v>
      </c>
      <c r="J292" s="4" t="s">
        <v>1208</v>
      </c>
      <c r="K292" t="s">
        <v>1209</v>
      </c>
      <c r="L292" t="s">
        <v>27</v>
      </c>
      <c r="M292" t="s">
        <v>1210</v>
      </c>
      <c r="N292" t="s">
        <v>28</v>
      </c>
      <c r="O292" t="s">
        <v>65</v>
      </c>
      <c r="P292" t="s">
        <v>66</v>
      </c>
      <c r="Q292" t="s">
        <v>37</v>
      </c>
      <c r="R292">
        <v>14</v>
      </c>
      <c r="S292" t="s">
        <v>1211</v>
      </c>
      <c r="T292" t="s">
        <v>5229</v>
      </c>
      <c r="U292" t="s">
        <v>5230</v>
      </c>
      <c r="V292" t="s">
        <v>32</v>
      </c>
      <c r="W292" t="s">
        <v>33</v>
      </c>
      <c r="X292" t="s">
        <v>33</v>
      </c>
      <c r="Y292" t="s">
        <v>33</v>
      </c>
      <c r="Z292" s="16" t="s">
        <v>34</v>
      </c>
      <c r="AA292">
        <v>-75.705631999999994</v>
      </c>
      <c r="AB292">
        <v>6.359826</v>
      </c>
      <c r="AC292" t="s">
        <v>96</v>
      </c>
      <c r="AD292" t="s">
        <v>97</v>
      </c>
    </row>
    <row r="293" spans="1:30" x14ac:dyDescent="0.25">
      <c r="A293" t="s">
        <v>1114</v>
      </c>
      <c r="B293" t="s">
        <v>59</v>
      </c>
      <c r="C293" t="s">
        <v>26</v>
      </c>
      <c r="D293" t="s">
        <v>59</v>
      </c>
      <c r="E293" t="s">
        <v>1115</v>
      </c>
      <c r="F293" t="s">
        <v>1116</v>
      </c>
      <c r="G293">
        <v>811008778</v>
      </c>
      <c r="H293" t="s">
        <v>1117</v>
      </c>
      <c r="I293" s="4" t="s">
        <v>1118</v>
      </c>
      <c r="J293" s="4" t="s">
        <v>1119</v>
      </c>
      <c r="K293" t="s">
        <v>1120</v>
      </c>
      <c r="L293" t="s">
        <v>27</v>
      </c>
      <c r="M293" t="s">
        <v>1121</v>
      </c>
      <c r="N293" t="s">
        <v>28</v>
      </c>
      <c r="O293" t="s">
        <v>60</v>
      </c>
      <c r="P293" t="s">
        <v>61</v>
      </c>
      <c r="Q293" t="s">
        <v>31</v>
      </c>
      <c r="R293">
        <v>4</v>
      </c>
      <c r="S293" t="s">
        <v>1122</v>
      </c>
      <c r="T293" t="s">
        <v>1681</v>
      </c>
      <c r="U293" t="s">
        <v>5231</v>
      </c>
      <c r="V293" t="s">
        <v>92</v>
      </c>
      <c r="W293" t="s">
        <v>33</v>
      </c>
      <c r="X293" t="s">
        <v>33</v>
      </c>
      <c r="Y293" t="s">
        <v>33</v>
      </c>
      <c r="Z293" s="16" t="s">
        <v>34</v>
      </c>
      <c r="AA293">
        <v>-75.569192569999998</v>
      </c>
      <c r="AB293">
        <v>6.2433248399999997</v>
      </c>
      <c r="AC293" t="s">
        <v>96</v>
      </c>
      <c r="AD293" t="s">
        <v>97</v>
      </c>
    </row>
    <row r="294" spans="1:30" x14ac:dyDescent="0.25">
      <c r="A294" t="s">
        <v>1354</v>
      </c>
      <c r="B294" t="s">
        <v>59</v>
      </c>
      <c r="C294" t="s">
        <v>26</v>
      </c>
      <c r="D294" t="s">
        <v>59</v>
      </c>
      <c r="E294" t="s">
        <v>1355</v>
      </c>
      <c r="F294" t="s">
        <v>1356</v>
      </c>
      <c r="G294">
        <v>98551063</v>
      </c>
      <c r="H294" t="s">
        <v>1357</v>
      </c>
      <c r="I294" s="4" t="s">
        <v>1358</v>
      </c>
      <c r="J294" s="4" t="s">
        <v>1359</v>
      </c>
      <c r="K294" t="s">
        <v>1360</v>
      </c>
      <c r="L294" t="s">
        <v>47</v>
      </c>
      <c r="M294" t="s">
        <v>1361</v>
      </c>
      <c r="N294" t="s">
        <v>62</v>
      </c>
      <c r="O294" t="s">
        <v>60</v>
      </c>
      <c r="P294" t="s">
        <v>61</v>
      </c>
      <c r="Q294" t="s">
        <v>37</v>
      </c>
      <c r="R294">
        <v>4</v>
      </c>
      <c r="S294" t="s">
        <v>1362</v>
      </c>
      <c r="T294" t="s">
        <v>5234</v>
      </c>
      <c r="U294" t="s">
        <v>5235</v>
      </c>
      <c r="V294" t="s">
        <v>92</v>
      </c>
      <c r="W294" t="s">
        <v>33</v>
      </c>
      <c r="X294" t="s">
        <v>33</v>
      </c>
      <c r="Y294" t="s">
        <v>33</v>
      </c>
      <c r="Z294" s="16" t="s">
        <v>34</v>
      </c>
      <c r="AA294">
        <v>-75.518951009999995</v>
      </c>
      <c r="AB294">
        <v>6.1424815600000002</v>
      </c>
      <c r="AC294" t="s">
        <v>96</v>
      </c>
      <c r="AD294" t="s">
        <v>97</v>
      </c>
    </row>
    <row r="295" spans="1:30" x14ac:dyDescent="0.25">
      <c r="A295" t="s">
        <v>2147</v>
      </c>
      <c r="B295" t="s">
        <v>25</v>
      </c>
      <c r="C295" t="s">
        <v>26</v>
      </c>
      <c r="D295" t="s">
        <v>25</v>
      </c>
      <c r="E295" t="s">
        <v>2148</v>
      </c>
      <c r="F295" t="s">
        <v>2149</v>
      </c>
      <c r="G295">
        <v>43810725</v>
      </c>
      <c r="H295" t="s">
        <v>2150</v>
      </c>
      <c r="I295" s="4" t="s">
        <v>35</v>
      </c>
      <c r="J295" s="4" t="s">
        <v>2151</v>
      </c>
      <c r="K295" t="s">
        <v>2152</v>
      </c>
      <c r="L295" t="s">
        <v>43</v>
      </c>
      <c r="M295" t="s">
        <v>2153</v>
      </c>
      <c r="N295" t="s">
        <v>44</v>
      </c>
      <c r="O295" t="s">
        <v>29</v>
      </c>
      <c r="P295" t="s">
        <v>36</v>
      </c>
      <c r="Q295" t="s">
        <v>31</v>
      </c>
      <c r="R295">
        <v>7</v>
      </c>
      <c r="S295" t="s">
        <v>2154</v>
      </c>
      <c r="T295" t="s">
        <v>3259</v>
      </c>
      <c r="U295" t="s">
        <v>1698</v>
      </c>
      <c r="V295" t="s">
        <v>32</v>
      </c>
      <c r="W295" t="s">
        <v>33</v>
      </c>
      <c r="X295" t="s">
        <v>33</v>
      </c>
      <c r="Y295" t="s">
        <v>33</v>
      </c>
      <c r="Z295" s="16" t="s">
        <v>34</v>
      </c>
      <c r="AA295">
        <v>-75.610641999999999</v>
      </c>
      <c r="AB295">
        <v>6.1794349999999998</v>
      </c>
      <c r="AC295" t="s">
        <v>96</v>
      </c>
      <c r="AD295" t="s">
        <v>97</v>
      </c>
    </row>
    <row r="296" spans="1:30" x14ac:dyDescent="0.25">
      <c r="A296" t="s">
        <v>1212</v>
      </c>
      <c r="B296" t="s">
        <v>63</v>
      </c>
      <c r="C296" t="s">
        <v>26</v>
      </c>
      <c r="D296" t="s">
        <v>64</v>
      </c>
      <c r="E296" t="s">
        <v>1213</v>
      </c>
      <c r="F296" t="s">
        <v>1214</v>
      </c>
      <c r="G296">
        <v>15533129</v>
      </c>
      <c r="H296" t="s">
        <v>1215</v>
      </c>
      <c r="I296" s="4" t="s">
        <v>35</v>
      </c>
      <c r="J296" s="4" t="s">
        <v>1216</v>
      </c>
      <c r="K296" t="s">
        <v>1217</v>
      </c>
      <c r="L296" t="s">
        <v>27</v>
      </c>
      <c r="M296" t="s">
        <v>1218</v>
      </c>
      <c r="N296" t="s">
        <v>28</v>
      </c>
      <c r="O296" t="s">
        <v>65</v>
      </c>
      <c r="P296" t="s">
        <v>66</v>
      </c>
      <c r="Q296" t="s">
        <v>31</v>
      </c>
      <c r="R296">
        <v>9</v>
      </c>
      <c r="S296" t="s">
        <v>1363</v>
      </c>
      <c r="T296" t="s">
        <v>5236</v>
      </c>
      <c r="U296" t="s">
        <v>4870</v>
      </c>
      <c r="V296" t="s">
        <v>32</v>
      </c>
      <c r="W296" t="s">
        <v>33</v>
      </c>
      <c r="X296" t="s">
        <v>33</v>
      </c>
      <c r="Y296" t="s">
        <v>33</v>
      </c>
      <c r="Z296" s="16" t="s">
        <v>34</v>
      </c>
      <c r="AA296">
        <v>-75.61455436</v>
      </c>
      <c r="AB296">
        <v>6.2729409</v>
      </c>
      <c r="AC296" t="s">
        <v>96</v>
      </c>
      <c r="AD296" t="s">
        <v>97</v>
      </c>
    </row>
    <row r="297" spans="1:30" x14ac:dyDescent="0.25">
      <c r="A297" t="s">
        <v>2155</v>
      </c>
      <c r="B297" t="s">
        <v>25</v>
      </c>
      <c r="C297" t="s">
        <v>26</v>
      </c>
      <c r="D297" t="s">
        <v>25</v>
      </c>
      <c r="E297" t="s">
        <v>2156</v>
      </c>
      <c r="F297" t="s">
        <v>2157</v>
      </c>
      <c r="G297">
        <v>1010070738</v>
      </c>
      <c r="H297" t="s">
        <v>2158</v>
      </c>
      <c r="I297" s="4" t="s">
        <v>35</v>
      </c>
      <c r="J297" s="4" t="s">
        <v>2159</v>
      </c>
      <c r="K297" t="s">
        <v>2160</v>
      </c>
      <c r="L297" t="s">
        <v>27</v>
      </c>
      <c r="M297" t="s">
        <v>2161</v>
      </c>
      <c r="N297" t="s">
        <v>28</v>
      </c>
      <c r="O297" t="s">
        <v>29</v>
      </c>
      <c r="P297" t="s">
        <v>36</v>
      </c>
      <c r="Q297" t="s">
        <v>31</v>
      </c>
      <c r="R297">
        <v>7</v>
      </c>
      <c r="S297" t="s">
        <v>2162</v>
      </c>
      <c r="T297" t="s">
        <v>3261</v>
      </c>
      <c r="U297" t="s">
        <v>3260</v>
      </c>
      <c r="V297" t="s">
        <v>32</v>
      </c>
      <c r="W297" t="s">
        <v>33</v>
      </c>
      <c r="X297" t="s">
        <v>33</v>
      </c>
      <c r="Y297" t="s">
        <v>33</v>
      </c>
      <c r="Z297" s="16" t="s">
        <v>34</v>
      </c>
      <c r="AA297">
        <v>-75.626312999999996</v>
      </c>
      <c r="AB297">
        <v>6.253787</v>
      </c>
      <c r="AC297" t="s">
        <v>96</v>
      </c>
      <c r="AD297" t="s">
        <v>97</v>
      </c>
    </row>
    <row r="298" spans="1:30" x14ac:dyDescent="0.25">
      <c r="A298" t="s">
        <v>1364</v>
      </c>
      <c r="B298" t="s">
        <v>25</v>
      </c>
      <c r="C298" t="s">
        <v>26</v>
      </c>
      <c r="D298" t="s">
        <v>38</v>
      </c>
      <c r="E298" t="s">
        <v>1365</v>
      </c>
      <c r="F298" t="s">
        <v>1366</v>
      </c>
      <c r="G298">
        <v>1038567042</v>
      </c>
      <c r="H298" t="s">
        <v>1367</v>
      </c>
      <c r="I298" s="4" t="s">
        <v>35</v>
      </c>
      <c r="J298" s="4" t="s">
        <v>1368</v>
      </c>
      <c r="K298" t="s">
        <v>1369</v>
      </c>
      <c r="L298" t="s">
        <v>27</v>
      </c>
      <c r="M298" t="s">
        <v>1370</v>
      </c>
      <c r="N298" t="s">
        <v>28</v>
      </c>
      <c r="O298" t="s">
        <v>39</v>
      </c>
      <c r="P298" t="s">
        <v>40</v>
      </c>
      <c r="Q298" t="s">
        <v>31</v>
      </c>
      <c r="R298">
        <v>5</v>
      </c>
      <c r="S298" t="s">
        <v>1371</v>
      </c>
      <c r="T298" t="s">
        <v>5237</v>
      </c>
      <c r="U298" t="s">
        <v>5238</v>
      </c>
      <c r="V298" t="s">
        <v>48</v>
      </c>
      <c r="W298" t="s">
        <v>33</v>
      </c>
      <c r="X298" t="s">
        <v>33</v>
      </c>
      <c r="Y298" t="s">
        <v>33</v>
      </c>
      <c r="Z298" s="16" t="s">
        <v>34</v>
      </c>
      <c r="AA298">
        <v>-75.628892750000006</v>
      </c>
      <c r="AB298">
        <v>6.2503624100000001</v>
      </c>
      <c r="AC298" t="s">
        <v>96</v>
      </c>
      <c r="AD298" t="s">
        <v>97</v>
      </c>
    </row>
    <row r="299" spans="1:30" x14ac:dyDescent="0.25">
      <c r="A299" t="s">
        <v>2164</v>
      </c>
      <c r="B299" t="s">
        <v>25</v>
      </c>
      <c r="C299" t="s">
        <v>26</v>
      </c>
      <c r="D299" t="s">
        <v>25</v>
      </c>
      <c r="E299" t="s">
        <v>2165</v>
      </c>
      <c r="F299" t="s">
        <v>2166</v>
      </c>
      <c r="G299">
        <v>43035452</v>
      </c>
      <c r="H299" t="s">
        <v>2167</v>
      </c>
      <c r="I299" s="4" t="s">
        <v>2168</v>
      </c>
      <c r="J299" s="4" t="s">
        <v>2169</v>
      </c>
      <c r="K299" t="s">
        <v>2170</v>
      </c>
      <c r="L299" t="s">
        <v>27</v>
      </c>
      <c r="M299" t="s">
        <v>2171</v>
      </c>
      <c r="N299" t="s">
        <v>28</v>
      </c>
      <c r="O299" t="s">
        <v>29</v>
      </c>
      <c r="P299" t="s">
        <v>36</v>
      </c>
      <c r="Q299" t="s">
        <v>31</v>
      </c>
      <c r="R299">
        <v>7</v>
      </c>
      <c r="S299" t="s">
        <v>2172</v>
      </c>
      <c r="T299" t="s">
        <v>3263</v>
      </c>
      <c r="U299" t="s">
        <v>3262</v>
      </c>
      <c r="V299" t="s">
        <v>32</v>
      </c>
      <c r="W299" t="s">
        <v>33</v>
      </c>
      <c r="X299" t="s">
        <v>33</v>
      </c>
      <c r="Y299" t="s">
        <v>33</v>
      </c>
      <c r="Z299" s="16" t="s">
        <v>34</v>
      </c>
      <c r="AA299">
        <v>-75.585674749999995</v>
      </c>
      <c r="AB299">
        <v>6.2667691799999998</v>
      </c>
      <c r="AC299" t="s">
        <v>96</v>
      </c>
      <c r="AD299" t="s">
        <v>97</v>
      </c>
    </row>
    <row r="300" spans="1:30" x14ac:dyDescent="0.25">
      <c r="A300" t="s">
        <v>1372</v>
      </c>
      <c r="B300" t="s">
        <v>25</v>
      </c>
      <c r="C300" t="s">
        <v>26</v>
      </c>
      <c r="D300" t="s">
        <v>38</v>
      </c>
      <c r="E300" t="s">
        <v>1373</v>
      </c>
      <c r="F300" t="s">
        <v>1374</v>
      </c>
      <c r="G300">
        <v>71337386</v>
      </c>
      <c r="H300" t="s">
        <v>1375</v>
      </c>
      <c r="I300" s="4" t="s">
        <v>35</v>
      </c>
      <c r="J300" s="4" t="s">
        <v>1376</v>
      </c>
      <c r="K300" t="s">
        <v>1377</v>
      </c>
      <c r="L300" t="s">
        <v>27</v>
      </c>
      <c r="M300" t="s">
        <v>1378</v>
      </c>
      <c r="N300" t="s">
        <v>28</v>
      </c>
      <c r="O300" t="s">
        <v>39</v>
      </c>
      <c r="P300" t="s">
        <v>40</v>
      </c>
      <c r="Q300" t="s">
        <v>31</v>
      </c>
      <c r="R300">
        <v>5</v>
      </c>
      <c r="S300" t="s">
        <v>1379</v>
      </c>
      <c r="T300" t="s">
        <v>5239</v>
      </c>
      <c r="U300" t="s">
        <v>5240</v>
      </c>
      <c r="V300" t="s">
        <v>48</v>
      </c>
      <c r="W300" t="s">
        <v>33</v>
      </c>
      <c r="X300" t="s">
        <v>33</v>
      </c>
      <c r="Y300" t="s">
        <v>33</v>
      </c>
      <c r="Z300" s="16" t="s">
        <v>34</v>
      </c>
      <c r="AA300">
        <v>-75.598832999999999</v>
      </c>
      <c r="AB300">
        <v>6.2716750000000001</v>
      </c>
      <c r="AC300" t="s">
        <v>96</v>
      </c>
      <c r="AD300" t="s">
        <v>97</v>
      </c>
    </row>
    <row r="301" spans="1:30" x14ac:dyDescent="0.25">
      <c r="A301" t="s">
        <v>2173</v>
      </c>
      <c r="B301" t="s">
        <v>25</v>
      </c>
      <c r="C301" t="s">
        <v>26</v>
      </c>
      <c r="D301" t="s">
        <v>25</v>
      </c>
      <c r="E301" t="s">
        <v>2174</v>
      </c>
      <c r="F301" t="s">
        <v>2175</v>
      </c>
      <c r="G301">
        <v>43574476</v>
      </c>
      <c r="H301" t="s">
        <v>2176</v>
      </c>
      <c r="I301" s="4" t="s">
        <v>2177</v>
      </c>
      <c r="J301" s="4" t="s">
        <v>2178</v>
      </c>
      <c r="K301" t="s">
        <v>2179</v>
      </c>
      <c r="L301" t="s">
        <v>27</v>
      </c>
      <c r="M301" t="s">
        <v>2180</v>
      </c>
      <c r="N301" t="s">
        <v>28</v>
      </c>
      <c r="O301" t="s">
        <v>29</v>
      </c>
      <c r="P301" t="s">
        <v>36</v>
      </c>
      <c r="Q301" t="s">
        <v>31</v>
      </c>
      <c r="R301">
        <v>7</v>
      </c>
      <c r="S301" t="s">
        <v>2181</v>
      </c>
      <c r="T301" t="s">
        <v>3265</v>
      </c>
      <c r="U301" t="s">
        <v>3264</v>
      </c>
      <c r="V301" t="s">
        <v>32</v>
      </c>
      <c r="W301" t="s">
        <v>33</v>
      </c>
      <c r="X301" t="s">
        <v>33</v>
      </c>
      <c r="Y301" t="s">
        <v>33</v>
      </c>
      <c r="Z301" s="16" t="s">
        <v>34</v>
      </c>
      <c r="AA301">
        <v>-75.64932718</v>
      </c>
      <c r="AB301">
        <v>6.1868428199999999</v>
      </c>
      <c r="AC301" t="s">
        <v>96</v>
      </c>
      <c r="AD301" t="s">
        <v>97</v>
      </c>
    </row>
    <row r="302" spans="1:30" x14ac:dyDescent="0.25">
      <c r="A302" t="s">
        <v>2182</v>
      </c>
      <c r="B302" t="s">
        <v>25</v>
      </c>
      <c r="C302" t="s">
        <v>26</v>
      </c>
      <c r="D302" t="s">
        <v>25</v>
      </c>
      <c r="E302" t="s">
        <v>2183</v>
      </c>
      <c r="F302" t="s">
        <v>2184</v>
      </c>
      <c r="G302">
        <v>43035452</v>
      </c>
      <c r="H302" t="s">
        <v>2167</v>
      </c>
      <c r="I302" s="4" t="s">
        <v>2168</v>
      </c>
      <c r="J302" s="4" t="s">
        <v>2169</v>
      </c>
      <c r="K302" t="s">
        <v>2185</v>
      </c>
      <c r="L302" t="s">
        <v>27</v>
      </c>
      <c r="M302" t="s">
        <v>2186</v>
      </c>
      <c r="N302" t="s">
        <v>28</v>
      </c>
      <c r="O302" t="s">
        <v>29</v>
      </c>
      <c r="P302" t="s">
        <v>36</v>
      </c>
      <c r="Q302" t="s">
        <v>31</v>
      </c>
      <c r="R302">
        <v>7</v>
      </c>
      <c r="S302" t="s">
        <v>2187</v>
      </c>
      <c r="T302" t="s">
        <v>3267</v>
      </c>
      <c r="U302" t="s">
        <v>3266</v>
      </c>
      <c r="V302" t="s">
        <v>32</v>
      </c>
      <c r="W302" t="s">
        <v>33</v>
      </c>
      <c r="X302" t="s">
        <v>33</v>
      </c>
      <c r="Y302" t="s">
        <v>33</v>
      </c>
      <c r="Z302" s="16" t="s">
        <v>34</v>
      </c>
      <c r="AA302">
        <v>-75.585674749999995</v>
      </c>
      <c r="AB302">
        <v>6.2667691799999998</v>
      </c>
      <c r="AC302" t="s">
        <v>96</v>
      </c>
      <c r="AD302" t="s">
        <v>97</v>
      </c>
    </row>
    <row r="303" spans="1:30" x14ac:dyDescent="0.25">
      <c r="A303" t="s">
        <v>2188</v>
      </c>
      <c r="B303" t="s">
        <v>25</v>
      </c>
      <c r="C303" t="s">
        <v>26</v>
      </c>
      <c r="D303" t="s">
        <v>25</v>
      </c>
      <c r="E303" t="s">
        <v>2189</v>
      </c>
      <c r="F303" t="s">
        <v>2190</v>
      </c>
      <c r="G303">
        <v>8431231</v>
      </c>
      <c r="H303" t="s">
        <v>2191</v>
      </c>
      <c r="I303" s="4" t="s">
        <v>35</v>
      </c>
      <c r="J303" s="4" t="s">
        <v>2192</v>
      </c>
      <c r="K303" t="s">
        <v>2193</v>
      </c>
      <c r="L303" t="s">
        <v>27</v>
      </c>
      <c r="M303" t="s">
        <v>2194</v>
      </c>
      <c r="N303" t="s">
        <v>28</v>
      </c>
      <c r="O303" t="s">
        <v>29</v>
      </c>
      <c r="P303" t="s">
        <v>36</v>
      </c>
      <c r="Q303" t="s">
        <v>31</v>
      </c>
      <c r="R303">
        <v>7</v>
      </c>
      <c r="S303" t="s">
        <v>2195</v>
      </c>
      <c r="T303" t="s">
        <v>1680</v>
      </c>
      <c r="U303" t="s">
        <v>1679</v>
      </c>
      <c r="V303" t="s">
        <v>32</v>
      </c>
      <c r="W303" t="s">
        <v>33</v>
      </c>
      <c r="X303" t="s">
        <v>33</v>
      </c>
      <c r="Y303" t="s">
        <v>33</v>
      </c>
      <c r="Z303" s="16" t="s">
        <v>34</v>
      </c>
      <c r="AA303">
        <v>-75.65461406</v>
      </c>
      <c r="AB303">
        <v>6.1855504200000002</v>
      </c>
      <c r="AC303" t="s">
        <v>96</v>
      </c>
      <c r="AD303" t="s">
        <v>97</v>
      </c>
    </row>
    <row r="304" spans="1:30" x14ac:dyDescent="0.25">
      <c r="A304" t="s">
        <v>1380</v>
      </c>
      <c r="B304" t="s">
        <v>49</v>
      </c>
      <c r="C304" t="s">
        <v>26</v>
      </c>
      <c r="D304" t="s">
        <v>49</v>
      </c>
      <c r="E304" t="s">
        <v>1381</v>
      </c>
      <c r="F304" t="s">
        <v>1382</v>
      </c>
      <c r="G304">
        <v>43278951</v>
      </c>
      <c r="H304" t="s">
        <v>1383</v>
      </c>
      <c r="I304" s="4" t="s">
        <v>35</v>
      </c>
      <c r="J304" s="4" t="s">
        <v>1384</v>
      </c>
      <c r="K304" t="s">
        <v>1385</v>
      </c>
      <c r="L304" t="s">
        <v>27</v>
      </c>
      <c r="M304" t="s">
        <v>1386</v>
      </c>
      <c r="N304" t="s">
        <v>28</v>
      </c>
      <c r="O304" t="s">
        <v>50</v>
      </c>
      <c r="P304" t="s">
        <v>51</v>
      </c>
      <c r="Q304" t="s">
        <v>31</v>
      </c>
      <c r="R304">
        <v>11</v>
      </c>
      <c r="S304" t="s">
        <v>1387</v>
      </c>
      <c r="T304" t="s">
        <v>3269</v>
      </c>
      <c r="U304" t="s">
        <v>5241</v>
      </c>
      <c r="V304" t="s">
        <v>32</v>
      </c>
      <c r="W304" t="s">
        <v>33</v>
      </c>
      <c r="X304" t="s">
        <v>33</v>
      </c>
      <c r="Y304" t="s">
        <v>33</v>
      </c>
      <c r="Z304" s="16" t="s">
        <v>34</v>
      </c>
      <c r="AA304">
        <v>-75.529490120000006</v>
      </c>
      <c r="AB304">
        <v>6.2361297499999999</v>
      </c>
      <c r="AC304" t="s">
        <v>96</v>
      </c>
      <c r="AD304" t="s">
        <v>97</v>
      </c>
    </row>
    <row r="305" spans="1:30" x14ac:dyDescent="0.25">
      <c r="A305" t="s">
        <v>2196</v>
      </c>
      <c r="B305" t="s">
        <v>25</v>
      </c>
      <c r="C305" t="s">
        <v>26</v>
      </c>
      <c r="D305" t="s">
        <v>25</v>
      </c>
      <c r="E305" t="s">
        <v>2197</v>
      </c>
      <c r="F305" t="s">
        <v>2198</v>
      </c>
      <c r="G305">
        <v>71685959</v>
      </c>
      <c r="H305" t="s">
        <v>2199</v>
      </c>
      <c r="I305" s="4" t="s">
        <v>35</v>
      </c>
      <c r="J305" s="4" t="s">
        <v>2200</v>
      </c>
      <c r="K305" t="s">
        <v>2201</v>
      </c>
      <c r="L305" t="s">
        <v>27</v>
      </c>
      <c r="M305" t="s">
        <v>2202</v>
      </c>
      <c r="N305" t="s">
        <v>28</v>
      </c>
      <c r="O305" t="s">
        <v>29</v>
      </c>
      <c r="P305" t="s">
        <v>36</v>
      </c>
      <c r="Q305" t="s">
        <v>31</v>
      </c>
      <c r="R305">
        <v>7</v>
      </c>
      <c r="S305" t="s">
        <v>2203</v>
      </c>
      <c r="T305" t="s">
        <v>3269</v>
      </c>
      <c r="U305" t="s">
        <v>3268</v>
      </c>
      <c r="V305" t="s">
        <v>32</v>
      </c>
      <c r="W305" t="s">
        <v>33</v>
      </c>
      <c r="X305" t="s">
        <v>33</v>
      </c>
      <c r="Y305" t="s">
        <v>33</v>
      </c>
      <c r="Z305" s="16" t="s">
        <v>34</v>
      </c>
      <c r="AA305">
        <v>-75.585433760000001</v>
      </c>
      <c r="AB305">
        <v>6.2635239299999999</v>
      </c>
      <c r="AC305" t="s">
        <v>96</v>
      </c>
      <c r="AD305" t="s">
        <v>97</v>
      </c>
    </row>
    <row r="306" spans="1:30" x14ac:dyDescent="0.25">
      <c r="A306" t="s">
        <v>3270</v>
      </c>
      <c r="B306" t="s">
        <v>41</v>
      </c>
      <c r="C306" t="s">
        <v>26</v>
      </c>
      <c r="D306" t="s">
        <v>41</v>
      </c>
      <c r="E306" t="s">
        <v>3271</v>
      </c>
      <c r="F306" t="s">
        <v>3272</v>
      </c>
      <c r="G306">
        <v>901195768</v>
      </c>
      <c r="H306" t="s">
        <v>3273</v>
      </c>
      <c r="I306" s="4" t="s">
        <v>3274</v>
      </c>
      <c r="J306" s="4" t="s">
        <v>206</v>
      </c>
      <c r="K306" t="s">
        <v>3275</v>
      </c>
      <c r="L306" t="s">
        <v>27</v>
      </c>
      <c r="M306" t="s">
        <v>3276</v>
      </c>
      <c r="N306" t="s">
        <v>28</v>
      </c>
      <c r="O306" t="s">
        <v>42</v>
      </c>
      <c r="P306" t="s">
        <v>36</v>
      </c>
      <c r="Q306" t="s">
        <v>31</v>
      </c>
      <c r="R306">
        <v>7</v>
      </c>
      <c r="S306" t="s">
        <v>3277</v>
      </c>
      <c r="T306" t="s">
        <v>3269</v>
      </c>
      <c r="U306" t="s">
        <v>3268</v>
      </c>
      <c r="V306" t="s">
        <v>32</v>
      </c>
      <c r="W306" t="s">
        <v>33</v>
      </c>
      <c r="X306" t="s">
        <v>33</v>
      </c>
      <c r="Y306" t="s">
        <v>33</v>
      </c>
      <c r="Z306" s="16" t="s">
        <v>34</v>
      </c>
      <c r="AA306">
        <v>-75.570652999999993</v>
      </c>
      <c r="AB306">
        <v>6.2368735199999996</v>
      </c>
      <c r="AC306" t="s">
        <v>96</v>
      </c>
      <c r="AD306" t="s">
        <v>97</v>
      </c>
    </row>
    <row r="307" spans="1:30" x14ac:dyDescent="0.25">
      <c r="A307" t="s">
        <v>1389</v>
      </c>
      <c r="B307" t="s">
        <v>59</v>
      </c>
      <c r="C307" t="s">
        <v>26</v>
      </c>
      <c r="D307" t="s">
        <v>59</v>
      </c>
      <c r="E307" t="s">
        <v>1390</v>
      </c>
      <c r="F307" t="s">
        <v>1391</v>
      </c>
      <c r="G307">
        <v>71665974</v>
      </c>
      <c r="H307" t="s">
        <v>1392</v>
      </c>
      <c r="I307" s="4" t="s">
        <v>1393</v>
      </c>
      <c r="J307" s="4" t="s">
        <v>1388</v>
      </c>
      <c r="K307" t="s">
        <v>1394</v>
      </c>
      <c r="L307" t="s">
        <v>27</v>
      </c>
      <c r="M307" t="s">
        <v>1395</v>
      </c>
      <c r="N307" t="s">
        <v>28</v>
      </c>
      <c r="O307" t="s">
        <v>60</v>
      </c>
      <c r="P307" t="s">
        <v>61</v>
      </c>
      <c r="Q307" t="s">
        <v>31</v>
      </c>
      <c r="R307">
        <v>4</v>
      </c>
      <c r="S307" t="s">
        <v>1396</v>
      </c>
      <c r="T307" t="s">
        <v>5242</v>
      </c>
      <c r="U307" t="s">
        <v>3510</v>
      </c>
      <c r="V307" t="s">
        <v>92</v>
      </c>
      <c r="W307" t="s">
        <v>33</v>
      </c>
      <c r="X307" t="s">
        <v>33</v>
      </c>
      <c r="Y307" t="s">
        <v>33</v>
      </c>
      <c r="Z307" s="16" t="s">
        <v>34</v>
      </c>
      <c r="AA307">
        <v>-75.545965620000004</v>
      </c>
      <c r="AB307">
        <v>6.2445569799999996</v>
      </c>
      <c r="AC307" t="s">
        <v>96</v>
      </c>
      <c r="AD307" t="s">
        <v>97</v>
      </c>
    </row>
    <row r="308" spans="1:30" x14ac:dyDescent="0.25">
      <c r="A308" t="s">
        <v>1219</v>
      </c>
      <c r="B308" t="s">
        <v>63</v>
      </c>
      <c r="C308" t="s">
        <v>26</v>
      </c>
      <c r="D308" t="s">
        <v>64</v>
      </c>
      <c r="E308" t="s">
        <v>1220</v>
      </c>
      <c r="F308" t="s">
        <v>1221</v>
      </c>
      <c r="G308">
        <v>43864912</v>
      </c>
      <c r="H308" t="s">
        <v>1222</v>
      </c>
      <c r="I308" s="4" t="s">
        <v>35</v>
      </c>
      <c r="J308" s="4" t="s">
        <v>1223</v>
      </c>
      <c r="K308" t="s">
        <v>1224</v>
      </c>
      <c r="L308" t="s">
        <v>47</v>
      </c>
      <c r="M308" t="s">
        <v>1225</v>
      </c>
      <c r="N308" t="s">
        <v>62</v>
      </c>
      <c r="O308" t="s">
        <v>65</v>
      </c>
      <c r="P308" t="s">
        <v>69</v>
      </c>
      <c r="Q308" t="s">
        <v>31</v>
      </c>
      <c r="R308">
        <v>9</v>
      </c>
      <c r="S308" t="s">
        <v>1226</v>
      </c>
      <c r="T308" t="s">
        <v>5243</v>
      </c>
      <c r="U308" t="s">
        <v>5244</v>
      </c>
      <c r="V308" t="s">
        <v>32</v>
      </c>
      <c r="W308" t="s">
        <v>33</v>
      </c>
      <c r="X308" t="s">
        <v>33</v>
      </c>
      <c r="Y308" t="s">
        <v>33</v>
      </c>
      <c r="Z308" s="16" t="s">
        <v>34</v>
      </c>
      <c r="AA308">
        <v>-75.563391949999996</v>
      </c>
      <c r="AB308">
        <v>6.17048167</v>
      </c>
      <c r="AC308" t="s">
        <v>96</v>
      </c>
      <c r="AD308" t="s">
        <v>97</v>
      </c>
    </row>
    <row r="309" spans="1:30" x14ac:dyDescent="0.25">
      <c r="A309" t="s">
        <v>2204</v>
      </c>
      <c r="B309" t="s">
        <v>25</v>
      </c>
      <c r="C309" t="s">
        <v>26</v>
      </c>
      <c r="D309" t="s">
        <v>25</v>
      </c>
      <c r="E309" t="s">
        <v>2205</v>
      </c>
      <c r="F309" t="s">
        <v>2206</v>
      </c>
      <c r="G309">
        <v>1036688823</v>
      </c>
      <c r="H309" t="s">
        <v>2207</v>
      </c>
      <c r="I309" s="4" t="s">
        <v>35</v>
      </c>
      <c r="J309" s="4" t="s">
        <v>2208</v>
      </c>
      <c r="K309" t="s">
        <v>2209</v>
      </c>
      <c r="L309" t="s">
        <v>43</v>
      </c>
      <c r="M309" t="s">
        <v>2210</v>
      </c>
      <c r="N309" t="s">
        <v>44</v>
      </c>
      <c r="O309" t="s">
        <v>29</v>
      </c>
      <c r="P309" t="s">
        <v>36</v>
      </c>
      <c r="Q309" t="s">
        <v>31</v>
      </c>
      <c r="R309">
        <v>7</v>
      </c>
      <c r="S309" t="s">
        <v>2211</v>
      </c>
      <c r="T309" t="s">
        <v>3279</v>
      </c>
      <c r="U309" t="s">
        <v>3278</v>
      </c>
      <c r="V309" t="s">
        <v>32</v>
      </c>
      <c r="W309" t="s">
        <v>33</v>
      </c>
      <c r="X309" t="s">
        <v>33</v>
      </c>
      <c r="Y309" t="s">
        <v>33</v>
      </c>
      <c r="Z309" s="16" t="s">
        <v>34</v>
      </c>
      <c r="AA309">
        <v>-75.604380000000006</v>
      </c>
      <c r="AB309">
        <v>6.1839339999999998</v>
      </c>
      <c r="AC309" t="s">
        <v>96</v>
      </c>
      <c r="AD309" t="s">
        <v>97</v>
      </c>
    </row>
    <row r="310" spans="1:30" x14ac:dyDescent="0.25">
      <c r="A310" t="s">
        <v>2212</v>
      </c>
      <c r="B310" t="s">
        <v>25</v>
      </c>
      <c r="C310" t="s">
        <v>26</v>
      </c>
      <c r="D310" t="s">
        <v>25</v>
      </c>
      <c r="E310" t="s">
        <v>2213</v>
      </c>
      <c r="F310" t="s">
        <v>2214</v>
      </c>
      <c r="G310">
        <v>72130467</v>
      </c>
      <c r="H310" t="s">
        <v>2215</v>
      </c>
      <c r="I310" s="4" t="s">
        <v>2216</v>
      </c>
      <c r="J310" s="4" t="s">
        <v>2217</v>
      </c>
      <c r="K310" t="s">
        <v>2218</v>
      </c>
      <c r="L310" t="s">
        <v>27</v>
      </c>
      <c r="M310" t="s">
        <v>2219</v>
      </c>
      <c r="N310" t="s">
        <v>28</v>
      </c>
      <c r="O310" t="s">
        <v>29</v>
      </c>
      <c r="P310" t="s">
        <v>36</v>
      </c>
      <c r="Q310" t="s">
        <v>31</v>
      </c>
      <c r="R310">
        <v>7</v>
      </c>
      <c r="S310" t="s">
        <v>2220</v>
      </c>
      <c r="T310" t="s">
        <v>1672</v>
      </c>
      <c r="U310" t="s">
        <v>3280</v>
      </c>
      <c r="V310" t="s">
        <v>32</v>
      </c>
      <c r="W310" t="s">
        <v>33</v>
      </c>
      <c r="X310" t="s">
        <v>33</v>
      </c>
      <c r="Y310" t="s">
        <v>33</v>
      </c>
      <c r="Z310" s="16" t="s">
        <v>34</v>
      </c>
      <c r="AA310">
        <v>-75.569566710000004</v>
      </c>
      <c r="AB310">
        <v>6.2557511400000001</v>
      </c>
      <c r="AC310" t="s">
        <v>96</v>
      </c>
      <c r="AD310" t="s">
        <v>97</v>
      </c>
    </row>
    <row r="311" spans="1:30" x14ac:dyDescent="0.25">
      <c r="A311" t="s">
        <v>2221</v>
      </c>
      <c r="B311" t="s">
        <v>25</v>
      </c>
      <c r="C311" t="s">
        <v>26</v>
      </c>
      <c r="D311" t="s">
        <v>25</v>
      </c>
      <c r="E311" t="s">
        <v>2222</v>
      </c>
      <c r="F311" t="s">
        <v>2223</v>
      </c>
      <c r="G311">
        <v>42873597</v>
      </c>
      <c r="H311" t="s">
        <v>2224</v>
      </c>
      <c r="I311" s="4" t="s">
        <v>2225</v>
      </c>
      <c r="J311" s="4" t="s">
        <v>2226</v>
      </c>
      <c r="K311" t="s">
        <v>2227</v>
      </c>
      <c r="L311" t="s">
        <v>43</v>
      </c>
      <c r="M311" t="s">
        <v>2228</v>
      </c>
      <c r="N311" t="s">
        <v>44</v>
      </c>
      <c r="O311" t="s">
        <v>29</v>
      </c>
      <c r="P311" t="s">
        <v>36</v>
      </c>
      <c r="Q311" t="s">
        <v>31</v>
      </c>
      <c r="R311">
        <v>7</v>
      </c>
      <c r="S311" t="s">
        <v>2229</v>
      </c>
      <c r="T311" t="s">
        <v>3282</v>
      </c>
      <c r="U311" t="s">
        <v>3281</v>
      </c>
      <c r="V311" t="s">
        <v>32</v>
      </c>
      <c r="W311" t="s">
        <v>33</v>
      </c>
      <c r="X311" t="s">
        <v>33</v>
      </c>
      <c r="Y311" t="s">
        <v>33</v>
      </c>
      <c r="Z311" s="16" t="s">
        <v>34</v>
      </c>
      <c r="AA311">
        <v>-75.640986119999994</v>
      </c>
      <c r="AB311">
        <v>6.1682218600000001</v>
      </c>
      <c r="AC311" t="s">
        <v>96</v>
      </c>
      <c r="AD311" t="s">
        <v>97</v>
      </c>
    </row>
    <row r="312" spans="1:30" x14ac:dyDescent="0.25">
      <c r="A312" t="s">
        <v>1397</v>
      </c>
      <c r="B312" t="s">
        <v>25</v>
      </c>
      <c r="C312" t="s">
        <v>26</v>
      </c>
      <c r="D312" t="s">
        <v>38</v>
      </c>
      <c r="E312" t="s">
        <v>1398</v>
      </c>
      <c r="F312" t="s">
        <v>1399</v>
      </c>
      <c r="G312">
        <v>39353944</v>
      </c>
      <c r="H312" t="s">
        <v>1400</v>
      </c>
      <c r="I312" s="4" t="s">
        <v>35</v>
      </c>
      <c r="J312" s="4" t="s">
        <v>1401</v>
      </c>
      <c r="K312" t="s">
        <v>1402</v>
      </c>
      <c r="L312" t="s">
        <v>27</v>
      </c>
      <c r="M312" t="s">
        <v>1403</v>
      </c>
      <c r="N312" t="s">
        <v>28</v>
      </c>
      <c r="O312" t="s">
        <v>39</v>
      </c>
      <c r="P312" t="s">
        <v>40</v>
      </c>
      <c r="Q312" t="s">
        <v>31</v>
      </c>
      <c r="R312">
        <v>5</v>
      </c>
      <c r="S312" t="s">
        <v>1404</v>
      </c>
      <c r="T312" t="s">
        <v>5245</v>
      </c>
      <c r="U312" t="s">
        <v>5246</v>
      </c>
      <c r="V312" t="s">
        <v>48</v>
      </c>
      <c r="W312" t="s">
        <v>33</v>
      </c>
      <c r="X312" t="s">
        <v>33</v>
      </c>
      <c r="Y312" t="s">
        <v>33</v>
      </c>
      <c r="Z312" s="16" t="s">
        <v>34</v>
      </c>
      <c r="AA312">
        <v>-75.607611000000006</v>
      </c>
      <c r="AB312">
        <v>6.2762349999999998</v>
      </c>
      <c r="AC312" t="s">
        <v>96</v>
      </c>
      <c r="AD312" t="s">
        <v>97</v>
      </c>
    </row>
    <row r="313" spans="1:30" x14ac:dyDescent="0.25">
      <c r="A313" t="s">
        <v>1405</v>
      </c>
      <c r="B313" t="s">
        <v>59</v>
      </c>
      <c r="C313" t="s">
        <v>26</v>
      </c>
      <c r="D313" t="s">
        <v>59</v>
      </c>
      <c r="E313" t="s">
        <v>1406</v>
      </c>
      <c r="F313" t="s">
        <v>1407</v>
      </c>
      <c r="G313">
        <v>71334743</v>
      </c>
      <c r="H313" t="s">
        <v>1408</v>
      </c>
      <c r="I313" s="4" t="s">
        <v>35</v>
      </c>
      <c r="J313" s="4" t="s">
        <v>1409</v>
      </c>
      <c r="K313" t="s">
        <v>1410</v>
      </c>
      <c r="L313" t="s">
        <v>27</v>
      </c>
      <c r="M313" t="s">
        <v>1411</v>
      </c>
      <c r="N313" t="s">
        <v>28</v>
      </c>
      <c r="O313" t="s">
        <v>60</v>
      </c>
      <c r="P313" t="s">
        <v>61</v>
      </c>
      <c r="Q313" t="s">
        <v>37</v>
      </c>
      <c r="R313">
        <v>4</v>
      </c>
      <c r="S313" t="s">
        <v>1412</v>
      </c>
      <c r="T313" t="s">
        <v>5247</v>
      </c>
      <c r="U313" t="s">
        <v>5248</v>
      </c>
      <c r="V313" t="s">
        <v>48</v>
      </c>
      <c r="W313" t="s">
        <v>33</v>
      </c>
      <c r="X313" t="s">
        <v>33</v>
      </c>
      <c r="Y313" t="s">
        <v>33</v>
      </c>
      <c r="Z313" s="16" t="s">
        <v>34</v>
      </c>
      <c r="AA313">
        <v>-75.689079410000005</v>
      </c>
      <c r="AB313">
        <v>6.3430719699999996</v>
      </c>
      <c r="AC313" t="s">
        <v>96</v>
      </c>
      <c r="AD313" t="s">
        <v>97</v>
      </c>
    </row>
    <row r="314" spans="1:30" x14ac:dyDescent="0.25">
      <c r="A314" t="s">
        <v>2230</v>
      </c>
      <c r="B314" t="s">
        <v>25</v>
      </c>
      <c r="C314" t="s">
        <v>26</v>
      </c>
      <c r="D314" t="s">
        <v>25</v>
      </c>
      <c r="E314" t="s">
        <v>2231</v>
      </c>
      <c r="F314" t="s">
        <v>2232</v>
      </c>
      <c r="G314">
        <v>71644675</v>
      </c>
      <c r="H314" t="s">
        <v>2233</v>
      </c>
      <c r="I314" s="4" t="s">
        <v>35</v>
      </c>
      <c r="J314" s="4" t="s">
        <v>2234</v>
      </c>
      <c r="K314" t="s">
        <v>2235</v>
      </c>
      <c r="L314" t="s">
        <v>43</v>
      </c>
      <c r="M314" t="s">
        <v>2236</v>
      </c>
      <c r="N314" t="s">
        <v>44</v>
      </c>
      <c r="O314" t="s">
        <v>29</v>
      </c>
      <c r="P314" t="s">
        <v>30</v>
      </c>
      <c r="Q314" t="s">
        <v>31</v>
      </c>
      <c r="R314">
        <v>7</v>
      </c>
      <c r="S314" t="s">
        <v>2237</v>
      </c>
      <c r="T314" t="s">
        <v>5249</v>
      </c>
      <c r="U314" t="s">
        <v>5250</v>
      </c>
      <c r="V314" t="s">
        <v>32</v>
      </c>
      <c r="W314" t="s">
        <v>33</v>
      </c>
      <c r="X314" t="s">
        <v>33</v>
      </c>
      <c r="Y314" t="s">
        <v>33</v>
      </c>
      <c r="Z314" s="16" t="s">
        <v>34</v>
      </c>
      <c r="AA314">
        <v>-75.614632020000002</v>
      </c>
      <c r="AB314">
        <v>6.16980986</v>
      </c>
      <c r="AC314" t="s">
        <v>96</v>
      </c>
      <c r="AD314" t="s">
        <v>97</v>
      </c>
    </row>
    <row r="315" spans="1:30" x14ac:dyDescent="0.25">
      <c r="A315" t="s">
        <v>2238</v>
      </c>
      <c r="B315" t="s">
        <v>25</v>
      </c>
      <c r="C315" t="s">
        <v>26</v>
      </c>
      <c r="D315" t="s">
        <v>25</v>
      </c>
      <c r="E315" t="s">
        <v>2231</v>
      </c>
      <c r="F315" t="s">
        <v>2232</v>
      </c>
      <c r="G315">
        <v>71644675</v>
      </c>
      <c r="H315" t="s">
        <v>2233</v>
      </c>
      <c r="I315" s="4" t="s">
        <v>35</v>
      </c>
      <c r="J315" s="4" t="s">
        <v>2234</v>
      </c>
      <c r="K315" t="s">
        <v>2239</v>
      </c>
      <c r="L315" t="s">
        <v>43</v>
      </c>
      <c r="M315" t="s">
        <v>2240</v>
      </c>
      <c r="N315" t="s">
        <v>44</v>
      </c>
      <c r="O315" t="s">
        <v>29</v>
      </c>
      <c r="P315" t="s">
        <v>30</v>
      </c>
      <c r="Q315" t="s">
        <v>31</v>
      </c>
      <c r="R315">
        <v>7</v>
      </c>
      <c r="S315" t="s">
        <v>2237</v>
      </c>
      <c r="T315" t="s">
        <v>5249</v>
      </c>
      <c r="U315" t="s">
        <v>5250</v>
      </c>
      <c r="V315" t="s">
        <v>32</v>
      </c>
      <c r="W315" t="s">
        <v>33</v>
      </c>
      <c r="X315" t="s">
        <v>33</v>
      </c>
      <c r="Y315" t="s">
        <v>33</v>
      </c>
      <c r="Z315" s="16" t="s">
        <v>34</v>
      </c>
      <c r="AA315">
        <v>-75.614632020000002</v>
      </c>
      <c r="AB315">
        <v>6.16980986</v>
      </c>
      <c r="AC315" t="s">
        <v>96</v>
      </c>
      <c r="AD315" t="s">
        <v>97</v>
      </c>
    </row>
    <row r="316" spans="1:30" x14ac:dyDescent="0.25">
      <c r="A316" t="s">
        <v>2241</v>
      </c>
      <c r="B316" t="s">
        <v>25</v>
      </c>
      <c r="C316" t="s">
        <v>26</v>
      </c>
      <c r="D316" t="s">
        <v>25</v>
      </c>
      <c r="E316" t="s">
        <v>2242</v>
      </c>
      <c r="F316" t="s">
        <v>2243</v>
      </c>
      <c r="G316">
        <v>71644675</v>
      </c>
      <c r="H316" t="s">
        <v>2233</v>
      </c>
      <c r="I316" s="4" t="s">
        <v>35</v>
      </c>
      <c r="J316" s="4" t="s">
        <v>2234</v>
      </c>
      <c r="K316" t="s">
        <v>2244</v>
      </c>
      <c r="L316" t="s">
        <v>43</v>
      </c>
      <c r="M316" t="s">
        <v>2245</v>
      </c>
      <c r="N316" t="s">
        <v>44</v>
      </c>
      <c r="O316" t="s">
        <v>29</v>
      </c>
      <c r="P316" t="s">
        <v>30</v>
      </c>
      <c r="Q316" t="s">
        <v>31</v>
      </c>
      <c r="R316">
        <v>7</v>
      </c>
      <c r="S316" t="s">
        <v>2246</v>
      </c>
      <c r="T316" t="s">
        <v>5251</v>
      </c>
      <c r="U316" t="s">
        <v>5252</v>
      </c>
      <c r="V316" t="s">
        <v>32</v>
      </c>
      <c r="W316" t="s">
        <v>33</v>
      </c>
      <c r="X316" t="s">
        <v>33</v>
      </c>
      <c r="Y316" t="s">
        <v>33</v>
      </c>
      <c r="Z316" s="16" t="s">
        <v>34</v>
      </c>
      <c r="AA316">
        <v>-75.614632020000002</v>
      </c>
      <c r="AB316">
        <v>6.16980986</v>
      </c>
      <c r="AC316" t="s">
        <v>96</v>
      </c>
      <c r="AD316" t="s">
        <v>97</v>
      </c>
    </row>
    <row r="317" spans="1:30" x14ac:dyDescent="0.25">
      <c r="A317" t="s">
        <v>2247</v>
      </c>
      <c r="B317" t="s">
        <v>25</v>
      </c>
      <c r="C317" t="s">
        <v>26</v>
      </c>
      <c r="D317" t="s">
        <v>25</v>
      </c>
      <c r="E317" t="s">
        <v>2248</v>
      </c>
      <c r="F317" t="s">
        <v>2249</v>
      </c>
      <c r="G317">
        <v>71644675</v>
      </c>
      <c r="H317" t="s">
        <v>2233</v>
      </c>
      <c r="I317" s="4" t="s">
        <v>35</v>
      </c>
      <c r="J317" s="4" t="s">
        <v>2234</v>
      </c>
      <c r="K317" t="s">
        <v>2250</v>
      </c>
      <c r="L317" t="s">
        <v>43</v>
      </c>
      <c r="M317" t="s">
        <v>2251</v>
      </c>
      <c r="N317" t="s">
        <v>44</v>
      </c>
      <c r="O317" t="s">
        <v>29</v>
      </c>
      <c r="P317" t="s">
        <v>30</v>
      </c>
      <c r="Q317" t="s">
        <v>31</v>
      </c>
      <c r="R317">
        <v>7</v>
      </c>
      <c r="S317" t="s">
        <v>2252</v>
      </c>
      <c r="T317" t="s">
        <v>5253</v>
      </c>
      <c r="U317" t="s">
        <v>5254</v>
      </c>
      <c r="V317" t="s">
        <v>32</v>
      </c>
      <c r="W317" t="s">
        <v>33</v>
      </c>
      <c r="X317" t="s">
        <v>33</v>
      </c>
      <c r="Y317" t="s">
        <v>33</v>
      </c>
      <c r="Z317" s="16" t="s">
        <v>34</v>
      </c>
      <c r="AA317">
        <v>-75.614632020000002</v>
      </c>
      <c r="AB317">
        <v>6.16980986</v>
      </c>
      <c r="AC317" t="s">
        <v>96</v>
      </c>
      <c r="AD317" t="s">
        <v>97</v>
      </c>
    </row>
    <row r="318" spans="1:30" x14ac:dyDescent="0.25">
      <c r="A318" t="s">
        <v>3283</v>
      </c>
      <c r="B318" t="s">
        <v>41</v>
      </c>
      <c r="C318" t="s">
        <v>26</v>
      </c>
      <c r="D318" t="s">
        <v>41</v>
      </c>
      <c r="E318" t="s">
        <v>3284</v>
      </c>
      <c r="F318" t="s">
        <v>3285</v>
      </c>
      <c r="G318">
        <v>71644675</v>
      </c>
      <c r="H318" t="s">
        <v>2233</v>
      </c>
      <c r="I318" s="4" t="s">
        <v>35</v>
      </c>
      <c r="J318" s="4" t="s">
        <v>2234</v>
      </c>
      <c r="K318" t="s">
        <v>3286</v>
      </c>
      <c r="L318" t="s">
        <v>43</v>
      </c>
      <c r="M318" t="s">
        <v>3287</v>
      </c>
      <c r="N318" t="s">
        <v>44</v>
      </c>
      <c r="O318" t="s">
        <v>42</v>
      </c>
      <c r="P318" t="s">
        <v>30</v>
      </c>
      <c r="Q318" t="s">
        <v>31</v>
      </c>
      <c r="R318">
        <v>7</v>
      </c>
      <c r="S318" t="s">
        <v>3288</v>
      </c>
      <c r="T318" t="s">
        <v>5255</v>
      </c>
      <c r="U318" t="s">
        <v>5256</v>
      </c>
      <c r="V318" t="s">
        <v>32</v>
      </c>
      <c r="W318" t="s">
        <v>33</v>
      </c>
      <c r="X318" t="s">
        <v>33</v>
      </c>
      <c r="Y318" t="s">
        <v>33</v>
      </c>
      <c r="Z318" s="16" t="s">
        <v>34</v>
      </c>
      <c r="AA318">
        <v>-75.614663669999999</v>
      </c>
      <c r="AB318">
        <v>6.1698205399999999</v>
      </c>
      <c r="AC318" t="s">
        <v>96</v>
      </c>
      <c r="AD318" t="s">
        <v>97</v>
      </c>
    </row>
    <row r="319" spans="1:30" x14ac:dyDescent="0.25">
      <c r="A319" t="s">
        <v>2253</v>
      </c>
      <c r="B319" t="s">
        <v>25</v>
      </c>
      <c r="C319" t="s">
        <v>26</v>
      </c>
      <c r="D319" t="s">
        <v>25</v>
      </c>
      <c r="E319" t="s">
        <v>2254</v>
      </c>
      <c r="F319" t="s">
        <v>2255</v>
      </c>
      <c r="G319">
        <v>1017254966</v>
      </c>
      <c r="H319" t="s">
        <v>2256</v>
      </c>
      <c r="I319" s="4" t="s">
        <v>35</v>
      </c>
      <c r="J319" s="4" t="s">
        <v>1751</v>
      </c>
      <c r="K319" t="s">
        <v>2257</v>
      </c>
      <c r="L319" t="s">
        <v>27</v>
      </c>
      <c r="M319" t="s">
        <v>2258</v>
      </c>
      <c r="N319" t="s">
        <v>28</v>
      </c>
      <c r="O319" t="s">
        <v>29</v>
      </c>
      <c r="P319" t="s">
        <v>36</v>
      </c>
      <c r="Q319" t="s">
        <v>31</v>
      </c>
      <c r="R319">
        <v>7</v>
      </c>
      <c r="S319" t="s">
        <v>2259</v>
      </c>
      <c r="T319" t="s">
        <v>5257</v>
      </c>
      <c r="U319" t="s">
        <v>5258</v>
      </c>
      <c r="V319" t="s">
        <v>32</v>
      </c>
      <c r="W319" t="s">
        <v>33</v>
      </c>
      <c r="X319" t="s">
        <v>33</v>
      </c>
      <c r="Y319" t="s">
        <v>33</v>
      </c>
      <c r="Z319" s="16" t="s">
        <v>34</v>
      </c>
      <c r="AA319">
        <v>-75.538094470000004</v>
      </c>
      <c r="AB319">
        <v>6.2401264200000002</v>
      </c>
      <c r="AC319" t="s">
        <v>96</v>
      </c>
      <c r="AD319" t="s">
        <v>97</v>
      </c>
    </row>
    <row r="320" spans="1:30" x14ac:dyDescent="0.25">
      <c r="A320" t="s">
        <v>2260</v>
      </c>
      <c r="B320" t="s">
        <v>25</v>
      </c>
      <c r="C320" t="s">
        <v>70</v>
      </c>
      <c r="D320" t="s">
        <v>25</v>
      </c>
      <c r="E320" t="s">
        <v>2261</v>
      </c>
      <c r="F320" t="s">
        <v>2262</v>
      </c>
      <c r="G320">
        <v>71733692</v>
      </c>
      <c r="H320" t="s">
        <v>2263</v>
      </c>
      <c r="I320" s="4" t="s">
        <v>35</v>
      </c>
      <c r="J320" s="4" t="s">
        <v>2264</v>
      </c>
      <c r="K320" t="s">
        <v>2265</v>
      </c>
      <c r="L320" t="s">
        <v>27</v>
      </c>
      <c r="M320" t="s">
        <v>2266</v>
      </c>
      <c r="N320" t="s">
        <v>28</v>
      </c>
      <c r="O320" t="s">
        <v>98</v>
      </c>
      <c r="P320" t="s">
        <v>30</v>
      </c>
      <c r="Q320" t="s">
        <v>31</v>
      </c>
      <c r="R320">
        <v>7</v>
      </c>
      <c r="S320" t="s">
        <v>2267</v>
      </c>
      <c r="T320" t="s">
        <v>1694</v>
      </c>
      <c r="U320" t="s">
        <v>3217</v>
      </c>
      <c r="V320" t="s">
        <v>32</v>
      </c>
      <c r="W320" t="s">
        <v>33</v>
      </c>
      <c r="X320" t="s">
        <v>33</v>
      </c>
      <c r="Y320" t="s">
        <v>33</v>
      </c>
      <c r="Z320" s="16" t="s">
        <v>34</v>
      </c>
      <c r="AA320">
        <v>-75.550373989999997</v>
      </c>
      <c r="AB320">
        <v>6.2563308199999996</v>
      </c>
      <c r="AC320" t="s">
        <v>96</v>
      </c>
      <c r="AD320" t="s">
        <v>97</v>
      </c>
    </row>
    <row r="321" spans="1:30" x14ac:dyDescent="0.25">
      <c r="A321" t="s">
        <v>1413</v>
      </c>
      <c r="B321" t="s">
        <v>59</v>
      </c>
      <c r="C321" t="s">
        <v>26</v>
      </c>
      <c r="D321" t="s">
        <v>59</v>
      </c>
      <c r="E321" t="s">
        <v>1414</v>
      </c>
      <c r="F321" t="s">
        <v>1415</v>
      </c>
      <c r="G321">
        <v>3474414</v>
      </c>
      <c r="H321" t="s">
        <v>1416</v>
      </c>
      <c r="I321" s="4" t="s">
        <v>1417</v>
      </c>
      <c r="J321" s="4" t="s">
        <v>1418</v>
      </c>
      <c r="K321" t="s">
        <v>1419</v>
      </c>
      <c r="L321" t="s">
        <v>27</v>
      </c>
      <c r="M321" t="s">
        <v>1420</v>
      </c>
      <c r="N321" t="s">
        <v>28</v>
      </c>
      <c r="O321" t="s">
        <v>60</v>
      </c>
      <c r="P321" t="s">
        <v>61</v>
      </c>
      <c r="Q321" t="s">
        <v>31</v>
      </c>
      <c r="R321">
        <v>4</v>
      </c>
      <c r="S321" t="s">
        <v>1421</v>
      </c>
      <c r="T321" t="s">
        <v>1694</v>
      </c>
      <c r="U321" t="s">
        <v>5259</v>
      </c>
      <c r="V321" t="s">
        <v>48</v>
      </c>
      <c r="W321" t="s">
        <v>33</v>
      </c>
      <c r="X321" t="s">
        <v>33</v>
      </c>
      <c r="Y321" t="s">
        <v>33</v>
      </c>
      <c r="Z321" s="16" t="s">
        <v>34</v>
      </c>
      <c r="AA321">
        <v>-75.576749000000007</v>
      </c>
      <c r="AB321">
        <v>6.2293329999999996</v>
      </c>
      <c r="AC321" t="s">
        <v>96</v>
      </c>
      <c r="AD321" t="s">
        <v>97</v>
      </c>
    </row>
    <row r="322" spans="1:30" x14ac:dyDescent="0.25">
      <c r="A322" t="s">
        <v>1422</v>
      </c>
      <c r="B322" t="s">
        <v>49</v>
      </c>
      <c r="C322" t="s">
        <v>72</v>
      </c>
      <c r="D322" t="s">
        <v>49</v>
      </c>
      <c r="E322" t="s">
        <v>1423</v>
      </c>
      <c r="F322" t="s">
        <v>1424</v>
      </c>
      <c r="G322">
        <v>71264235</v>
      </c>
      <c r="H322" t="s">
        <v>1425</v>
      </c>
      <c r="I322" s="4" t="s">
        <v>35</v>
      </c>
      <c r="J322" s="4" t="s">
        <v>1426</v>
      </c>
      <c r="K322" t="s">
        <v>1427</v>
      </c>
      <c r="L322" t="s">
        <v>27</v>
      </c>
      <c r="M322" t="s">
        <v>1428</v>
      </c>
      <c r="N322" t="s">
        <v>28</v>
      </c>
      <c r="O322" t="s">
        <v>73</v>
      </c>
      <c r="P322" t="s">
        <v>51</v>
      </c>
      <c r="Q322" t="s">
        <v>31</v>
      </c>
      <c r="R322">
        <v>11</v>
      </c>
      <c r="S322" t="s">
        <v>1429</v>
      </c>
      <c r="T322" t="s">
        <v>5261</v>
      </c>
      <c r="U322" t="s">
        <v>5262</v>
      </c>
      <c r="V322" t="s">
        <v>32</v>
      </c>
      <c r="W322" t="s">
        <v>33</v>
      </c>
      <c r="X322" t="s">
        <v>33</v>
      </c>
      <c r="Y322" t="s">
        <v>33</v>
      </c>
      <c r="Z322" s="16" t="s">
        <v>34</v>
      </c>
      <c r="AA322">
        <v>-75.614064690000006</v>
      </c>
      <c r="AB322">
        <v>6.2667983999999999</v>
      </c>
      <c r="AC322" t="s">
        <v>96</v>
      </c>
      <c r="AD322" t="s">
        <v>97</v>
      </c>
    </row>
    <row r="323" spans="1:30" x14ac:dyDescent="0.25">
      <c r="A323" t="s">
        <v>1430</v>
      </c>
      <c r="B323" t="s">
        <v>59</v>
      </c>
      <c r="C323" t="s">
        <v>26</v>
      </c>
      <c r="D323" t="s">
        <v>59</v>
      </c>
      <c r="E323" t="s">
        <v>1431</v>
      </c>
      <c r="F323" t="s">
        <v>1432</v>
      </c>
      <c r="G323">
        <v>71615000</v>
      </c>
      <c r="H323" t="s">
        <v>1433</v>
      </c>
      <c r="I323" s="4" t="s">
        <v>1434</v>
      </c>
      <c r="J323" s="4" t="s">
        <v>1435</v>
      </c>
      <c r="K323" t="s">
        <v>1436</v>
      </c>
      <c r="L323" t="s">
        <v>27</v>
      </c>
      <c r="M323" t="s">
        <v>1437</v>
      </c>
      <c r="N323" t="s">
        <v>28</v>
      </c>
      <c r="O323" t="s">
        <v>60</v>
      </c>
      <c r="P323" t="s">
        <v>61</v>
      </c>
      <c r="Q323" t="s">
        <v>31</v>
      </c>
      <c r="R323">
        <v>4</v>
      </c>
      <c r="S323" t="s">
        <v>1438</v>
      </c>
      <c r="T323" t="s">
        <v>1685</v>
      </c>
      <c r="U323" t="s">
        <v>5263</v>
      </c>
      <c r="V323" t="s">
        <v>48</v>
      </c>
      <c r="W323" t="s">
        <v>33</v>
      </c>
      <c r="X323" t="s">
        <v>33</v>
      </c>
      <c r="Y323" t="s">
        <v>33</v>
      </c>
      <c r="Z323" s="16" t="s">
        <v>34</v>
      </c>
      <c r="AA323">
        <v>-75.555094999999994</v>
      </c>
      <c r="AB323">
        <v>6.2606130000000002</v>
      </c>
      <c r="AC323" t="s">
        <v>96</v>
      </c>
      <c r="AD323" t="s">
        <v>97</v>
      </c>
    </row>
    <row r="324" spans="1:30" x14ac:dyDescent="0.25">
      <c r="A324" t="s">
        <v>3289</v>
      </c>
      <c r="B324" t="s">
        <v>41</v>
      </c>
      <c r="C324" t="s">
        <v>26</v>
      </c>
      <c r="D324" t="s">
        <v>41</v>
      </c>
      <c r="E324" t="s">
        <v>3290</v>
      </c>
      <c r="F324" t="s">
        <v>3291</v>
      </c>
      <c r="G324">
        <v>1037571560</v>
      </c>
      <c r="H324" t="s">
        <v>3292</v>
      </c>
      <c r="I324" s="4" t="s">
        <v>35</v>
      </c>
      <c r="J324" s="4" t="s">
        <v>3293</v>
      </c>
      <c r="K324" t="s">
        <v>3294</v>
      </c>
      <c r="L324" t="s">
        <v>47</v>
      </c>
      <c r="M324" t="s">
        <v>3295</v>
      </c>
      <c r="N324" t="s">
        <v>62</v>
      </c>
      <c r="O324" t="s">
        <v>42</v>
      </c>
      <c r="P324" t="s">
        <v>36</v>
      </c>
      <c r="Q324" t="s">
        <v>31</v>
      </c>
      <c r="R324">
        <v>7</v>
      </c>
      <c r="S324" t="s">
        <v>3296</v>
      </c>
      <c r="T324" t="s">
        <v>5264</v>
      </c>
      <c r="U324" t="s">
        <v>5265</v>
      </c>
      <c r="V324" t="s">
        <v>32</v>
      </c>
      <c r="W324" t="s">
        <v>33</v>
      </c>
      <c r="X324" t="s">
        <v>33</v>
      </c>
      <c r="Y324" t="s">
        <v>33</v>
      </c>
      <c r="Z324" s="16" t="s">
        <v>34</v>
      </c>
      <c r="AA324">
        <v>-75.593779999999995</v>
      </c>
      <c r="AB324">
        <v>6.1701189999999997</v>
      </c>
      <c r="AC324" t="s">
        <v>96</v>
      </c>
      <c r="AD324" t="s">
        <v>97</v>
      </c>
    </row>
    <row r="325" spans="1:30" x14ac:dyDescent="0.25">
      <c r="A325" t="s">
        <v>1439</v>
      </c>
      <c r="B325" t="s">
        <v>25</v>
      </c>
      <c r="C325" t="s">
        <v>26</v>
      </c>
      <c r="D325" t="s">
        <v>38</v>
      </c>
      <c r="E325" t="s">
        <v>1440</v>
      </c>
      <c r="F325" t="s">
        <v>1441</v>
      </c>
      <c r="G325">
        <v>98473791</v>
      </c>
      <c r="H325" t="s">
        <v>1442</v>
      </c>
      <c r="I325" s="4" t="s">
        <v>1443</v>
      </c>
      <c r="J325" s="4" t="s">
        <v>1444</v>
      </c>
      <c r="K325" t="s">
        <v>1445</v>
      </c>
      <c r="L325" t="s">
        <v>27</v>
      </c>
      <c r="M325" t="s">
        <v>1446</v>
      </c>
      <c r="N325" t="s">
        <v>28</v>
      </c>
      <c r="O325" t="s">
        <v>39</v>
      </c>
      <c r="P325" t="s">
        <v>40</v>
      </c>
      <c r="Q325" t="s">
        <v>31</v>
      </c>
      <c r="R325">
        <v>5</v>
      </c>
      <c r="S325" t="s">
        <v>1447</v>
      </c>
      <c r="T325" t="s">
        <v>1687</v>
      </c>
      <c r="U325" t="s">
        <v>1686</v>
      </c>
      <c r="V325" t="s">
        <v>48</v>
      </c>
      <c r="W325" t="s">
        <v>33</v>
      </c>
      <c r="X325" t="s">
        <v>33</v>
      </c>
      <c r="Y325" t="s">
        <v>33</v>
      </c>
      <c r="Z325" s="16" t="s">
        <v>34</v>
      </c>
      <c r="AA325">
        <v>-75.61443989</v>
      </c>
      <c r="AB325">
        <v>6.2685459000000003</v>
      </c>
      <c r="AC325" t="s">
        <v>96</v>
      </c>
      <c r="AD325" t="s">
        <v>97</v>
      </c>
    </row>
    <row r="326" spans="1:30" x14ac:dyDescent="0.25">
      <c r="A326" t="s">
        <v>1448</v>
      </c>
      <c r="B326" t="s">
        <v>25</v>
      </c>
      <c r="C326" t="s">
        <v>26</v>
      </c>
      <c r="D326" t="s">
        <v>38</v>
      </c>
      <c r="E326" t="s">
        <v>1449</v>
      </c>
      <c r="F326" t="s">
        <v>1450</v>
      </c>
      <c r="G326">
        <v>1128436177</v>
      </c>
      <c r="H326" t="s">
        <v>1451</v>
      </c>
      <c r="I326" s="4" t="s">
        <v>35</v>
      </c>
      <c r="J326" s="4" t="s">
        <v>1452</v>
      </c>
      <c r="K326" t="s">
        <v>1453</v>
      </c>
      <c r="L326" t="s">
        <v>27</v>
      </c>
      <c r="M326" t="s">
        <v>1454</v>
      </c>
      <c r="N326" t="s">
        <v>28</v>
      </c>
      <c r="O326" t="s">
        <v>39</v>
      </c>
      <c r="P326" t="s">
        <v>40</v>
      </c>
      <c r="Q326" t="s">
        <v>31</v>
      </c>
      <c r="R326">
        <v>5</v>
      </c>
      <c r="S326" t="s">
        <v>1455</v>
      </c>
      <c r="T326" t="s">
        <v>3298</v>
      </c>
      <c r="U326" t="s">
        <v>3297</v>
      </c>
      <c r="V326" t="s">
        <v>48</v>
      </c>
      <c r="W326" t="s">
        <v>33</v>
      </c>
      <c r="X326" t="s">
        <v>33</v>
      </c>
      <c r="Y326" t="s">
        <v>33</v>
      </c>
      <c r="Z326" s="16" t="s">
        <v>34</v>
      </c>
      <c r="AA326">
        <v>-75.545724160000006</v>
      </c>
      <c r="AB326">
        <v>6.2459517399999998</v>
      </c>
      <c r="AC326" t="s">
        <v>96</v>
      </c>
      <c r="AD326" t="s">
        <v>97</v>
      </c>
    </row>
    <row r="327" spans="1:30" x14ac:dyDescent="0.25">
      <c r="A327" t="s">
        <v>1456</v>
      </c>
      <c r="B327" t="s">
        <v>25</v>
      </c>
      <c r="C327" t="s">
        <v>26</v>
      </c>
      <c r="D327" t="s">
        <v>38</v>
      </c>
      <c r="E327" t="s">
        <v>1457</v>
      </c>
      <c r="F327" t="s">
        <v>1458</v>
      </c>
      <c r="G327">
        <v>1128436177</v>
      </c>
      <c r="H327" t="s">
        <v>1451</v>
      </c>
      <c r="I327" s="4" t="s">
        <v>35</v>
      </c>
      <c r="J327" s="4" t="s">
        <v>1452</v>
      </c>
      <c r="K327" t="s">
        <v>1459</v>
      </c>
      <c r="L327" t="s">
        <v>27</v>
      </c>
      <c r="M327" t="s">
        <v>1460</v>
      </c>
      <c r="N327" t="s">
        <v>28</v>
      </c>
      <c r="O327" t="s">
        <v>39</v>
      </c>
      <c r="P327" t="s">
        <v>40</v>
      </c>
      <c r="Q327" t="s">
        <v>31</v>
      </c>
      <c r="R327">
        <v>5</v>
      </c>
      <c r="S327" t="s">
        <v>1461</v>
      </c>
      <c r="T327" t="s">
        <v>3298</v>
      </c>
      <c r="U327" t="s">
        <v>3297</v>
      </c>
      <c r="V327" t="s">
        <v>48</v>
      </c>
      <c r="W327" t="s">
        <v>33</v>
      </c>
      <c r="X327" t="s">
        <v>33</v>
      </c>
      <c r="Y327" t="s">
        <v>33</v>
      </c>
      <c r="Z327" s="16" t="s">
        <v>34</v>
      </c>
      <c r="AA327">
        <v>-75.545724160000006</v>
      </c>
      <c r="AB327">
        <v>6.2459517399999998</v>
      </c>
      <c r="AC327" t="s">
        <v>96</v>
      </c>
      <c r="AD327" t="s">
        <v>97</v>
      </c>
    </row>
    <row r="328" spans="1:30" x14ac:dyDescent="0.25">
      <c r="A328" t="s">
        <v>1462</v>
      </c>
      <c r="B328" t="s">
        <v>49</v>
      </c>
      <c r="C328" t="s">
        <v>67</v>
      </c>
      <c r="D328" t="s">
        <v>49</v>
      </c>
      <c r="E328" t="s">
        <v>1463</v>
      </c>
      <c r="F328" t="s">
        <v>1464</v>
      </c>
      <c r="G328">
        <v>43166493</v>
      </c>
      <c r="H328" t="s">
        <v>1465</v>
      </c>
      <c r="I328" s="4" t="s">
        <v>35</v>
      </c>
      <c r="J328" s="4" t="s">
        <v>1466</v>
      </c>
      <c r="K328" t="s">
        <v>1467</v>
      </c>
      <c r="L328" t="s">
        <v>27</v>
      </c>
      <c r="M328" t="s">
        <v>1468</v>
      </c>
      <c r="N328" t="s">
        <v>28</v>
      </c>
      <c r="O328" t="s">
        <v>68</v>
      </c>
      <c r="P328" t="s">
        <v>51</v>
      </c>
      <c r="Q328" t="s">
        <v>31</v>
      </c>
      <c r="R328">
        <v>11</v>
      </c>
      <c r="S328" t="s">
        <v>1469</v>
      </c>
      <c r="T328" t="s">
        <v>594</v>
      </c>
      <c r="U328" t="s">
        <v>5266</v>
      </c>
      <c r="V328" t="s">
        <v>32</v>
      </c>
      <c r="W328" t="s">
        <v>33</v>
      </c>
      <c r="X328" t="s">
        <v>33</v>
      </c>
      <c r="Y328" t="s">
        <v>33</v>
      </c>
      <c r="Z328" s="16" t="s">
        <v>34</v>
      </c>
      <c r="AA328">
        <v>-75.607945220000005</v>
      </c>
      <c r="AB328">
        <v>6.2305570000000001</v>
      </c>
      <c r="AC328" t="s">
        <v>96</v>
      </c>
      <c r="AD328" t="s">
        <v>97</v>
      </c>
    </row>
    <row r="329" spans="1:30" x14ac:dyDescent="0.25">
      <c r="A329" t="s">
        <v>1470</v>
      </c>
      <c r="B329" t="s">
        <v>25</v>
      </c>
      <c r="C329" t="s">
        <v>26</v>
      </c>
      <c r="D329" t="s">
        <v>38</v>
      </c>
      <c r="E329" t="s">
        <v>1471</v>
      </c>
      <c r="F329" t="s">
        <v>1472</v>
      </c>
      <c r="G329">
        <v>15481626</v>
      </c>
      <c r="H329" t="s">
        <v>1473</v>
      </c>
      <c r="I329" s="4" t="s">
        <v>35</v>
      </c>
      <c r="J329" s="4" t="s">
        <v>1474</v>
      </c>
      <c r="K329" t="s">
        <v>1475</v>
      </c>
      <c r="L329" t="s">
        <v>27</v>
      </c>
      <c r="M329" t="s">
        <v>1476</v>
      </c>
      <c r="N329" t="s">
        <v>28</v>
      </c>
      <c r="O329" t="s">
        <v>39</v>
      </c>
      <c r="P329" t="s">
        <v>40</v>
      </c>
      <c r="Q329" t="s">
        <v>31</v>
      </c>
      <c r="R329">
        <v>5</v>
      </c>
      <c r="S329" t="s">
        <v>1477</v>
      </c>
      <c r="T329" t="s">
        <v>3300</v>
      </c>
      <c r="U329" t="s">
        <v>3299</v>
      </c>
      <c r="V329" t="s">
        <v>48</v>
      </c>
      <c r="W329" t="s">
        <v>33</v>
      </c>
      <c r="X329" t="s">
        <v>33</v>
      </c>
      <c r="Y329" t="s">
        <v>33</v>
      </c>
      <c r="Z329" s="16" t="s">
        <v>34</v>
      </c>
      <c r="AA329">
        <v>-75.543580000000006</v>
      </c>
      <c r="AB329">
        <v>6.2388649999999997</v>
      </c>
      <c r="AC329" t="s">
        <v>96</v>
      </c>
      <c r="AD329" t="s">
        <v>97</v>
      </c>
    </row>
    <row r="330" spans="1:30" x14ac:dyDescent="0.25">
      <c r="A330" t="s">
        <v>1478</v>
      </c>
      <c r="B330" t="s">
        <v>25</v>
      </c>
      <c r="C330" t="s">
        <v>26</v>
      </c>
      <c r="D330" t="s">
        <v>38</v>
      </c>
      <c r="E330" t="s">
        <v>1479</v>
      </c>
      <c r="F330" t="s">
        <v>1480</v>
      </c>
      <c r="G330">
        <v>1128389814</v>
      </c>
      <c r="H330" t="s">
        <v>1481</v>
      </c>
      <c r="I330" s="4" t="s">
        <v>35</v>
      </c>
      <c r="J330" s="4" t="s">
        <v>1482</v>
      </c>
      <c r="K330" t="s">
        <v>1483</v>
      </c>
      <c r="L330" t="s">
        <v>43</v>
      </c>
      <c r="M330" t="s">
        <v>1484</v>
      </c>
      <c r="N330" t="s">
        <v>44</v>
      </c>
      <c r="O330" t="s">
        <v>39</v>
      </c>
      <c r="P330" t="s">
        <v>40</v>
      </c>
      <c r="Q330" t="s">
        <v>31</v>
      </c>
      <c r="R330">
        <v>5</v>
      </c>
      <c r="S330" t="s">
        <v>1485</v>
      </c>
      <c r="T330" t="s">
        <v>1133</v>
      </c>
      <c r="U330" t="s">
        <v>2051</v>
      </c>
      <c r="V330" t="s">
        <v>48</v>
      </c>
      <c r="W330" t="s">
        <v>33</v>
      </c>
      <c r="X330" t="s">
        <v>33</v>
      </c>
      <c r="Y330" t="s">
        <v>33</v>
      </c>
      <c r="Z330" s="16" t="s">
        <v>34</v>
      </c>
      <c r="AA330">
        <v>-75.611328349999994</v>
      </c>
      <c r="AB330">
        <v>6.19280293</v>
      </c>
      <c r="AC330" t="s">
        <v>96</v>
      </c>
      <c r="AD330" t="s">
        <v>97</v>
      </c>
    </row>
    <row r="331" spans="1:30" x14ac:dyDescent="0.25">
      <c r="A331" t="s">
        <v>1486</v>
      </c>
      <c r="B331" t="s">
        <v>59</v>
      </c>
      <c r="C331" t="s">
        <v>26</v>
      </c>
      <c r="D331" t="s">
        <v>59</v>
      </c>
      <c r="E331" t="s">
        <v>1487</v>
      </c>
      <c r="F331" t="s">
        <v>1488</v>
      </c>
      <c r="G331">
        <v>71374492</v>
      </c>
      <c r="H331" t="s">
        <v>1489</v>
      </c>
      <c r="I331" s="4" t="s">
        <v>1490</v>
      </c>
      <c r="J331" s="4" t="s">
        <v>1491</v>
      </c>
      <c r="K331" t="s">
        <v>1492</v>
      </c>
      <c r="L331" t="s">
        <v>47</v>
      </c>
      <c r="M331" t="s">
        <v>1493</v>
      </c>
      <c r="N331" t="s">
        <v>62</v>
      </c>
      <c r="O331" t="s">
        <v>60</v>
      </c>
      <c r="P331" t="s">
        <v>61</v>
      </c>
      <c r="Q331" t="s">
        <v>37</v>
      </c>
      <c r="R331">
        <v>4</v>
      </c>
      <c r="S331" t="s">
        <v>1494</v>
      </c>
      <c r="T331" t="s">
        <v>1133</v>
      </c>
      <c r="U331" t="s">
        <v>5267</v>
      </c>
      <c r="V331" t="s">
        <v>48</v>
      </c>
      <c r="W331" t="s">
        <v>33</v>
      </c>
      <c r="X331" t="s">
        <v>33</v>
      </c>
      <c r="Y331" t="s">
        <v>33</v>
      </c>
      <c r="Z331" s="16" t="s">
        <v>34</v>
      </c>
      <c r="AA331">
        <v>-75.513939300000004</v>
      </c>
      <c r="AB331">
        <v>6.1830635200000001</v>
      </c>
      <c r="AC331" t="s">
        <v>96</v>
      </c>
      <c r="AD331" t="s">
        <v>97</v>
      </c>
    </row>
    <row r="332" spans="1:30" x14ac:dyDescent="0.25">
      <c r="A332" t="s">
        <v>1496</v>
      </c>
      <c r="B332" t="s">
        <v>25</v>
      </c>
      <c r="C332" t="s">
        <v>26</v>
      </c>
      <c r="D332" t="s">
        <v>38</v>
      </c>
      <c r="E332" t="s">
        <v>1497</v>
      </c>
      <c r="F332" t="s">
        <v>1498</v>
      </c>
      <c r="G332">
        <v>1146438792</v>
      </c>
      <c r="H332" t="s">
        <v>1499</v>
      </c>
      <c r="I332" s="4" t="s">
        <v>35</v>
      </c>
      <c r="J332" s="4" t="s">
        <v>1500</v>
      </c>
      <c r="K332" t="s">
        <v>1501</v>
      </c>
      <c r="L332" t="s">
        <v>27</v>
      </c>
      <c r="M332" t="s">
        <v>1502</v>
      </c>
      <c r="N332" t="s">
        <v>28</v>
      </c>
      <c r="O332" t="s">
        <v>39</v>
      </c>
      <c r="P332" t="s">
        <v>40</v>
      </c>
      <c r="Q332" t="s">
        <v>31</v>
      </c>
      <c r="R332">
        <v>5</v>
      </c>
      <c r="S332" t="s">
        <v>1503</v>
      </c>
      <c r="T332" t="s">
        <v>3220</v>
      </c>
      <c r="U332" t="s">
        <v>1138</v>
      </c>
      <c r="V332" t="s">
        <v>48</v>
      </c>
      <c r="W332" t="s">
        <v>33</v>
      </c>
      <c r="X332" t="s">
        <v>33</v>
      </c>
      <c r="Y332" t="s">
        <v>33</v>
      </c>
      <c r="Z332" s="16" t="s">
        <v>34</v>
      </c>
      <c r="AA332">
        <v>-75.540320010000002</v>
      </c>
      <c r="AB332">
        <v>6.2422170000000001</v>
      </c>
      <c r="AC332" t="s">
        <v>96</v>
      </c>
      <c r="AD332" t="s">
        <v>97</v>
      </c>
    </row>
    <row r="333" spans="1:30" x14ac:dyDescent="0.25">
      <c r="A333" t="s">
        <v>1504</v>
      </c>
      <c r="B333" t="s">
        <v>25</v>
      </c>
      <c r="C333" t="s">
        <v>26</v>
      </c>
      <c r="D333" t="s">
        <v>38</v>
      </c>
      <c r="E333" t="s">
        <v>1505</v>
      </c>
      <c r="F333" t="s">
        <v>1506</v>
      </c>
      <c r="G333">
        <v>1017210550</v>
      </c>
      <c r="H333" t="s">
        <v>1507</v>
      </c>
      <c r="I333" s="4" t="s">
        <v>35</v>
      </c>
      <c r="J333" s="4" t="s">
        <v>1508</v>
      </c>
      <c r="K333" t="s">
        <v>1509</v>
      </c>
      <c r="L333" t="s">
        <v>27</v>
      </c>
      <c r="M333" t="s">
        <v>1510</v>
      </c>
      <c r="N333" t="s">
        <v>28</v>
      </c>
      <c r="O333" t="s">
        <v>39</v>
      </c>
      <c r="P333" t="s">
        <v>40</v>
      </c>
      <c r="Q333" t="s">
        <v>31</v>
      </c>
      <c r="R333">
        <v>5</v>
      </c>
      <c r="S333" t="s">
        <v>1511</v>
      </c>
      <c r="T333" t="s">
        <v>669</v>
      </c>
      <c r="U333" t="s">
        <v>1135</v>
      </c>
      <c r="V333" t="s">
        <v>48</v>
      </c>
      <c r="W333" t="s">
        <v>33</v>
      </c>
      <c r="X333" t="s">
        <v>33</v>
      </c>
      <c r="Y333" t="s">
        <v>33</v>
      </c>
      <c r="Z333" s="16" t="s">
        <v>34</v>
      </c>
      <c r="AA333">
        <v>-75.54444977</v>
      </c>
      <c r="AB333">
        <v>6.2398160799999998</v>
      </c>
      <c r="AC333" t="s">
        <v>96</v>
      </c>
      <c r="AD333" t="s">
        <v>97</v>
      </c>
    </row>
    <row r="334" spans="1:30" x14ac:dyDescent="0.25">
      <c r="A334" t="s">
        <v>1512</v>
      </c>
      <c r="B334" t="s">
        <v>25</v>
      </c>
      <c r="C334" t="s">
        <v>26</v>
      </c>
      <c r="D334" t="s">
        <v>38</v>
      </c>
      <c r="E334" t="s">
        <v>1513</v>
      </c>
      <c r="F334" t="s">
        <v>1514</v>
      </c>
      <c r="G334">
        <v>77009532</v>
      </c>
      <c r="H334" t="s">
        <v>1515</v>
      </c>
      <c r="I334" s="4" t="s">
        <v>1516</v>
      </c>
      <c r="J334" s="4" t="s">
        <v>1517</v>
      </c>
      <c r="K334" t="s">
        <v>1518</v>
      </c>
      <c r="L334" t="s">
        <v>27</v>
      </c>
      <c r="M334" t="s">
        <v>1519</v>
      </c>
      <c r="N334" t="s">
        <v>28</v>
      </c>
      <c r="O334" t="s">
        <v>39</v>
      </c>
      <c r="P334" t="s">
        <v>40</v>
      </c>
      <c r="Q334" t="s">
        <v>31</v>
      </c>
      <c r="R334">
        <v>5</v>
      </c>
      <c r="S334" t="s">
        <v>1520</v>
      </c>
      <c r="T334" t="s">
        <v>3302</v>
      </c>
      <c r="U334" t="s">
        <v>3301</v>
      </c>
      <c r="V334" t="s">
        <v>48</v>
      </c>
      <c r="W334" t="s">
        <v>33</v>
      </c>
      <c r="X334" t="s">
        <v>33</v>
      </c>
      <c r="Y334" t="s">
        <v>33</v>
      </c>
      <c r="Z334" s="16" t="s">
        <v>34</v>
      </c>
      <c r="AA334">
        <v>-75.54530235</v>
      </c>
      <c r="AB334">
        <v>6.2437415999999999</v>
      </c>
      <c r="AC334" t="s">
        <v>96</v>
      </c>
      <c r="AD334" t="s">
        <v>97</v>
      </c>
    </row>
    <row r="335" spans="1:30" x14ac:dyDescent="0.25">
      <c r="A335" t="s">
        <v>1521</v>
      </c>
      <c r="B335" t="s">
        <v>25</v>
      </c>
      <c r="C335" t="s">
        <v>26</v>
      </c>
      <c r="D335" t="s">
        <v>38</v>
      </c>
      <c r="E335" t="s">
        <v>1522</v>
      </c>
      <c r="F335" t="s">
        <v>1523</v>
      </c>
      <c r="G335">
        <v>1036647618</v>
      </c>
      <c r="H335" t="s">
        <v>1524</v>
      </c>
      <c r="I335" s="4" t="s">
        <v>35</v>
      </c>
      <c r="J335" s="4" t="s">
        <v>1525</v>
      </c>
      <c r="K335" t="s">
        <v>1526</v>
      </c>
      <c r="L335" t="s">
        <v>43</v>
      </c>
      <c r="M335" t="s">
        <v>1527</v>
      </c>
      <c r="N335" t="s">
        <v>44</v>
      </c>
      <c r="O335" t="s">
        <v>39</v>
      </c>
      <c r="P335" t="s">
        <v>40</v>
      </c>
      <c r="Q335" t="s">
        <v>31</v>
      </c>
      <c r="R335">
        <v>5</v>
      </c>
      <c r="S335" t="s">
        <v>1528</v>
      </c>
      <c r="T335" t="s">
        <v>1675</v>
      </c>
      <c r="U335" t="s">
        <v>1136</v>
      </c>
      <c r="V335" t="s">
        <v>48</v>
      </c>
      <c r="W335" t="s">
        <v>33</v>
      </c>
      <c r="X335" t="s">
        <v>33</v>
      </c>
      <c r="Y335" t="s">
        <v>33</v>
      </c>
      <c r="Z335" s="16" t="s">
        <v>34</v>
      </c>
      <c r="AA335">
        <v>-75.611328349999994</v>
      </c>
      <c r="AB335">
        <v>6.19280293</v>
      </c>
      <c r="AC335" t="s">
        <v>96</v>
      </c>
      <c r="AD335" t="s">
        <v>97</v>
      </c>
    </row>
    <row r="336" spans="1:30" x14ac:dyDescent="0.25">
      <c r="A336" t="s">
        <v>1529</v>
      </c>
      <c r="B336" t="s">
        <v>25</v>
      </c>
      <c r="C336" t="s">
        <v>26</v>
      </c>
      <c r="D336" t="s">
        <v>38</v>
      </c>
      <c r="E336" t="s">
        <v>1530</v>
      </c>
      <c r="F336" t="s">
        <v>1531</v>
      </c>
      <c r="G336">
        <v>43441967</v>
      </c>
      <c r="H336" t="s">
        <v>1532</v>
      </c>
      <c r="I336" s="4" t="s">
        <v>1533</v>
      </c>
      <c r="J336" s="4" t="s">
        <v>1534</v>
      </c>
      <c r="K336" t="s">
        <v>1535</v>
      </c>
      <c r="L336" t="s">
        <v>27</v>
      </c>
      <c r="M336" t="s">
        <v>1536</v>
      </c>
      <c r="N336" t="s">
        <v>28</v>
      </c>
      <c r="O336" t="s">
        <v>39</v>
      </c>
      <c r="P336" t="s">
        <v>40</v>
      </c>
      <c r="Q336" t="s">
        <v>31</v>
      </c>
      <c r="R336">
        <v>5</v>
      </c>
      <c r="S336" t="s">
        <v>1537</v>
      </c>
      <c r="T336" t="s">
        <v>1675</v>
      </c>
      <c r="U336" t="s">
        <v>1136</v>
      </c>
      <c r="V336" t="s">
        <v>48</v>
      </c>
      <c r="W336" t="s">
        <v>33</v>
      </c>
      <c r="X336" t="s">
        <v>33</v>
      </c>
      <c r="Y336" t="s">
        <v>33</v>
      </c>
      <c r="Z336" s="16" t="s">
        <v>34</v>
      </c>
      <c r="AA336">
        <v>-75.54530235</v>
      </c>
      <c r="AB336">
        <v>6.2437415999999999</v>
      </c>
      <c r="AC336" t="s">
        <v>96</v>
      </c>
      <c r="AD336" t="s">
        <v>97</v>
      </c>
    </row>
    <row r="337" spans="1:30" x14ac:dyDescent="0.25">
      <c r="A337" t="s">
        <v>2268</v>
      </c>
      <c r="B337" t="s">
        <v>25</v>
      </c>
      <c r="C337" t="s">
        <v>26</v>
      </c>
      <c r="D337" t="s">
        <v>25</v>
      </c>
      <c r="E337" t="s">
        <v>2269</v>
      </c>
      <c r="F337" t="s">
        <v>2270</v>
      </c>
      <c r="G337">
        <v>98546050</v>
      </c>
      <c r="H337" t="s">
        <v>2271</v>
      </c>
      <c r="I337" s="4" t="s">
        <v>35</v>
      </c>
      <c r="J337" s="4" t="s">
        <v>2272</v>
      </c>
      <c r="K337" t="s">
        <v>2273</v>
      </c>
      <c r="L337" t="s">
        <v>47</v>
      </c>
      <c r="M337" t="s">
        <v>2274</v>
      </c>
      <c r="N337" t="s">
        <v>62</v>
      </c>
      <c r="O337" t="s">
        <v>29</v>
      </c>
      <c r="P337" t="s">
        <v>36</v>
      </c>
      <c r="Q337" t="s">
        <v>31</v>
      </c>
      <c r="R337">
        <v>7</v>
      </c>
      <c r="S337" t="s">
        <v>2275</v>
      </c>
      <c r="T337" t="s">
        <v>5268</v>
      </c>
      <c r="U337" t="s">
        <v>5269</v>
      </c>
      <c r="V337" t="s">
        <v>32</v>
      </c>
      <c r="W337" t="s">
        <v>33</v>
      </c>
      <c r="X337" t="s">
        <v>33</v>
      </c>
      <c r="Y337" t="s">
        <v>33</v>
      </c>
      <c r="Z337" s="16" t="s">
        <v>34</v>
      </c>
      <c r="AA337">
        <v>-75.581547080000007</v>
      </c>
      <c r="AB337">
        <v>6.1760242999999999</v>
      </c>
      <c r="AC337" t="s">
        <v>96</v>
      </c>
      <c r="AD337" t="s">
        <v>97</v>
      </c>
    </row>
    <row r="338" spans="1:30" x14ac:dyDescent="0.25">
      <c r="A338" t="s">
        <v>3304</v>
      </c>
      <c r="B338" t="s">
        <v>41</v>
      </c>
      <c r="C338" t="s">
        <v>26</v>
      </c>
      <c r="D338" t="s">
        <v>41</v>
      </c>
      <c r="E338" t="s">
        <v>3305</v>
      </c>
      <c r="F338" t="s">
        <v>3306</v>
      </c>
      <c r="G338">
        <v>890904996</v>
      </c>
      <c r="H338" t="s">
        <v>652</v>
      </c>
      <c r="I338" s="4" t="s">
        <v>52</v>
      </c>
      <c r="J338" s="4" t="s">
        <v>3307</v>
      </c>
      <c r="K338" t="s">
        <v>3308</v>
      </c>
      <c r="L338" t="s">
        <v>27</v>
      </c>
      <c r="M338" t="s">
        <v>3309</v>
      </c>
      <c r="N338" t="s">
        <v>28</v>
      </c>
      <c r="O338" t="s">
        <v>42</v>
      </c>
      <c r="P338" t="s">
        <v>36</v>
      </c>
      <c r="Q338" t="s">
        <v>37</v>
      </c>
      <c r="R338">
        <v>10</v>
      </c>
      <c r="S338" t="s">
        <v>3310</v>
      </c>
      <c r="T338" t="s">
        <v>5271</v>
      </c>
      <c r="U338" t="s">
        <v>3208</v>
      </c>
      <c r="V338" t="s">
        <v>32</v>
      </c>
      <c r="W338" t="s">
        <v>33</v>
      </c>
      <c r="X338" t="s">
        <v>33</v>
      </c>
      <c r="Y338" t="s">
        <v>33</v>
      </c>
      <c r="Z338" s="16" t="s">
        <v>34</v>
      </c>
      <c r="AA338">
        <v>-75.513586889999999</v>
      </c>
      <c r="AB338">
        <v>6.2264772400000004</v>
      </c>
      <c r="AC338" t="s">
        <v>96</v>
      </c>
      <c r="AD338" t="s">
        <v>97</v>
      </c>
    </row>
    <row r="339" spans="1:30" x14ac:dyDescent="0.25">
      <c r="A339" t="s">
        <v>1538</v>
      </c>
      <c r="B339" t="s">
        <v>59</v>
      </c>
      <c r="C339" t="s">
        <v>26</v>
      </c>
      <c r="D339" t="s">
        <v>59</v>
      </c>
      <c r="E339" t="s">
        <v>1539</v>
      </c>
      <c r="F339" t="s">
        <v>1540</v>
      </c>
      <c r="G339">
        <v>79108922</v>
      </c>
      <c r="H339" t="s">
        <v>1541</v>
      </c>
      <c r="I339" s="4" t="s">
        <v>35</v>
      </c>
      <c r="J339" s="4" t="s">
        <v>1542</v>
      </c>
      <c r="K339" t="s">
        <v>1543</v>
      </c>
      <c r="L339" t="s">
        <v>27</v>
      </c>
      <c r="M339" t="s">
        <v>1544</v>
      </c>
      <c r="N339" t="s">
        <v>28</v>
      </c>
      <c r="O339" t="s">
        <v>60</v>
      </c>
      <c r="P339" t="s">
        <v>61</v>
      </c>
      <c r="Q339" t="s">
        <v>31</v>
      </c>
      <c r="R339">
        <v>4</v>
      </c>
      <c r="S339" t="s">
        <v>1545</v>
      </c>
      <c r="T339" t="s">
        <v>137</v>
      </c>
      <c r="U339" t="s">
        <v>5272</v>
      </c>
      <c r="V339" t="s">
        <v>48</v>
      </c>
      <c r="W339" t="s">
        <v>33</v>
      </c>
      <c r="X339" t="s">
        <v>33</v>
      </c>
      <c r="Y339" t="s">
        <v>33</v>
      </c>
      <c r="Z339" s="16" t="s">
        <v>34</v>
      </c>
      <c r="AA339">
        <v>-75.61747819</v>
      </c>
      <c r="AB339">
        <v>6.2444884800000002</v>
      </c>
      <c r="AC339" t="s">
        <v>96</v>
      </c>
      <c r="AD339" t="s">
        <v>97</v>
      </c>
    </row>
    <row r="340" spans="1:30" x14ac:dyDescent="0.25">
      <c r="A340" t="s">
        <v>1546</v>
      </c>
      <c r="B340" t="s">
        <v>25</v>
      </c>
      <c r="C340" t="s">
        <v>26</v>
      </c>
      <c r="D340" t="s">
        <v>38</v>
      </c>
      <c r="E340" t="s">
        <v>1547</v>
      </c>
      <c r="F340" t="s">
        <v>1548</v>
      </c>
      <c r="G340">
        <v>1001507507</v>
      </c>
      <c r="H340" t="s">
        <v>1549</v>
      </c>
      <c r="I340" s="4" t="s">
        <v>35</v>
      </c>
      <c r="J340" s="4" t="s">
        <v>1550</v>
      </c>
      <c r="K340" t="s">
        <v>1551</v>
      </c>
      <c r="L340" t="s">
        <v>27</v>
      </c>
      <c r="M340" t="s">
        <v>1552</v>
      </c>
      <c r="N340" t="s">
        <v>28</v>
      </c>
      <c r="O340" t="s">
        <v>39</v>
      </c>
      <c r="P340" t="s">
        <v>40</v>
      </c>
      <c r="Q340" t="s">
        <v>31</v>
      </c>
      <c r="R340">
        <v>5</v>
      </c>
      <c r="S340" t="s">
        <v>1553</v>
      </c>
      <c r="T340" t="s">
        <v>137</v>
      </c>
      <c r="U340" t="s">
        <v>3311</v>
      </c>
      <c r="V340" t="s">
        <v>48</v>
      </c>
      <c r="W340" t="s">
        <v>33</v>
      </c>
      <c r="X340" t="s">
        <v>33</v>
      </c>
      <c r="Y340" t="s">
        <v>33</v>
      </c>
      <c r="Z340" s="16" t="s">
        <v>34</v>
      </c>
      <c r="AA340">
        <v>-75.542193999999995</v>
      </c>
      <c r="AB340">
        <v>6.2386759999999999</v>
      </c>
      <c r="AC340" t="s">
        <v>96</v>
      </c>
      <c r="AD340" t="s">
        <v>97</v>
      </c>
    </row>
    <row r="341" spans="1:30" x14ac:dyDescent="0.25">
      <c r="A341" t="s">
        <v>2276</v>
      </c>
      <c r="B341" t="s">
        <v>63</v>
      </c>
      <c r="C341" t="s">
        <v>26</v>
      </c>
      <c r="D341" t="s">
        <v>64</v>
      </c>
      <c r="E341" t="s">
        <v>2277</v>
      </c>
      <c r="F341" t="s">
        <v>2278</v>
      </c>
      <c r="G341">
        <v>39165590</v>
      </c>
      <c r="H341" t="s">
        <v>2279</v>
      </c>
      <c r="I341" s="4" t="s">
        <v>35</v>
      </c>
      <c r="J341" s="4" t="s">
        <v>2280</v>
      </c>
      <c r="K341" t="s">
        <v>2281</v>
      </c>
      <c r="L341" t="s">
        <v>55</v>
      </c>
      <c r="M341" t="s">
        <v>2282</v>
      </c>
      <c r="N341" t="s">
        <v>56</v>
      </c>
      <c r="O341" t="s">
        <v>65</v>
      </c>
      <c r="P341" t="s">
        <v>69</v>
      </c>
      <c r="Q341" t="s">
        <v>37</v>
      </c>
      <c r="R341">
        <v>14</v>
      </c>
      <c r="S341" t="s">
        <v>2283</v>
      </c>
      <c r="T341" t="s">
        <v>3093</v>
      </c>
      <c r="U341" t="s">
        <v>5273</v>
      </c>
      <c r="V341" t="s">
        <v>32</v>
      </c>
      <c r="W341" t="s">
        <v>33</v>
      </c>
      <c r="X341" t="s">
        <v>33</v>
      </c>
      <c r="Y341" t="s">
        <v>33</v>
      </c>
      <c r="Z341" s="16" t="s">
        <v>34</v>
      </c>
      <c r="AA341">
        <v>-75.628496029999994</v>
      </c>
      <c r="AB341">
        <v>6.0888036000000003</v>
      </c>
      <c r="AC341" t="s">
        <v>96</v>
      </c>
      <c r="AD341" t="s">
        <v>97</v>
      </c>
    </row>
    <row r="342" spans="1:30" x14ac:dyDescent="0.25">
      <c r="A342" t="s">
        <v>2285</v>
      </c>
      <c r="B342" t="s">
        <v>63</v>
      </c>
      <c r="C342" t="s">
        <v>26</v>
      </c>
      <c r="D342" t="s">
        <v>64</v>
      </c>
      <c r="E342" t="s">
        <v>2286</v>
      </c>
      <c r="F342" t="s">
        <v>2287</v>
      </c>
      <c r="G342">
        <v>98671215</v>
      </c>
      <c r="H342" t="s">
        <v>2288</v>
      </c>
      <c r="I342" s="4" t="s">
        <v>2289</v>
      </c>
      <c r="J342" s="4" t="s">
        <v>2290</v>
      </c>
      <c r="K342" t="s">
        <v>2291</v>
      </c>
      <c r="L342" t="s">
        <v>27</v>
      </c>
      <c r="M342" t="s">
        <v>2292</v>
      </c>
      <c r="N342" t="s">
        <v>28</v>
      </c>
      <c r="O342" t="s">
        <v>65</v>
      </c>
      <c r="P342" t="s">
        <v>66</v>
      </c>
      <c r="Q342" t="s">
        <v>31</v>
      </c>
      <c r="R342">
        <v>9</v>
      </c>
      <c r="S342" t="s">
        <v>2293</v>
      </c>
      <c r="T342" t="s">
        <v>5274</v>
      </c>
      <c r="U342" t="s">
        <v>1654</v>
      </c>
      <c r="V342" t="s">
        <v>32</v>
      </c>
      <c r="W342" t="s">
        <v>33</v>
      </c>
      <c r="X342" t="s">
        <v>33</v>
      </c>
      <c r="Y342" t="s">
        <v>33</v>
      </c>
      <c r="Z342" s="16" t="s">
        <v>34</v>
      </c>
      <c r="AA342">
        <v>-75.575621620000007</v>
      </c>
      <c r="AB342">
        <v>6.1955118699999998</v>
      </c>
      <c r="AC342" t="s">
        <v>96</v>
      </c>
      <c r="AD342" t="s">
        <v>97</v>
      </c>
    </row>
    <row r="343" spans="1:30" x14ac:dyDescent="0.25">
      <c r="A343" t="s">
        <v>1554</v>
      </c>
      <c r="B343" t="s">
        <v>25</v>
      </c>
      <c r="C343" t="s">
        <v>26</v>
      </c>
      <c r="D343" t="s">
        <v>38</v>
      </c>
      <c r="E343" t="s">
        <v>1555</v>
      </c>
      <c r="F343" t="s">
        <v>1556</v>
      </c>
      <c r="G343">
        <v>39178286</v>
      </c>
      <c r="H343" t="s">
        <v>1557</v>
      </c>
      <c r="I343" s="4" t="s">
        <v>35</v>
      </c>
      <c r="J343" s="4" t="s">
        <v>1558</v>
      </c>
      <c r="K343" t="s">
        <v>1559</v>
      </c>
      <c r="L343" t="s">
        <v>27</v>
      </c>
      <c r="M343" t="s">
        <v>1560</v>
      </c>
      <c r="N343" t="s">
        <v>28</v>
      </c>
      <c r="O343" t="s">
        <v>39</v>
      </c>
      <c r="P343" t="s">
        <v>40</v>
      </c>
      <c r="Q343" t="s">
        <v>31</v>
      </c>
      <c r="R343">
        <v>5</v>
      </c>
      <c r="S343" t="s">
        <v>1561</v>
      </c>
      <c r="T343" t="s">
        <v>3315</v>
      </c>
      <c r="U343" t="s">
        <v>3314</v>
      </c>
      <c r="V343" t="s">
        <v>48</v>
      </c>
      <c r="W343" t="s">
        <v>33</v>
      </c>
      <c r="X343" t="s">
        <v>33</v>
      </c>
      <c r="Y343" t="s">
        <v>33</v>
      </c>
      <c r="Z343" s="16" t="s">
        <v>34</v>
      </c>
      <c r="AA343">
        <v>-75.537009999999995</v>
      </c>
      <c r="AB343">
        <v>6.239484</v>
      </c>
      <c r="AC343" t="s">
        <v>96</v>
      </c>
      <c r="AD343" t="s">
        <v>97</v>
      </c>
    </row>
    <row r="344" spans="1:30" x14ac:dyDescent="0.25">
      <c r="A344" t="s">
        <v>1562</v>
      </c>
      <c r="B344" t="s">
        <v>25</v>
      </c>
      <c r="C344" t="s">
        <v>26</v>
      </c>
      <c r="D344" t="s">
        <v>38</v>
      </c>
      <c r="E344" t="s">
        <v>1563</v>
      </c>
      <c r="F344" t="s">
        <v>1564</v>
      </c>
      <c r="G344">
        <v>1017264777</v>
      </c>
      <c r="H344" t="s">
        <v>1565</v>
      </c>
      <c r="I344" s="4" t="s">
        <v>35</v>
      </c>
      <c r="J344" s="4" t="s">
        <v>1566</v>
      </c>
      <c r="K344" t="s">
        <v>1567</v>
      </c>
      <c r="L344" t="s">
        <v>27</v>
      </c>
      <c r="M344" t="s">
        <v>1568</v>
      </c>
      <c r="N344" t="s">
        <v>28</v>
      </c>
      <c r="O344" t="s">
        <v>39</v>
      </c>
      <c r="P344" t="s">
        <v>40</v>
      </c>
      <c r="Q344" t="s">
        <v>31</v>
      </c>
      <c r="R344">
        <v>5</v>
      </c>
      <c r="S344" t="s">
        <v>1569</v>
      </c>
      <c r="T344" t="s">
        <v>3317</v>
      </c>
      <c r="U344" t="s">
        <v>3316</v>
      </c>
      <c r="V344" t="s">
        <v>48</v>
      </c>
      <c r="W344" t="s">
        <v>33</v>
      </c>
      <c r="X344" t="s">
        <v>33</v>
      </c>
      <c r="Y344" t="s">
        <v>33</v>
      </c>
      <c r="Z344" s="16" t="s">
        <v>34</v>
      </c>
      <c r="AA344">
        <v>-75.540253000000007</v>
      </c>
      <c r="AB344">
        <v>6.2421749999999996</v>
      </c>
      <c r="AC344" t="s">
        <v>96</v>
      </c>
      <c r="AD344" t="s">
        <v>97</v>
      </c>
    </row>
    <row r="345" spans="1:30" x14ac:dyDescent="0.25">
      <c r="A345" t="s">
        <v>2294</v>
      </c>
      <c r="B345" t="s">
        <v>25</v>
      </c>
      <c r="C345" t="s">
        <v>70</v>
      </c>
      <c r="D345" t="s">
        <v>25</v>
      </c>
      <c r="E345" t="s">
        <v>2295</v>
      </c>
      <c r="F345" t="s">
        <v>2296</v>
      </c>
      <c r="G345">
        <v>22228544</v>
      </c>
      <c r="H345" t="s">
        <v>2297</v>
      </c>
      <c r="I345" s="4" t="s">
        <v>2298</v>
      </c>
      <c r="J345" s="4" t="s">
        <v>2299</v>
      </c>
      <c r="K345" t="s">
        <v>2300</v>
      </c>
      <c r="L345" t="s">
        <v>47</v>
      </c>
      <c r="M345" t="s">
        <v>2301</v>
      </c>
      <c r="N345" t="s">
        <v>62</v>
      </c>
      <c r="O345" t="s">
        <v>98</v>
      </c>
      <c r="P345" t="s">
        <v>30</v>
      </c>
      <c r="Q345" t="s">
        <v>31</v>
      </c>
      <c r="R345">
        <v>7</v>
      </c>
      <c r="S345" t="s">
        <v>2302</v>
      </c>
      <c r="T345" t="s">
        <v>5275</v>
      </c>
      <c r="U345" t="s">
        <v>3435</v>
      </c>
      <c r="V345" t="s">
        <v>32</v>
      </c>
      <c r="W345" t="s">
        <v>33</v>
      </c>
      <c r="X345" t="s">
        <v>33</v>
      </c>
      <c r="Y345" t="s">
        <v>33</v>
      </c>
      <c r="Z345" s="16" t="s">
        <v>34</v>
      </c>
      <c r="AA345">
        <v>-75.590821800000001</v>
      </c>
      <c r="AB345">
        <v>6.1631468399999996</v>
      </c>
      <c r="AC345" t="s">
        <v>96</v>
      </c>
      <c r="AD345" t="s">
        <v>97</v>
      </c>
    </row>
    <row r="346" spans="1:30" x14ac:dyDescent="0.25">
      <c r="A346" t="s">
        <v>1570</v>
      </c>
      <c r="B346" t="s">
        <v>59</v>
      </c>
      <c r="C346" t="s">
        <v>26</v>
      </c>
      <c r="D346" t="s">
        <v>59</v>
      </c>
      <c r="E346" t="s">
        <v>1571</v>
      </c>
      <c r="F346" t="s">
        <v>1572</v>
      </c>
      <c r="G346">
        <v>98702536</v>
      </c>
      <c r="H346" t="s">
        <v>1573</v>
      </c>
      <c r="I346" s="4" t="s">
        <v>35</v>
      </c>
      <c r="J346" s="4" t="s">
        <v>1574</v>
      </c>
      <c r="K346" t="s">
        <v>1575</v>
      </c>
      <c r="L346" t="s">
        <v>27</v>
      </c>
      <c r="M346" t="s">
        <v>1576</v>
      </c>
      <c r="N346" t="s">
        <v>28</v>
      </c>
      <c r="O346" t="s">
        <v>60</v>
      </c>
      <c r="P346" t="s">
        <v>61</v>
      </c>
      <c r="Q346" t="s">
        <v>31</v>
      </c>
      <c r="R346">
        <v>4</v>
      </c>
      <c r="S346" t="s">
        <v>1577</v>
      </c>
      <c r="T346" t="s">
        <v>5276</v>
      </c>
      <c r="U346" t="s">
        <v>5277</v>
      </c>
      <c r="V346" t="s">
        <v>48</v>
      </c>
      <c r="W346" t="s">
        <v>33</v>
      </c>
      <c r="X346" t="s">
        <v>33</v>
      </c>
      <c r="Y346" t="s">
        <v>33</v>
      </c>
      <c r="Z346" s="16" t="s">
        <v>34</v>
      </c>
      <c r="AA346">
        <v>-75.604688999999993</v>
      </c>
      <c r="AB346">
        <v>6.2170810000000003</v>
      </c>
      <c r="AC346" t="s">
        <v>96</v>
      </c>
      <c r="AD346" t="s">
        <v>97</v>
      </c>
    </row>
    <row r="347" spans="1:30" x14ac:dyDescent="0.25">
      <c r="A347" t="s">
        <v>2635</v>
      </c>
      <c r="B347" t="s">
        <v>49</v>
      </c>
      <c r="C347" t="s">
        <v>26</v>
      </c>
      <c r="D347" t="s">
        <v>49</v>
      </c>
      <c r="E347" t="s">
        <v>2636</v>
      </c>
      <c r="F347" t="s">
        <v>2637</v>
      </c>
      <c r="G347">
        <v>1007546591</v>
      </c>
      <c r="H347" t="s">
        <v>2638</v>
      </c>
      <c r="I347" s="4" t="s">
        <v>35</v>
      </c>
      <c r="J347" s="4" t="s">
        <v>2639</v>
      </c>
      <c r="K347" t="s">
        <v>2640</v>
      </c>
      <c r="L347" t="s">
        <v>27</v>
      </c>
      <c r="M347" t="s">
        <v>2641</v>
      </c>
      <c r="N347" t="s">
        <v>28</v>
      </c>
      <c r="O347" t="s">
        <v>39</v>
      </c>
      <c r="P347" t="s">
        <v>51</v>
      </c>
      <c r="Q347" t="s">
        <v>31</v>
      </c>
      <c r="R347">
        <v>5</v>
      </c>
      <c r="S347" t="s">
        <v>2642</v>
      </c>
      <c r="T347" t="s">
        <v>598</v>
      </c>
      <c r="U347" t="s">
        <v>1134</v>
      </c>
      <c r="V347" t="s">
        <v>32</v>
      </c>
      <c r="W347" t="s">
        <v>33</v>
      </c>
      <c r="X347" t="s">
        <v>33</v>
      </c>
      <c r="Y347" t="s">
        <v>33</v>
      </c>
      <c r="Z347" s="16" t="s">
        <v>34</v>
      </c>
      <c r="AA347">
        <v>-75.536359390000001</v>
      </c>
      <c r="AB347">
        <v>6.2364269600000002</v>
      </c>
      <c r="AC347" t="s">
        <v>96</v>
      </c>
      <c r="AD347" t="s">
        <v>97</v>
      </c>
    </row>
    <row r="348" spans="1:30" x14ac:dyDescent="0.25">
      <c r="A348" t="s">
        <v>2303</v>
      </c>
      <c r="B348" t="s">
        <v>25</v>
      </c>
      <c r="C348" t="s">
        <v>70</v>
      </c>
      <c r="D348" t="s">
        <v>25</v>
      </c>
      <c r="E348" t="s">
        <v>2304</v>
      </c>
      <c r="F348" t="s">
        <v>2305</v>
      </c>
      <c r="G348">
        <v>71644675</v>
      </c>
      <c r="H348" t="s">
        <v>2233</v>
      </c>
      <c r="I348" s="4" t="s">
        <v>35</v>
      </c>
      <c r="J348" s="4" t="s">
        <v>2234</v>
      </c>
      <c r="K348" t="s">
        <v>2306</v>
      </c>
      <c r="L348" t="s">
        <v>43</v>
      </c>
      <c r="M348" t="s">
        <v>2307</v>
      </c>
      <c r="N348" t="s">
        <v>44</v>
      </c>
      <c r="O348" t="s">
        <v>98</v>
      </c>
      <c r="P348" t="s">
        <v>30</v>
      </c>
      <c r="Q348" t="s">
        <v>31</v>
      </c>
      <c r="R348">
        <v>7</v>
      </c>
      <c r="S348" t="s">
        <v>2308</v>
      </c>
      <c r="T348" t="s">
        <v>5278</v>
      </c>
      <c r="U348" t="s">
        <v>5279</v>
      </c>
      <c r="V348" t="s">
        <v>32</v>
      </c>
      <c r="W348" t="s">
        <v>33</v>
      </c>
      <c r="X348" t="s">
        <v>33</v>
      </c>
      <c r="Y348" t="s">
        <v>33</v>
      </c>
      <c r="Z348" s="16" t="s">
        <v>34</v>
      </c>
      <c r="AA348">
        <v>-75.614632020000002</v>
      </c>
      <c r="AB348">
        <v>6.16980986</v>
      </c>
      <c r="AC348" t="s">
        <v>96</v>
      </c>
      <c r="AD348" t="s">
        <v>97</v>
      </c>
    </row>
    <row r="349" spans="1:30" x14ac:dyDescent="0.25">
      <c r="A349" t="s">
        <v>2309</v>
      </c>
      <c r="B349" t="s">
        <v>25</v>
      </c>
      <c r="C349" t="s">
        <v>26</v>
      </c>
      <c r="D349" t="s">
        <v>25</v>
      </c>
      <c r="E349" t="s">
        <v>2310</v>
      </c>
      <c r="F349" t="s">
        <v>2311</v>
      </c>
      <c r="G349">
        <v>1128474191</v>
      </c>
      <c r="H349" t="s">
        <v>2312</v>
      </c>
      <c r="I349" s="4" t="s">
        <v>35</v>
      </c>
      <c r="J349" s="4" t="s">
        <v>2313</v>
      </c>
      <c r="K349" t="s">
        <v>2314</v>
      </c>
      <c r="L349" t="s">
        <v>27</v>
      </c>
      <c r="M349" t="s">
        <v>2315</v>
      </c>
      <c r="N349" t="s">
        <v>28</v>
      </c>
      <c r="O349" t="s">
        <v>29</v>
      </c>
      <c r="P349" t="s">
        <v>36</v>
      </c>
      <c r="Q349" t="s">
        <v>31</v>
      </c>
      <c r="R349">
        <v>7</v>
      </c>
      <c r="S349" t="s">
        <v>2316</v>
      </c>
      <c r="T349" t="s">
        <v>5280</v>
      </c>
      <c r="U349" t="s">
        <v>5281</v>
      </c>
      <c r="V349" t="s">
        <v>32</v>
      </c>
      <c r="W349" t="s">
        <v>33</v>
      </c>
      <c r="X349" t="s">
        <v>33</v>
      </c>
      <c r="Y349" t="s">
        <v>33</v>
      </c>
      <c r="Z349" s="16" t="s">
        <v>34</v>
      </c>
      <c r="AA349">
        <v>-75.634265909999996</v>
      </c>
      <c r="AB349">
        <v>6.2776662700000001</v>
      </c>
      <c r="AC349" t="s">
        <v>96</v>
      </c>
      <c r="AD349" t="s">
        <v>97</v>
      </c>
    </row>
    <row r="350" spans="1:30" x14ac:dyDescent="0.25">
      <c r="A350" t="s">
        <v>2317</v>
      </c>
      <c r="B350" t="s">
        <v>63</v>
      </c>
      <c r="C350" t="s">
        <v>26</v>
      </c>
      <c r="D350" t="s">
        <v>64</v>
      </c>
      <c r="E350" t="s">
        <v>2318</v>
      </c>
      <c r="F350" t="s">
        <v>2319</v>
      </c>
      <c r="G350">
        <v>1128417267</v>
      </c>
      <c r="H350" t="s">
        <v>2320</v>
      </c>
      <c r="I350" s="4" t="s">
        <v>77</v>
      </c>
      <c r="J350" s="4" t="s">
        <v>2321</v>
      </c>
      <c r="K350" t="s">
        <v>2322</v>
      </c>
      <c r="L350" t="s">
        <v>27</v>
      </c>
      <c r="M350" t="s">
        <v>2323</v>
      </c>
      <c r="N350" t="s">
        <v>28</v>
      </c>
      <c r="O350" t="s">
        <v>65</v>
      </c>
      <c r="P350" t="s">
        <v>66</v>
      </c>
      <c r="Q350" t="s">
        <v>31</v>
      </c>
      <c r="R350">
        <v>9</v>
      </c>
      <c r="S350" t="s">
        <v>2324</v>
      </c>
      <c r="T350" t="s">
        <v>3094</v>
      </c>
      <c r="U350" t="s">
        <v>5282</v>
      </c>
      <c r="V350" t="s">
        <v>32</v>
      </c>
      <c r="W350" t="s">
        <v>33</v>
      </c>
      <c r="X350" t="s">
        <v>33</v>
      </c>
      <c r="Y350" t="s">
        <v>33</v>
      </c>
      <c r="Z350" s="16" t="s">
        <v>34</v>
      </c>
      <c r="AA350">
        <v>-75.635043999999994</v>
      </c>
      <c r="AB350">
        <v>6.2500229999999997</v>
      </c>
      <c r="AC350" t="s">
        <v>96</v>
      </c>
      <c r="AD350" t="s">
        <v>97</v>
      </c>
    </row>
    <row r="351" spans="1:30" x14ac:dyDescent="0.25">
      <c r="A351" t="s">
        <v>2325</v>
      </c>
      <c r="B351" t="s">
        <v>63</v>
      </c>
      <c r="C351" t="s">
        <v>26</v>
      </c>
      <c r="D351" t="s">
        <v>64</v>
      </c>
      <c r="E351" t="s">
        <v>2326</v>
      </c>
      <c r="F351" t="s">
        <v>2327</v>
      </c>
      <c r="G351">
        <v>1214734588</v>
      </c>
      <c r="H351" t="s">
        <v>418</v>
      </c>
      <c r="I351" s="4" t="s">
        <v>35</v>
      </c>
      <c r="J351" s="4" t="s">
        <v>419</v>
      </c>
      <c r="K351" t="s">
        <v>2328</v>
      </c>
      <c r="L351" t="s">
        <v>27</v>
      </c>
      <c r="M351" t="s">
        <v>2329</v>
      </c>
      <c r="N351" t="s">
        <v>28</v>
      </c>
      <c r="O351" t="s">
        <v>65</v>
      </c>
      <c r="P351" t="s">
        <v>66</v>
      </c>
      <c r="Q351" t="s">
        <v>31</v>
      </c>
      <c r="R351">
        <v>9</v>
      </c>
      <c r="S351" t="s">
        <v>2330</v>
      </c>
      <c r="T351" t="s">
        <v>5283</v>
      </c>
      <c r="U351" t="s">
        <v>5284</v>
      </c>
      <c r="V351" t="s">
        <v>32</v>
      </c>
      <c r="W351" t="s">
        <v>33</v>
      </c>
      <c r="X351" t="s">
        <v>33</v>
      </c>
      <c r="Y351" t="s">
        <v>33</v>
      </c>
      <c r="Z351" s="16" t="s">
        <v>34</v>
      </c>
      <c r="AA351">
        <v>-75.527999159999993</v>
      </c>
      <c r="AB351">
        <v>6.2349434199999996</v>
      </c>
      <c r="AC351" t="s">
        <v>96</v>
      </c>
      <c r="AD351" t="s">
        <v>97</v>
      </c>
    </row>
    <row r="352" spans="1:30" x14ac:dyDescent="0.25">
      <c r="A352" t="s">
        <v>2331</v>
      </c>
      <c r="B352" t="s">
        <v>63</v>
      </c>
      <c r="C352" t="s">
        <v>26</v>
      </c>
      <c r="D352" t="s">
        <v>64</v>
      </c>
      <c r="E352" t="s">
        <v>2332</v>
      </c>
      <c r="F352" t="s">
        <v>2333</v>
      </c>
      <c r="G352">
        <v>71383281</v>
      </c>
      <c r="H352" t="s">
        <v>2334</v>
      </c>
      <c r="I352" s="4" t="s">
        <v>2335</v>
      </c>
      <c r="J352" s="4" t="s">
        <v>2336</v>
      </c>
      <c r="K352" t="s">
        <v>2337</v>
      </c>
      <c r="L352" t="s">
        <v>27</v>
      </c>
      <c r="M352" t="s">
        <v>2338</v>
      </c>
      <c r="N352" t="s">
        <v>28</v>
      </c>
      <c r="O352" t="s">
        <v>65</v>
      </c>
      <c r="P352" t="s">
        <v>66</v>
      </c>
      <c r="Q352" t="s">
        <v>31</v>
      </c>
      <c r="R352">
        <v>9</v>
      </c>
      <c r="S352" t="s">
        <v>2339</v>
      </c>
      <c r="T352" t="s">
        <v>5285</v>
      </c>
      <c r="U352" t="s">
        <v>5286</v>
      </c>
      <c r="V352" t="s">
        <v>32</v>
      </c>
      <c r="W352" t="s">
        <v>33</v>
      </c>
      <c r="X352" t="s">
        <v>33</v>
      </c>
      <c r="Y352" t="s">
        <v>33</v>
      </c>
      <c r="Z352" s="16" t="s">
        <v>34</v>
      </c>
      <c r="AA352">
        <v>-75.545281090000003</v>
      </c>
      <c r="AB352">
        <v>6.2494240799999998</v>
      </c>
      <c r="AC352" t="s">
        <v>96</v>
      </c>
      <c r="AD352" t="s">
        <v>97</v>
      </c>
    </row>
    <row r="353" spans="1:30" x14ac:dyDescent="0.25">
      <c r="A353" t="s">
        <v>1578</v>
      </c>
      <c r="B353" t="s">
        <v>59</v>
      </c>
      <c r="C353" t="s">
        <v>26</v>
      </c>
      <c r="D353" t="s">
        <v>59</v>
      </c>
      <c r="E353" t="s">
        <v>1579</v>
      </c>
      <c r="F353" t="s">
        <v>1580</v>
      </c>
      <c r="G353">
        <v>890924840</v>
      </c>
      <c r="H353" t="s">
        <v>1581</v>
      </c>
      <c r="I353" s="4" t="s">
        <v>1582</v>
      </c>
      <c r="J353" s="4" t="s">
        <v>1583</v>
      </c>
      <c r="K353" t="s">
        <v>1584</v>
      </c>
      <c r="L353" t="s">
        <v>57</v>
      </c>
      <c r="M353" t="s">
        <v>1585</v>
      </c>
      <c r="N353" t="s">
        <v>58</v>
      </c>
      <c r="O353" t="s">
        <v>60</v>
      </c>
      <c r="P353" t="s">
        <v>61</v>
      </c>
      <c r="Q353" t="s">
        <v>31</v>
      </c>
      <c r="R353">
        <v>4</v>
      </c>
      <c r="S353" t="s">
        <v>1586</v>
      </c>
      <c r="T353" t="s">
        <v>5287</v>
      </c>
      <c r="U353" t="s">
        <v>5288</v>
      </c>
      <c r="V353" t="s">
        <v>48</v>
      </c>
      <c r="W353" t="s">
        <v>33</v>
      </c>
      <c r="X353" t="s">
        <v>33</v>
      </c>
      <c r="Y353" t="s">
        <v>33</v>
      </c>
      <c r="Z353" s="16" t="s">
        <v>34</v>
      </c>
      <c r="AA353">
        <v>-75.631015000000005</v>
      </c>
      <c r="AB353">
        <v>6.1505239999999999</v>
      </c>
      <c r="AC353" t="s">
        <v>96</v>
      </c>
      <c r="AD353" t="s">
        <v>97</v>
      </c>
    </row>
    <row r="354" spans="1:30" x14ac:dyDescent="0.25">
      <c r="A354" t="s">
        <v>1587</v>
      </c>
      <c r="B354" t="s">
        <v>25</v>
      </c>
      <c r="C354" t="s">
        <v>26</v>
      </c>
      <c r="D354" t="s">
        <v>38</v>
      </c>
      <c r="E354" t="s">
        <v>1588</v>
      </c>
      <c r="F354" t="s">
        <v>1589</v>
      </c>
      <c r="G354">
        <v>1216720608</v>
      </c>
      <c r="H354" t="s">
        <v>1590</v>
      </c>
      <c r="I354" s="4" t="s">
        <v>35</v>
      </c>
      <c r="J354" s="4" t="s">
        <v>1591</v>
      </c>
      <c r="K354" t="s">
        <v>1592</v>
      </c>
      <c r="L354" t="s">
        <v>27</v>
      </c>
      <c r="M354" t="s">
        <v>1593</v>
      </c>
      <c r="N354" t="s">
        <v>28</v>
      </c>
      <c r="O354" t="s">
        <v>39</v>
      </c>
      <c r="P354" t="s">
        <v>40</v>
      </c>
      <c r="Q354" t="s">
        <v>31</v>
      </c>
      <c r="R354">
        <v>5</v>
      </c>
      <c r="S354" t="s">
        <v>1594</v>
      </c>
      <c r="T354" t="s">
        <v>3320</v>
      </c>
      <c r="U354" t="s">
        <v>3319</v>
      </c>
      <c r="V354" t="s">
        <v>48</v>
      </c>
      <c r="W354" t="s">
        <v>33</v>
      </c>
      <c r="X354" t="s">
        <v>33</v>
      </c>
      <c r="Y354" t="s">
        <v>33</v>
      </c>
      <c r="Z354" s="16" t="s">
        <v>34</v>
      </c>
      <c r="AA354">
        <v>-75.644252609999995</v>
      </c>
      <c r="AB354">
        <v>6.2824333399999999</v>
      </c>
      <c r="AC354" t="s">
        <v>96</v>
      </c>
      <c r="AD354" t="s">
        <v>97</v>
      </c>
    </row>
    <row r="355" spans="1:30" x14ac:dyDescent="0.25">
      <c r="A355" t="s">
        <v>2340</v>
      </c>
      <c r="B355" t="s">
        <v>25</v>
      </c>
      <c r="C355" t="s">
        <v>26</v>
      </c>
      <c r="D355" t="s">
        <v>25</v>
      </c>
      <c r="E355" t="s">
        <v>2341</v>
      </c>
      <c r="F355" t="s">
        <v>2342</v>
      </c>
      <c r="G355">
        <v>43191387</v>
      </c>
      <c r="H355" t="s">
        <v>2343</v>
      </c>
      <c r="I355" s="4" t="s">
        <v>2344</v>
      </c>
      <c r="J355" s="4" t="s">
        <v>2345</v>
      </c>
      <c r="K355" t="s">
        <v>2346</v>
      </c>
      <c r="L355" t="s">
        <v>43</v>
      </c>
      <c r="M355" t="s">
        <v>2347</v>
      </c>
      <c r="N355" t="s">
        <v>44</v>
      </c>
      <c r="O355" t="s">
        <v>29</v>
      </c>
      <c r="P355" t="s">
        <v>36</v>
      </c>
      <c r="Q355" t="s">
        <v>31</v>
      </c>
      <c r="R355">
        <v>7</v>
      </c>
      <c r="S355" t="s">
        <v>2348</v>
      </c>
      <c r="T355" t="s">
        <v>3320</v>
      </c>
      <c r="U355" t="s">
        <v>5289</v>
      </c>
      <c r="V355" t="s">
        <v>32</v>
      </c>
      <c r="W355" t="s">
        <v>33</v>
      </c>
      <c r="X355" t="s">
        <v>33</v>
      </c>
      <c r="Y355" t="s">
        <v>33</v>
      </c>
      <c r="Z355" s="16" t="s">
        <v>34</v>
      </c>
      <c r="AA355">
        <v>-75.627371550000007</v>
      </c>
      <c r="AB355">
        <v>6.1791453199999999</v>
      </c>
      <c r="AC355" t="s">
        <v>96</v>
      </c>
      <c r="AD355" t="s">
        <v>97</v>
      </c>
    </row>
    <row r="356" spans="1:30" x14ac:dyDescent="0.25">
      <c r="A356" t="s">
        <v>2349</v>
      </c>
      <c r="B356" t="s">
        <v>63</v>
      </c>
      <c r="C356" t="s">
        <v>26</v>
      </c>
      <c r="D356" t="s">
        <v>64</v>
      </c>
      <c r="E356" t="s">
        <v>2350</v>
      </c>
      <c r="F356" t="s">
        <v>2351</v>
      </c>
      <c r="G356">
        <v>71383281</v>
      </c>
      <c r="H356" t="s">
        <v>2334</v>
      </c>
      <c r="I356" s="4" t="s">
        <v>2335</v>
      </c>
      <c r="J356" s="4" t="s">
        <v>2336</v>
      </c>
      <c r="K356" t="s">
        <v>2352</v>
      </c>
      <c r="L356" t="s">
        <v>27</v>
      </c>
      <c r="M356" t="s">
        <v>2353</v>
      </c>
      <c r="N356" t="s">
        <v>28</v>
      </c>
      <c r="O356" t="s">
        <v>65</v>
      </c>
      <c r="P356" t="s">
        <v>66</v>
      </c>
      <c r="Q356" t="s">
        <v>31</v>
      </c>
      <c r="R356">
        <v>9</v>
      </c>
      <c r="S356" t="s">
        <v>2354</v>
      </c>
      <c r="T356" t="s">
        <v>1677</v>
      </c>
      <c r="U356" t="s">
        <v>5290</v>
      </c>
      <c r="V356" t="s">
        <v>32</v>
      </c>
      <c r="W356" t="s">
        <v>33</v>
      </c>
      <c r="X356" t="s">
        <v>33</v>
      </c>
      <c r="Y356" t="s">
        <v>33</v>
      </c>
      <c r="Z356" s="16" t="s">
        <v>34</v>
      </c>
      <c r="AA356">
        <v>-75.545281090000003</v>
      </c>
      <c r="AB356">
        <v>6.2494240799999998</v>
      </c>
      <c r="AC356" t="s">
        <v>96</v>
      </c>
      <c r="AD356" t="s">
        <v>97</v>
      </c>
    </row>
    <row r="357" spans="1:30" x14ac:dyDescent="0.25">
      <c r="A357" t="s">
        <v>2355</v>
      </c>
      <c r="B357" t="s">
        <v>41</v>
      </c>
      <c r="C357" t="s">
        <v>70</v>
      </c>
      <c r="D357" t="s">
        <v>41</v>
      </c>
      <c r="E357" t="s">
        <v>2356</v>
      </c>
      <c r="F357" t="s">
        <v>2357</v>
      </c>
      <c r="G357">
        <v>70380817</v>
      </c>
      <c r="H357" t="s">
        <v>2358</v>
      </c>
      <c r="I357" s="4" t="s">
        <v>2359</v>
      </c>
      <c r="J357" s="4" t="s">
        <v>2360</v>
      </c>
      <c r="K357" t="s">
        <v>2361</v>
      </c>
      <c r="L357" t="s">
        <v>27</v>
      </c>
      <c r="M357" t="s">
        <v>2362</v>
      </c>
      <c r="N357" t="s">
        <v>28</v>
      </c>
      <c r="O357" t="s">
        <v>71</v>
      </c>
      <c r="P357" t="s">
        <v>30</v>
      </c>
      <c r="Q357" t="s">
        <v>31</v>
      </c>
      <c r="R357">
        <v>7</v>
      </c>
      <c r="S357" t="s">
        <v>2363</v>
      </c>
      <c r="T357" t="s">
        <v>3322</v>
      </c>
      <c r="U357" t="s">
        <v>5292</v>
      </c>
      <c r="V357" t="s">
        <v>32</v>
      </c>
      <c r="W357" t="s">
        <v>33</v>
      </c>
      <c r="X357" t="s">
        <v>33</v>
      </c>
      <c r="Y357" t="s">
        <v>33</v>
      </c>
      <c r="Z357" s="16" t="s">
        <v>34</v>
      </c>
      <c r="AA357">
        <v>-75.580270999999996</v>
      </c>
      <c r="AB357">
        <v>6.2400120000000001</v>
      </c>
      <c r="AC357" t="s">
        <v>96</v>
      </c>
      <c r="AD357" t="s">
        <v>97</v>
      </c>
    </row>
    <row r="358" spans="1:30" x14ac:dyDescent="0.25">
      <c r="A358" t="s">
        <v>1595</v>
      </c>
      <c r="B358" t="s">
        <v>25</v>
      </c>
      <c r="C358" t="s">
        <v>26</v>
      </c>
      <c r="D358" t="s">
        <v>38</v>
      </c>
      <c r="E358" t="s">
        <v>1596</v>
      </c>
      <c r="F358" t="s">
        <v>1597</v>
      </c>
      <c r="G358">
        <v>11796294</v>
      </c>
      <c r="H358" t="s">
        <v>1598</v>
      </c>
      <c r="I358" s="4" t="s">
        <v>35</v>
      </c>
      <c r="J358" s="4" t="s">
        <v>1599</v>
      </c>
      <c r="K358" t="s">
        <v>1600</v>
      </c>
      <c r="L358" t="s">
        <v>27</v>
      </c>
      <c r="M358" t="s">
        <v>1601</v>
      </c>
      <c r="N358" t="s">
        <v>28</v>
      </c>
      <c r="O358" t="s">
        <v>39</v>
      </c>
      <c r="P358" t="s">
        <v>40</v>
      </c>
      <c r="Q358" t="s">
        <v>31</v>
      </c>
      <c r="R358">
        <v>5</v>
      </c>
      <c r="S358" t="s">
        <v>1602</v>
      </c>
      <c r="T358" t="s">
        <v>3322</v>
      </c>
      <c r="U358" t="s">
        <v>3321</v>
      </c>
      <c r="V358" t="s">
        <v>48</v>
      </c>
      <c r="W358" t="s">
        <v>33</v>
      </c>
      <c r="X358" t="s">
        <v>33</v>
      </c>
      <c r="Y358" t="s">
        <v>33</v>
      </c>
      <c r="Z358" s="16" t="s">
        <v>34</v>
      </c>
      <c r="AA358">
        <v>-75.542680840000003</v>
      </c>
      <c r="AB358">
        <v>6.2429367600000001</v>
      </c>
      <c r="AC358" t="s">
        <v>96</v>
      </c>
      <c r="AD358" t="s">
        <v>97</v>
      </c>
    </row>
    <row r="359" spans="1:30" x14ac:dyDescent="0.25">
      <c r="A359" t="s">
        <v>1603</v>
      </c>
      <c r="B359" t="s">
        <v>25</v>
      </c>
      <c r="C359" t="s">
        <v>26</v>
      </c>
      <c r="D359" t="s">
        <v>38</v>
      </c>
      <c r="E359" t="s">
        <v>1604</v>
      </c>
      <c r="F359" t="s">
        <v>1605</v>
      </c>
      <c r="G359">
        <v>11796294</v>
      </c>
      <c r="H359" t="s">
        <v>1598</v>
      </c>
      <c r="I359" s="4" t="s">
        <v>35</v>
      </c>
      <c r="J359" s="4" t="s">
        <v>1599</v>
      </c>
      <c r="K359" t="s">
        <v>1606</v>
      </c>
      <c r="L359" t="s">
        <v>27</v>
      </c>
      <c r="M359" t="s">
        <v>1607</v>
      </c>
      <c r="N359" t="s">
        <v>28</v>
      </c>
      <c r="O359" t="s">
        <v>39</v>
      </c>
      <c r="P359" t="s">
        <v>40</v>
      </c>
      <c r="Q359" t="s">
        <v>31</v>
      </c>
      <c r="R359">
        <v>5</v>
      </c>
      <c r="S359" t="s">
        <v>1608</v>
      </c>
      <c r="T359" t="s">
        <v>3324</v>
      </c>
      <c r="U359" t="s">
        <v>3323</v>
      </c>
      <c r="V359" t="s">
        <v>48</v>
      </c>
      <c r="W359" t="s">
        <v>33</v>
      </c>
      <c r="X359" t="s">
        <v>33</v>
      </c>
      <c r="Y359" t="s">
        <v>33</v>
      </c>
      <c r="Z359" s="16" t="s">
        <v>34</v>
      </c>
      <c r="AA359">
        <v>-75.542604220000001</v>
      </c>
      <c r="AB359">
        <v>6.24285055</v>
      </c>
      <c r="AC359" t="s">
        <v>96</v>
      </c>
      <c r="AD359" t="s">
        <v>97</v>
      </c>
    </row>
    <row r="360" spans="1:30" x14ac:dyDescent="0.25">
      <c r="A360" t="s">
        <v>1609</v>
      </c>
      <c r="B360" t="s">
        <v>59</v>
      </c>
      <c r="C360" t="s">
        <v>26</v>
      </c>
      <c r="D360" t="s">
        <v>59</v>
      </c>
      <c r="E360" t="s">
        <v>1610</v>
      </c>
      <c r="F360" t="s">
        <v>1611</v>
      </c>
      <c r="G360">
        <v>900608205</v>
      </c>
      <c r="H360" t="s">
        <v>1612</v>
      </c>
      <c r="I360" s="4" t="s">
        <v>77</v>
      </c>
      <c r="J360" s="4" t="s">
        <v>1613</v>
      </c>
      <c r="K360" t="s">
        <v>1614</v>
      </c>
      <c r="L360" t="s">
        <v>27</v>
      </c>
      <c r="M360" t="s">
        <v>1615</v>
      </c>
      <c r="N360" t="s">
        <v>28</v>
      </c>
      <c r="O360" t="s">
        <v>60</v>
      </c>
      <c r="P360" t="s">
        <v>61</v>
      </c>
      <c r="Q360" t="s">
        <v>31</v>
      </c>
      <c r="R360">
        <v>4</v>
      </c>
      <c r="S360" t="s">
        <v>1616</v>
      </c>
      <c r="T360" t="s">
        <v>5293</v>
      </c>
      <c r="U360" t="s">
        <v>5294</v>
      </c>
      <c r="V360" t="s">
        <v>48</v>
      </c>
      <c r="W360" t="s">
        <v>33</v>
      </c>
      <c r="X360" t="s">
        <v>33</v>
      </c>
      <c r="Y360" t="s">
        <v>33</v>
      </c>
      <c r="Z360" s="16" t="s">
        <v>34</v>
      </c>
      <c r="AA360">
        <v>-75.607828999999995</v>
      </c>
      <c r="AB360">
        <v>6.2153600000000004</v>
      </c>
      <c r="AC360" t="s">
        <v>96</v>
      </c>
      <c r="AD360" t="s">
        <v>97</v>
      </c>
    </row>
    <row r="361" spans="1:30" x14ac:dyDescent="0.25">
      <c r="A361" t="s">
        <v>2364</v>
      </c>
      <c r="B361" t="s">
        <v>25</v>
      </c>
      <c r="C361" t="s">
        <v>26</v>
      </c>
      <c r="D361" t="s">
        <v>25</v>
      </c>
      <c r="E361" t="s">
        <v>2365</v>
      </c>
      <c r="F361" t="s">
        <v>2366</v>
      </c>
      <c r="G361">
        <v>71629491</v>
      </c>
      <c r="H361" t="s">
        <v>2367</v>
      </c>
      <c r="I361" s="4" t="s">
        <v>35</v>
      </c>
      <c r="J361" s="4" t="s">
        <v>2368</v>
      </c>
      <c r="K361" t="s">
        <v>2369</v>
      </c>
      <c r="L361" t="s">
        <v>27</v>
      </c>
      <c r="M361" t="s">
        <v>2370</v>
      </c>
      <c r="N361" t="s">
        <v>28</v>
      </c>
      <c r="O361" t="s">
        <v>29</v>
      </c>
      <c r="P361" t="s">
        <v>36</v>
      </c>
      <c r="Q361" t="s">
        <v>31</v>
      </c>
      <c r="R361">
        <v>7</v>
      </c>
      <c r="S361" t="s">
        <v>2371</v>
      </c>
      <c r="T361" t="s">
        <v>1651</v>
      </c>
      <c r="U361" t="s">
        <v>5062</v>
      </c>
      <c r="V361" t="s">
        <v>32</v>
      </c>
      <c r="W361" t="s">
        <v>33</v>
      </c>
      <c r="X361" t="s">
        <v>33</v>
      </c>
      <c r="Y361" t="s">
        <v>33</v>
      </c>
      <c r="Z361" s="16" t="s">
        <v>34</v>
      </c>
      <c r="AA361">
        <v>-75.635981999999998</v>
      </c>
      <c r="AB361">
        <v>6.2746040000000001</v>
      </c>
      <c r="AC361" t="s">
        <v>96</v>
      </c>
      <c r="AD361" t="s">
        <v>97</v>
      </c>
    </row>
    <row r="362" spans="1:30" x14ac:dyDescent="0.25">
      <c r="A362" t="s">
        <v>3328</v>
      </c>
      <c r="B362" t="s">
        <v>41</v>
      </c>
      <c r="C362" t="s">
        <v>26</v>
      </c>
      <c r="D362" t="s">
        <v>41</v>
      </c>
      <c r="E362" t="s">
        <v>3329</v>
      </c>
      <c r="F362" t="s">
        <v>3330</v>
      </c>
      <c r="G362">
        <v>8345348</v>
      </c>
      <c r="H362" t="s">
        <v>3331</v>
      </c>
      <c r="I362" s="4" t="s">
        <v>3332</v>
      </c>
      <c r="J362" s="4" t="s">
        <v>3333</v>
      </c>
      <c r="K362" t="s">
        <v>3334</v>
      </c>
      <c r="L362" t="s">
        <v>47</v>
      </c>
      <c r="M362" t="s">
        <v>3335</v>
      </c>
      <c r="N362" t="s">
        <v>62</v>
      </c>
      <c r="O362" t="s">
        <v>42</v>
      </c>
      <c r="P362" t="s">
        <v>30</v>
      </c>
      <c r="Q362" t="s">
        <v>31</v>
      </c>
      <c r="R362">
        <v>7</v>
      </c>
      <c r="S362" t="s">
        <v>3336</v>
      </c>
      <c r="T362" t="s">
        <v>5295</v>
      </c>
      <c r="U362" t="s">
        <v>4825</v>
      </c>
      <c r="V362" t="s">
        <v>32</v>
      </c>
      <c r="W362" t="s">
        <v>33</v>
      </c>
      <c r="X362" t="s">
        <v>33</v>
      </c>
      <c r="Y362" t="s">
        <v>33</v>
      </c>
      <c r="Z362" s="16" t="s">
        <v>34</v>
      </c>
      <c r="AA362">
        <v>-75.586495479999996</v>
      </c>
      <c r="AB362">
        <v>6.1701203700000002</v>
      </c>
      <c r="AC362" t="s">
        <v>96</v>
      </c>
      <c r="AD362" t="s">
        <v>97</v>
      </c>
    </row>
    <row r="363" spans="1:30" x14ac:dyDescent="0.25">
      <c r="A363" t="s">
        <v>2372</v>
      </c>
      <c r="B363" t="s">
        <v>25</v>
      </c>
      <c r="C363" t="s">
        <v>26</v>
      </c>
      <c r="D363" t="s">
        <v>25</v>
      </c>
      <c r="E363" t="s">
        <v>2373</v>
      </c>
      <c r="F363" t="s">
        <v>2374</v>
      </c>
      <c r="G363">
        <v>1040052105</v>
      </c>
      <c r="H363" t="s">
        <v>2375</v>
      </c>
      <c r="I363" s="4" t="s">
        <v>35</v>
      </c>
      <c r="J363" s="4" t="s">
        <v>2376</v>
      </c>
      <c r="K363" t="s">
        <v>2377</v>
      </c>
      <c r="L363" t="s">
        <v>27</v>
      </c>
      <c r="M363" t="s">
        <v>2378</v>
      </c>
      <c r="N363" t="s">
        <v>28</v>
      </c>
      <c r="O363" t="s">
        <v>29</v>
      </c>
      <c r="P363" t="s">
        <v>36</v>
      </c>
      <c r="Q363" t="s">
        <v>31</v>
      </c>
      <c r="R363">
        <v>7</v>
      </c>
      <c r="S363" t="s">
        <v>2379</v>
      </c>
      <c r="T363" t="s">
        <v>5296</v>
      </c>
      <c r="U363" t="s">
        <v>3882</v>
      </c>
      <c r="V363" t="s">
        <v>32</v>
      </c>
      <c r="W363" t="s">
        <v>33</v>
      </c>
      <c r="X363" t="s">
        <v>33</v>
      </c>
      <c r="Y363" t="s">
        <v>33</v>
      </c>
      <c r="Z363" s="16" t="s">
        <v>34</v>
      </c>
      <c r="AA363">
        <v>-75.611172980000006</v>
      </c>
      <c r="AB363">
        <v>6.2733970899999996</v>
      </c>
      <c r="AC363" t="s">
        <v>96</v>
      </c>
      <c r="AD363" t="s">
        <v>97</v>
      </c>
    </row>
    <row r="364" spans="1:30" x14ac:dyDescent="0.25">
      <c r="A364" t="s">
        <v>3337</v>
      </c>
      <c r="B364" t="s">
        <v>41</v>
      </c>
      <c r="C364" t="s">
        <v>26</v>
      </c>
      <c r="D364" t="s">
        <v>41</v>
      </c>
      <c r="E364" t="s">
        <v>3338</v>
      </c>
      <c r="F364" t="s">
        <v>3339</v>
      </c>
      <c r="G364">
        <v>8345348</v>
      </c>
      <c r="H364" t="s">
        <v>3331</v>
      </c>
      <c r="I364" s="4" t="s">
        <v>3332</v>
      </c>
      <c r="J364" s="4" t="s">
        <v>3333</v>
      </c>
      <c r="K364" t="s">
        <v>3340</v>
      </c>
      <c r="L364" t="s">
        <v>47</v>
      </c>
      <c r="M364" t="s">
        <v>3341</v>
      </c>
      <c r="N364" t="s">
        <v>62</v>
      </c>
      <c r="O364" t="s">
        <v>42</v>
      </c>
      <c r="P364" t="s">
        <v>30</v>
      </c>
      <c r="Q364" t="s">
        <v>31</v>
      </c>
      <c r="R364">
        <v>7</v>
      </c>
      <c r="S364" t="s">
        <v>3342</v>
      </c>
      <c r="T364" t="s">
        <v>5297</v>
      </c>
      <c r="U364" t="s">
        <v>5298</v>
      </c>
      <c r="V364" t="s">
        <v>32</v>
      </c>
      <c r="W364" t="s">
        <v>33</v>
      </c>
      <c r="X364" t="s">
        <v>33</v>
      </c>
      <c r="Y364" t="s">
        <v>33</v>
      </c>
      <c r="Z364" s="16" t="s">
        <v>34</v>
      </c>
      <c r="AA364">
        <v>-75.586495479999996</v>
      </c>
      <c r="AB364">
        <v>6.1701203700000002</v>
      </c>
      <c r="AC364" t="s">
        <v>96</v>
      </c>
      <c r="AD364" t="s">
        <v>97</v>
      </c>
    </row>
    <row r="365" spans="1:30" x14ac:dyDescent="0.25">
      <c r="A365" t="s">
        <v>1617</v>
      </c>
      <c r="B365" t="s">
        <v>59</v>
      </c>
      <c r="C365" t="s">
        <v>26</v>
      </c>
      <c r="D365" t="s">
        <v>59</v>
      </c>
      <c r="E365" t="s">
        <v>1618</v>
      </c>
      <c r="F365" t="s">
        <v>1619</v>
      </c>
      <c r="G365">
        <v>1152456139</v>
      </c>
      <c r="H365" t="s">
        <v>1620</v>
      </c>
      <c r="I365" s="4" t="s">
        <v>1621</v>
      </c>
      <c r="J365" s="4" t="s">
        <v>1622</v>
      </c>
      <c r="K365" t="s">
        <v>1623</v>
      </c>
      <c r="L365" t="s">
        <v>27</v>
      </c>
      <c r="M365" t="s">
        <v>1624</v>
      </c>
      <c r="N365" t="s">
        <v>28</v>
      </c>
      <c r="O365" t="s">
        <v>60</v>
      </c>
      <c r="P365" t="s">
        <v>61</v>
      </c>
      <c r="Q365" t="s">
        <v>31</v>
      </c>
      <c r="R365">
        <v>4</v>
      </c>
      <c r="S365" t="s">
        <v>1625</v>
      </c>
      <c r="T365" t="s">
        <v>1698</v>
      </c>
      <c r="U365" t="s">
        <v>5299</v>
      </c>
      <c r="V365" t="s">
        <v>48</v>
      </c>
      <c r="W365" t="s">
        <v>33</v>
      </c>
      <c r="X365" t="s">
        <v>33</v>
      </c>
      <c r="Y365" t="s">
        <v>33</v>
      </c>
      <c r="Z365" s="16" t="s">
        <v>34</v>
      </c>
      <c r="AA365">
        <v>-75.582594929999999</v>
      </c>
      <c r="AB365">
        <v>6.2313041399999998</v>
      </c>
      <c r="AC365" t="s">
        <v>96</v>
      </c>
      <c r="AD365" t="s">
        <v>97</v>
      </c>
    </row>
    <row r="366" spans="1:30" x14ac:dyDescent="0.25">
      <c r="A366" t="s">
        <v>1626</v>
      </c>
      <c r="B366" t="s">
        <v>59</v>
      </c>
      <c r="C366" t="s">
        <v>26</v>
      </c>
      <c r="D366" t="s">
        <v>59</v>
      </c>
      <c r="E366" t="s">
        <v>1627</v>
      </c>
      <c r="F366" t="s">
        <v>1628</v>
      </c>
      <c r="G366">
        <v>890937165</v>
      </c>
      <c r="H366" t="s">
        <v>1629</v>
      </c>
      <c r="I366" s="4" t="s">
        <v>1630</v>
      </c>
      <c r="J366" s="4" t="s">
        <v>1631</v>
      </c>
      <c r="K366" t="s">
        <v>1632</v>
      </c>
      <c r="L366" t="s">
        <v>53</v>
      </c>
      <c r="M366" t="s">
        <v>1633</v>
      </c>
      <c r="N366" t="s">
        <v>54</v>
      </c>
      <c r="O366" t="s">
        <v>60</v>
      </c>
      <c r="P366" t="s">
        <v>61</v>
      </c>
      <c r="Q366" t="s">
        <v>31</v>
      </c>
      <c r="R366">
        <v>4</v>
      </c>
      <c r="S366" t="s">
        <v>1634</v>
      </c>
      <c r="T366" t="s">
        <v>4937</v>
      </c>
      <c r="U366" t="s">
        <v>5300</v>
      </c>
      <c r="V366" t="s">
        <v>48</v>
      </c>
      <c r="W366" t="s">
        <v>33</v>
      </c>
      <c r="X366" t="s">
        <v>33</v>
      </c>
      <c r="Y366" t="s">
        <v>33</v>
      </c>
      <c r="Z366" s="16" t="s">
        <v>34</v>
      </c>
      <c r="AA366">
        <v>-75.633939670000004</v>
      </c>
      <c r="AB366">
        <v>6.1261755300000003</v>
      </c>
      <c r="AC366" t="s">
        <v>96</v>
      </c>
      <c r="AD366" t="s">
        <v>97</v>
      </c>
    </row>
    <row r="367" spans="1:30" x14ac:dyDescent="0.25">
      <c r="A367" t="s">
        <v>2380</v>
      </c>
      <c r="B367" t="s">
        <v>25</v>
      </c>
      <c r="C367" t="s">
        <v>26</v>
      </c>
      <c r="D367" t="s">
        <v>25</v>
      </c>
      <c r="E367" t="s">
        <v>2381</v>
      </c>
      <c r="F367" t="s">
        <v>2382</v>
      </c>
      <c r="G367">
        <v>32102731</v>
      </c>
      <c r="H367" t="s">
        <v>2383</v>
      </c>
      <c r="I367" s="4" t="s">
        <v>35</v>
      </c>
      <c r="J367" s="4" t="s">
        <v>2384</v>
      </c>
      <c r="K367" t="s">
        <v>2385</v>
      </c>
      <c r="L367" t="s">
        <v>27</v>
      </c>
      <c r="M367" t="s">
        <v>2386</v>
      </c>
      <c r="N367" t="s">
        <v>28</v>
      </c>
      <c r="O367" t="s">
        <v>29</v>
      </c>
      <c r="P367" t="s">
        <v>30</v>
      </c>
      <c r="Q367" t="s">
        <v>31</v>
      </c>
      <c r="R367">
        <v>7</v>
      </c>
      <c r="S367" t="s">
        <v>2387</v>
      </c>
      <c r="T367" t="s">
        <v>3260</v>
      </c>
      <c r="U367" t="s">
        <v>3261</v>
      </c>
      <c r="V367" t="s">
        <v>32</v>
      </c>
      <c r="W367" t="s">
        <v>33</v>
      </c>
      <c r="X367" t="s">
        <v>33</v>
      </c>
      <c r="Y367" t="s">
        <v>33</v>
      </c>
      <c r="Z367" s="16" t="s">
        <v>34</v>
      </c>
      <c r="AA367">
        <v>-75.642097000000007</v>
      </c>
      <c r="AB367">
        <v>6.2854619999999999</v>
      </c>
      <c r="AC367" t="s">
        <v>96</v>
      </c>
      <c r="AD367" t="s">
        <v>97</v>
      </c>
    </row>
    <row r="368" spans="1:30" x14ac:dyDescent="0.25">
      <c r="A368" t="s">
        <v>2388</v>
      </c>
      <c r="B368" t="s">
        <v>25</v>
      </c>
      <c r="C368" t="s">
        <v>26</v>
      </c>
      <c r="D368" t="s">
        <v>25</v>
      </c>
      <c r="E368" t="s">
        <v>2389</v>
      </c>
      <c r="F368" t="s">
        <v>2390</v>
      </c>
      <c r="G368">
        <v>32102731</v>
      </c>
      <c r="H368" t="s">
        <v>2383</v>
      </c>
      <c r="I368" s="4" t="s">
        <v>35</v>
      </c>
      <c r="J368" s="4" t="s">
        <v>2384</v>
      </c>
      <c r="K368" t="s">
        <v>2391</v>
      </c>
      <c r="L368" t="s">
        <v>27</v>
      </c>
      <c r="M368" t="s">
        <v>2392</v>
      </c>
      <c r="N368" t="s">
        <v>28</v>
      </c>
      <c r="O368" t="s">
        <v>29</v>
      </c>
      <c r="P368" t="s">
        <v>30</v>
      </c>
      <c r="Q368" t="s">
        <v>31</v>
      </c>
      <c r="R368">
        <v>7</v>
      </c>
      <c r="S368" t="s">
        <v>2393</v>
      </c>
      <c r="T368" t="s">
        <v>5301</v>
      </c>
      <c r="U368" t="s">
        <v>5302</v>
      </c>
      <c r="V368" t="s">
        <v>32</v>
      </c>
      <c r="W368" t="s">
        <v>33</v>
      </c>
      <c r="X368" t="s">
        <v>33</v>
      </c>
      <c r="Y368" t="s">
        <v>33</v>
      </c>
      <c r="Z368" s="16" t="s">
        <v>34</v>
      </c>
      <c r="AA368">
        <v>-75.642097000000007</v>
      </c>
      <c r="AB368">
        <v>6.2854619999999999</v>
      </c>
      <c r="AC368" t="s">
        <v>96</v>
      </c>
      <c r="AD368" t="s">
        <v>97</v>
      </c>
    </row>
    <row r="369" spans="1:30" x14ac:dyDescent="0.25">
      <c r="A369" t="s">
        <v>2394</v>
      </c>
      <c r="B369" t="s">
        <v>25</v>
      </c>
      <c r="C369" t="s">
        <v>26</v>
      </c>
      <c r="D369" t="s">
        <v>25</v>
      </c>
      <c r="E369" t="s">
        <v>2395</v>
      </c>
      <c r="F369" t="s">
        <v>2396</v>
      </c>
      <c r="G369">
        <v>32102731</v>
      </c>
      <c r="H369" t="s">
        <v>2383</v>
      </c>
      <c r="I369" s="4" t="s">
        <v>35</v>
      </c>
      <c r="J369" s="4" t="s">
        <v>2384</v>
      </c>
      <c r="K369" t="s">
        <v>2397</v>
      </c>
      <c r="L369" t="s">
        <v>27</v>
      </c>
      <c r="M369" t="s">
        <v>2398</v>
      </c>
      <c r="N369" t="s">
        <v>28</v>
      </c>
      <c r="O369" t="s">
        <v>29</v>
      </c>
      <c r="P369" t="s">
        <v>30</v>
      </c>
      <c r="Q369" t="s">
        <v>31</v>
      </c>
      <c r="R369">
        <v>7</v>
      </c>
      <c r="S369" t="s">
        <v>2399</v>
      </c>
      <c r="T369" t="s">
        <v>1678</v>
      </c>
      <c r="U369" t="s">
        <v>3178</v>
      </c>
      <c r="V369" t="s">
        <v>32</v>
      </c>
      <c r="W369" t="s">
        <v>33</v>
      </c>
      <c r="X369" t="s">
        <v>33</v>
      </c>
      <c r="Y369" t="s">
        <v>33</v>
      </c>
      <c r="Z369" s="16" t="s">
        <v>34</v>
      </c>
      <c r="AA369">
        <v>-75.642097000000007</v>
      </c>
      <c r="AB369">
        <v>6.2854619999999999</v>
      </c>
      <c r="AC369" t="s">
        <v>96</v>
      </c>
      <c r="AD369" t="s">
        <v>97</v>
      </c>
    </row>
    <row r="370" spans="1:30" x14ac:dyDescent="0.25">
      <c r="A370" t="s">
        <v>2401</v>
      </c>
      <c r="B370" t="s">
        <v>25</v>
      </c>
      <c r="C370" t="s">
        <v>26</v>
      </c>
      <c r="D370" t="s">
        <v>25</v>
      </c>
      <c r="E370" t="s">
        <v>2402</v>
      </c>
      <c r="F370" t="s">
        <v>2403</v>
      </c>
      <c r="G370">
        <v>42788685</v>
      </c>
      <c r="H370" t="s">
        <v>2404</v>
      </c>
      <c r="I370" s="4" t="s">
        <v>35</v>
      </c>
      <c r="J370" s="4" t="s">
        <v>2405</v>
      </c>
      <c r="K370" t="s">
        <v>2406</v>
      </c>
      <c r="L370" t="s">
        <v>27</v>
      </c>
      <c r="M370" t="s">
        <v>2407</v>
      </c>
      <c r="N370" t="s">
        <v>28</v>
      </c>
      <c r="O370" t="s">
        <v>29</v>
      </c>
      <c r="P370" t="s">
        <v>36</v>
      </c>
      <c r="Q370" t="s">
        <v>31</v>
      </c>
      <c r="R370">
        <v>7</v>
      </c>
      <c r="S370" t="s">
        <v>2408</v>
      </c>
      <c r="T370" t="s">
        <v>5303</v>
      </c>
      <c r="U370" t="s">
        <v>5304</v>
      </c>
      <c r="V370" t="s">
        <v>32</v>
      </c>
      <c r="W370" t="s">
        <v>33</v>
      </c>
      <c r="X370" t="s">
        <v>33</v>
      </c>
      <c r="Y370" t="s">
        <v>33</v>
      </c>
      <c r="Z370" s="16" t="s">
        <v>34</v>
      </c>
      <c r="AA370">
        <v>-75.591392600000006</v>
      </c>
      <c r="AB370">
        <v>6.1979739199999999</v>
      </c>
      <c r="AC370" t="s">
        <v>96</v>
      </c>
      <c r="AD370" t="s">
        <v>97</v>
      </c>
    </row>
    <row r="371" spans="1:30" x14ac:dyDescent="0.25">
      <c r="A371" t="s">
        <v>1635</v>
      </c>
      <c r="B371" t="s">
        <v>59</v>
      </c>
      <c r="C371" t="s">
        <v>26</v>
      </c>
      <c r="D371" t="s">
        <v>59</v>
      </c>
      <c r="E371" t="s">
        <v>1636</v>
      </c>
      <c r="F371" t="s">
        <v>1637</v>
      </c>
      <c r="G371">
        <v>890937165</v>
      </c>
      <c r="H371" t="s">
        <v>1629</v>
      </c>
      <c r="I371" s="4" t="s">
        <v>1630</v>
      </c>
      <c r="J371" s="4" t="s">
        <v>1631</v>
      </c>
      <c r="K371" t="s">
        <v>1638</v>
      </c>
      <c r="L371" t="s">
        <v>53</v>
      </c>
      <c r="M371" t="s">
        <v>1639</v>
      </c>
      <c r="N371" t="s">
        <v>54</v>
      </c>
      <c r="O371" t="s">
        <v>60</v>
      </c>
      <c r="P371" t="s">
        <v>61</v>
      </c>
      <c r="Q371" t="s">
        <v>31</v>
      </c>
      <c r="R371">
        <v>4</v>
      </c>
      <c r="S371" t="s">
        <v>1640</v>
      </c>
      <c r="T371" t="s">
        <v>1683</v>
      </c>
      <c r="U371" t="s">
        <v>5305</v>
      </c>
      <c r="V371" t="s">
        <v>48</v>
      </c>
      <c r="W371" t="s">
        <v>33</v>
      </c>
      <c r="X371" t="s">
        <v>33</v>
      </c>
      <c r="Y371" t="s">
        <v>33</v>
      </c>
      <c r="Z371" s="16" t="s">
        <v>34</v>
      </c>
      <c r="AA371">
        <v>-75.632161999999994</v>
      </c>
      <c r="AB371">
        <v>6.1299799999999998</v>
      </c>
      <c r="AC371" t="s">
        <v>96</v>
      </c>
      <c r="AD371" t="s">
        <v>97</v>
      </c>
    </row>
    <row r="372" spans="1:30" x14ac:dyDescent="0.25">
      <c r="A372" t="s">
        <v>2409</v>
      </c>
      <c r="B372" t="s">
        <v>25</v>
      </c>
      <c r="C372" t="s">
        <v>26</v>
      </c>
      <c r="D372" t="s">
        <v>25</v>
      </c>
      <c r="E372" t="s">
        <v>2410</v>
      </c>
      <c r="F372" t="s">
        <v>2411</v>
      </c>
      <c r="G372">
        <v>32102731</v>
      </c>
      <c r="H372" t="s">
        <v>2383</v>
      </c>
      <c r="I372" s="4" t="s">
        <v>35</v>
      </c>
      <c r="J372" s="4" t="s">
        <v>2384</v>
      </c>
      <c r="K372" t="s">
        <v>2412</v>
      </c>
      <c r="L372" t="s">
        <v>27</v>
      </c>
      <c r="M372" t="s">
        <v>2413</v>
      </c>
      <c r="N372" t="s">
        <v>28</v>
      </c>
      <c r="O372" t="s">
        <v>29</v>
      </c>
      <c r="P372" t="s">
        <v>30</v>
      </c>
      <c r="Q372" t="s">
        <v>31</v>
      </c>
      <c r="R372">
        <v>7</v>
      </c>
      <c r="S372" t="s">
        <v>2414</v>
      </c>
      <c r="T372" t="s">
        <v>5051</v>
      </c>
      <c r="U372" t="s">
        <v>3155</v>
      </c>
      <c r="V372" t="s">
        <v>32</v>
      </c>
      <c r="W372" t="s">
        <v>33</v>
      </c>
      <c r="X372" t="s">
        <v>33</v>
      </c>
      <c r="Y372" t="s">
        <v>33</v>
      </c>
      <c r="Z372" s="16" t="s">
        <v>34</v>
      </c>
      <c r="AA372">
        <v>-75.642097000000007</v>
      </c>
      <c r="AB372">
        <v>6.2854619999999999</v>
      </c>
      <c r="AC372" t="s">
        <v>96</v>
      </c>
      <c r="AD372" t="s">
        <v>97</v>
      </c>
    </row>
    <row r="373" spans="1:30" x14ac:dyDescent="0.25">
      <c r="A373" t="s">
        <v>2644</v>
      </c>
      <c r="B373" t="s">
        <v>59</v>
      </c>
      <c r="C373" t="s">
        <v>26</v>
      </c>
      <c r="D373" t="s">
        <v>59</v>
      </c>
      <c r="E373" t="s">
        <v>2645</v>
      </c>
      <c r="F373" t="s">
        <v>2646</v>
      </c>
      <c r="G373">
        <v>890937165</v>
      </c>
      <c r="H373" t="s">
        <v>1629</v>
      </c>
      <c r="I373" s="4" t="s">
        <v>1630</v>
      </c>
      <c r="J373" s="4" t="s">
        <v>1631</v>
      </c>
      <c r="K373" t="s">
        <v>2647</v>
      </c>
      <c r="L373" t="s">
        <v>53</v>
      </c>
      <c r="M373" t="s">
        <v>2648</v>
      </c>
      <c r="N373" t="s">
        <v>54</v>
      </c>
      <c r="O373" t="s">
        <v>60</v>
      </c>
      <c r="P373" t="s">
        <v>61</v>
      </c>
      <c r="Q373" t="s">
        <v>31</v>
      </c>
      <c r="R373">
        <v>4</v>
      </c>
      <c r="S373" t="s">
        <v>2649</v>
      </c>
      <c r="T373" t="s">
        <v>5306</v>
      </c>
      <c r="U373" t="s">
        <v>5307</v>
      </c>
      <c r="V373" t="s">
        <v>48</v>
      </c>
      <c r="W373" t="s">
        <v>33</v>
      </c>
      <c r="X373" t="s">
        <v>33</v>
      </c>
      <c r="Y373" t="s">
        <v>33</v>
      </c>
      <c r="Z373" s="16" t="s">
        <v>34</v>
      </c>
      <c r="AA373">
        <v>-75.63309203</v>
      </c>
      <c r="AB373">
        <v>6.1273549100000002</v>
      </c>
      <c r="AC373" t="s">
        <v>96</v>
      </c>
      <c r="AD373" t="s">
        <v>97</v>
      </c>
    </row>
    <row r="374" spans="1:30" x14ac:dyDescent="0.25">
      <c r="A374" t="s">
        <v>2650</v>
      </c>
      <c r="B374" t="s">
        <v>49</v>
      </c>
      <c r="C374" t="s">
        <v>67</v>
      </c>
      <c r="D374" t="s">
        <v>49</v>
      </c>
      <c r="E374" t="s">
        <v>2651</v>
      </c>
      <c r="F374" t="s">
        <v>2652</v>
      </c>
      <c r="G374">
        <v>43983042</v>
      </c>
      <c r="H374" t="s">
        <v>2653</v>
      </c>
      <c r="I374" s="4" t="s">
        <v>35</v>
      </c>
      <c r="J374" s="4" t="s">
        <v>2654</v>
      </c>
      <c r="K374" t="s">
        <v>2655</v>
      </c>
      <c r="L374" t="s">
        <v>27</v>
      </c>
      <c r="M374" t="s">
        <v>2656</v>
      </c>
      <c r="N374" t="s">
        <v>28</v>
      </c>
      <c r="O374" t="s">
        <v>68</v>
      </c>
      <c r="P374" t="s">
        <v>51</v>
      </c>
      <c r="Q374" t="s">
        <v>31</v>
      </c>
      <c r="R374">
        <v>11</v>
      </c>
      <c r="S374" t="s">
        <v>2657</v>
      </c>
      <c r="T374" t="s">
        <v>5308</v>
      </c>
      <c r="U374" t="s">
        <v>5309</v>
      </c>
      <c r="V374" t="s">
        <v>32</v>
      </c>
      <c r="W374" t="s">
        <v>33</v>
      </c>
      <c r="X374" t="s">
        <v>33</v>
      </c>
      <c r="Y374" t="s">
        <v>33</v>
      </c>
      <c r="Z374" s="16" t="s">
        <v>34</v>
      </c>
      <c r="AA374">
        <v>-75.565995340000001</v>
      </c>
      <c r="AB374">
        <v>6.2423171999999996</v>
      </c>
      <c r="AC374" t="s">
        <v>96</v>
      </c>
      <c r="AD374" t="s">
        <v>97</v>
      </c>
    </row>
    <row r="375" spans="1:30" x14ac:dyDescent="0.25">
      <c r="A375" t="s">
        <v>2415</v>
      </c>
      <c r="B375" t="s">
        <v>25</v>
      </c>
      <c r="C375" t="s">
        <v>26</v>
      </c>
      <c r="D375" t="s">
        <v>25</v>
      </c>
      <c r="E375" t="s">
        <v>2416</v>
      </c>
      <c r="F375" t="s">
        <v>2417</v>
      </c>
      <c r="G375">
        <v>43606546</v>
      </c>
      <c r="H375" t="s">
        <v>2418</v>
      </c>
      <c r="I375" s="4" t="s">
        <v>35</v>
      </c>
      <c r="J375" s="4" t="s">
        <v>2419</v>
      </c>
      <c r="K375" t="s">
        <v>2420</v>
      </c>
      <c r="L375" t="s">
        <v>27</v>
      </c>
      <c r="M375" t="s">
        <v>2421</v>
      </c>
      <c r="N375" t="s">
        <v>28</v>
      </c>
      <c r="O375" t="s">
        <v>29</v>
      </c>
      <c r="P375" t="s">
        <v>36</v>
      </c>
      <c r="Q375" t="s">
        <v>37</v>
      </c>
      <c r="R375">
        <v>10</v>
      </c>
      <c r="S375" t="s">
        <v>2422</v>
      </c>
      <c r="T375" t="s">
        <v>4124</v>
      </c>
      <c r="U375" t="s">
        <v>5310</v>
      </c>
      <c r="V375" t="s">
        <v>32</v>
      </c>
      <c r="W375" t="s">
        <v>33</v>
      </c>
      <c r="X375" t="s">
        <v>33</v>
      </c>
      <c r="Y375" t="s">
        <v>33</v>
      </c>
      <c r="Z375" s="16" t="s">
        <v>34</v>
      </c>
      <c r="AA375">
        <v>-75.50025814</v>
      </c>
      <c r="AB375">
        <v>6.22063145</v>
      </c>
      <c r="AC375" t="s">
        <v>96</v>
      </c>
      <c r="AD375" t="s">
        <v>97</v>
      </c>
    </row>
    <row r="376" spans="1:30" x14ac:dyDescent="0.25">
      <c r="A376" t="s">
        <v>2423</v>
      </c>
      <c r="B376" t="s">
        <v>25</v>
      </c>
      <c r="C376" t="s">
        <v>26</v>
      </c>
      <c r="D376" t="s">
        <v>25</v>
      </c>
      <c r="E376" t="s">
        <v>2424</v>
      </c>
      <c r="F376" t="s">
        <v>2425</v>
      </c>
      <c r="G376">
        <v>1020224290</v>
      </c>
      <c r="H376" t="s">
        <v>2426</v>
      </c>
      <c r="I376" s="4" t="s">
        <v>35</v>
      </c>
      <c r="J376" s="4" t="s">
        <v>2427</v>
      </c>
      <c r="K376" t="s">
        <v>2428</v>
      </c>
      <c r="L376" t="s">
        <v>27</v>
      </c>
      <c r="M376" t="s">
        <v>2429</v>
      </c>
      <c r="N376" t="s">
        <v>28</v>
      </c>
      <c r="O376" t="s">
        <v>29</v>
      </c>
      <c r="P376" t="s">
        <v>36</v>
      </c>
      <c r="Q376" t="s">
        <v>31</v>
      </c>
      <c r="R376">
        <v>7</v>
      </c>
      <c r="S376" t="s">
        <v>2430</v>
      </c>
      <c r="T376" t="s">
        <v>1341</v>
      </c>
      <c r="U376" t="s">
        <v>1132</v>
      </c>
      <c r="V376" t="s">
        <v>32</v>
      </c>
      <c r="W376" t="s">
        <v>33</v>
      </c>
      <c r="X376" t="s">
        <v>33</v>
      </c>
      <c r="Y376" t="s">
        <v>33</v>
      </c>
      <c r="Z376" s="16" t="s">
        <v>34</v>
      </c>
      <c r="AA376">
        <v>-75.645743640000006</v>
      </c>
      <c r="AB376">
        <v>6.1871656699999997</v>
      </c>
      <c r="AC376" t="s">
        <v>96</v>
      </c>
      <c r="AD376" t="s">
        <v>97</v>
      </c>
    </row>
    <row r="377" spans="1:30" x14ac:dyDescent="0.25">
      <c r="A377" t="s">
        <v>2431</v>
      </c>
      <c r="B377" t="s">
        <v>25</v>
      </c>
      <c r="C377" t="s">
        <v>26</v>
      </c>
      <c r="D377" t="s">
        <v>25</v>
      </c>
      <c r="E377" t="s">
        <v>2432</v>
      </c>
      <c r="F377" t="s">
        <v>2433</v>
      </c>
      <c r="G377">
        <v>1090472854</v>
      </c>
      <c r="H377" t="s">
        <v>2434</v>
      </c>
      <c r="I377" s="4" t="s">
        <v>35</v>
      </c>
      <c r="J377" s="4" t="s">
        <v>2435</v>
      </c>
      <c r="K377" t="s">
        <v>2436</v>
      </c>
      <c r="L377" t="s">
        <v>27</v>
      </c>
      <c r="M377" t="s">
        <v>2437</v>
      </c>
      <c r="N377" t="s">
        <v>28</v>
      </c>
      <c r="O377" t="s">
        <v>29</v>
      </c>
      <c r="P377" t="s">
        <v>36</v>
      </c>
      <c r="Q377" t="s">
        <v>37</v>
      </c>
      <c r="R377">
        <v>10</v>
      </c>
      <c r="S377" t="s">
        <v>2438</v>
      </c>
      <c r="T377" t="s">
        <v>5311</v>
      </c>
      <c r="U377" t="s">
        <v>5312</v>
      </c>
      <c r="V377" t="s">
        <v>32</v>
      </c>
      <c r="W377" t="s">
        <v>33</v>
      </c>
      <c r="X377" t="s">
        <v>33</v>
      </c>
      <c r="Y377" t="s">
        <v>33</v>
      </c>
      <c r="Z377" s="16" t="s">
        <v>34</v>
      </c>
      <c r="AA377">
        <v>-75.522756889999997</v>
      </c>
      <c r="AB377">
        <v>6.2309610700000002</v>
      </c>
      <c r="AC377" t="s">
        <v>96</v>
      </c>
      <c r="AD377" t="s">
        <v>97</v>
      </c>
    </row>
    <row r="378" spans="1:30" x14ac:dyDescent="0.25">
      <c r="A378" t="s">
        <v>2658</v>
      </c>
      <c r="B378" t="s">
        <v>59</v>
      </c>
      <c r="C378" t="s">
        <v>26</v>
      </c>
      <c r="D378" t="s">
        <v>59</v>
      </c>
      <c r="E378" t="s">
        <v>2659</v>
      </c>
      <c r="F378" t="s">
        <v>2660</v>
      </c>
      <c r="G378">
        <v>43073265</v>
      </c>
      <c r="H378" t="s">
        <v>2661</v>
      </c>
      <c r="I378" s="4" t="s">
        <v>35</v>
      </c>
      <c r="J378" s="4" t="s">
        <v>2662</v>
      </c>
      <c r="K378" t="s">
        <v>2663</v>
      </c>
      <c r="L378" t="s">
        <v>27</v>
      </c>
      <c r="M378" t="s">
        <v>2664</v>
      </c>
      <c r="N378" t="s">
        <v>28</v>
      </c>
      <c r="O378" t="s">
        <v>60</v>
      </c>
      <c r="P378" t="s">
        <v>61</v>
      </c>
      <c r="Q378" t="s">
        <v>31</v>
      </c>
      <c r="R378">
        <v>4</v>
      </c>
      <c r="S378" t="s">
        <v>2665</v>
      </c>
      <c r="T378" t="s">
        <v>5313</v>
      </c>
      <c r="U378" t="s">
        <v>5314</v>
      </c>
      <c r="V378" t="s">
        <v>48</v>
      </c>
      <c r="W378" t="s">
        <v>33</v>
      </c>
      <c r="X378" t="s">
        <v>33</v>
      </c>
      <c r="Y378" t="s">
        <v>33</v>
      </c>
      <c r="Z378" s="16" t="s">
        <v>34</v>
      </c>
      <c r="AA378">
        <v>-75.586387000000002</v>
      </c>
      <c r="AB378">
        <v>6.2258279999999999</v>
      </c>
      <c r="AC378" t="s">
        <v>96</v>
      </c>
      <c r="AD378" t="s">
        <v>97</v>
      </c>
    </row>
    <row r="379" spans="1:30" x14ac:dyDescent="0.25">
      <c r="A379" t="s">
        <v>2439</v>
      </c>
      <c r="B379" t="s">
        <v>25</v>
      </c>
      <c r="C379" t="s">
        <v>26</v>
      </c>
      <c r="D379" t="s">
        <v>25</v>
      </c>
      <c r="E379" t="s">
        <v>2440</v>
      </c>
      <c r="F379" t="s">
        <v>2441</v>
      </c>
      <c r="G379">
        <v>6788129</v>
      </c>
      <c r="H379" t="s">
        <v>2442</v>
      </c>
      <c r="I379" s="4" t="s">
        <v>2443</v>
      </c>
      <c r="J379" s="4" t="s">
        <v>2444</v>
      </c>
      <c r="K379" t="s">
        <v>2445</v>
      </c>
      <c r="L379" t="s">
        <v>27</v>
      </c>
      <c r="M379" t="s">
        <v>2446</v>
      </c>
      <c r="N379" t="s">
        <v>28</v>
      </c>
      <c r="O379" t="s">
        <v>29</v>
      </c>
      <c r="P379" t="s">
        <v>36</v>
      </c>
      <c r="Q379" t="s">
        <v>37</v>
      </c>
      <c r="R379">
        <v>10</v>
      </c>
      <c r="S379" t="s">
        <v>2447</v>
      </c>
      <c r="T379" t="s">
        <v>5315</v>
      </c>
      <c r="U379" t="s">
        <v>5316</v>
      </c>
      <c r="V379" t="s">
        <v>32</v>
      </c>
      <c r="W379" t="s">
        <v>33</v>
      </c>
      <c r="X379" t="s">
        <v>33</v>
      </c>
      <c r="Y379" t="s">
        <v>33</v>
      </c>
      <c r="Z379" s="16" t="s">
        <v>34</v>
      </c>
      <c r="AA379">
        <v>-75.649660900000001</v>
      </c>
      <c r="AB379">
        <v>6.2858541499999996</v>
      </c>
      <c r="AC379" t="s">
        <v>96</v>
      </c>
      <c r="AD379" t="s">
        <v>97</v>
      </c>
    </row>
    <row r="380" spans="1:30" x14ac:dyDescent="0.25">
      <c r="A380" t="s">
        <v>2448</v>
      </c>
      <c r="B380" t="s">
        <v>25</v>
      </c>
      <c r="C380" t="s">
        <v>26</v>
      </c>
      <c r="D380" t="s">
        <v>25</v>
      </c>
      <c r="E380" t="s">
        <v>2449</v>
      </c>
      <c r="F380" t="s">
        <v>1736</v>
      </c>
      <c r="G380">
        <v>71786907</v>
      </c>
      <c r="H380" t="s">
        <v>2450</v>
      </c>
      <c r="I380" s="4" t="s">
        <v>35</v>
      </c>
      <c r="J380" s="4" t="s">
        <v>2451</v>
      </c>
      <c r="K380" t="s">
        <v>2452</v>
      </c>
      <c r="L380" t="s">
        <v>27</v>
      </c>
      <c r="M380" t="s">
        <v>2453</v>
      </c>
      <c r="N380" t="s">
        <v>28</v>
      </c>
      <c r="O380" t="s">
        <v>29</v>
      </c>
      <c r="P380" t="s">
        <v>36</v>
      </c>
      <c r="Q380" t="s">
        <v>31</v>
      </c>
      <c r="R380">
        <v>7</v>
      </c>
      <c r="S380" t="s">
        <v>2454</v>
      </c>
      <c r="T380" t="s">
        <v>3067</v>
      </c>
      <c r="U380" t="s">
        <v>5317</v>
      </c>
      <c r="V380" t="s">
        <v>32</v>
      </c>
      <c r="W380" t="s">
        <v>33</v>
      </c>
      <c r="X380" t="s">
        <v>33</v>
      </c>
      <c r="Y380" t="s">
        <v>33</v>
      </c>
      <c r="Z380" s="16" t="s">
        <v>34</v>
      </c>
      <c r="AA380">
        <v>-75.621608350000002</v>
      </c>
      <c r="AB380">
        <v>6.2019699499999996</v>
      </c>
      <c r="AC380" t="s">
        <v>96</v>
      </c>
      <c r="AD380" t="s">
        <v>97</v>
      </c>
    </row>
    <row r="381" spans="1:30" x14ac:dyDescent="0.25">
      <c r="A381" t="s">
        <v>2455</v>
      </c>
      <c r="B381" t="s">
        <v>25</v>
      </c>
      <c r="C381" t="s">
        <v>26</v>
      </c>
      <c r="D381" t="s">
        <v>25</v>
      </c>
      <c r="E381" t="s">
        <v>2456</v>
      </c>
      <c r="F381" t="s">
        <v>2457</v>
      </c>
      <c r="G381">
        <v>43531328</v>
      </c>
      <c r="H381" t="s">
        <v>2458</v>
      </c>
      <c r="I381" s="4" t="s">
        <v>35</v>
      </c>
      <c r="J381" s="4" t="s">
        <v>2459</v>
      </c>
      <c r="K381" t="s">
        <v>2460</v>
      </c>
      <c r="L381" t="s">
        <v>27</v>
      </c>
      <c r="M381" t="s">
        <v>2461</v>
      </c>
      <c r="N381" t="s">
        <v>28</v>
      </c>
      <c r="O381" t="s">
        <v>29</v>
      </c>
      <c r="P381" t="s">
        <v>36</v>
      </c>
      <c r="Q381" t="s">
        <v>31</v>
      </c>
      <c r="R381">
        <v>7</v>
      </c>
      <c r="S381" t="s">
        <v>2462</v>
      </c>
      <c r="T381" t="s">
        <v>5318</v>
      </c>
      <c r="U381" t="s">
        <v>5319</v>
      </c>
      <c r="V381" t="s">
        <v>32</v>
      </c>
      <c r="W381" t="s">
        <v>33</v>
      </c>
      <c r="X381" t="s">
        <v>33</v>
      </c>
      <c r="Y381" t="s">
        <v>33</v>
      </c>
      <c r="Z381" s="16" t="s">
        <v>34</v>
      </c>
      <c r="AA381">
        <v>-75.566203389999998</v>
      </c>
      <c r="AB381">
        <v>6.2399104999999997</v>
      </c>
      <c r="AC381" t="s">
        <v>96</v>
      </c>
      <c r="AD381" t="s">
        <v>97</v>
      </c>
    </row>
    <row r="382" spans="1:30" x14ac:dyDescent="0.25">
      <c r="A382" t="s">
        <v>2463</v>
      </c>
      <c r="B382" t="s">
        <v>25</v>
      </c>
      <c r="C382" t="s">
        <v>26</v>
      </c>
      <c r="D382" t="s">
        <v>38</v>
      </c>
      <c r="E382" t="s">
        <v>2464</v>
      </c>
      <c r="F382" t="s">
        <v>2465</v>
      </c>
      <c r="G382">
        <v>1017244776</v>
      </c>
      <c r="H382" t="s">
        <v>2466</v>
      </c>
      <c r="I382" s="4" t="s">
        <v>35</v>
      </c>
      <c r="J382" s="4" t="s">
        <v>2467</v>
      </c>
      <c r="K382" t="s">
        <v>2468</v>
      </c>
      <c r="L382" t="s">
        <v>27</v>
      </c>
      <c r="M382" t="s">
        <v>2469</v>
      </c>
      <c r="N382" t="s">
        <v>28</v>
      </c>
      <c r="O382" t="s">
        <v>39</v>
      </c>
      <c r="P382" t="s">
        <v>40</v>
      </c>
      <c r="Q382" t="s">
        <v>31</v>
      </c>
      <c r="R382">
        <v>5</v>
      </c>
      <c r="S382" t="s">
        <v>2470</v>
      </c>
      <c r="T382" t="s">
        <v>3348</v>
      </c>
      <c r="U382" t="s">
        <v>3347</v>
      </c>
      <c r="V382" t="s">
        <v>48</v>
      </c>
      <c r="W382" t="s">
        <v>33</v>
      </c>
      <c r="X382" t="s">
        <v>33</v>
      </c>
      <c r="Y382" t="s">
        <v>33</v>
      </c>
      <c r="Z382" s="16" t="s">
        <v>34</v>
      </c>
      <c r="AA382">
        <v>-75.539282999999998</v>
      </c>
      <c r="AB382">
        <v>6.2509629999999996</v>
      </c>
      <c r="AC382" t="s">
        <v>96</v>
      </c>
      <c r="AD382" t="s">
        <v>97</v>
      </c>
    </row>
    <row r="383" spans="1:30" x14ac:dyDescent="0.25">
      <c r="A383" t="s">
        <v>2471</v>
      </c>
      <c r="B383" t="s">
        <v>25</v>
      </c>
      <c r="C383" t="s">
        <v>70</v>
      </c>
      <c r="D383" t="s">
        <v>25</v>
      </c>
      <c r="E383" t="s">
        <v>2472</v>
      </c>
      <c r="F383" t="s">
        <v>2473</v>
      </c>
      <c r="G383">
        <v>39325938</v>
      </c>
      <c r="H383" t="s">
        <v>2474</v>
      </c>
      <c r="I383" s="4" t="s">
        <v>35</v>
      </c>
      <c r="J383" s="4" t="s">
        <v>2475</v>
      </c>
      <c r="K383" t="s">
        <v>2476</v>
      </c>
      <c r="L383" t="s">
        <v>47</v>
      </c>
      <c r="M383" t="s">
        <v>2477</v>
      </c>
      <c r="N383" t="s">
        <v>62</v>
      </c>
      <c r="O383" t="s">
        <v>98</v>
      </c>
      <c r="P383" t="s">
        <v>30</v>
      </c>
      <c r="Q383" t="s">
        <v>31</v>
      </c>
      <c r="R383">
        <v>7</v>
      </c>
      <c r="S383" t="s">
        <v>2478</v>
      </c>
      <c r="T383" t="s">
        <v>5320</v>
      </c>
      <c r="U383" t="s">
        <v>5321</v>
      </c>
      <c r="V383" t="s">
        <v>32</v>
      </c>
      <c r="W383" t="s">
        <v>33</v>
      </c>
      <c r="X383" t="s">
        <v>33</v>
      </c>
      <c r="Y383" t="s">
        <v>33</v>
      </c>
      <c r="Z383" s="16" t="s">
        <v>34</v>
      </c>
      <c r="AA383">
        <v>-75.590875960000005</v>
      </c>
      <c r="AB383">
        <v>6.1630446900000004</v>
      </c>
      <c r="AC383" t="s">
        <v>96</v>
      </c>
      <c r="AD383" t="s">
        <v>97</v>
      </c>
    </row>
    <row r="384" spans="1:30" x14ac:dyDescent="0.25">
      <c r="A384" t="s">
        <v>2481</v>
      </c>
      <c r="B384" t="s">
        <v>25</v>
      </c>
      <c r="C384" t="s">
        <v>26</v>
      </c>
      <c r="D384" t="s">
        <v>38</v>
      </c>
      <c r="E384" t="s">
        <v>2482</v>
      </c>
      <c r="F384" t="s">
        <v>2483</v>
      </c>
      <c r="G384">
        <v>42876798</v>
      </c>
      <c r="H384" t="s">
        <v>2484</v>
      </c>
      <c r="I384" s="4" t="s">
        <v>35</v>
      </c>
      <c r="J384" s="4" t="s">
        <v>2485</v>
      </c>
      <c r="K384" t="s">
        <v>2486</v>
      </c>
      <c r="L384" t="s">
        <v>47</v>
      </c>
      <c r="M384" t="s">
        <v>2487</v>
      </c>
      <c r="N384" t="s">
        <v>62</v>
      </c>
      <c r="O384" t="s">
        <v>39</v>
      </c>
      <c r="P384" t="s">
        <v>40</v>
      </c>
      <c r="Q384" t="s">
        <v>31</v>
      </c>
      <c r="R384">
        <v>5</v>
      </c>
      <c r="S384" t="s">
        <v>2488</v>
      </c>
      <c r="T384" t="s">
        <v>3350</v>
      </c>
      <c r="U384" t="s">
        <v>3349</v>
      </c>
      <c r="V384" t="s">
        <v>48</v>
      </c>
      <c r="W384" t="s">
        <v>33</v>
      </c>
      <c r="X384" t="s">
        <v>33</v>
      </c>
      <c r="Y384" t="s">
        <v>33</v>
      </c>
      <c r="Z384" s="16" t="s">
        <v>34</v>
      </c>
      <c r="AA384">
        <v>-75.584213000000005</v>
      </c>
      <c r="AB384">
        <v>6.1553579999999997</v>
      </c>
      <c r="AC384" t="s">
        <v>96</v>
      </c>
      <c r="AD384" t="s">
        <v>97</v>
      </c>
    </row>
    <row r="385" spans="1:30" x14ac:dyDescent="0.25">
      <c r="A385" t="s">
        <v>3519</v>
      </c>
      <c r="B385" t="s">
        <v>63</v>
      </c>
      <c r="C385" t="s">
        <v>26</v>
      </c>
      <c r="D385" t="s">
        <v>64</v>
      </c>
      <c r="E385" t="s">
        <v>3520</v>
      </c>
      <c r="F385" t="s">
        <v>3521</v>
      </c>
      <c r="G385">
        <v>71606262</v>
      </c>
      <c r="H385" t="s">
        <v>3522</v>
      </c>
      <c r="I385" s="4" t="s">
        <v>3523</v>
      </c>
      <c r="J385" s="4" t="s">
        <v>3524</v>
      </c>
      <c r="K385" t="s">
        <v>3525</v>
      </c>
      <c r="L385" t="s">
        <v>27</v>
      </c>
      <c r="M385" t="s">
        <v>3526</v>
      </c>
      <c r="N385" t="s">
        <v>28</v>
      </c>
      <c r="O385" t="s">
        <v>65</v>
      </c>
      <c r="P385" t="s">
        <v>66</v>
      </c>
      <c r="Q385" t="s">
        <v>37</v>
      </c>
      <c r="R385">
        <v>14</v>
      </c>
      <c r="S385" t="s">
        <v>3527</v>
      </c>
      <c r="T385" t="s">
        <v>5322</v>
      </c>
      <c r="U385" t="s">
        <v>5323</v>
      </c>
      <c r="V385" t="s">
        <v>32</v>
      </c>
      <c r="W385" t="s">
        <v>33</v>
      </c>
      <c r="X385" t="s">
        <v>33</v>
      </c>
      <c r="Y385" t="s">
        <v>33</v>
      </c>
      <c r="Z385" s="16" t="s">
        <v>34</v>
      </c>
      <c r="AA385">
        <v>-75.659619169999999</v>
      </c>
      <c r="AB385">
        <v>6.3221221600000002</v>
      </c>
      <c r="AC385" t="s">
        <v>96</v>
      </c>
      <c r="AD385" t="s">
        <v>97</v>
      </c>
    </row>
    <row r="386" spans="1:30" x14ac:dyDescent="0.25">
      <c r="A386" t="s">
        <v>2666</v>
      </c>
      <c r="B386" t="s">
        <v>59</v>
      </c>
      <c r="C386" t="s">
        <v>26</v>
      </c>
      <c r="D386" t="s">
        <v>59</v>
      </c>
      <c r="E386" t="s">
        <v>2667</v>
      </c>
      <c r="F386" t="s">
        <v>2668</v>
      </c>
      <c r="G386">
        <v>70287932</v>
      </c>
      <c r="H386" t="s">
        <v>2669</v>
      </c>
      <c r="I386" s="4" t="s">
        <v>2670</v>
      </c>
      <c r="J386" s="4" t="s">
        <v>2671</v>
      </c>
      <c r="K386" t="s">
        <v>2672</v>
      </c>
      <c r="L386" t="s">
        <v>53</v>
      </c>
      <c r="M386" t="s">
        <v>2673</v>
      </c>
      <c r="N386" t="s">
        <v>54</v>
      </c>
      <c r="O386" t="s">
        <v>60</v>
      </c>
      <c r="P386" t="s">
        <v>61</v>
      </c>
      <c r="Q386" t="s">
        <v>31</v>
      </c>
      <c r="R386">
        <v>4</v>
      </c>
      <c r="S386" t="s">
        <v>2674</v>
      </c>
      <c r="T386" t="s">
        <v>5324</v>
      </c>
      <c r="U386" t="s">
        <v>5324</v>
      </c>
      <c r="V386" t="s">
        <v>48</v>
      </c>
      <c r="W386" t="s">
        <v>33</v>
      </c>
      <c r="X386" t="s">
        <v>33</v>
      </c>
      <c r="Y386" t="s">
        <v>33</v>
      </c>
      <c r="Z386" s="16" t="s">
        <v>34</v>
      </c>
      <c r="AA386">
        <v>-75.633577209999999</v>
      </c>
      <c r="AB386">
        <v>6.1396153699999996</v>
      </c>
      <c r="AC386" t="s">
        <v>96</v>
      </c>
      <c r="AD386" t="s">
        <v>97</v>
      </c>
    </row>
    <row r="387" spans="1:30" x14ac:dyDescent="0.25">
      <c r="A387" t="s">
        <v>2675</v>
      </c>
      <c r="B387" t="s">
        <v>25</v>
      </c>
      <c r="C387" t="s">
        <v>26</v>
      </c>
      <c r="D387" t="s">
        <v>38</v>
      </c>
      <c r="E387" t="s">
        <v>2676</v>
      </c>
      <c r="F387" t="s">
        <v>2677</v>
      </c>
      <c r="G387">
        <v>1017231949</v>
      </c>
      <c r="H387" t="s">
        <v>2678</v>
      </c>
      <c r="I387" s="4" t="s">
        <v>35</v>
      </c>
      <c r="J387" s="4" t="s">
        <v>2679</v>
      </c>
      <c r="K387" t="s">
        <v>2680</v>
      </c>
      <c r="L387" t="s">
        <v>27</v>
      </c>
      <c r="M387" t="s">
        <v>2681</v>
      </c>
      <c r="N387" t="s">
        <v>28</v>
      </c>
      <c r="O387" t="s">
        <v>39</v>
      </c>
      <c r="P387" t="s">
        <v>40</v>
      </c>
      <c r="Q387" t="s">
        <v>31</v>
      </c>
      <c r="R387">
        <v>5</v>
      </c>
      <c r="S387" t="s">
        <v>2682</v>
      </c>
      <c r="T387" t="s">
        <v>5325</v>
      </c>
      <c r="U387" t="s">
        <v>5326</v>
      </c>
      <c r="V387" t="s">
        <v>32</v>
      </c>
      <c r="W387" t="s">
        <v>33</v>
      </c>
      <c r="X387" t="s">
        <v>33</v>
      </c>
      <c r="Y387" t="s">
        <v>33</v>
      </c>
      <c r="Z387" s="16" t="s">
        <v>34</v>
      </c>
      <c r="AA387">
        <v>-75.603185999999994</v>
      </c>
      <c r="AB387">
        <v>6.273917</v>
      </c>
      <c r="AC387" t="s">
        <v>96</v>
      </c>
      <c r="AD387" t="s">
        <v>97</v>
      </c>
    </row>
    <row r="388" spans="1:30" x14ac:dyDescent="0.25">
      <c r="A388" t="s">
        <v>3351</v>
      </c>
      <c r="B388" t="s">
        <v>41</v>
      </c>
      <c r="C388" t="s">
        <v>26</v>
      </c>
      <c r="D388" t="s">
        <v>41</v>
      </c>
      <c r="E388" t="s">
        <v>3352</v>
      </c>
      <c r="F388" t="s">
        <v>3353</v>
      </c>
      <c r="G388">
        <v>1017124615</v>
      </c>
      <c r="H388" t="s">
        <v>3354</v>
      </c>
      <c r="I388" s="4" t="s">
        <v>35</v>
      </c>
      <c r="J388" s="4" t="s">
        <v>3355</v>
      </c>
      <c r="K388" t="s">
        <v>3356</v>
      </c>
      <c r="L388" t="s">
        <v>27</v>
      </c>
      <c r="M388" t="s">
        <v>3357</v>
      </c>
      <c r="N388" t="s">
        <v>28</v>
      </c>
      <c r="O388" t="s">
        <v>42</v>
      </c>
      <c r="P388" t="s">
        <v>36</v>
      </c>
      <c r="Q388" t="s">
        <v>31</v>
      </c>
      <c r="R388">
        <v>7</v>
      </c>
      <c r="S388" t="s">
        <v>3358</v>
      </c>
      <c r="T388" t="s">
        <v>5327</v>
      </c>
      <c r="U388" t="s">
        <v>5328</v>
      </c>
      <c r="V388" t="s">
        <v>32</v>
      </c>
      <c r="W388" t="s">
        <v>33</v>
      </c>
      <c r="X388" t="s">
        <v>33</v>
      </c>
      <c r="Y388" t="s">
        <v>33</v>
      </c>
      <c r="Z388" s="16" t="s">
        <v>34</v>
      </c>
      <c r="AA388">
        <v>-75.572853839999993</v>
      </c>
      <c r="AB388">
        <v>6.2396679600000002</v>
      </c>
      <c r="AC388" t="s">
        <v>96</v>
      </c>
      <c r="AD388" t="s">
        <v>97</v>
      </c>
    </row>
    <row r="389" spans="1:30" x14ac:dyDescent="0.25">
      <c r="A389" t="s">
        <v>3359</v>
      </c>
      <c r="B389" t="s">
        <v>25</v>
      </c>
      <c r="C389" t="s">
        <v>26</v>
      </c>
      <c r="D389" t="s">
        <v>25</v>
      </c>
      <c r="E389" t="s">
        <v>3360</v>
      </c>
      <c r="F389" t="s">
        <v>3361</v>
      </c>
      <c r="G389">
        <v>98582515</v>
      </c>
      <c r="H389" t="s">
        <v>3362</v>
      </c>
      <c r="I389" s="4" t="s">
        <v>3363</v>
      </c>
      <c r="J389" s="4" t="s">
        <v>3364</v>
      </c>
      <c r="K389" t="s">
        <v>3365</v>
      </c>
      <c r="L389" t="s">
        <v>27</v>
      </c>
      <c r="M389" t="s">
        <v>3366</v>
      </c>
      <c r="N389" t="s">
        <v>28</v>
      </c>
      <c r="O389" t="s">
        <v>29</v>
      </c>
      <c r="P389" t="s">
        <v>36</v>
      </c>
      <c r="Q389" t="s">
        <v>31</v>
      </c>
      <c r="R389">
        <v>7</v>
      </c>
      <c r="S389" t="s">
        <v>3367</v>
      </c>
      <c r="T389" t="s">
        <v>5329</v>
      </c>
      <c r="U389" t="s">
        <v>5330</v>
      </c>
      <c r="V389" t="s">
        <v>32</v>
      </c>
      <c r="W389" t="s">
        <v>33</v>
      </c>
      <c r="X389" t="s">
        <v>33</v>
      </c>
      <c r="Y389" t="s">
        <v>33</v>
      </c>
      <c r="Z389" s="16" t="s">
        <v>34</v>
      </c>
      <c r="AA389">
        <v>-75.623859999999993</v>
      </c>
      <c r="AB389">
        <v>6.2498110000000002</v>
      </c>
      <c r="AC389" t="s">
        <v>96</v>
      </c>
      <c r="AD389" t="s">
        <v>97</v>
      </c>
    </row>
    <row r="390" spans="1:30" x14ac:dyDescent="0.25">
      <c r="A390" t="s">
        <v>2683</v>
      </c>
      <c r="B390" t="s">
        <v>25</v>
      </c>
      <c r="C390" t="s">
        <v>26</v>
      </c>
      <c r="D390" t="s">
        <v>38</v>
      </c>
      <c r="E390" t="s">
        <v>2684</v>
      </c>
      <c r="F390" t="s">
        <v>2685</v>
      </c>
      <c r="G390">
        <v>70252806</v>
      </c>
      <c r="H390" t="s">
        <v>2686</v>
      </c>
      <c r="I390" s="4" t="s">
        <v>35</v>
      </c>
      <c r="J390" s="4" t="s">
        <v>2687</v>
      </c>
      <c r="K390" t="s">
        <v>2688</v>
      </c>
      <c r="L390" t="s">
        <v>27</v>
      </c>
      <c r="M390" t="s">
        <v>2689</v>
      </c>
      <c r="N390" t="s">
        <v>28</v>
      </c>
      <c r="O390" t="s">
        <v>39</v>
      </c>
      <c r="P390" t="s">
        <v>40</v>
      </c>
      <c r="Q390" t="s">
        <v>31</v>
      </c>
      <c r="R390">
        <v>5</v>
      </c>
      <c r="S390" t="s">
        <v>2690</v>
      </c>
      <c r="T390" t="s">
        <v>5331</v>
      </c>
      <c r="U390" t="s">
        <v>5332</v>
      </c>
      <c r="V390" t="s">
        <v>32</v>
      </c>
      <c r="W390" t="s">
        <v>33</v>
      </c>
      <c r="X390" t="s">
        <v>33</v>
      </c>
      <c r="Y390" t="s">
        <v>33</v>
      </c>
      <c r="Z390" s="16" t="s">
        <v>34</v>
      </c>
      <c r="AA390">
        <v>-75.630487639999998</v>
      </c>
      <c r="AB390">
        <v>6.25545726</v>
      </c>
      <c r="AC390" t="s">
        <v>96</v>
      </c>
      <c r="AD390" t="s">
        <v>97</v>
      </c>
    </row>
    <row r="391" spans="1:30" x14ac:dyDescent="0.25">
      <c r="A391" t="s">
        <v>3370</v>
      </c>
      <c r="B391" t="s">
        <v>25</v>
      </c>
      <c r="C391" t="s">
        <v>26</v>
      </c>
      <c r="D391" t="s">
        <v>25</v>
      </c>
      <c r="E391" t="s">
        <v>3371</v>
      </c>
      <c r="F391" t="s">
        <v>3372</v>
      </c>
      <c r="G391">
        <v>43608717</v>
      </c>
      <c r="H391" t="s">
        <v>3373</v>
      </c>
      <c r="I391" s="4" t="s">
        <v>3374</v>
      </c>
      <c r="J391" s="4" t="s">
        <v>3375</v>
      </c>
      <c r="K391" t="s">
        <v>3376</v>
      </c>
      <c r="L391" t="s">
        <v>53</v>
      </c>
      <c r="M391" t="s">
        <v>3377</v>
      </c>
      <c r="N391" t="s">
        <v>54</v>
      </c>
      <c r="O391" t="s">
        <v>29</v>
      </c>
      <c r="P391" t="s">
        <v>36</v>
      </c>
      <c r="Q391" t="s">
        <v>31</v>
      </c>
      <c r="R391">
        <v>7</v>
      </c>
      <c r="S391" t="s">
        <v>3378</v>
      </c>
      <c r="T391" t="s">
        <v>5333</v>
      </c>
      <c r="U391" t="s">
        <v>5334</v>
      </c>
      <c r="V391" t="s">
        <v>32</v>
      </c>
      <c r="W391" t="s">
        <v>33</v>
      </c>
      <c r="X391" t="s">
        <v>33</v>
      </c>
      <c r="Y391" t="s">
        <v>33</v>
      </c>
      <c r="Z391" s="16" t="s">
        <v>34</v>
      </c>
      <c r="AA391">
        <v>-75.638107969999993</v>
      </c>
      <c r="AB391">
        <v>6.1608775800000002</v>
      </c>
      <c r="AC391" t="s">
        <v>96</v>
      </c>
      <c r="AD391" t="s">
        <v>97</v>
      </c>
    </row>
    <row r="392" spans="1:30" x14ac:dyDescent="0.25">
      <c r="A392" t="s">
        <v>3528</v>
      </c>
      <c r="B392" t="s">
        <v>63</v>
      </c>
      <c r="C392" t="s">
        <v>26</v>
      </c>
      <c r="D392" t="s">
        <v>64</v>
      </c>
      <c r="E392" t="s">
        <v>3529</v>
      </c>
      <c r="F392" t="s">
        <v>3530</v>
      </c>
      <c r="G392">
        <v>645672</v>
      </c>
      <c r="H392" t="s">
        <v>3531</v>
      </c>
      <c r="I392" s="4" t="s">
        <v>3532</v>
      </c>
      <c r="J392" s="4" t="s">
        <v>35</v>
      </c>
      <c r="K392" t="s">
        <v>3533</v>
      </c>
      <c r="L392" t="s">
        <v>47</v>
      </c>
      <c r="M392" t="s">
        <v>3534</v>
      </c>
      <c r="N392" t="s">
        <v>62</v>
      </c>
      <c r="O392" t="s">
        <v>65</v>
      </c>
      <c r="P392" t="s">
        <v>69</v>
      </c>
      <c r="Q392" t="s">
        <v>31</v>
      </c>
      <c r="R392">
        <v>9</v>
      </c>
      <c r="S392" t="s">
        <v>3535</v>
      </c>
      <c r="T392" t="s">
        <v>5335</v>
      </c>
      <c r="U392" t="s">
        <v>5336</v>
      </c>
      <c r="V392" t="s">
        <v>32</v>
      </c>
      <c r="W392" t="s">
        <v>33</v>
      </c>
      <c r="X392" t="s">
        <v>33</v>
      </c>
      <c r="Y392" t="s">
        <v>33</v>
      </c>
      <c r="Z392" s="16" t="s">
        <v>34</v>
      </c>
      <c r="AA392">
        <v>-75.582109020000004</v>
      </c>
      <c r="AB392">
        <v>6.1599235099999996</v>
      </c>
      <c r="AC392" t="s">
        <v>96</v>
      </c>
      <c r="AD392" t="s">
        <v>97</v>
      </c>
    </row>
    <row r="393" spans="1:30" x14ac:dyDescent="0.25">
      <c r="A393" t="s">
        <v>2691</v>
      </c>
      <c r="B393" t="s">
        <v>25</v>
      </c>
      <c r="C393" t="s">
        <v>26</v>
      </c>
      <c r="D393" t="s">
        <v>38</v>
      </c>
      <c r="E393" t="s">
        <v>2692</v>
      </c>
      <c r="F393" t="s">
        <v>2693</v>
      </c>
      <c r="G393">
        <v>44003927</v>
      </c>
      <c r="H393" t="s">
        <v>2694</v>
      </c>
      <c r="I393" s="4" t="s">
        <v>35</v>
      </c>
      <c r="J393" s="4" t="s">
        <v>2695</v>
      </c>
      <c r="K393" t="s">
        <v>2696</v>
      </c>
      <c r="L393" t="s">
        <v>43</v>
      </c>
      <c r="M393" t="s">
        <v>2697</v>
      </c>
      <c r="N393" t="s">
        <v>44</v>
      </c>
      <c r="O393" t="s">
        <v>39</v>
      </c>
      <c r="P393" t="s">
        <v>40</v>
      </c>
      <c r="Q393" t="s">
        <v>31</v>
      </c>
      <c r="R393">
        <v>5</v>
      </c>
      <c r="S393" t="s">
        <v>2698</v>
      </c>
      <c r="T393" t="s">
        <v>3172</v>
      </c>
      <c r="U393" t="s">
        <v>5337</v>
      </c>
      <c r="V393" t="s">
        <v>32</v>
      </c>
      <c r="W393" t="s">
        <v>33</v>
      </c>
      <c r="X393" t="s">
        <v>33</v>
      </c>
      <c r="Y393" t="s">
        <v>33</v>
      </c>
      <c r="Z393" s="16" t="s">
        <v>34</v>
      </c>
      <c r="AA393">
        <v>-75.614877590000006</v>
      </c>
      <c r="AB393">
        <v>6.1778693699999998</v>
      </c>
      <c r="AC393" t="s">
        <v>96</v>
      </c>
      <c r="AD393" t="s">
        <v>97</v>
      </c>
    </row>
    <row r="394" spans="1:30" x14ac:dyDescent="0.25">
      <c r="A394" t="s">
        <v>2699</v>
      </c>
      <c r="B394" t="s">
        <v>25</v>
      </c>
      <c r="C394" t="s">
        <v>26</v>
      </c>
      <c r="D394" t="s">
        <v>38</v>
      </c>
      <c r="E394" t="s">
        <v>2700</v>
      </c>
      <c r="F394" t="s">
        <v>2701</v>
      </c>
      <c r="G394">
        <v>44003927</v>
      </c>
      <c r="H394" t="s">
        <v>2694</v>
      </c>
      <c r="I394" s="4" t="s">
        <v>35</v>
      </c>
      <c r="J394" s="4" t="s">
        <v>2695</v>
      </c>
      <c r="K394" t="s">
        <v>2702</v>
      </c>
      <c r="L394" t="s">
        <v>43</v>
      </c>
      <c r="M394" t="s">
        <v>2703</v>
      </c>
      <c r="N394" t="s">
        <v>44</v>
      </c>
      <c r="O394" t="s">
        <v>39</v>
      </c>
      <c r="P394" t="s">
        <v>40</v>
      </c>
      <c r="Q394" t="s">
        <v>31</v>
      </c>
      <c r="R394">
        <v>5</v>
      </c>
      <c r="S394" t="s">
        <v>2704</v>
      </c>
      <c r="T394" t="s">
        <v>3171</v>
      </c>
      <c r="U394" t="s">
        <v>5338</v>
      </c>
      <c r="V394" t="s">
        <v>32</v>
      </c>
      <c r="W394" t="s">
        <v>33</v>
      </c>
      <c r="X394" t="s">
        <v>33</v>
      </c>
      <c r="Y394" t="s">
        <v>33</v>
      </c>
      <c r="Z394" s="16" t="s">
        <v>34</v>
      </c>
      <c r="AA394">
        <v>-75.614877590000006</v>
      </c>
      <c r="AB394">
        <v>6.1778693699999998</v>
      </c>
      <c r="AC394" t="s">
        <v>96</v>
      </c>
      <c r="AD394" t="s">
        <v>97</v>
      </c>
    </row>
    <row r="395" spans="1:30" x14ac:dyDescent="0.25">
      <c r="A395" t="s">
        <v>2705</v>
      </c>
      <c r="B395" t="s">
        <v>25</v>
      </c>
      <c r="C395" t="s">
        <v>26</v>
      </c>
      <c r="D395" t="s">
        <v>38</v>
      </c>
      <c r="E395" t="s">
        <v>2706</v>
      </c>
      <c r="F395" t="s">
        <v>2707</v>
      </c>
      <c r="G395">
        <v>44003927</v>
      </c>
      <c r="H395" t="s">
        <v>2694</v>
      </c>
      <c r="I395" s="4" t="s">
        <v>35</v>
      </c>
      <c r="J395" s="4" t="s">
        <v>2695</v>
      </c>
      <c r="K395" t="s">
        <v>2708</v>
      </c>
      <c r="L395" t="s">
        <v>43</v>
      </c>
      <c r="M395" t="s">
        <v>2709</v>
      </c>
      <c r="N395" t="s">
        <v>44</v>
      </c>
      <c r="O395" t="s">
        <v>39</v>
      </c>
      <c r="P395" t="s">
        <v>40</v>
      </c>
      <c r="Q395" t="s">
        <v>31</v>
      </c>
      <c r="R395">
        <v>5</v>
      </c>
      <c r="S395" t="s">
        <v>2710</v>
      </c>
      <c r="T395" t="s">
        <v>2034</v>
      </c>
      <c r="U395" t="s">
        <v>1123</v>
      </c>
      <c r="V395" t="s">
        <v>32</v>
      </c>
      <c r="W395" t="s">
        <v>33</v>
      </c>
      <c r="X395" t="s">
        <v>33</v>
      </c>
      <c r="Y395" t="s">
        <v>33</v>
      </c>
      <c r="Z395" s="16" t="s">
        <v>34</v>
      </c>
      <c r="AA395">
        <v>-75.614877590000006</v>
      </c>
      <c r="AB395">
        <v>6.1778693699999998</v>
      </c>
      <c r="AC395" t="s">
        <v>96</v>
      </c>
      <c r="AD395" t="s">
        <v>97</v>
      </c>
    </row>
    <row r="396" spans="1:30" x14ac:dyDescent="0.25">
      <c r="A396" t="s">
        <v>2711</v>
      </c>
      <c r="B396" t="s">
        <v>25</v>
      </c>
      <c r="C396" t="s">
        <v>26</v>
      </c>
      <c r="D396" t="s">
        <v>38</v>
      </c>
      <c r="E396" t="s">
        <v>2712</v>
      </c>
      <c r="F396" t="s">
        <v>2713</v>
      </c>
      <c r="G396">
        <v>1152453462</v>
      </c>
      <c r="H396" t="s">
        <v>2714</v>
      </c>
      <c r="I396" s="4" t="s">
        <v>35</v>
      </c>
      <c r="J396" s="4" t="s">
        <v>2715</v>
      </c>
      <c r="K396" t="s">
        <v>2716</v>
      </c>
      <c r="L396" t="s">
        <v>27</v>
      </c>
      <c r="M396" t="s">
        <v>2717</v>
      </c>
      <c r="N396" t="s">
        <v>28</v>
      </c>
      <c r="O396" t="s">
        <v>39</v>
      </c>
      <c r="P396" t="s">
        <v>40</v>
      </c>
      <c r="Q396" t="s">
        <v>31</v>
      </c>
      <c r="R396">
        <v>5</v>
      </c>
      <c r="S396" t="s">
        <v>2718</v>
      </c>
      <c r="T396" t="s">
        <v>5339</v>
      </c>
      <c r="U396" t="s">
        <v>5340</v>
      </c>
      <c r="V396" t="s">
        <v>32</v>
      </c>
      <c r="W396" t="s">
        <v>33</v>
      </c>
      <c r="X396" t="s">
        <v>33</v>
      </c>
      <c r="Y396" t="s">
        <v>33</v>
      </c>
      <c r="Z396" s="16" t="s">
        <v>34</v>
      </c>
      <c r="AA396">
        <v>-75.628558999999996</v>
      </c>
      <c r="AB396">
        <v>6.2452139999999998</v>
      </c>
      <c r="AC396" t="s">
        <v>96</v>
      </c>
      <c r="AD396" t="s">
        <v>97</v>
      </c>
    </row>
    <row r="397" spans="1:30" x14ac:dyDescent="0.25">
      <c r="A397" t="s">
        <v>2719</v>
      </c>
      <c r="B397" t="s">
        <v>25</v>
      </c>
      <c r="C397" t="s">
        <v>26</v>
      </c>
      <c r="D397" t="s">
        <v>38</v>
      </c>
      <c r="E397" t="s">
        <v>2720</v>
      </c>
      <c r="F397" t="s">
        <v>2721</v>
      </c>
      <c r="G397">
        <v>44003297</v>
      </c>
      <c r="H397" t="s">
        <v>2722</v>
      </c>
      <c r="I397" s="4" t="s">
        <v>35</v>
      </c>
      <c r="J397" s="4" t="s">
        <v>2723</v>
      </c>
      <c r="K397" t="s">
        <v>2724</v>
      </c>
      <c r="L397" t="s">
        <v>43</v>
      </c>
      <c r="M397" t="s">
        <v>2725</v>
      </c>
      <c r="N397" t="s">
        <v>44</v>
      </c>
      <c r="O397" t="s">
        <v>39</v>
      </c>
      <c r="P397" t="s">
        <v>40</v>
      </c>
      <c r="Q397" t="s">
        <v>31</v>
      </c>
      <c r="R397">
        <v>5</v>
      </c>
      <c r="S397" t="s">
        <v>2726</v>
      </c>
      <c r="T397" t="s">
        <v>5341</v>
      </c>
      <c r="U397" t="s">
        <v>5342</v>
      </c>
      <c r="V397" t="s">
        <v>32</v>
      </c>
      <c r="W397" t="s">
        <v>33</v>
      </c>
      <c r="X397" t="s">
        <v>33</v>
      </c>
      <c r="Y397" t="s">
        <v>33</v>
      </c>
      <c r="Z397" s="16" t="s">
        <v>34</v>
      </c>
      <c r="AA397">
        <v>-75.614877590000006</v>
      </c>
      <c r="AB397">
        <v>6.1778693699999998</v>
      </c>
      <c r="AC397" t="s">
        <v>96</v>
      </c>
      <c r="AD397" t="s">
        <v>97</v>
      </c>
    </row>
    <row r="398" spans="1:30" x14ac:dyDescent="0.25">
      <c r="A398" t="s">
        <v>2727</v>
      </c>
      <c r="B398" t="s">
        <v>25</v>
      </c>
      <c r="C398" t="s">
        <v>26</v>
      </c>
      <c r="D398" t="s">
        <v>38</v>
      </c>
      <c r="E398" t="s">
        <v>2728</v>
      </c>
      <c r="F398" t="s">
        <v>2729</v>
      </c>
      <c r="G398">
        <v>44003927</v>
      </c>
      <c r="H398" t="s">
        <v>2694</v>
      </c>
      <c r="I398" s="4" t="s">
        <v>35</v>
      </c>
      <c r="J398" s="4" t="s">
        <v>2695</v>
      </c>
      <c r="K398" t="s">
        <v>2730</v>
      </c>
      <c r="L398" t="s">
        <v>43</v>
      </c>
      <c r="M398" t="s">
        <v>2731</v>
      </c>
      <c r="N398" t="s">
        <v>44</v>
      </c>
      <c r="O398" t="s">
        <v>39</v>
      </c>
      <c r="P398" t="s">
        <v>40</v>
      </c>
      <c r="Q398" t="s">
        <v>31</v>
      </c>
      <c r="R398">
        <v>5</v>
      </c>
      <c r="S398" t="s">
        <v>2732</v>
      </c>
      <c r="T398" t="s">
        <v>1684</v>
      </c>
      <c r="U398" t="s">
        <v>1685</v>
      </c>
      <c r="V398" t="s">
        <v>32</v>
      </c>
      <c r="W398" t="s">
        <v>33</v>
      </c>
      <c r="X398" t="s">
        <v>33</v>
      </c>
      <c r="Y398" t="s">
        <v>33</v>
      </c>
      <c r="Z398" s="16" t="s">
        <v>34</v>
      </c>
      <c r="AA398">
        <v>-75.614877590000006</v>
      </c>
      <c r="AB398">
        <v>6.1778693699999998</v>
      </c>
      <c r="AC398" t="s">
        <v>96</v>
      </c>
      <c r="AD398" t="s">
        <v>97</v>
      </c>
    </row>
    <row r="399" spans="1:30" x14ac:dyDescent="0.25">
      <c r="A399" t="s">
        <v>2733</v>
      </c>
      <c r="B399" t="s">
        <v>25</v>
      </c>
      <c r="C399" t="s">
        <v>26</v>
      </c>
      <c r="D399" t="s">
        <v>38</v>
      </c>
      <c r="E399" t="s">
        <v>2734</v>
      </c>
      <c r="F399" t="s">
        <v>2735</v>
      </c>
      <c r="G399">
        <v>70252806</v>
      </c>
      <c r="H399" t="s">
        <v>2686</v>
      </c>
      <c r="I399" s="4" t="s">
        <v>35</v>
      </c>
      <c r="J399" s="4" t="s">
        <v>2687</v>
      </c>
      <c r="K399" t="s">
        <v>2736</v>
      </c>
      <c r="L399" t="s">
        <v>27</v>
      </c>
      <c r="M399" t="s">
        <v>2737</v>
      </c>
      <c r="N399" t="s">
        <v>28</v>
      </c>
      <c r="O399" t="s">
        <v>39</v>
      </c>
      <c r="P399" t="s">
        <v>40</v>
      </c>
      <c r="Q399" t="s">
        <v>31</v>
      </c>
      <c r="R399">
        <v>5</v>
      </c>
      <c r="S399" t="s">
        <v>2738</v>
      </c>
      <c r="T399" t="s">
        <v>5343</v>
      </c>
      <c r="U399" t="s">
        <v>5344</v>
      </c>
      <c r="V399" t="s">
        <v>32</v>
      </c>
      <c r="W399" t="s">
        <v>33</v>
      </c>
      <c r="X399" t="s">
        <v>33</v>
      </c>
      <c r="Y399" t="s">
        <v>33</v>
      </c>
      <c r="Z399" s="16" t="s">
        <v>34</v>
      </c>
      <c r="AA399">
        <v>-75.630487639999998</v>
      </c>
      <c r="AB399">
        <v>6.25545726</v>
      </c>
      <c r="AC399" t="s">
        <v>96</v>
      </c>
      <c r="AD399" t="s">
        <v>97</v>
      </c>
    </row>
    <row r="400" spans="1:30" x14ac:dyDescent="0.25">
      <c r="A400" t="s">
        <v>3536</v>
      </c>
      <c r="B400" t="s">
        <v>63</v>
      </c>
      <c r="C400" t="s">
        <v>26</v>
      </c>
      <c r="D400" t="s">
        <v>64</v>
      </c>
      <c r="E400" t="s">
        <v>3537</v>
      </c>
      <c r="F400" t="s">
        <v>3538</v>
      </c>
      <c r="G400">
        <v>71945338</v>
      </c>
      <c r="H400" t="s">
        <v>3539</v>
      </c>
      <c r="I400" s="4" t="s">
        <v>3540</v>
      </c>
      <c r="J400" s="4" t="s">
        <v>3541</v>
      </c>
      <c r="K400" t="s">
        <v>3542</v>
      </c>
      <c r="L400" t="s">
        <v>27</v>
      </c>
      <c r="M400" t="s">
        <v>3543</v>
      </c>
      <c r="N400" t="s">
        <v>28</v>
      </c>
      <c r="O400" t="s">
        <v>65</v>
      </c>
      <c r="P400" t="s">
        <v>66</v>
      </c>
      <c r="Q400" t="s">
        <v>31</v>
      </c>
      <c r="R400">
        <v>9</v>
      </c>
      <c r="S400" t="s">
        <v>3544</v>
      </c>
      <c r="T400" t="s">
        <v>5345</v>
      </c>
      <c r="U400" t="s">
        <v>5346</v>
      </c>
      <c r="V400" t="s">
        <v>32</v>
      </c>
      <c r="W400" t="s">
        <v>33</v>
      </c>
      <c r="X400" t="s">
        <v>33</v>
      </c>
      <c r="Y400" t="s">
        <v>33</v>
      </c>
      <c r="Z400" s="16" t="s">
        <v>34</v>
      </c>
      <c r="AA400">
        <v>-75.589244390000005</v>
      </c>
      <c r="AB400">
        <v>6.2669338799999998</v>
      </c>
      <c r="AC400" t="s">
        <v>96</v>
      </c>
      <c r="AD400" t="s">
        <v>97</v>
      </c>
    </row>
    <row r="401" spans="1:30" x14ac:dyDescent="0.25">
      <c r="A401" t="s">
        <v>2739</v>
      </c>
      <c r="B401" t="s">
        <v>25</v>
      </c>
      <c r="C401" t="s">
        <v>26</v>
      </c>
      <c r="D401" t="s">
        <v>38</v>
      </c>
      <c r="E401" t="s">
        <v>2740</v>
      </c>
      <c r="F401" t="s">
        <v>2741</v>
      </c>
      <c r="G401">
        <v>1007783850</v>
      </c>
      <c r="H401" t="s">
        <v>2742</v>
      </c>
      <c r="I401" s="4" t="s">
        <v>35</v>
      </c>
      <c r="J401" s="4" t="s">
        <v>2743</v>
      </c>
      <c r="K401" t="s">
        <v>2744</v>
      </c>
      <c r="L401" t="s">
        <v>27</v>
      </c>
      <c r="M401" t="s">
        <v>2745</v>
      </c>
      <c r="N401" t="s">
        <v>28</v>
      </c>
      <c r="O401" t="s">
        <v>39</v>
      </c>
      <c r="P401" t="s">
        <v>40</v>
      </c>
      <c r="Q401" t="s">
        <v>31</v>
      </c>
      <c r="R401">
        <v>5</v>
      </c>
      <c r="S401" t="s">
        <v>2746</v>
      </c>
      <c r="T401" t="s">
        <v>3064</v>
      </c>
      <c r="U401" t="s">
        <v>3065</v>
      </c>
      <c r="V401" t="s">
        <v>32</v>
      </c>
      <c r="W401" t="s">
        <v>33</v>
      </c>
      <c r="X401" t="s">
        <v>33</v>
      </c>
      <c r="Y401" t="s">
        <v>33</v>
      </c>
      <c r="Z401" s="16" t="s">
        <v>34</v>
      </c>
      <c r="AA401">
        <v>-75.619401139999994</v>
      </c>
      <c r="AB401">
        <v>6.2610085199999999</v>
      </c>
      <c r="AC401" t="s">
        <v>96</v>
      </c>
      <c r="AD401" t="s">
        <v>97</v>
      </c>
    </row>
    <row r="402" spans="1:30" x14ac:dyDescent="0.25">
      <c r="A402" t="s">
        <v>2747</v>
      </c>
      <c r="B402" t="s">
        <v>25</v>
      </c>
      <c r="C402" t="s">
        <v>26</v>
      </c>
      <c r="D402" t="s">
        <v>38</v>
      </c>
      <c r="E402" t="s">
        <v>2748</v>
      </c>
      <c r="F402" t="s">
        <v>2749</v>
      </c>
      <c r="G402">
        <v>1128466146</v>
      </c>
      <c r="H402" t="s">
        <v>2750</v>
      </c>
      <c r="I402" s="4" t="s">
        <v>35</v>
      </c>
      <c r="J402" s="4" t="s">
        <v>2751</v>
      </c>
      <c r="K402" t="s">
        <v>2752</v>
      </c>
      <c r="L402" t="s">
        <v>27</v>
      </c>
      <c r="M402" t="s">
        <v>2753</v>
      </c>
      <c r="N402" t="s">
        <v>28</v>
      </c>
      <c r="O402" t="s">
        <v>39</v>
      </c>
      <c r="P402" t="s">
        <v>40</v>
      </c>
      <c r="Q402" t="s">
        <v>31</v>
      </c>
      <c r="R402">
        <v>5</v>
      </c>
      <c r="S402" t="s">
        <v>2754</v>
      </c>
      <c r="T402" t="s">
        <v>3153</v>
      </c>
      <c r="U402" t="s">
        <v>3154</v>
      </c>
      <c r="V402" t="s">
        <v>32</v>
      </c>
      <c r="W402" t="s">
        <v>33</v>
      </c>
      <c r="X402" t="s">
        <v>33</v>
      </c>
      <c r="Y402" t="s">
        <v>33</v>
      </c>
      <c r="Z402" s="16" t="s">
        <v>34</v>
      </c>
      <c r="AA402">
        <v>-75.599439000000004</v>
      </c>
      <c r="AB402">
        <v>6.2739669999999998</v>
      </c>
      <c r="AC402" t="s">
        <v>96</v>
      </c>
      <c r="AD402" t="s">
        <v>97</v>
      </c>
    </row>
    <row r="403" spans="1:30" x14ac:dyDescent="0.25">
      <c r="A403" t="s">
        <v>3380</v>
      </c>
      <c r="B403" t="s">
        <v>25</v>
      </c>
      <c r="C403" t="s">
        <v>26</v>
      </c>
      <c r="D403" t="s">
        <v>25</v>
      </c>
      <c r="E403" t="s">
        <v>3381</v>
      </c>
      <c r="F403" t="s">
        <v>3382</v>
      </c>
      <c r="G403">
        <v>1152197297</v>
      </c>
      <c r="H403" t="s">
        <v>3383</v>
      </c>
      <c r="I403" s="4" t="s">
        <v>35</v>
      </c>
      <c r="J403" s="4" t="s">
        <v>3384</v>
      </c>
      <c r="K403" t="s">
        <v>3385</v>
      </c>
      <c r="L403" t="s">
        <v>27</v>
      </c>
      <c r="M403" t="s">
        <v>3386</v>
      </c>
      <c r="N403" t="s">
        <v>28</v>
      </c>
      <c r="O403" t="s">
        <v>29</v>
      </c>
      <c r="P403" t="s">
        <v>36</v>
      </c>
      <c r="Q403" t="s">
        <v>31</v>
      </c>
      <c r="R403">
        <v>7</v>
      </c>
      <c r="S403" t="s">
        <v>3387</v>
      </c>
      <c r="T403" t="s">
        <v>3153</v>
      </c>
      <c r="U403" t="s">
        <v>4029</v>
      </c>
      <c r="V403" t="s">
        <v>32</v>
      </c>
      <c r="W403" t="s">
        <v>33</v>
      </c>
      <c r="X403" t="s">
        <v>33</v>
      </c>
      <c r="Y403" t="s">
        <v>33</v>
      </c>
      <c r="Z403" s="16" t="s">
        <v>34</v>
      </c>
      <c r="AA403">
        <v>-75.559818879999995</v>
      </c>
      <c r="AB403">
        <v>6.2487510799999999</v>
      </c>
      <c r="AC403" t="s">
        <v>96</v>
      </c>
      <c r="AD403" t="s">
        <v>97</v>
      </c>
    </row>
    <row r="404" spans="1:30" x14ac:dyDescent="0.25">
      <c r="A404" t="s">
        <v>3388</v>
      </c>
      <c r="B404" t="s">
        <v>25</v>
      </c>
      <c r="C404" t="s">
        <v>26</v>
      </c>
      <c r="D404" t="s">
        <v>25</v>
      </c>
      <c r="E404" t="s">
        <v>3389</v>
      </c>
      <c r="F404" t="s">
        <v>3390</v>
      </c>
      <c r="G404">
        <v>71625753</v>
      </c>
      <c r="H404" t="s">
        <v>3391</v>
      </c>
      <c r="I404" s="4" t="s">
        <v>35</v>
      </c>
      <c r="J404" s="4" t="s">
        <v>3392</v>
      </c>
      <c r="K404" t="s">
        <v>3393</v>
      </c>
      <c r="L404" t="s">
        <v>27</v>
      </c>
      <c r="M404" t="s">
        <v>3394</v>
      </c>
      <c r="N404" t="s">
        <v>28</v>
      </c>
      <c r="O404" t="s">
        <v>29</v>
      </c>
      <c r="P404" t="s">
        <v>36</v>
      </c>
      <c r="Q404" t="s">
        <v>31</v>
      </c>
      <c r="R404">
        <v>7</v>
      </c>
      <c r="S404" t="s">
        <v>3395</v>
      </c>
      <c r="T404" t="s">
        <v>3153</v>
      </c>
      <c r="U404" t="s">
        <v>4029</v>
      </c>
      <c r="V404" t="s">
        <v>32</v>
      </c>
      <c r="W404" t="s">
        <v>33</v>
      </c>
      <c r="X404" t="s">
        <v>33</v>
      </c>
      <c r="Y404" t="s">
        <v>33</v>
      </c>
      <c r="Z404" s="16" t="s">
        <v>34</v>
      </c>
      <c r="AA404">
        <v>-75.611483000000007</v>
      </c>
      <c r="AB404">
        <v>6.2342880000000003</v>
      </c>
      <c r="AC404" t="s">
        <v>96</v>
      </c>
      <c r="AD404" t="s">
        <v>97</v>
      </c>
    </row>
    <row r="405" spans="1:30" x14ac:dyDescent="0.25">
      <c r="A405" t="s">
        <v>2755</v>
      </c>
      <c r="B405" t="s">
        <v>25</v>
      </c>
      <c r="C405" t="s">
        <v>26</v>
      </c>
      <c r="D405" t="s">
        <v>38</v>
      </c>
      <c r="E405" t="s">
        <v>2756</v>
      </c>
      <c r="F405" t="s">
        <v>2757</v>
      </c>
      <c r="G405">
        <v>1128447217</v>
      </c>
      <c r="H405" t="s">
        <v>2758</v>
      </c>
      <c r="I405" s="4" t="s">
        <v>2759</v>
      </c>
      <c r="J405" s="4" t="s">
        <v>2760</v>
      </c>
      <c r="K405" t="s">
        <v>2761</v>
      </c>
      <c r="L405" t="s">
        <v>27</v>
      </c>
      <c r="M405" t="s">
        <v>2762</v>
      </c>
      <c r="N405" t="s">
        <v>28</v>
      </c>
      <c r="O405" t="s">
        <v>39</v>
      </c>
      <c r="P405" t="s">
        <v>40</v>
      </c>
      <c r="Q405" t="s">
        <v>31</v>
      </c>
      <c r="R405">
        <v>5</v>
      </c>
      <c r="S405" t="s">
        <v>2763</v>
      </c>
      <c r="T405" t="s">
        <v>5347</v>
      </c>
      <c r="U405" t="s">
        <v>5348</v>
      </c>
      <c r="V405" t="s">
        <v>32</v>
      </c>
      <c r="W405" t="s">
        <v>33</v>
      </c>
      <c r="X405" t="s">
        <v>33</v>
      </c>
      <c r="Y405" t="s">
        <v>33</v>
      </c>
      <c r="Z405" s="16" t="s">
        <v>34</v>
      </c>
      <c r="AA405">
        <v>-75.538424750000004</v>
      </c>
      <c r="AB405">
        <v>6.2372729700000002</v>
      </c>
      <c r="AC405" t="s">
        <v>96</v>
      </c>
      <c r="AD405" t="s">
        <v>97</v>
      </c>
    </row>
    <row r="406" spans="1:30" x14ac:dyDescent="0.25">
      <c r="A406" t="s">
        <v>2764</v>
      </c>
      <c r="B406" t="s">
        <v>49</v>
      </c>
      <c r="C406" t="s">
        <v>26</v>
      </c>
      <c r="D406" t="s">
        <v>49</v>
      </c>
      <c r="E406" t="s">
        <v>2765</v>
      </c>
      <c r="F406" t="s">
        <v>2766</v>
      </c>
      <c r="G406">
        <v>71799216</v>
      </c>
      <c r="H406" t="s">
        <v>2767</v>
      </c>
      <c r="I406" s="4" t="s">
        <v>2768</v>
      </c>
      <c r="J406" s="4" t="s">
        <v>2769</v>
      </c>
      <c r="K406" t="s">
        <v>2770</v>
      </c>
      <c r="L406" t="s">
        <v>27</v>
      </c>
      <c r="M406" t="s">
        <v>2771</v>
      </c>
      <c r="N406" t="s">
        <v>28</v>
      </c>
      <c r="O406" t="s">
        <v>50</v>
      </c>
      <c r="P406" t="s">
        <v>51</v>
      </c>
      <c r="Q406" t="s">
        <v>31</v>
      </c>
      <c r="R406">
        <v>11</v>
      </c>
      <c r="S406" t="s">
        <v>2772</v>
      </c>
      <c r="T406" t="s">
        <v>5349</v>
      </c>
      <c r="U406" t="s">
        <v>5350</v>
      </c>
      <c r="V406" t="s">
        <v>32</v>
      </c>
      <c r="W406" t="s">
        <v>33</v>
      </c>
      <c r="X406" t="s">
        <v>33</v>
      </c>
      <c r="Y406" t="s">
        <v>33</v>
      </c>
      <c r="Z406" s="16" t="s">
        <v>34</v>
      </c>
      <c r="AA406">
        <v>-75.539748200000005</v>
      </c>
      <c r="AB406">
        <v>6.2324553800000002</v>
      </c>
      <c r="AC406" t="s">
        <v>96</v>
      </c>
      <c r="AD406" t="s">
        <v>97</v>
      </c>
    </row>
    <row r="407" spans="1:30" x14ac:dyDescent="0.25">
      <c r="A407" t="s">
        <v>3545</v>
      </c>
      <c r="B407" t="s">
        <v>63</v>
      </c>
      <c r="C407" t="s">
        <v>26</v>
      </c>
      <c r="D407" t="s">
        <v>64</v>
      </c>
      <c r="E407" t="s">
        <v>3546</v>
      </c>
      <c r="F407" t="s">
        <v>3547</v>
      </c>
      <c r="G407">
        <v>32256384</v>
      </c>
      <c r="H407" t="s">
        <v>3548</v>
      </c>
      <c r="I407" s="4" t="s">
        <v>3549</v>
      </c>
      <c r="J407" s="4" t="s">
        <v>3550</v>
      </c>
      <c r="K407" t="s">
        <v>3551</v>
      </c>
      <c r="L407" t="s">
        <v>27</v>
      </c>
      <c r="M407" t="s">
        <v>3552</v>
      </c>
      <c r="N407" t="s">
        <v>28</v>
      </c>
      <c r="O407" t="s">
        <v>65</v>
      </c>
      <c r="P407" t="s">
        <v>66</v>
      </c>
      <c r="Q407" t="s">
        <v>31</v>
      </c>
      <c r="R407">
        <v>9</v>
      </c>
      <c r="S407" t="s">
        <v>3553</v>
      </c>
      <c r="T407" t="s">
        <v>5351</v>
      </c>
      <c r="U407" t="s">
        <v>5352</v>
      </c>
      <c r="V407" t="s">
        <v>32</v>
      </c>
      <c r="W407" t="s">
        <v>33</v>
      </c>
      <c r="X407" t="s">
        <v>33</v>
      </c>
      <c r="Y407" t="s">
        <v>33</v>
      </c>
      <c r="Z407" s="16" t="s">
        <v>34</v>
      </c>
      <c r="AA407">
        <v>-75.620518290000007</v>
      </c>
      <c r="AB407">
        <v>6.2581520499999996</v>
      </c>
      <c r="AC407" t="s">
        <v>96</v>
      </c>
      <c r="AD407" t="s">
        <v>97</v>
      </c>
    </row>
    <row r="408" spans="1:30" x14ac:dyDescent="0.25">
      <c r="A408" t="s">
        <v>3554</v>
      </c>
      <c r="B408" t="s">
        <v>63</v>
      </c>
      <c r="C408" t="s">
        <v>26</v>
      </c>
      <c r="D408" t="s">
        <v>64</v>
      </c>
      <c r="E408" t="s">
        <v>3555</v>
      </c>
      <c r="F408" t="s">
        <v>3556</v>
      </c>
      <c r="G408">
        <v>21408890</v>
      </c>
      <c r="H408" t="s">
        <v>3557</v>
      </c>
      <c r="I408" s="4" t="s">
        <v>35</v>
      </c>
      <c r="J408" s="4" t="s">
        <v>3558</v>
      </c>
      <c r="K408" t="s">
        <v>3559</v>
      </c>
      <c r="L408" t="s">
        <v>27</v>
      </c>
      <c r="M408" t="s">
        <v>3560</v>
      </c>
      <c r="N408" t="s">
        <v>28</v>
      </c>
      <c r="O408" t="s">
        <v>65</v>
      </c>
      <c r="P408" t="s">
        <v>66</v>
      </c>
      <c r="Q408" t="s">
        <v>37</v>
      </c>
      <c r="R408">
        <v>14</v>
      </c>
      <c r="S408" t="s">
        <v>3561</v>
      </c>
      <c r="T408" t="s">
        <v>2051</v>
      </c>
      <c r="U408" t="s">
        <v>5353</v>
      </c>
      <c r="V408" t="s">
        <v>32</v>
      </c>
      <c r="W408" t="s">
        <v>33</v>
      </c>
      <c r="X408" t="s">
        <v>33</v>
      </c>
      <c r="Y408" t="s">
        <v>33</v>
      </c>
      <c r="Z408" s="16" t="s">
        <v>34</v>
      </c>
      <c r="AA408">
        <v>-75.656405000000007</v>
      </c>
      <c r="AB408">
        <v>6.2862049999999998</v>
      </c>
      <c r="AC408" t="s">
        <v>96</v>
      </c>
      <c r="AD408" t="s">
        <v>97</v>
      </c>
    </row>
    <row r="409" spans="1:30" x14ac:dyDescent="0.25">
      <c r="A409" t="s">
        <v>2773</v>
      </c>
      <c r="B409" t="s">
        <v>25</v>
      </c>
      <c r="C409" t="s">
        <v>26</v>
      </c>
      <c r="D409" t="s">
        <v>38</v>
      </c>
      <c r="E409" t="s">
        <v>2774</v>
      </c>
      <c r="F409" t="s">
        <v>2775</v>
      </c>
      <c r="G409">
        <v>7178153</v>
      </c>
      <c r="H409" t="s">
        <v>2776</v>
      </c>
      <c r="I409" s="4" t="s">
        <v>35</v>
      </c>
      <c r="J409" s="4" t="s">
        <v>2777</v>
      </c>
      <c r="K409" t="s">
        <v>2778</v>
      </c>
      <c r="L409" t="s">
        <v>27</v>
      </c>
      <c r="M409" t="s">
        <v>2779</v>
      </c>
      <c r="N409" t="s">
        <v>28</v>
      </c>
      <c r="O409" t="s">
        <v>39</v>
      </c>
      <c r="P409" t="s">
        <v>40</v>
      </c>
      <c r="Q409" t="s">
        <v>31</v>
      </c>
      <c r="R409">
        <v>5</v>
      </c>
      <c r="S409" t="s">
        <v>2780</v>
      </c>
      <c r="T409" t="s">
        <v>5354</v>
      </c>
      <c r="U409" t="s">
        <v>5355</v>
      </c>
      <c r="V409" t="s">
        <v>32</v>
      </c>
      <c r="W409" t="s">
        <v>33</v>
      </c>
      <c r="X409" t="s">
        <v>33</v>
      </c>
      <c r="Y409" t="s">
        <v>33</v>
      </c>
      <c r="Z409" s="16" t="s">
        <v>34</v>
      </c>
      <c r="AA409">
        <v>-75.630487639999998</v>
      </c>
      <c r="AB409">
        <v>6.25545726</v>
      </c>
      <c r="AC409" t="s">
        <v>96</v>
      </c>
      <c r="AD409" t="s">
        <v>97</v>
      </c>
    </row>
    <row r="410" spans="1:30" x14ac:dyDescent="0.25">
      <c r="A410" t="s">
        <v>2781</v>
      </c>
      <c r="B410" t="s">
        <v>25</v>
      </c>
      <c r="C410" t="s">
        <v>26</v>
      </c>
      <c r="D410" t="s">
        <v>38</v>
      </c>
      <c r="E410" t="s">
        <v>2782</v>
      </c>
      <c r="F410" t="s">
        <v>2783</v>
      </c>
      <c r="G410">
        <v>43830222</v>
      </c>
      <c r="H410" t="s">
        <v>2784</v>
      </c>
      <c r="I410" s="4" t="s">
        <v>35</v>
      </c>
      <c r="J410" s="4" t="s">
        <v>2785</v>
      </c>
      <c r="K410" t="s">
        <v>2786</v>
      </c>
      <c r="L410" t="s">
        <v>43</v>
      </c>
      <c r="M410" t="s">
        <v>2787</v>
      </c>
      <c r="N410" t="s">
        <v>44</v>
      </c>
      <c r="O410" t="s">
        <v>39</v>
      </c>
      <c r="P410" t="s">
        <v>40</v>
      </c>
      <c r="Q410" t="s">
        <v>31</v>
      </c>
      <c r="R410">
        <v>5</v>
      </c>
      <c r="S410" t="s">
        <v>2788</v>
      </c>
      <c r="T410" t="s">
        <v>1688</v>
      </c>
      <c r="U410" t="s">
        <v>1689</v>
      </c>
      <c r="V410" t="s">
        <v>32</v>
      </c>
      <c r="W410" t="s">
        <v>33</v>
      </c>
      <c r="X410" t="s">
        <v>33</v>
      </c>
      <c r="Y410" t="s">
        <v>33</v>
      </c>
      <c r="Z410" s="16" t="s">
        <v>34</v>
      </c>
      <c r="AA410">
        <v>-75.615390540000007</v>
      </c>
      <c r="AB410">
        <v>6.1782186699999997</v>
      </c>
      <c r="AC410" t="s">
        <v>96</v>
      </c>
      <c r="AD410" t="s">
        <v>97</v>
      </c>
    </row>
    <row r="411" spans="1:30" x14ac:dyDescent="0.25">
      <c r="A411" t="s">
        <v>2789</v>
      </c>
      <c r="B411" t="s">
        <v>25</v>
      </c>
      <c r="C411" t="s">
        <v>26</v>
      </c>
      <c r="D411" t="s">
        <v>38</v>
      </c>
      <c r="E411" t="s">
        <v>2790</v>
      </c>
      <c r="F411" t="s">
        <v>2791</v>
      </c>
      <c r="G411">
        <v>70698595</v>
      </c>
      <c r="H411" t="s">
        <v>2792</v>
      </c>
      <c r="I411" s="4" t="s">
        <v>35</v>
      </c>
      <c r="J411" s="4" t="s">
        <v>2793</v>
      </c>
      <c r="K411" t="s">
        <v>2794</v>
      </c>
      <c r="L411" t="s">
        <v>43</v>
      </c>
      <c r="M411" t="s">
        <v>2795</v>
      </c>
      <c r="N411" t="s">
        <v>44</v>
      </c>
      <c r="O411" t="s">
        <v>39</v>
      </c>
      <c r="P411" t="s">
        <v>40</v>
      </c>
      <c r="Q411" t="s">
        <v>31</v>
      </c>
      <c r="R411">
        <v>5</v>
      </c>
      <c r="S411" t="s">
        <v>2796</v>
      </c>
      <c r="T411" t="s">
        <v>1135</v>
      </c>
      <c r="U411" t="s">
        <v>669</v>
      </c>
      <c r="V411" t="s">
        <v>32</v>
      </c>
      <c r="W411" t="s">
        <v>33</v>
      </c>
      <c r="X411" t="s">
        <v>33</v>
      </c>
      <c r="Y411" t="s">
        <v>33</v>
      </c>
      <c r="Z411" s="16" t="s">
        <v>34</v>
      </c>
      <c r="AA411">
        <v>-75.615500999999995</v>
      </c>
      <c r="AB411">
        <v>6.1781769999999998</v>
      </c>
      <c r="AC411" t="s">
        <v>96</v>
      </c>
      <c r="AD411" t="s">
        <v>97</v>
      </c>
    </row>
    <row r="412" spans="1:30" x14ac:dyDescent="0.25">
      <c r="A412" t="s">
        <v>2797</v>
      </c>
      <c r="B412" t="s">
        <v>25</v>
      </c>
      <c r="C412" t="s">
        <v>26</v>
      </c>
      <c r="D412" t="s">
        <v>38</v>
      </c>
      <c r="E412" t="s">
        <v>2798</v>
      </c>
      <c r="F412" t="s">
        <v>2799</v>
      </c>
      <c r="G412">
        <v>1036616241</v>
      </c>
      <c r="H412" t="s">
        <v>2800</v>
      </c>
      <c r="I412" s="4" t="s">
        <v>35</v>
      </c>
      <c r="J412" s="4" t="s">
        <v>2801</v>
      </c>
      <c r="K412" t="s">
        <v>2802</v>
      </c>
      <c r="L412" t="s">
        <v>43</v>
      </c>
      <c r="M412" t="s">
        <v>2803</v>
      </c>
      <c r="N412" t="s">
        <v>44</v>
      </c>
      <c r="O412" t="s">
        <v>39</v>
      </c>
      <c r="P412" t="s">
        <v>40</v>
      </c>
      <c r="Q412" t="s">
        <v>31</v>
      </c>
      <c r="R412">
        <v>5</v>
      </c>
      <c r="S412" t="s">
        <v>2804</v>
      </c>
      <c r="T412" t="s">
        <v>5356</v>
      </c>
      <c r="U412" t="s">
        <v>5357</v>
      </c>
      <c r="V412" t="s">
        <v>32</v>
      </c>
      <c r="W412" t="s">
        <v>33</v>
      </c>
      <c r="X412" t="s">
        <v>33</v>
      </c>
      <c r="Y412" t="s">
        <v>33</v>
      </c>
      <c r="Z412" s="16" t="s">
        <v>34</v>
      </c>
      <c r="AA412">
        <v>-75.615829000000005</v>
      </c>
      <c r="AB412">
        <v>6.1783060000000001</v>
      </c>
      <c r="AC412" t="s">
        <v>96</v>
      </c>
      <c r="AD412" t="s">
        <v>97</v>
      </c>
    </row>
    <row r="413" spans="1:30" x14ac:dyDescent="0.25">
      <c r="A413" t="s">
        <v>2805</v>
      </c>
      <c r="B413" t="s">
        <v>25</v>
      </c>
      <c r="C413" t="s">
        <v>26</v>
      </c>
      <c r="D413" t="s">
        <v>38</v>
      </c>
      <c r="E413" t="s">
        <v>2806</v>
      </c>
      <c r="F413" t="s">
        <v>2807</v>
      </c>
      <c r="G413">
        <v>1036616241</v>
      </c>
      <c r="H413" t="s">
        <v>2800</v>
      </c>
      <c r="I413" s="4" t="s">
        <v>35</v>
      </c>
      <c r="J413" s="4" t="s">
        <v>2801</v>
      </c>
      <c r="K413" t="s">
        <v>2808</v>
      </c>
      <c r="L413" t="s">
        <v>43</v>
      </c>
      <c r="M413" t="s">
        <v>2809</v>
      </c>
      <c r="N413" t="s">
        <v>44</v>
      </c>
      <c r="O413" t="s">
        <v>39</v>
      </c>
      <c r="P413" t="s">
        <v>40</v>
      </c>
      <c r="Q413" t="s">
        <v>31</v>
      </c>
      <c r="R413">
        <v>5</v>
      </c>
      <c r="S413" t="s">
        <v>2810</v>
      </c>
      <c r="T413" t="s">
        <v>5358</v>
      </c>
      <c r="U413" t="s">
        <v>5359</v>
      </c>
      <c r="V413" t="s">
        <v>32</v>
      </c>
      <c r="W413" t="s">
        <v>33</v>
      </c>
      <c r="X413" t="s">
        <v>33</v>
      </c>
      <c r="Y413" t="s">
        <v>33</v>
      </c>
      <c r="Z413" s="16" t="s">
        <v>34</v>
      </c>
      <c r="AA413">
        <v>-75.615829000000005</v>
      </c>
      <c r="AB413">
        <v>6.1783060000000001</v>
      </c>
      <c r="AC413" t="s">
        <v>96</v>
      </c>
      <c r="AD413" t="s">
        <v>97</v>
      </c>
    </row>
    <row r="414" spans="1:30" x14ac:dyDescent="0.25">
      <c r="A414" t="s">
        <v>2811</v>
      </c>
      <c r="B414" t="s">
        <v>25</v>
      </c>
      <c r="C414" t="s">
        <v>26</v>
      </c>
      <c r="D414" t="s">
        <v>38</v>
      </c>
      <c r="E414" t="s">
        <v>2812</v>
      </c>
      <c r="F414" t="s">
        <v>2813</v>
      </c>
      <c r="G414">
        <v>1036616241</v>
      </c>
      <c r="H414" t="s">
        <v>2800</v>
      </c>
      <c r="I414" s="4" t="s">
        <v>35</v>
      </c>
      <c r="J414" s="4" t="s">
        <v>2801</v>
      </c>
      <c r="K414" t="s">
        <v>2814</v>
      </c>
      <c r="L414" t="s">
        <v>43</v>
      </c>
      <c r="M414" t="s">
        <v>2815</v>
      </c>
      <c r="N414" t="s">
        <v>44</v>
      </c>
      <c r="O414" t="s">
        <v>39</v>
      </c>
      <c r="P414" t="s">
        <v>40</v>
      </c>
      <c r="Q414" t="s">
        <v>31</v>
      </c>
      <c r="R414">
        <v>5</v>
      </c>
      <c r="S414" t="s">
        <v>2816</v>
      </c>
      <c r="T414" t="s">
        <v>357</v>
      </c>
      <c r="U414" t="s">
        <v>586</v>
      </c>
      <c r="V414" t="s">
        <v>32</v>
      </c>
      <c r="W414" t="s">
        <v>33</v>
      </c>
      <c r="X414" t="s">
        <v>33</v>
      </c>
      <c r="Y414" t="s">
        <v>33</v>
      </c>
      <c r="Z414" s="16" t="s">
        <v>34</v>
      </c>
      <c r="AA414">
        <v>-75.615829000000005</v>
      </c>
      <c r="AB414">
        <v>6.1783060000000001</v>
      </c>
      <c r="AC414" t="s">
        <v>96</v>
      </c>
      <c r="AD414" t="s">
        <v>97</v>
      </c>
    </row>
    <row r="415" spans="1:30" x14ac:dyDescent="0.25">
      <c r="A415" t="s">
        <v>3398</v>
      </c>
      <c r="B415" t="s">
        <v>25</v>
      </c>
      <c r="C415" t="s">
        <v>26</v>
      </c>
      <c r="D415" t="s">
        <v>25</v>
      </c>
      <c r="E415" t="s">
        <v>3399</v>
      </c>
      <c r="F415" t="s">
        <v>3400</v>
      </c>
      <c r="G415">
        <v>11797343</v>
      </c>
      <c r="H415" t="s">
        <v>3401</v>
      </c>
      <c r="I415" s="4" t="s">
        <v>35</v>
      </c>
      <c r="J415" s="4" t="s">
        <v>3402</v>
      </c>
      <c r="K415" t="s">
        <v>3403</v>
      </c>
      <c r="L415" t="s">
        <v>27</v>
      </c>
      <c r="M415" t="s">
        <v>3404</v>
      </c>
      <c r="N415" t="s">
        <v>28</v>
      </c>
      <c r="O415" t="s">
        <v>29</v>
      </c>
      <c r="P415" t="s">
        <v>36</v>
      </c>
      <c r="Q415" t="s">
        <v>31</v>
      </c>
      <c r="R415">
        <v>7</v>
      </c>
      <c r="S415" t="s">
        <v>3405</v>
      </c>
      <c r="T415" t="s">
        <v>357</v>
      </c>
      <c r="U415" t="s">
        <v>5360</v>
      </c>
      <c r="V415" t="s">
        <v>32</v>
      </c>
      <c r="W415" t="s">
        <v>33</v>
      </c>
      <c r="X415" t="s">
        <v>33</v>
      </c>
      <c r="Y415" t="s">
        <v>33</v>
      </c>
      <c r="Z415" s="16" t="s">
        <v>34</v>
      </c>
      <c r="AA415">
        <v>-75.547017159999996</v>
      </c>
      <c r="AB415">
        <v>6.2514643100000002</v>
      </c>
      <c r="AC415" t="s">
        <v>96</v>
      </c>
      <c r="AD415" t="s">
        <v>97</v>
      </c>
    </row>
    <row r="416" spans="1:30" x14ac:dyDescent="0.25">
      <c r="A416" t="s">
        <v>2817</v>
      </c>
      <c r="B416" t="s">
        <v>49</v>
      </c>
      <c r="C416" t="s">
        <v>67</v>
      </c>
      <c r="D416" t="s">
        <v>49</v>
      </c>
      <c r="E416" t="s">
        <v>2818</v>
      </c>
      <c r="F416" t="s">
        <v>2819</v>
      </c>
      <c r="G416">
        <v>1017211406</v>
      </c>
      <c r="H416" t="s">
        <v>2820</v>
      </c>
      <c r="I416" s="4" t="s">
        <v>35</v>
      </c>
      <c r="J416" s="4" t="s">
        <v>2821</v>
      </c>
      <c r="K416" t="s">
        <v>2822</v>
      </c>
      <c r="L416" t="s">
        <v>27</v>
      </c>
      <c r="M416" t="s">
        <v>2823</v>
      </c>
      <c r="N416" t="s">
        <v>28</v>
      </c>
      <c r="O416" t="s">
        <v>68</v>
      </c>
      <c r="P416" t="s">
        <v>51</v>
      </c>
      <c r="Q416" t="s">
        <v>31</v>
      </c>
      <c r="R416">
        <v>11</v>
      </c>
      <c r="S416" t="s">
        <v>2824</v>
      </c>
      <c r="T416" t="s">
        <v>598</v>
      </c>
      <c r="U416" t="s">
        <v>3168</v>
      </c>
      <c r="V416" t="s">
        <v>32</v>
      </c>
      <c r="W416" t="s">
        <v>33</v>
      </c>
      <c r="X416" t="s">
        <v>33</v>
      </c>
      <c r="Y416" t="s">
        <v>33</v>
      </c>
      <c r="Z416" s="16" t="s">
        <v>34</v>
      </c>
      <c r="AA416">
        <v>-75.562841039999995</v>
      </c>
      <c r="AB416">
        <v>6.2561536499999999</v>
      </c>
      <c r="AC416" t="s">
        <v>96</v>
      </c>
      <c r="AD416" t="s">
        <v>97</v>
      </c>
    </row>
    <row r="417" spans="1:30" x14ac:dyDescent="0.25">
      <c r="A417" t="s">
        <v>2825</v>
      </c>
      <c r="B417" t="s">
        <v>25</v>
      </c>
      <c r="C417" t="s">
        <v>26</v>
      </c>
      <c r="D417" t="s">
        <v>38</v>
      </c>
      <c r="E417" t="s">
        <v>2826</v>
      </c>
      <c r="F417" t="s">
        <v>2827</v>
      </c>
      <c r="G417">
        <v>32276326</v>
      </c>
      <c r="H417" t="s">
        <v>2828</v>
      </c>
      <c r="I417" s="4" t="s">
        <v>35</v>
      </c>
      <c r="J417" s="4" t="s">
        <v>2829</v>
      </c>
      <c r="K417" t="s">
        <v>2830</v>
      </c>
      <c r="L417" t="s">
        <v>27</v>
      </c>
      <c r="M417" t="s">
        <v>2831</v>
      </c>
      <c r="N417" t="s">
        <v>28</v>
      </c>
      <c r="O417" t="s">
        <v>39</v>
      </c>
      <c r="P417" t="s">
        <v>40</v>
      </c>
      <c r="Q417" t="s">
        <v>31</v>
      </c>
      <c r="R417">
        <v>5</v>
      </c>
      <c r="S417" t="s">
        <v>2832</v>
      </c>
      <c r="T417" t="s">
        <v>5361</v>
      </c>
      <c r="U417" t="s">
        <v>5362</v>
      </c>
      <c r="V417" t="s">
        <v>32</v>
      </c>
      <c r="W417" t="s">
        <v>33</v>
      </c>
      <c r="X417" t="s">
        <v>33</v>
      </c>
      <c r="Y417" t="s">
        <v>33</v>
      </c>
      <c r="Z417" s="16" t="s">
        <v>34</v>
      </c>
      <c r="AA417">
        <v>-75.550890999999993</v>
      </c>
      <c r="AB417">
        <v>6.2511869999999998</v>
      </c>
      <c r="AC417" t="s">
        <v>96</v>
      </c>
      <c r="AD417" t="s">
        <v>97</v>
      </c>
    </row>
    <row r="418" spans="1:30" x14ac:dyDescent="0.25">
      <c r="A418" t="s">
        <v>2833</v>
      </c>
      <c r="B418" t="s">
        <v>25</v>
      </c>
      <c r="C418" t="s">
        <v>26</v>
      </c>
      <c r="D418" t="s">
        <v>38</v>
      </c>
      <c r="E418" t="s">
        <v>2834</v>
      </c>
      <c r="F418" t="s">
        <v>2835</v>
      </c>
      <c r="G418">
        <v>1152199593</v>
      </c>
      <c r="H418" t="s">
        <v>2836</v>
      </c>
      <c r="I418" s="4" t="s">
        <v>35</v>
      </c>
      <c r="J418" s="4" t="s">
        <v>2837</v>
      </c>
      <c r="K418" t="s">
        <v>2838</v>
      </c>
      <c r="L418" t="s">
        <v>27</v>
      </c>
      <c r="M418" t="s">
        <v>2839</v>
      </c>
      <c r="N418" t="s">
        <v>28</v>
      </c>
      <c r="O418" t="s">
        <v>39</v>
      </c>
      <c r="P418" t="s">
        <v>40</v>
      </c>
      <c r="Q418" t="s">
        <v>31</v>
      </c>
      <c r="R418">
        <v>5</v>
      </c>
      <c r="S418" t="s">
        <v>2840</v>
      </c>
      <c r="T418" t="s">
        <v>3303</v>
      </c>
      <c r="U418" t="s">
        <v>5270</v>
      </c>
      <c r="V418" t="s">
        <v>32</v>
      </c>
      <c r="W418" t="s">
        <v>33</v>
      </c>
      <c r="X418" t="s">
        <v>33</v>
      </c>
      <c r="Y418" t="s">
        <v>33</v>
      </c>
      <c r="Z418" s="16" t="s">
        <v>34</v>
      </c>
      <c r="AA418">
        <v>-75.622983110000007</v>
      </c>
      <c r="AB418">
        <v>6.2453375299999996</v>
      </c>
      <c r="AC418" t="s">
        <v>96</v>
      </c>
      <c r="AD418" t="s">
        <v>97</v>
      </c>
    </row>
    <row r="419" spans="1:30" x14ac:dyDescent="0.25">
      <c r="A419" t="s">
        <v>2841</v>
      </c>
      <c r="B419" t="s">
        <v>25</v>
      </c>
      <c r="C419" t="s">
        <v>26</v>
      </c>
      <c r="D419" t="s">
        <v>38</v>
      </c>
      <c r="E419" t="s">
        <v>2842</v>
      </c>
      <c r="F419" t="s">
        <v>2843</v>
      </c>
      <c r="G419">
        <v>70143147</v>
      </c>
      <c r="H419" t="s">
        <v>2844</v>
      </c>
      <c r="I419" s="4" t="s">
        <v>35</v>
      </c>
      <c r="J419" s="4" t="s">
        <v>2845</v>
      </c>
      <c r="K419" t="s">
        <v>2846</v>
      </c>
      <c r="L419" t="s">
        <v>27</v>
      </c>
      <c r="M419" t="s">
        <v>2847</v>
      </c>
      <c r="N419" t="s">
        <v>28</v>
      </c>
      <c r="O419" t="s">
        <v>39</v>
      </c>
      <c r="P419" t="s">
        <v>40</v>
      </c>
      <c r="Q419" t="s">
        <v>31</v>
      </c>
      <c r="R419">
        <v>5</v>
      </c>
      <c r="S419" t="s">
        <v>2848</v>
      </c>
      <c r="T419" t="s">
        <v>5363</v>
      </c>
      <c r="U419" t="s">
        <v>5364</v>
      </c>
      <c r="V419" t="s">
        <v>32</v>
      </c>
      <c r="W419" t="s">
        <v>33</v>
      </c>
      <c r="X419" t="s">
        <v>33</v>
      </c>
      <c r="Y419" t="s">
        <v>33</v>
      </c>
      <c r="Z419" s="16" t="s">
        <v>34</v>
      </c>
      <c r="AA419">
        <v>-75.630487639999998</v>
      </c>
      <c r="AB419">
        <v>6.25545726</v>
      </c>
      <c r="AC419" t="s">
        <v>96</v>
      </c>
      <c r="AD419" t="s">
        <v>97</v>
      </c>
    </row>
    <row r="420" spans="1:30" x14ac:dyDescent="0.25">
      <c r="A420" t="s">
        <v>3407</v>
      </c>
      <c r="B420" t="s">
        <v>25</v>
      </c>
      <c r="C420" t="s">
        <v>26</v>
      </c>
      <c r="D420" t="s">
        <v>25</v>
      </c>
      <c r="E420" t="s">
        <v>3408</v>
      </c>
      <c r="F420" t="s">
        <v>3409</v>
      </c>
      <c r="G420">
        <v>71674610</v>
      </c>
      <c r="H420" t="s">
        <v>3410</v>
      </c>
      <c r="I420" s="4" t="s">
        <v>35</v>
      </c>
      <c r="J420" s="4" t="s">
        <v>3411</v>
      </c>
      <c r="K420" t="s">
        <v>3412</v>
      </c>
      <c r="L420" t="s">
        <v>27</v>
      </c>
      <c r="M420" t="s">
        <v>3413</v>
      </c>
      <c r="N420" t="s">
        <v>28</v>
      </c>
      <c r="O420" t="s">
        <v>29</v>
      </c>
      <c r="P420" t="s">
        <v>36</v>
      </c>
      <c r="Q420" t="s">
        <v>31</v>
      </c>
      <c r="R420">
        <v>7</v>
      </c>
      <c r="S420" t="s">
        <v>3414</v>
      </c>
      <c r="T420" t="s">
        <v>5365</v>
      </c>
      <c r="U420" t="s">
        <v>5366</v>
      </c>
      <c r="V420" t="s">
        <v>32</v>
      </c>
      <c r="W420" t="s">
        <v>33</v>
      </c>
      <c r="X420" t="s">
        <v>33</v>
      </c>
      <c r="Y420" t="s">
        <v>33</v>
      </c>
      <c r="Z420" s="16" t="s">
        <v>34</v>
      </c>
      <c r="AA420">
        <v>-75.558787330000001</v>
      </c>
      <c r="AB420">
        <v>6.23203935</v>
      </c>
      <c r="AC420" t="s">
        <v>96</v>
      </c>
      <c r="AD420" t="s">
        <v>97</v>
      </c>
    </row>
    <row r="421" spans="1:30" x14ac:dyDescent="0.25">
      <c r="A421" t="s">
        <v>3415</v>
      </c>
      <c r="B421" t="s">
        <v>25</v>
      </c>
      <c r="C421" t="s">
        <v>26</v>
      </c>
      <c r="D421" t="s">
        <v>25</v>
      </c>
      <c r="E421" t="s">
        <v>3416</v>
      </c>
      <c r="F421" t="s">
        <v>3417</v>
      </c>
      <c r="G421">
        <v>4345430</v>
      </c>
      <c r="H421" t="s">
        <v>3418</v>
      </c>
      <c r="I421" s="4" t="s">
        <v>35</v>
      </c>
      <c r="J421" s="4" t="s">
        <v>3419</v>
      </c>
      <c r="K421" t="s">
        <v>3420</v>
      </c>
      <c r="L421" t="s">
        <v>27</v>
      </c>
      <c r="M421" t="s">
        <v>3421</v>
      </c>
      <c r="N421" t="s">
        <v>28</v>
      </c>
      <c r="O421" t="s">
        <v>29</v>
      </c>
      <c r="P421" t="s">
        <v>36</v>
      </c>
      <c r="Q421" t="s">
        <v>37</v>
      </c>
      <c r="R421">
        <v>10</v>
      </c>
      <c r="S421" t="s">
        <v>3422</v>
      </c>
      <c r="T421" t="s">
        <v>5367</v>
      </c>
      <c r="U421" t="s">
        <v>5368</v>
      </c>
      <c r="V421" t="s">
        <v>32</v>
      </c>
      <c r="W421" t="s">
        <v>33</v>
      </c>
      <c r="X421" t="s">
        <v>33</v>
      </c>
      <c r="Y421" t="s">
        <v>33</v>
      </c>
      <c r="Z421" s="16" t="s">
        <v>34</v>
      </c>
      <c r="AA421">
        <v>-75.503305839999996</v>
      </c>
      <c r="AB421">
        <v>6.2161920799999999</v>
      </c>
      <c r="AC421" t="s">
        <v>96</v>
      </c>
      <c r="AD421" t="s">
        <v>97</v>
      </c>
    </row>
    <row r="422" spans="1:30" x14ac:dyDescent="0.25">
      <c r="A422" t="s">
        <v>2849</v>
      </c>
      <c r="B422" t="s">
        <v>25</v>
      </c>
      <c r="C422" t="s">
        <v>26</v>
      </c>
      <c r="D422" t="s">
        <v>38</v>
      </c>
      <c r="E422" t="s">
        <v>2850</v>
      </c>
      <c r="F422" t="s">
        <v>2851</v>
      </c>
      <c r="G422">
        <v>71291917</v>
      </c>
      <c r="H422" t="s">
        <v>2852</v>
      </c>
      <c r="I422" s="4" t="s">
        <v>35</v>
      </c>
      <c r="J422" s="4" t="s">
        <v>2853</v>
      </c>
      <c r="K422" t="s">
        <v>2854</v>
      </c>
      <c r="L422" t="s">
        <v>43</v>
      </c>
      <c r="M422" t="s">
        <v>2855</v>
      </c>
      <c r="N422" t="s">
        <v>44</v>
      </c>
      <c r="O422" t="s">
        <v>39</v>
      </c>
      <c r="P422" t="s">
        <v>40</v>
      </c>
      <c r="Q422" t="s">
        <v>31</v>
      </c>
      <c r="R422">
        <v>5</v>
      </c>
      <c r="S422" t="s">
        <v>2856</v>
      </c>
      <c r="T422" t="s">
        <v>5369</v>
      </c>
      <c r="U422" t="s">
        <v>5370</v>
      </c>
      <c r="V422" t="s">
        <v>32</v>
      </c>
      <c r="W422" t="s">
        <v>33</v>
      </c>
      <c r="X422" t="s">
        <v>33</v>
      </c>
      <c r="Y422" t="s">
        <v>33</v>
      </c>
      <c r="Z422" s="16" t="s">
        <v>34</v>
      </c>
      <c r="AA422">
        <v>-75.615575879999994</v>
      </c>
      <c r="AB422">
        <v>6.1780693500000003</v>
      </c>
      <c r="AC422" t="s">
        <v>96</v>
      </c>
      <c r="AD422" t="s">
        <v>97</v>
      </c>
    </row>
    <row r="423" spans="1:30" x14ac:dyDescent="0.25">
      <c r="A423" t="s">
        <v>2857</v>
      </c>
      <c r="B423" t="s">
        <v>25</v>
      </c>
      <c r="C423" t="s">
        <v>26</v>
      </c>
      <c r="D423" t="s">
        <v>38</v>
      </c>
      <c r="E423" t="s">
        <v>2858</v>
      </c>
      <c r="F423" t="s">
        <v>2859</v>
      </c>
      <c r="G423">
        <v>70143147</v>
      </c>
      <c r="H423" t="s">
        <v>2844</v>
      </c>
      <c r="I423" s="4" t="s">
        <v>35</v>
      </c>
      <c r="J423" s="4" t="s">
        <v>2845</v>
      </c>
      <c r="K423" t="s">
        <v>2860</v>
      </c>
      <c r="L423" t="s">
        <v>27</v>
      </c>
      <c r="M423" t="s">
        <v>2861</v>
      </c>
      <c r="N423" t="s">
        <v>28</v>
      </c>
      <c r="O423" t="s">
        <v>39</v>
      </c>
      <c r="P423" t="s">
        <v>40</v>
      </c>
      <c r="Q423" t="s">
        <v>31</v>
      </c>
      <c r="R423">
        <v>5</v>
      </c>
      <c r="S423" t="s">
        <v>2862</v>
      </c>
      <c r="T423" t="s">
        <v>5371</v>
      </c>
      <c r="U423" t="s">
        <v>5372</v>
      </c>
      <c r="V423" t="s">
        <v>32</v>
      </c>
      <c r="W423" t="s">
        <v>33</v>
      </c>
      <c r="X423" t="s">
        <v>33</v>
      </c>
      <c r="Y423" t="s">
        <v>33</v>
      </c>
      <c r="Z423" s="16" t="s">
        <v>34</v>
      </c>
      <c r="AA423">
        <v>-75.630487639999998</v>
      </c>
      <c r="AB423">
        <v>6.25545726</v>
      </c>
      <c r="AC423" t="s">
        <v>96</v>
      </c>
      <c r="AD423" t="s">
        <v>97</v>
      </c>
    </row>
    <row r="424" spans="1:30" x14ac:dyDescent="0.25">
      <c r="A424" t="s">
        <v>2863</v>
      </c>
      <c r="B424" t="s">
        <v>25</v>
      </c>
      <c r="C424" t="s">
        <v>26</v>
      </c>
      <c r="D424" t="s">
        <v>38</v>
      </c>
      <c r="E424" t="s">
        <v>2864</v>
      </c>
      <c r="F424" t="s">
        <v>2865</v>
      </c>
      <c r="G424">
        <v>1042770681</v>
      </c>
      <c r="H424" t="s">
        <v>2866</v>
      </c>
      <c r="I424" s="4" t="s">
        <v>35</v>
      </c>
      <c r="J424" s="4" t="s">
        <v>2867</v>
      </c>
      <c r="K424" t="s">
        <v>2868</v>
      </c>
      <c r="L424" t="s">
        <v>27</v>
      </c>
      <c r="M424" t="s">
        <v>2869</v>
      </c>
      <c r="N424" t="s">
        <v>28</v>
      </c>
      <c r="O424" t="s">
        <v>39</v>
      </c>
      <c r="P424" t="s">
        <v>40</v>
      </c>
      <c r="Q424" t="s">
        <v>31</v>
      </c>
      <c r="R424">
        <v>5</v>
      </c>
      <c r="S424" t="s">
        <v>2870</v>
      </c>
      <c r="T424" t="s">
        <v>5373</v>
      </c>
      <c r="U424" t="s">
        <v>5374</v>
      </c>
      <c r="V424" t="s">
        <v>32</v>
      </c>
      <c r="W424" t="s">
        <v>33</v>
      </c>
      <c r="X424" t="s">
        <v>33</v>
      </c>
      <c r="Y424" t="s">
        <v>33</v>
      </c>
      <c r="Z424" s="16" t="s">
        <v>34</v>
      </c>
      <c r="AA424">
        <v>-75.600306360000005</v>
      </c>
      <c r="AB424">
        <v>6.2728398800000003</v>
      </c>
      <c r="AC424" t="s">
        <v>96</v>
      </c>
      <c r="AD424" t="s">
        <v>97</v>
      </c>
    </row>
    <row r="425" spans="1:30" x14ac:dyDescent="0.25">
      <c r="A425" t="s">
        <v>2871</v>
      </c>
      <c r="B425" t="s">
        <v>25</v>
      </c>
      <c r="C425" t="s">
        <v>26</v>
      </c>
      <c r="D425" t="s">
        <v>38</v>
      </c>
      <c r="E425" t="s">
        <v>2872</v>
      </c>
      <c r="F425" t="s">
        <v>2873</v>
      </c>
      <c r="G425">
        <v>71291917</v>
      </c>
      <c r="H425" t="s">
        <v>2852</v>
      </c>
      <c r="I425" s="4" t="s">
        <v>35</v>
      </c>
      <c r="J425" s="4" t="s">
        <v>2853</v>
      </c>
      <c r="K425" t="s">
        <v>2874</v>
      </c>
      <c r="L425" t="s">
        <v>43</v>
      </c>
      <c r="M425" t="s">
        <v>2875</v>
      </c>
      <c r="N425" t="s">
        <v>44</v>
      </c>
      <c r="O425" t="s">
        <v>39</v>
      </c>
      <c r="P425" t="s">
        <v>40</v>
      </c>
      <c r="Q425" t="s">
        <v>31</v>
      </c>
      <c r="R425">
        <v>5</v>
      </c>
      <c r="S425" t="s">
        <v>2876</v>
      </c>
      <c r="T425" t="s">
        <v>5375</v>
      </c>
      <c r="U425" t="s">
        <v>5376</v>
      </c>
      <c r="V425" t="s">
        <v>32</v>
      </c>
      <c r="W425" t="s">
        <v>33</v>
      </c>
      <c r="X425" t="s">
        <v>33</v>
      </c>
      <c r="Y425" t="s">
        <v>33</v>
      </c>
      <c r="Z425" s="16" t="s">
        <v>34</v>
      </c>
      <c r="AA425">
        <v>-75.615575879999994</v>
      </c>
      <c r="AB425">
        <v>6.1780693500000003</v>
      </c>
      <c r="AC425" t="s">
        <v>96</v>
      </c>
      <c r="AD425" t="s">
        <v>97</v>
      </c>
    </row>
    <row r="426" spans="1:30" x14ac:dyDescent="0.25">
      <c r="A426" t="s">
        <v>2877</v>
      </c>
      <c r="B426" t="s">
        <v>25</v>
      </c>
      <c r="C426" t="s">
        <v>26</v>
      </c>
      <c r="D426" t="s">
        <v>38</v>
      </c>
      <c r="E426" t="s">
        <v>2878</v>
      </c>
      <c r="F426" t="s">
        <v>2879</v>
      </c>
      <c r="G426">
        <v>43192349</v>
      </c>
      <c r="H426" t="s">
        <v>2880</v>
      </c>
      <c r="I426" s="4" t="s">
        <v>2881</v>
      </c>
      <c r="J426" s="4" t="s">
        <v>2882</v>
      </c>
      <c r="K426" t="s">
        <v>2883</v>
      </c>
      <c r="L426" t="s">
        <v>43</v>
      </c>
      <c r="M426" t="s">
        <v>2884</v>
      </c>
      <c r="N426" t="s">
        <v>44</v>
      </c>
      <c r="O426" t="s">
        <v>39</v>
      </c>
      <c r="P426" t="s">
        <v>40</v>
      </c>
      <c r="Q426" t="s">
        <v>31</v>
      </c>
      <c r="R426">
        <v>5</v>
      </c>
      <c r="S426" t="s">
        <v>2885</v>
      </c>
      <c r="T426" t="s">
        <v>3173</v>
      </c>
      <c r="U426" t="s">
        <v>5095</v>
      </c>
      <c r="V426" t="s">
        <v>32</v>
      </c>
      <c r="W426" t="s">
        <v>33</v>
      </c>
      <c r="X426" t="s">
        <v>33</v>
      </c>
      <c r="Y426" t="s">
        <v>33</v>
      </c>
      <c r="Z426" s="16" t="s">
        <v>34</v>
      </c>
      <c r="AA426">
        <v>-75.615575879999994</v>
      </c>
      <c r="AB426">
        <v>6.1780693500000003</v>
      </c>
      <c r="AC426" t="s">
        <v>96</v>
      </c>
      <c r="AD426" t="s">
        <v>97</v>
      </c>
    </row>
    <row r="427" spans="1:30" x14ac:dyDescent="0.25">
      <c r="A427" t="s">
        <v>2886</v>
      </c>
      <c r="B427" t="s">
        <v>59</v>
      </c>
      <c r="C427" t="s">
        <v>26</v>
      </c>
      <c r="D427" t="s">
        <v>59</v>
      </c>
      <c r="E427" t="s">
        <v>2887</v>
      </c>
      <c r="F427" t="s">
        <v>2888</v>
      </c>
      <c r="G427">
        <v>98707797</v>
      </c>
      <c r="H427" t="s">
        <v>1240</v>
      </c>
      <c r="I427" s="4" t="s">
        <v>35</v>
      </c>
      <c r="J427" s="4" t="s">
        <v>2889</v>
      </c>
      <c r="K427" t="s">
        <v>2890</v>
      </c>
      <c r="L427" t="s">
        <v>27</v>
      </c>
      <c r="M427" t="s">
        <v>2891</v>
      </c>
      <c r="N427" t="s">
        <v>28</v>
      </c>
      <c r="O427" t="s">
        <v>60</v>
      </c>
      <c r="P427" t="s">
        <v>61</v>
      </c>
      <c r="Q427" t="s">
        <v>31</v>
      </c>
      <c r="R427">
        <v>4</v>
      </c>
      <c r="S427" t="s">
        <v>2892</v>
      </c>
      <c r="T427" t="s">
        <v>1137</v>
      </c>
      <c r="U427" t="s">
        <v>1137</v>
      </c>
      <c r="V427" t="s">
        <v>48</v>
      </c>
      <c r="W427" t="s">
        <v>33</v>
      </c>
      <c r="X427" t="s">
        <v>33</v>
      </c>
      <c r="Y427" t="s">
        <v>33</v>
      </c>
      <c r="Z427" s="16" t="s">
        <v>34</v>
      </c>
      <c r="AA427">
        <v>-75.589244390000005</v>
      </c>
      <c r="AB427">
        <v>6.2669338799999998</v>
      </c>
      <c r="AC427" t="s">
        <v>96</v>
      </c>
      <c r="AD427" t="s">
        <v>97</v>
      </c>
    </row>
    <row r="428" spans="1:30" x14ac:dyDescent="0.25">
      <c r="A428" t="s">
        <v>2893</v>
      </c>
      <c r="B428" t="s">
        <v>25</v>
      </c>
      <c r="C428" t="s">
        <v>26</v>
      </c>
      <c r="D428" t="s">
        <v>38</v>
      </c>
      <c r="E428" t="s">
        <v>2894</v>
      </c>
      <c r="F428" t="s">
        <v>2895</v>
      </c>
      <c r="G428">
        <v>1038768844</v>
      </c>
      <c r="H428" t="s">
        <v>2896</v>
      </c>
      <c r="I428" s="4" t="s">
        <v>35</v>
      </c>
      <c r="J428" s="4" t="s">
        <v>2897</v>
      </c>
      <c r="K428" t="s">
        <v>2898</v>
      </c>
      <c r="L428" t="s">
        <v>43</v>
      </c>
      <c r="M428" t="s">
        <v>2899</v>
      </c>
      <c r="N428" t="s">
        <v>44</v>
      </c>
      <c r="O428" t="s">
        <v>39</v>
      </c>
      <c r="P428" t="s">
        <v>40</v>
      </c>
      <c r="Q428" t="s">
        <v>31</v>
      </c>
      <c r="R428">
        <v>5</v>
      </c>
      <c r="S428" t="s">
        <v>2900</v>
      </c>
      <c r="T428" t="s">
        <v>1137</v>
      </c>
      <c r="U428" t="s">
        <v>587</v>
      </c>
      <c r="V428" t="s">
        <v>32</v>
      </c>
      <c r="W428" t="s">
        <v>33</v>
      </c>
      <c r="X428" t="s">
        <v>33</v>
      </c>
      <c r="Y428" t="s">
        <v>33</v>
      </c>
      <c r="Z428" s="16" t="s">
        <v>34</v>
      </c>
      <c r="AA428">
        <v>-75.615620010000001</v>
      </c>
      <c r="AB428">
        <v>6.1784100100000003</v>
      </c>
      <c r="AC428" t="s">
        <v>96</v>
      </c>
      <c r="AD428" t="s">
        <v>97</v>
      </c>
    </row>
    <row r="429" spans="1:30" x14ac:dyDescent="0.25">
      <c r="A429" t="s">
        <v>2901</v>
      </c>
      <c r="B429" t="s">
        <v>25</v>
      </c>
      <c r="C429" t="s">
        <v>26</v>
      </c>
      <c r="D429" t="s">
        <v>38</v>
      </c>
      <c r="E429" t="s">
        <v>2902</v>
      </c>
      <c r="F429" t="s">
        <v>2903</v>
      </c>
      <c r="G429">
        <v>70143147</v>
      </c>
      <c r="H429" t="s">
        <v>2844</v>
      </c>
      <c r="I429" s="4" t="s">
        <v>35</v>
      </c>
      <c r="J429" s="4" t="s">
        <v>2845</v>
      </c>
      <c r="K429" t="s">
        <v>2904</v>
      </c>
      <c r="L429" t="s">
        <v>27</v>
      </c>
      <c r="M429" t="s">
        <v>2905</v>
      </c>
      <c r="N429" t="s">
        <v>28</v>
      </c>
      <c r="O429" t="s">
        <v>39</v>
      </c>
      <c r="P429" t="s">
        <v>40</v>
      </c>
      <c r="Q429" t="s">
        <v>31</v>
      </c>
      <c r="R429">
        <v>5</v>
      </c>
      <c r="S429" t="s">
        <v>2906</v>
      </c>
      <c r="T429" t="s">
        <v>1645</v>
      </c>
      <c r="U429" t="s">
        <v>1646</v>
      </c>
      <c r="V429" t="s">
        <v>32</v>
      </c>
      <c r="W429" t="s">
        <v>33</v>
      </c>
      <c r="X429" t="s">
        <v>33</v>
      </c>
      <c r="Y429" t="s">
        <v>33</v>
      </c>
      <c r="Z429" s="16" t="s">
        <v>34</v>
      </c>
      <c r="AA429">
        <v>-75.630487639999998</v>
      </c>
      <c r="AB429">
        <v>6.25545726</v>
      </c>
      <c r="AC429" t="s">
        <v>96</v>
      </c>
      <c r="AD429" t="s">
        <v>97</v>
      </c>
    </row>
    <row r="430" spans="1:30" x14ac:dyDescent="0.25">
      <c r="A430" t="s">
        <v>2907</v>
      </c>
      <c r="B430" t="s">
        <v>49</v>
      </c>
      <c r="C430" t="s">
        <v>67</v>
      </c>
      <c r="D430" t="s">
        <v>49</v>
      </c>
      <c r="E430" t="s">
        <v>2908</v>
      </c>
      <c r="F430" t="s">
        <v>2909</v>
      </c>
      <c r="G430">
        <v>1037602208</v>
      </c>
      <c r="H430" t="s">
        <v>2910</v>
      </c>
      <c r="I430" s="4" t="s">
        <v>35</v>
      </c>
      <c r="J430" s="4" t="s">
        <v>2911</v>
      </c>
      <c r="K430" t="s">
        <v>2912</v>
      </c>
      <c r="L430" t="s">
        <v>27</v>
      </c>
      <c r="M430" t="s">
        <v>2913</v>
      </c>
      <c r="N430" t="s">
        <v>28</v>
      </c>
      <c r="O430" t="s">
        <v>68</v>
      </c>
      <c r="P430" t="s">
        <v>51</v>
      </c>
      <c r="Q430" t="s">
        <v>31</v>
      </c>
      <c r="R430">
        <v>11</v>
      </c>
      <c r="S430" t="s">
        <v>2914</v>
      </c>
      <c r="T430" t="s">
        <v>5377</v>
      </c>
      <c r="U430" t="s">
        <v>5378</v>
      </c>
      <c r="V430" t="s">
        <v>32</v>
      </c>
      <c r="W430" t="s">
        <v>33</v>
      </c>
      <c r="X430" t="s">
        <v>33</v>
      </c>
      <c r="Y430" t="s">
        <v>33</v>
      </c>
      <c r="Z430" s="16" t="s">
        <v>34</v>
      </c>
      <c r="AA430">
        <v>-75.563882269999993</v>
      </c>
      <c r="AB430">
        <v>6.2596796000000001</v>
      </c>
      <c r="AC430" t="s">
        <v>96</v>
      </c>
      <c r="AD430" t="s">
        <v>97</v>
      </c>
    </row>
    <row r="431" spans="1:30" x14ac:dyDescent="0.25">
      <c r="A431" t="s">
        <v>3428</v>
      </c>
      <c r="B431" t="s">
        <v>25</v>
      </c>
      <c r="C431" t="s">
        <v>26</v>
      </c>
      <c r="D431" t="s">
        <v>25</v>
      </c>
      <c r="E431" t="s">
        <v>3429</v>
      </c>
      <c r="F431" t="s">
        <v>3430</v>
      </c>
      <c r="G431">
        <v>42870318</v>
      </c>
      <c r="H431" t="s">
        <v>1786</v>
      </c>
      <c r="I431" s="4" t="s">
        <v>1787</v>
      </c>
      <c r="J431" s="4" t="s">
        <v>3431</v>
      </c>
      <c r="K431" t="s">
        <v>3432</v>
      </c>
      <c r="L431" t="s">
        <v>27</v>
      </c>
      <c r="M431" t="s">
        <v>3433</v>
      </c>
      <c r="N431" t="s">
        <v>28</v>
      </c>
      <c r="O431" t="s">
        <v>29</v>
      </c>
      <c r="P431" t="s">
        <v>36</v>
      </c>
      <c r="Q431" t="s">
        <v>31</v>
      </c>
      <c r="R431">
        <v>7</v>
      </c>
      <c r="S431" t="s">
        <v>3434</v>
      </c>
      <c r="T431" t="s">
        <v>5379</v>
      </c>
      <c r="U431" t="s">
        <v>5380</v>
      </c>
      <c r="V431" t="s">
        <v>32</v>
      </c>
      <c r="W431" t="s">
        <v>33</v>
      </c>
      <c r="X431" t="s">
        <v>33</v>
      </c>
      <c r="Y431" t="s">
        <v>33</v>
      </c>
      <c r="Z431" s="16" t="s">
        <v>34</v>
      </c>
      <c r="AA431">
        <v>-75.595949000000005</v>
      </c>
      <c r="AB431">
        <v>6.201816</v>
      </c>
      <c r="AC431" t="s">
        <v>96</v>
      </c>
      <c r="AD431" t="s">
        <v>97</v>
      </c>
    </row>
    <row r="432" spans="1:30" x14ac:dyDescent="0.25">
      <c r="A432" t="s">
        <v>2915</v>
      </c>
      <c r="B432" t="s">
        <v>49</v>
      </c>
      <c r="C432" t="s">
        <v>67</v>
      </c>
      <c r="D432" t="s">
        <v>49</v>
      </c>
      <c r="E432" t="s">
        <v>2916</v>
      </c>
      <c r="F432" t="s">
        <v>2917</v>
      </c>
      <c r="G432">
        <v>15432150</v>
      </c>
      <c r="H432" t="s">
        <v>2918</v>
      </c>
      <c r="I432" s="4" t="s">
        <v>35</v>
      </c>
      <c r="J432" s="4" t="s">
        <v>2919</v>
      </c>
      <c r="K432" t="s">
        <v>2920</v>
      </c>
      <c r="L432" t="s">
        <v>27</v>
      </c>
      <c r="M432" t="s">
        <v>2921</v>
      </c>
      <c r="N432" t="s">
        <v>28</v>
      </c>
      <c r="O432" t="s">
        <v>68</v>
      </c>
      <c r="P432" t="s">
        <v>51</v>
      </c>
      <c r="Q432" t="s">
        <v>37</v>
      </c>
      <c r="R432">
        <v>11</v>
      </c>
      <c r="S432" t="s">
        <v>2922</v>
      </c>
      <c r="T432" t="s">
        <v>5379</v>
      </c>
      <c r="U432" t="s">
        <v>5381</v>
      </c>
      <c r="V432" t="s">
        <v>32</v>
      </c>
      <c r="W432" t="s">
        <v>33</v>
      </c>
      <c r="X432" t="s">
        <v>33</v>
      </c>
      <c r="Y432" t="s">
        <v>33</v>
      </c>
      <c r="Z432" s="16" t="s">
        <v>34</v>
      </c>
      <c r="AA432">
        <v>-75.521034470000004</v>
      </c>
      <c r="AB432">
        <v>6.2325751199999999</v>
      </c>
      <c r="AC432" t="s">
        <v>96</v>
      </c>
      <c r="AD432" t="s">
        <v>97</v>
      </c>
    </row>
    <row r="433" spans="1:30" x14ac:dyDescent="0.25">
      <c r="A433" t="s">
        <v>2923</v>
      </c>
      <c r="B433" t="s">
        <v>25</v>
      </c>
      <c r="C433" t="s">
        <v>26</v>
      </c>
      <c r="D433" t="s">
        <v>38</v>
      </c>
      <c r="E433" t="s">
        <v>2924</v>
      </c>
      <c r="F433" t="s">
        <v>2925</v>
      </c>
      <c r="G433">
        <v>71652554</v>
      </c>
      <c r="H433" t="s">
        <v>2479</v>
      </c>
      <c r="I433" s="4" t="s">
        <v>35</v>
      </c>
      <c r="J433" s="4" t="s">
        <v>2480</v>
      </c>
      <c r="K433" t="s">
        <v>2926</v>
      </c>
      <c r="L433" t="s">
        <v>27</v>
      </c>
      <c r="M433" t="s">
        <v>2927</v>
      </c>
      <c r="N433" t="s">
        <v>28</v>
      </c>
      <c r="O433" t="s">
        <v>39</v>
      </c>
      <c r="P433" t="s">
        <v>40</v>
      </c>
      <c r="Q433" t="s">
        <v>31</v>
      </c>
      <c r="R433">
        <v>5</v>
      </c>
      <c r="S433" t="s">
        <v>2928</v>
      </c>
      <c r="T433" t="s">
        <v>3314</v>
      </c>
      <c r="U433" t="s">
        <v>3315</v>
      </c>
      <c r="V433" t="s">
        <v>32</v>
      </c>
      <c r="W433" t="s">
        <v>33</v>
      </c>
      <c r="X433" t="s">
        <v>33</v>
      </c>
      <c r="Y433" t="s">
        <v>33</v>
      </c>
      <c r="Z433" s="16" t="s">
        <v>34</v>
      </c>
      <c r="AA433">
        <v>-75.586228899999995</v>
      </c>
      <c r="AB433">
        <v>6.2236543700000002</v>
      </c>
      <c r="AC433" t="s">
        <v>96</v>
      </c>
      <c r="AD433" t="s">
        <v>97</v>
      </c>
    </row>
    <row r="434" spans="1:30" x14ac:dyDescent="0.25">
      <c r="A434" t="s">
        <v>2929</v>
      </c>
      <c r="B434" t="s">
        <v>25</v>
      </c>
      <c r="C434" t="s">
        <v>26</v>
      </c>
      <c r="D434" t="s">
        <v>38</v>
      </c>
      <c r="E434" t="s">
        <v>2930</v>
      </c>
      <c r="F434" t="s">
        <v>2931</v>
      </c>
      <c r="G434">
        <v>70143147</v>
      </c>
      <c r="H434" t="s">
        <v>2844</v>
      </c>
      <c r="I434" s="4" t="s">
        <v>35</v>
      </c>
      <c r="J434" s="4" t="s">
        <v>2845</v>
      </c>
      <c r="K434" t="s">
        <v>2932</v>
      </c>
      <c r="L434" t="s">
        <v>27</v>
      </c>
      <c r="M434" t="s">
        <v>2933</v>
      </c>
      <c r="N434" t="s">
        <v>28</v>
      </c>
      <c r="O434" t="s">
        <v>39</v>
      </c>
      <c r="P434" t="s">
        <v>40</v>
      </c>
      <c r="Q434" t="s">
        <v>31</v>
      </c>
      <c r="R434">
        <v>5</v>
      </c>
      <c r="S434" t="s">
        <v>2934</v>
      </c>
      <c r="T434" t="s">
        <v>3318</v>
      </c>
      <c r="U434" t="s">
        <v>5275</v>
      </c>
      <c r="V434" t="s">
        <v>32</v>
      </c>
      <c r="W434" t="s">
        <v>33</v>
      </c>
      <c r="X434" t="s">
        <v>33</v>
      </c>
      <c r="Y434" t="s">
        <v>33</v>
      </c>
      <c r="Z434" s="16" t="s">
        <v>34</v>
      </c>
      <c r="AA434">
        <v>-75.630487639999998</v>
      </c>
      <c r="AB434">
        <v>6.25545726</v>
      </c>
      <c r="AC434" t="s">
        <v>96</v>
      </c>
      <c r="AD434" t="s">
        <v>97</v>
      </c>
    </row>
    <row r="435" spans="1:30" x14ac:dyDescent="0.25">
      <c r="A435" t="s">
        <v>3436</v>
      </c>
      <c r="B435" t="s">
        <v>25</v>
      </c>
      <c r="C435" t="s">
        <v>26</v>
      </c>
      <c r="D435" t="s">
        <v>25</v>
      </c>
      <c r="E435" t="s">
        <v>3437</v>
      </c>
      <c r="F435" t="s">
        <v>3438</v>
      </c>
      <c r="G435">
        <v>1128461046</v>
      </c>
      <c r="H435" t="s">
        <v>3439</v>
      </c>
      <c r="I435" s="4" t="s">
        <v>35</v>
      </c>
      <c r="J435" s="4" t="s">
        <v>2234</v>
      </c>
      <c r="K435" t="s">
        <v>3440</v>
      </c>
      <c r="L435" t="s">
        <v>27</v>
      </c>
      <c r="M435" t="s">
        <v>3441</v>
      </c>
      <c r="N435" t="s">
        <v>28</v>
      </c>
      <c r="O435" t="s">
        <v>29</v>
      </c>
      <c r="P435" t="s">
        <v>30</v>
      </c>
      <c r="Q435" t="s">
        <v>31</v>
      </c>
      <c r="R435">
        <v>7</v>
      </c>
      <c r="S435" t="s">
        <v>3442</v>
      </c>
      <c r="T435" t="s">
        <v>5382</v>
      </c>
      <c r="U435" t="s">
        <v>5383</v>
      </c>
      <c r="V435" t="s">
        <v>32</v>
      </c>
      <c r="W435" t="s">
        <v>33</v>
      </c>
      <c r="X435" t="s">
        <v>33</v>
      </c>
      <c r="Y435" t="s">
        <v>33</v>
      </c>
      <c r="Z435" s="16" t="s">
        <v>34</v>
      </c>
      <c r="AA435">
        <v>-75.659795380000006</v>
      </c>
      <c r="AB435">
        <v>6.1874647700000001</v>
      </c>
      <c r="AC435" t="s">
        <v>96</v>
      </c>
      <c r="AD435" t="s">
        <v>97</v>
      </c>
    </row>
    <row r="436" spans="1:30" x14ac:dyDescent="0.25">
      <c r="A436" t="s">
        <v>2935</v>
      </c>
      <c r="B436" t="s">
        <v>25</v>
      </c>
      <c r="C436" t="s">
        <v>26</v>
      </c>
      <c r="D436" t="s">
        <v>38</v>
      </c>
      <c r="E436" t="s">
        <v>2936</v>
      </c>
      <c r="F436" t="s">
        <v>2937</v>
      </c>
      <c r="G436">
        <v>31858406</v>
      </c>
      <c r="H436" t="s">
        <v>2938</v>
      </c>
      <c r="I436" s="4" t="s">
        <v>35</v>
      </c>
      <c r="J436" s="4" t="s">
        <v>2939</v>
      </c>
      <c r="K436" t="s">
        <v>2940</v>
      </c>
      <c r="L436" t="s">
        <v>27</v>
      </c>
      <c r="M436" t="s">
        <v>2941</v>
      </c>
      <c r="N436" t="s">
        <v>28</v>
      </c>
      <c r="O436" t="s">
        <v>39</v>
      </c>
      <c r="P436" t="s">
        <v>40</v>
      </c>
      <c r="Q436" t="s">
        <v>31</v>
      </c>
      <c r="R436">
        <v>5</v>
      </c>
      <c r="S436" t="s">
        <v>2942</v>
      </c>
      <c r="T436" t="s">
        <v>5384</v>
      </c>
      <c r="U436" t="s">
        <v>5385</v>
      </c>
      <c r="V436" t="s">
        <v>32</v>
      </c>
      <c r="W436" t="s">
        <v>33</v>
      </c>
      <c r="X436" t="s">
        <v>33</v>
      </c>
      <c r="Y436" t="s">
        <v>33</v>
      </c>
      <c r="Z436" s="16" t="s">
        <v>34</v>
      </c>
      <c r="AA436">
        <v>-75.533365559999993</v>
      </c>
      <c r="AB436">
        <v>6.2352789399999997</v>
      </c>
      <c r="AC436" t="s">
        <v>96</v>
      </c>
      <c r="AD436" t="s">
        <v>97</v>
      </c>
    </row>
    <row r="437" spans="1:30" x14ac:dyDescent="0.25">
      <c r="A437" t="s">
        <v>3443</v>
      </c>
      <c r="B437" t="s">
        <v>25</v>
      </c>
      <c r="C437" t="s">
        <v>26</v>
      </c>
      <c r="D437" t="s">
        <v>25</v>
      </c>
      <c r="E437" t="s">
        <v>3444</v>
      </c>
      <c r="F437" t="s">
        <v>3445</v>
      </c>
      <c r="G437">
        <v>1128461046</v>
      </c>
      <c r="H437" t="s">
        <v>3439</v>
      </c>
      <c r="I437" s="4" t="s">
        <v>35</v>
      </c>
      <c r="J437" s="4" t="s">
        <v>2234</v>
      </c>
      <c r="K437" t="s">
        <v>3446</v>
      </c>
      <c r="L437" t="s">
        <v>27</v>
      </c>
      <c r="M437" t="s">
        <v>3447</v>
      </c>
      <c r="N437" t="s">
        <v>28</v>
      </c>
      <c r="O437" t="s">
        <v>29</v>
      </c>
      <c r="P437" t="s">
        <v>30</v>
      </c>
      <c r="Q437" t="s">
        <v>31</v>
      </c>
      <c r="R437">
        <v>7</v>
      </c>
      <c r="S437" t="s">
        <v>3448</v>
      </c>
      <c r="T437" t="s">
        <v>5386</v>
      </c>
      <c r="U437" t="s">
        <v>5387</v>
      </c>
      <c r="V437" t="s">
        <v>32</v>
      </c>
      <c r="W437" t="s">
        <v>33</v>
      </c>
      <c r="X437" t="s">
        <v>33</v>
      </c>
      <c r="Y437" t="s">
        <v>33</v>
      </c>
      <c r="Z437" s="16" t="s">
        <v>34</v>
      </c>
      <c r="AA437">
        <v>-75.659795380000006</v>
      </c>
      <c r="AB437">
        <v>6.1874647700000001</v>
      </c>
      <c r="AC437" t="s">
        <v>96</v>
      </c>
      <c r="AD437" t="s">
        <v>97</v>
      </c>
    </row>
    <row r="438" spans="1:30" x14ac:dyDescent="0.25">
      <c r="A438" t="s">
        <v>2943</v>
      </c>
      <c r="B438" t="s">
        <v>25</v>
      </c>
      <c r="C438" t="s">
        <v>26</v>
      </c>
      <c r="D438" t="s">
        <v>38</v>
      </c>
      <c r="E438" t="s">
        <v>2944</v>
      </c>
      <c r="F438" t="s">
        <v>2945</v>
      </c>
      <c r="G438">
        <v>70600622</v>
      </c>
      <c r="H438" t="s">
        <v>2946</v>
      </c>
      <c r="I438" s="4" t="s">
        <v>35</v>
      </c>
      <c r="J438" s="4" t="s">
        <v>2947</v>
      </c>
      <c r="K438" t="s">
        <v>2948</v>
      </c>
      <c r="L438" t="s">
        <v>27</v>
      </c>
      <c r="M438" t="s">
        <v>2949</v>
      </c>
      <c r="N438" t="s">
        <v>28</v>
      </c>
      <c r="O438" t="s">
        <v>39</v>
      </c>
      <c r="P438" t="s">
        <v>40</v>
      </c>
      <c r="Q438" t="s">
        <v>31</v>
      </c>
      <c r="R438">
        <v>5</v>
      </c>
      <c r="S438" t="s">
        <v>2950</v>
      </c>
      <c r="T438" t="s">
        <v>5080</v>
      </c>
      <c r="U438" t="s">
        <v>5081</v>
      </c>
      <c r="V438" t="s">
        <v>32</v>
      </c>
      <c r="W438" t="s">
        <v>33</v>
      </c>
      <c r="X438" t="s">
        <v>33</v>
      </c>
      <c r="Y438" t="s">
        <v>33</v>
      </c>
      <c r="Z438" s="16" t="s">
        <v>34</v>
      </c>
      <c r="AA438">
        <v>-75.621615579999997</v>
      </c>
      <c r="AB438">
        <v>6.2598510300000001</v>
      </c>
      <c r="AC438" t="s">
        <v>96</v>
      </c>
      <c r="AD438" t="s">
        <v>97</v>
      </c>
    </row>
    <row r="439" spans="1:30" x14ac:dyDescent="0.25">
      <c r="A439" t="s">
        <v>2951</v>
      </c>
      <c r="B439" t="s">
        <v>25</v>
      </c>
      <c r="C439" t="s">
        <v>26</v>
      </c>
      <c r="D439" t="s">
        <v>38</v>
      </c>
      <c r="E439" t="s">
        <v>2952</v>
      </c>
      <c r="F439" t="s">
        <v>2953</v>
      </c>
      <c r="G439">
        <v>71652554</v>
      </c>
      <c r="H439" t="s">
        <v>2479</v>
      </c>
      <c r="I439" s="4" t="s">
        <v>35</v>
      </c>
      <c r="J439" s="4" t="s">
        <v>2480</v>
      </c>
      <c r="K439" t="s">
        <v>2954</v>
      </c>
      <c r="L439" t="s">
        <v>27</v>
      </c>
      <c r="M439" t="s">
        <v>2955</v>
      </c>
      <c r="N439" t="s">
        <v>28</v>
      </c>
      <c r="O439" t="s">
        <v>39</v>
      </c>
      <c r="P439" t="s">
        <v>40</v>
      </c>
      <c r="Q439" t="s">
        <v>31</v>
      </c>
      <c r="R439">
        <v>5</v>
      </c>
      <c r="S439" t="s">
        <v>2956</v>
      </c>
      <c r="T439" t="s">
        <v>5388</v>
      </c>
      <c r="U439" t="s">
        <v>5389</v>
      </c>
      <c r="V439" t="s">
        <v>32</v>
      </c>
      <c r="W439" t="s">
        <v>33</v>
      </c>
      <c r="X439" t="s">
        <v>33</v>
      </c>
      <c r="Y439" t="s">
        <v>33</v>
      </c>
      <c r="Z439" s="16" t="s">
        <v>34</v>
      </c>
      <c r="AA439">
        <v>-75.586228899999995</v>
      </c>
      <c r="AB439">
        <v>6.2236543700000002</v>
      </c>
      <c r="AC439" t="s">
        <v>96</v>
      </c>
      <c r="AD439" t="s">
        <v>97</v>
      </c>
    </row>
    <row r="440" spans="1:30" x14ac:dyDescent="0.25">
      <c r="A440" t="s">
        <v>3449</v>
      </c>
      <c r="B440" t="s">
        <v>25</v>
      </c>
      <c r="C440" t="s">
        <v>26</v>
      </c>
      <c r="D440" t="s">
        <v>25</v>
      </c>
      <c r="E440" t="s">
        <v>3450</v>
      </c>
      <c r="F440" t="s">
        <v>3451</v>
      </c>
      <c r="G440">
        <v>1152437950</v>
      </c>
      <c r="H440" t="s">
        <v>3452</v>
      </c>
      <c r="I440" s="4" t="s">
        <v>35</v>
      </c>
      <c r="J440" s="4" t="s">
        <v>3453</v>
      </c>
      <c r="K440" t="s">
        <v>3454</v>
      </c>
      <c r="L440" t="s">
        <v>27</v>
      </c>
      <c r="M440" t="s">
        <v>3455</v>
      </c>
      <c r="N440" t="s">
        <v>28</v>
      </c>
      <c r="O440" t="s">
        <v>29</v>
      </c>
      <c r="P440" t="s">
        <v>30</v>
      </c>
      <c r="Q440" t="s">
        <v>31</v>
      </c>
      <c r="R440">
        <v>7</v>
      </c>
      <c r="S440" t="s">
        <v>3456</v>
      </c>
      <c r="T440" t="s">
        <v>5390</v>
      </c>
      <c r="U440" t="s">
        <v>5391</v>
      </c>
      <c r="V440" t="s">
        <v>32</v>
      </c>
      <c r="W440" t="s">
        <v>33</v>
      </c>
      <c r="X440" t="s">
        <v>33</v>
      </c>
      <c r="Y440" t="s">
        <v>33</v>
      </c>
      <c r="Z440" s="16" t="s">
        <v>34</v>
      </c>
      <c r="AA440">
        <v>-75.589552389999994</v>
      </c>
      <c r="AB440">
        <v>6.2090949999999996</v>
      </c>
      <c r="AC440" t="s">
        <v>96</v>
      </c>
      <c r="AD440" t="s">
        <v>97</v>
      </c>
    </row>
    <row r="441" spans="1:30" x14ac:dyDescent="0.25">
      <c r="A441" t="s">
        <v>3562</v>
      </c>
      <c r="B441" t="s">
        <v>63</v>
      </c>
      <c r="C441" t="s">
        <v>26</v>
      </c>
      <c r="D441" t="s">
        <v>64</v>
      </c>
      <c r="E441" t="s">
        <v>3563</v>
      </c>
      <c r="F441" t="s">
        <v>3564</v>
      </c>
      <c r="G441">
        <v>1036636154</v>
      </c>
      <c r="H441" t="s">
        <v>3565</v>
      </c>
      <c r="I441" s="4" t="s">
        <v>35</v>
      </c>
      <c r="J441" s="4" t="s">
        <v>3566</v>
      </c>
      <c r="K441" t="s">
        <v>3567</v>
      </c>
      <c r="L441" t="s">
        <v>55</v>
      </c>
      <c r="M441" t="s">
        <v>3568</v>
      </c>
      <c r="N441" t="s">
        <v>56</v>
      </c>
      <c r="O441" t="s">
        <v>65</v>
      </c>
      <c r="P441" t="s">
        <v>69</v>
      </c>
      <c r="Q441" t="s">
        <v>37</v>
      </c>
      <c r="R441">
        <v>14</v>
      </c>
      <c r="S441" t="s">
        <v>3569</v>
      </c>
      <c r="T441" t="s">
        <v>5392</v>
      </c>
      <c r="U441" t="s">
        <v>5393</v>
      </c>
      <c r="V441" t="s">
        <v>32</v>
      </c>
      <c r="W441" t="s">
        <v>33</v>
      </c>
      <c r="X441" t="s">
        <v>33</v>
      </c>
      <c r="Y441" t="s">
        <v>33</v>
      </c>
      <c r="Z441" s="16" t="s">
        <v>34</v>
      </c>
      <c r="AA441">
        <v>-75.625712309999997</v>
      </c>
      <c r="AB441">
        <v>6.0528439199999999</v>
      </c>
      <c r="AC441" t="s">
        <v>96</v>
      </c>
      <c r="AD441" t="s">
        <v>97</v>
      </c>
    </row>
    <row r="442" spans="1:30" x14ac:dyDescent="0.25">
      <c r="A442" t="s">
        <v>3570</v>
      </c>
      <c r="B442" t="s">
        <v>63</v>
      </c>
      <c r="C442" t="s">
        <v>26</v>
      </c>
      <c r="D442" t="s">
        <v>64</v>
      </c>
      <c r="E442" t="s">
        <v>3571</v>
      </c>
      <c r="F442" t="s">
        <v>3572</v>
      </c>
      <c r="G442">
        <v>43559017</v>
      </c>
      <c r="H442" t="s">
        <v>3573</v>
      </c>
      <c r="I442" s="4" t="s">
        <v>35</v>
      </c>
      <c r="J442" s="4" t="s">
        <v>3574</v>
      </c>
      <c r="K442" t="s">
        <v>3575</v>
      </c>
      <c r="L442" t="s">
        <v>27</v>
      </c>
      <c r="M442" t="s">
        <v>3576</v>
      </c>
      <c r="N442" t="s">
        <v>28</v>
      </c>
      <c r="O442" t="s">
        <v>65</v>
      </c>
      <c r="P442" t="s">
        <v>66</v>
      </c>
      <c r="Q442" t="s">
        <v>31</v>
      </c>
      <c r="R442">
        <v>9</v>
      </c>
      <c r="S442" t="s">
        <v>3577</v>
      </c>
      <c r="T442" t="s">
        <v>5394</v>
      </c>
      <c r="U442" t="s">
        <v>5395</v>
      </c>
      <c r="V442" t="s">
        <v>32</v>
      </c>
      <c r="W442" t="s">
        <v>33</v>
      </c>
      <c r="X442" t="s">
        <v>33</v>
      </c>
      <c r="Y442" t="s">
        <v>33</v>
      </c>
      <c r="Z442" s="16" t="s">
        <v>34</v>
      </c>
      <c r="AA442">
        <v>-75.526892419999996</v>
      </c>
      <c r="AB442">
        <v>6.2341440199999996</v>
      </c>
      <c r="AC442" t="s">
        <v>96</v>
      </c>
      <c r="AD442" t="s">
        <v>97</v>
      </c>
    </row>
    <row r="443" spans="1:30" x14ac:dyDescent="0.25">
      <c r="A443" t="s">
        <v>2957</v>
      </c>
      <c r="B443" t="s">
        <v>25</v>
      </c>
      <c r="C443" t="s">
        <v>26</v>
      </c>
      <c r="D443" t="s">
        <v>38</v>
      </c>
      <c r="E443" t="s">
        <v>2958</v>
      </c>
      <c r="F443" t="s">
        <v>2959</v>
      </c>
      <c r="G443">
        <v>71705658</v>
      </c>
      <c r="H443" t="s">
        <v>2960</v>
      </c>
      <c r="I443" s="4" t="s">
        <v>35</v>
      </c>
      <c r="J443" s="4" t="s">
        <v>2961</v>
      </c>
      <c r="K443" t="s">
        <v>2962</v>
      </c>
      <c r="L443" t="s">
        <v>27</v>
      </c>
      <c r="M443" t="s">
        <v>2963</v>
      </c>
      <c r="N443" t="s">
        <v>28</v>
      </c>
      <c r="O443" t="s">
        <v>39</v>
      </c>
      <c r="P443" t="s">
        <v>40</v>
      </c>
      <c r="Q443" t="s">
        <v>31</v>
      </c>
      <c r="R443">
        <v>5</v>
      </c>
      <c r="S443" t="s">
        <v>2964</v>
      </c>
      <c r="T443" t="s">
        <v>5394</v>
      </c>
      <c r="U443" t="s">
        <v>5396</v>
      </c>
      <c r="V443" t="s">
        <v>32</v>
      </c>
      <c r="W443" t="s">
        <v>33</v>
      </c>
      <c r="X443" t="s">
        <v>33</v>
      </c>
      <c r="Y443" t="s">
        <v>33</v>
      </c>
      <c r="Z443" s="16" t="s">
        <v>34</v>
      </c>
      <c r="AA443">
        <v>-75.539771810000005</v>
      </c>
      <c r="AB443">
        <v>6.2476672000000004</v>
      </c>
      <c r="AC443" t="s">
        <v>96</v>
      </c>
      <c r="AD443" t="s">
        <v>97</v>
      </c>
    </row>
    <row r="444" spans="1:30" x14ac:dyDescent="0.25">
      <c r="A444" t="s">
        <v>3457</v>
      </c>
      <c r="B444" t="s">
        <v>25</v>
      </c>
      <c r="C444" t="s">
        <v>26</v>
      </c>
      <c r="D444" t="s">
        <v>25</v>
      </c>
      <c r="E444" t="s">
        <v>3458</v>
      </c>
      <c r="F444" t="s">
        <v>3459</v>
      </c>
      <c r="G444">
        <v>1017182604</v>
      </c>
      <c r="H444" t="s">
        <v>3460</v>
      </c>
      <c r="I444" s="4" t="s">
        <v>35</v>
      </c>
      <c r="J444" s="4" t="s">
        <v>3461</v>
      </c>
      <c r="K444" t="s">
        <v>3462</v>
      </c>
      <c r="L444" t="s">
        <v>27</v>
      </c>
      <c r="M444" t="s">
        <v>3463</v>
      </c>
      <c r="N444" t="s">
        <v>28</v>
      </c>
      <c r="O444" t="s">
        <v>29</v>
      </c>
      <c r="P444" t="s">
        <v>36</v>
      </c>
      <c r="Q444" t="s">
        <v>31</v>
      </c>
      <c r="R444">
        <v>7</v>
      </c>
      <c r="S444" t="s">
        <v>3464</v>
      </c>
      <c r="T444" t="s">
        <v>5397</v>
      </c>
      <c r="U444" t="s">
        <v>5178</v>
      </c>
      <c r="V444" t="s">
        <v>32</v>
      </c>
      <c r="W444" t="s">
        <v>33</v>
      </c>
      <c r="X444" t="s">
        <v>33</v>
      </c>
      <c r="Y444" t="s">
        <v>33</v>
      </c>
      <c r="Z444" s="16" t="s">
        <v>34</v>
      </c>
      <c r="AA444">
        <v>-75.543380749999997</v>
      </c>
      <c r="AB444">
        <v>6.2395687200000003</v>
      </c>
      <c r="AC444" t="s">
        <v>96</v>
      </c>
      <c r="AD444" t="s">
        <v>97</v>
      </c>
    </row>
    <row r="445" spans="1:30" x14ac:dyDescent="0.25">
      <c r="A445" t="s">
        <v>2965</v>
      </c>
      <c r="B445" t="s">
        <v>25</v>
      </c>
      <c r="C445" t="s">
        <v>26</v>
      </c>
      <c r="D445" t="s">
        <v>38</v>
      </c>
      <c r="E445" t="s">
        <v>2966</v>
      </c>
      <c r="F445" t="s">
        <v>2967</v>
      </c>
      <c r="G445">
        <v>43751938</v>
      </c>
      <c r="H445" t="s">
        <v>2968</v>
      </c>
      <c r="I445" s="4" t="s">
        <v>35</v>
      </c>
      <c r="J445" s="4" t="s">
        <v>2969</v>
      </c>
      <c r="K445" t="s">
        <v>2970</v>
      </c>
      <c r="L445" t="s">
        <v>27</v>
      </c>
      <c r="M445" t="s">
        <v>2971</v>
      </c>
      <c r="N445" t="s">
        <v>28</v>
      </c>
      <c r="O445" t="s">
        <v>39</v>
      </c>
      <c r="P445" t="s">
        <v>40</v>
      </c>
      <c r="Q445" t="s">
        <v>31</v>
      </c>
      <c r="R445">
        <v>5</v>
      </c>
      <c r="S445" t="s">
        <v>2972</v>
      </c>
      <c r="T445" t="s">
        <v>5398</v>
      </c>
      <c r="U445" t="s">
        <v>5399</v>
      </c>
      <c r="V445" t="s">
        <v>32</v>
      </c>
      <c r="W445" t="s">
        <v>33</v>
      </c>
      <c r="X445" t="s">
        <v>33</v>
      </c>
      <c r="Y445" t="s">
        <v>33</v>
      </c>
      <c r="Z445" s="16" t="s">
        <v>34</v>
      </c>
      <c r="AA445">
        <v>-75.531335679999998</v>
      </c>
      <c r="AB445">
        <v>6.2323920599999996</v>
      </c>
      <c r="AC445" t="s">
        <v>96</v>
      </c>
      <c r="AD445" t="s">
        <v>97</v>
      </c>
    </row>
    <row r="446" spans="1:30" x14ac:dyDescent="0.25">
      <c r="A446" t="s">
        <v>2973</v>
      </c>
      <c r="B446" t="s">
        <v>25</v>
      </c>
      <c r="C446" t="s">
        <v>26</v>
      </c>
      <c r="D446" t="s">
        <v>38</v>
      </c>
      <c r="E446" t="s">
        <v>2974</v>
      </c>
      <c r="F446" t="s">
        <v>2975</v>
      </c>
      <c r="G446">
        <v>32322253</v>
      </c>
      <c r="H446" t="s">
        <v>2976</v>
      </c>
      <c r="I446" s="4" t="s">
        <v>2977</v>
      </c>
      <c r="J446" s="4" t="s">
        <v>2978</v>
      </c>
      <c r="K446" t="s">
        <v>2979</v>
      </c>
      <c r="L446" t="s">
        <v>27</v>
      </c>
      <c r="M446" t="s">
        <v>2980</v>
      </c>
      <c r="N446" t="s">
        <v>28</v>
      </c>
      <c r="O446" t="s">
        <v>39</v>
      </c>
      <c r="P446" t="s">
        <v>40</v>
      </c>
      <c r="Q446" t="s">
        <v>37</v>
      </c>
      <c r="R446">
        <v>8</v>
      </c>
      <c r="S446" t="s">
        <v>2981</v>
      </c>
      <c r="T446" t="s">
        <v>5400</v>
      </c>
      <c r="U446" t="s">
        <v>5401</v>
      </c>
      <c r="V446" t="s">
        <v>32</v>
      </c>
      <c r="W446" t="s">
        <v>33</v>
      </c>
      <c r="X446" t="s">
        <v>33</v>
      </c>
      <c r="Y446" t="s">
        <v>33</v>
      </c>
      <c r="Z446" s="16" t="s">
        <v>34</v>
      </c>
      <c r="AA446">
        <v>-75.70480483</v>
      </c>
      <c r="AB446">
        <v>6.3533510099999999</v>
      </c>
      <c r="AC446" t="s">
        <v>96</v>
      </c>
      <c r="AD446" t="s">
        <v>97</v>
      </c>
    </row>
    <row r="447" spans="1:30" x14ac:dyDescent="0.25">
      <c r="A447" t="s">
        <v>2982</v>
      </c>
      <c r="B447" t="s">
        <v>25</v>
      </c>
      <c r="C447" t="s">
        <v>26</v>
      </c>
      <c r="D447" t="s">
        <v>38</v>
      </c>
      <c r="E447" t="s">
        <v>2983</v>
      </c>
      <c r="F447" t="s">
        <v>2984</v>
      </c>
      <c r="G447">
        <v>32322253</v>
      </c>
      <c r="H447" t="s">
        <v>2976</v>
      </c>
      <c r="I447" s="4" t="s">
        <v>2977</v>
      </c>
      <c r="J447" s="4" t="s">
        <v>2978</v>
      </c>
      <c r="K447" t="s">
        <v>2985</v>
      </c>
      <c r="L447" t="s">
        <v>27</v>
      </c>
      <c r="M447" t="s">
        <v>2986</v>
      </c>
      <c r="N447" t="s">
        <v>28</v>
      </c>
      <c r="O447" t="s">
        <v>39</v>
      </c>
      <c r="P447" t="s">
        <v>40</v>
      </c>
      <c r="Q447" t="s">
        <v>37</v>
      </c>
      <c r="R447">
        <v>8</v>
      </c>
      <c r="S447" t="s">
        <v>2987</v>
      </c>
      <c r="T447" t="s">
        <v>5064</v>
      </c>
      <c r="U447" t="s">
        <v>5402</v>
      </c>
      <c r="V447" t="s">
        <v>32</v>
      </c>
      <c r="W447" t="s">
        <v>33</v>
      </c>
      <c r="X447" t="s">
        <v>33</v>
      </c>
      <c r="Y447" t="s">
        <v>33</v>
      </c>
      <c r="Z447" s="16" t="s">
        <v>34</v>
      </c>
      <c r="AA447">
        <v>-75.70480483</v>
      </c>
      <c r="AB447">
        <v>6.3533510099999999</v>
      </c>
      <c r="AC447" t="s">
        <v>96</v>
      </c>
      <c r="AD447" t="s">
        <v>97</v>
      </c>
    </row>
    <row r="448" spans="1:30" x14ac:dyDescent="0.25">
      <c r="A448" t="s">
        <v>2988</v>
      </c>
      <c r="B448" t="s">
        <v>25</v>
      </c>
      <c r="C448" t="s">
        <v>26</v>
      </c>
      <c r="D448" t="s">
        <v>38</v>
      </c>
      <c r="E448" t="s">
        <v>2989</v>
      </c>
      <c r="F448" t="s">
        <v>2990</v>
      </c>
      <c r="G448">
        <v>32322253</v>
      </c>
      <c r="H448" t="s">
        <v>2976</v>
      </c>
      <c r="I448" s="4" t="s">
        <v>2977</v>
      </c>
      <c r="J448" s="4" t="s">
        <v>2978</v>
      </c>
      <c r="K448" t="s">
        <v>2991</v>
      </c>
      <c r="L448" t="s">
        <v>27</v>
      </c>
      <c r="M448" t="s">
        <v>2992</v>
      </c>
      <c r="N448" t="s">
        <v>28</v>
      </c>
      <c r="O448" t="s">
        <v>39</v>
      </c>
      <c r="P448" t="s">
        <v>40</v>
      </c>
      <c r="Q448" t="s">
        <v>37</v>
      </c>
      <c r="R448">
        <v>8</v>
      </c>
      <c r="S448" t="s">
        <v>2993</v>
      </c>
      <c r="T448" t="s">
        <v>5403</v>
      </c>
      <c r="U448" t="s">
        <v>5404</v>
      </c>
      <c r="V448" t="s">
        <v>32</v>
      </c>
      <c r="W448" t="s">
        <v>33</v>
      </c>
      <c r="X448" t="s">
        <v>33</v>
      </c>
      <c r="Y448" t="s">
        <v>33</v>
      </c>
      <c r="Z448" s="16" t="s">
        <v>34</v>
      </c>
      <c r="AA448">
        <v>-75.70480483</v>
      </c>
      <c r="AB448">
        <v>6.3533510099999999</v>
      </c>
      <c r="AC448" t="s">
        <v>96</v>
      </c>
      <c r="AD448" t="s">
        <v>97</v>
      </c>
    </row>
    <row r="449" spans="1:30" x14ac:dyDescent="0.25">
      <c r="A449" t="s">
        <v>2994</v>
      </c>
      <c r="B449" t="s">
        <v>25</v>
      </c>
      <c r="C449" t="s">
        <v>26</v>
      </c>
      <c r="D449" t="s">
        <v>38</v>
      </c>
      <c r="E449" t="s">
        <v>2995</v>
      </c>
      <c r="F449" t="s">
        <v>2996</v>
      </c>
      <c r="G449">
        <v>24873840</v>
      </c>
      <c r="H449" t="s">
        <v>2997</v>
      </c>
      <c r="I449" s="4" t="s">
        <v>35</v>
      </c>
      <c r="J449" s="4" t="s">
        <v>2998</v>
      </c>
      <c r="K449" t="s">
        <v>2999</v>
      </c>
      <c r="L449" t="s">
        <v>27</v>
      </c>
      <c r="M449" t="s">
        <v>3000</v>
      </c>
      <c r="N449" t="s">
        <v>28</v>
      </c>
      <c r="O449" t="s">
        <v>39</v>
      </c>
      <c r="P449" t="s">
        <v>40</v>
      </c>
      <c r="Q449" t="s">
        <v>31</v>
      </c>
      <c r="R449">
        <v>5</v>
      </c>
      <c r="S449" t="s">
        <v>3001</v>
      </c>
      <c r="T449" t="s">
        <v>5405</v>
      </c>
      <c r="U449" t="s">
        <v>5406</v>
      </c>
      <c r="V449" t="s">
        <v>32</v>
      </c>
      <c r="W449" t="s">
        <v>33</v>
      </c>
      <c r="X449" t="s">
        <v>33</v>
      </c>
      <c r="Y449" t="s">
        <v>33</v>
      </c>
      <c r="Z449" s="16" t="s">
        <v>34</v>
      </c>
      <c r="AA449">
        <v>-75.616062999999997</v>
      </c>
      <c r="AB449">
        <v>6.2632500000000002</v>
      </c>
      <c r="AC449" t="s">
        <v>96</v>
      </c>
      <c r="AD449" t="s">
        <v>97</v>
      </c>
    </row>
    <row r="450" spans="1:30" x14ac:dyDescent="0.25">
      <c r="A450" t="s">
        <v>3466</v>
      </c>
      <c r="B450" t="s">
        <v>41</v>
      </c>
      <c r="C450" t="s">
        <v>26</v>
      </c>
      <c r="D450" t="s">
        <v>41</v>
      </c>
      <c r="E450" t="s">
        <v>3467</v>
      </c>
      <c r="F450" t="s">
        <v>3468</v>
      </c>
      <c r="G450">
        <v>43432968</v>
      </c>
      <c r="H450" t="s">
        <v>3469</v>
      </c>
      <c r="I450" s="4" t="s">
        <v>35</v>
      </c>
      <c r="J450" s="4" t="s">
        <v>3470</v>
      </c>
      <c r="K450" t="s">
        <v>3471</v>
      </c>
      <c r="L450" t="s">
        <v>27</v>
      </c>
      <c r="M450" t="s">
        <v>3472</v>
      </c>
      <c r="N450" t="s">
        <v>28</v>
      </c>
      <c r="O450" t="s">
        <v>42</v>
      </c>
      <c r="P450" t="s">
        <v>36</v>
      </c>
      <c r="Q450" t="s">
        <v>31</v>
      </c>
      <c r="R450">
        <v>7</v>
      </c>
      <c r="S450" t="s">
        <v>3473</v>
      </c>
      <c r="T450" t="s">
        <v>5405</v>
      </c>
      <c r="U450" t="s">
        <v>5407</v>
      </c>
      <c r="V450" t="s">
        <v>32</v>
      </c>
      <c r="W450" t="s">
        <v>33</v>
      </c>
      <c r="X450" t="s">
        <v>33</v>
      </c>
      <c r="Y450" t="s">
        <v>33</v>
      </c>
      <c r="Z450" s="16" t="s">
        <v>34</v>
      </c>
      <c r="AA450">
        <v>-75.610884501000001</v>
      </c>
      <c r="AB450">
        <v>6.2574398200000596</v>
      </c>
      <c r="AC450" t="s">
        <v>96</v>
      </c>
      <c r="AD450" t="s">
        <v>97</v>
      </c>
    </row>
    <row r="451" spans="1:30" x14ac:dyDescent="0.25">
      <c r="A451" t="s">
        <v>3002</v>
      </c>
      <c r="B451" t="s">
        <v>25</v>
      </c>
      <c r="C451" t="s">
        <v>26</v>
      </c>
      <c r="D451" t="s">
        <v>38</v>
      </c>
      <c r="E451" t="s">
        <v>3003</v>
      </c>
      <c r="F451" t="s">
        <v>3004</v>
      </c>
      <c r="G451">
        <v>71652554</v>
      </c>
      <c r="H451" t="s">
        <v>2479</v>
      </c>
      <c r="I451" s="4" t="s">
        <v>35</v>
      </c>
      <c r="J451" s="4" t="s">
        <v>3005</v>
      </c>
      <c r="K451" t="s">
        <v>3006</v>
      </c>
      <c r="L451" t="s">
        <v>27</v>
      </c>
      <c r="M451" t="s">
        <v>3007</v>
      </c>
      <c r="N451" t="s">
        <v>28</v>
      </c>
      <c r="O451" t="s">
        <v>39</v>
      </c>
      <c r="P451" t="s">
        <v>40</v>
      </c>
      <c r="Q451" t="s">
        <v>31</v>
      </c>
      <c r="R451">
        <v>5</v>
      </c>
      <c r="S451" t="s">
        <v>3008</v>
      </c>
      <c r="T451" t="s">
        <v>5408</v>
      </c>
      <c r="U451" t="s">
        <v>5409</v>
      </c>
      <c r="V451" t="s">
        <v>32</v>
      </c>
      <c r="W451" t="s">
        <v>33</v>
      </c>
      <c r="X451" t="s">
        <v>33</v>
      </c>
      <c r="Y451" t="s">
        <v>33</v>
      </c>
      <c r="Z451" s="16" t="s">
        <v>34</v>
      </c>
      <c r="AA451">
        <v>-75.586247799999995</v>
      </c>
      <c r="AB451">
        <v>6.2236847800000001</v>
      </c>
      <c r="AC451" t="s">
        <v>96</v>
      </c>
      <c r="AD451" t="s">
        <v>97</v>
      </c>
    </row>
    <row r="452" spans="1:30" x14ac:dyDescent="0.25">
      <c r="A452" t="s">
        <v>3009</v>
      </c>
      <c r="B452" t="s">
        <v>25</v>
      </c>
      <c r="C452" t="s">
        <v>26</v>
      </c>
      <c r="D452" t="s">
        <v>38</v>
      </c>
      <c r="E452" t="s">
        <v>3010</v>
      </c>
      <c r="F452" t="s">
        <v>3011</v>
      </c>
      <c r="G452">
        <v>71652554</v>
      </c>
      <c r="H452" t="s">
        <v>2479</v>
      </c>
      <c r="I452" s="4" t="s">
        <v>35</v>
      </c>
      <c r="J452" s="4" t="s">
        <v>3005</v>
      </c>
      <c r="K452" t="s">
        <v>3012</v>
      </c>
      <c r="L452" t="s">
        <v>27</v>
      </c>
      <c r="M452" t="s">
        <v>3013</v>
      </c>
      <c r="N452" t="s">
        <v>28</v>
      </c>
      <c r="O452" t="s">
        <v>39</v>
      </c>
      <c r="P452" t="s">
        <v>40</v>
      </c>
      <c r="Q452" t="s">
        <v>31</v>
      </c>
      <c r="R452">
        <v>5</v>
      </c>
      <c r="S452" t="s">
        <v>3014</v>
      </c>
      <c r="T452" t="s">
        <v>5408</v>
      </c>
      <c r="U452" t="s">
        <v>5409</v>
      </c>
      <c r="V452" t="s">
        <v>32</v>
      </c>
      <c r="W452" t="s">
        <v>33</v>
      </c>
      <c r="X452" t="s">
        <v>33</v>
      </c>
      <c r="Y452" t="s">
        <v>33</v>
      </c>
      <c r="Z452" s="16" t="s">
        <v>34</v>
      </c>
      <c r="AA452">
        <v>-75.586247799999995</v>
      </c>
      <c r="AB452">
        <v>6.2236847800000001</v>
      </c>
      <c r="AC452" t="s">
        <v>96</v>
      </c>
      <c r="AD452" t="s">
        <v>97</v>
      </c>
    </row>
    <row r="453" spans="1:30" x14ac:dyDescent="0.25">
      <c r="A453" t="s">
        <v>3015</v>
      </c>
      <c r="B453" t="s">
        <v>25</v>
      </c>
      <c r="C453" t="s">
        <v>26</v>
      </c>
      <c r="D453" t="s">
        <v>38</v>
      </c>
      <c r="E453" t="s">
        <v>3016</v>
      </c>
      <c r="F453" t="s">
        <v>3017</v>
      </c>
      <c r="G453">
        <v>43847238</v>
      </c>
      <c r="H453" t="s">
        <v>3018</v>
      </c>
      <c r="I453" s="4" t="s">
        <v>3019</v>
      </c>
      <c r="J453" s="4" t="s">
        <v>3020</v>
      </c>
      <c r="K453" t="s">
        <v>3021</v>
      </c>
      <c r="L453" t="s">
        <v>27</v>
      </c>
      <c r="M453" t="s">
        <v>3022</v>
      </c>
      <c r="N453" t="s">
        <v>28</v>
      </c>
      <c r="O453" t="s">
        <v>39</v>
      </c>
      <c r="P453" t="s">
        <v>40</v>
      </c>
      <c r="Q453" t="s">
        <v>37</v>
      </c>
      <c r="R453">
        <v>8</v>
      </c>
      <c r="S453" t="s">
        <v>3023</v>
      </c>
      <c r="T453" t="s">
        <v>3326</v>
      </c>
      <c r="U453" t="s">
        <v>5410</v>
      </c>
      <c r="V453" t="s">
        <v>32</v>
      </c>
      <c r="W453" t="s">
        <v>33</v>
      </c>
      <c r="X453" t="s">
        <v>33</v>
      </c>
      <c r="Y453" t="s">
        <v>33</v>
      </c>
      <c r="Z453" s="16" t="s">
        <v>34</v>
      </c>
      <c r="AA453">
        <v>-75.70480483</v>
      </c>
      <c r="AB453">
        <v>6.3533510099999999</v>
      </c>
      <c r="AC453" t="s">
        <v>96</v>
      </c>
      <c r="AD453" t="s">
        <v>97</v>
      </c>
    </row>
    <row r="454" spans="1:30" x14ac:dyDescent="0.25">
      <c r="A454" t="s">
        <v>3475</v>
      </c>
      <c r="B454" t="s">
        <v>25</v>
      </c>
      <c r="C454" t="s">
        <v>26</v>
      </c>
      <c r="D454" t="s">
        <v>25</v>
      </c>
      <c r="E454" t="s">
        <v>3476</v>
      </c>
      <c r="F454" t="s">
        <v>3477</v>
      </c>
      <c r="G454">
        <v>1017236342</v>
      </c>
      <c r="H454" t="s">
        <v>3478</v>
      </c>
      <c r="I454" s="4" t="s">
        <v>35</v>
      </c>
      <c r="J454" s="4" t="s">
        <v>3479</v>
      </c>
      <c r="K454" t="s">
        <v>3480</v>
      </c>
      <c r="L454" t="s">
        <v>27</v>
      </c>
      <c r="M454" t="s">
        <v>3481</v>
      </c>
      <c r="N454" t="s">
        <v>28</v>
      </c>
      <c r="O454" t="s">
        <v>29</v>
      </c>
      <c r="P454" t="s">
        <v>36</v>
      </c>
      <c r="Q454" t="s">
        <v>31</v>
      </c>
      <c r="R454">
        <v>7</v>
      </c>
      <c r="S454" t="s">
        <v>3482</v>
      </c>
      <c r="T454" t="s">
        <v>1650</v>
      </c>
      <c r="U454" t="s">
        <v>3327</v>
      </c>
      <c r="V454" t="s">
        <v>32</v>
      </c>
      <c r="W454" t="s">
        <v>33</v>
      </c>
      <c r="X454" t="s">
        <v>33</v>
      </c>
      <c r="Y454" t="s">
        <v>33</v>
      </c>
      <c r="Z454" s="16" t="s">
        <v>34</v>
      </c>
      <c r="AA454">
        <v>-75.627122999999997</v>
      </c>
      <c r="AB454">
        <v>6.2655779999999996</v>
      </c>
      <c r="AC454" t="s">
        <v>96</v>
      </c>
      <c r="AD454" t="s">
        <v>97</v>
      </c>
    </row>
    <row r="455" spans="1:30" x14ac:dyDescent="0.25">
      <c r="A455" t="s">
        <v>3024</v>
      </c>
      <c r="B455" t="s">
        <v>25</v>
      </c>
      <c r="C455" t="s">
        <v>26</v>
      </c>
      <c r="D455" t="s">
        <v>38</v>
      </c>
      <c r="E455" t="s">
        <v>3025</v>
      </c>
      <c r="F455" t="s">
        <v>3026</v>
      </c>
      <c r="G455">
        <v>32322253</v>
      </c>
      <c r="H455" t="s">
        <v>2976</v>
      </c>
      <c r="I455" s="4" t="s">
        <v>2977</v>
      </c>
      <c r="J455" s="4" t="s">
        <v>2978</v>
      </c>
      <c r="K455" t="s">
        <v>3027</v>
      </c>
      <c r="L455" t="s">
        <v>27</v>
      </c>
      <c r="M455" t="s">
        <v>3028</v>
      </c>
      <c r="N455" t="s">
        <v>28</v>
      </c>
      <c r="O455" t="s">
        <v>39</v>
      </c>
      <c r="P455" t="s">
        <v>40</v>
      </c>
      <c r="Q455" t="s">
        <v>37</v>
      </c>
      <c r="R455">
        <v>8</v>
      </c>
      <c r="S455" t="s">
        <v>3029</v>
      </c>
      <c r="T455" t="s">
        <v>3343</v>
      </c>
      <c r="U455" t="s">
        <v>5049</v>
      </c>
      <c r="V455" t="s">
        <v>32</v>
      </c>
      <c r="W455" t="s">
        <v>33</v>
      </c>
      <c r="X455" t="s">
        <v>33</v>
      </c>
      <c r="Y455" t="s">
        <v>33</v>
      </c>
      <c r="Z455" s="16" t="s">
        <v>34</v>
      </c>
      <c r="AA455">
        <v>-75.70480483</v>
      </c>
      <c r="AB455">
        <v>6.3533510099999999</v>
      </c>
      <c r="AC455" t="s">
        <v>96</v>
      </c>
      <c r="AD455" t="s">
        <v>97</v>
      </c>
    </row>
    <row r="456" spans="1:30" x14ac:dyDescent="0.25">
      <c r="A456" t="s">
        <v>3030</v>
      </c>
      <c r="B456" t="s">
        <v>49</v>
      </c>
      <c r="C456" t="s">
        <v>26</v>
      </c>
      <c r="D456" t="s">
        <v>49</v>
      </c>
      <c r="E456" t="s">
        <v>3031</v>
      </c>
      <c r="F456" t="s">
        <v>3032</v>
      </c>
      <c r="G456">
        <v>1002642678</v>
      </c>
      <c r="H456" t="s">
        <v>3033</v>
      </c>
      <c r="I456" s="4" t="s">
        <v>35</v>
      </c>
      <c r="J456" s="4" t="s">
        <v>3034</v>
      </c>
      <c r="K456" t="s">
        <v>3035</v>
      </c>
      <c r="L456" t="s">
        <v>27</v>
      </c>
      <c r="M456" t="s">
        <v>3036</v>
      </c>
      <c r="N456" t="s">
        <v>28</v>
      </c>
      <c r="O456" t="s">
        <v>50</v>
      </c>
      <c r="P456" t="s">
        <v>51</v>
      </c>
      <c r="Q456" t="s">
        <v>31</v>
      </c>
      <c r="R456">
        <v>11</v>
      </c>
      <c r="S456" t="s">
        <v>3037</v>
      </c>
      <c r="T456" t="s">
        <v>5411</v>
      </c>
      <c r="U456" t="s">
        <v>5412</v>
      </c>
      <c r="V456" t="s">
        <v>32</v>
      </c>
      <c r="W456" t="s">
        <v>33</v>
      </c>
      <c r="X456" t="s">
        <v>33</v>
      </c>
      <c r="Y456" t="s">
        <v>33</v>
      </c>
      <c r="Z456" s="16" t="s">
        <v>34</v>
      </c>
      <c r="AA456">
        <v>-75.634675000000001</v>
      </c>
      <c r="AB456">
        <v>6.2192679999999996</v>
      </c>
      <c r="AC456" t="s">
        <v>96</v>
      </c>
      <c r="AD456" t="s">
        <v>97</v>
      </c>
    </row>
    <row r="457" spans="1:30" x14ac:dyDescent="0.25">
      <c r="A457" t="s">
        <v>3038</v>
      </c>
      <c r="B457" t="s">
        <v>25</v>
      </c>
      <c r="C457" t="s">
        <v>26</v>
      </c>
      <c r="D457" t="s">
        <v>38</v>
      </c>
      <c r="E457" t="s">
        <v>3039</v>
      </c>
      <c r="F457" t="s">
        <v>3040</v>
      </c>
      <c r="G457">
        <v>32322253</v>
      </c>
      <c r="H457" t="s">
        <v>2976</v>
      </c>
      <c r="I457" s="4" t="s">
        <v>2977</v>
      </c>
      <c r="J457" s="4" t="s">
        <v>2978</v>
      </c>
      <c r="K457" t="s">
        <v>3041</v>
      </c>
      <c r="L457" t="s">
        <v>27</v>
      </c>
      <c r="M457" t="s">
        <v>3042</v>
      </c>
      <c r="N457" t="s">
        <v>28</v>
      </c>
      <c r="O457" t="s">
        <v>39</v>
      </c>
      <c r="P457" t="s">
        <v>40</v>
      </c>
      <c r="Q457" t="s">
        <v>37</v>
      </c>
      <c r="R457">
        <v>8</v>
      </c>
      <c r="S457" t="s">
        <v>3043</v>
      </c>
      <c r="T457" t="s">
        <v>5413</v>
      </c>
      <c r="U457" t="s">
        <v>5414</v>
      </c>
      <c r="V457" t="s">
        <v>32</v>
      </c>
      <c r="W457" t="s">
        <v>33</v>
      </c>
      <c r="X457" t="s">
        <v>33</v>
      </c>
      <c r="Y457" t="s">
        <v>33</v>
      </c>
      <c r="Z457" s="16" t="s">
        <v>34</v>
      </c>
      <c r="AA457">
        <v>-75.70480483</v>
      </c>
      <c r="AB457">
        <v>6.3533510099999999</v>
      </c>
      <c r="AC457" t="s">
        <v>96</v>
      </c>
      <c r="AD457" t="s">
        <v>97</v>
      </c>
    </row>
    <row r="458" spans="1:30" x14ac:dyDescent="0.25">
      <c r="A458" t="s">
        <v>3044</v>
      </c>
      <c r="B458" t="s">
        <v>25</v>
      </c>
      <c r="C458" t="s">
        <v>26</v>
      </c>
      <c r="D458" t="s">
        <v>38</v>
      </c>
      <c r="E458" t="s">
        <v>3045</v>
      </c>
      <c r="F458" t="s">
        <v>3046</v>
      </c>
      <c r="G458">
        <v>1007114502</v>
      </c>
      <c r="H458" t="s">
        <v>3047</v>
      </c>
      <c r="I458" s="4" t="s">
        <v>35</v>
      </c>
      <c r="J458" s="4" t="s">
        <v>3048</v>
      </c>
      <c r="K458" t="s">
        <v>3049</v>
      </c>
      <c r="L458" t="s">
        <v>43</v>
      </c>
      <c r="M458" t="s">
        <v>3050</v>
      </c>
      <c r="N458" t="s">
        <v>44</v>
      </c>
      <c r="O458" t="s">
        <v>39</v>
      </c>
      <c r="P458" t="s">
        <v>40</v>
      </c>
      <c r="Q458" t="s">
        <v>31</v>
      </c>
      <c r="R458">
        <v>5</v>
      </c>
      <c r="S458" t="s">
        <v>3051</v>
      </c>
      <c r="T458" t="s">
        <v>5415</v>
      </c>
      <c r="U458" t="s">
        <v>3169</v>
      </c>
      <c r="V458" t="s">
        <v>32</v>
      </c>
      <c r="W458" t="s">
        <v>33</v>
      </c>
      <c r="X458" t="s">
        <v>33</v>
      </c>
      <c r="Y458" t="s">
        <v>33</v>
      </c>
      <c r="Z458" s="16" t="s">
        <v>34</v>
      </c>
      <c r="AA458">
        <v>-75.611457939999994</v>
      </c>
      <c r="AB458">
        <v>6.1795535299999997</v>
      </c>
      <c r="AC458" t="s">
        <v>96</v>
      </c>
      <c r="AD458" t="s">
        <v>97</v>
      </c>
    </row>
    <row r="459" spans="1:30" x14ac:dyDescent="0.25">
      <c r="A459" t="s">
        <v>3052</v>
      </c>
      <c r="B459" t="s">
        <v>25</v>
      </c>
      <c r="C459" t="s">
        <v>26</v>
      </c>
      <c r="D459" t="s">
        <v>38</v>
      </c>
      <c r="E459" t="s">
        <v>5580</v>
      </c>
      <c r="G459">
        <v>1017252939</v>
      </c>
      <c r="H459" t="s">
        <v>3053</v>
      </c>
      <c r="I459" s="4" t="s">
        <v>35</v>
      </c>
      <c r="J459" s="4" t="s">
        <v>3054</v>
      </c>
      <c r="K459" t="s">
        <v>5581</v>
      </c>
      <c r="L459" t="s">
        <v>27</v>
      </c>
      <c r="M459" t="s">
        <v>3055</v>
      </c>
      <c r="N459" t="s">
        <v>28</v>
      </c>
      <c r="O459" t="s">
        <v>45</v>
      </c>
      <c r="P459" t="s">
        <v>40</v>
      </c>
      <c r="Q459" t="s">
        <v>31</v>
      </c>
      <c r="R459">
        <v>5</v>
      </c>
      <c r="V459" t="s">
        <v>93</v>
      </c>
      <c r="W459" t="s">
        <v>33</v>
      </c>
      <c r="X459" t="s">
        <v>33</v>
      </c>
      <c r="Y459" t="s">
        <v>33</v>
      </c>
      <c r="Z459" s="16" t="s">
        <v>34</v>
      </c>
      <c r="AA459">
        <v>-75.586306120000003</v>
      </c>
      <c r="AB459">
        <v>6.2245846900000004</v>
      </c>
      <c r="AC459" t="s">
        <v>96</v>
      </c>
      <c r="AD459" t="s">
        <v>97</v>
      </c>
    </row>
    <row r="460" spans="1:30" x14ac:dyDescent="0.25">
      <c r="A460" t="s">
        <v>4115</v>
      </c>
      <c r="B460" t="s">
        <v>59</v>
      </c>
      <c r="C460" t="s">
        <v>26</v>
      </c>
      <c r="D460" t="s">
        <v>59</v>
      </c>
      <c r="E460" t="s">
        <v>4116</v>
      </c>
      <c r="F460" t="s">
        <v>4117</v>
      </c>
      <c r="G460">
        <v>71623798</v>
      </c>
      <c r="H460" t="s">
        <v>4118</v>
      </c>
      <c r="I460" s="4" t="s">
        <v>4119</v>
      </c>
      <c r="J460" s="4" t="s">
        <v>4120</v>
      </c>
      <c r="K460" t="s">
        <v>4121</v>
      </c>
      <c r="L460" t="s">
        <v>27</v>
      </c>
      <c r="M460" t="s">
        <v>4122</v>
      </c>
      <c r="N460" t="s">
        <v>28</v>
      </c>
      <c r="O460" t="s">
        <v>60</v>
      </c>
      <c r="P460" t="s">
        <v>61</v>
      </c>
      <c r="Q460" t="s">
        <v>31</v>
      </c>
      <c r="R460">
        <v>4</v>
      </c>
      <c r="S460" t="s">
        <v>4123</v>
      </c>
      <c r="T460" t="s">
        <v>3345</v>
      </c>
      <c r="U460" t="s">
        <v>3345</v>
      </c>
      <c r="V460" t="s">
        <v>48</v>
      </c>
      <c r="W460" t="s">
        <v>33</v>
      </c>
      <c r="X460" t="s">
        <v>33</v>
      </c>
      <c r="Y460" t="s">
        <v>33</v>
      </c>
      <c r="Z460" s="16" t="s">
        <v>34</v>
      </c>
      <c r="AA460">
        <v>-75.594087479999999</v>
      </c>
      <c r="AB460">
        <v>6.2529119700000004</v>
      </c>
      <c r="AC460" t="s">
        <v>96</v>
      </c>
      <c r="AD460" t="s">
        <v>97</v>
      </c>
    </row>
    <row r="461" spans="1:30" x14ac:dyDescent="0.25">
      <c r="A461" t="s">
        <v>4125</v>
      </c>
      <c r="B461" t="s">
        <v>59</v>
      </c>
      <c r="C461" t="s">
        <v>26</v>
      </c>
      <c r="D461" t="s">
        <v>59</v>
      </c>
      <c r="E461" t="s">
        <v>4126</v>
      </c>
      <c r="F461" t="s">
        <v>4127</v>
      </c>
      <c r="G461">
        <v>71623798</v>
      </c>
      <c r="H461" t="s">
        <v>4118</v>
      </c>
      <c r="I461" s="4" t="s">
        <v>4119</v>
      </c>
      <c r="J461" s="4" t="s">
        <v>4120</v>
      </c>
      <c r="K461" t="s">
        <v>4128</v>
      </c>
      <c r="L461" t="s">
        <v>27</v>
      </c>
      <c r="M461" t="s">
        <v>4129</v>
      </c>
      <c r="N461" t="s">
        <v>28</v>
      </c>
      <c r="O461" t="s">
        <v>60</v>
      </c>
      <c r="P461" t="s">
        <v>61</v>
      </c>
      <c r="Q461" t="s">
        <v>31</v>
      </c>
      <c r="R461">
        <v>4</v>
      </c>
      <c r="S461" t="s">
        <v>4130</v>
      </c>
      <c r="T461" t="s">
        <v>3090</v>
      </c>
      <c r="U461" t="s">
        <v>3090</v>
      </c>
      <c r="V461" t="s">
        <v>48</v>
      </c>
      <c r="W461" t="s">
        <v>33</v>
      </c>
      <c r="X461" t="s">
        <v>33</v>
      </c>
      <c r="Y461" t="s">
        <v>33</v>
      </c>
      <c r="Z461" s="16" t="s">
        <v>34</v>
      </c>
      <c r="AA461">
        <v>-75.594087479999999</v>
      </c>
      <c r="AB461">
        <v>6.2529119700000004</v>
      </c>
      <c r="AC461" t="s">
        <v>96</v>
      </c>
      <c r="AD461" t="s">
        <v>97</v>
      </c>
    </row>
    <row r="462" spans="1:30" x14ac:dyDescent="0.25">
      <c r="A462" t="s">
        <v>4132</v>
      </c>
      <c r="B462" t="s">
        <v>25</v>
      </c>
      <c r="C462" t="s">
        <v>26</v>
      </c>
      <c r="D462" t="s">
        <v>38</v>
      </c>
      <c r="E462" t="s">
        <v>4133</v>
      </c>
      <c r="F462" t="s">
        <v>4134</v>
      </c>
      <c r="G462">
        <v>98620803</v>
      </c>
      <c r="H462" t="s">
        <v>4135</v>
      </c>
      <c r="I462" s="4" t="s">
        <v>35</v>
      </c>
      <c r="J462" s="4" t="s">
        <v>4136</v>
      </c>
      <c r="K462" t="s">
        <v>4137</v>
      </c>
      <c r="L462" t="s">
        <v>43</v>
      </c>
      <c r="M462" t="s">
        <v>4138</v>
      </c>
      <c r="N462" t="s">
        <v>44</v>
      </c>
      <c r="O462" t="s">
        <v>39</v>
      </c>
      <c r="P462" t="s">
        <v>40</v>
      </c>
      <c r="Q462" t="s">
        <v>31</v>
      </c>
      <c r="R462">
        <v>5</v>
      </c>
      <c r="S462" t="s">
        <v>4139</v>
      </c>
      <c r="T462" t="s">
        <v>3068</v>
      </c>
      <c r="U462" t="s">
        <v>4946</v>
      </c>
      <c r="V462" t="s">
        <v>32</v>
      </c>
      <c r="W462" t="s">
        <v>33</v>
      </c>
      <c r="X462" t="s">
        <v>33</v>
      </c>
      <c r="Y462" t="s">
        <v>33</v>
      </c>
      <c r="Z462" s="16" t="s">
        <v>34</v>
      </c>
      <c r="AA462">
        <v>-75.617746510000003</v>
      </c>
      <c r="AB462">
        <v>6.1886747700000004</v>
      </c>
      <c r="AC462" t="s">
        <v>96</v>
      </c>
      <c r="AD462" t="s">
        <v>97</v>
      </c>
    </row>
    <row r="463" spans="1:30" x14ac:dyDescent="0.25">
      <c r="A463" t="s">
        <v>3578</v>
      </c>
      <c r="B463" t="s">
        <v>63</v>
      </c>
      <c r="C463" t="s">
        <v>26</v>
      </c>
      <c r="D463" t="s">
        <v>64</v>
      </c>
      <c r="E463" t="s">
        <v>3579</v>
      </c>
      <c r="F463" t="s">
        <v>3580</v>
      </c>
      <c r="G463">
        <v>1128455372</v>
      </c>
      <c r="H463" t="s">
        <v>3581</v>
      </c>
      <c r="I463" s="4" t="s">
        <v>35</v>
      </c>
      <c r="J463" s="4" t="s">
        <v>3582</v>
      </c>
      <c r="K463" t="s">
        <v>3583</v>
      </c>
      <c r="L463" t="s">
        <v>27</v>
      </c>
      <c r="M463" t="s">
        <v>3584</v>
      </c>
      <c r="N463" t="s">
        <v>28</v>
      </c>
      <c r="O463" t="s">
        <v>65</v>
      </c>
      <c r="P463" t="s">
        <v>66</v>
      </c>
      <c r="Q463" t="s">
        <v>31</v>
      </c>
      <c r="R463">
        <v>9</v>
      </c>
      <c r="S463" t="s">
        <v>3585</v>
      </c>
      <c r="T463" t="s">
        <v>5416</v>
      </c>
      <c r="U463" t="s">
        <v>5417</v>
      </c>
      <c r="V463" t="s">
        <v>32</v>
      </c>
      <c r="W463" t="s">
        <v>33</v>
      </c>
      <c r="X463" t="s">
        <v>33</v>
      </c>
      <c r="Y463" t="s">
        <v>33</v>
      </c>
      <c r="Z463" s="16" t="s">
        <v>34</v>
      </c>
      <c r="AA463">
        <v>-75.676962959999997</v>
      </c>
      <c r="AB463">
        <v>6.19452333</v>
      </c>
      <c r="AC463" t="s">
        <v>96</v>
      </c>
      <c r="AD463" t="s">
        <v>97</v>
      </c>
    </row>
    <row r="464" spans="1:30" x14ac:dyDescent="0.25">
      <c r="A464" t="s">
        <v>4140</v>
      </c>
      <c r="B464" t="s">
        <v>25</v>
      </c>
      <c r="C464" t="s">
        <v>26</v>
      </c>
      <c r="D464" t="s">
        <v>38</v>
      </c>
      <c r="E464" t="s">
        <v>4141</v>
      </c>
      <c r="F464" t="s">
        <v>4142</v>
      </c>
      <c r="G464">
        <v>42895417</v>
      </c>
      <c r="H464" t="s">
        <v>4143</v>
      </c>
      <c r="I464" s="4" t="s">
        <v>4144</v>
      </c>
      <c r="J464" s="4" t="s">
        <v>4145</v>
      </c>
      <c r="K464" t="s">
        <v>4146</v>
      </c>
      <c r="L464" t="s">
        <v>27</v>
      </c>
      <c r="M464" t="s">
        <v>4147</v>
      </c>
      <c r="N464" t="s">
        <v>28</v>
      </c>
      <c r="O464" t="s">
        <v>39</v>
      </c>
      <c r="P464" t="s">
        <v>40</v>
      </c>
      <c r="Q464" t="s">
        <v>31</v>
      </c>
      <c r="R464">
        <v>5</v>
      </c>
      <c r="S464" t="s">
        <v>4148</v>
      </c>
      <c r="T464" t="s">
        <v>5418</v>
      </c>
      <c r="U464" t="s">
        <v>5419</v>
      </c>
      <c r="V464" t="s">
        <v>32</v>
      </c>
      <c r="W464" t="s">
        <v>33</v>
      </c>
      <c r="X464" t="s">
        <v>33</v>
      </c>
      <c r="Y464" t="s">
        <v>33</v>
      </c>
      <c r="Z464" s="16" t="s">
        <v>34</v>
      </c>
      <c r="AA464">
        <v>-75.630760010000003</v>
      </c>
      <c r="AB464">
        <v>6.2549950000000001</v>
      </c>
      <c r="AC464" t="s">
        <v>96</v>
      </c>
      <c r="AD464" t="s">
        <v>97</v>
      </c>
    </row>
    <row r="465" spans="1:30" x14ac:dyDescent="0.25">
      <c r="A465" t="s">
        <v>4149</v>
      </c>
      <c r="B465" t="s">
        <v>59</v>
      </c>
      <c r="C465" t="s">
        <v>26</v>
      </c>
      <c r="D465" t="s">
        <v>59</v>
      </c>
      <c r="E465" t="s">
        <v>4150</v>
      </c>
      <c r="F465" t="s">
        <v>4151</v>
      </c>
      <c r="G465">
        <v>71772395</v>
      </c>
      <c r="H465" t="s">
        <v>4152</v>
      </c>
      <c r="I465" s="4" t="s">
        <v>4153</v>
      </c>
      <c r="J465" s="4" t="s">
        <v>4154</v>
      </c>
      <c r="K465" t="s">
        <v>4155</v>
      </c>
      <c r="L465" t="s">
        <v>27</v>
      </c>
      <c r="M465" t="s">
        <v>4156</v>
      </c>
      <c r="N465" t="s">
        <v>28</v>
      </c>
      <c r="O465" t="s">
        <v>60</v>
      </c>
      <c r="P465" t="s">
        <v>61</v>
      </c>
      <c r="Q465" t="s">
        <v>31</v>
      </c>
      <c r="R465">
        <v>4</v>
      </c>
      <c r="S465" t="s">
        <v>4157</v>
      </c>
      <c r="T465" t="s">
        <v>1692</v>
      </c>
      <c r="U465" t="s">
        <v>1692</v>
      </c>
      <c r="V465" t="s">
        <v>48</v>
      </c>
      <c r="W465" t="s">
        <v>33</v>
      </c>
      <c r="X465" t="s">
        <v>33</v>
      </c>
      <c r="Y465" t="s">
        <v>33</v>
      </c>
      <c r="Z465" s="16" t="s">
        <v>34</v>
      </c>
      <c r="AA465">
        <v>-75.603025090000003</v>
      </c>
      <c r="AB465">
        <v>6.2312577300000003</v>
      </c>
      <c r="AC465" t="s">
        <v>96</v>
      </c>
      <c r="AD465" t="s">
        <v>97</v>
      </c>
    </row>
    <row r="466" spans="1:30" x14ac:dyDescent="0.25">
      <c r="A466" t="s">
        <v>4158</v>
      </c>
      <c r="B466" t="s">
        <v>25</v>
      </c>
      <c r="C466" t="s">
        <v>26</v>
      </c>
      <c r="D466" t="s">
        <v>38</v>
      </c>
      <c r="E466" t="s">
        <v>4159</v>
      </c>
      <c r="F466" t="s">
        <v>4160</v>
      </c>
      <c r="G466">
        <v>98458895</v>
      </c>
      <c r="H466" t="s">
        <v>4161</v>
      </c>
      <c r="I466" s="4" t="s">
        <v>35</v>
      </c>
      <c r="J466" s="4" t="s">
        <v>4162</v>
      </c>
      <c r="K466" t="s">
        <v>4163</v>
      </c>
      <c r="L466" t="s">
        <v>27</v>
      </c>
      <c r="M466" t="s">
        <v>4164</v>
      </c>
      <c r="N466" t="s">
        <v>28</v>
      </c>
      <c r="O466" t="s">
        <v>39</v>
      </c>
      <c r="P466" t="s">
        <v>40</v>
      </c>
      <c r="Q466" t="s">
        <v>31</v>
      </c>
      <c r="R466">
        <v>5</v>
      </c>
      <c r="S466" t="s">
        <v>4165</v>
      </c>
      <c r="T466" t="s">
        <v>5420</v>
      </c>
      <c r="U466" t="s">
        <v>5421</v>
      </c>
      <c r="V466" t="s">
        <v>32</v>
      </c>
      <c r="W466" t="s">
        <v>33</v>
      </c>
      <c r="X466" t="s">
        <v>33</v>
      </c>
      <c r="Y466" t="s">
        <v>33</v>
      </c>
      <c r="Z466" s="16" t="s">
        <v>34</v>
      </c>
      <c r="AA466">
        <v>-75.541506870000006</v>
      </c>
      <c r="AB466">
        <v>6.2505891</v>
      </c>
      <c r="AC466" t="s">
        <v>96</v>
      </c>
      <c r="AD466" t="s">
        <v>97</v>
      </c>
    </row>
    <row r="467" spans="1:30" x14ac:dyDescent="0.25">
      <c r="A467" t="s">
        <v>3586</v>
      </c>
      <c r="B467" t="s">
        <v>63</v>
      </c>
      <c r="C467" t="s">
        <v>26</v>
      </c>
      <c r="D467" t="s">
        <v>64</v>
      </c>
      <c r="E467" t="s">
        <v>3587</v>
      </c>
      <c r="F467" t="s">
        <v>3588</v>
      </c>
      <c r="G467">
        <v>1038411339</v>
      </c>
      <c r="H467" t="s">
        <v>3589</v>
      </c>
      <c r="I467" s="4" t="s">
        <v>3590</v>
      </c>
      <c r="J467" s="4" t="s">
        <v>35</v>
      </c>
      <c r="K467" t="s">
        <v>3591</v>
      </c>
      <c r="L467" t="s">
        <v>43</v>
      </c>
      <c r="M467" t="s">
        <v>3592</v>
      </c>
      <c r="N467" t="s">
        <v>44</v>
      </c>
      <c r="O467" t="s">
        <v>65</v>
      </c>
      <c r="P467" t="s">
        <v>69</v>
      </c>
      <c r="Q467" t="s">
        <v>31</v>
      </c>
      <c r="R467">
        <v>9</v>
      </c>
      <c r="S467" t="s">
        <v>3593</v>
      </c>
      <c r="T467" t="s">
        <v>1652</v>
      </c>
      <c r="U467" t="s">
        <v>5422</v>
      </c>
      <c r="V467" t="s">
        <v>32</v>
      </c>
      <c r="W467" t="s">
        <v>33</v>
      </c>
      <c r="X467" t="s">
        <v>33</v>
      </c>
      <c r="Y467" t="s">
        <v>33</v>
      </c>
      <c r="Z467" s="16" t="s">
        <v>34</v>
      </c>
      <c r="AA467">
        <v>-75.613828139999995</v>
      </c>
      <c r="AB467">
        <v>6.1617301900000001</v>
      </c>
      <c r="AC467" t="s">
        <v>96</v>
      </c>
      <c r="AD467" t="s">
        <v>97</v>
      </c>
    </row>
    <row r="468" spans="1:30" x14ac:dyDescent="0.25">
      <c r="A468" t="s">
        <v>3484</v>
      </c>
      <c r="B468" t="s">
        <v>25</v>
      </c>
      <c r="C468" t="s">
        <v>26</v>
      </c>
      <c r="D468" t="s">
        <v>25</v>
      </c>
      <c r="E468" t="s">
        <v>3485</v>
      </c>
      <c r="F468" t="s">
        <v>3486</v>
      </c>
      <c r="G468">
        <v>1128461046</v>
      </c>
      <c r="H468" t="s">
        <v>3439</v>
      </c>
      <c r="I468" s="4" t="s">
        <v>35</v>
      </c>
      <c r="J468" s="4" t="s">
        <v>2234</v>
      </c>
      <c r="K468" t="s">
        <v>3487</v>
      </c>
      <c r="L468" t="s">
        <v>27</v>
      </c>
      <c r="M468" t="s">
        <v>3488</v>
      </c>
      <c r="N468" t="s">
        <v>28</v>
      </c>
      <c r="O468" t="s">
        <v>29</v>
      </c>
      <c r="P468" t="s">
        <v>30</v>
      </c>
      <c r="Q468" t="s">
        <v>31</v>
      </c>
      <c r="R468">
        <v>7</v>
      </c>
      <c r="S468" t="s">
        <v>3489</v>
      </c>
      <c r="T468" t="s">
        <v>5423</v>
      </c>
      <c r="U468" t="s">
        <v>5424</v>
      </c>
      <c r="V468" t="s">
        <v>32</v>
      </c>
      <c r="W468" t="s">
        <v>33</v>
      </c>
      <c r="X468" t="s">
        <v>33</v>
      </c>
      <c r="Y468" t="s">
        <v>33</v>
      </c>
      <c r="Z468" s="16" t="s">
        <v>34</v>
      </c>
      <c r="AA468">
        <v>-75.659677209999998</v>
      </c>
      <c r="AB468">
        <v>6.1874670399999996</v>
      </c>
      <c r="AC468" t="s">
        <v>96</v>
      </c>
      <c r="AD468" t="s">
        <v>97</v>
      </c>
    </row>
    <row r="469" spans="1:30" x14ac:dyDescent="0.25">
      <c r="A469" t="s">
        <v>3490</v>
      </c>
      <c r="B469" t="s">
        <v>25</v>
      </c>
      <c r="C469" t="s">
        <v>26</v>
      </c>
      <c r="D469" t="s">
        <v>25</v>
      </c>
      <c r="E469" t="s">
        <v>3491</v>
      </c>
      <c r="F469" t="s">
        <v>3492</v>
      </c>
      <c r="G469">
        <v>1128461046</v>
      </c>
      <c r="H469" t="s">
        <v>3439</v>
      </c>
      <c r="I469" s="4" t="s">
        <v>35</v>
      </c>
      <c r="J469" s="4" t="s">
        <v>2234</v>
      </c>
      <c r="K469" t="s">
        <v>3493</v>
      </c>
      <c r="L469" t="s">
        <v>27</v>
      </c>
      <c r="M469" t="s">
        <v>3494</v>
      </c>
      <c r="N469" t="s">
        <v>28</v>
      </c>
      <c r="O469" t="s">
        <v>29</v>
      </c>
      <c r="P469" t="s">
        <v>30</v>
      </c>
      <c r="Q469" t="s">
        <v>31</v>
      </c>
      <c r="R469">
        <v>7</v>
      </c>
      <c r="S469" t="s">
        <v>3495</v>
      </c>
      <c r="T469" t="s">
        <v>5423</v>
      </c>
      <c r="U469" t="s">
        <v>5424</v>
      </c>
      <c r="V469" t="s">
        <v>32</v>
      </c>
      <c r="W469" t="s">
        <v>33</v>
      </c>
      <c r="X469" t="s">
        <v>33</v>
      </c>
      <c r="Y469" t="s">
        <v>33</v>
      </c>
      <c r="Z469" s="16" t="s">
        <v>34</v>
      </c>
      <c r="AA469">
        <v>-75.659677209999998</v>
      </c>
      <c r="AB469">
        <v>6.1874670399999996</v>
      </c>
      <c r="AC469" t="s">
        <v>96</v>
      </c>
      <c r="AD469" t="s">
        <v>97</v>
      </c>
    </row>
    <row r="470" spans="1:30" x14ac:dyDescent="0.25">
      <c r="A470" t="s">
        <v>4166</v>
      </c>
      <c r="B470" t="s">
        <v>25</v>
      </c>
      <c r="C470" t="s">
        <v>26</v>
      </c>
      <c r="D470" t="s">
        <v>38</v>
      </c>
      <c r="E470" t="s">
        <v>4167</v>
      </c>
      <c r="F470" t="s">
        <v>4168</v>
      </c>
      <c r="G470">
        <v>43534829</v>
      </c>
      <c r="H470" t="s">
        <v>4169</v>
      </c>
      <c r="I470" s="4" t="s">
        <v>4170</v>
      </c>
      <c r="J470" s="4" t="s">
        <v>4171</v>
      </c>
      <c r="K470" t="s">
        <v>4172</v>
      </c>
      <c r="L470" t="s">
        <v>27</v>
      </c>
      <c r="M470" t="s">
        <v>4173</v>
      </c>
      <c r="N470" t="s">
        <v>28</v>
      </c>
      <c r="O470" t="s">
        <v>39</v>
      </c>
      <c r="P470" t="s">
        <v>40</v>
      </c>
      <c r="Q470" t="s">
        <v>31</v>
      </c>
      <c r="R470">
        <v>5</v>
      </c>
      <c r="S470" t="s">
        <v>4174</v>
      </c>
      <c r="T470" t="s">
        <v>5425</v>
      </c>
      <c r="U470" t="s">
        <v>5426</v>
      </c>
      <c r="V470" t="s">
        <v>32</v>
      </c>
      <c r="W470" t="s">
        <v>33</v>
      </c>
      <c r="X470" t="s">
        <v>33</v>
      </c>
      <c r="Y470" t="s">
        <v>33</v>
      </c>
      <c r="Z470" s="16" t="s">
        <v>34</v>
      </c>
      <c r="AA470">
        <v>-75.548153850000006</v>
      </c>
      <c r="AB470">
        <v>6.2490289299999997</v>
      </c>
      <c r="AC470" t="s">
        <v>96</v>
      </c>
      <c r="AD470" t="s">
        <v>97</v>
      </c>
    </row>
    <row r="471" spans="1:30" x14ac:dyDescent="0.25">
      <c r="A471" t="s">
        <v>3594</v>
      </c>
      <c r="B471" t="s">
        <v>63</v>
      </c>
      <c r="C471" t="s">
        <v>26</v>
      </c>
      <c r="D471" t="s">
        <v>64</v>
      </c>
      <c r="E471" t="s">
        <v>3595</v>
      </c>
      <c r="F471" t="s">
        <v>3596</v>
      </c>
      <c r="G471">
        <v>1152189127</v>
      </c>
      <c r="H471" t="s">
        <v>3597</v>
      </c>
      <c r="I471" s="4" t="s">
        <v>3598</v>
      </c>
      <c r="J471" s="4" t="s">
        <v>3599</v>
      </c>
      <c r="K471" t="s">
        <v>3600</v>
      </c>
      <c r="L471" t="s">
        <v>27</v>
      </c>
      <c r="M471" t="s">
        <v>3601</v>
      </c>
      <c r="N471" t="s">
        <v>28</v>
      </c>
      <c r="O471" t="s">
        <v>65</v>
      </c>
      <c r="P471" t="s">
        <v>66</v>
      </c>
      <c r="Q471" t="s">
        <v>31</v>
      </c>
      <c r="R471">
        <v>9</v>
      </c>
      <c r="S471" t="s">
        <v>3602</v>
      </c>
      <c r="T471" t="s">
        <v>5427</v>
      </c>
      <c r="U471" t="s">
        <v>5428</v>
      </c>
      <c r="V471" t="s">
        <v>32</v>
      </c>
      <c r="W471" t="s">
        <v>33</v>
      </c>
      <c r="X471" t="s">
        <v>33</v>
      </c>
      <c r="Y471" t="s">
        <v>33</v>
      </c>
      <c r="Z471" s="16" t="s">
        <v>34</v>
      </c>
      <c r="AA471">
        <v>-75.620452119999996</v>
      </c>
      <c r="AB471">
        <v>6.2362439800000002</v>
      </c>
      <c r="AC471" t="s">
        <v>96</v>
      </c>
      <c r="AD471" t="s">
        <v>97</v>
      </c>
    </row>
    <row r="472" spans="1:30" x14ac:dyDescent="0.25">
      <c r="A472" t="s">
        <v>3496</v>
      </c>
      <c r="B472" t="s">
        <v>41</v>
      </c>
      <c r="C472" t="s">
        <v>26</v>
      </c>
      <c r="D472" t="s">
        <v>41</v>
      </c>
      <c r="E472" t="s">
        <v>3497</v>
      </c>
      <c r="F472" t="s">
        <v>3498</v>
      </c>
      <c r="G472">
        <v>16236835</v>
      </c>
      <c r="H472" t="s">
        <v>3499</v>
      </c>
      <c r="I472" s="4" t="s">
        <v>35</v>
      </c>
      <c r="J472" s="4" t="s">
        <v>3500</v>
      </c>
      <c r="K472" t="s">
        <v>3501</v>
      </c>
      <c r="L472" t="s">
        <v>55</v>
      </c>
      <c r="M472" t="s">
        <v>3502</v>
      </c>
      <c r="N472" t="s">
        <v>56</v>
      </c>
      <c r="O472" t="s">
        <v>42</v>
      </c>
      <c r="P472" t="s">
        <v>36</v>
      </c>
      <c r="Q472" t="s">
        <v>31</v>
      </c>
      <c r="R472">
        <v>7</v>
      </c>
      <c r="S472" t="s">
        <v>3503</v>
      </c>
      <c r="T472" t="s">
        <v>5429</v>
      </c>
      <c r="U472" t="s">
        <v>5430</v>
      </c>
      <c r="V472" t="s">
        <v>32</v>
      </c>
      <c r="W472" t="s">
        <v>33</v>
      </c>
      <c r="X472" t="s">
        <v>33</v>
      </c>
      <c r="Y472" t="s">
        <v>33</v>
      </c>
      <c r="Z472" s="16" t="s">
        <v>34</v>
      </c>
      <c r="AA472">
        <v>-75.636704739999999</v>
      </c>
      <c r="AB472">
        <v>6.0960636600000004</v>
      </c>
      <c r="AC472" t="s">
        <v>96</v>
      </c>
      <c r="AD472" t="s">
        <v>97</v>
      </c>
    </row>
    <row r="473" spans="1:30" x14ac:dyDescent="0.25">
      <c r="A473" t="s">
        <v>3504</v>
      </c>
      <c r="B473" t="s">
        <v>41</v>
      </c>
      <c r="C473" t="s">
        <v>26</v>
      </c>
      <c r="D473" t="s">
        <v>41</v>
      </c>
      <c r="E473" t="s">
        <v>3505</v>
      </c>
      <c r="F473" t="s">
        <v>3506</v>
      </c>
      <c r="G473">
        <v>1128461046</v>
      </c>
      <c r="H473" t="s">
        <v>3439</v>
      </c>
      <c r="I473" s="4" t="s">
        <v>35</v>
      </c>
      <c r="J473" s="4" t="s">
        <v>2234</v>
      </c>
      <c r="K473" t="s">
        <v>3507</v>
      </c>
      <c r="L473" t="s">
        <v>27</v>
      </c>
      <c r="M473" t="s">
        <v>3508</v>
      </c>
      <c r="N473" t="s">
        <v>28</v>
      </c>
      <c r="O473" t="s">
        <v>42</v>
      </c>
      <c r="P473" t="s">
        <v>36</v>
      </c>
      <c r="Q473" t="s">
        <v>31</v>
      </c>
      <c r="R473">
        <v>7</v>
      </c>
      <c r="S473" t="s">
        <v>3509</v>
      </c>
      <c r="T473" t="s">
        <v>5431</v>
      </c>
      <c r="U473" t="s">
        <v>5432</v>
      </c>
      <c r="V473" t="s">
        <v>32</v>
      </c>
      <c r="W473" t="s">
        <v>33</v>
      </c>
      <c r="X473" t="s">
        <v>33</v>
      </c>
      <c r="Y473" t="s">
        <v>33</v>
      </c>
      <c r="Z473" s="16" t="s">
        <v>34</v>
      </c>
      <c r="AA473">
        <v>-75.659795380000006</v>
      </c>
      <c r="AB473">
        <v>6.1874647700000001</v>
      </c>
      <c r="AC473" t="s">
        <v>96</v>
      </c>
      <c r="AD473" t="s">
        <v>97</v>
      </c>
    </row>
    <row r="474" spans="1:30" x14ac:dyDescent="0.25">
      <c r="A474" t="s">
        <v>3511</v>
      </c>
      <c r="B474" t="s">
        <v>25</v>
      </c>
      <c r="C474" t="s">
        <v>26</v>
      </c>
      <c r="D474" t="s">
        <v>25</v>
      </c>
      <c r="E474" t="s">
        <v>3512</v>
      </c>
      <c r="F474" t="s">
        <v>3513</v>
      </c>
      <c r="G474">
        <v>32259087</v>
      </c>
      <c r="H474" t="s">
        <v>3514</v>
      </c>
      <c r="I474" s="4" t="s">
        <v>35</v>
      </c>
      <c r="J474" s="4" t="s">
        <v>3515</v>
      </c>
      <c r="K474" t="s">
        <v>3516</v>
      </c>
      <c r="L474" t="s">
        <v>27</v>
      </c>
      <c r="M474" t="s">
        <v>3517</v>
      </c>
      <c r="N474" t="s">
        <v>28</v>
      </c>
      <c r="O474" t="s">
        <v>29</v>
      </c>
      <c r="P474" t="s">
        <v>36</v>
      </c>
      <c r="Q474" t="s">
        <v>31</v>
      </c>
      <c r="R474">
        <v>7</v>
      </c>
      <c r="S474" t="s">
        <v>3518</v>
      </c>
      <c r="T474" t="s">
        <v>5433</v>
      </c>
      <c r="U474" t="s">
        <v>5434</v>
      </c>
      <c r="V474" t="s">
        <v>32</v>
      </c>
      <c r="W474" t="s">
        <v>33</v>
      </c>
      <c r="X474" t="s">
        <v>33</v>
      </c>
      <c r="Y474" t="s">
        <v>33</v>
      </c>
      <c r="Z474" s="16" t="s">
        <v>34</v>
      </c>
      <c r="AA474">
        <v>-75.62222998</v>
      </c>
      <c r="AB474">
        <v>6.2510973200000004</v>
      </c>
      <c r="AC474" t="s">
        <v>96</v>
      </c>
      <c r="AD474" t="s">
        <v>97</v>
      </c>
    </row>
    <row r="475" spans="1:30" x14ac:dyDescent="0.25">
      <c r="A475" t="s">
        <v>4175</v>
      </c>
      <c r="B475" t="s">
        <v>25</v>
      </c>
      <c r="C475" t="s">
        <v>26</v>
      </c>
      <c r="D475" t="s">
        <v>38</v>
      </c>
      <c r="E475" t="s">
        <v>4176</v>
      </c>
      <c r="F475" t="s">
        <v>4177</v>
      </c>
      <c r="G475">
        <v>1127662555</v>
      </c>
      <c r="H475" t="s">
        <v>4178</v>
      </c>
      <c r="I475" s="4" t="s">
        <v>35</v>
      </c>
      <c r="J475" s="4" t="s">
        <v>4179</v>
      </c>
      <c r="K475" t="s">
        <v>4180</v>
      </c>
      <c r="L475" t="s">
        <v>27</v>
      </c>
      <c r="M475" t="s">
        <v>4181</v>
      </c>
      <c r="N475" t="s">
        <v>28</v>
      </c>
      <c r="O475" t="s">
        <v>39</v>
      </c>
      <c r="P475" t="s">
        <v>40</v>
      </c>
      <c r="Q475" t="s">
        <v>31</v>
      </c>
      <c r="R475">
        <v>5</v>
      </c>
      <c r="S475" t="s">
        <v>4182</v>
      </c>
      <c r="T475" t="s">
        <v>5435</v>
      </c>
      <c r="U475" t="s">
        <v>5436</v>
      </c>
      <c r="V475" t="s">
        <v>32</v>
      </c>
      <c r="W475" t="s">
        <v>33</v>
      </c>
      <c r="X475" t="s">
        <v>33</v>
      </c>
      <c r="Y475" t="s">
        <v>33</v>
      </c>
      <c r="Z475" s="16" t="s">
        <v>34</v>
      </c>
      <c r="AA475">
        <v>-75.608827509999998</v>
      </c>
      <c r="AB475">
        <v>6.2714277699999998</v>
      </c>
      <c r="AC475" t="s">
        <v>96</v>
      </c>
      <c r="AD475" t="s">
        <v>97</v>
      </c>
    </row>
    <row r="476" spans="1:30" x14ac:dyDescent="0.25">
      <c r="A476" t="s">
        <v>4183</v>
      </c>
      <c r="B476" t="s">
        <v>59</v>
      </c>
      <c r="C476" t="s">
        <v>26</v>
      </c>
      <c r="D476" t="s">
        <v>59</v>
      </c>
      <c r="E476" t="s">
        <v>4184</v>
      </c>
      <c r="F476" t="s">
        <v>4185</v>
      </c>
      <c r="G476">
        <v>3408474</v>
      </c>
      <c r="H476" t="s">
        <v>4186</v>
      </c>
      <c r="I476" s="4" t="s">
        <v>35</v>
      </c>
      <c r="J476" s="4" t="s">
        <v>4187</v>
      </c>
      <c r="K476" t="s">
        <v>4188</v>
      </c>
      <c r="L476" t="s">
        <v>27</v>
      </c>
      <c r="M476" t="s">
        <v>4189</v>
      </c>
      <c r="N476" t="s">
        <v>28</v>
      </c>
      <c r="O476" t="s">
        <v>60</v>
      </c>
      <c r="P476" t="s">
        <v>61</v>
      </c>
      <c r="Q476" t="s">
        <v>31</v>
      </c>
      <c r="R476">
        <v>4</v>
      </c>
      <c r="S476" t="s">
        <v>4190</v>
      </c>
      <c r="T476" t="s">
        <v>5437</v>
      </c>
      <c r="U476" t="s">
        <v>5437</v>
      </c>
      <c r="V476" t="s">
        <v>48</v>
      </c>
      <c r="W476" t="s">
        <v>33</v>
      </c>
      <c r="X476" t="s">
        <v>33</v>
      </c>
      <c r="Y476" t="s">
        <v>33</v>
      </c>
      <c r="Z476" s="16" t="s">
        <v>34</v>
      </c>
      <c r="AA476">
        <v>-75.574795120000005</v>
      </c>
      <c r="AB476">
        <v>6.2404517500000001</v>
      </c>
      <c r="AC476" t="s">
        <v>96</v>
      </c>
      <c r="AD476" t="s">
        <v>97</v>
      </c>
    </row>
    <row r="477" spans="1:30" x14ac:dyDescent="0.25">
      <c r="A477" t="s">
        <v>4192</v>
      </c>
      <c r="B477" t="s">
        <v>25</v>
      </c>
      <c r="C477" t="s">
        <v>26</v>
      </c>
      <c r="D477" t="s">
        <v>38</v>
      </c>
      <c r="E477" t="s">
        <v>4193</v>
      </c>
      <c r="F477" t="s">
        <v>4194</v>
      </c>
      <c r="G477">
        <v>1036687696</v>
      </c>
      <c r="H477" t="s">
        <v>4195</v>
      </c>
      <c r="I477" s="4" t="s">
        <v>4196</v>
      </c>
      <c r="J477" s="4" t="s">
        <v>4197</v>
      </c>
      <c r="K477" t="s">
        <v>4198</v>
      </c>
      <c r="L477" t="s">
        <v>43</v>
      </c>
      <c r="M477" t="s">
        <v>4199</v>
      </c>
      <c r="N477" t="s">
        <v>44</v>
      </c>
      <c r="O477" t="s">
        <v>39</v>
      </c>
      <c r="P477" t="s">
        <v>40</v>
      </c>
      <c r="Q477" t="s">
        <v>31</v>
      </c>
      <c r="R477">
        <v>5</v>
      </c>
      <c r="S477" t="s">
        <v>4200</v>
      </c>
      <c r="T477" t="s">
        <v>5438</v>
      </c>
      <c r="U477" t="s">
        <v>5439</v>
      </c>
      <c r="V477" t="s">
        <v>32</v>
      </c>
      <c r="W477" t="s">
        <v>33</v>
      </c>
      <c r="X477" t="s">
        <v>33</v>
      </c>
      <c r="Y477" t="s">
        <v>33</v>
      </c>
      <c r="Z477" s="16" t="s">
        <v>34</v>
      </c>
      <c r="AA477">
        <v>-75.617340589999998</v>
      </c>
      <c r="AB477">
        <v>6.1875796999999997</v>
      </c>
      <c r="AC477" t="s">
        <v>96</v>
      </c>
      <c r="AD477" t="s">
        <v>97</v>
      </c>
    </row>
    <row r="478" spans="1:30" x14ac:dyDescent="0.25">
      <c r="A478" t="s">
        <v>4201</v>
      </c>
      <c r="B478" t="s">
        <v>25</v>
      </c>
      <c r="C478" t="s">
        <v>26</v>
      </c>
      <c r="D478" t="s">
        <v>38</v>
      </c>
      <c r="E478" t="s">
        <v>4202</v>
      </c>
      <c r="F478" t="s">
        <v>4203</v>
      </c>
      <c r="G478">
        <v>1047367619</v>
      </c>
      <c r="H478" t="s">
        <v>4204</v>
      </c>
      <c r="I478" s="4" t="s">
        <v>35</v>
      </c>
      <c r="J478" s="4" t="s">
        <v>4205</v>
      </c>
      <c r="K478" t="s">
        <v>4206</v>
      </c>
      <c r="L478" t="s">
        <v>27</v>
      </c>
      <c r="M478" t="s">
        <v>4207</v>
      </c>
      <c r="N478" t="s">
        <v>28</v>
      </c>
      <c r="O478" t="s">
        <v>39</v>
      </c>
      <c r="P478" t="s">
        <v>40</v>
      </c>
      <c r="Q478" t="s">
        <v>31</v>
      </c>
      <c r="R478">
        <v>5</v>
      </c>
      <c r="S478" t="s">
        <v>4208</v>
      </c>
      <c r="T478" t="s">
        <v>5440</v>
      </c>
      <c r="U478" t="s">
        <v>5441</v>
      </c>
      <c r="V478" t="s">
        <v>32</v>
      </c>
      <c r="W478" t="s">
        <v>33</v>
      </c>
      <c r="X478" t="s">
        <v>33</v>
      </c>
      <c r="Y478" t="s">
        <v>33</v>
      </c>
      <c r="Z478" s="16" t="s">
        <v>34</v>
      </c>
      <c r="AA478">
        <v>-75.540347659999995</v>
      </c>
      <c r="AB478">
        <v>6.2532912500000002</v>
      </c>
      <c r="AC478" t="s">
        <v>96</v>
      </c>
      <c r="AD478" t="s">
        <v>97</v>
      </c>
    </row>
    <row r="479" spans="1:30" x14ac:dyDescent="0.25">
      <c r="A479" t="s">
        <v>4209</v>
      </c>
      <c r="B479" t="s">
        <v>25</v>
      </c>
      <c r="C479" t="s">
        <v>26</v>
      </c>
      <c r="D479" t="s">
        <v>38</v>
      </c>
      <c r="E479" t="s">
        <v>4210</v>
      </c>
      <c r="F479" t="s">
        <v>4211</v>
      </c>
      <c r="G479">
        <v>1022095529</v>
      </c>
      <c r="H479" t="s">
        <v>4212</v>
      </c>
      <c r="I479" s="4" t="s">
        <v>35</v>
      </c>
      <c r="J479" s="4" t="s">
        <v>4213</v>
      </c>
      <c r="K479" t="s">
        <v>4214</v>
      </c>
      <c r="L479" t="s">
        <v>27</v>
      </c>
      <c r="M479" t="s">
        <v>4215</v>
      </c>
      <c r="N479" t="s">
        <v>28</v>
      </c>
      <c r="O479" t="s">
        <v>39</v>
      </c>
      <c r="P479" t="s">
        <v>40</v>
      </c>
      <c r="Q479" t="s">
        <v>31</v>
      </c>
      <c r="R479">
        <v>5</v>
      </c>
      <c r="S479" t="s">
        <v>4216</v>
      </c>
      <c r="T479" t="s">
        <v>5442</v>
      </c>
      <c r="U479" t="s">
        <v>5443</v>
      </c>
      <c r="V479" t="s">
        <v>32</v>
      </c>
      <c r="W479" t="s">
        <v>33</v>
      </c>
      <c r="X479" t="s">
        <v>33</v>
      </c>
      <c r="Y479" t="s">
        <v>33</v>
      </c>
      <c r="Z479" s="16" t="s">
        <v>34</v>
      </c>
      <c r="AA479">
        <v>-75.528360269999993</v>
      </c>
      <c r="AB479">
        <v>6.2297986300000003</v>
      </c>
      <c r="AC479" t="s">
        <v>96</v>
      </c>
      <c r="AD479" t="s">
        <v>97</v>
      </c>
    </row>
    <row r="480" spans="1:30" x14ac:dyDescent="0.25">
      <c r="A480" t="s">
        <v>4217</v>
      </c>
      <c r="B480" t="s">
        <v>25</v>
      </c>
      <c r="C480" t="s">
        <v>26</v>
      </c>
      <c r="D480" t="s">
        <v>38</v>
      </c>
      <c r="E480" t="s">
        <v>4218</v>
      </c>
      <c r="F480" t="s">
        <v>4219</v>
      </c>
      <c r="G480">
        <v>43364838</v>
      </c>
      <c r="H480" t="s">
        <v>4220</v>
      </c>
      <c r="I480" s="4" t="s">
        <v>35</v>
      </c>
      <c r="J480" s="4" t="s">
        <v>4221</v>
      </c>
      <c r="K480" t="s">
        <v>4222</v>
      </c>
      <c r="L480" t="s">
        <v>27</v>
      </c>
      <c r="M480" t="s">
        <v>4223</v>
      </c>
      <c r="N480" t="s">
        <v>28</v>
      </c>
      <c r="O480" t="s">
        <v>39</v>
      </c>
      <c r="P480" t="s">
        <v>40</v>
      </c>
      <c r="Q480" t="s">
        <v>31</v>
      </c>
      <c r="R480">
        <v>5</v>
      </c>
      <c r="S480" t="s">
        <v>4224</v>
      </c>
      <c r="T480" t="s">
        <v>4922</v>
      </c>
      <c r="U480" t="s">
        <v>5444</v>
      </c>
      <c r="V480" t="s">
        <v>32</v>
      </c>
      <c r="W480" t="s">
        <v>33</v>
      </c>
      <c r="X480" t="s">
        <v>33</v>
      </c>
      <c r="Y480" t="s">
        <v>33</v>
      </c>
      <c r="Z480" s="16" t="s">
        <v>34</v>
      </c>
      <c r="AA480">
        <v>-75.542624230000001</v>
      </c>
      <c r="AB480">
        <v>6.2416582900000002</v>
      </c>
      <c r="AC480" t="s">
        <v>96</v>
      </c>
      <c r="AD480" t="s">
        <v>97</v>
      </c>
    </row>
    <row r="481" spans="1:30" x14ac:dyDescent="0.25">
      <c r="A481" t="s">
        <v>4226</v>
      </c>
      <c r="B481" t="s">
        <v>49</v>
      </c>
      <c r="C481" t="s">
        <v>26</v>
      </c>
      <c r="D481" t="s">
        <v>49</v>
      </c>
      <c r="E481" t="s">
        <v>4227</v>
      </c>
      <c r="F481" t="s">
        <v>4228</v>
      </c>
      <c r="G481">
        <v>98523592</v>
      </c>
      <c r="H481" t="s">
        <v>4229</v>
      </c>
      <c r="I481" s="4" t="s">
        <v>35</v>
      </c>
      <c r="J481" s="4" t="s">
        <v>4230</v>
      </c>
      <c r="K481" t="s">
        <v>4231</v>
      </c>
      <c r="L481" t="s">
        <v>27</v>
      </c>
      <c r="M481" t="s">
        <v>4232</v>
      </c>
      <c r="N481" t="s">
        <v>28</v>
      </c>
      <c r="O481" t="s">
        <v>50</v>
      </c>
      <c r="P481" t="s">
        <v>51</v>
      </c>
      <c r="Q481" t="s">
        <v>31</v>
      </c>
      <c r="R481">
        <v>11</v>
      </c>
      <c r="S481" t="s">
        <v>4233</v>
      </c>
      <c r="T481" t="s">
        <v>5445</v>
      </c>
      <c r="U481" t="s">
        <v>5446</v>
      </c>
      <c r="V481" t="s">
        <v>32</v>
      </c>
      <c r="W481" t="s">
        <v>33</v>
      </c>
      <c r="X481" t="s">
        <v>33</v>
      </c>
      <c r="Y481" t="s">
        <v>33</v>
      </c>
      <c r="Z481" s="16" t="s">
        <v>34</v>
      </c>
      <c r="AA481">
        <v>-75.611457569999999</v>
      </c>
      <c r="AB481">
        <v>6.2226487800000001</v>
      </c>
      <c r="AC481" t="s">
        <v>96</v>
      </c>
      <c r="AD481" t="s">
        <v>97</v>
      </c>
    </row>
    <row r="482" spans="1:30" x14ac:dyDescent="0.25">
      <c r="A482" t="s">
        <v>4234</v>
      </c>
      <c r="B482" t="s">
        <v>41</v>
      </c>
      <c r="C482" t="s">
        <v>26</v>
      </c>
      <c r="D482" t="s">
        <v>41</v>
      </c>
      <c r="E482" t="s">
        <v>4235</v>
      </c>
      <c r="F482" t="s">
        <v>4236</v>
      </c>
      <c r="G482">
        <v>32255581</v>
      </c>
      <c r="H482" t="s">
        <v>4237</v>
      </c>
      <c r="I482" s="4" t="s">
        <v>4238</v>
      </c>
      <c r="J482" s="4" t="s">
        <v>4239</v>
      </c>
      <c r="K482" t="s">
        <v>4240</v>
      </c>
      <c r="L482" t="s">
        <v>27</v>
      </c>
      <c r="M482" t="s">
        <v>4241</v>
      </c>
      <c r="N482" t="s">
        <v>28</v>
      </c>
      <c r="O482" t="s">
        <v>42</v>
      </c>
      <c r="P482" t="s">
        <v>36</v>
      </c>
      <c r="Q482" t="s">
        <v>31</v>
      </c>
      <c r="R482">
        <v>7</v>
      </c>
      <c r="S482" t="s">
        <v>4242</v>
      </c>
      <c r="T482" t="s">
        <v>5447</v>
      </c>
      <c r="U482" t="s">
        <v>5448</v>
      </c>
      <c r="V482" t="s">
        <v>32</v>
      </c>
      <c r="W482" t="s">
        <v>33</v>
      </c>
      <c r="X482" t="s">
        <v>33</v>
      </c>
      <c r="Y482" t="s">
        <v>33</v>
      </c>
      <c r="Z482" s="16" t="s">
        <v>34</v>
      </c>
      <c r="AA482">
        <v>-75.574956</v>
      </c>
      <c r="AB482">
        <v>6.1875790000000004</v>
      </c>
      <c r="AC482" t="s">
        <v>96</v>
      </c>
      <c r="AD482" t="s">
        <v>97</v>
      </c>
    </row>
    <row r="483" spans="1:30" x14ac:dyDescent="0.25">
      <c r="A483" t="s">
        <v>4243</v>
      </c>
      <c r="B483" t="s">
        <v>25</v>
      </c>
      <c r="C483" t="s">
        <v>26</v>
      </c>
      <c r="D483" t="s">
        <v>25</v>
      </c>
      <c r="E483" t="s">
        <v>4244</v>
      </c>
      <c r="F483" t="s">
        <v>4245</v>
      </c>
      <c r="G483">
        <v>42895825</v>
      </c>
      <c r="H483" t="s">
        <v>4246</v>
      </c>
      <c r="I483" s="4" t="s">
        <v>4247</v>
      </c>
      <c r="J483" s="4" t="s">
        <v>4248</v>
      </c>
      <c r="K483" t="s">
        <v>4249</v>
      </c>
      <c r="L483" t="s">
        <v>27</v>
      </c>
      <c r="M483" t="s">
        <v>4250</v>
      </c>
      <c r="N483" t="s">
        <v>28</v>
      </c>
      <c r="O483" t="s">
        <v>29</v>
      </c>
      <c r="P483" t="s">
        <v>36</v>
      </c>
      <c r="Q483" t="s">
        <v>31</v>
      </c>
      <c r="R483">
        <v>7</v>
      </c>
      <c r="S483" t="s">
        <v>4251</v>
      </c>
      <c r="T483" t="s">
        <v>5449</v>
      </c>
      <c r="U483" t="s">
        <v>5450</v>
      </c>
      <c r="V483" t="s">
        <v>32</v>
      </c>
      <c r="W483" t="s">
        <v>33</v>
      </c>
      <c r="X483" t="s">
        <v>33</v>
      </c>
      <c r="Y483" t="s">
        <v>33</v>
      </c>
      <c r="Z483" s="16" t="s">
        <v>34</v>
      </c>
      <c r="AA483">
        <v>-75.630893</v>
      </c>
      <c r="AB483">
        <v>6.2783819999999997</v>
      </c>
      <c r="AC483" t="s">
        <v>96</v>
      </c>
      <c r="AD483" t="s">
        <v>97</v>
      </c>
    </row>
    <row r="484" spans="1:30" x14ac:dyDescent="0.25">
      <c r="A484" t="s">
        <v>4252</v>
      </c>
      <c r="B484" t="s">
        <v>25</v>
      </c>
      <c r="C484" t="s">
        <v>26</v>
      </c>
      <c r="D484" t="s">
        <v>38</v>
      </c>
      <c r="E484" t="s">
        <v>4253</v>
      </c>
      <c r="F484" t="s">
        <v>4254</v>
      </c>
      <c r="G484">
        <v>43580218</v>
      </c>
      <c r="H484" t="s">
        <v>4255</v>
      </c>
      <c r="I484" s="4" t="s">
        <v>4256</v>
      </c>
      <c r="J484" s="4" t="s">
        <v>4257</v>
      </c>
      <c r="K484" t="s">
        <v>4258</v>
      </c>
      <c r="L484" t="s">
        <v>27</v>
      </c>
      <c r="M484" t="s">
        <v>4259</v>
      </c>
      <c r="N484" t="s">
        <v>28</v>
      </c>
      <c r="O484" t="s">
        <v>39</v>
      </c>
      <c r="P484" t="s">
        <v>40</v>
      </c>
      <c r="Q484" t="s">
        <v>31</v>
      </c>
      <c r="R484">
        <v>5</v>
      </c>
      <c r="S484" t="s">
        <v>4260</v>
      </c>
      <c r="T484" t="s">
        <v>5207</v>
      </c>
      <c r="U484" t="s">
        <v>5206</v>
      </c>
      <c r="V484" t="s">
        <v>32</v>
      </c>
      <c r="W484" t="s">
        <v>33</v>
      </c>
      <c r="X484" t="s">
        <v>33</v>
      </c>
      <c r="Y484" t="s">
        <v>33</v>
      </c>
      <c r="Z484" s="16" t="s">
        <v>34</v>
      </c>
      <c r="AA484">
        <v>-75.617460030000004</v>
      </c>
      <c r="AB484">
        <v>6.26011001</v>
      </c>
      <c r="AC484" t="s">
        <v>96</v>
      </c>
      <c r="AD484" t="s">
        <v>97</v>
      </c>
    </row>
    <row r="485" spans="1:30" x14ac:dyDescent="0.25">
      <c r="A485" t="s">
        <v>3603</v>
      </c>
      <c r="B485" t="s">
        <v>41</v>
      </c>
      <c r="C485" t="s">
        <v>26</v>
      </c>
      <c r="D485" t="s">
        <v>41</v>
      </c>
      <c r="E485" t="s">
        <v>3604</v>
      </c>
      <c r="F485" t="s">
        <v>3605</v>
      </c>
      <c r="G485">
        <v>8909049961</v>
      </c>
      <c r="H485" t="s">
        <v>3606</v>
      </c>
      <c r="I485" s="4" t="s">
        <v>52</v>
      </c>
      <c r="J485" s="4" t="s">
        <v>3607</v>
      </c>
      <c r="K485" t="s">
        <v>3608</v>
      </c>
      <c r="L485" t="s">
        <v>53</v>
      </c>
      <c r="M485" t="s">
        <v>3609</v>
      </c>
      <c r="N485" t="s">
        <v>54</v>
      </c>
      <c r="O485" t="s">
        <v>42</v>
      </c>
      <c r="P485" t="s">
        <v>3610</v>
      </c>
      <c r="Q485" t="s">
        <v>31</v>
      </c>
      <c r="R485">
        <v>7</v>
      </c>
      <c r="S485" t="s">
        <v>3611</v>
      </c>
      <c r="T485" t="s">
        <v>5451</v>
      </c>
      <c r="U485" t="s">
        <v>5452</v>
      </c>
      <c r="V485" t="s">
        <v>32</v>
      </c>
      <c r="W485" t="s">
        <v>33</v>
      </c>
      <c r="X485" t="s">
        <v>33</v>
      </c>
      <c r="Y485" t="s">
        <v>33</v>
      </c>
      <c r="Z485" s="16" t="s">
        <v>34</v>
      </c>
      <c r="AA485">
        <v>-75.640195000000006</v>
      </c>
      <c r="AB485">
        <v>6.1514949999999997</v>
      </c>
      <c r="AC485" t="s">
        <v>96</v>
      </c>
      <c r="AD485" t="s">
        <v>97</v>
      </c>
    </row>
    <row r="486" spans="1:30" x14ac:dyDescent="0.25">
      <c r="A486" t="s">
        <v>3612</v>
      </c>
      <c r="B486" t="s">
        <v>41</v>
      </c>
      <c r="C486" t="s">
        <v>26</v>
      </c>
      <c r="D486" t="s">
        <v>41</v>
      </c>
      <c r="E486" t="s">
        <v>3613</v>
      </c>
      <c r="F486" t="s">
        <v>3614</v>
      </c>
      <c r="G486">
        <v>8909049961</v>
      </c>
      <c r="H486" t="s">
        <v>3606</v>
      </c>
      <c r="I486" s="4" t="s">
        <v>52</v>
      </c>
      <c r="J486" s="4" t="s">
        <v>3607</v>
      </c>
      <c r="K486" t="s">
        <v>3615</v>
      </c>
      <c r="L486" t="s">
        <v>27</v>
      </c>
      <c r="M486" t="s">
        <v>3616</v>
      </c>
      <c r="N486" t="s">
        <v>28</v>
      </c>
      <c r="O486" t="s">
        <v>42</v>
      </c>
      <c r="P486" t="s">
        <v>3610</v>
      </c>
      <c r="Q486" t="s">
        <v>31</v>
      </c>
      <c r="R486">
        <v>7</v>
      </c>
      <c r="S486" t="s">
        <v>3617</v>
      </c>
      <c r="T486" t="s">
        <v>3368</v>
      </c>
      <c r="U486" t="s">
        <v>3369</v>
      </c>
      <c r="V486" t="s">
        <v>32</v>
      </c>
      <c r="W486" t="s">
        <v>33</v>
      </c>
      <c r="X486" t="s">
        <v>33</v>
      </c>
      <c r="Y486" t="s">
        <v>33</v>
      </c>
      <c r="Z486" s="16" t="s">
        <v>34</v>
      </c>
      <c r="AA486">
        <v>-75.575621620000007</v>
      </c>
      <c r="AB486">
        <v>6.1955118699999998</v>
      </c>
      <c r="AC486" t="s">
        <v>96</v>
      </c>
      <c r="AD486" t="s">
        <v>97</v>
      </c>
    </row>
    <row r="487" spans="1:30" x14ac:dyDescent="0.25">
      <c r="A487" t="s">
        <v>3618</v>
      </c>
      <c r="B487" t="s">
        <v>41</v>
      </c>
      <c r="C487" t="s">
        <v>26</v>
      </c>
      <c r="D487" t="s">
        <v>41</v>
      </c>
      <c r="E487" t="s">
        <v>3619</v>
      </c>
      <c r="F487" t="s">
        <v>3620</v>
      </c>
      <c r="G487">
        <v>8909049961</v>
      </c>
      <c r="H487" t="s">
        <v>3606</v>
      </c>
      <c r="I487" s="4" t="s">
        <v>52</v>
      </c>
      <c r="J487" s="4" t="s">
        <v>3607</v>
      </c>
      <c r="K487" t="s">
        <v>3621</v>
      </c>
      <c r="L487" t="s">
        <v>47</v>
      </c>
      <c r="M487" t="s">
        <v>3622</v>
      </c>
      <c r="N487" t="s">
        <v>62</v>
      </c>
      <c r="O487" t="s">
        <v>42</v>
      </c>
      <c r="P487" t="s">
        <v>3610</v>
      </c>
      <c r="Q487" t="s">
        <v>37</v>
      </c>
      <c r="R487">
        <v>10</v>
      </c>
      <c r="S487" t="s">
        <v>3623</v>
      </c>
      <c r="T487" t="s">
        <v>5453</v>
      </c>
      <c r="U487" t="s">
        <v>5454</v>
      </c>
      <c r="V487" t="s">
        <v>32</v>
      </c>
      <c r="W487" t="s">
        <v>33</v>
      </c>
      <c r="X487" t="s">
        <v>33</v>
      </c>
      <c r="Y487" t="s">
        <v>33</v>
      </c>
      <c r="Z487" s="16" t="s">
        <v>34</v>
      </c>
      <c r="AA487">
        <v>-75.525469259999994</v>
      </c>
      <c r="AB487">
        <v>6.1864249400000002</v>
      </c>
      <c r="AC487" t="s">
        <v>96</v>
      </c>
      <c r="AD487" t="s">
        <v>97</v>
      </c>
    </row>
    <row r="488" spans="1:30" x14ac:dyDescent="0.25">
      <c r="A488" t="s">
        <v>4261</v>
      </c>
      <c r="B488" t="s">
        <v>49</v>
      </c>
      <c r="C488" t="s">
        <v>26</v>
      </c>
      <c r="D488" t="s">
        <v>49</v>
      </c>
      <c r="E488" t="s">
        <v>4262</v>
      </c>
      <c r="F488" t="s">
        <v>4263</v>
      </c>
      <c r="G488">
        <v>1035441440</v>
      </c>
      <c r="H488" t="s">
        <v>656</v>
      </c>
      <c r="I488" s="4" t="s">
        <v>35</v>
      </c>
      <c r="J488" s="4" t="s">
        <v>657</v>
      </c>
      <c r="K488" t="s">
        <v>4264</v>
      </c>
      <c r="L488" t="s">
        <v>27</v>
      </c>
      <c r="M488" t="s">
        <v>4265</v>
      </c>
      <c r="N488" t="s">
        <v>28</v>
      </c>
      <c r="O488" t="s">
        <v>50</v>
      </c>
      <c r="P488" t="s">
        <v>51</v>
      </c>
      <c r="Q488" t="s">
        <v>31</v>
      </c>
      <c r="R488">
        <v>11</v>
      </c>
      <c r="S488" t="s">
        <v>4266</v>
      </c>
      <c r="T488" t="s">
        <v>5455</v>
      </c>
      <c r="U488" t="s">
        <v>5456</v>
      </c>
      <c r="V488" t="s">
        <v>32</v>
      </c>
      <c r="W488" t="s">
        <v>33</v>
      </c>
      <c r="X488" t="s">
        <v>33</v>
      </c>
      <c r="Y488" t="s">
        <v>33</v>
      </c>
      <c r="Z488" s="16" t="s">
        <v>34</v>
      </c>
      <c r="AA488">
        <v>-75.611457569999999</v>
      </c>
      <c r="AB488">
        <v>6.2226487800000001</v>
      </c>
      <c r="AC488" t="s">
        <v>96</v>
      </c>
      <c r="AD488" t="s">
        <v>97</v>
      </c>
    </row>
    <row r="489" spans="1:30" x14ac:dyDescent="0.25">
      <c r="A489" t="s">
        <v>4267</v>
      </c>
      <c r="B489" t="s">
        <v>25</v>
      </c>
      <c r="C489" t="s">
        <v>26</v>
      </c>
      <c r="D489" t="s">
        <v>38</v>
      </c>
      <c r="E489" t="s">
        <v>4268</v>
      </c>
      <c r="F489" t="s">
        <v>4269</v>
      </c>
      <c r="G489">
        <v>43580218</v>
      </c>
      <c r="H489" t="s">
        <v>4255</v>
      </c>
      <c r="I489" s="4" t="s">
        <v>4256</v>
      </c>
      <c r="J489" s="4" t="s">
        <v>4257</v>
      </c>
      <c r="K489" t="s">
        <v>4270</v>
      </c>
      <c r="L489" t="s">
        <v>27</v>
      </c>
      <c r="M489" t="s">
        <v>4271</v>
      </c>
      <c r="N489" t="s">
        <v>28</v>
      </c>
      <c r="O489" t="s">
        <v>39</v>
      </c>
      <c r="P489" t="s">
        <v>40</v>
      </c>
      <c r="Q489" t="s">
        <v>31</v>
      </c>
      <c r="R489">
        <v>5</v>
      </c>
      <c r="S489" t="s">
        <v>4272</v>
      </c>
      <c r="T489" t="s">
        <v>1693</v>
      </c>
      <c r="U489" t="s">
        <v>3217</v>
      </c>
      <c r="V489" t="s">
        <v>32</v>
      </c>
      <c r="W489" t="s">
        <v>33</v>
      </c>
      <c r="X489" t="s">
        <v>33</v>
      </c>
      <c r="Y489" t="s">
        <v>33</v>
      </c>
      <c r="Z489" s="16" t="s">
        <v>34</v>
      </c>
      <c r="AA489">
        <v>-75.617460030000004</v>
      </c>
      <c r="AB489">
        <v>6.26011001</v>
      </c>
      <c r="AC489" t="s">
        <v>96</v>
      </c>
      <c r="AD489" t="s">
        <v>97</v>
      </c>
    </row>
    <row r="490" spans="1:30" x14ac:dyDescent="0.25">
      <c r="A490" t="s">
        <v>4273</v>
      </c>
      <c r="B490" t="s">
        <v>49</v>
      </c>
      <c r="C490" t="s">
        <v>26</v>
      </c>
      <c r="D490" t="s">
        <v>49</v>
      </c>
      <c r="E490" t="s">
        <v>4274</v>
      </c>
      <c r="F490" t="s">
        <v>4275</v>
      </c>
      <c r="G490">
        <v>70579739</v>
      </c>
      <c r="H490" t="s">
        <v>4276</v>
      </c>
      <c r="I490" s="4" t="s">
        <v>35</v>
      </c>
      <c r="J490" s="4" t="s">
        <v>4277</v>
      </c>
      <c r="K490" t="s">
        <v>4278</v>
      </c>
      <c r="L490" t="s">
        <v>27</v>
      </c>
      <c r="M490" t="s">
        <v>4279</v>
      </c>
      <c r="N490" t="s">
        <v>28</v>
      </c>
      <c r="O490" t="s">
        <v>50</v>
      </c>
      <c r="P490" t="s">
        <v>51</v>
      </c>
      <c r="Q490" t="s">
        <v>37</v>
      </c>
      <c r="R490">
        <v>11</v>
      </c>
      <c r="S490" t="s">
        <v>4280</v>
      </c>
      <c r="T490" t="s">
        <v>5457</v>
      </c>
      <c r="U490" t="s">
        <v>5458</v>
      </c>
      <c r="V490" t="s">
        <v>32</v>
      </c>
      <c r="W490" t="s">
        <v>33</v>
      </c>
      <c r="X490" t="s">
        <v>33</v>
      </c>
      <c r="Y490" t="s">
        <v>33</v>
      </c>
      <c r="Z490" s="16" t="s">
        <v>34</v>
      </c>
      <c r="AA490">
        <v>-75.711139329999995</v>
      </c>
      <c r="AB490">
        <v>6.3221556000000003</v>
      </c>
      <c r="AC490" t="s">
        <v>96</v>
      </c>
      <c r="AD490" t="s">
        <v>97</v>
      </c>
    </row>
    <row r="491" spans="1:30" x14ac:dyDescent="0.25">
      <c r="A491" t="s">
        <v>3624</v>
      </c>
      <c r="B491" t="s">
        <v>41</v>
      </c>
      <c r="C491" t="s">
        <v>26</v>
      </c>
      <c r="D491" t="s">
        <v>41</v>
      </c>
      <c r="E491" t="s">
        <v>3625</v>
      </c>
      <c r="F491" t="s">
        <v>3626</v>
      </c>
      <c r="G491">
        <v>8909049961</v>
      </c>
      <c r="H491" t="s">
        <v>3606</v>
      </c>
      <c r="I491" s="4" t="s">
        <v>52</v>
      </c>
      <c r="J491" s="4" t="s">
        <v>3607</v>
      </c>
      <c r="K491" t="s">
        <v>3627</v>
      </c>
      <c r="L491" t="s">
        <v>27</v>
      </c>
      <c r="M491" t="s">
        <v>3628</v>
      </c>
      <c r="N491" t="s">
        <v>28</v>
      </c>
      <c r="O491" t="s">
        <v>42</v>
      </c>
      <c r="P491" t="s">
        <v>3610</v>
      </c>
      <c r="Q491" t="s">
        <v>31</v>
      </c>
      <c r="R491">
        <v>7</v>
      </c>
      <c r="S491" t="s">
        <v>3629</v>
      </c>
      <c r="T491" t="s">
        <v>5457</v>
      </c>
      <c r="U491" t="s">
        <v>5459</v>
      </c>
      <c r="V491" t="s">
        <v>32</v>
      </c>
      <c r="W491" t="s">
        <v>33</v>
      </c>
      <c r="X491" t="s">
        <v>33</v>
      </c>
      <c r="Y491" t="s">
        <v>33</v>
      </c>
      <c r="Z491" s="16" t="s">
        <v>34</v>
      </c>
      <c r="AA491">
        <v>-75.559436000000005</v>
      </c>
      <c r="AB491">
        <v>6.180904</v>
      </c>
      <c r="AC491" t="s">
        <v>96</v>
      </c>
      <c r="AD491" t="s">
        <v>97</v>
      </c>
    </row>
    <row r="492" spans="1:30" x14ac:dyDescent="0.25">
      <c r="A492" t="s">
        <v>4281</v>
      </c>
      <c r="B492" t="s">
        <v>59</v>
      </c>
      <c r="C492" t="s">
        <v>26</v>
      </c>
      <c r="D492" t="s">
        <v>59</v>
      </c>
      <c r="E492" t="s">
        <v>4282</v>
      </c>
      <c r="F492" t="s">
        <v>4283</v>
      </c>
      <c r="G492">
        <v>901037255</v>
      </c>
      <c r="H492" t="s">
        <v>4284</v>
      </c>
      <c r="I492" s="4" t="s">
        <v>35</v>
      </c>
      <c r="J492" s="4" t="s">
        <v>4285</v>
      </c>
      <c r="K492" t="s">
        <v>4286</v>
      </c>
      <c r="L492" t="s">
        <v>27</v>
      </c>
      <c r="M492" t="s">
        <v>4287</v>
      </c>
      <c r="N492" t="s">
        <v>28</v>
      </c>
      <c r="O492" t="s">
        <v>60</v>
      </c>
      <c r="P492" t="s">
        <v>61</v>
      </c>
      <c r="Q492" t="s">
        <v>31</v>
      </c>
      <c r="R492">
        <v>4</v>
      </c>
      <c r="S492" t="s">
        <v>4288</v>
      </c>
      <c r="T492" t="s">
        <v>3379</v>
      </c>
      <c r="U492" t="s">
        <v>5460</v>
      </c>
      <c r="V492" t="s">
        <v>32</v>
      </c>
      <c r="W492" t="s">
        <v>33</v>
      </c>
      <c r="X492" t="s">
        <v>33</v>
      </c>
      <c r="Y492" t="s">
        <v>33</v>
      </c>
      <c r="Z492" s="16" t="s">
        <v>34</v>
      </c>
      <c r="AA492">
        <v>-75.642398999999997</v>
      </c>
      <c r="AB492">
        <v>6.2758229999999999</v>
      </c>
      <c r="AC492" t="s">
        <v>96</v>
      </c>
      <c r="AD492" t="s">
        <v>97</v>
      </c>
    </row>
    <row r="493" spans="1:30" x14ac:dyDescent="0.25">
      <c r="A493" t="s">
        <v>4289</v>
      </c>
      <c r="B493" t="s">
        <v>25</v>
      </c>
      <c r="C493" t="s">
        <v>26</v>
      </c>
      <c r="D493" t="s">
        <v>38</v>
      </c>
      <c r="E493" t="s">
        <v>4290</v>
      </c>
      <c r="F493" t="s">
        <v>4291</v>
      </c>
      <c r="G493">
        <v>42790862</v>
      </c>
      <c r="H493" t="s">
        <v>4292</v>
      </c>
      <c r="I493" s="4" t="s">
        <v>4293</v>
      </c>
      <c r="J493" s="4" t="s">
        <v>35</v>
      </c>
      <c r="K493" t="s">
        <v>4294</v>
      </c>
      <c r="L493" t="s">
        <v>43</v>
      </c>
      <c r="M493" t="s">
        <v>4295</v>
      </c>
      <c r="N493" t="s">
        <v>44</v>
      </c>
      <c r="O493" t="s">
        <v>39</v>
      </c>
      <c r="P493" t="s">
        <v>40</v>
      </c>
      <c r="Q493" t="s">
        <v>31</v>
      </c>
      <c r="R493">
        <v>5</v>
      </c>
      <c r="S493" t="s">
        <v>4296</v>
      </c>
      <c r="T493" t="s">
        <v>3087</v>
      </c>
      <c r="U493" t="s">
        <v>3167</v>
      </c>
      <c r="V493" t="s">
        <v>32</v>
      </c>
      <c r="W493" t="s">
        <v>33</v>
      </c>
      <c r="X493" t="s">
        <v>33</v>
      </c>
      <c r="Y493" t="s">
        <v>33</v>
      </c>
      <c r="Z493" s="16" t="s">
        <v>34</v>
      </c>
      <c r="AA493">
        <v>-75.601315060000005</v>
      </c>
      <c r="AB493">
        <v>6.1944574399999999</v>
      </c>
      <c r="AC493" t="s">
        <v>96</v>
      </c>
      <c r="AD493" t="s">
        <v>97</v>
      </c>
    </row>
    <row r="494" spans="1:30" x14ac:dyDescent="0.25">
      <c r="A494" t="s">
        <v>4298</v>
      </c>
      <c r="B494" t="s">
        <v>59</v>
      </c>
      <c r="C494" t="s">
        <v>26</v>
      </c>
      <c r="D494" t="s">
        <v>59</v>
      </c>
      <c r="E494" t="s">
        <v>4299</v>
      </c>
      <c r="F494" t="s">
        <v>4300</v>
      </c>
      <c r="G494">
        <v>900548310</v>
      </c>
      <c r="H494" t="s">
        <v>4301</v>
      </c>
      <c r="I494" s="4" t="s">
        <v>4302</v>
      </c>
      <c r="J494" s="4" t="s">
        <v>4303</v>
      </c>
      <c r="K494" t="s">
        <v>4304</v>
      </c>
      <c r="L494" t="s">
        <v>43</v>
      </c>
      <c r="M494" t="s">
        <v>4305</v>
      </c>
      <c r="N494" t="s">
        <v>44</v>
      </c>
      <c r="O494" t="s">
        <v>60</v>
      </c>
      <c r="P494" t="s">
        <v>61</v>
      </c>
      <c r="Q494" t="s">
        <v>31</v>
      </c>
      <c r="R494">
        <v>4</v>
      </c>
      <c r="S494" t="s">
        <v>4306</v>
      </c>
      <c r="T494" t="s">
        <v>5461</v>
      </c>
      <c r="U494" t="s">
        <v>5261</v>
      </c>
      <c r="V494" t="s">
        <v>32</v>
      </c>
      <c r="W494" t="s">
        <v>33</v>
      </c>
      <c r="X494" t="s">
        <v>33</v>
      </c>
      <c r="Y494" t="s">
        <v>33</v>
      </c>
      <c r="Z494" s="16" t="s">
        <v>34</v>
      </c>
      <c r="AA494">
        <v>-75.632437969999998</v>
      </c>
      <c r="AB494">
        <v>6.1694719600000001</v>
      </c>
      <c r="AC494" t="s">
        <v>96</v>
      </c>
      <c r="AD494" t="s">
        <v>97</v>
      </c>
    </row>
    <row r="495" spans="1:30" x14ac:dyDescent="0.25">
      <c r="A495" t="s">
        <v>4307</v>
      </c>
      <c r="B495" t="s">
        <v>25</v>
      </c>
      <c r="C495" t="s">
        <v>26</v>
      </c>
      <c r="D495" t="s">
        <v>25</v>
      </c>
      <c r="E495" t="s">
        <v>4308</v>
      </c>
      <c r="F495" t="s">
        <v>4309</v>
      </c>
      <c r="G495">
        <v>98510594</v>
      </c>
      <c r="H495" t="s">
        <v>4310</v>
      </c>
      <c r="I495" s="4" t="s">
        <v>35</v>
      </c>
      <c r="J495" s="4" t="s">
        <v>4311</v>
      </c>
      <c r="K495" t="s">
        <v>4312</v>
      </c>
      <c r="L495" t="s">
        <v>27</v>
      </c>
      <c r="M495" t="s">
        <v>4313</v>
      </c>
      <c r="N495" t="s">
        <v>28</v>
      </c>
      <c r="O495" t="s">
        <v>29</v>
      </c>
      <c r="P495" t="s">
        <v>36</v>
      </c>
      <c r="Q495" t="s">
        <v>31</v>
      </c>
      <c r="R495">
        <v>7</v>
      </c>
      <c r="S495" t="s">
        <v>4314</v>
      </c>
      <c r="T495" t="s">
        <v>5462</v>
      </c>
      <c r="U495" t="s">
        <v>5463</v>
      </c>
      <c r="V495" t="s">
        <v>32</v>
      </c>
      <c r="W495" t="s">
        <v>33</v>
      </c>
      <c r="X495" t="s">
        <v>33</v>
      </c>
      <c r="Y495" t="s">
        <v>33</v>
      </c>
      <c r="Z495" s="16" t="s">
        <v>34</v>
      </c>
      <c r="AA495">
        <v>-75.636556999999996</v>
      </c>
      <c r="AB495">
        <v>6.2722350000000002</v>
      </c>
      <c r="AC495" t="s">
        <v>96</v>
      </c>
      <c r="AD495" t="s">
        <v>97</v>
      </c>
    </row>
    <row r="496" spans="1:30" x14ac:dyDescent="0.25">
      <c r="A496" t="s">
        <v>4315</v>
      </c>
      <c r="B496" t="s">
        <v>59</v>
      </c>
      <c r="C496" t="s">
        <v>26</v>
      </c>
      <c r="D496" t="s">
        <v>59</v>
      </c>
      <c r="E496" t="s">
        <v>4316</v>
      </c>
      <c r="F496" t="s">
        <v>4317</v>
      </c>
      <c r="G496">
        <v>71659650</v>
      </c>
      <c r="H496" t="s">
        <v>4318</v>
      </c>
      <c r="I496" s="4" t="s">
        <v>4319</v>
      </c>
      <c r="J496" s="4" t="s">
        <v>4320</v>
      </c>
      <c r="K496" t="s">
        <v>4321</v>
      </c>
      <c r="L496" t="s">
        <v>57</v>
      </c>
      <c r="M496" t="s">
        <v>4322</v>
      </c>
      <c r="N496" t="s">
        <v>58</v>
      </c>
      <c r="O496" t="s">
        <v>60</v>
      </c>
      <c r="P496" t="s">
        <v>61</v>
      </c>
      <c r="Q496" t="s">
        <v>31</v>
      </c>
      <c r="R496">
        <v>4</v>
      </c>
      <c r="S496" t="s">
        <v>4323</v>
      </c>
      <c r="T496" t="s">
        <v>5462</v>
      </c>
      <c r="U496" t="s">
        <v>5464</v>
      </c>
      <c r="V496" t="s">
        <v>32</v>
      </c>
      <c r="W496" t="s">
        <v>33</v>
      </c>
      <c r="X496" t="s">
        <v>33</v>
      </c>
      <c r="Y496" t="s">
        <v>33</v>
      </c>
      <c r="Z496" s="16" t="s">
        <v>34</v>
      </c>
      <c r="AA496">
        <v>-75.612710519999993</v>
      </c>
      <c r="AB496">
        <v>6.1557970299999996</v>
      </c>
      <c r="AC496" t="s">
        <v>96</v>
      </c>
      <c r="AD496" t="s">
        <v>97</v>
      </c>
    </row>
    <row r="497" spans="1:30" x14ac:dyDescent="0.25">
      <c r="A497" t="s">
        <v>3630</v>
      </c>
      <c r="B497" t="s">
        <v>63</v>
      </c>
      <c r="C497" t="s">
        <v>26</v>
      </c>
      <c r="D497" t="s">
        <v>64</v>
      </c>
      <c r="E497" t="s">
        <v>3631</v>
      </c>
      <c r="F497" t="s">
        <v>3632</v>
      </c>
      <c r="G497">
        <v>900092385</v>
      </c>
      <c r="H497" t="s">
        <v>3633</v>
      </c>
      <c r="I497" s="4" t="s">
        <v>3634</v>
      </c>
      <c r="J497" s="4" t="s">
        <v>3635</v>
      </c>
      <c r="K497" t="s">
        <v>3636</v>
      </c>
      <c r="L497" t="s">
        <v>27</v>
      </c>
      <c r="M497" t="s">
        <v>3637</v>
      </c>
      <c r="N497" t="s">
        <v>28</v>
      </c>
      <c r="O497" t="s">
        <v>65</v>
      </c>
      <c r="P497" t="s">
        <v>66</v>
      </c>
      <c r="Q497" t="s">
        <v>31</v>
      </c>
      <c r="R497">
        <v>9</v>
      </c>
      <c r="S497" t="s">
        <v>3638</v>
      </c>
      <c r="T497" t="s">
        <v>5462</v>
      </c>
      <c r="U497" t="s">
        <v>5465</v>
      </c>
      <c r="V497" t="s">
        <v>32</v>
      </c>
      <c r="W497" t="s">
        <v>33</v>
      </c>
      <c r="X497" t="s">
        <v>33</v>
      </c>
      <c r="Y497" t="s">
        <v>33</v>
      </c>
      <c r="Z497" s="16" t="s">
        <v>34</v>
      </c>
      <c r="AA497">
        <v>-75.569008190000005</v>
      </c>
      <c r="AB497">
        <v>6.2267246099999998</v>
      </c>
      <c r="AC497" t="s">
        <v>96</v>
      </c>
      <c r="AD497" t="s">
        <v>97</v>
      </c>
    </row>
    <row r="498" spans="1:30" x14ac:dyDescent="0.25">
      <c r="A498" t="s">
        <v>4324</v>
      </c>
      <c r="B498" t="s">
        <v>25</v>
      </c>
      <c r="C498" t="s">
        <v>26</v>
      </c>
      <c r="D498" t="s">
        <v>38</v>
      </c>
      <c r="E498" t="s">
        <v>4325</v>
      </c>
      <c r="F498" t="s">
        <v>4326</v>
      </c>
      <c r="G498">
        <v>1068815056</v>
      </c>
      <c r="H498" t="s">
        <v>4327</v>
      </c>
      <c r="I498" s="4" t="s">
        <v>35</v>
      </c>
      <c r="J498" s="4" t="s">
        <v>4328</v>
      </c>
      <c r="K498" t="s">
        <v>4329</v>
      </c>
      <c r="L498" t="s">
        <v>27</v>
      </c>
      <c r="M498" t="s">
        <v>4330</v>
      </c>
      <c r="N498" t="s">
        <v>28</v>
      </c>
      <c r="O498" t="s">
        <v>39</v>
      </c>
      <c r="P498" t="s">
        <v>40</v>
      </c>
      <c r="Q498" t="s">
        <v>37</v>
      </c>
      <c r="R498">
        <v>8</v>
      </c>
      <c r="S498" t="s">
        <v>4331</v>
      </c>
      <c r="T498" t="s">
        <v>5211</v>
      </c>
      <c r="U498" t="s">
        <v>5466</v>
      </c>
      <c r="V498" t="s">
        <v>32</v>
      </c>
      <c r="W498" t="s">
        <v>33</v>
      </c>
      <c r="X498" t="s">
        <v>33</v>
      </c>
      <c r="Y498" t="s">
        <v>33</v>
      </c>
      <c r="Z498" s="16" t="s">
        <v>34</v>
      </c>
      <c r="AA498">
        <v>-75.637419129999998</v>
      </c>
      <c r="AB498">
        <v>6.2836498699999996</v>
      </c>
      <c r="AC498" t="s">
        <v>96</v>
      </c>
      <c r="AD498" t="s">
        <v>97</v>
      </c>
    </row>
    <row r="499" spans="1:30" x14ac:dyDescent="0.25">
      <c r="A499" t="s">
        <v>4332</v>
      </c>
      <c r="B499" t="s">
        <v>59</v>
      </c>
      <c r="C499" t="s">
        <v>26</v>
      </c>
      <c r="D499" t="s">
        <v>59</v>
      </c>
      <c r="E499" t="s">
        <v>4333</v>
      </c>
      <c r="F499" t="s">
        <v>4334</v>
      </c>
      <c r="G499">
        <v>901830080</v>
      </c>
      <c r="H499" t="s">
        <v>4335</v>
      </c>
      <c r="I499" s="4" t="s">
        <v>35</v>
      </c>
      <c r="J499" s="4" t="s">
        <v>4336</v>
      </c>
      <c r="K499" t="s">
        <v>4337</v>
      </c>
      <c r="L499" t="s">
        <v>27</v>
      </c>
      <c r="M499" t="s">
        <v>4338</v>
      </c>
      <c r="N499" t="s">
        <v>28</v>
      </c>
      <c r="O499" t="s">
        <v>60</v>
      </c>
      <c r="P499" t="s">
        <v>61</v>
      </c>
      <c r="Q499" t="s">
        <v>31</v>
      </c>
      <c r="R499">
        <v>4</v>
      </c>
      <c r="S499" t="s">
        <v>4339</v>
      </c>
      <c r="T499" t="s">
        <v>5467</v>
      </c>
      <c r="U499" t="s">
        <v>5025</v>
      </c>
      <c r="V499" t="s">
        <v>32</v>
      </c>
      <c r="W499" t="s">
        <v>33</v>
      </c>
      <c r="X499" t="s">
        <v>33</v>
      </c>
      <c r="Y499" t="s">
        <v>33</v>
      </c>
      <c r="Z499" s="16" t="s">
        <v>34</v>
      </c>
      <c r="AA499">
        <v>-75.601941710000006</v>
      </c>
      <c r="AB499">
        <v>6.2440187800000002</v>
      </c>
      <c r="AC499" t="s">
        <v>96</v>
      </c>
      <c r="AD499" t="s">
        <v>97</v>
      </c>
    </row>
    <row r="500" spans="1:30" x14ac:dyDescent="0.25">
      <c r="A500" t="s">
        <v>4340</v>
      </c>
      <c r="B500" t="s">
        <v>25</v>
      </c>
      <c r="C500" t="s">
        <v>26</v>
      </c>
      <c r="D500" t="s">
        <v>38</v>
      </c>
      <c r="E500" t="s">
        <v>4341</v>
      </c>
      <c r="F500" t="s">
        <v>4342</v>
      </c>
      <c r="G500">
        <v>5083726</v>
      </c>
      <c r="H500" t="s">
        <v>4343</v>
      </c>
      <c r="I500" s="4" t="s">
        <v>35</v>
      </c>
      <c r="J500" s="4" t="s">
        <v>4344</v>
      </c>
      <c r="K500" t="s">
        <v>4345</v>
      </c>
      <c r="L500" t="s">
        <v>27</v>
      </c>
      <c r="M500" t="s">
        <v>4346</v>
      </c>
      <c r="N500" t="s">
        <v>28</v>
      </c>
      <c r="O500" t="s">
        <v>39</v>
      </c>
      <c r="P500" t="s">
        <v>40</v>
      </c>
      <c r="Q500" t="s">
        <v>31</v>
      </c>
      <c r="R500">
        <v>5</v>
      </c>
      <c r="S500" t="s">
        <v>4347</v>
      </c>
      <c r="T500" t="s">
        <v>5468</v>
      </c>
      <c r="U500" t="s">
        <v>5469</v>
      </c>
      <c r="V500" t="s">
        <v>32</v>
      </c>
      <c r="W500" t="s">
        <v>33</v>
      </c>
      <c r="X500" t="s">
        <v>33</v>
      </c>
      <c r="Y500" t="s">
        <v>33</v>
      </c>
      <c r="Z500" s="16" t="s">
        <v>34</v>
      </c>
      <c r="AA500">
        <v>-75.532953860000006</v>
      </c>
      <c r="AB500">
        <v>6.2326420200000001</v>
      </c>
      <c r="AC500" t="s">
        <v>96</v>
      </c>
      <c r="AD500" t="s">
        <v>97</v>
      </c>
    </row>
    <row r="501" spans="1:30" x14ac:dyDescent="0.25">
      <c r="A501" t="s">
        <v>4348</v>
      </c>
      <c r="B501" t="s">
        <v>41</v>
      </c>
      <c r="C501" t="s">
        <v>26</v>
      </c>
      <c r="D501" t="s">
        <v>41</v>
      </c>
      <c r="E501" t="s">
        <v>4349</v>
      </c>
      <c r="F501" t="s">
        <v>4350</v>
      </c>
      <c r="G501">
        <v>8305562</v>
      </c>
      <c r="H501" t="s">
        <v>4351</v>
      </c>
      <c r="I501" s="4" t="s">
        <v>4352</v>
      </c>
      <c r="J501" s="4" t="s">
        <v>581</v>
      </c>
      <c r="K501" t="s">
        <v>4353</v>
      </c>
      <c r="L501" t="s">
        <v>47</v>
      </c>
      <c r="M501" t="s">
        <v>4354</v>
      </c>
      <c r="N501" t="s">
        <v>62</v>
      </c>
      <c r="O501" t="s">
        <v>42</v>
      </c>
      <c r="P501" t="s">
        <v>36</v>
      </c>
      <c r="Q501" t="s">
        <v>37</v>
      </c>
      <c r="R501">
        <v>10</v>
      </c>
      <c r="S501" t="s">
        <v>4355</v>
      </c>
      <c r="T501" t="s">
        <v>5470</v>
      </c>
      <c r="U501" t="s">
        <v>5471</v>
      </c>
      <c r="V501" t="s">
        <v>32</v>
      </c>
      <c r="W501" t="s">
        <v>33</v>
      </c>
      <c r="X501" t="s">
        <v>33</v>
      </c>
      <c r="Y501" t="s">
        <v>33</v>
      </c>
      <c r="Z501" s="16" t="s">
        <v>34</v>
      </c>
      <c r="AA501">
        <v>-75.510071350000004</v>
      </c>
      <c r="AB501">
        <v>6.1810416000000004</v>
      </c>
      <c r="AC501" t="s">
        <v>96</v>
      </c>
      <c r="AD501" t="s">
        <v>97</v>
      </c>
    </row>
    <row r="502" spans="1:30" x14ac:dyDescent="0.25">
      <c r="A502" t="s">
        <v>4356</v>
      </c>
      <c r="B502" t="s">
        <v>25</v>
      </c>
      <c r="C502" t="s">
        <v>26</v>
      </c>
      <c r="D502" t="s">
        <v>38</v>
      </c>
      <c r="E502" t="s">
        <v>4357</v>
      </c>
      <c r="F502" t="s">
        <v>4358</v>
      </c>
      <c r="G502">
        <v>5083726</v>
      </c>
      <c r="H502" t="s">
        <v>4343</v>
      </c>
      <c r="I502" s="4" t="s">
        <v>35</v>
      </c>
      <c r="J502" s="4" t="s">
        <v>4344</v>
      </c>
      <c r="K502" t="s">
        <v>4359</v>
      </c>
      <c r="L502" t="s">
        <v>27</v>
      </c>
      <c r="M502" t="s">
        <v>4360</v>
      </c>
      <c r="N502" t="s">
        <v>28</v>
      </c>
      <c r="O502" t="s">
        <v>39</v>
      </c>
      <c r="P502" t="s">
        <v>40</v>
      </c>
      <c r="Q502" t="s">
        <v>31</v>
      </c>
      <c r="R502">
        <v>5</v>
      </c>
      <c r="S502" t="s">
        <v>4361</v>
      </c>
      <c r="T502" t="s">
        <v>5472</v>
      </c>
      <c r="U502" t="s">
        <v>5473</v>
      </c>
      <c r="V502" t="s">
        <v>32</v>
      </c>
      <c r="W502" t="s">
        <v>33</v>
      </c>
      <c r="X502" t="s">
        <v>33</v>
      </c>
      <c r="Y502" t="s">
        <v>33</v>
      </c>
      <c r="Z502" s="16" t="s">
        <v>34</v>
      </c>
      <c r="AA502">
        <v>-75.532335340000003</v>
      </c>
      <c r="AB502">
        <v>6.2321704999999996</v>
      </c>
      <c r="AC502" t="s">
        <v>96</v>
      </c>
      <c r="AD502" t="s">
        <v>97</v>
      </c>
    </row>
    <row r="503" spans="1:30" x14ac:dyDescent="0.25">
      <c r="A503" t="s">
        <v>4362</v>
      </c>
      <c r="B503" t="s">
        <v>25</v>
      </c>
      <c r="C503" t="s">
        <v>26</v>
      </c>
      <c r="D503" t="s">
        <v>38</v>
      </c>
      <c r="E503" t="s">
        <v>4363</v>
      </c>
      <c r="F503" t="s">
        <v>4364</v>
      </c>
      <c r="G503">
        <v>5083726</v>
      </c>
      <c r="H503" t="s">
        <v>4343</v>
      </c>
      <c r="I503" s="4" t="s">
        <v>35</v>
      </c>
      <c r="J503" s="4" t="s">
        <v>4344</v>
      </c>
      <c r="K503" t="s">
        <v>4365</v>
      </c>
      <c r="L503" t="s">
        <v>27</v>
      </c>
      <c r="M503" t="s">
        <v>4366</v>
      </c>
      <c r="N503" t="s">
        <v>28</v>
      </c>
      <c r="O503" t="s">
        <v>39</v>
      </c>
      <c r="P503" t="s">
        <v>40</v>
      </c>
      <c r="Q503" t="s">
        <v>31</v>
      </c>
      <c r="R503">
        <v>5</v>
      </c>
      <c r="S503" t="s">
        <v>4367</v>
      </c>
      <c r="T503" t="s">
        <v>5474</v>
      </c>
      <c r="U503" t="s">
        <v>1658</v>
      </c>
      <c r="V503" t="s">
        <v>32</v>
      </c>
      <c r="W503" t="s">
        <v>33</v>
      </c>
      <c r="X503" t="s">
        <v>33</v>
      </c>
      <c r="Y503" t="s">
        <v>33</v>
      </c>
      <c r="Z503" s="16" t="s">
        <v>34</v>
      </c>
      <c r="AA503">
        <v>-75.532335340000003</v>
      </c>
      <c r="AB503">
        <v>6.2321704999999996</v>
      </c>
      <c r="AC503" t="s">
        <v>96</v>
      </c>
      <c r="AD503" t="s">
        <v>97</v>
      </c>
    </row>
    <row r="504" spans="1:30" x14ac:dyDescent="0.25">
      <c r="A504" t="s">
        <v>3639</v>
      </c>
      <c r="B504" t="s">
        <v>63</v>
      </c>
      <c r="C504" t="s">
        <v>26</v>
      </c>
      <c r="D504" t="s">
        <v>64</v>
      </c>
      <c r="E504" t="s">
        <v>3640</v>
      </c>
      <c r="F504" t="s">
        <v>3641</v>
      </c>
      <c r="G504">
        <v>1152693844</v>
      </c>
      <c r="H504" t="s">
        <v>3642</v>
      </c>
      <c r="I504" s="4" t="s">
        <v>35</v>
      </c>
      <c r="J504" s="4" t="s">
        <v>3643</v>
      </c>
      <c r="K504" t="s">
        <v>3644</v>
      </c>
      <c r="L504" t="s">
        <v>27</v>
      </c>
      <c r="M504" t="s">
        <v>3645</v>
      </c>
      <c r="N504" t="s">
        <v>28</v>
      </c>
      <c r="O504" t="s">
        <v>65</v>
      </c>
      <c r="P504" t="s">
        <v>66</v>
      </c>
      <c r="Q504" t="s">
        <v>31</v>
      </c>
      <c r="R504">
        <v>9</v>
      </c>
      <c r="S504" t="s">
        <v>3646</v>
      </c>
      <c r="T504" t="s">
        <v>5475</v>
      </c>
      <c r="U504" t="s">
        <v>5476</v>
      </c>
      <c r="V504" t="s">
        <v>32</v>
      </c>
      <c r="W504" t="s">
        <v>33</v>
      </c>
      <c r="X504" t="s">
        <v>33</v>
      </c>
      <c r="Y504" t="s">
        <v>33</v>
      </c>
      <c r="Z504" s="16" t="s">
        <v>34</v>
      </c>
      <c r="AA504">
        <v>-75.61283066</v>
      </c>
      <c r="AB504">
        <v>6.2054087300000003</v>
      </c>
      <c r="AC504" t="s">
        <v>96</v>
      </c>
      <c r="AD504" t="s">
        <v>97</v>
      </c>
    </row>
    <row r="505" spans="1:30" x14ac:dyDescent="0.25">
      <c r="A505" t="s">
        <v>4368</v>
      </c>
      <c r="B505" t="s">
        <v>25</v>
      </c>
      <c r="C505" t="s">
        <v>26</v>
      </c>
      <c r="D505" t="s">
        <v>38</v>
      </c>
      <c r="E505" t="s">
        <v>4369</v>
      </c>
      <c r="F505" t="s">
        <v>4370</v>
      </c>
      <c r="G505">
        <v>71257608</v>
      </c>
      <c r="H505" t="s">
        <v>4371</v>
      </c>
      <c r="I505" s="4" t="s">
        <v>35</v>
      </c>
      <c r="J505" s="4" t="s">
        <v>4372</v>
      </c>
      <c r="K505" t="s">
        <v>4373</v>
      </c>
      <c r="L505" t="s">
        <v>27</v>
      </c>
      <c r="M505" t="s">
        <v>4374</v>
      </c>
      <c r="N505" t="s">
        <v>28</v>
      </c>
      <c r="O505" t="s">
        <v>39</v>
      </c>
      <c r="P505" t="s">
        <v>40</v>
      </c>
      <c r="Q505" t="s">
        <v>31</v>
      </c>
      <c r="R505">
        <v>5</v>
      </c>
      <c r="S505" t="s">
        <v>4375</v>
      </c>
      <c r="T505" t="s">
        <v>5475</v>
      </c>
      <c r="U505" t="s">
        <v>5477</v>
      </c>
      <c r="V505" t="s">
        <v>32</v>
      </c>
      <c r="W505" t="s">
        <v>33</v>
      </c>
      <c r="X505" t="s">
        <v>33</v>
      </c>
      <c r="Y505" t="s">
        <v>33</v>
      </c>
      <c r="Z505" s="16" t="s">
        <v>34</v>
      </c>
      <c r="AA505">
        <v>-75.541038999999998</v>
      </c>
      <c r="AB505">
        <v>6.2393340000000004</v>
      </c>
      <c r="AC505" t="s">
        <v>96</v>
      </c>
      <c r="AD505" t="s">
        <v>97</v>
      </c>
    </row>
    <row r="506" spans="1:30" x14ac:dyDescent="0.25">
      <c r="A506" t="s">
        <v>4376</v>
      </c>
      <c r="B506" t="s">
        <v>41</v>
      </c>
      <c r="C506" t="s">
        <v>26</v>
      </c>
      <c r="D506" t="s">
        <v>41</v>
      </c>
      <c r="E506" t="s">
        <v>4377</v>
      </c>
      <c r="F506" t="s">
        <v>4378</v>
      </c>
      <c r="G506">
        <v>71531266</v>
      </c>
      <c r="H506" t="s">
        <v>4379</v>
      </c>
      <c r="I506" s="4" t="s">
        <v>35</v>
      </c>
      <c r="J506" s="4" t="s">
        <v>4380</v>
      </c>
      <c r="K506" t="s">
        <v>4381</v>
      </c>
      <c r="L506" t="s">
        <v>27</v>
      </c>
      <c r="M506" t="s">
        <v>4382</v>
      </c>
      <c r="N506" t="s">
        <v>28</v>
      </c>
      <c r="O506" t="s">
        <v>42</v>
      </c>
      <c r="P506" t="s">
        <v>36</v>
      </c>
      <c r="Q506" t="s">
        <v>31</v>
      </c>
      <c r="R506">
        <v>7</v>
      </c>
      <c r="S506" t="s">
        <v>4383</v>
      </c>
      <c r="T506" t="s">
        <v>3108</v>
      </c>
      <c r="U506" t="s">
        <v>5478</v>
      </c>
      <c r="V506" t="s">
        <v>32</v>
      </c>
      <c r="W506" t="s">
        <v>33</v>
      </c>
      <c r="X506" t="s">
        <v>33</v>
      </c>
      <c r="Y506" t="s">
        <v>33</v>
      </c>
      <c r="Z506" s="16" t="s">
        <v>34</v>
      </c>
      <c r="AA506">
        <v>-75.63829819</v>
      </c>
      <c r="AB506">
        <v>6.2791932800000003</v>
      </c>
      <c r="AC506" t="s">
        <v>96</v>
      </c>
      <c r="AD506" t="s">
        <v>97</v>
      </c>
    </row>
    <row r="507" spans="1:30" x14ac:dyDescent="0.25">
      <c r="A507" t="s">
        <v>4384</v>
      </c>
      <c r="B507" t="s">
        <v>25</v>
      </c>
      <c r="C507" t="s">
        <v>26</v>
      </c>
      <c r="D507" t="s">
        <v>25</v>
      </c>
      <c r="E507" t="s">
        <v>4385</v>
      </c>
      <c r="F507" t="s">
        <v>4386</v>
      </c>
      <c r="G507">
        <v>71279126</v>
      </c>
      <c r="H507" t="s">
        <v>4387</v>
      </c>
      <c r="I507" s="4" t="s">
        <v>4388</v>
      </c>
      <c r="J507" s="4" t="s">
        <v>4389</v>
      </c>
      <c r="K507" t="s">
        <v>4390</v>
      </c>
      <c r="L507" t="s">
        <v>43</v>
      </c>
      <c r="M507" t="s">
        <v>4391</v>
      </c>
      <c r="N507" t="s">
        <v>44</v>
      </c>
      <c r="O507" t="s">
        <v>29</v>
      </c>
      <c r="P507" t="s">
        <v>36</v>
      </c>
      <c r="Q507" t="s">
        <v>31</v>
      </c>
      <c r="R507">
        <v>7</v>
      </c>
      <c r="S507" t="s">
        <v>4392</v>
      </c>
      <c r="T507" t="s">
        <v>3108</v>
      </c>
      <c r="U507" t="s">
        <v>5478</v>
      </c>
      <c r="V507" t="s">
        <v>32</v>
      </c>
      <c r="W507" t="s">
        <v>33</v>
      </c>
      <c r="X507" t="s">
        <v>33</v>
      </c>
      <c r="Y507" t="s">
        <v>33</v>
      </c>
      <c r="Z507" s="16" t="s">
        <v>34</v>
      </c>
      <c r="AA507">
        <v>-75.615972020000001</v>
      </c>
      <c r="AB507">
        <v>6.1882319700000004</v>
      </c>
      <c r="AC507" t="s">
        <v>96</v>
      </c>
      <c r="AD507" t="s">
        <v>97</v>
      </c>
    </row>
    <row r="508" spans="1:30" x14ac:dyDescent="0.25">
      <c r="A508" t="s">
        <v>4393</v>
      </c>
      <c r="B508" t="s">
        <v>25</v>
      </c>
      <c r="C508" t="s">
        <v>26</v>
      </c>
      <c r="D508" t="s">
        <v>25</v>
      </c>
      <c r="E508" t="s">
        <v>4394</v>
      </c>
      <c r="F508" t="s">
        <v>4395</v>
      </c>
      <c r="G508">
        <v>1038548681</v>
      </c>
      <c r="H508" t="s">
        <v>4396</v>
      </c>
      <c r="I508" s="4" t="s">
        <v>35</v>
      </c>
      <c r="J508" s="4" t="s">
        <v>4397</v>
      </c>
      <c r="K508" t="s">
        <v>4398</v>
      </c>
      <c r="L508" t="s">
        <v>27</v>
      </c>
      <c r="M508" t="s">
        <v>4399</v>
      </c>
      <c r="N508" t="s">
        <v>28</v>
      </c>
      <c r="O508" t="s">
        <v>29</v>
      </c>
      <c r="P508" t="s">
        <v>30</v>
      </c>
      <c r="Q508" t="s">
        <v>31</v>
      </c>
      <c r="R508">
        <v>7</v>
      </c>
      <c r="S508" t="s">
        <v>4400</v>
      </c>
      <c r="T508" t="s">
        <v>5479</v>
      </c>
      <c r="U508" t="s">
        <v>5480</v>
      </c>
      <c r="V508" t="s">
        <v>32</v>
      </c>
      <c r="W508" t="s">
        <v>33</v>
      </c>
      <c r="X508" t="s">
        <v>33</v>
      </c>
      <c r="Y508" t="s">
        <v>33</v>
      </c>
      <c r="Z508" s="16" t="s">
        <v>34</v>
      </c>
      <c r="AA508">
        <v>-75.541348979999995</v>
      </c>
      <c r="AB508">
        <v>6.2451202200000004</v>
      </c>
      <c r="AC508" t="s">
        <v>96</v>
      </c>
      <c r="AD508" t="s">
        <v>97</v>
      </c>
    </row>
    <row r="509" spans="1:30" x14ac:dyDescent="0.25">
      <c r="A509" t="s">
        <v>4401</v>
      </c>
      <c r="B509" t="s">
        <v>49</v>
      </c>
      <c r="C509" t="s">
        <v>67</v>
      </c>
      <c r="D509" t="s">
        <v>49</v>
      </c>
      <c r="E509" t="s">
        <v>4402</v>
      </c>
      <c r="F509" t="s">
        <v>4403</v>
      </c>
      <c r="G509">
        <v>14993175</v>
      </c>
      <c r="H509" t="s">
        <v>4404</v>
      </c>
      <c r="I509" s="4" t="s">
        <v>35</v>
      </c>
      <c r="J509" s="4" t="s">
        <v>4405</v>
      </c>
      <c r="K509" t="s">
        <v>4406</v>
      </c>
      <c r="L509" t="s">
        <v>55</v>
      </c>
      <c r="M509" t="s">
        <v>4407</v>
      </c>
      <c r="N509" t="s">
        <v>56</v>
      </c>
      <c r="O509" t="s">
        <v>68</v>
      </c>
      <c r="P509" t="s">
        <v>51</v>
      </c>
      <c r="Q509" t="s">
        <v>31</v>
      </c>
      <c r="R509">
        <v>11</v>
      </c>
      <c r="S509" t="s">
        <v>4408</v>
      </c>
      <c r="T509" t="s">
        <v>5481</v>
      </c>
      <c r="U509" t="s">
        <v>5482</v>
      </c>
      <c r="V509" t="s">
        <v>32</v>
      </c>
      <c r="W509" t="s">
        <v>33</v>
      </c>
      <c r="X509" t="s">
        <v>33</v>
      </c>
      <c r="Y509" t="s">
        <v>33</v>
      </c>
      <c r="Z509" s="16" t="s">
        <v>34</v>
      </c>
      <c r="AA509">
        <v>-75.637185119999998</v>
      </c>
      <c r="AB509">
        <v>6.0802253799999999</v>
      </c>
      <c r="AC509" t="s">
        <v>96</v>
      </c>
      <c r="AD509" t="s">
        <v>97</v>
      </c>
    </row>
    <row r="510" spans="1:30" x14ac:dyDescent="0.25">
      <c r="A510" t="s">
        <v>4409</v>
      </c>
      <c r="B510" t="s">
        <v>25</v>
      </c>
      <c r="C510" t="s">
        <v>26</v>
      </c>
      <c r="D510" t="s">
        <v>38</v>
      </c>
      <c r="E510" t="s">
        <v>4410</v>
      </c>
      <c r="F510" t="s">
        <v>4411</v>
      </c>
      <c r="G510">
        <v>1128474664</v>
      </c>
      <c r="H510" t="s">
        <v>4412</v>
      </c>
      <c r="I510" s="4" t="s">
        <v>35</v>
      </c>
      <c r="J510" s="4" t="s">
        <v>4413</v>
      </c>
      <c r="K510" t="s">
        <v>4414</v>
      </c>
      <c r="L510" t="s">
        <v>27</v>
      </c>
      <c r="M510" t="s">
        <v>4415</v>
      </c>
      <c r="N510" t="s">
        <v>28</v>
      </c>
      <c r="O510" t="s">
        <v>39</v>
      </c>
      <c r="P510" t="s">
        <v>40</v>
      </c>
      <c r="Q510" t="s">
        <v>31</v>
      </c>
      <c r="R510">
        <v>5</v>
      </c>
      <c r="S510" t="s">
        <v>4416</v>
      </c>
      <c r="T510" t="s">
        <v>5483</v>
      </c>
      <c r="U510" t="s">
        <v>3219</v>
      </c>
      <c r="V510" t="s">
        <v>32</v>
      </c>
      <c r="W510" t="s">
        <v>33</v>
      </c>
      <c r="X510" t="s">
        <v>33</v>
      </c>
      <c r="Y510" t="s">
        <v>33</v>
      </c>
      <c r="Z510" s="16" t="s">
        <v>34</v>
      </c>
      <c r="AA510">
        <v>-75.636680999999996</v>
      </c>
      <c r="AB510">
        <v>6.2758750000000001</v>
      </c>
      <c r="AC510" t="s">
        <v>96</v>
      </c>
      <c r="AD510" t="s">
        <v>97</v>
      </c>
    </row>
    <row r="511" spans="1:30" x14ac:dyDescent="0.25">
      <c r="A511" t="s">
        <v>4417</v>
      </c>
      <c r="B511" t="s">
        <v>25</v>
      </c>
      <c r="C511" t="s">
        <v>26</v>
      </c>
      <c r="D511" t="s">
        <v>38</v>
      </c>
      <c r="E511" t="s">
        <v>4418</v>
      </c>
      <c r="F511" t="s">
        <v>4419</v>
      </c>
      <c r="G511">
        <v>1037582381</v>
      </c>
      <c r="H511" t="s">
        <v>4420</v>
      </c>
      <c r="I511" s="4" t="s">
        <v>35</v>
      </c>
      <c r="J511" s="4" t="s">
        <v>4421</v>
      </c>
      <c r="K511" t="s">
        <v>4422</v>
      </c>
      <c r="L511" t="s">
        <v>27</v>
      </c>
      <c r="M511" t="s">
        <v>4423</v>
      </c>
      <c r="N511" t="s">
        <v>28</v>
      </c>
      <c r="O511" t="s">
        <v>39</v>
      </c>
      <c r="P511" t="s">
        <v>40</v>
      </c>
      <c r="Q511" t="s">
        <v>31</v>
      </c>
      <c r="R511">
        <v>5</v>
      </c>
      <c r="S511" t="s">
        <v>4424</v>
      </c>
      <c r="T511" t="s">
        <v>5484</v>
      </c>
      <c r="U511" t="s">
        <v>5485</v>
      </c>
      <c r="V511" t="s">
        <v>32</v>
      </c>
      <c r="W511" t="s">
        <v>33</v>
      </c>
      <c r="X511" t="s">
        <v>33</v>
      </c>
      <c r="Y511" t="s">
        <v>33</v>
      </c>
      <c r="Z511" s="16" t="s">
        <v>34</v>
      </c>
      <c r="AA511">
        <v>-75.619033279999996</v>
      </c>
      <c r="AB511">
        <v>6.2476124400000002</v>
      </c>
      <c r="AC511" t="s">
        <v>96</v>
      </c>
      <c r="AD511" t="s">
        <v>97</v>
      </c>
    </row>
    <row r="512" spans="1:30" x14ac:dyDescent="0.25">
      <c r="A512" t="s">
        <v>4425</v>
      </c>
      <c r="B512" t="s">
        <v>41</v>
      </c>
      <c r="C512" t="s">
        <v>70</v>
      </c>
      <c r="D512" t="s">
        <v>41</v>
      </c>
      <c r="E512" t="s">
        <v>4426</v>
      </c>
      <c r="F512" t="s">
        <v>4427</v>
      </c>
      <c r="G512">
        <v>900431348</v>
      </c>
      <c r="H512" t="s">
        <v>2556</v>
      </c>
      <c r="I512" s="4" t="s">
        <v>2557</v>
      </c>
      <c r="J512" s="4" t="s">
        <v>4428</v>
      </c>
      <c r="K512" t="s">
        <v>4429</v>
      </c>
      <c r="L512" t="s">
        <v>27</v>
      </c>
      <c r="M512" t="s">
        <v>4430</v>
      </c>
      <c r="N512" t="s">
        <v>28</v>
      </c>
      <c r="O512" t="s">
        <v>71</v>
      </c>
      <c r="P512" t="s">
        <v>30</v>
      </c>
      <c r="Q512" t="s">
        <v>31</v>
      </c>
      <c r="R512">
        <v>7</v>
      </c>
      <c r="S512" t="s">
        <v>4431</v>
      </c>
      <c r="T512" t="s">
        <v>1139</v>
      </c>
      <c r="U512" t="s">
        <v>5486</v>
      </c>
      <c r="V512" t="s">
        <v>32</v>
      </c>
      <c r="W512" t="s">
        <v>33</v>
      </c>
      <c r="X512" t="s">
        <v>33</v>
      </c>
      <c r="Y512" t="s">
        <v>33</v>
      </c>
      <c r="Z512" s="16" t="s">
        <v>34</v>
      </c>
      <c r="AA512">
        <v>-75.570388089999994</v>
      </c>
      <c r="AB512">
        <v>6.2114669100000004</v>
      </c>
      <c r="AC512" t="s">
        <v>96</v>
      </c>
      <c r="AD512" t="s">
        <v>97</v>
      </c>
    </row>
    <row r="513" spans="1:30" x14ac:dyDescent="0.25">
      <c r="A513" t="s">
        <v>4432</v>
      </c>
      <c r="B513" t="s">
        <v>25</v>
      </c>
      <c r="C513" t="s">
        <v>26</v>
      </c>
      <c r="D513" t="s">
        <v>38</v>
      </c>
      <c r="E513" t="s">
        <v>4433</v>
      </c>
      <c r="F513" t="s">
        <v>4434</v>
      </c>
      <c r="G513">
        <v>1037582381</v>
      </c>
      <c r="H513" t="s">
        <v>4420</v>
      </c>
      <c r="I513" s="4" t="s">
        <v>35</v>
      </c>
      <c r="J513" s="4" t="s">
        <v>4421</v>
      </c>
      <c r="K513" t="s">
        <v>4435</v>
      </c>
      <c r="L513" t="s">
        <v>27</v>
      </c>
      <c r="M513" t="s">
        <v>4436</v>
      </c>
      <c r="N513" t="s">
        <v>28</v>
      </c>
      <c r="O513" t="s">
        <v>39</v>
      </c>
      <c r="P513" t="s">
        <v>40</v>
      </c>
      <c r="Q513" t="s">
        <v>31</v>
      </c>
      <c r="R513">
        <v>5</v>
      </c>
      <c r="S513" t="s">
        <v>4437</v>
      </c>
      <c r="T513" t="s">
        <v>5487</v>
      </c>
      <c r="U513" t="s">
        <v>5488</v>
      </c>
      <c r="V513" t="s">
        <v>32</v>
      </c>
      <c r="W513" t="s">
        <v>33</v>
      </c>
      <c r="X513" t="s">
        <v>33</v>
      </c>
      <c r="Y513" t="s">
        <v>33</v>
      </c>
      <c r="Z513" s="16" t="s">
        <v>34</v>
      </c>
      <c r="AA513">
        <v>-75.619033279999996</v>
      </c>
      <c r="AB513">
        <v>6.2476124400000002</v>
      </c>
      <c r="AC513" t="s">
        <v>96</v>
      </c>
      <c r="AD513" t="s">
        <v>97</v>
      </c>
    </row>
    <row r="514" spans="1:30" x14ac:dyDescent="0.25">
      <c r="A514" t="s">
        <v>4438</v>
      </c>
      <c r="B514" t="s">
        <v>25</v>
      </c>
      <c r="C514" t="s">
        <v>26</v>
      </c>
      <c r="D514" t="s">
        <v>38</v>
      </c>
      <c r="E514" t="s">
        <v>4439</v>
      </c>
      <c r="F514" t="s">
        <v>4440</v>
      </c>
      <c r="G514">
        <v>1036660138</v>
      </c>
      <c r="H514" t="s">
        <v>4441</v>
      </c>
      <c r="I514" s="4" t="s">
        <v>35</v>
      </c>
      <c r="J514" s="4" t="s">
        <v>4442</v>
      </c>
      <c r="K514" t="s">
        <v>4443</v>
      </c>
      <c r="L514" t="s">
        <v>43</v>
      </c>
      <c r="M514" t="s">
        <v>4444</v>
      </c>
      <c r="N514" t="s">
        <v>44</v>
      </c>
      <c r="O514" t="s">
        <v>39</v>
      </c>
      <c r="P514" t="s">
        <v>40</v>
      </c>
      <c r="Q514" t="s">
        <v>31</v>
      </c>
      <c r="R514">
        <v>5</v>
      </c>
      <c r="S514" t="s">
        <v>4445</v>
      </c>
      <c r="T514" t="s">
        <v>5489</v>
      </c>
      <c r="U514" t="s">
        <v>3188</v>
      </c>
      <c r="V514" t="s">
        <v>32</v>
      </c>
      <c r="W514" t="s">
        <v>33</v>
      </c>
      <c r="X514" t="s">
        <v>33</v>
      </c>
      <c r="Y514" t="s">
        <v>33</v>
      </c>
      <c r="Z514" s="16" t="s">
        <v>34</v>
      </c>
      <c r="AA514">
        <v>-75.617031999999995</v>
      </c>
      <c r="AB514">
        <v>6.1773110000000004</v>
      </c>
      <c r="AC514" t="s">
        <v>96</v>
      </c>
      <c r="AD514" t="s">
        <v>97</v>
      </c>
    </row>
    <row r="515" spans="1:30" x14ac:dyDescent="0.25">
      <c r="A515" t="s">
        <v>4447</v>
      </c>
      <c r="B515" t="s">
        <v>25</v>
      </c>
      <c r="C515" t="s">
        <v>26</v>
      </c>
      <c r="D515" t="s">
        <v>38</v>
      </c>
      <c r="E515" t="s">
        <v>4448</v>
      </c>
      <c r="F515" t="s">
        <v>4449</v>
      </c>
      <c r="G515">
        <v>1036658637</v>
      </c>
      <c r="H515" t="s">
        <v>4450</v>
      </c>
      <c r="I515" s="4" t="s">
        <v>35</v>
      </c>
      <c r="J515" s="4" t="s">
        <v>4451</v>
      </c>
      <c r="K515" t="s">
        <v>4452</v>
      </c>
      <c r="L515" t="s">
        <v>43</v>
      </c>
      <c r="M515" t="s">
        <v>4453</v>
      </c>
      <c r="N515" t="s">
        <v>44</v>
      </c>
      <c r="O515" t="s">
        <v>39</v>
      </c>
      <c r="P515" t="s">
        <v>40</v>
      </c>
      <c r="Q515" t="s">
        <v>31</v>
      </c>
      <c r="R515">
        <v>5</v>
      </c>
      <c r="S515" t="s">
        <v>4454</v>
      </c>
      <c r="T515" t="s">
        <v>5490</v>
      </c>
      <c r="U515" t="s">
        <v>5491</v>
      </c>
      <c r="V515" t="s">
        <v>32</v>
      </c>
      <c r="W515" t="s">
        <v>33</v>
      </c>
      <c r="X515" t="s">
        <v>33</v>
      </c>
      <c r="Y515" t="s">
        <v>33</v>
      </c>
      <c r="Z515" s="16" t="s">
        <v>34</v>
      </c>
      <c r="AA515">
        <v>-75.618610360000005</v>
      </c>
      <c r="AB515">
        <v>6.19020832</v>
      </c>
      <c r="AC515" t="s">
        <v>96</v>
      </c>
      <c r="AD515" t="s">
        <v>97</v>
      </c>
    </row>
    <row r="516" spans="1:30" x14ac:dyDescent="0.25">
      <c r="A516" t="s">
        <v>4456</v>
      </c>
      <c r="B516" t="s">
        <v>49</v>
      </c>
      <c r="C516" t="s">
        <v>26</v>
      </c>
      <c r="D516" t="s">
        <v>49</v>
      </c>
      <c r="E516" t="s">
        <v>4457</v>
      </c>
      <c r="F516" t="s">
        <v>4458</v>
      </c>
      <c r="G516">
        <v>39382626</v>
      </c>
      <c r="H516" t="s">
        <v>4459</v>
      </c>
      <c r="I516" s="4" t="s">
        <v>4460</v>
      </c>
      <c r="J516" s="4" t="s">
        <v>4461</v>
      </c>
      <c r="K516" t="s">
        <v>4462</v>
      </c>
      <c r="L516" t="s">
        <v>27</v>
      </c>
      <c r="M516" t="s">
        <v>4463</v>
      </c>
      <c r="N516" t="s">
        <v>28</v>
      </c>
      <c r="O516" t="s">
        <v>50</v>
      </c>
      <c r="P516" t="s">
        <v>51</v>
      </c>
      <c r="Q516" t="s">
        <v>31</v>
      </c>
      <c r="R516">
        <v>11</v>
      </c>
      <c r="S516" t="s">
        <v>4464</v>
      </c>
      <c r="T516" t="s">
        <v>5492</v>
      </c>
      <c r="U516" t="s">
        <v>5493</v>
      </c>
      <c r="V516" t="s">
        <v>32</v>
      </c>
      <c r="W516" t="s">
        <v>33</v>
      </c>
      <c r="X516" t="s">
        <v>33</v>
      </c>
      <c r="Y516" t="s">
        <v>33</v>
      </c>
      <c r="Z516" s="16" t="s">
        <v>34</v>
      </c>
      <c r="AA516">
        <v>-75.604882000000003</v>
      </c>
      <c r="AB516">
        <v>6.274394</v>
      </c>
      <c r="AC516" t="s">
        <v>96</v>
      </c>
      <c r="AD516" t="s">
        <v>97</v>
      </c>
    </row>
    <row r="517" spans="1:30" x14ac:dyDescent="0.25">
      <c r="A517" t="s">
        <v>4465</v>
      </c>
      <c r="B517" t="s">
        <v>59</v>
      </c>
      <c r="C517" t="s">
        <v>26</v>
      </c>
      <c r="D517" t="s">
        <v>59</v>
      </c>
      <c r="E517" t="s">
        <v>4466</v>
      </c>
      <c r="F517" t="s">
        <v>4467</v>
      </c>
      <c r="G517">
        <v>70827620</v>
      </c>
      <c r="H517" t="s">
        <v>4468</v>
      </c>
      <c r="I517" s="4" t="s">
        <v>35</v>
      </c>
      <c r="J517" s="4" t="s">
        <v>4469</v>
      </c>
      <c r="K517" t="s">
        <v>4470</v>
      </c>
      <c r="L517" t="s">
        <v>27</v>
      </c>
      <c r="M517" t="s">
        <v>4471</v>
      </c>
      <c r="N517" t="s">
        <v>28</v>
      </c>
      <c r="O517" t="s">
        <v>60</v>
      </c>
      <c r="P517" t="s">
        <v>61</v>
      </c>
      <c r="Q517" t="s">
        <v>31</v>
      </c>
      <c r="R517">
        <v>4</v>
      </c>
      <c r="S517" t="s">
        <v>4472</v>
      </c>
      <c r="T517" t="s">
        <v>5494</v>
      </c>
      <c r="U517" t="s">
        <v>5495</v>
      </c>
      <c r="V517" t="s">
        <v>32</v>
      </c>
      <c r="W517" t="s">
        <v>33</v>
      </c>
      <c r="X517" t="s">
        <v>33</v>
      </c>
      <c r="Y517" t="s">
        <v>33</v>
      </c>
      <c r="Z517" s="16" t="s">
        <v>34</v>
      </c>
      <c r="AA517">
        <v>-75.589341430000005</v>
      </c>
      <c r="AB517">
        <v>6.2465724399999996</v>
      </c>
      <c r="AC517" t="s">
        <v>96</v>
      </c>
      <c r="AD517" t="s">
        <v>97</v>
      </c>
    </row>
    <row r="518" spans="1:30" x14ac:dyDescent="0.25">
      <c r="A518" t="s">
        <v>4473</v>
      </c>
      <c r="B518" t="s">
        <v>49</v>
      </c>
      <c r="C518" t="s">
        <v>26</v>
      </c>
      <c r="D518" t="s">
        <v>49</v>
      </c>
      <c r="E518" t="s">
        <v>4474</v>
      </c>
      <c r="F518" t="s">
        <v>4475</v>
      </c>
      <c r="G518">
        <v>6478027</v>
      </c>
      <c r="H518" t="s">
        <v>4476</v>
      </c>
      <c r="I518" s="4" t="s">
        <v>4477</v>
      </c>
      <c r="J518" s="4" t="s">
        <v>4478</v>
      </c>
      <c r="K518" t="s">
        <v>4479</v>
      </c>
      <c r="L518" t="s">
        <v>27</v>
      </c>
      <c r="M518" t="s">
        <v>4480</v>
      </c>
      <c r="N518" t="s">
        <v>28</v>
      </c>
      <c r="O518" t="s">
        <v>50</v>
      </c>
      <c r="P518" t="s">
        <v>51</v>
      </c>
      <c r="Q518" t="s">
        <v>31</v>
      </c>
      <c r="R518">
        <v>11</v>
      </c>
      <c r="S518" t="s">
        <v>4481</v>
      </c>
      <c r="T518" t="s">
        <v>5496</v>
      </c>
      <c r="U518" t="s">
        <v>5497</v>
      </c>
      <c r="V518" t="s">
        <v>32</v>
      </c>
      <c r="W518" t="s">
        <v>33</v>
      </c>
      <c r="X518" t="s">
        <v>33</v>
      </c>
      <c r="Y518" t="s">
        <v>33</v>
      </c>
      <c r="Z518" s="16" t="s">
        <v>34</v>
      </c>
      <c r="AA518">
        <v>-75.553529999999995</v>
      </c>
      <c r="AB518">
        <v>6.2319849999999999</v>
      </c>
      <c r="AC518" t="s">
        <v>96</v>
      </c>
      <c r="AD518" t="s">
        <v>97</v>
      </c>
    </row>
    <row r="519" spans="1:30" x14ac:dyDescent="0.25">
      <c r="A519" t="s">
        <v>4482</v>
      </c>
      <c r="B519" t="s">
        <v>25</v>
      </c>
      <c r="C519" t="s">
        <v>26</v>
      </c>
      <c r="D519" t="s">
        <v>38</v>
      </c>
      <c r="E519" t="s">
        <v>4483</v>
      </c>
      <c r="F519" t="s">
        <v>4484</v>
      </c>
      <c r="G519">
        <v>43108753</v>
      </c>
      <c r="H519" t="s">
        <v>4485</v>
      </c>
      <c r="I519" s="4" t="s">
        <v>4486</v>
      </c>
      <c r="J519" s="4" t="s">
        <v>4487</v>
      </c>
      <c r="K519" t="s">
        <v>4488</v>
      </c>
      <c r="L519" t="s">
        <v>27</v>
      </c>
      <c r="M519" t="s">
        <v>4489</v>
      </c>
      <c r="N519" t="s">
        <v>28</v>
      </c>
      <c r="O519" t="s">
        <v>39</v>
      </c>
      <c r="P519" t="s">
        <v>40</v>
      </c>
      <c r="Q519" t="s">
        <v>31</v>
      </c>
      <c r="R519">
        <v>5</v>
      </c>
      <c r="S519" t="s">
        <v>4490</v>
      </c>
      <c r="T519" t="s">
        <v>5498</v>
      </c>
      <c r="U519" t="s">
        <v>5499</v>
      </c>
      <c r="V519" t="s">
        <v>32</v>
      </c>
      <c r="W519" t="s">
        <v>33</v>
      </c>
      <c r="X519" t="s">
        <v>33</v>
      </c>
      <c r="Y519" t="s">
        <v>33</v>
      </c>
      <c r="Z519" s="16" t="s">
        <v>34</v>
      </c>
      <c r="AA519">
        <v>-75.613264000000001</v>
      </c>
      <c r="AB519">
        <v>6.2673300000000003</v>
      </c>
      <c r="AC519" t="s">
        <v>96</v>
      </c>
      <c r="AD519" t="s">
        <v>97</v>
      </c>
    </row>
    <row r="520" spans="1:30" x14ac:dyDescent="0.25">
      <c r="A520" t="s">
        <v>4491</v>
      </c>
      <c r="B520" t="s">
        <v>25</v>
      </c>
      <c r="C520" t="s">
        <v>26</v>
      </c>
      <c r="D520" t="s">
        <v>38</v>
      </c>
      <c r="E520" t="s">
        <v>4492</v>
      </c>
      <c r="F520" t="s">
        <v>4493</v>
      </c>
      <c r="G520">
        <v>78691002</v>
      </c>
      <c r="H520" t="s">
        <v>4494</v>
      </c>
      <c r="I520" s="4" t="s">
        <v>35</v>
      </c>
      <c r="J520" s="4" t="s">
        <v>4495</v>
      </c>
      <c r="K520" t="s">
        <v>4496</v>
      </c>
      <c r="L520" t="s">
        <v>27</v>
      </c>
      <c r="M520" t="s">
        <v>4497</v>
      </c>
      <c r="N520" t="s">
        <v>28</v>
      </c>
      <c r="O520" t="s">
        <v>39</v>
      </c>
      <c r="P520" t="s">
        <v>40</v>
      </c>
      <c r="Q520" t="s">
        <v>31</v>
      </c>
      <c r="R520">
        <v>5</v>
      </c>
      <c r="S520" t="s">
        <v>4498</v>
      </c>
      <c r="T520" t="s">
        <v>1695</v>
      </c>
      <c r="U520" t="s">
        <v>1696</v>
      </c>
      <c r="V520" t="s">
        <v>32</v>
      </c>
      <c r="W520" t="s">
        <v>33</v>
      </c>
      <c r="X520" t="s">
        <v>33</v>
      </c>
      <c r="Y520" t="s">
        <v>33</v>
      </c>
      <c r="Z520" s="16" t="s">
        <v>34</v>
      </c>
      <c r="AA520">
        <v>-75.599178089999995</v>
      </c>
      <c r="AB520">
        <v>6.26905074</v>
      </c>
      <c r="AC520" t="s">
        <v>96</v>
      </c>
      <c r="AD520" t="s">
        <v>97</v>
      </c>
    </row>
    <row r="521" spans="1:30" x14ac:dyDescent="0.25">
      <c r="A521" t="s">
        <v>4499</v>
      </c>
      <c r="B521" t="s">
        <v>25</v>
      </c>
      <c r="C521" t="s">
        <v>26</v>
      </c>
      <c r="D521" t="s">
        <v>38</v>
      </c>
      <c r="E521" t="s">
        <v>4500</v>
      </c>
      <c r="F521" t="s">
        <v>4501</v>
      </c>
      <c r="G521">
        <v>1036673777</v>
      </c>
      <c r="H521" t="s">
        <v>4502</v>
      </c>
      <c r="I521" s="4" t="s">
        <v>35</v>
      </c>
      <c r="J521" s="4" t="s">
        <v>4503</v>
      </c>
      <c r="K521" t="s">
        <v>4504</v>
      </c>
      <c r="L521" t="s">
        <v>43</v>
      </c>
      <c r="M521" t="s">
        <v>4505</v>
      </c>
      <c r="N521" t="s">
        <v>44</v>
      </c>
      <c r="O521" t="s">
        <v>39</v>
      </c>
      <c r="P521" t="s">
        <v>40</v>
      </c>
      <c r="Q521" t="s">
        <v>31</v>
      </c>
      <c r="R521">
        <v>5</v>
      </c>
      <c r="S521" t="s">
        <v>4506</v>
      </c>
      <c r="T521" t="s">
        <v>1695</v>
      </c>
      <c r="U521" t="s">
        <v>1696</v>
      </c>
      <c r="V521" t="s">
        <v>32</v>
      </c>
      <c r="W521" t="s">
        <v>33</v>
      </c>
      <c r="X521" t="s">
        <v>33</v>
      </c>
      <c r="Y521" t="s">
        <v>33</v>
      </c>
      <c r="Z521" s="16" t="s">
        <v>34</v>
      </c>
      <c r="AA521">
        <v>-75.617031999999995</v>
      </c>
      <c r="AB521">
        <v>6.1773110000000004</v>
      </c>
      <c r="AC521" t="s">
        <v>96</v>
      </c>
      <c r="AD521" t="s">
        <v>97</v>
      </c>
    </row>
    <row r="522" spans="1:30" x14ac:dyDescent="0.25">
      <c r="A522" t="s">
        <v>4507</v>
      </c>
      <c r="B522" t="s">
        <v>49</v>
      </c>
      <c r="C522" t="s">
        <v>26</v>
      </c>
      <c r="D522" t="s">
        <v>49</v>
      </c>
      <c r="E522" t="s">
        <v>4508</v>
      </c>
      <c r="F522" t="s">
        <v>4509</v>
      </c>
      <c r="G522">
        <v>6478027</v>
      </c>
      <c r="H522" t="s">
        <v>4476</v>
      </c>
      <c r="I522" s="4" t="s">
        <v>4477</v>
      </c>
      <c r="J522" s="4" t="s">
        <v>4478</v>
      </c>
      <c r="K522" t="s">
        <v>4510</v>
      </c>
      <c r="L522" t="s">
        <v>27</v>
      </c>
      <c r="M522" t="s">
        <v>4511</v>
      </c>
      <c r="N522" t="s">
        <v>28</v>
      </c>
      <c r="O522" t="s">
        <v>50</v>
      </c>
      <c r="P522" t="s">
        <v>51</v>
      </c>
      <c r="Q522" t="s">
        <v>31</v>
      </c>
      <c r="R522">
        <v>11</v>
      </c>
      <c r="S522" t="s">
        <v>4512</v>
      </c>
      <c r="T522" t="s">
        <v>5500</v>
      </c>
      <c r="U522" t="s">
        <v>5501</v>
      </c>
      <c r="V522" t="s">
        <v>32</v>
      </c>
      <c r="W522" t="s">
        <v>33</v>
      </c>
      <c r="X522" t="s">
        <v>33</v>
      </c>
      <c r="Y522" t="s">
        <v>33</v>
      </c>
      <c r="Z522" s="16" t="s">
        <v>34</v>
      </c>
      <c r="AA522">
        <v>-75.553529999999995</v>
      </c>
      <c r="AB522">
        <v>6.2319849999999999</v>
      </c>
      <c r="AC522" t="s">
        <v>96</v>
      </c>
      <c r="AD522" t="s">
        <v>97</v>
      </c>
    </row>
    <row r="523" spans="1:30" x14ac:dyDescent="0.25">
      <c r="A523" t="s">
        <v>4513</v>
      </c>
      <c r="B523" t="s">
        <v>59</v>
      </c>
      <c r="C523" t="s">
        <v>26</v>
      </c>
      <c r="D523" t="s">
        <v>59</v>
      </c>
      <c r="E523" t="s">
        <v>4514</v>
      </c>
      <c r="F523" t="s">
        <v>4515</v>
      </c>
      <c r="G523">
        <v>15345988</v>
      </c>
      <c r="H523" t="s">
        <v>4516</v>
      </c>
      <c r="I523" s="4" t="s">
        <v>35</v>
      </c>
      <c r="J523" s="4" t="s">
        <v>4517</v>
      </c>
      <c r="K523" t="s">
        <v>4518</v>
      </c>
      <c r="L523" t="s">
        <v>57</v>
      </c>
      <c r="M523" t="s">
        <v>4519</v>
      </c>
      <c r="N523" t="s">
        <v>58</v>
      </c>
      <c r="O523" t="s">
        <v>60</v>
      </c>
      <c r="P523" t="s">
        <v>61</v>
      </c>
      <c r="Q523" t="s">
        <v>31</v>
      </c>
      <c r="R523">
        <v>4</v>
      </c>
      <c r="S523" t="s">
        <v>4520</v>
      </c>
      <c r="T523" t="s">
        <v>5502</v>
      </c>
      <c r="U523" t="s">
        <v>5503</v>
      </c>
      <c r="V523" t="s">
        <v>32</v>
      </c>
      <c r="W523" t="s">
        <v>33</v>
      </c>
      <c r="X523" t="s">
        <v>33</v>
      </c>
      <c r="Y523" t="s">
        <v>33</v>
      </c>
      <c r="Z523" s="16" t="s">
        <v>34</v>
      </c>
      <c r="AA523">
        <v>-75.615994259999994</v>
      </c>
      <c r="AB523">
        <v>6.1491016700000003</v>
      </c>
      <c r="AC523" t="s">
        <v>96</v>
      </c>
      <c r="AD523" t="s">
        <v>97</v>
      </c>
    </row>
    <row r="524" spans="1:30" x14ac:dyDescent="0.25">
      <c r="A524" t="s">
        <v>4521</v>
      </c>
      <c r="B524" t="s">
        <v>25</v>
      </c>
      <c r="C524" t="s">
        <v>26</v>
      </c>
      <c r="D524" t="s">
        <v>38</v>
      </c>
      <c r="E524" t="s">
        <v>4522</v>
      </c>
      <c r="F524" t="s">
        <v>4523</v>
      </c>
      <c r="G524">
        <v>1036658637</v>
      </c>
      <c r="H524" t="s">
        <v>4450</v>
      </c>
      <c r="I524" s="4" t="s">
        <v>35</v>
      </c>
      <c r="J524" s="4" t="s">
        <v>4451</v>
      </c>
      <c r="K524" t="s">
        <v>4524</v>
      </c>
      <c r="L524" t="s">
        <v>43</v>
      </c>
      <c r="M524" t="s">
        <v>4525</v>
      </c>
      <c r="N524" t="s">
        <v>44</v>
      </c>
      <c r="O524" t="s">
        <v>39</v>
      </c>
      <c r="P524" t="s">
        <v>40</v>
      </c>
      <c r="Q524" t="s">
        <v>31</v>
      </c>
      <c r="R524">
        <v>5</v>
      </c>
      <c r="S524" t="s">
        <v>4526</v>
      </c>
      <c r="T524" t="s">
        <v>5504</v>
      </c>
      <c r="U524" t="s">
        <v>1131</v>
      </c>
      <c r="V524" t="s">
        <v>32</v>
      </c>
      <c r="W524" t="s">
        <v>33</v>
      </c>
      <c r="X524" t="s">
        <v>33</v>
      </c>
      <c r="Y524" t="s">
        <v>33</v>
      </c>
      <c r="Z524" s="16" t="s">
        <v>34</v>
      </c>
      <c r="AA524">
        <v>-75.618610360000005</v>
      </c>
      <c r="AB524">
        <v>6.19020832</v>
      </c>
      <c r="AC524" t="s">
        <v>96</v>
      </c>
      <c r="AD524" t="s">
        <v>97</v>
      </c>
    </row>
    <row r="525" spans="1:30" x14ac:dyDescent="0.25">
      <c r="A525" t="s">
        <v>4527</v>
      </c>
      <c r="B525" t="s">
        <v>25</v>
      </c>
      <c r="C525" t="s">
        <v>26</v>
      </c>
      <c r="D525" t="s">
        <v>38</v>
      </c>
      <c r="E525" t="s">
        <v>4528</v>
      </c>
      <c r="F525" t="s">
        <v>4529</v>
      </c>
      <c r="G525">
        <v>70136756</v>
      </c>
      <c r="H525" t="s">
        <v>4530</v>
      </c>
      <c r="I525" s="4" t="s">
        <v>35</v>
      </c>
      <c r="J525" s="4" t="s">
        <v>4531</v>
      </c>
      <c r="K525" t="s">
        <v>4532</v>
      </c>
      <c r="L525" t="s">
        <v>43</v>
      </c>
      <c r="M525" t="s">
        <v>4533</v>
      </c>
      <c r="N525" t="s">
        <v>44</v>
      </c>
      <c r="O525" t="s">
        <v>39</v>
      </c>
      <c r="P525" t="s">
        <v>40</v>
      </c>
      <c r="Q525" t="s">
        <v>31</v>
      </c>
      <c r="R525">
        <v>5</v>
      </c>
      <c r="S525" t="s">
        <v>4534</v>
      </c>
      <c r="T525" t="s">
        <v>5505</v>
      </c>
      <c r="U525" t="s">
        <v>5506</v>
      </c>
      <c r="V525" t="s">
        <v>32</v>
      </c>
      <c r="W525" t="s">
        <v>33</v>
      </c>
      <c r="X525" t="s">
        <v>33</v>
      </c>
      <c r="Y525" t="s">
        <v>33</v>
      </c>
      <c r="Z525" s="16" t="s">
        <v>34</v>
      </c>
      <c r="AA525">
        <v>-75.623613660000004</v>
      </c>
      <c r="AB525">
        <v>6.1666664600000001</v>
      </c>
      <c r="AC525" t="s">
        <v>96</v>
      </c>
      <c r="AD525" t="s">
        <v>97</v>
      </c>
    </row>
    <row r="526" spans="1:30" x14ac:dyDescent="0.25">
      <c r="A526" t="s">
        <v>5582</v>
      </c>
      <c r="B526" t="s">
        <v>63</v>
      </c>
      <c r="C526" t="s">
        <v>26</v>
      </c>
      <c r="D526" t="s">
        <v>64</v>
      </c>
      <c r="E526" t="s">
        <v>5583</v>
      </c>
      <c r="F526" t="s">
        <v>5584</v>
      </c>
      <c r="G526">
        <v>1005180552</v>
      </c>
      <c r="H526" t="s">
        <v>5585</v>
      </c>
      <c r="I526" s="4" t="s">
        <v>35</v>
      </c>
      <c r="J526" s="4" t="s">
        <v>5586</v>
      </c>
      <c r="K526" t="s">
        <v>5587</v>
      </c>
      <c r="L526" t="s">
        <v>27</v>
      </c>
      <c r="M526" t="s">
        <v>5588</v>
      </c>
      <c r="N526" t="s">
        <v>28</v>
      </c>
      <c r="O526" t="s">
        <v>65</v>
      </c>
      <c r="P526" t="s">
        <v>66</v>
      </c>
      <c r="Q526" t="s">
        <v>31</v>
      </c>
      <c r="R526">
        <v>9</v>
      </c>
      <c r="S526" t="s">
        <v>5589</v>
      </c>
      <c r="T526" t="s">
        <v>5590</v>
      </c>
      <c r="U526" t="s">
        <v>5591</v>
      </c>
      <c r="V526" t="s">
        <v>32</v>
      </c>
      <c r="W526" t="s">
        <v>33</v>
      </c>
      <c r="X526" t="s">
        <v>33</v>
      </c>
      <c r="Y526" t="s">
        <v>33</v>
      </c>
      <c r="Z526" s="16" t="s">
        <v>34</v>
      </c>
      <c r="AA526">
        <v>-75.625248999999997</v>
      </c>
      <c r="AB526">
        <v>6.2651510000000004</v>
      </c>
      <c r="AC526" t="s">
        <v>96</v>
      </c>
      <c r="AD526" t="s">
        <v>97</v>
      </c>
    </row>
    <row r="527" spans="1:30" x14ac:dyDescent="0.25">
      <c r="A527" t="s">
        <v>4535</v>
      </c>
      <c r="B527" t="s">
        <v>49</v>
      </c>
      <c r="C527" t="s">
        <v>26</v>
      </c>
      <c r="D527" t="s">
        <v>49</v>
      </c>
      <c r="E527" t="s">
        <v>4536</v>
      </c>
      <c r="F527" t="s">
        <v>4537</v>
      </c>
      <c r="G527">
        <v>43829396</v>
      </c>
      <c r="H527" t="s">
        <v>4538</v>
      </c>
      <c r="I527" s="4" t="s">
        <v>35</v>
      </c>
      <c r="J527" s="4" t="s">
        <v>4539</v>
      </c>
      <c r="K527" t="s">
        <v>4540</v>
      </c>
      <c r="L527" t="s">
        <v>43</v>
      </c>
      <c r="M527" t="s">
        <v>4541</v>
      </c>
      <c r="N527" t="s">
        <v>44</v>
      </c>
      <c r="O527" t="s">
        <v>50</v>
      </c>
      <c r="P527" t="s">
        <v>51</v>
      </c>
      <c r="Q527" t="s">
        <v>31</v>
      </c>
      <c r="R527">
        <v>11</v>
      </c>
      <c r="S527" t="s">
        <v>4542</v>
      </c>
      <c r="T527" t="s">
        <v>3406</v>
      </c>
      <c r="U527" t="s">
        <v>5507</v>
      </c>
      <c r="V527" t="s">
        <v>32</v>
      </c>
      <c r="W527" t="s">
        <v>33</v>
      </c>
      <c r="X527" t="s">
        <v>33</v>
      </c>
      <c r="Y527" t="s">
        <v>33</v>
      </c>
      <c r="Z527" s="16" t="s">
        <v>34</v>
      </c>
      <c r="AA527">
        <v>-75.604879999999994</v>
      </c>
      <c r="AB527">
        <v>6.1941480000000002</v>
      </c>
      <c r="AC527" t="s">
        <v>96</v>
      </c>
      <c r="AD527" t="s">
        <v>97</v>
      </c>
    </row>
    <row r="528" spans="1:30" x14ac:dyDescent="0.25">
      <c r="A528" t="s">
        <v>4543</v>
      </c>
      <c r="B528" t="s">
        <v>59</v>
      </c>
      <c r="C528" t="s">
        <v>26</v>
      </c>
      <c r="D528" t="s">
        <v>59</v>
      </c>
      <c r="E528" t="s">
        <v>4544</v>
      </c>
      <c r="F528" t="s">
        <v>4545</v>
      </c>
      <c r="G528">
        <v>71718593</v>
      </c>
      <c r="H528" t="s">
        <v>3999</v>
      </c>
      <c r="I528" s="4" t="s">
        <v>4000</v>
      </c>
      <c r="J528" s="4" t="s">
        <v>708</v>
      </c>
      <c r="K528" t="s">
        <v>4002</v>
      </c>
      <c r="L528" t="s">
        <v>43</v>
      </c>
      <c r="M528" t="s">
        <v>4003</v>
      </c>
      <c r="N528" t="s">
        <v>44</v>
      </c>
      <c r="O528" t="s">
        <v>60</v>
      </c>
      <c r="P528" t="s">
        <v>61</v>
      </c>
      <c r="Q528" t="s">
        <v>31</v>
      </c>
      <c r="R528">
        <v>4</v>
      </c>
      <c r="S528" t="s">
        <v>4546</v>
      </c>
      <c r="T528" t="s">
        <v>5508</v>
      </c>
      <c r="U528" t="s">
        <v>5509</v>
      </c>
      <c r="V528" t="s">
        <v>32</v>
      </c>
      <c r="W528" t="s">
        <v>33</v>
      </c>
      <c r="X528" t="s">
        <v>33</v>
      </c>
      <c r="Y528" t="s">
        <v>33</v>
      </c>
      <c r="Z528" s="16" t="s">
        <v>34</v>
      </c>
      <c r="AA528">
        <v>-75.629686849999999</v>
      </c>
      <c r="AB528">
        <v>6.1716111500000004</v>
      </c>
      <c r="AC528" t="s">
        <v>96</v>
      </c>
      <c r="AD528" t="s">
        <v>97</v>
      </c>
    </row>
    <row r="529" spans="1:30" x14ac:dyDescent="0.25">
      <c r="A529" t="s">
        <v>4547</v>
      </c>
      <c r="B529" t="s">
        <v>25</v>
      </c>
      <c r="C529" t="s">
        <v>26</v>
      </c>
      <c r="D529" t="s">
        <v>25</v>
      </c>
      <c r="E529" t="s">
        <v>4548</v>
      </c>
      <c r="F529" t="s">
        <v>4549</v>
      </c>
      <c r="G529">
        <v>1038548681</v>
      </c>
      <c r="H529" t="s">
        <v>4396</v>
      </c>
      <c r="I529" s="4" t="s">
        <v>35</v>
      </c>
      <c r="J529" s="4" t="s">
        <v>4550</v>
      </c>
      <c r="K529" t="s">
        <v>4551</v>
      </c>
      <c r="L529" t="s">
        <v>27</v>
      </c>
      <c r="M529" t="s">
        <v>4552</v>
      </c>
      <c r="N529" t="s">
        <v>28</v>
      </c>
      <c r="O529" t="s">
        <v>29</v>
      </c>
      <c r="P529" t="s">
        <v>30</v>
      </c>
      <c r="Q529" t="s">
        <v>31</v>
      </c>
      <c r="R529">
        <v>7</v>
      </c>
      <c r="S529" t="s">
        <v>4553</v>
      </c>
      <c r="T529" t="s">
        <v>5216</v>
      </c>
      <c r="U529" t="s">
        <v>5510</v>
      </c>
      <c r="V529" t="s">
        <v>32</v>
      </c>
      <c r="W529" t="s">
        <v>33</v>
      </c>
      <c r="X529" t="s">
        <v>33</v>
      </c>
      <c r="Y529" t="s">
        <v>33</v>
      </c>
      <c r="Z529" s="16" t="s">
        <v>34</v>
      </c>
      <c r="AA529">
        <v>-75.541348979999995</v>
      </c>
      <c r="AB529">
        <v>6.2451202200000004</v>
      </c>
      <c r="AC529" t="s">
        <v>96</v>
      </c>
      <c r="AD529" t="s">
        <v>97</v>
      </c>
    </row>
    <row r="530" spans="1:30" x14ac:dyDescent="0.25">
      <c r="A530" t="s">
        <v>4554</v>
      </c>
      <c r="B530" t="s">
        <v>25</v>
      </c>
      <c r="C530" t="s">
        <v>26</v>
      </c>
      <c r="D530" t="s">
        <v>25</v>
      </c>
      <c r="E530" t="s">
        <v>4555</v>
      </c>
      <c r="F530" t="s">
        <v>4556</v>
      </c>
      <c r="G530">
        <v>1038548681</v>
      </c>
      <c r="H530" t="s">
        <v>4396</v>
      </c>
      <c r="I530" s="4" t="s">
        <v>35</v>
      </c>
      <c r="J530" s="4" t="s">
        <v>4550</v>
      </c>
      <c r="K530" t="s">
        <v>4557</v>
      </c>
      <c r="L530" t="s">
        <v>27</v>
      </c>
      <c r="M530" t="s">
        <v>4558</v>
      </c>
      <c r="N530" t="s">
        <v>28</v>
      </c>
      <c r="O530" t="s">
        <v>29</v>
      </c>
      <c r="P530" t="s">
        <v>30</v>
      </c>
      <c r="Q530" t="s">
        <v>31</v>
      </c>
      <c r="R530">
        <v>7</v>
      </c>
      <c r="S530" t="s">
        <v>4559</v>
      </c>
      <c r="T530" t="s">
        <v>5511</v>
      </c>
      <c r="U530" t="s">
        <v>5512</v>
      </c>
      <c r="V530" t="s">
        <v>32</v>
      </c>
      <c r="W530" t="s">
        <v>33</v>
      </c>
      <c r="X530" t="s">
        <v>33</v>
      </c>
      <c r="Y530" t="s">
        <v>33</v>
      </c>
      <c r="Z530" s="16" t="s">
        <v>34</v>
      </c>
      <c r="AA530">
        <v>-75.541348979999995</v>
      </c>
      <c r="AB530">
        <v>6.2451202200000004</v>
      </c>
      <c r="AC530" t="s">
        <v>96</v>
      </c>
      <c r="AD530" t="s">
        <v>97</v>
      </c>
    </row>
    <row r="531" spans="1:30" x14ac:dyDescent="0.25">
      <c r="A531" t="s">
        <v>4560</v>
      </c>
      <c r="B531" t="s">
        <v>25</v>
      </c>
      <c r="C531" t="s">
        <v>26</v>
      </c>
      <c r="D531" t="s">
        <v>25</v>
      </c>
      <c r="E531" t="s">
        <v>4561</v>
      </c>
      <c r="F531" t="s">
        <v>4562</v>
      </c>
      <c r="G531">
        <v>1038548681</v>
      </c>
      <c r="H531" t="s">
        <v>4396</v>
      </c>
      <c r="I531" s="4" t="s">
        <v>35</v>
      </c>
      <c r="J531" s="4" t="s">
        <v>4397</v>
      </c>
      <c r="K531" t="s">
        <v>4563</v>
      </c>
      <c r="L531" t="s">
        <v>27</v>
      </c>
      <c r="M531" t="s">
        <v>4564</v>
      </c>
      <c r="N531" t="s">
        <v>28</v>
      </c>
      <c r="O531" t="s">
        <v>29</v>
      </c>
      <c r="P531" t="s">
        <v>30</v>
      </c>
      <c r="Q531" t="s">
        <v>31</v>
      </c>
      <c r="R531">
        <v>7</v>
      </c>
      <c r="S531" t="s">
        <v>4565</v>
      </c>
      <c r="T531" t="s">
        <v>5513</v>
      </c>
      <c r="U531" t="s">
        <v>5514</v>
      </c>
      <c r="V531" t="s">
        <v>32</v>
      </c>
      <c r="W531" t="s">
        <v>33</v>
      </c>
      <c r="X531" t="s">
        <v>33</v>
      </c>
      <c r="Y531" t="s">
        <v>33</v>
      </c>
      <c r="Z531" s="16" t="s">
        <v>34</v>
      </c>
      <c r="AA531">
        <v>-75.541348979999995</v>
      </c>
      <c r="AB531">
        <v>6.2451202200000004</v>
      </c>
      <c r="AC531" t="s">
        <v>96</v>
      </c>
      <c r="AD531" t="s">
        <v>97</v>
      </c>
    </row>
    <row r="532" spans="1:30" x14ac:dyDescent="0.25">
      <c r="A532" t="s">
        <v>5592</v>
      </c>
      <c r="B532" t="s">
        <v>63</v>
      </c>
      <c r="C532" t="s">
        <v>26</v>
      </c>
      <c r="D532" t="s">
        <v>64</v>
      </c>
      <c r="E532" t="s">
        <v>5593</v>
      </c>
      <c r="F532" t="s">
        <v>5594</v>
      </c>
      <c r="G532">
        <v>8473278</v>
      </c>
      <c r="H532" t="s">
        <v>5595</v>
      </c>
      <c r="I532" s="4" t="s">
        <v>35</v>
      </c>
      <c r="J532" s="4" t="s">
        <v>5596</v>
      </c>
      <c r="K532" t="s">
        <v>5597</v>
      </c>
      <c r="L532" t="s">
        <v>27</v>
      </c>
      <c r="M532" t="s">
        <v>5598</v>
      </c>
      <c r="N532" t="s">
        <v>28</v>
      </c>
      <c r="O532" t="s">
        <v>65</v>
      </c>
      <c r="P532" t="s">
        <v>66</v>
      </c>
      <c r="Q532" t="s">
        <v>37</v>
      </c>
      <c r="R532">
        <v>14</v>
      </c>
      <c r="S532" t="s">
        <v>5599</v>
      </c>
      <c r="T532" t="s">
        <v>5600</v>
      </c>
      <c r="U532" t="s">
        <v>5601</v>
      </c>
      <c r="V532" t="s">
        <v>32</v>
      </c>
      <c r="W532" t="s">
        <v>33</v>
      </c>
      <c r="X532" t="s">
        <v>33</v>
      </c>
      <c r="Y532" t="s">
        <v>33</v>
      </c>
      <c r="Z532" s="16" t="s">
        <v>34</v>
      </c>
      <c r="AA532">
        <v>-75.694029999999998</v>
      </c>
      <c r="AB532">
        <v>6.3625850000000002</v>
      </c>
      <c r="AC532" t="s">
        <v>96</v>
      </c>
      <c r="AD532" t="s">
        <v>97</v>
      </c>
    </row>
    <row r="533" spans="1:30" x14ac:dyDescent="0.25">
      <c r="A533" t="s">
        <v>5602</v>
      </c>
      <c r="B533" t="s">
        <v>63</v>
      </c>
      <c r="C533" t="s">
        <v>26</v>
      </c>
      <c r="D533" t="s">
        <v>64</v>
      </c>
      <c r="E533" t="s">
        <v>5603</v>
      </c>
      <c r="F533" t="s">
        <v>5604</v>
      </c>
      <c r="G533">
        <v>43264190</v>
      </c>
      <c r="H533" t="s">
        <v>5605</v>
      </c>
      <c r="I533" s="4" t="s">
        <v>35</v>
      </c>
      <c r="J533" s="4" t="s">
        <v>5606</v>
      </c>
      <c r="K533" t="s">
        <v>5607</v>
      </c>
      <c r="L533" t="s">
        <v>27</v>
      </c>
      <c r="M533" t="s">
        <v>5608</v>
      </c>
      <c r="N533" t="s">
        <v>28</v>
      </c>
      <c r="O533" t="s">
        <v>65</v>
      </c>
      <c r="P533" t="s">
        <v>66</v>
      </c>
      <c r="Q533" t="s">
        <v>31</v>
      </c>
      <c r="R533">
        <v>9</v>
      </c>
      <c r="S533" t="s">
        <v>5609</v>
      </c>
      <c r="T533" t="s">
        <v>5610</v>
      </c>
      <c r="U533" t="s">
        <v>5611</v>
      </c>
      <c r="V533" t="s">
        <v>32</v>
      </c>
      <c r="W533" t="s">
        <v>33</v>
      </c>
      <c r="X533" t="s">
        <v>33</v>
      </c>
      <c r="Y533" t="s">
        <v>33</v>
      </c>
      <c r="Z533" s="16" t="s">
        <v>34</v>
      </c>
      <c r="AA533">
        <v>-75.544421999999997</v>
      </c>
      <c r="AB533">
        <v>6.2286440000000001</v>
      </c>
      <c r="AC533" t="s">
        <v>96</v>
      </c>
      <c r="AD533" t="s">
        <v>97</v>
      </c>
    </row>
    <row r="534" spans="1:30" x14ac:dyDescent="0.25">
      <c r="A534" t="s">
        <v>4566</v>
      </c>
      <c r="B534" t="s">
        <v>25</v>
      </c>
      <c r="C534" t="s">
        <v>26</v>
      </c>
      <c r="D534" t="s">
        <v>38</v>
      </c>
      <c r="E534" t="s">
        <v>4567</v>
      </c>
      <c r="F534" t="s">
        <v>4568</v>
      </c>
      <c r="G534">
        <v>15487454</v>
      </c>
      <c r="H534" t="s">
        <v>4569</v>
      </c>
      <c r="I534" s="4" t="s">
        <v>35</v>
      </c>
      <c r="J534" s="4" t="s">
        <v>4570</v>
      </c>
      <c r="K534" t="s">
        <v>4571</v>
      </c>
      <c r="L534" t="s">
        <v>27</v>
      </c>
      <c r="M534" t="s">
        <v>4572</v>
      </c>
      <c r="N534" t="s">
        <v>28</v>
      </c>
      <c r="O534" t="s">
        <v>39</v>
      </c>
      <c r="P534" t="s">
        <v>40</v>
      </c>
      <c r="Q534" t="s">
        <v>31</v>
      </c>
      <c r="R534">
        <v>5</v>
      </c>
      <c r="S534" t="s">
        <v>4573</v>
      </c>
      <c r="T534" t="s">
        <v>5515</v>
      </c>
      <c r="U534" t="s">
        <v>5516</v>
      </c>
      <c r="V534" t="s">
        <v>32</v>
      </c>
      <c r="W534" t="s">
        <v>33</v>
      </c>
      <c r="X534" t="s">
        <v>33</v>
      </c>
      <c r="Y534" t="s">
        <v>33</v>
      </c>
      <c r="Z534" s="16" t="s">
        <v>34</v>
      </c>
      <c r="AA534">
        <v>-75.626461000000006</v>
      </c>
      <c r="AB534">
        <v>6.2706590000000002</v>
      </c>
      <c r="AC534" t="s">
        <v>96</v>
      </c>
      <c r="AD534" t="s">
        <v>97</v>
      </c>
    </row>
    <row r="535" spans="1:30" x14ac:dyDescent="0.25">
      <c r="A535" t="s">
        <v>4574</v>
      </c>
      <c r="B535" t="s">
        <v>59</v>
      </c>
      <c r="C535" t="s">
        <v>26</v>
      </c>
      <c r="D535" t="s">
        <v>59</v>
      </c>
      <c r="E535" t="s">
        <v>4575</v>
      </c>
      <c r="F535" t="s">
        <v>4576</v>
      </c>
      <c r="G535">
        <v>43254050</v>
      </c>
      <c r="H535" t="s">
        <v>4577</v>
      </c>
      <c r="I535" s="4" t="s">
        <v>35</v>
      </c>
      <c r="J535" s="4" t="s">
        <v>4578</v>
      </c>
      <c r="K535" t="s">
        <v>4579</v>
      </c>
      <c r="L535" t="s">
        <v>55</v>
      </c>
      <c r="M535" t="s">
        <v>4580</v>
      </c>
      <c r="N535" t="s">
        <v>56</v>
      </c>
      <c r="O535" t="s">
        <v>60</v>
      </c>
      <c r="P535" t="s">
        <v>61</v>
      </c>
      <c r="Q535" t="s">
        <v>37</v>
      </c>
      <c r="R535">
        <v>4</v>
      </c>
      <c r="S535" t="s">
        <v>4581</v>
      </c>
      <c r="T535" t="s">
        <v>3423</v>
      </c>
      <c r="U535" t="s">
        <v>5374</v>
      </c>
      <c r="V535" t="s">
        <v>32</v>
      </c>
      <c r="W535" t="s">
        <v>33</v>
      </c>
      <c r="X535" t="s">
        <v>33</v>
      </c>
      <c r="Y535" t="s">
        <v>33</v>
      </c>
      <c r="Z535" s="16" t="s">
        <v>34</v>
      </c>
      <c r="AA535">
        <v>-75.634908999999993</v>
      </c>
      <c r="AB535">
        <v>6.0728840000000002</v>
      </c>
      <c r="AC535" t="s">
        <v>96</v>
      </c>
      <c r="AD535" t="s">
        <v>97</v>
      </c>
    </row>
    <row r="536" spans="1:30" x14ac:dyDescent="0.25">
      <c r="A536" t="s">
        <v>4582</v>
      </c>
      <c r="B536" t="s">
        <v>25</v>
      </c>
      <c r="C536" t="s">
        <v>26</v>
      </c>
      <c r="D536" t="s">
        <v>25</v>
      </c>
      <c r="E536" t="s">
        <v>4583</v>
      </c>
      <c r="F536" t="s">
        <v>4584</v>
      </c>
      <c r="G536">
        <v>71787716</v>
      </c>
      <c r="H536" t="s">
        <v>4585</v>
      </c>
      <c r="I536" s="4" t="s">
        <v>4586</v>
      </c>
      <c r="J536" s="4" t="s">
        <v>4587</v>
      </c>
      <c r="K536" t="s">
        <v>4588</v>
      </c>
      <c r="L536" t="s">
        <v>47</v>
      </c>
      <c r="M536" t="s">
        <v>4589</v>
      </c>
      <c r="N536" t="s">
        <v>62</v>
      </c>
      <c r="O536" t="s">
        <v>29</v>
      </c>
      <c r="P536" t="s">
        <v>36</v>
      </c>
      <c r="Q536" t="s">
        <v>37</v>
      </c>
      <c r="R536">
        <v>10</v>
      </c>
      <c r="S536" t="s">
        <v>4590</v>
      </c>
      <c r="T536" t="s">
        <v>3424</v>
      </c>
      <c r="U536" t="s">
        <v>5517</v>
      </c>
      <c r="V536" t="s">
        <v>32</v>
      </c>
      <c r="W536" t="s">
        <v>33</v>
      </c>
      <c r="X536" t="s">
        <v>33</v>
      </c>
      <c r="Y536" t="s">
        <v>33</v>
      </c>
      <c r="Z536" s="16" t="s">
        <v>34</v>
      </c>
      <c r="AA536">
        <v>-75.526851289999996</v>
      </c>
      <c r="AB536">
        <v>6.1940976499999998</v>
      </c>
      <c r="AC536" t="s">
        <v>96</v>
      </c>
      <c r="AD536" t="s">
        <v>97</v>
      </c>
    </row>
    <row r="537" spans="1:30" x14ac:dyDescent="0.25">
      <c r="A537" t="s">
        <v>4591</v>
      </c>
      <c r="B537" t="s">
        <v>25</v>
      </c>
      <c r="C537" t="s">
        <v>26</v>
      </c>
      <c r="D537" t="s">
        <v>38</v>
      </c>
      <c r="E537" t="s">
        <v>4592</v>
      </c>
      <c r="F537" t="s">
        <v>4593</v>
      </c>
      <c r="G537">
        <v>71779486</v>
      </c>
      <c r="H537" t="s">
        <v>4594</v>
      </c>
      <c r="I537" s="4" t="s">
        <v>35</v>
      </c>
      <c r="J537" s="4" t="s">
        <v>4595</v>
      </c>
      <c r="K537" t="s">
        <v>4596</v>
      </c>
      <c r="L537" t="s">
        <v>27</v>
      </c>
      <c r="M537" t="s">
        <v>4597</v>
      </c>
      <c r="N537" t="s">
        <v>28</v>
      </c>
      <c r="O537" t="s">
        <v>39</v>
      </c>
      <c r="P537" t="s">
        <v>40</v>
      </c>
      <c r="Q537" t="s">
        <v>31</v>
      </c>
      <c r="R537">
        <v>5</v>
      </c>
      <c r="S537" t="s">
        <v>4598</v>
      </c>
      <c r="T537" t="s">
        <v>5518</v>
      </c>
      <c r="U537" t="s">
        <v>5118</v>
      </c>
      <c r="V537" t="s">
        <v>32</v>
      </c>
      <c r="W537" t="s">
        <v>33</v>
      </c>
      <c r="X537" t="s">
        <v>33</v>
      </c>
      <c r="Y537" t="s">
        <v>33</v>
      </c>
      <c r="Z537" s="16" t="s">
        <v>34</v>
      </c>
      <c r="AA537">
        <v>-75.562349249999997</v>
      </c>
      <c r="AB537">
        <v>6.2327104699999998</v>
      </c>
      <c r="AC537" t="s">
        <v>96</v>
      </c>
      <c r="AD537" t="s">
        <v>97</v>
      </c>
    </row>
    <row r="538" spans="1:30" x14ac:dyDescent="0.25">
      <c r="A538" t="s">
        <v>4599</v>
      </c>
      <c r="B538" t="s">
        <v>41</v>
      </c>
      <c r="C538" t="s">
        <v>70</v>
      </c>
      <c r="D538" t="s">
        <v>41</v>
      </c>
      <c r="E538" t="s">
        <v>4600</v>
      </c>
      <c r="F538" t="s">
        <v>4601</v>
      </c>
      <c r="G538">
        <v>900085852</v>
      </c>
      <c r="H538" t="s">
        <v>4602</v>
      </c>
      <c r="I538" s="4" t="s">
        <v>4603</v>
      </c>
      <c r="J538" s="4" t="s">
        <v>4604</v>
      </c>
      <c r="K538" t="s">
        <v>4605</v>
      </c>
      <c r="L538" t="s">
        <v>47</v>
      </c>
      <c r="M538" t="s">
        <v>4606</v>
      </c>
      <c r="N538" t="s">
        <v>62</v>
      </c>
      <c r="O538" t="s">
        <v>71</v>
      </c>
      <c r="P538" t="s">
        <v>30</v>
      </c>
      <c r="Q538" t="s">
        <v>31</v>
      </c>
      <c r="R538">
        <v>7</v>
      </c>
      <c r="S538" t="s">
        <v>4607</v>
      </c>
      <c r="T538" t="s">
        <v>5519</v>
      </c>
      <c r="U538" t="s">
        <v>5520</v>
      </c>
      <c r="V538" t="s">
        <v>32</v>
      </c>
      <c r="W538" t="s">
        <v>33</v>
      </c>
      <c r="X538" t="s">
        <v>33</v>
      </c>
      <c r="Y538" t="s">
        <v>33</v>
      </c>
      <c r="Z538" s="16" t="s">
        <v>34</v>
      </c>
      <c r="AA538">
        <v>-75.574057089999997</v>
      </c>
      <c r="AB538">
        <v>6.1643059600000001</v>
      </c>
      <c r="AC538" t="s">
        <v>96</v>
      </c>
      <c r="AD538" t="s">
        <v>97</v>
      </c>
    </row>
    <row r="539" spans="1:30" x14ac:dyDescent="0.25">
      <c r="A539" t="s">
        <v>4608</v>
      </c>
      <c r="B539" t="s">
        <v>25</v>
      </c>
      <c r="C539" t="s">
        <v>26</v>
      </c>
      <c r="D539" t="s">
        <v>25</v>
      </c>
      <c r="E539" t="s">
        <v>4609</v>
      </c>
      <c r="F539" t="s">
        <v>4610</v>
      </c>
      <c r="G539">
        <v>3396251</v>
      </c>
      <c r="H539" t="s">
        <v>4611</v>
      </c>
      <c r="I539" s="4" t="s">
        <v>35</v>
      </c>
      <c r="J539" s="4" t="s">
        <v>4612</v>
      </c>
      <c r="K539" t="s">
        <v>4613</v>
      </c>
      <c r="L539" t="s">
        <v>47</v>
      </c>
      <c r="M539" t="s">
        <v>4614</v>
      </c>
      <c r="N539" t="s">
        <v>62</v>
      </c>
      <c r="O539" t="s">
        <v>29</v>
      </c>
      <c r="P539" t="s">
        <v>36</v>
      </c>
      <c r="Q539" t="s">
        <v>31</v>
      </c>
      <c r="R539">
        <v>7</v>
      </c>
      <c r="S539" t="s">
        <v>4615</v>
      </c>
      <c r="T539" t="s">
        <v>5521</v>
      </c>
      <c r="U539" t="s">
        <v>5522</v>
      </c>
      <c r="V539" t="s">
        <v>32</v>
      </c>
      <c r="W539" t="s">
        <v>33</v>
      </c>
      <c r="X539" t="s">
        <v>33</v>
      </c>
      <c r="Y539" t="s">
        <v>33</v>
      </c>
      <c r="Z539" s="16" t="s">
        <v>34</v>
      </c>
      <c r="AA539">
        <v>-75.582925860000003</v>
      </c>
      <c r="AB539">
        <v>6.1737085799999996</v>
      </c>
      <c r="AC539" t="s">
        <v>96</v>
      </c>
      <c r="AD539" t="s">
        <v>97</v>
      </c>
    </row>
    <row r="540" spans="1:30" x14ac:dyDescent="0.25">
      <c r="A540" t="s">
        <v>4616</v>
      </c>
      <c r="B540" t="s">
        <v>25</v>
      </c>
      <c r="C540" t="s">
        <v>26</v>
      </c>
      <c r="D540" t="s">
        <v>25</v>
      </c>
      <c r="E540" t="s">
        <v>4617</v>
      </c>
      <c r="F540" t="s">
        <v>4618</v>
      </c>
      <c r="G540">
        <v>43191000</v>
      </c>
      <c r="H540" t="s">
        <v>4619</v>
      </c>
      <c r="I540" s="4" t="s">
        <v>4620</v>
      </c>
      <c r="J540" s="4" t="s">
        <v>4621</v>
      </c>
      <c r="K540" t="s">
        <v>4622</v>
      </c>
      <c r="L540" t="s">
        <v>43</v>
      </c>
      <c r="M540" t="s">
        <v>4623</v>
      </c>
      <c r="N540" t="s">
        <v>44</v>
      </c>
      <c r="O540" t="s">
        <v>29</v>
      </c>
      <c r="P540" t="s">
        <v>36</v>
      </c>
      <c r="Q540" t="s">
        <v>31</v>
      </c>
      <c r="R540">
        <v>7</v>
      </c>
      <c r="S540" t="s">
        <v>4624</v>
      </c>
      <c r="T540" t="s">
        <v>3086</v>
      </c>
      <c r="U540" t="s">
        <v>5523</v>
      </c>
      <c r="V540" t="s">
        <v>32</v>
      </c>
      <c r="W540" t="s">
        <v>33</v>
      </c>
      <c r="X540" t="s">
        <v>33</v>
      </c>
      <c r="Y540" t="s">
        <v>33</v>
      </c>
      <c r="Z540" s="16" t="s">
        <v>34</v>
      </c>
      <c r="AA540">
        <v>-75.639278289999993</v>
      </c>
      <c r="AB540">
        <v>6.1699365400000001</v>
      </c>
      <c r="AC540" t="s">
        <v>96</v>
      </c>
      <c r="AD540" t="s">
        <v>97</v>
      </c>
    </row>
    <row r="541" spans="1:30" x14ac:dyDescent="0.25">
      <c r="A541" t="s">
        <v>4625</v>
      </c>
      <c r="B541" t="s">
        <v>49</v>
      </c>
      <c r="C541" t="s">
        <v>26</v>
      </c>
      <c r="D541" t="s">
        <v>49</v>
      </c>
      <c r="E541" t="s">
        <v>4626</v>
      </c>
      <c r="F541" t="s">
        <v>4627</v>
      </c>
      <c r="G541">
        <v>39169938</v>
      </c>
      <c r="H541" t="s">
        <v>4628</v>
      </c>
      <c r="I541" s="4" t="s">
        <v>35</v>
      </c>
      <c r="J541" s="4" t="s">
        <v>4629</v>
      </c>
      <c r="K541" t="s">
        <v>4630</v>
      </c>
      <c r="L541" t="s">
        <v>55</v>
      </c>
      <c r="M541" t="s">
        <v>4631</v>
      </c>
      <c r="N541" t="s">
        <v>56</v>
      </c>
      <c r="O541" t="s">
        <v>50</v>
      </c>
      <c r="P541" t="s">
        <v>51</v>
      </c>
      <c r="Q541" t="s">
        <v>31</v>
      </c>
      <c r="R541">
        <v>11</v>
      </c>
      <c r="S541" t="s">
        <v>4632</v>
      </c>
      <c r="T541" t="s">
        <v>5524</v>
      </c>
      <c r="U541" t="s">
        <v>5525</v>
      </c>
      <c r="V541" t="s">
        <v>32</v>
      </c>
      <c r="W541" t="s">
        <v>33</v>
      </c>
      <c r="X541" t="s">
        <v>33</v>
      </c>
      <c r="Y541" t="s">
        <v>33</v>
      </c>
      <c r="Z541" s="16" t="s">
        <v>34</v>
      </c>
      <c r="AA541">
        <v>-75.629790470000003</v>
      </c>
      <c r="AB541">
        <v>6.0955506699999997</v>
      </c>
      <c r="AC541" t="s">
        <v>96</v>
      </c>
      <c r="AD541" t="s">
        <v>97</v>
      </c>
    </row>
    <row r="542" spans="1:30" x14ac:dyDescent="0.25">
      <c r="A542" t="s">
        <v>4633</v>
      </c>
      <c r="B542" t="s">
        <v>25</v>
      </c>
      <c r="C542" t="s">
        <v>26</v>
      </c>
      <c r="D542" t="s">
        <v>38</v>
      </c>
      <c r="E542" t="s">
        <v>4634</v>
      </c>
      <c r="F542" t="s">
        <v>4635</v>
      </c>
      <c r="G542">
        <v>1022095529</v>
      </c>
      <c r="H542" t="s">
        <v>4212</v>
      </c>
      <c r="I542" s="4" t="s">
        <v>35</v>
      </c>
      <c r="J542" s="4" t="s">
        <v>4213</v>
      </c>
      <c r="K542" t="s">
        <v>4636</v>
      </c>
      <c r="L542" t="s">
        <v>27</v>
      </c>
      <c r="M542" t="s">
        <v>4637</v>
      </c>
      <c r="N542" t="s">
        <v>28</v>
      </c>
      <c r="O542" t="s">
        <v>39</v>
      </c>
      <c r="P542" t="s">
        <v>40</v>
      </c>
      <c r="Q542" t="s">
        <v>31</v>
      </c>
      <c r="R542">
        <v>5</v>
      </c>
      <c r="S542" t="s">
        <v>4638</v>
      </c>
      <c r="T542" t="s">
        <v>5079</v>
      </c>
      <c r="U542" t="s">
        <v>5526</v>
      </c>
      <c r="V542" t="s">
        <v>32</v>
      </c>
      <c r="W542" t="s">
        <v>33</v>
      </c>
      <c r="X542" t="s">
        <v>33</v>
      </c>
      <c r="Y542" t="s">
        <v>33</v>
      </c>
      <c r="Z542" s="16" t="s">
        <v>34</v>
      </c>
      <c r="AA542">
        <v>-75.528360269999993</v>
      </c>
      <c r="AB542">
        <v>6.2297986300000003</v>
      </c>
      <c r="AC542" t="s">
        <v>96</v>
      </c>
      <c r="AD542" t="s">
        <v>97</v>
      </c>
    </row>
    <row r="543" spans="1:30" x14ac:dyDescent="0.25">
      <c r="A543" t="s">
        <v>4639</v>
      </c>
      <c r="B543" t="s">
        <v>25</v>
      </c>
      <c r="C543" t="s">
        <v>26</v>
      </c>
      <c r="D543" t="s">
        <v>38</v>
      </c>
      <c r="E543" t="s">
        <v>4640</v>
      </c>
      <c r="F543" t="s">
        <v>4641</v>
      </c>
      <c r="G543">
        <v>1152691079</v>
      </c>
      <c r="H543" t="s">
        <v>4642</v>
      </c>
      <c r="I543" s="4" t="s">
        <v>4643</v>
      </c>
      <c r="J543" s="4" t="s">
        <v>35</v>
      </c>
      <c r="K543" t="s">
        <v>4644</v>
      </c>
      <c r="L543" t="s">
        <v>27</v>
      </c>
      <c r="M543" t="s">
        <v>4645</v>
      </c>
      <c r="N543" t="s">
        <v>28</v>
      </c>
      <c r="O543" t="s">
        <v>39</v>
      </c>
      <c r="P543" t="s">
        <v>40</v>
      </c>
      <c r="Q543" t="s">
        <v>31</v>
      </c>
      <c r="R543">
        <v>5</v>
      </c>
      <c r="S543" t="s">
        <v>4646</v>
      </c>
      <c r="T543" t="s">
        <v>5527</v>
      </c>
      <c r="U543" t="s">
        <v>5528</v>
      </c>
      <c r="V543" t="s">
        <v>32</v>
      </c>
      <c r="W543" t="s">
        <v>33</v>
      </c>
      <c r="X543" t="s">
        <v>33</v>
      </c>
      <c r="Y543" t="s">
        <v>33</v>
      </c>
      <c r="Z543" s="16" t="s">
        <v>34</v>
      </c>
      <c r="AA543">
        <v>-75.532549189999997</v>
      </c>
      <c r="AB543">
        <v>6.2356958300000001</v>
      </c>
      <c r="AC543" t="s">
        <v>96</v>
      </c>
      <c r="AD543" t="s">
        <v>97</v>
      </c>
    </row>
    <row r="544" spans="1:30" x14ac:dyDescent="0.25">
      <c r="A544" t="s">
        <v>4647</v>
      </c>
      <c r="B544" t="s">
        <v>25</v>
      </c>
      <c r="C544" t="s">
        <v>26</v>
      </c>
      <c r="D544" t="s">
        <v>38</v>
      </c>
      <c r="E544" t="s">
        <v>4648</v>
      </c>
      <c r="F544" t="s">
        <v>4649</v>
      </c>
      <c r="G544">
        <v>43185738</v>
      </c>
      <c r="H544" t="s">
        <v>4650</v>
      </c>
      <c r="I544" s="4" t="s">
        <v>35</v>
      </c>
      <c r="J544" s="4" t="s">
        <v>4651</v>
      </c>
      <c r="K544" t="s">
        <v>4652</v>
      </c>
      <c r="L544" t="s">
        <v>43</v>
      </c>
      <c r="M544" t="s">
        <v>4653</v>
      </c>
      <c r="N544" t="s">
        <v>44</v>
      </c>
      <c r="O544" t="s">
        <v>39</v>
      </c>
      <c r="P544" t="s">
        <v>40</v>
      </c>
      <c r="Q544" t="s">
        <v>31</v>
      </c>
      <c r="R544">
        <v>5</v>
      </c>
      <c r="S544" t="s">
        <v>4654</v>
      </c>
      <c r="T544" t="s">
        <v>5527</v>
      </c>
      <c r="U544" t="s">
        <v>5528</v>
      </c>
      <c r="V544" t="s">
        <v>32</v>
      </c>
      <c r="W544" t="s">
        <v>33</v>
      </c>
      <c r="X544" t="s">
        <v>33</v>
      </c>
      <c r="Y544" t="s">
        <v>33</v>
      </c>
      <c r="Z544" s="16" t="s">
        <v>34</v>
      </c>
      <c r="AA544">
        <v>-75.607942980000004</v>
      </c>
      <c r="AB544">
        <v>6.1940152800000003</v>
      </c>
      <c r="AC544" t="s">
        <v>96</v>
      </c>
      <c r="AD544" t="s">
        <v>97</v>
      </c>
    </row>
    <row r="545" spans="1:30" x14ac:dyDescent="0.25">
      <c r="A545" t="s">
        <v>4655</v>
      </c>
      <c r="B545" t="s">
        <v>25</v>
      </c>
      <c r="C545" t="s">
        <v>26</v>
      </c>
      <c r="D545" t="s">
        <v>25</v>
      </c>
      <c r="E545" t="s">
        <v>4656</v>
      </c>
      <c r="F545" t="s">
        <v>4657</v>
      </c>
      <c r="G545">
        <v>98761817</v>
      </c>
      <c r="H545" t="s">
        <v>4658</v>
      </c>
      <c r="I545" s="4" t="s">
        <v>35</v>
      </c>
      <c r="J545" s="4" t="s">
        <v>4659</v>
      </c>
      <c r="K545" t="s">
        <v>4660</v>
      </c>
      <c r="L545" t="s">
        <v>27</v>
      </c>
      <c r="M545" t="s">
        <v>4661</v>
      </c>
      <c r="N545" t="s">
        <v>28</v>
      </c>
      <c r="O545" t="s">
        <v>29</v>
      </c>
      <c r="P545" t="s">
        <v>36</v>
      </c>
      <c r="Q545" t="s">
        <v>31</v>
      </c>
      <c r="R545">
        <v>7</v>
      </c>
      <c r="S545" t="s">
        <v>4662</v>
      </c>
      <c r="T545" t="s">
        <v>5529</v>
      </c>
      <c r="U545" t="s">
        <v>5530</v>
      </c>
      <c r="V545" t="s">
        <v>32</v>
      </c>
      <c r="W545" t="s">
        <v>33</v>
      </c>
      <c r="X545" t="s">
        <v>33</v>
      </c>
      <c r="Y545" t="s">
        <v>33</v>
      </c>
      <c r="Z545" s="16" t="s">
        <v>34</v>
      </c>
      <c r="AA545">
        <v>-75.591902000000005</v>
      </c>
      <c r="AB545">
        <v>6.2508949999999999</v>
      </c>
      <c r="AC545" t="s">
        <v>96</v>
      </c>
      <c r="AD545" t="s">
        <v>97</v>
      </c>
    </row>
    <row r="546" spans="1:30" x14ac:dyDescent="0.25">
      <c r="A546" t="s">
        <v>5612</v>
      </c>
      <c r="B546" t="s">
        <v>63</v>
      </c>
      <c r="C546" t="s">
        <v>26</v>
      </c>
      <c r="D546" t="s">
        <v>64</v>
      </c>
      <c r="E546" t="s">
        <v>5613</v>
      </c>
      <c r="F546" t="s">
        <v>5614</v>
      </c>
      <c r="G546">
        <v>42745667</v>
      </c>
      <c r="H546" t="s">
        <v>5615</v>
      </c>
      <c r="I546" s="4" t="s">
        <v>5616</v>
      </c>
      <c r="J546" s="4" t="s">
        <v>5617</v>
      </c>
      <c r="K546" t="s">
        <v>5618</v>
      </c>
      <c r="L546" t="s">
        <v>27</v>
      </c>
      <c r="M546" t="s">
        <v>5619</v>
      </c>
      <c r="N546" t="s">
        <v>28</v>
      </c>
      <c r="O546" t="s">
        <v>65</v>
      </c>
      <c r="P546" t="s">
        <v>66</v>
      </c>
      <c r="Q546" t="s">
        <v>31</v>
      </c>
      <c r="R546">
        <v>9</v>
      </c>
      <c r="S546" t="s">
        <v>5620</v>
      </c>
      <c r="T546" t="s">
        <v>5621</v>
      </c>
      <c r="U546" t="s">
        <v>5622</v>
      </c>
      <c r="V546" t="s">
        <v>32</v>
      </c>
      <c r="W546" t="s">
        <v>33</v>
      </c>
      <c r="X546" t="s">
        <v>33</v>
      </c>
      <c r="Y546" t="s">
        <v>33</v>
      </c>
      <c r="Z546" s="16" t="s">
        <v>34</v>
      </c>
      <c r="AA546">
        <v>-75.651139900000004</v>
      </c>
      <c r="AB546">
        <v>6.1801955</v>
      </c>
      <c r="AC546" t="s">
        <v>96</v>
      </c>
      <c r="AD546" t="s">
        <v>97</v>
      </c>
    </row>
    <row r="547" spans="1:30" x14ac:dyDescent="0.25">
      <c r="A547" t="s">
        <v>5623</v>
      </c>
      <c r="B547" t="s">
        <v>63</v>
      </c>
      <c r="C547" t="s">
        <v>26</v>
      </c>
      <c r="D547" t="s">
        <v>64</v>
      </c>
      <c r="E547" t="s">
        <v>5624</v>
      </c>
      <c r="F547" t="s">
        <v>5625</v>
      </c>
      <c r="G547">
        <v>1026144031</v>
      </c>
      <c r="H547" t="s">
        <v>5626</v>
      </c>
      <c r="I547" s="4" t="s">
        <v>35</v>
      </c>
      <c r="J547" s="4" t="s">
        <v>5627</v>
      </c>
      <c r="K547" t="s">
        <v>5628</v>
      </c>
      <c r="L547" t="s">
        <v>55</v>
      </c>
      <c r="M547" t="s">
        <v>5629</v>
      </c>
      <c r="N547" t="s">
        <v>56</v>
      </c>
      <c r="O547" t="s">
        <v>65</v>
      </c>
      <c r="P547" t="s">
        <v>69</v>
      </c>
      <c r="Q547" t="s">
        <v>37</v>
      </c>
      <c r="R547">
        <v>14</v>
      </c>
      <c r="S547" t="s">
        <v>5630</v>
      </c>
      <c r="T547" t="s">
        <v>5631</v>
      </c>
      <c r="U547" t="s">
        <v>5632</v>
      </c>
      <c r="V547" t="s">
        <v>32</v>
      </c>
      <c r="W547" t="s">
        <v>33</v>
      </c>
      <c r="X547" t="s">
        <v>33</v>
      </c>
      <c r="Y547" t="s">
        <v>33</v>
      </c>
      <c r="Z547" s="16" t="s">
        <v>34</v>
      </c>
      <c r="AA547">
        <v>-75.643587890000006</v>
      </c>
      <c r="AB547">
        <v>6.1031189899999996</v>
      </c>
      <c r="AC547" t="s">
        <v>96</v>
      </c>
      <c r="AD547" t="s">
        <v>97</v>
      </c>
    </row>
    <row r="548" spans="1:30" x14ac:dyDescent="0.25">
      <c r="A548" t="s">
        <v>4663</v>
      </c>
      <c r="B548" t="s">
        <v>25</v>
      </c>
      <c r="C548" t="s">
        <v>26</v>
      </c>
      <c r="D548" t="s">
        <v>25</v>
      </c>
      <c r="E548" t="s">
        <v>4664</v>
      </c>
      <c r="F548" t="s">
        <v>4665</v>
      </c>
      <c r="G548">
        <v>71260126</v>
      </c>
      <c r="H548" t="s">
        <v>4666</v>
      </c>
      <c r="I548" s="4" t="s">
        <v>4667</v>
      </c>
      <c r="J548" s="4" t="s">
        <v>4659</v>
      </c>
      <c r="K548" t="s">
        <v>4668</v>
      </c>
      <c r="L548" t="s">
        <v>27</v>
      </c>
      <c r="M548" t="s">
        <v>4669</v>
      </c>
      <c r="N548" t="s">
        <v>28</v>
      </c>
      <c r="O548" t="s">
        <v>29</v>
      </c>
      <c r="P548" t="s">
        <v>30</v>
      </c>
      <c r="Q548" t="s">
        <v>31</v>
      </c>
      <c r="R548">
        <v>7</v>
      </c>
      <c r="S548" t="s">
        <v>4670</v>
      </c>
      <c r="T548" t="s">
        <v>5531</v>
      </c>
      <c r="U548" t="s">
        <v>5532</v>
      </c>
      <c r="V548" t="s">
        <v>32</v>
      </c>
      <c r="W548" t="s">
        <v>33</v>
      </c>
      <c r="X548" t="s">
        <v>33</v>
      </c>
      <c r="Y548" t="s">
        <v>33</v>
      </c>
      <c r="Z548" s="16" t="s">
        <v>34</v>
      </c>
      <c r="AA548">
        <v>-75.541944819999998</v>
      </c>
      <c r="AB548">
        <v>6.2511227600000003</v>
      </c>
      <c r="AC548" t="s">
        <v>96</v>
      </c>
      <c r="AD548" t="s">
        <v>97</v>
      </c>
    </row>
    <row r="549" spans="1:30" x14ac:dyDescent="0.25">
      <c r="A549" t="s">
        <v>4671</v>
      </c>
      <c r="B549" t="s">
        <v>25</v>
      </c>
      <c r="C549" t="s">
        <v>26</v>
      </c>
      <c r="D549" t="s">
        <v>38</v>
      </c>
      <c r="E549" t="s">
        <v>4672</v>
      </c>
      <c r="F549" t="s">
        <v>4673</v>
      </c>
      <c r="G549">
        <v>5460061</v>
      </c>
      <c r="H549" t="s">
        <v>4674</v>
      </c>
      <c r="I549" s="4" t="s">
        <v>35</v>
      </c>
      <c r="J549" s="4" t="s">
        <v>4675</v>
      </c>
      <c r="K549" t="s">
        <v>4676</v>
      </c>
      <c r="L549" t="s">
        <v>43</v>
      </c>
      <c r="M549" t="s">
        <v>4677</v>
      </c>
      <c r="N549" t="s">
        <v>44</v>
      </c>
      <c r="O549" t="s">
        <v>39</v>
      </c>
      <c r="P549" t="s">
        <v>40</v>
      </c>
      <c r="Q549" t="s">
        <v>31</v>
      </c>
      <c r="R549">
        <v>5</v>
      </c>
      <c r="S549" t="s">
        <v>4678</v>
      </c>
      <c r="T549" t="s">
        <v>5533</v>
      </c>
      <c r="U549" t="s">
        <v>5534</v>
      </c>
      <c r="V549" t="s">
        <v>32</v>
      </c>
      <c r="W549" t="s">
        <v>33</v>
      </c>
      <c r="X549" t="s">
        <v>33</v>
      </c>
      <c r="Y549" t="s">
        <v>33</v>
      </c>
      <c r="Z549" s="16" t="s">
        <v>34</v>
      </c>
      <c r="AA549">
        <v>-75.618469000000005</v>
      </c>
      <c r="AB549">
        <v>6.1899030000000002</v>
      </c>
      <c r="AC549" t="s">
        <v>96</v>
      </c>
      <c r="AD549" t="s">
        <v>97</v>
      </c>
    </row>
    <row r="550" spans="1:30" x14ac:dyDescent="0.25">
      <c r="A550" t="s">
        <v>4679</v>
      </c>
      <c r="B550" t="s">
        <v>41</v>
      </c>
      <c r="C550" t="s">
        <v>26</v>
      </c>
      <c r="D550" t="s">
        <v>41</v>
      </c>
      <c r="E550" t="s">
        <v>4680</v>
      </c>
      <c r="F550" t="s">
        <v>4681</v>
      </c>
      <c r="G550">
        <v>43627721</v>
      </c>
      <c r="H550" t="s">
        <v>275</v>
      </c>
      <c r="I550" s="4" t="s">
        <v>276</v>
      </c>
      <c r="J550" s="4" t="s">
        <v>4682</v>
      </c>
      <c r="K550" t="s">
        <v>4683</v>
      </c>
      <c r="L550" t="s">
        <v>47</v>
      </c>
      <c r="M550" t="s">
        <v>4684</v>
      </c>
      <c r="N550" t="s">
        <v>62</v>
      </c>
      <c r="O550" t="s">
        <v>42</v>
      </c>
      <c r="P550" t="s">
        <v>36</v>
      </c>
      <c r="Q550" t="s">
        <v>37</v>
      </c>
      <c r="R550">
        <v>10</v>
      </c>
      <c r="S550" t="s">
        <v>4685</v>
      </c>
      <c r="T550" t="s">
        <v>5535</v>
      </c>
      <c r="U550" t="s">
        <v>5536</v>
      </c>
      <c r="V550" t="s">
        <v>32</v>
      </c>
      <c r="W550" t="s">
        <v>33</v>
      </c>
      <c r="X550" t="s">
        <v>33</v>
      </c>
      <c r="Y550" t="s">
        <v>33</v>
      </c>
      <c r="Z550" s="16" t="s">
        <v>34</v>
      </c>
      <c r="AA550">
        <v>-75.505385000000004</v>
      </c>
      <c r="AB550">
        <v>6.1594350000000002</v>
      </c>
      <c r="AC550" t="s">
        <v>96</v>
      </c>
      <c r="AD550" t="s">
        <v>97</v>
      </c>
    </row>
    <row r="551" spans="1:30" x14ac:dyDescent="0.25">
      <c r="A551" t="s">
        <v>4686</v>
      </c>
      <c r="B551" t="s">
        <v>25</v>
      </c>
      <c r="C551" t="s">
        <v>26</v>
      </c>
      <c r="D551" t="s">
        <v>38</v>
      </c>
      <c r="E551" t="s">
        <v>4687</v>
      </c>
      <c r="F551" t="s">
        <v>4688</v>
      </c>
      <c r="G551">
        <v>43108753</v>
      </c>
      <c r="H551" t="s">
        <v>4485</v>
      </c>
      <c r="I551" s="4" t="s">
        <v>4486</v>
      </c>
      <c r="J551" s="4" t="s">
        <v>4487</v>
      </c>
      <c r="K551" t="s">
        <v>4689</v>
      </c>
      <c r="L551" t="s">
        <v>27</v>
      </c>
      <c r="M551" t="s">
        <v>4690</v>
      </c>
      <c r="N551" t="s">
        <v>28</v>
      </c>
      <c r="O551" t="s">
        <v>39</v>
      </c>
      <c r="P551" t="s">
        <v>40</v>
      </c>
      <c r="Q551" t="s">
        <v>31</v>
      </c>
      <c r="R551">
        <v>5</v>
      </c>
      <c r="S551" t="s">
        <v>4691</v>
      </c>
      <c r="T551" t="s">
        <v>5537</v>
      </c>
      <c r="U551" t="s">
        <v>5538</v>
      </c>
      <c r="V551" t="s">
        <v>32</v>
      </c>
      <c r="W551" t="s">
        <v>33</v>
      </c>
      <c r="X551" t="s">
        <v>33</v>
      </c>
      <c r="Y551" t="s">
        <v>33</v>
      </c>
      <c r="Z551" s="16" t="s">
        <v>34</v>
      </c>
      <c r="AA551">
        <v>-75.613264000000001</v>
      </c>
      <c r="AB551">
        <v>6.2673300000000003</v>
      </c>
      <c r="AC551" t="s">
        <v>96</v>
      </c>
      <c r="AD551" t="s">
        <v>97</v>
      </c>
    </row>
    <row r="552" spans="1:30" x14ac:dyDescent="0.25">
      <c r="A552" t="s">
        <v>4692</v>
      </c>
      <c r="B552" t="s">
        <v>25</v>
      </c>
      <c r="C552" t="s">
        <v>26</v>
      </c>
      <c r="D552" t="s">
        <v>38</v>
      </c>
      <c r="E552" t="s">
        <v>4693</v>
      </c>
      <c r="F552" t="s">
        <v>4694</v>
      </c>
      <c r="G552">
        <v>43816355</v>
      </c>
      <c r="H552" t="s">
        <v>4695</v>
      </c>
      <c r="I552" s="4" t="s">
        <v>35</v>
      </c>
      <c r="J552" s="4" t="s">
        <v>4696</v>
      </c>
      <c r="K552" t="s">
        <v>4697</v>
      </c>
      <c r="L552" t="s">
        <v>27</v>
      </c>
      <c r="M552" t="s">
        <v>4698</v>
      </c>
      <c r="N552" t="s">
        <v>28</v>
      </c>
      <c r="O552" t="s">
        <v>39</v>
      </c>
      <c r="P552" t="s">
        <v>40</v>
      </c>
      <c r="Q552" t="s">
        <v>31</v>
      </c>
      <c r="R552">
        <v>5</v>
      </c>
      <c r="S552" t="s">
        <v>4699</v>
      </c>
      <c r="T552" t="s">
        <v>5539</v>
      </c>
      <c r="U552" t="s">
        <v>5540</v>
      </c>
      <c r="V552" t="s">
        <v>32</v>
      </c>
      <c r="W552" t="s">
        <v>33</v>
      </c>
      <c r="X552" t="s">
        <v>33</v>
      </c>
      <c r="Y552" t="s">
        <v>33</v>
      </c>
      <c r="Z552" s="16" t="s">
        <v>34</v>
      </c>
      <c r="AA552">
        <v>-75.530597950000001</v>
      </c>
      <c r="AB552">
        <v>6.2348655099999997</v>
      </c>
      <c r="AC552" t="s">
        <v>96</v>
      </c>
      <c r="AD552" t="s">
        <v>97</v>
      </c>
    </row>
    <row r="553" spans="1:30" x14ac:dyDescent="0.25">
      <c r="A553" t="s">
        <v>4700</v>
      </c>
      <c r="B553" t="s">
        <v>25</v>
      </c>
      <c r="C553" t="s">
        <v>26</v>
      </c>
      <c r="D553" t="s">
        <v>38</v>
      </c>
      <c r="E553" t="s">
        <v>4701</v>
      </c>
      <c r="F553" t="s">
        <v>4702</v>
      </c>
      <c r="G553">
        <v>43187528</v>
      </c>
      <c r="H553" t="s">
        <v>4703</v>
      </c>
      <c r="I553" s="4" t="s">
        <v>77</v>
      </c>
      <c r="J553" s="4" t="s">
        <v>4704</v>
      </c>
      <c r="K553" t="s">
        <v>4705</v>
      </c>
      <c r="L553" t="s">
        <v>43</v>
      </c>
      <c r="M553" t="s">
        <v>4706</v>
      </c>
      <c r="N553" t="s">
        <v>44</v>
      </c>
      <c r="O553" t="s">
        <v>39</v>
      </c>
      <c r="P553" t="s">
        <v>40</v>
      </c>
      <c r="Q553" t="s">
        <v>31</v>
      </c>
      <c r="R553">
        <v>5</v>
      </c>
      <c r="S553" t="s">
        <v>4707</v>
      </c>
      <c r="T553" t="s">
        <v>5539</v>
      </c>
      <c r="U553" t="s">
        <v>5540</v>
      </c>
      <c r="V553" t="s">
        <v>32</v>
      </c>
      <c r="W553" t="s">
        <v>33</v>
      </c>
      <c r="X553" t="s">
        <v>33</v>
      </c>
      <c r="Y553" t="s">
        <v>33</v>
      </c>
      <c r="Z553" s="16" t="s">
        <v>34</v>
      </c>
      <c r="AA553">
        <v>-75.599725239999998</v>
      </c>
      <c r="AB553">
        <v>6.1957127700000001</v>
      </c>
      <c r="AC553" t="s">
        <v>96</v>
      </c>
      <c r="AD553" t="s">
        <v>97</v>
      </c>
    </row>
    <row r="554" spans="1:30" x14ac:dyDescent="0.25">
      <c r="A554" t="s">
        <v>4708</v>
      </c>
      <c r="B554" t="s">
        <v>25</v>
      </c>
      <c r="C554" t="s">
        <v>26</v>
      </c>
      <c r="D554" t="s">
        <v>38</v>
      </c>
      <c r="E554" t="s">
        <v>4709</v>
      </c>
      <c r="F554" t="s">
        <v>4710</v>
      </c>
      <c r="G554">
        <v>70003244</v>
      </c>
      <c r="H554" t="s">
        <v>4711</v>
      </c>
      <c r="I554" s="4" t="s">
        <v>35</v>
      </c>
      <c r="J554" s="4" t="s">
        <v>4712</v>
      </c>
      <c r="K554" t="s">
        <v>4713</v>
      </c>
      <c r="L554" t="s">
        <v>43</v>
      </c>
      <c r="M554" t="s">
        <v>4714</v>
      </c>
      <c r="N554" t="s">
        <v>44</v>
      </c>
      <c r="O554" t="s">
        <v>39</v>
      </c>
      <c r="P554" t="s">
        <v>40</v>
      </c>
      <c r="Q554" t="s">
        <v>31</v>
      </c>
      <c r="R554">
        <v>5</v>
      </c>
      <c r="S554" t="s">
        <v>4715</v>
      </c>
      <c r="T554" t="s">
        <v>5541</v>
      </c>
      <c r="U554" t="s">
        <v>5291</v>
      </c>
      <c r="V554" t="s">
        <v>32</v>
      </c>
      <c r="W554" t="s">
        <v>33</v>
      </c>
      <c r="X554" t="s">
        <v>33</v>
      </c>
      <c r="Y554" t="s">
        <v>33</v>
      </c>
      <c r="Z554" s="16" t="s">
        <v>34</v>
      </c>
      <c r="AA554">
        <v>-75.599569399999993</v>
      </c>
      <c r="AB554">
        <v>6.1957078699999997</v>
      </c>
      <c r="AC554" t="s">
        <v>96</v>
      </c>
      <c r="AD554" t="s">
        <v>97</v>
      </c>
    </row>
    <row r="555" spans="1:30" x14ac:dyDescent="0.25">
      <c r="A555" t="s">
        <v>4716</v>
      </c>
      <c r="B555" t="s">
        <v>25</v>
      </c>
      <c r="C555" t="s">
        <v>26</v>
      </c>
      <c r="D555" t="s">
        <v>38</v>
      </c>
      <c r="E555" t="s">
        <v>4717</v>
      </c>
      <c r="F555" t="s">
        <v>4718</v>
      </c>
      <c r="G555">
        <v>1232594255</v>
      </c>
      <c r="H555" t="s">
        <v>4719</v>
      </c>
      <c r="I555" s="4" t="s">
        <v>35</v>
      </c>
      <c r="J555" s="4" t="s">
        <v>4720</v>
      </c>
      <c r="K555" t="s">
        <v>4721</v>
      </c>
      <c r="L555" t="s">
        <v>43</v>
      </c>
      <c r="M555" t="s">
        <v>4722</v>
      </c>
      <c r="N555" t="s">
        <v>44</v>
      </c>
      <c r="O555" t="s">
        <v>39</v>
      </c>
      <c r="P555" t="s">
        <v>40</v>
      </c>
      <c r="Q555" t="s">
        <v>31</v>
      </c>
      <c r="R555">
        <v>5</v>
      </c>
      <c r="S555" t="s">
        <v>4723</v>
      </c>
      <c r="T555" t="s">
        <v>5542</v>
      </c>
      <c r="U555" t="s">
        <v>5543</v>
      </c>
      <c r="V555" t="s">
        <v>32</v>
      </c>
      <c r="W555" t="s">
        <v>33</v>
      </c>
      <c r="X555" t="s">
        <v>33</v>
      </c>
      <c r="Y555" t="s">
        <v>33</v>
      </c>
      <c r="Z555" s="16" t="s">
        <v>34</v>
      </c>
      <c r="AA555">
        <v>-75.618721269999995</v>
      </c>
      <c r="AB555">
        <v>6.1897350099999997</v>
      </c>
      <c r="AC555" t="s">
        <v>96</v>
      </c>
      <c r="AD555" t="s">
        <v>97</v>
      </c>
    </row>
    <row r="556" spans="1:30" x14ac:dyDescent="0.25">
      <c r="A556" t="s">
        <v>4724</v>
      </c>
      <c r="B556" t="s">
        <v>59</v>
      </c>
      <c r="C556" t="s">
        <v>26</v>
      </c>
      <c r="D556" t="s">
        <v>59</v>
      </c>
      <c r="E556" t="s">
        <v>4725</v>
      </c>
      <c r="F556" t="s">
        <v>4726</v>
      </c>
      <c r="G556">
        <v>3373578</v>
      </c>
      <c r="H556" t="s">
        <v>4727</v>
      </c>
      <c r="I556" s="4" t="s">
        <v>35</v>
      </c>
      <c r="J556" s="4" t="s">
        <v>4728</v>
      </c>
      <c r="K556" t="s">
        <v>4729</v>
      </c>
      <c r="L556" t="s">
        <v>55</v>
      </c>
      <c r="M556" t="s">
        <v>4730</v>
      </c>
      <c r="N556" t="s">
        <v>56</v>
      </c>
      <c r="O556" t="s">
        <v>60</v>
      </c>
      <c r="P556" t="s">
        <v>61</v>
      </c>
      <c r="Q556" t="s">
        <v>31</v>
      </c>
      <c r="R556">
        <v>4</v>
      </c>
      <c r="S556" t="s">
        <v>4731</v>
      </c>
      <c r="T556" t="s">
        <v>5544</v>
      </c>
      <c r="U556" t="s">
        <v>1653</v>
      </c>
      <c r="V556" t="s">
        <v>32</v>
      </c>
      <c r="W556" t="s">
        <v>33</v>
      </c>
      <c r="X556" t="s">
        <v>33</v>
      </c>
      <c r="Y556" t="s">
        <v>33</v>
      </c>
      <c r="Z556" s="16" t="s">
        <v>34</v>
      </c>
      <c r="AA556">
        <v>-75.636261599999997</v>
      </c>
      <c r="AB556">
        <v>6.1009205299999998</v>
      </c>
      <c r="AC556" t="s">
        <v>96</v>
      </c>
      <c r="AD556" t="s">
        <v>97</v>
      </c>
    </row>
    <row r="557" spans="1:30" x14ac:dyDescent="0.25">
      <c r="A557" t="s">
        <v>4732</v>
      </c>
      <c r="B557" t="s">
        <v>25</v>
      </c>
      <c r="C557" t="s">
        <v>26</v>
      </c>
      <c r="D557" t="s">
        <v>38</v>
      </c>
      <c r="E557" t="s">
        <v>4733</v>
      </c>
      <c r="F557" t="s">
        <v>4734</v>
      </c>
      <c r="G557">
        <v>1037674596</v>
      </c>
      <c r="H557" t="s">
        <v>4735</v>
      </c>
      <c r="I557" s="4" t="s">
        <v>35</v>
      </c>
      <c r="J557" s="4" t="s">
        <v>4736</v>
      </c>
      <c r="K557" t="s">
        <v>4737</v>
      </c>
      <c r="L557" t="s">
        <v>43</v>
      </c>
      <c r="M557" t="s">
        <v>4738</v>
      </c>
      <c r="N557" t="s">
        <v>44</v>
      </c>
      <c r="O557" t="s">
        <v>39</v>
      </c>
      <c r="P557" t="s">
        <v>40</v>
      </c>
      <c r="Q557" t="s">
        <v>31</v>
      </c>
      <c r="R557">
        <v>5</v>
      </c>
      <c r="S557" t="s">
        <v>4739</v>
      </c>
      <c r="T557" t="s">
        <v>5545</v>
      </c>
      <c r="U557" t="s">
        <v>5546</v>
      </c>
      <c r="V557" t="s">
        <v>32</v>
      </c>
      <c r="W557" t="s">
        <v>33</v>
      </c>
      <c r="X557" t="s">
        <v>33</v>
      </c>
      <c r="Y557" t="s">
        <v>33</v>
      </c>
      <c r="Z557" s="16" t="s">
        <v>34</v>
      </c>
      <c r="AA557">
        <v>-75.618469000000005</v>
      </c>
      <c r="AB557">
        <v>6.1899030000000002</v>
      </c>
      <c r="AC557" t="s">
        <v>96</v>
      </c>
      <c r="AD557" t="s">
        <v>97</v>
      </c>
    </row>
    <row r="558" spans="1:30" x14ac:dyDescent="0.25">
      <c r="A558" t="s">
        <v>4740</v>
      </c>
      <c r="B558" t="s">
        <v>59</v>
      </c>
      <c r="C558" t="s">
        <v>26</v>
      </c>
      <c r="D558" t="s">
        <v>59</v>
      </c>
      <c r="E558" t="s">
        <v>4741</v>
      </c>
      <c r="F558" t="s">
        <v>4742</v>
      </c>
      <c r="G558">
        <v>1036605121</v>
      </c>
      <c r="H558" t="s">
        <v>4743</v>
      </c>
      <c r="I558" s="4" t="s">
        <v>4744</v>
      </c>
      <c r="J558" s="4" t="s">
        <v>4745</v>
      </c>
      <c r="K558" t="s">
        <v>4746</v>
      </c>
      <c r="L558" t="s">
        <v>27</v>
      </c>
      <c r="M558" t="s">
        <v>4747</v>
      </c>
      <c r="N558" t="s">
        <v>28</v>
      </c>
      <c r="O558" t="s">
        <v>60</v>
      </c>
      <c r="P558" t="s">
        <v>61</v>
      </c>
      <c r="Q558" t="s">
        <v>31</v>
      </c>
      <c r="R558">
        <v>4</v>
      </c>
      <c r="S558" t="s">
        <v>4748</v>
      </c>
      <c r="T558" t="s">
        <v>3059</v>
      </c>
      <c r="U558" t="s">
        <v>5547</v>
      </c>
      <c r="V558" t="s">
        <v>32</v>
      </c>
      <c r="W558" t="s">
        <v>33</v>
      </c>
      <c r="X558" t="s">
        <v>33</v>
      </c>
      <c r="Y558" t="s">
        <v>33</v>
      </c>
      <c r="Z558" s="16" t="s">
        <v>34</v>
      </c>
      <c r="AA558">
        <v>-75.607884999999996</v>
      </c>
      <c r="AB558">
        <v>6.2091620000000001</v>
      </c>
      <c r="AC558" t="s">
        <v>96</v>
      </c>
      <c r="AD558" t="s">
        <v>97</v>
      </c>
    </row>
    <row r="559" spans="1:30" x14ac:dyDescent="0.25">
      <c r="A559" t="s">
        <v>4749</v>
      </c>
      <c r="B559" t="s">
        <v>41</v>
      </c>
      <c r="C559" t="s">
        <v>26</v>
      </c>
      <c r="D559" t="s">
        <v>41</v>
      </c>
      <c r="E559" t="s">
        <v>4750</v>
      </c>
      <c r="F559" t="s">
        <v>4751</v>
      </c>
      <c r="G559">
        <v>900516754</v>
      </c>
      <c r="H559" t="s">
        <v>4752</v>
      </c>
      <c r="I559" s="4" t="s">
        <v>4753</v>
      </c>
      <c r="J559" s="4" t="s">
        <v>4754</v>
      </c>
      <c r="K559" t="s">
        <v>4755</v>
      </c>
      <c r="L559" t="s">
        <v>57</v>
      </c>
      <c r="M559" t="s">
        <v>4756</v>
      </c>
      <c r="N559" t="s">
        <v>58</v>
      </c>
      <c r="O559" t="s">
        <v>42</v>
      </c>
      <c r="P559" t="s">
        <v>30</v>
      </c>
      <c r="Q559" t="s">
        <v>31</v>
      </c>
      <c r="R559">
        <v>7</v>
      </c>
      <c r="S559" t="s">
        <v>4757</v>
      </c>
      <c r="T559" t="s">
        <v>5548</v>
      </c>
      <c r="U559" t="s">
        <v>5549</v>
      </c>
      <c r="V559" t="s">
        <v>32</v>
      </c>
      <c r="W559" t="s">
        <v>33</v>
      </c>
      <c r="X559" t="s">
        <v>33</v>
      </c>
      <c r="Y559" t="s">
        <v>33</v>
      </c>
      <c r="Z559" s="16" t="s">
        <v>34</v>
      </c>
      <c r="AA559">
        <v>-75.623456450000006</v>
      </c>
      <c r="AB559">
        <v>6.1542734699999997</v>
      </c>
      <c r="AC559" t="s">
        <v>96</v>
      </c>
      <c r="AD559" t="s">
        <v>97</v>
      </c>
    </row>
    <row r="560" spans="1:30" x14ac:dyDescent="0.25">
      <c r="A560" t="s">
        <v>4758</v>
      </c>
      <c r="B560" t="s">
        <v>25</v>
      </c>
      <c r="C560" t="s">
        <v>26</v>
      </c>
      <c r="D560" t="s">
        <v>38</v>
      </c>
      <c r="E560" t="s">
        <v>4759</v>
      </c>
      <c r="F560" t="s">
        <v>4760</v>
      </c>
      <c r="G560">
        <v>43815219</v>
      </c>
      <c r="H560" t="s">
        <v>4761</v>
      </c>
      <c r="I560" s="4" t="s">
        <v>4762</v>
      </c>
      <c r="J560" s="4" t="s">
        <v>4763</v>
      </c>
      <c r="K560" t="s">
        <v>4764</v>
      </c>
      <c r="L560" t="s">
        <v>27</v>
      </c>
      <c r="M560" t="s">
        <v>4765</v>
      </c>
      <c r="N560" t="s">
        <v>28</v>
      </c>
      <c r="O560" t="s">
        <v>39</v>
      </c>
      <c r="P560" t="s">
        <v>40</v>
      </c>
      <c r="Q560" t="s">
        <v>31</v>
      </c>
      <c r="R560">
        <v>5</v>
      </c>
      <c r="S560" t="s">
        <v>4766</v>
      </c>
      <c r="T560" t="s">
        <v>5550</v>
      </c>
      <c r="U560" t="s">
        <v>4775</v>
      </c>
      <c r="V560" t="s">
        <v>32</v>
      </c>
      <c r="W560" t="s">
        <v>33</v>
      </c>
      <c r="X560" t="s">
        <v>33</v>
      </c>
      <c r="Y560" t="s">
        <v>33</v>
      </c>
      <c r="Z560" s="16" t="s">
        <v>34</v>
      </c>
      <c r="AA560">
        <v>-75.625675000000001</v>
      </c>
      <c r="AB560">
        <v>6.2469939999999999</v>
      </c>
      <c r="AC560" t="s">
        <v>96</v>
      </c>
      <c r="AD560" t="s">
        <v>97</v>
      </c>
    </row>
    <row r="561" spans="1:30" x14ac:dyDescent="0.25">
      <c r="A561" t="s">
        <v>4767</v>
      </c>
      <c r="B561" t="s">
        <v>59</v>
      </c>
      <c r="C561" t="s">
        <v>26</v>
      </c>
      <c r="D561" t="s">
        <v>59</v>
      </c>
      <c r="E561" t="s">
        <v>4768</v>
      </c>
      <c r="F561" t="s">
        <v>4769</v>
      </c>
      <c r="G561">
        <v>43400932</v>
      </c>
      <c r="H561" t="s">
        <v>4770</v>
      </c>
      <c r="I561" s="4" t="s">
        <v>35</v>
      </c>
      <c r="J561" s="4" t="s">
        <v>4771</v>
      </c>
      <c r="K561" t="s">
        <v>4772</v>
      </c>
      <c r="L561" t="s">
        <v>57</v>
      </c>
      <c r="M561" t="s">
        <v>4773</v>
      </c>
      <c r="N561" t="s">
        <v>58</v>
      </c>
      <c r="O561" t="s">
        <v>60</v>
      </c>
      <c r="P561" t="s">
        <v>61</v>
      </c>
      <c r="Q561" t="s">
        <v>31</v>
      </c>
      <c r="R561">
        <v>4</v>
      </c>
      <c r="S561" t="s">
        <v>4774</v>
      </c>
      <c r="T561" t="s">
        <v>5550</v>
      </c>
      <c r="U561" t="s">
        <v>3175</v>
      </c>
      <c r="V561" t="s">
        <v>32</v>
      </c>
      <c r="W561" t="s">
        <v>33</v>
      </c>
      <c r="X561" t="s">
        <v>33</v>
      </c>
      <c r="Y561" t="s">
        <v>33</v>
      </c>
      <c r="Z561" s="16" t="s">
        <v>34</v>
      </c>
      <c r="AA561">
        <v>-75.613769379999994</v>
      </c>
      <c r="AB561">
        <v>6.1506905100000004</v>
      </c>
      <c r="AC561" t="s">
        <v>96</v>
      </c>
      <c r="AD561" t="s">
        <v>97</v>
      </c>
    </row>
    <row r="562" spans="1:30" x14ac:dyDescent="0.25">
      <c r="A562" t="s">
        <v>4776</v>
      </c>
      <c r="B562" t="s">
        <v>41</v>
      </c>
      <c r="C562" t="s">
        <v>26</v>
      </c>
      <c r="D562" t="s">
        <v>41</v>
      </c>
      <c r="E562" t="s">
        <v>4777</v>
      </c>
      <c r="F562" t="s">
        <v>4778</v>
      </c>
      <c r="G562">
        <v>900516754</v>
      </c>
      <c r="H562" t="s">
        <v>4752</v>
      </c>
      <c r="I562" s="4" t="s">
        <v>4753</v>
      </c>
      <c r="J562" s="4" t="s">
        <v>4754</v>
      </c>
      <c r="K562" t="s">
        <v>4779</v>
      </c>
      <c r="L562" t="s">
        <v>57</v>
      </c>
      <c r="M562" t="s">
        <v>4780</v>
      </c>
      <c r="N562" t="s">
        <v>58</v>
      </c>
      <c r="O562" t="s">
        <v>42</v>
      </c>
      <c r="P562" t="s">
        <v>30</v>
      </c>
      <c r="Q562" t="s">
        <v>31</v>
      </c>
      <c r="R562">
        <v>7</v>
      </c>
      <c r="S562" t="s">
        <v>4781</v>
      </c>
      <c r="T562" t="s">
        <v>5550</v>
      </c>
      <c r="U562" t="s">
        <v>3174</v>
      </c>
      <c r="V562" t="s">
        <v>32</v>
      </c>
      <c r="W562" t="s">
        <v>33</v>
      </c>
      <c r="X562" t="s">
        <v>33</v>
      </c>
      <c r="Y562" t="s">
        <v>33</v>
      </c>
      <c r="Z562" s="16" t="s">
        <v>34</v>
      </c>
      <c r="AA562">
        <v>-75.623456450000006</v>
      </c>
      <c r="AB562">
        <v>6.1542734699999997</v>
      </c>
      <c r="AC562" t="s">
        <v>96</v>
      </c>
      <c r="AD562" t="s">
        <v>97</v>
      </c>
    </row>
    <row r="563" spans="1:30" x14ac:dyDescent="0.25">
      <c r="A563" t="s">
        <v>4782</v>
      </c>
      <c r="B563" t="s">
        <v>41</v>
      </c>
      <c r="C563" t="s">
        <v>26</v>
      </c>
      <c r="D563" t="s">
        <v>41</v>
      </c>
      <c r="E563" t="s">
        <v>4783</v>
      </c>
      <c r="F563" t="s">
        <v>4784</v>
      </c>
      <c r="G563">
        <v>14137342</v>
      </c>
      <c r="H563" t="s">
        <v>4785</v>
      </c>
      <c r="I563" s="4" t="s">
        <v>4786</v>
      </c>
      <c r="J563" s="4" t="s">
        <v>4787</v>
      </c>
      <c r="K563" t="s">
        <v>4788</v>
      </c>
      <c r="L563" t="s">
        <v>47</v>
      </c>
      <c r="M563" t="s">
        <v>4789</v>
      </c>
      <c r="N563" t="s">
        <v>62</v>
      </c>
      <c r="O563" t="s">
        <v>42</v>
      </c>
      <c r="P563" t="s">
        <v>36</v>
      </c>
      <c r="Q563" t="s">
        <v>31</v>
      </c>
      <c r="R563">
        <v>7</v>
      </c>
      <c r="S563" t="s">
        <v>4790</v>
      </c>
      <c r="T563" t="s">
        <v>5551</v>
      </c>
      <c r="U563" t="s">
        <v>5552</v>
      </c>
      <c r="V563" t="s">
        <v>32</v>
      </c>
      <c r="W563" t="s">
        <v>33</v>
      </c>
      <c r="X563" t="s">
        <v>33</v>
      </c>
      <c r="Y563" t="s">
        <v>33</v>
      </c>
      <c r="Z563" s="16" t="s">
        <v>34</v>
      </c>
      <c r="AA563">
        <v>-75.593064040000002</v>
      </c>
      <c r="AB563">
        <v>6.1716176999999997</v>
      </c>
      <c r="AC563" t="s">
        <v>96</v>
      </c>
      <c r="AD563" t="s">
        <v>97</v>
      </c>
    </row>
    <row r="564" spans="1:30" x14ac:dyDescent="0.25">
      <c r="A564" t="s">
        <v>4791</v>
      </c>
      <c r="B564" t="s">
        <v>25</v>
      </c>
      <c r="C564" t="s">
        <v>26</v>
      </c>
      <c r="D564" t="s">
        <v>25</v>
      </c>
      <c r="E564" t="s">
        <v>4792</v>
      </c>
      <c r="F564" t="s">
        <v>4793</v>
      </c>
      <c r="G564">
        <v>71878679</v>
      </c>
      <c r="H564" t="s">
        <v>4794</v>
      </c>
      <c r="I564" s="4" t="s">
        <v>35</v>
      </c>
      <c r="J564" s="4" t="s">
        <v>4659</v>
      </c>
      <c r="K564" t="s">
        <v>4795</v>
      </c>
      <c r="L564" t="s">
        <v>27</v>
      </c>
      <c r="M564" t="s">
        <v>4796</v>
      </c>
      <c r="N564" t="s">
        <v>28</v>
      </c>
      <c r="O564" t="s">
        <v>29</v>
      </c>
      <c r="P564" t="s">
        <v>30</v>
      </c>
      <c r="Q564" t="s">
        <v>31</v>
      </c>
      <c r="R564">
        <v>7</v>
      </c>
      <c r="S564" t="s">
        <v>4797</v>
      </c>
      <c r="T564" t="s">
        <v>5553</v>
      </c>
      <c r="U564" t="s">
        <v>5554</v>
      </c>
      <c r="V564" t="s">
        <v>32</v>
      </c>
      <c r="W564" t="s">
        <v>33</v>
      </c>
      <c r="X564" t="s">
        <v>33</v>
      </c>
      <c r="Y564" t="s">
        <v>33</v>
      </c>
      <c r="Z564" s="16" t="s">
        <v>34</v>
      </c>
      <c r="AA564">
        <v>-75.542113999999998</v>
      </c>
      <c r="AB564">
        <v>6.2510510000000004</v>
      </c>
      <c r="AC564" t="s">
        <v>96</v>
      </c>
      <c r="AD564" t="s">
        <v>97</v>
      </c>
    </row>
    <row r="565" spans="1:30" x14ac:dyDescent="0.25">
      <c r="A565" t="s">
        <v>4798</v>
      </c>
      <c r="B565" t="s">
        <v>25</v>
      </c>
      <c r="C565" t="s">
        <v>26</v>
      </c>
      <c r="D565" t="s">
        <v>25</v>
      </c>
      <c r="E565" t="s">
        <v>4799</v>
      </c>
      <c r="F565" t="s">
        <v>4800</v>
      </c>
      <c r="G565">
        <v>1128407504</v>
      </c>
      <c r="H565" t="s">
        <v>4801</v>
      </c>
      <c r="I565" s="4" t="s">
        <v>35</v>
      </c>
      <c r="J565" s="4" t="s">
        <v>4802</v>
      </c>
      <c r="K565" t="s">
        <v>4803</v>
      </c>
      <c r="L565" t="s">
        <v>27</v>
      </c>
      <c r="M565" t="s">
        <v>4804</v>
      </c>
      <c r="N565" t="s">
        <v>28</v>
      </c>
      <c r="O565" t="s">
        <v>29</v>
      </c>
      <c r="P565" t="s">
        <v>36</v>
      </c>
      <c r="Q565" t="s">
        <v>31</v>
      </c>
      <c r="R565">
        <v>7</v>
      </c>
      <c r="S565" t="s">
        <v>4805</v>
      </c>
      <c r="T565" t="s">
        <v>5555</v>
      </c>
      <c r="U565" t="s">
        <v>5556</v>
      </c>
      <c r="V565" t="s">
        <v>32</v>
      </c>
      <c r="W565" t="s">
        <v>33</v>
      </c>
      <c r="X565" t="s">
        <v>33</v>
      </c>
      <c r="Y565" t="s">
        <v>33</v>
      </c>
      <c r="Z565" s="16" t="s">
        <v>34</v>
      </c>
      <c r="AA565">
        <v>-75.628605980000003</v>
      </c>
      <c r="AB565">
        <v>6.2589004399999997</v>
      </c>
      <c r="AC565" t="s">
        <v>96</v>
      </c>
      <c r="AD565" t="s">
        <v>97</v>
      </c>
    </row>
    <row r="566" spans="1:30" x14ac:dyDescent="0.25">
      <c r="A566" t="s">
        <v>4806</v>
      </c>
      <c r="B566" t="s">
        <v>59</v>
      </c>
      <c r="C566" t="s">
        <v>26</v>
      </c>
      <c r="D566" t="s">
        <v>59</v>
      </c>
      <c r="E566" t="s">
        <v>4807</v>
      </c>
      <c r="F566" t="s">
        <v>4808</v>
      </c>
      <c r="G566">
        <v>98524958</v>
      </c>
      <c r="H566" t="s">
        <v>4809</v>
      </c>
      <c r="I566" s="4" t="s">
        <v>4810</v>
      </c>
      <c r="J566" s="4" t="s">
        <v>4811</v>
      </c>
      <c r="K566" t="s">
        <v>4812</v>
      </c>
      <c r="L566" t="s">
        <v>27</v>
      </c>
      <c r="M566" t="s">
        <v>4813</v>
      </c>
      <c r="N566" t="s">
        <v>28</v>
      </c>
      <c r="O566" t="s">
        <v>60</v>
      </c>
      <c r="P566" t="s">
        <v>61</v>
      </c>
      <c r="Q566" t="s">
        <v>31</v>
      </c>
      <c r="R566">
        <v>4</v>
      </c>
      <c r="S566" t="s">
        <v>4814</v>
      </c>
      <c r="T566" t="s">
        <v>1697</v>
      </c>
      <c r="U566" t="s">
        <v>5293</v>
      </c>
      <c r="V566" t="s">
        <v>32</v>
      </c>
      <c r="W566" t="s">
        <v>33</v>
      </c>
      <c r="X566" t="s">
        <v>33</v>
      </c>
      <c r="Y566" t="s">
        <v>33</v>
      </c>
      <c r="Z566" s="16" t="s">
        <v>34</v>
      </c>
      <c r="AA566">
        <v>-75.649053820000006</v>
      </c>
      <c r="AB566">
        <v>6.1850273500000004</v>
      </c>
      <c r="AC566" t="s">
        <v>96</v>
      </c>
      <c r="AD566" t="s">
        <v>97</v>
      </c>
    </row>
    <row r="567" spans="1:30" x14ac:dyDescent="0.25">
      <c r="A567" t="s">
        <v>4815</v>
      </c>
      <c r="B567" t="s">
        <v>25</v>
      </c>
      <c r="C567" t="s">
        <v>26</v>
      </c>
      <c r="D567" t="s">
        <v>38</v>
      </c>
      <c r="E567" t="s">
        <v>4816</v>
      </c>
      <c r="F567" t="s">
        <v>4817</v>
      </c>
      <c r="G567">
        <v>70003244</v>
      </c>
      <c r="H567" t="s">
        <v>4711</v>
      </c>
      <c r="I567" s="4" t="s">
        <v>35</v>
      </c>
      <c r="J567" s="4" t="s">
        <v>4712</v>
      </c>
      <c r="K567" t="s">
        <v>4818</v>
      </c>
      <c r="L567" t="s">
        <v>43</v>
      </c>
      <c r="M567" t="s">
        <v>4819</v>
      </c>
      <c r="N567" t="s">
        <v>44</v>
      </c>
      <c r="O567" t="s">
        <v>39</v>
      </c>
      <c r="P567" t="s">
        <v>40</v>
      </c>
      <c r="Q567" t="s">
        <v>31</v>
      </c>
      <c r="R567">
        <v>5</v>
      </c>
      <c r="S567" t="s">
        <v>4820</v>
      </c>
      <c r="T567" t="s">
        <v>5233</v>
      </c>
      <c r="U567" t="s">
        <v>5232</v>
      </c>
      <c r="V567" t="s">
        <v>32</v>
      </c>
      <c r="W567" t="s">
        <v>33</v>
      </c>
      <c r="X567" t="s">
        <v>33</v>
      </c>
      <c r="Y567" t="s">
        <v>33</v>
      </c>
      <c r="Z567" s="16" t="s">
        <v>34</v>
      </c>
      <c r="AA567">
        <v>-75.599569399999993</v>
      </c>
      <c r="AB567">
        <v>6.1957078699999997</v>
      </c>
      <c r="AC567" t="s">
        <v>96</v>
      </c>
      <c r="AD567" t="s">
        <v>97</v>
      </c>
    </row>
    <row r="568" spans="1:30" x14ac:dyDescent="0.25">
      <c r="A568" t="s">
        <v>4821</v>
      </c>
      <c r="B568" t="s">
        <v>59</v>
      </c>
      <c r="C568" t="s">
        <v>26</v>
      </c>
      <c r="D568" t="s">
        <v>59</v>
      </c>
      <c r="E568" t="s">
        <v>4822</v>
      </c>
      <c r="F568" t="s">
        <v>4823</v>
      </c>
      <c r="G568">
        <v>98524958</v>
      </c>
      <c r="H568" t="s">
        <v>4809</v>
      </c>
      <c r="I568" s="4" t="s">
        <v>4810</v>
      </c>
      <c r="J568" s="4" t="s">
        <v>4811</v>
      </c>
      <c r="K568" t="s">
        <v>4812</v>
      </c>
      <c r="L568" t="s">
        <v>27</v>
      </c>
      <c r="M568" t="s">
        <v>4813</v>
      </c>
      <c r="N568" t="s">
        <v>28</v>
      </c>
      <c r="O568" t="s">
        <v>60</v>
      </c>
      <c r="P568" t="s">
        <v>61</v>
      </c>
      <c r="Q568" t="s">
        <v>31</v>
      </c>
      <c r="R568">
        <v>4</v>
      </c>
      <c r="S568" t="s">
        <v>4824</v>
      </c>
      <c r="T568" t="s">
        <v>5557</v>
      </c>
      <c r="U568" t="s">
        <v>5295</v>
      </c>
      <c r="V568" t="s">
        <v>32</v>
      </c>
      <c r="W568" t="s">
        <v>33</v>
      </c>
      <c r="X568" t="s">
        <v>33</v>
      </c>
      <c r="Y568" t="s">
        <v>33</v>
      </c>
      <c r="Z568" s="16" t="s">
        <v>34</v>
      </c>
      <c r="AA568">
        <v>-75.649053820000006</v>
      </c>
      <c r="AB568">
        <v>6.1850273500000004</v>
      </c>
      <c r="AC568" t="s">
        <v>96</v>
      </c>
      <c r="AD568" t="s">
        <v>97</v>
      </c>
    </row>
    <row r="569" spans="1:30" x14ac:dyDescent="0.25">
      <c r="A569" t="s">
        <v>4826</v>
      </c>
      <c r="B569" t="s">
        <v>25</v>
      </c>
      <c r="C569" t="s">
        <v>26</v>
      </c>
      <c r="D569" t="s">
        <v>38</v>
      </c>
      <c r="E569" t="s">
        <v>4827</v>
      </c>
      <c r="F569" t="s">
        <v>4828</v>
      </c>
      <c r="G569">
        <v>1076323584</v>
      </c>
      <c r="H569" t="s">
        <v>4829</v>
      </c>
      <c r="I569" s="4" t="s">
        <v>35</v>
      </c>
      <c r="J569" s="4" t="s">
        <v>4830</v>
      </c>
      <c r="K569" t="s">
        <v>4831</v>
      </c>
      <c r="L569" t="s">
        <v>43</v>
      </c>
      <c r="M569" t="s">
        <v>4832</v>
      </c>
      <c r="N569" t="s">
        <v>44</v>
      </c>
      <c r="O569" t="s">
        <v>39</v>
      </c>
      <c r="P569" t="s">
        <v>40</v>
      </c>
      <c r="Q569" t="s">
        <v>31</v>
      </c>
      <c r="R569">
        <v>5</v>
      </c>
      <c r="S569" t="s">
        <v>4833</v>
      </c>
      <c r="T569" t="s">
        <v>5558</v>
      </c>
      <c r="U569" t="s">
        <v>3882</v>
      </c>
      <c r="V569" t="s">
        <v>32</v>
      </c>
      <c r="W569" t="s">
        <v>33</v>
      </c>
      <c r="X569" t="s">
        <v>33</v>
      </c>
      <c r="Y569" t="s">
        <v>33</v>
      </c>
      <c r="Z569" s="16" t="s">
        <v>34</v>
      </c>
      <c r="AA569">
        <v>-75.599911120000002</v>
      </c>
      <c r="AB569">
        <v>6.19598038</v>
      </c>
      <c r="AC569" t="s">
        <v>96</v>
      </c>
      <c r="AD569" t="s">
        <v>97</v>
      </c>
    </row>
    <row r="570" spans="1:30" x14ac:dyDescent="0.25">
      <c r="A570" t="s">
        <v>4834</v>
      </c>
      <c r="B570" t="s">
        <v>25</v>
      </c>
      <c r="C570" t="s">
        <v>26</v>
      </c>
      <c r="D570" t="s">
        <v>25</v>
      </c>
      <c r="E570" t="s">
        <v>4835</v>
      </c>
      <c r="F570" t="s">
        <v>4836</v>
      </c>
      <c r="G570">
        <v>1000291308</v>
      </c>
      <c r="H570" t="s">
        <v>4837</v>
      </c>
      <c r="I570" s="4" t="s">
        <v>52</v>
      </c>
      <c r="J570" s="4" t="s">
        <v>4659</v>
      </c>
      <c r="K570" t="s">
        <v>4838</v>
      </c>
      <c r="L570" t="s">
        <v>27</v>
      </c>
      <c r="M570" t="s">
        <v>4839</v>
      </c>
      <c r="N570" t="s">
        <v>28</v>
      </c>
      <c r="O570" t="s">
        <v>29</v>
      </c>
      <c r="P570" t="s">
        <v>30</v>
      </c>
      <c r="Q570" t="s">
        <v>31</v>
      </c>
      <c r="R570">
        <v>7</v>
      </c>
      <c r="S570" t="s">
        <v>4840</v>
      </c>
      <c r="T570" t="s">
        <v>5559</v>
      </c>
      <c r="U570" t="s">
        <v>5560</v>
      </c>
      <c r="V570" t="s">
        <v>32</v>
      </c>
      <c r="W570" t="s">
        <v>33</v>
      </c>
      <c r="X570" t="s">
        <v>33</v>
      </c>
      <c r="Y570" t="s">
        <v>33</v>
      </c>
      <c r="Z570" s="16" t="s">
        <v>34</v>
      </c>
      <c r="AA570">
        <v>-75.541955000000002</v>
      </c>
      <c r="AB570">
        <v>6.25067167</v>
      </c>
      <c r="AC570" t="s">
        <v>96</v>
      </c>
      <c r="AD570" t="s">
        <v>97</v>
      </c>
    </row>
    <row r="571" spans="1:30" x14ac:dyDescent="0.25">
      <c r="A571" t="s">
        <v>4841</v>
      </c>
      <c r="B571" t="s">
        <v>25</v>
      </c>
      <c r="C571" t="s">
        <v>26</v>
      </c>
      <c r="D571" t="s">
        <v>38</v>
      </c>
      <c r="E571" t="s">
        <v>4842</v>
      </c>
      <c r="F571" t="s">
        <v>4843</v>
      </c>
      <c r="G571">
        <v>1040736334</v>
      </c>
      <c r="H571" t="s">
        <v>4844</v>
      </c>
      <c r="I571" s="4" t="s">
        <v>4845</v>
      </c>
      <c r="J571" s="4" t="s">
        <v>4846</v>
      </c>
      <c r="K571" t="s">
        <v>4847</v>
      </c>
      <c r="L571" t="s">
        <v>43</v>
      </c>
      <c r="M571" t="s">
        <v>4848</v>
      </c>
      <c r="N571" t="s">
        <v>44</v>
      </c>
      <c r="O571" t="s">
        <v>39</v>
      </c>
      <c r="P571" t="s">
        <v>40</v>
      </c>
      <c r="Q571" t="s">
        <v>31</v>
      </c>
      <c r="R571">
        <v>5</v>
      </c>
      <c r="S571" t="s">
        <v>4849</v>
      </c>
      <c r="T571" t="s">
        <v>5060</v>
      </c>
      <c r="U571" t="s">
        <v>5561</v>
      </c>
      <c r="V571" t="s">
        <v>32</v>
      </c>
      <c r="W571" t="s">
        <v>33</v>
      </c>
      <c r="X571" t="s">
        <v>33</v>
      </c>
      <c r="Y571" t="s">
        <v>33</v>
      </c>
      <c r="Z571" s="16" t="s">
        <v>34</v>
      </c>
      <c r="AA571">
        <v>-75.599628719999998</v>
      </c>
      <c r="AB571">
        <v>6.1962781900000001</v>
      </c>
      <c r="AC571" t="s">
        <v>96</v>
      </c>
      <c r="AD571" t="s">
        <v>97</v>
      </c>
    </row>
    <row r="572" spans="1:30" x14ac:dyDescent="0.25">
      <c r="A572" t="s">
        <v>4850</v>
      </c>
      <c r="B572" t="s">
        <v>25</v>
      </c>
      <c r="C572" t="s">
        <v>26</v>
      </c>
      <c r="D572" t="s">
        <v>38</v>
      </c>
      <c r="E572" t="s">
        <v>4842</v>
      </c>
      <c r="F572" t="s">
        <v>4843</v>
      </c>
      <c r="G572">
        <v>43152110</v>
      </c>
      <c r="H572" t="s">
        <v>4851</v>
      </c>
      <c r="I572" s="4" t="s">
        <v>35</v>
      </c>
      <c r="J572" s="4" t="s">
        <v>4852</v>
      </c>
      <c r="K572" t="s">
        <v>4853</v>
      </c>
      <c r="L572" t="s">
        <v>27</v>
      </c>
      <c r="M572" t="s">
        <v>4854</v>
      </c>
      <c r="N572" t="s">
        <v>28</v>
      </c>
      <c r="O572" t="s">
        <v>39</v>
      </c>
      <c r="P572" t="s">
        <v>40</v>
      </c>
      <c r="Q572" t="s">
        <v>31</v>
      </c>
      <c r="R572">
        <v>5</v>
      </c>
      <c r="S572" t="s">
        <v>4849</v>
      </c>
      <c r="T572" t="s">
        <v>5060</v>
      </c>
      <c r="U572" t="s">
        <v>5561</v>
      </c>
      <c r="V572" t="s">
        <v>32</v>
      </c>
      <c r="W572" t="s">
        <v>33</v>
      </c>
      <c r="X572" t="s">
        <v>33</v>
      </c>
      <c r="Y572" t="s">
        <v>33</v>
      </c>
      <c r="Z572" s="16" t="s">
        <v>34</v>
      </c>
      <c r="AA572">
        <v>-75.618684999999999</v>
      </c>
      <c r="AB572">
        <v>6.2620180000000003</v>
      </c>
      <c r="AC572" t="s">
        <v>96</v>
      </c>
      <c r="AD572" t="s">
        <v>97</v>
      </c>
    </row>
    <row r="573" spans="1:30" x14ac:dyDescent="0.25">
      <c r="A573" t="s">
        <v>4855</v>
      </c>
      <c r="B573" t="s">
        <v>41</v>
      </c>
      <c r="C573" t="s">
        <v>26</v>
      </c>
      <c r="D573" t="s">
        <v>41</v>
      </c>
      <c r="E573" t="s">
        <v>4856</v>
      </c>
      <c r="F573" t="s">
        <v>4857</v>
      </c>
      <c r="G573">
        <v>1037575804</v>
      </c>
      <c r="H573" t="s">
        <v>75</v>
      </c>
      <c r="I573" s="4" t="s">
        <v>35</v>
      </c>
      <c r="J573" s="4" t="s">
        <v>884</v>
      </c>
      <c r="K573" t="s">
        <v>4858</v>
      </c>
      <c r="L573" t="s">
        <v>47</v>
      </c>
      <c r="M573" t="s">
        <v>4859</v>
      </c>
      <c r="N573" t="s">
        <v>62</v>
      </c>
      <c r="O573" t="s">
        <v>42</v>
      </c>
      <c r="P573" t="s">
        <v>36</v>
      </c>
      <c r="Q573" t="s">
        <v>31</v>
      </c>
      <c r="R573">
        <v>7</v>
      </c>
      <c r="S573" t="s">
        <v>4860</v>
      </c>
      <c r="T573" t="s">
        <v>5060</v>
      </c>
      <c r="U573" t="s">
        <v>5562</v>
      </c>
      <c r="V573" t="s">
        <v>32</v>
      </c>
      <c r="W573" t="s">
        <v>33</v>
      </c>
      <c r="X573" t="s">
        <v>33</v>
      </c>
      <c r="Y573" t="s">
        <v>33</v>
      </c>
      <c r="Z573" s="16" t="s">
        <v>34</v>
      </c>
      <c r="AA573">
        <v>-75.567666560000006</v>
      </c>
      <c r="AB573">
        <v>6.1766927699999998</v>
      </c>
      <c r="AC573" t="s">
        <v>96</v>
      </c>
      <c r="AD573" t="s">
        <v>97</v>
      </c>
    </row>
    <row r="574" spans="1:30" x14ac:dyDescent="0.25">
      <c r="A574" t="s">
        <v>4862</v>
      </c>
      <c r="B574" t="s">
        <v>25</v>
      </c>
      <c r="C574" t="s">
        <v>26</v>
      </c>
      <c r="D574" t="s">
        <v>38</v>
      </c>
      <c r="E574" t="s">
        <v>4863</v>
      </c>
      <c r="F574" t="s">
        <v>4864</v>
      </c>
      <c r="G574">
        <v>1027880577</v>
      </c>
      <c r="H574" t="s">
        <v>4865</v>
      </c>
      <c r="I574" s="4" t="s">
        <v>35</v>
      </c>
      <c r="J574" s="4" t="s">
        <v>4866</v>
      </c>
      <c r="K574" t="s">
        <v>4867</v>
      </c>
      <c r="L574" t="s">
        <v>43</v>
      </c>
      <c r="M574" t="s">
        <v>4868</v>
      </c>
      <c r="N574" t="s">
        <v>44</v>
      </c>
      <c r="O574" t="s">
        <v>39</v>
      </c>
      <c r="P574" t="s">
        <v>40</v>
      </c>
      <c r="Q574" t="s">
        <v>31</v>
      </c>
      <c r="R574">
        <v>5</v>
      </c>
      <c r="S574" t="s">
        <v>4869</v>
      </c>
      <c r="T574" t="s">
        <v>5563</v>
      </c>
      <c r="U574" t="s">
        <v>5236</v>
      </c>
      <c r="V574" t="s">
        <v>32</v>
      </c>
      <c r="W574" t="s">
        <v>33</v>
      </c>
      <c r="X574" t="s">
        <v>33</v>
      </c>
      <c r="Y574" t="s">
        <v>33</v>
      </c>
      <c r="Z574" s="16" t="s">
        <v>34</v>
      </c>
      <c r="AA574">
        <v>-75.601791689999999</v>
      </c>
      <c r="AB574">
        <v>6.1934395999999996</v>
      </c>
      <c r="AC574" t="s">
        <v>96</v>
      </c>
      <c r="AD574" t="s">
        <v>97</v>
      </c>
    </row>
    <row r="575" spans="1:30" x14ac:dyDescent="0.25">
      <c r="A575" t="s">
        <v>4871</v>
      </c>
      <c r="B575" t="s">
        <v>25</v>
      </c>
      <c r="C575" t="s">
        <v>26</v>
      </c>
      <c r="D575" t="s">
        <v>38</v>
      </c>
      <c r="E575" t="s">
        <v>4872</v>
      </c>
      <c r="F575" t="s">
        <v>4873</v>
      </c>
      <c r="G575">
        <v>78702279</v>
      </c>
      <c r="H575" t="s">
        <v>4874</v>
      </c>
      <c r="I575" s="4" t="s">
        <v>35</v>
      </c>
      <c r="J575" s="4" t="s">
        <v>4875</v>
      </c>
      <c r="K575" t="s">
        <v>4876</v>
      </c>
      <c r="L575" t="s">
        <v>43</v>
      </c>
      <c r="M575" t="s">
        <v>4877</v>
      </c>
      <c r="N575" t="s">
        <v>44</v>
      </c>
      <c r="O575" t="s">
        <v>39</v>
      </c>
      <c r="P575" t="s">
        <v>40</v>
      </c>
      <c r="Q575" t="s">
        <v>31</v>
      </c>
      <c r="R575">
        <v>5</v>
      </c>
      <c r="S575" t="s">
        <v>4878</v>
      </c>
      <c r="T575" t="s">
        <v>5563</v>
      </c>
      <c r="U575" t="s">
        <v>5236</v>
      </c>
      <c r="V575" t="s">
        <v>32</v>
      </c>
      <c r="W575" t="s">
        <v>33</v>
      </c>
      <c r="X575" t="s">
        <v>33</v>
      </c>
      <c r="Y575" t="s">
        <v>33</v>
      </c>
      <c r="Z575" s="16" t="s">
        <v>34</v>
      </c>
      <c r="AA575">
        <v>-75.615539760000004</v>
      </c>
      <c r="AB575">
        <v>6.1752952499999996</v>
      </c>
      <c r="AC575" t="s">
        <v>96</v>
      </c>
      <c r="AD575" t="s">
        <v>97</v>
      </c>
    </row>
    <row r="576" spans="1:30" x14ac:dyDescent="0.25">
      <c r="A576" t="s">
        <v>4879</v>
      </c>
      <c r="B576" t="s">
        <v>25</v>
      </c>
      <c r="C576" t="s">
        <v>26</v>
      </c>
      <c r="D576" t="s">
        <v>38</v>
      </c>
      <c r="E576" t="s">
        <v>4880</v>
      </c>
      <c r="F576" t="s">
        <v>4881</v>
      </c>
      <c r="G576">
        <v>1128450168</v>
      </c>
      <c r="H576" t="s">
        <v>4882</v>
      </c>
      <c r="I576" s="4" t="s">
        <v>35</v>
      </c>
      <c r="J576" s="4" t="s">
        <v>4883</v>
      </c>
      <c r="K576" t="s">
        <v>4884</v>
      </c>
      <c r="L576" t="s">
        <v>43</v>
      </c>
      <c r="M576" t="s">
        <v>4885</v>
      </c>
      <c r="N576" t="s">
        <v>44</v>
      </c>
      <c r="O576" t="s">
        <v>39</v>
      </c>
      <c r="P576" t="s">
        <v>40</v>
      </c>
      <c r="Q576" t="s">
        <v>31</v>
      </c>
      <c r="R576">
        <v>5</v>
      </c>
      <c r="S576" t="s">
        <v>4886</v>
      </c>
      <c r="T576" t="s">
        <v>5564</v>
      </c>
      <c r="U576" t="s">
        <v>5565</v>
      </c>
      <c r="V576" t="s">
        <v>32</v>
      </c>
      <c r="W576" t="s">
        <v>33</v>
      </c>
      <c r="X576" t="s">
        <v>33</v>
      </c>
      <c r="Y576" t="s">
        <v>33</v>
      </c>
      <c r="Z576" s="16" t="s">
        <v>34</v>
      </c>
      <c r="AA576">
        <v>-75.601586100000006</v>
      </c>
      <c r="AB576">
        <v>6.1933810300000003</v>
      </c>
      <c r="AC576" t="s">
        <v>96</v>
      </c>
      <c r="AD576" t="s">
        <v>97</v>
      </c>
    </row>
    <row r="577" spans="1:30" x14ac:dyDescent="0.25">
      <c r="A577" t="s">
        <v>4887</v>
      </c>
      <c r="B577" t="s">
        <v>25</v>
      </c>
      <c r="C577" t="s">
        <v>26</v>
      </c>
      <c r="D577" t="s">
        <v>25</v>
      </c>
      <c r="E577" t="s">
        <v>4888</v>
      </c>
      <c r="F577" t="s">
        <v>4889</v>
      </c>
      <c r="G577">
        <v>1000291308</v>
      </c>
      <c r="H577" t="s">
        <v>4837</v>
      </c>
      <c r="I577" s="4" t="s">
        <v>52</v>
      </c>
      <c r="J577" s="4" t="s">
        <v>35</v>
      </c>
      <c r="K577" t="s">
        <v>4890</v>
      </c>
      <c r="L577" t="s">
        <v>27</v>
      </c>
      <c r="M577" t="s">
        <v>4891</v>
      </c>
      <c r="N577" t="s">
        <v>28</v>
      </c>
      <c r="O577" t="s">
        <v>29</v>
      </c>
      <c r="P577" t="s">
        <v>30</v>
      </c>
      <c r="Q577" t="s">
        <v>31</v>
      </c>
      <c r="R577">
        <v>7</v>
      </c>
      <c r="S577" t="s">
        <v>4892</v>
      </c>
      <c r="T577" t="s">
        <v>2400</v>
      </c>
      <c r="U577" t="s">
        <v>1657</v>
      </c>
      <c r="V577" t="s">
        <v>32</v>
      </c>
      <c r="W577" t="s">
        <v>33</v>
      </c>
      <c r="X577" t="s">
        <v>33</v>
      </c>
      <c r="Y577" t="s">
        <v>33</v>
      </c>
      <c r="Z577" s="16" t="s">
        <v>34</v>
      </c>
      <c r="AA577">
        <v>-75.541955000000002</v>
      </c>
      <c r="AB577">
        <v>6.25067167</v>
      </c>
      <c r="AC577" t="s">
        <v>96</v>
      </c>
      <c r="AD577" t="s">
        <v>97</v>
      </c>
    </row>
    <row r="578" spans="1:30" x14ac:dyDescent="0.25">
      <c r="A578" t="s">
        <v>4894</v>
      </c>
      <c r="B578" t="s">
        <v>25</v>
      </c>
      <c r="C578" t="s">
        <v>26</v>
      </c>
      <c r="D578" t="s">
        <v>25</v>
      </c>
      <c r="E578" t="s">
        <v>4895</v>
      </c>
      <c r="F578" t="s">
        <v>4896</v>
      </c>
      <c r="G578">
        <v>1037570832</v>
      </c>
      <c r="H578" t="s">
        <v>4897</v>
      </c>
      <c r="I578" s="4" t="s">
        <v>35</v>
      </c>
      <c r="J578" s="4" t="s">
        <v>4898</v>
      </c>
      <c r="K578" t="s">
        <v>4899</v>
      </c>
      <c r="L578" t="s">
        <v>47</v>
      </c>
      <c r="M578" t="s">
        <v>4900</v>
      </c>
      <c r="N578" t="s">
        <v>62</v>
      </c>
      <c r="O578" t="s">
        <v>29</v>
      </c>
      <c r="P578" t="s">
        <v>36</v>
      </c>
      <c r="Q578" t="s">
        <v>37</v>
      </c>
      <c r="R578">
        <v>10</v>
      </c>
      <c r="S578" t="s">
        <v>4901</v>
      </c>
      <c r="T578" t="s">
        <v>5566</v>
      </c>
      <c r="U578" t="s">
        <v>5567</v>
      </c>
      <c r="V578" t="s">
        <v>32</v>
      </c>
      <c r="W578" t="s">
        <v>33</v>
      </c>
      <c r="X578" t="s">
        <v>33</v>
      </c>
      <c r="Y578" t="s">
        <v>33</v>
      </c>
      <c r="Z578" s="16" t="s">
        <v>34</v>
      </c>
      <c r="AA578">
        <v>-75.394716680000002</v>
      </c>
      <c r="AB578">
        <v>6.0701719199999999</v>
      </c>
      <c r="AC578" t="s">
        <v>96</v>
      </c>
      <c r="AD578" t="s">
        <v>97</v>
      </c>
    </row>
    <row r="579" spans="1:30" x14ac:dyDescent="0.25">
      <c r="A579" t="s">
        <v>4902</v>
      </c>
      <c r="B579" t="s">
        <v>25</v>
      </c>
      <c r="C579" t="s">
        <v>26</v>
      </c>
      <c r="D579" t="s">
        <v>38</v>
      </c>
      <c r="E579" t="s">
        <v>4903</v>
      </c>
      <c r="F579" t="s">
        <v>4904</v>
      </c>
      <c r="G579">
        <v>43572712</v>
      </c>
      <c r="H579" t="s">
        <v>4905</v>
      </c>
      <c r="I579" s="4" t="s">
        <v>4906</v>
      </c>
      <c r="J579" s="4" t="s">
        <v>4907</v>
      </c>
      <c r="K579" t="s">
        <v>4908</v>
      </c>
      <c r="L579" t="s">
        <v>43</v>
      </c>
      <c r="M579" t="s">
        <v>4909</v>
      </c>
      <c r="N579" t="s">
        <v>44</v>
      </c>
      <c r="O579" t="s">
        <v>39</v>
      </c>
      <c r="P579" t="s">
        <v>40</v>
      </c>
      <c r="Q579" t="s">
        <v>31</v>
      </c>
      <c r="R579">
        <v>5</v>
      </c>
      <c r="S579" t="s">
        <v>4910</v>
      </c>
      <c r="T579" t="s">
        <v>3483</v>
      </c>
      <c r="U579" t="s">
        <v>5568</v>
      </c>
      <c r="V579" t="s">
        <v>32</v>
      </c>
      <c r="W579" t="s">
        <v>33</v>
      </c>
      <c r="X579" t="s">
        <v>33</v>
      </c>
      <c r="Y579" t="s">
        <v>33</v>
      </c>
      <c r="Z579" s="16" t="s">
        <v>34</v>
      </c>
      <c r="AA579">
        <v>-75.614868860000001</v>
      </c>
      <c r="AB579">
        <v>6.1757634899999996</v>
      </c>
      <c r="AC579" t="s">
        <v>96</v>
      </c>
      <c r="AD579" t="s">
        <v>97</v>
      </c>
    </row>
    <row r="580" spans="1:30" x14ac:dyDescent="0.25">
      <c r="A580" t="s">
        <v>4911</v>
      </c>
      <c r="B580" t="s">
        <v>25</v>
      </c>
      <c r="C580" t="s">
        <v>26</v>
      </c>
      <c r="D580" t="s">
        <v>38</v>
      </c>
      <c r="E580" t="s">
        <v>4912</v>
      </c>
      <c r="F580" t="s">
        <v>4913</v>
      </c>
      <c r="G580">
        <v>70003244</v>
      </c>
      <c r="H580" t="s">
        <v>4711</v>
      </c>
      <c r="I580" s="4" t="s">
        <v>35</v>
      </c>
      <c r="J580" s="4" t="s">
        <v>4712</v>
      </c>
      <c r="K580" t="s">
        <v>4914</v>
      </c>
      <c r="L580" t="s">
        <v>43</v>
      </c>
      <c r="M580" t="s">
        <v>4915</v>
      </c>
      <c r="N580" t="s">
        <v>44</v>
      </c>
      <c r="O580" t="s">
        <v>39</v>
      </c>
      <c r="P580" t="s">
        <v>40</v>
      </c>
      <c r="Q580" t="s">
        <v>31</v>
      </c>
      <c r="R580">
        <v>5</v>
      </c>
      <c r="S580" t="s">
        <v>4916</v>
      </c>
      <c r="T580" t="s">
        <v>5569</v>
      </c>
      <c r="U580" t="s">
        <v>5570</v>
      </c>
      <c r="V580" t="s">
        <v>32</v>
      </c>
      <c r="W580" t="s">
        <v>33</v>
      </c>
      <c r="X580" t="s">
        <v>33</v>
      </c>
      <c r="Y580" t="s">
        <v>33</v>
      </c>
      <c r="Z580" s="16" t="s">
        <v>34</v>
      </c>
      <c r="AA580">
        <v>-75.599569399999993</v>
      </c>
      <c r="AB580">
        <v>6.1957078699999997</v>
      </c>
      <c r="AC580" t="s">
        <v>96</v>
      </c>
      <c r="AD580" t="s">
        <v>97</v>
      </c>
    </row>
    <row r="581" spans="1:30" x14ac:dyDescent="0.25">
      <c r="A581" t="s">
        <v>5633</v>
      </c>
      <c r="B581" t="s">
        <v>63</v>
      </c>
      <c r="C581" t="s">
        <v>26</v>
      </c>
      <c r="D581" t="s">
        <v>64</v>
      </c>
      <c r="E581" t="s">
        <v>5634</v>
      </c>
      <c r="F581" t="s">
        <v>5635</v>
      </c>
      <c r="G581">
        <v>71530411</v>
      </c>
      <c r="H581" t="s">
        <v>5636</v>
      </c>
      <c r="I581" s="4" t="s">
        <v>35</v>
      </c>
      <c r="J581" s="4" t="s">
        <v>5637</v>
      </c>
      <c r="K581" t="s">
        <v>5638</v>
      </c>
      <c r="L581" t="s">
        <v>27</v>
      </c>
      <c r="M581" t="s">
        <v>5639</v>
      </c>
      <c r="N581" t="s">
        <v>28</v>
      </c>
      <c r="O581" t="s">
        <v>65</v>
      </c>
      <c r="P581" t="s">
        <v>66</v>
      </c>
      <c r="Q581" t="s">
        <v>31</v>
      </c>
      <c r="R581">
        <v>9</v>
      </c>
      <c r="S581" t="s">
        <v>5640</v>
      </c>
      <c r="T581" t="s">
        <v>5641</v>
      </c>
      <c r="U581" t="s">
        <v>5642</v>
      </c>
      <c r="V581" t="s">
        <v>32</v>
      </c>
      <c r="W581" t="s">
        <v>33</v>
      </c>
      <c r="X581" t="s">
        <v>33</v>
      </c>
      <c r="Y581" t="s">
        <v>33</v>
      </c>
      <c r="Z581" s="16" t="s">
        <v>34</v>
      </c>
      <c r="AA581">
        <v>-75.637095000000002</v>
      </c>
      <c r="AB581">
        <v>6.2757360000000002</v>
      </c>
      <c r="AC581" t="s">
        <v>96</v>
      </c>
      <c r="AD581" t="s">
        <v>97</v>
      </c>
    </row>
  </sheetData>
  <phoneticPr fontId="9" type="noConversion"/>
  <conditionalFormatting sqref="V2:V581">
    <cfRule type="expression" dxfId="22" priority="1">
      <formula>$V2="VENCIDO"</formula>
    </cfRule>
    <cfRule type="expression" dxfId="21" priority="2">
      <formula>$V2="ALERTA_0 Días"</formula>
    </cfRule>
    <cfRule type="expression" dxfId="20" priority="3">
      <formula>$V2="ALERTA"</formula>
    </cfRule>
    <cfRule type="expression" dxfId="19" priority="4">
      <formula>$V2="A TIEMPO"</formula>
    </cfRule>
  </conditionalFormatting>
  <conditionalFormatting sqref="W2:W581">
    <cfRule type="expression" dxfId="18" priority="5">
      <formula>EXACT($W2,"Ejecutado en Campo")</formula>
    </cfRule>
    <cfRule type="expression" dxfId="17" priority="6">
      <formula>OR(EXACT($W2,"Pendiente"),EXACT($W2,"En Proceso"))</formula>
    </cfRule>
    <cfRule type="expression" dxfId="16" priority="7">
      <formula>OR(EXACT($W2,"En Ejecución"),EXACT($W2,"Revisión"))</formula>
    </cfRule>
    <cfRule type="expression" dxfId="15" priority="8">
      <formula>EXACT($W2,"SIN DATO")</formula>
    </cfRule>
  </conditionalFormatting>
  <conditionalFormatting sqref="X2:X581">
    <cfRule type="expression" dxfId="14" priority="9">
      <formula>$X2="CERRADO"</formula>
    </cfRule>
    <cfRule type="expression" dxfId="13" priority="10">
      <formula>$X2="ABIERTO"</formula>
    </cfRule>
    <cfRule type="expression" dxfId="12" priority="11">
      <formula>$X2="APUNTO DE VENCER"</formula>
    </cfRule>
    <cfRule type="expression" dxfId="11" priority="12">
      <formula>$X2="CRÍTICO"</formula>
    </cfRule>
    <cfRule type="expression" dxfId="10" priority="13">
      <formula>$X2="VENCIDO"</formula>
    </cfRule>
  </conditionalFormatting>
  <conditionalFormatting sqref="Z2:Z581">
    <cfRule type="containsText" dxfId="9" priority="14" operator="containsText" text="A TIEMPO">
      <formula>NOT(ISERROR(SEARCH("A TIEMPO",$Z2)))</formula>
    </cfRule>
    <cfRule type="containsText" dxfId="8" priority="15" operator="containsText" text="ALERTA">
      <formula>NOT(ISERROR(SEARCH("ALERTA",$Z2)))</formula>
    </cfRule>
    <cfRule type="containsText" dxfId="7" priority="16" operator="containsText" text="ALERTA_0_DIAS">
      <formula>NOT(ISERROR(SEARCH("ALERTA_0_DIAS",$Z2)))</formula>
    </cfRule>
    <cfRule type="containsText" dxfId="6" priority="17" operator="containsText" text="CRÍTICO">
      <formula>NOT(ISERROR(SEARCH("CRÍTICO",$Z2)))</formula>
    </cfRule>
    <cfRule type="containsText" dxfId="5" priority="18" operator="containsText" text="ABIERTO">
      <formula>NOT(ISERROR(SEARCH("ABIERTO",$Z2)))</formula>
    </cfRule>
    <cfRule type="containsText" dxfId="4" priority="19" operator="containsText" text="CERRADO">
      <formula>NOT(ISERROR(SEARCH("CERRADO",$Z2)))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2060"/>
  </sheetPr>
  <dimension ref="B1:AO606"/>
  <sheetViews>
    <sheetView showGridLines="0" topLeftCell="A3" zoomScale="85" zoomScaleNormal="85" workbookViewId="0">
      <selection activeCell="C1" sqref="C1"/>
    </sheetView>
  </sheetViews>
  <sheetFormatPr baseColWidth="10" defaultRowHeight="15" x14ac:dyDescent="0.25"/>
  <cols>
    <col min="1" max="1" width="4.28515625" style="6" customWidth="1"/>
    <col min="2" max="2" width="22" style="6" customWidth="1"/>
    <col min="3" max="3" width="17.85546875" style="6" bestFit="1" customWidth="1"/>
    <col min="4" max="4" width="19.42578125" style="6" customWidth="1"/>
    <col min="5" max="5" width="18.140625" style="6" bestFit="1" customWidth="1"/>
    <col min="6" max="6" width="18.42578125" style="6" customWidth="1"/>
    <col min="7" max="7" width="19" style="6" bestFit="1" customWidth="1"/>
    <col min="8" max="8" width="20" style="6" customWidth="1"/>
    <col min="9" max="9" width="19.85546875" style="6" customWidth="1"/>
    <col min="10" max="10" width="18" style="6" customWidth="1"/>
    <col min="11" max="11" width="13.7109375" style="6" bestFit="1" customWidth="1"/>
    <col min="12" max="12" width="20.85546875" style="6" customWidth="1"/>
    <col min="13" max="13" width="11.42578125" style="6" customWidth="1"/>
    <col min="14" max="14" width="16.5703125" style="6" bestFit="1" customWidth="1"/>
    <col min="15" max="19" width="11.42578125" style="6" customWidth="1"/>
    <col min="20" max="20" width="11.42578125" style="7" customWidth="1"/>
    <col min="21" max="21" width="11.42578125" style="6" customWidth="1"/>
    <col min="22" max="16384" width="11.42578125" style="6"/>
  </cols>
  <sheetData>
    <row r="1" spans="2:41" ht="25.5" customHeight="1" x14ac:dyDescent="0.25">
      <c r="T1" s="7" t="s">
        <v>78</v>
      </c>
    </row>
    <row r="2" spans="2:41" ht="33" x14ac:dyDescent="0.25">
      <c r="B2" s="20" t="s">
        <v>79</v>
      </c>
      <c r="C2" s="21"/>
      <c r="D2" s="21"/>
      <c r="E2" s="21"/>
      <c r="F2" s="21"/>
      <c r="G2" s="21"/>
      <c r="H2" s="21"/>
      <c r="I2" s="21"/>
      <c r="J2" s="21"/>
      <c r="K2" s="21"/>
      <c r="L2" s="21"/>
      <c r="T2" s="8">
        <f>COUNTIF(DATOS_ANS!V:V,"VENCIDO")</f>
        <v>25</v>
      </c>
      <c r="AO2" s="9"/>
    </row>
    <row r="3" spans="2:41" ht="42.75" customHeight="1" x14ac:dyDescent="0.25">
      <c r="B3" s="22"/>
      <c r="C3" s="22"/>
      <c r="T3" s="8"/>
      <c r="AO3" s="9"/>
    </row>
    <row r="4" spans="2:41" ht="33" customHeight="1" x14ac:dyDescent="0.6">
      <c r="B4" s="5"/>
      <c r="D4" s="5"/>
      <c r="E4" s="5"/>
      <c r="F4" s="5"/>
      <c r="G4" s="5"/>
      <c r="H4" s="5"/>
      <c r="I4" s="5"/>
      <c r="J4" s="5"/>
      <c r="K4" s="5"/>
      <c r="L4" s="5"/>
      <c r="N4" s="15"/>
      <c r="T4" s="8"/>
      <c r="AO4" s="9"/>
    </row>
    <row r="5" spans="2:41" ht="33" customHeight="1" x14ac:dyDescent="0.6">
      <c r="B5" s="5"/>
      <c r="C5" s="5"/>
      <c r="D5" s="5"/>
      <c r="E5" s="5"/>
      <c r="F5" s="5"/>
      <c r="G5" s="5"/>
      <c r="H5" s="5"/>
      <c r="I5" s="5"/>
      <c r="J5" s="5"/>
      <c r="K5" s="5"/>
      <c r="L5" s="5"/>
      <c r="T5" s="8"/>
      <c r="AO5" s="9"/>
    </row>
    <row r="6" spans="2:41" ht="33" customHeight="1" x14ac:dyDescent="0.6">
      <c r="B6" s="5"/>
      <c r="C6" s="5"/>
      <c r="D6" s="5"/>
      <c r="E6" s="5"/>
      <c r="F6" s="5"/>
      <c r="G6" s="5"/>
      <c r="H6" s="5"/>
      <c r="I6" s="5"/>
      <c r="J6" s="5"/>
      <c r="K6" s="5"/>
      <c r="L6" s="5"/>
      <c r="T6" s="8"/>
      <c r="AO6" s="9"/>
    </row>
    <row r="7" spans="2:41" x14ac:dyDescent="0.25">
      <c r="T7" s="8">
        <f>COUNTIF(DATOS_ANS!V:V,"A TIEMPO")</f>
        <v>445</v>
      </c>
      <c r="AO7" s="9"/>
    </row>
    <row r="8" spans="2:41" ht="17.25" customHeight="1" x14ac:dyDescent="0.3">
      <c r="B8" s="10" t="s">
        <v>80</v>
      </c>
      <c r="C8" s="11"/>
      <c r="D8" s="12"/>
      <c r="E8" s="13"/>
      <c r="T8" s="8">
        <f>COUNTIF(DATOS_ANS!V:V,"ALERTA")</f>
        <v>95</v>
      </c>
      <c r="AO8" s="9"/>
    </row>
    <row r="9" spans="2:41" ht="15.75" customHeight="1" x14ac:dyDescent="0.25">
      <c r="B9" s="11"/>
      <c r="C9" s="11"/>
      <c r="D9" s="11"/>
      <c r="T9" s="8">
        <f>COUNTIF(DATOS_ANS!V:V,"ALERTA_0 Días")</f>
        <v>12</v>
      </c>
      <c r="AO9" s="9"/>
    </row>
    <row r="10" spans="2:41" ht="17.25" customHeight="1" x14ac:dyDescent="0.3">
      <c r="B10" s="10" t="s">
        <v>81</v>
      </c>
      <c r="C10" s="11"/>
      <c r="D10" s="11"/>
      <c r="T10" s="8">
        <f>COUNTIF(DATOS_ANS!V:V,"SIN FECHA")</f>
        <v>3</v>
      </c>
      <c r="AO10" s="9"/>
    </row>
    <row r="11" spans="2:41" ht="15.75" customHeight="1" x14ac:dyDescent="0.25">
      <c r="B11" s="11"/>
      <c r="C11" s="11"/>
      <c r="D11" s="11"/>
      <c r="R11" s="14"/>
      <c r="T11" s="8">
        <f>SUM(T2:T10)</f>
        <v>580</v>
      </c>
      <c r="AO11" s="9"/>
    </row>
    <row r="12" spans="2:41" ht="17.25" customHeight="1" x14ac:dyDescent="0.3">
      <c r="B12" s="10" t="s">
        <v>82</v>
      </c>
      <c r="C12" s="11"/>
      <c r="D12" s="11"/>
      <c r="R12" s="14"/>
      <c r="T12" s="8"/>
    </row>
    <row r="13" spans="2:41" ht="15.75" customHeight="1" x14ac:dyDescent="0.25">
      <c r="B13" s="11"/>
      <c r="C13" s="11"/>
      <c r="D13" s="11"/>
    </row>
    <row r="14" spans="2:41" ht="17.25" customHeight="1" x14ac:dyDescent="0.3">
      <c r="B14" s="10" t="s">
        <v>83</v>
      </c>
      <c r="C14" s="11"/>
      <c r="D14" s="11"/>
    </row>
    <row r="15" spans="2:41" ht="15.75" customHeight="1" x14ac:dyDescent="0.25">
      <c r="B15" s="11"/>
      <c r="C15" s="11"/>
      <c r="D15" s="11"/>
    </row>
    <row r="16" spans="2:41" ht="17.25" customHeight="1" x14ac:dyDescent="0.3">
      <c r="B16" s="10" t="s">
        <v>84</v>
      </c>
      <c r="C16" s="11"/>
      <c r="D16" s="11"/>
    </row>
    <row r="17" spans="2:11" ht="15.75" customHeight="1" x14ac:dyDescent="0.25">
      <c r="B17" s="11"/>
      <c r="C17" s="11"/>
      <c r="D17" s="11"/>
    </row>
    <row r="18" spans="2:11" ht="17.25" customHeight="1" x14ac:dyDescent="0.3">
      <c r="B18" s="10" t="s">
        <v>85</v>
      </c>
      <c r="C18" s="11"/>
      <c r="D18" s="11"/>
    </row>
    <row r="19" spans="2:11" ht="15.75" customHeight="1" x14ac:dyDescent="0.25">
      <c r="B19" s="11"/>
      <c r="C19" s="11"/>
      <c r="D19" s="11"/>
    </row>
    <row r="20" spans="2:11" ht="15.75" customHeight="1" x14ac:dyDescent="0.25">
      <c r="B20" s="11"/>
      <c r="C20" s="11"/>
      <c r="D20" s="11"/>
    </row>
    <row r="21" spans="2:11" ht="15.75" customHeight="1" x14ac:dyDescent="0.25">
      <c r="B21" s="11"/>
      <c r="C21" s="11"/>
      <c r="D21" s="11"/>
    </row>
    <row r="22" spans="2:11" ht="15.75" customHeight="1" x14ac:dyDescent="0.25">
      <c r="B22" s="11"/>
      <c r="C22" s="11"/>
      <c r="D22" s="11"/>
    </row>
    <row r="23" spans="2:11" ht="15.75" customHeight="1" x14ac:dyDescent="0.25">
      <c r="B23" s="11"/>
      <c r="C23" s="11"/>
      <c r="D23" s="11"/>
      <c r="G23" s="6" t="s">
        <v>138</v>
      </c>
    </row>
    <row r="24" spans="2:11" ht="15.75" customHeight="1" x14ac:dyDescent="0.25">
      <c r="B24" s="11"/>
      <c r="C24" s="11"/>
      <c r="D24" s="11"/>
    </row>
    <row r="25" spans="2:11" ht="15.75" customHeight="1" x14ac:dyDescent="0.25">
      <c r="B25" s="11"/>
      <c r="C25" s="11"/>
      <c r="D25" s="11"/>
    </row>
    <row r="26" spans="2:11" ht="15.75" customHeight="1" x14ac:dyDescent="0.25">
      <c r="B26" s="11"/>
      <c r="C26" s="17" t="s">
        <v>0</v>
      </c>
      <c r="D26" s="17" t="s">
        <v>5</v>
      </c>
      <c r="E26" s="17" t="s">
        <v>11</v>
      </c>
      <c r="F26" s="17" t="s">
        <v>13</v>
      </c>
      <c r="G26" s="17" t="s">
        <v>14</v>
      </c>
      <c r="H26" s="17" t="s">
        <v>16</v>
      </c>
      <c r="I26" s="17" t="s">
        <v>18</v>
      </c>
      <c r="J26" s="17" t="s">
        <v>20</v>
      </c>
      <c r="K26" s="17" t="s">
        <v>21</v>
      </c>
    </row>
    <row r="27" spans="2:11" x14ac:dyDescent="0.25">
      <c r="C27" s="24">
        <v>22609940</v>
      </c>
      <c r="D27" s="25">
        <v>45993.429907407408</v>
      </c>
      <c r="E27" s="24" t="s">
        <v>27</v>
      </c>
      <c r="F27" s="24" t="s">
        <v>28</v>
      </c>
      <c r="G27" s="24" t="s">
        <v>39</v>
      </c>
      <c r="H27" s="24" t="s">
        <v>37</v>
      </c>
      <c r="I27" s="25">
        <v>46006.429907407408</v>
      </c>
      <c r="J27" s="24" t="s">
        <v>4455</v>
      </c>
      <c r="K27" s="24" t="s">
        <v>32</v>
      </c>
    </row>
    <row r="28" spans="2:11" x14ac:dyDescent="0.25">
      <c r="C28" s="24">
        <v>22992467</v>
      </c>
      <c r="D28" s="25">
        <v>45994.913402777776</v>
      </c>
      <c r="E28" s="24" t="s">
        <v>27</v>
      </c>
      <c r="F28" s="24" t="s">
        <v>28</v>
      </c>
      <c r="G28" s="24" t="s">
        <v>29</v>
      </c>
      <c r="H28" s="24" t="s">
        <v>31</v>
      </c>
      <c r="I28" s="25">
        <v>46006.913402777776</v>
      </c>
      <c r="J28" s="24" t="s">
        <v>4919</v>
      </c>
      <c r="K28" s="24" t="s">
        <v>32</v>
      </c>
    </row>
    <row r="29" spans="2:11" x14ac:dyDescent="0.25">
      <c r="C29" s="24">
        <v>22999152</v>
      </c>
      <c r="D29" s="25">
        <v>45995.577060185184</v>
      </c>
      <c r="E29" s="24" t="s">
        <v>43</v>
      </c>
      <c r="F29" s="24" t="s">
        <v>44</v>
      </c>
      <c r="G29" s="24" t="s">
        <v>39</v>
      </c>
      <c r="H29" s="24" t="s">
        <v>31</v>
      </c>
      <c r="I29" s="25">
        <v>46003.577060185184</v>
      </c>
      <c r="J29" s="24" t="s">
        <v>3193</v>
      </c>
      <c r="K29" s="24" t="s">
        <v>32</v>
      </c>
    </row>
    <row r="30" spans="2:11" x14ac:dyDescent="0.25">
      <c r="C30" s="24">
        <v>23183419</v>
      </c>
      <c r="D30" s="25">
        <v>45992.494027777779</v>
      </c>
      <c r="E30" s="24" t="s">
        <v>27</v>
      </c>
      <c r="F30" s="24" t="s">
        <v>28</v>
      </c>
      <c r="G30" s="24" t="s">
        <v>29</v>
      </c>
      <c r="H30" s="24" t="s">
        <v>37</v>
      </c>
      <c r="I30" s="25">
        <v>46007.494027777779</v>
      </c>
      <c r="J30" s="24" t="s">
        <v>4921</v>
      </c>
      <c r="K30" s="24" t="s">
        <v>32</v>
      </c>
    </row>
    <row r="31" spans="2:11" x14ac:dyDescent="0.25">
      <c r="C31" s="24">
        <v>23206334</v>
      </c>
      <c r="D31" s="25">
        <v>45994.912766203706</v>
      </c>
      <c r="E31" s="24" t="s">
        <v>27</v>
      </c>
      <c r="F31" s="24" t="s">
        <v>28</v>
      </c>
      <c r="G31" s="24" t="s">
        <v>29</v>
      </c>
      <c r="H31" s="24" t="s">
        <v>31</v>
      </c>
      <c r="I31" s="25">
        <v>46006.912766203706</v>
      </c>
      <c r="J31" s="24" t="s">
        <v>3077</v>
      </c>
      <c r="K31" s="24" t="s">
        <v>32</v>
      </c>
    </row>
    <row r="32" spans="2:11" x14ac:dyDescent="0.25">
      <c r="C32" s="24">
        <v>23274594</v>
      </c>
      <c r="D32" s="25">
        <v>45995.263865740744</v>
      </c>
      <c r="E32" s="24" t="s">
        <v>27</v>
      </c>
      <c r="F32" s="24" t="s">
        <v>28</v>
      </c>
      <c r="G32" s="24" t="s">
        <v>45</v>
      </c>
      <c r="H32" s="24" t="s">
        <v>31</v>
      </c>
      <c r="I32" s="25">
        <v>46003.263865740744</v>
      </c>
      <c r="J32" s="24" t="s">
        <v>4924</v>
      </c>
      <c r="K32" s="24" t="s">
        <v>32</v>
      </c>
    </row>
    <row r="33" spans="3:11" x14ac:dyDescent="0.25">
      <c r="C33" s="24">
        <v>23274649</v>
      </c>
      <c r="D33" s="25">
        <v>45995.264351851853</v>
      </c>
      <c r="E33" s="24" t="s">
        <v>27</v>
      </c>
      <c r="F33" s="24" t="s">
        <v>28</v>
      </c>
      <c r="G33" s="24" t="s">
        <v>45</v>
      </c>
      <c r="H33" s="24" t="s">
        <v>31</v>
      </c>
      <c r="I33" s="25">
        <v>46003.264351851853</v>
      </c>
      <c r="J33" s="24" t="s">
        <v>4926</v>
      </c>
      <c r="K33" s="24" t="s">
        <v>32</v>
      </c>
    </row>
    <row r="34" spans="3:11" x14ac:dyDescent="0.25">
      <c r="C34" s="24">
        <v>23293124</v>
      </c>
      <c r="D34" s="25">
        <v>45992.395648148151</v>
      </c>
      <c r="E34" s="24" t="s">
        <v>27</v>
      </c>
      <c r="F34" s="24" t="s">
        <v>28</v>
      </c>
      <c r="G34" s="24" t="s">
        <v>29</v>
      </c>
      <c r="H34" s="24" t="s">
        <v>31</v>
      </c>
      <c r="I34" s="25">
        <v>46002.395648148151</v>
      </c>
      <c r="J34" s="24" t="s">
        <v>144</v>
      </c>
      <c r="K34" s="24" t="s">
        <v>32</v>
      </c>
    </row>
    <row r="35" spans="3:11" x14ac:dyDescent="0.25">
      <c r="C35" s="24">
        <v>23313098</v>
      </c>
      <c r="D35" s="25">
        <v>45994.913078703707</v>
      </c>
      <c r="E35" s="24" t="s">
        <v>43</v>
      </c>
      <c r="F35" s="24" t="s">
        <v>44</v>
      </c>
      <c r="G35" s="24" t="s">
        <v>29</v>
      </c>
      <c r="H35" s="24" t="s">
        <v>31</v>
      </c>
      <c r="I35" s="25">
        <v>46006.913078703707</v>
      </c>
      <c r="J35" s="24" t="s">
        <v>3077</v>
      </c>
      <c r="K35" s="24" t="s">
        <v>32</v>
      </c>
    </row>
    <row r="36" spans="3:11" x14ac:dyDescent="0.25">
      <c r="C36" s="24">
        <v>23326970</v>
      </c>
      <c r="D36" s="25">
        <v>45994.915625000001</v>
      </c>
      <c r="E36" s="24" t="s">
        <v>27</v>
      </c>
      <c r="F36" s="24" t="s">
        <v>28</v>
      </c>
      <c r="G36" s="24" t="s">
        <v>29</v>
      </c>
      <c r="H36" s="24" t="s">
        <v>37</v>
      </c>
      <c r="I36" s="25">
        <v>46009.915625000001</v>
      </c>
      <c r="J36" s="24" t="s">
        <v>4928</v>
      </c>
      <c r="K36" s="24" t="s">
        <v>32</v>
      </c>
    </row>
    <row r="37" spans="3:11" x14ac:dyDescent="0.25">
      <c r="C37" s="24">
        <v>23359284</v>
      </c>
      <c r="D37" s="25">
        <v>45993.90896990741</v>
      </c>
      <c r="E37" s="24" t="s">
        <v>43</v>
      </c>
      <c r="F37" s="24" t="s">
        <v>44</v>
      </c>
      <c r="G37" s="24" t="s">
        <v>29</v>
      </c>
      <c r="H37" s="24" t="s">
        <v>31</v>
      </c>
      <c r="I37" s="25">
        <v>46003.90896990741</v>
      </c>
      <c r="J37" s="24" t="s">
        <v>4930</v>
      </c>
      <c r="K37" s="24" t="s">
        <v>32</v>
      </c>
    </row>
    <row r="38" spans="3:11" x14ac:dyDescent="0.25">
      <c r="C38" s="24">
        <v>23359888</v>
      </c>
      <c r="D38" s="25">
        <v>45994.506493055553</v>
      </c>
      <c r="E38" s="24" t="s">
        <v>27</v>
      </c>
      <c r="F38" s="24" t="s">
        <v>28</v>
      </c>
      <c r="G38" s="24" t="s">
        <v>50</v>
      </c>
      <c r="H38" s="24" t="s">
        <v>31</v>
      </c>
      <c r="I38" s="25">
        <v>46010.506493055553</v>
      </c>
      <c r="J38" s="24" t="s">
        <v>4931</v>
      </c>
      <c r="K38" s="24" t="s">
        <v>32</v>
      </c>
    </row>
    <row r="39" spans="3:11" x14ac:dyDescent="0.25">
      <c r="C39" s="24">
        <v>23359888</v>
      </c>
      <c r="D39" s="25">
        <v>45994.506493055553</v>
      </c>
      <c r="E39" s="24" t="s">
        <v>27</v>
      </c>
      <c r="F39" s="24" t="s">
        <v>28</v>
      </c>
      <c r="G39" s="24" t="s">
        <v>50</v>
      </c>
      <c r="H39" s="24" t="s">
        <v>31</v>
      </c>
      <c r="I39" s="25">
        <v>46010.506493055553</v>
      </c>
      <c r="J39" s="24" t="s">
        <v>4931</v>
      </c>
      <c r="K39" s="24" t="s">
        <v>32</v>
      </c>
    </row>
    <row r="40" spans="3:11" x14ac:dyDescent="0.25">
      <c r="C40" s="24">
        <v>23370807</v>
      </c>
      <c r="D40" s="25">
        <v>45992.486377314817</v>
      </c>
      <c r="E40" s="24" t="s">
        <v>47</v>
      </c>
      <c r="F40" s="24" t="s">
        <v>62</v>
      </c>
      <c r="G40" s="24" t="s">
        <v>45</v>
      </c>
      <c r="H40" s="24" t="s">
        <v>37</v>
      </c>
      <c r="I40" s="25">
        <v>46003.486377314817</v>
      </c>
      <c r="J40" s="24" t="s">
        <v>4932</v>
      </c>
      <c r="K40" s="24" t="s">
        <v>32</v>
      </c>
    </row>
    <row r="41" spans="3:11" x14ac:dyDescent="0.25">
      <c r="C41" s="24">
        <v>23397851</v>
      </c>
      <c r="D41" s="25">
        <v>45994.912824074076</v>
      </c>
      <c r="E41" s="24" t="s">
        <v>27</v>
      </c>
      <c r="F41" s="24" t="s">
        <v>28</v>
      </c>
      <c r="G41" s="24" t="s">
        <v>29</v>
      </c>
      <c r="H41" s="24" t="s">
        <v>31</v>
      </c>
      <c r="I41" s="25">
        <v>46006.912824074076</v>
      </c>
      <c r="J41" s="24" t="s">
        <v>3077</v>
      </c>
      <c r="K41" s="24" t="s">
        <v>32</v>
      </c>
    </row>
    <row r="42" spans="3:11" x14ac:dyDescent="0.25">
      <c r="C42" s="24">
        <v>23401641</v>
      </c>
      <c r="D42" s="25">
        <v>45995.539074074077</v>
      </c>
      <c r="E42" s="24" t="s">
        <v>55</v>
      </c>
      <c r="F42" s="24" t="s">
        <v>56</v>
      </c>
      <c r="G42" s="24" t="s">
        <v>60</v>
      </c>
      <c r="H42" s="24" t="s">
        <v>31</v>
      </c>
      <c r="I42" s="25">
        <v>46002.539074074077</v>
      </c>
      <c r="J42" s="24" t="s">
        <v>4934</v>
      </c>
      <c r="K42" s="24" t="s">
        <v>32</v>
      </c>
    </row>
    <row r="43" spans="3:11" x14ac:dyDescent="0.25">
      <c r="C43" s="24">
        <v>23412993</v>
      </c>
      <c r="D43" s="25">
        <v>45993.350023148145</v>
      </c>
      <c r="E43" s="24" t="s">
        <v>27</v>
      </c>
      <c r="F43" s="24" t="s">
        <v>28</v>
      </c>
      <c r="G43" s="24" t="s">
        <v>60</v>
      </c>
      <c r="H43" s="24" t="s">
        <v>31</v>
      </c>
      <c r="I43" s="25">
        <v>46000.350023148145</v>
      </c>
      <c r="J43" s="24" t="s">
        <v>4936</v>
      </c>
      <c r="K43" s="24" t="s">
        <v>48</v>
      </c>
    </row>
    <row r="44" spans="3:11" x14ac:dyDescent="0.25">
      <c r="C44" s="24">
        <v>23432407</v>
      </c>
      <c r="D44" s="25">
        <v>45992.616493055553</v>
      </c>
      <c r="E44" s="24" t="s">
        <v>27</v>
      </c>
      <c r="F44" s="24" t="s">
        <v>28</v>
      </c>
      <c r="G44" s="24" t="s">
        <v>29</v>
      </c>
      <c r="H44" s="24" t="s">
        <v>31</v>
      </c>
      <c r="I44" s="25">
        <v>46002.616493055553</v>
      </c>
      <c r="J44" s="24" t="s">
        <v>3062</v>
      </c>
      <c r="K44" s="24" t="s">
        <v>32</v>
      </c>
    </row>
    <row r="45" spans="3:11" x14ac:dyDescent="0.25">
      <c r="C45" s="24">
        <v>23454026</v>
      </c>
      <c r="D45" s="25">
        <v>45994.608483796299</v>
      </c>
      <c r="E45" s="24" t="s">
        <v>27</v>
      </c>
      <c r="F45" s="24" t="s">
        <v>28</v>
      </c>
      <c r="G45" s="24" t="s">
        <v>45</v>
      </c>
      <c r="H45" s="24" t="s">
        <v>31</v>
      </c>
      <c r="I45" s="25">
        <v>46002.608483796299</v>
      </c>
      <c r="J45" s="24" t="s">
        <v>4937</v>
      </c>
      <c r="K45" s="24" t="s">
        <v>32</v>
      </c>
    </row>
    <row r="46" spans="3:11" x14ac:dyDescent="0.25">
      <c r="C46" s="24">
        <v>23455531</v>
      </c>
      <c r="D46" s="25">
        <v>45994.487905092596</v>
      </c>
      <c r="E46" s="24" t="s">
        <v>43</v>
      </c>
      <c r="F46" s="24" t="s">
        <v>44</v>
      </c>
      <c r="G46" s="24" t="s">
        <v>39</v>
      </c>
      <c r="H46" s="24" t="s">
        <v>31</v>
      </c>
      <c r="I46" s="25">
        <v>46002.487905092596</v>
      </c>
      <c r="J46" s="24" t="s">
        <v>4938</v>
      </c>
      <c r="K46" s="24" t="s">
        <v>32</v>
      </c>
    </row>
    <row r="47" spans="3:11" x14ac:dyDescent="0.25">
      <c r="C47" s="24">
        <v>23455557</v>
      </c>
      <c r="D47" s="25">
        <v>45994.488946759258</v>
      </c>
      <c r="E47" s="24" t="s">
        <v>43</v>
      </c>
      <c r="F47" s="24" t="s">
        <v>44</v>
      </c>
      <c r="G47" s="24" t="s">
        <v>39</v>
      </c>
      <c r="H47" s="24" t="s">
        <v>31</v>
      </c>
      <c r="I47" s="25">
        <v>46002.488946759258</v>
      </c>
      <c r="J47" s="24" t="s">
        <v>3093</v>
      </c>
      <c r="K47" s="24" t="s">
        <v>32</v>
      </c>
    </row>
    <row r="48" spans="3:11" x14ac:dyDescent="0.25">
      <c r="C48" s="24">
        <v>23462164</v>
      </c>
      <c r="D48" s="25">
        <v>45994.914375</v>
      </c>
      <c r="E48" s="24" t="s">
        <v>27</v>
      </c>
      <c r="F48" s="24" t="s">
        <v>28</v>
      </c>
      <c r="G48" s="24" t="s">
        <v>39</v>
      </c>
      <c r="H48" s="24" t="s">
        <v>31</v>
      </c>
      <c r="I48" s="25">
        <v>46002.914375</v>
      </c>
      <c r="J48" s="24" t="s">
        <v>4940</v>
      </c>
      <c r="K48" s="24" t="s">
        <v>32</v>
      </c>
    </row>
    <row r="49" spans="3:11" x14ac:dyDescent="0.25">
      <c r="C49" s="24">
        <v>23462523</v>
      </c>
      <c r="D49" s="25">
        <v>45981.566122685188</v>
      </c>
      <c r="E49" s="24" t="s">
        <v>53</v>
      </c>
      <c r="F49" s="24" t="s">
        <v>54</v>
      </c>
      <c r="G49" s="24" t="s">
        <v>39</v>
      </c>
      <c r="H49" s="24" t="s">
        <v>31</v>
      </c>
      <c r="I49" s="25">
        <v>45988.566122685188</v>
      </c>
      <c r="J49" s="24" t="s">
        <v>46</v>
      </c>
      <c r="K49" s="24" t="s">
        <v>46</v>
      </c>
    </row>
    <row r="50" spans="3:11" x14ac:dyDescent="0.25">
      <c r="C50" s="24">
        <v>23467973</v>
      </c>
      <c r="D50" s="25">
        <v>45995.264745370368</v>
      </c>
      <c r="E50" s="24" t="s">
        <v>27</v>
      </c>
      <c r="F50" s="24" t="s">
        <v>28</v>
      </c>
      <c r="G50" s="24" t="s">
        <v>45</v>
      </c>
      <c r="H50" s="24" t="s">
        <v>31</v>
      </c>
      <c r="I50" s="25">
        <v>46003.264745370368</v>
      </c>
      <c r="J50" s="24" t="s">
        <v>4943</v>
      </c>
      <c r="K50" s="24" t="s">
        <v>32</v>
      </c>
    </row>
    <row r="51" spans="3:11" x14ac:dyDescent="0.25">
      <c r="C51" s="24">
        <v>23474614</v>
      </c>
      <c r="D51" s="25">
        <v>45993.396655092591</v>
      </c>
      <c r="E51" s="24" t="s">
        <v>27</v>
      </c>
      <c r="F51" s="24" t="s">
        <v>28</v>
      </c>
      <c r="G51" s="24" t="s">
        <v>39</v>
      </c>
      <c r="H51" s="24" t="s">
        <v>31</v>
      </c>
      <c r="I51" s="25">
        <v>46001.396655092591</v>
      </c>
      <c r="J51" s="24" t="s">
        <v>3064</v>
      </c>
      <c r="K51" s="24" t="s">
        <v>48</v>
      </c>
    </row>
    <row r="52" spans="3:11" x14ac:dyDescent="0.25">
      <c r="C52" s="24">
        <v>23474689</v>
      </c>
      <c r="D52" s="25">
        <v>45993.687094907407</v>
      </c>
      <c r="E52" s="24" t="s">
        <v>27</v>
      </c>
      <c r="F52" s="24" t="s">
        <v>28</v>
      </c>
      <c r="G52" s="24" t="s">
        <v>39</v>
      </c>
      <c r="H52" s="24" t="s">
        <v>31</v>
      </c>
      <c r="I52" s="25">
        <v>46001.687094907407</v>
      </c>
      <c r="J52" s="24" t="s">
        <v>3066</v>
      </c>
      <c r="K52" s="24" t="s">
        <v>48</v>
      </c>
    </row>
    <row r="53" spans="3:11" x14ac:dyDescent="0.25">
      <c r="C53" s="24">
        <v>23479039</v>
      </c>
      <c r="D53" s="25">
        <v>45993.664398148147</v>
      </c>
      <c r="E53" s="24" t="s">
        <v>27</v>
      </c>
      <c r="F53" s="24" t="s">
        <v>28</v>
      </c>
      <c r="G53" s="24" t="s">
        <v>29</v>
      </c>
      <c r="H53" s="24" t="s">
        <v>31</v>
      </c>
      <c r="I53" s="25">
        <v>46003.664398148147</v>
      </c>
      <c r="J53" s="24" t="s">
        <v>4945</v>
      </c>
      <c r="K53" s="24" t="s">
        <v>32</v>
      </c>
    </row>
    <row r="54" spans="3:11" x14ac:dyDescent="0.25">
      <c r="C54" s="24">
        <v>23480561</v>
      </c>
      <c r="D54" s="25">
        <v>45993.364236111112</v>
      </c>
      <c r="E54" s="24" t="s">
        <v>27</v>
      </c>
      <c r="F54" s="24" t="s">
        <v>28</v>
      </c>
      <c r="G54" s="24" t="s">
        <v>60</v>
      </c>
      <c r="H54" s="24" t="s">
        <v>31</v>
      </c>
      <c r="I54" s="25">
        <v>46000.364236111112</v>
      </c>
      <c r="J54" s="24" t="s">
        <v>4948</v>
      </c>
      <c r="K54" s="24" t="s">
        <v>48</v>
      </c>
    </row>
    <row r="55" spans="3:11" x14ac:dyDescent="0.25">
      <c r="C55" s="24">
        <v>23489346</v>
      </c>
      <c r="D55" s="25">
        <v>45995.763761574075</v>
      </c>
      <c r="E55" s="24" t="s">
        <v>27</v>
      </c>
      <c r="F55" s="24" t="s">
        <v>28</v>
      </c>
      <c r="G55" s="24" t="s">
        <v>50</v>
      </c>
      <c r="H55" s="24" t="s">
        <v>31</v>
      </c>
      <c r="I55" s="25">
        <v>46013.763761574075</v>
      </c>
      <c r="J55" s="24" t="s">
        <v>4958</v>
      </c>
      <c r="K55" s="24" t="s">
        <v>32</v>
      </c>
    </row>
    <row r="56" spans="3:11" x14ac:dyDescent="0.25">
      <c r="C56" s="24">
        <v>23493014</v>
      </c>
      <c r="D56" s="25">
        <v>45993.68849537037</v>
      </c>
      <c r="E56" s="24" t="s">
        <v>47</v>
      </c>
      <c r="F56" s="24" t="s">
        <v>62</v>
      </c>
      <c r="G56" s="24" t="s">
        <v>29</v>
      </c>
      <c r="H56" s="24" t="s">
        <v>31</v>
      </c>
      <c r="I56" s="25">
        <v>46003.68849537037</v>
      </c>
      <c r="J56" s="24" t="s">
        <v>4960</v>
      </c>
      <c r="K56" s="24" t="s">
        <v>32</v>
      </c>
    </row>
    <row r="57" spans="3:11" x14ac:dyDescent="0.25">
      <c r="C57" s="24">
        <v>23502196</v>
      </c>
      <c r="D57" s="25">
        <v>45995.606249999997</v>
      </c>
      <c r="E57" s="24" t="s">
        <v>27</v>
      </c>
      <c r="F57" s="24" t="s">
        <v>28</v>
      </c>
      <c r="G57" s="24" t="s">
        <v>45</v>
      </c>
      <c r="H57" s="24" t="s">
        <v>37</v>
      </c>
      <c r="I57" s="25">
        <v>46008.606249999997</v>
      </c>
      <c r="J57" s="24" t="s">
        <v>4962</v>
      </c>
      <c r="K57" s="24" t="s">
        <v>32</v>
      </c>
    </row>
    <row r="58" spans="3:11" x14ac:dyDescent="0.25">
      <c r="C58" s="24">
        <v>23506041</v>
      </c>
      <c r="D58" s="25"/>
      <c r="E58" s="24" t="s">
        <v>27</v>
      </c>
      <c r="F58" s="24" t="s">
        <v>28</v>
      </c>
      <c r="G58" s="24" t="s">
        <v>42</v>
      </c>
      <c r="H58" s="24" t="s">
        <v>31</v>
      </c>
      <c r="I58" s="25"/>
      <c r="J58" s="24"/>
      <c r="K58" s="24" t="s">
        <v>93</v>
      </c>
    </row>
    <row r="59" spans="3:11" x14ac:dyDescent="0.25">
      <c r="C59" s="24">
        <v>23511895</v>
      </c>
      <c r="D59" s="25">
        <v>45993.701736111114</v>
      </c>
      <c r="E59" s="24" t="s">
        <v>27</v>
      </c>
      <c r="F59" s="24" t="s">
        <v>28</v>
      </c>
      <c r="G59" s="24" t="s">
        <v>29</v>
      </c>
      <c r="H59" s="24" t="s">
        <v>31</v>
      </c>
      <c r="I59" s="25">
        <v>46003.701736111114</v>
      </c>
      <c r="J59" s="24" t="s">
        <v>4964</v>
      </c>
      <c r="K59" s="24" t="s">
        <v>32</v>
      </c>
    </row>
    <row r="60" spans="3:11" x14ac:dyDescent="0.25">
      <c r="C60" s="24">
        <v>23511896</v>
      </c>
      <c r="D60" s="25">
        <v>45993.700821759259</v>
      </c>
      <c r="E60" s="24" t="s">
        <v>27</v>
      </c>
      <c r="F60" s="24" t="s">
        <v>28</v>
      </c>
      <c r="G60" s="24" t="s">
        <v>29</v>
      </c>
      <c r="H60" s="24" t="s">
        <v>31</v>
      </c>
      <c r="I60" s="25">
        <v>46003.700821759259</v>
      </c>
      <c r="J60" s="24" t="s">
        <v>4966</v>
      </c>
      <c r="K60" s="24" t="s">
        <v>32</v>
      </c>
    </row>
    <row r="61" spans="3:11" x14ac:dyDescent="0.25">
      <c r="C61" s="24">
        <v>23513590</v>
      </c>
      <c r="D61" s="25">
        <v>45992.687662037039</v>
      </c>
      <c r="E61" s="24" t="s">
        <v>27</v>
      </c>
      <c r="F61" s="24" t="s">
        <v>28</v>
      </c>
      <c r="G61" s="24" t="s">
        <v>29</v>
      </c>
      <c r="H61" s="24" t="s">
        <v>31</v>
      </c>
      <c r="I61" s="25">
        <v>46002.687662037039</v>
      </c>
      <c r="J61" s="24" t="s">
        <v>3076</v>
      </c>
      <c r="K61" s="24" t="s">
        <v>32</v>
      </c>
    </row>
    <row r="62" spans="3:11" x14ac:dyDescent="0.25">
      <c r="C62" s="24">
        <v>23513780</v>
      </c>
      <c r="D62" s="25">
        <v>45995.527083333334</v>
      </c>
      <c r="E62" s="24" t="s">
        <v>53</v>
      </c>
      <c r="F62" s="24" t="s">
        <v>54</v>
      </c>
      <c r="G62" s="24" t="s">
        <v>29</v>
      </c>
      <c r="H62" s="24" t="s">
        <v>31</v>
      </c>
      <c r="I62" s="25">
        <v>46007.527083333334</v>
      </c>
      <c r="J62" s="24" t="s">
        <v>4968</v>
      </c>
      <c r="K62" s="24" t="s">
        <v>32</v>
      </c>
    </row>
    <row r="63" spans="3:11" x14ac:dyDescent="0.25">
      <c r="C63" s="24">
        <v>23517681</v>
      </c>
      <c r="D63" s="25">
        <v>45993.509097222224</v>
      </c>
      <c r="E63" s="24" t="s">
        <v>27</v>
      </c>
      <c r="F63" s="24" t="s">
        <v>28</v>
      </c>
      <c r="G63" s="24" t="s">
        <v>29</v>
      </c>
      <c r="H63" s="24" t="s">
        <v>31</v>
      </c>
      <c r="I63" s="25">
        <v>46003.509097222224</v>
      </c>
      <c r="J63" s="24" t="s">
        <v>4970</v>
      </c>
      <c r="K63" s="24" t="s">
        <v>32</v>
      </c>
    </row>
    <row r="64" spans="3:11" x14ac:dyDescent="0.25">
      <c r="C64" s="24">
        <v>23518427</v>
      </c>
      <c r="D64" s="25">
        <v>45988.913124999999</v>
      </c>
      <c r="E64" s="24" t="s">
        <v>47</v>
      </c>
      <c r="F64" s="24" t="s">
        <v>62</v>
      </c>
      <c r="G64" s="24" t="s">
        <v>29</v>
      </c>
      <c r="H64" s="24" t="s">
        <v>37</v>
      </c>
      <c r="I64" s="25">
        <v>46003.913124999999</v>
      </c>
      <c r="J64" s="24" t="s">
        <v>4225</v>
      </c>
      <c r="K64" s="24" t="s">
        <v>32</v>
      </c>
    </row>
    <row r="65" spans="3:11" x14ac:dyDescent="0.25">
      <c r="C65" s="24">
        <v>23521342</v>
      </c>
      <c r="D65" s="25">
        <v>45982.6090625</v>
      </c>
      <c r="E65" s="24" t="s">
        <v>27</v>
      </c>
      <c r="F65" s="24" t="s">
        <v>28</v>
      </c>
      <c r="G65" s="24" t="s">
        <v>29</v>
      </c>
      <c r="H65" s="24" t="s">
        <v>31</v>
      </c>
      <c r="I65" s="25">
        <v>45993.6090625</v>
      </c>
      <c r="J65" s="24" t="s">
        <v>46</v>
      </c>
      <c r="K65" s="24" t="s">
        <v>46</v>
      </c>
    </row>
    <row r="66" spans="3:11" x14ac:dyDescent="0.25">
      <c r="C66" s="24">
        <v>23522946</v>
      </c>
      <c r="D66" s="25">
        <v>45993.908842592595</v>
      </c>
      <c r="E66" s="24" t="s">
        <v>27</v>
      </c>
      <c r="F66" s="24" t="s">
        <v>28</v>
      </c>
      <c r="G66" s="24" t="s">
        <v>39</v>
      </c>
      <c r="H66" s="24" t="s">
        <v>31</v>
      </c>
      <c r="I66" s="25">
        <v>46001.908842592595</v>
      </c>
      <c r="J66" s="24" t="s">
        <v>3060</v>
      </c>
      <c r="K66" s="24" t="s">
        <v>48</v>
      </c>
    </row>
    <row r="67" spans="3:11" x14ac:dyDescent="0.25">
      <c r="C67" s="24">
        <v>23523034</v>
      </c>
      <c r="D67" s="25">
        <v>45941.905648148146</v>
      </c>
      <c r="E67" s="24" t="s">
        <v>27</v>
      </c>
      <c r="F67" s="24" t="s">
        <v>28</v>
      </c>
      <c r="G67" s="24" t="s">
        <v>39</v>
      </c>
      <c r="H67" s="24" t="s">
        <v>31</v>
      </c>
      <c r="I67" s="25">
        <v>45950.905648148146</v>
      </c>
      <c r="J67" s="24" t="s">
        <v>46</v>
      </c>
      <c r="K67" s="24" t="s">
        <v>46</v>
      </c>
    </row>
    <row r="68" spans="3:11" x14ac:dyDescent="0.25">
      <c r="C68" s="24">
        <v>23523326</v>
      </c>
      <c r="D68" s="25">
        <v>45994.914479166669</v>
      </c>
      <c r="E68" s="24" t="s">
        <v>27</v>
      </c>
      <c r="F68" s="24" t="s">
        <v>28</v>
      </c>
      <c r="G68" s="24" t="s">
        <v>39</v>
      </c>
      <c r="H68" s="24" t="s">
        <v>31</v>
      </c>
      <c r="I68" s="25">
        <v>46002.914479166669</v>
      </c>
      <c r="J68" s="24" t="s">
        <v>4940</v>
      </c>
      <c r="K68" s="24" t="s">
        <v>32</v>
      </c>
    </row>
    <row r="69" spans="3:11" x14ac:dyDescent="0.25">
      <c r="C69" s="24">
        <v>23523835</v>
      </c>
      <c r="D69" s="25">
        <v>45994.51116898148</v>
      </c>
      <c r="E69" s="24" t="s">
        <v>47</v>
      </c>
      <c r="F69" s="24" t="s">
        <v>62</v>
      </c>
      <c r="G69" s="24" t="s">
        <v>98</v>
      </c>
      <c r="H69" s="24" t="s">
        <v>37</v>
      </c>
      <c r="I69" s="25">
        <v>46009.51116898148</v>
      </c>
      <c r="J69" s="24" t="s">
        <v>4974</v>
      </c>
      <c r="K69" s="24" t="s">
        <v>32</v>
      </c>
    </row>
    <row r="70" spans="3:11" x14ac:dyDescent="0.25">
      <c r="C70" s="24">
        <v>23524616</v>
      </c>
      <c r="D70" s="25">
        <v>45994.365659722222</v>
      </c>
      <c r="E70" s="24" t="s">
        <v>27</v>
      </c>
      <c r="F70" s="24" t="s">
        <v>28</v>
      </c>
      <c r="G70" s="24" t="s">
        <v>29</v>
      </c>
      <c r="H70" s="24" t="s">
        <v>31</v>
      </c>
      <c r="I70" s="25">
        <v>46006.365659722222</v>
      </c>
      <c r="J70" s="24" t="s">
        <v>4297</v>
      </c>
      <c r="K70" s="24" t="s">
        <v>32</v>
      </c>
    </row>
    <row r="71" spans="3:11" x14ac:dyDescent="0.25">
      <c r="C71" s="24">
        <v>23525881</v>
      </c>
      <c r="D71" s="25">
        <v>45993.617962962962</v>
      </c>
      <c r="E71" s="24" t="s">
        <v>47</v>
      </c>
      <c r="F71" s="24" t="s">
        <v>62</v>
      </c>
      <c r="G71" s="24" t="s">
        <v>60</v>
      </c>
      <c r="H71" s="24" t="s">
        <v>31</v>
      </c>
      <c r="I71" s="25">
        <v>46000.617962962962</v>
      </c>
      <c r="J71" s="24" t="s">
        <v>4977</v>
      </c>
      <c r="K71" s="24" t="s">
        <v>48</v>
      </c>
    </row>
    <row r="72" spans="3:11" x14ac:dyDescent="0.25">
      <c r="C72" s="24">
        <v>23528312</v>
      </c>
      <c r="D72" s="25">
        <v>45994.795277777775</v>
      </c>
      <c r="E72" s="24" t="s">
        <v>43</v>
      </c>
      <c r="F72" s="24" t="s">
        <v>44</v>
      </c>
      <c r="G72" s="24" t="s">
        <v>39</v>
      </c>
      <c r="H72" s="24" t="s">
        <v>31</v>
      </c>
      <c r="I72" s="25">
        <v>46002.795277777775</v>
      </c>
      <c r="J72" s="24" t="s">
        <v>4979</v>
      </c>
      <c r="K72" s="24" t="s">
        <v>32</v>
      </c>
    </row>
    <row r="73" spans="3:11" x14ac:dyDescent="0.25">
      <c r="C73" s="24">
        <v>23532150</v>
      </c>
      <c r="D73" s="25">
        <v>45994.913877314815</v>
      </c>
      <c r="E73" s="24" t="s">
        <v>27</v>
      </c>
      <c r="F73" s="24" t="s">
        <v>28</v>
      </c>
      <c r="G73" s="24" t="s">
        <v>42</v>
      </c>
      <c r="H73" s="24" t="s">
        <v>31</v>
      </c>
      <c r="I73" s="25">
        <v>46006.913877314815</v>
      </c>
      <c r="J73" s="24" t="s">
        <v>4919</v>
      </c>
      <c r="K73" s="24" t="s">
        <v>32</v>
      </c>
    </row>
    <row r="74" spans="3:11" x14ac:dyDescent="0.25">
      <c r="C74" s="24">
        <v>23534535</v>
      </c>
      <c r="D74" s="25">
        <v>45994.411365740743</v>
      </c>
      <c r="E74" s="24" t="s">
        <v>27</v>
      </c>
      <c r="F74" s="24" t="s">
        <v>28</v>
      </c>
      <c r="G74" s="24" t="s">
        <v>39</v>
      </c>
      <c r="H74" s="24" t="s">
        <v>37</v>
      </c>
      <c r="I74" s="25">
        <v>46007.411365740743</v>
      </c>
      <c r="J74" s="24" t="s">
        <v>4981</v>
      </c>
      <c r="K74" s="24" t="s">
        <v>32</v>
      </c>
    </row>
    <row r="75" spans="3:11" x14ac:dyDescent="0.25">
      <c r="C75" s="24">
        <v>23534910</v>
      </c>
      <c r="D75" s="25">
        <v>45993.904328703706</v>
      </c>
      <c r="E75" s="24" t="s">
        <v>47</v>
      </c>
      <c r="F75" s="24" t="s">
        <v>62</v>
      </c>
      <c r="G75" s="24" t="s">
        <v>29</v>
      </c>
      <c r="H75" s="24" t="s">
        <v>31</v>
      </c>
      <c r="I75" s="25">
        <v>46003.904328703706</v>
      </c>
      <c r="J75" s="24" t="s">
        <v>4983</v>
      </c>
      <c r="K75" s="24" t="s">
        <v>32</v>
      </c>
    </row>
    <row r="76" spans="3:11" x14ac:dyDescent="0.25">
      <c r="C76" s="24">
        <v>23540723</v>
      </c>
      <c r="D76" s="25">
        <v>45988.90488425926</v>
      </c>
      <c r="E76" s="24" t="s">
        <v>27</v>
      </c>
      <c r="F76" s="24" t="s">
        <v>28</v>
      </c>
      <c r="G76" s="24" t="s">
        <v>29</v>
      </c>
      <c r="H76" s="24" t="s">
        <v>31</v>
      </c>
      <c r="I76" s="25">
        <v>46000.90488425926</v>
      </c>
      <c r="J76" s="24" t="s">
        <v>4985</v>
      </c>
      <c r="K76" s="24" t="s">
        <v>48</v>
      </c>
    </row>
    <row r="77" spans="3:11" x14ac:dyDescent="0.25">
      <c r="C77" s="24">
        <v>23542405</v>
      </c>
      <c r="D77" s="25">
        <v>45993.632962962962</v>
      </c>
      <c r="E77" s="24" t="s">
        <v>27</v>
      </c>
      <c r="F77" s="24" t="s">
        <v>28</v>
      </c>
      <c r="G77" s="24" t="s">
        <v>29</v>
      </c>
      <c r="H77" s="24" t="s">
        <v>31</v>
      </c>
      <c r="I77" s="25">
        <v>46003.632962962962</v>
      </c>
      <c r="J77" s="24" t="s">
        <v>4986</v>
      </c>
      <c r="K77" s="24" t="s">
        <v>32</v>
      </c>
    </row>
    <row r="78" spans="3:11" x14ac:dyDescent="0.25">
      <c r="C78" s="24">
        <v>23542424</v>
      </c>
      <c r="D78" s="25">
        <v>45993.468553240738</v>
      </c>
      <c r="E78" s="24" t="s">
        <v>27</v>
      </c>
      <c r="F78" s="24" t="s">
        <v>28</v>
      </c>
      <c r="G78" s="24" t="s">
        <v>29</v>
      </c>
      <c r="H78" s="24" t="s">
        <v>31</v>
      </c>
      <c r="I78" s="25">
        <v>46003.468553240738</v>
      </c>
      <c r="J78" s="24" t="s">
        <v>4988</v>
      </c>
      <c r="K78" s="24" t="s">
        <v>32</v>
      </c>
    </row>
    <row r="79" spans="3:11" x14ac:dyDescent="0.25">
      <c r="C79" s="24">
        <v>23543305</v>
      </c>
      <c r="D79" s="25">
        <v>45994.914571759262</v>
      </c>
      <c r="E79" s="24" t="s">
        <v>27</v>
      </c>
      <c r="F79" s="24" t="s">
        <v>28</v>
      </c>
      <c r="G79" s="24" t="s">
        <v>45</v>
      </c>
      <c r="H79" s="24" t="s">
        <v>31</v>
      </c>
      <c r="I79" s="25">
        <v>46002.914571759262</v>
      </c>
      <c r="J79" s="24" t="s">
        <v>4940</v>
      </c>
      <c r="K79" s="24" t="s">
        <v>32</v>
      </c>
    </row>
    <row r="80" spans="3:11" x14ac:dyDescent="0.25">
      <c r="C80" s="24">
        <v>23543495</v>
      </c>
      <c r="D80" s="25">
        <v>45993.520451388889</v>
      </c>
      <c r="E80" s="24" t="s">
        <v>27</v>
      </c>
      <c r="F80" s="24" t="s">
        <v>28</v>
      </c>
      <c r="G80" s="24" t="s">
        <v>39</v>
      </c>
      <c r="H80" s="24" t="s">
        <v>31</v>
      </c>
      <c r="I80" s="25">
        <v>46001.520451388889</v>
      </c>
      <c r="J80" s="24" t="s">
        <v>3091</v>
      </c>
      <c r="K80" s="24" t="s">
        <v>48</v>
      </c>
    </row>
    <row r="81" spans="3:11" x14ac:dyDescent="0.25">
      <c r="C81" s="24">
        <v>23543635</v>
      </c>
      <c r="D81" s="25">
        <v>45992.478506944448</v>
      </c>
      <c r="E81" s="24" t="s">
        <v>43</v>
      </c>
      <c r="F81" s="24" t="s">
        <v>44</v>
      </c>
      <c r="G81" s="24" t="s">
        <v>60</v>
      </c>
      <c r="H81" s="24" t="s">
        <v>31</v>
      </c>
      <c r="I81" s="25">
        <v>45996.478506944448</v>
      </c>
      <c r="J81" s="24" t="s">
        <v>46</v>
      </c>
      <c r="K81" s="24" t="s">
        <v>46</v>
      </c>
    </row>
    <row r="82" spans="3:11" x14ac:dyDescent="0.25">
      <c r="C82" s="24">
        <v>23543653</v>
      </c>
      <c r="D82" s="25">
        <v>45992.489201388889</v>
      </c>
      <c r="E82" s="24" t="s">
        <v>43</v>
      </c>
      <c r="F82" s="24" t="s">
        <v>44</v>
      </c>
      <c r="G82" s="24" t="s">
        <v>60</v>
      </c>
      <c r="H82" s="24" t="s">
        <v>31</v>
      </c>
      <c r="I82" s="25">
        <v>45996.489201388889</v>
      </c>
      <c r="J82" s="24" t="s">
        <v>2284</v>
      </c>
      <c r="K82" s="24" t="s">
        <v>92</v>
      </c>
    </row>
    <row r="83" spans="3:11" x14ac:dyDescent="0.25">
      <c r="C83" s="24">
        <v>23543664</v>
      </c>
      <c r="D83" s="25">
        <v>45993.555613425924</v>
      </c>
      <c r="E83" s="24" t="s">
        <v>43</v>
      </c>
      <c r="F83" s="24" t="s">
        <v>44</v>
      </c>
      <c r="G83" s="24" t="s">
        <v>60</v>
      </c>
      <c r="H83" s="24" t="s">
        <v>31</v>
      </c>
      <c r="I83" s="25">
        <v>46000.555613425924</v>
      </c>
      <c r="J83" s="24" t="s">
        <v>4991</v>
      </c>
      <c r="K83" s="24" t="s">
        <v>48</v>
      </c>
    </row>
    <row r="84" spans="3:11" x14ac:dyDescent="0.25">
      <c r="C84" s="24">
        <v>23543674</v>
      </c>
      <c r="D84" s="25">
        <v>45993.396134259259</v>
      </c>
      <c r="E84" s="24" t="s">
        <v>55</v>
      </c>
      <c r="F84" s="24" t="s">
        <v>56</v>
      </c>
      <c r="G84" s="24" t="s">
        <v>42</v>
      </c>
      <c r="H84" s="24" t="s">
        <v>31</v>
      </c>
      <c r="I84" s="25">
        <v>46003.396134259259</v>
      </c>
      <c r="J84" s="24" t="s">
        <v>4929</v>
      </c>
      <c r="K84" s="24" t="s">
        <v>32</v>
      </c>
    </row>
    <row r="85" spans="3:11" x14ac:dyDescent="0.25">
      <c r="C85" s="24">
        <v>23543684</v>
      </c>
      <c r="D85" s="25">
        <v>45992.540590277778</v>
      </c>
      <c r="E85" s="24" t="s">
        <v>43</v>
      </c>
      <c r="F85" s="24" t="s">
        <v>44</v>
      </c>
      <c r="G85" s="24" t="s">
        <v>60</v>
      </c>
      <c r="H85" s="24" t="s">
        <v>31</v>
      </c>
      <c r="I85" s="25">
        <v>45996.540590277778</v>
      </c>
      <c r="J85" s="24" t="s">
        <v>4993</v>
      </c>
      <c r="K85" s="24" t="s">
        <v>92</v>
      </c>
    </row>
    <row r="86" spans="3:11" x14ac:dyDescent="0.25">
      <c r="C86" s="24">
        <v>23543746</v>
      </c>
      <c r="D86" s="25">
        <v>45992.649594907409</v>
      </c>
      <c r="E86" s="24" t="s">
        <v>27</v>
      </c>
      <c r="F86" s="24" t="s">
        <v>28</v>
      </c>
      <c r="G86" s="24" t="s">
        <v>29</v>
      </c>
      <c r="H86" s="24" t="s">
        <v>31</v>
      </c>
      <c r="I86" s="25">
        <v>46002.649594907409</v>
      </c>
      <c r="J86" s="24" t="s">
        <v>3095</v>
      </c>
      <c r="K86" s="24" t="s">
        <v>32</v>
      </c>
    </row>
    <row r="87" spans="3:11" x14ac:dyDescent="0.25">
      <c r="C87" s="24">
        <v>23543747</v>
      </c>
      <c r="D87" s="25">
        <v>45992.649050925924</v>
      </c>
      <c r="E87" s="24" t="s">
        <v>27</v>
      </c>
      <c r="F87" s="24" t="s">
        <v>28</v>
      </c>
      <c r="G87" s="24" t="s">
        <v>29</v>
      </c>
      <c r="H87" s="24" t="s">
        <v>31</v>
      </c>
      <c r="I87" s="25">
        <v>46002.649050925924</v>
      </c>
      <c r="J87" s="24" t="s">
        <v>3096</v>
      </c>
      <c r="K87" s="24" t="s">
        <v>32</v>
      </c>
    </row>
    <row r="88" spans="3:11" x14ac:dyDescent="0.25">
      <c r="C88" s="24">
        <v>23547105</v>
      </c>
      <c r="D88" s="25">
        <v>45993.38449074074</v>
      </c>
      <c r="E88" s="24" t="s">
        <v>55</v>
      </c>
      <c r="F88" s="24" t="s">
        <v>56</v>
      </c>
      <c r="G88" s="24" t="s">
        <v>45</v>
      </c>
      <c r="H88" s="24" t="s">
        <v>37</v>
      </c>
      <c r="I88" s="25">
        <v>46006.38449074074</v>
      </c>
      <c r="J88" s="24" t="s">
        <v>4994</v>
      </c>
      <c r="K88" s="24" t="s">
        <v>32</v>
      </c>
    </row>
    <row r="89" spans="3:11" x14ac:dyDescent="0.25">
      <c r="C89" s="24">
        <v>23547778</v>
      </c>
      <c r="D89" s="25">
        <v>45992.385023148148</v>
      </c>
      <c r="E89" s="24" t="s">
        <v>27</v>
      </c>
      <c r="F89" s="24" t="s">
        <v>28</v>
      </c>
      <c r="G89" s="24" t="s">
        <v>29</v>
      </c>
      <c r="H89" s="24" t="s">
        <v>31</v>
      </c>
      <c r="I89" s="25">
        <v>46002.385023148148</v>
      </c>
      <c r="J89" s="24" t="s">
        <v>3097</v>
      </c>
      <c r="K89" s="24" t="s">
        <v>32</v>
      </c>
    </row>
    <row r="90" spans="3:11" x14ac:dyDescent="0.25">
      <c r="C90" s="24">
        <v>23548763</v>
      </c>
      <c r="D90" s="25">
        <v>45995.383900462963</v>
      </c>
      <c r="E90" s="24" t="s">
        <v>55</v>
      </c>
      <c r="F90" s="24" t="s">
        <v>56</v>
      </c>
      <c r="G90" s="24" t="s">
        <v>29</v>
      </c>
      <c r="H90" s="24" t="s">
        <v>37</v>
      </c>
      <c r="I90" s="25">
        <v>46010.383900462963</v>
      </c>
      <c r="J90" s="24" t="s">
        <v>4996</v>
      </c>
      <c r="K90" s="24" t="s">
        <v>32</v>
      </c>
    </row>
    <row r="91" spans="3:11" x14ac:dyDescent="0.25">
      <c r="C91" s="24">
        <v>23549171</v>
      </c>
      <c r="D91" s="25">
        <v>45993.40966435185</v>
      </c>
      <c r="E91" s="24" t="s">
        <v>27</v>
      </c>
      <c r="F91" s="24" t="s">
        <v>28</v>
      </c>
      <c r="G91" s="24" t="s">
        <v>39</v>
      </c>
      <c r="H91" s="24" t="s">
        <v>31</v>
      </c>
      <c r="I91" s="25">
        <v>46001.40966435185</v>
      </c>
      <c r="J91" s="24" t="s">
        <v>3057</v>
      </c>
      <c r="K91" s="24" t="s">
        <v>48</v>
      </c>
    </row>
    <row r="92" spans="3:11" x14ac:dyDescent="0.25">
      <c r="C92" s="24">
        <v>23551937</v>
      </c>
      <c r="D92" s="25">
        <v>45993.909004629626</v>
      </c>
      <c r="E92" s="24" t="s">
        <v>27</v>
      </c>
      <c r="F92" s="24" t="s">
        <v>28</v>
      </c>
      <c r="G92" s="24" t="s">
        <v>29</v>
      </c>
      <c r="H92" s="24" t="s">
        <v>37</v>
      </c>
      <c r="I92" s="25">
        <v>46008.909004629626</v>
      </c>
      <c r="J92" s="24" t="s">
        <v>4997</v>
      </c>
      <c r="K92" s="24" t="s">
        <v>32</v>
      </c>
    </row>
    <row r="93" spans="3:11" x14ac:dyDescent="0.25">
      <c r="C93" s="24">
        <v>23553892</v>
      </c>
      <c r="D93" s="25">
        <v>45992.453750000001</v>
      </c>
      <c r="E93" s="24" t="s">
        <v>27</v>
      </c>
      <c r="F93" s="24" t="s">
        <v>28</v>
      </c>
      <c r="G93" s="24" t="s">
        <v>39</v>
      </c>
      <c r="H93" s="24" t="s">
        <v>31</v>
      </c>
      <c r="I93" s="25">
        <v>46000.453750000001</v>
      </c>
      <c r="J93" s="24" t="s">
        <v>4999</v>
      </c>
      <c r="K93" s="24" t="s">
        <v>48</v>
      </c>
    </row>
    <row r="94" spans="3:11" x14ac:dyDescent="0.25">
      <c r="C94" s="24">
        <v>23555631</v>
      </c>
      <c r="D94" s="25">
        <v>45994.399537037039</v>
      </c>
      <c r="E94" s="24" t="s">
        <v>27</v>
      </c>
      <c r="F94" s="24" t="s">
        <v>28</v>
      </c>
      <c r="G94" s="24" t="s">
        <v>29</v>
      </c>
      <c r="H94" s="24" t="s">
        <v>37</v>
      </c>
      <c r="I94" s="25">
        <v>46009.399537037039</v>
      </c>
      <c r="J94" s="24" t="s">
        <v>5001</v>
      </c>
      <c r="K94" s="24" t="s">
        <v>32</v>
      </c>
    </row>
    <row r="95" spans="3:11" x14ac:dyDescent="0.25">
      <c r="C95" s="24">
        <v>23555715</v>
      </c>
      <c r="D95" s="25">
        <v>45994.915682870371</v>
      </c>
      <c r="E95" s="24" t="s">
        <v>27</v>
      </c>
      <c r="F95" s="24" t="s">
        <v>28</v>
      </c>
      <c r="G95" s="24" t="s">
        <v>29</v>
      </c>
      <c r="H95" s="24" t="s">
        <v>37</v>
      </c>
      <c r="I95" s="25">
        <v>46009.915682870371</v>
      </c>
      <c r="J95" s="24" t="s">
        <v>4928</v>
      </c>
      <c r="K95" s="24" t="s">
        <v>32</v>
      </c>
    </row>
    <row r="96" spans="3:11" x14ac:dyDescent="0.25">
      <c r="C96" s="24">
        <v>23557007</v>
      </c>
      <c r="D96" s="25">
        <v>45994.91542824074</v>
      </c>
      <c r="E96" s="24" t="s">
        <v>27</v>
      </c>
      <c r="F96" s="24" t="s">
        <v>28</v>
      </c>
      <c r="G96" s="24" t="s">
        <v>29</v>
      </c>
      <c r="H96" s="24" t="s">
        <v>31</v>
      </c>
      <c r="I96" s="25">
        <v>46006.91542824074</v>
      </c>
      <c r="J96" s="24" t="s">
        <v>5002</v>
      </c>
      <c r="K96" s="24" t="s">
        <v>32</v>
      </c>
    </row>
    <row r="97" spans="3:11" x14ac:dyDescent="0.25">
      <c r="C97" s="24">
        <v>23557797</v>
      </c>
      <c r="D97" s="25">
        <v>45995.407418981478</v>
      </c>
      <c r="E97" s="24" t="s">
        <v>27</v>
      </c>
      <c r="F97" s="24" t="s">
        <v>28</v>
      </c>
      <c r="G97" s="24" t="s">
        <v>45</v>
      </c>
      <c r="H97" s="24" t="s">
        <v>31</v>
      </c>
      <c r="I97" s="25">
        <v>46003.407418981478</v>
      </c>
      <c r="J97" s="24" t="s">
        <v>5004</v>
      </c>
      <c r="K97" s="24" t="s">
        <v>32</v>
      </c>
    </row>
    <row r="98" spans="3:11" x14ac:dyDescent="0.25">
      <c r="C98" s="24">
        <v>23558288</v>
      </c>
      <c r="D98" s="25">
        <v>45995.261493055557</v>
      </c>
      <c r="E98" s="24" t="s">
        <v>43</v>
      </c>
      <c r="F98" s="24" t="s">
        <v>44</v>
      </c>
      <c r="G98" s="24" t="s">
        <v>45</v>
      </c>
      <c r="H98" s="24" t="s">
        <v>31</v>
      </c>
      <c r="I98" s="25">
        <v>46003.261493055557</v>
      </c>
      <c r="J98" s="24" t="s">
        <v>5006</v>
      </c>
      <c r="K98" s="24" t="s">
        <v>32</v>
      </c>
    </row>
    <row r="99" spans="3:11" x14ac:dyDescent="0.25">
      <c r="C99" s="24">
        <v>23558445</v>
      </c>
      <c r="D99" s="25">
        <v>45992.493078703701</v>
      </c>
      <c r="E99" s="24" t="s">
        <v>43</v>
      </c>
      <c r="F99" s="24" t="s">
        <v>44</v>
      </c>
      <c r="G99" s="24" t="s">
        <v>45</v>
      </c>
      <c r="H99" s="24" t="s">
        <v>31</v>
      </c>
      <c r="I99" s="25">
        <v>46000.493078703701</v>
      </c>
      <c r="J99" s="24" t="s">
        <v>5007</v>
      </c>
      <c r="K99" s="24" t="s">
        <v>48</v>
      </c>
    </row>
    <row r="100" spans="3:11" x14ac:dyDescent="0.25">
      <c r="C100" s="24">
        <v>23558477</v>
      </c>
      <c r="D100" s="25">
        <v>45994.913124999999</v>
      </c>
      <c r="E100" s="24" t="s">
        <v>27</v>
      </c>
      <c r="F100" s="24" t="s">
        <v>28</v>
      </c>
      <c r="G100" s="24" t="s">
        <v>29</v>
      </c>
      <c r="H100" s="24" t="s">
        <v>31</v>
      </c>
      <c r="I100" s="25">
        <v>46006.913124999999</v>
      </c>
      <c r="J100" s="24" t="s">
        <v>3077</v>
      </c>
      <c r="K100" s="24" t="s">
        <v>32</v>
      </c>
    </row>
    <row r="101" spans="3:11" x14ac:dyDescent="0.25">
      <c r="C101" s="24">
        <v>23559440</v>
      </c>
      <c r="D101" s="25">
        <v>45993.90892361111</v>
      </c>
      <c r="E101" s="24" t="s">
        <v>27</v>
      </c>
      <c r="F101" s="24" t="s">
        <v>28</v>
      </c>
      <c r="G101" s="24" t="s">
        <v>39</v>
      </c>
      <c r="H101" s="24" t="s">
        <v>31</v>
      </c>
      <c r="I101" s="25">
        <v>46001.90892361111</v>
      </c>
      <c r="J101" s="24" t="s">
        <v>3060</v>
      </c>
      <c r="K101" s="24" t="s">
        <v>48</v>
      </c>
    </row>
    <row r="102" spans="3:11" x14ac:dyDescent="0.25">
      <c r="C102" s="24">
        <v>23559549</v>
      </c>
      <c r="D102" s="25">
        <v>45989.907222222224</v>
      </c>
      <c r="E102" s="24" t="s">
        <v>27</v>
      </c>
      <c r="F102" s="24" t="s">
        <v>28</v>
      </c>
      <c r="G102" s="24" t="s">
        <v>39</v>
      </c>
      <c r="H102" s="24" t="s">
        <v>37</v>
      </c>
      <c r="I102" s="25">
        <v>46002.907222222224</v>
      </c>
      <c r="J102" s="24" t="s">
        <v>5008</v>
      </c>
      <c r="K102" s="24" t="s">
        <v>32</v>
      </c>
    </row>
    <row r="103" spans="3:11" x14ac:dyDescent="0.25">
      <c r="C103" s="24">
        <v>23559891</v>
      </c>
      <c r="D103" s="25">
        <v>45994.912673611114</v>
      </c>
      <c r="E103" s="24" t="s">
        <v>27</v>
      </c>
      <c r="F103" s="24" t="s">
        <v>28</v>
      </c>
      <c r="G103" s="24" t="s">
        <v>29</v>
      </c>
      <c r="H103" s="24" t="s">
        <v>37</v>
      </c>
      <c r="I103" s="25">
        <v>46009.912673611114</v>
      </c>
      <c r="J103" s="24" t="s">
        <v>5009</v>
      </c>
      <c r="K103" s="24" t="s">
        <v>32</v>
      </c>
    </row>
    <row r="104" spans="3:11" x14ac:dyDescent="0.25">
      <c r="C104" s="24">
        <v>23560464</v>
      </c>
      <c r="D104" s="25">
        <v>45994.542731481481</v>
      </c>
      <c r="E104" s="24" t="s">
        <v>27</v>
      </c>
      <c r="F104" s="24" t="s">
        <v>28</v>
      </c>
      <c r="G104" s="24" t="s">
        <v>29</v>
      </c>
      <c r="H104" s="24" t="s">
        <v>37</v>
      </c>
      <c r="I104" s="25">
        <v>46009.542731481481</v>
      </c>
      <c r="J104" s="24" t="s">
        <v>5011</v>
      </c>
      <c r="K104" s="24" t="s">
        <v>32</v>
      </c>
    </row>
    <row r="105" spans="3:11" x14ac:dyDescent="0.25">
      <c r="C105" s="24">
        <v>23560543</v>
      </c>
      <c r="D105" s="25">
        <v>45993.908784722225</v>
      </c>
      <c r="E105" s="24" t="s">
        <v>43</v>
      </c>
      <c r="F105" s="24" t="s">
        <v>44</v>
      </c>
      <c r="G105" s="24" t="s">
        <v>39</v>
      </c>
      <c r="H105" s="24" t="s">
        <v>31</v>
      </c>
      <c r="I105" s="25">
        <v>46001.908784722225</v>
      </c>
      <c r="J105" s="24" t="s">
        <v>3060</v>
      </c>
      <c r="K105" s="24" t="s">
        <v>48</v>
      </c>
    </row>
    <row r="106" spans="3:11" x14ac:dyDescent="0.25">
      <c r="C106" s="24">
        <v>23560880</v>
      </c>
      <c r="D106" s="25">
        <v>45994.914201388892</v>
      </c>
      <c r="E106" s="24" t="s">
        <v>27</v>
      </c>
      <c r="F106" s="24" t="s">
        <v>28</v>
      </c>
      <c r="G106" s="24" t="s">
        <v>39</v>
      </c>
      <c r="H106" s="24" t="s">
        <v>31</v>
      </c>
      <c r="I106" s="25">
        <v>46002.914201388892</v>
      </c>
      <c r="J106" s="24" t="s">
        <v>4940</v>
      </c>
      <c r="K106" s="24" t="s">
        <v>32</v>
      </c>
    </row>
    <row r="107" spans="3:11" x14ac:dyDescent="0.25">
      <c r="C107" s="24">
        <v>23560979</v>
      </c>
      <c r="D107" s="25">
        <v>45990.54346064815</v>
      </c>
      <c r="E107" s="24" t="s">
        <v>27</v>
      </c>
      <c r="F107" s="24" t="s">
        <v>28</v>
      </c>
      <c r="G107" s="24" t="s">
        <v>29</v>
      </c>
      <c r="H107" s="24" t="s">
        <v>31</v>
      </c>
      <c r="I107" s="25">
        <v>46001.54346064815</v>
      </c>
      <c r="J107" s="24" t="s">
        <v>5013</v>
      </c>
      <c r="K107" s="24" t="s">
        <v>48</v>
      </c>
    </row>
    <row r="108" spans="3:11" x14ac:dyDescent="0.25">
      <c r="C108" s="24">
        <v>23561419</v>
      </c>
      <c r="D108" s="25">
        <v>45993.908738425926</v>
      </c>
      <c r="E108" s="24" t="s">
        <v>27</v>
      </c>
      <c r="F108" s="24" t="s">
        <v>28</v>
      </c>
      <c r="G108" s="24" t="s">
        <v>39</v>
      </c>
      <c r="H108" s="24" t="s">
        <v>31</v>
      </c>
      <c r="I108" s="25">
        <v>46001.908738425926</v>
      </c>
      <c r="J108" s="24" t="s">
        <v>3060</v>
      </c>
      <c r="K108" s="24" t="s">
        <v>48</v>
      </c>
    </row>
    <row r="109" spans="3:11" x14ac:dyDescent="0.25">
      <c r="C109" s="24">
        <v>23561465</v>
      </c>
      <c r="D109" s="25">
        <v>45994.914282407408</v>
      </c>
      <c r="E109" s="24" t="s">
        <v>27</v>
      </c>
      <c r="F109" s="24" t="s">
        <v>28</v>
      </c>
      <c r="G109" s="24" t="s">
        <v>39</v>
      </c>
      <c r="H109" s="24" t="s">
        <v>31</v>
      </c>
      <c r="I109" s="25">
        <v>46002.914282407408</v>
      </c>
      <c r="J109" s="24" t="s">
        <v>4940</v>
      </c>
      <c r="K109" s="24" t="s">
        <v>32</v>
      </c>
    </row>
    <row r="110" spans="3:11" x14ac:dyDescent="0.25">
      <c r="C110" s="24">
        <v>23561955</v>
      </c>
      <c r="D110" s="25">
        <v>45994.9143287037</v>
      </c>
      <c r="E110" s="24" t="s">
        <v>27</v>
      </c>
      <c r="F110" s="24" t="s">
        <v>28</v>
      </c>
      <c r="G110" s="24" t="s">
        <v>39</v>
      </c>
      <c r="H110" s="24" t="s">
        <v>31</v>
      </c>
      <c r="I110" s="25">
        <v>46002.9143287037</v>
      </c>
      <c r="J110" s="24" t="s">
        <v>4940</v>
      </c>
      <c r="K110" s="24" t="s">
        <v>32</v>
      </c>
    </row>
    <row r="111" spans="3:11" x14ac:dyDescent="0.25">
      <c r="C111" s="24">
        <v>23565796</v>
      </c>
      <c r="D111" s="25">
        <v>45994.379016203704</v>
      </c>
      <c r="E111" s="24" t="s">
        <v>27</v>
      </c>
      <c r="F111" s="24" t="s">
        <v>28</v>
      </c>
      <c r="G111" s="24" t="s">
        <v>60</v>
      </c>
      <c r="H111" s="24" t="s">
        <v>37</v>
      </c>
      <c r="I111" s="25">
        <v>46001.379016203704</v>
      </c>
      <c r="J111" s="24" t="s">
        <v>5015</v>
      </c>
      <c r="K111" s="24" t="s">
        <v>48</v>
      </c>
    </row>
    <row r="112" spans="3:11" x14ac:dyDescent="0.25">
      <c r="C112" s="24">
        <v>23567499</v>
      </c>
      <c r="D112" s="25">
        <v>45994.379664351851</v>
      </c>
      <c r="E112" s="24" t="s">
        <v>27</v>
      </c>
      <c r="F112" s="24" t="s">
        <v>28</v>
      </c>
      <c r="G112" s="24" t="s">
        <v>39</v>
      </c>
      <c r="H112" s="24" t="s">
        <v>31</v>
      </c>
      <c r="I112" s="25">
        <v>46002.379664351851</v>
      </c>
      <c r="J112" s="24" t="s">
        <v>5017</v>
      </c>
      <c r="K112" s="24" t="s">
        <v>32</v>
      </c>
    </row>
    <row r="113" spans="3:11" x14ac:dyDescent="0.25">
      <c r="C113" s="24">
        <v>23567957</v>
      </c>
      <c r="D113" s="25">
        <v>45993.393587962964</v>
      </c>
      <c r="E113" s="24" t="s">
        <v>55</v>
      </c>
      <c r="F113" s="24" t="s">
        <v>56</v>
      </c>
      <c r="G113" s="24" t="s">
        <v>45</v>
      </c>
      <c r="H113" s="24" t="s">
        <v>37</v>
      </c>
      <c r="I113" s="25">
        <v>46006.393587962964</v>
      </c>
      <c r="J113" s="24" t="s">
        <v>5019</v>
      </c>
      <c r="K113" s="24" t="s">
        <v>32</v>
      </c>
    </row>
    <row r="114" spans="3:11" x14ac:dyDescent="0.25">
      <c r="C114" s="24">
        <v>23571574</v>
      </c>
      <c r="D114" s="25">
        <v>45994.437418981484</v>
      </c>
      <c r="E114" s="24" t="s">
        <v>27</v>
      </c>
      <c r="F114" s="24" t="s">
        <v>28</v>
      </c>
      <c r="G114" s="24" t="s">
        <v>29</v>
      </c>
      <c r="H114" s="24" t="s">
        <v>37</v>
      </c>
      <c r="I114" s="25">
        <v>46009.437418981484</v>
      </c>
      <c r="J114" s="24" t="s">
        <v>5021</v>
      </c>
      <c r="K114" s="24" t="s">
        <v>32</v>
      </c>
    </row>
    <row r="115" spans="3:11" x14ac:dyDescent="0.25">
      <c r="C115" s="24">
        <v>23571691</v>
      </c>
      <c r="D115" s="25">
        <v>45995.362268518518</v>
      </c>
      <c r="E115" s="24" t="s">
        <v>27</v>
      </c>
      <c r="F115" s="24" t="s">
        <v>28</v>
      </c>
      <c r="G115" s="24" t="s">
        <v>71</v>
      </c>
      <c r="H115" s="24" t="s">
        <v>31</v>
      </c>
      <c r="I115" s="25">
        <v>46007.362268518518</v>
      </c>
      <c r="J115" s="24" t="s">
        <v>5023</v>
      </c>
      <c r="K115" s="24" t="s">
        <v>32</v>
      </c>
    </row>
    <row r="116" spans="3:11" x14ac:dyDescent="0.25">
      <c r="C116" s="24">
        <v>23572180</v>
      </c>
      <c r="D116" s="25">
        <v>45986.389016203706</v>
      </c>
      <c r="E116" s="24" t="s">
        <v>27</v>
      </c>
      <c r="F116" s="24" t="s">
        <v>28</v>
      </c>
      <c r="G116" s="24" t="s">
        <v>50</v>
      </c>
      <c r="H116" s="24" t="s">
        <v>31</v>
      </c>
      <c r="I116" s="25">
        <v>46002.389016203706</v>
      </c>
      <c r="J116" s="24" t="s">
        <v>5025</v>
      </c>
      <c r="K116" s="24" t="s">
        <v>32</v>
      </c>
    </row>
    <row r="117" spans="3:11" x14ac:dyDescent="0.25">
      <c r="C117" s="24">
        <v>23572681</v>
      </c>
      <c r="D117" s="25">
        <v>45974.315462962964</v>
      </c>
      <c r="E117" s="24" t="s">
        <v>27</v>
      </c>
      <c r="F117" s="24" t="s">
        <v>28</v>
      </c>
      <c r="G117" s="24" t="s">
        <v>126</v>
      </c>
      <c r="H117" s="24" t="s">
        <v>31</v>
      </c>
      <c r="I117" s="25"/>
      <c r="J117" s="24"/>
      <c r="K117" s="24" t="s">
        <v>93</v>
      </c>
    </row>
    <row r="118" spans="3:11" x14ac:dyDescent="0.25">
      <c r="C118" s="24">
        <v>23573225</v>
      </c>
      <c r="D118" s="25">
        <v>45991.905509259261</v>
      </c>
      <c r="E118" s="24" t="s">
        <v>27</v>
      </c>
      <c r="F118" s="24" t="s">
        <v>28</v>
      </c>
      <c r="G118" s="24" t="s">
        <v>29</v>
      </c>
      <c r="H118" s="24" t="s">
        <v>31</v>
      </c>
      <c r="I118" s="25">
        <v>46001.905509259261</v>
      </c>
      <c r="J118" s="24" t="s">
        <v>3089</v>
      </c>
      <c r="K118" s="24" t="s">
        <v>48</v>
      </c>
    </row>
    <row r="119" spans="3:11" x14ac:dyDescent="0.25">
      <c r="C119" s="24">
        <v>23575118</v>
      </c>
      <c r="D119" s="25">
        <v>45994.720763888887</v>
      </c>
      <c r="E119" s="24" t="s">
        <v>27</v>
      </c>
      <c r="F119" s="24" t="s">
        <v>28</v>
      </c>
      <c r="G119" s="24" t="s">
        <v>29</v>
      </c>
      <c r="H119" s="24" t="s">
        <v>31</v>
      </c>
      <c r="I119" s="25">
        <v>46006.720763888887</v>
      </c>
      <c r="J119" s="24" t="s">
        <v>5027</v>
      </c>
      <c r="K119" s="24" t="s">
        <v>32</v>
      </c>
    </row>
    <row r="120" spans="3:11" x14ac:dyDescent="0.25">
      <c r="C120" s="24">
        <v>23575439</v>
      </c>
      <c r="D120" s="25">
        <v>45991.905578703707</v>
      </c>
      <c r="E120" s="24" t="s">
        <v>27</v>
      </c>
      <c r="F120" s="24" t="s">
        <v>28</v>
      </c>
      <c r="G120" s="24" t="s">
        <v>29</v>
      </c>
      <c r="H120" s="24" t="s">
        <v>31</v>
      </c>
      <c r="I120" s="25">
        <v>46001.905578703707</v>
      </c>
      <c r="J120" s="24" t="s">
        <v>3099</v>
      </c>
      <c r="K120" s="24" t="s">
        <v>48</v>
      </c>
    </row>
    <row r="121" spans="3:11" x14ac:dyDescent="0.25">
      <c r="C121" s="24">
        <v>23576738</v>
      </c>
      <c r="D121" s="25">
        <v>45993.425405092596</v>
      </c>
      <c r="E121" s="24" t="s">
        <v>55</v>
      </c>
      <c r="F121" s="24" t="s">
        <v>56</v>
      </c>
      <c r="G121" s="24" t="s">
        <v>45</v>
      </c>
      <c r="H121" s="24" t="s">
        <v>37</v>
      </c>
      <c r="I121" s="25">
        <v>46006.425405092596</v>
      </c>
      <c r="J121" s="24" t="s">
        <v>5029</v>
      </c>
      <c r="K121" s="24" t="s">
        <v>32</v>
      </c>
    </row>
    <row r="122" spans="3:11" x14ac:dyDescent="0.25">
      <c r="C122" s="24">
        <v>23578452</v>
      </c>
      <c r="D122" s="25">
        <v>45989.303182870368</v>
      </c>
      <c r="E122" s="24" t="s">
        <v>27</v>
      </c>
      <c r="F122" s="24" t="s">
        <v>28</v>
      </c>
      <c r="G122" s="24" t="s">
        <v>45</v>
      </c>
      <c r="H122" s="24" t="s">
        <v>31</v>
      </c>
      <c r="I122" s="25">
        <v>45996.303182870368</v>
      </c>
      <c r="J122" s="24" t="s">
        <v>46</v>
      </c>
      <c r="K122" s="24" t="s">
        <v>46</v>
      </c>
    </row>
    <row r="123" spans="3:11" x14ac:dyDescent="0.25">
      <c r="C123" s="24">
        <v>23581581</v>
      </c>
      <c r="D123" s="25">
        <v>45993.536620370367</v>
      </c>
      <c r="E123" s="24" t="s">
        <v>53</v>
      </c>
      <c r="F123" s="24" t="s">
        <v>54</v>
      </c>
      <c r="G123" s="24" t="s">
        <v>29</v>
      </c>
      <c r="H123" s="24" t="s">
        <v>31</v>
      </c>
      <c r="I123" s="25">
        <v>46003.536620370367</v>
      </c>
      <c r="J123" s="24" t="s">
        <v>5032</v>
      </c>
      <c r="K123" s="24" t="s">
        <v>32</v>
      </c>
    </row>
    <row r="124" spans="3:11" x14ac:dyDescent="0.25">
      <c r="C124" s="24">
        <v>23581809</v>
      </c>
      <c r="D124" s="25">
        <v>45989.452719907407</v>
      </c>
      <c r="E124" s="24" t="s">
        <v>43</v>
      </c>
      <c r="F124" s="24" t="s">
        <v>44</v>
      </c>
      <c r="G124" s="24" t="s">
        <v>60</v>
      </c>
      <c r="H124" s="24" t="s">
        <v>31</v>
      </c>
      <c r="I124" s="25">
        <v>45995.452719907407</v>
      </c>
      <c r="J124" s="24" t="s">
        <v>46</v>
      </c>
      <c r="K124" s="24" t="s">
        <v>46</v>
      </c>
    </row>
    <row r="125" spans="3:11" x14ac:dyDescent="0.25">
      <c r="C125" s="24">
        <v>23581816</v>
      </c>
      <c r="D125" s="25">
        <v>45994.497604166667</v>
      </c>
      <c r="E125" s="24" t="s">
        <v>27</v>
      </c>
      <c r="F125" s="24" t="s">
        <v>28</v>
      </c>
      <c r="G125" s="24" t="s">
        <v>45</v>
      </c>
      <c r="H125" s="24" t="s">
        <v>31</v>
      </c>
      <c r="I125" s="25">
        <v>46002.497604166667</v>
      </c>
      <c r="J125" s="24" t="s">
        <v>5034</v>
      </c>
      <c r="K125" s="24" t="s">
        <v>32</v>
      </c>
    </row>
    <row r="126" spans="3:11" x14ac:dyDescent="0.25">
      <c r="C126" s="24">
        <v>23582032</v>
      </c>
      <c r="D126" s="25">
        <v>45994.668437499997</v>
      </c>
      <c r="E126" s="24" t="s">
        <v>57</v>
      </c>
      <c r="F126" s="24" t="s">
        <v>58</v>
      </c>
      <c r="G126" s="24" t="s">
        <v>42</v>
      </c>
      <c r="H126" s="24" t="s">
        <v>31</v>
      </c>
      <c r="I126" s="25">
        <v>46006.668437499997</v>
      </c>
      <c r="J126" s="24" t="s">
        <v>5036</v>
      </c>
      <c r="K126" s="24" t="s">
        <v>32</v>
      </c>
    </row>
    <row r="127" spans="3:11" x14ac:dyDescent="0.25">
      <c r="C127" s="24">
        <v>23582041</v>
      </c>
      <c r="D127" s="25">
        <v>45995.606261574074</v>
      </c>
      <c r="E127" s="24" t="s">
        <v>27</v>
      </c>
      <c r="F127" s="24" t="s">
        <v>28</v>
      </c>
      <c r="G127" s="24" t="s">
        <v>45</v>
      </c>
      <c r="H127" s="24" t="s">
        <v>37</v>
      </c>
      <c r="I127" s="25">
        <v>46008.606261574074</v>
      </c>
      <c r="J127" s="24" t="s">
        <v>4962</v>
      </c>
      <c r="K127" s="24" t="s">
        <v>32</v>
      </c>
    </row>
    <row r="128" spans="3:11" x14ac:dyDescent="0.25">
      <c r="C128" s="24">
        <v>23582054</v>
      </c>
      <c r="D128" s="25">
        <v>45994.66978009259</v>
      </c>
      <c r="E128" s="24" t="s">
        <v>57</v>
      </c>
      <c r="F128" s="24" t="s">
        <v>58</v>
      </c>
      <c r="G128" s="24" t="s">
        <v>42</v>
      </c>
      <c r="H128" s="24" t="s">
        <v>31</v>
      </c>
      <c r="I128" s="25">
        <v>46006.66978009259</v>
      </c>
      <c r="J128" s="24" t="s">
        <v>5038</v>
      </c>
      <c r="K128" s="24" t="s">
        <v>32</v>
      </c>
    </row>
    <row r="129" spans="3:11" x14ac:dyDescent="0.25">
      <c r="C129" s="24">
        <v>23582456</v>
      </c>
      <c r="D129" s="25">
        <v>45995.480439814812</v>
      </c>
      <c r="E129" s="24" t="s">
        <v>27</v>
      </c>
      <c r="F129" s="24" t="s">
        <v>28</v>
      </c>
      <c r="G129" s="24" t="s">
        <v>29</v>
      </c>
      <c r="H129" s="24" t="s">
        <v>31</v>
      </c>
      <c r="I129" s="25">
        <v>46007.480439814812</v>
      </c>
      <c r="J129" s="24" t="s">
        <v>5040</v>
      </c>
      <c r="K129" s="24" t="s">
        <v>32</v>
      </c>
    </row>
    <row r="130" spans="3:11" x14ac:dyDescent="0.25">
      <c r="C130" s="24">
        <v>23584029</v>
      </c>
      <c r="D130" s="25">
        <v>45992.41170138889</v>
      </c>
      <c r="E130" s="24" t="s">
        <v>27</v>
      </c>
      <c r="F130" s="24" t="s">
        <v>28</v>
      </c>
      <c r="G130" s="24" t="s">
        <v>71</v>
      </c>
      <c r="H130" s="24" t="s">
        <v>31</v>
      </c>
      <c r="I130" s="25">
        <v>46002.41170138889</v>
      </c>
      <c r="J130" s="24" t="s">
        <v>3148</v>
      </c>
      <c r="K130" s="24" t="s">
        <v>32</v>
      </c>
    </row>
    <row r="131" spans="3:11" x14ac:dyDescent="0.25">
      <c r="C131" s="24">
        <v>23584540</v>
      </c>
      <c r="D131" s="25">
        <v>45993.450381944444</v>
      </c>
      <c r="E131" s="24" t="s">
        <v>27</v>
      </c>
      <c r="F131" s="24" t="s">
        <v>28</v>
      </c>
      <c r="G131" s="24" t="s">
        <v>39</v>
      </c>
      <c r="H131" s="24" t="s">
        <v>31</v>
      </c>
      <c r="I131" s="25">
        <v>46001.450381944444</v>
      </c>
      <c r="J131" s="24" t="s">
        <v>3150</v>
      </c>
      <c r="K131" s="24" t="s">
        <v>48</v>
      </c>
    </row>
    <row r="132" spans="3:11" x14ac:dyDescent="0.25">
      <c r="C132" s="24">
        <v>23584689</v>
      </c>
      <c r="D132" s="25">
        <v>45995.260555555556</v>
      </c>
      <c r="E132" s="24" t="s">
        <v>27</v>
      </c>
      <c r="F132" s="24" t="s">
        <v>28</v>
      </c>
      <c r="G132" s="24" t="s">
        <v>45</v>
      </c>
      <c r="H132" s="24" t="s">
        <v>31</v>
      </c>
      <c r="I132" s="25">
        <v>46003.260555555556</v>
      </c>
      <c r="J132" s="24" t="s">
        <v>5042</v>
      </c>
      <c r="K132" s="24" t="s">
        <v>32</v>
      </c>
    </row>
    <row r="133" spans="3:11" x14ac:dyDescent="0.25">
      <c r="C133" s="24">
        <v>23585492</v>
      </c>
      <c r="D133" s="25">
        <v>45994.6172337963</v>
      </c>
      <c r="E133" s="24" t="s">
        <v>27</v>
      </c>
      <c r="F133" s="24" t="s">
        <v>28</v>
      </c>
      <c r="G133" s="24" t="s">
        <v>29</v>
      </c>
      <c r="H133" s="24" t="s">
        <v>31</v>
      </c>
      <c r="I133" s="25">
        <v>46006.6172337963</v>
      </c>
      <c r="J133" s="24" t="s">
        <v>2577</v>
      </c>
      <c r="K133" s="24" t="s">
        <v>32</v>
      </c>
    </row>
    <row r="134" spans="3:11" x14ac:dyDescent="0.25">
      <c r="C134" s="24">
        <v>23585511</v>
      </c>
      <c r="D134" s="25">
        <v>45993.71974537037</v>
      </c>
      <c r="E134" s="24" t="s">
        <v>27</v>
      </c>
      <c r="F134" s="24" t="s">
        <v>28</v>
      </c>
      <c r="G134" s="24" t="s">
        <v>29</v>
      </c>
      <c r="H134" s="24" t="s">
        <v>31</v>
      </c>
      <c r="I134" s="25">
        <v>46003.71974537037</v>
      </c>
      <c r="J134" s="24" t="s">
        <v>5044</v>
      </c>
      <c r="K134" s="24" t="s">
        <v>32</v>
      </c>
    </row>
    <row r="135" spans="3:11" x14ac:dyDescent="0.25">
      <c r="C135" s="24">
        <v>23585514</v>
      </c>
      <c r="D135" s="25">
        <v>45993.718530092592</v>
      </c>
      <c r="E135" s="24" t="s">
        <v>27</v>
      </c>
      <c r="F135" s="24" t="s">
        <v>28</v>
      </c>
      <c r="G135" s="24" t="s">
        <v>29</v>
      </c>
      <c r="H135" s="24" t="s">
        <v>31</v>
      </c>
      <c r="I135" s="25">
        <v>46003.718530092592</v>
      </c>
      <c r="J135" s="24" t="s">
        <v>5046</v>
      </c>
      <c r="K135" s="24" t="s">
        <v>32</v>
      </c>
    </row>
    <row r="136" spans="3:11" x14ac:dyDescent="0.25">
      <c r="C136" s="24">
        <v>23585759</v>
      </c>
      <c r="D136" s="25">
        <v>45993.439467592594</v>
      </c>
      <c r="E136" s="24" t="s">
        <v>27</v>
      </c>
      <c r="F136" s="24" t="s">
        <v>28</v>
      </c>
      <c r="G136" s="24" t="s">
        <v>39</v>
      </c>
      <c r="H136" s="24" t="s">
        <v>31</v>
      </c>
      <c r="I136" s="25">
        <v>46001.439467592594</v>
      </c>
      <c r="J136" s="24" t="s">
        <v>3151</v>
      </c>
      <c r="K136" s="24" t="s">
        <v>48</v>
      </c>
    </row>
    <row r="137" spans="3:11" x14ac:dyDescent="0.25">
      <c r="C137" s="24">
        <v>23585784</v>
      </c>
      <c r="D137" s="25">
        <v>45993.398888888885</v>
      </c>
      <c r="E137" s="24" t="s">
        <v>27</v>
      </c>
      <c r="F137" s="24" t="s">
        <v>28</v>
      </c>
      <c r="G137" s="24" t="s">
        <v>39</v>
      </c>
      <c r="H137" s="24" t="s">
        <v>31</v>
      </c>
      <c r="I137" s="25">
        <v>46001.398888888885</v>
      </c>
      <c r="J137" s="24" t="s">
        <v>3153</v>
      </c>
      <c r="K137" s="24" t="s">
        <v>48</v>
      </c>
    </row>
    <row r="138" spans="3:11" x14ac:dyDescent="0.25">
      <c r="C138" s="24">
        <v>23586620</v>
      </c>
      <c r="D138" s="25">
        <v>45995.378032407411</v>
      </c>
      <c r="E138" s="24" t="s">
        <v>27</v>
      </c>
      <c r="F138" s="24" t="s">
        <v>28</v>
      </c>
      <c r="G138" s="24" t="s">
        <v>45</v>
      </c>
      <c r="H138" s="24" t="s">
        <v>37</v>
      </c>
      <c r="I138" s="25">
        <v>46008.378032407411</v>
      </c>
      <c r="J138" s="24" t="s">
        <v>5048</v>
      </c>
      <c r="K138" s="24" t="s">
        <v>32</v>
      </c>
    </row>
    <row r="139" spans="3:11" x14ac:dyDescent="0.25">
      <c r="C139" s="24">
        <v>23586652</v>
      </c>
      <c r="D139" s="25">
        <v>45994.492372685185</v>
      </c>
      <c r="E139" s="24" t="s">
        <v>27</v>
      </c>
      <c r="F139" s="24" t="s">
        <v>28</v>
      </c>
      <c r="G139" s="24" t="s">
        <v>45</v>
      </c>
      <c r="H139" s="24" t="s">
        <v>37</v>
      </c>
      <c r="I139" s="25">
        <v>46007.492372685185</v>
      </c>
      <c r="J139" s="24" t="s">
        <v>3313</v>
      </c>
      <c r="K139" s="24" t="s">
        <v>32</v>
      </c>
    </row>
    <row r="140" spans="3:11" x14ac:dyDescent="0.25">
      <c r="C140" s="24">
        <v>23586747</v>
      </c>
      <c r="D140" s="25">
        <v>45995.60864583333</v>
      </c>
      <c r="E140" s="24" t="s">
        <v>27</v>
      </c>
      <c r="F140" s="24" t="s">
        <v>28</v>
      </c>
      <c r="G140" s="24" t="s">
        <v>29</v>
      </c>
      <c r="H140" s="24" t="s">
        <v>31</v>
      </c>
      <c r="I140" s="25">
        <v>46007.60864583333</v>
      </c>
      <c r="J140" s="24" t="s">
        <v>5049</v>
      </c>
      <c r="K140" s="24" t="s">
        <v>32</v>
      </c>
    </row>
    <row r="141" spans="3:11" x14ac:dyDescent="0.25">
      <c r="C141" s="24">
        <v>23587112</v>
      </c>
      <c r="D141" s="25">
        <v>45996.366261574076</v>
      </c>
      <c r="E141" s="24" t="s">
        <v>27</v>
      </c>
      <c r="F141" s="24" t="s">
        <v>28</v>
      </c>
      <c r="G141" s="24" t="s">
        <v>39</v>
      </c>
      <c r="H141" s="24" t="s">
        <v>31</v>
      </c>
      <c r="I141" s="25">
        <v>46006.366261574076</v>
      </c>
      <c r="J141" s="24" t="s">
        <v>5260</v>
      </c>
      <c r="K141" s="24" t="s">
        <v>32</v>
      </c>
    </row>
    <row r="142" spans="3:11" x14ac:dyDescent="0.25">
      <c r="C142" s="24">
        <v>23587335</v>
      </c>
      <c r="D142" s="25">
        <v>45995.606319444443</v>
      </c>
      <c r="E142" s="24" t="s">
        <v>27</v>
      </c>
      <c r="F142" s="24" t="s">
        <v>28</v>
      </c>
      <c r="G142" s="24" t="s">
        <v>50</v>
      </c>
      <c r="H142" s="24" t="s">
        <v>31</v>
      </c>
      <c r="I142" s="25">
        <v>46013.606319444443</v>
      </c>
      <c r="J142" s="24" t="s">
        <v>5050</v>
      </c>
      <c r="K142" s="24" t="s">
        <v>32</v>
      </c>
    </row>
    <row r="143" spans="3:11" x14ac:dyDescent="0.25">
      <c r="C143" s="24">
        <v>23587367</v>
      </c>
      <c r="D143" s="25">
        <v>45994.6171412037</v>
      </c>
      <c r="E143" s="24" t="s">
        <v>27</v>
      </c>
      <c r="F143" s="24" t="s">
        <v>28</v>
      </c>
      <c r="G143" s="24" t="s">
        <v>39</v>
      </c>
      <c r="H143" s="24" t="s">
        <v>31</v>
      </c>
      <c r="I143" s="25">
        <v>46002.6171412037</v>
      </c>
      <c r="J143" s="24" t="s">
        <v>5051</v>
      </c>
      <c r="K143" s="24" t="s">
        <v>32</v>
      </c>
    </row>
    <row r="144" spans="3:11" x14ac:dyDescent="0.25">
      <c r="C144" s="24">
        <v>23587454</v>
      </c>
      <c r="D144" s="25">
        <v>45994.702835648146</v>
      </c>
      <c r="E144" s="24" t="s">
        <v>27</v>
      </c>
      <c r="F144" s="24" t="s">
        <v>28</v>
      </c>
      <c r="G144" s="24" t="s">
        <v>60</v>
      </c>
      <c r="H144" s="24" t="s">
        <v>37</v>
      </c>
      <c r="I144" s="25">
        <v>46001.702835648146</v>
      </c>
      <c r="J144" s="24" t="s">
        <v>5052</v>
      </c>
      <c r="K144" s="24" t="s">
        <v>48</v>
      </c>
    </row>
    <row r="145" spans="3:11" x14ac:dyDescent="0.25">
      <c r="C145" s="24">
        <v>23587518</v>
      </c>
      <c r="D145" s="25">
        <v>45995.403229166666</v>
      </c>
      <c r="E145" s="24" t="s">
        <v>27</v>
      </c>
      <c r="F145" s="24" t="s">
        <v>28</v>
      </c>
      <c r="G145" s="24" t="s">
        <v>60</v>
      </c>
      <c r="H145" s="24" t="s">
        <v>31</v>
      </c>
      <c r="I145" s="25">
        <v>46002.403229166666</v>
      </c>
      <c r="J145" s="24" t="s">
        <v>5054</v>
      </c>
      <c r="K145" s="24" t="s">
        <v>32</v>
      </c>
    </row>
    <row r="146" spans="3:11" x14ac:dyDescent="0.25">
      <c r="C146" s="24">
        <v>23587654</v>
      </c>
      <c r="D146" s="25">
        <v>45994.432303240741</v>
      </c>
      <c r="E146" s="24" t="s">
        <v>27</v>
      </c>
      <c r="F146" s="24" t="s">
        <v>28</v>
      </c>
      <c r="G146" s="24" t="s">
        <v>29</v>
      </c>
      <c r="H146" s="24" t="s">
        <v>31</v>
      </c>
      <c r="I146" s="25">
        <v>46006.432303240741</v>
      </c>
      <c r="J146" s="24" t="s">
        <v>5056</v>
      </c>
      <c r="K146" s="24" t="s">
        <v>32</v>
      </c>
    </row>
    <row r="147" spans="3:11" x14ac:dyDescent="0.25">
      <c r="C147" s="24">
        <v>23587709</v>
      </c>
      <c r="D147" s="25">
        <v>45990.422800925924</v>
      </c>
      <c r="E147" s="24" t="s">
        <v>57</v>
      </c>
      <c r="F147" s="24" t="s">
        <v>58</v>
      </c>
      <c r="G147" s="24" t="s">
        <v>60</v>
      </c>
      <c r="H147" s="24" t="s">
        <v>31</v>
      </c>
      <c r="I147" s="25">
        <v>45995.422800925924</v>
      </c>
      <c r="J147" s="24" t="s">
        <v>46</v>
      </c>
      <c r="K147" s="24" t="s">
        <v>46</v>
      </c>
    </row>
    <row r="148" spans="3:11" x14ac:dyDescent="0.25">
      <c r="C148" s="24">
        <v>23588438</v>
      </c>
      <c r="D148" s="25">
        <v>45995.606296296297</v>
      </c>
      <c r="E148" s="24" t="s">
        <v>27</v>
      </c>
      <c r="F148" s="24" t="s">
        <v>28</v>
      </c>
      <c r="G148" s="24" t="s">
        <v>45</v>
      </c>
      <c r="H148" s="24" t="s">
        <v>37</v>
      </c>
      <c r="I148" s="25">
        <v>46008.606296296297</v>
      </c>
      <c r="J148" s="24" t="s">
        <v>4962</v>
      </c>
      <c r="K148" s="24" t="s">
        <v>32</v>
      </c>
    </row>
    <row r="149" spans="3:11" x14ac:dyDescent="0.25">
      <c r="C149" s="24">
        <v>23590002</v>
      </c>
      <c r="D149" s="25">
        <v>45992.465682870374</v>
      </c>
      <c r="E149" s="24" t="s">
        <v>57</v>
      </c>
      <c r="F149" s="24" t="s">
        <v>58</v>
      </c>
      <c r="G149" s="24" t="s">
        <v>42</v>
      </c>
      <c r="H149" s="24" t="s">
        <v>31</v>
      </c>
      <c r="I149" s="25">
        <v>46002.465682870374</v>
      </c>
      <c r="J149" s="24" t="s">
        <v>3164</v>
      </c>
      <c r="K149" s="24" t="s">
        <v>32</v>
      </c>
    </row>
    <row r="150" spans="3:11" x14ac:dyDescent="0.25">
      <c r="C150" s="24">
        <v>23590046</v>
      </c>
      <c r="D150" s="25">
        <v>45992.320844907408</v>
      </c>
      <c r="E150" s="24" t="s">
        <v>27</v>
      </c>
      <c r="F150" s="24" t="s">
        <v>28</v>
      </c>
      <c r="G150" s="24" t="s">
        <v>45</v>
      </c>
      <c r="H150" s="24" t="s">
        <v>31</v>
      </c>
      <c r="I150" s="25">
        <v>46000.320844907408</v>
      </c>
      <c r="J150" s="24" t="s">
        <v>5058</v>
      </c>
      <c r="K150" s="24" t="s">
        <v>48</v>
      </c>
    </row>
    <row r="151" spans="3:11" x14ac:dyDescent="0.25">
      <c r="C151" s="24">
        <v>23590424</v>
      </c>
      <c r="D151" s="25">
        <v>45995.379710648151</v>
      </c>
      <c r="E151" s="24" t="s">
        <v>27</v>
      </c>
      <c r="F151" s="24" t="s">
        <v>28</v>
      </c>
      <c r="G151" s="24" t="s">
        <v>42</v>
      </c>
      <c r="H151" s="24" t="s">
        <v>31</v>
      </c>
      <c r="I151" s="25">
        <v>46007.379710648151</v>
      </c>
      <c r="J151" s="24" t="s">
        <v>5059</v>
      </c>
      <c r="K151" s="24" t="s">
        <v>32</v>
      </c>
    </row>
    <row r="152" spans="3:11" x14ac:dyDescent="0.25">
      <c r="C152" s="24">
        <v>23591045</v>
      </c>
      <c r="D152" s="25">
        <v>45995.606226851851</v>
      </c>
      <c r="E152" s="24" t="s">
        <v>27</v>
      </c>
      <c r="F152" s="24" t="s">
        <v>28</v>
      </c>
      <c r="G152" s="24" t="s">
        <v>45</v>
      </c>
      <c r="H152" s="24" t="s">
        <v>37</v>
      </c>
      <c r="I152" s="25">
        <v>46008.606226851851</v>
      </c>
      <c r="J152" s="24" t="s">
        <v>4861</v>
      </c>
      <c r="K152" s="24" t="s">
        <v>32</v>
      </c>
    </row>
    <row r="153" spans="3:11" x14ac:dyDescent="0.25">
      <c r="C153" s="24">
        <v>23591823</v>
      </c>
      <c r="D153" s="25">
        <v>45987.485821759263</v>
      </c>
      <c r="E153" s="24" t="s">
        <v>43</v>
      </c>
      <c r="F153" s="24" t="s">
        <v>44</v>
      </c>
      <c r="G153" s="24" t="s">
        <v>60</v>
      </c>
      <c r="H153" s="24" t="s">
        <v>31</v>
      </c>
      <c r="I153" s="25">
        <v>45993.485821759263</v>
      </c>
      <c r="J153" s="24" t="s">
        <v>46</v>
      </c>
      <c r="K153" s="24" t="s">
        <v>46</v>
      </c>
    </row>
    <row r="154" spans="3:11" x14ac:dyDescent="0.25">
      <c r="C154" s="24">
        <v>23592446</v>
      </c>
      <c r="D154" s="25">
        <v>45992.597650462965</v>
      </c>
      <c r="E154" s="24" t="s">
        <v>27</v>
      </c>
      <c r="F154" s="24" t="s">
        <v>28</v>
      </c>
      <c r="G154" s="24" t="s">
        <v>39</v>
      </c>
      <c r="H154" s="24" t="s">
        <v>31</v>
      </c>
      <c r="I154" s="25">
        <v>46000.597650462965</v>
      </c>
      <c r="J154" s="24" t="s">
        <v>5063</v>
      </c>
      <c r="K154" s="24" t="s">
        <v>48</v>
      </c>
    </row>
    <row r="155" spans="3:11" x14ac:dyDescent="0.25">
      <c r="C155" s="24">
        <v>23592938</v>
      </c>
      <c r="D155" s="25">
        <v>45994.572615740741</v>
      </c>
      <c r="E155" s="24" t="s">
        <v>27</v>
      </c>
      <c r="F155" s="24" t="s">
        <v>28</v>
      </c>
      <c r="G155" s="24" t="s">
        <v>50</v>
      </c>
      <c r="H155" s="24" t="s">
        <v>31</v>
      </c>
      <c r="I155" s="25">
        <v>46010.572615740741</v>
      </c>
      <c r="J155" s="24" t="s">
        <v>5065</v>
      </c>
      <c r="K155" s="24" t="s">
        <v>32</v>
      </c>
    </row>
    <row r="156" spans="3:11" x14ac:dyDescent="0.25">
      <c r="C156" s="24">
        <v>23592996</v>
      </c>
      <c r="D156" s="25">
        <v>45992.533229166664</v>
      </c>
      <c r="E156" s="24" t="s">
        <v>27</v>
      </c>
      <c r="F156" s="24" t="s">
        <v>28</v>
      </c>
      <c r="G156" s="24" t="s">
        <v>29</v>
      </c>
      <c r="H156" s="24" t="s">
        <v>31</v>
      </c>
      <c r="I156" s="25">
        <v>46002.533229166664</v>
      </c>
      <c r="J156" s="24" t="s">
        <v>3166</v>
      </c>
      <c r="K156" s="24" t="s">
        <v>32</v>
      </c>
    </row>
    <row r="157" spans="3:11" x14ac:dyDescent="0.25">
      <c r="C157" s="24">
        <v>23594362</v>
      </c>
      <c r="D157" s="25">
        <v>45994.267488425925</v>
      </c>
      <c r="E157" s="24" t="s">
        <v>27</v>
      </c>
      <c r="F157" s="24" t="s">
        <v>28</v>
      </c>
      <c r="G157" s="24" t="s">
        <v>29</v>
      </c>
      <c r="H157" s="24" t="s">
        <v>31</v>
      </c>
      <c r="I157" s="25">
        <v>46006.267488425925</v>
      </c>
      <c r="J157" s="24" t="s">
        <v>5067</v>
      </c>
      <c r="K157" s="24" t="s">
        <v>32</v>
      </c>
    </row>
    <row r="158" spans="3:11" x14ac:dyDescent="0.25">
      <c r="C158" s="24">
        <v>23595171</v>
      </c>
      <c r="D158" s="25">
        <v>45992.628263888888</v>
      </c>
      <c r="E158" s="24" t="s">
        <v>43</v>
      </c>
      <c r="F158" s="24" t="s">
        <v>44</v>
      </c>
      <c r="G158" s="24" t="s">
        <v>45</v>
      </c>
      <c r="H158" s="24" t="s">
        <v>31</v>
      </c>
      <c r="I158" s="25">
        <v>46000.628263888888</v>
      </c>
      <c r="J158" s="24" t="s">
        <v>5069</v>
      </c>
      <c r="K158" s="24" t="s">
        <v>48</v>
      </c>
    </row>
    <row r="159" spans="3:11" x14ac:dyDescent="0.25">
      <c r="C159" s="24">
        <v>23595268</v>
      </c>
      <c r="D159" s="25">
        <v>45995.426817129628</v>
      </c>
      <c r="E159" s="24" t="s">
        <v>27</v>
      </c>
      <c r="F159" s="24" t="s">
        <v>28</v>
      </c>
      <c r="G159" s="24" t="s">
        <v>39</v>
      </c>
      <c r="H159" s="24" t="s">
        <v>31</v>
      </c>
      <c r="I159" s="25">
        <v>46003.426817129628</v>
      </c>
      <c r="J159" s="24" t="s">
        <v>5071</v>
      </c>
      <c r="K159" s="24" t="s">
        <v>32</v>
      </c>
    </row>
    <row r="160" spans="3:11" x14ac:dyDescent="0.25">
      <c r="C160" s="24">
        <v>23595554</v>
      </c>
      <c r="D160" s="25">
        <v>45981.627754629626</v>
      </c>
      <c r="E160" s="24" t="s">
        <v>27</v>
      </c>
      <c r="F160" s="24" t="s">
        <v>28</v>
      </c>
      <c r="G160" s="24" t="s">
        <v>65</v>
      </c>
      <c r="H160" s="24" t="s">
        <v>37</v>
      </c>
      <c r="I160" s="25">
        <v>46002.627754629626</v>
      </c>
      <c r="J160" s="24" t="s">
        <v>5073</v>
      </c>
      <c r="K160" s="24" t="s">
        <v>32</v>
      </c>
    </row>
    <row r="161" spans="3:11" x14ac:dyDescent="0.25">
      <c r="C161" s="24">
        <v>23595571</v>
      </c>
      <c r="D161" s="25">
        <v>45981.635254629633</v>
      </c>
      <c r="E161" s="24" t="s">
        <v>27</v>
      </c>
      <c r="F161" s="24" t="s">
        <v>28</v>
      </c>
      <c r="G161" s="24" t="s">
        <v>68</v>
      </c>
      <c r="H161" s="24" t="s">
        <v>31</v>
      </c>
      <c r="I161" s="25">
        <v>45996.635254629633</v>
      </c>
      <c r="J161" s="24" t="s">
        <v>5075</v>
      </c>
      <c r="K161" s="24" t="s">
        <v>92</v>
      </c>
    </row>
    <row r="162" spans="3:11" x14ac:dyDescent="0.25">
      <c r="C162" s="24">
        <v>23595614</v>
      </c>
      <c r="D162" s="25">
        <v>45981.648796296293</v>
      </c>
      <c r="E162" s="24" t="s">
        <v>27</v>
      </c>
      <c r="F162" s="24" t="s">
        <v>28</v>
      </c>
      <c r="G162" s="24" t="s">
        <v>73</v>
      </c>
      <c r="H162" s="24" t="s">
        <v>31</v>
      </c>
      <c r="I162" s="25">
        <v>45996.648796296293</v>
      </c>
      <c r="J162" s="24" t="s">
        <v>5077</v>
      </c>
      <c r="K162" s="24" t="s">
        <v>92</v>
      </c>
    </row>
    <row r="163" spans="3:11" x14ac:dyDescent="0.25">
      <c r="C163" s="24">
        <v>23595670</v>
      </c>
      <c r="D163" s="25">
        <v>45986.516134259262</v>
      </c>
      <c r="E163" s="24" t="s">
        <v>27</v>
      </c>
      <c r="F163" s="24" t="s">
        <v>28</v>
      </c>
      <c r="G163" s="24" t="s">
        <v>39</v>
      </c>
      <c r="H163" s="24" t="s">
        <v>37</v>
      </c>
      <c r="I163" s="25">
        <v>45996.516134259262</v>
      </c>
      <c r="J163" s="24" t="s">
        <v>5079</v>
      </c>
      <c r="K163" s="24" t="s">
        <v>92</v>
      </c>
    </row>
    <row r="164" spans="3:11" x14ac:dyDescent="0.25">
      <c r="C164" s="24">
        <v>23595795</v>
      </c>
      <c r="D164" s="25">
        <v>45994.523020833331</v>
      </c>
      <c r="E164" s="24" t="s">
        <v>27</v>
      </c>
      <c r="F164" s="24" t="s">
        <v>28</v>
      </c>
      <c r="G164" s="24" t="s">
        <v>39</v>
      </c>
      <c r="H164" s="24" t="s">
        <v>31</v>
      </c>
      <c r="I164" s="25">
        <v>46002.523020833331</v>
      </c>
      <c r="J164" s="24" t="s">
        <v>5081</v>
      </c>
      <c r="K164" s="24" t="s">
        <v>32</v>
      </c>
    </row>
    <row r="165" spans="3:11" x14ac:dyDescent="0.25">
      <c r="C165" s="24">
        <v>23595813</v>
      </c>
      <c r="D165" s="25">
        <v>45993.545289351852</v>
      </c>
      <c r="E165" s="24" t="s">
        <v>27</v>
      </c>
      <c r="F165" s="24" t="s">
        <v>28</v>
      </c>
      <c r="G165" s="24" t="s">
        <v>29</v>
      </c>
      <c r="H165" s="24" t="s">
        <v>31</v>
      </c>
      <c r="I165" s="25">
        <v>46003.545289351852</v>
      </c>
      <c r="J165" s="24" t="s">
        <v>3191</v>
      </c>
      <c r="K165" s="24" t="s">
        <v>32</v>
      </c>
    </row>
    <row r="166" spans="3:11" x14ac:dyDescent="0.25">
      <c r="C166" s="24">
        <v>23596476</v>
      </c>
      <c r="D166" s="25">
        <v>45982.450902777775</v>
      </c>
      <c r="E166" s="24" t="s">
        <v>27</v>
      </c>
      <c r="F166" s="24" t="s">
        <v>28</v>
      </c>
      <c r="G166" s="24" t="s">
        <v>73</v>
      </c>
      <c r="H166" s="24" t="s">
        <v>31</v>
      </c>
      <c r="I166" s="25">
        <v>46000.450902777775</v>
      </c>
      <c r="J166" s="24" t="s">
        <v>5084</v>
      </c>
      <c r="K166" s="24" t="s">
        <v>48</v>
      </c>
    </row>
    <row r="167" spans="3:11" x14ac:dyDescent="0.25">
      <c r="C167" s="24">
        <v>23596556</v>
      </c>
      <c r="D167" s="25">
        <v>45982.48810185185</v>
      </c>
      <c r="E167" s="24" t="s">
        <v>27</v>
      </c>
      <c r="F167" s="24" t="s">
        <v>28</v>
      </c>
      <c r="G167" s="24" t="s">
        <v>50</v>
      </c>
      <c r="H167" s="24" t="s">
        <v>31</v>
      </c>
      <c r="I167" s="25">
        <v>46000.48810185185</v>
      </c>
      <c r="J167" s="24" t="s">
        <v>5087</v>
      </c>
      <c r="K167" s="24" t="s">
        <v>48</v>
      </c>
    </row>
    <row r="168" spans="3:11" x14ac:dyDescent="0.25">
      <c r="C168" s="24">
        <v>23597482</v>
      </c>
      <c r="D168" s="25">
        <v>45985.302499999998</v>
      </c>
      <c r="E168" s="24" t="s">
        <v>43</v>
      </c>
      <c r="F168" s="24" t="s">
        <v>44</v>
      </c>
      <c r="G168" s="24" t="s">
        <v>65</v>
      </c>
      <c r="H168" s="24" t="s">
        <v>31</v>
      </c>
      <c r="I168" s="25">
        <v>45996.302499999998</v>
      </c>
      <c r="J168" s="24" t="s">
        <v>46</v>
      </c>
      <c r="K168" s="24" t="s">
        <v>46</v>
      </c>
    </row>
    <row r="169" spans="3:11" x14ac:dyDescent="0.25">
      <c r="C169" s="24">
        <v>23597539</v>
      </c>
      <c r="D169" s="25">
        <v>45985.369629629633</v>
      </c>
      <c r="E169" s="24" t="s">
        <v>27</v>
      </c>
      <c r="F169" s="24" t="s">
        <v>28</v>
      </c>
      <c r="G169" s="24" t="s">
        <v>29</v>
      </c>
      <c r="H169" s="24" t="s">
        <v>37</v>
      </c>
      <c r="I169" s="25">
        <v>46000.369629629633</v>
      </c>
      <c r="J169" s="24" t="s">
        <v>5090</v>
      </c>
      <c r="K169" s="24" t="s">
        <v>48</v>
      </c>
    </row>
    <row r="170" spans="3:11" x14ac:dyDescent="0.25">
      <c r="C170" s="24">
        <v>23597974</v>
      </c>
      <c r="D170" s="25">
        <v>45995.418935185182</v>
      </c>
      <c r="E170" s="24" t="s">
        <v>27</v>
      </c>
      <c r="F170" s="24" t="s">
        <v>28</v>
      </c>
      <c r="G170" s="24" t="s">
        <v>45</v>
      </c>
      <c r="H170" s="24" t="s">
        <v>31</v>
      </c>
      <c r="I170" s="25">
        <v>46003.418935185182</v>
      </c>
      <c r="J170" s="24" t="s">
        <v>1140</v>
      </c>
      <c r="K170" s="24" t="s">
        <v>32</v>
      </c>
    </row>
    <row r="171" spans="3:11" x14ac:dyDescent="0.25">
      <c r="C171" s="24">
        <v>23598744</v>
      </c>
      <c r="D171" s="25">
        <v>45986.36314814815</v>
      </c>
      <c r="E171" s="24" t="s">
        <v>27</v>
      </c>
      <c r="F171" s="24" t="s">
        <v>28</v>
      </c>
      <c r="G171" s="24" t="s">
        <v>65</v>
      </c>
      <c r="H171" s="24" t="s">
        <v>31</v>
      </c>
      <c r="I171" s="25">
        <v>46000.36314814815</v>
      </c>
      <c r="J171" s="24" t="s">
        <v>5092</v>
      </c>
      <c r="K171" s="24" t="s">
        <v>48</v>
      </c>
    </row>
    <row r="172" spans="3:11" x14ac:dyDescent="0.25">
      <c r="C172" s="24">
        <v>23598893</v>
      </c>
      <c r="D172" s="25">
        <v>45993.491932870369</v>
      </c>
      <c r="E172" s="24" t="s">
        <v>27</v>
      </c>
      <c r="F172" s="24" t="s">
        <v>28</v>
      </c>
      <c r="G172" s="24" t="s">
        <v>29</v>
      </c>
      <c r="H172" s="24" t="s">
        <v>31</v>
      </c>
      <c r="I172" s="25">
        <v>46003.491932870369</v>
      </c>
      <c r="J172" s="24" t="s">
        <v>5094</v>
      </c>
      <c r="K172" s="24" t="s">
        <v>32</v>
      </c>
    </row>
    <row r="173" spans="3:11" x14ac:dyDescent="0.25">
      <c r="C173" s="24">
        <v>23598895</v>
      </c>
      <c r="D173" s="25">
        <v>45993.491307870368</v>
      </c>
      <c r="E173" s="24" t="s">
        <v>27</v>
      </c>
      <c r="F173" s="24" t="s">
        <v>28</v>
      </c>
      <c r="G173" s="24" t="s">
        <v>29</v>
      </c>
      <c r="H173" s="24" t="s">
        <v>31</v>
      </c>
      <c r="I173" s="25">
        <v>46003.491307870368</v>
      </c>
      <c r="J173" s="24" t="s">
        <v>3426</v>
      </c>
      <c r="K173" s="24" t="s">
        <v>32</v>
      </c>
    </row>
    <row r="174" spans="3:11" x14ac:dyDescent="0.25">
      <c r="C174" s="24">
        <v>23598919</v>
      </c>
      <c r="D174" s="25">
        <v>45986.423043981478</v>
      </c>
      <c r="E174" s="24" t="s">
        <v>27</v>
      </c>
      <c r="F174" s="24" t="s">
        <v>28</v>
      </c>
      <c r="G174" s="24" t="s">
        <v>68</v>
      </c>
      <c r="H174" s="24" t="s">
        <v>31</v>
      </c>
      <c r="I174" s="25">
        <v>46002.423043981478</v>
      </c>
      <c r="J174" s="24" t="s">
        <v>5097</v>
      </c>
      <c r="K174" s="24" t="s">
        <v>32</v>
      </c>
    </row>
    <row r="175" spans="3:11" x14ac:dyDescent="0.25">
      <c r="C175" s="24">
        <v>23598924</v>
      </c>
      <c r="D175" s="25">
        <v>45986.424791666665</v>
      </c>
      <c r="E175" s="24" t="s">
        <v>27</v>
      </c>
      <c r="F175" s="24" t="s">
        <v>28</v>
      </c>
      <c r="G175" s="24" t="s">
        <v>68</v>
      </c>
      <c r="H175" s="24" t="s">
        <v>31</v>
      </c>
      <c r="I175" s="25">
        <v>46002.424791666665</v>
      </c>
      <c r="J175" s="24" t="s">
        <v>5099</v>
      </c>
      <c r="K175" s="24" t="s">
        <v>32</v>
      </c>
    </row>
    <row r="176" spans="3:11" x14ac:dyDescent="0.25">
      <c r="C176" s="24">
        <v>23599278</v>
      </c>
      <c r="D176" s="25">
        <v>45986.50503472222</v>
      </c>
      <c r="E176" s="24" t="s">
        <v>55</v>
      </c>
      <c r="F176" s="24" t="s">
        <v>56</v>
      </c>
      <c r="G176" s="24" t="s">
        <v>68</v>
      </c>
      <c r="H176" s="24" t="s">
        <v>37</v>
      </c>
      <c r="I176" s="25">
        <v>46002.50503472222</v>
      </c>
      <c r="J176" s="24" t="s">
        <v>5101</v>
      </c>
      <c r="K176" s="24" t="s">
        <v>32</v>
      </c>
    </row>
    <row r="177" spans="3:11" x14ac:dyDescent="0.25">
      <c r="C177" s="24">
        <v>23599287</v>
      </c>
      <c r="D177" s="25">
        <v>45992.408263888887</v>
      </c>
      <c r="E177" s="24" t="s">
        <v>27</v>
      </c>
      <c r="F177" s="24" t="s">
        <v>28</v>
      </c>
      <c r="G177" s="24" t="s">
        <v>45</v>
      </c>
      <c r="H177" s="24" t="s">
        <v>37</v>
      </c>
      <c r="I177" s="25">
        <v>46003.408263888887</v>
      </c>
      <c r="J177" s="24" t="s">
        <v>5014</v>
      </c>
      <c r="K177" s="24" t="s">
        <v>32</v>
      </c>
    </row>
    <row r="178" spans="3:11" x14ac:dyDescent="0.25">
      <c r="C178" s="24">
        <v>23599346</v>
      </c>
      <c r="D178" s="25">
        <v>45992.655358796299</v>
      </c>
      <c r="E178" s="24" t="s">
        <v>27</v>
      </c>
      <c r="F178" s="24" t="s">
        <v>28</v>
      </c>
      <c r="G178" s="24" t="s">
        <v>50</v>
      </c>
      <c r="H178" s="24" t="s">
        <v>31</v>
      </c>
      <c r="I178" s="25">
        <v>46008.655358796299</v>
      </c>
      <c r="J178" s="24" t="s">
        <v>5103</v>
      </c>
      <c r="K178" s="24" t="s">
        <v>32</v>
      </c>
    </row>
    <row r="179" spans="3:11" x14ac:dyDescent="0.25">
      <c r="C179" s="24">
        <v>23599392</v>
      </c>
      <c r="D179" s="25">
        <v>45994.444976851853</v>
      </c>
      <c r="E179" s="24" t="s">
        <v>27</v>
      </c>
      <c r="F179" s="24" t="s">
        <v>28</v>
      </c>
      <c r="G179" s="24" t="s">
        <v>39</v>
      </c>
      <c r="H179" s="24" t="s">
        <v>31</v>
      </c>
      <c r="I179" s="25">
        <v>46002.444976851853</v>
      </c>
      <c r="J179" s="24" t="s">
        <v>3302</v>
      </c>
      <c r="K179" s="24" t="s">
        <v>32</v>
      </c>
    </row>
    <row r="180" spans="3:11" x14ac:dyDescent="0.25">
      <c r="C180" s="24">
        <v>23599602</v>
      </c>
      <c r="D180" s="25">
        <v>45986.595092592594</v>
      </c>
      <c r="E180" s="24" t="s">
        <v>27</v>
      </c>
      <c r="F180" s="24" t="s">
        <v>28</v>
      </c>
      <c r="G180" s="24" t="s">
        <v>65</v>
      </c>
      <c r="H180" s="24" t="s">
        <v>31</v>
      </c>
      <c r="I180" s="25">
        <v>46000.595092592594</v>
      </c>
      <c r="J180" s="24" t="s">
        <v>5105</v>
      </c>
      <c r="K180" s="24" t="s">
        <v>48</v>
      </c>
    </row>
    <row r="181" spans="3:11" x14ac:dyDescent="0.25">
      <c r="C181" s="24">
        <v>23599660</v>
      </c>
      <c r="D181" s="25">
        <v>45986.602662037039</v>
      </c>
      <c r="E181" s="24" t="s">
        <v>27</v>
      </c>
      <c r="F181" s="24" t="s">
        <v>28</v>
      </c>
      <c r="G181" s="24" t="s">
        <v>68</v>
      </c>
      <c r="H181" s="24" t="s">
        <v>31</v>
      </c>
      <c r="I181" s="25">
        <v>46002.602662037039</v>
      </c>
      <c r="J181" s="24" t="s">
        <v>1691</v>
      </c>
      <c r="K181" s="24" t="s">
        <v>32</v>
      </c>
    </row>
    <row r="182" spans="3:11" x14ac:dyDescent="0.25">
      <c r="C182" s="24">
        <v>23599802</v>
      </c>
      <c r="D182" s="25">
        <v>45986.662395833337</v>
      </c>
      <c r="E182" s="24" t="s">
        <v>27</v>
      </c>
      <c r="F182" s="24" t="s">
        <v>28</v>
      </c>
      <c r="G182" s="24" t="s">
        <v>50</v>
      </c>
      <c r="H182" s="24" t="s">
        <v>31</v>
      </c>
      <c r="I182" s="25">
        <v>46002.662395833337</v>
      </c>
      <c r="J182" s="24" t="s">
        <v>5108</v>
      </c>
      <c r="K182" s="24" t="s">
        <v>32</v>
      </c>
    </row>
    <row r="183" spans="3:11" x14ac:dyDescent="0.25">
      <c r="C183" s="24">
        <v>23599807</v>
      </c>
      <c r="D183" s="25">
        <v>45986.664664351854</v>
      </c>
      <c r="E183" s="24" t="s">
        <v>27</v>
      </c>
      <c r="F183" s="24" t="s">
        <v>28</v>
      </c>
      <c r="G183" s="24" t="s">
        <v>50</v>
      </c>
      <c r="H183" s="24" t="s">
        <v>31</v>
      </c>
      <c r="I183" s="25">
        <v>46002.664664351854</v>
      </c>
      <c r="J183" s="24" t="s">
        <v>3185</v>
      </c>
      <c r="K183" s="24" t="s">
        <v>32</v>
      </c>
    </row>
    <row r="184" spans="3:11" x14ac:dyDescent="0.25">
      <c r="C184" s="24">
        <v>23599830</v>
      </c>
      <c r="D184" s="25">
        <v>45986.676990740743</v>
      </c>
      <c r="E184" s="24" t="s">
        <v>27</v>
      </c>
      <c r="F184" s="24" t="s">
        <v>28</v>
      </c>
      <c r="G184" s="24" t="s">
        <v>50</v>
      </c>
      <c r="H184" s="24" t="s">
        <v>31</v>
      </c>
      <c r="I184" s="25">
        <v>46002.676990740743</v>
      </c>
      <c r="J184" s="24" t="s">
        <v>5111</v>
      </c>
      <c r="K184" s="24" t="s">
        <v>32</v>
      </c>
    </row>
    <row r="185" spans="3:11" x14ac:dyDescent="0.25">
      <c r="C185" s="24">
        <v>23599837</v>
      </c>
      <c r="D185" s="25">
        <v>45986.679097222222</v>
      </c>
      <c r="E185" s="24" t="s">
        <v>27</v>
      </c>
      <c r="F185" s="24" t="s">
        <v>28</v>
      </c>
      <c r="G185" s="24" t="s">
        <v>50</v>
      </c>
      <c r="H185" s="24" t="s">
        <v>31</v>
      </c>
      <c r="I185" s="25">
        <v>46002.679097222222</v>
      </c>
      <c r="J185" s="24" t="s">
        <v>5113</v>
      </c>
      <c r="K185" s="24" t="s">
        <v>32</v>
      </c>
    </row>
    <row r="186" spans="3:11" x14ac:dyDescent="0.25">
      <c r="C186" s="24">
        <v>23599896</v>
      </c>
      <c r="D186" s="25">
        <v>45986.725555555553</v>
      </c>
      <c r="E186" s="24" t="s">
        <v>27</v>
      </c>
      <c r="F186" s="24" t="s">
        <v>28</v>
      </c>
      <c r="G186" s="24" t="s">
        <v>65</v>
      </c>
      <c r="H186" s="24" t="s">
        <v>31</v>
      </c>
      <c r="I186" s="25">
        <v>46000.725555555553</v>
      </c>
      <c r="J186" s="24" t="s">
        <v>5115</v>
      </c>
      <c r="K186" s="24" t="s">
        <v>48</v>
      </c>
    </row>
    <row r="187" spans="3:11" x14ac:dyDescent="0.25">
      <c r="C187" s="24">
        <v>23600299</v>
      </c>
      <c r="D187" s="25">
        <v>45987.374143518522</v>
      </c>
      <c r="E187" s="24" t="s">
        <v>27</v>
      </c>
      <c r="F187" s="24" t="s">
        <v>28</v>
      </c>
      <c r="G187" s="24" t="s">
        <v>50</v>
      </c>
      <c r="H187" s="24" t="s">
        <v>31</v>
      </c>
      <c r="I187" s="25">
        <v>46003.374143518522</v>
      </c>
      <c r="J187" s="24" t="s">
        <v>1130</v>
      </c>
      <c r="K187" s="24" t="s">
        <v>32</v>
      </c>
    </row>
    <row r="188" spans="3:11" x14ac:dyDescent="0.25">
      <c r="C188" s="24">
        <v>23600529</v>
      </c>
      <c r="D188" s="25">
        <v>45987.488576388889</v>
      </c>
      <c r="E188" s="24" t="s">
        <v>27</v>
      </c>
      <c r="F188" s="24" t="s">
        <v>28</v>
      </c>
      <c r="G188" s="24" t="s">
        <v>68</v>
      </c>
      <c r="H188" s="24" t="s">
        <v>31</v>
      </c>
      <c r="I188" s="25">
        <v>46003.488576388889</v>
      </c>
      <c r="J188" s="24" t="s">
        <v>3425</v>
      </c>
      <c r="K188" s="24" t="s">
        <v>32</v>
      </c>
    </row>
    <row r="189" spans="3:11" x14ac:dyDescent="0.25">
      <c r="C189" s="24">
        <v>23600530</v>
      </c>
      <c r="D189" s="25">
        <v>45993.452418981484</v>
      </c>
      <c r="E189" s="24" t="s">
        <v>57</v>
      </c>
      <c r="F189" s="24" t="s">
        <v>58</v>
      </c>
      <c r="G189" s="24" t="s">
        <v>42</v>
      </c>
      <c r="H189" s="24" t="s">
        <v>31</v>
      </c>
      <c r="I189" s="25">
        <v>46003.452418981484</v>
      </c>
      <c r="J189" s="24" t="s">
        <v>3132</v>
      </c>
      <c r="K189" s="24" t="s">
        <v>32</v>
      </c>
    </row>
    <row r="190" spans="3:11" x14ac:dyDescent="0.25">
      <c r="C190" s="24">
        <v>23600532</v>
      </c>
      <c r="D190" s="25">
        <v>45987.490208333336</v>
      </c>
      <c r="E190" s="24" t="s">
        <v>27</v>
      </c>
      <c r="F190" s="24" t="s">
        <v>28</v>
      </c>
      <c r="G190" s="24" t="s">
        <v>73</v>
      </c>
      <c r="H190" s="24" t="s">
        <v>31</v>
      </c>
      <c r="I190" s="25">
        <v>46003.490208333336</v>
      </c>
      <c r="J190" s="24" t="s">
        <v>5118</v>
      </c>
      <c r="K190" s="24" t="s">
        <v>32</v>
      </c>
    </row>
    <row r="191" spans="3:11" x14ac:dyDescent="0.25">
      <c r="C191" s="24">
        <v>23600534</v>
      </c>
      <c r="D191" s="25">
        <v>45995.569664351853</v>
      </c>
      <c r="E191" s="24" t="s">
        <v>47</v>
      </c>
      <c r="F191" s="24" t="s">
        <v>62</v>
      </c>
      <c r="G191" s="24" t="s">
        <v>29</v>
      </c>
      <c r="H191" s="24" t="s">
        <v>31</v>
      </c>
      <c r="I191" s="25">
        <v>46007.569664351853</v>
      </c>
      <c r="J191" s="24" t="s">
        <v>5120</v>
      </c>
      <c r="K191" s="24" t="s">
        <v>32</v>
      </c>
    </row>
    <row r="192" spans="3:11" x14ac:dyDescent="0.25">
      <c r="C192" s="24">
        <v>23600683</v>
      </c>
      <c r="D192" s="25">
        <v>45987.550428240742</v>
      </c>
      <c r="E192" s="24" t="s">
        <v>27</v>
      </c>
      <c r="F192" s="24" t="s">
        <v>28</v>
      </c>
      <c r="G192" s="24" t="s">
        <v>65</v>
      </c>
      <c r="H192" s="24" t="s">
        <v>31</v>
      </c>
      <c r="I192" s="25">
        <v>46001.550428240742</v>
      </c>
      <c r="J192" s="24" t="s">
        <v>5122</v>
      </c>
      <c r="K192" s="24" t="s">
        <v>48</v>
      </c>
    </row>
    <row r="193" spans="3:11" x14ac:dyDescent="0.25">
      <c r="C193" s="24">
        <v>23600775</v>
      </c>
      <c r="D193" s="25">
        <v>45995.441111111111</v>
      </c>
      <c r="E193" s="24" t="s">
        <v>43</v>
      </c>
      <c r="F193" s="24" t="s">
        <v>44</v>
      </c>
      <c r="G193" s="24" t="s">
        <v>60</v>
      </c>
      <c r="H193" s="24" t="s">
        <v>31</v>
      </c>
      <c r="I193" s="25">
        <v>46002.441111111111</v>
      </c>
      <c r="J193" s="24" t="s">
        <v>1689</v>
      </c>
      <c r="K193" s="24" t="s">
        <v>32</v>
      </c>
    </row>
    <row r="194" spans="3:11" x14ac:dyDescent="0.25">
      <c r="C194" s="24">
        <v>23600794</v>
      </c>
      <c r="D194" s="25">
        <v>45987.613935185182</v>
      </c>
      <c r="E194" s="24" t="s">
        <v>43</v>
      </c>
      <c r="F194" s="24" t="s">
        <v>44</v>
      </c>
      <c r="G194" s="24" t="s">
        <v>68</v>
      </c>
      <c r="H194" s="24" t="s">
        <v>31</v>
      </c>
      <c r="I194" s="25">
        <v>46003.613935185182</v>
      </c>
      <c r="J194" s="24" t="s">
        <v>3178</v>
      </c>
      <c r="K194" s="24" t="s">
        <v>32</v>
      </c>
    </row>
    <row r="195" spans="3:11" x14ac:dyDescent="0.25">
      <c r="C195" s="24">
        <v>23600964</v>
      </c>
      <c r="D195" s="25">
        <v>45987.702268518522</v>
      </c>
      <c r="E195" s="24" t="s">
        <v>47</v>
      </c>
      <c r="F195" s="24" t="s">
        <v>62</v>
      </c>
      <c r="G195" s="24" t="s">
        <v>42</v>
      </c>
      <c r="H195" s="24" t="s">
        <v>31</v>
      </c>
      <c r="I195" s="25">
        <v>45996.702268518522</v>
      </c>
      <c r="J195" s="24" t="s">
        <v>5124</v>
      </c>
      <c r="K195" s="24" t="s">
        <v>92</v>
      </c>
    </row>
    <row r="196" spans="3:11" x14ac:dyDescent="0.25">
      <c r="C196" s="24">
        <v>23600994</v>
      </c>
      <c r="D196" s="25">
        <v>45987.722233796296</v>
      </c>
      <c r="E196" s="24" t="s">
        <v>27</v>
      </c>
      <c r="F196" s="24" t="s">
        <v>28</v>
      </c>
      <c r="G196" s="24" t="s">
        <v>65</v>
      </c>
      <c r="H196" s="24" t="s">
        <v>31</v>
      </c>
      <c r="I196" s="25">
        <v>46001.722233796296</v>
      </c>
      <c r="J196" s="24" t="s">
        <v>5126</v>
      </c>
      <c r="K196" s="24" t="s">
        <v>48</v>
      </c>
    </row>
    <row r="197" spans="3:11" x14ac:dyDescent="0.25">
      <c r="C197" s="24">
        <v>23600995</v>
      </c>
      <c r="D197" s="25">
        <v>45992.615347222221</v>
      </c>
      <c r="E197" s="24" t="s">
        <v>27</v>
      </c>
      <c r="F197" s="24" t="s">
        <v>28</v>
      </c>
      <c r="G197" s="24" t="s">
        <v>71</v>
      </c>
      <c r="H197" s="24" t="s">
        <v>31</v>
      </c>
      <c r="I197" s="25">
        <v>46002.615347222221</v>
      </c>
      <c r="J197" s="24" t="s">
        <v>1683</v>
      </c>
      <c r="K197" s="24" t="s">
        <v>32</v>
      </c>
    </row>
    <row r="198" spans="3:11" x14ac:dyDescent="0.25">
      <c r="C198" s="24">
        <v>23601006</v>
      </c>
      <c r="D198" s="25">
        <v>45992.614224537036</v>
      </c>
      <c r="E198" s="24" t="s">
        <v>27</v>
      </c>
      <c r="F198" s="24" t="s">
        <v>28</v>
      </c>
      <c r="G198" s="24" t="s">
        <v>71</v>
      </c>
      <c r="H198" s="24" t="s">
        <v>31</v>
      </c>
      <c r="I198" s="25">
        <v>46002.614224537036</v>
      </c>
      <c r="J198" s="24" t="s">
        <v>1678</v>
      </c>
      <c r="K198" s="24" t="s">
        <v>32</v>
      </c>
    </row>
    <row r="199" spans="3:11" x14ac:dyDescent="0.25">
      <c r="C199" s="24">
        <v>23601024</v>
      </c>
      <c r="D199" s="25">
        <v>45987.755567129629</v>
      </c>
      <c r="E199" s="24" t="s">
        <v>27</v>
      </c>
      <c r="F199" s="24" t="s">
        <v>28</v>
      </c>
      <c r="G199" s="24" t="s">
        <v>65</v>
      </c>
      <c r="H199" s="24" t="s">
        <v>31</v>
      </c>
      <c r="I199" s="25">
        <v>46001.755567129629</v>
      </c>
      <c r="J199" s="24" t="s">
        <v>5128</v>
      </c>
      <c r="K199" s="24" t="s">
        <v>48</v>
      </c>
    </row>
    <row r="200" spans="3:11" x14ac:dyDescent="0.25">
      <c r="C200" s="24">
        <v>23601247</v>
      </c>
      <c r="D200" s="25">
        <v>45995.398009259261</v>
      </c>
      <c r="E200" s="24" t="s">
        <v>27</v>
      </c>
      <c r="F200" s="24" t="s">
        <v>28</v>
      </c>
      <c r="G200" s="24" t="s">
        <v>45</v>
      </c>
      <c r="H200" s="24" t="s">
        <v>31</v>
      </c>
      <c r="I200" s="25">
        <v>46003.398009259261</v>
      </c>
      <c r="J200" s="24" t="s">
        <v>5130</v>
      </c>
      <c r="K200" s="24" t="s">
        <v>32</v>
      </c>
    </row>
    <row r="201" spans="3:11" x14ac:dyDescent="0.25">
      <c r="C201" s="24">
        <v>23601257</v>
      </c>
      <c r="D201" s="25">
        <v>45988.347546296296</v>
      </c>
      <c r="E201" s="24" t="s">
        <v>27</v>
      </c>
      <c r="F201" s="24" t="s">
        <v>28</v>
      </c>
      <c r="G201" s="24" t="s">
        <v>60</v>
      </c>
      <c r="H201" s="24" t="s">
        <v>31</v>
      </c>
      <c r="I201" s="25">
        <v>45994.347546296296</v>
      </c>
      <c r="J201" s="24" t="s">
        <v>46</v>
      </c>
      <c r="K201" s="24" t="s">
        <v>46</v>
      </c>
    </row>
    <row r="202" spans="3:11" x14ac:dyDescent="0.25">
      <c r="C202" s="24">
        <v>23601291</v>
      </c>
      <c r="D202" s="25">
        <v>45988.368645833332</v>
      </c>
      <c r="E202" s="24" t="s">
        <v>27</v>
      </c>
      <c r="F202" s="24" t="s">
        <v>28</v>
      </c>
      <c r="G202" s="24" t="s">
        <v>29</v>
      </c>
      <c r="H202" s="24" t="s">
        <v>37</v>
      </c>
      <c r="I202" s="25">
        <v>46003.368645833332</v>
      </c>
      <c r="J202" s="24" t="s">
        <v>5133</v>
      </c>
      <c r="K202" s="24" t="s">
        <v>32</v>
      </c>
    </row>
    <row r="203" spans="3:11" x14ac:dyDescent="0.25">
      <c r="C203" s="24">
        <v>23601300</v>
      </c>
      <c r="D203" s="25">
        <v>45988.373680555553</v>
      </c>
      <c r="E203" s="24" t="s">
        <v>27</v>
      </c>
      <c r="F203" s="24" t="s">
        <v>28</v>
      </c>
      <c r="G203" s="24" t="s">
        <v>65</v>
      </c>
      <c r="H203" s="24" t="s">
        <v>31</v>
      </c>
      <c r="I203" s="25">
        <v>46002.373680555553</v>
      </c>
      <c r="J203" s="24" t="s">
        <v>5134</v>
      </c>
      <c r="K203" s="24" t="s">
        <v>32</v>
      </c>
    </row>
    <row r="204" spans="3:11" x14ac:dyDescent="0.25">
      <c r="C204" s="24">
        <v>23601329</v>
      </c>
      <c r="D204" s="25">
        <v>45995.398333333331</v>
      </c>
      <c r="E204" s="24" t="s">
        <v>27</v>
      </c>
      <c r="F204" s="24" t="s">
        <v>28</v>
      </c>
      <c r="G204" s="24" t="s">
        <v>45</v>
      </c>
      <c r="H204" s="24" t="s">
        <v>31</v>
      </c>
      <c r="I204" s="25">
        <v>46003.398333333331</v>
      </c>
      <c r="J204" s="24" t="s">
        <v>5130</v>
      </c>
      <c r="K204" s="24" t="s">
        <v>32</v>
      </c>
    </row>
    <row r="205" spans="3:11" x14ac:dyDescent="0.25">
      <c r="C205" s="24">
        <v>23601392</v>
      </c>
      <c r="D205" s="25">
        <v>45989.620138888888</v>
      </c>
      <c r="E205" s="24" t="s">
        <v>43</v>
      </c>
      <c r="F205" s="24" t="s">
        <v>44</v>
      </c>
      <c r="G205" s="24" t="s">
        <v>71</v>
      </c>
      <c r="H205" s="24" t="s">
        <v>31</v>
      </c>
      <c r="I205" s="25">
        <v>46001.620138888888</v>
      </c>
      <c r="J205" s="24" t="s">
        <v>5135</v>
      </c>
      <c r="K205" s="24" t="s">
        <v>48</v>
      </c>
    </row>
    <row r="206" spans="3:11" x14ac:dyDescent="0.25">
      <c r="C206" s="24">
        <v>23601398</v>
      </c>
      <c r="D206" s="25">
        <v>45988.422453703701</v>
      </c>
      <c r="E206" s="24" t="s">
        <v>27</v>
      </c>
      <c r="F206" s="24" t="s">
        <v>28</v>
      </c>
      <c r="G206" s="24" t="s">
        <v>65</v>
      </c>
      <c r="H206" s="24" t="s">
        <v>37</v>
      </c>
      <c r="I206" s="25">
        <v>46009.422453703701</v>
      </c>
      <c r="J206" s="24" t="s">
        <v>5137</v>
      </c>
      <c r="K206" s="24" t="s">
        <v>32</v>
      </c>
    </row>
    <row r="207" spans="3:11" x14ac:dyDescent="0.25">
      <c r="C207" s="24">
        <v>23601428</v>
      </c>
      <c r="D207" s="25">
        <v>45988.434953703705</v>
      </c>
      <c r="E207" s="24" t="s">
        <v>43</v>
      </c>
      <c r="F207" s="24" t="s">
        <v>44</v>
      </c>
      <c r="G207" s="24" t="s">
        <v>65</v>
      </c>
      <c r="H207" s="24" t="s">
        <v>31</v>
      </c>
      <c r="I207" s="25">
        <v>46002.434953703705</v>
      </c>
      <c r="J207" s="24" t="s">
        <v>1133</v>
      </c>
      <c r="K207" s="24" t="s">
        <v>32</v>
      </c>
    </row>
    <row r="208" spans="3:11" x14ac:dyDescent="0.25">
      <c r="C208" s="24">
        <v>23601439</v>
      </c>
      <c r="D208" s="25">
        <v>45988.440138888887</v>
      </c>
      <c r="E208" s="24" t="s">
        <v>47</v>
      </c>
      <c r="F208" s="24" t="s">
        <v>62</v>
      </c>
      <c r="G208" s="24" t="s">
        <v>98</v>
      </c>
      <c r="H208" s="24" t="s">
        <v>31</v>
      </c>
      <c r="I208" s="25">
        <v>46000.440138888887</v>
      </c>
      <c r="J208" s="24" t="s">
        <v>5140</v>
      </c>
      <c r="K208" s="24" t="s">
        <v>48</v>
      </c>
    </row>
    <row r="209" spans="3:11" x14ac:dyDescent="0.25">
      <c r="C209" s="24">
        <v>23601454</v>
      </c>
      <c r="D209" s="25">
        <v>45995.398657407408</v>
      </c>
      <c r="E209" s="24" t="s">
        <v>27</v>
      </c>
      <c r="F209" s="24" t="s">
        <v>28</v>
      </c>
      <c r="G209" s="24" t="s">
        <v>45</v>
      </c>
      <c r="H209" s="24" t="s">
        <v>31</v>
      </c>
      <c r="I209" s="25">
        <v>46003.398657407408</v>
      </c>
      <c r="J209" s="24" t="s">
        <v>1649</v>
      </c>
      <c r="K209" s="24" t="s">
        <v>32</v>
      </c>
    </row>
    <row r="210" spans="3:11" x14ac:dyDescent="0.25">
      <c r="C210" s="24">
        <v>23601464</v>
      </c>
      <c r="D210" s="25">
        <v>45988.454988425925</v>
      </c>
      <c r="E210" s="24" t="s">
        <v>47</v>
      </c>
      <c r="F210" s="24" t="s">
        <v>62</v>
      </c>
      <c r="G210" s="24" t="s">
        <v>71</v>
      </c>
      <c r="H210" s="24" t="s">
        <v>31</v>
      </c>
      <c r="I210" s="25">
        <v>46000.454988425925</v>
      </c>
      <c r="J210" s="24" t="s">
        <v>5085</v>
      </c>
      <c r="K210" s="24" t="s">
        <v>48</v>
      </c>
    </row>
    <row r="211" spans="3:11" x14ac:dyDescent="0.25">
      <c r="C211" s="24">
        <v>23601467</v>
      </c>
      <c r="D211" s="25">
        <v>45988.455740740741</v>
      </c>
      <c r="E211" s="24" t="s">
        <v>27</v>
      </c>
      <c r="F211" s="24" t="s">
        <v>28</v>
      </c>
      <c r="G211" s="24" t="s">
        <v>65</v>
      </c>
      <c r="H211" s="24" t="s">
        <v>37</v>
      </c>
      <c r="I211" s="25">
        <v>46009.455740740741</v>
      </c>
      <c r="J211" s="24" t="s">
        <v>5142</v>
      </c>
      <c r="K211" s="24" t="s">
        <v>32</v>
      </c>
    </row>
    <row r="212" spans="3:11" x14ac:dyDescent="0.25">
      <c r="C212" s="24">
        <v>23601543</v>
      </c>
      <c r="D212" s="25">
        <v>45994.418773148151</v>
      </c>
      <c r="E212" s="24" t="s">
        <v>27</v>
      </c>
      <c r="F212" s="24" t="s">
        <v>28</v>
      </c>
      <c r="G212" s="24" t="s">
        <v>45</v>
      </c>
      <c r="H212" s="24" t="s">
        <v>31</v>
      </c>
      <c r="I212" s="25">
        <v>46002.418773148151</v>
      </c>
      <c r="J212" s="24" t="s">
        <v>3300</v>
      </c>
      <c r="K212" s="24" t="s">
        <v>32</v>
      </c>
    </row>
    <row r="213" spans="3:11" x14ac:dyDescent="0.25">
      <c r="C213" s="24">
        <v>23601545</v>
      </c>
      <c r="D213" s="25">
        <v>45988.499849537038</v>
      </c>
      <c r="E213" s="24" t="s">
        <v>27</v>
      </c>
      <c r="F213" s="24" t="s">
        <v>28</v>
      </c>
      <c r="G213" s="24" t="s">
        <v>65</v>
      </c>
      <c r="H213" s="24" t="s">
        <v>31</v>
      </c>
      <c r="I213" s="25">
        <v>46002.499849537038</v>
      </c>
      <c r="J213" s="24" t="s">
        <v>5144</v>
      </c>
      <c r="K213" s="24" t="s">
        <v>32</v>
      </c>
    </row>
    <row r="214" spans="3:11" x14ac:dyDescent="0.25">
      <c r="C214" s="24">
        <v>23601546</v>
      </c>
      <c r="D214" s="25">
        <v>45995.259548611109</v>
      </c>
      <c r="E214" s="24" t="s">
        <v>27</v>
      </c>
      <c r="F214" s="24" t="s">
        <v>28</v>
      </c>
      <c r="G214" s="24" t="s">
        <v>45</v>
      </c>
      <c r="H214" s="24" t="s">
        <v>31</v>
      </c>
      <c r="I214" s="25">
        <v>46003.259548611109</v>
      </c>
      <c r="J214" s="24" t="s">
        <v>5146</v>
      </c>
      <c r="K214" s="24" t="s">
        <v>32</v>
      </c>
    </row>
    <row r="215" spans="3:11" x14ac:dyDescent="0.25">
      <c r="C215" s="24">
        <v>23601556</v>
      </c>
      <c r="D215" s="25">
        <v>45988.506377314814</v>
      </c>
      <c r="E215" s="24" t="s">
        <v>53</v>
      </c>
      <c r="F215" s="24" t="s">
        <v>54</v>
      </c>
      <c r="G215" s="24" t="s">
        <v>98</v>
      </c>
      <c r="H215" s="24" t="s">
        <v>31</v>
      </c>
      <c r="I215" s="25">
        <v>46000.506377314814</v>
      </c>
      <c r="J215" s="24" t="s">
        <v>5147</v>
      </c>
      <c r="K215" s="24" t="s">
        <v>48</v>
      </c>
    </row>
    <row r="216" spans="3:11" x14ac:dyDescent="0.25">
      <c r="C216" s="24">
        <v>23601586</v>
      </c>
      <c r="D216" s="25">
        <v>45988.53266203704</v>
      </c>
      <c r="E216" s="24" t="s">
        <v>27</v>
      </c>
      <c r="F216" s="24" t="s">
        <v>28</v>
      </c>
      <c r="G216" s="24" t="s">
        <v>65</v>
      </c>
      <c r="H216" s="24" t="s">
        <v>31</v>
      </c>
      <c r="I216" s="25">
        <v>46002.53266203704</v>
      </c>
      <c r="J216" s="24" t="s">
        <v>3166</v>
      </c>
      <c r="K216" s="24" t="s">
        <v>32</v>
      </c>
    </row>
    <row r="217" spans="3:11" x14ac:dyDescent="0.25">
      <c r="C217" s="24">
        <v>23601590</v>
      </c>
      <c r="D217" s="25">
        <v>45992.524884259263</v>
      </c>
      <c r="E217" s="24" t="s">
        <v>53</v>
      </c>
      <c r="F217" s="24" t="s">
        <v>54</v>
      </c>
      <c r="G217" s="24" t="s">
        <v>29</v>
      </c>
      <c r="H217" s="24" t="s">
        <v>31</v>
      </c>
      <c r="I217" s="25">
        <v>46002.524884259263</v>
      </c>
      <c r="J217" s="24" t="s">
        <v>3181</v>
      </c>
      <c r="K217" s="24" t="s">
        <v>32</v>
      </c>
    </row>
    <row r="218" spans="3:11" x14ac:dyDescent="0.25">
      <c r="C218" s="24">
        <v>23601654</v>
      </c>
      <c r="D218" s="25">
        <v>45988.593807870369</v>
      </c>
      <c r="E218" s="24" t="s">
        <v>27</v>
      </c>
      <c r="F218" s="24" t="s">
        <v>28</v>
      </c>
      <c r="G218" s="24" t="s">
        <v>65</v>
      </c>
      <c r="H218" s="24" t="s">
        <v>37</v>
      </c>
      <c r="I218" s="25">
        <v>46009.593807870369</v>
      </c>
      <c r="J218" s="24" t="s">
        <v>5149</v>
      </c>
      <c r="K218" s="24" t="s">
        <v>32</v>
      </c>
    </row>
    <row r="219" spans="3:11" x14ac:dyDescent="0.25">
      <c r="C219" s="24">
        <v>23601664</v>
      </c>
      <c r="D219" s="25">
        <v>45995.398969907408</v>
      </c>
      <c r="E219" s="24" t="s">
        <v>27</v>
      </c>
      <c r="F219" s="24" t="s">
        <v>28</v>
      </c>
      <c r="G219" s="24" t="s">
        <v>45</v>
      </c>
      <c r="H219" s="24" t="s">
        <v>31</v>
      </c>
      <c r="I219" s="25">
        <v>46003.398969907408</v>
      </c>
      <c r="J219" s="24" t="s">
        <v>1649</v>
      </c>
      <c r="K219" s="24" t="s">
        <v>32</v>
      </c>
    </row>
    <row r="220" spans="3:11" x14ac:dyDescent="0.25">
      <c r="C220" s="24">
        <v>23601680</v>
      </c>
      <c r="D220" s="25">
        <v>45988.607673611114</v>
      </c>
      <c r="E220" s="24" t="s">
        <v>27</v>
      </c>
      <c r="F220" s="24" t="s">
        <v>28</v>
      </c>
      <c r="G220" s="24" t="s">
        <v>29</v>
      </c>
      <c r="H220" s="24" t="s">
        <v>31</v>
      </c>
      <c r="I220" s="25">
        <v>46000.607673611114</v>
      </c>
      <c r="J220" s="24" t="s">
        <v>5151</v>
      </c>
      <c r="K220" s="24" t="s">
        <v>48</v>
      </c>
    </row>
    <row r="221" spans="3:11" x14ac:dyDescent="0.25">
      <c r="C221" s="24">
        <v>23601698</v>
      </c>
      <c r="D221" s="25">
        <v>45995.426921296297</v>
      </c>
      <c r="E221" s="24" t="s">
        <v>43</v>
      </c>
      <c r="F221" s="24" t="s">
        <v>44</v>
      </c>
      <c r="G221" s="24" t="s">
        <v>45</v>
      </c>
      <c r="H221" s="24" t="s">
        <v>31</v>
      </c>
      <c r="I221" s="25">
        <v>46003.426921296297</v>
      </c>
      <c r="J221" s="24" t="s">
        <v>5071</v>
      </c>
      <c r="K221" s="24" t="s">
        <v>32</v>
      </c>
    </row>
    <row r="222" spans="3:11" x14ac:dyDescent="0.25">
      <c r="C222" s="24">
        <v>23601724</v>
      </c>
      <c r="D222" s="25">
        <v>45995.260092592594</v>
      </c>
      <c r="E222" s="24" t="s">
        <v>43</v>
      </c>
      <c r="F222" s="24" t="s">
        <v>44</v>
      </c>
      <c r="G222" s="24" t="s">
        <v>45</v>
      </c>
      <c r="H222" s="24" t="s">
        <v>31</v>
      </c>
      <c r="I222" s="25">
        <v>46003.260092592594</v>
      </c>
      <c r="J222" s="24" t="s">
        <v>5153</v>
      </c>
      <c r="K222" s="24" t="s">
        <v>32</v>
      </c>
    </row>
    <row r="223" spans="3:11" x14ac:dyDescent="0.25">
      <c r="C223" s="24">
        <v>23601738</v>
      </c>
      <c r="D223" s="25">
        <v>45988.630069444444</v>
      </c>
      <c r="E223" s="24" t="s">
        <v>27</v>
      </c>
      <c r="F223" s="24" t="s">
        <v>28</v>
      </c>
      <c r="G223" s="24" t="s">
        <v>29</v>
      </c>
      <c r="H223" s="24" t="s">
        <v>31</v>
      </c>
      <c r="I223" s="25">
        <v>46000.630069444444</v>
      </c>
      <c r="J223" s="24" t="s">
        <v>5155</v>
      </c>
      <c r="K223" s="24" t="s">
        <v>48</v>
      </c>
    </row>
    <row r="224" spans="3:11" x14ac:dyDescent="0.25">
      <c r="C224" s="24">
        <v>23601742</v>
      </c>
      <c r="D224" s="25">
        <v>45993.649861111109</v>
      </c>
      <c r="E224" s="24" t="s">
        <v>27</v>
      </c>
      <c r="F224" s="24" t="s">
        <v>28</v>
      </c>
      <c r="G224" s="24" t="s">
        <v>45</v>
      </c>
      <c r="H224" s="24" t="s">
        <v>31</v>
      </c>
      <c r="I224" s="25">
        <v>46001.649861111109</v>
      </c>
      <c r="J224" s="24" t="s">
        <v>1841</v>
      </c>
      <c r="K224" s="24" t="s">
        <v>48</v>
      </c>
    </row>
    <row r="225" spans="3:11" x14ac:dyDescent="0.25">
      <c r="C225" s="24">
        <v>23601759</v>
      </c>
      <c r="D225" s="25">
        <v>45988.641099537039</v>
      </c>
      <c r="E225" s="24" t="s">
        <v>27</v>
      </c>
      <c r="F225" s="24" t="s">
        <v>28</v>
      </c>
      <c r="G225" s="24" t="s">
        <v>50</v>
      </c>
      <c r="H225" s="24" t="s">
        <v>31</v>
      </c>
      <c r="I225" s="25">
        <v>46006.641099537039</v>
      </c>
      <c r="J225" s="24" t="s">
        <v>2163</v>
      </c>
      <c r="K225" s="24" t="s">
        <v>32</v>
      </c>
    </row>
    <row r="226" spans="3:11" x14ac:dyDescent="0.25">
      <c r="C226" s="24">
        <v>23601761</v>
      </c>
      <c r="D226" s="25">
        <v>45995.426805555559</v>
      </c>
      <c r="E226" s="24" t="s">
        <v>43</v>
      </c>
      <c r="F226" s="24" t="s">
        <v>44</v>
      </c>
      <c r="G226" s="24" t="s">
        <v>50</v>
      </c>
      <c r="H226" s="24" t="s">
        <v>31</v>
      </c>
      <c r="I226" s="25">
        <v>46013.426805555559</v>
      </c>
      <c r="J226" s="24" t="s">
        <v>5156</v>
      </c>
      <c r="K226" s="24" t="s">
        <v>32</v>
      </c>
    </row>
    <row r="227" spans="3:11" x14ac:dyDescent="0.25">
      <c r="C227" s="24">
        <v>23601769</v>
      </c>
      <c r="D227" s="25">
        <v>45988.645509259259</v>
      </c>
      <c r="E227" s="24" t="s">
        <v>27</v>
      </c>
      <c r="F227" s="24" t="s">
        <v>28</v>
      </c>
      <c r="G227" s="24" t="s">
        <v>29</v>
      </c>
      <c r="H227" s="24" t="s">
        <v>31</v>
      </c>
      <c r="I227" s="25">
        <v>46000.645509259259</v>
      </c>
      <c r="J227" s="24" t="s">
        <v>3069</v>
      </c>
      <c r="K227" s="24" t="s">
        <v>48</v>
      </c>
    </row>
    <row r="228" spans="3:11" x14ac:dyDescent="0.25">
      <c r="C228" s="24">
        <v>23601770</v>
      </c>
      <c r="D228" s="25">
        <v>45988.645821759259</v>
      </c>
      <c r="E228" s="24" t="s">
        <v>27</v>
      </c>
      <c r="F228" s="24" t="s">
        <v>28</v>
      </c>
      <c r="G228" s="24" t="s">
        <v>50</v>
      </c>
      <c r="H228" s="24" t="s">
        <v>31</v>
      </c>
      <c r="I228" s="25">
        <v>46006.645821759259</v>
      </c>
      <c r="J228" s="24" t="s">
        <v>3183</v>
      </c>
      <c r="K228" s="24" t="s">
        <v>32</v>
      </c>
    </row>
    <row r="229" spans="3:11" x14ac:dyDescent="0.25">
      <c r="C229" s="24">
        <v>23601776</v>
      </c>
      <c r="D229" s="25">
        <v>45988.647349537037</v>
      </c>
      <c r="E229" s="24" t="s">
        <v>57</v>
      </c>
      <c r="F229" s="24" t="s">
        <v>58</v>
      </c>
      <c r="G229" s="24" t="s">
        <v>65</v>
      </c>
      <c r="H229" s="24" t="s">
        <v>31</v>
      </c>
      <c r="I229" s="25">
        <v>46002.647349537037</v>
      </c>
      <c r="J229" s="24" t="s">
        <v>5158</v>
      </c>
      <c r="K229" s="24" t="s">
        <v>32</v>
      </c>
    </row>
    <row r="230" spans="3:11" x14ac:dyDescent="0.25">
      <c r="C230" s="24">
        <v>23601786</v>
      </c>
      <c r="D230" s="25">
        <v>45988.648726851854</v>
      </c>
      <c r="E230" s="24" t="s">
        <v>27</v>
      </c>
      <c r="F230" s="24" t="s">
        <v>28</v>
      </c>
      <c r="G230" s="24" t="s">
        <v>39</v>
      </c>
      <c r="H230" s="24" t="s">
        <v>37</v>
      </c>
      <c r="I230" s="25">
        <v>46001.648726851854</v>
      </c>
      <c r="J230" s="24" t="s">
        <v>5160</v>
      </c>
      <c r="K230" s="24" t="s">
        <v>48</v>
      </c>
    </row>
    <row r="231" spans="3:11" x14ac:dyDescent="0.25">
      <c r="C231" s="24">
        <v>23601840</v>
      </c>
      <c r="D231" s="25">
        <v>45988.661909722221</v>
      </c>
      <c r="E231" s="24" t="s">
        <v>27</v>
      </c>
      <c r="F231" s="24" t="s">
        <v>28</v>
      </c>
      <c r="G231" s="24" t="s">
        <v>50</v>
      </c>
      <c r="H231" s="24" t="s">
        <v>31</v>
      </c>
      <c r="I231" s="25">
        <v>46006.661909722221</v>
      </c>
      <c r="J231" s="24" t="s">
        <v>1128</v>
      </c>
      <c r="K231" s="24" t="s">
        <v>32</v>
      </c>
    </row>
    <row r="232" spans="3:11" x14ac:dyDescent="0.25">
      <c r="C232" s="24">
        <v>23601864</v>
      </c>
      <c r="D232" s="25">
        <v>45988.665196759262</v>
      </c>
      <c r="E232" s="24" t="s">
        <v>27</v>
      </c>
      <c r="F232" s="24" t="s">
        <v>28</v>
      </c>
      <c r="G232" s="24" t="s">
        <v>39</v>
      </c>
      <c r="H232" s="24" t="s">
        <v>37</v>
      </c>
      <c r="I232" s="25">
        <v>46001.665196759262</v>
      </c>
      <c r="J232" s="24" t="s">
        <v>5162</v>
      </c>
      <c r="K232" s="24" t="s">
        <v>48</v>
      </c>
    </row>
    <row r="233" spans="3:11" x14ac:dyDescent="0.25">
      <c r="C233" s="24">
        <v>23601922</v>
      </c>
      <c r="D233" s="25">
        <v>45988.684560185182</v>
      </c>
      <c r="E233" s="24" t="s">
        <v>27</v>
      </c>
      <c r="F233" s="24" t="s">
        <v>28</v>
      </c>
      <c r="G233" s="24" t="s">
        <v>50</v>
      </c>
      <c r="H233" s="24" t="s">
        <v>31</v>
      </c>
      <c r="I233" s="25">
        <v>46006.684560185182</v>
      </c>
      <c r="J233" s="24" t="s">
        <v>3186</v>
      </c>
      <c r="K233" s="24" t="s">
        <v>32</v>
      </c>
    </row>
    <row r="234" spans="3:11" x14ac:dyDescent="0.25">
      <c r="C234" s="24">
        <v>23601935</v>
      </c>
      <c r="D234" s="25">
        <v>45995.431655092594</v>
      </c>
      <c r="E234" s="24" t="s">
        <v>27</v>
      </c>
      <c r="F234" s="24" t="s">
        <v>28</v>
      </c>
      <c r="G234" s="24" t="s">
        <v>42</v>
      </c>
      <c r="H234" s="24" t="s">
        <v>31</v>
      </c>
      <c r="I234" s="25">
        <v>46007.431655092594</v>
      </c>
      <c r="J234" s="24" t="s">
        <v>5164</v>
      </c>
      <c r="K234" s="24" t="s">
        <v>32</v>
      </c>
    </row>
    <row r="235" spans="3:11" x14ac:dyDescent="0.25">
      <c r="C235" s="24">
        <v>23601941</v>
      </c>
      <c r="D235" s="25">
        <v>45995.426805555559</v>
      </c>
      <c r="E235" s="24" t="s">
        <v>27</v>
      </c>
      <c r="F235" s="24" t="s">
        <v>28</v>
      </c>
      <c r="G235" s="24" t="s">
        <v>29</v>
      </c>
      <c r="H235" s="24" t="s">
        <v>31</v>
      </c>
      <c r="I235" s="25">
        <v>46007.426805555559</v>
      </c>
      <c r="J235" s="24" t="s">
        <v>5165</v>
      </c>
      <c r="K235" s="24" t="s">
        <v>32</v>
      </c>
    </row>
    <row r="236" spans="3:11" x14ac:dyDescent="0.25">
      <c r="C236" s="24">
        <v>23601948</v>
      </c>
      <c r="D236" s="25">
        <v>45988.700624999998</v>
      </c>
      <c r="E236" s="24" t="s">
        <v>27</v>
      </c>
      <c r="F236" s="24" t="s">
        <v>28</v>
      </c>
      <c r="G236" s="24" t="s">
        <v>65</v>
      </c>
      <c r="H236" s="24" t="s">
        <v>31</v>
      </c>
      <c r="I236" s="25">
        <v>46002.700624999998</v>
      </c>
      <c r="J236" s="24" t="s">
        <v>4191</v>
      </c>
      <c r="K236" s="24" t="s">
        <v>32</v>
      </c>
    </row>
    <row r="237" spans="3:11" x14ac:dyDescent="0.25">
      <c r="C237" s="24">
        <v>23601994</v>
      </c>
      <c r="D237" s="25">
        <v>45988.829814814817</v>
      </c>
      <c r="E237" s="24" t="s">
        <v>27</v>
      </c>
      <c r="F237" s="24" t="s">
        <v>28</v>
      </c>
      <c r="G237" s="24" t="s">
        <v>65</v>
      </c>
      <c r="H237" s="24" t="s">
        <v>31</v>
      </c>
      <c r="I237" s="25">
        <v>46002.829814814817</v>
      </c>
      <c r="J237" s="24" t="s">
        <v>5168</v>
      </c>
      <c r="K237" s="24" t="s">
        <v>32</v>
      </c>
    </row>
    <row r="238" spans="3:11" x14ac:dyDescent="0.25">
      <c r="C238" s="24">
        <v>23602071</v>
      </c>
      <c r="D238" s="25">
        <v>45989.295381944445</v>
      </c>
      <c r="E238" s="24" t="s">
        <v>27</v>
      </c>
      <c r="F238" s="24" t="s">
        <v>28</v>
      </c>
      <c r="G238" s="24" t="s">
        <v>50</v>
      </c>
      <c r="H238" s="24" t="s">
        <v>31</v>
      </c>
      <c r="I238" s="25">
        <v>46007.295381944445</v>
      </c>
      <c r="J238" s="24" t="s">
        <v>5170</v>
      </c>
      <c r="K238" s="24" t="s">
        <v>32</v>
      </c>
    </row>
    <row r="239" spans="3:11" x14ac:dyDescent="0.25">
      <c r="C239" s="24">
        <v>23602232</v>
      </c>
      <c r="D239" s="25">
        <v>45994.384305555555</v>
      </c>
      <c r="E239" s="24" t="s">
        <v>27</v>
      </c>
      <c r="F239" s="24" t="s">
        <v>28</v>
      </c>
      <c r="G239" s="24" t="s">
        <v>39</v>
      </c>
      <c r="H239" s="24" t="s">
        <v>31</v>
      </c>
      <c r="I239" s="25">
        <v>46002.384305555555</v>
      </c>
      <c r="J239" s="24" t="s">
        <v>1687</v>
      </c>
      <c r="K239" s="24" t="s">
        <v>32</v>
      </c>
    </row>
    <row r="240" spans="3:11" x14ac:dyDescent="0.25">
      <c r="C240" s="24">
        <v>23602384</v>
      </c>
      <c r="D240" s="25">
        <v>45989.427418981482</v>
      </c>
      <c r="E240" s="24" t="s">
        <v>27</v>
      </c>
      <c r="F240" s="24" t="s">
        <v>28</v>
      </c>
      <c r="G240" s="24" t="s">
        <v>68</v>
      </c>
      <c r="H240" s="24" t="s">
        <v>31</v>
      </c>
      <c r="I240" s="25">
        <v>46007.427418981482</v>
      </c>
      <c r="J240" s="24" t="s">
        <v>5171</v>
      </c>
      <c r="K240" s="24" t="s">
        <v>32</v>
      </c>
    </row>
    <row r="241" spans="3:11" x14ac:dyDescent="0.25">
      <c r="C241" s="24">
        <v>23602390</v>
      </c>
      <c r="D241" s="25">
        <v>45989.431145833332</v>
      </c>
      <c r="E241" s="24" t="s">
        <v>27</v>
      </c>
      <c r="F241" s="24" t="s">
        <v>28</v>
      </c>
      <c r="G241" s="24" t="s">
        <v>65</v>
      </c>
      <c r="H241" s="24" t="s">
        <v>31</v>
      </c>
      <c r="I241" s="25">
        <v>46003.431145833332</v>
      </c>
      <c r="J241" s="24" t="s">
        <v>3189</v>
      </c>
      <c r="K241" s="24" t="s">
        <v>32</v>
      </c>
    </row>
    <row r="242" spans="3:11" x14ac:dyDescent="0.25">
      <c r="C242" s="24">
        <v>23602600</v>
      </c>
      <c r="D242" s="25">
        <v>45989.459166666667</v>
      </c>
      <c r="E242" s="24" t="s">
        <v>27</v>
      </c>
      <c r="F242" s="24" t="s">
        <v>28</v>
      </c>
      <c r="G242" s="24" t="s">
        <v>42</v>
      </c>
      <c r="H242" s="24" t="s">
        <v>37</v>
      </c>
      <c r="I242" s="25">
        <v>46006.459166666667</v>
      </c>
      <c r="J242" s="24" t="s">
        <v>5172</v>
      </c>
      <c r="K242" s="24" t="s">
        <v>32</v>
      </c>
    </row>
    <row r="243" spans="3:11" x14ac:dyDescent="0.25">
      <c r="C243" s="24">
        <v>23602665</v>
      </c>
      <c r="D243" s="25">
        <v>45989.478090277778</v>
      </c>
      <c r="E243" s="24" t="s">
        <v>27</v>
      </c>
      <c r="F243" s="24" t="s">
        <v>28</v>
      </c>
      <c r="G243" s="24" t="s">
        <v>29</v>
      </c>
      <c r="H243" s="24" t="s">
        <v>37</v>
      </c>
      <c r="I243" s="25">
        <v>46006.478090277778</v>
      </c>
      <c r="J243" s="24" t="s">
        <v>5173</v>
      </c>
      <c r="K243" s="24" t="s">
        <v>32</v>
      </c>
    </row>
    <row r="244" spans="3:11" x14ac:dyDescent="0.25">
      <c r="C244" s="24">
        <v>23602677</v>
      </c>
      <c r="D244" s="25">
        <v>45989.485636574071</v>
      </c>
      <c r="E244" s="24" t="s">
        <v>27</v>
      </c>
      <c r="F244" s="24" t="s">
        <v>28</v>
      </c>
      <c r="G244" s="24" t="s">
        <v>29</v>
      </c>
      <c r="H244" s="24" t="s">
        <v>31</v>
      </c>
      <c r="I244" s="25">
        <v>46001.485636574071</v>
      </c>
      <c r="J244" s="24" t="s">
        <v>5175</v>
      </c>
      <c r="K244" s="24" t="s">
        <v>48</v>
      </c>
    </row>
    <row r="245" spans="3:11" x14ac:dyDescent="0.25">
      <c r="C245" s="24">
        <v>23602678</v>
      </c>
      <c r="D245" s="25">
        <v>45989.486018518517</v>
      </c>
      <c r="E245" s="24" t="s">
        <v>27</v>
      </c>
      <c r="F245" s="24" t="s">
        <v>28</v>
      </c>
      <c r="G245" s="24" t="s">
        <v>42</v>
      </c>
      <c r="H245" s="24" t="s">
        <v>31</v>
      </c>
      <c r="I245" s="25">
        <v>46001.486018518517</v>
      </c>
      <c r="J245" s="24" t="s">
        <v>5175</v>
      </c>
      <c r="K245" s="24" t="s">
        <v>48</v>
      </c>
    </row>
    <row r="246" spans="3:11" x14ac:dyDescent="0.25">
      <c r="C246" s="24">
        <v>23602689</v>
      </c>
      <c r="D246" s="25">
        <v>45995.406192129631</v>
      </c>
      <c r="E246" s="24" t="s">
        <v>27</v>
      </c>
      <c r="F246" s="24" t="s">
        <v>28</v>
      </c>
      <c r="G246" s="24" t="s">
        <v>45</v>
      </c>
      <c r="H246" s="24" t="s">
        <v>31</v>
      </c>
      <c r="I246" s="25">
        <v>46003.406192129631</v>
      </c>
      <c r="J246" s="24" t="s">
        <v>5177</v>
      </c>
      <c r="K246" s="24" t="s">
        <v>32</v>
      </c>
    </row>
    <row r="247" spans="3:11" x14ac:dyDescent="0.25">
      <c r="C247" s="24">
        <v>23602761</v>
      </c>
      <c r="D247" s="25">
        <v>45989.560173611113</v>
      </c>
      <c r="E247" s="24" t="s">
        <v>27</v>
      </c>
      <c r="F247" s="24" t="s">
        <v>28</v>
      </c>
      <c r="G247" s="24" t="s">
        <v>60</v>
      </c>
      <c r="H247" s="24" t="s">
        <v>31</v>
      </c>
      <c r="I247" s="25">
        <v>45995.560173611113</v>
      </c>
      <c r="J247" s="24" t="s">
        <v>46</v>
      </c>
      <c r="K247" s="24" t="s">
        <v>46</v>
      </c>
    </row>
    <row r="248" spans="3:11" x14ac:dyDescent="0.25">
      <c r="C248" s="24">
        <v>23602776</v>
      </c>
      <c r="D248" s="25">
        <v>45995.4065625</v>
      </c>
      <c r="E248" s="24" t="s">
        <v>43</v>
      </c>
      <c r="F248" s="24" t="s">
        <v>44</v>
      </c>
      <c r="G248" s="24" t="s">
        <v>45</v>
      </c>
      <c r="H248" s="24" t="s">
        <v>31</v>
      </c>
      <c r="I248" s="25">
        <v>46003.4065625</v>
      </c>
      <c r="J248" s="24" t="s">
        <v>5181</v>
      </c>
      <c r="K248" s="24" t="s">
        <v>32</v>
      </c>
    </row>
    <row r="249" spans="3:11" x14ac:dyDescent="0.25">
      <c r="C249" s="24">
        <v>23602799</v>
      </c>
      <c r="D249" s="25">
        <v>45995.406875000001</v>
      </c>
      <c r="E249" s="24" t="s">
        <v>43</v>
      </c>
      <c r="F249" s="24" t="s">
        <v>44</v>
      </c>
      <c r="G249" s="24" t="s">
        <v>45</v>
      </c>
      <c r="H249" s="24" t="s">
        <v>31</v>
      </c>
      <c r="I249" s="25">
        <v>46003.406875000001</v>
      </c>
      <c r="J249" s="24" t="s">
        <v>5181</v>
      </c>
      <c r="K249" s="24" t="s">
        <v>32</v>
      </c>
    </row>
    <row r="250" spans="3:11" x14ac:dyDescent="0.25">
      <c r="C250" s="24">
        <v>23602805</v>
      </c>
      <c r="D250" s="25">
        <v>45989.576724537037</v>
      </c>
      <c r="E250" s="24" t="s">
        <v>27</v>
      </c>
      <c r="F250" s="24" t="s">
        <v>28</v>
      </c>
      <c r="G250" s="24" t="s">
        <v>65</v>
      </c>
      <c r="H250" s="24" t="s">
        <v>31</v>
      </c>
      <c r="I250" s="25">
        <v>46003.576724537037</v>
      </c>
      <c r="J250" s="24" t="s">
        <v>3193</v>
      </c>
      <c r="K250" s="24" t="s">
        <v>32</v>
      </c>
    </row>
    <row r="251" spans="3:11" x14ac:dyDescent="0.25">
      <c r="C251" s="24">
        <v>23602826</v>
      </c>
      <c r="D251" s="25">
        <v>45989.588113425925</v>
      </c>
      <c r="E251" s="24" t="s">
        <v>27</v>
      </c>
      <c r="F251" s="24" t="s">
        <v>28</v>
      </c>
      <c r="G251" s="24" t="s">
        <v>65</v>
      </c>
      <c r="H251" s="24" t="s">
        <v>31</v>
      </c>
      <c r="I251" s="25">
        <v>46003.588113425925</v>
      </c>
      <c r="J251" s="24" t="s">
        <v>3195</v>
      </c>
      <c r="K251" s="24" t="s">
        <v>32</v>
      </c>
    </row>
    <row r="252" spans="3:11" x14ac:dyDescent="0.25">
      <c r="C252" s="24">
        <v>23602836</v>
      </c>
      <c r="D252" s="25">
        <v>45989.590763888889</v>
      </c>
      <c r="E252" s="24" t="s">
        <v>27</v>
      </c>
      <c r="F252" s="24" t="s">
        <v>28</v>
      </c>
      <c r="G252" s="24" t="s">
        <v>60</v>
      </c>
      <c r="H252" s="24" t="s">
        <v>37</v>
      </c>
      <c r="I252" s="25">
        <v>45995.590763888889</v>
      </c>
      <c r="J252" s="24" t="s">
        <v>46</v>
      </c>
      <c r="K252" s="24" t="s">
        <v>46</v>
      </c>
    </row>
    <row r="253" spans="3:11" x14ac:dyDescent="0.25">
      <c r="C253" s="24">
        <v>23602844</v>
      </c>
      <c r="D253" s="25">
        <v>45989.59270833333</v>
      </c>
      <c r="E253" s="24" t="s">
        <v>27</v>
      </c>
      <c r="F253" s="24" t="s">
        <v>28</v>
      </c>
      <c r="G253" s="24" t="s">
        <v>60</v>
      </c>
      <c r="H253" s="24" t="s">
        <v>31</v>
      </c>
      <c r="I253" s="25">
        <v>45995.59270833333</v>
      </c>
      <c r="J253" s="24" t="s">
        <v>46</v>
      </c>
      <c r="K253" s="24" t="s">
        <v>46</v>
      </c>
    </row>
    <row r="254" spans="3:11" x14ac:dyDescent="0.25">
      <c r="C254" s="24">
        <v>23602845</v>
      </c>
      <c r="D254" s="25">
        <v>45989.592719907407</v>
      </c>
      <c r="E254" s="24" t="s">
        <v>55</v>
      </c>
      <c r="F254" s="24" t="s">
        <v>56</v>
      </c>
      <c r="G254" s="24" t="s">
        <v>60</v>
      </c>
      <c r="H254" s="24" t="s">
        <v>37</v>
      </c>
      <c r="I254" s="25">
        <v>45995.592719907407</v>
      </c>
      <c r="J254" s="24" t="s">
        <v>46</v>
      </c>
      <c r="K254" s="24" t="s">
        <v>46</v>
      </c>
    </row>
    <row r="255" spans="3:11" x14ac:dyDescent="0.25">
      <c r="C255" s="24">
        <v>23602857</v>
      </c>
      <c r="D255" s="25">
        <v>45989.595625000002</v>
      </c>
      <c r="E255" s="24" t="s">
        <v>27</v>
      </c>
      <c r="F255" s="24" t="s">
        <v>28</v>
      </c>
      <c r="G255" s="24" t="s">
        <v>60</v>
      </c>
      <c r="H255" s="24" t="s">
        <v>31</v>
      </c>
      <c r="I255" s="25">
        <v>45995.595625000002</v>
      </c>
      <c r="J255" s="24" t="s">
        <v>46</v>
      </c>
      <c r="K255" s="24" t="s">
        <v>46</v>
      </c>
    </row>
    <row r="256" spans="3:11" x14ac:dyDescent="0.25">
      <c r="C256" s="24">
        <v>23602888</v>
      </c>
      <c r="D256" s="25">
        <v>45989.606574074074</v>
      </c>
      <c r="E256" s="24" t="s">
        <v>27</v>
      </c>
      <c r="F256" s="24" t="s">
        <v>28</v>
      </c>
      <c r="G256" s="24" t="s">
        <v>65</v>
      </c>
      <c r="H256" s="24" t="s">
        <v>31</v>
      </c>
      <c r="I256" s="25">
        <v>46003.606574074074</v>
      </c>
      <c r="J256" s="24" t="s">
        <v>3197</v>
      </c>
      <c r="K256" s="24" t="s">
        <v>32</v>
      </c>
    </row>
    <row r="257" spans="3:11" x14ac:dyDescent="0.25">
      <c r="C257" s="24">
        <v>23602900</v>
      </c>
      <c r="D257" s="25">
        <v>45989.614131944443</v>
      </c>
      <c r="E257" s="24" t="s">
        <v>43</v>
      </c>
      <c r="F257" s="24" t="s">
        <v>44</v>
      </c>
      <c r="G257" s="24" t="s">
        <v>60</v>
      </c>
      <c r="H257" s="24" t="s">
        <v>31</v>
      </c>
      <c r="I257" s="25">
        <v>45995.614131944443</v>
      </c>
      <c r="J257" s="24" t="s">
        <v>46</v>
      </c>
      <c r="K257" s="24" t="s">
        <v>46</v>
      </c>
    </row>
    <row r="258" spans="3:11" x14ac:dyDescent="0.25">
      <c r="C258" s="24">
        <v>23602905</v>
      </c>
      <c r="D258" s="25">
        <v>45989.617037037038</v>
      </c>
      <c r="E258" s="24" t="s">
        <v>27</v>
      </c>
      <c r="F258" s="24" t="s">
        <v>28</v>
      </c>
      <c r="G258" s="24" t="s">
        <v>65</v>
      </c>
      <c r="H258" s="24" t="s">
        <v>31</v>
      </c>
      <c r="I258" s="25">
        <v>46003.617037037038</v>
      </c>
      <c r="J258" s="24" t="s">
        <v>3155</v>
      </c>
      <c r="K258" s="24" t="s">
        <v>32</v>
      </c>
    </row>
    <row r="259" spans="3:11" x14ac:dyDescent="0.25">
      <c r="C259" s="24">
        <v>23602975</v>
      </c>
      <c r="D259" s="25">
        <v>45995.620358796295</v>
      </c>
      <c r="E259" s="24" t="s">
        <v>43</v>
      </c>
      <c r="F259" s="24" t="s">
        <v>44</v>
      </c>
      <c r="G259" s="24" t="s">
        <v>39</v>
      </c>
      <c r="H259" s="24" t="s">
        <v>31</v>
      </c>
      <c r="I259" s="25">
        <v>46003.620358796295</v>
      </c>
      <c r="J259" s="24" t="s">
        <v>1659</v>
      </c>
      <c r="K259" s="24" t="s">
        <v>32</v>
      </c>
    </row>
    <row r="260" spans="3:11" x14ac:dyDescent="0.25">
      <c r="C260" s="24">
        <v>23602982</v>
      </c>
      <c r="D260" s="25">
        <v>45989.647210648145</v>
      </c>
      <c r="E260" s="24" t="s">
        <v>43</v>
      </c>
      <c r="F260" s="24" t="s">
        <v>44</v>
      </c>
      <c r="G260" s="24" t="s">
        <v>29</v>
      </c>
      <c r="H260" s="24" t="s">
        <v>31</v>
      </c>
      <c r="I260" s="25">
        <v>46001.647210648145</v>
      </c>
      <c r="J260" s="24" t="s">
        <v>3176</v>
      </c>
      <c r="K260" s="24" t="s">
        <v>48</v>
      </c>
    </row>
    <row r="261" spans="3:11" x14ac:dyDescent="0.25">
      <c r="C261" s="24">
        <v>23603002</v>
      </c>
      <c r="D261" s="25">
        <v>45989.660833333335</v>
      </c>
      <c r="E261" s="24" t="s">
        <v>27</v>
      </c>
      <c r="F261" s="24" t="s">
        <v>28</v>
      </c>
      <c r="G261" s="24" t="s">
        <v>50</v>
      </c>
      <c r="H261" s="24" t="s">
        <v>31</v>
      </c>
      <c r="I261" s="25">
        <v>46007.660833333335</v>
      </c>
      <c r="J261" s="24" t="s">
        <v>5186</v>
      </c>
      <c r="K261" s="24" t="s">
        <v>32</v>
      </c>
    </row>
    <row r="262" spans="3:11" x14ac:dyDescent="0.25">
      <c r="C262" s="24">
        <v>23603024</v>
      </c>
      <c r="D262" s="25">
        <v>45989.671435185184</v>
      </c>
      <c r="E262" s="24" t="s">
        <v>27</v>
      </c>
      <c r="F262" s="24" t="s">
        <v>28</v>
      </c>
      <c r="G262" s="24" t="s">
        <v>42</v>
      </c>
      <c r="H262" s="24" t="s">
        <v>31</v>
      </c>
      <c r="I262" s="25">
        <v>46001.671435185184</v>
      </c>
      <c r="J262" s="24" t="s">
        <v>5188</v>
      </c>
      <c r="K262" s="24" t="s">
        <v>48</v>
      </c>
    </row>
    <row r="263" spans="3:11" x14ac:dyDescent="0.25">
      <c r="C263" s="24">
        <v>23603027</v>
      </c>
      <c r="D263" s="25">
        <v>45989.672627314816</v>
      </c>
      <c r="E263" s="24" t="s">
        <v>47</v>
      </c>
      <c r="F263" s="24" t="s">
        <v>62</v>
      </c>
      <c r="G263" s="24" t="s">
        <v>60</v>
      </c>
      <c r="H263" s="24" t="s">
        <v>31</v>
      </c>
      <c r="I263" s="25">
        <v>45995.672627314816</v>
      </c>
      <c r="J263" s="24" t="s">
        <v>46</v>
      </c>
      <c r="K263" s="24" t="s">
        <v>46</v>
      </c>
    </row>
    <row r="264" spans="3:11" x14ac:dyDescent="0.25">
      <c r="C264" s="24">
        <v>23603029</v>
      </c>
      <c r="D264" s="25">
        <v>45989.673101851855</v>
      </c>
      <c r="E264" s="24" t="s">
        <v>27</v>
      </c>
      <c r="F264" s="24" t="s">
        <v>28</v>
      </c>
      <c r="G264" s="24" t="s">
        <v>65</v>
      </c>
      <c r="H264" s="24" t="s">
        <v>31</v>
      </c>
      <c r="I264" s="25">
        <v>46003.673101851855</v>
      </c>
      <c r="J264" s="24" t="s">
        <v>3199</v>
      </c>
      <c r="K264" s="24" t="s">
        <v>32</v>
      </c>
    </row>
    <row r="265" spans="3:11" x14ac:dyDescent="0.25">
      <c r="C265" s="24">
        <v>23603043</v>
      </c>
      <c r="D265" s="25">
        <v>45989.681342592594</v>
      </c>
      <c r="E265" s="24" t="s">
        <v>27</v>
      </c>
      <c r="F265" s="24" t="s">
        <v>28</v>
      </c>
      <c r="G265" s="24" t="s">
        <v>50</v>
      </c>
      <c r="H265" s="24" t="s">
        <v>31</v>
      </c>
      <c r="I265" s="25">
        <v>46007.681342592594</v>
      </c>
      <c r="J265" s="24" t="s">
        <v>5191</v>
      </c>
      <c r="K265" s="24" t="s">
        <v>32</v>
      </c>
    </row>
    <row r="266" spans="3:11" x14ac:dyDescent="0.25">
      <c r="C266" s="24">
        <v>23603058</v>
      </c>
      <c r="D266" s="25">
        <v>45989.690243055556</v>
      </c>
      <c r="E266" s="24" t="s">
        <v>47</v>
      </c>
      <c r="F266" s="24" t="s">
        <v>62</v>
      </c>
      <c r="G266" s="24" t="s">
        <v>29</v>
      </c>
      <c r="H266" s="24" t="s">
        <v>31</v>
      </c>
      <c r="I266" s="25">
        <v>46001.690243055556</v>
      </c>
      <c r="J266" s="24" t="s">
        <v>5193</v>
      </c>
      <c r="K266" s="24" t="s">
        <v>48</v>
      </c>
    </row>
    <row r="267" spans="3:11" x14ac:dyDescent="0.25">
      <c r="C267" s="24">
        <v>23603080</v>
      </c>
      <c r="D267" s="25">
        <v>45989.708877314813</v>
      </c>
      <c r="E267" s="24" t="s">
        <v>27</v>
      </c>
      <c r="F267" s="24" t="s">
        <v>28</v>
      </c>
      <c r="G267" s="24" t="s">
        <v>60</v>
      </c>
      <c r="H267" s="24" t="s">
        <v>31</v>
      </c>
      <c r="I267" s="25">
        <v>45995.708877314813</v>
      </c>
      <c r="J267" s="24" t="s">
        <v>46</v>
      </c>
      <c r="K267" s="24" t="s">
        <v>46</v>
      </c>
    </row>
    <row r="268" spans="3:11" x14ac:dyDescent="0.25">
      <c r="C268" s="24">
        <v>23603093</v>
      </c>
      <c r="D268" s="25">
        <v>45989.721666666665</v>
      </c>
      <c r="E268" s="24" t="s">
        <v>27</v>
      </c>
      <c r="F268" s="24" t="s">
        <v>28</v>
      </c>
      <c r="G268" s="24" t="s">
        <v>65</v>
      </c>
      <c r="H268" s="24" t="s">
        <v>31</v>
      </c>
      <c r="I268" s="25">
        <v>46003.721666666665</v>
      </c>
      <c r="J268" s="24" t="s">
        <v>3201</v>
      </c>
      <c r="K268" s="24" t="s">
        <v>32</v>
      </c>
    </row>
    <row r="269" spans="3:11" x14ac:dyDescent="0.25">
      <c r="C269" s="24">
        <v>23603109</v>
      </c>
      <c r="D269" s="25">
        <v>45989.83730324074</v>
      </c>
      <c r="E269" s="24" t="s">
        <v>27</v>
      </c>
      <c r="F269" s="24" t="s">
        <v>28</v>
      </c>
      <c r="G269" s="24" t="s">
        <v>60</v>
      </c>
      <c r="H269" s="24" t="s">
        <v>37</v>
      </c>
      <c r="I269" s="25">
        <v>45995.83730324074</v>
      </c>
      <c r="J269" s="24" t="s">
        <v>46</v>
      </c>
      <c r="K269" s="24" t="s">
        <v>46</v>
      </c>
    </row>
    <row r="270" spans="3:11" x14ac:dyDescent="0.25">
      <c r="C270" s="24">
        <v>23603111</v>
      </c>
      <c r="D270" s="25">
        <v>45989.919120370374</v>
      </c>
      <c r="E270" s="24" t="s">
        <v>43</v>
      </c>
      <c r="F270" s="24" t="s">
        <v>44</v>
      </c>
      <c r="G270" s="24" t="s">
        <v>60</v>
      </c>
      <c r="H270" s="24" t="s">
        <v>31</v>
      </c>
      <c r="I270" s="25">
        <v>45995.919120370374</v>
      </c>
      <c r="J270" s="24" t="s">
        <v>46</v>
      </c>
      <c r="K270" s="24" t="s">
        <v>46</v>
      </c>
    </row>
    <row r="271" spans="3:11" x14ac:dyDescent="0.25">
      <c r="C271" s="24">
        <v>23603298</v>
      </c>
      <c r="D271" s="25">
        <v>45990.284780092596</v>
      </c>
      <c r="E271" s="24" t="s">
        <v>27</v>
      </c>
      <c r="F271" s="24" t="s">
        <v>28</v>
      </c>
      <c r="G271" s="24" t="s">
        <v>50</v>
      </c>
      <c r="H271" s="24" t="s">
        <v>31</v>
      </c>
      <c r="I271" s="25">
        <v>46007.284780092596</v>
      </c>
      <c r="J271" s="24" t="s">
        <v>5198</v>
      </c>
      <c r="K271" s="24" t="s">
        <v>32</v>
      </c>
    </row>
    <row r="272" spans="3:11" x14ac:dyDescent="0.25">
      <c r="C272" s="24">
        <v>23603303</v>
      </c>
      <c r="D272" s="25">
        <v>45990.290763888886</v>
      </c>
      <c r="E272" s="24" t="s">
        <v>27</v>
      </c>
      <c r="F272" s="24" t="s">
        <v>28</v>
      </c>
      <c r="G272" s="24" t="s">
        <v>50</v>
      </c>
      <c r="H272" s="24" t="s">
        <v>31</v>
      </c>
      <c r="I272" s="25">
        <v>46007.290763888886</v>
      </c>
      <c r="J272" s="24" t="s">
        <v>5200</v>
      </c>
      <c r="K272" s="24" t="s">
        <v>32</v>
      </c>
    </row>
    <row r="273" spans="3:11" x14ac:dyDescent="0.25">
      <c r="C273" s="24">
        <v>23603305</v>
      </c>
      <c r="D273" s="25">
        <v>45990.292199074072</v>
      </c>
      <c r="E273" s="24" t="s">
        <v>53</v>
      </c>
      <c r="F273" s="24" t="s">
        <v>54</v>
      </c>
      <c r="G273" s="24" t="s">
        <v>29</v>
      </c>
      <c r="H273" s="24" t="s">
        <v>31</v>
      </c>
      <c r="I273" s="25">
        <v>46001.292199074072</v>
      </c>
      <c r="J273" s="24" t="s">
        <v>5202</v>
      </c>
      <c r="K273" s="24" t="s">
        <v>48</v>
      </c>
    </row>
    <row r="274" spans="3:11" x14ac:dyDescent="0.25">
      <c r="C274" s="24">
        <v>23603454</v>
      </c>
      <c r="D274" s="25">
        <v>45990.466157407405</v>
      </c>
      <c r="E274" s="24" t="s">
        <v>27</v>
      </c>
      <c r="F274" s="24" t="s">
        <v>28</v>
      </c>
      <c r="G274" s="24" t="s">
        <v>65</v>
      </c>
      <c r="H274" s="24" t="s">
        <v>31</v>
      </c>
      <c r="I274" s="25">
        <v>46003.466157407405</v>
      </c>
      <c r="J274" s="24" t="s">
        <v>3203</v>
      </c>
      <c r="K274" s="24" t="s">
        <v>32</v>
      </c>
    </row>
    <row r="275" spans="3:11" x14ac:dyDescent="0.25">
      <c r="C275" s="24">
        <v>23603559</v>
      </c>
      <c r="D275" s="25">
        <v>45990.582905092589</v>
      </c>
      <c r="E275" s="24" t="s">
        <v>43</v>
      </c>
      <c r="F275" s="24" t="s">
        <v>44</v>
      </c>
      <c r="G275" s="24" t="s">
        <v>71</v>
      </c>
      <c r="H275" s="24" t="s">
        <v>31</v>
      </c>
      <c r="I275" s="25">
        <v>46001.582905092589</v>
      </c>
      <c r="J275" s="24" t="s">
        <v>5204</v>
      </c>
      <c r="K275" s="24" t="s">
        <v>48</v>
      </c>
    </row>
    <row r="276" spans="3:11" x14ac:dyDescent="0.25">
      <c r="C276" s="24">
        <v>23603565</v>
      </c>
      <c r="D276" s="25">
        <v>45993.560127314813</v>
      </c>
      <c r="E276" s="24" t="s">
        <v>27</v>
      </c>
      <c r="F276" s="24" t="s">
        <v>28</v>
      </c>
      <c r="G276" s="24" t="s">
        <v>45</v>
      </c>
      <c r="H276" s="24" t="s">
        <v>31</v>
      </c>
      <c r="I276" s="25">
        <v>46001.560127314813</v>
      </c>
      <c r="J276" s="24" t="s">
        <v>2138</v>
      </c>
      <c r="K276" s="24" t="s">
        <v>48</v>
      </c>
    </row>
    <row r="277" spans="3:11" x14ac:dyDescent="0.25">
      <c r="C277" s="24">
        <v>23603573</v>
      </c>
      <c r="D277" s="25">
        <v>45993.560717592591</v>
      </c>
      <c r="E277" s="24" t="s">
        <v>27</v>
      </c>
      <c r="F277" s="24" t="s">
        <v>28</v>
      </c>
      <c r="G277" s="24" t="s">
        <v>45</v>
      </c>
      <c r="H277" s="24" t="s">
        <v>31</v>
      </c>
      <c r="I277" s="25">
        <v>46001.560717592591</v>
      </c>
      <c r="J277" s="24" t="s">
        <v>1655</v>
      </c>
      <c r="K277" s="24" t="s">
        <v>48</v>
      </c>
    </row>
    <row r="278" spans="3:11" x14ac:dyDescent="0.25">
      <c r="C278" s="24">
        <v>23603635</v>
      </c>
      <c r="D278" s="25">
        <v>45990.925081018519</v>
      </c>
      <c r="E278" s="24" t="s">
        <v>27</v>
      </c>
      <c r="F278" s="24" t="s">
        <v>28</v>
      </c>
      <c r="G278" s="24" t="s">
        <v>65</v>
      </c>
      <c r="H278" s="24" t="s">
        <v>31</v>
      </c>
      <c r="I278" s="25">
        <v>46003.925081018519</v>
      </c>
      <c r="J278" s="24" t="s">
        <v>3206</v>
      </c>
      <c r="K278" s="24" t="s">
        <v>32</v>
      </c>
    </row>
    <row r="279" spans="3:11" x14ac:dyDescent="0.25">
      <c r="C279" s="24">
        <v>23603744</v>
      </c>
      <c r="D279" s="25">
        <v>45991.480393518519</v>
      </c>
      <c r="E279" s="24" t="s">
        <v>27</v>
      </c>
      <c r="F279" s="24" t="s">
        <v>28</v>
      </c>
      <c r="G279" s="24" t="s">
        <v>73</v>
      </c>
      <c r="H279" s="24" t="s">
        <v>31</v>
      </c>
      <c r="I279" s="25">
        <v>46007.480393518519</v>
      </c>
      <c r="J279" s="24" t="s">
        <v>5040</v>
      </c>
      <c r="K279" s="24" t="s">
        <v>32</v>
      </c>
    </row>
    <row r="280" spans="3:11" x14ac:dyDescent="0.25">
      <c r="C280" s="24">
        <v>23603758</v>
      </c>
      <c r="D280" s="25">
        <v>45991.581087962964</v>
      </c>
      <c r="E280" s="24" t="s">
        <v>27</v>
      </c>
      <c r="F280" s="24" t="s">
        <v>28</v>
      </c>
      <c r="G280" s="24" t="s">
        <v>65</v>
      </c>
      <c r="H280" s="24" t="s">
        <v>31</v>
      </c>
      <c r="I280" s="25">
        <v>46003.581087962964</v>
      </c>
      <c r="J280" s="24" t="s">
        <v>3209</v>
      </c>
      <c r="K280" s="24" t="s">
        <v>32</v>
      </c>
    </row>
    <row r="281" spans="3:11" x14ac:dyDescent="0.25">
      <c r="C281" s="24">
        <v>23603764</v>
      </c>
      <c r="D281" s="25">
        <v>45991.700069444443</v>
      </c>
      <c r="E281" s="24" t="s">
        <v>27</v>
      </c>
      <c r="F281" s="24" t="s">
        <v>28</v>
      </c>
      <c r="G281" s="24" t="s">
        <v>65</v>
      </c>
      <c r="H281" s="24" t="s">
        <v>31</v>
      </c>
      <c r="I281" s="25">
        <v>46003.700069444443</v>
      </c>
      <c r="J281" s="24" t="s">
        <v>1673</v>
      </c>
      <c r="K281" s="24" t="s">
        <v>32</v>
      </c>
    </row>
    <row r="282" spans="3:11" x14ac:dyDescent="0.25">
      <c r="C282" s="24">
        <v>23603893</v>
      </c>
      <c r="D282" s="25">
        <v>45992.327037037037</v>
      </c>
      <c r="E282" s="24" t="s">
        <v>27</v>
      </c>
      <c r="F282" s="24" t="s">
        <v>28</v>
      </c>
      <c r="G282" s="24" t="s">
        <v>71</v>
      </c>
      <c r="H282" s="24" t="s">
        <v>31</v>
      </c>
      <c r="I282" s="25">
        <v>46002.327037037037</v>
      </c>
      <c r="J282" s="24" t="s">
        <v>3211</v>
      </c>
      <c r="K282" s="24" t="s">
        <v>32</v>
      </c>
    </row>
    <row r="283" spans="3:11" x14ac:dyDescent="0.25">
      <c r="C283" s="24">
        <v>23603894</v>
      </c>
      <c r="D283" s="25">
        <v>45992.327152777776</v>
      </c>
      <c r="E283" s="24" t="s">
        <v>27</v>
      </c>
      <c r="F283" s="24" t="s">
        <v>28</v>
      </c>
      <c r="G283" s="24" t="s">
        <v>29</v>
      </c>
      <c r="H283" s="24" t="s">
        <v>31</v>
      </c>
      <c r="I283" s="25">
        <v>46002.327152777776</v>
      </c>
      <c r="J283" s="24" t="s">
        <v>3213</v>
      </c>
      <c r="K283" s="24" t="s">
        <v>32</v>
      </c>
    </row>
    <row r="284" spans="3:11" x14ac:dyDescent="0.25">
      <c r="C284" s="24">
        <v>23603901</v>
      </c>
      <c r="D284" s="25">
        <v>45992.333194444444</v>
      </c>
      <c r="E284" s="24" t="s">
        <v>27</v>
      </c>
      <c r="F284" s="24" t="s">
        <v>28</v>
      </c>
      <c r="G284" s="24" t="s">
        <v>29</v>
      </c>
      <c r="H284" s="24" t="s">
        <v>31</v>
      </c>
      <c r="I284" s="25">
        <v>46002.333194444444</v>
      </c>
      <c r="J284" s="24" t="s">
        <v>3215</v>
      </c>
      <c r="K284" s="24" t="s">
        <v>32</v>
      </c>
    </row>
    <row r="285" spans="3:11" x14ac:dyDescent="0.25">
      <c r="C285" s="24">
        <v>23603919</v>
      </c>
      <c r="D285" s="25">
        <v>45992.344108796293</v>
      </c>
      <c r="E285" s="24" t="s">
        <v>27</v>
      </c>
      <c r="F285" s="24" t="s">
        <v>28</v>
      </c>
      <c r="G285" s="24" t="s">
        <v>60</v>
      </c>
      <c r="H285" s="24" t="s">
        <v>37</v>
      </c>
      <c r="I285" s="25">
        <v>45996.344108796293</v>
      </c>
      <c r="J285" s="24" t="s">
        <v>46</v>
      </c>
      <c r="K285" s="24" t="s">
        <v>46</v>
      </c>
    </row>
    <row r="286" spans="3:11" x14ac:dyDescent="0.25">
      <c r="C286" s="24">
        <v>23603947</v>
      </c>
      <c r="D286" s="25">
        <v>45992.372083333335</v>
      </c>
      <c r="E286" s="24" t="s">
        <v>55</v>
      </c>
      <c r="F286" s="24" t="s">
        <v>56</v>
      </c>
      <c r="G286" s="24" t="s">
        <v>29</v>
      </c>
      <c r="H286" s="24" t="s">
        <v>31</v>
      </c>
      <c r="I286" s="25">
        <v>46002.372083333335</v>
      </c>
      <c r="J286" s="24" t="s">
        <v>1123</v>
      </c>
      <c r="K286" s="24" t="s">
        <v>32</v>
      </c>
    </row>
    <row r="287" spans="3:11" x14ac:dyDescent="0.25">
      <c r="C287" s="24">
        <v>23603954</v>
      </c>
      <c r="D287" s="25">
        <v>45992.378518518519</v>
      </c>
      <c r="E287" s="24" t="s">
        <v>27</v>
      </c>
      <c r="F287" s="24" t="s">
        <v>28</v>
      </c>
      <c r="G287" s="24" t="s">
        <v>65</v>
      </c>
      <c r="H287" s="24" t="s">
        <v>31</v>
      </c>
      <c r="I287" s="25">
        <v>46006.378518518519</v>
      </c>
      <c r="J287" s="24" t="s">
        <v>5209</v>
      </c>
      <c r="K287" s="24" t="s">
        <v>32</v>
      </c>
    </row>
    <row r="288" spans="3:11" x14ac:dyDescent="0.25">
      <c r="C288" s="24">
        <v>23603963</v>
      </c>
      <c r="D288" s="25">
        <v>45992.380960648145</v>
      </c>
      <c r="E288" s="24" t="s">
        <v>27</v>
      </c>
      <c r="F288" s="24" t="s">
        <v>28</v>
      </c>
      <c r="G288" s="24" t="s">
        <v>29</v>
      </c>
      <c r="H288" s="24" t="s">
        <v>31</v>
      </c>
      <c r="I288" s="25">
        <v>46002.380960648145</v>
      </c>
      <c r="J288" s="24" t="s">
        <v>1685</v>
      </c>
      <c r="K288" s="24" t="s">
        <v>32</v>
      </c>
    </row>
    <row r="289" spans="3:11" x14ac:dyDescent="0.25">
      <c r="C289" s="24">
        <v>23603973</v>
      </c>
      <c r="D289" s="25">
        <v>45992.387870370374</v>
      </c>
      <c r="E289" s="24" t="s">
        <v>47</v>
      </c>
      <c r="F289" s="24" t="s">
        <v>62</v>
      </c>
      <c r="G289" s="24" t="s">
        <v>60</v>
      </c>
      <c r="H289" s="24" t="s">
        <v>31</v>
      </c>
      <c r="I289" s="25">
        <v>45996.387870370374</v>
      </c>
      <c r="J289" s="24" t="s">
        <v>46</v>
      </c>
      <c r="K289" s="24" t="s">
        <v>46</v>
      </c>
    </row>
    <row r="290" spans="3:11" x14ac:dyDescent="0.25">
      <c r="C290" s="24">
        <v>23603980</v>
      </c>
      <c r="D290" s="25">
        <v>45992.392951388887</v>
      </c>
      <c r="E290" s="24" t="s">
        <v>43</v>
      </c>
      <c r="F290" s="24" t="s">
        <v>44</v>
      </c>
      <c r="G290" s="24" t="s">
        <v>60</v>
      </c>
      <c r="H290" s="24" t="s">
        <v>31</v>
      </c>
      <c r="I290" s="25">
        <v>45996.392951388887</v>
      </c>
      <c r="J290" s="24" t="s">
        <v>46</v>
      </c>
      <c r="K290" s="24" t="s">
        <v>46</v>
      </c>
    </row>
    <row r="291" spans="3:11" x14ac:dyDescent="0.25">
      <c r="C291" s="24">
        <v>23604051</v>
      </c>
      <c r="D291" s="25">
        <v>45992.434918981482</v>
      </c>
      <c r="E291" s="24" t="s">
        <v>27</v>
      </c>
      <c r="F291" s="24" t="s">
        <v>28</v>
      </c>
      <c r="G291" s="24" t="s">
        <v>29</v>
      </c>
      <c r="H291" s="24" t="s">
        <v>31</v>
      </c>
      <c r="I291" s="25">
        <v>46002.434918981482</v>
      </c>
      <c r="J291" s="24" t="s">
        <v>1133</v>
      </c>
      <c r="K291" s="24" t="s">
        <v>32</v>
      </c>
    </row>
    <row r="292" spans="3:11" x14ac:dyDescent="0.25">
      <c r="C292" s="24">
        <v>23604065</v>
      </c>
      <c r="D292" s="25">
        <v>45992.441261574073</v>
      </c>
      <c r="E292" s="24" t="s">
        <v>27</v>
      </c>
      <c r="F292" s="24" t="s">
        <v>28</v>
      </c>
      <c r="G292" s="24" t="s">
        <v>29</v>
      </c>
      <c r="H292" s="24" t="s">
        <v>37</v>
      </c>
      <c r="I292" s="25">
        <v>46007.441261574073</v>
      </c>
      <c r="J292" s="24" t="s">
        <v>5213</v>
      </c>
      <c r="K292" s="24" t="s">
        <v>32</v>
      </c>
    </row>
    <row r="293" spans="3:11" x14ac:dyDescent="0.25">
      <c r="C293" s="24">
        <v>23604071</v>
      </c>
      <c r="D293" s="25">
        <v>45992.44189814815</v>
      </c>
      <c r="E293" s="24" t="s">
        <v>47</v>
      </c>
      <c r="F293" s="24" t="s">
        <v>62</v>
      </c>
      <c r="G293" s="24" t="s">
        <v>60</v>
      </c>
      <c r="H293" s="24" t="s">
        <v>37</v>
      </c>
      <c r="I293" s="25">
        <v>45996.44189814815</v>
      </c>
      <c r="J293" s="24" t="s">
        <v>46</v>
      </c>
      <c r="K293" s="24" t="s">
        <v>46</v>
      </c>
    </row>
    <row r="294" spans="3:11" x14ac:dyDescent="0.25">
      <c r="C294" s="24">
        <v>23604076</v>
      </c>
      <c r="D294" s="25">
        <v>45992.442997685182</v>
      </c>
      <c r="E294" s="24" t="s">
        <v>27</v>
      </c>
      <c r="F294" s="24" t="s">
        <v>28</v>
      </c>
      <c r="G294" s="24" t="s">
        <v>29</v>
      </c>
      <c r="H294" s="24" t="s">
        <v>31</v>
      </c>
      <c r="I294" s="25">
        <v>46002.442997685182</v>
      </c>
      <c r="J294" s="24" t="s">
        <v>3221</v>
      </c>
      <c r="K294" s="24" t="s">
        <v>32</v>
      </c>
    </row>
    <row r="295" spans="3:11" x14ac:dyDescent="0.25">
      <c r="C295" s="24">
        <v>23604080</v>
      </c>
      <c r="D295" s="25">
        <v>45992.443680555552</v>
      </c>
      <c r="E295" s="24" t="s">
        <v>27</v>
      </c>
      <c r="F295" s="24" t="s">
        <v>28</v>
      </c>
      <c r="G295" s="24" t="s">
        <v>71</v>
      </c>
      <c r="H295" s="24" t="s">
        <v>31</v>
      </c>
      <c r="I295" s="25">
        <v>46002.443680555552</v>
      </c>
      <c r="J295" s="24" t="s">
        <v>669</v>
      </c>
      <c r="K295" s="24" t="s">
        <v>32</v>
      </c>
    </row>
    <row r="296" spans="3:11" x14ac:dyDescent="0.25">
      <c r="C296" s="24">
        <v>23604116</v>
      </c>
      <c r="D296" s="25">
        <v>45992.452326388891</v>
      </c>
      <c r="E296" s="24" t="s">
        <v>43</v>
      </c>
      <c r="F296" s="24" t="s">
        <v>44</v>
      </c>
      <c r="G296" s="24" t="s">
        <v>29</v>
      </c>
      <c r="H296" s="24" t="s">
        <v>31</v>
      </c>
      <c r="I296" s="25">
        <v>46002.452326388891</v>
      </c>
      <c r="J296" s="24" t="s">
        <v>1647</v>
      </c>
      <c r="K296" s="24" t="s">
        <v>32</v>
      </c>
    </row>
    <row r="297" spans="3:11" x14ac:dyDescent="0.25">
      <c r="C297" s="24">
        <v>23604122</v>
      </c>
      <c r="D297" s="25">
        <v>45992.454976851855</v>
      </c>
      <c r="E297" s="24" t="s">
        <v>27</v>
      </c>
      <c r="F297" s="24" t="s">
        <v>28</v>
      </c>
      <c r="G297" s="24" t="s">
        <v>65</v>
      </c>
      <c r="H297" s="24" t="s">
        <v>31</v>
      </c>
      <c r="I297" s="25">
        <v>46006.454976851855</v>
      </c>
      <c r="J297" s="24" t="s">
        <v>2643</v>
      </c>
      <c r="K297" s="24" t="s">
        <v>32</v>
      </c>
    </row>
    <row r="298" spans="3:11" x14ac:dyDescent="0.25">
      <c r="C298" s="24">
        <v>23604133</v>
      </c>
      <c r="D298" s="25">
        <v>45992.462083333332</v>
      </c>
      <c r="E298" s="24" t="s">
        <v>53</v>
      </c>
      <c r="F298" s="24" t="s">
        <v>54</v>
      </c>
      <c r="G298" s="24" t="s">
        <v>29</v>
      </c>
      <c r="H298" s="24" t="s">
        <v>31</v>
      </c>
      <c r="I298" s="25">
        <v>46002.462083333332</v>
      </c>
      <c r="J298" s="24" t="s">
        <v>3224</v>
      </c>
      <c r="K298" s="24" t="s">
        <v>32</v>
      </c>
    </row>
    <row r="299" spans="3:11" x14ac:dyDescent="0.25">
      <c r="C299" s="24">
        <v>23604137</v>
      </c>
      <c r="D299" s="25">
        <v>45992.463576388887</v>
      </c>
      <c r="E299" s="24" t="s">
        <v>27</v>
      </c>
      <c r="F299" s="24" t="s">
        <v>28</v>
      </c>
      <c r="G299" s="24" t="s">
        <v>42</v>
      </c>
      <c r="H299" s="24" t="s">
        <v>31</v>
      </c>
      <c r="I299" s="25">
        <v>46002.463576388887</v>
      </c>
      <c r="J299" s="24" t="s">
        <v>3233</v>
      </c>
      <c r="K299" s="24" t="s">
        <v>32</v>
      </c>
    </row>
    <row r="300" spans="3:11" x14ac:dyDescent="0.25">
      <c r="C300" s="24">
        <v>23604154</v>
      </c>
      <c r="D300" s="25">
        <v>45992.469409722224</v>
      </c>
      <c r="E300" s="24" t="s">
        <v>27</v>
      </c>
      <c r="F300" s="24" t="s">
        <v>28</v>
      </c>
      <c r="G300" s="24" t="s">
        <v>60</v>
      </c>
      <c r="H300" s="24" t="s">
        <v>31</v>
      </c>
      <c r="I300" s="25">
        <v>45996.469409722224</v>
      </c>
      <c r="J300" s="24" t="s">
        <v>46</v>
      </c>
      <c r="K300" s="24" t="s">
        <v>46</v>
      </c>
    </row>
    <row r="301" spans="3:11" x14ac:dyDescent="0.25">
      <c r="C301" s="24">
        <v>23604159</v>
      </c>
      <c r="D301" s="25">
        <v>45992.471805555557</v>
      </c>
      <c r="E301" s="24" t="s">
        <v>27</v>
      </c>
      <c r="F301" s="24" t="s">
        <v>28</v>
      </c>
      <c r="G301" s="24" t="s">
        <v>29</v>
      </c>
      <c r="H301" s="24" t="s">
        <v>31</v>
      </c>
      <c r="I301" s="25">
        <v>46002.471805555557</v>
      </c>
      <c r="J301" s="24" t="s">
        <v>3235</v>
      </c>
      <c r="K301" s="24" t="s">
        <v>32</v>
      </c>
    </row>
    <row r="302" spans="3:11" x14ac:dyDescent="0.25">
      <c r="C302" s="24">
        <v>23604177</v>
      </c>
      <c r="D302" s="25">
        <v>45992.480821759258</v>
      </c>
      <c r="E302" s="24" t="s">
        <v>27</v>
      </c>
      <c r="F302" s="24" t="s">
        <v>28</v>
      </c>
      <c r="G302" s="24" t="s">
        <v>50</v>
      </c>
      <c r="H302" s="24" t="s">
        <v>31</v>
      </c>
      <c r="I302" s="25">
        <v>46008.480821759258</v>
      </c>
      <c r="J302" s="24" t="s">
        <v>5218</v>
      </c>
      <c r="K302" s="24" t="s">
        <v>32</v>
      </c>
    </row>
    <row r="303" spans="3:11" x14ac:dyDescent="0.25">
      <c r="C303" s="24">
        <v>23604183</v>
      </c>
      <c r="D303" s="25">
        <v>45992.482881944445</v>
      </c>
      <c r="E303" s="24" t="s">
        <v>43</v>
      </c>
      <c r="F303" s="24" t="s">
        <v>44</v>
      </c>
      <c r="G303" s="24" t="s">
        <v>29</v>
      </c>
      <c r="H303" s="24" t="s">
        <v>31</v>
      </c>
      <c r="I303" s="25">
        <v>46002.482881944445</v>
      </c>
      <c r="J303" s="24" t="s">
        <v>3237</v>
      </c>
      <c r="K303" s="24" t="s">
        <v>32</v>
      </c>
    </row>
    <row r="304" spans="3:11" x14ac:dyDescent="0.25">
      <c r="C304" s="24">
        <v>23604211</v>
      </c>
      <c r="D304" s="25">
        <v>45992.498900462961</v>
      </c>
      <c r="E304" s="24" t="s">
        <v>27</v>
      </c>
      <c r="F304" s="24" t="s">
        <v>28</v>
      </c>
      <c r="G304" s="24" t="s">
        <v>60</v>
      </c>
      <c r="H304" s="24" t="s">
        <v>31</v>
      </c>
      <c r="I304" s="25">
        <v>45996.498900462961</v>
      </c>
      <c r="J304" s="24" t="s">
        <v>5220</v>
      </c>
      <c r="K304" s="24" t="s">
        <v>92</v>
      </c>
    </row>
    <row r="305" spans="3:11" x14ac:dyDescent="0.25">
      <c r="C305" s="24">
        <v>23604222</v>
      </c>
      <c r="D305" s="25">
        <v>45992.506342592591</v>
      </c>
      <c r="E305" s="24" t="s">
        <v>27</v>
      </c>
      <c r="F305" s="24" t="s">
        <v>28</v>
      </c>
      <c r="G305" s="24" t="s">
        <v>42</v>
      </c>
      <c r="H305" s="24" t="s">
        <v>31</v>
      </c>
      <c r="I305" s="25">
        <v>46002.506342592591</v>
      </c>
      <c r="J305" s="24" t="s">
        <v>1127</v>
      </c>
      <c r="K305" s="24" t="s">
        <v>32</v>
      </c>
    </row>
    <row r="306" spans="3:11" x14ac:dyDescent="0.25">
      <c r="C306" s="24">
        <v>23604223</v>
      </c>
      <c r="D306" s="25">
        <v>45992.506793981483</v>
      </c>
      <c r="E306" s="24" t="s">
        <v>47</v>
      </c>
      <c r="F306" s="24" t="s">
        <v>62</v>
      </c>
      <c r="G306" s="24" t="s">
        <v>65</v>
      </c>
      <c r="H306" s="24" t="s">
        <v>31</v>
      </c>
      <c r="I306" s="25">
        <v>46006.506793981483</v>
      </c>
      <c r="J306" s="24" t="s">
        <v>3180</v>
      </c>
      <c r="K306" s="24" t="s">
        <v>32</v>
      </c>
    </row>
    <row r="307" spans="3:11" x14ac:dyDescent="0.25">
      <c r="C307" s="24">
        <v>23604229</v>
      </c>
      <c r="D307" s="25">
        <v>45992.511608796296</v>
      </c>
      <c r="E307" s="24" t="s">
        <v>27</v>
      </c>
      <c r="F307" s="24" t="s">
        <v>28</v>
      </c>
      <c r="G307" s="24" t="s">
        <v>42</v>
      </c>
      <c r="H307" s="24" t="s">
        <v>31</v>
      </c>
      <c r="I307" s="25">
        <v>46002.511608796296</v>
      </c>
      <c r="J307" s="24" t="s">
        <v>3255</v>
      </c>
      <c r="K307" s="24" t="s">
        <v>32</v>
      </c>
    </row>
    <row r="308" spans="3:11" x14ac:dyDescent="0.25">
      <c r="C308" s="24">
        <v>23604247</v>
      </c>
      <c r="D308" s="25">
        <v>45992.533101851855</v>
      </c>
      <c r="E308" s="24" t="s">
        <v>27</v>
      </c>
      <c r="F308" s="24" t="s">
        <v>28</v>
      </c>
      <c r="G308" s="24" t="s">
        <v>29</v>
      </c>
      <c r="H308" s="24" t="s">
        <v>31</v>
      </c>
      <c r="I308" s="25">
        <v>46002.533101851855</v>
      </c>
      <c r="J308" s="24" t="s">
        <v>3166</v>
      </c>
      <c r="K308" s="24" t="s">
        <v>32</v>
      </c>
    </row>
    <row r="309" spans="3:11" x14ac:dyDescent="0.25">
      <c r="C309" s="24">
        <v>23604259</v>
      </c>
      <c r="D309" s="25">
        <v>45992.544212962966</v>
      </c>
      <c r="E309" s="24" t="s">
        <v>27</v>
      </c>
      <c r="F309" s="24" t="s">
        <v>28</v>
      </c>
      <c r="G309" s="24" t="s">
        <v>39</v>
      </c>
      <c r="H309" s="24" t="s">
        <v>31</v>
      </c>
      <c r="I309" s="25">
        <v>46000.544212962966</v>
      </c>
      <c r="J309" s="24" t="s">
        <v>5222</v>
      </c>
      <c r="K309" s="24" t="s">
        <v>48</v>
      </c>
    </row>
    <row r="310" spans="3:11" x14ac:dyDescent="0.25">
      <c r="C310" s="24">
        <v>23604267</v>
      </c>
      <c r="D310" s="25">
        <v>45992.548020833332</v>
      </c>
      <c r="E310" s="24" t="s">
        <v>27</v>
      </c>
      <c r="F310" s="24" t="s">
        <v>28</v>
      </c>
      <c r="G310" s="24" t="s">
        <v>60</v>
      </c>
      <c r="H310" s="24" t="s">
        <v>31</v>
      </c>
      <c r="I310" s="25">
        <v>45996.548020833332</v>
      </c>
      <c r="J310" s="24" t="s">
        <v>5224</v>
      </c>
      <c r="K310" s="24" t="s">
        <v>92</v>
      </c>
    </row>
    <row r="311" spans="3:11" x14ac:dyDescent="0.25">
      <c r="C311" s="24">
        <v>23604275</v>
      </c>
      <c r="D311" s="25">
        <v>45992.550555555557</v>
      </c>
      <c r="E311" s="24" t="s">
        <v>27</v>
      </c>
      <c r="F311" s="24" t="s">
        <v>28</v>
      </c>
      <c r="G311" s="24" t="s">
        <v>65</v>
      </c>
      <c r="H311" s="24" t="s">
        <v>31</v>
      </c>
      <c r="I311" s="25">
        <v>46006.550555555557</v>
      </c>
      <c r="J311" s="24" t="s">
        <v>5226</v>
      </c>
      <c r="K311" s="24" t="s">
        <v>32</v>
      </c>
    </row>
    <row r="312" spans="3:11" x14ac:dyDescent="0.25">
      <c r="C312" s="24">
        <v>23604282</v>
      </c>
      <c r="D312" s="25">
        <v>45992.556585648148</v>
      </c>
      <c r="E312" s="24" t="s">
        <v>27</v>
      </c>
      <c r="F312" s="24" t="s">
        <v>28</v>
      </c>
      <c r="G312" s="24" t="s">
        <v>29</v>
      </c>
      <c r="H312" s="24" t="s">
        <v>31</v>
      </c>
      <c r="I312" s="25">
        <v>46002.556585648148</v>
      </c>
      <c r="J312" s="24" t="s">
        <v>1644</v>
      </c>
      <c r="K312" s="24" t="s">
        <v>32</v>
      </c>
    </row>
    <row r="313" spans="3:11" x14ac:dyDescent="0.25">
      <c r="C313" s="24">
        <v>23604283</v>
      </c>
      <c r="D313" s="25">
        <v>45992.556655092594</v>
      </c>
      <c r="E313" s="24" t="s">
        <v>27</v>
      </c>
      <c r="F313" s="24" t="s">
        <v>28</v>
      </c>
      <c r="G313" s="24" t="s">
        <v>29</v>
      </c>
      <c r="H313" s="24" t="s">
        <v>31</v>
      </c>
      <c r="I313" s="25">
        <v>46002.556655092594</v>
      </c>
      <c r="J313" s="24" t="s">
        <v>1644</v>
      </c>
      <c r="K313" s="24" t="s">
        <v>32</v>
      </c>
    </row>
    <row r="314" spans="3:11" x14ac:dyDescent="0.25">
      <c r="C314" s="24">
        <v>23604291</v>
      </c>
      <c r="D314" s="25">
        <v>45992.55976851852</v>
      </c>
      <c r="E314" s="24" t="s">
        <v>27</v>
      </c>
      <c r="F314" s="24" t="s">
        <v>28</v>
      </c>
      <c r="G314" s="24" t="s">
        <v>29</v>
      </c>
      <c r="H314" s="24" t="s">
        <v>31</v>
      </c>
      <c r="I314" s="25">
        <v>46002.55976851852</v>
      </c>
      <c r="J314" s="24" t="s">
        <v>1677</v>
      </c>
      <c r="K314" s="24" t="s">
        <v>32</v>
      </c>
    </row>
    <row r="315" spans="3:11" x14ac:dyDescent="0.25">
      <c r="C315" s="24">
        <v>23604296</v>
      </c>
      <c r="D315" s="25">
        <v>45992.565810185188</v>
      </c>
      <c r="E315" s="24" t="s">
        <v>57</v>
      </c>
      <c r="F315" s="24" t="s">
        <v>58</v>
      </c>
      <c r="G315" s="24" t="s">
        <v>29</v>
      </c>
      <c r="H315" s="24" t="s">
        <v>31</v>
      </c>
      <c r="I315" s="25">
        <v>46002.565810185188</v>
      </c>
      <c r="J315" s="24" t="s">
        <v>3257</v>
      </c>
      <c r="K315" s="24" t="s">
        <v>32</v>
      </c>
    </row>
    <row r="316" spans="3:11" x14ac:dyDescent="0.25">
      <c r="C316" s="24">
        <v>23604310</v>
      </c>
      <c r="D316" s="25">
        <v>45992.574814814812</v>
      </c>
      <c r="E316" s="24" t="s">
        <v>27</v>
      </c>
      <c r="F316" s="24" t="s">
        <v>28</v>
      </c>
      <c r="G316" s="24" t="s">
        <v>60</v>
      </c>
      <c r="H316" s="24" t="s">
        <v>31</v>
      </c>
      <c r="I316" s="25">
        <v>45996.574814814812</v>
      </c>
      <c r="J316" s="24" t="s">
        <v>5228</v>
      </c>
      <c r="K316" s="24" t="s">
        <v>92</v>
      </c>
    </row>
    <row r="317" spans="3:11" x14ac:dyDescent="0.25">
      <c r="C317" s="24">
        <v>23604315</v>
      </c>
      <c r="D317" s="25">
        <v>45992.578067129631</v>
      </c>
      <c r="E317" s="24" t="s">
        <v>27</v>
      </c>
      <c r="F317" s="24" t="s">
        <v>28</v>
      </c>
      <c r="G317" s="24" t="s">
        <v>65</v>
      </c>
      <c r="H317" s="24" t="s">
        <v>37</v>
      </c>
      <c r="I317" s="25">
        <v>46013.578067129631</v>
      </c>
      <c r="J317" s="24" t="s">
        <v>5230</v>
      </c>
      <c r="K317" s="24" t="s">
        <v>32</v>
      </c>
    </row>
    <row r="318" spans="3:11" x14ac:dyDescent="0.25">
      <c r="C318" s="24">
        <v>23604322</v>
      </c>
      <c r="D318" s="25">
        <v>45992.582638888889</v>
      </c>
      <c r="E318" s="24" t="s">
        <v>27</v>
      </c>
      <c r="F318" s="24" t="s">
        <v>28</v>
      </c>
      <c r="G318" s="24" t="s">
        <v>60</v>
      </c>
      <c r="H318" s="24" t="s">
        <v>31</v>
      </c>
      <c r="I318" s="25">
        <v>45996.582638888889</v>
      </c>
      <c r="J318" s="24" t="s">
        <v>5231</v>
      </c>
      <c r="K318" s="24" t="s">
        <v>92</v>
      </c>
    </row>
    <row r="319" spans="3:11" x14ac:dyDescent="0.25">
      <c r="C319" s="24">
        <v>23604359</v>
      </c>
      <c r="D319" s="25">
        <v>45992.601099537038</v>
      </c>
      <c r="E319" s="24" t="s">
        <v>47</v>
      </c>
      <c r="F319" s="24" t="s">
        <v>62</v>
      </c>
      <c r="G319" s="24" t="s">
        <v>60</v>
      </c>
      <c r="H319" s="24" t="s">
        <v>37</v>
      </c>
      <c r="I319" s="25">
        <v>45996.601099537038</v>
      </c>
      <c r="J319" s="24" t="s">
        <v>5235</v>
      </c>
      <c r="K319" s="24" t="s">
        <v>92</v>
      </c>
    </row>
    <row r="320" spans="3:11" x14ac:dyDescent="0.25">
      <c r="C320" s="24">
        <v>23604373</v>
      </c>
      <c r="D320" s="25">
        <v>45992.604814814818</v>
      </c>
      <c r="E320" s="24" t="s">
        <v>43</v>
      </c>
      <c r="F320" s="24" t="s">
        <v>44</v>
      </c>
      <c r="G320" s="24" t="s">
        <v>29</v>
      </c>
      <c r="H320" s="24" t="s">
        <v>31</v>
      </c>
      <c r="I320" s="25">
        <v>46002.604814814818</v>
      </c>
      <c r="J320" s="24" t="s">
        <v>1698</v>
      </c>
      <c r="K320" s="24" t="s">
        <v>32</v>
      </c>
    </row>
    <row r="321" spans="3:11" x14ac:dyDescent="0.25">
      <c r="C321" s="24">
        <v>23604382</v>
      </c>
      <c r="D321" s="25">
        <v>45992.607152777775</v>
      </c>
      <c r="E321" s="24" t="s">
        <v>27</v>
      </c>
      <c r="F321" s="24" t="s">
        <v>28</v>
      </c>
      <c r="G321" s="24" t="s">
        <v>65</v>
      </c>
      <c r="H321" s="24" t="s">
        <v>31</v>
      </c>
      <c r="I321" s="25">
        <v>46006.607152777775</v>
      </c>
      <c r="J321" s="24" t="s">
        <v>4870</v>
      </c>
      <c r="K321" s="24" t="s">
        <v>32</v>
      </c>
    </row>
    <row r="322" spans="3:11" x14ac:dyDescent="0.25">
      <c r="C322" s="24">
        <v>23604397</v>
      </c>
      <c r="D322" s="25">
        <v>45992.611585648148</v>
      </c>
      <c r="E322" s="24" t="s">
        <v>27</v>
      </c>
      <c r="F322" s="24" t="s">
        <v>28</v>
      </c>
      <c r="G322" s="24" t="s">
        <v>29</v>
      </c>
      <c r="H322" s="24" t="s">
        <v>31</v>
      </c>
      <c r="I322" s="25">
        <v>46002.611585648148</v>
      </c>
      <c r="J322" s="24" t="s">
        <v>3260</v>
      </c>
      <c r="K322" s="24" t="s">
        <v>32</v>
      </c>
    </row>
    <row r="323" spans="3:11" x14ac:dyDescent="0.25">
      <c r="C323" s="24">
        <v>23604444</v>
      </c>
      <c r="D323" s="25">
        <v>45992.628634259258</v>
      </c>
      <c r="E323" s="24" t="s">
        <v>27</v>
      </c>
      <c r="F323" s="24" t="s">
        <v>28</v>
      </c>
      <c r="G323" s="24" t="s">
        <v>39</v>
      </c>
      <c r="H323" s="24" t="s">
        <v>31</v>
      </c>
      <c r="I323" s="25">
        <v>46000.628634259258</v>
      </c>
      <c r="J323" s="24" t="s">
        <v>5238</v>
      </c>
      <c r="K323" s="24" t="s">
        <v>48</v>
      </c>
    </row>
    <row r="324" spans="3:11" x14ac:dyDescent="0.25">
      <c r="C324" s="24">
        <v>23604489</v>
      </c>
      <c r="D324" s="25">
        <v>45992.648564814815</v>
      </c>
      <c r="E324" s="24" t="s">
        <v>27</v>
      </c>
      <c r="F324" s="24" t="s">
        <v>28</v>
      </c>
      <c r="G324" s="24" t="s">
        <v>29</v>
      </c>
      <c r="H324" s="24" t="s">
        <v>31</v>
      </c>
      <c r="I324" s="25">
        <v>46002.648564814815</v>
      </c>
      <c r="J324" s="24" t="s">
        <v>3262</v>
      </c>
      <c r="K324" s="24" t="s">
        <v>32</v>
      </c>
    </row>
    <row r="325" spans="3:11" x14ac:dyDescent="0.25">
      <c r="C325" s="24">
        <v>23604495</v>
      </c>
      <c r="D325" s="25">
        <v>45992.653761574074</v>
      </c>
      <c r="E325" s="24" t="s">
        <v>27</v>
      </c>
      <c r="F325" s="24" t="s">
        <v>28</v>
      </c>
      <c r="G325" s="24" t="s">
        <v>39</v>
      </c>
      <c r="H325" s="24" t="s">
        <v>31</v>
      </c>
      <c r="I325" s="25">
        <v>46000.653761574074</v>
      </c>
      <c r="J325" s="24" t="s">
        <v>5240</v>
      </c>
      <c r="K325" s="24" t="s">
        <v>48</v>
      </c>
    </row>
    <row r="326" spans="3:11" x14ac:dyDescent="0.25">
      <c r="C326" s="24">
        <v>23604499</v>
      </c>
      <c r="D326" s="25">
        <v>45992.656666666669</v>
      </c>
      <c r="E326" s="24" t="s">
        <v>27</v>
      </c>
      <c r="F326" s="24" t="s">
        <v>28</v>
      </c>
      <c r="G326" s="24" t="s">
        <v>29</v>
      </c>
      <c r="H326" s="24" t="s">
        <v>31</v>
      </c>
      <c r="I326" s="25">
        <v>46002.656666666669</v>
      </c>
      <c r="J326" s="24" t="s">
        <v>3264</v>
      </c>
      <c r="K326" s="24" t="s">
        <v>32</v>
      </c>
    </row>
    <row r="327" spans="3:11" x14ac:dyDescent="0.25">
      <c r="C327" s="24">
        <v>23604509</v>
      </c>
      <c r="D327" s="25">
        <v>45992.661481481482</v>
      </c>
      <c r="E327" s="24" t="s">
        <v>27</v>
      </c>
      <c r="F327" s="24" t="s">
        <v>28</v>
      </c>
      <c r="G327" s="24" t="s">
        <v>29</v>
      </c>
      <c r="H327" s="24" t="s">
        <v>31</v>
      </c>
      <c r="I327" s="25">
        <v>46002.661481481482</v>
      </c>
      <c r="J327" s="24" t="s">
        <v>3266</v>
      </c>
      <c r="K327" s="24" t="s">
        <v>32</v>
      </c>
    </row>
    <row r="328" spans="3:11" x14ac:dyDescent="0.25">
      <c r="C328" s="24">
        <v>23604522</v>
      </c>
      <c r="D328" s="25">
        <v>45992.670856481483</v>
      </c>
      <c r="E328" s="24" t="s">
        <v>27</v>
      </c>
      <c r="F328" s="24" t="s">
        <v>28</v>
      </c>
      <c r="G328" s="24" t="s">
        <v>29</v>
      </c>
      <c r="H328" s="24" t="s">
        <v>31</v>
      </c>
      <c r="I328" s="25">
        <v>46002.670856481483</v>
      </c>
      <c r="J328" s="24" t="s">
        <v>1679</v>
      </c>
      <c r="K328" s="24" t="s">
        <v>32</v>
      </c>
    </row>
    <row r="329" spans="3:11" x14ac:dyDescent="0.25">
      <c r="C329" s="24">
        <v>23604534</v>
      </c>
      <c r="D329" s="25">
        <v>45992.675057870372</v>
      </c>
      <c r="E329" s="24" t="s">
        <v>27</v>
      </c>
      <c r="F329" s="24" t="s">
        <v>28</v>
      </c>
      <c r="G329" s="24" t="s">
        <v>50</v>
      </c>
      <c r="H329" s="24" t="s">
        <v>31</v>
      </c>
      <c r="I329" s="25">
        <v>46008.675057870372</v>
      </c>
      <c r="J329" s="24" t="s">
        <v>5241</v>
      </c>
      <c r="K329" s="24" t="s">
        <v>32</v>
      </c>
    </row>
    <row r="330" spans="3:11" x14ac:dyDescent="0.25">
      <c r="C330" s="24">
        <v>23604536</v>
      </c>
      <c r="D330" s="25">
        <v>45992.675486111111</v>
      </c>
      <c r="E330" s="24" t="s">
        <v>27</v>
      </c>
      <c r="F330" s="24" t="s">
        <v>28</v>
      </c>
      <c r="G330" s="24" t="s">
        <v>29</v>
      </c>
      <c r="H330" s="24" t="s">
        <v>31</v>
      </c>
      <c r="I330" s="25">
        <v>46002.675486111111</v>
      </c>
      <c r="J330" s="24" t="s">
        <v>3268</v>
      </c>
      <c r="K330" s="24" t="s">
        <v>32</v>
      </c>
    </row>
    <row r="331" spans="3:11" x14ac:dyDescent="0.25">
      <c r="C331" s="24">
        <v>23604537</v>
      </c>
      <c r="D331" s="25">
        <v>45992.675682870373</v>
      </c>
      <c r="E331" s="24" t="s">
        <v>27</v>
      </c>
      <c r="F331" s="24" t="s">
        <v>28</v>
      </c>
      <c r="G331" s="24" t="s">
        <v>42</v>
      </c>
      <c r="H331" s="24" t="s">
        <v>31</v>
      </c>
      <c r="I331" s="25">
        <v>46002.675682870373</v>
      </c>
      <c r="J331" s="24" t="s">
        <v>3268</v>
      </c>
      <c r="K331" s="24" t="s">
        <v>32</v>
      </c>
    </row>
    <row r="332" spans="3:11" x14ac:dyDescent="0.25">
      <c r="C332" s="24">
        <v>23604557</v>
      </c>
      <c r="D332" s="25">
        <v>45992.686782407407</v>
      </c>
      <c r="E332" s="24" t="s">
        <v>27</v>
      </c>
      <c r="F332" s="24" t="s">
        <v>28</v>
      </c>
      <c r="G332" s="24" t="s">
        <v>60</v>
      </c>
      <c r="H332" s="24" t="s">
        <v>31</v>
      </c>
      <c r="I332" s="25">
        <v>45996.686782407407</v>
      </c>
      <c r="J332" s="24" t="s">
        <v>3510</v>
      </c>
      <c r="K332" s="24" t="s">
        <v>92</v>
      </c>
    </row>
    <row r="333" spans="3:11" x14ac:dyDescent="0.25">
      <c r="C333" s="24">
        <v>23604561</v>
      </c>
      <c r="D333" s="25">
        <v>45992.690381944441</v>
      </c>
      <c r="E333" s="24" t="s">
        <v>47</v>
      </c>
      <c r="F333" s="24" t="s">
        <v>62</v>
      </c>
      <c r="G333" s="24" t="s">
        <v>65</v>
      </c>
      <c r="H333" s="24" t="s">
        <v>31</v>
      </c>
      <c r="I333" s="25">
        <v>46006.690381944441</v>
      </c>
      <c r="J333" s="24" t="s">
        <v>5244</v>
      </c>
      <c r="K333" s="24" t="s">
        <v>32</v>
      </c>
    </row>
    <row r="334" spans="3:11" x14ac:dyDescent="0.25">
      <c r="C334" s="24">
        <v>23604568</v>
      </c>
      <c r="D334" s="25">
        <v>45992.694756944446</v>
      </c>
      <c r="E334" s="24" t="s">
        <v>43</v>
      </c>
      <c r="F334" s="24" t="s">
        <v>44</v>
      </c>
      <c r="G334" s="24" t="s">
        <v>29</v>
      </c>
      <c r="H334" s="24" t="s">
        <v>31</v>
      </c>
      <c r="I334" s="25">
        <v>46002.694756944446</v>
      </c>
      <c r="J334" s="24" t="s">
        <v>3278</v>
      </c>
      <c r="K334" s="24" t="s">
        <v>32</v>
      </c>
    </row>
    <row r="335" spans="3:11" x14ac:dyDescent="0.25">
      <c r="C335" s="24">
        <v>23604571</v>
      </c>
      <c r="D335" s="25">
        <v>45992.69604166667</v>
      </c>
      <c r="E335" s="24" t="s">
        <v>27</v>
      </c>
      <c r="F335" s="24" t="s">
        <v>28</v>
      </c>
      <c r="G335" s="24" t="s">
        <v>29</v>
      </c>
      <c r="H335" s="24" t="s">
        <v>31</v>
      </c>
      <c r="I335" s="25">
        <v>46002.69604166667</v>
      </c>
      <c r="J335" s="24" t="s">
        <v>3280</v>
      </c>
      <c r="K335" s="24" t="s">
        <v>32</v>
      </c>
    </row>
    <row r="336" spans="3:11" x14ac:dyDescent="0.25">
      <c r="C336" s="24">
        <v>23604585</v>
      </c>
      <c r="D336" s="25">
        <v>45992.70275462963</v>
      </c>
      <c r="E336" s="24" t="s">
        <v>43</v>
      </c>
      <c r="F336" s="24" t="s">
        <v>44</v>
      </c>
      <c r="G336" s="24" t="s">
        <v>29</v>
      </c>
      <c r="H336" s="24" t="s">
        <v>31</v>
      </c>
      <c r="I336" s="25">
        <v>46002.70275462963</v>
      </c>
      <c r="J336" s="24" t="s">
        <v>3281</v>
      </c>
      <c r="K336" s="24" t="s">
        <v>32</v>
      </c>
    </row>
    <row r="337" spans="3:11" x14ac:dyDescent="0.25">
      <c r="C337" s="24">
        <v>23604636</v>
      </c>
      <c r="D337" s="25">
        <v>45992.80574074074</v>
      </c>
      <c r="E337" s="24" t="s">
        <v>27</v>
      </c>
      <c r="F337" s="24" t="s">
        <v>28</v>
      </c>
      <c r="G337" s="24" t="s">
        <v>39</v>
      </c>
      <c r="H337" s="24" t="s">
        <v>31</v>
      </c>
      <c r="I337" s="25">
        <v>46000.80574074074</v>
      </c>
      <c r="J337" s="24" t="s">
        <v>5246</v>
      </c>
      <c r="K337" s="24" t="s">
        <v>48</v>
      </c>
    </row>
    <row r="338" spans="3:11" x14ac:dyDescent="0.25">
      <c r="C338" s="24">
        <v>23604830</v>
      </c>
      <c r="D338" s="25">
        <v>45993.264722222222</v>
      </c>
      <c r="E338" s="24" t="s">
        <v>27</v>
      </c>
      <c r="F338" s="24" t="s">
        <v>28</v>
      </c>
      <c r="G338" s="24" t="s">
        <v>60</v>
      </c>
      <c r="H338" s="24" t="s">
        <v>37</v>
      </c>
      <c r="I338" s="25">
        <v>46000.264722222222</v>
      </c>
      <c r="J338" s="24" t="s">
        <v>5248</v>
      </c>
      <c r="K338" s="24" t="s">
        <v>48</v>
      </c>
    </row>
    <row r="339" spans="3:11" x14ac:dyDescent="0.25">
      <c r="C339" s="24">
        <v>23604858</v>
      </c>
      <c r="D339" s="25">
        <v>45993.302002314813</v>
      </c>
      <c r="E339" s="24" t="s">
        <v>43</v>
      </c>
      <c r="F339" s="24" t="s">
        <v>44</v>
      </c>
      <c r="G339" s="24" t="s">
        <v>29</v>
      </c>
      <c r="H339" s="24" t="s">
        <v>31</v>
      </c>
      <c r="I339" s="25">
        <v>46003.302002314813</v>
      </c>
      <c r="J339" s="24" t="s">
        <v>5250</v>
      </c>
      <c r="K339" s="24" t="s">
        <v>32</v>
      </c>
    </row>
    <row r="340" spans="3:11" x14ac:dyDescent="0.25">
      <c r="C340" s="24">
        <v>23604859</v>
      </c>
      <c r="D340" s="25">
        <v>45993.302002314813</v>
      </c>
      <c r="E340" s="24" t="s">
        <v>43</v>
      </c>
      <c r="F340" s="24" t="s">
        <v>44</v>
      </c>
      <c r="G340" s="24" t="s">
        <v>29</v>
      </c>
      <c r="H340" s="24" t="s">
        <v>31</v>
      </c>
      <c r="I340" s="25">
        <v>46003.302002314813</v>
      </c>
      <c r="J340" s="24" t="s">
        <v>5250</v>
      </c>
      <c r="K340" s="24" t="s">
        <v>32</v>
      </c>
    </row>
    <row r="341" spans="3:11" x14ac:dyDescent="0.25">
      <c r="C341" s="24">
        <v>23604860</v>
      </c>
      <c r="D341" s="25">
        <v>45993.302314814813</v>
      </c>
      <c r="E341" s="24" t="s">
        <v>43</v>
      </c>
      <c r="F341" s="24" t="s">
        <v>44</v>
      </c>
      <c r="G341" s="24" t="s">
        <v>29</v>
      </c>
      <c r="H341" s="24" t="s">
        <v>31</v>
      </c>
      <c r="I341" s="25">
        <v>46003.302314814813</v>
      </c>
      <c r="J341" s="24" t="s">
        <v>5252</v>
      </c>
      <c r="K341" s="24" t="s">
        <v>32</v>
      </c>
    </row>
    <row r="342" spans="3:11" x14ac:dyDescent="0.25">
      <c r="C342" s="24">
        <v>23604863</v>
      </c>
      <c r="D342" s="25">
        <v>45993.305219907408</v>
      </c>
      <c r="E342" s="24" t="s">
        <v>43</v>
      </c>
      <c r="F342" s="24" t="s">
        <v>44</v>
      </c>
      <c r="G342" s="24" t="s">
        <v>29</v>
      </c>
      <c r="H342" s="24" t="s">
        <v>31</v>
      </c>
      <c r="I342" s="25">
        <v>46003.305219907408</v>
      </c>
      <c r="J342" s="24" t="s">
        <v>5254</v>
      </c>
      <c r="K342" s="24" t="s">
        <v>32</v>
      </c>
    </row>
    <row r="343" spans="3:11" x14ac:dyDescent="0.25">
      <c r="C343" s="24">
        <v>23604872</v>
      </c>
      <c r="D343" s="25">
        <v>45993.326284722221</v>
      </c>
      <c r="E343" s="24" t="s">
        <v>43</v>
      </c>
      <c r="F343" s="24" t="s">
        <v>44</v>
      </c>
      <c r="G343" s="24" t="s">
        <v>42</v>
      </c>
      <c r="H343" s="24" t="s">
        <v>31</v>
      </c>
      <c r="I343" s="25">
        <v>46003.326284722221</v>
      </c>
      <c r="J343" s="24" t="s">
        <v>5256</v>
      </c>
      <c r="K343" s="24" t="s">
        <v>32</v>
      </c>
    </row>
    <row r="344" spans="3:11" x14ac:dyDescent="0.25">
      <c r="C344" s="24">
        <v>23604892</v>
      </c>
      <c r="D344" s="25">
        <v>45993.342800925922</v>
      </c>
      <c r="E344" s="24" t="s">
        <v>27</v>
      </c>
      <c r="F344" s="24" t="s">
        <v>28</v>
      </c>
      <c r="G344" s="24" t="s">
        <v>29</v>
      </c>
      <c r="H344" s="24" t="s">
        <v>31</v>
      </c>
      <c r="I344" s="25">
        <v>46003.342800925922</v>
      </c>
      <c r="J344" s="24" t="s">
        <v>5258</v>
      </c>
      <c r="K344" s="24" t="s">
        <v>32</v>
      </c>
    </row>
    <row r="345" spans="3:11" x14ac:dyDescent="0.25">
      <c r="C345" s="24">
        <v>23604912</v>
      </c>
      <c r="D345" s="25">
        <v>45993.357835648145</v>
      </c>
      <c r="E345" s="24" t="s">
        <v>27</v>
      </c>
      <c r="F345" s="24" t="s">
        <v>28</v>
      </c>
      <c r="G345" s="24" t="s">
        <v>98</v>
      </c>
      <c r="H345" s="24" t="s">
        <v>31</v>
      </c>
      <c r="I345" s="25">
        <v>46003.357835648145</v>
      </c>
      <c r="J345" s="24" t="s">
        <v>3217</v>
      </c>
      <c r="K345" s="24" t="s">
        <v>32</v>
      </c>
    </row>
    <row r="346" spans="3:11" x14ac:dyDescent="0.25">
      <c r="C346" s="24">
        <v>23604913</v>
      </c>
      <c r="D346" s="25">
        <v>45993.358020833337</v>
      </c>
      <c r="E346" s="24" t="s">
        <v>27</v>
      </c>
      <c r="F346" s="24" t="s">
        <v>28</v>
      </c>
      <c r="G346" s="24" t="s">
        <v>60</v>
      </c>
      <c r="H346" s="24" t="s">
        <v>31</v>
      </c>
      <c r="I346" s="25">
        <v>46000.358020833337</v>
      </c>
      <c r="J346" s="24" t="s">
        <v>5259</v>
      </c>
      <c r="K346" s="24" t="s">
        <v>48</v>
      </c>
    </row>
    <row r="347" spans="3:11" x14ac:dyDescent="0.25">
      <c r="C347" s="24">
        <v>23604937</v>
      </c>
      <c r="D347" s="25">
        <v>45993.373310185183</v>
      </c>
      <c r="E347" s="24" t="s">
        <v>27</v>
      </c>
      <c r="F347" s="24" t="s">
        <v>28</v>
      </c>
      <c r="G347" s="24" t="s">
        <v>73</v>
      </c>
      <c r="H347" s="24" t="s">
        <v>31</v>
      </c>
      <c r="I347" s="25">
        <v>46009.373310185183</v>
      </c>
      <c r="J347" s="24" t="s">
        <v>5262</v>
      </c>
      <c r="K347" s="24" t="s">
        <v>32</v>
      </c>
    </row>
    <row r="348" spans="3:11" x14ac:dyDescent="0.25">
      <c r="C348" s="24">
        <v>23604942</v>
      </c>
      <c r="D348" s="25">
        <v>45993.38108796296</v>
      </c>
      <c r="E348" s="24" t="s">
        <v>27</v>
      </c>
      <c r="F348" s="24" t="s">
        <v>28</v>
      </c>
      <c r="G348" s="24" t="s">
        <v>60</v>
      </c>
      <c r="H348" s="24" t="s">
        <v>31</v>
      </c>
      <c r="I348" s="25">
        <v>46000.38108796296</v>
      </c>
      <c r="J348" s="24" t="s">
        <v>5263</v>
      </c>
      <c r="K348" s="24" t="s">
        <v>48</v>
      </c>
    </row>
    <row r="349" spans="3:11" x14ac:dyDescent="0.25">
      <c r="C349" s="24">
        <v>23604946</v>
      </c>
      <c r="D349" s="25">
        <v>45993.383344907408</v>
      </c>
      <c r="E349" s="24" t="s">
        <v>47</v>
      </c>
      <c r="F349" s="24" t="s">
        <v>62</v>
      </c>
      <c r="G349" s="24" t="s">
        <v>42</v>
      </c>
      <c r="H349" s="24" t="s">
        <v>31</v>
      </c>
      <c r="I349" s="25">
        <v>46003.383344907408</v>
      </c>
      <c r="J349" s="24" t="s">
        <v>5265</v>
      </c>
      <c r="K349" s="24" t="s">
        <v>32</v>
      </c>
    </row>
    <row r="350" spans="3:11" x14ac:dyDescent="0.25">
      <c r="C350" s="24">
        <v>23604948</v>
      </c>
      <c r="D350" s="25">
        <v>45993.384363425925</v>
      </c>
      <c r="E350" s="24" t="s">
        <v>27</v>
      </c>
      <c r="F350" s="24" t="s">
        <v>28</v>
      </c>
      <c r="G350" s="24" t="s">
        <v>39</v>
      </c>
      <c r="H350" s="24" t="s">
        <v>31</v>
      </c>
      <c r="I350" s="25">
        <v>46001.384363425925</v>
      </c>
      <c r="J350" s="24" t="s">
        <v>1686</v>
      </c>
      <c r="K350" s="24" t="s">
        <v>48</v>
      </c>
    </row>
    <row r="351" spans="3:11" x14ac:dyDescent="0.25">
      <c r="C351" s="24">
        <v>23604963</v>
      </c>
      <c r="D351" s="25">
        <v>45993.400358796294</v>
      </c>
      <c r="E351" s="24" t="s">
        <v>27</v>
      </c>
      <c r="F351" s="24" t="s">
        <v>28</v>
      </c>
      <c r="G351" s="24" t="s">
        <v>39</v>
      </c>
      <c r="H351" s="24" t="s">
        <v>31</v>
      </c>
      <c r="I351" s="25">
        <v>46001.400358796294</v>
      </c>
      <c r="J351" s="24" t="s">
        <v>3297</v>
      </c>
      <c r="K351" s="24" t="s">
        <v>48</v>
      </c>
    </row>
    <row r="352" spans="3:11" x14ac:dyDescent="0.25">
      <c r="C352" s="24">
        <v>23604964</v>
      </c>
      <c r="D352" s="25">
        <v>45993.40047453704</v>
      </c>
      <c r="E352" s="24" t="s">
        <v>27</v>
      </c>
      <c r="F352" s="24" t="s">
        <v>28</v>
      </c>
      <c r="G352" s="24" t="s">
        <v>39</v>
      </c>
      <c r="H352" s="24" t="s">
        <v>31</v>
      </c>
      <c r="I352" s="25">
        <v>46001.40047453704</v>
      </c>
      <c r="J352" s="24" t="s">
        <v>3297</v>
      </c>
      <c r="K352" s="24" t="s">
        <v>48</v>
      </c>
    </row>
    <row r="353" spans="3:11" x14ac:dyDescent="0.25">
      <c r="C353" s="24">
        <v>23604973</v>
      </c>
      <c r="D353" s="25">
        <v>45993.407835648148</v>
      </c>
      <c r="E353" s="24" t="s">
        <v>27</v>
      </c>
      <c r="F353" s="24" t="s">
        <v>28</v>
      </c>
      <c r="G353" s="24" t="s">
        <v>68</v>
      </c>
      <c r="H353" s="24" t="s">
        <v>31</v>
      </c>
      <c r="I353" s="25">
        <v>46009.407835648148</v>
      </c>
      <c r="J353" s="24" t="s">
        <v>5266</v>
      </c>
      <c r="K353" s="24" t="s">
        <v>32</v>
      </c>
    </row>
    <row r="354" spans="3:11" x14ac:dyDescent="0.25">
      <c r="C354" s="24">
        <v>23604988</v>
      </c>
      <c r="D354" s="25">
        <v>45993.419247685182</v>
      </c>
      <c r="E354" s="24" t="s">
        <v>27</v>
      </c>
      <c r="F354" s="24" t="s">
        <v>28</v>
      </c>
      <c r="G354" s="24" t="s">
        <v>39</v>
      </c>
      <c r="H354" s="24" t="s">
        <v>31</v>
      </c>
      <c r="I354" s="25">
        <v>46001.419247685182</v>
      </c>
      <c r="J354" s="24" t="s">
        <v>3299</v>
      </c>
      <c r="K354" s="24" t="s">
        <v>48</v>
      </c>
    </row>
    <row r="355" spans="3:11" x14ac:dyDescent="0.25">
      <c r="C355" s="24">
        <v>23605015</v>
      </c>
      <c r="D355" s="25">
        <v>45993.434872685182</v>
      </c>
      <c r="E355" s="24" t="s">
        <v>43</v>
      </c>
      <c r="F355" s="24" t="s">
        <v>44</v>
      </c>
      <c r="G355" s="24" t="s">
        <v>39</v>
      </c>
      <c r="H355" s="24" t="s">
        <v>31</v>
      </c>
      <c r="I355" s="25">
        <v>46001.434872685182</v>
      </c>
      <c r="J355" s="24" t="s">
        <v>2051</v>
      </c>
      <c r="K355" s="24" t="s">
        <v>48</v>
      </c>
    </row>
    <row r="356" spans="3:11" x14ac:dyDescent="0.25">
      <c r="C356" s="24">
        <v>23605017</v>
      </c>
      <c r="D356" s="25">
        <v>45993.435289351852</v>
      </c>
      <c r="E356" s="24" t="s">
        <v>47</v>
      </c>
      <c r="F356" s="24" t="s">
        <v>62</v>
      </c>
      <c r="G356" s="24" t="s">
        <v>60</v>
      </c>
      <c r="H356" s="24" t="s">
        <v>37</v>
      </c>
      <c r="I356" s="25">
        <v>46000.435289351852</v>
      </c>
      <c r="J356" s="24" t="s">
        <v>5267</v>
      </c>
      <c r="K356" s="24" t="s">
        <v>48</v>
      </c>
    </row>
    <row r="357" spans="3:11" x14ac:dyDescent="0.25">
      <c r="C357" s="24">
        <v>23605031</v>
      </c>
      <c r="D357" s="25">
        <v>45993.442048611112</v>
      </c>
      <c r="E357" s="24" t="s">
        <v>27</v>
      </c>
      <c r="F357" s="24" t="s">
        <v>28</v>
      </c>
      <c r="G357" s="24" t="s">
        <v>39</v>
      </c>
      <c r="H357" s="24" t="s">
        <v>31</v>
      </c>
      <c r="I357" s="25">
        <v>46001.442048611112</v>
      </c>
      <c r="J357" s="24" t="s">
        <v>1138</v>
      </c>
      <c r="K357" s="24" t="s">
        <v>48</v>
      </c>
    </row>
    <row r="358" spans="3:11" x14ac:dyDescent="0.25">
      <c r="C358" s="24">
        <v>23605032</v>
      </c>
      <c r="D358" s="25">
        <v>45993.443414351852</v>
      </c>
      <c r="E358" s="24" t="s">
        <v>27</v>
      </c>
      <c r="F358" s="24" t="s">
        <v>28</v>
      </c>
      <c r="G358" s="24" t="s">
        <v>39</v>
      </c>
      <c r="H358" s="24" t="s">
        <v>31</v>
      </c>
      <c r="I358" s="25">
        <v>46001.443414351852</v>
      </c>
      <c r="J358" s="24" t="s">
        <v>1135</v>
      </c>
      <c r="K358" s="24" t="s">
        <v>48</v>
      </c>
    </row>
    <row r="359" spans="3:11" x14ac:dyDescent="0.25">
      <c r="C359" s="24">
        <v>23605037</v>
      </c>
      <c r="D359" s="25">
        <v>45993.445115740738</v>
      </c>
      <c r="E359" s="24" t="s">
        <v>27</v>
      </c>
      <c r="F359" s="24" t="s">
        <v>28</v>
      </c>
      <c r="G359" s="24" t="s">
        <v>39</v>
      </c>
      <c r="H359" s="24" t="s">
        <v>31</v>
      </c>
      <c r="I359" s="25">
        <v>46001.445115740738</v>
      </c>
      <c r="J359" s="24" t="s">
        <v>3301</v>
      </c>
      <c r="K359" s="24" t="s">
        <v>48</v>
      </c>
    </row>
    <row r="360" spans="3:11" x14ac:dyDescent="0.25">
      <c r="C360" s="24">
        <v>23605044</v>
      </c>
      <c r="D360" s="25">
        <v>45993.446655092594</v>
      </c>
      <c r="E360" s="24" t="s">
        <v>43</v>
      </c>
      <c r="F360" s="24" t="s">
        <v>44</v>
      </c>
      <c r="G360" s="24" t="s">
        <v>39</v>
      </c>
      <c r="H360" s="24" t="s">
        <v>31</v>
      </c>
      <c r="I360" s="25">
        <v>46001.446655092594</v>
      </c>
      <c r="J360" s="24" t="s">
        <v>1136</v>
      </c>
      <c r="K360" s="24" t="s">
        <v>48</v>
      </c>
    </row>
    <row r="361" spans="3:11" x14ac:dyDescent="0.25">
      <c r="C361" s="24">
        <v>23605045</v>
      </c>
      <c r="D361" s="25">
        <v>45993.446898148148</v>
      </c>
      <c r="E361" s="24" t="s">
        <v>27</v>
      </c>
      <c r="F361" s="24" t="s">
        <v>28</v>
      </c>
      <c r="G361" s="24" t="s">
        <v>39</v>
      </c>
      <c r="H361" s="24" t="s">
        <v>31</v>
      </c>
      <c r="I361" s="25">
        <v>46001.446898148148</v>
      </c>
      <c r="J361" s="24" t="s">
        <v>1136</v>
      </c>
      <c r="K361" s="24" t="s">
        <v>48</v>
      </c>
    </row>
    <row r="362" spans="3:11" x14ac:dyDescent="0.25">
      <c r="C362" s="24">
        <v>23605059</v>
      </c>
      <c r="D362" s="25">
        <v>45993.454224537039</v>
      </c>
      <c r="E362" s="24" t="s">
        <v>47</v>
      </c>
      <c r="F362" s="24" t="s">
        <v>62</v>
      </c>
      <c r="G362" s="24" t="s">
        <v>29</v>
      </c>
      <c r="H362" s="24" t="s">
        <v>31</v>
      </c>
      <c r="I362" s="25">
        <v>46003.454224537039</v>
      </c>
      <c r="J362" s="24" t="s">
        <v>5269</v>
      </c>
      <c r="K362" s="24" t="s">
        <v>32</v>
      </c>
    </row>
    <row r="363" spans="3:11" x14ac:dyDescent="0.25">
      <c r="C363" s="24">
        <v>23605104</v>
      </c>
      <c r="D363" s="25">
        <v>45993.480347222219</v>
      </c>
      <c r="E363" s="24" t="s">
        <v>27</v>
      </c>
      <c r="F363" s="24" t="s">
        <v>28</v>
      </c>
      <c r="G363" s="24" t="s">
        <v>42</v>
      </c>
      <c r="H363" s="24" t="s">
        <v>37</v>
      </c>
      <c r="I363" s="25">
        <v>46008.480347222219</v>
      </c>
      <c r="J363" s="24" t="s">
        <v>3208</v>
      </c>
      <c r="K363" s="24" t="s">
        <v>32</v>
      </c>
    </row>
    <row r="364" spans="3:11" x14ac:dyDescent="0.25">
      <c r="C364" s="24">
        <v>23605116</v>
      </c>
      <c r="D364" s="25">
        <v>45993.484305555554</v>
      </c>
      <c r="E364" s="24" t="s">
        <v>27</v>
      </c>
      <c r="F364" s="24" t="s">
        <v>28</v>
      </c>
      <c r="G364" s="24" t="s">
        <v>60</v>
      </c>
      <c r="H364" s="24" t="s">
        <v>31</v>
      </c>
      <c r="I364" s="25">
        <v>46000.484305555554</v>
      </c>
      <c r="J364" s="24" t="s">
        <v>5272</v>
      </c>
      <c r="K364" s="24" t="s">
        <v>48</v>
      </c>
    </row>
    <row r="365" spans="3:11" x14ac:dyDescent="0.25">
      <c r="C365" s="24">
        <v>23605118</v>
      </c>
      <c r="D365" s="25">
        <v>45993.484293981484</v>
      </c>
      <c r="E365" s="24" t="s">
        <v>27</v>
      </c>
      <c r="F365" s="24" t="s">
        <v>28</v>
      </c>
      <c r="G365" s="24" t="s">
        <v>39</v>
      </c>
      <c r="H365" s="24" t="s">
        <v>31</v>
      </c>
      <c r="I365" s="25">
        <v>46001.484293981484</v>
      </c>
      <c r="J365" s="24" t="s">
        <v>3311</v>
      </c>
      <c r="K365" s="24" t="s">
        <v>48</v>
      </c>
    </row>
    <row r="366" spans="3:11" x14ac:dyDescent="0.25">
      <c r="C366" s="24">
        <v>23605126</v>
      </c>
      <c r="D366" s="25">
        <v>45993.488923611112</v>
      </c>
      <c r="E366" s="24" t="s">
        <v>55</v>
      </c>
      <c r="F366" s="24" t="s">
        <v>56</v>
      </c>
      <c r="G366" s="24" t="s">
        <v>65</v>
      </c>
      <c r="H366" s="24" t="s">
        <v>37</v>
      </c>
      <c r="I366" s="25">
        <v>46014.488923611112</v>
      </c>
      <c r="J366" s="24" t="s">
        <v>5273</v>
      </c>
      <c r="K366" s="24" t="s">
        <v>32</v>
      </c>
    </row>
    <row r="367" spans="3:11" x14ac:dyDescent="0.25">
      <c r="C367" s="24">
        <v>23605130</v>
      </c>
      <c r="D367" s="25">
        <v>45993.490254629629</v>
      </c>
      <c r="E367" s="24" t="s">
        <v>27</v>
      </c>
      <c r="F367" s="24" t="s">
        <v>28</v>
      </c>
      <c r="G367" s="24" t="s">
        <v>65</v>
      </c>
      <c r="H367" s="24" t="s">
        <v>31</v>
      </c>
      <c r="I367" s="25">
        <v>46007.490254629629</v>
      </c>
      <c r="J367" s="24" t="s">
        <v>1654</v>
      </c>
      <c r="K367" s="24" t="s">
        <v>32</v>
      </c>
    </row>
    <row r="368" spans="3:11" x14ac:dyDescent="0.25">
      <c r="C368" s="24">
        <v>23605147</v>
      </c>
      <c r="D368" s="25">
        <v>45993.496620370373</v>
      </c>
      <c r="E368" s="24" t="s">
        <v>27</v>
      </c>
      <c r="F368" s="24" t="s">
        <v>28</v>
      </c>
      <c r="G368" s="24" t="s">
        <v>39</v>
      </c>
      <c r="H368" s="24" t="s">
        <v>31</v>
      </c>
      <c r="I368" s="25">
        <v>46001.496620370373</v>
      </c>
      <c r="J368" s="24" t="s">
        <v>3314</v>
      </c>
      <c r="K368" s="24" t="s">
        <v>48</v>
      </c>
    </row>
    <row r="369" spans="3:11" x14ac:dyDescent="0.25">
      <c r="C369" s="24">
        <v>23605163</v>
      </c>
      <c r="D369" s="25">
        <v>45993.502766203703</v>
      </c>
      <c r="E369" s="24" t="s">
        <v>27</v>
      </c>
      <c r="F369" s="24" t="s">
        <v>28</v>
      </c>
      <c r="G369" s="24" t="s">
        <v>39</v>
      </c>
      <c r="H369" s="24" t="s">
        <v>31</v>
      </c>
      <c r="I369" s="25">
        <v>46001.502766203703</v>
      </c>
      <c r="J369" s="24" t="s">
        <v>3316</v>
      </c>
      <c r="K369" s="24" t="s">
        <v>48</v>
      </c>
    </row>
    <row r="370" spans="3:11" x14ac:dyDescent="0.25">
      <c r="C370" s="24">
        <v>23605173</v>
      </c>
      <c r="D370" s="25">
        <v>45993.509895833333</v>
      </c>
      <c r="E370" s="24" t="s">
        <v>47</v>
      </c>
      <c r="F370" s="24" t="s">
        <v>62</v>
      </c>
      <c r="G370" s="24" t="s">
        <v>98</v>
      </c>
      <c r="H370" s="24" t="s">
        <v>31</v>
      </c>
      <c r="I370" s="25">
        <v>46003.509895833333</v>
      </c>
      <c r="J370" s="24" t="s">
        <v>3435</v>
      </c>
      <c r="K370" s="24" t="s">
        <v>32</v>
      </c>
    </row>
    <row r="371" spans="3:11" x14ac:dyDescent="0.25">
      <c r="C371" s="24">
        <v>23605190</v>
      </c>
      <c r="D371" s="25">
        <v>45993.518437500003</v>
      </c>
      <c r="E371" s="24" t="s">
        <v>27</v>
      </c>
      <c r="F371" s="24" t="s">
        <v>28</v>
      </c>
      <c r="G371" s="24" t="s">
        <v>60</v>
      </c>
      <c r="H371" s="24" t="s">
        <v>31</v>
      </c>
      <c r="I371" s="25">
        <v>46000.518437500003</v>
      </c>
      <c r="J371" s="24" t="s">
        <v>5277</v>
      </c>
      <c r="K371" s="24" t="s">
        <v>48</v>
      </c>
    </row>
    <row r="372" spans="3:11" x14ac:dyDescent="0.25">
      <c r="C372" s="24">
        <v>23605193</v>
      </c>
      <c r="D372" s="25">
        <v>45994.454861111109</v>
      </c>
      <c r="E372" s="24" t="s">
        <v>27</v>
      </c>
      <c r="F372" s="24" t="s">
        <v>28</v>
      </c>
      <c r="G372" s="24" t="s">
        <v>39</v>
      </c>
      <c r="H372" s="24" t="s">
        <v>31</v>
      </c>
      <c r="I372" s="25">
        <v>46002.454861111109</v>
      </c>
      <c r="J372" s="24" t="s">
        <v>1134</v>
      </c>
      <c r="K372" s="24" t="s">
        <v>32</v>
      </c>
    </row>
    <row r="373" spans="3:11" x14ac:dyDescent="0.25">
      <c r="C373" s="24">
        <v>23605197</v>
      </c>
      <c r="D373" s="25">
        <v>45993.527696759258</v>
      </c>
      <c r="E373" s="24" t="s">
        <v>43</v>
      </c>
      <c r="F373" s="24" t="s">
        <v>44</v>
      </c>
      <c r="G373" s="24" t="s">
        <v>98</v>
      </c>
      <c r="H373" s="24" t="s">
        <v>31</v>
      </c>
      <c r="I373" s="25">
        <v>46003.527696759258</v>
      </c>
      <c r="J373" s="24" t="s">
        <v>5279</v>
      </c>
      <c r="K373" s="24" t="s">
        <v>32</v>
      </c>
    </row>
    <row r="374" spans="3:11" x14ac:dyDescent="0.25">
      <c r="C374" s="24">
        <v>23605217</v>
      </c>
      <c r="D374" s="25">
        <v>45993.538414351853</v>
      </c>
      <c r="E374" s="24" t="s">
        <v>27</v>
      </c>
      <c r="F374" s="24" t="s">
        <v>28</v>
      </c>
      <c r="G374" s="24" t="s">
        <v>29</v>
      </c>
      <c r="H374" s="24" t="s">
        <v>31</v>
      </c>
      <c r="I374" s="25">
        <v>46003.538414351853</v>
      </c>
      <c r="J374" s="24" t="s">
        <v>5281</v>
      </c>
      <c r="K374" s="24" t="s">
        <v>32</v>
      </c>
    </row>
    <row r="375" spans="3:11" x14ac:dyDescent="0.25">
      <c r="C375" s="24">
        <v>23605220</v>
      </c>
      <c r="D375" s="25">
        <v>45993.540335648147</v>
      </c>
      <c r="E375" s="24" t="s">
        <v>27</v>
      </c>
      <c r="F375" s="24" t="s">
        <v>28</v>
      </c>
      <c r="G375" s="24" t="s">
        <v>65</v>
      </c>
      <c r="H375" s="24" t="s">
        <v>31</v>
      </c>
      <c r="I375" s="25">
        <v>46007.540335648147</v>
      </c>
      <c r="J375" s="24" t="s">
        <v>5282</v>
      </c>
      <c r="K375" s="24" t="s">
        <v>32</v>
      </c>
    </row>
    <row r="376" spans="3:11" x14ac:dyDescent="0.25">
      <c r="C376" s="24">
        <v>23605242</v>
      </c>
      <c r="D376" s="25">
        <v>45993.555428240739</v>
      </c>
      <c r="E376" s="24" t="s">
        <v>27</v>
      </c>
      <c r="F376" s="24" t="s">
        <v>28</v>
      </c>
      <c r="G376" s="24" t="s">
        <v>65</v>
      </c>
      <c r="H376" s="24" t="s">
        <v>31</v>
      </c>
      <c r="I376" s="25">
        <v>46007.555428240739</v>
      </c>
      <c r="J376" s="24" t="s">
        <v>5284</v>
      </c>
      <c r="K376" s="24" t="s">
        <v>32</v>
      </c>
    </row>
    <row r="377" spans="3:11" x14ac:dyDescent="0.25">
      <c r="C377" s="24">
        <v>23605245</v>
      </c>
      <c r="D377" s="25">
        <v>45993.557581018518</v>
      </c>
      <c r="E377" s="24" t="s">
        <v>27</v>
      </c>
      <c r="F377" s="24" t="s">
        <v>28</v>
      </c>
      <c r="G377" s="24" t="s">
        <v>65</v>
      </c>
      <c r="H377" s="24" t="s">
        <v>31</v>
      </c>
      <c r="I377" s="25">
        <v>46007.557581018518</v>
      </c>
      <c r="J377" s="24" t="s">
        <v>5286</v>
      </c>
      <c r="K377" s="24" t="s">
        <v>32</v>
      </c>
    </row>
    <row r="378" spans="3:11" x14ac:dyDescent="0.25">
      <c r="C378" s="24">
        <v>23605246</v>
      </c>
      <c r="D378" s="25">
        <v>45993.557800925926</v>
      </c>
      <c r="E378" s="24" t="s">
        <v>57</v>
      </c>
      <c r="F378" s="24" t="s">
        <v>58</v>
      </c>
      <c r="G378" s="24" t="s">
        <v>60</v>
      </c>
      <c r="H378" s="24" t="s">
        <v>31</v>
      </c>
      <c r="I378" s="25">
        <v>46000.557800925926</v>
      </c>
      <c r="J378" s="24" t="s">
        <v>5288</v>
      </c>
      <c r="K378" s="24" t="s">
        <v>48</v>
      </c>
    </row>
    <row r="379" spans="3:11" x14ac:dyDescent="0.25">
      <c r="C379" s="24">
        <v>23605247</v>
      </c>
      <c r="D379" s="25">
        <v>45993.558356481481</v>
      </c>
      <c r="E379" s="24" t="s">
        <v>27</v>
      </c>
      <c r="F379" s="24" t="s">
        <v>28</v>
      </c>
      <c r="G379" s="24" t="s">
        <v>39</v>
      </c>
      <c r="H379" s="24" t="s">
        <v>31</v>
      </c>
      <c r="I379" s="25">
        <v>46001.558356481481</v>
      </c>
      <c r="J379" s="24" t="s">
        <v>3319</v>
      </c>
      <c r="K379" s="24" t="s">
        <v>48</v>
      </c>
    </row>
    <row r="380" spans="3:11" x14ac:dyDescent="0.25">
      <c r="C380" s="24">
        <v>23605248</v>
      </c>
      <c r="D380" s="25">
        <v>45993.558831018519</v>
      </c>
      <c r="E380" s="24" t="s">
        <v>43</v>
      </c>
      <c r="F380" s="24" t="s">
        <v>44</v>
      </c>
      <c r="G380" s="24" t="s">
        <v>29</v>
      </c>
      <c r="H380" s="24" t="s">
        <v>31</v>
      </c>
      <c r="I380" s="25">
        <v>46003.558831018519</v>
      </c>
      <c r="J380" s="24" t="s">
        <v>5289</v>
      </c>
      <c r="K380" s="24" t="s">
        <v>32</v>
      </c>
    </row>
    <row r="381" spans="3:11" x14ac:dyDescent="0.25">
      <c r="C381" s="24">
        <v>23605250</v>
      </c>
      <c r="D381" s="25">
        <v>45993.560231481482</v>
      </c>
      <c r="E381" s="24" t="s">
        <v>27</v>
      </c>
      <c r="F381" s="24" t="s">
        <v>28</v>
      </c>
      <c r="G381" s="24" t="s">
        <v>65</v>
      </c>
      <c r="H381" s="24" t="s">
        <v>31</v>
      </c>
      <c r="I381" s="25">
        <v>46007.560231481482</v>
      </c>
      <c r="J381" s="24" t="s">
        <v>5290</v>
      </c>
      <c r="K381" s="24" t="s">
        <v>32</v>
      </c>
    </row>
    <row r="382" spans="3:11" x14ac:dyDescent="0.25">
      <c r="C382" s="24">
        <v>23605261</v>
      </c>
      <c r="D382" s="25">
        <v>45993.567418981482</v>
      </c>
      <c r="E382" s="24" t="s">
        <v>27</v>
      </c>
      <c r="F382" s="24" t="s">
        <v>28</v>
      </c>
      <c r="G382" s="24" t="s">
        <v>71</v>
      </c>
      <c r="H382" s="24" t="s">
        <v>31</v>
      </c>
      <c r="I382" s="25">
        <v>46003.567418981482</v>
      </c>
      <c r="J382" s="24" t="s">
        <v>5292</v>
      </c>
      <c r="K382" s="24" t="s">
        <v>32</v>
      </c>
    </row>
    <row r="383" spans="3:11" x14ac:dyDescent="0.25">
      <c r="C383" s="24">
        <v>23605262</v>
      </c>
      <c r="D383" s="25">
        <v>45993.567719907405</v>
      </c>
      <c r="E383" s="24" t="s">
        <v>27</v>
      </c>
      <c r="F383" s="24" t="s">
        <v>28</v>
      </c>
      <c r="G383" s="24" t="s">
        <v>39</v>
      </c>
      <c r="H383" s="24" t="s">
        <v>31</v>
      </c>
      <c r="I383" s="25">
        <v>46001.567719907405</v>
      </c>
      <c r="J383" s="24" t="s">
        <v>3321</v>
      </c>
      <c r="K383" s="24" t="s">
        <v>48</v>
      </c>
    </row>
    <row r="384" spans="3:11" x14ac:dyDescent="0.25">
      <c r="C384" s="24">
        <v>23605270</v>
      </c>
      <c r="D384" s="25">
        <v>45993.578993055555</v>
      </c>
      <c r="E384" s="24" t="s">
        <v>27</v>
      </c>
      <c r="F384" s="24" t="s">
        <v>28</v>
      </c>
      <c r="G384" s="24" t="s">
        <v>39</v>
      </c>
      <c r="H384" s="24" t="s">
        <v>31</v>
      </c>
      <c r="I384" s="25">
        <v>46001.578993055555</v>
      </c>
      <c r="J384" s="24" t="s">
        <v>3323</v>
      </c>
      <c r="K384" s="24" t="s">
        <v>48</v>
      </c>
    </row>
    <row r="385" spans="3:11" x14ac:dyDescent="0.25">
      <c r="C385" s="24">
        <v>23605301</v>
      </c>
      <c r="D385" s="25">
        <v>45993.594155092593</v>
      </c>
      <c r="E385" s="24" t="s">
        <v>27</v>
      </c>
      <c r="F385" s="24" t="s">
        <v>28</v>
      </c>
      <c r="G385" s="24" t="s">
        <v>60</v>
      </c>
      <c r="H385" s="24" t="s">
        <v>31</v>
      </c>
      <c r="I385" s="25">
        <v>46000.594155092593</v>
      </c>
      <c r="J385" s="24" t="s">
        <v>5294</v>
      </c>
      <c r="K385" s="24" t="s">
        <v>48</v>
      </c>
    </row>
    <row r="386" spans="3:11" x14ac:dyDescent="0.25">
      <c r="C386" s="24">
        <v>23605307</v>
      </c>
      <c r="D386" s="25">
        <v>45993.597719907404</v>
      </c>
      <c r="E386" s="24" t="s">
        <v>27</v>
      </c>
      <c r="F386" s="24" t="s">
        <v>28</v>
      </c>
      <c r="G386" s="24" t="s">
        <v>29</v>
      </c>
      <c r="H386" s="24" t="s">
        <v>31</v>
      </c>
      <c r="I386" s="25">
        <v>46003.597719907404</v>
      </c>
      <c r="J386" s="24" t="s">
        <v>5062</v>
      </c>
      <c r="K386" s="24" t="s">
        <v>32</v>
      </c>
    </row>
    <row r="387" spans="3:11" x14ac:dyDescent="0.25">
      <c r="C387" s="24">
        <v>23605309</v>
      </c>
      <c r="D387" s="25">
        <v>45993.598530092589</v>
      </c>
      <c r="E387" s="24" t="s">
        <v>47</v>
      </c>
      <c r="F387" s="24" t="s">
        <v>62</v>
      </c>
      <c r="G387" s="24" t="s">
        <v>42</v>
      </c>
      <c r="H387" s="24" t="s">
        <v>31</v>
      </c>
      <c r="I387" s="25">
        <v>46003.598530092589</v>
      </c>
      <c r="J387" s="24" t="s">
        <v>4825</v>
      </c>
      <c r="K387" s="24" t="s">
        <v>32</v>
      </c>
    </row>
    <row r="388" spans="3:11" x14ac:dyDescent="0.25">
      <c r="C388" s="24">
        <v>23605311</v>
      </c>
      <c r="D388" s="25">
        <v>45993.599143518521</v>
      </c>
      <c r="E388" s="24" t="s">
        <v>27</v>
      </c>
      <c r="F388" s="24" t="s">
        <v>28</v>
      </c>
      <c r="G388" s="24" t="s">
        <v>29</v>
      </c>
      <c r="H388" s="24" t="s">
        <v>31</v>
      </c>
      <c r="I388" s="25">
        <v>46003.599143518521</v>
      </c>
      <c r="J388" s="24" t="s">
        <v>3882</v>
      </c>
      <c r="K388" s="24" t="s">
        <v>32</v>
      </c>
    </row>
    <row r="389" spans="3:11" x14ac:dyDescent="0.25">
      <c r="C389" s="24">
        <v>23605320</v>
      </c>
      <c r="D389" s="25">
        <v>45993.601585648146</v>
      </c>
      <c r="E389" s="24" t="s">
        <v>47</v>
      </c>
      <c r="F389" s="24" t="s">
        <v>62</v>
      </c>
      <c r="G389" s="24" t="s">
        <v>42</v>
      </c>
      <c r="H389" s="24" t="s">
        <v>31</v>
      </c>
      <c r="I389" s="25">
        <v>46003.601585648146</v>
      </c>
      <c r="J389" s="24" t="s">
        <v>5298</v>
      </c>
      <c r="K389" s="24" t="s">
        <v>32</v>
      </c>
    </row>
    <row r="390" spans="3:11" x14ac:dyDescent="0.25">
      <c r="C390" s="24">
        <v>23605330</v>
      </c>
      <c r="D390" s="25">
        <v>45993.604444444441</v>
      </c>
      <c r="E390" s="24" t="s">
        <v>27</v>
      </c>
      <c r="F390" s="24" t="s">
        <v>28</v>
      </c>
      <c r="G390" s="24" t="s">
        <v>60</v>
      </c>
      <c r="H390" s="24" t="s">
        <v>31</v>
      </c>
      <c r="I390" s="25">
        <v>46000.604444444441</v>
      </c>
      <c r="J390" s="24" t="s">
        <v>5299</v>
      </c>
      <c r="K390" s="24" t="s">
        <v>48</v>
      </c>
    </row>
    <row r="391" spans="3:11" x14ac:dyDescent="0.25">
      <c r="C391" s="24">
        <v>23605333</v>
      </c>
      <c r="D391" s="25">
        <v>45993.608344907407</v>
      </c>
      <c r="E391" s="24" t="s">
        <v>53</v>
      </c>
      <c r="F391" s="24" t="s">
        <v>54</v>
      </c>
      <c r="G391" s="24" t="s">
        <v>60</v>
      </c>
      <c r="H391" s="24" t="s">
        <v>31</v>
      </c>
      <c r="I391" s="25">
        <v>46000.608344907407</v>
      </c>
      <c r="J391" s="24" t="s">
        <v>5300</v>
      </c>
      <c r="K391" s="24" t="s">
        <v>48</v>
      </c>
    </row>
    <row r="392" spans="3:11" x14ac:dyDescent="0.25">
      <c r="C392" s="24">
        <v>23605338</v>
      </c>
      <c r="D392" s="25">
        <v>45993.611712962964</v>
      </c>
      <c r="E392" s="24" t="s">
        <v>27</v>
      </c>
      <c r="F392" s="24" t="s">
        <v>28</v>
      </c>
      <c r="G392" s="24" t="s">
        <v>29</v>
      </c>
      <c r="H392" s="24" t="s">
        <v>31</v>
      </c>
      <c r="I392" s="25">
        <v>46003.611712962964</v>
      </c>
      <c r="J392" s="24" t="s">
        <v>3261</v>
      </c>
      <c r="K392" s="24" t="s">
        <v>32</v>
      </c>
    </row>
    <row r="393" spans="3:11" x14ac:dyDescent="0.25">
      <c r="C393" s="24">
        <v>23605341</v>
      </c>
      <c r="D393" s="25">
        <v>45993.613692129627</v>
      </c>
      <c r="E393" s="24" t="s">
        <v>27</v>
      </c>
      <c r="F393" s="24" t="s">
        <v>28</v>
      </c>
      <c r="G393" s="24" t="s">
        <v>29</v>
      </c>
      <c r="H393" s="24" t="s">
        <v>31</v>
      </c>
      <c r="I393" s="25">
        <v>46003.613692129627</v>
      </c>
      <c r="J393" s="24" t="s">
        <v>5302</v>
      </c>
      <c r="K393" s="24" t="s">
        <v>32</v>
      </c>
    </row>
    <row r="394" spans="3:11" x14ac:dyDescent="0.25">
      <c r="C394" s="24">
        <v>23605342</v>
      </c>
      <c r="D394" s="25">
        <v>45993.614374999997</v>
      </c>
      <c r="E394" s="24" t="s">
        <v>27</v>
      </c>
      <c r="F394" s="24" t="s">
        <v>28</v>
      </c>
      <c r="G394" s="24" t="s">
        <v>29</v>
      </c>
      <c r="H394" s="24" t="s">
        <v>31</v>
      </c>
      <c r="I394" s="25">
        <v>46003.614374999997</v>
      </c>
      <c r="J394" s="24" t="s">
        <v>3178</v>
      </c>
      <c r="K394" s="24" t="s">
        <v>32</v>
      </c>
    </row>
    <row r="395" spans="3:11" x14ac:dyDescent="0.25">
      <c r="C395" s="24">
        <v>23605344</v>
      </c>
      <c r="D395" s="25">
        <v>45993.614756944444</v>
      </c>
      <c r="E395" s="24" t="s">
        <v>27</v>
      </c>
      <c r="F395" s="24" t="s">
        <v>28</v>
      </c>
      <c r="G395" s="24" t="s">
        <v>29</v>
      </c>
      <c r="H395" s="24" t="s">
        <v>31</v>
      </c>
      <c r="I395" s="25">
        <v>46003.614756944444</v>
      </c>
      <c r="J395" s="24" t="s">
        <v>5304</v>
      </c>
      <c r="K395" s="24" t="s">
        <v>32</v>
      </c>
    </row>
    <row r="396" spans="3:11" x14ac:dyDescent="0.25">
      <c r="C396" s="24">
        <v>23605345</v>
      </c>
      <c r="D396" s="25">
        <v>45993.61550925926</v>
      </c>
      <c r="E396" s="24" t="s">
        <v>53</v>
      </c>
      <c r="F396" s="24" t="s">
        <v>54</v>
      </c>
      <c r="G396" s="24" t="s">
        <v>60</v>
      </c>
      <c r="H396" s="24" t="s">
        <v>31</v>
      </c>
      <c r="I396" s="25">
        <v>46000.61550925926</v>
      </c>
      <c r="J396" s="24" t="s">
        <v>5305</v>
      </c>
      <c r="K396" s="24" t="s">
        <v>48</v>
      </c>
    </row>
    <row r="397" spans="3:11" x14ac:dyDescent="0.25">
      <c r="C397" s="24">
        <v>23605350</v>
      </c>
      <c r="D397" s="25">
        <v>45993.616967592592</v>
      </c>
      <c r="E397" s="24" t="s">
        <v>27</v>
      </c>
      <c r="F397" s="24" t="s">
        <v>28</v>
      </c>
      <c r="G397" s="24" t="s">
        <v>29</v>
      </c>
      <c r="H397" s="24" t="s">
        <v>31</v>
      </c>
      <c r="I397" s="25">
        <v>46003.616967592592</v>
      </c>
      <c r="J397" s="24" t="s">
        <v>3155</v>
      </c>
      <c r="K397" s="24" t="s">
        <v>32</v>
      </c>
    </row>
    <row r="398" spans="3:11" x14ac:dyDescent="0.25">
      <c r="C398" s="24">
        <v>23605356</v>
      </c>
      <c r="D398" s="25">
        <v>45993.622754629629</v>
      </c>
      <c r="E398" s="24" t="s">
        <v>53</v>
      </c>
      <c r="F398" s="24" t="s">
        <v>54</v>
      </c>
      <c r="G398" s="24" t="s">
        <v>60</v>
      </c>
      <c r="H398" s="24" t="s">
        <v>31</v>
      </c>
      <c r="I398" s="25">
        <v>46000.622754629629</v>
      </c>
      <c r="J398" s="24" t="s">
        <v>5307</v>
      </c>
      <c r="K398" s="24" t="s">
        <v>48</v>
      </c>
    </row>
    <row r="399" spans="3:11" x14ac:dyDescent="0.25">
      <c r="C399" s="24">
        <v>23605364</v>
      </c>
      <c r="D399" s="25">
        <v>45993.625949074078</v>
      </c>
      <c r="E399" s="24" t="s">
        <v>27</v>
      </c>
      <c r="F399" s="24" t="s">
        <v>28</v>
      </c>
      <c r="G399" s="24" t="s">
        <v>68</v>
      </c>
      <c r="H399" s="24" t="s">
        <v>31</v>
      </c>
      <c r="I399" s="25">
        <v>46009.625949074078</v>
      </c>
      <c r="J399" s="24" t="s">
        <v>5309</v>
      </c>
      <c r="K399" s="24" t="s">
        <v>32</v>
      </c>
    </row>
    <row r="400" spans="3:11" x14ac:dyDescent="0.25">
      <c r="C400" s="24">
        <v>23605370</v>
      </c>
      <c r="D400" s="25">
        <v>45993.631701388891</v>
      </c>
      <c r="E400" s="24" t="s">
        <v>27</v>
      </c>
      <c r="F400" s="24" t="s">
        <v>28</v>
      </c>
      <c r="G400" s="24" t="s">
        <v>29</v>
      </c>
      <c r="H400" s="24" t="s">
        <v>37</v>
      </c>
      <c r="I400" s="25">
        <v>46008.631701388891</v>
      </c>
      <c r="J400" s="24" t="s">
        <v>5310</v>
      </c>
      <c r="K400" s="24" t="s">
        <v>32</v>
      </c>
    </row>
    <row r="401" spans="3:11" x14ac:dyDescent="0.25">
      <c r="C401" s="24">
        <v>23605404</v>
      </c>
      <c r="D401" s="25">
        <v>45993.646620370368</v>
      </c>
      <c r="E401" s="24" t="s">
        <v>27</v>
      </c>
      <c r="F401" s="24" t="s">
        <v>28</v>
      </c>
      <c r="G401" s="24" t="s">
        <v>29</v>
      </c>
      <c r="H401" s="24" t="s">
        <v>31</v>
      </c>
      <c r="I401" s="25">
        <v>46003.646620370368</v>
      </c>
      <c r="J401" s="24" t="s">
        <v>1132</v>
      </c>
      <c r="K401" s="24" t="s">
        <v>32</v>
      </c>
    </row>
    <row r="402" spans="3:11" x14ac:dyDescent="0.25">
      <c r="C402" s="24">
        <v>23605430</v>
      </c>
      <c r="D402" s="25">
        <v>45993.66269675926</v>
      </c>
      <c r="E402" s="24" t="s">
        <v>27</v>
      </c>
      <c r="F402" s="24" t="s">
        <v>28</v>
      </c>
      <c r="G402" s="24" t="s">
        <v>29</v>
      </c>
      <c r="H402" s="24" t="s">
        <v>37</v>
      </c>
      <c r="I402" s="25">
        <v>46008.66269675926</v>
      </c>
      <c r="J402" s="24" t="s">
        <v>5312</v>
      </c>
      <c r="K402" s="24" t="s">
        <v>32</v>
      </c>
    </row>
    <row r="403" spans="3:11" x14ac:dyDescent="0.25">
      <c r="C403" s="24">
        <v>23605432</v>
      </c>
      <c r="D403" s="25">
        <v>45993.663761574076</v>
      </c>
      <c r="E403" s="24" t="s">
        <v>27</v>
      </c>
      <c r="F403" s="24" t="s">
        <v>28</v>
      </c>
      <c r="G403" s="24" t="s">
        <v>60</v>
      </c>
      <c r="H403" s="24" t="s">
        <v>31</v>
      </c>
      <c r="I403" s="25">
        <v>46000.663761574076</v>
      </c>
      <c r="J403" s="24" t="s">
        <v>5314</v>
      </c>
      <c r="K403" s="24" t="s">
        <v>48</v>
      </c>
    </row>
    <row r="404" spans="3:11" x14ac:dyDescent="0.25">
      <c r="C404" s="24">
        <v>23605463</v>
      </c>
      <c r="D404" s="25">
        <v>45993.682222222225</v>
      </c>
      <c r="E404" s="24" t="s">
        <v>27</v>
      </c>
      <c r="F404" s="24" t="s">
        <v>28</v>
      </c>
      <c r="G404" s="24" t="s">
        <v>29</v>
      </c>
      <c r="H404" s="24" t="s">
        <v>37</v>
      </c>
      <c r="I404" s="25">
        <v>46008.682222222225</v>
      </c>
      <c r="J404" s="24" t="s">
        <v>5316</v>
      </c>
      <c r="K404" s="24" t="s">
        <v>32</v>
      </c>
    </row>
    <row r="405" spans="3:11" x14ac:dyDescent="0.25">
      <c r="C405" s="24">
        <v>23605473</v>
      </c>
      <c r="D405" s="25">
        <v>45993.687094907407</v>
      </c>
      <c r="E405" s="24" t="s">
        <v>27</v>
      </c>
      <c r="F405" s="24" t="s">
        <v>28</v>
      </c>
      <c r="G405" s="24" t="s">
        <v>29</v>
      </c>
      <c r="H405" s="24" t="s">
        <v>31</v>
      </c>
      <c r="I405" s="25">
        <v>46003.687094907407</v>
      </c>
      <c r="J405" s="24" t="s">
        <v>5317</v>
      </c>
      <c r="K405" s="24" t="s">
        <v>32</v>
      </c>
    </row>
    <row r="406" spans="3:11" x14ac:dyDescent="0.25">
      <c r="C406" s="24">
        <v>23605485</v>
      </c>
      <c r="D406" s="25">
        <v>45993.697604166664</v>
      </c>
      <c r="E406" s="24" t="s">
        <v>27</v>
      </c>
      <c r="F406" s="24" t="s">
        <v>28</v>
      </c>
      <c r="G406" s="24" t="s">
        <v>29</v>
      </c>
      <c r="H406" s="24" t="s">
        <v>31</v>
      </c>
      <c r="I406" s="25">
        <v>46003.697604166664</v>
      </c>
      <c r="J406" s="24" t="s">
        <v>5319</v>
      </c>
      <c r="K406" s="24" t="s">
        <v>32</v>
      </c>
    </row>
    <row r="407" spans="3:11" x14ac:dyDescent="0.25">
      <c r="C407" s="24">
        <v>23605532</v>
      </c>
      <c r="D407" s="25">
        <v>45993.742962962962</v>
      </c>
      <c r="E407" s="24" t="s">
        <v>27</v>
      </c>
      <c r="F407" s="24" t="s">
        <v>28</v>
      </c>
      <c r="G407" s="24" t="s">
        <v>39</v>
      </c>
      <c r="H407" s="24" t="s">
        <v>31</v>
      </c>
      <c r="I407" s="25">
        <v>46001.742962962962</v>
      </c>
      <c r="J407" s="24" t="s">
        <v>3347</v>
      </c>
      <c r="K407" s="24" t="s">
        <v>48</v>
      </c>
    </row>
    <row r="408" spans="3:11" x14ac:dyDescent="0.25">
      <c r="C408" s="24">
        <v>23605534</v>
      </c>
      <c r="D408" s="25">
        <v>45993.744502314818</v>
      </c>
      <c r="E408" s="24" t="s">
        <v>47</v>
      </c>
      <c r="F408" s="24" t="s">
        <v>62</v>
      </c>
      <c r="G408" s="24" t="s">
        <v>98</v>
      </c>
      <c r="H408" s="24" t="s">
        <v>31</v>
      </c>
      <c r="I408" s="25">
        <v>46003.744502314818</v>
      </c>
      <c r="J408" s="24" t="s">
        <v>5321</v>
      </c>
      <c r="K408" s="24" t="s">
        <v>32</v>
      </c>
    </row>
    <row r="409" spans="3:11" x14ac:dyDescent="0.25">
      <c r="C409" s="24">
        <v>23605545</v>
      </c>
      <c r="D409" s="25">
        <v>45993.930497685185</v>
      </c>
      <c r="E409" s="24" t="s">
        <v>47</v>
      </c>
      <c r="F409" s="24" t="s">
        <v>62</v>
      </c>
      <c r="G409" s="24" t="s">
        <v>39</v>
      </c>
      <c r="H409" s="24" t="s">
        <v>31</v>
      </c>
      <c r="I409" s="25">
        <v>46001.930497685185</v>
      </c>
      <c r="J409" s="24" t="s">
        <v>3349</v>
      </c>
      <c r="K409" s="24" t="s">
        <v>48</v>
      </c>
    </row>
    <row r="410" spans="3:11" x14ac:dyDescent="0.25">
      <c r="C410" s="24">
        <v>23605817</v>
      </c>
      <c r="D410" s="25">
        <v>45994.318136574075</v>
      </c>
      <c r="E410" s="24" t="s">
        <v>27</v>
      </c>
      <c r="F410" s="24" t="s">
        <v>28</v>
      </c>
      <c r="G410" s="24" t="s">
        <v>65</v>
      </c>
      <c r="H410" s="24" t="s">
        <v>37</v>
      </c>
      <c r="I410" s="25">
        <v>46015.318136574075</v>
      </c>
      <c r="J410" s="24" t="s">
        <v>5323</v>
      </c>
      <c r="K410" s="24" t="s">
        <v>32</v>
      </c>
    </row>
    <row r="411" spans="3:11" x14ac:dyDescent="0.25">
      <c r="C411" s="24">
        <v>23605828</v>
      </c>
      <c r="D411" s="25">
        <v>45994.335868055554</v>
      </c>
      <c r="E411" s="24" t="s">
        <v>53</v>
      </c>
      <c r="F411" s="24" t="s">
        <v>54</v>
      </c>
      <c r="G411" s="24" t="s">
        <v>60</v>
      </c>
      <c r="H411" s="24" t="s">
        <v>31</v>
      </c>
      <c r="I411" s="25">
        <v>46001.335868055554</v>
      </c>
      <c r="J411" s="24" t="s">
        <v>5324</v>
      </c>
      <c r="K411" s="24" t="s">
        <v>48</v>
      </c>
    </row>
    <row r="412" spans="3:11" x14ac:dyDescent="0.25">
      <c r="C412" s="24">
        <v>23605835</v>
      </c>
      <c r="D412" s="25">
        <v>45994.339085648149</v>
      </c>
      <c r="E412" s="24" t="s">
        <v>27</v>
      </c>
      <c r="F412" s="24" t="s">
        <v>28</v>
      </c>
      <c r="G412" s="24" t="s">
        <v>39</v>
      </c>
      <c r="H412" s="24" t="s">
        <v>31</v>
      </c>
      <c r="I412" s="25">
        <v>46002.339085648149</v>
      </c>
      <c r="J412" s="24" t="s">
        <v>5326</v>
      </c>
      <c r="K412" s="24" t="s">
        <v>32</v>
      </c>
    </row>
    <row r="413" spans="3:11" x14ac:dyDescent="0.25">
      <c r="C413" s="24">
        <v>23605844</v>
      </c>
      <c r="D413" s="25">
        <v>45994.347037037034</v>
      </c>
      <c r="E413" s="24" t="s">
        <v>27</v>
      </c>
      <c r="F413" s="24" t="s">
        <v>28</v>
      </c>
      <c r="G413" s="24" t="s">
        <v>42</v>
      </c>
      <c r="H413" s="24" t="s">
        <v>31</v>
      </c>
      <c r="I413" s="25">
        <v>46006.347037037034</v>
      </c>
      <c r="J413" s="24" t="s">
        <v>5328</v>
      </c>
      <c r="K413" s="24" t="s">
        <v>32</v>
      </c>
    </row>
    <row r="414" spans="3:11" x14ac:dyDescent="0.25">
      <c r="C414" s="24">
        <v>23605851</v>
      </c>
      <c r="D414" s="25">
        <v>45994.353368055556</v>
      </c>
      <c r="E414" s="24" t="s">
        <v>27</v>
      </c>
      <c r="F414" s="24" t="s">
        <v>28</v>
      </c>
      <c r="G414" s="24" t="s">
        <v>29</v>
      </c>
      <c r="H414" s="24" t="s">
        <v>31</v>
      </c>
      <c r="I414" s="25">
        <v>46006.353368055556</v>
      </c>
      <c r="J414" s="24" t="s">
        <v>5330</v>
      </c>
      <c r="K414" s="24" t="s">
        <v>32</v>
      </c>
    </row>
    <row r="415" spans="3:11" x14ac:dyDescent="0.25">
      <c r="C415" s="24">
        <v>23605853</v>
      </c>
      <c r="D415" s="25">
        <v>45994.355462962965</v>
      </c>
      <c r="E415" s="24" t="s">
        <v>27</v>
      </c>
      <c r="F415" s="24" t="s">
        <v>28</v>
      </c>
      <c r="G415" s="24" t="s">
        <v>39</v>
      </c>
      <c r="H415" s="24" t="s">
        <v>31</v>
      </c>
      <c r="I415" s="25">
        <v>46002.355462962965</v>
      </c>
      <c r="J415" s="24" t="s">
        <v>5332</v>
      </c>
      <c r="K415" s="24" t="s">
        <v>32</v>
      </c>
    </row>
    <row r="416" spans="3:11" x14ac:dyDescent="0.25">
      <c r="C416" s="24">
        <v>23605856</v>
      </c>
      <c r="D416" s="25">
        <v>45994.359236111108</v>
      </c>
      <c r="E416" s="24" t="s">
        <v>53</v>
      </c>
      <c r="F416" s="24" t="s">
        <v>54</v>
      </c>
      <c r="G416" s="24" t="s">
        <v>29</v>
      </c>
      <c r="H416" s="24" t="s">
        <v>31</v>
      </c>
      <c r="I416" s="25">
        <v>46006.359236111108</v>
      </c>
      <c r="J416" s="24" t="s">
        <v>5334</v>
      </c>
      <c r="K416" s="24" t="s">
        <v>32</v>
      </c>
    </row>
    <row r="417" spans="3:11" x14ac:dyDescent="0.25">
      <c r="C417" s="24">
        <v>23605859</v>
      </c>
      <c r="D417" s="25">
        <v>45994.360775462963</v>
      </c>
      <c r="E417" s="24" t="s">
        <v>47</v>
      </c>
      <c r="F417" s="24" t="s">
        <v>62</v>
      </c>
      <c r="G417" s="24" t="s">
        <v>65</v>
      </c>
      <c r="H417" s="24" t="s">
        <v>31</v>
      </c>
      <c r="I417" s="25">
        <v>46008.360775462963</v>
      </c>
      <c r="J417" s="24" t="s">
        <v>5336</v>
      </c>
      <c r="K417" s="24" t="s">
        <v>32</v>
      </c>
    </row>
    <row r="418" spans="3:11" x14ac:dyDescent="0.25">
      <c r="C418" s="24">
        <v>23605861</v>
      </c>
      <c r="D418" s="25">
        <v>45994.362581018519</v>
      </c>
      <c r="E418" s="24" t="s">
        <v>43</v>
      </c>
      <c r="F418" s="24" t="s">
        <v>44</v>
      </c>
      <c r="G418" s="24" t="s">
        <v>39</v>
      </c>
      <c r="H418" s="24" t="s">
        <v>31</v>
      </c>
      <c r="I418" s="25">
        <v>46002.362581018519</v>
      </c>
      <c r="J418" s="24" t="s">
        <v>5337</v>
      </c>
      <c r="K418" s="24" t="s">
        <v>32</v>
      </c>
    </row>
    <row r="419" spans="3:11" x14ac:dyDescent="0.25">
      <c r="C419" s="24">
        <v>23605871</v>
      </c>
      <c r="D419" s="25">
        <v>45994.369537037041</v>
      </c>
      <c r="E419" s="24" t="s">
        <v>43</v>
      </c>
      <c r="F419" s="24" t="s">
        <v>44</v>
      </c>
      <c r="G419" s="24" t="s">
        <v>39</v>
      </c>
      <c r="H419" s="24" t="s">
        <v>31</v>
      </c>
      <c r="I419" s="25">
        <v>46002.369537037041</v>
      </c>
      <c r="J419" s="24" t="s">
        <v>5338</v>
      </c>
      <c r="K419" s="24" t="s">
        <v>32</v>
      </c>
    </row>
    <row r="420" spans="3:11" x14ac:dyDescent="0.25">
      <c r="C420" s="24">
        <v>23605886</v>
      </c>
      <c r="D420" s="25">
        <v>45994.371562499997</v>
      </c>
      <c r="E420" s="24" t="s">
        <v>43</v>
      </c>
      <c r="F420" s="24" t="s">
        <v>44</v>
      </c>
      <c r="G420" s="24" t="s">
        <v>39</v>
      </c>
      <c r="H420" s="24" t="s">
        <v>31</v>
      </c>
      <c r="I420" s="25">
        <v>46002.371562499997</v>
      </c>
      <c r="J420" s="24" t="s">
        <v>1123</v>
      </c>
      <c r="K420" s="24" t="s">
        <v>32</v>
      </c>
    </row>
    <row r="421" spans="3:11" x14ac:dyDescent="0.25">
      <c r="C421" s="24">
        <v>23606004</v>
      </c>
      <c r="D421" s="25">
        <v>45994.374791666669</v>
      </c>
      <c r="E421" s="24" t="s">
        <v>27</v>
      </c>
      <c r="F421" s="24" t="s">
        <v>28</v>
      </c>
      <c r="G421" s="24" t="s">
        <v>39</v>
      </c>
      <c r="H421" s="24" t="s">
        <v>31</v>
      </c>
      <c r="I421" s="25">
        <v>46002.374791666669</v>
      </c>
      <c r="J421" s="24" t="s">
        <v>5340</v>
      </c>
      <c r="K421" s="24" t="s">
        <v>32</v>
      </c>
    </row>
    <row r="422" spans="3:11" x14ac:dyDescent="0.25">
      <c r="C422" s="24">
        <v>23606065</v>
      </c>
      <c r="D422" s="25">
        <v>45994.376851851855</v>
      </c>
      <c r="E422" s="24" t="s">
        <v>43</v>
      </c>
      <c r="F422" s="24" t="s">
        <v>44</v>
      </c>
      <c r="G422" s="24" t="s">
        <v>39</v>
      </c>
      <c r="H422" s="24" t="s">
        <v>31</v>
      </c>
      <c r="I422" s="25">
        <v>46002.376851851855</v>
      </c>
      <c r="J422" s="24" t="s">
        <v>5342</v>
      </c>
      <c r="K422" s="24" t="s">
        <v>32</v>
      </c>
    </row>
    <row r="423" spans="3:11" x14ac:dyDescent="0.25">
      <c r="C423" s="24">
        <v>23606123</v>
      </c>
      <c r="D423" s="25">
        <v>45994.380752314813</v>
      </c>
      <c r="E423" s="24" t="s">
        <v>43</v>
      </c>
      <c r="F423" s="24" t="s">
        <v>44</v>
      </c>
      <c r="G423" s="24" t="s">
        <v>39</v>
      </c>
      <c r="H423" s="24" t="s">
        <v>31</v>
      </c>
      <c r="I423" s="25">
        <v>46002.380752314813</v>
      </c>
      <c r="J423" s="24" t="s">
        <v>1685</v>
      </c>
      <c r="K423" s="24" t="s">
        <v>32</v>
      </c>
    </row>
    <row r="424" spans="3:11" x14ac:dyDescent="0.25">
      <c r="C424" s="24">
        <v>23606129</v>
      </c>
      <c r="D424" s="25">
        <v>45994.383113425924</v>
      </c>
      <c r="E424" s="24" t="s">
        <v>27</v>
      </c>
      <c r="F424" s="24" t="s">
        <v>28</v>
      </c>
      <c r="G424" s="24" t="s">
        <v>39</v>
      </c>
      <c r="H424" s="24" t="s">
        <v>31</v>
      </c>
      <c r="I424" s="25">
        <v>46002.383113425924</v>
      </c>
      <c r="J424" s="24" t="s">
        <v>5344</v>
      </c>
      <c r="K424" s="24" t="s">
        <v>32</v>
      </c>
    </row>
    <row r="425" spans="3:11" x14ac:dyDescent="0.25">
      <c r="C425" s="24">
        <v>23606135</v>
      </c>
      <c r="D425" s="25">
        <v>45994.387326388889</v>
      </c>
      <c r="E425" s="24" t="s">
        <v>27</v>
      </c>
      <c r="F425" s="24" t="s">
        <v>28</v>
      </c>
      <c r="G425" s="24" t="s">
        <v>65</v>
      </c>
      <c r="H425" s="24" t="s">
        <v>31</v>
      </c>
      <c r="I425" s="25">
        <v>46008.387326388889</v>
      </c>
      <c r="J425" s="24" t="s">
        <v>5346</v>
      </c>
      <c r="K425" s="24" t="s">
        <v>32</v>
      </c>
    </row>
    <row r="426" spans="3:11" x14ac:dyDescent="0.25">
      <c r="C426" s="24">
        <v>23606146</v>
      </c>
      <c r="D426" s="25">
        <v>45994.396678240744</v>
      </c>
      <c r="E426" s="24" t="s">
        <v>27</v>
      </c>
      <c r="F426" s="24" t="s">
        <v>28</v>
      </c>
      <c r="G426" s="24" t="s">
        <v>39</v>
      </c>
      <c r="H426" s="24" t="s">
        <v>31</v>
      </c>
      <c r="I426" s="25">
        <v>46002.396678240744</v>
      </c>
      <c r="J426" s="24" t="s">
        <v>3065</v>
      </c>
      <c r="K426" s="24" t="s">
        <v>32</v>
      </c>
    </row>
    <row r="427" spans="3:11" x14ac:dyDescent="0.25">
      <c r="C427" s="24">
        <v>23606153</v>
      </c>
      <c r="D427" s="25">
        <v>45994.3987037037</v>
      </c>
      <c r="E427" s="24" t="s">
        <v>27</v>
      </c>
      <c r="F427" s="24" t="s">
        <v>28</v>
      </c>
      <c r="G427" s="24" t="s">
        <v>39</v>
      </c>
      <c r="H427" s="24" t="s">
        <v>31</v>
      </c>
      <c r="I427" s="25">
        <v>46002.3987037037</v>
      </c>
      <c r="J427" s="24" t="s">
        <v>3154</v>
      </c>
      <c r="K427" s="24" t="s">
        <v>32</v>
      </c>
    </row>
    <row r="428" spans="3:11" x14ac:dyDescent="0.25">
      <c r="C428" s="24">
        <v>23606154</v>
      </c>
      <c r="D428" s="25">
        <v>45994.398912037039</v>
      </c>
      <c r="E428" s="24" t="s">
        <v>27</v>
      </c>
      <c r="F428" s="24" t="s">
        <v>28</v>
      </c>
      <c r="G428" s="24" t="s">
        <v>29</v>
      </c>
      <c r="H428" s="24" t="s">
        <v>31</v>
      </c>
      <c r="I428" s="25">
        <v>46006.398912037039</v>
      </c>
      <c r="J428" s="24" t="s">
        <v>4029</v>
      </c>
      <c r="K428" s="24" t="s">
        <v>32</v>
      </c>
    </row>
    <row r="429" spans="3:11" x14ac:dyDescent="0.25">
      <c r="C429" s="24">
        <v>23606155</v>
      </c>
      <c r="D429" s="25">
        <v>45994.398946759262</v>
      </c>
      <c r="E429" s="24" t="s">
        <v>27</v>
      </c>
      <c r="F429" s="24" t="s">
        <v>28</v>
      </c>
      <c r="G429" s="24" t="s">
        <v>29</v>
      </c>
      <c r="H429" s="24" t="s">
        <v>31</v>
      </c>
      <c r="I429" s="25">
        <v>46006.398946759262</v>
      </c>
      <c r="J429" s="24" t="s">
        <v>4029</v>
      </c>
      <c r="K429" s="24" t="s">
        <v>32</v>
      </c>
    </row>
    <row r="430" spans="3:11" x14ac:dyDescent="0.25">
      <c r="C430" s="24">
        <v>23606172</v>
      </c>
      <c r="D430" s="25">
        <v>45994.408541666664</v>
      </c>
      <c r="E430" s="24" t="s">
        <v>27</v>
      </c>
      <c r="F430" s="24" t="s">
        <v>28</v>
      </c>
      <c r="G430" s="24" t="s">
        <v>39</v>
      </c>
      <c r="H430" s="24" t="s">
        <v>31</v>
      </c>
      <c r="I430" s="25">
        <v>46002.408541666664</v>
      </c>
      <c r="J430" s="24" t="s">
        <v>5348</v>
      </c>
      <c r="K430" s="24" t="s">
        <v>32</v>
      </c>
    </row>
    <row r="431" spans="3:11" x14ac:dyDescent="0.25">
      <c r="C431" s="24">
        <v>23606179</v>
      </c>
      <c r="D431" s="25">
        <v>45994.412592592591</v>
      </c>
      <c r="E431" s="24" t="s">
        <v>27</v>
      </c>
      <c r="F431" s="24" t="s">
        <v>28</v>
      </c>
      <c r="G431" s="24" t="s">
        <v>50</v>
      </c>
      <c r="H431" s="24" t="s">
        <v>31</v>
      </c>
      <c r="I431" s="25">
        <v>46010.412592592591</v>
      </c>
      <c r="J431" s="24" t="s">
        <v>5350</v>
      </c>
      <c r="K431" s="24" t="s">
        <v>32</v>
      </c>
    </row>
    <row r="432" spans="3:11" x14ac:dyDescent="0.25">
      <c r="C432" s="24">
        <v>23606193</v>
      </c>
      <c r="D432" s="25">
        <v>45994.421550925923</v>
      </c>
      <c r="E432" s="24" t="s">
        <v>27</v>
      </c>
      <c r="F432" s="24" t="s">
        <v>28</v>
      </c>
      <c r="G432" s="24" t="s">
        <v>65</v>
      </c>
      <c r="H432" s="24" t="s">
        <v>31</v>
      </c>
      <c r="I432" s="25">
        <v>46008.421550925923</v>
      </c>
      <c r="J432" s="24" t="s">
        <v>5352</v>
      </c>
      <c r="K432" s="24" t="s">
        <v>32</v>
      </c>
    </row>
    <row r="433" spans="3:11" x14ac:dyDescent="0.25">
      <c r="C433" s="24">
        <v>23606220</v>
      </c>
      <c r="D433" s="25">
        <v>45994.435266203705</v>
      </c>
      <c r="E433" s="24" t="s">
        <v>27</v>
      </c>
      <c r="F433" s="24" t="s">
        <v>28</v>
      </c>
      <c r="G433" s="24" t="s">
        <v>65</v>
      </c>
      <c r="H433" s="24" t="s">
        <v>37</v>
      </c>
      <c r="I433" s="25">
        <v>46015.435266203705</v>
      </c>
      <c r="J433" s="24" t="s">
        <v>5353</v>
      </c>
      <c r="K433" s="24" t="s">
        <v>32</v>
      </c>
    </row>
    <row r="434" spans="3:11" x14ac:dyDescent="0.25">
      <c r="C434" s="24">
        <v>23606227</v>
      </c>
      <c r="D434" s="25">
        <v>45994.438310185185</v>
      </c>
      <c r="E434" s="24" t="s">
        <v>27</v>
      </c>
      <c r="F434" s="24" t="s">
        <v>28</v>
      </c>
      <c r="G434" s="24" t="s">
        <v>39</v>
      </c>
      <c r="H434" s="24" t="s">
        <v>31</v>
      </c>
      <c r="I434" s="25">
        <v>46002.438310185185</v>
      </c>
      <c r="J434" s="24" t="s">
        <v>5355</v>
      </c>
      <c r="K434" s="24" t="s">
        <v>32</v>
      </c>
    </row>
    <row r="435" spans="3:11" x14ac:dyDescent="0.25">
      <c r="C435" s="24">
        <v>23606233</v>
      </c>
      <c r="D435" s="25">
        <v>45994.441331018519</v>
      </c>
      <c r="E435" s="24" t="s">
        <v>43</v>
      </c>
      <c r="F435" s="24" t="s">
        <v>44</v>
      </c>
      <c r="G435" s="24" t="s">
        <v>39</v>
      </c>
      <c r="H435" s="24" t="s">
        <v>31</v>
      </c>
      <c r="I435" s="25">
        <v>46002.441331018519</v>
      </c>
      <c r="J435" s="24" t="s">
        <v>1689</v>
      </c>
      <c r="K435" s="24" t="s">
        <v>32</v>
      </c>
    </row>
    <row r="436" spans="3:11" x14ac:dyDescent="0.25">
      <c r="C436" s="24">
        <v>23606243</v>
      </c>
      <c r="D436" s="25">
        <v>45994.443402777775</v>
      </c>
      <c r="E436" s="24" t="s">
        <v>43</v>
      </c>
      <c r="F436" s="24" t="s">
        <v>44</v>
      </c>
      <c r="G436" s="24" t="s">
        <v>39</v>
      </c>
      <c r="H436" s="24" t="s">
        <v>31</v>
      </c>
      <c r="I436" s="25">
        <v>46002.443402777775</v>
      </c>
      <c r="J436" s="24" t="s">
        <v>669</v>
      </c>
      <c r="K436" s="24" t="s">
        <v>32</v>
      </c>
    </row>
    <row r="437" spans="3:11" x14ac:dyDescent="0.25">
      <c r="C437" s="24">
        <v>23606247</v>
      </c>
      <c r="D437" s="25">
        <v>45994.44740740741</v>
      </c>
      <c r="E437" s="24" t="s">
        <v>43</v>
      </c>
      <c r="F437" s="24" t="s">
        <v>44</v>
      </c>
      <c r="G437" s="24" t="s">
        <v>39</v>
      </c>
      <c r="H437" s="24" t="s">
        <v>31</v>
      </c>
      <c r="I437" s="25">
        <v>46002.44740740741</v>
      </c>
      <c r="J437" s="24" t="s">
        <v>5357</v>
      </c>
      <c r="K437" s="24" t="s">
        <v>32</v>
      </c>
    </row>
    <row r="438" spans="3:11" x14ac:dyDescent="0.25">
      <c r="C438" s="24">
        <v>23606252</v>
      </c>
      <c r="D438" s="25">
        <v>45994.449131944442</v>
      </c>
      <c r="E438" s="24" t="s">
        <v>43</v>
      </c>
      <c r="F438" s="24" t="s">
        <v>44</v>
      </c>
      <c r="G438" s="24" t="s">
        <v>39</v>
      </c>
      <c r="H438" s="24" t="s">
        <v>31</v>
      </c>
      <c r="I438" s="25">
        <v>46002.449131944442</v>
      </c>
      <c r="J438" s="24" t="s">
        <v>5359</v>
      </c>
      <c r="K438" s="24" t="s">
        <v>32</v>
      </c>
    </row>
    <row r="439" spans="3:11" x14ac:dyDescent="0.25">
      <c r="C439" s="24">
        <v>23606255</v>
      </c>
      <c r="D439" s="25">
        <v>45994.450937499998</v>
      </c>
      <c r="E439" s="24" t="s">
        <v>43</v>
      </c>
      <c r="F439" s="24" t="s">
        <v>44</v>
      </c>
      <c r="G439" s="24" t="s">
        <v>39</v>
      </c>
      <c r="H439" s="24" t="s">
        <v>31</v>
      </c>
      <c r="I439" s="25">
        <v>46002.450937499998</v>
      </c>
      <c r="J439" s="24" t="s">
        <v>586</v>
      </c>
      <c r="K439" s="24" t="s">
        <v>32</v>
      </c>
    </row>
    <row r="440" spans="3:11" x14ac:dyDescent="0.25">
      <c r="C440" s="24">
        <v>23606257</v>
      </c>
      <c r="D440" s="25">
        <v>45994.451111111113</v>
      </c>
      <c r="E440" s="24" t="s">
        <v>27</v>
      </c>
      <c r="F440" s="24" t="s">
        <v>28</v>
      </c>
      <c r="G440" s="24" t="s">
        <v>29</v>
      </c>
      <c r="H440" s="24" t="s">
        <v>31</v>
      </c>
      <c r="I440" s="25">
        <v>46006.451111111113</v>
      </c>
      <c r="J440" s="24" t="s">
        <v>5360</v>
      </c>
      <c r="K440" s="24" t="s">
        <v>32</v>
      </c>
    </row>
    <row r="441" spans="3:11" x14ac:dyDescent="0.25">
      <c r="C441" s="24">
        <v>23606269</v>
      </c>
      <c r="D441" s="25">
        <v>45994.455046296294</v>
      </c>
      <c r="E441" s="24" t="s">
        <v>27</v>
      </c>
      <c r="F441" s="24" t="s">
        <v>28</v>
      </c>
      <c r="G441" s="24" t="s">
        <v>68</v>
      </c>
      <c r="H441" s="24" t="s">
        <v>31</v>
      </c>
      <c r="I441" s="25">
        <v>46010.455046296294</v>
      </c>
      <c r="J441" s="24" t="s">
        <v>3168</v>
      </c>
      <c r="K441" s="24" t="s">
        <v>32</v>
      </c>
    </row>
    <row r="442" spans="3:11" x14ac:dyDescent="0.25">
      <c r="C442" s="24">
        <v>23606271</v>
      </c>
      <c r="D442" s="25">
        <v>45994.455995370372</v>
      </c>
      <c r="E442" s="24" t="s">
        <v>27</v>
      </c>
      <c r="F442" s="24" t="s">
        <v>28</v>
      </c>
      <c r="G442" s="24" t="s">
        <v>39</v>
      </c>
      <c r="H442" s="24" t="s">
        <v>31</v>
      </c>
      <c r="I442" s="25">
        <v>46002.455995370372</v>
      </c>
      <c r="J442" s="24" t="s">
        <v>5362</v>
      </c>
      <c r="K442" s="24" t="s">
        <v>32</v>
      </c>
    </row>
    <row r="443" spans="3:11" x14ac:dyDescent="0.25">
      <c r="C443" s="24">
        <v>23606285</v>
      </c>
      <c r="D443" s="25">
        <v>45994.464085648149</v>
      </c>
      <c r="E443" s="24" t="s">
        <v>27</v>
      </c>
      <c r="F443" s="24" t="s">
        <v>28</v>
      </c>
      <c r="G443" s="24" t="s">
        <v>39</v>
      </c>
      <c r="H443" s="24" t="s">
        <v>31</v>
      </c>
      <c r="I443" s="25">
        <v>46002.464085648149</v>
      </c>
      <c r="J443" s="24" t="s">
        <v>5270</v>
      </c>
      <c r="K443" s="24" t="s">
        <v>32</v>
      </c>
    </row>
    <row r="444" spans="3:11" x14ac:dyDescent="0.25">
      <c r="C444" s="24">
        <v>23606287</v>
      </c>
      <c r="D444" s="25">
        <v>45994.465069444443</v>
      </c>
      <c r="E444" s="24" t="s">
        <v>27</v>
      </c>
      <c r="F444" s="24" t="s">
        <v>28</v>
      </c>
      <c r="G444" s="24" t="s">
        <v>39</v>
      </c>
      <c r="H444" s="24" t="s">
        <v>31</v>
      </c>
      <c r="I444" s="25">
        <v>46002.465069444443</v>
      </c>
      <c r="J444" s="24" t="s">
        <v>5364</v>
      </c>
      <c r="K444" s="24" t="s">
        <v>32</v>
      </c>
    </row>
    <row r="445" spans="3:11" x14ac:dyDescent="0.25">
      <c r="C445" s="24">
        <v>23606296</v>
      </c>
      <c r="D445" s="25">
        <v>45994.467476851853</v>
      </c>
      <c r="E445" s="24" t="s">
        <v>27</v>
      </c>
      <c r="F445" s="24" t="s">
        <v>28</v>
      </c>
      <c r="G445" s="24" t="s">
        <v>29</v>
      </c>
      <c r="H445" s="24" t="s">
        <v>31</v>
      </c>
      <c r="I445" s="25">
        <v>46006.467476851853</v>
      </c>
      <c r="J445" s="24" t="s">
        <v>5366</v>
      </c>
      <c r="K445" s="24" t="s">
        <v>32</v>
      </c>
    </row>
    <row r="446" spans="3:11" x14ac:dyDescent="0.25">
      <c r="C446" s="24">
        <v>23606305</v>
      </c>
      <c r="D446" s="25">
        <v>45994.471250000002</v>
      </c>
      <c r="E446" s="24" t="s">
        <v>27</v>
      </c>
      <c r="F446" s="24" t="s">
        <v>28</v>
      </c>
      <c r="G446" s="24" t="s">
        <v>29</v>
      </c>
      <c r="H446" s="24" t="s">
        <v>37</v>
      </c>
      <c r="I446" s="25">
        <v>46009.471250000002</v>
      </c>
      <c r="J446" s="24" t="s">
        <v>5368</v>
      </c>
      <c r="K446" s="24" t="s">
        <v>32</v>
      </c>
    </row>
    <row r="447" spans="3:11" x14ac:dyDescent="0.25">
      <c r="C447" s="24">
        <v>23606313</v>
      </c>
      <c r="D447" s="25">
        <v>45994.477222222224</v>
      </c>
      <c r="E447" s="24" t="s">
        <v>43</v>
      </c>
      <c r="F447" s="24" t="s">
        <v>44</v>
      </c>
      <c r="G447" s="24" t="s">
        <v>39</v>
      </c>
      <c r="H447" s="24" t="s">
        <v>31</v>
      </c>
      <c r="I447" s="25">
        <v>46002.477222222224</v>
      </c>
      <c r="J447" s="24" t="s">
        <v>5370</v>
      </c>
      <c r="K447" s="24" t="s">
        <v>32</v>
      </c>
    </row>
    <row r="448" spans="3:11" x14ac:dyDescent="0.25">
      <c r="C448" s="24">
        <v>23606320</v>
      </c>
      <c r="D448" s="25">
        <v>45994.479386574072</v>
      </c>
      <c r="E448" s="24" t="s">
        <v>27</v>
      </c>
      <c r="F448" s="24" t="s">
        <v>28</v>
      </c>
      <c r="G448" s="24" t="s">
        <v>39</v>
      </c>
      <c r="H448" s="24" t="s">
        <v>31</v>
      </c>
      <c r="I448" s="25">
        <v>46002.479386574072</v>
      </c>
      <c r="J448" s="24" t="s">
        <v>5372</v>
      </c>
      <c r="K448" s="24" t="s">
        <v>32</v>
      </c>
    </row>
    <row r="449" spans="3:11" x14ac:dyDescent="0.25">
      <c r="C449" s="24">
        <v>23606323</v>
      </c>
      <c r="D449" s="25">
        <v>45994.481585648151</v>
      </c>
      <c r="E449" s="24" t="s">
        <v>27</v>
      </c>
      <c r="F449" s="24" t="s">
        <v>28</v>
      </c>
      <c r="G449" s="24" t="s">
        <v>39</v>
      </c>
      <c r="H449" s="24" t="s">
        <v>31</v>
      </c>
      <c r="I449" s="25">
        <v>46002.481585648151</v>
      </c>
      <c r="J449" s="24" t="s">
        <v>5374</v>
      </c>
      <c r="K449" s="24" t="s">
        <v>32</v>
      </c>
    </row>
    <row r="450" spans="3:11" x14ac:dyDescent="0.25">
      <c r="C450" s="24">
        <v>23606335</v>
      </c>
      <c r="D450" s="25">
        <v>45994.488854166666</v>
      </c>
      <c r="E450" s="24" t="s">
        <v>43</v>
      </c>
      <c r="F450" s="24" t="s">
        <v>44</v>
      </c>
      <c r="G450" s="24" t="s">
        <v>39</v>
      </c>
      <c r="H450" s="24" t="s">
        <v>31</v>
      </c>
      <c r="I450" s="25">
        <v>46002.488854166666</v>
      </c>
      <c r="J450" s="24" t="s">
        <v>5376</v>
      </c>
      <c r="K450" s="24" t="s">
        <v>32</v>
      </c>
    </row>
    <row r="451" spans="3:11" x14ac:dyDescent="0.25">
      <c r="C451" s="24">
        <v>23606339</v>
      </c>
      <c r="D451" s="25">
        <v>45994.491296296299</v>
      </c>
      <c r="E451" s="24" t="s">
        <v>43</v>
      </c>
      <c r="F451" s="24" t="s">
        <v>44</v>
      </c>
      <c r="G451" s="24" t="s">
        <v>39</v>
      </c>
      <c r="H451" s="24" t="s">
        <v>31</v>
      </c>
      <c r="I451" s="25">
        <v>46002.491296296299</v>
      </c>
      <c r="J451" s="24" t="s">
        <v>5095</v>
      </c>
      <c r="K451" s="24" t="s">
        <v>32</v>
      </c>
    </row>
    <row r="452" spans="3:11" x14ac:dyDescent="0.25">
      <c r="C452" s="24">
        <v>23606341</v>
      </c>
      <c r="D452" s="25">
        <v>45994.492604166669</v>
      </c>
      <c r="E452" s="24" t="s">
        <v>27</v>
      </c>
      <c r="F452" s="24" t="s">
        <v>28</v>
      </c>
      <c r="G452" s="24" t="s">
        <v>60</v>
      </c>
      <c r="H452" s="24" t="s">
        <v>31</v>
      </c>
      <c r="I452" s="25">
        <v>46001.492604166669</v>
      </c>
      <c r="J452" s="24" t="s">
        <v>1137</v>
      </c>
      <c r="K452" s="24" t="s">
        <v>48</v>
      </c>
    </row>
    <row r="453" spans="3:11" x14ac:dyDescent="0.25">
      <c r="C453" s="24">
        <v>23606343</v>
      </c>
      <c r="D453" s="25">
        <v>45994.492986111109</v>
      </c>
      <c r="E453" s="24" t="s">
        <v>43</v>
      </c>
      <c r="F453" s="24" t="s">
        <v>44</v>
      </c>
      <c r="G453" s="24" t="s">
        <v>39</v>
      </c>
      <c r="H453" s="24" t="s">
        <v>31</v>
      </c>
      <c r="I453" s="25">
        <v>46002.492986111109</v>
      </c>
      <c r="J453" s="24" t="s">
        <v>587</v>
      </c>
      <c r="K453" s="24" t="s">
        <v>32</v>
      </c>
    </row>
    <row r="454" spans="3:11" x14ac:dyDescent="0.25">
      <c r="C454" s="24">
        <v>23606345</v>
      </c>
      <c r="D454" s="25">
        <v>45994.493067129632</v>
      </c>
      <c r="E454" s="24" t="s">
        <v>27</v>
      </c>
      <c r="F454" s="24" t="s">
        <v>28</v>
      </c>
      <c r="G454" s="24" t="s">
        <v>39</v>
      </c>
      <c r="H454" s="24" t="s">
        <v>31</v>
      </c>
      <c r="I454" s="25">
        <v>46002.493067129632</v>
      </c>
      <c r="J454" s="24" t="s">
        <v>1646</v>
      </c>
      <c r="K454" s="24" t="s">
        <v>32</v>
      </c>
    </row>
    <row r="455" spans="3:11" x14ac:dyDescent="0.25">
      <c r="C455" s="24">
        <v>23606350</v>
      </c>
      <c r="D455" s="25">
        <v>45994.495752314811</v>
      </c>
      <c r="E455" s="24" t="s">
        <v>27</v>
      </c>
      <c r="F455" s="24" t="s">
        <v>28</v>
      </c>
      <c r="G455" s="24" t="s">
        <v>68</v>
      </c>
      <c r="H455" s="24" t="s">
        <v>31</v>
      </c>
      <c r="I455" s="25">
        <v>46010.495752314811</v>
      </c>
      <c r="J455" s="24" t="s">
        <v>5378</v>
      </c>
      <c r="K455" s="24" t="s">
        <v>32</v>
      </c>
    </row>
    <row r="456" spans="3:11" x14ac:dyDescent="0.25">
      <c r="C456" s="24">
        <v>23606351</v>
      </c>
      <c r="D456" s="25">
        <v>45994.495856481481</v>
      </c>
      <c r="E456" s="24" t="s">
        <v>27</v>
      </c>
      <c r="F456" s="24" t="s">
        <v>28</v>
      </c>
      <c r="G456" s="24" t="s">
        <v>29</v>
      </c>
      <c r="H456" s="24" t="s">
        <v>31</v>
      </c>
      <c r="I456" s="25">
        <v>46006.495856481481</v>
      </c>
      <c r="J456" s="24" t="s">
        <v>5380</v>
      </c>
      <c r="K456" s="24" t="s">
        <v>32</v>
      </c>
    </row>
    <row r="457" spans="3:11" x14ac:dyDescent="0.25">
      <c r="C457" s="24">
        <v>23606352</v>
      </c>
      <c r="D457" s="25">
        <v>45994.495937500003</v>
      </c>
      <c r="E457" s="24" t="s">
        <v>27</v>
      </c>
      <c r="F457" s="24" t="s">
        <v>28</v>
      </c>
      <c r="G457" s="24" t="s">
        <v>68</v>
      </c>
      <c r="H457" s="24" t="s">
        <v>37</v>
      </c>
      <c r="I457" s="25">
        <v>46010.495937500003</v>
      </c>
      <c r="J457" s="24" t="s">
        <v>5381</v>
      </c>
      <c r="K457" s="24" t="s">
        <v>32</v>
      </c>
    </row>
    <row r="458" spans="3:11" x14ac:dyDescent="0.25">
      <c r="C458" s="24">
        <v>23606355</v>
      </c>
      <c r="D458" s="25">
        <v>45994.49695601852</v>
      </c>
      <c r="E458" s="24" t="s">
        <v>27</v>
      </c>
      <c r="F458" s="24" t="s">
        <v>28</v>
      </c>
      <c r="G458" s="24" t="s">
        <v>39</v>
      </c>
      <c r="H458" s="24" t="s">
        <v>31</v>
      </c>
      <c r="I458" s="25">
        <v>46002.49695601852</v>
      </c>
      <c r="J458" s="24" t="s">
        <v>3315</v>
      </c>
      <c r="K458" s="24" t="s">
        <v>32</v>
      </c>
    </row>
    <row r="459" spans="3:11" x14ac:dyDescent="0.25">
      <c r="C459" s="24">
        <v>23606368</v>
      </c>
      <c r="D459" s="25">
        <v>45994.510023148148</v>
      </c>
      <c r="E459" s="24" t="s">
        <v>27</v>
      </c>
      <c r="F459" s="24" t="s">
        <v>28</v>
      </c>
      <c r="G459" s="24" t="s">
        <v>39</v>
      </c>
      <c r="H459" s="24" t="s">
        <v>31</v>
      </c>
      <c r="I459" s="25">
        <v>46002.510023148148</v>
      </c>
      <c r="J459" s="24" t="s">
        <v>5275</v>
      </c>
      <c r="K459" s="24" t="s">
        <v>32</v>
      </c>
    </row>
    <row r="460" spans="3:11" x14ac:dyDescent="0.25">
      <c r="C460" s="24">
        <v>23606372</v>
      </c>
      <c r="D460" s="25">
        <v>45994.513796296298</v>
      </c>
      <c r="E460" s="24" t="s">
        <v>27</v>
      </c>
      <c r="F460" s="24" t="s">
        <v>28</v>
      </c>
      <c r="G460" s="24" t="s">
        <v>29</v>
      </c>
      <c r="H460" s="24" t="s">
        <v>31</v>
      </c>
      <c r="I460" s="25">
        <v>46006.513796296298</v>
      </c>
      <c r="J460" s="24" t="s">
        <v>5383</v>
      </c>
      <c r="K460" s="24" t="s">
        <v>32</v>
      </c>
    </row>
    <row r="461" spans="3:11" x14ac:dyDescent="0.25">
      <c r="C461" s="24">
        <v>23606385</v>
      </c>
      <c r="D461" s="25">
        <v>45994.522199074076</v>
      </c>
      <c r="E461" s="24" t="s">
        <v>27</v>
      </c>
      <c r="F461" s="24" t="s">
        <v>28</v>
      </c>
      <c r="G461" s="24" t="s">
        <v>39</v>
      </c>
      <c r="H461" s="24" t="s">
        <v>31</v>
      </c>
      <c r="I461" s="25">
        <v>46002.522199074076</v>
      </c>
      <c r="J461" s="24" t="s">
        <v>5385</v>
      </c>
      <c r="K461" s="24" t="s">
        <v>32</v>
      </c>
    </row>
    <row r="462" spans="3:11" x14ac:dyDescent="0.25">
      <c r="C462" s="24">
        <v>23606386</v>
      </c>
      <c r="D462" s="25">
        <v>45994.522488425922</v>
      </c>
      <c r="E462" s="24" t="s">
        <v>27</v>
      </c>
      <c r="F462" s="24" t="s">
        <v>28</v>
      </c>
      <c r="G462" s="24" t="s">
        <v>29</v>
      </c>
      <c r="H462" s="24" t="s">
        <v>31</v>
      </c>
      <c r="I462" s="25">
        <v>46006.522488425922</v>
      </c>
      <c r="J462" s="24" t="s">
        <v>5387</v>
      </c>
      <c r="K462" s="24" t="s">
        <v>32</v>
      </c>
    </row>
    <row r="463" spans="3:11" x14ac:dyDescent="0.25">
      <c r="C463" s="24">
        <v>23606389</v>
      </c>
      <c r="D463" s="25">
        <v>45994.523541666669</v>
      </c>
      <c r="E463" s="24" t="s">
        <v>27</v>
      </c>
      <c r="F463" s="24" t="s">
        <v>28</v>
      </c>
      <c r="G463" s="24" t="s">
        <v>39</v>
      </c>
      <c r="H463" s="24" t="s">
        <v>31</v>
      </c>
      <c r="I463" s="25">
        <v>46002.523541666669</v>
      </c>
      <c r="J463" s="24" t="s">
        <v>5081</v>
      </c>
      <c r="K463" s="24" t="s">
        <v>32</v>
      </c>
    </row>
    <row r="464" spans="3:11" x14ac:dyDescent="0.25">
      <c r="C464" s="24">
        <v>23606391</v>
      </c>
      <c r="D464" s="25">
        <v>45994.52851851852</v>
      </c>
      <c r="E464" s="24" t="s">
        <v>27</v>
      </c>
      <c r="F464" s="24" t="s">
        <v>28</v>
      </c>
      <c r="G464" s="24" t="s">
        <v>39</v>
      </c>
      <c r="H464" s="24" t="s">
        <v>31</v>
      </c>
      <c r="I464" s="25">
        <v>46002.52851851852</v>
      </c>
      <c r="J464" s="24" t="s">
        <v>5389</v>
      </c>
      <c r="K464" s="24" t="s">
        <v>32</v>
      </c>
    </row>
    <row r="465" spans="3:11" x14ac:dyDescent="0.25">
      <c r="C465" s="24">
        <v>23606412</v>
      </c>
      <c r="D465" s="25">
        <v>45994.548877314817</v>
      </c>
      <c r="E465" s="24" t="s">
        <v>27</v>
      </c>
      <c r="F465" s="24" t="s">
        <v>28</v>
      </c>
      <c r="G465" s="24" t="s">
        <v>29</v>
      </c>
      <c r="H465" s="24" t="s">
        <v>31</v>
      </c>
      <c r="I465" s="25">
        <v>46006.548877314817</v>
      </c>
      <c r="J465" s="24" t="s">
        <v>5391</v>
      </c>
      <c r="K465" s="24" t="s">
        <v>32</v>
      </c>
    </row>
    <row r="466" spans="3:11" x14ac:dyDescent="0.25">
      <c r="C466" s="24">
        <v>23606413</v>
      </c>
      <c r="D466" s="25">
        <v>45994.549837962964</v>
      </c>
      <c r="E466" s="24" t="s">
        <v>55</v>
      </c>
      <c r="F466" s="24" t="s">
        <v>56</v>
      </c>
      <c r="G466" s="24" t="s">
        <v>65</v>
      </c>
      <c r="H466" s="24" t="s">
        <v>37</v>
      </c>
      <c r="I466" s="25">
        <v>46015.549837962964</v>
      </c>
      <c r="J466" s="24" t="s">
        <v>5393</v>
      </c>
      <c r="K466" s="24" t="s">
        <v>32</v>
      </c>
    </row>
    <row r="467" spans="3:11" x14ac:dyDescent="0.25">
      <c r="C467" s="24">
        <v>23606416</v>
      </c>
      <c r="D467" s="25">
        <v>45994.550775462965</v>
      </c>
      <c r="E467" s="24" t="s">
        <v>27</v>
      </c>
      <c r="F467" s="24" t="s">
        <v>28</v>
      </c>
      <c r="G467" s="24" t="s">
        <v>65</v>
      </c>
      <c r="H467" s="24" t="s">
        <v>31</v>
      </c>
      <c r="I467" s="25">
        <v>46008.550775462965</v>
      </c>
      <c r="J467" s="24" t="s">
        <v>5395</v>
      </c>
      <c r="K467" s="24" t="s">
        <v>32</v>
      </c>
    </row>
    <row r="468" spans="3:11" x14ac:dyDescent="0.25">
      <c r="C468" s="24">
        <v>23606417</v>
      </c>
      <c r="D468" s="25">
        <v>45994.551041666666</v>
      </c>
      <c r="E468" s="24" t="s">
        <v>27</v>
      </c>
      <c r="F468" s="24" t="s">
        <v>28</v>
      </c>
      <c r="G468" s="24" t="s">
        <v>39</v>
      </c>
      <c r="H468" s="24" t="s">
        <v>31</v>
      </c>
      <c r="I468" s="25">
        <v>46002.551041666666</v>
      </c>
      <c r="J468" s="24" t="s">
        <v>5396</v>
      </c>
      <c r="K468" s="24" t="s">
        <v>32</v>
      </c>
    </row>
    <row r="469" spans="3:11" x14ac:dyDescent="0.25">
      <c r="C469" s="24">
        <v>23606420</v>
      </c>
      <c r="D469" s="25">
        <v>45994.55201388889</v>
      </c>
      <c r="E469" s="24" t="s">
        <v>27</v>
      </c>
      <c r="F469" s="24" t="s">
        <v>28</v>
      </c>
      <c r="G469" s="24" t="s">
        <v>29</v>
      </c>
      <c r="H469" s="24" t="s">
        <v>31</v>
      </c>
      <c r="I469" s="25">
        <v>46006.55201388889</v>
      </c>
      <c r="J469" s="24" t="s">
        <v>5178</v>
      </c>
      <c r="K469" s="24" t="s">
        <v>32</v>
      </c>
    </row>
    <row r="470" spans="3:11" x14ac:dyDescent="0.25">
      <c r="C470" s="24">
        <v>23606453</v>
      </c>
      <c r="D470" s="25">
        <v>45994.565034722225</v>
      </c>
      <c r="E470" s="24" t="s">
        <v>27</v>
      </c>
      <c r="F470" s="24" t="s">
        <v>28</v>
      </c>
      <c r="G470" s="24" t="s">
        <v>39</v>
      </c>
      <c r="H470" s="24" t="s">
        <v>31</v>
      </c>
      <c r="I470" s="25">
        <v>46002.565034722225</v>
      </c>
      <c r="J470" s="24" t="s">
        <v>5399</v>
      </c>
      <c r="K470" s="24" t="s">
        <v>32</v>
      </c>
    </row>
    <row r="471" spans="3:11" x14ac:dyDescent="0.25">
      <c r="C471" s="24">
        <v>23606457</v>
      </c>
      <c r="D471" s="25">
        <v>45994.568796296298</v>
      </c>
      <c r="E471" s="24" t="s">
        <v>27</v>
      </c>
      <c r="F471" s="24" t="s">
        <v>28</v>
      </c>
      <c r="G471" s="24" t="s">
        <v>39</v>
      </c>
      <c r="H471" s="24" t="s">
        <v>37</v>
      </c>
      <c r="I471" s="25">
        <v>46007.568796296298</v>
      </c>
      <c r="J471" s="24" t="s">
        <v>5401</v>
      </c>
      <c r="K471" s="24" t="s">
        <v>32</v>
      </c>
    </row>
    <row r="472" spans="3:11" x14ac:dyDescent="0.25">
      <c r="C472" s="24">
        <v>23606460</v>
      </c>
      <c r="D472" s="25">
        <v>45994.572442129633</v>
      </c>
      <c r="E472" s="24" t="s">
        <v>27</v>
      </c>
      <c r="F472" s="24" t="s">
        <v>28</v>
      </c>
      <c r="G472" s="24" t="s">
        <v>39</v>
      </c>
      <c r="H472" s="24" t="s">
        <v>37</v>
      </c>
      <c r="I472" s="25">
        <v>46007.572442129633</v>
      </c>
      <c r="J472" s="24" t="s">
        <v>5402</v>
      </c>
      <c r="K472" s="24" t="s">
        <v>32</v>
      </c>
    </row>
    <row r="473" spans="3:11" x14ac:dyDescent="0.25">
      <c r="C473" s="24">
        <v>23606466</v>
      </c>
      <c r="D473" s="25">
        <v>45994.576481481483</v>
      </c>
      <c r="E473" s="24" t="s">
        <v>27</v>
      </c>
      <c r="F473" s="24" t="s">
        <v>28</v>
      </c>
      <c r="G473" s="24" t="s">
        <v>39</v>
      </c>
      <c r="H473" s="24" t="s">
        <v>37</v>
      </c>
      <c r="I473" s="25">
        <v>46007.576481481483</v>
      </c>
      <c r="J473" s="24" t="s">
        <v>5404</v>
      </c>
      <c r="K473" s="24" t="s">
        <v>32</v>
      </c>
    </row>
    <row r="474" spans="3:11" x14ac:dyDescent="0.25">
      <c r="C474" s="24">
        <v>23606469</v>
      </c>
      <c r="D474" s="25">
        <v>45994.579444444447</v>
      </c>
      <c r="E474" s="24" t="s">
        <v>27</v>
      </c>
      <c r="F474" s="24" t="s">
        <v>28</v>
      </c>
      <c r="G474" s="24" t="s">
        <v>39</v>
      </c>
      <c r="H474" s="24" t="s">
        <v>31</v>
      </c>
      <c r="I474" s="25">
        <v>46002.579444444447</v>
      </c>
      <c r="J474" s="24" t="s">
        <v>5406</v>
      </c>
      <c r="K474" s="24" t="s">
        <v>32</v>
      </c>
    </row>
    <row r="475" spans="3:11" x14ac:dyDescent="0.25">
      <c r="C475" s="24">
        <v>23606470</v>
      </c>
      <c r="D475" s="25">
        <v>45994.57980324074</v>
      </c>
      <c r="E475" s="24" t="s">
        <v>27</v>
      </c>
      <c r="F475" s="24" t="s">
        <v>28</v>
      </c>
      <c r="G475" s="24" t="s">
        <v>42</v>
      </c>
      <c r="H475" s="24" t="s">
        <v>31</v>
      </c>
      <c r="I475" s="25">
        <v>46006.57980324074</v>
      </c>
      <c r="J475" s="24" t="s">
        <v>5407</v>
      </c>
      <c r="K475" s="24" t="s">
        <v>32</v>
      </c>
    </row>
    <row r="476" spans="3:11" x14ac:dyDescent="0.25">
      <c r="C476" s="24">
        <v>23606512</v>
      </c>
      <c r="D476" s="25">
        <v>45994.595243055555</v>
      </c>
      <c r="E476" s="24" t="s">
        <v>27</v>
      </c>
      <c r="F476" s="24" t="s">
        <v>28</v>
      </c>
      <c r="G476" s="24" t="s">
        <v>39</v>
      </c>
      <c r="H476" s="24" t="s">
        <v>31</v>
      </c>
      <c r="I476" s="25">
        <v>46002.595243055555</v>
      </c>
      <c r="J476" s="24" t="s">
        <v>5409</v>
      </c>
      <c r="K476" s="24" t="s">
        <v>32</v>
      </c>
    </row>
    <row r="477" spans="3:11" x14ac:dyDescent="0.25">
      <c r="C477" s="24">
        <v>23606513</v>
      </c>
      <c r="D477" s="25">
        <v>45994.595289351855</v>
      </c>
      <c r="E477" s="24" t="s">
        <v>27</v>
      </c>
      <c r="F477" s="24" t="s">
        <v>28</v>
      </c>
      <c r="G477" s="24" t="s">
        <v>39</v>
      </c>
      <c r="H477" s="24" t="s">
        <v>31</v>
      </c>
      <c r="I477" s="25">
        <v>46002.595289351855</v>
      </c>
      <c r="J477" s="24" t="s">
        <v>5409</v>
      </c>
      <c r="K477" s="24" t="s">
        <v>32</v>
      </c>
    </row>
    <row r="478" spans="3:11" x14ac:dyDescent="0.25">
      <c r="C478" s="24">
        <v>23606516</v>
      </c>
      <c r="D478" s="25">
        <v>45994.596979166665</v>
      </c>
      <c r="E478" s="24" t="s">
        <v>27</v>
      </c>
      <c r="F478" s="24" t="s">
        <v>28</v>
      </c>
      <c r="G478" s="24" t="s">
        <v>39</v>
      </c>
      <c r="H478" s="24" t="s">
        <v>37</v>
      </c>
      <c r="I478" s="25">
        <v>46007.596979166665</v>
      </c>
      <c r="J478" s="24" t="s">
        <v>5410</v>
      </c>
      <c r="K478" s="24" t="s">
        <v>32</v>
      </c>
    </row>
    <row r="479" spans="3:11" x14ac:dyDescent="0.25">
      <c r="C479" s="24">
        <v>23606517</v>
      </c>
      <c r="D479" s="25">
        <v>45994.597233796296</v>
      </c>
      <c r="E479" s="24" t="s">
        <v>27</v>
      </c>
      <c r="F479" s="24" t="s">
        <v>28</v>
      </c>
      <c r="G479" s="24" t="s">
        <v>29</v>
      </c>
      <c r="H479" s="24" t="s">
        <v>31</v>
      </c>
      <c r="I479" s="25">
        <v>46006.597233796296</v>
      </c>
      <c r="J479" s="24" t="s">
        <v>3327</v>
      </c>
      <c r="K479" s="24" t="s">
        <v>32</v>
      </c>
    </row>
    <row r="480" spans="3:11" x14ac:dyDescent="0.25">
      <c r="C480" s="24">
        <v>23606560</v>
      </c>
      <c r="D480" s="25">
        <v>45994.608495370368</v>
      </c>
      <c r="E480" s="24" t="s">
        <v>27</v>
      </c>
      <c r="F480" s="24" t="s">
        <v>28</v>
      </c>
      <c r="G480" s="24" t="s">
        <v>39</v>
      </c>
      <c r="H480" s="24" t="s">
        <v>37</v>
      </c>
      <c r="I480" s="25">
        <v>46007.608495370368</v>
      </c>
      <c r="J480" s="24" t="s">
        <v>5049</v>
      </c>
      <c r="K480" s="24" t="s">
        <v>32</v>
      </c>
    </row>
    <row r="481" spans="3:11" x14ac:dyDescent="0.25">
      <c r="C481" s="24">
        <v>23606577</v>
      </c>
      <c r="D481" s="25">
        <v>45994.610983796294</v>
      </c>
      <c r="E481" s="24" t="s">
        <v>27</v>
      </c>
      <c r="F481" s="24" t="s">
        <v>28</v>
      </c>
      <c r="G481" s="24" t="s">
        <v>50</v>
      </c>
      <c r="H481" s="24" t="s">
        <v>31</v>
      </c>
      <c r="I481" s="25">
        <v>46010.610983796294</v>
      </c>
      <c r="J481" s="24" t="s">
        <v>5412</v>
      </c>
      <c r="K481" s="24" t="s">
        <v>32</v>
      </c>
    </row>
    <row r="482" spans="3:11" x14ac:dyDescent="0.25">
      <c r="C482" s="24">
        <v>23606581</v>
      </c>
      <c r="D482" s="25">
        <v>45994.612534722219</v>
      </c>
      <c r="E482" s="24" t="s">
        <v>27</v>
      </c>
      <c r="F482" s="24" t="s">
        <v>28</v>
      </c>
      <c r="G482" s="24" t="s">
        <v>39</v>
      </c>
      <c r="H482" s="24" t="s">
        <v>37</v>
      </c>
      <c r="I482" s="25">
        <v>46007.612534722219</v>
      </c>
      <c r="J482" s="24" t="s">
        <v>5414</v>
      </c>
      <c r="K482" s="24" t="s">
        <v>32</v>
      </c>
    </row>
    <row r="483" spans="3:11" x14ac:dyDescent="0.25">
      <c r="C483" s="24">
        <v>23606618</v>
      </c>
      <c r="D483" s="25">
        <v>45994.619409722225</v>
      </c>
      <c r="E483" s="24" t="s">
        <v>43</v>
      </c>
      <c r="F483" s="24" t="s">
        <v>44</v>
      </c>
      <c r="G483" s="24" t="s">
        <v>39</v>
      </c>
      <c r="H483" s="24" t="s">
        <v>31</v>
      </c>
      <c r="I483" s="25">
        <v>46002.619409722225</v>
      </c>
      <c r="J483" s="24" t="s">
        <v>3169</v>
      </c>
      <c r="K483" s="24" t="s">
        <v>32</v>
      </c>
    </row>
    <row r="484" spans="3:11" x14ac:dyDescent="0.25">
      <c r="C484" s="24">
        <v>23606653</v>
      </c>
      <c r="D484" s="25"/>
      <c r="E484" s="24" t="s">
        <v>27</v>
      </c>
      <c r="F484" s="24" t="s">
        <v>28</v>
      </c>
      <c r="G484" s="24" t="s">
        <v>45</v>
      </c>
      <c r="H484" s="24" t="s">
        <v>31</v>
      </c>
      <c r="I484" s="25"/>
      <c r="J484" s="24"/>
      <c r="K484" s="24" t="s">
        <v>93</v>
      </c>
    </row>
    <row r="485" spans="3:11" x14ac:dyDescent="0.25">
      <c r="C485" s="24">
        <v>23606666</v>
      </c>
      <c r="D485" s="25">
        <v>45994.631643518522</v>
      </c>
      <c r="E485" s="24" t="s">
        <v>27</v>
      </c>
      <c r="F485" s="24" t="s">
        <v>28</v>
      </c>
      <c r="G485" s="24" t="s">
        <v>60</v>
      </c>
      <c r="H485" s="24" t="s">
        <v>31</v>
      </c>
      <c r="I485" s="25">
        <v>46001.631643518522</v>
      </c>
      <c r="J485" s="24" t="s">
        <v>3345</v>
      </c>
      <c r="K485" s="24" t="s">
        <v>48</v>
      </c>
    </row>
    <row r="486" spans="3:11" x14ac:dyDescent="0.25">
      <c r="C486" s="24">
        <v>23606667</v>
      </c>
      <c r="D486" s="25">
        <v>45994.633055555554</v>
      </c>
      <c r="E486" s="24" t="s">
        <v>27</v>
      </c>
      <c r="F486" s="24" t="s">
        <v>28</v>
      </c>
      <c r="G486" s="24" t="s">
        <v>60</v>
      </c>
      <c r="H486" s="24" t="s">
        <v>31</v>
      </c>
      <c r="I486" s="25">
        <v>46001.633055555554</v>
      </c>
      <c r="J486" s="24" t="s">
        <v>3090</v>
      </c>
      <c r="K486" s="24" t="s">
        <v>48</v>
      </c>
    </row>
    <row r="487" spans="3:11" x14ac:dyDescent="0.25">
      <c r="C487" s="24">
        <v>23606701</v>
      </c>
      <c r="D487" s="25">
        <v>45994.63962962963</v>
      </c>
      <c r="E487" s="24" t="s">
        <v>43</v>
      </c>
      <c r="F487" s="24" t="s">
        <v>44</v>
      </c>
      <c r="G487" s="24" t="s">
        <v>39</v>
      </c>
      <c r="H487" s="24" t="s">
        <v>31</v>
      </c>
      <c r="I487" s="25">
        <v>46002.63962962963</v>
      </c>
      <c r="J487" s="24" t="s">
        <v>4946</v>
      </c>
      <c r="K487" s="24" t="s">
        <v>32</v>
      </c>
    </row>
    <row r="488" spans="3:11" x14ac:dyDescent="0.25">
      <c r="C488" s="24">
        <v>23606711</v>
      </c>
      <c r="D488" s="25">
        <v>45994.643738425926</v>
      </c>
      <c r="E488" s="24" t="s">
        <v>27</v>
      </c>
      <c r="F488" s="24" t="s">
        <v>28</v>
      </c>
      <c r="G488" s="24" t="s">
        <v>65</v>
      </c>
      <c r="H488" s="24" t="s">
        <v>31</v>
      </c>
      <c r="I488" s="25">
        <v>46008.643738425926</v>
      </c>
      <c r="J488" s="24" t="s">
        <v>5417</v>
      </c>
      <c r="K488" s="24" t="s">
        <v>32</v>
      </c>
    </row>
    <row r="489" spans="3:11" x14ac:dyDescent="0.25">
      <c r="C489" s="24">
        <v>23606762</v>
      </c>
      <c r="D489" s="25">
        <v>45994.651759259257</v>
      </c>
      <c r="E489" s="24" t="s">
        <v>27</v>
      </c>
      <c r="F489" s="24" t="s">
        <v>28</v>
      </c>
      <c r="G489" s="24" t="s">
        <v>39</v>
      </c>
      <c r="H489" s="24" t="s">
        <v>31</v>
      </c>
      <c r="I489" s="25">
        <v>46002.651759259257</v>
      </c>
      <c r="J489" s="24" t="s">
        <v>5419</v>
      </c>
      <c r="K489" s="24" t="s">
        <v>32</v>
      </c>
    </row>
    <row r="490" spans="3:11" x14ac:dyDescent="0.25">
      <c r="C490" s="24">
        <v>23606764</v>
      </c>
      <c r="D490" s="25">
        <v>45994.653587962966</v>
      </c>
      <c r="E490" s="24" t="s">
        <v>27</v>
      </c>
      <c r="F490" s="24" t="s">
        <v>28</v>
      </c>
      <c r="G490" s="24" t="s">
        <v>60</v>
      </c>
      <c r="H490" s="24" t="s">
        <v>31</v>
      </c>
      <c r="I490" s="25">
        <v>46001.653587962966</v>
      </c>
      <c r="J490" s="24" t="s">
        <v>1692</v>
      </c>
      <c r="K490" s="24" t="s">
        <v>48</v>
      </c>
    </row>
    <row r="491" spans="3:11" x14ac:dyDescent="0.25">
      <c r="C491" s="24">
        <v>23606769</v>
      </c>
      <c r="D491" s="25">
        <v>45994.654467592591</v>
      </c>
      <c r="E491" s="24" t="s">
        <v>27</v>
      </c>
      <c r="F491" s="24" t="s">
        <v>28</v>
      </c>
      <c r="G491" s="24" t="s">
        <v>39</v>
      </c>
      <c r="H491" s="24" t="s">
        <v>31</v>
      </c>
      <c r="I491" s="25">
        <v>46002.654467592591</v>
      </c>
      <c r="J491" s="24" t="s">
        <v>5421</v>
      </c>
      <c r="K491" s="24" t="s">
        <v>32</v>
      </c>
    </row>
    <row r="492" spans="3:11" x14ac:dyDescent="0.25">
      <c r="C492" s="24">
        <v>23606787</v>
      </c>
      <c r="D492" s="25">
        <v>45994.659953703704</v>
      </c>
      <c r="E492" s="24" t="s">
        <v>43</v>
      </c>
      <c r="F492" s="24" t="s">
        <v>44</v>
      </c>
      <c r="G492" s="24" t="s">
        <v>65</v>
      </c>
      <c r="H492" s="24" t="s">
        <v>31</v>
      </c>
      <c r="I492" s="25">
        <v>46008.659953703704</v>
      </c>
      <c r="J492" s="24" t="s">
        <v>5422</v>
      </c>
      <c r="K492" s="24" t="s">
        <v>32</v>
      </c>
    </row>
    <row r="493" spans="3:11" x14ac:dyDescent="0.25">
      <c r="C493" s="24">
        <v>23606806</v>
      </c>
      <c r="D493" s="25">
        <v>45994.66747685185</v>
      </c>
      <c r="E493" s="24" t="s">
        <v>27</v>
      </c>
      <c r="F493" s="24" t="s">
        <v>28</v>
      </c>
      <c r="G493" s="24" t="s">
        <v>29</v>
      </c>
      <c r="H493" s="24" t="s">
        <v>31</v>
      </c>
      <c r="I493" s="25">
        <v>46006.66747685185</v>
      </c>
      <c r="J493" s="24" t="s">
        <v>5424</v>
      </c>
      <c r="K493" s="24" t="s">
        <v>32</v>
      </c>
    </row>
    <row r="494" spans="3:11" x14ac:dyDescent="0.25">
      <c r="C494" s="24">
        <v>23606808</v>
      </c>
      <c r="D494" s="25">
        <v>45994.667951388888</v>
      </c>
      <c r="E494" s="24" t="s">
        <v>27</v>
      </c>
      <c r="F494" s="24" t="s">
        <v>28</v>
      </c>
      <c r="G494" s="24" t="s">
        <v>29</v>
      </c>
      <c r="H494" s="24" t="s">
        <v>31</v>
      </c>
      <c r="I494" s="25">
        <v>46006.667951388888</v>
      </c>
      <c r="J494" s="24" t="s">
        <v>5424</v>
      </c>
      <c r="K494" s="24" t="s">
        <v>32</v>
      </c>
    </row>
    <row r="495" spans="3:11" x14ac:dyDescent="0.25">
      <c r="C495" s="24">
        <v>23606815</v>
      </c>
      <c r="D495" s="25">
        <v>45994.670694444445</v>
      </c>
      <c r="E495" s="24" t="s">
        <v>27</v>
      </c>
      <c r="F495" s="24" t="s">
        <v>28</v>
      </c>
      <c r="G495" s="24" t="s">
        <v>39</v>
      </c>
      <c r="H495" s="24" t="s">
        <v>31</v>
      </c>
      <c r="I495" s="25">
        <v>46002.670694444445</v>
      </c>
      <c r="J495" s="24" t="s">
        <v>5426</v>
      </c>
      <c r="K495" s="24" t="s">
        <v>32</v>
      </c>
    </row>
    <row r="496" spans="3:11" x14ac:dyDescent="0.25">
      <c r="C496" s="24">
        <v>23606824</v>
      </c>
      <c r="D496" s="25">
        <v>45994.674432870372</v>
      </c>
      <c r="E496" s="24" t="s">
        <v>27</v>
      </c>
      <c r="F496" s="24" t="s">
        <v>28</v>
      </c>
      <c r="G496" s="24" t="s">
        <v>65</v>
      </c>
      <c r="H496" s="24" t="s">
        <v>31</v>
      </c>
      <c r="I496" s="25">
        <v>46008.674432870372</v>
      </c>
      <c r="J496" s="24" t="s">
        <v>5428</v>
      </c>
      <c r="K496" s="24" t="s">
        <v>32</v>
      </c>
    </row>
    <row r="497" spans="3:11" x14ac:dyDescent="0.25">
      <c r="C497" s="24">
        <v>23606849</v>
      </c>
      <c r="D497" s="25">
        <v>45994.683796296296</v>
      </c>
      <c r="E497" s="24" t="s">
        <v>55</v>
      </c>
      <c r="F497" s="24" t="s">
        <v>56</v>
      </c>
      <c r="G497" s="24" t="s">
        <v>42</v>
      </c>
      <c r="H497" s="24" t="s">
        <v>31</v>
      </c>
      <c r="I497" s="25">
        <v>46006.683796296296</v>
      </c>
      <c r="J497" s="24" t="s">
        <v>5430</v>
      </c>
      <c r="K497" s="24" t="s">
        <v>32</v>
      </c>
    </row>
    <row r="498" spans="3:11" x14ac:dyDescent="0.25">
      <c r="C498" s="24">
        <v>23606856</v>
      </c>
      <c r="D498" s="25">
        <v>45994.686666666668</v>
      </c>
      <c r="E498" s="24" t="s">
        <v>27</v>
      </c>
      <c r="F498" s="24" t="s">
        <v>28</v>
      </c>
      <c r="G498" s="24" t="s">
        <v>42</v>
      </c>
      <c r="H498" s="24" t="s">
        <v>31</v>
      </c>
      <c r="I498" s="25">
        <v>46006.686666666668</v>
      </c>
      <c r="J498" s="24" t="s">
        <v>5432</v>
      </c>
      <c r="K498" s="24" t="s">
        <v>32</v>
      </c>
    </row>
    <row r="499" spans="3:11" x14ac:dyDescent="0.25">
      <c r="C499" s="24">
        <v>23606869</v>
      </c>
      <c r="D499" s="25">
        <v>45994.691631944443</v>
      </c>
      <c r="E499" s="24" t="s">
        <v>27</v>
      </c>
      <c r="F499" s="24" t="s">
        <v>28</v>
      </c>
      <c r="G499" s="24" t="s">
        <v>29</v>
      </c>
      <c r="H499" s="24" t="s">
        <v>31</v>
      </c>
      <c r="I499" s="25">
        <v>46006.691631944443</v>
      </c>
      <c r="J499" s="24" t="s">
        <v>5434</v>
      </c>
      <c r="K499" s="24" t="s">
        <v>32</v>
      </c>
    </row>
    <row r="500" spans="3:11" x14ac:dyDescent="0.25">
      <c r="C500" s="24">
        <v>23606894</v>
      </c>
      <c r="D500" s="25">
        <v>45994.695231481484</v>
      </c>
      <c r="E500" s="24" t="s">
        <v>27</v>
      </c>
      <c r="F500" s="24" t="s">
        <v>28</v>
      </c>
      <c r="G500" s="24" t="s">
        <v>39</v>
      </c>
      <c r="H500" s="24" t="s">
        <v>31</v>
      </c>
      <c r="I500" s="25">
        <v>46002.695231481484</v>
      </c>
      <c r="J500" s="24" t="s">
        <v>5436</v>
      </c>
      <c r="K500" s="24" t="s">
        <v>32</v>
      </c>
    </row>
    <row r="501" spans="3:11" x14ac:dyDescent="0.25">
      <c r="C501" s="24">
        <v>23606947</v>
      </c>
      <c r="D501" s="25">
        <v>45994.700335648151</v>
      </c>
      <c r="E501" s="24" t="s">
        <v>27</v>
      </c>
      <c r="F501" s="24" t="s">
        <v>28</v>
      </c>
      <c r="G501" s="24" t="s">
        <v>60</v>
      </c>
      <c r="H501" s="24" t="s">
        <v>31</v>
      </c>
      <c r="I501" s="25">
        <v>46001.700335648151</v>
      </c>
      <c r="J501" s="24" t="s">
        <v>5437</v>
      </c>
      <c r="K501" s="24" t="s">
        <v>48</v>
      </c>
    </row>
    <row r="502" spans="3:11" x14ac:dyDescent="0.25">
      <c r="C502" s="24">
        <v>23606977</v>
      </c>
      <c r="D502" s="25">
        <v>45994.703738425924</v>
      </c>
      <c r="E502" s="24" t="s">
        <v>43</v>
      </c>
      <c r="F502" s="24" t="s">
        <v>44</v>
      </c>
      <c r="G502" s="24" t="s">
        <v>39</v>
      </c>
      <c r="H502" s="24" t="s">
        <v>31</v>
      </c>
      <c r="I502" s="25">
        <v>46002.703738425924</v>
      </c>
      <c r="J502" s="24" t="s">
        <v>5439</v>
      </c>
      <c r="K502" s="24" t="s">
        <v>32</v>
      </c>
    </row>
    <row r="503" spans="3:11" x14ac:dyDescent="0.25">
      <c r="C503" s="24">
        <v>23607073</v>
      </c>
      <c r="D503" s="25">
        <v>45994.831770833334</v>
      </c>
      <c r="E503" s="24" t="s">
        <v>27</v>
      </c>
      <c r="F503" s="24" t="s">
        <v>28</v>
      </c>
      <c r="G503" s="24" t="s">
        <v>39</v>
      </c>
      <c r="H503" s="24" t="s">
        <v>31</v>
      </c>
      <c r="I503" s="25">
        <v>46002.831770833334</v>
      </c>
      <c r="J503" s="24" t="s">
        <v>5441</v>
      </c>
      <c r="K503" s="24" t="s">
        <v>32</v>
      </c>
    </row>
    <row r="504" spans="3:11" x14ac:dyDescent="0.25">
      <c r="C504" s="24">
        <v>23607077</v>
      </c>
      <c r="D504" s="25">
        <v>45994.880729166667</v>
      </c>
      <c r="E504" s="24" t="s">
        <v>27</v>
      </c>
      <c r="F504" s="24" t="s">
        <v>28</v>
      </c>
      <c r="G504" s="24" t="s">
        <v>39</v>
      </c>
      <c r="H504" s="24" t="s">
        <v>31</v>
      </c>
      <c r="I504" s="25">
        <v>46002.880729166667</v>
      </c>
      <c r="J504" s="24" t="s">
        <v>5443</v>
      </c>
      <c r="K504" s="24" t="s">
        <v>32</v>
      </c>
    </row>
    <row r="505" spans="3:11" x14ac:dyDescent="0.25">
      <c r="C505" s="24">
        <v>23607079</v>
      </c>
      <c r="D505" s="25">
        <v>45994.912604166668</v>
      </c>
      <c r="E505" s="24" t="s">
        <v>27</v>
      </c>
      <c r="F505" s="24" t="s">
        <v>28</v>
      </c>
      <c r="G505" s="24" t="s">
        <v>39</v>
      </c>
      <c r="H505" s="24" t="s">
        <v>31</v>
      </c>
      <c r="I505" s="25">
        <v>46002.912604166668</v>
      </c>
      <c r="J505" s="24" t="s">
        <v>5444</v>
      </c>
      <c r="K505" s="24" t="s">
        <v>32</v>
      </c>
    </row>
    <row r="506" spans="3:11" x14ac:dyDescent="0.25">
      <c r="C506" s="24">
        <v>23607293</v>
      </c>
      <c r="D506" s="25">
        <v>45995.26840277778</v>
      </c>
      <c r="E506" s="24" t="s">
        <v>27</v>
      </c>
      <c r="F506" s="24" t="s">
        <v>28</v>
      </c>
      <c r="G506" s="24" t="s">
        <v>50</v>
      </c>
      <c r="H506" s="24" t="s">
        <v>31</v>
      </c>
      <c r="I506" s="25">
        <v>46013.26840277778</v>
      </c>
      <c r="J506" s="24" t="s">
        <v>5446</v>
      </c>
      <c r="K506" s="24" t="s">
        <v>32</v>
      </c>
    </row>
    <row r="507" spans="3:11" x14ac:dyDescent="0.25">
      <c r="C507" s="24">
        <v>23607298</v>
      </c>
      <c r="D507" s="25">
        <v>45995.284594907411</v>
      </c>
      <c r="E507" s="24" t="s">
        <v>27</v>
      </c>
      <c r="F507" s="24" t="s">
        <v>28</v>
      </c>
      <c r="G507" s="24" t="s">
        <v>42</v>
      </c>
      <c r="H507" s="24" t="s">
        <v>31</v>
      </c>
      <c r="I507" s="25">
        <v>46007.284594907411</v>
      </c>
      <c r="J507" s="24" t="s">
        <v>5448</v>
      </c>
      <c r="K507" s="24" t="s">
        <v>32</v>
      </c>
    </row>
    <row r="508" spans="3:11" x14ac:dyDescent="0.25">
      <c r="C508" s="24">
        <v>23607305</v>
      </c>
      <c r="D508" s="25">
        <v>45995.303842592592</v>
      </c>
      <c r="E508" s="24" t="s">
        <v>27</v>
      </c>
      <c r="F508" s="24" t="s">
        <v>28</v>
      </c>
      <c r="G508" s="24" t="s">
        <v>29</v>
      </c>
      <c r="H508" s="24" t="s">
        <v>31</v>
      </c>
      <c r="I508" s="25">
        <v>46007.303842592592</v>
      </c>
      <c r="J508" s="24" t="s">
        <v>5450</v>
      </c>
      <c r="K508" s="24" t="s">
        <v>32</v>
      </c>
    </row>
    <row r="509" spans="3:11" x14ac:dyDescent="0.25">
      <c r="C509" s="24">
        <v>23607325</v>
      </c>
      <c r="D509" s="25">
        <v>45995.344398148147</v>
      </c>
      <c r="E509" s="24" t="s">
        <v>27</v>
      </c>
      <c r="F509" s="24" t="s">
        <v>28</v>
      </c>
      <c r="G509" s="24" t="s">
        <v>39</v>
      </c>
      <c r="H509" s="24" t="s">
        <v>31</v>
      </c>
      <c r="I509" s="25">
        <v>46003.344398148147</v>
      </c>
      <c r="J509" s="24" t="s">
        <v>5206</v>
      </c>
      <c r="K509" s="24" t="s">
        <v>32</v>
      </c>
    </row>
    <row r="510" spans="3:11" x14ac:dyDescent="0.25">
      <c r="C510" s="24">
        <v>23607335</v>
      </c>
      <c r="D510" s="25">
        <v>45995.350219907406</v>
      </c>
      <c r="E510" s="24" t="s">
        <v>53</v>
      </c>
      <c r="F510" s="24" t="s">
        <v>54</v>
      </c>
      <c r="G510" s="24" t="s">
        <v>42</v>
      </c>
      <c r="H510" s="24" t="s">
        <v>31</v>
      </c>
      <c r="I510" s="25">
        <v>46007.350219907406</v>
      </c>
      <c r="J510" s="24" t="s">
        <v>5452</v>
      </c>
      <c r="K510" s="24" t="s">
        <v>32</v>
      </c>
    </row>
    <row r="511" spans="3:11" x14ac:dyDescent="0.25">
      <c r="C511" s="24">
        <v>23607340</v>
      </c>
      <c r="D511" s="25">
        <v>45995.353194444448</v>
      </c>
      <c r="E511" s="24" t="s">
        <v>27</v>
      </c>
      <c r="F511" s="24" t="s">
        <v>28</v>
      </c>
      <c r="G511" s="24" t="s">
        <v>42</v>
      </c>
      <c r="H511" s="24" t="s">
        <v>31</v>
      </c>
      <c r="I511" s="25">
        <v>46007.353194444448</v>
      </c>
      <c r="J511" s="24" t="s">
        <v>3369</v>
      </c>
      <c r="K511" s="24" t="s">
        <v>32</v>
      </c>
    </row>
    <row r="512" spans="3:11" x14ac:dyDescent="0.25">
      <c r="C512" s="24">
        <v>23607342</v>
      </c>
      <c r="D512" s="25">
        <v>45995.355891203704</v>
      </c>
      <c r="E512" s="24" t="s">
        <v>47</v>
      </c>
      <c r="F512" s="24" t="s">
        <v>62</v>
      </c>
      <c r="G512" s="24" t="s">
        <v>42</v>
      </c>
      <c r="H512" s="24" t="s">
        <v>37</v>
      </c>
      <c r="I512" s="25">
        <v>46010.355891203704</v>
      </c>
      <c r="J512" s="24" t="s">
        <v>5454</v>
      </c>
      <c r="K512" s="24" t="s">
        <v>32</v>
      </c>
    </row>
    <row r="513" spans="3:11" x14ac:dyDescent="0.25">
      <c r="C513" s="24">
        <v>23607346</v>
      </c>
      <c r="D513" s="25">
        <v>45995.356874999998</v>
      </c>
      <c r="E513" s="24" t="s">
        <v>27</v>
      </c>
      <c r="F513" s="24" t="s">
        <v>28</v>
      </c>
      <c r="G513" s="24" t="s">
        <v>50</v>
      </c>
      <c r="H513" s="24" t="s">
        <v>31</v>
      </c>
      <c r="I513" s="25">
        <v>46013.356874999998</v>
      </c>
      <c r="J513" s="24" t="s">
        <v>5456</v>
      </c>
      <c r="K513" s="24" t="s">
        <v>32</v>
      </c>
    </row>
    <row r="514" spans="3:11" x14ac:dyDescent="0.25">
      <c r="C514" s="24">
        <v>23607347</v>
      </c>
      <c r="D514" s="25">
        <v>45995.358240740738</v>
      </c>
      <c r="E514" s="24" t="s">
        <v>27</v>
      </c>
      <c r="F514" s="24" t="s">
        <v>28</v>
      </c>
      <c r="G514" s="24" t="s">
        <v>39</v>
      </c>
      <c r="H514" s="24" t="s">
        <v>31</v>
      </c>
      <c r="I514" s="25">
        <v>46003.358240740738</v>
      </c>
      <c r="J514" s="24" t="s">
        <v>3217</v>
      </c>
      <c r="K514" s="24" t="s">
        <v>32</v>
      </c>
    </row>
    <row r="515" spans="3:11" x14ac:dyDescent="0.25">
      <c r="C515" s="24">
        <v>23607348</v>
      </c>
      <c r="D515" s="25">
        <v>45995.35833333333</v>
      </c>
      <c r="E515" s="24" t="s">
        <v>27</v>
      </c>
      <c r="F515" s="24" t="s">
        <v>28</v>
      </c>
      <c r="G515" s="24" t="s">
        <v>50</v>
      </c>
      <c r="H515" s="24" t="s">
        <v>37</v>
      </c>
      <c r="I515" s="25">
        <v>46013.35833333333</v>
      </c>
      <c r="J515" s="24" t="s">
        <v>5458</v>
      </c>
      <c r="K515" s="24" t="s">
        <v>32</v>
      </c>
    </row>
    <row r="516" spans="3:11" x14ac:dyDescent="0.25">
      <c r="C516" s="24">
        <v>23607351</v>
      </c>
      <c r="D516" s="25">
        <v>45995.358738425923</v>
      </c>
      <c r="E516" s="24" t="s">
        <v>27</v>
      </c>
      <c r="F516" s="24" t="s">
        <v>28</v>
      </c>
      <c r="G516" s="24" t="s">
        <v>42</v>
      </c>
      <c r="H516" s="24" t="s">
        <v>31</v>
      </c>
      <c r="I516" s="25">
        <v>46007.358738425923</v>
      </c>
      <c r="J516" s="24" t="s">
        <v>5459</v>
      </c>
      <c r="K516" s="24" t="s">
        <v>32</v>
      </c>
    </row>
    <row r="517" spans="3:11" x14ac:dyDescent="0.25">
      <c r="C517" s="24">
        <v>23607352</v>
      </c>
      <c r="D517" s="25">
        <v>45995.3593287037</v>
      </c>
      <c r="E517" s="24" t="s">
        <v>27</v>
      </c>
      <c r="F517" s="24" t="s">
        <v>28</v>
      </c>
      <c r="G517" s="24" t="s">
        <v>60</v>
      </c>
      <c r="H517" s="24" t="s">
        <v>31</v>
      </c>
      <c r="I517" s="25">
        <v>46002.3593287037</v>
      </c>
      <c r="J517" s="24" t="s">
        <v>5460</v>
      </c>
      <c r="K517" s="24" t="s">
        <v>32</v>
      </c>
    </row>
    <row r="518" spans="3:11" x14ac:dyDescent="0.25">
      <c r="C518" s="24">
        <v>23607360</v>
      </c>
      <c r="D518" s="25">
        <v>45995.365671296298</v>
      </c>
      <c r="E518" s="24" t="s">
        <v>43</v>
      </c>
      <c r="F518" s="24" t="s">
        <v>44</v>
      </c>
      <c r="G518" s="24" t="s">
        <v>39</v>
      </c>
      <c r="H518" s="24" t="s">
        <v>31</v>
      </c>
      <c r="I518" s="25">
        <v>46003.365671296298</v>
      </c>
      <c r="J518" s="24" t="s">
        <v>3167</v>
      </c>
      <c r="K518" s="24" t="s">
        <v>32</v>
      </c>
    </row>
    <row r="519" spans="3:11" x14ac:dyDescent="0.25">
      <c r="C519" s="24">
        <v>23607373</v>
      </c>
      <c r="D519" s="25">
        <v>45995.373113425929</v>
      </c>
      <c r="E519" s="24" t="s">
        <v>43</v>
      </c>
      <c r="F519" s="24" t="s">
        <v>44</v>
      </c>
      <c r="G519" s="24" t="s">
        <v>60</v>
      </c>
      <c r="H519" s="24" t="s">
        <v>31</v>
      </c>
      <c r="I519" s="25">
        <v>46002.373113425929</v>
      </c>
      <c r="J519" s="24" t="s">
        <v>5261</v>
      </c>
      <c r="K519" s="24" t="s">
        <v>32</v>
      </c>
    </row>
    <row r="520" spans="3:11" x14ac:dyDescent="0.25">
      <c r="C520" s="24">
        <v>23607382</v>
      </c>
      <c r="D520" s="25">
        <v>45995.379942129628</v>
      </c>
      <c r="E520" s="24" t="s">
        <v>27</v>
      </c>
      <c r="F520" s="24" t="s">
        <v>28</v>
      </c>
      <c r="G520" s="24" t="s">
        <v>29</v>
      </c>
      <c r="H520" s="24" t="s">
        <v>31</v>
      </c>
      <c r="I520" s="25">
        <v>46007.379942129628</v>
      </c>
      <c r="J520" s="24" t="s">
        <v>5463</v>
      </c>
      <c r="K520" s="24" t="s">
        <v>32</v>
      </c>
    </row>
    <row r="521" spans="3:11" x14ac:dyDescent="0.25">
      <c r="C521" s="24">
        <v>23607388</v>
      </c>
      <c r="D521" s="25">
        <v>45995.380347222221</v>
      </c>
      <c r="E521" s="24" t="s">
        <v>57</v>
      </c>
      <c r="F521" s="24" t="s">
        <v>58</v>
      </c>
      <c r="G521" s="24" t="s">
        <v>60</v>
      </c>
      <c r="H521" s="24" t="s">
        <v>31</v>
      </c>
      <c r="I521" s="25">
        <v>46002.380347222221</v>
      </c>
      <c r="J521" s="24" t="s">
        <v>5464</v>
      </c>
      <c r="K521" s="24" t="s">
        <v>32</v>
      </c>
    </row>
    <row r="522" spans="3:11" x14ac:dyDescent="0.25">
      <c r="C522" s="24">
        <v>23607389</v>
      </c>
      <c r="D522" s="25">
        <v>45995.380474537036</v>
      </c>
      <c r="E522" s="24" t="s">
        <v>27</v>
      </c>
      <c r="F522" s="24" t="s">
        <v>28</v>
      </c>
      <c r="G522" s="24" t="s">
        <v>65</v>
      </c>
      <c r="H522" s="24" t="s">
        <v>31</v>
      </c>
      <c r="I522" s="25">
        <v>46009.380474537036</v>
      </c>
      <c r="J522" s="24" t="s">
        <v>5465</v>
      </c>
      <c r="K522" s="24" t="s">
        <v>32</v>
      </c>
    </row>
    <row r="523" spans="3:11" x14ac:dyDescent="0.25">
      <c r="C523" s="24">
        <v>23607400</v>
      </c>
      <c r="D523" s="25">
        <v>45995.387511574074</v>
      </c>
      <c r="E523" s="24" t="s">
        <v>27</v>
      </c>
      <c r="F523" s="24" t="s">
        <v>28</v>
      </c>
      <c r="G523" s="24" t="s">
        <v>39</v>
      </c>
      <c r="H523" s="24" t="s">
        <v>37</v>
      </c>
      <c r="I523" s="25">
        <v>46008.387511574074</v>
      </c>
      <c r="J523" s="24" t="s">
        <v>5466</v>
      </c>
      <c r="K523" s="24" t="s">
        <v>32</v>
      </c>
    </row>
    <row r="524" spans="3:11" x14ac:dyDescent="0.25">
      <c r="C524" s="24">
        <v>23607403</v>
      </c>
      <c r="D524" s="25">
        <v>45995.389027777775</v>
      </c>
      <c r="E524" s="24" t="s">
        <v>27</v>
      </c>
      <c r="F524" s="24" t="s">
        <v>28</v>
      </c>
      <c r="G524" s="24" t="s">
        <v>60</v>
      </c>
      <c r="H524" s="24" t="s">
        <v>31</v>
      </c>
      <c r="I524" s="25">
        <v>46002.389027777775</v>
      </c>
      <c r="J524" s="24" t="s">
        <v>5025</v>
      </c>
      <c r="K524" s="24" t="s">
        <v>32</v>
      </c>
    </row>
    <row r="525" spans="3:11" x14ac:dyDescent="0.25">
      <c r="C525" s="24">
        <v>23607408</v>
      </c>
      <c r="D525" s="25">
        <v>45995.391342592593</v>
      </c>
      <c r="E525" s="24" t="s">
        <v>27</v>
      </c>
      <c r="F525" s="24" t="s">
        <v>28</v>
      </c>
      <c r="G525" s="24" t="s">
        <v>39</v>
      </c>
      <c r="H525" s="24" t="s">
        <v>31</v>
      </c>
      <c r="I525" s="25">
        <v>46003.391342592593</v>
      </c>
      <c r="J525" s="24" t="s">
        <v>5469</v>
      </c>
      <c r="K525" s="24" t="s">
        <v>32</v>
      </c>
    </row>
    <row r="526" spans="3:11" x14ac:dyDescent="0.25">
      <c r="C526" s="24">
        <v>23607411</v>
      </c>
      <c r="D526" s="25">
        <v>45995.392060185186</v>
      </c>
      <c r="E526" s="24" t="s">
        <v>47</v>
      </c>
      <c r="F526" s="24" t="s">
        <v>62</v>
      </c>
      <c r="G526" s="24" t="s">
        <v>42</v>
      </c>
      <c r="H526" s="24" t="s">
        <v>37</v>
      </c>
      <c r="I526" s="25">
        <v>46010.392060185186</v>
      </c>
      <c r="J526" s="24" t="s">
        <v>5471</v>
      </c>
      <c r="K526" s="24" t="s">
        <v>32</v>
      </c>
    </row>
    <row r="527" spans="3:11" x14ac:dyDescent="0.25">
      <c r="C527" s="24">
        <v>23607418</v>
      </c>
      <c r="D527" s="25">
        <v>45995.395011574074</v>
      </c>
      <c r="E527" s="24" t="s">
        <v>27</v>
      </c>
      <c r="F527" s="24" t="s">
        <v>28</v>
      </c>
      <c r="G527" s="24" t="s">
        <v>39</v>
      </c>
      <c r="H527" s="24" t="s">
        <v>31</v>
      </c>
      <c r="I527" s="25">
        <v>46003.395011574074</v>
      </c>
      <c r="J527" s="24" t="s">
        <v>5473</v>
      </c>
      <c r="K527" s="24" t="s">
        <v>32</v>
      </c>
    </row>
    <row r="528" spans="3:11" x14ac:dyDescent="0.25">
      <c r="C528" s="24">
        <v>23607420</v>
      </c>
      <c r="D528" s="25">
        <v>45995.395636574074</v>
      </c>
      <c r="E528" s="24" t="s">
        <v>27</v>
      </c>
      <c r="F528" s="24" t="s">
        <v>28</v>
      </c>
      <c r="G528" s="24" t="s">
        <v>39</v>
      </c>
      <c r="H528" s="24" t="s">
        <v>31</v>
      </c>
      <c r="I528" s="25">
        <v>46003.395636574074</v>
      </c>
      <c r="J528" s="24" t="s">
        <v>1658</v>
      </c>
      <c r="K528" s="24" t="s">
        <v>32</v>
      </c>
    </row>
    <row r="529" spans="3:11" x14ac:dyDescent="0.25">
      <c r="C529" s="24">
        <v>23607429</v>
      </c>
      <c r="D529" s="25">
        <v>45995.397407407407</v>
      </c>
      <c r="E529" s="24" t="s">
        <v>27</v>
      </c>
      <c r="F529" s="24" t="s">
        <v>28</v>
      </c>
      <c r="G529" s="24" t="s">
        <v>65</v>
      </c>
      <c r="H529" s="24" t="s">
        <v>31</v>
      </c>
      <c r="I529" s="25">
        <v>46009.397407407407</v>
      </c>
      <c r="J529" s="24" t="s">
        <v>5476</v>
      </c>
      <c r="K529" s="24" t="s">
        <v>32</v>
      </c>
    </row>
    <row r="530" spans="3:11" x14ac:dyDescent="0.25">
      <c r="C530" s="24">
        <v>23607431</v>
      </c>
      <c r="D530" s="25">
        <v>45995.397534722222</v>
      </c>
      <c r="E530" s="24" t="s">
        <v>27</v>
      </c>
      <c r="F530" s="24" t="s">
        <v>28</v>
      </c>
      <c r="G530" s="24" t="s">
        <v>39</v>
      </c>
      <c r="H530" s="24" t="s">
        <v>31</v>
      </c>
      <c r="I530" s="25">
        <v>46003.397534722222</v>
      </c>
      <c r="J530" s="24" t="s">
        <v>5477</v>
      </c>
      <c r="K530" s="24" t="s">
        <v>32</v>
      </c>
    </row>
    <row r="531" spans="3:11" x14ac:dyDescent="0.25">
      <c r="C531" s="24">
        <v>23607434</v>
      </c>
      <c r="D531" s="25">
        <v>45995.399398148147</v>
      </c>
      <c r="E531" s="24" t="s">
        <v>27</v>
      </c>
      <c r="F531" s="24" t="s">
        <v>28</v>
      </c>
      <c r="G531" s="24" t="s">
        <v>42</v>
      </c>
      <c r="H531" s="24" t="s">
        <v>31</v>
      </c>
      <c r="I531" s="25">
        <v>46007.399398148147</v>
      </c>
      <c r="J531" s="24" t="s">
        <v>5478</v>
      </c>
      <c r="K531" s="24" t="s">
        <v>32</v>
      </c>
    </row>
    <row r="532" spans="3:11" x14ac:dyDescent="0.25">
      <c r="C532" s="24">
        <v>23607436</v>
      </c>
      <c r="D532" s="25">
        <v>45995.399988425925</v>
      </c>
      <c r="E532" s="24" t="s">
        <v>43</v>
      </c>
      <c r="F532" s="24" t="s">
        <v>44</v>
      </c>
      <c r="G532" s="24" t="s">
        <v>29</v>
      </c>
      <c r="H532" s="24" t="s">
        <v>31</v>
      </c>
      <c r="I532" s="25">
        <v>46007.399988425925</v>
      </c>
      <c r="J532" s="24" t="s">
        <v>5478</v>
      </c>
      <c r="K532" s="24" t="s">
        <v>32</v>
      </c>
    </row>
    <row r="533" spans="3:11" x14ac:dyDescent="0.25">
      <c r="C533" s="24">
        <v>23607456</v>
      </c>
      <c r="D533" s="25">
        <v>45995.407893518517</v>
      </c>
      <c r="E533" s="24" t="s">
        <v>27</v>
      </c>
      <c r="F533" s="24" t="s">
        <v>28</v>
      </c>
      <c r="G533" s="24" t="s">
        <v>29</v>
      </c>
      <c r="H533" s="24" t="s">
        <v>31</v>
      </c>
      <c r="I533" s="25">
        <v>46007.407893518517</v>
      </c>
      <c r="J533" s="24" t="s">
        <v>5480</v>
      </c>
      <c r="K533" s="24" t="s">
        <v>32</v>
      </c>
    </row>
    <row r="534" spans="3:11" x14ac:dyDescent="0.25">
      <c r="C534" s="24">
        <v>23607461</v>
      </c>
      <c r="D534" s="25">
        <v>45995.410520833335</v>
      </c>
      <c r="E534" s="24" t="s">
        <v>55</v>
      </c>
      <c r="F534" s="24" t="s">
        <v>56</v>
      </c>
      <c r="G534" s="24" t="s">
        <v>68</v>
      </c>
      <c r="H534" s="24" t="s">
        <v>31</v>
      </c>
      <c r="I534" s="25">
        <v>46013.410520833335</v>
      </c>
      <c r="J534" s="24" t="s">
        <v>5482</v>
      </c>
      <c r="K534" s="24" t="s">
        <v>32</v>
      </c>
    </row>
    <row r="535" spans="3:11" x14ac:dyDescent="0.25">
      <c r="C535" s="24">
        <v>23607480</v>
      </c>
      <c r="D535" s="25">
        <v>45995.417314814818</v>
      </c>
      <c r="E535" s="24" t="s">
        <v>27</v>
      </c>
      <c r="F535" s="24" t="s">
        <v>28</v>
      </c>
      <c r="G535" s="24" t="s">
        <v>39</v>
      </c>
      <c r="H535" s="24" t="s">
        <v>31</v>
      </c>
      <c r="I535" s="25">
        <v>46003.417314814818</v>
      </c>
      <c r="J535" s="24" t="s">
        <v>3219</v>
      </c>
      <c r="K535" s="24" t="s">
        <v>32</v>
      </c>
    </row>
    <row r="536" spans="3:11" x14ac:dyDescent="0.25">
      <c r="C536" s="24">
        <v>23607483</v>
      </c>
      <c r="D536" s="25">
        <v>45995.418206018519</v>
      </c>
      <c r="E536" s="24" t="s">
        <v>27</v>
      </c>
      <c r="F536" s="24" t="s">
        <v>28</v>
      </c>
      <c r="G536" s="24" t="s">
        <v>39</v>
      </c>
      <c r="H536" s="24" t="s">
        <v>31</v>
      </c>
      <c r="I536" s="25">
        <v>46003.418206018519</v>
      </c>
      <c r="J536" s="24" t="s">
        <v>5485</v>
      </c>
      <c r="K536" s="24" t="s">
        <v>32</v>
      </c>
    </row>
    <row r="537" spans="3:11" x14ac:dyDescent="0.25">
      <c r="C537" s="24">
        <v>23607485</v>
      </c>
      <c r="D537" s="25">
        <v>45995.418958333335</v>
      </c>
      <c r="E537" s="24" t="s">
        <v>27</v>
      </c>
      <c r="F537" s="24" t="s">
        <v>28</v>
      </c>
      <c r="G537" s="24" t="s">
        <v>71</v>
      </c>
      <c r="H537" s="24" t="s">
        <v>31</v>
      </c>
      <c r="I537" s="25">
        <v>46007.418958333335</v>
      </c>
      <c r="J537" s="24" t="s">
        <v>5486</v>
      </c>
      <c r="K537" s="24" t="s">
        <v>32</v>
      </c>
    </row>
    <row r="538" spans="3:11" x14ac:dyDescent="0.25">
      <c r="C538" s="24">
        <v>23607491</v>
      </c>
      <c r="D538" s="25">
        <v>45995.42050925926</v>
      </c>
      <c r="E538" s="24" t="s">
        <v>27</v>
      </c>
      <c r="F538" s="24" t="s">
        <v>28</v>
      </c>
      <c r="G538" s="24" t="s">
        <v>39</v>
      </c>
      <c r="H538" s="24" t="s">
        <v>31</v>
      </c>
      <c r="I538" s="25">
        <v>46003.42050925926</v>
      </c>
      <c r="J538" s="24" t="s">
        <v>5488</v>
      </c>
      <c r="K538" s="24" t="s">
        <v>32</v>
      </c>
    </row>
    <row r="539" spans="3:11" x14ac:dyDescent="0.25">
      <c r="C539" s="24">
        <v>23607509</v>
      </c>
      <c r="D539" s="25">
        <v>45995.427557870367</v>
      </c>
      <c r="E539" s="24" t="s">
        <v>43</v>
      </c>
      <c r="F539" s="24" t="s">
        <v>44</v>
      </c>
      <c r="G539" s="24" t="s">
        <v>39</v>
      </c>
      <c r="H539" s="24" t="s">
        <v>31</v>
      </c>
      <c r="I539" s="25">
        <v>46003.427557870367</v>
      </c>
      <c r="J539" s="24" t="s">
        <v>3188</v>
      </c>
      <c r="K539" s="24" t="s">
        <v>32</v>
      </c>
    </row>
    <row r="540" spans="3:11" x14ac:dyDescent="0.25">
      <c r="C540" s="24">
        <v>23607514</v>
      </c>
      <c r="D540" s="25">
        <v>45995.430486111109</v>
      </c>
      <c r="E540" s="24" t="s">
        <v>43</v>
      </c>
      <c r="F540" s="24" t="s">
        <v>44</v>
      </c>
      <c r="G540" s="24" t="s">
        <v>39</v>
      </c>
      <c r="H540" s="24" t="s">
        <v>31</v>
      </c>
      <c r="I540" s="25">
        <v>46003.430486111109</v>
      </c>
      <c r="J540" s="24" t="s">
        <v>5491</v>
      </c>
      <c r="K540" s="24" t="s">
        <v>32</v>
      </c>
    </row>
    <row r="541" spans="3:11" x14ac:dyDescent="0.25">
      <c r="C541" s="24">
        <v>23607517</v>
      </c>
      <c r="D541" s="25">
        <v>45995.430856481478</v>
      </c>
      <c r="E541" s="24" t="s">
        <v>27</v>
      </c>
      <c r="F541" s="24" t="s">
        <v>28</v>
      </c>
      <c r="G541" s="24" t="s">
        <v>50</v>
      </c>
      <c r="H541" s="24" t="s">
        <v>31</v>
      </c>
      <c r="I541" s="25">
        <v>46013.430856481478</v>
      </c>
      <c r="J541" s="24" t="s">
        <v>5493</v>
      </c>
      <c r="K541" s="24" t="s">
        <v>32</v>
      </c>
    </row>
    <row r="542" spans="3:11" x14ac:dyDescent="0.25">
      <c r="C542" s="24">
        <v>23607524</v>
      </c>
      <c r="D542" s="25">
        <v>45995.432905092595</v>
      </c>
      <c r="E542" s="24" t="s">
        <v>27</v>
      </c>
      <c r="F542" s="24" t="s">
        <v>28</v>
      </c>
      <c r="G542" s="24" t="s">
        <v>60</v>
      </c>
      <c r="H542" s="24" t="s">
        <v>31</v>
      </c>
      <c r="I542" s="25">
        <v>46002.432905092595</v>
      </c>
      <c r="J542" s="24" t="s">
        <v>5495</v>
      </c>
      <c r="K542" s="24" t="s">
        <v>32</v>
      </c>
    </row>
    <row r="543" spans="3:11" x14ac:dyDescent="0.25">
      <c r="C543" s="24">
        <v>23607526</v>
      </c>
      <c r="D543" s="25">
        <v>45995.434305555558</v>
      </c>
      <c r="E543" s="24" t="s">
        <v>27</v>
      </c>
      <c r="F543" s="24" t="s">
        <v>28</v>
      </c>
      <c r="G543" s="24" t="s">
        <v>50</v>
      </c>
      <c r="H543" s="24" t="s">
        <v>31</v>
      </c>
      <c r="I543" s="25">
        <v>46013.434305555558</v>
      </c>
      <c r="J543" s="24" t="s">
        <v>5497</v>
      </c>
      <c r="K543" s="24" t="s">
        <v>32</v>
      </c>
    </row>
    <row r="544" spans="3:11" x14ac:dyDescent="0.25">
      <c r="C544" s="24">
        <v>23607531</v>
      </c>
      <c r="D544" s="25">
        <v>45995.435474537036</v>
      </c>
      <c r="E544" s="24" t="s">
        <v>27</v>
      </c>
      <c r="F544" s="24" t="s">
        <v>28</v>
      </c>
      <c r="G544" s="24" t="s">
        <v>39</v>
      </c>
      <c r="H544" s="24" t="s">
        <v>31</v>
      </c>
      <c r="I544" s="25">
        <v>46003.435474537036</v>
      </c>
      <c r="J544" s="24" t="s">
        <v>5499</v>
      </c>
      <c r="K544" s="24" t="s">
        <v>32</v>
      </c>
    </row>
    <row r="545" spans="3:11" x14ac:dyDescent="0.25">
      <c r="C545" s="24">
        <v>23607548</v>
      </c>
      <c r="D545" s="25">
        <v>45995.443067129629</v>
      </c>
      <c r="E545" s="24" t="s">
        <v>27</v>
      </c>
      <c r="F545" s="24" t="s">
        <v>28</v>
      </c>
      <c r="G545" s="24" t="s">
        <v>39</v>
      </c>
      <c r="H545" s="24" t="s">
        <v>31</v>
      </c>
      <c r="I545" s="25">
        <v>46003.443067129629</v>
      </c>
      <c r="J545" s="24" t="s">
        <v>1696</v>
      </c>
      <c r="K545" s="24" t="s">
        <v>32</v>
      </c>
    </row>
    <row r="546" spans="3:11" x14ac:dyDescent="0.25">
      <c r="C546" s="24">
        <v>23607549</v>
      </c>
      <c r="D546" s="25">
        <v>45995.443101851852</v>
      </c>
      <c r="E546" s="24" t="s">
        <v>43</v>
      </c>
      <c r="F546" s="24" t="s">
        <v>44</v>
      </c>
      <c r="G546" s="24" t="s">
        <v>39</v>
      </c>
      <c r="H546" s="24" t="s">
        <v>31</v>
      </c>
      <c r="I546" s="25">
        <v>46003.443101851852</v>
      </c>
      <c r="J546" s="24" t="s">
        <v>1696</v>
      </c>
      <c r="K546" s="24" t="s">
        <v>32</v>
      </c>
    </row>
    <row r="547" spans="3:11" x14ac:dyDescent="0.25">
      <c r="C547" s="24">
        <v>23607552</v>
      </c>
      <c r="D547" s="25">
        <v>45995.445648148147</v>
      </c>
      <c r="E547" s="24" t="s">
        <v>27</v>
      </c>
      <c r="F547" s="24" t="s">
        <v>28</v>
      </c>
      <c r="G547" s="24" t="s">
        <v>50</v>
      </c>
      <c r="H547" s="24" t="s">
        <v>31</v>
      </c>
      <c r="I547" s="25">
        <v>46013.445648148147</v>
      </c>
      <c r="J547" s="24" t="s">
        <v>5501</v>
      </c>
      <c r="K547" s="24" t="s">
        <v>32</v>
      </c>
    </row>
    <row r="548" spans="3:11" x14ac:dyDescent="0.25">
      <c r="C548" s="24">
        <v>23607560</v>
      </c>
      <c r="D548" s="25">
        <v>45995.449641203704</v>
      </c>
      <c r="E548" s="24" t="s">
        <v>57</v>
      </c>
      <c r="F548" s="24" t="s">
        <v>58</v>
      </c>
      <c r="G548" s="24" t="s">
        <v>60</v>
      </c>
      <c r="H548" s="24" t="s">
        <v>31</v>
      </c>
      <c r="I548" s="25">
        <v>46002.449641203704</v>
      </c>
      <c r="J548" s="24" t="s">
        <v>5503</v>
      </c>
      <c r="K548" s="24" t="s">
        <v>32</v>
      </c>
    </row>
    <row r="549" spans="3:11" x14ac:dyDescent="0.25">
      <c r="C549" s="24">
        <v>23607562</v>
      </c>
      <c r="D549" s="25">
        <v>45995.450335648151</v>
      </c>
      <c r="E549" s="24" t="s">
        <v>43</v>
      </c>
      <c r="F549" s="24" t="s">
        <v>44</v>
      </c>
      <c r="G549" s="24" t="s">
        <v>39</v>
      </c>
      <c r="H549" s="24" t="s">
        <v>31</v>
      </c>
      <c r="I549" s="25">
        <v>46003.450335648151</v>
      </c>
      <c r="J549" s="24" t="s">
        <v>1131</v>
      </c>
      <c r="K549" s="24" t="s">
        <v>32</v>
      </c>
    </row>
    <row r="550" spans="3:11" x14ac:dyDescent="0.25">
      <c r="C550" s="24">
        <v>23607577</v>
      </c>
      <c r="D550" s="25">
        <v>45995.457094907404</v>
      </c>
      <c r="E550" s="24" t="s">
        <v>43</v>
      </c>
      <c r="F550" s="24" t="s">
        <v>44</v>
      </c>
      <c r="G550" s="24" t="s">
        <v>39</v>
      </c>
      <c r="H550" s="24" t="s">
        <v>31</v>
      </c>
      <c r="I550" s="25">
        <v>46003.457094907404</v>
      </c>
      <c r="J550" s="24" t="s">
        <v>5506</v>
      </c>
      <c r="K550" s="24" t="s">
        <v>32</v>
      </c>
    </row>
    <row r="551" spans="3:11" x14ac:dyDescent="0.25">
      <c r="C551" s="24">
        <v>23607580</v>
      </c>
      <c r="D551" s="25">
        <v>45995.457719907405</v>
      </c>
      <c r="E551" s="24" t="s">
        <v>27</v>
      </c>
      <c r="F551" s="24" t="s">
        <v>28</v>
      </c>
      <c r="G551" s="24" t="s">
        <v>65</v>
      </c>
      <c r="H551" s="24" t="s">
        <v>31</v>
      </c>
      <c r="I551" s="25">
        <v>46009.457719907405</v>
      </c>
      <c r="J551" s="24" t="s">
        <v>5591</v>
      </c>
      <c r="K551" s="24" t="s">
        <v>32</v>
      </c>
    </row>
    <row r="552" spans="3:11" x14ac:dyDescent="0.25">
      <c r="C552" s="24">
        <v>23607583</v>
      </c>
      <c r="D552" s="25">
        <v>45995.459004629629</v>
      </c>
      <c r="E552" s="24" t="s">
        <v>43</v>
      </c>
      <c r="F552" s="24" t="s">
        <v>44</v>
      </c>
      <c r="G552" s="24" t="s">
        <v>50</v>
      </c>
      <c r="H552" s="24" t="s">
        <v>31</v>
      </c>
      <c r="I552" s="25">
        <v>46013.459004629629</v>
      </c>
      <c r="J552" s="24" t="s">
        <v>5507</v>
      </c>
      <c r="K552" s="24" t="s">
        <v>32</v>
      </c>
    </row>
    <row r="553" spans="3:11" x14ac:dyDescent="0.25">
      <c r="C553" s="24">
        <v>23607586</v>
      </c>
      <c r="D553" s="25">
        <v>45995.459224537037</v>
      </c>
      <c r="E553" s="24" t="s">
        <v>43</v>
      </c>
      <c r="F553" s="24" t="s">
        <v>44</v>
      </c>
      <c r="G553" s="24" t="s">
        <v>60</v>
      </c>
      <c r="H553" s="24" t="s">
        <v>31</v>
      </c>
      <c r="I553" s="25">
        <v>46002.459224537037</v>
      </c>
      <c r="J553" s="24" t="s">
        <v>5509</v>
      </c>
      <c r="K553" s="24" t="s">
        <v>32</v>
      </c>
    </row>
    <row r="554" spans="3:11" x14ac:dyDescent="0.25">
      <c r="C554" s="24">
        <v>23607603</v>
      </c>
      <c r="D554" s="25">
        <v>45995.469259259262</v>
      </c>
      <c r="E554" s="24" t="s">
        <v>27</v>
      </c>
      <c r="F554" s="24" t="s">
        <v>28</v>
      </c>
      <c r="G554" s="24" t="s">
        <v>29</v>
      </c>
      <c r="H554" s="24" t="s">
        <v>31</v>
      </c>
      <c r="I554" s="25">
        <v>46007.469259259262</v>
      </c>
      <c r="J554" s="24" t="s">
        <v>5510</v>
      </c>
      <c r="K554" s="24" t="s">
        <v>32</v>
      </c>
    </row>
    <row r="555" spans="3:11" x14ac:dyDescent="0.25">
      <c r="C555" s="24">
        <v>23607605</v>
      </c>
      <c r="D555" s="25">
        <v>45995.469849537039</v>
      </c>
      <c r="E555" s="24" t="s">
        <v>27</v>
      </c>
      <c r="F555" s="24" t="s">
        <v>28</v>
      </c>
      <c r="G555" s="24" t="s">
        <v>29</v>
      </c>
      <c r="H555" s="24" t="s">
        <v>31</v>
      </c>
      <c r="I555" s="25">
        <v>46007.469849537039</v>
      </c>
      <c r="J555" s="24" t="s">
        <v>5512</v>
      </c>
      <c r="K555" s="24" t="s">
        <v>32</v>
      </c>
    </row>
    <row r="556" spans="3:11" x14ac:dyDescent="0.25">
      <c r="C556" s="24">
        <v>23607607</v>
      </c>
      <c r="D556" s="25">
        <v>45995.470625000002</v>
      </c>
      <c r="E556" s="24" t="s">
        <v>27</v>
      </c>
      <c r="F556" s="24" t="s">
        <v>28</v>
      </c>
      <c r="G556" s="24" t="s">
        <v>29</v>
      </c>
      <c r="H556" s="24" t="s">
        <v>31</v>
      </c>
      <c r="I556" s="25">
        <v>46007.470625000002</v>
      </c>
      <c r="J556" s="24" t="s">
        <v>5514</v>
      </c>
      <c r="K556" s="24" t="s">
        <v>32</v>
      </c>
    </row>
    <row r="557" spans="3:11" x14ac:dyDescent="0.25">
      <c r="C557" s="24">
        <v>23607610</v>
      </c>
      <c r="D557" s="25">
        <v>45995.471666666665</v>
      </c>
      <c r="E557" s="24" t="s">
        <v>27</v>
      </c>
      <c r="F557" s="24" t="s">
        <v>28</v>
      </c>
      <c r="G557" s="24" t="s">
        <v>65</v>
      </c>
      <c r="H557" s="24" t="s">
        <v>37</v>
      </c>
      <c r="I557" s="25">
        <v>46017.471666666665</v>
      </c>
      <c r="J557" s="24" t="s">
        <v>5601</v>
      </c>
      <c r="K557" s="24" t="s">
        <v>32</v>
      </c>
    </row>
    <row r="558" spans="3:11" x14ac:dyDescent="0.25">
      <c r="C558" s="24">
        <v>23607612</v>
      </c>
      <c r="D558" s="25">
        <v>45995.473287037035</v>
      </c>
      <c r="E558" s="24" t="s">
        <v>27</v>
      </c>
      <c r="F558" s="24" t="s">
        <v>28</v>
      </c>
      <c r="G558" s="24" t="s">
        <v>65</v>
      </c>
      <c r="H558" s="24" t="s">
        <v>31</v>
      </c>
      <c r="I558" s="25">
        <v>46009.473287037035</v>
      </c>
      <c r="J558" s="24" t="s">
        <v>5611</v>
      </c>
      <c r="K558" s="24" t="s">
        <v>32</v>
      </c>
    </row>
    <row r="559" spans="3:11" x14ac:dyDescent="0.25">
      <c r="C559" s="24">
        <v>23607616</v>
      </c>
      <c r="D559" s="25">
        <v>45995.473703703705</v>
      </c>
      <c r="E559" s="24" t="s">
        <v>27</v>
      </c>
      <c r="F559" s="24" t="s">
        <v>28</v>
      </c>
      <c r="G559" s="24" t="s">
        <v>39</v>
      </c>
      <c r="H559" s="24" t="s">
        <v>31</v>
      </c>
      <c r="I559" s="25">
        <v>46003.473703703705</v>
      </c>
      <c r="J559" s="24" t="s">
        <v>5516</v>
      </c>
      <c r="K559" s="24" t="s">
        <v>32</v>
      </c>
    </row>
    <row r="560" spans="3:11" x14ac:dyDescent="0.25">
      <c r="C560" s="24">
        <v>23607634</v>
      </c>
      <c r="D560" s="25">
        <v>45995.481932870367</v>
      </c>
      <c r="E560" s="24" t="s">
        <v>55</v>
      </c>
      <c r="F560" s="24" t="s">
        <v>56</v>
      </c>
      <c r="G560" s="24" t="s">
        <v>60</v>
      </c>
      <c r="H560" s="24" t="s">
        <v>37</v>
      </c>
      <c r="I560" s="25">
        <v>46002.481932870367</v>
      </c>
      <c r="J560" s="24" t="s">
        <v>5374</v>
      </c>
      <c r="K560" s="24" t="s">
        <v>32</v>
      </c>
    </row>
    <row r="561" spans="3:11" x14ac:dyDescent="0.25">
      <c r="C561" s="24">
        <v>23607649</v>
      </c>
      <c r="D561" s="25">
        <v>45995.488194444442</v>
      </c>
      <c r="E561" s="24" t="s">
        <v>47</v>
      </c>
      <c r="F561" s="24" t="s">
        <v>62</v>
      </c>
      <c r="G561" s="24" t="s">
        <v>29</v>
      </c>
      <c r="H561" s="24" t="s">
        <v>37</v>
      </c>
      <c r="I561" s="25">
        <v>46010.488194444442</v>
      </c>
      <c r="J561" s="24" t="s">
        <v>5517</v>
      </c>
      <c r="K561" s="24" t="s">
        <v>32</v>
      </c>
    </row>
    <row r="562" spans="3:11" x14ac:dyDescent="0.25">
      <c r="C562" s="24">
        <v>23607655</v>
      </c>
      <c r="D562" s="25">
        <v>45995.489594907405</v>
      </c>
      <c r="E562" s="24" t="s">
        <v>27</v>
      </c>
      <c r="F562" s="24" t="s">
        <v>28</v>
      </c>
      <c r="G562" s="24" t="s">
        <v>39</v>
      </c>
      <c r="H562" s="24" t="s">
        <v>31</v>
      </c>
      <c r="I562" s="25">
        <v>46003.489594907405</v>
      </c>
      <c r="J562" s="24" t="s">
        <v>5118</v>
      </c>
      <c r="K562" s="24" t="s">
        <v>32</v>
      </c>
    </row>
    <row r="563" spans="3:11" x14ac:dyDescent="0.25">
      <c r="C563" s="24">
        <v>23607676</v>
      </c>
      <c r="D563" s="25">
        <v>45995.501793981479</v>
      </c>
      <c r="E563" s="24" t="s">
        <v>47</v>
      </c>
      <c r="F563" s="24" t="s">
        <v>62</v>
      </c>
      <c r="G563" s="24" t="s">
        <v>71</v>
      </c>
      <c r="H563" s="24" t="s">
        <v>31</v>
      </c>
      <c r="I563" s="25">
        <v>46007.501793981479</v>
      </c>
      <c r="J563" s="24" t="s">
        <v>5520</v>
      </c>
      <c r="K563" s="24" t="s">
        <v>32</v>
      </c>
    </row>
    <row r="564" spans="3:11" x14ac:dyDescent="0.25">
      <c r="C564" s="24">
        <v>23607682</v>
      </c>
      <c r="D564" s="25">
        <v>45995.503587962965</v>
      </c>
      <c r="E564" s="24" t="s">
        <v>47</v>
      </c>
      <c r="F564" s="24" t="s">
        <v>62</v>
      </c>
      <c r="G564" s="24" t="s">
        <v>29</v>
      </c>
      <c r="H564" s="24" t="s">
        <v>31</v>
      </c>
      <c r="I564" s="25">
        <v>46007.503587962965</v>
      </c>
      <c r="J564" s="24" t="s">
        <v>5522</v>
      </c>
      <c r="K564" s="24" t="s">
        <v>32</v>
      </c>
    </row>
    <row r="565" spans="3:11" x14ac:dyDescent="0.25">
      <c r="C565" s="24">
        <v>23607692</v>
      </c>
      <c r="D565" s="25">
        <v>45995.511666666665</v>
      </c>
      <c r="E565" s="24" t="s">
        <v>43</v>
      </c>
      <c r="F565" s="24" t="s">
        <v>44</v>
      </c>
      <c r="G565" s="24" t="s">
        <v>29</v>
      </c>
      <c r="H565" s="24" t="s">
        <v>31</v>
      </c>
      <c r="I565" s="25">
        <v>46007.511666666665</v>
      </c>
      <c r="J565" s="24" t="s">
        <v>5523</v>
      </c>
      <c r="K565" s="24" t="s">
        <v>32</v>
      </c>
    </row>
    <row r="566" spans="3:11" x14ac:dyDescent="0.25">
      <c r="C566" s="24">
        <v>23607696</v>
      </c>
      <c r="D566" s="25">
        <v>45995.514965277776</v>
      </c>
      <c r="E566" s="24" t="s">
        <v>55</v>
      </c>
      <c r="F566" s="24" t="s">
        <v>56</v>
      </c>
      <c r="G566" s="24" t="s">
        <v>50</v>
      </c>
      <c r="H566" s="24" t="s">
        <v>31</v>
      </c>
      <c r="I566" s="25">
        <v>46013.514965277776</v>
      </c>
      <c r="J566" s="24" t="s">
        <v>5525</v>
      </c>
      <c r="K566" s="24" t="s">
        <v>32</v>
      </c>
    </row>
    <row r="567" spans="3:11" x14ac:dyDescent="0.25">
      <c r="C567" s="24">
        <v>23607699</v>
      </c>
      <c r="D567" s="25">
        <v>45995.516238425924</v>
      </c>
      <c r="E567" s="24" t="s">
        <v>27</v>
      </c>
      <c r="F567" s="24" t="s">
        <v>28</v>
      </c>
      <c r="G567" s="24" t="s">
        <v>39</v>
      </c>
      <c r="H567" s="24" t="s">
        <v>31</v>
      </c>
      <c r="I567" s="25">
        <v>46003.516238425924</v>
      </c>
      <c r="J567" s="24" t="s">
        <v>5526</v>
      </c>
      <c r="K567" s="24" t="s">
        <v>32</v>
      </c>
    </row>
    <row r="568" spans="3:11" x14ac:dyDescent="0.25">
      <c r="C568" s="24">
        <v>23607701</v>
      </c>
      <c r="D568" s="25">
        <v>45995.516817129632</v>
      </c>
      <c r="E568" s="24" t="s">
        <v>27</v>
      </c>
      <c r="F568" s="24" t="s">
        <v>28</v>
      </c>
      <c r="G568" s="24" t="s">
        <v>39</v>
      </c>
      <c r="H568" s="24" t="s">
        <v>31</v>
      </c>
      <c r="I568" s="25">
        <v>46003.516817129632</v>
      </c>
      <c r="J568" s="24" t="s">
        <v>5528</v>
      </c>
      <c r="K568" s="24" t="s">
        <v>32</v>
      </c>
    </row>
    <row r="569" spans="3:11" x14ac:dyDescent="0.25">
      <c r="C569" s="24">
        <v>23607703</v>
      </c>
      <c r="D569" s="25">
        <v>45995.516886574071</v>
      </c>
      <c r="E569" s="24" t="s">
        <v>43</v>
      </c>
      <c r="F569" s="24" t="s">
        <v>44</v>
      </c>
      <c r="G569" s="24" t="s">
        <v>39</v>
      </c>
      <c r="H569" s="24" t="s">
        <v>31</v>
      </c>
      <c r="I569" s="25">
        <v>46003.516886574071</v>
      </c>
      <c r="J569" s="24" t="s">
        <v>5528</v>
      </c>
      <c r="K569" s="24" t="s">
        <v>32</v>
      </c>
    </row>
    <row r="570" spans="3:11" x14ac:dyDescent="0.25">
      <c r="C570" s="24">
        <v>23607710</v>
      </c>
      <c r="D570" s="25">
        <v>45995.527824074074</v>
      </c>
      <c r="E570" s="24" t="s">
        <v>27</v>
      </c>
      <c r="F570" s="24" t="s">
        <v>28</v>
      </c>
      <c r="G570" s="24" t="s">
        <v>29</v>
      </c>
      <c r="H570" s="24" t="s">
        <v>31</v>
      </c>
      <c r="I570" s="25">
        <v>46007.527824074074</v>
      </c>
      <c r="J570" s="24" t="s">
        <v>5530</v>
      </c>
      <c r="K570" s="24" t="s">
        <v>32</v>
      </c>
    </row>
    <row r="571" spans="3:11" x14ac:dyDescent="0.25">
      <c r="C571" s="24">
        <v>23607711</v>
      </c>
      <c r="D571" s="25">
        <v>45995.531493055554</v>
      </c>
      <c r="E571" s="24" t="s">
        <v>27</v>
      </c>
      <c r="F571" s="24" t="s">
        <v>28</v>
      </c>
      <c r="G571" s="24" t="s">
        <v>65</v>
      </c>
      <c r="H571" s="24" t="s">
        <v>31</v>
      </c>
      <c r="I571" s="25">
        <v>46009.531493055554</v>
      </c>
      <c r="J571" s="24" t="s">
        <v>5622</v>
      </c>
      <c r="K571" s="24" t="s">
        <v>32</v>
      </c>
    </row>
    <row r="572" spans="3:11" x14ac:dyDescent="0.25">
      <c r="C572" s="24">
        <v>23607718</v>
      </c>
      <c r="D572" s="25">
        <v>45995.544502314813</v>
      </c>
      <c r="E572" s="24" t="s">
        <v>55</v>
      </c>
      <c r="F572" s="24" t="s">
        <v>56</v>
      </c>
      <c r="G572" s="24" t="s">
        <v>65</v>
      </c>
      <c r="H572" s="24" t="s">
        <v>37</v>
      </c>
      <c r="I572" s="25">
        <v>46017.544502314813</v>
      </c>
      <c r="J572" s="24" t="s">
        <v>5632</v>
      </c>
      <c r="K572" s="24" t="s">
        <v>32</v>
      </c>
    </row>
    <row r="573" spans="3:11" x14ac:dyDescent="0.25">
      <c r="C573" s="24">
        <v>23607719</v>
      </c>
      <c r="D573" s="25">
        <v>45995.547175925924</v>
      </c>
      <c r="E573" s="24" t="s">
        <v>27</v>
      </c>
      <c r="F573" s="24" t="s">
        <v>28</v>
      </c>
      <c r="G573" s="24" t="s">
        <v>29</v>
      </c>
      <c r="H573" s="24" t="s">
        <v>31</v>
      </c>
      <c r="I573" s="25">
        <v>46007.547175925924</v>
      </c>
      <c r="J573" s="24" t="s">
        <v>5532</v>
      </c>
      <c r="K573" s="24" t="s">
        <v>32</v>
      </c>
    </row>
    <row r="574" spans="3:11" x14ac:dyDescent="0.25">
      <c r="C574" s="24">
        <v>23607723</v>
      </c>
      <c r="D574" s="25">
        <v>45995.552187499998</v>
      </c>
      <c r="E574" s="24" t="s">
        <v>43</v>
      </c>
      <c r="F574" s="24" t="s">
        <v>44</v>
      </c>
      <c r="G574" s="24" t="s">
        <v>39</v>
      </c>
      <c r="H574" s="24" t="s">
        <v>31</v>
      </c>
      <c r="I574" s="25">
        <v>46003.552187499998</v>
      </c>
      <c r="J574" s="24" t="s">
        <v>5534</v>
      </c>
      <c r="K574" s="24" t="s">
        <v>32</v>
      </c>
    </row>
    <row r="575" spans="3:11" x14ac:dyDescent="0.25">
      <c r="C575" s="24">
        <v>23607725</v>
      </c>
      <c r="D575" s="25">
        <v>45995.554537037038</v>
      </c>
      <c r="E575" s="24" t="s">
        <v>47</v>
      </c>
      <c r="F575" s="24" t="s">
        <v>62</v>
      </c>
      <c r="G575" s="24" t="s">
        <v>42</v>
      </c>
      <c r="H575" s="24" t="s">
        <v>37</v>
      </c>
      <c r="I575" s="25">
        <v>46010.554537037038</v>
      </c>
      <c r="J575" s="24" t="s">
        <v>5536</v>
      </c>
      <c r="K575" s="24" t="s">
        <v>32</v>
      </c>
    </row>
    <row r="576" spans="3:11" x14ac:dyDescent="0.25">
      <c r="C576" s="24">
        <v>23607727</v>
      </c>
      <c r="D576" s="25">
        <v>45995.555023148147</v>
      </c>
      <c r="E576" s="24" t="s">
        <v>27</v>
      </c>
      <c r="F576" s="24" t="s">
        <v>28</v>
      </c>
      <c r="G576" s="24" t="s">
        <v>39</v>
      </c>
      <c r="H576" s="24" t="s">
        <v>31</v>
      </c>
      <c r="I576" s="25">
        <v>46003.555023148147</v>
      </c>
      <c r="J576" s="24" t="s">
        <v>5538</v>
      </c>
      <c r="K576" s="24" t="s">
        <v>32</v>
      </c>
    </row>
    <row r="577" spans="3:11" x14ac:dyDescent="0.25">
      <c r="C577" s="24">
        <v>23607732</v>
      </c>
      <c r="D577" s="25">
        <v>45995.559282407405</v>
      </c>
      <c r="E577" s="24" t="s">
        <v>27</v>
      </c>
      <c r="F577" s="24" t="s">
        <v>28</v>
      </c>
      <c r="G577" s="24" t="s">
        <v>39</v>
      </c>
      <c r="H577" s="24" t="s">
        <v>31</v>
      </c>
      <c r="I577" s="25">
        <v>46003.559282407405</v>
      </c>
      <c r="J577" s="24" t="s">
        <v>5540</v>
      </c>
      <c r="K577" s="24" t="s">
        <v>32</v>
      </c>
    </row>
    <row r="578" spans="3:11" x14ac:dyDescent="0.25">
      <c r="C578" s="24">
        <v>23607733</v>
      </c>
      <c r="D578" s="25">
        <v>45995.559618055559</v>
      </c>
      <c r="E578" s="24" t="s">
        <v>43</v>
      </c>
      <c r="F578" s="24" t="s">
        <v>44</v>
      </c>
      <c r="G578" s="24" t="s">
        <v>39</v>
      </c>
      <c r="H578" s="24" t="s">
        <v>31</v>
      </c>
      <c r="I578" s="25">
        <v>46003.559618055559</v>
      </c>
      <c r="J578" s="24" t="s">
        <v>5540</v>
      </c>
      <c r="K578" s="24" t="s">
        <v>32</v>
      </c>
    </row>
    <row r="579" spans="3:11" x14ac:dyDescent="0.25">
      <c r="C579" s="24">
        <v>23607735</v>
      </c>
      <c r="D579" s="25">
        <v>45995.561493055553</v>
      </c>
      <c r="E579" s="24" t="s">
        <v>43</v>
      </c>
      <c r="F579" s="24" t="s">
        <v>44</v>
      </c>
      <c r="G579" s="24" t="s">
        <v>39</v>
      </c>
      <c r="H579" s="24" t="s">
        <v>31</v>
      </c>
      <c r="I579" s="25">
        <v>46003.561493055553</v>
      </c>
      <c r="J579" s="24" t="s">
        <v>5291</v>
      </c>
      <c r="K579" s="24" t="s">
        <v>32</v>
      </c>
    </row>
    <row r="580" spans="3:11" x14ac:dyDescent="0.25">
      <c r="C580" s="24">
        <v>23607738</v>
      </c>
      <c r="D580" s="25">
        <v>45995.563634259262</v>
      </c>
      <c r="E580" s="24" t="s">
        <v>43</v>
      </c>
      <c r="F580" s="24" t="s">
        <v>44</v>
      </c>
      <c r="G580" s="24" t="s">
        <v>39</v>
      </c>
      <c r="H580" s="24" t="s">
        <v>31</v>
      </c>
      <c r="I580" s="25">
        <v>46003.563634259262</v>
      </c>
      <c r="J580" s="24" t="s">
        <v>5543</v>
      </c>
      <c r="K580" s="24" t="s">
        <v>32</v>
      </c>
    </row>
    <row r="581" spans="3:11" x14ac:dyDescent="0.25">
      <c r="C581" s="24">
        <v>23607739</v>
      </c>
      <c r="D581" s="25">
        <v>45995.564212962963</v>
      </c>
      <c r="E581" s="24" t="s">
        <v>55</v>
      </c>
      <c r="F581" s="24" t="s">
        <v>56</v>
      </c>
      <c r="G581" s="24" t="s">
        <v>60</v>
      </c>
      <c r="H581" s="24" t="s">
        <v>31</v>
      </c>
      <c r="I581" s="25">
        <v>46002.564212962963</v>
      </c>
      <c r="J581" s="24" t="s">
        <v>1653</v>
      </c>
      <c r="K581" s="24" t="s">
        <v>32</v>
      </c>
    </row>
    <row r="582" spans="3:11" x14ac:dyDescent="0.25">
      <c r="C582" s="24">
        <v>23607748</v>
      </c>
      <c r="D582" s="25">
        <v>45995.570636574077</v>
      </c>
      <c r="E582" s="24" t="s">
        <v>43</v>
      </c>
      <c r="F582" s="24" t="s">
        <v>44</v>
      </c>
      <c r="G582" s="24" t="s">
        <v>39</v>
      </c>
      <c r="H582" s="24" t="s">
        <v>31</v>
      </c>
      <c r="I582" s="25">
        <v>46003.570636574077</v>
      </c>
      <c r="J582" s="24" t="s">
        <v>5546</v>
      </c>
      <c r="K582" s="24" t="s">
        <v>32</v>
      </c>
    </row>
    <row r="583" spans="3:11" x14ac:dyDescent="0.25">
      <c r="C583" s="24">
        <v>23607753</v>
      </c>
      <c r="D583" s="25">
        <v>45995.573182870372</v>
      </c>
      <c r="E583" s="24" t="s">
        <v>27</v>
      </c>
      <c r="F583" s="24" t="s">
        <v>28</v>
      </c>
      <c r="G583" s="24" t="s">
        <v>60</v>
      </c>
      <c r="H583" s="24" t="s">
        <v>31</v>
      </c>
      <c r="I583" s="25">
        <v>46002.573182870372</v>
      </c>
      <c r="J583" s="24" t="s">
        <v>5547</v>
      </c>
      <c r="K583" s="24" t="s">
        <v>32</v>
      </c>
    </row>
    <row r="584" spans="3:11" x14ac:dyDescent="0.25">
      <c r="C584" s="24">
        <v>23607756</v>
      </c>
      <c r="D584" s="25">
        <v>45995.574074074073</v>
      </c>
      <c r="E584" s="24" t="s">
        <v>57</v>
      </c>
      <c r="F584" s="24" t="s">
        <v>58</v>
      </c>
      <c r="G584" s="24" t="s">
        <v>42</v>
      </c>
      <c r="H584" s="24" t="s">
        <v>31</v>
      </c>
      <c r="I584" s="25">
        <v>46007.574074074073</v>
      </c>
      <c r="J584" s="24" t="s">
        <v>5549</v>
      </c>
      <c r="K584" s="24" t="s">
        <v>32</v>
      </c>
    </row>
    <row r="585" spans="3:11" x14ac:dyDescent="0.25">
      <c r="C585" s="24">
        <v>23607760</v>
      </c>
      <c r="D585" s="25">
        <v>45995.577164351853</v>
      </c>
      <c r="E585" s="24" t="s">
        <v>27</v>
      </c>
      <c r="F585" s="24" t="s">
        <v>28</v>
      </c>
      <c r="G585" s="24" t="s">
        <v>39</v>
      </c>
      <c r="H585" s="24" t="s">
        <v>31</v>
      </c>
      <c r="I585" s="25">
        <v>46003.577164351853</v>
      </c>
      <c r="J585" s="24" t="s">
        <v>4775</v>
      </c>
      <c r="K585" s="24" t="s">
        <v>32</v>
      </c>
    </row>
    <row r="586" spans="3:11" x14ac:dyDescent="0.25">
      <c r="C586" s="24">
        <v>23607761</v>
      </c>
      <c r="D586" s="25">
        <v>45995.577337962961</v>
      </c>
      <c r="E586" s="24" t="s">
        <v>57</v>
      </c>
      <c r="F586" s="24" t="s">
        <v>58</v>
      </c>
      <c r="G586" s="24" t="s">
        <v>60</v>
      </c>
      <c r="H586" s="24" t="s">
        <v>31</v>
      </c>
      <c r="I586" s="25">
        <v>46002.577337962961</v>
      </c>
      <c r="J586" s="24" t="s">
        <v>3175</v>
      </c>
      <c r="K586" s="24" t="s">
        <v>32</v>
      </c>
    </row>
    <row r="587" spans="3:11" x14ac:dyDescent="0.25">
      <c r="C587" s="24">
        <v>23607762</v>
      </c>
      <c r="D587" s="25">
        <v>45995.577743055554</v>
      </c>
      <c r="E587" s="24" t="s">
        <v>57</v>
      </c>
      <c r="F587" s="24" t="s">
        <v>58</v>
      </c>
      <c r="G587" s="24" t="s">
        <v>42</v>
      </c>
      <c r="H587" s="24" t="s">
        <v>31</v>
      </c>
      <c r="I587" s="25">
        <v>46007.577743055554</v>
      </c>
      <c r="J587" s="24" t="s">
        <v>3174</v>
      </c>
      <c r="K587" s="24" t="s">
        <v>32</v>
      </c>
    </row>
    <row r="588" spans="3:11" x14ac:dyDescent="0.25">
      <c r="C588" s="24">
        <v>23607770</v>
      </c>
      <c r="D588" s="25">
        <v>45995.583553240744</v>
      </c>
      <c r="E588" s="24" t="s">
        <v>47</v>
      </c>
      <c r="F588" s="24" t="s">
        <v>62</v>
      </c>
      <c r="G588" s="24" t="s">
        <v>42</v>
      </c>
      <c r="H588" s="24" t="s">
        <v>31</v>
      </c>
      <c r="I588" s="25">
        <v>46007.583553240744</v>
      </c>
      <c r="J588" s="24" t="s">
        <v>5552</v>
      </c>
      <c r="K588" s="24" t="s">
        <v>32</v>
      </c>
    </row>
    <row r="589" spans="3:11" x14ac:dyDescent="0.25">
      <c r="C589" s="24">
        <v>23607774</v>
      </c>
      <c r="D589" s="25">
        <v>45995.586539351854</v>
      </c>
      <c r="E589" s="24" t="s">
        <v>27</v>
      </c>
      <c r="F589" s="24" t="s">
        <v>28</v>
      </c>
      <c r="G589" s="24" t="s">
        <v>29</v>
      </c>
      <c r="H589" s="24" t="s">
        <v>31</v>
      </c>
      <c r="I589" s="25">
        <v>46007.586539351854</v>
      </c>
      <c r="J589" s="24" t="s">
        <v>5554</v>
      </c>
      <c r="K589" s="24" t="s">
        <v>32</v>
      </c>
    </row>
    <row r="590" spans="3:11" x14ac:dyDescent="0.25">
      <c r="C590" s="24">
        <v>23607779</v>
      </c>
      <c r="D590" s="25">
        <v>45995.588634259257</v>
      </c>
      <c r="E590" s="24" t="s">
        <v>27</v>
      </c>
      <c r="F590" s="24" t="s">
        <v>28</v>
      </c>
      <c r="G590" s="24" t="s">
        <v>29</v>
      </c>
      <c r="H590" s="24" t="s">
        <v>31</v>
      </c>
      <c r="I590" s="25">
        <v>46007.588634259257</v>
      </c>
      <c r="J590" s="24" t="s">
        <v>5556</v>
      </c>
      <c r="K590" s="24" t="s">
        <v>32</v>
      </c>
    </row>
    <row r="591" spans="3:11" x14ac:dyDescent="0.25">
      <c r="C591" s="24">
        <v>23607802</v>
      </c>
      <c r="D591" s="25">
        <v>45995.594247685185</v>
      </c>
      <c r="E591" s="24" t="s">
        <v>27</v>
      </c>
      <c r="F591" s="24" t="s">
        <v>28</v>
      </c>
      <c r="G591" s="24" t="s">
        <v>60</v>
      </c>
      <c r="H591" s="24" t="s">
        <v>31</v>
      </c>
      <c r="I591" s="25">
        <v>46002.594247685185</v>
      </c>
      <c r="J591" s="24" t="s">
        <v>5293</v>
      </c>
      <c r="K591" s="24" t="s">
        <v>32</v>
      </c>
    </row>
    <row r="592" spans="3:11" x14ac:dyDescent="0.25">
      <c r="C592" s="24">
        <v>23607807</v>
      </c>
      <c r="D592" s="25">
        <v>45995.596226851849</v>
      </c>
      <c r="E592" s="24" t="s">
        <v>43</v>
      </c>
      <c r="F592" s="24" t="s">
        <v>44</v>
      </c>
      <c r="G592" s="24" t="s">
        <v>39</v>
      </c>
      <c r="H592" s="24" t="s">
        <v>31</v>
      </c>
      <c r="I592" s="25">
        <v>46003.596226851849</v>
      </c>
      <c r="J592" s="24" t="s">
        <v>5232</v>
      </c>
      <c r="K592" s="24" t="s">
        <v>32</v>
      </c>
    </row>
    <row r="593" spans="3:11" x14ac:dyDescent="0.25">
      <c r="C593" s="24">
        <v>23607808</v>
      </c>
      <c r="D593" s="25">
        <v>45995.598113425927</v>
      </c>
      <c r="E593" s="24" t="s">
        <v>27</v>
      </c>
      <c r="F593" s="24" t="s">
        <v>28</v>
      </c>
      <c r="G593" s="24" t="s">
        <v>60</v>
      </c>
      <c r="H593" s="24" t="s">
        <v>31</v>
      </c>
      <c r="I593" s="25">
        <v>46002.598113425927</v>
      </c>
      <c r="J593" s="24" t="s">
        <v>5295</v>
      </c>
      <c r="K593" s="24" t="s">
        <v>32</v>
      </c>
    </row>
    <row r="594" spans="3:11" x14ac:dyDescent="0.25">
      <c r="C594" s="24">
        <v>23607809</v>
      </c>
      <c r="D594" s="25">
        <v>45995.599085648151</v>
      </c>
      <c r="E594" s="24" t="s">
        <v>43</v>
      </c>
      <c r="F594" s="24" t="s">
        <v>44</v>
      </c>
      <c r="G594" s="24" t="s">
        <v>39</v>
      </c>
      <c r="H594" s="24" t="s">
        <v>31</v>
      </c>
      <c r="I594" s="25">
        <v>46003.599085648151</v>
      </c>
      <c r="J594" s="24" t="s">
        <v>3882</v>
      </c>
      <c r="K594" s="24" t="s">
        <v>32</v>
      </c>
    </row>
    <row r="595" spans="3:11" x14ac:dyDescent="0.25">
      <c r="C595" s="24">
        <v>23607818</v>
      </c>
      <c r="D595" s="25">
        <v>45995.603993055556</v>
      </c>
      <c r="E595" s="24" t="s">
        <v>27</v>
      </c>
      <c r="F595" s="24" t="s">
        <v>28</v>
      </c>
      <c r="G595" s="24" t="s">
        <v>29</v>
      </c>
      <c r="H595" s="24" t="s">
        <v>31</v>
      </c>
      <c r="I595" s="25">
        <v>46007.603993055556</v>
      </c>
      <c r="J595" s="24" t="s">
        <v>5560</v>
      </c>
      <c r="K595" s="24" t="s">
        <v>32</v>
      </c>
    </row>
    <row r="596" spans="3:11" x14ac:dyDescent="0.25">
      <c r="C596" s="24">
        <v>23607820</v>
      </c>
      <c r="D596" s="25">
        <v>45995.605567129627</v>
      </c>
      <c r="E596" s="24" t="s">
        <v>43</v>
      </c>
      <c r="F596" s="24" t="s">
        <v>44</v>
      </c>
      <c r="G596" s="24" t="s">
        <v>39</v>
      </c>
      <c r="H596" s="24" t="s">
        <v>31</v>
      </c>
      <c r="I596" s="25">
        <v>46003.605567129627</v>
      </c>
      <c r="J596" s="24" t="s">
        <v>5561</v>
      </c>
      <c r="K596" s="24" t="s">
        <v>32</v>
      </c>
    </row>
    <row r="597" spans="3:11" x14ac:dyDescent="0.25">
      <c r="C597" s="24">
        <v>23607821</v>
      </c>
      <c r="D597" s="25">
        <v>45995.605567129627</v>
      </c>
      <c r="E597" s="24" t="s">
        <v>27</v>
      </c>
      <c r="F597" s="24" t="s">
        <v>28</v>
      </c>
      <c r="G597" s="24" t="s">
        <v>39</v>
      </c>
      <c r="H597" s="24" t="s">
        <v>31</v>
      </c>
      <c r="I597" s="25">
        <v>46003.605567129627</v>
      </c>
      <c r="J597" s="24" t="s">
        <v>5561</v>
      </c>
      <c r="K597" s="24" t="s">
        <v>32</v>
      </c>
    </row>
    <row r="598" spans="3:11" x14ac:dyDescent="0.25">
      <c r="C598" s="24">
        <v>23607822</v>
      </c>
      <c r="D598" s="25">
        <v>45995.605578703704</v>
      </c>
      <c r="E598" s="24" t="s">
        <v>47</v>
      </c>
      <c r="F598" s="24" t="s">
        <v>62</v>
      </c>
      <c r="G598" s="24" t="s">
        <v>42</v>
      </c>
      <c r="H598" s="24" t="s">
        <v>31</v>
      </c>
      <c r="I598" s="25">
        <v>46007.605578703704</v>
      </c>
      <c r="J598" s="24" t="s">
        <v>5562</v>
      </c>
      <c r="K598" s="24" t="s">
        <v>32</v>
      </c>
    </row>
    <row r="599" spans="3:11" x14ac:dyDescent="0.25">
      <c r="C599" s="24">
        <v>23607824</v>
      </c>
      <c r="D599" s="25">
        <v>45995.607141203705</v>
      </c>
      <c r="E599" s="24" t="s">
        <v>43</v>
      </c>
      <c r="F599" s="24" t="s">
        <v>44</v>
      </c>
      <c r="G599" s="24" t="s">
        <v>39</v>
      </c>
      <c r="H599" s="24" t="s">
        <v>31</v>
      </c>
      <c r="I599" s="25">
        <v>46003.607141203705</v>
      </c>
      <c r="J599" s="24" t="s">
        <v>5236</v>
      </c>
      <c r="K599" s="24" t="s">
        <v>32</v>
      </c>
    </row>
    <row r="600" spans="3:11" x14ac:dyDescent="0.25">
      <c r="C600" s="24">
        <v>23607825</v>
      </c>
      <c r="D600" s="25">
        <v>45995.607199074075</v>
      </c>
      <c r="E600" s="24" t="s">
        <v>43</v>
      </c>
      <c r="F600" s="24" t="s">
        <v>44</v>
      </c>
      <c r="G600" s="24" t="s">
        <v>39</v>
      </c>
      <c r="H600" s="24" t="s">
        <v>31</v>
      </c>
      <c r="I600" s="25">
        <v>46003.607199074075</v>
      </c>
      <c r="J600" s="24" t="s">
        <v>5236</v>
      </c>
      <c r="K600" s="24" t="s">
        <v>32</v>
      </c>
    </row>
    <row r="601" spans="3:11" x14ac:dyDescent="0.25">
      <c r="C601" s="24">
        <v>23607832</v>
      </c>
      <c r="D601" s="25">
        <v>45995.610289351855</v>
      </c>
      <c r="E601" s="24" t="s">
        <v>43</v>
      </c>
      <c r="F601" s="24" t="s">
        <v>44</v>
      </c>
      <c r="G601" s="24" t="s">
        <v>39</v>
      </c>
      <c r="H601" s="24" t="s">
        <v>31</v>
      </c>
      <c r="I601" s="25">
        <v>46003.610289351855</v>
      </c>
      <c r="J601" s="24" t="s">
        <v>5565</v>
      </c>
      <c r="K601" s="24" t="s">
        <v>32</v>
      </c>
    </row>
    <row r="602" spans="3:11" x14ac:dyDescent="0.25">
      <c r="C602" s="24">
        <v>23607841</v>
      </c>
      <c r="D602" s="25">
        <v>45995.614479166667</v>
      </c>
      <c r="E602" s="24" t="s">
        <v>27</v>
      </c>
      <c r="F602" s="24" t="s">
        <v>28</v>
      </c>
      <c r="G602" s="24" t="s">
        <v>29</v>
      </c>
      <c r="H602" s="24" t="s">
        <v>31</v>
      </c>
      <c r="I602" s="25">
        <v>46007.614479166667</v>
      </c>
      <c r="J602" s="24" t="s">
        <v>1657</v>
      </c>
      <c r="K602" s="24" t="s">
        <v>32</v>
      </c>
    </row>
    <row r="603" spans="3:11" x14ac:dyDescent="0.25">
      <c r="C603" s="24">
        <v>23607851</v>
      </c>
      <c r="D603" s="25">
        <v>45995.61990740741</v>
      </c>
      <c r="E603" s="24" t="s">
        <v>47</v>
      </c>
      <c r="F603" s="24" t="s">
        <v>62</v>
      </c>
      <c r="G603" s="24" t="s">
        <v>29</v>
      </c>
      <c r="H603" s="24" t="s">
        <v>37</v>
      </c>
      <c r="I603" s="25">
        <v>46010.61990740741</v>
      </c>
      <c r="J603" s="24" t="s">
        <v>5567</v>
      </c>
      <c r="K603" s="24" t="s">
        <v>32</v>
      </c>
    </row>
    <row r="604" spans="3:11" x14ac:dyDescent="0.25">
      <c r="C604" s="24">
        <v>23607856</v>
      </c>
      <c r="D604" s="25">
        <v>45995.621319444443</v>
      </c>
      <c r="E604" s="24" t="s">
        <v>43</v>
      </c>
      <c r="F604" s="24" t="s">
        <v>44</v>
      </c>
      <c r="G604" s="24" t="s">
        <v>39</v>
      </c>
      <c r="H604" s="24" t="s">
        <v>31</v>
      </c>
      <c r="I604" s="25">
        <v>46003.621319444443</v>
      </c>
      <c r="J604" s="24" t="s">
        <v>5568</v>
      </c>
      <c r="K604" s="24" t="s">
        <v>32</v>
      </c>
    </row>
    <row r="605" spans="3:11" x14ac:dyDescent="0.25">
      <c r="C605" s="24">
        <v>23607860</v>
      </c>
      <c r="D605" s="25">
        <v>45995.622615740744</v>
      </c>
      <c r="E605" s="24" t="s">
        <v>43</v>
      </c>
      <c r="F605" s="24" t="s">
        <v>44</v>
      </c>
      <c r="G605" s="24" t="s">
        <v>39</v>
      </c>
      <c r="H605" s="24" t="s">
        <v>31</v>
      </c>
      <c r="I605" s="25">
        <v>46003.622615740744</v>
      </c>
      <c r="J605" s="24" t="s">
        <v>5570</v>
      </c>
      <c r="K605" s="24" t="s">
        <v>32</v>
      </c>
    </row>
    <row r="606" spans="3:11" x14ac:dyDescent="0.25">
      <c r="C606" s="24">
        <v>23608052</v>
      </c>
      <c r="D606" s="25">
        <v>45995.753645833334</v>
      </c>
      <c r="E606" s="24" t="s">
        <v>27</v>
      </c>
      <c r="F606" s="24" t="s">
        <v>28</v>
      </c>
      <c r="G606" s="24" t="s">
        <v>65</v>
      </c>
      <c r="H606" s="24" t="s">
        <v>31</v>
      </c>
      <c r="I606" s="25">
        <v>46009.753645833334</v>
      </c>
      <c r="J606" s="24" t="s">
        <v>5642</v>
      </c>
      <c r="K606" s="24" t="s">
        <v>32</v>
      </c>
    </row>
  </sheetData>
  <mergeCells count="2">
    <mergeCell ref="B2:L2"/>
    <mergeCell ref="B3:C3"/>
  </mergeCells>
  <conditionalFormatting sqref="K27:K606">
    <cfRule type="containsText" dxfId="3" priority="1" operator="containsText" text="A TIEMPO">
      <formula>NOT(ISERROR(SEARCH("A TIEMPO",K27)))</formula>
    </cfRule>
    <cfRule type="containsText" dxfId="2" priority="2" operator="containsText" text="ALERTA_0 Días">
      <formula>NOT(ISERROR(SEARCH("ALERTA_0 Días",K27)))</formula>
    </cfRule>
    <cfRule type="containsText" dxfId="1" priority="3" operator="containsText" text="ALERTA">
      <formula>NOT(ISERROR(SEARCH("ALERTA",K27)))</formula>
    </cfRule>
    <cfRule type="containsText" dxfId="0" priority="4" operator="containsText" text="VENCIDO">
      <formula>NOT(ISERROR(SEARCH("VENCIDO",K27)))</formula>
    </cfRule>
  </conditionalFormatting>
  <pageMargins left="0.7" right="0.7" top="0.75" bottom="0.75" header="0.3" footer="0.3"/>
  <pageSetup orientation="portrait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8C9B-0543-4533-8B7B-CAABA012DC03}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 t="s">
        <v>205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L29"/>
  <sheetViews>
    <sheetView workbookViewId="0">
      <selection activeCell="K6" sqref="K6"/>
    </sheetView>
  </sheetViews>
  <sheetFormatPr baseColWidth="10" defaultRowHeight="15" x14ac:dyDescent="0.25"/>
  <cols>
    <col min="1" max="1" width="17.85546875" bestFit="1" customWidth="1"/>
    <col min="2" max="2" width="20.7109375" bestFit="1" customWidth="1"/>
    <col min="4" max="5" width="17.85546875" bestFit="1" customWidth="1"/>
    <col min="6" max="6" width="18.140625" bestFit="1" customWidth="1"/>
    <col min="8" max="8" width="17.85546875" bestFit="1" customWidth="1"/>
    <col min="9" max="9" width="26.85546875" bestFit="1" customWidth="1"/>
    <col min="12" max="12" width="13.5703125" bestFit="1" customWidth="1"/>
  </cols>
  <sheetData>
    <row r="2" spans="1:12" x14ac:dyDescent="0.25">
      <c r="K2" t="s">
        <v>91</v>
      </c>
    </row>
    <row r="3" spans="1:12" x14ac:dyDescent="0.25">
      <c r="A3" s="1" t="s">
        <v>86</v>
      </c>
      <c r="B3" t="s">
        <v>87</v>
      </c>
      <c r="E3" s="1" t="s">
        <v>86</v>
      </c>
      <c r="F3" t="s">
        <v>87</v>
      </c>
      <c r="H3" s="1" t="s">
        <v>86</v>
      </c>
      <c r="I3" t="s">
        <v>88</v>
      </c>
      <c r="K3">
        <f>COUNTIF(DATOS_ANS!V:V,"VENCIDO")</f>
        <v>25</v>
      </c>
      <c r="L3" t="s">
        <v>46</v>
      </c>
    </row>
    <row r="4" spans="1:12" x14ac:dyDescent="0.25">
      <c r="A4" s="2" t="s">
        <v>32</v>
      </c>
      <c r="B4" s="23">
        <v>445</v>
      </c>
      <c r="E4" s="2" t="s">
        <v>32</v>
      </c>
      <c r="F4" s="3">
        <v>0.76724137931034486</v>
      </c>
      <c r="H4" s="2" t="s">
        <v>37</v>
      </c>
      <c r="I4" s="23">
        <v>75</v>
      </c>
      <c r="K4">
        <f>COUNTIF(DATOS_ANS!V:V,"ALERTA")</f>
        <v>95</v>
      </c>
      <c r="L4" t="s">
        <v>48</v>
      </c>
    </row>
    <row r="5" spans="1:12" x14ac:dyDescent="0.25">
      <c r="A5" s="2" t="s">
        <v>48</v>
      </c>
      <c r="B5" s="23">
        <v>95</v>
      </c>
      <c r="E5" s="2" t="s">
        <v>48</v>
      </c>
      <c r="F5" s="3">
        <v>0.16379310344827586</v>
      </c>
      <c r="H5" s="2" t="s">
        <v>31</v>
      </c>
      <c r="I5" s="23">
        <v>505</v>
      </c>
      <c r="K5">
        <f>COUNTIF(DATOS_ANS!V:V,"A TIEMPO")</f>
        <v>445</v>
      </c>
      <c r="L5" t="s">
        <v>32</v>
      </c>
    </row>
    <row r="6" spans="1:12" x14ac:dyDescent="0.25">
      <c r="A6" s="2" t="s">
        <v>46</v>
      </c>
      <c r="B6" s="23">
        <v>25</v>
      </c>
      <c r="E6" s="2" t="s">
        <v>46</v>
      </c>
      <c r="F6" s="3">
        <v>4.3103448275862072E-2</v>
      </c>
      <c r="H6" s="2" t="s">
        <v>89</v>
      </c>
      <c r="I6" s="23">
        <v>580</v>
      </c>
      <c r="K6">
        <f>COUNTIF(DATOS_ANS!V:V,"ALERTA_0 Días")</f>
        <v>12</v>
      </c>
      <c r="L6" t="s">
        <v>92</v>
      </c>
    </row>
    <row r="7" spans="1:12" x14ac:dyDescent="0.25">
      <c r="A7" s="2" t="s">
        <v>93</v>
      </c>
      <c r="B7" s="23">
        <v>3</v>
      </c>
      <c r="E7" s="2" t="s">
        <v>93</v>
      </c>
      <c r="F7" s="3">
        <v>5.1724137931034482E-3</v>
      </c>
      <c r="K7">
        <f>COUNTIF(DATOS_ANS!V:V,"SIN FECHA")</f>
        <v>3</v>
      </c>
      <c r="L7" t="s">
        <v>93</v>
      </c>
    </row>
    <row r="8" spans="1:12" x14ac:dyDescent="0.25">
      <c r="A8" s="2" t="s">
        <v>92</v>
      </c>
      <c r="B8" s="23">
        <v>12</v>
      </c>
      <c r="E8" s="2" t="s">
        <v>92</v>
      </c>
      <c r="F8" s="3">
        <v>2.0689655172413793E-2</v>
      </c>
      <c r="K8">
        <f>SUM(K3:K7)</f>
        <v>580</v>
      </c>
      <c r="L8" t="s">
        <v>94</v>
      </c>
    </row>
    <row r="9" spans="1:12" x14ac:dyDescent="0.25">
      <c r="A9" s="2" t="s">
        <v>89</v>
      </c>
      <c r="B9" s="23">
        <v>580</v>
      </c>
      <c r="E9" s="2" t="s">
        <v>89</v>
      </c>
      <c r="F9" s="3">
        <v>1</v>
      </c>
    </row>
    <row r="16" spans="1:12" x14ac:dyDescent="0.25">
      <c r="A16" s="1" t="s">
        <v>86</v>
      </c>
      <c r="B16" t="s">
        <v>90</v>
      </c>
      <c r="D16" s="1" t="s">
        <v>86</v>
      </c>
    </row>
    <row r="17" spans="1:4" x14ac:dyDescent="0.25">
      <c r="A17" s="2" t="s">
        <v>71</v>
      </c>
      <c r="B17" s="23">
        <v>12</v>
      </c>
      <c r="D17" s="2" t="s">
        <v>55</v>
      </c>
    </row>
    <row r="18" spans="1:4" x14ac:dyDescent="0.25">
      <c r="A18" s="2" t="s">
        <v>60</v>
      </c>
      <c r="B18" s="23">
        <v>69</v>
      </c>
      <c r="D18" s="2" t="s">
        <v>47</v>
      </c>
    </row>
    <row r="19" spans="1:4" x14ac:dyDescent="0.25">
      <c r="A19" s="2" t="s">
        <v>45</v>
      </c>
      <c r="B19" s="23">
        <v>40</v>
      </c>
      <c r="D19" s="2" t="s">
        <v>43</v>
      </c>
    </row>
    <row r="20" spans="1:4" x14ac:dyDescent="0.25">
      <c r="A20" s="2" t="s">
        <v>29</v>
      </c>
      <c r="B20" s="23">
        <v>144</v>
      </c>
      <c r="D20" s="2" t="s">
        <v>53</v>
      </c>
    </row>
    <row r="21" spans="1:4" x14ac:dyDescent="0.25">
      <c r="A21" s="2" t="s">
        <v>42</v>
      </c>
      <c r="B21" s="23">
        <v>38</v>
      </c>
      <c r="D21" s="2" t="s">
        <v>27</v>
      </c>
    </row>
    <row r="22" spans="1:4" x14ac:dyDescent="0.25">
      <c r="A22" s="2" t="s">
        <v>65</v>
      </c>
      <c r="B22" s="23">
        <v>60</v>
      </c>
      <c r="D22" s="2" t="s">
        <v>57</v>
      </c>
    </row>
    <row r="23" spans="1:4" x14ac:dyDescent="0.25">
      <c r="A23" s="2" t="s">
        <v>39</v>
      </c>
      <c r="B23" s="23">
        <v>155</v>
      </c>
      <c r="D23" s="2" t="s">
        <v>89</v>
      </c>
    </row>
    <row r="24" spans="1:4" x14ac:dyDescent="0.25">
      <c r="A24" s="2" t="s">
        <v>68</v>
      </c>
      <c r="B24" s="23">
        <v>14</v>
      </c>
    </row>
    <row r="25" spans="1:4" x14ac:dyDescent="0.25">
      <c r="A25" s="2" t="s">
        <v>50</v>
      </c>
      <c r="B25" s="23">
        <v>35</v>
      </c>
    </row>
    <row r="26" spans="1:4" x14ac:dyDescent="0.25">
      <c r="A26" s="2" t="s">
        <v>73</v>
      </c>
      <c r="B26" s="23">
        <v>5</v>
      </c>
    </row>
    <row r="27" spans="1:4" x14ac:dyDescent="0.25">
      <c r="A27" s="2" t="s">
        <v>98</v>
      </c>
      <c r="B27" s="23">
        <v>7</v>
      </c>
    </row>
    <row r="28" spans="1:4" x14ac:dyDescent="0.25">
      <c r="A28" s="2" t="s">
        <v>126</v>
      </c>
      <c r="B28" s="23">
        <v>1</v>
      </c>
    </row>
    <row r="29" spans="1:4" x14ac:dyDescent="0.25">
      <c r="A29" s="2" t="s">
        <v>89</v>
      </c>
      <c r="B29" s="23">
        <v>580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DASHBOARD_ANS</vt:lpstr>
      <vt:lpstr>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Gaviria</dc:creator>
  <cp:lastModifiedBy>Hector Alejandro Gaviria</cp:lastModifiedBy>
  <dcterms:created xsi:type="dcterms:W3CDTF">2025-11-08T21:59:13Z</dcterms:created>
  <dcterms:modified xsi:type="dcterms:W3CDTF">2025-12-05T16:44:24Z</dcterms:modified>
</cp:coreProperties>
</file>